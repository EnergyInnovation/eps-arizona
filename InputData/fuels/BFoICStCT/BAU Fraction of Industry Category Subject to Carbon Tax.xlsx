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AZ\fuels\BFoICStCT\"/>
    </mc:Choice>
  </mc:AlternateContent>
  <xr:revisionPtr revIDLastSave="0" documentId="8_{5133B194-BFA9-4DC8-8935-96A7803AF600}" xr6:coauthVersionLast="47" xr6:coauthVersionMax="47" xr10:uidLastSave="{00000000-0000-0000-0000-000000000000}"/>
  <bookViews>
    <workbookView xWindow="-98" yWindow="-98" windowWidth="21795" windowHeight="12975" tabRatio="500" xr2:uid="{00000000-000D-0000-FFFF-FFFF00000000}"/>
  </bookViews>
  <sheets>
    <sheet name="About" sheetId="1" r:id="rId1"/>
    <sheet name="Keys" sheetId="2" r:id="rId2"/>
    <sheet name="State Calculations" sheetId="3" r:id="rId3"/>
    <sheet name="BFoICStCT" sheetId="4" r:id="rId4"/>
    <sheet name="State Policies"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26" i="4" l="1"/>
  <c r="M25" i="4"/>
  <c r="H25" i="4"/>
  <c r="A25" i="4"/>
  <c r="A24" i="4"/>
  <c r="A21" i="4"/>
  <c r="A15" i="4"/>
  <c r="A11" i="4"/>
  <c r="A10" i="4"/>
  <c r="A5" i="4"/>
  <c r="A4" i="4"/>
  <c r="W2" i="4"/>
  <c r="T2" i="4"/>
  <c r="S2" i="4"/>
  <c r="P2" i="4"/>
  <c r="A2" i="4"/>
  <c r="AE1" i="4"/>
  <c r="AD1" i="4"/>
  <c r="AC1" i="4"/>
  <c r="AB1" i="4"/>
  <c r="AA1" i="4"/>
  <c r="Z1" i="4"/>
  <c r="Y1" i="4"/>
  <c r="X1" i="4"/>
  <c r="W1" i="4"/>
  <c r="V1" i="4"/>
  <c r="U1" i="4"/>
  <c r="T1" i="4"/>
  <c r="S1" i="4"/>
  <c r="R1" i="4"/>
  <c r="Q1" i="4"/>
  <c r="P1" i="4"/>
  <c r="O1" i="4"/>
  <c r="N1" i="4"/>
  <c r="M1" i="4"/>
  <c r="L1" i="4"/>
  <c r="K1" i="4"/>
  <c r="J1" i="4"/>
  <c r="I1" i="4"/>
  <c r="H1" i="4"/>
  <c r="G1" i="4"/>
  <c r="F1" i="4"/>
  <c r="E1" i="4"/>
  <c r="D1" i="4"/>
  <c r="C1" i="4"/>
  <c r="B1" i="4"/>
  <c r="A1" i="4"/>
  <c r="B29" i="3"/>
  <c r="A26" i="3"/>
  <c r="Y25" i="3"/>
  <c r="Y25" i="4" s="1"/>
  <c r="X25" i="3"/>
  <c r="X25" i="4" s="1"/>
  <c r="W25" i="3"/>
  <c r="W25" i="4" s="1"/>
  <c r="V25" i="3"/>
  <c r="V25" i="4" s="1"/>
  <c r="U25" i="3"/>
  <c r="U25" i="4" s="1"/>
  <c r="T25" i="3"/>
  <c r="T25" i="4" s="1"/>
  <c r="S25" i="3"/>
  <c r="S25" i="4" s="1"/>
  <c r="R25" i="3"/>
  <c r="R25" i="4" s="1"/>
  <c r="Q25" i="3"/>
  <c r="Q25" i="4" s="1"/>
  <c r="P25" i="3"/>
  <c r="P25" i="4" s="1"/>
  <c r="O25" i="3"/>
  <c r="O25" i="4" s="1"/>
  <c r="N25" i="3"/>
  <c r="N25" i="4" s="1"/>
  <c r="M25" i="3"/>
  <c r="H25" i="3"/>
  <c r="G25" i="3"/>
  <c r="G25" i="4" s="1"/>
  <c r="E25" i="3"/>
  <c r="E25" i="4" s="1"/>
  <c r="A25" i="3"/>
  <c r="AA25" i="3" s="1"/>
  <c r="AA25" i="4" s="1"/>
  <c r="A24" i="3"/>
  <c r="A23" i="3"/>
  <c r="A22" i="3"/>
  <c r="A21" i="3"/>
  <c r="A20" i="3"/>
  <c r="A19" i="3"/>
  <c r="A18" i="3"/>
  <c r="A17" i="3"/>
  <c r="A16" i="3"/>
  <c r="A15" i="3"/>
  <c r="A14" i="3"/>
  <c r="A13" i="3"/>
  <c r="A12" i="3"/>
  <c r="A11" i="3"/>
  <c r="A10" i="3"/>
  <c r="A9" i="3"/>
  <c r="A8" i="3"/>
  <c r="A7" i="3"/>
  <c r="A6" i="3"/>
  <c r="A5" i="3"/>
  <c r="A4" i="3"/>
  <c r="A3" i="3"/>
  <c r="AE2" i="3"/>
  <c r="AE2" i="4" s="1"/>
  <c r="AD2" i="3"/>
  <c r="AD2" i="4" s="1"/>
  <c r="AC2" i="3"/>
  <c r="AC2" i="4" s="1"/>
  <c r="AB2" i="3"/>
  <c r="AB2" i="4" s="1"/>
  <c r="AA2" i="3"/>
  <c r="AA2" i="4" s="1"/>
  <c r="W2" i="3"/>
  <c r="V2" i="3"/>
  <c r="V2" i="4" s="1"/>
  <c r="T2" i="3"/>
  <c r="S2" i="3"/>
  <c r="R2" i="3"/>
  <c r="R2" i="4" s="1"/>
  <c r="Q2" i="3"/>
  <c r="Q2" i="4" s="1"/>
  <c r="P2" i="3"/>
  <c r="O2" i="3"/>
  <c r="O2" i="4" s="1"/>
  <c r="N2" i="3"/>
  <c r="N2" i="4" s="1"/>
  <c r="M2" i="3"/>
  <c r="M2" i="4" s="1"/>
  <c r="L2" i="3"/>
  <c r="L2" i="4" s="1"/>
  <c r="K2" i="3"/>
  <c r="K2" i="4" s="1"/>
  <c r="J2" i="3"/>
  <c r="J2" i="4" s="1"/>
  <c r="I2" i="3"/>
  <c r="I2" i="4" s="1"/>
  <c r="H2" i="3"/>
  <c r="H2" i="4" s="1"/>
  <c r="G2" i="3"/>
  <c r="G2" i="4" s="1"/>
  <c r="F2" i="3"/>
  <c r="F2" i="4" s="1"/>
  <c r="E2" i="3"/>
  <c r="E2" i="4" s="1"/>
  <c r="D2" i="3"/>
  <c r="D2" i="4" s="1"/>
  <c r="A2" i="3"/>
  <c r="U2" i="3" s="1"/>
  <c r="U2" i="4" s="1"/>
  <c r="B2" i="1"/>
  <c r="B28" i="3" s="1"/>
  <c r="T26" i="3" l="1"/>
  <c r="T26" i="4" s="1"/>
  <c r="B3" i="3"/>
  <c r="B3" i="4" s="1"/>
  <c r="AB13" i="3"/>
  <c r="AB13" i="4" s="1"/>
  <c r="S11" i="3"/>
  <c r="S11" i="4" s="1"/>
  <c r="AE22" i="3"/>
  <c r="AE22" i="4" s="1"/>
  <c r="M9" i="3"/>
  <c r="M9" i="4" s="1"/>
  <c r="F7" i="3"/>
  <c r="F7" i="4" s="1"/>
  <c r="R18" i="3"/>
  <c r="R18" i="4" s="1"/>
  <c r="L16" i="3"/>
  <c r="L16" i="4" s="1"/>
  <c r="AC13" i="3"/>
  <c r="AC13" i="4" s="1"/>
  <c r="T11" i="3"/>
  <c r="T11" i="4" s="1"/>
  <c r="N9" i="3"/>
  <c r="N9" i="4" s="1"/>
  <c r="F21" i="3"/>
  <c r="F21" i="4" s="1"/>
  <c r="M16" i="3"/>
  <c r="M16" i="4" s="1"/>
  <c r="AD22" i="3"/>
  <c r="AD22" i="4" s="1"/>
  <c r="F5" i="3"/>
  <c r="F5" i="4" s="1"/>
  <c r="U3" i="3"/>
  <c r="U3" i="4" s="1"/>
  <c r="N7" i="3"/>
  <c r="N7" i="4" s="1"/>
  <c r="S18" i="3"/>
  <c r="S18" i="4" s="1"/>
  <c r="G5" i="3"/>
  <c r="G5" i="4" s="1"/>
  <c r="Q15" i="3"/>
  <c r="Q15" i="4" s="1"/>
  <c r="J6" i="3"/>
  <c r="J6" i="4" s="1"/>
  <c r="Z13" i="3"/>
  <c r="Z13" i="4" s="1"/>
  <c r="U11" i="3"/>
  <c r="U11" i="4" s="1"/>
  <c r="V19" i="3"/>
  <c r="V19" i="4" s="1"/>
  <c r="U19" i="3"/>
  <c r="U19" i="4" s="1"/>
  <c r="T19" i="3"/>
  <c r="T19" i="4" s="1"/>
  <c r="P19" i="3"/>
  <c r="P19" i="4" s="1"/>
  <c r="Y19" i="3"/>
  <c r="Y19" i="4" s="1"/>
  <c r="W19" i="3"/>
  <c r="W19" i="4" s="1"/>
  <c r="A19" i="4"/>
  <c r="X19" i="3"/>
  <c r="X19" i="4" s="1"/>
  <c r="S19" i="3"/>
  <c r="S19" i="4" s="1"/>
  <c r="R19" i="3"/>
  <c r="R19" i="4" s="1"/>
  <c r="Q19" i="3"/>
  <c r="Q19" i="4" s="1"/>
  <c r="O19" i="3"/>
  <c r="O19" i="4" s="1"/>
  <c r="AD19" i="3"/>
  <c r="AD19" i="4" s="1"/>
  <c r="AC19" i="3"/>
  <c r="AC19" i="4" s="1"/>
  <c r="Z19" i="3"/>
  <c r="Z19" i="4" s="1"/>
  <c r="M19" i="3"/>
  <c r="M19" i="4" s="1"/>
  <c r="I19" i="3"/>
  <c r="I19" i="4" s="1"/>
  <c r="AB19" i="3"/>
  <c r="AB19" i="4" s="1"/>
  <c r="L19" i="3"/>
  <c r="L19" i="4" s="1"/>
  <c r="K19" i="3"/>
  <c r="K19" i="4" s="1"/>
  <c r="AA19" i="3"/>
  <c r="AA19" i="4" s="1"/>
  <c r="J19" i="3"/>
  <c r="J19" i="4" s="1"/>
  <c r="N19" i="3"/>
  <c r="N19" i="4" s="1"/>
  <c r="S16" i="3"/>
  <c r="S16" i="4" s="1"/>
  <c r="X3" i="3"/>
  <c r="X3" i="4" s="1"/>
  <c r="P16" i="3"/>
  <c r="P16" i="4" s="1"/>
  <c r="Q16" i="3"/>
  <c r="Q16" i="4" s="1"/>
  <c r="R16" i="3"/>
  <c r="R16" i="4" s="1"/>
  <c r="F14" i="3"/>
  <c r="F14" i="4" s="1"/>
  <c r="AA12" i="3"/>
  <c r="AA12" i="4" s="1"/>
  <c r="V16" i="3"/>
  <c r="V16" i="4" s="1"/>
  <c r="AD3" i="3"/>
  <c r="AD3" i="4" s="1"/>
  <c r="T12" i="3"/>
  <c r="T12" i="4" s="1"/>
  <c r="T4" i="3"/>
  <c r="T4" i="4" s="1"/>
  <c r="O7" i="3"/>
  <c r="O7" i="4" s="1"/>
  <c r="P9" i="3"/>
  <c r="P9" i="4" s="1"/>
  <c r="AC5" i="3"/>
  <c r="AC5" i="4" s="1"/>
  <c r="Y23" i="3"/>
  <c r="Y23" i="4" s="1"/>
  <c r="D14" i="3"/>
  <c r="D14" i="4" s="1"/>
  <c r="E14" i="3"/>
  <c r="E14" i="4" s="1"/>
  <c r="S21" i="3"/>
  <c r="S21" i="4" s="1"/>
  <c r="B6" i="3"/>
  <c r="B6" i="4" s="1"/>
  <c r="S10" i="3"/>
  <c r="S10" i="4" s="1"/>
  <c r="G19" i="3"/>
  <c r="G19" i="4" s="1"/>
  <c r="D6" i="3"/>
  <c r="D6" i="4" s="1"/>
  <c r="N8" i="3"/>
  <c r="N8" i="4" s="1"/>
  <c r="AE19" i="3"/>
  <c r="AE19" i="4" s="1"/>
  <c r="N17" i="3"/>
  <c r="N17" i="4" s="1"/>
  <c r="I6" i="3"/>
  <c r="I6" i="4" s="1"/>
  <c r="U4" i="3"/>
  <c r="U4" i="4" s="1"/>
  <c r="Y10" i="3"/>
  <c r="Y10" i="4" s="1"/>
  <c r="X4" i="3"/>
  <c r="X4" i="4" s="1"/>
  <c r="V3" i="3"/>
  <c r="V3" i="4" s="1"/>
  <c r="G21" i="3"/>
  <c r="G21" i="4" s="1"/>
  <c r="W3" i="3"/>
  <c r="W3" i="4" s="1"/>
  <c r="V11" i="3"/>
  <c r="V11" i="4" s="1"/>
  <c r="H21" i="3"/>
  <c r="H21" i="4" s="1"/>
  <c r="W11" i="3"/>
  <c r="W11" i="4" s="1"/>
  <c r="AE5" i="3"/>
  <c r="AE5" i="4" s="1"/>
  <c r="Y11" i="3"/>
  <c r="Y11" i="4" s="1"/>
  <c r="D19" i="3"/>
  <c r="D19" i="4" s="1"/>
  <c r="AA3" i="3"/>
  <c r="AA3" i="4" s="1"/>
  <c r="H8" i="3"/>
  <c r="H8" i="4" s="1"/>
  <c r="AA11" i="3"/>
  <c r="AA11" i="4" s="1"/>
  <c r="U24" i="3"/>
  <c r="U24" i="4" s="1"/>
  <c r="T24" i="3"/>
  <c r="T24" i="4" s="1"/>
  <c r="S24" i="3"/>
  <c r="S24" i="4" s="1"/>
  <c r="R24" i="3"/>
  <c r="R24" i="4" s="1"/>
  <c r="O24" i="3"/>
  <c r="O24" i="4" s="1"/>
  <c r="H24" i="3"/>
  <c r="H24" i="4" s="1"/>
  <c r="B24" i="3"/>
  <c r="B24" i="4" s="1"/>
  <c r="G24" i="3"/>
  <c r="G24" i="4" s="1"/>
  <c r="F24" i="3"/>
  <c r="F24" i="4" s="1"/>
  <c r="AC24" i="3"/>
  <c r="AC24" i="4" s="1"/>
  <c r="E24" i="3"/>
  <c r="E24" i="4" s="1"/>
  <c r="AE24" i="3"/>
  <c r="AE24" i="4" s="1"/>
  <c r="D24" i="3"/>
  <c r="D24" i="4" s="1"/>
  <c r="AD24" i="3"/>
  <c r="AD24" i="4" s="1"/>
  <c r="C24" i="3"/>
  <c r="C24" i="4" s="1"/>
  <c r="Q24" i="3"/>
  <c r="Q24" i="4" s="1"/>
  <c r="X24" i="3"/>
  <c r="X24" i="4" s="1"/>
  <c r="P24" i="3"/>
  <c r="P24" i="4" s="1"/>
  <c r="AB24" i="3"/>
  <c r="AB24" i="4" s="1"/>
  <c r="W24" i="3"/>
  <c r="W24" i="4" s="1"/>
  <c r="V24" i="3"/>
  <c r="V24" i="4" s="1"/>
  <c r="AA24" i="3"/>
  <c r="AA24" i="4" s="1"/>
  <c r="Z24" i="3"/>
  <c r="Z24" i="4" s="1"/>
  <c r="Y24" i="3"/>
  <c r="Y24" i="4" s="1"/>
  <c r="AB3" i="3"/>
  <c r="AB3" i="4" s="1"/>
  <c r="I10" i="3"/>
  <c r="I10" i="4" s="1"/>
  <c r="F19" i="3"/>
  <c r="F19" i="4" s="1"/>
  <c r="J24" i="3"/>
  <c r="J24" i="4" s="1"/>
  <c r="M8" i="3"/>
  <c r="M8" i="4" s="1"/>
  <c r="AE14" i="3"/>
  <c r="AE14" i="4" s="1"/>
  <c r="H19" i="3"/>
  <c r="H19" i="4" s="1"/>
  <c r="K24" i="3"/>
  <c r="K24" i="4" s="1"/>
  <c r="F6" i="3"/>
  <c r="F6" i="4" s="1"/>
  <c r="M17" i="3"/>
  <c r="M17" i="4" s="1"/>
  <c r="L24" i="3"/>
  <c r="L24" i="4" s="1"/>
  <c r="O8" i="3"/>
  <c r="O8" i="4" s="1"/>
  <c r="S22" i="3"/>
  <c r="S22" i="4" s="1"/>
  <c r="V12" i="3"/>
  <c r="V12" i="4" s="1"/>
  <c r="N26" i="3"/>
  <c r="N26" i="4" s="1"/>
  <c r="S17" i="3"/>
  <c r="S17" i="4" s="1"/>
  <c r="O26" i="3"/>
  <c r="O26" i="4" s="1"/>
  <c r="W22" i="3"/>
  <c r="W22" i="4" s="1"/>
  <c r="G9" i="3"/>
  <c r="G9" i="4" s="1"/>
  <c r="H9" i="3"/>
  <c r="H9" i="4" s="1"/>
  <c r="B13" i="3"/>
  <c r="B13" i="4" s="1"/>
  <c r="Y22" i="3"/>
  <c r="Y22" i="4" s="1"/>
  <c r="C13" i="3"/>
  <c r="C13" i="4" s="1"/>
  <c r="B26" i="3"/>
  <c r="B26" i="4" s="1"/>
  <c r="X26" i="3"/>
  <c r="X26" i="4" s="1"/>
  <c r="V14" i="3"/>
  <c r="V14" i="4" s="1"/>
  <c r="U14" i="3"/>
  <c r="U14" i="4" s="1"/>
  <c r="V26" i="3"/>
  <c r="V26" i="4" s="1"/>
  <c r="S26" i="3"/>
  <c r="S26" i="4" s="1"/>
  <c r="Q14" i="3"/>
  <c r="Q14" i="4" s="1"/>
  <c r="AE26" i="3"/>
  <c r="AE26" i="4" s="1"/>
  <c r="D26" i="3"/>
  <c r="D26" i="4" s="1"/>
  <c r="O21" i="3"/>
  <c r="O21" i="4" s="1"/>
  <c r="P14" i="3"/>
  <c r="P14" i="4" s="1"/>
  <c r="J4" i="3"/>
  <c r="J4" i="4" s="1"/>
  <c r="I4" i="3"/>
  <c r="I4" i="4" s="1"/>
  <c r="C17" i="3"/>
  <c r="C17" i="4" s="1"/>
  <c r="H4" i="3"/>
  <c r="H4" i="4" s="1"/>
  <c r="AB17" i="3"/>
  <c r="AB17" i="4" s="1"/>
  <c r="AA8" i="3"/>
  <c r="AA8" i="4" s="1"/>
  <c r="AE4" i="3"/>
  <c r="AE4" i="4" s="1"/>
  <c r="J14" i="3"/>
  <c r="J14" i="4" s="1"/>
  <c r="AB4" i="3"/>
  <c r="AB4" i="4" s="1"/>
  <c r="AD26" i="3"/>
  <c r="AD26" i="4" s="1"/>
  <c r="N21" i="3"/>
  <c r="N21" i="4" s="1"/>
  <c r="O14" i="3"/>
  <c r="O14" i="4" s="1"/>
  <c r="M21" i="3"/>
  <c r="M21" i="4" s="1"/>
  <c r="N14" i="3"/>
  <c r="N14" i="4" s="1"/>
  <c r="B17" i="3"/>
  <c r="B17" i="4" s="1"/>
  <c r="X5" i="3"/>
  <c r="X5" i="4" s="1"/>
  <c r="G4" i="3"/>
  <c r="G4" i="4" s="1"/>
  <c r="I21" i="3"/>
  <c r="I21" i="4" s="1"/>
  <c r="X8" i="3"/>
  <c r="X8" i="4" s="1"/>
  <c r="D4" i="3"/>
  <c r="D4" i="4" s="1"/>
  <c r="AC26" i="3"/>
  <c r="AC26" i="4" s="1"/>
  <c r="C8" i="3"/>
  <c r="C8" i="4" s="1"/>
  <c r="AB26" i="3"/>
  <c r="AB26" i="4" s="1"/>
  <c r="L21" i="3"/>
  <c r="L21" i="4" s="1"/>
  <c r="M14" i="3"/>
  <c r="M14" i="4" s="1"/>
  <c r="AA26" i="3"/>
  <c r="AA26" i="4" s="1"/>
  <c r="K21" i="3"/>
  <c r="K21" i="4" s="1"/>
  <c r="L14" i="3"/>
  <c r="L14" i="4" s="1"/>
  <c r="AD4" i="3"/>
  <c r="AD4" i="4" s="1"/>
  <c r="F4" i="3"/>
  <c r="F4" i="4" s="1"/>
  <c r="AC4" i="3"/>
  <c r="AC4" i="4" s="1"/>
  <c r="U26" i="3"/>
  <c r="U26" i="4" s="1"/>
  <c r="Z26" i="3"/>
  <c r="Z26" i="4" s="1"/>
  <c r="J21" i="3"/>
  <c r="J21" i="4" s="1"/>
  <c r="Z17" i="3"/>
  <c r="Z17" i="4" s="1"/>
  <c r="K14" i="3"/>
  <c r="K14" i="4" s="1"/>
  <c r="V5" i="3"/>
  <c r="V5" i="4" s="1"/>
  <c r="E4" i="3"/>
  <c r="E4" i="4" s="1"/>
  <c r="Y17" i="3"/>
  <c r="Y17" i="4" s="1"/>
  <c r="W12" i="3"/>
  <c r="W12" i="4" s="1"/>
  <c r="U5" i="3"/>
  <c r="U5" i="4" s="1"/>
  <c r="J26" i="3"/>
  <c r="J26" i="4" s="1"/>
  <c r="V23" i="3"/>
  <c r="V23" i="4" s="1"/>
  <c r="E21" i="3"/>
  <c r="E21" i="4" s="1"/>
  <c r="K17" i="3"/>
  <c r="K17" i="4" s="1"/>
  <c r="AC14" i="3"/>
  <c r="AC14" i="4" s="1"/>
  <c r="N12" i="3"/>
  <c r="N12" i="4" s="1"/>
  <c r="T5" i="3"/>
  <c r="T5" i="4" s="1"/>
  <c r="S4" i="3"/>
  <c r="S4" i="4" s="1"/>
  <c r="R5" i="3"/>
  <c r="R5" i="4" s="1"/>
  <c r="Z14" i="3"/>
  <c r="Z14" i="4" s="1"/>
  <c r="P4" i="3"/>
  <c r="P4" i="4" s="1"/>
  <c r="Y14" i="3"/>
  <c r="Y14" i="4" s="1"/>
  <c r="O5" i="3"/>
  <c r="O5" i="4" s="1"/>
  <c r="M5" i="3"/>
  <c r="M5" i="4" s="1"/>
  <c r="P23" i="3"/>
  <c r="P23" i="4" s="1"/>
  <c r="V8" i="3"/>
  <c r="V8" i="4" s="1"/>
  <c r="M4" i="3"/>
  <c r="M4" i="4" s="1"/>
  <c r="S14" i="3"/>
  <c r="S14" i="4" s="1"/>
  <c r="U8" i="3"/>
  <c r="U8" i="4" s="1"/>
  <c r="AB16" i="3"/>
  <c r="AB16" i="4" s="1"/>
  <c r="T8" i="3"/>
  <c r="T8" i="4" s="1"/>
  <c r="E12" i="3"/>
  <c r="E12" i="4" s="1"/>
  <c r="S8" i="3"/>
  <c r="S8" i="4" s="1"/>
  <c r="H14" i="3"/>
  <c r="H14" i="4" s="1"/>
  <c r="I26" i="3"/>
  <c r="I26" i="4" s="1"/>
  <c r="U23" i="3"/>
  <c r="U23" i="4" s="1"/>
  <c r="J17" i="3"/>
  <c r="J17" i="4" s="1"/>
  <c r="AB14" i="3"/>
  <c r="AB14" i="4" s="1"/>
  <c r="M12" i="3"/>
  <c r="M12" i="4" s="1"/>
  <c r="S5" i="3"/>
  <c r="S5" i="4" s="1"/>
  <c r="R4" i="3"/>
  <c r="R4" i="4" s="1"/>
  <c r="Q4" i="3"/>
  <c r="Q4" i="4" s="1"/>
  <c r="K12" i="3"/>
  <c r="K12" i="4" s="1"/>
  <c r="Q5" i="3"/>
  <c r="Q5" i="4" s="1"/>
  <c r="O4" i="3"/>
  <c r="O4" i="4" s="1"/>
  <c r="AE10" i="3"/>
  <c r="AE10" i="4" s="1"/>
  <c r="L5" i="3"/>
  <c r="L5" i="4" s="1"/>
  <c r="G12" i="3"/>
  <c r="G12" i="4" s="1"/>
  <c r="N23" i="3"/>
  <c r="N23" i="4" s="1"/>
  <c r="I14" i="3"/>
  <c r="I14" i="4" s="1"/>
  <c r="AC21" i="3"/>
  <c r="AC21" i="4" s="1"/>
  <c r="AA9" i="3"/>
  <c r="AA9" i="4" s="1"/>
  <c r="H26" i="3"/>
  <c r="H26" i="4" s="1"/>
  <c r="T23" i="3"/>
  <c r="T23" i="4" s="1"/>
  <c r="I17" i="3"/>
  <c r="I17" i="4" s="1"/>
  <c r="AA14" i="3"/>
  <c r="AA14" i="4" s="1"/>
  <c r="L12" i="3"/>
  <c r="L12" i="4" s="1"/>
  <c r="G17" i="3"/>
  <c r="G17" i="4" s="1"/>
  <c r="J12" i="3"/>
  <c r="J12" i="4" s="1"/>
  <c r="AC16" i="3"/>
  <c r="AC16" i="4" s="1"/>
  <c r="AD10" i="3"/>
  <c r="AD10" i="4" s="1"/>
  <c r="L4" i="3"/>
  <c r="L4" i="4" s="1"/>
  <c r="AC10" i="3"/>
  <c r="AC10" i="4" s="1"/>
  <c r="AC9" i="3"/>
  <c r="AC9" i="4" s="1"/>
  <c r="J5" i="3"/>
  <c r="J5" i="4" s="1"/>
  <c r="X16" i="3"/>
  <c r="X16" i="4" s="1"/>
  <c r="AB10" i="3"/>
  <c r="AB10" i="4" s="1"/>
  <c r="I5" i="3"/>
  <c r="I5" i="4" s="1"/>
  <c r="W16" i="3"/>
  <c r="W16" i="4" s="1"/>
  <c r="G26" i="3"/>
  <c r="G26" i="4" s="1"/>
  <c r="S23" i="3"/>
  <c r="S23" i="4" s="1"/>
  <c r="H17" i="3"/>
  <c r="H17" i="4" s="1"/>
  <c r="AE9" i="3"/>
  <c r="AE9" i="4" s="1"/>
  <c r="R14" i="3"/>
  <c r="R14" i="4" s="1"/>
  <c r="M23" i="3"/>
  <c r="M23" i="4" s="1"/>
  <c r="F26" i="3"/>
  <c r="F26" i="4" s="1"/>
  <c r="R23" i="3"/>
  <c r="R23" i="4" s="1"/>
  <c r="N4" i="3"/>
  <c r="N4" i="4" s="1"/>
  <c r="H12" i="3"/>
  <c r="H12" i="4" s="1"/>
  <c r="K5" i="3"/>
  <c r="K5" i="4" s="1"/>
  <c r="AB9" i="3"/>
  <c r="AB9" i="4" s="1"/>
  <c r="E26" i="3"/>
  <c r="E26" i="4" s="1"/>
  <c r="Q23" i="3"/>
  <c r="Q23" i="4" s="1"/>
  <c r="F17" i="3"/>
  <c r="F17" i="4" s="1"/>
  <c r="X14" i="3"/>
  <c r="X14" i="4" s="1"/>
  <c r="I12" i="3"/>
  <c r="I12" i="4" s="1"/>
  <c r="W8" i="3"/>
  <c r="W8" i="4" s="1"/>
  <c r="T14" i="3"/>
  <c r="T14" i="4" s="1"/>
  <c r="O23" i="3"/>
  <c r="O23" i="4" s="1"/>
  <c r="AD9" i="3"/>
  <c r="AD9" i="4" s="1"/>
  <c r="AE21" i="3"/>
  <c r="AE21" i="4" s="1"/>
  <c r="F12" i="3"/>
  <c r="F12" i="4" s="1"/>
  <c r="K4" i="3"/>
  <c r="K4" i="4" s="1"/>
  <c r="AD21" i="3"/>
  <c r="AD21" i="4" s="1"/>
  <c r="B4" i="3"/>
  <c r="B4" i="4" s="1"/>
  <c r="R8" i="3"/>
  <c r="R8" i="4" s="1"/>
  <c r="O9" i="3"/>
  <c r="O9" i="4" s="1"/>
  <c r="AB5" i="3"/>
  <c r="AB5" i="4" s="1"/>
  <c r="B14" i="3"/>
  <c r="B14" i="4" s="1"/>
  <c r="W23" i="3"/>
  <c r="W23" i="4" s="1"/>
  <c r="AD7" i="3"/>
  <c r="AD7" i="4" s="1"/>
  <c r="C14" i="3"/>
  <c r="C14" i="4" s="1"/>
  <c r="B19" i="3"/>
  <c r="B19" i="4" s="1"/>
  <c r="Y3" i="3"/>
  <c r="Y3" i="4" s="1"/>
  <c r="X11" i="3"/>
  <c r="X11" i="4" s="1"/>
  <c r="Q21" i="3"/>
  <c r="Q21" i="4" s="1"/>
  <c r="Z3" i="3"/>
  <c r="Z3" i="4" s="1"/>
  <c r="G10" i="3"/>
  <c r="G10" i="4" s="1"/>
  <c r="AE23" i="3"/>
  <c r="AE23" i="4" s="1"/>
  <c r="AC6" i="3"/>
  <c r="AC6" i="4" s="1"/>
  <c r="G6" i="3"/>
  <c r="G6" i="4" s="1"/>
  <c r="AA6" i="3"/>
  <c r="AA6" i="4" s="1"/>
  <c r="E6" i="3"/>
  <c r="E6" i="4" s="1"/>
  <c r="T6" i="3"/>
  <c r="T6" i="4" s="1"/>
  <c r="S6" i="3"/>
  <c r="S6" i="4" s="1"/>
  <c r="N6" i="3"/>
  <c r="N6" i="4" s="1"/>
  <c r="R6" i="3"/>
  <c r="R6" i="4" s="1"/>
  <c r="A6" i="4"/>
  <c r="Q6" i="3"/>
  <c r="Q6" i="4" s="1"/>
  <c r="P6" i="3"/>
  <c r="P6" i="4" s="1"/>
  <c r="O6" i="3"/>
  <c r="O6" i="4" s="1"/>
  <c r="AB6" i="3"/>
  <c r="AB6" i="4" s="1"/>
  <c r="X6" i="3"/>
  <c r="X6" i="4" s="1"/>
  <c r="Z6" i="3"/>
  <c r="Z6" i="4" s="1"/>
  <c r="M6" i="3"/>
  <c r="M6" i="4" s="1"/>
  <c r="Y6" i="3"/>
  <c r="Y6" i="4" s="1"/>
  <c r="V6" i="3"/>
  <c r="V6" i="4" s="1"/>
  <c r="W6" i="3"/>
  <c r="W6" i="4" s="1"/>
  <c r="L6" i="3"/>
  <c r="L6" i="4" s="1"/>
  <c r="U6" i="3"/>
  <c r="U6" i="4" s="1"/>
  <c r="K6" i="3"/>
  <c r="K6" i="4" s="1"/>
  <c r="H10" i="3"/>
  <c r="H10" i="4" s="1"/>
  <c r="E19" i="3"/>
  <c r="E19" i="4" s="1"/>
  <c r="T16" i="3"/>
  <c r="T16" i="4" s="1"/>
  <c r="AD14" i="3"/>
  <c r="AD14" i="4" s="1"/>
  <c r="P12" i="3"/>
  <c r="P12" i="4" s="1"/>
  <c r="K26" i="3"/>
  <c r="K26" i="4" s="1"/>
  <c r="U10" i="3"/>
  <c r="U10" i="4" s="1"/>
  <c r="N15" i="3"/>
  <c r="N15" i="4" s="1"/>
  <c r="M15" i="3"/>
  <c r="M15" i="4" s="1"/>
  <c r="L15" i="3"/>
  <c r="L15" i="4" s="1"/>
  <c r="AD15" i="3"/>
  <c r="AD15" i="4" s="1"/>
  <c r="H15" i="3"/>
  <c r="H15" i="4" s="1"/>
  <c r="O15" i="3"/>
  <c r="O15" i="4" s="1"/>
  <c r="K15" i="3"/>
  <c r="K15" i="4" s="1"/>
  <c r="J15" i="3"/>
  <c r="J15" i="4" s="1"/>
  <c r="I15" i="3"/>
  <c r="I15" i="4" s="1"/>
  <c r="E15" i="3"/>
  <c r="E15" i="4" s="1"/>
  <c r="G15" i="3"/>
  <c r="G15" i="4" s="1"/>
  <c r="F15" i="3"/>
  <c r="F15" i="4" s="1"/>
  <c r="AB15" i="3"/>
  <c r="AB15" i="4" s="1"/>
  <c r="V15" i="3"/>
  <c r="V15" i="4" s="1"/>
  <c r="AE15" i="3"/>
  <c r="AE15" i="4" s="1"/>
  <c r="Y15" i="3"/>
  <c r="Y15" i="4" s="1"/>
  <c r="X15" i="3"/>
  <c r="X15" i="4" s="1"/>
  <c r="U15" i="3"/>
  <c r="U15" i="4" s="1"/>
  <c r="AC15" i="3"/>
  <c r="AC15" i="4" s="1"/>
  <c r="W15" i="3"/>
  <c r="W15" i="4" s="1"/>
  <c r="AA15" i="3"/>
  <c r="AA15" i="4" s="1"/>
  <c r="Z15" i="3"/>
  <c r="Z15" i="4" s="1"/>
  <c r="L26" i="3"/>
  <c r="L26" i="4" s="1"/>
  <c r="Y4" i="3"/>
  <c r="Y4" i="4" s="1"/>
  <c r="V10" i="3"/>
  <c r="V10" i="4" s="1"/>
  <c r="B15" i="3"/>
  <c r="B15" i="4" s="1"/>
  <c r="M20" i="3"/>
  <c r="M20" i="4" s="1"/>
  <c r="L20" i="3"/>
  <c r="L20" i="4" s="1"/>
  <c r="K20" i="3"/>
  <c r="K20" i="4" s="1"/>
  <c r="AC20" i="3"/>
  <c r="AC20" i="4" s="1"/>
  <c r="G20" i="3"/>
  <c r="G20" i="4" s="1"/>
  <c r="T20" i="3"/>
  <c r="T20" i="4" s="1"/>
  <c r="S20" i="3"/>
  <c r="S20" i="4" s="1"/>
  <c r="R20" i="3"/>
  <c r="R20" i="4" s="1"/>
  <c r="N20" i="3"/>
  <c r="N20" i="4" s="1"/>
  <c r="Q20" i="3"/>
  <c r="Q20" i="4" s="1"/>
  <c r="A20" i="4"/>
  <c r="P20" i="3"/>
  <c r="P20" i="4" s="1"/>
  <c r="O20" i="3"/>
  <c r="O20" i="4" s="1"/>
  <c r="AD20" i="3"/>
  <c r="AD20" i="4" s="1"/>
  <c r="AB20" i="3"/>
  <c r="AB20" i="4" s="1"/>
  <c r="Y20" i="3"/>
  <c r="Y20" i="4" s="1"/>
  <c r="AE20" i="3"/>
  <c r="AE20" i="4" s="1"/>
  <c r="X20" i="3"/>
  <c r="X20" i="4" s="1"/>
  <c r="W20" i="3"/>
  <c r="W20" i="4" s="1"/>
  <c r="V20" i="3"/>
  <c r="V20" i="4" s="1"/>
  <c r="AA20" i="3"/>
  <c r="AA20" i="4" s="1"/>
  <c r="Z20" i="3"/>
  <c r="Z20" i="4" s="1"/>
  <c r="M24" i="3"/>
  <c r="M24" i="4" s="1"/>
  <c r="W10" i="3"/>
  <c r="W10" i="4" s="1"/>
  <c r="O17" i="3"/>
  <c r="O17" i="4" s="1"/>
  <c r="B20" i="3"/>
  <c r="B20" i="4" s="1"/>
  <c r="N24" i="3"/>
  <c r="N24" i="4" s="1"/>
  <c r="X10" i="3"/>
  <c r="X10" i="4" s="1"/>
  <c r="AD12" i="3"/>
  <c r="AD12" i="4" s="1"/>
  <c r="D15" i="3"/>
  <c r="D15" i="4" s="1"/>
  <c r="C20" i="3"/>
  <c r="C20" i="4" s="1"/>
  <c r="AD6" i="3"/>
  <c r="AD6" i="4" s="1"/>
  <c r="D20" i="3"/>
  <c r="D20" i="4" s="1"/>
  <c r="AE6" i="3"/>
  <c r="AE6" i="4" s="1"/>
  <c r="U17" i="3"/>
  <c r="U17" i="4" s="1"/>
  <c r="X22" i="3"/>
  <c r="X22" i="4" s="1"/>
  <c r="Z4" i="3"/>
  <c r="Z4" i="4" s="1"/>
  <c r="T7" i="3"/>
  <c r="T7" i="4" s="1"/>
  <c r="R7" i="3"/>
  <c r="R7" i="4" s="1"/>
  <c r="A7" i="4"/>
  <c r="M7" i="3"/>
  <c r="M7" i="4" s="1"/>
  <c r="K7" i="3"/>
  <c r="K7" i="4" s="1"/>
  <c r="G7" i="3"/>
  <c r="G7" i="4" s="1"/>
  <c r="L7" i="3"/>
  <c r="L7" i="4" s="1"/>
  <c r="J7" i="3"/>
  <c r="J7" i="4" s="1"/>
  <c r="I7" i="3"/>
  <c r="I7" i="4" s="1"/>
  <c r="H7" i="3"/>
  <c r="H7" i="4" s="1"/>
  <c r="AE7" i="3"/>
  <c r="AE7" i="4" s="1"/>
  <c r="AC7" i="3"/>
  <c r="AC7" i="4" s="1"/>
  <c r="AA7" i="3"/>
  <c r="AA7" i="4" s="1"/>
  <c r="AB7" i="3"/>
  <c r="AB7" i="4" s="1"/>
  <c r="X7" i="3"/>
  <c r="X7" i="4" s="1"/>
  <c r="Z7" i="3"/>
  <c r="Z7" i="4" s="1"/>
  <c r="Y7" i="3"/>
  <c r="Y7" i="4" s="1"/>
  <c r="W7" i="3"/>
  <c r="W7" i="4" s="1"/>
  <c r="Q7" i="3"/>
  <c r="Q7" i="4" s="1"/>
  <c r="V7" i="3"/>
  <c r="V7" i="4" s="1"/>
  <c r="U7" i="3"/>
  <c r="U7" i="4" s="1"/>
  <c r="S7" i="3"/>
  <c r="S7" i="4" s="1"/>
  <c r="R15" i="3"/>
  <c r="R15" i="4" s="1"/>
  <c r="R26" i="3"/>
  <c r="R26" i="4" s="1"/>
  <c r="I9" i="3"/>
  <c r="I9" i="4" s="1"/>
  <c r="W17" i="3"/>
  <c r="W17" i="4" s="1"/>
  <c r="H20" i="3"/>
  <c r="H20" i="4" s="1"/>
  <c r="C7" i="3"/>
  <c r="C7" i="4" s="1"/>
  <c r="P11" i="3"/>
  <c r="P11" i="4" s="1"/>
  <c r="D13" i="3"/>
  <c r="D13" i="4" s="1"/>
  <c r="T15" i="3"/>
  <c r="T15" i="4" s="1"/>
  <c r="AA22" i="3"/>
  <c r="AA22" i="4" s="1"/>
  <c r="D5" i="3"/>
  <c r="D5" i="4" s="1"/>
  <c r="D7" i="3"/>
  <c r="D7" i="4" s="1"/>
  <c r="K9" i="3"/>
  <c r="K9" i="4" s="1"/>
  <c r="Q11" i="3"/>
  <c r="Q11" i="4" s="1"/>
  <c r="AE18" i="3"/>
  <c r="AE18" i="4" s="1"/>
  <c r="I18" i="3"/>
  <c r="I18" i="4" s="1"/>
  <c r="AD18" i="3"/>
  <c r="AD18" i="4" s="1"/>
  <c r="H18" i="3"/>
  <c r="H18" i="4" s="1"/>
  <c r="AC18" i="3"/>
  <c r="AC18" i="4" s="1"/>
  <c r="G18" i="3"/>
  <c r="G18" i="4" s="1"/>
  <c r="Y18" i="3"/>
  <c r="Y18" i="4" s="1"/>
  <c r="C18" i="3"/>
  <c r="C18" i="4" s="1"/>
  <c r="AA18" i="3"/>
  <c r="AA18" i="4" s="1"/>
  <c r="X18" i="3"/>
  <c r="X18" i="4" s="1"/>
  <c r="T18" i="3"/>
  <c r="T18" i="4" s="1"/>
  <c r="Z18" i="3"/>
  <c r="Z18" i="4" s="1"/>
  <c r="W18" i="3"/>
  <c r="W18" i="4" s="1"/>
  <c r="A18" i="4"/>
  <c r="V18" i="3"/>
  <c r="V18" i="4" s="1"/>
  <c r="U18" i="3"/>
  <c r="U18" i="4" s="1"/>
  <c r="Q18" i="3"/>
  <c r="Q18" i="4" s="1"/>
  <c r="E18" i="3"/>
  <c r="E18" i="4" s="1"/>
  <c r="P18" i="3"/>
  <c r="P18" i="4" s="1"/>
  <c r="K18" i="3"/>
  <c r="K18" i="4" s="1"/>
  <c r="O18" i="3"/>
  <c r="O18" i="4" s="1"/>
  <c r="N18" i="3"/>
  <c r="N18" i="4" s="1"/>
  <c r="J18" i="3"/>
  <c r="J18" i="4" s="1"/>
  <c r="F18" i="3"/>
  <c r="F18" i="4" s="1"/>
  <c r="M18" i="3"/>
  <c r="M18" i="4" s="1"/>
  <c r="L18" i="3"/>
  <c r="L18" i="4" s="1"/>
  <c r="D18" i="3"/>
  <c r="D18" i="4" s="1"/>
  <c r="J20" i="3"/>
  <c r="J20" i="4" s="1"/>
  <c r="AB22" i="3"/>
  <c r="AB22" i="4" s="1"/>
  <c r="H5" i="3"/>
  <c r="H5" i="4" s="1"/>
  <c r="W14" i="3"/>
  <c r="W14" i="4" s="1"/>
  <c r="N16" i="3"/>
  <c r="N16" i="4" s="1"/>
  <c r="AB18" i="3"/>
  <c r="AB18" i="4" s="1"/>
  <c r="P7" i="3"/>
  <c r="P7" i="4" s="1"/>
  <c r="O16" i="3"/>
  <c r="O16" i="4" s="1"/>
  <c r="Z9" i="3"/>
  <c r="Z9" i="4" s="1"/>
  <c r="P21" i="3"/>
  <c r="P21" i="4" s="1"/>
  <c r="AD5" i="3"/>
  <c r="AD5" i="4" s="1"/>
  <c r="C19" i="3"/>
  <c r="C19" i="4" s="1"/>
  <c r="Z23" i="3"/>
  <c r="Z23" i="4" s="1"/>
  <c r="G8" i="3"/>
  <c r="G8" i="4" s="1"/>
  <c r="R21" i="3"/>
  <c r="R21" i="4" s="1"/>
  <c r="J8" i="3"/>
  <c r="J8" i="4" s="1"/>
  <c r="G14" i="3"/>
  <c r="G14" i="4" s="1"/>
  <c r="U21" i="3"/>
  <c r="U21" i="4" s="1"/>
  <c r="I24" i="3"/>
  <c r="I24" i="4" s="1"/>
  <c r="AC3" i="3"/>
  <c r="AC3" i="4" s="1"/>
  <c r="C6" i="3"/>
  <c r="C6" i="4" s="1"/>
  <c r="L8" i="3"/>
  <c r="L8" i="4" s="1"/>
  <c r="O12" i="3"/>
  <c r="O12" i="4" s="1"/>
  <c r="V21" i="3"/>
  <c r="V21" i="4" s="1"/>
  <c r="T10" i="3"/>
  <c r="T10" i="4" s="1"/>
  <c r="AA21" i="3"/>
  <c r="AA21" i="4" s="1"/>
  <c r="AE3" i="3"/>
  <c r="AE3" i="4" s="1"/>
  <c r="AB21" i="3"/>
  <c r="AB21" i="4" s="1"/>
  <c r="H6" i="3"/>
  <c r="H6" i="4" s="1"/>
  <c r="U12" i="3"/>
  <c r="U12" i="4" s="1"/>
  <c r="M26" i="3"/>
  <c r="M26" i="4" s="1"/>
  <c r="P8" i="3"/>
  <c r="P8" i="4" s="1"/>
  <c r="C15" i="3"/>
  <c r="C15" i="4" s="1"/>
  <c r="U22" i="3"/>
  <c r="U22" i="4" s="1"/>
  <c r="Q8" i="3"/>
  <c r="Q8" i="4" s="1"/>
  <c r="V22" i="3"/>
  <c r="V22" i="4" s="1"/>
  <c r="V4" i="3"/>
  <c r="V4" i="4" s="1"/>
  <c r="D9" i="3"/>
  <c r="D9" i="4" s="1"/>
  <c r="AE12" i="3"/>
  <c r="AE12" i="4" s="1"/>
  <c r="P15" i="3"/>
  <c r="P15" i="4" s="1"/>
  <c r="T17" i="3"/>
  <c r="T17" i="4" s="1"/>
  <c r="P26" i="3"/>
  <c r="P26" i="4" s="1"/>
  <c r="Z10" i="3"/>
  <c r="Z10" i="4" s="1"/>
  <c r="J13" i="3"/>
  <c r="J13" i="4" s="1"/>
  <c r="AE13" i="3"/>
  <c r="AE13" i="4" s="1"/>
  <c r="I13" i="3"/>
  <c r="I13" i="4" s="1"/>
  <c r="AD13" i="3"/>
  <c r="AD13" i="4" s="1"/>
  <c r="H13" i="3"/>
  <c r="H13" i="4" s="1"/>
  <c r="W13" i="3"/>
  <c r="W13" i="4" s="1"/>
  <c r="V13" i="3"/>
  <c r="V13" i="4" s="1"/>
  <c r="U13" i="3"/>
  <c r="U13" i="4" s="1"/>
  <c r="T13" i="3"/>
  <c r="T13" i="4" s="1"/>
  <c r="Q13" i="3"/>
  <c r="Q13" i="4" s="1"/>
  <c r="S13" i="3"/>
  <c r="S13" i="4" s="1"/>
  <c r="R13" i="3"/>
  <c r="R13" i="4" s="1"/>
  <c r="Y13" i="3"/>
  <c r="Y13" i="4" s="1"/>
  <c r="X13" i="3"/>
  <c r="X13" i="4" s="1"/>
  <c r="O13" i="3"/>
  <c r="O13" i="4" s="1"/>
  <c r="N13" i="3"/>
  <c r="N13" i="4" s="1"/>
  <c r="L13" i="3"/>
  <c r="L13" i="4" s="1"/>
  <c r="K13" i="3"/>
  <c r="K13" i="4" s="1"/>
  <c r="P13" i="3"/>
  <c r="P13" i="4" s="1"/>
  <c r="G13" i="3"/>
  <c r="G13" i="4" s="1"/>
  <c r="A13" i="4"/>
  <c r="M13" i="3"/>
  <c r="M13" i="4" s="1"/>
  <c r="F13" i="3"/>
  <c r="F13" i="4" s="1"/>
  <c r="E13" i="3"/>
  <c r="E13" i="4" s="1"/>
  <c r="E20" i="3"/>
  <c r="E20" i="4" s="1"/>
  <c r="Q26" i="3"/>
  <c r="Q26" i="4" s="1"/>
  <c r="AA10" i="3"/>
  <c r="AA10" i="4" s="1"/>
  <c r="V17" i="3"/>
  <c r="V17" i="4" s="1"/>
  <c r="F20" i="3"/>
  <c r="F20" i="4" s="1"/>
  <c r="AA4" i="3"/>
  <c r="AA4" i="4" s="1"/>
  <c r="B7" i="3"/>
  <c r="B7" i="4" s="1"/>
  <c r="S15" i="3"/>
  <c r="S15" i="4" s="1"/>
  <c r="Z22" i="3"/>
  <c r="Z22" i="4" s="1"/>
  <c r="W5" i="3"/>
  <c r="W5" i="4" s="1"/>
  <c r="J9" i="3"/>
  <c r="J9" i="4" s="1"/>
  <c r="X17" i="3"/>
  <c r="X17" i="4" s="1"/>
  <c r="I20" i="3"/>
  <c r="I20" i="4" s="1"/>
  <c r="L3" i="3"/>
  <c r="L3" i="4" s="1"/>
  <c r="R3" i="3"/>
  <c r="R3" i="4" s="1"/>
  <c r="P3" i="3"/>
  <c r="P3" i="4" s="1"/>
  <c r="O3" i="3"/>
  <c r="O3" i="4" s="1"/>
  <c r="Q3" i="3"/>
  <c r="Q3" i="4" s="1"/>
  <c r="N3" i="3"/>
  <c r="N3" i="4" s="1"/>
  <c r="M3" i="3"/>
  <c r="M3" i="4" s="1"/>
  <c r="K3" i="3"/>
  <c r="K3" i="4" s="1"/>
  <c r="T3" i="3"/>
  <c r="T3" i="4" s="1"/>
  <c r="A3" i="4"/>
  <c r="D3" i="3"/>
  <c r="D3" i="4" s="1"/>
  <c r="S3" i="3"/>
  <c r="S3" i="4" s="1"/>
  <c r="G3" i="3"/>
  <c r="G3" i="4" s="1"/>
  <c r="E3" i="3"/>
  <c r="E3" i="4" s="1"/>
  <c r="C3" i="3"/>
  <c r="C3" i="4" s="1"/>
  <c r="J3" i="3"/>
  <c r="J3" i="4" s="1"/>
  <c r="I3" i="3"/>
  <c r="I3" i="4" s="1"/>
  <c r="H3" i="3"/>
  <c r="H3" i="4" s="1"/>
  <c r="F3" i="3"/>
  <c r="F3" i="4" s="1"/>
  <c r="E5" i="3"/>
  <c r="E5" i="4" s="1"/>
  <c r="E7" i="3"/>
  <c r="E7" i="4" s="1"/>
  <c r="L9" i="3"/>
  <c r="L9" i="4" s="1"/>
  <c r="R11" i="3"/>
  <c r="R11" i="4" s="1"/>
  <c r="AA13" i="3"/>
  <c r="AA13" i="4" s="1"/>
  <c r="K16" i="3"/>
  <c r="K16" i="4" s="1"/>
  <c r="B18" i="3"/>
  <c r="B18" i="4" s="1"/>
  <c r="U20" i="3"/>
  <c r="U20" i="4" s="1"/>
  <c r="AC22" i="3"/>
  <c r="AC22" i="4" s="1"/>
  <c r="I23" i="3"/>
  <c r="I23" i="4" s="1"/>
  <c r="O10" i="3"/>
  <c r="O10" i="4" s="1"/>
  <c r="M10" i="3"/>
  <c r="M10" i="4" s="1"/>
  <c r="R10" i="3"/>
  <c r="R10" i="4" s="1"/>
  <c r="Q10" i="3"/>
  <c r="Q10" i="4" s="1"/>
  <c r="P10" i="3"/>
  <c r="P10" i="4" s="1"/>
  <c r="N10" i="3"/>
  <c r="N10" i="4" s="1"/>
  <c r="J10" i="3"/>
  <c r="J10" i="4" s="1"/>
  <c r="L10" i="3"/>
  <c r="L10" i="4" s="1"/>
  <c r="K10" i="3"/>
  <c r="K10" i="4" s="1"/>
  <c r="AB11" i="3"/>
  <c r="AB11" i="4" s="1"/>
  <c r="F11" i="3"/>
  <c r="F11" i="4" s="1"/>
  <c r="Z11" i="3"/>
  <c r="Z11" i="4" s="1"/>
  <c r="D11" i="3"/>
  <c r="D11" i="4" s="1"/>
  <c r="K11" i="3"/>
  <c r="K11" i="4" s="1"/>
  <c r="J11" i="3"/>
  <c r="J11" i="4" s="1"/>
  <c r="I11" i="3"/>
  <c r="I11" i="4" s="1"/>
  <c r="H11" i="3"/>
  <c r="H11" i="4" s="1"/>
  <c r="AC11" i="3"/>
  <c r="AC11" i="4" s="1"/>
  <c r="C11" i="3"/>
  <c r="C11" i="4" s="1"/>
  <c r="AE11" i="3"/>
  <c r="AE11" i="4" s="1"/>
  <c r="G11" i="3"/>
  <c r="G11" i="4" s="1"/>
  <c r="AD11" i="3"/>
  <c r="AD11" i="4" s="1"/>
  <c r="E11" i="3"/>
  <c r="E11" i="4" s="1"/>
  <c r="C22" i="3"/>
  <c r="C22" i="4" s="1"/>
  <c r="B11" i="3"/>
  <c r="B11" i="4" s="1"/>
  <c r="B22" i="3"/>
  <c r="B22" i="4" s="1"/>
  <c r="D22" i="3"/>
  <c r="D22" i="4" s="1"/>
  <c r="L11" i="3"/>
  <c r="L11" i="4" s="1"/>
  <c r="D10" i="3"/>
  <c r="D10" i="4" s="1"/>
  <c r="M11" i="3"/>
  <c r="M11" i="4" s="1"/>
  <c r="R22" i="3"/>
  <c r="R22" i="4" s="1"/>
  <c r="X9" i="3"/>
  <c r="X9" i="4" s="1"/>
  <c r="B9" i="3"/>
  <c r="B9" i="4" s="1"/>
  <c r="V9" i="3"/>
  <c r="V9" i="4" s="1"/>
  <c r="Y9" i="3"/>
  <c r="Y9" i="4" s="1"/>
  <c r="W9" i="3"/>
  <c r="W9" i="4" s="1"/>
  <c r="Q9" i="3"/>
  <c r="Q9" i="4" s="1"/>
  <c r="U9" i="3"/>
  <c r="U9" i="4" s="1"/>
  <c r="T9" i="3"/>
  <c r="T9" i="4" s="1"/>
  <c r="S9" i="3"/>
  <c r="S9" i="4" s="1"/>
  <c r="R9" i="3"/>
  <c r="R9" i="4" s="1"/>
  <c r="B10" i="3"/>
  <c r="B10" i="4" s="1"/>
  <c r="M22" i="3"/>
  <c r="M22" i="4" s="1"/>
  <c r="E9" i="3"/>
  <c r="E9" i="4" s="1"/>
  <c r="E10" i="3"/>
  <c r="E10" i="4" s="1"/>
  <c r="N11" i="3"/>
  <c r="N11" i="4" s="1"/>
  <c r="Z21" i="3"/>
  <c r="Z21" i="4" s="1"/>
  <c r="A22" i="4"/>
  <c r="Q22" i="3"/>
  <c r="Q22" i="4" s="1"/>
  <c r="P22" i="3"/>
  <c r="P22" i="4" s="1"/>
  <c r="O22" i="3"/>
  <c r="O22" i="4" s="1"/>
  <c r="N22" i="3"/>
  <c r="N22" i="4" s="1"/>
  <c r="K22" i="3"/>
  <c r="K22" i="4" s="1"/>
  <c r="L22" i="3"/>
  <c r="L22" i="4" s="1"/>
  <c r="I22" i="3"/>
  <c r="I22" i="4" s="1"/>
  <c r="J22" i="3"/>
  <c r="J22" i="4" s="1"/>
  <c r="H22" i="3"/>
  <c r="H22" i="4" s="1"/>
  <c r="G22" i="3"/>
  <c r="G22" i="4" s="1"/>
  <c r="F22" i="3"/>
  <c r="F22" i="4" s="1"/>
  <c r="E22" i="3"/>
  <c r="E22" i="4" s="1"/>
  <c r="C9" i="3"/>
  <c r="C9" i="4" s="1"/>
  <c r="C10" i="3"/>
  <c r="C10" i="4" s="1"/>
  <c r="F9" i="3"/>
  <c r="F9" i="4" s="1"/>
  <c r="F10" i="3"/>
  <c r="F10" i="4" s="1"/>
  <c r="O11" i="3"/>
  <c r="O11" i="4" s="1"/>
  <c r="F16" i="3"/>
  <c r="F16" i="4" s="1"/>
  <c r="T22" i="3"/>
  <c r="T22" i="4" s="1"/>
  <c r="A9" i="4"/>
  <c r="K8" i="3"/>
  <c r="K8" i="4" s="1"/>
  <c r="AE8" i="3"/>
  <c r="AE8" i="4" s="1"/>
  <c r="I8" i="3"/>
  <c r="I8" i="4" s="1"/>
  <c r="Y8" i="3"/>
  <c r="Y8" i="4" s="1"/>
  <c r="X12" i="3"/>
  <c r="X12" i="4" s="1"/>
  <c r="B16" i="3"/>
  <c r="B16" i="4" s="1"/>
  <c r="AE16" i="3"/>
  <c r="AE16" i="4" s="1"/>
  <c r="C23" i="3"/>
  <c r="C23" i="4" s="1"/>
  <c r="Z25" i="3"/>
  <c r="Z25" i="4" s="1"/>
  <c r="A16" i="4"/>
  <c r="B8" i="3"/>
  <c r="B8" i="4" s="1"/>
  <c r="Z8" i="3"/>
  <c r="Z8" i="4" s="1"/>
  <c r="Y12" i="3"/>
  <c r="Y12" i="4" s="1"/>
  <c r="R17" i="3"/>
  <c r="R17" i="4" s="1"/>
  <c r="A17" i="4"/>
  <c r="Q17" i="3"/>
  <c r="Q17" i="4" s="1"/>
  <c r="P17" i="3"/>
  <c r="P17" i="4" s="1"/>
  <c r="L17" i="3"/>
  <c r="L17" i="4" s="1"/>
  <c r="AA17" i="3"/>
  <c r="AA17" i="4" s="1"/>
  <c r="D23" i="3"/>
  <c r="D23" i="4" s="1"/>
  <c r="AA16" i="3"/>
  <c r="AA16" i="4" s="1"/>
  <c r="E16" i="3"/>
  <c r="E16" i="4" s="1"/>
  <c r="Z16" i="3"/>
  <c r="Z16" i="4" s="1"/>
  <c r="D16" i="3"/>
  <c r="D16" i="4" s="1"/>
  <c r="Y16" i="3"/>
  <c r="Y16" i="4" s="1"/>
  <c r="C16" i="3"/>
  <c r="C16" i="4" s="1"/>
  <c r="U16" i="3"/>
  <c r="U16" i="4" s="1"/>
  <c r="G16" i="3"/>
  <c r="G16" i="4" s="1"/>
  <c r="L25" i="3"/>
  <c r="L25" i="4" s="1"/>
  <c r="K25" i="3"/>
  <c r="K25" i="4" s="1"/>
  <c r="J25" i="3"/>
  <c r="J25" i="4" s="1"/>
  <c r="AE25" i="3"/>
  <c r="AE25" i="4" s="1"/>
  <c r="I25" i="3"/>
  <c r="I25" i="4" s="1"/>
  <c r="AB25" i="3"/>
  <c r="AB25" i="4" s="1"/>
  <c r="F25" i="3"/>
  <c r="F25" i="4" s="1"/>
  <c r="AC25" i="3"/>
  <c r="AC25" i="4" s="1"/>
  <c r="AD23" i="3"/>
  <c r="AD23" i="4" s="1"/>
  <c r="H23" i="3"/>
  <c r="H23" i="4" s="1"/>
  <c r="AC23" i="3"/>
  <c r="AC23" i="4" s="1"/>
  <c r="G23" i="3"/>
  <c r="G23" i="4" s="1"/>
  <c r="AB23" i="3"/>
  <c r="AB23" i="4" s="1"/>
  <c r="F23" i="3"/>
  <c r="F23" i="4" s="1"/>
  <c r="AA23" i="3"/>
  <c r="AA23" i="4" s="1"/>
  <c r="E23" i="3"/>
  <c r="E23" i="4" s="1"/>
  <c r="X23" i="3"/>
  <c r="X23" i="4" s="1"/>
  <c r="B23" i="3"/>
  <c r="B23" i="4" s="1"/>
  <c r="A23" i="4"/>
  <c r="Z12" i="3"/>
  <c r="Z12" i="4" s="1"/>
  <c r="P5" i="3"/>
  <c r="P5" i="4" s="1"/>
  <c r="N5" i="3"/>
  <c r="N5" i="4" s="1"/>
  <c r="D8" i="3"/>
  <c r="D8" i="4" s="1"/>
  <c r="H16" i="3"/>
  <c r="H16" i="4" s="1"/>
  <c r="J23" i="3"/>
  <c r="J23" i="4" s="1"/>
  <c r="AD25" i="3"/>
  <c r="AD25" i="4" s="1"/>
  <c r="Y2" i="3"/>
  <c r="Y2" i="4" s="1"/>
  <c r="B5" i="3"/>
  <c r="B5" i="4" s="1"/>
  <c r="AC8" i="3"/>
  <c r="AC8" i="4" s="1"/>
  <c r="D17" i="3"/>
  <c r="D17" i="4" s="1"/>
  <c r="AD17" i="3"/>
  <c r="AD17" i="4" s="1"/>
  <c r="K23" i="3"/>
  <c r="K23" i="4" s="1"/>
  <c r="C25" i="3"/>
  <c r="C25" i="4" s="1"/>
  <c r="Y26" i="3"/>
  <c r="Y26" i="4" s="1"/>
  <c r="AD16" i="3"/>
  <c r="AD16" i="4" s="1"/>
  <c r="S12" i="3"/>
  <c r="S12" i="4" s="1"/>
  <c r="R12" i="3"/>
  <c r="R12" i="4" s="1"/>
  <c r="A12" i="4"/>
  <c r="Q12" i="3"/>
  <c r="Q12" i="4" s="1"/>
  <c r="X2" i="3"/>
  <c r="X2" i="4" s="1"/>
  <c r="Y5" i="3"/>
  <c r="Y5" i="4" s="1"/>
  <c r="AB8" i="3"/>
  <c r="AB8" i="4" s="1"/>
  <c r="B12" i="3"/>
  <c r="B12" i="4" s="1"/>
  <c r="AC17" i="3"/>
  <c r="AC17" i="4" s="1"/>
  <c r="B25" i="3"/>
  <c r="B25" i="4" s="1"/>
  <c r="B2" i="3"/>
  <c r="B2" i="4" s="1"/>
  <c r="Z5" i="3"/>
  <c r="Z5" i="4" s="1"/>
  <c r="E8" i="3"/>
  <c r="E8" i="4" s="1"/>
  <c r="C12" i="3"/>
  <c r="C12" i="4" s="1"/>
  <c r="AB12" i="3"/>
  <c r="AB12" i="4" s="1"/>
  <c r="I16" i="3"/>
  <c r="I16" i="4" s="1"/>
  <c r="C2" i="3"/>
  <c r="C2" i="4" s="1"/>
  <c r="Z2" i="3"/>
  <c r="Z2" i="4" s="1"/>
  <c r="C5" i="3"/>
  <c r="C5" i="4" s="1"/>
  <c r="AA5" i="3"/>
  <c r="AA5" i="4" s="1"/>
  <c r="F8" i="3"/>
  <c r="F8" i="4" s="1"/>
  <c r="AD8" i="3"/>
  <c r="AD8" i="4" s="1"/>
  <c r="D12" i="3"/>
  <c r="D12" i="4" s="1"/>
  <c r="AC12" i="3"/>
  <c r="AC12" i="4" s="1"/>
  <c r="J16" i="3"/>
  <c r="J16" i="4" s="1"/>
  <c r="E17" i="3"/>
  <c r="E17" i="4" s="1"/>
  <c r="AE17" i="3"/>
  <c r="AE17" i="4" s="1"/>
  <c r="L23" i="3"/>
  <c r="L23" i="4" s="1"/>
  <c r="D25" i="3"/>
  <c r="D25" i="4" s="1"/>
  <c r="A8" i="4"/>
  <c r="T21" i="3"/>
  <c r="T21" i="4" s="1"/>
  <c r="A14" i="4"/>
  <c r="W21" i="3"/>
  <c r="W21" i="4" s="1"/>
  <c r="W4" i="3"/>
  <c r="W4" i="4" s="1"/>
  <c r="B21" i="3"/>
  <c r="B21" i="4" s="1"/>
  <c r="X21" i="3"/>
  <c r="X21" i="4" s="1"/>
  <c r="W26" i="3"/>
  <c r="W26" i="4" s="1"/>
  <c r="C21" i="3"/>
  <c r="C21" i="4" s="1"/>
  <c r="Y21" i="3"/>
  <c r="Y21" i="4" s="1"/>
  <c r="C4" i="3"/>
  <c r="C4" i="4" s="1"/>
  <c r="D21" i="3"/>
  <c r="D21" i="4" s="1"/>
  <c r="C26" i="3"/>
  <c r="C26" i="4" s="1"/>
</calcChain>
</file>

<file path=xl/sharedStrings.xml><?xml version="1.0" encoding="utf-8"?>
<sst xmlns="http://schemas.openxmlformats.org/spreadsheetml/2006/main" count="220" uniqueCount="187">
  <si>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</si>
  <si>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</si>
  <si>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</si>
  <si>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</si>
  <si>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</si>
  <si>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</si>
  <si>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</si>
  <si>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and is not the Keys!reg27_state (currently Oregon -- its Climate Protection Program is fossil-only, not industry-wide): only 'oil and gas extraction 06', 'coal mining 05', and 'energy pipelines and gas processing 352T353' = 1; every other category = 0. The zero_flag categories stay 0 in this case too. See 'State Calculations'.</t>
  </si>
  <si>
    <t>If the active state is the Keys!reg27_state (Colorado) and is flagged Y: manufacturing categories = 1, the same as the default, because the Reg 27 Part D baseline-and-credit market sits under GEMM -- Greenhouse Gas Emissions and Energy Management for MANUFACTURERS. The zero_flag categories stay 0. Two carve-outs follow.</t>
  </si>
  <si>
    <t>Colorado carve-out 1 -- permanent. The Keys!reg27_exempt_flag categories 'coal mining 05', 'oil and gas extraction 06' and 'other mining and quarrying 07T08' = 0 in EVERY year: extraction and quarrying are not manufacturing, and Colorado regulates upstream oil and gas separately ('Oil and Gas Methane Regulations' on the Industry sheet -&gt; BPE; PERAC), so covering them here would risk double counting. This exemption applies to Colorado ONLY -- these three categories are still 1 for all other states.</t>
  </si>
  <si>
    <t>Colorado carve-out 2 -- year-stepped. Midstream oil and gas operators do not join the Reg 27 Part D market until Keys!reg27_expansion_year (2028), so the Keys!reg27_expansion_flag category 'energy pipelines and gas processing 352T353' = 0 through 2027 and 1 from 2028 on. This is the only category in the file whose value varies by year.</t>
  </si>
  <si>
    <t>state_abbr</t>
  </si>
  <si>
    <t>state_name</t>
  </si>
  <si>
    <t>category</t>
  </si>
  <si>
    <t>fossil_flag</t>
  </si>
  <si>
    <t>zero_flag</t>
  </si>
  <si>
    <t>reg27_expansion_flag</t>
  </si>
  <si>
    <t>reg27_exempt_flag</t>
  </si>
  <si>
    <t>reg27_state</t>
  </si>
  <si>
    <t>reg27_expansion_year</t>
  </si>
  <si>
    <t>AL</t>
  </si>
  <si>
    <t>agriculture and forestry 01T03</t>
  </si>
  <si>
    <t>Y</t>
  </si>
  <si>
    <t>CO</t>
  </si>
  <si>
    <t>AR</t>
  </si>
  <si>
    <t>Arkansas</t>
  </si>
  <si>
    <t>coal mining 05</t>
  </si>
  <si>
    <t>AZ</t>
  </si>
  <si>
    <t>Arizona</t>
  </si>
  <si>
    <t>oil and gas extraction 06</t>
  </si>
  <si>
    <t>CA</t>
  </si>
  <si>
    <t>California</t>
  </si>
  <si>
    <t>other mining and quarrying 07T08</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</si>
  <si>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</si>
  <si>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</si>
  <si>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</si>
  <si>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</si>
  <si>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</si>
  <si>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</si>
  <si>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</si>
  <si>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</si>
  <si>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</si>
  <si>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</si>
  <si>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</si>
  <si>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</si>
  <si>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</si>
  <si>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</si>
  <si>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</si>
  <si>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</si>
  <si>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</si>
  <si>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</si>
  <si>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</si>
  <si>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</si>
  <si>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</si>
  <si>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</si>
  <si>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</si>
  <si>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</si>
  <si>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</si>
  <si>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</si>
  <si>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</si>
  <si>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</si>
  <si>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</si>
  <si>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</si>
  <si>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</si>
  <si>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</si>
  <si>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</si>
  <si>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</si>
  <si>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</si>
  <si>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</si>
  <si>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</si>
  <si>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</si>
  <si>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</si>
  <si>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</si>
  <si>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</si>
  <si>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</si>
  <si>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</si>
  <si>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</si>
  <si>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</si>
  <si>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</si>
  <si>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</si>
  <si>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</si>
  <si>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</si>
  <si>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</si>
  <si>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</si>
  <si>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</si>
  <si>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</si>
  <si>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</si>
  <si>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</si>
  <si>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</si>
  <si>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</si>
  <si>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</si>
  <si>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</si>
  <si>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</si>
  <si>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</si>
  <si>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</si>
  <si>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</si>
  <si>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</si>
  <si>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</si>
  <si>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</si>
  <si>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</si>
  <si>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</si>
  <si>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</si>
  <si>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</si>
  <si>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</si>
  <si>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</si>
  <si>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</si>
  <si>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</si>
  <si>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</si>
  <si>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</si>
  <si>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</si>
  <si>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</si>
  <si>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</si>
  <si>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</si>
  <si>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</si>
  <si>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</si>
  <si>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</si>
  <si>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</si>
  <si>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</si>
  <si>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</si>
  <si>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</si>
  <si>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</si>
  <si>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</si>
  <si>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</si>
  <si>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</si>
  <si>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</si>
  <si>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</si>
  <si>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</si>
  <si>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</si>
  <si>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</si>
  <si>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</si>
  <si>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</si>
  <si>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</si>
  <si>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</si>
  <si>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</si>
  <si>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</si>
  <si>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</si>
  <si>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</si>
  <si>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</si>
  <si>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</si>
  <si>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</si>
  <si>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</si>
  <si>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Unit: dimensionless</t>
  </si>
  <si>
    <t>active-state adjustment flag (1 = 'Adjustments to BFoICStCT' = Y for About!B1 on State Policies)</t>
  </si>
  <si>
    <t>active state uses the Reg 27 Part D rule (About!B1 = Keys!reg27_state)</t>
  </si>
  <si>
    <t>Source: policies_to_model.xlsx!CrossSector  |  filtered to eps codes: BCTR; BFoICStCT, BFoICStCT</t>
  </si>
  <si>
    <t>State Abbreviation</t>
  </si>
  <si>
    <t>Policy</t>
  </si>
  <si>
    <t>State</t>
  </si>
  <si>
    <t>Policy Status</t>
  </si>
  <si>
    <t>Description</t>
  </si>
  <si>
    <t>Year Enacted</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</si>
  <si>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</si>
  <si>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</si>
  <si>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</si>
  <si>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</si>
  <si>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</si>
  <si>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</si>
  <si>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</si>
  <si>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</si>
  <si>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</si>
  <si>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</si>
  <si>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</si>
  <si>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old policy notes</t>
  </si>
  <si>
    <t>old policy quant notes</t>
  </si>
  <si>
    <t>Updated policy notes</t>
  </si>
  <si>
    <t>RGGI BCTR</t>
  </si>
  <si>
    <t>State specific BCTR</t>
  </si>
  <si>
    <t>Adjustments to BFoICStCT</t>
  </si>
  <si>
    <t>Carbon Pollution Pricing</t>
  </si>
  <si>
    <t>enacted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</si>
  <si>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</si>
  <si>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Cross Sector</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</si>
  <si>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</si>
  <si>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</si>
  <si>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BCTR; BFoICStCT</t>
  </si>
  <si>
    <t>BAU Carbon Tax Rate</t>
  </si>
  <si>
    <t>Cap-and-trade/carbon price maps to BAU Carbon Tax Rate</t>
  </si>
  <si>
    <t>N</t>
  </si>
  <si>
    <t>possible action, check that updated policy is modeled in downscaled EPS</t>
  </si>
  <si>
    <t>Already modeled in downscale</t>
  </si>
  <si>
    <t>Co prices used</t>
  </si>
  <si>
    <t>Model 2028 integration of fossil-fuels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</si>
  <si>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</si>
  <si>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</si>
  <si>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</si>
  <si>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Excluded from BCTR due to subsector (fossil)-only policy</t>
  </si>
  <si>
    <t>Need to model fossil-only in industry sector in BFoICStCT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</si>
</sst>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b/>
      <sz val="11"/>
      <name val="Cambria"/>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tabSelected="1" zoomScaleNormal="100" workbookViewId="0"/>
  </sheetViews>
  <sheetFormatPr defaultColWidth="8.6640625" defaultRowHeight="14.25" x14ac:dyDescent="0.45"/>
  <sheetData>
    <row r="1" spans="1:3" x14ac:dyDescent="0.45">
      <c r="A1" t="s">
        <v>0</v>
      </c>
      <c r="B1" t="s">
        <v>28</v>
      </c>
      <c r="C1" s="3">
        <v>46268</v>
      </c>
    </row>
    <row r="2" spans="1:3" x14ac:dyDescent="0.45">
      <c r="A2" t="s">
        <v>2</v>
      </c>
      <c r="B2" t="str">
        <f>IFERROR(INDEX(Keys!$A:$A,MATCH($B$1,Keys!$B:$B,0)),"")</f>
        <v>AZ</v>
      </c>
    </row>
    <row r="4" spans="1:3" x14ac:dyDescent="0.45">
      <c r="A4" t="s">
        <v>3</v>
      </c>
    </row>
    <row r="6" spans="1:3" x14ac:dyDescent="0.45">
      <c r="A6" t="s">
        <v>4</v>
      </c>
    </row>
    <row r="7" spans="1:3" x14ac:dyDescent="0.45">
      <c r="A7" t="s">
        <v>5</v>
      </c>
    </row>
    <row r="9" spans="1:3" x14ac:dyDescent="0.45">
      <c r="A9" t="s">
        <v>6</v>
      </c>
    </row>
    <row r="10" spans="1:3" x14ac:dyDescent="0.45">
      <c r="A10" t="s">
        <v>7</v>
      </c>
    </row>
    <row r="11" spans="1:3" x14ac:dyDescent="0.45">
      <c r="A11" t="s">
        <v>8</v>
      </c>
    </row>
    <row r="12" spans="1:3" x14ac:dyDescent="0.45">
      <c r="A12" t="s">
        <v>9</v>
      </c>
    </row>
    <row r="13" spans="1:3" x14ac:dyDescent="0.45">
      <c r="A13" t="s">
        <v>10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9"/>
  <sheetViews>
    <sheetView zoomScaleNormal="100" workbookViewId="0"/>
  </sheetViews>
  <sheetFormatPr defaultColWidth="8.6640625" defaultRowHeight="14.25" x14ac:dyDescent="0.45"/>
  <cols>
    <col min="1" max="2" width="40" customWidth="1"/>
    <col min="4" max="4" width="40" customWidth="1"/>
    <col min="5" max="8" width="22" customWidth="1"/>
    <col min="10" max="11" width="22" customWidth="1"/>
  </cols>
  <sheetData>
    <row r="1" spans="1:11" x14ac:dyDescent="0.45">
      <c r="A1" s="1" t="s">
        <v>11</v>
      </c>
      <c r="B1" s="1" t="s">
        <v>12</v>
      </c>
      <c r="D1" s="1" t="s">
        <v>13</v>
      </c>
      <c r="E1" s="1" t="s">
        <v>14</v>
      </c>
      <c r="F1" s="1" t="s">
        <v>15</v>
      </c>
      <c r="G1" s="1" t="s">
        <v>16</v>
      </c>
      <c r="H1" s="1" t="s">
        <v>17</v>
      </c>
      <c r="J1" s="1" t="s">
        <v>18</v>
      </c>
      <c r="K1" s="1" t="s">
        <v>19</v>
      </c>
    </row>
    <row r="2" spans="1:11" x14ac:dyDescent="0.45">
      <c r="A2" t="s">
        <v>20</v>
      </c>
      <c r="B2" t="s">
        <v>1</v>
      </c>
      <c r="D2" t="s">
        <v>21</v>
      </c>
      <c r="F2" t="s">
        <v>22</v>
      </c>
      <c r="J2" t="s">
        <v>23</v>
      </c>
      <c r="K2">
        <v>2028</v>
      </c>
    </row>
    <row r="3" spans="1:11" x14ac:dyDescent="0.45">
      <c r="A3" t="s">
        <v>24</v>
      </c>
      <c r="B3" t="s">
        <v>25</v>
      </c>
      <c r="D3" t="s">
        <v>26</v>
      </c>
      <c r="E3" t="s">
        <v>22</v>
      </c>
      <c r="H3" t="s">
        <v>22</v>
      </c>
    </row>
    <row r="4" spans="1:11" x14ac:dyDescent="0.45">
      <c r="A4" t="s">
        <v>27</v>
      </c>
      <c r="B4" t="s">
        <v>28</v>
      </c>
      <c r="D4" t="s">
        <v>29</v>
      </c>
      <c r="E4" t="s">
        <v>22</v>
      </c>
      <c r="H4" t="s">
        <v>22</v>
      </c>
    </row>
    <row r="5" spans="1:11" x14ac:dyDescent="0.45">
      <c r="A5" t="s">
        <v>30</v>
      </c>
      <c r="B5" t="s">
        <v>31</v>
      </c>
      <c r="D5" t="s">
        <v>32</v>
      </c>
      <c r="H5" t="s">
        <v>22</v>
      </c>
    </row>
    <row r="6" spans="1:11" x14ac:dyDescent="0.45">
      <c r="A6" t="s">
        <v>23</v>
      </c>
      <c r="B6" t="s">
        <v>33</v>
      </c>
      <c r="D6" t="s">
        <v>34</v>
      </c>
    </row>
    <row r="7" spans="1:11" x14ac:dyDescent="0.45">
      <c r="A7" t="s">
        <v>35</v>
      </c>
      <c r="B7" t="s">
        <v>36</v>
      </c>
      <c r="D7" t="s">
        <v>37</v>
      </c>
    </row>
    <row r="8" spans="1:11" x14ac:dyDescent="0.45">
      <c r="A8" t="s">
        <v>38</v>
      </c>
      <c r="B8" t="s">
        <v>39</v>
      </c>
      <c r="D8" t="s">
        <v>40</v>
      </c>
    </row>
    <row r="9" spans="1:11" x14ac:dyDescent="0.45">
      <c r="A9" t="s">
        <v>41</v>
      </c>
      <c r="B9" t="s">
        <v>42</v>
      </c>
      <c r="D9" t="s">
        <v>43</v>
      </c>
    </row>
    <row r="10" spans="1:11" x14ac:dyDescent="0.45">
      <c r="A10" t="s">
        <v>44</v>
      </c>
      <c r="B10" t="s">
        <v>45</v>
      </c>
      <c r="D10" t="s">
        <v>46</v>
      </c>
    </row>
    <row r="11" spans="1:11" x14ac:dyDescent="0.45">
      <c r="A11" t="s">
        <v>47</v>
      </c>
      <c r="B11" t="s">
        <v>48</v>
      </c>
      <c r="D11" t="s">
        <v>49</v>
      </c>
    </row>
    <row r="12" spans="1:11" x14ac:dyDescent="0.45">
      <c r="A12" t="s">
        <v>50</v>
      </c>
      <c r="B12" t="s">
        <v>51</v>
      </c>
      <c r="D12" t="s">
        <v>52</v>
      </c>
    </row>
    <row r="13" spans="1:11" x14ac:dyDescent="0.45">
      <c r="A13" t="s">
        <v>53</v>
      </c>
      <c r="B13" t="s">
        <v>54</v>
      </c>
      <c r="D13" t="s">
        <v>55</v>
      </c>
    </row>
    <row r="14" spans="1:11" x14ac:dyDescent="0.45">
      <c r="A14" t="s">
        <v>56</v>
      </c>
      <c r="B14" t="s">
        <v>57</v>
      </c>
      <c r="D14" t="s">
        <v>58</v>
      </c>
    </row>
    <row r="15" spans="1:11" x14ac:dyDescent="0.45">
      <c r="A15" t="s">
        <v>59</v>
      </c>
      <c r="B15" t="s">
        <v>60</v>
      </c>
      <c r="D15" t="s">
        <v>61</v>
      </c>
    </row>
    <row r="16" spans="1:11" x14ac:dyDescent="0.45">
      <c r="A16" t="s">
        <v>62</v>
      </c>
      <c r="B16" t="s">
        <v>63</v>
      </c>
      <c r="D16" t="s">
        <v>64</v>
      </c>
    </row>
    <row r="17" spans="1:7" x14ac:dyDescent="0.45">
      <c r="A17" t="s">
        <v>65</v>
      </c>
      <c r="B17" t="s">
        <v>66</v>
      </c>
      <c r="D17" t="s">
        <v>67</v>
      </c>
    </row>
    <row r="18" spans="1:7" x14ac:dyDescent="0.45">
      <c r="A18" t="s">
        <v>68</v>
      </c>
      <c r="B18" t="s">
        <v>69</v>
      </c>
      <c r="D18" t="s">
        <v>70</v>
      </c>
    </row>
    <row r="19" spans="1:7" x14ac:dyDescent="0.45">
      <c r="A19" t="s">
        <v>71</v>
      </c>
      <c r="B19" t="s">
        <v>72</v>
      </c>
      <c r="D19" t="s">
        <v>73</v>
      </c>
    </row>
    <row r="20" spans="1:7" x14ac:dyDescent="0.45">
      <c r="A20" t="s">
        <v>74</v>
      </c>
      <c r="B20" t="s">
        <v>75</v>
      </c>
      <c r="D20" t="s">
        <v>76</v>
      </c>
    </row>
    <row r="21" spans="1:7" x14ac:dyDescent="0.45">
      <c r="A21" t="s">
        <v>77</v>
      </c>
      <c r="B21" t="s">
        <v>78</v>
      </c>
      <c r="D21" t="s">
        <v>79</v>
      </c>
    </row>
    <row r="22" spans="1:7" x14ac:dyDescent="0.45">
      <c r="A22" t="s">
        <v>80</v>
      </c>
      <c r="B22" t="s">
        <v>81</v>
      </c>
      <c r="D22" t="s">
        <v>82</v>
      </c>
    </row>
    <row r="23" spans="1:7" x14ac:dyDescent="0.45">
      <c r="A23" t="s">
        <v>83</v>
      </c>
      <c r="B23" t="s">
        <v>84</v>
      </c>
      <c r="D23" t="s">
        <v>85</v>
      </c>
    </row>
    <row r="24" spans="1:7" x14ac:dyDescent="0.45">
      <c r="A24" t="s">
        <v>86</v>
      </c>
      <c r="B24" t="s">
        <v>87</v>
      </c>
      <c r="D24" t="s">
        <v>88</v>
      </c>
      <c r="E24" t="s">
        <v>22</v>
      </c>
      <c r="G24" t="s">
        <v>22</v>
      </c>
    </row>
    <row r="25" spans="1:7" x14ac:dyDescent="0.45">
      <c r="A25" t="s">
        <v>89</v>
      </c>
      <c r="B25" t="s">
        <v>90</v>
      </c>
      <c r="D25" t="s">
        <v>91</v>
      </c>
      <c r="F25" t="s">
        <v>22</v>
      </c>
    </row>
    <row r="26" spans="1:7" x14ac:dyDescent="0.45">
      <c r="A26" t="s">
        <v>92</v>
      </c>
      <c r="B26" t="s">
        <v>93</v>
      </c>
      <c r="D26" t="s">
        <v>94</v>
      </c>
    </row>
    <row r="27" spans="1:7" x14ac:dyDescent="0.45">
      <c r="A27" t="s">
        <v>95</v>
      </c>
      <c r="B27" t="s">
        <v>96</v>
      </c>
    </row>
    <row r="28" spans="1:7" x14ac:dyDescent="0.45">
      <c r="A28" t="s">
        <v>97</v>
      </c>
      <c r="B28" t="s">
        <v>98</v>
      </c>
    </row>
    <row r="29" spans="1:7" x14ac:dyDescent="0.45">
      <c r="A29" t="s">
        <v>99</v>
      </c>
      <c r="B29" t="s">
        <v>100</v>
      </c>
    </row>
    <row r="30" spans="1:7" x14ac:dyDescent="0.45">
      <c r="A30" t="s">
        <v>101</v>
      </c>
      <c r="B30" t="s">
        <v>102</v>
      </c>
    </row>
    <row r="31" spans="1:7" x14ac:dyDescent="0.45">
      <c r="A31" t="s">
        <v>103</v>
      </c>
      <c r="B31" t="s">
        <v>104</v>
      </c>
    </row>
    <row r="32" spans="1:7" x14ac:dyDescent="0.45">
      <c r="A32" t="s">
        <v>105</v>
      </c>
      <c r="B32" t="s">
        <v>106</v>
      </c>
    </row>
    <row r="33" spans="1:2" x14ac:dyDescent="0.45">
      <c r="A33" t="s">
        <v>107</v>
      </c>
      <c r="B33" t="s">
        <v>108</v>
      </c>
    </row>
    <row r="34" spans="1:2" x14ac:dyDescent="0.45">
      <c r="A34" t="s">
        <v>109</v>
      </c>
      <c r="B34" t="s">
        <v>110</v>
      </c>
    </row>
    <row r="35" spans="1:2" x14ac:dyDescent="0.45">
      <c r="A35" t="s">
        <v>111</v>
      </c>
      <c r="B35" t="s">
        <v>112</v>
      </c>
    </row>
    <row r="36" spans="1:2" x14ac:dyDescent="0.45">
      <c r="A36" t="s">
        <v>113</v>
      </c>
      <c r="B36" t="s">
        <v>114</v>
      </c>
    </row>
    <row r="37" spans="1:2" x14ac:dyDescent="0.45">
      <c r="A37" t="s">
        <v>115</v>
      </c>
      <c r="B37" t="s">
        <v>116</v>
      </c>
    </row>
    <row r="38" spans="1:2" x14ac:dyDescent="0.45">
      <c r="A38" t="s">
        <v>117</v>
      </c>
      <c r="B38" t="s">
        <v>118</v>
      </c>
    </row>
    <row r="39" spans="1:2" x14ac:dyDescent="0.45">
      <c r="A39" t="s">
        <v>119</v>
      </c>
      <c r="B39" t="s">
        <v>120</v>
      </c>
    </row>
    <row r="40" spans="1:2" x14ac:dyDescent="0.45">
      <c r="A40" t="s">
        <v>121</v>
      </c>
      <c r="B40" t="s">
        <v>122</v>
      </c>
    </row>
    <row r="41" spans="1:2" x14ac:dyDescent="0.45">
      <c r="A41" t="s">
        <v>123</v>
      </c>
      <c r="B41" t="s">
        <v>124</v>
      </c>
    </row>
    <row r="42" spans="1:2" x14ac:dyDescent="0.45">
      <c r="A42" t="s">
        <v>125</v>
      </c>
      <c r="B42" t="s">
        <v>126</v>
      </c>
    </row>
    <row r="43" spans="1:2" x14ac:dyDescent="0.45">
      <c r="A43" t="s">
        <v>127</v>
      </c>
      <c r="B43" t="s">
        <v>128</v>
      </c>
    </row>
    <row r="44" spans="1:2" x14ac:dyDescent="0.45">
      <c r="A44" t="s">
        <v>129</v>
      </c>
      <c r="B44" t="s">
        <v>130</v>
      </c>
    </row>
    <row r="45" spans="1:2" x14ac:dyDescent="0.45">
      <c r="A45" t="s">
        <v>131</v>
      </c>
      <c r="B45" t="s">
        <v>132</v>
      </c>
    </row>
    <row r="46" spans="1:2" x14ac:dyDescent="0.45">
      <c r="A46" t="s">
        <v>133</v>
      </c>
      <c r="B46" t="s">
        <v>134</v>
      </c>
    </row>
    <row r="47" spans="1:2" x14ac:dyDescent="0.45">
      <c r="A47" t="s">
        <v>135</v>
      </c>
      <c r="B47" t="s">
        <v>136</v>
      </c>
    </row>
    <row r="48" spans="1:2" x14ac:dyDescent="0.45">
      <c r="A48" t="s">
        <v>137</v>
      </c>
      <c r="B48" t="s">
        <v>138</v>
      </c>
    </row>
    <row r="49" spans="1:2" x14ac:dyDescent="0.45">
      <c r="A49" t="s">
        <v>139</v>
      </c>
      <c r="B49" t="s">
        <v>140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29"/>
  <sheetViews>
    <sheetView zoomScaleNormal="100" workbookViewId="0"/>
  </sheetViews>
  <sheetFormatPr defaultColWidth="8.6640625" defaultRowHeight="14.25" x14ac:dyDescent="0.45"/>
  <sheetData>
    <row r="1" spans="1:31" x14ac:dyDescent="0.45">
      <c r="A1" t="s">
        <v>141</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IF(INDEX(Keys!$F:$F,MATCH($A2,Keys!$D:$D,0))="Y",0,IF($B28=1,IF($B29=1,IF(INDEX(Keys!$H:$H,MATCH($A2,Keys!$D:$D,0))="Y",0,IF(AND(INDEX(Keys!$G:$G,MATCH($A2,Keys!$D:$D,0))="Y",B$1&lt;Keys!$K$2),0,1)),IF(INDEX(Keys!$E:$E,MATCH($A2,Keys!$D:$D,0))="Y",1,0)),1))</f>
        <v>0</v>
      </c>
      <c r="C2">
        <f>IF(INDEX(Keys!$F:$F,MATCH($A2,Keys!$D:$D,0))="Y",0,IF($B28=1,IF($B29=1,IF(INDEX(Keys!$H:$H,MATCH($A2,Keys!$D:$D,0))="Y",0,IF(AND(INDEX(Keys!$G:$G,MATCH($A2,Keys!$D:$D,0))="Y",C$1&lt;Keys!$K$2),0,1)),IF(INDEX(Keys!$E:$E,MATCH($A2,Keys!$D:$D,0))="Y",1,0)),1))</f>
        <v>0</v>
      </c>
      <c r="D2">
        <f>IF(INDEX(Keys!$F:$F,MATCH($A2,Keys!$D:$D,0))="Y",0,IF($B28=1,IF($B29=1,IF(INDEX(Keys!$H:$H,MATCH($A2,Keys!$D:$D,0))="Y",0,IF(AND(INDEX(Keys!$G:$G,MATCH($A2,Keys!$D:$D,0))="Y",D$1&lt;Keys!$K$2),0,1)),IF(INDEX(Keys!$E:$E,MATCH($A2,Keys!$D:$D,0))="Y",1,0)),1))</f>
        <v>0</v>
      </c>
      <c r="E2">
        <f>IF(INDEX(Keys!$F:$F,MATCH($A2,Keys!$D:$D,0))="Y",0,IF($B28=1,IF($B29=1,IF(INDEX(Keys!$H:$H,MATCH($A2,Keys!$D:$D,0))="Y",0,IF(AND(INDEX(Keys!$G:$G,MATCH($A2,Keys!$D:$D,0))="Y",E$1&lt;Keys!$K$2),0,1)),IF(INDEX(Keys!$E:$E,MATCH($A2,Keys!$D:$D,0))="Y",1,0)),1))</f>
        <v>0</v>
      </c>
      <c r="F2">
        <f>IF(INDEX(Keys!$F:$F,MATCH($A2,Keys!$D:$D,0))="Y",0,IF($B28=1,IF($B29=1,IF(INDEX(Keys!$H:$H,MATCH($A2,Keys!$D:$D,0))="Y",0,IF(AND(INDEX(Keys!$G:$G,MATCH($A2,Keys!$D:$D,0))="Y",F$1&lt;Keys!$K$2),0,1)),IF(INDEX(Keys!$E:$E,MATCH($A2,Keys!$D:$D,0))="Y",1,0)),1))</f>
        <v>0</v>
      </c>
      <c r="G2">
        <f>IF(INDEX(Keys!$F:$F,MATCH($A2,Keys!$D:$D,0))="Y",0,IF($B28=1,IF($B29=1,IF(INDEX(Keys!$H:$H,MATCH($A2,Keys!$D:$D,0))="Y",0,IF(AND(INDEX(Keys!$G:$G,MATCH($A2,Keys!$D:$D,0))="Y",G$1&lt;Keys!$K$2),0,1)),IF(INDEX(Keys!$E:$E,MATCH($A2,Keys!$D:$D,0))="Y",1,0)),1))</f>
        <v>0</v>
      </c>
      <c r="H2">
        <f>IF(INDEX(Keys!$F:$F,MATCH($A2,Keys!$D:$D,0))="Y",0,IF($B28=1,IF($B29=1,IF(INDEX(Keys!$H:$H,MATCH($A2,Keys!$D:$D,0))="Y",0,IF(AND(INDEX(Keys!$G:$G,MATCH($A2,Keys!$D:$D,0))="Y",H$1&lt;Keys!$K$2),0,1)),IF(INDEX(Keys!$E:$E,MATCH($A2,Keys!$D:$D,0))="Y",1,0)),1))</f>
        <v>0</v>
      </c>
      <c r="I2">
        <f>IF(INDEX(Keys!$F:$F,MATCH($A2,Keys!$D:$D,0))="Y",0,IF($B28=1,IF($B29=1,IF(INDEX(Keys!$H:$H,MATCH($A2,Keys!$D:$D,0))="Y",0,IF(AND(INDEX(Keys!$G:$G,MATCH($A2,Keys!$D:$D,0))="Y",I$1&lt;Keys!$K$2),0,1)),IF(INDEX(Keys!$E:$E,MATCH($A2,Keys!$D:$D,0))="Y",1,0)),1))</f>
        <v>0</v>
      </c>
      <c r="J2">
        <f>IF(INDEX(Keys!$F:$F,MATCH($A2,Keys!$D:$D,0))="Y",0,IF($B28=1,IF($B29=1,IF(INDEX(Keys!$H:$H,MATCH($A2,Keys!$D:$D,0))="Y",0,IF(AND(INDEX(Keys!$G:$G,MATCH($A2,Keys!$D:$D,0))="Y",J$1&lt;Keys!$K$2),0,1)),IF(INDEX(Keys!$E:$E,MATCH($A2,Keys!$D:$D,0))="Y",1,0)),1))</f>
        <v>0</v>
      </c>
      <c r="K2">
        <f>IF(INDEX(Keys!$F:$F,MATCH($A2,Keys!$D:$D,0))="Y",0,IF($B28=1,IF($B29=1,IF(INDEX(Keys!$H:$H,MATCH($A2,Keys!$D:$D,0))="Y",0,IF(AND(INDEX(Keys!$G:$G,MATCH($A2,Keys!$D:$D,0))="Y",K$1&lt;Keys!$K$2),0,1)),IF(INDEX(Keys!$E:$E,MATCH($A2,Keys!$D:$D,0))="Y",1,0)),1))</f>
        <v>0</v>
      </c>
      <c r="L2">
        <f>IF(INDEX(Keys!$F:$F,MATCH($A2,Keys!$D:$D,0))="Y",0,IF($B28=1,IF($B29=1,IF(INDEX(Keys!$H:$H,MATCH($A2,Keys!$D:$D,0))="Y",0,IF(AND(INDEX(Keys!$G:$G,MATCH($A2,Keys!$D:$D,0))="Y",L$1&lt;Keys!$K$2),0,1)),IF(INDEX(Keys!$E:$E,MATCH($A2,Keys!$D:$D,0))="Y",1,0)),1))</f>
        <v>0</v>
      </c>
      <c r="M2">
        <f>IF(INDEX(Keys!$F:$F,MATCH($A2,Keys!$D:$D,0))="Y",0,IF($B28=1,IF($B29=1,IF(INDEX(Keys!$H:$H,MATCH($A2,Keys!$D:$D,0))="Y",0,IF(AND(INDEX(Keys!$G:$G,MATCH($A2,Keys!$D:$D,0))="Y",M$1&lt;Keys!$K$2),0,1)),IF(INDEX(Keys!$E:$E,MATCH($A2,Keys!$D:$D,0))="Y",1,0)),1))</f>
        <v>0</v>
      </c>
      <c r="N2">
        <f>IF(INDEX(Keys!$F:$F,MATCH($A2,Keys!$D:$D,0))="Y",0,IF($B28=1,IF($B29=1,IF(INDEX(Keys!$H:$H,MATCH($A2,Keys!$D:$D,0))="Y",0,IF(AND(INDEX(Keys!$G:$G,MATCH($A2,Keys!$D:$D,0))="Y",N$1&lt;Keys!$K$2),0,1)),IF(INDEX(Keys!$E:$E,MATCH($A2,Keys!$D:$D,0))="Y",1,0)),1))</f>
        <v>0</v>
      </c>
      <c r="O2">
        <f>IF(INDEX(Keys!$F:$F,MATCH($A2,Keys!$D:$D,0))="Y",0,IF($B28=1,IF($B29=1,IF(INDEX(Keys!$H:$H,MATCH($A2,Keys!$D:$D,0))="Y",0,IF(AND(INDEX(Keys!$G:$G,MATCH($A2,Keys!$D:$D,0))="Y",O$1&lt;Keys!$K$2),0,1)),IF(INDEX(Keys!$E:$E,MATCH($A2,Keys!$D:$D,0))="Y",1,0)),1))</f>
        <v>0</v>
      </c>
      <c r="P2">
        <f>IF(INDEX(Keys!$F:$F,MATCH($A2,Keys!$D:$D,0))="Y",0,IF($B28=1,IF($B29=1,IF(INDEX(Keys!$H:$H,MATCH($A2,Keys!$D:$D,0))="Y",0,IF(AND(INDEX(Keys!$G:$G,MATCH($A2,Keys!$D:$D,0))="Y",P$1&lt;Keys!$K$2),0,1)),IF(INDEX(Keys!$E:$E,MATCH($A2,Keys!$D:$D,0))="Y",1,0)),1))</f>
        <v>0</v>
      </c>
      <c r="Q2">
        <f>IF(INDEX(Keys!$F:$F,MATCH($A2,Keys!$D:$D,0))="Y",0,IF($B28=1,IF($B29=1,IF(INDEX(Keys!$H:$H,MATCH($A2,Keys!$D:$D,0))="Y",0,IF(AND(INDEX(Keys!$G:$G,MATCH($A2,Keys!$D:$D,0))="Y",Q$1&lt;Keys!$K$2),0,1)),IF(INDEX(Keys!$E:$E,MATCH($A2,Keys!$D:$D,0))="Y",1,0)),1))</f>
        <v>0</v>
      </c>
      <c r="R2">
        <f>IF(INDEX(Keys!$F:$F,MATCH($A2,Keys!$D:$D,0))="Y",0,IF($B28=1,IF($B29=1,IF(INDEX(Keys!$H:$H,MATCH($A2,Keys!$D:$D,0))="Y",0,IF(AND(INDEX(Keys!$G:$G,MATCH($A2,Keys!$D:$D,0))="Y",R$1&lt;Keys!$K$2),0,1)),IF(INDEX(Keys!$E:$E,MATCH($A2,Keys!$D:$D,0))="Y",1,0)),1))</f>
        <v>0</v>
      </c>
      <c r="S2">
        <f>IF(INDEX(Keys!$F:$F,MATCH($A2,Keys!$D:$D,0))="Y",0,IF($B28=1,IF($B29=1,IF(INDEX(Keys!$H:$H,MATCH($A2,Keys!$D:$D,0))="Y",0,IF(AND(INDEX(Keys!$G:$G,MATCH($A2,Keys!$D:$D,0))="Y",S$1&lt;Keys!$K$2),0,1)),IF(INDEX(Keys!$E:$E,MATCH($A2,Keys!$D:$D,0))="Y",1,0)),1))</f>
        <v>0</v>
      </c>
      <c r="T2">
        <f>IF(INDEX(Keys!$F:$F,MATCH($A2,Keys!$D:$D,0))="Y",0,IF($B28=1,IF($B29=1,IF(INDEX(Keys!$H:$H,MATCH($A2,Keys!$D:$D,0))="Y",0,IF(AND(INDEX(Keys!$G:$G,MATCH($A2,Keys!$D:$D,0))="Y",T$1&lt;Keys!$K$2),0,1)),IF(INDEX(Keys!$E:$E,MATCH($A2,Keys!$D:$D,0))="Y",1,0)),1))</f>
        <v>0</v>
      </c>
      <c r="U2">
        <f>IF(INDEX(Keys!$F:$F,MATCH($A2,Keys!$D:$D,0))="Y",0,IF($B28=1,IF($B29=1,IF(INDEX(Keys!$H:$H,MATCH($A2,Keys!$D:$D,0))="Y",0,IF(AND(INDEX(Keys!$G:$G,MATCH($A2,Keys!$D:$D,0))="Y",U$1&lt;Keys!$K$2),0,1)),IF(INDEX(Keys!$E:$E,MATCH($A2,Keys!$D:$D,0))="Y",1,0)),1))</f>
        <v>0</v>
      </c>
      <c r="V2">
        <f>IF(INDEX(Keys!$F:$F,MATCH($A2,Keys!$D:$D,0))="Y",0,IF($B28=1,IF($B29=1,IF(INDEX(Keys!$H:$H,MATCH($A2,Keys!$D:$D,0))="Y",0,IF(AND(INDEX(Keys!$G:$G,MATCH($A2,Keys!$D:$D,0))="Y",V$1&lt;Keys!$K$2),0,1)),IF(INDEX(Keys!$E:$E,MATCH($A2,Keys!$D:$D,0))="Y",1,0)),1))</f>
        <v>0</v>
      </c>
      <c r="W2">
        <f>IF(INDEX(Keys!$F:$F,MATCH($A2,Keys!$D:$D,0))="Y",0,IF($B28=1,IF($B29=1,IF(INDEX(Keys!$H:$H,MATCH($A2,Keys!$D:$D,0))="Y",0,IF(AND(INDEX(Keys!$G:$G,MATCH($A2,Keys!$D:$D,0))="Y",W$1&lt;Keys!$K$2),0,1)),IF(INDEX(Keys!$E:$E,MATCH($A2,Keys!$D:$D,0))="Y",1,0)),1))</f>
        <v>0</v>
      </c>
      <c r="X2">
        <f>IF(INDEX(Keys!$F:$F,MATCH($A2,Keys!$D:$D,0))="Y",0,IF($B28=1,IF($B29=1,IF(INDEX(Keys!$H:$H,MATCH($A2,Keys!$D:$D,0))="Y",0,IF(AND(INDEX(Keys!$G:$G,MATCH($A2,Keys!$D:$D,0))="Y",X$1&lt;Keys!$K$2),0,1)),IF(INDEX(Keys!$E:$E,MATCH($A2,Keys!$D:$D,0))="Y",1,0)),1))</f>
        <v>0</v>
      </c>
      <c r="Y2">
        <f>IF(INDEX(Keys!$F:$F,MATCH($A2,Keys!$D:$D,0))="Y",0,IF($B28=1,IF($B29=1,IF(INDEX(Keys!$H:$H,MATCH($A2,Keys!$D:$D,0))="Y",0,IF(AND(INDEX(Keys!$G:$G,MATCH($A2,Keys!$D:$D,0))="Y",Y$1&lt;Keys!$K$2),0,1)),IF(INDEX(Keys!$E:$E,MATCH($A2,Keys!$D:$D,0))="Y",1,0)),1))</f>
        <v>0</v>
      </c>
      <c r="Z2">
        <f>IF(INDEX(Keys!$F:$F,MATCH($A2,Keys!$D:$D,0))="Y",0,IF($B28=1,IF($B29=1,IF(INDEX(Keys!$H:$H,MATCH($A2,Keys!$D:$D,0))="Y",0,IF(AND(INDEX(Keys!$G:$G,MATCH($A2,Keys!$D:$D,0))="Y",Z$1&lt;Keys!$K$2),0,1)),IF(INDEX(Keys!$E:$E,MATCH($A2,Keys!$D:$D,0))="Y",1,0)),1))</f>
        <v>0</v>
      </c>
      <c r="AA2">
        <f>IF(INDEX(Keys!$F:$F,MATCH($A2,Keys!$D:$D,0))="Y",0,IF($B28=1,IF($B29=1,IF(INDEX(Keys!$H:$H,MATCH($A2,Keys!$D:$D,0))="Y",0,IF(AND(INDEX(Keys!$G:$G,MATCH($A2,Keys!$D:$D,0))="Y",AA$1&lt;Keys!$K$2),0,1)),IF(INDEX(Keys!$E:$E,MATCH($A2,Keys!$D:$D,0))="Y",1,0)),1))</f>
        <v>0</v>
      </c>
      <c r="AB2">
        <f>IF(INDEX(Keys!$F:$F,MATCH($A2,Keys!$D:$D,0))="Y",0,IF($B28=1,IF($B29=1,IF(INDEX(Keys!$H:$H,MATCH($A2,Keys!$D:$D,0))="Y",0,IF(AND(INDEX(Keys!$G:$G,MATCH($A2,Keys!$D:$D,0))="Y",AB$1&lt;Keys!$K$2),0,1)),IF(INDEX(Keys!$E:$E,MATCH($A2,Keys!$D:$D,0))="Y",1,0)),1))</f>
        <v>0</v>
      </c>
      <c r="AC2">
        <f>IF(INDEX(Keys!$F:$F,MATCH($A2,Keys!$D:$D,0))="Y",0,IF($B28=1,IF($B29=1,IF(INDEX(Keys!$H:$H,MATCH($A2,Keys!$D:$D,0))="Y",0,IF(AND(INDEX(Keys!$G:$G,MATCH($A2,Keys!$D:$D,0))="Y",AC$1&lt;Keys!$K$2),0,1)),IF(INDEX(Keys!$E:$E,MATCH($A2,Keys!$D:$D,0))="Y",1,0)),1))</f>
        <v>0</v>
      </c>
      <c r="AD2">
        <f>IF(INDEX(Keys!$F:$F,MATCH($A2,Keys!$D:$D,0))="Y",0,IF($B28=1,IF($B29=1,IF(INDEX(Keys!$H:$H,MATCH($A2,Keys!$D:$D,0))="Y",0,IF(AND(INDEX(Keys!$G:$G,MATCH($A2,Keys!$D:$D,0))="Y",AD$1&lt;Keys!$K$2),0,1)),IF(INDEX(Keys!$E:$E,MATCH($A2,Keys!$D:$D,0))="Y",1,0)),1))</f>
        <v>0</v>
      </c>
      <c r="AE2">
        <f>IF(INDEX(Keys!$F:$F,MATCH($A2,Keys!$D:$D,0))="Y",0,IF($B28=1,IF($B29=1,IF(INDEX(Keys!$H:$H,MATCH($A2,Keys!$D:$D,0))="Y",0,IF(AND(INDEX(Keys!$G:$G,MATCH($A2,Keys!$D:$D,0))="Y",AE$1&lt;Keys!$K$2),0,1)),IF(INDEX(Keys!$E:$E,MATCH($A2,Keys!$D:$D,0))="Y",1,0)),1))</f>
        <v>0</v>
      </c>
    </row>
    <row r="3" spans="1:31" x14ac:dyDescent="0.45">
      <c r="A3" t="str">
        <f>Keys!$D3</f>
        <v>coal mining 05</v>
      </c>
      <c r="B3">
        <f>IF(INDEX(Keys!$F:$F,MATCH($A3,Keys!$D:$D,0))="Y",0,IF($B28=1,IF($B29=1,IF(INDEX(Keys!$H:$H,MATCH($A3,Keys!$D:$D,0))="Y",0,IF(AND(INDEX(Keys!$G:$G,MATCH($A3,Keys!$D:$D,0))="Y",B$1&lt;Keys!$K$2),0,1)),IF(INDEX(Keys!$E:$E,MATCH($A3,Keys!$D:$D,0))="Y",1,0)),1))</f>
        <v>1</v>
      </c>
      <c r="C3">
        <f>IF(INDEX(Keys!$F:$F,MATCH($A3,Keys!$D:$D,0))="Y",0,IF($B28=1,IF($B29=1,IF(INDEX(Keys!$H:$H,MATCH($A3,Keys!$D:$D,0))="Y",0,IF(AND(INDEX(Keys!$G:$G,MATCH($A3,Keys!$D:$D,0))="Y",C$1&lt;Keys!$K$2),0,1)),IF(INDEX(Keys!$E:$E,MATCH($A3,Keys!$D:$D,0))="Y",1,0)),1))</f>
        <v>1</v>
      </c>
      <c r="D3">
        <f>IF(INDEX(Keys!$F:$F,MATCH($A3,Keys!$D:$D,0))="Y",0,IF($B28=1,IF($B29=1,IF(INDEX(Keys!$H:$H,MATCH($A3,Keys!$D:$D,0))="Y",0,IF(AND(INDEX(Keys!$G:$G,MATCH($A3,Keys!$D:$D,0))="Y",D$1&lt;Keys!$K$2),0,1)),IF(INDEX(Keys!$E:$E,MATCH($A3,Keys!$D:$D,0))="Y",1,0)),1))</f>
        <v>1</v>
      </c>
      <c r="E3">
        <f>IF(INDEX(Keys!$F:$F,MATCH($A3,Keys!$D:$D,0))="Y",0,IF($B28=1,IF($B29=1,IF(INDEX(Keys!$H:$H,MATCH($A3,Keys!$D:$D,0))="Y",0,IF(AND(INDEX(Keys!$G:$G,MATCH($A3,Keys!$D:$D,0))="Y",E$1&lt;Keys!$K$2),0,1)),IF(INDEX(Keys!$E:$E,MATCH($A3,Keys!$D:$D,0))="Y",1,0)),1))</f>
        <v>1</v>
      </c>
      <c r="F3">
        <f>IF(INDEX(Keys!$F:$F,MATCH($A3,Keys!$D:$D,0))="Y",0,IF($B28=1,IF($B29=1,IF(INDEX(Keys!$H:$H,MATCH($A3,Keys!$D:$D,0))="Y",0,IF(AND(INDEX(Keys!$G:$G,MATCH($A3,Keys!$D:$D,0))="Y",F$1&lt;Keys!$K$2),0,1)),IF(INDEX(Keys!$E:$E,MATCH($A3,Keys!$D:$D,0))="Y",1,0)),1))</f>
        <v>1</v>
      </c>
      <c r="G3">
        <f>IF(INDEX(Keys!$F:$F,MATCH($A3,Keys!$D:$D,0))="Y",0,IF($B28=1,IF($B29=1,IF(INDEX(Keys!$H:$H,MATCH($A3,Keys!$D:$D,0))="Y",0,IF(AND(INDEX(Keys!$G:$G,MATCH($A3,Keys!$D:$D,0))="Y",G$1&lt;Keys!$K$2),0,1)),IF(INDEX(Keys!$E:$E,MATCH($A3,Keys!$D:$D,0))="Y",1,0)),1))</f>
        <v>1</v>
      </c>
      <c r="H3">
        <f>IF(INDEX(Keys!$F:$F,MATCH($A3,Keys!$D:$D,0))="Y",0,IF($B28=1,IF($B29=1,IF(INDEX(Keys!$H:$H,MATCH($A3,Keys!$D:$D,0))="Y",0,IF(AND(INDEX(Keys!$G:$G,MATCH($A3,Keys!$D:$D,0))="Y",H$1&lt;Keys!$K$2),0,1)),IF(INDEX(Keys!$E:$E,MATCH($A3,Keys!$D:$D,0))="Y",1,0)),1))</f>
        <v>1</v>
      </c>
      <c r="I3">
        <f>IF(INDEX(Keys!$F:$F,MATCH($A3,Keys!$D:$D,0))="Y",0,IF($B28=1,IF($B29=1,IF(INDEX(Keys!$H:$H,MATCH($A3,Keys!$D:$D,0))="Y",0,IF(AND(INDEX(Keys!$G:$G,MATCH($A3,Keys!$D:$D,0))="Y",I$1&lt;Keys!$K$2),0,1)),IF(INDEX(Keys!$E:$E,MATCH($A3,Keys!$D:$D,0))="Y",1,0)),1))</f>
        <v>1</v>
      </c>
      <c r="J3">
        <f>IF(INDEX(Keys!$F:$F,MATCH($A3,Keys!$D:$D,0))="Y",0,IF($B28=1,IF($B29=1,IF(INDEX(Keys!$H:$H,MATCH($A3,Keys!$D:$D,0))="Y",0,IF(AND(INDEX(Keys!$G:$G,MATCH($A3,Keys!$D:$D,0))="Y",J$1&lt;Keys!$K$2),0,1)),IF(INDEX(Keys!$E:$E,MATCH($A3,Keys!$D:$D,0))="Y",1,0)),1))</f>
        <v>1</v>
      </c>
      <c r="K3">
        <f>IF(INDEX(Keys!$F:$F,MATCH($A3,Keys!$D:$D,0))="Y",0,IF($B28=1,IF($B29=1,IF(INDEX(Keys!$H:$H,MATCH($A3,Keys!$D:$D,0))="Y",0,IF(AND(INDEX(Keys!$G:$G,MATCH($A3,Keys!$D:$D,0))="Y",K$1&lt;Keys!$K$2),0,1)),IF(INDEX(Keys!$E:$E,MATCH($A3,Keys!$D:$D,0))="Y",1,0)),1))</f>
        <v>1</v>
      </c>
      <c r="L3">
        <f>IF(INDEX(Keys!$F:$F,MATCH($A3,Keys!$D:$D,0))="Y",0,IF($B28=1,IF($B29=1,IF(INDEX(Keys!$H:$H,MATCH($A3,Keys!$D:$D,0))="Y",0,IF(AND(INDEX(Keys!$G:$G,MATCH($A3,Keys!$D:$D,0))="Y",L$1&lt;Keys!$K$2),0,1)),IF(INDEX(Keys!$E:$E,MATCH($A3,Keys!$D:$D,0))="Y",1,0)),1))</f>
        <v>1</v>
      </c>
      <c r="M3">
        <f>IF(INDEX(Keys!$F:$F,MATCH($A3,Keys!$D:$D,0))="Y",0,IF($B28=1,IF($B29=1,IF(INDEX(Keys!$H:$H,MATCH($A3,Keys!$D:$D,0))="Y",0,IF(AND(INDEX(Keys!$G:$G,MATCH($A3,Keys!$D:$D,0))="Y",M$1&lt;Keys!$K$2),0,1)),IF(INDEX(Keys!$E:$E,MATCH($A3,Keys!$D:$D,0))="Y",1,0)),1))</f>
        <v>1</v>
      </c>
      <c r="N3">
        <f>IF(INDEX(Keys!$F:$F,MATCH($A3,Keys!$D:$D,0))="Y",0,IF($B28=1,IF($B29=1,IF(INDEX(Keys!$H:$H,MATCH($A3,Keys!$D:$D,0))="Y",0,IF(AND(INDEX(Keys!$G:$G,MATCH($A3,Keys!$D:$D,0))="Y",N$1&lt;Keys!$K$2),0,1)),IF(INDEX(Keys!$E:$E,MATCH($A3,Keys!$D:$D,0))="Y",1,0)),1))</f>
        <v>1</v>
      </c>
      <c r="O3">
        <f>IF(INDEX(Keys!$F:$F,MATCH($A3,Keys!$D:$D,0))="Y",0,IF($B28=1,IF($B29=1,IF(INDEX(Keys!$H:$H,MATCH($A3,Keys!$D:$D,0))="Y",0,IF(AND(INDEX(Keys!$G:$G,MATCH($A3,Keys!$D:$D,0))="Y",O$1&lt;Keys!$K$2),0,1)),IF(INDEX(Keys!$E:$E,MATCH($A3,Keys!$D:$D,0))="Y",1,0)),1))</f>
        <v>1</v>
      </c>
      <c r="P3">
        <f>IF(INDEX(Keys!$F:$F,MATCH($A3,Keys!$D:$D,0))="Y",0,IF($B28=1,IF($B29=1,IF(INDEX(Keys!$H:$H,MATCH($A3,Keys!$D:$D,0))="Y",0,IF(AND(INDEX(Keys!$G:$G,MATCH($A3,Keys!$D:$D,0))="Y",P$1&lt;Keys!$K$2),0,1)),IF(INDEX(Keys!$E:$E,MATCH($A3,Keys!$D:$D,0))="Y",1,0)),1))</f>
        <v>1</v>
      </c>
      <c r="Q3">
        <f>IF(INDEX(Keys!$F:$F,MATCH($A3,Keys!$D:$D,0))="Y",0,IF($B28=1,IF($B29=1,IF(INDEX(Keys!$H:$H,MATCH($A3,Keys!$D:$D,0))="Y",0,IF(AND(INDEX(Keys!$G:$G,MATCH($A3,Keys!$D:$D,0))="Y",Q$1&lt;Keys!$K$2),0,1)),IF(INDEX(Keys!$E:$E,MATCH($A3,Keys!$D:$D,0))="Y",1,0)),1))</f>
        <v>1</v>
      </c>
      <c r="R3">
        <f>IF(INDEX(Keys!$F:$F,MATCH($A3,Keys!$D:$D,0))="Y",0,IF($B28=1,IF($B29=1,IF(INDEX(Keys!$H:$H,MATCH($A3,Keys!$D:$D,0))="Y",0,IF(AND(INDEX(Keys!$G:$G,MATCH($A3,Keys!$D:$D,0))="Y",R$1&lt;Keys!$K$2),0,1)),IF(INDEX(Keys!$E:$E,MATCH($A3,Keys!$D:$D,0))="Y",1,0)),1))</f>
        <v>1</v>
      </c>
      <c r="S3">
        <f>IF(INDEX(Keys!$F:$F,MATCH($A3,Keys!$D:$D,0))="Y",0,IF($B28=1,IF($B29=1,IF(INDEX(Keys!$H:$H,MATCH($A3,Keys!$D:$D,0))="Y",0,IF(AND(INDEX(Keys!$G:$G,MATCH($A3,Keys!$D:$D,0))="Y",S$1&lt;Keys!$K$2),0,1)),IF(INDEX(Keys!$E:$E,MATCH($A3,Keys!$D:$D,0))="Y",1,0)),1))</f>
        <v>1</v>
      </c>
      <c r="T3">
        <f>IF(INDEX(Keys!$F:$F,MATCH($A3,Keys!$D:$D,0))="Y",0,IF($B28=1,IF($B29=1,IF(INDEX(Keys!$H:$H,MATCH($A3,Keys!$D:$D,0))="Y",0,IF(AND(INDEX(Keys!$G:$G,MATCH($A3,Keys!$D:$D,0))="Y",T$1&lt;Keys!$K$2),0,1)),IF(INDEX(Keys!$E:$E,MATCH($A3,Keys!$D:$D,0))="Y",1,0)),1))</f>
        <v>1</v>
      </c>
      <c r="U3">
        <f>IF(INDEX(Keys!$F:$F,MATCH($A3,Keys!$D:$D,0))="Y",0,IF($B28=1,IF($B29=1,IF(INDEX(Keys!$H:$H,MATCH($A3,Keys!$D:$D,0))="Y",0,IF(AND(INDEX(Keys!$G:$G,MATCH($A3,Keys!$D:$D,0))="Y",U$1&lt;Keys!$K$2),0,1)),IF(INDEX(Keys!$E:$E,MATCH($A3,Keys!$D:$D,0))="Y",1,0)),1))</f>
        <v>1</v>
      </c>
      <c r="V3">
        <f>IF(INDEX(Keys!$F:$F,MATCH($A3,Keys!$D:$D,0))="Y",0,IF($B28=1,IF($B29=1,IF(INDEX(Keys!$H:$H,MATCH($A3,Keys!$D:$D,0))="Y",0,IF(AND(INDEX(Keys!$G:$G,MATCH($A3,Keys!$D:$D,0))="Y",V$1&lt;Keys!$K$2),0,1)),IF(INDEX(Keys!$E:$E,MATCH($A3,Keys!$D:$D,0))="Y",1,0)),1))</f>
        <v>1</v>
      </c>
      <c r="W3">
        <f>IF(INDEX(Keys!$F:$F,MATCH($A3,Keys!$D:$D,0))="Y",0,IF($B28=1,IF($B29=1,IF(INDEX(Keys!$H:$H,MATCH($A3,Keys!$D:$D,0))="Y",0,IF(AND(INDEX(Keys!$G:$G,MATCH($A3,Keys!$D:$D,0))="Y",W$1&lt;Keys!$K$2),0,1)),IF(INDEX(Keys!$E:$E,MATCH($A3,Keys!$D:$D,0))="Y",1,0)),1))</f>
        <v>1</v>
      </c>
      <c r="X3">
        <f>IF(INDEX(Keys!$F:$F,MATCH($A3,Keys!$D:$D,0))="Y",0,IF($B28=1,IF($B29=1,IF(INDEX(Keys!$H:$H,MATCH($A3,Keys!$D:$D,0))="Y",0,IF(AND(INDEX(Keys!$G:$G,MATCH($A3,Keys!$D:$D,0))="Y",X$1&lt;Keys!$K$2),0,1)),IF(INDEX(Keys!$E:$E,MATCH($A3,Keys!$D:$D,0))="Y",1,0)),1))</f>
        <v>1</v>
      </c>
      <c r="Y3">
        <f>IF(INDEX(Keys!$F:$F,MATCH($A3,Keys!$D:$D,0))="Y",0,IF($B28=1,IF($B29=1,IF(INDEX(Keys!$H:$H,MATCH($A3,Keys!$D:$D,0))="Y",0,IF(AND(INDEX(Keys!$G:$G,MATCH($A3,Keys!$D:$D,0))="Y",Y$1&lt;Keys!$K$2),0,1)),IF(INDEX(Keys!$E:$E,MATCH($A3,Keys!$D:$D,0))="Y",1,0)),1))</f>
        <v>1</v>
      </c>
      <c r="Z3">
        <f>IF(INDEX(Keys!$F:$F,MATCH($A3,Keys!$D:$D,0))="Y",0,IF($B28=1,IF($B29=1,IF(INDEX(Keys!$H:$H,MATCH($A3,Keys!$D:$D,0))="Y",0,IF(AND(INDEX(Keys!$G:$G,MATCH($A3,Keys!$D:$D,0))="Y",Z$1&lt;Keys!$K$2),0,1)),IF(INDEX(Keys!$E:$E,MATCH($A3,Keys!$D:$D,0))="Y",1,0)),1))</f>
        <v>1</v>
      </c>
      <c r="AA3">
        <f>IF(INDEX(Keys!$F:$F,MATCH($A3,Keys!$D:$D,0))="Y",0,IF($B28=1,IF($B29=1,IF(INDEX(Keys!$H:$H,MATCH($A3,Keys!$D:$D,0))="Y",0,IF(AND(INDEX(Keys!$G:$G,MATCH($A3,Keys!$D:$D,0))="Y",AA$1&lt;Keys!$K$2),0,1)),IF(INDEX(Keys!$E:$E,MATCH($A3,Keys!$D:$D,0))="Y",1,0)),1))</f>
        <v>1</v>
      </c>
      <c r="AB3">
        <f>IF(INDEX(Keys!$F:$F,MATCH($A3,Keys!$D:$D,0))="Y",0,IF($B28=1,IF($B29=1,IF(INDEX(Keys!$H:$H,MATCH($A3,Keys!$D:$D,0))="Y",0,IF(AND(INDEX(Keys!$G:$G,MATCH($A3,Keys!$D:$D,0))="Y",AB$1&lt;Keys!$K$2),0,1)),IF(INDEX(Keys!$E:$E,MATCH($A3,Keys!$D:$D,0))="Y",1,0)),1))</f>
        <v>1</v>
      </c>
      <c r="AC3">
        <f>IF(INDEX(Keys!$F:$F,MATCH($A3,Keys!$D:$D,0))="Y",0,IF($B28=1,IF($B29=1,IF(INDEX(Keys!$H:$H,MATCH($A3,Keys!$D:$D,0))="Y",0,IF(AND(INDEX(Keys!$G:$G,MATCH($A3,Keys!$D:$D,0))="Y",AC$1&lt;Keys!$K$2),0,1)),IF(INDEX(Keys!$E:$E,MATCH($A3,Keys!$D:$D,0))="Y",1,0)),1))</f>
        <v>1</v>
      </c>
      <c r="AD3">
        <f>IF(INDEX(Keys!$F:$F,MATCH($A3,Keys!$D:$D,0))="Y",0,IF($B28=1,IF($B29=1,IF(INDEX(Keys!$H:$H,MATCH($A3,Keys!$D:$D,0))="Y",0,IF(AND(INDEX(Keys!$G:$G,MATCH($A3,Keys!$D:$D,0))="Y",AD$1&lt;Keys!$K$2),0,1)),IF(INDEX(Keys!$E:$E,MATCH($A3,Keys!$D:$D,0))="Y",1,0)),1))</f>
        <v>1</v>
      </c>
      <c r="AE3">
        <f>IF(INDEX(Keys!$F:$F,MATCH($A3,Keys!$D:$D,0))="Y",0,IF($B28=1,IF($B29=1,IF(INDEX(Keys!$H:$H,MATCH($A3,Keys!$D:$D,0))="Y",0,IF(AND(INDEX(Keys!$G:$G,MATCH($A3,Keys!$D:$D,0))="Y",AE$1&lt;Keys!$K$2),0,1)),IF(INDEX(Keys!$E:$E,MATCH($A3,Keys!$D:$D,0))="Y",1,0)),1))</f>
        <v>1</v>
      </c>
    </row>
    <row r="4" spans="1:31" x14ac:dyDescent="0.45">
      <c r="A4" t="str">
        <f>Keys!$D4</f>
        <v>oil and gas extraction 06</v>
      </c>
      <c r="B4">
        <f>IF(INDEX(Keys!$F:$F,MATCH($A4,Keys!$D:$D,0))="Y",0,IF($B28=1,IF($B29=1,IF(INDEX(Keys!$H:$H,MATCH($A4,Keys!$D:$D,0))="Y",0,IF(AND(INDEX(Keys!$G:$G,MATCH($A4,Keys!$D:$D,0))="Y",B$1&lt;Keys!$K$2),0,1)),IF(INDEX(Keys!$E:$E,MATCH($A4,Keys!$D:$D,0))="Y",1,0)),1))</f>
        <v>1</v>
      </c>
      <c r="C4">
        <f>IF(INDEX(Keys!$F:$F,MATCH($A4,Keys!$D:$D,0))="Y",0,IF($B28=1,IF($B29=1,IF(INDEX(Keys!$H:$H,MATCH($A4,Keys!$D:$D,0))="Y",0,IF(AND(INDEX(Keys!$G:$G,MATCH($A4,Keys!$D:$D,0))="Y",C$1&lt;Keys!$K$2),0,1)),IF(INDEX(Keys!$E:$E,MATCH($A4,Keys!$D:$D,0))="Y",1,0)),1))</f>
        <v>1</v>
      </c>
      <c r="D4">
        <f>IF(INDEX(Keys!$F:$F,MATCH($A4,Keys!$D:$D,0))="Y",0,IF($B28=1,IF($B29=1,IF(INDEX(Keys!$H:$H,MATCH($A4,Keys!$D:$D,0))="Y",0,IF(AND(INDEX(Keys!$G:$G,MATCH($A4,Keys!$D:$D,0))="Y",D$1&lt;Keys!$K$2),0,1)),IF(INDEX(Keys!$E:$E,MATCH($A4,Keys!$D:$D,0))="Y",1,0)),1))</f>
        <v>1</v>
      </c>
      <c r="E4">
        <f>IF(INDEX(Keys!$F:$F,MATCH($A4,Keys!$D:$D,0))="Y",0,IF($B28=1,IF($B29=1,IF(INDEX(Keys!$H:$H,MATCH($A4,Keys!$D:$D,0))="Y",0,IF(AND(INDEX(Keys!$G:$G,MATCH($A4,Keys!$D:$D,0))="Y",E$1&lt;Keys!$K$2),0,1)),IF(INDEX(Keys!$E:$E,MATCH($A4,Keys!$D:$D,0))="Y",1,0)),1))</f>
        <v>1</v>
      </c>
      <c r="F4">
        <f>IF(INDEX(Keys!$F:$F,MATCH($A4,Keys!$D:$D,0))="Y",0,IF($B28=1,IF($B29=1,IF(INDEX(Keys!$H:$H,MATCH($A4,Keys!$D:$D,0))="Y",0,IF(AND(INDEX(Keys!$G:$G,MATCH($A4,Keys!$D:$D,0))="Y",F$1&lt;Keys!$K$2),0,1)),IF(INDEX(Keys!$E:$E,MATCH($A4,Keys!$D:$D,0))="Y",1,0)),1))</f>
        <v>1</v>
      </c>
      <c r="G4">
        <f>IF(INDEX(Keys!$F:$F,MATCH($A4,Keys!$D:$D,0))="Y",0,IF($B28=1,IF($B29=1,IF(INDEX(Keys!$H:$H,MATCH($A4,Keys!$D:$D,0))="Y",0,IF(AND(INDEX(Keys!$G:$G,MATCH($A4,Keys!$D:$D,0))="Y",G$1&lt;Keys!$K$2),0,1)),IF(INDEX(Keys!$E:$E,MATCH($A4,Keys!$D:$D,0))="Y",1,0)),1))</f>
        <v>1</v>
      </c>
      <c r="H4">
        <f>IF(INDEX(Keys!$F:$F,MATCH($A4,Keys!$D:$D,0))="Y",0,IF($B28=1,IF($B29=1,IF(INDEX(Keys!$H:$H,MATCH($A4,Keys!$D:$D,0))="Y",0,IF(AND(INDEX(Keys!$G:$G,MATCH($A4,Keys!$D:$D,0))="Y",H$1&lt;Keys!$K$2),0,1)),IF(INDEX(Keys!$E:$E,MATCH($A4,Keys!$D:$D,0))="Y",1,0)),1))</f>
        <v>1</v>
      </c>
      <c r="I4">
        <f>IF(INDEX(Keys!$F:$F,MATCH($A4,Keys!$D:$D,0))="Y",0,IF($B28=1,IF($B29=1,IF(INDEX(Keys!$H:$H,MATCH($A4,Keys!$D:$D,0))="Y",0,IF(AND(INDEX(Keys!$G:$G,MATCH($A4,Keys!$D:$D,0))="Y",I$1&lt;Keys!$K$2),0,1)),IF(INDEX(Keys!$E:$E,MATCH($A4,Keys!$D:$D,0))="Y",1,0)),1))</f>
        <v>1</v>
      </c>
      <c r="J4">
        <f>IF(INDEX(Keys!$F:$F,MATCH($A4,Keys!$D:$D,0))="Y",0,IF($B28=1,IF($B29=1,IF(INDEX(Keys!$H:$H,MATCH($A4,Keys!$D:$D,0))="Y",0,IF(AND(INDEX(Keys!$G:$G,MATCH($A4,Keys!$D:$D,0))="Y",J$1&lt;Keys!$K$2),0,1)),IF(INDEX(Keys!$E:$E,MATCH($A4,Keys!$D:$D,0))="Y",1,0)),1))</f>
        <v>1</v>
      </c>
      <c r="K4">
        <f>IF(INDEX(Keys!$F:$F,MATCH($A4,Keys!$D:$D,0))="Y",0,IF($B28=1,IF($B29=1,IF(INDEX(Keys!$H:$H,MATCH($A4,Keys!$D:$D,0))="Y",0,IF(AND(INDEX(Keys!$G:$G,MATCH($A4,Keys!$D:$D,0))="Y",K$1&lt;Keys!$K$2),0,1)),IF(INDEX(Keys!$E:$E,MATCH($A4,Keys!$D:$D,0))="Y",1,0)),1))</f>
        <v>1</v>
      </c>
      <c r="L4">
        <f>IF(INDEX(Keys!$F:$F,MATCH($A4,Keys!$D:$D,0))="Y",0,IF($B28=1,IF($B29=1,IF(INDEX(Keys!$H:$H,MATCH($A4,Keys!$D:$D,0))="Y",0,IF(AND(INDEX(Keys!$G:$G,MATCH($A4,Keys!$D:$D,0))="Y",L$1&lt;Keys!$K$2),0,1)),IF(INDEX(Keys!$E:$E,MATCH($A4,Keys!$D:$D,0))="Y",1,0)),1))</f>
        <v>1</v>
      </c>
      <c r="M4">
        <f>IF(INDEX(Keys!$F:$F,MATCH($A4,Keys!$D:$D,0))="Y",0,IF($B28=1,IF($B29=1,IF(INDEX(Keys!$H:$H,MATCH($A4,Keys!$D:$D,0))="Y",0,IF(AND(INDEX(Keys!$G:$G,MATCH($A4,Keys!$D:$D,0))="Y",M$1&lt;Keys!$K$2),0,1)),IF(INDEX(Keys!$E:$E,MATCH($A4,Keys!$D:$D,0))="Y",1,0)),1))</f>
        <v>1</v>
      </c>
      <c r="N4">
        <f>IF(INDEX(Keys!$F:$F,MATCH($A4,Keys!$D:$D,0))="Y",0,IF($B28=1,IF($B29=1,IF(INDEX(Keys!$H:$H,MATCH($A4,Keys!$D:$D,0))="Y",0,IF(AND(INDEX(Keys!$G:$G,MATCH($A4,Keys!$D:$D,0))="Y",N$1&lt;Keys!$K$2),0,1)),IF(INDEX(Keys!$E:$E,MATCH($A4,Keys!$D:$D,0))="Y",1,0)),1))</f>
        <v>1</v>
      </c>
      <c r="O4">
        <f>IF(INDEX(Keys!$F:$F,MATCH($A4,Keys!$D:$D,0))="Y",0,IF($B28=1,IF($B29=1,IF(INDEX(Keys!$H:$H,MATCH($A4,Keys!$D:$D,0))="Y",0,IF(AND(INDEX(Keys!$G:$G,MATCH($A4,Keys!$D:$D,0))="Y",O$1&lt;Keys!$K$2),0,1)),IF(INDEX(Keys!$E:$E,MATCH($A4,Keys!$D:$D,0))="Y",1,0)),1))</f>
        <v>1</v>
      </c>
      <c r="P4">
        <f>IF(INDEX(Keys!$F:$F,MATCH($A4,Keys!$D:$D,0))="Y",0,IF($B28=1,IF($B29=1,IF(INDEX(Keys!$H:$H,MATCH($A4,Keys!$D:$D,0))="Y",0,IF(AND(INDEX(Keys!$G:$G,MATCH($A4,Keys!$D:$D,0))="Y",P$1&lt;Keys!$K$2),0,1)),IF(INDEX(Keys!$E:$E,MATCH($A4,Keys!$D:$D,0))="Y",1,0)),1))</f>
        <v>1</v>
      </c>
      <c r="Q4">
        <f>IF(INDEX(Keys!$F:$F,MATCH($A4,Keys!$D:$D,0))="Y",0,IF($B28=1,IF($B29=1,IF(INDEX(Keys!$H:$H,MATCH($A4,Keys!$D:$D,0))="Y",0,IF(AND(INDEX(Keys!$G:$G,MATCH($A4,Keys!$D:$D,0))="Y",Q$1&lt;Keys!$K$2),0,1)),IF(INDEX(Keys!$E:$E,MATCH($A4,Keys!$D:$D,0))="Y",1,0)),1))</f>
        <v>1</v>
      </c>
      <c r="R4">
        <f>IF(INDEX(Keys!$F:$F,MATCH($A4,Keys!$D:$D,0))="Y",0,IF($B28=1,IF($B29=1,IF(INDEX(Keys!$H:$H,MATCH($A4,Keys!$D:$D,0))="Y",0,IF(AND(INDEX(Keys!$G:$G,MATCH($A4,Keys!$D:$D,0))="Y",R$1&lt;Keys!$K$2),0,1)),IF(INDEX(Keys!$E:$E,MATCH($A4,Keys!$D:$D,0))="Y",1,0)),1))</f>
        <v>1</v>
      </c>
      <c r="S4">
        <f>IF(INDEX(Keys!$F:$F,MATCH($A4,Keys!$D:$D,0))="Y",0,IF($B28=1,IF($B29=1,IF(INDEX(Keys!$H:$H,MATCH($A4,Keys!$D:$D,0))="Y",0,IF(AND(INDEX(Keys!$G:$G,MATCH($A4,Keys!$D:$D,0))="Y",S$1&lt;Keys!$K$2),0,1)),IF(INDEX(Keys!$E:$E,MATCH($A4,Keys!$D:$D,0))="Y",1,0)),1))</f>
        <v>1</v>
      </c>
      <c r="T4">
        <f>IF(INDEX(Keys!$F:$F,MATCH($A4,Keys!$D:$D,0))="Y",0,IF($B28=1,IF($B29=1,IF(INDEX(Keys!$H:$H,MATCH($A4,Keys!$D:$D,0))="Y",0,IF(AND(INDEX(Keys!$G:$G,MATCH($A4,Keys!$D:$D,0))="Y",T$1&lt;Keys!$K$2),0,1)),IF(INDEX(Keys!$E:$E,MATCH($A4,Keys!$D:$D,0))="Y",1,0)),1))</f>
        <v>1</v>
      </c>
      <c r="U4">
        <f>IF(INDEX(Keys!$F:$F,MATCH($A4,Keys!$D:$D,0))="Y",0,IF($B28=1,IF($B29=1,IF(INDEX(Keys!$H:$H,MATCH($A4,Keys!$D:$D,0))="Y",0,IF(AND(INDEX(Keys!$G:$G,MATCH($A4,Keys!$D:$D,0))="Y",U$1&lt;Keys!$K$2),0,1)),IF(INDEX(Keys!$E:$E,MATCH($A4,Keys!$D:$D,0))="Y",1,0)),1))</f>
        <v>1</v>
      </c>
      <c r="V4">
        <f>IF(INDEX(Keys!$F:$F,MATCH($A4,Keys!$D:$D,0))="Y",0,IF($B28=1,IF($B29=1,IF(INDEX(Keys!$H:$H,MATCH($A4,Keys!$D:$D,0))="Y",0,IF(AND(INDEX(Keys!$G:$G,MATCH($A4,Keys!$D:$D,0))="Y",V$1&lt;Keys!$K$2),0,1)),IF(INDEX(Keys!$E:$E,MATCH($A4,Keys!$D:$D,0))="Y",1,0)),1))</f>
        <v>1</v>
      </c>
      <c r="W4">
        <f>IF(INDEX(Keys!$F:$F,MATCH($A4,Keys!$D:$D,0))="Y",0,IF($B28=1,IF($B29=1,IF(INDEX(Keys!$H:$H,MATCH($A4,Keys!$D:$D,0))="Y",0,IF(AND(INDEX(Keys!$G:$G,MATCH($A4,Keys!$D:$D,0))="Y",W$1&lt;Keys!$K$2),0,1)),IF(INDEX(Keys!$E:$E,MATCH($A4,Keys!$D:$D,0))="Y",1,0)),1))</f>
        <v>1</v>
      </c>
      <c r="X4">
        <f>IF(INDEX(Keys!$F:$F,MATCH($A4,Keys!$D:$D,0))="Y",0,IF($B28=1,IF($B29=1,IF(INDEX(Keys!$H:$H,MATCH($A4,Keys!$D:$D,0))="Y",0,IF(AND(INDEX(Keys!$G:$G,MATCH($A4,Keys!$D:$D,0))="Y",X$1&lt;Keys!$K$2),0,1)),IF(INDEX(Keys!$E:$E,MATCH($A4,Keys!$D:$D,0))="Y",1,0)),1))</f>
        <v>1</v>
      </c>
      <c r="Y4">
        <f>IF(INDEX(Keys!$F:$F,MATCH($A4,Keys!$D:$D,0))="Y",0,IF($B28=1,IF($B29=1,IF(INDEX(Keys!$H:$H,MATCH($A4,Keys!$D:$D,0))="Y",0,IF(AND(INDEX(Keys!$G:$G,MATCH($A4,Keys!$D:$D,0))="Y",Y$1&lt;Keys!$K$2),0,1)),IF(INDEX(Keys!$E:$E,MATCH($A4,Keys!$D:$D,0))="Y",1,0)),1))</f>
        <v>1</v>
      </c>
      <c r="Z4">
        <f>IF(INDEX(Keys!$F:$F,MATCH($A4,Keys!$D:$D,0))="Y",0,IF($B28=1,IF($B29=1,IF(INDEX(Keys!$H:$H,MATCH($A4,Keys!$D:$D,0))="Y",0,IF(AND(INDEX(Keys!$G:$G,MATCH($A4,Keys!$D:$D,0))="Y",Z$1&lt;Keys!$K$2),0,1)),IF(INDEX(Keys!$E:$E,MATCH($A4,Keys!$D:$D,0))="Y",1,0)),1))</f>
        <v>1</v>
      </c>
      <c r="AA4">
        <f>IF(INDEX(Keys!$F:$F,MATCH($A4,Keys!$D:$D,0))="Y",0,IF($B28=1,IF($B29=1,IF(INDEX(Keys!$H:$H,MATCH($A4,Keys!$D:$D,0))="Y",0,IF(AND(INDEX(Keys!$G:$G,MATCH($A4,Keys!$D:$D,0))="Y",AA$1&lt;Keys!$K$2),0,1)),IF(INDEX(Keys!$E:$E,MATCH($A4,Keys!$D:$D,0))="Y",1,0)),1))</f>
        <v>1</v>
      </c>
      <c r="AB4">
        <f>IF(INDEX(Keys!$F:$F,MATCH($A4,Keys!$D:$D,0))="Y",0,IF($B28=1,IF($B29=1,IF(INDEX(Keys!$H:$H,MATCH($A4,Keys!$D:$D,0))="Y",0,IF(AND(INDEX(Keys!$G:$G,MATCH($A4,Keys!$D:$D,0))="Y",AB$1&lt;Keys!$K$2),0,1)),IF(INDEX(Keys!$E:$E,MATCH($A4,Keys!$D:$D,0))="Y",1,0)),1))</f>
        <v>1</v>
      </c>
      <c r="AC4">
        <f>IF(INDEX(Keys!$F:$F,MATCH($A4,Keys!$D:$D,0))="Y",0,IF($B28=1,IF($B29=1,IF(INDEX(Keys!$H:$H,MATCH($A4,Keys!$D:$D,0))="Y",0,IF(AND(INDEX(Keys!$G:$G,MATCH($A4,Keys!$D:$D,0))="Y",AC$1&lt;Keys!$K$2),0,1)),IF(INDEX(Keys!$E:$E,MATCH($A4,Keys!$D:$D,0))="Y",1,0)),1))</f>
        <v>1</v>
      </c>
      <c r="AD4">
        <f>IF(INDEX(Keys!$F:$F,MATCH($A4,Keys!$D:$D,0))="Y",0,IF($B28=1,IF($B29=1,IF(INDEX(Keys!$H:$H,MATCH($A4,Keys!$D:$D,0))="Y",0,IF(AND(INDEX(Keys!$G:$G,MATCH($A4,Keys!$D:$D,0))="Y",AD$1&lt;Keys!$K$2),0,1)),IF(INDEX(Keys!$E:$E,MATCH($A4,Keys!$D:$D,0))="Y",1,0)),1))</f>
        <v>1</v>
      </c>
      <c r="AE4">
        <f>IF(INDEX(Keys!$F:$F,MATCH($A4,Keys!$D:$D,0))="Y",0,IF($B28=1,IF($B29=1,IF(INDEX(Keys!$H:$H,MATCH($A4,Keys!$D:$D,0))="Y",0,IF(AND(INDEX(Keys!$G:$G,MATCH($A4,Keys!$D:$D,0))="Y",AE$1&lt;Keys!$K$2),0,1)),IF(INDEX(Keys!$E:$E,MATCH($A4,Keys!$D:$D,0))="Y",1,0)),1))</f>
        <v>1</v>
      </c>
    </row>
    <row r="5" spans="1:31" x14ac:dyDescent="0.45">
      <c r="A5" t="str">
        <f>Keys!$D5</f>
        <v>other mining and quarrying 07T08</v>
      </c>
      <c r="B5">
        <f>IF(INDEX(Keys!$F:$F,MATCH($A5,Keys!$D:$D,0))="Y",0,IF($B28=1,IF($B29=1,IF(INDEX(Keys!$H:$H,MATCH($A5,Keys!$D:$D,0))="Y",0,IF(AND(INDEX(Keys!$G:$G,MATCH($A5,Keys!$D:$D,0))="Y",B$1&lt;Keys!$K$2),0,1)),IF(INDEX(Keys!$E:$E,MATCH($A5,Keys!$D:$D,0))="Y",1,0)),1))</f>
        <v>1</v>
      </c>
      <c r="C5">
        <f>IF(INDEX(Keys!$F:$F,MATCH($A5,Keys!$D:$D,0))="Y",0,IF($B28=1,IF($B29=1,IF(INDEX(Keys!$H:$H,MATCH($A5,Keys!$D:$D,0))="Y",0,IF(AND(INDEX(Keys!$G:$G,MATCH($A5,Keys!$D:$D,0))="Y",C$1&lt;Keys!$K$2),0,1)),IF(INDEX(Keys!$E:$E,MATCH($A5,Keys!$D:$D,0))="Y",1,0)),1))</f>
        <v>1</v>
      </c>
      <c r="D5">
        <f>IF(INDEX(Keys!$F:$F,MATCH($A5,Keys!$D:$D,0))="Y",0,IF($B28=1,IF($B29=1,IF(INDEX(Keys!$H:$H,MATCH($A5,Keys!$D:$D,0))="Y",0,IF(AND(INDEX(Keys!$G:$G,MATCH($A5,Keys!$D:$D,0))="Y",D$1&lt;Keys!$K$2),0,1)),IF(INDEX(Keys!$E:$E,MATCH($A5,Keys!$D:$D,0))="Y",1,0)),1))</f>
        <v>1</v>
      </c>
      <c r="E5">
        <f>IF(INDEX(Keys!$F:$F,MATCH($A5,Keys!$D:$D,0))="Y",0,IF($B28=1,IF($B29=1,IF(INDEX(Keys!$H:$H,MATCH($A5,Keys!$D:$D,0))="Y",0,IF(AND(INDEX(Keys!$G:$G,MATCH($A5,Keys!$D:$D,0))="Y",E$1&lt;Keys!$K$2),0,1)),IF(INDEX(Keys!$E:$E,MATCH($A5,Keys!$D:$D,0))="Y",1,0)),1))</f>
        <v>1</v>
      </c>
      <c r="F5">
        <f>IF(INDEX(Keys!$F:$F,MATCH($A5,Keys!$D:$D,0))="Y",0,IF($B28=1,IF($B29=1,IF(INDEX(Keys!$H:$H,MATCH($A5,Keys!$D:$D,0))="Y",0,IF(AND(INDEX(Keys!$G:$G,MATCH($A5,Keys!$D:$D,0))="Y",F$1&lt;Keys!$K$2),0,1)),IF(INDEX(Keys!$E:$E,MATCH($A5,Keys!$D:$D,0))="Y",1,0)),1))</f>
        <v>1</v>
      </c>
      <c r="G5">
        <f>IF(INDEX(Keys!$F:$F,MATCH($A5,Keys!$D:$D,0))="Y",0,IF($B28=1,IF($B29=1,IF(INDEX(Keys!$H:$H,MATCH($A5,Keys!$D:$D,0))="Y",0,IF(AND(INDEX(Keys!$G:$G,MATCH($A5,Keys!$D:$D,0))="Y",G$1&lt;Keys!$K$2),0,1)),IF(INDEX(Keys!$E:$E,MATCH($A5,Keys!$D:$D,0))="Y",1,0)),1))</f>
        <v>1</v>
      </c>
      <c r="H5">
        <f>IF(INDEX(Keys!$F:$F,MATCH($A5,Keys!$D:$D,0))="Y",0,IF($B28=1,IF($B29=1,IF(INDEX(Keys!$H:$H,MATCH($A5,Keys!$D:$D,0))="Y",0,IF(AND(INDEX(Keys!$G:$G,MATCH($A5,Keys!$D:$D,0))="Y",H$1&lt;Keys!$K$2),0,1)),IF(INDEX(Keys!$E:$E,MATCH($A5,Keys!$D:$D,0))="Y",1,0)),1))</f>
        <v>1</v>
      </c>
      <c r="I5">
        <f>IF(INDEX(Keys!$F:$F,MATCH($A5,Keys!$D:$D,0))="Y",0,IF($B28=1,IF($B29=1,IF(INDEX(Keys!$H:$H,MATCH($A5,Keys!$D:$D,0))="Y",0,IF(AND(INDEX(Keys!$G:$G,MATCH($A5,Keys!$D:$D,0))="Y",I$1&lt;Keys!$K$2),0,1)),IF(INDEX(Keys!$E:$E,MATCH($A5,Keys!$D:$D,0))="Y",1,0)),1))</f>
        <v>1</v>
      </c>
      <c r="J5">
        <f>IF(INDEX(Keys!$F:$F,MATCH($A5,Keys!$D:$D,0))="Y",0,IF($B28=1,IF($B29=1,IF(INDEX(Keys!$H:$H,MATCH($A5,Keys!$D:$D,0))="Y",0,IF(AND(INDEX(Keys!$G:$G,MATCH($A5,Keys!$D:$D,0))="Y",J$1&lt;Keys!$K$2),0,1)),IF(INDEX(Keys!$E:$E,MATCH($A5,Keys!$D:$D,0))="Y",1,0)),1))</f>
        <v>1</v>
      </c>
      <c r="K5">
        <f>IF(INDEX(Keys!$F:$F,MATCH($A5,Keys!$D:$D,0))="Y",0,IF($B28=1,IF($B29=1,IF(INDEX(Keys!$H:$H,MATCH($A5,Keys!$D:$D,0))="Y",0,IF(AND(INDEX(Keys!$G:$G,MATCH($A5,Keys!$D:$D,0))="Y",K$1&lt;Keys!$K$2),0,1)),IF(INDEX(Keys!$E:$E,MATCH($A5,Keys!$D:$D,0))="Y",1,0)),1))</f>
        <v>1</v>
      </c>
      <c r="L5">
        <f>IF(INDEX(Keys!$F:$F,MATCH($A5,Keys!$D:$D,0))="Y",0,IF($B28=1,IF($B29=1,IF(INDEX(Keys!$H:$H,MATCH($A5,Keys!$D:$D,0))="Y",0,IF(AND(INDEX(Keys!$G:$G,MATCH($A5,Keys!$D:$D,0))="Y",L$1&lt;Keys!$K$2),0,1)),IF(INDEX(Keys!$E:$E,MATCH($A5,Keys!$D:$D,0))="Y",1,0)),1))</f>
        <v>1</v>
      </c>
      <c r="M5">
        <f>IF(INDEX(Keys!$F:$F,MATCH($A5,Keys!$D:$D,0))="Y",0,IF($B28=1,IF($B29=1,IF(INDEX(Keys!$H:$H,MATCH($A5,Keys!$D:$D,0))="Y",0,IF(AND(INDEX(Keys!$G:$G,MATCH($A5,Keys!$D:$D,0))="Y",M$1&lt;Keys!$K$2),0,1)),IF(INDEX(Keys!$E:$E,MATCH($A5,Keys!$D:$D,0))="Y",1,0)),1))</f>
        <v>1</v>
      </c>
      <c r="N5">
        <f>IF(INDEX(Keys!$F:$F,MATCH($A5,Keys!$D:$D,0))="Y",0,IF($B28=1,IF($B29=1,IF(INDEX(Keys!$H:$H,MATCH($A5,Keys!$D:$D,0))="Y",0,IF(AND(INDEX(Keys!$G:$G,MATCH($A5,Keys!$D:$D,0))="Y",N$1&lt;Keys!$K$2),0,1)),IF(INDEX(Keys!$E:$E,MATCH($A5,Keys!$D:$D,0))="Y",1,0)),1))</f>
        <v>1</v>
      </c>
      <c r="O5">
        <f>IF(INDEX(Keys!$F:$F,MATCH($A5,Keys!$D:$D,0))="Y",0,IF($B28=1,IF($B29=1,IF(INDEX(Keys!$H:$H,MATCH($A5,Keys!$D:$D,0))="Y",0,IF(AND(INDEX(Keys!$G:$G,MATCH($A5,Keys!$D:$D,0))="Y",O$1&lt;Keys!$K$2),0,1)),IF(INDEX(Keys!$E:$E,MATCH($A5,Keys!$D:$D,0))="Y",1,0)),1))</f>
        <v>1</v>
      </c>
      <c r="P5">
        <f>IF(INDEX(Keys!$F:$F,MATCH($A5,Keys!$D:$D,0))="Y",0,IF($B28=1,IF($B29=1,IF(INDEX(Keys!$H:$H,MATCH($A5,Keys!$D:$D,0))="Y",0,IF(AND(INDEX(Keys!$G:$G,MATCH($A5,Keys!$D:$D,0))="Y",P$1&lt;Keys!$K$2),0,1)),IF(INDEX(Keys!$E:$E,MATCH($A5,Keys!$D:$D,0))="Y",1,0)),1))</f>
        <v>1</v>
      </c>
      <c r="Q5">
        <f>IF(INDEX(Keys!$F:$F,MATCH($A5,Keys!$D:$D,0))="Y",0,IF($B28=1,IF($B29=1,IF(INDEX(Keys!$H:$H,MATCH($A5,Keys!$D:$D,0))="Y",0,IF(AND(INDEX(Keys!$G:$G,MATCH($A5,Keys!$D:$D,0))="Y",Q$1&lt;Keys!$K$2),0,1)),IF(INDEX(Keys!$E:$E,MATCH($A5,Keys!$D:$D,0))="Y",1,0)),1))</f>
        <v>1</v>
      </c>
      <c r="R5">
        <f>IF(INDEX(Keys!$F:$F,MATCH($A5,Keys!$D:$D,0))="Y",0,IF($B28=1,IF($B29=1,IF(INDEX(Keys!$H:$H,MATCH($A5,Keys!$D:$D,0))="Y",0,IF(AND(INDEX(Keys!$G:$G,MATCH($A5,Keys!$D:$D,0))="Y",R$1&lt;Keys!$K$2),0,1)),IF(INDEX(Keys!$E:$E,MATCH($A5,Keys!$D:$D,0))="Y",1,0)),1))</f>
        <v>1</v>
      </c>
      <c r="S5">
        <f>IF(INDEX(Keys!$F:$F,MATCH($A5,Keys!$D:$D,0))="Y",0,IF($B28=1,IF($B29=1,IF(INDEX(Keys!$H:$H,MATCH($A5,Keys!$D:$D,0))="Y",0,IF(AND(INDEX(Keys!$G:$G,MATCH($A5,Keys!$D:$D,0))="Y",S$1&lt;Keys!$K$2),0,1)),IF(INDEX(Keys!$E:$E,MATCH($A5,Keys!$D:$D,0))="Y",1,0)),1))</f>
        <v>1</v>
      </c>
      <c r="T5">
        <f>IF(INDEX(Keys!$F:$F,MATCH($A5,Keys!$D:$D,0))="Y",0,IF($B28=1,IF($B29=1,IF(INDEX(Keys!$H:$H,MATCH($A5,Keys!$D:$D,0))="Y",0,IF(AND(INDEX(Keys!$G:$G,MATCH($A5,Keys!$D:$D,0))="Y",T$1&lt;Keys!$K$2),0,1)),IF(INDEX(Keys!$E:$E,MATCH($A5,Keys!$D:$D,0))="Y",1,0)),1))</f>
        <v>1</v>
      </c>
      <c r="U5">
        <f>IF(INDEX(Keys!$F:$F,MATCH($A5,Keys!$D:$D,0))="Y",0,IF($B28=1,IF($B29=1,IF(INDEX(Keys!$H:$H,MATCH($A5,Keys!$D:$D,0))="Y",0,IF(AND(INDEX(Keys!$G:$G,MATCH($A5,Keys!$D:$D,0))="Y",U$1&lt;Keys!$K$2),0,1)),IF(INDEX(Keys!$E:$E,MATCH($A5,Keys!$D:$D,0))="Y",1,0)),1))</f>
        <v>1</v>
      </c>
      <c r="V5">
        <f>IF(INDEX(Keys!$F:$F,MATCH($A5,Keys!$D:$D,0))="Y",0,IF($B28=1,IF($B29=1,IF(INDEX(Keys!$H:$H,MATCH($A5,Keys!$D:$D,0))="Y",0,IF(AND(INDEX(Keys!$G:$G,MATCH($A5,Keys!$D:$D,0))="Y",V$1&lt;Keys!$K$2),0,1)),IF(INDEX(Keys!$E:$E,MATCH($A5,Keys!$D:$D,0))="Y",1,0)),1))</f>
        <v>1</v>
      </c>
      <c r="W5">
        <f>IF(INDEX(Keys!$F:$F,MATCH($A5,Keys!$D:$D,0))="Y",0,IF($B28=1,IF($B29=1,IF(INDEX(Keys!$H:$H,MATCH($A5,Keys!$D:$D,0))="Y",0,IF(AND(INDEX(Keys!$G:$G,MATCH($A5,Keys!$D:$D,0))="Y",W$1&lt;Keys!$K$2),0,1)),IF(INDEX(Keys!$E:$E,MATCH($A5,Keys!$D:$D,0))="Y",1,0)),1))</f>
        <v>1</v>
      </c>
      <c r="X5">
        <f>IF(INDEX(Keys!$F:$F,MATCH($A5,Keys!$D:$D,0))="Y",0,IF($B28=1,IF($B29=1,IF(INDEX(Keys!$H:$H,MATCH($A5,Keys!$D:$D,0))="Y",0,IF(AND(INDEX(Keys!$G:$G,MATCH($A5,Keys!$D:$D,0))="Y",X$1&lt;Keys!$K$2),0,1)),IF(INDEX(Keys!$E:$E,MATCH($A5,Keys!$D:$D,0))="Y",1,0)),1))</f>
        <v>1</v>
      </c>
      <c r="Y5">
        <f>IF(INDEX(Keys!$F:$F,MATCH($A5,Keys!$D:$D,0))="Y",0,IF($B28=1,IF($B29=1,IF(INDEX(Keys!$H:$H,MATCH($A5,Keys!$D:$D,0))="Y",0,IF(AND(INDEX(Keys!$G:$G,MATCH($A5,Keys!$D:$D,0))="Y",Y$1&lt;Keys!$K$2),0,1)),IF(INDEX(Keys!$E:$E,MATCH($A5,Keys!$D:$D,0))="Y",1,0)),1))</f>
        <v>1</v>
      </c>
      <c r="Z5">
        <f>IF(INDEX(Keys!$F:$F,MATCH($A5,Keys!$D:$D,0))="Y",0,IF($B28=1,IF($B29=1,IF(INDEX(Keys!$H:$H,MATCH($A5,Keys!$D:$D,0))="Y",0,IF(AND(INDEX(Keys!$G:$G,MATCH($A5,Keys!$D:$D,0))="Y",Z$1&lt;Keys!$K$2),0,1)),IF(INDEX(Keys!$E:$E,MATCH($A5,Keys!$D:$D,0))="Y",1,0)),1))</f>
        <v>1</v>
      </c>
      <c r="AA5">
        <f>IF(INDEX(Keys!$F:$F,MATCH($A5,Keys!$D:$D,0))="Y",0,IF($B28=1,IF($B29=1,IF(INDEX(Keys!$H:$H,MATCH($A5,Keys!$D:$D,0))="Y",0,IF(AND(INDEX(Keys!$G:$G,MATCH($A5,Keys!$D:$D,0))="Y",AA$1&lt;Keys!$K$2),0,1)),IF(INDEX(Keys!$E:$E,MATCH($A5,Keys!$D:$D,0))="Y",1,0)),1))</f>
        <v>1</v>
      </c>
      <c r="AB5">
        <f>IF(INDEX(Keys!$F:$F,MATCH($A5,Keys!$D:$D,0))="Y",0,IF($B28=1,IF($B29=1,IF(INDEX(Keys!$H:$H,MATCH($A5,Keys!$D:$D,0))="Y",0,IF(AND(INDEX(Keys!$G:$G,MATCH($A5,Keys!$D:$D,0))="Y",AB$1&lt;Keys!$K$2),0,1)),IF(INDEX(Keys!$E:$E,MATCH($A5,Keys!$D:$D,0))="Y",1,0)),1))</f>
        <v>1</v>
      </c>
      <c r="AC5">
        <f>IF(INDEX(Keys!$F:$F,MATCH($A5,Keys!$D:$D,0))="Y",0,IF($B28=1,IF($B29=1,IF(INDEX(Keys!$H:$H,MATCH($A5,Keys!$D:$D,0))="Y",0,IF(AND(INDEX(Keys!$G:$G,MATCH($A5,Keys!$D:$D,0))="Y",AC$1&lt;Keys!$K$2),0,1)),IF(INDEX(Keys!$E:$E,MATCH($A5,Keys!$D:$D,0))="Y",1,0)),1))</f>
        <v>1</v>
      </c>
      <c r="AD5">
        <f>IF(INDEX(Keys!$F:$F,MATCH($A5,Keys!$D:$D,0))="Y",0,IF($B28=1,IF($B29=1,IF(INDEX(Keys!$H:$H,MATCH($A5,Keys!$D:$D,0))="Y",0,IF(AND(INDEX(Keys!$G:$G,MATCH($A5,Keys!$D:$D,0))="Y",AD$1&lt;Keys!$K$2),0,1)),IF(INDEX(Keys!$E:$E,MATCH($A5,Keys!$D:$D,0))="Y",1,0)),1))</f>
        <v>1</v>
      </c>
      <c r="AE5">
        <f>IF(INDEX(Keys!$F:$F,MATCH($A5,Keys!$D:$D,0))="Y",0,IF($B28=1,IF($B29=1,IF(INDEX(Keys!$H:$H,MATCH($A5,Keys!$D:$D,0))="Y",0,IF(AND(INDEX(Keys!$G:$G,MATCH($A5,Keys!$D:$D,0))="Y",AE$1&lt;Keys!$K$2),0,1)),IF(INDEX(Keys!$E:$E,MATCH($A5,Keys!$D:$D,0))="Y",1,0)),1))</f>
        <v>1</v>
      </c>
    </row>
    <row r="6" spans="1:31" x14ac:dyDescent="0.45">
      <c r="A6" t="str">
        <f>Keys!$D6</f>
        <v>food beverage and tobacco 10T12</v>
      </c>
      <c r="B6">
        <f>IF(INDEX(Keys!$F:$F,MATCH($A6,Keys!$D:$D,0))="Y",0,IF($B28=1,IF($B29=1,IF(INDEX(Keys!$H:$H,MATCH($A6,Keys!$D:$D,0))="Y",0,IF(AND(INDEX(Keys!$G:$G,MATCH($A6,Keys!$D:$D,0))="Y",B$1&lt;Keys!$K$2),0,1)),IF(INDEX(Keys!$E:$E,MATCH($A6,Keys!$D:$D,0))="Y",1,0)),1))</f>
        <v>1</v>
      </c>
      <c r="C6">
        <f>IF(INDEX(Keys!$F:$F,MATCH($A6,Keys!$D:$D,0))="Y",0,IF($B28=1,IF($B29=1,IF(INDEX(Keys!$H:$H,MATCH($A6,Keys!$D:$D,0))="Y",0,IF(AND(INDEX(Keys!$G:$G,MATCH($A6,Keys!$D:$D,0))="Y",C$1&lt;Keys!$K$2),0,1)),IF(INDEX(Keys!$E:$E,MATCH($A6,Keys!$D:$D,0))="Y",1,0)),1))</f>
        <v>1</v>
      </c>
      <c r="D6">
        <f>IF(INDEX(Keys!$F:$F,MATCH($A6,Keys!$D:$D,0))="Y",0,IF($B28=1,IF($B29=1,IF(INDEX(Keys!$H:$H,MATCH($A6,Keys!$D:$D,0))="Y",0,IF(AND(INDEX(Keys!$G:$G,MATCH($A6,Keys!$D:$D,0))="Y",D$1&lt;Keys!$K$2),0,1)),IF(INDEX(Keys!$E:$E,MATCH($A6,Keys!$D:$D,0))="Y",1,0)),1))</f>
        <v>1</v>
      </c>
      <c r="E6">
        <f>IF(INDEX(Keys!$F:$F,MATCH($A6,Keys!$D:$D,0))="Y",0,IF($B28=1,IF($B29=1,IF(INDEX(Keys!$H:$H,MATCH($A6,Keys!$D:$D,0))="Y",0,IF(AND(INDEX(Keys!$G:$G,MATCH($A6,Keys!$D:$D,0))="Y",E$1&lt;Keys!$K$2),0,1)),IF(INDEX(Keys!$E:$E,MATCH($A6,Keys!$D:$D,0))="Y",1,0)),1))</f>
        <v>1</v>
      </c>
      <c r="F6">
        <f>IF(INDEX(Keys!$F:$F,MATCH($A6,Keys!$D:$D,0))="Y",0,IF($B28=1,IF($B29=1,IF(INDEX(Keys!$H:$H,MATCH($A6,Keys!$D:$D,0))="Y",0,IF(AND(INDEX(Keys!$G:$G,MATCH($A6,Keys!$D:$D,0))="Y",F$1&lt;Keys!$K$2),0,1)),IF(INDEX(Keys!$E:$E,MATCH($A6,Keys!$D:$D,0))="Y",1,0)),1))</f>
        <v>1</v>
      </c>
      <c r="G6">
        <f>IF(INDEX(Keys!$F:$F,MATCH($A6,Keys!$D:$D,0))="Y",0,IF($B28=1,IF($B29=1,IF(INDEX(Keys!$H:$H,MATCH($A6,Keys!$D:$D,0))="Y",0,IF(AND(INDEX(Keys!$G:$G,MATCH($A6,Keys!$D:$D,0))="Y",G$1&lt;Keys!$K$2),0,1)),IF(INDEX(Keys!$E:$E,MATCH($A6,Keys!$D:$D,0))="Y",1,0)),1))</f>
        <v>1</v>
      </c>
      <c r="H6">
        <f>IF(INDEX(Keys!$F:$F,MATCH($A6,Keys!$D:$D,0))="Y",0,IF($B28=1,IF($B29=1,IF(INDEX(Keys!$H:$H,MATCH($A6,Keys!$D:$D,0))="Y",0,IF(AND(INDEX(Keys!$G:$G,MATCH($A6,Keys!$D:$D,0))="Y",H$1&lt;Keys!$K$2),0,1)),IF(INDEX(Keys!$E:$E,MATCH($A6,Keys!$D:$D,0))="Y",1,0)),1))</f>
        <v>1</v>
      </c>
      <c r="I6">
        <f>IF(INDEX(Keys!$F:$F,MATCH($A6,Keys!$D:$D,0))="Y",0,IF($B28=1,IF($B29=1,IF(INDEX(Keys!$H:$H,MATCH($A6,Keys!$D:$D,0))="Y",0,IF(AND(INDEX(Keys!$G:$G,MATCH($A6,Keys!$D:$D,0))="Y",I$1&lt;Keys!$K$2),0,1)),IF(INDEX(Keys!$E:$E,MATCH($A6,Keys!$D:$D,0))="Y",1,0)),1))</f>
        <v>1</v>
      </c>
      <c r="J6">
        <f>IF(INDEX(Keys!$F:$F,MATCH($A6,Keys!$D:$D,0))="Y",0,IF($B28=1,IF($B29=1,IF(INDEX(Keys!$H:$H,MATCH($A6,Keys!$D:$D,0))="Y",0,IF(AND(INDEX(Keys!$G:$G,MATCH($A6,Keys!$D:$D,0))="Y",J$1&lt;Keys!$K$2),0,1)),IF(INDEX(Keys!$E:$E,MATCH($A6,Keys!$D:$D,0))="Y",1,0)),1))</f>
        <v>1</v>
      </c>
      <c r="K6">
        <f>IF(INDEX(Keys!$F:$F,MATCH($A6,Keys!$D:$D,0))="Y",0,IF($B28=1,IF($B29=1,IF(INDEX(Keys!$H:$H,MATCH($A6,Keys!$D:$D,0))="Y",0,IF(AND(INDEX(Keys!$G:$G,MATCH($A6,Keys!$D:$D,0))="Y",K$1&lt;Keys!$K$2),0,1)),IF(INDEX(Keys!$E:$E,MATCH($A6,Keys!$D:$D,0))="Y",1,0)),1))</f>
        <v>1</v>
      </c>
      <c r="L6">
        <f>IF(INDEX(Keys!$F:$F,MATCH($A6,Keys!$D:$D,0))="Y",0,IF($B28=1,IF($B29=1,IF(INDEX(Keys!$H:$H,MATCH($A6,Keys!$D:$D,0))="Y",0,IF(AND(INDEX(Keys!$G:$G,MATCH($A6,Keys!$D:$D,0))="Y",L$1&lt;Keys!$K$2),0,1)),IF(INDEX(Keys!$E:$E,MATCH($A6,Keys!$D:$D,0))="Y",1,0)),1))</f>
        <v>1</v>
      </c>
      <c r="M6">
        <f>IF(INDEX(Keys!$F:$F,MATCH($A6,Keys!$D:$D,0))="Y",0,IF($B28=1,IF($B29=1,IF(INDEX(Keys!$H:$H,MATCH($A6,Keys!$D:$D,0))="Y",0,IF(AND(INDEX(Keys!$G:$G,MATCH($A6,Keys!$D:$D,0))="Y",M$1&lt;Keys!$K$2),0,1)),IF(INDEX(Keys!$E:$E,MATCH($A6,Keys!$D:$D,0))="Y",1,0)),1))</f>
        <v>1</v>
      </c>
      <c r="N6">
        <f>IF(INDEX(Keys!$F:$F,MATCH($A6,Keys!$D:$D,0))="Y",0,IF($B28=1,IF($B29=1,IF(INDEX(Keys!$H:$H,MATCH($A6,Keys!$D:$D,0))="Y",0,IF(AND(INDEX(Keys!$G:$G,MATCH($A6,Keys!$D:$D,0))="Y",N$1&lt;Keys!$K$2),0,1)),IF(INDEX(Keys!$E:$E,MATCH($A6,Keys!$D:$D,0))="Y",1,0)),1))</f>
        <v>1</v>
      </c>
      <c r="O6">
        <f>IF(INDEX(Keys!$F:$F,MATCH($A6,Keys!$D:$D,0))="Y",0,IF($B28=1,IF($B29=1,IF(INDEX(Keys!$H:$H,MATCH($A6,Keys!$D:$D,0))="Y",0,IF(AND(INDEX(Keys!$G:$G,MATCH($A6,Keys!$D:$D,0))="Y",O$1&lt;Keys!$K$2),0,1)),IF(INDEX(Keys!$E:$E,MATCH($A6,Keys!$D:$D,0))="Y",1,0)),1))</f>
        <v>1</v>
      </c>
      <c r="P6">
        <f>IF(INDEX(Keys!$F:$F,MATCH($A6,Keys!$D:$D,0))="Y",0,IF($B28=1,IF($B29=1,IF(INDEX(Keys!$H:$H,MATCH($A6,Keys!$D:$D,0))="Y",0,IF(AND(INDEX(Keys!$G:$G,MATCH($A6,Keys!$D:$D,0))="Y",P$1&lt;Keys!$K$2),0,1)),IF(INDEX(Keys!$E:$E,MATCH($A6,Keys!$D:$D,0))="Y",1,0)),1))</f>
        <v>1</v>
      </c>
      <c r="Q6">
        <f>IF(INDEX(Keys!$F:$F,MATCH($A6,Keys!$D:$D,0))="Y",0,IF($B28=1,IF($B29=1,IF(INDEX(Keys!$H:$H,MATCH($A6,Keys!$D:$D,0))="Y",0,IF(AND(INDEX(Keys!$G:$G,MATCH($A6,Keys!$D:$D,0))="Y",Q$1&lt;Keys!$K$2),0,1)),IF(INDEX(Keys!$E:$E,MATCH($A6,Keys!$D:$D,0))="Y",1,0)),1))</f>
        <v>1</v>
      </c>
      <c r="R6">
        <f>IF(INDEX(Keys!$F:$F,MATCH($A6,Keys!$D:$D,0))="Y",0,IF($B28=1,IF($B29=1,IF(INDEX(Keys!$H:$H,MATCH($A6,Keys!$D:$D,0))="Y",0,IF(AND(INDEX(Keys!$G:$G,MATCH($A6,Keys!$D:$D,0))="Y",R$1&lt;Keys!$K$2),0,1)),IF(INDEX(Keys!$E:$E,MATCH($A6,Keys!$D:$D,0))="Y",1,0)),1))</f>
        <v>1</v>
      </c>
      <c r="S6">
        <f>IF(INDEX(Keys!$F:$F,MATCH($A6,Keys!$D:$D,0))="Y",0,IF($B28=1,IF($B29=1,IF(INDEX(Keys!$H:$H,MATCH($A6,Keys!$D:$D,0))="Y",0,IF(AND(INDEX(Keys!$G:$G,MATCH($A6,Keys!$D:$D,0))="Y",S$1&lt;Keys!$K$2),0,1)),IF(INDEX(Keys!$E:$E,MATCH($A6,Keys!$D:$D,0))="Y",1,0)),1))</f>
        <v>1</v>
      </c>
      <c r="T6">
        <f>IF(INDEX(Keys!$F:$F,MATCH($A6,Keys!$D:$D,0))="Y",0,IF($B28=1,IF($B29=1,IF(INDEX(Keys!$H:$H,MATCH($A6,Keys!$D:$D,0))="Y",0,IF(AND(INDEX(Keys!$G:$G,MATCH($A6,Keys!$D:$D,0))="Y",T$1&lt;Keys!$K$2),0,1)),IF(INDEX(Keys!$E:$E,MATCH($A6,Keys!$D:$D,0))="Y",1,0)),1))</f>
        <v>1</v>
      </c>
      <c r="U6">
        <f>IF(INDEX(Keys!$F:$F,MATCH($A6,Keys!$D:$D,0))="Y",0,IF($B28=1,IF($B29=1,IF(INDEX(Keys!$H:$H,MATCH($A6,Keys!$D:$D,0))="Y",0,IF(AND(INDEX(Keys!$G:$G,MATCH($A6,Keys!$D:$D,0))="Y",U$1&lt;Keys!$K$2),0,1)),IF(INDEX(Keys!$E:$E,MATCH($A6,Keys!$D:$D,0))="Y",1,0)),1))</f>
        <v>1</v>
      </c>
      <c r="V6">
        <f>IF(INDEX(Keys!$F:$F,MATCH($A6,Keys!$D:$D,0))="Y",0,IF($B28=1,IF($B29=1,IF(INDEX(Keys!$H:$H,MATCH($A6,Keys!$D:$D,0))="Y",0,IF(AND(INDEX(Keys!$G:$G,MATCH($A6,Keys!$D:$D,0))="Y",V$1&lt;Keys!$K$2),0,1)),IF(INDEX(Keys!$E:$E,MATCH($A6,Keys!$D:$D,0))="Y",1,0)),1))</f>
        <v>1</v>
      </c>
      <c r="W6">
        <f>IF(INDEX(Keys!$F:$F,MATCH($A6,Keys!$D:$D,0))="Y",0,IF($B28=1,IF($B29=1,IF(INDEX(Keys!$H:$H,MATCH($A6,Keys!$D:$D,0))="Y",0,IF(AND(INDEX(Keys!$G:$G,MATCH($A6,Keys!$D:$D,0))="Y",W$1&lt;Keys!$K$2),0,1)),IF(INDEX(Keys!$E:$E,MATCH($A6,Keys!$D:$D,0))="Y",1,0)),1))</f>
        <v>1</v>
      </c>
      <c r="X6">
        <f>IF(INDEX(Keys!$F:$F,MATCH($A6,Keys!$D:$D,0))="Y",0,IF($B28=1,IF($B29=1,IF(INDEX(Keys!$H:$H,MATCH($A6,Keys!$D:$D,0))="Y",0,IF(AND(INDEX(Keys!$G:$G,MATCH($A6,Keys!$D:$D,0))="Y",X$1&lt;Keys!$K$2),0,1)),IF(INDEX(Keys!$E:$E,MATCH($A6,Keys!$D:$D,0))="Y",1,0)),1))</f>
        <v>1</v>
      </c>
      <c r="Y6">
        <f>IF(INDEX(Keys!$F:$F,MATCH($A6,Keys!$D:$D,0))="Y",0,IF($B28=1,IF($B29=1,IF(INDEX(Keys!$H:$H,MATCH($A6,Keys!$D:$D,0))="Y",0,IF(AND(INDEX(Keys!$G:$G,MATCH($A6,Keys!$D:$D,0))="Y",Y$1&lt;Keys!$K$2),0,1)),IF(INDEX(Keys!$E:$E,MATCH($A6,Keys!$D:$D,0))="Y",1,0)),1))</f>
        <v>1</v>
      </c>
      <c r="Z6">
        <f>IF(INDEX(Keys!$F:$F,MATCH($A6,Keys!$D:$D,0))="Y",0,IF($B28=1,IF($B29=1,IF(INDEX(Keys!$H:$H,MATCH($A6,Keys!$D:$D,0))="Y",0,IF(AND(INDEX(Keys!$G:$G,MATCH($A6,Keys!$D:$D,0))="Y",Z$1&lt;Keys!$K$2),0,1)),IF(INDEX(Keys!$E:$E,MATCH($A6,Keys!$D:$D,0))="Y",1,0)),1))</f>
        <v>1</v>
      </c>
      <c r="AA6">
        <f>IF(INDEX(Keys!$F:$F,MATCH($A6,Keys!$D:$D,0))="Y",0,IF($B28=1,IF($B29=1,IF(INDEX(Keys!$H:$H,MATCH($A6,Keys!$D:$D,0))="Y",0,IF(AND(INDEX(Keys!$G:$G,MATCH($A6,Keys!$D:$D,0))="Y",AA$1&lt;Keys!$K$2),0,1)),IF(INDEX(Keys!$E:$E,MATCH($A6,Keys!$D:$D,0))="Y",1,0)),1))</f>
        <v>1</v>
      </c>
      <c r="AB6">
        <f>IF(INDEX(Keys!$F:$F,MATCH($A6,Keys!$D:$D,0))="Y",0,IF($B28=1,IF($B29=1,IF(INDEX(Keys!$H:$H,MATCH($A6,Keys!$D:$D,0))="Y",0,IF(AND(INDEX(Keys!$G:$G,MATCH($A6,Keys!$D:$D,0))="Y",AB$1&lt;Keys!$K$2),0,1)),IF(INDEX(Keys!$E:$E,MATCH($A6,Keys!$D:$D,0))="Y",1,0)),1))</f>
        <v>1</v>
      </c>
      <c r="AC6">
        <f>IF(INDEX(Keys!$F:$F,MATCH($A6,Keys!$D:$D,0))="Y",0,IF($B28=1,IF($B29=1,IF(INDEX(Keys!$H:$H,MATCH($A6,Keys!$D:$D,0))="Y",0,IF(AND(INDEX(Keys!$G:$G,MATCH($A6,Keys!$D:$D,0))="Y",AC$1&lt;Keys!$K$2),0,1)),IF(INDEX(Keys!$E:$E,MATCH($A6,Keys!$D:$D,0))="Y",1,0)),1))</f>
        <v>1</v>
      </c>
      <c r="AD6">
        <f>IF(INDEX(Keys!$F:$F,MATCH($A6,Keys!$D:$D,0))="Y",0,IF($B28=1,IF($B29=1,IF(INDEX(Keys!$H:$H,MATCH($A6,Keys!$D:$D,0))="Y",0,IF(AND(INDEX(Keys!$G:$G,MATCH($A6,Keys!$D:$D,0))="Y",AD$1&lt;Keys!$K$2),0,1)),IF(INDEX(Keys!$E:$E,MATCH($A6,Keys!$D:$D,0))="Y",1,0)),1))</f>
        <v>1</v>
      </c>
      <c r="AE6">
        <f>IF(INDEX(Keys!$F:$F,MATCH($A6,Keys!$D:$D,0))="Y",0,IF($B28=1,IF($B29=1,IF(INDEX(Keys!$H:$H,MATCH($A6,Keys!$D:$D,0))="Y",0,IF(AND(INDEX(Keys!$G:$G,MATCH($A6,Keys!$D:$D,0))="Y",AE$1&lt;Keys!$K$2),0,1)),IF(INDEX(Keys!$E:$E,MATCH($A6,Keys!$D:$D,0))="Y",1,0)),1))</f>
        <v>1</v>
      </c>
    </row>
    <row r="7" spans="1:31" x14ac:dyDescent="0.45">
      <c r="A7" t="str">
        <f>Keys!$D7</f>
        <v>textiles apparel and leather 13T15</v>
      </c>
      <c r="B7">
        <f>IF(INDEX(Keys!$F:$F,MATCH($A7,Keys!$D:$D,0))="Y",0,IF($B28=1,IF($B29=1,IF(INDEX(Keys!$H:$H,MATCH($A7,Keys!$D:$D,0))="Y",0,IF(AND(INDEX(Keys!$G:$G,MATCH($A7,Keys!$D:$D,0))="Y",B$1&lt;Keys!$K$2),0,1)),IF(INDEX(Keys!$E:$E,MATCH($A7,Keys!$D:$D,0))="Y",1,0)),1))</f>
        <v>1</v>
      </c>
      <c r="C7">
        <f>IF(INDEX(Keys!$F:$F,MATCH($A7,Keys!$D:$D,0))="Y",0,IF($B28=1,IF($B29=1,IF(INDEX(Keys!$H:$H,MATCH($A7,Keys!$D:$D,0))="Y",0,IF(AND(INDEX(Keys!$G:$G,MATCH($A7,Keys!$D:$D,0))="Y",C$1&lt;Keys!$K$2),0,1)),IF(INDEX(Keys!$E:$E,MATCH($A7,Keys!$D:$D,0))="Y",1,0)),1))</f>
        <v>1</v>
      </c>
      <c r="D7">
        <f>IF(INDEX(Keys!$F:$F,MATCH($A7,Keys!$D:$D,0))="Y",0,IF($B28=1,IF($B29=1,IF(INDEX(Keys!$H:$H,MATCH($A7,Keys!$D:$D,0))="Y",0,IF(AND(INDEX(Keys!$G:$G,MATCH($A7,Keys!$D:$D,0))="Y",D$1&lt;Keys!$K$2),0,1)),IF(INDEX(Keys!$E:$E,MATCH($A7,Keys!$D:$D,0))="Y",1,0)),1))</f>
        <v>1</v>
      </c>
      <c r="E7">
        <f>IF(INDEX(Keys!$F:$F,MATCH($A7,Keys!$D:$D,0))="Y",0,IF($B28=1,IF($B29=1,IF(INDEX(Keys!$H:$H,MATCH($A7,Keys!$D:$D,0))="Y",0,IF(AND(INDEX(Keys!$G:$G,MATCH($A7,Keys!$D:$D,0))="Y",E$1&lt;Keys!$K$2),0,1)),IF(INDEX(Keys!$E:$E,MATCH($A7,Keys!$D:$D,0))="Y",1,0)),1))</f>
        <v>1</v>
      </c>
      <c r="F7">
        <f>IF(INDEX(Keys!$F:$F,MATCH($A7,Keys!$D:$D,0))="Y",0,IF($B28=1,IF($B29=1,IF(INDEX(Keys!$H:$H,MATCH($A7,Keys!$D:$D,0))="Y",0,IF(AND(INDEX(Keys!$G:$G,MATCH($A7,Keys!$D:$D,0))="Y",F$1&lt;Keys!$K$2),0,1)),IF(INDEX(Keys!$E:$E,MATCH($A7,Keys!$D:$D,0))="Y",1,0)),1))</f>
        <v>1</v>
      </c>
      <c r="G7">
        <f>IF(INDEX(Keys!$F:$F,MATCH($A7,Keys!$D:$D,0))="Y",0,IF($B28=1,IF($B29=1,IF(INDEX(Keys!$H:$H,MATCH($A7,Keys!$D:$D,0))="Y",0,IF(AND(INDEX(Keys!$G:$G,MATCH($A7,Keys!$D:$D,0))="Y",G$1&lt;Keys!$K$2),0,1)),IF(INDEX(Keys!$E:$E,MATCH($A7,Keys!$D:$D,0))="Y",1,0)),1))</f>
        <v>1</v>
      </c>
      <c r="H7">
        <f>IF(INDEX(Keys!$F:$F,MATCH($A7,Keys!$D:$D,0))="Y",0,IF($B28=1,IF($B29=1,IF(INDEX(Keys!$H:$H,MATCH($A7,Keys!$D:$D,0))="Y",0,IF(AND(INDEX(Keys!$G:$G,MATCH($A7,Keys!$D:$D,0))="Y",H$1&lt;Keys!$K$2),0,1)),IF(INDEX(Keys!$E:$E,MATCH($A7,Keys!$D:$D,0))="Y",1,0)),1))</f>
        <v>1</v>
      </c>
      <c r="I7">
        <f>IF(INDEX(Keys!$F:$F,MATCH($A7,Keys!$D:$D,0))="Y",0,IF($B28=1,IF($B29=1,IF(INDEX(Keys!$H:$H,MATCH($A7,Keys!$D:$D,0))="Y",0,IF(AND(INDEX(Keys!$G:$G,MATCH($A7,Keys!$D:$D,0))="Y",I$1&lt;Keys!$K$2),0,1)),IF(INDEX(Keys!$E:$E,MATCH($A7,Keys!$D:$D,0))="Y",1,0)),1))</f>
        <v>1</v>
      </c>
      <c r="J7">
        <f>IF(INDEX(Keys!$F:$F,MATCH($A7,Keys!$D:$D,0))="Y",0,IF($B28=1,IF($B29=1,IF(INDEX(Keys!$H:$H,MATCH($A7,Keys!$D:$D,0))="Y",0,IF(AND(INDEX(Keys!$G:$G,MATCH($A7,Keys!$D:$D,0))="Y",J$1&lt;Keys!$K$2),0,1)),IF(INDEX(Keys!$E:$E,MATCH($A7,Keys!$D:$D,0))="Y",1,0)),1))</f>
        <v>1</v>
      </c>
      <c r="K7">
        <f>IF(INDEX(Keys!$F:$F,MATCH($A7,Keys!$D:$D,0))="Y",0,IF($B28=1,IF($B29=1,IF(INDEX(Keys!$H:$H,MATCH($A7,Keys!$D:$D,0))="Y",0,IF(AND(INDEX(Keys!$G:$G,MATCH($A7,Keys!$D:$D,0))="Y",K$1&lt;Keys!$K$2),0,1)),IF(INDEX(Keys!$E:$E,MATCH($A7,Keys!$D:$D,0))="Y",1,0)),1))</f>
        <v>1</v>
      </c>
      <c r="L7">
        <f>IF(INDEX(Keys!$F:$F,MATCH($A7,Keys!$D:$D,0))="Y",0,IF($B28=1,IF($B29=1,IF(INDEX(Keys!$H:$H,MATCH($A7,Keys!$D:$D,0))="Y",0,IF(AND(INDEX(Keys!$G:$G,MATCH($A7,Keys!$D:$D,0))="Y",L$1&lt;Keys!$K$2),0,1)),IF(INDEX(Keys!$E:$E,MATCH($A7,Keys!$D:$D,0))="Y",1,0)),1))</f>
        <v>1</v>
      </c>
      <c r="M7">
        <f>IF(INDEX(Keys!$F:$F,MATCH($A7,Keys!$D:$D,0))="Y",0,IF($B28=1,IF($B29=1,IF(INDEX(Keys!$H:$H,MATCH($A7,Keys!$D:$D,0))="Y",0,IF(AND(INDEX(Keys!$G:$G,MATCH($A7,Keys!$D:$D,0))="Y",M$1&lt;Keys!$K$2),0,1)),IF(INDEX(Keys!$E:$E,MATCH($A7,Keys!$D:$D,0))="Y",1,0)),1))</f>
        <v>1</v>
      </c>
      <c r="N7">
        <f>IF(INDEX(Keys!$F:$F,MATCH($A7,Keys!$D:$D,0))="Y",0,IF($B28=1,IF($B29=1,IF(INDEX(Keys!$H:$H,MATCH($A7,Keys!$D:$D,0))="Y",0,IF(AND(INDEX(Keys!$G:$G,MATCH($A7,Keys!$D:$D,0))="Y",N$1&lt;Keys!$K$2),0,1)),IF(INDEX(Keys!$E:$E,MATCH($A7,Keys!$D:$D,0))="Y",1,0)),1))</f>
        <v>1</v>
      </c>
      <c r="O7">
        <f>IF(INDEX(Keys!$F:$F,MATCH($A7,Keys!$D:$D,0))="Y",0,IF($B28=1,IF($B29=1,IF(INDEX(Keys!$H:$H,MATCH($A7,Keys!$D:$D,0))="Y",0,IF(AND(INDEX(Keys!$G:$G,MATCH($A7,Keys!$D:$D,0))="Y",O$1&lt;Keys!$K$2),0,1)),IF(INDEX(Keys!$E:$E,MATCH($A7,Keys!$D:$D,0))="Y",1,0)),1))</f>
        <v>1</v>
      </c>
      <c r="P7">
        <f>IF(INDEX(Keys!$F:$F,MATCH($A7,Keys!$D:$D,0))="Y",0,IF($B28=1,IF($B29=1,IF(INDEX(Keys!$H:$H,MATCH($A7,Keys!$D:$D,0))="Y",0,IF(AND(INDEX(Keys!$G:$G,MATCH($A7,Keys!$D:$D,0))="Y",P$1&lt;Keys!$K$2),0,1)),IF(INDEX(Keys!$E:$E,MATCH($A7,Keys!$D:$D,0))="Y",1,0)),1))</f>
        <v>1</v>
      </c>
      <c r="Q7">
        <f>IF(INDEX(Keys!$F:$F,MATCH($A7,Keys!$D:$D,0))="Y",0,IF($B28=1,IF($B29=1,IF(INDEX(Keys!$H:$H,MATCH($A7,Keys!$D:$D,0))="Y",0,IF(AND(INDEX(Keys!$G:$G,MATCH($A7,Keys!$D:$D,0))="Y",Q$1&lt;Keys!$K$2),0,1)),IF(INDEX(Keys!$E:$E,MATCH($A7,Keys!$D:$D,0))="Y",1,0)),1))</f>
        <v>1</v>
      </c>
      <c r="R7">
        <f>IF(INDEX(Keys!$F:$F,MATCH($A7,Keys!$D:$D,0))="Y",0,IF($B28=1,IF($B29=1,IF(INDEX(Keys!$H:$H,MATCH($A7,Keys!$D:$D,0))="Y",0,IF(AND(INDEX(Keys!$G:$G,MATCH($A7,Keys!$D:$D,0))="Y",R$1&lt;Keys!$K$2),0,1)),IF(INDEX(Keys!$E:$E,MATCH($A7,Keys!$D:$D,0))="Y",1,0)),1))</f>
        <v>1</v>
      </c>
      <c r="S7">
        <f>IF(INDEX(Keys!$F:$F,MATCH($A7,Keys!$D:$D,0))="Y",0,IF($B28=1,IF($B29=1,IF(INDEX(Keys!$H:$H,MATCH($A7,Keys!$D:$D,0))="Y",0,IF(AND(INDEX(Keys!$G:$G,MATCH($A7,Keys!$D:$D,0))="Y",S$1&lt;Keys!$K$2),0,1)),IF(INDEX(Keys!$E:$E,MATCH($A7,Keys!$D:$D,0))="Y",1,0)),1))</f>
        <v>1</v>
      </c>
      <c r="T7">
        <f>IF(INDEX(Keys!$F:$F,MATCH($A7,Keys!$D:$D,0))="Y",0,IF($B28=1,IF($B29=1,IF(INDEX(Keys!$H:$H,MATCH($A7,Keys!$D:$D,0))="Y",0,IF(AND(INDEX(Keys!$G:$G,MATCH($A7,Keys!$D:$D,0))="Y",T$1&lt;Keys!$K$2),0,1)),IF(INDEX(Keys!$E:$E,MATCH($A7,Keys!$D:$D,0))="Y",1,0)),1))</f>
        <v>1</v>
      </c>
      <c r="U7">
        <f>IF(INDEX(Keys!$F:$F,MATCH($A7,Keys!$D:$D,0))="Y",0,IF($B28=1,IF($B29=1,IF(INDEX(Keys!$H:$H,MATCH($A7,Keys!$D:$D,0))="Y",0,IF(AND(INDEX(Keys!$G:$G,MATCH($A7,Keys!$D:$D,0))="Y",U$1&lt;Keys!$K$2),0,1)),IF(INDEX(Keys!$E:$E,MATCH($A7,Keys!$D:$D,0))="Y",1,0)),1))</f>
        <v>1</v>
      </c>
      <c r="V7">
        <f>IF(INDEX(Keys!$F:$F,MATCH($A7,Keys!$D:$D,0))="Y",0,IF($B28=1,IF($B29=1,IF(INDEX(Keys!$H:$H,MATCH($A7,Keys!$D:$D,0))="Y",0,IF(AND(INDEX(Keys!$G:$G,MATCH($A7,Keys!$D:$D,0))="Y",V$1&lt;Keys!$K$2),0,1)),IF(INDEX(Keys!$E:$E,MATCH($A7,Keys!$D:$D,0))="Y",1,0)),1))</f>
        <v>1</v>
      </c>
      <c r="W7">
        <f>IF(INDEX(Keys!$F:$F,MATCH($A7,Keys!$D:$D,0))="Y",0,IF($B28=1,IF($B29=1,IF(INDEX(Keys!$H:$H,MATCH($A7,Keys!$D:$D,0))="Y",0,IF(AND(INDEX(Keys!$G:$G,MATCH($A7,Keys!$D:$D,0))="Y",W$1&lt;Keys!$K$2),0,1)),IF(INDEX(Keys!$E:$E,MATCH($A7,Keys!$D:$D,0))="Y",1,0)),1))</f>
        <v>1</v>
      </c>
      <c r="X7">
        <f>IF(INDEX(Keys!$F:$F,MATCH($A7,Keys!$D:$D,0))="Y",0,IF($B28=1,IF($B29=1,IF(INDEX(Keys!$H:$H,MATCH($A7,Keys!$D:$D,0))="Y",0,IF(AND(INDEX(Keys!$G:$G,MATCH($A7,Keys!$D:$D,0))="Y",X$1&lt;Keys!$K$2),0,1)),IF(INDEX(Keys!$E:$E,MATCH($A7,Keys!$D:$D,0))="Y",1,0)),1))</f>
        <v>1</v>
      </c>
      <c r="Y7">
        <f>IF(INDEX(Keys!$F:$F,MATCH($A7,Keys!$D:$D,0))="Y",0,IF($B28=1,IF($B29=1,IF(INDEX(Keys!$H:$H,MATCH($A7,Keys!$D:$D,0))="Y",0,IF(AND(INDEX(Keys!$G:$G,MATCH($A7,Keys!$D:$D,0))="Y",Y$1&lt;Keys!$K$2),0,1)),IF(INDEX(Keys!$E:$E,MATCH($A7,Keys!$D:$D,0))="Y",1,0)),1))</f>
        <v>1</v>
      </c>
      <c r="Z7">
        <f>IF(INDEX(Keys!$F:$F,MATCH($A7,Keys!$D:$D,0))="Y",0,IF($B28=1,IF($B29=1,IF(INDEX(Keys!$H:$H,MATCH($A7,Keys!$D:$D,0))="Y",0,IF(AND(INDEX(Keys!$G:$G,MATCH($A7,Keys!$D:$D,0))="Y",Z$1&lt;Keys!$K$2),0,1)),IF(INDEX(Keys!$E:$E,MATCH($A7,Keys!$D:$D,0))="Y",1,0)),1))</f>
        <v>1</v>
      </c>
      <c r="AA7">
        <f>IF(INDEX(Keys!$F:$F,MATCH($A7,Keys!$D:$D,0))="Y",0,IF($B28=1,IF($B29=1,IF(INDEX(Keys!$H:$H,MATCH($A7,Keys!$D:$D,0))="Y",0,IF(AND(INDEX(Keys!$G:$G,MATCH($A7,Keys!$D:$D,0))="Y",AA$1&lt;Keys!$K$2),0,1)),IF(INDEX(Keys!$E:$E,MATCH($A7,Keys!$D:$D,0))="Y",1,0)),1))</f>
        <v>1</v>
      </c>
      <c r="AB7">
        <f>IF(INDEX(Keys!$F:$F,MATCH($A7,Keys!$D:$D,0))="Y",0,IF($B28=1,IF($B29=1,IF(INDEX(Keys!$H:$H,MATCH($A7,Keys!$D:$D,0))="Y",0,IF(AND(INDEX(Keys!$G:$G,MATCH($A7,Keys!$D:$D,0))="Y",AB$1&lt;Keys!$K$2),0,1)),IF(INDEX(Keys!$E:$E,MATCH($A7,Keys!$D:$D,0))="Y",1,0)),1))</f>
        <v>1</v>
      </c>
      <c r="AC7">
        <f>IF(INDEX(Keys!$F:$F,MATCH($A7,Keys!$D:$D,0))="Y",0,IF($B28=1,IF($B29=1,IF(INDEX(Keys!$H:$H,MATCH($A7,Keys!$D:$D,0))="Y",0,IF(AND(INDEX(Keys!$G:$G,MATCH($A7,Keys!$D:$D,0))="Y",AC$1&lt;Keys!$K$2),0,1)),IF(INDEX(Keys!$E:$E,MATCH($A7,Keys!$D:$D,0))="Y",1,0)),1))</f>
        <v>1</v>
      </c>
      <c r="AD7">
        <f>IF(INDEX(Keys!$F:$F,MATCH($A7,Keys!$D:$D,0))="Y",0,IF($B28=1,IF($B29=1,IF(INDEX(Keys!$H:$H,MATCH($A7,Keys!$D:$D,0))="Y",0,IF(AND(INDEX(Keys!$G:$G,MATCH($A7,Keys!$D:$D,0))="Y",AD$1&lt;Keys!$K$2),0,1)),IF(INDEX(Keys!$E:$E,MATCH($A7,Keys!$D:$D,0))="Y",1,0)),1))</f>
        <v>1</v>
      </c>
      <c r="AE7">
        <f>IF(INDEX(Keys!$F:$F,MATCH($A7,Keys!$D:$D,0))="Y",0,IF($B28=1,IF($B29=1,IF(INDEX(Keys!$H:$H,MATCH($A7,Keys!$D:$D,0))="Y",0,IF(AND(INDEX(Keys!$G:$G,MATCH($A7,Keys!$D:$D,0))="Y",AE$1&lt;Keys!$K$2),0,1)),IF(INDEX(Keys!$E:$E,MATCH($A7,Keys!$D:$D,0))="Y",1,0)),1))</f>
        <v>1</v>
      </c>
    </row>
    <row r="8" spans="1:31" x14ac:dyDescent="0.45">
      <c r="A8" t="str">
        <f>Keys!$D8</f>
        <v>wood products 16</v>
      </c>
      <c r="B8">
        <f>IF(INDEX(Keys!$F:$F,MATCH($A8,Keys!$D:$D,0))="Y",0,IF($B28=1,IF($B29=1,IF(INDEX(Keys!$H:$H,MATCH($A8,Keys!$D:$D,0))="Y",0,IF(AND(INDEX(Keys!$G:$G,MATCH($A8,Keys!$D:$D,0))="Y",B$1&lt;Keys!$K$2),0,1)),IF(INDEX(Keys!$E:$E,MATCH($A8,Keys!$D:$D,0))="Y",1,0)),1))</f>
        <v>1</v>
      </c>
      <c r="C8">
        <f>IF(INDEX(Keys!$F:$F,MATCH($A8,Keys!$D:$D,0))="Y",0,IF($B28=1,IF($B29=1,IF(INDEX(Keys!$H:$H,MATCH($A8,Keys!$D:$D,0))="Y",0,IF(AND(INDEX(Keys!$G:$G,MATCH($A8,Keys!$D:$D,0))="Y",C$1&lt;Keys!$K$2),0,1)),IF(INDEX(Keys!$E:$E,MATCH($A8,Keys!$D:$D,0))="Y",1,0)),1))</f>
        <v>1</v>
      </c>
      <c r="D8">
        <f>IF(INDEX(Keys!$F:$F,MATCH($A8,Keys!$D:$D,0))="Y",0,IF($B28=1,IF($B29=1,IF(INDEX(Keys!$H:$H,MATCH($A8,Keys!$D:$D,0))="Y",0,IF(AND(INDEX(Keys!$G:$G,MATCH($A8,Keys!$D:$D,0))="Y",D$1&lt;Keys!$K$2),0,1)),IF(INDEX(Keys!$E:$E,MATCH($A8,Keys!$D:$D,0))="Y",1,0)),1))</f>
        <v>1</v>
      </c>
      <c r="E8">
        <f>IF(INDEX(Keys!$F:$F,MATCH($A8,Keys!$D:$D,0))="Y",0,IF($B28=1,IF($B29=1,IF(INDEX(Keys!$H:$H,MATCH($A8,Keys!$D:$D,0))="Y",0,IF(AND(INDEX(Keys!$G:$G,MATCH($A8,Keys!$D:$D,0))="Y",E$1&lt;Keys!$K$2),0,1)),IF(INDEX(Keys!$E:$E,MATCH($A8,Keys!$D:$D,0))="Y",1,0)),1))</f>
        <v>1</v>
      </c>
      <c r="F8">
        <f>IF(INDEX(Keys!$F:$F,MATCH($A8,Keys!$D:$D,0))="Y",0,IF($B28=1,IF($B29=1,IF(INDEX(Keys!$H:$H,MATCH($A8,Keys!$D:$D,0))="Y",0,IF(AND(INDEX(Keys!$G:$G,MATCH($A8,Keys!$D:$D,0))="Y",F$1&lt;Keys!$K$2),0,1)),IF(INDEX(Keys!$E:$E,MATCH($A8,Keys!$D:$D,0))="Y",1,0)),1))</f>
        <v>1</v>
      </c>
      <c r="G8">
        <f>IF(INDEX(Keys!$F:$F,MATCH($A8,Keys!$D:$D,0))="Y",0,IF($B28=1,IF($B29=1,IF(INDEX(Keys!$H:$H,MATCH($A8,Keys!$D:$D,0))="Y",0,IF(AND(INDEX(Keys!$G:$G,MATCH($A8,Keys!$D:$D,0))="Y",G$1&lt;Keys!$K$2),0,1)),IF(INDEX(Keys!$E:$E,MATCH($A8,Keys!$D:$D,0))="Y",1,0)),1))</f>
        <v>1</v>
      </c>
      <c r="H8">
        <f>IF(INDEX(Keys!$F:$F,MATCH($A8,Keys!$D:$D,0))="Y",0,IF($B28=1,IF($B29=1,IF(INDEX(Keys!$H:$H,MATCH($A8,Keys!$D:$D,0))="Y",0,IF(AND(INDEX(Keys!$G:$G,MATCH($A8,Keys!$D:$D,0))="Y",H$1&lt;Keys!$K$2),0,1)),IF(INDEX(Keys!$E:$E,MATCH($A8,Keys!$D:$D,0))="Y",1,0)),1))</f>
        <v>1</v>
      </c>
      <c r="I8">
        <f>IF(INDEX(Keys!$F:$F,MATCH($A8,Keys!$D:$D,0))="Y",0,IF($B28=1,IF($B29=1,IF(INDEX(Keys!$H:$H,MATCH($A8,Keys!$D:$D,0))="Y",0,IF(AND(INDEX(Keys!$G:$G,MATCH($A8,Keys!$D:$D,0))="Y",I$1&lt;Keys!$K$2),0,1)),IF(INDEX(Keys!$E:$E,MATCH($A8,Keys!$D:$D,0))="Y",1,0)),1))</f>
        <v>1</v>
      </c>
      <c r="J8">
        <f>IF(INDEX(Keys!$F:$F,MATCH($A8,Keys!$D:$D,0))="Y",0,IF($B28=1,IF($B29=1,IF(INDEX(Keys!$H:$H,MATCH($A8,Keys!$D:$D,0))="Y",0,IF(AND(INDEX(Keys!$G:$G,MATCH($A8,Keys!$D:$D,0))="Y",J$1&lt;Keys!$K$2),0,1)),IF(INDEX(Keys!$E:$E,MATCH($A8,Keys!$D:$D,0))="Y",1,0)),1))</f>
        <v>1</v>
      </c>
      <c r="K8">
        <f>IF(INDEX(Keys!$F:$F,MATCH($A8,Keys!$D:$D,0))="Y",0,IF($B28=1,IF($B29=1,IF(INDEX(Keys!$H:$H,MATCH($A8,Keys!$D:$D,0))="Y",0,IF(AND(INDEX(Keys!$G:$G,MATCH($A8,Keys!$D:$D,0))="Y",K$1&lt;Keys!$K$2),0,1)),IF(INDEX(Keys!$E:$E,MATCH($A8,Keys!$D:$D,0))="Y",1,0)),1))</f>
        <v>1</v>
      </c>
      <c r="L8">
        <f>IF(INDEX(Keys!$F:$F,MATCH($A8,Keys!$D:$D,0))="Y",0,IF($B28=1,IF($B29=1,IF(INDEX(Keys!$H:$H,MATCH($A8,Keys!$D:$D,0))="Y",0,IF(AND(INDEX(Keys!$G:$G,MATCH($A8,Keys!$D:$D,0))="Y",L$1&lt;Keys!$K$2),0,1)),IF(INDEX(Keys!$E:$E,MATCH($A8,Keys!$D:$D,0))="Y",1,0)),1))</f>
        <v>1</v>
      </c>
      <c r="M8">
        <f>IF(INDEX(Keys!$F:$F,MATCH($A8,Keys!$D:$D,0))="Y",0,IF($B28=1,IF($B29=1,IF(INDEX(Keys!$H:$H,MATCH($A8,Keys!$D:$D,0))="Y",0,IF(AND(INDEX(Keys!$G:$G,MATCH($A8,Keys!$D:$D,0))="Y",M$1&lt;Keys!$K$2),0,1)),IF(INDEX(Keys!$E:$E,MATCH($A8,Keys!$D:$D,0))="Y",1,0)),1))</f>
        <v>1</v>
      </c>
      <c r="N8">
        <f>IF(INDEX(Keys!$F:$F,MATCH($A8,Keys!$D:$D,0))="Y",0,IF($B28=1,IF($B29=1,IF(INDEX(Keys!$H:$H,MATCH($A8,Keys!$D:$D,0))="Y",0,IF(AND(INDEX(Keys!$G:$G,MATCH($A8,Keys!$D:$D,0))="Y",N$1&lt;Keys!$K$2),0,1)),IF(INDEX(Keys!$E:$E,MATCH($A8,Keys!$D:$D,0))="Y",1,0)),1))</f>
        <v>1</v>
      </c>
      <c r="O8">
        <f>IF(INDEX(Keys!$F:$F,MATCH($A8,Keys!$D:$D,0))="Y",0,IF($B28=1,IF($B29=1,IF(INDEX(Keys!$H:$H,MATCH($A8,Keys!$D:$D,0))="Y",0,IF(AND(INDEX(Keys!$G:$G,MATCH($A8,Keys!$D:$D,0))="Y",O$1&lt;Keys!$K$2),0,1)),IF(INDEX(Keys!$E:$E,MATCH($A8,Keys!$D:$D,0))="Y",1,0)),1))</f>
        <v>1</v>
      </c>
      <c r="P8">
        <f>IF(INDEX(Keys!$F:$F,MATCH($A8,Keys!$D:$D,0))="Y",0,IF($B28=1,IF($B29=1,IF(INDEX(Keys!$H:$H,MATCH($A8,Keys!$D:$D,0))="Y",0,IF(AND(INDEX(Keys!$G:$G,MATCH($A8,Keys!$D:$D,0))="Y",P$1&lt;Keys!$K$2),0,1)),IF(INDEX(Keys!$E:$E,MATCH($A8,Keys!$D:$D,0))="Y",1,0)),1))</f>
        <v>1</v>
      </c>
      <c r="Q8">
        <f>IF(INDEX(Keys!$F:$F,MATCH($A8,Keys!$D:$D,0))="Y",0,IF($B28=1,IF($B29=1,IF(INDEX(Keys!$H:$H,MATCH($A8,Keys!$D:$D,0))="Y",0,IF(AND(INDEX(Keys!$G:$G,MATCH($A8,Keys!$D:$D,0))="Y",Q$1&lt;Keys!$K$2),0,1)),IF(INDEX(Keys!$E:$E,MATCH($A8,Keys!$D:$D,0))="Y",1,0)),1))</f>
        <v>1</v>
      </c>
      <c r="R8">
        <f>IF(INDEX(Keys!$F:$F,MATCH($A8,Keys!$D:$D,0))="Y",0,IF($B28=1,IF($B29=1,IF(INDEX(Keys!$H:$H,MATCH($A8,Keys!$D:$D,0))="Y",0,IF(AND(INDEX(Keys!$G:$G,MATCH($A8,Keys!$D:$D,0))="Y",R$1&lt;Keys!$K$2),0,1)),IF(INDEX(Keys!$E:$E,MATCH($A8,Keys!$D:$D,0))="Y",1,0)),1))</f>
        <v>1</v>
      </c>
      <c r="S8">
        <f>IF(INDEX(Keys!$F:$F,MATCH($A8,Keys!$D:$D,0))="Y",0,IF($B28=1,IF($B29=1,IF(INDEX(Keys!$H:$H,MATCH($A8,Keys!$D:$D,0))="Y",0,IF(AND(INDEX(Keys!$G:$G,MATCH($A8,Keys!$D:$D,0))="Y",S$1&lt;Keys!$K$2),0,1)),IF(INDEX(Keys!$E:$E,MATCH($A8,Keys!$D:$D,0))="Y",1,0)),1))</f>
        <v>1</v>
      </c>
      <c r="T8">
        <f>IF(INDEX(Keys!$F:$F,MATCH($A8,Keys!$D:$D,0))="Y",0,IF($B28=1,IF($B29=1,IF(INDEX(Keys!$H:$H,MATCH($A8,Keys!$D:$D,0))="Y",0,IF(AND(INDEX(Keys!$G:$G,MATCH($A8,Keys!$D:$D,0))="Y",T$1&lt;Keys!$K$2),0,1)),IF(INDEX(Keys!$E:$E,MATCH($A8,Keys!$D:$D,0))="Y",1,0)),1))</f>
        <v>1</v>
      </c>
      <c r="U8">
        <f>IF(INDEX(Keys!$F:$F,MATCH($A8,Keys!$D:$D,0))="Y",0,IF($B28=1,IF($B29=1,IF(INDEX(Keys!$H:$H,MATCH($A8,Keys!$D:$D,0))="Y",0,IF(AND(INDEX(Keys!$G:$G,MATCH($A8,Keys!$D:$D,0))="Y",U$1&lt;Keys!$K$2),0,1)),IF(INDEX(Keys!$E:$E,MATCH($A8,Keys!$D:$D,0))="Y",1,0)),1))</f>
        <v>1</v>
      </c>
      <c r="V8">
        <f>IF(INDEX(Keys!$F:$F,MATCH($A8,Keys!$D:$D,0))="Y",0,IF($B28=1,IF($B29=1,IF(INDEX(Keys!$H:$H,MATCH($A8,Keys!$D:$D,0))="Y",0,IF(AND(INDEX(Keys!$G:$G,MATCH($A8,Keys!$D:$D,0))="Y",V$1&lt;Keys!$K$2),0,1)),IF(INDEX(Keys!$E:$E,MATCH($A8,Keys!$D:$D,0))="Y",1,0)),1))</f>
        <v>1</v>
      </c>
      <c r="W8">
        <f>IF(INDEX(Keys!$F:$F,MATCH($A8,Keys!$D:$D,0))="Y",0,IF($B28=1,IF($B29=1,IF(INDEX(Keys!$H:$H,MATCH($A8,Keys!$D:$D,0))="Y",0,IF(AND(INDEX(Keys!$G:$G,MATCH($A8,Keys!$D:$D,0))="Y",W$1&lt;Keys!$K$2),0,1)),IF(INDEX(Keys!$E:$E,MATCH($A8,Keys!$D:$D,0))="Y",1,0)),1))</f>
        <v>1</v>
      </c>
      <c r="X8">
        <f>IF(INDEX(Keys!$F:$F,MATCH($A8,Keys!$D:$D,0))="Y",0,IF($B28=1,IF($B29=1,IF(INDEX(Keys!$H:$H,MATCH($A8,Keys!$D:$D,0))="Y",0,IF(AND(INDEX(Keys!$G:$G,MATCH($A8,Keys!$D:$D,0))="Y",X$1&lt;Keys!$K$2),0,1)),IF(INDEX(Keys!$E:$E,MATCH($A8,Keys!$D:$D,0))="Y",1,0)),1))</f>
        <v>1</v>
      </c>
      <c r="Y8">
        <f>IF(INDEX(Keys!$F:$F,MATCH($A8,Keys!$D:$D,0))="Y",0,IF($B28=1,IF($B29=1,IF(INDEX(Keys!$H:$H,MATCH($A8,Keys!$D:$D,0))="Y",0,IF(AND(INDEX(Keys!$G:$G,MATCH($A8,Keys!$D:$D,0))="Y",Y$1&lt;Keys!$K$2),0,1)),IF(INDEX(Keys!$E:$E,MATCH($A8,Keys!$D:$D,0))="Y",1,0)),1))</f>
        <v>1</v>
      </c>
      <c r="Z8">
        <f>IF(INDEX(Keys!$F:$F,MATCH($A8,Keys!$D:$D,0))="Y",0,IF($B28=1,IF($B29=1,IF(INDEX(Keys!$H:$H,MATCH($A8,Keys!$D:$D,0))="Y",0,IF(AND(INDEX(Keys!$G:$G,MATCH($A8,Keys!$D:$D,0))="Y",Z$1&lt;Keys!$K$2),0,1)),IF(INDEX(Keys!$E:$E,MATCH($A8,Keys!$D:$D,0))="Y",1,0)),1))</f>
        <v>1</v>
      </c>
      <c r="AA8">
        <f>IF(INDEX(Keys!$F:$F,MATCH($A8,Keys!$D:$D,0))="Y",0,IF($B28=1,IF($B29=1,IF(INDEX(Keys!$H:$H,MATCH($A8,Keys!$D:$D,0))="Y",0,IF(AND(INDEX(Keys!$G:$G,MATCH($A8,Keys!$D:$D,0))="Y",AA$1&lt;Keys!$K$2),0,1)),IF(INDEX(Keys!$E:$E,MATCH($A8,Keys!$D:$D,0))="Y",1,0)),1))</f>
        <v>1</v>
      </c>
      <c r="AB8">
        <f>IF(INDEX(Keys!$F:$F,MATCH($A8,Keys!$D:$D,0))="Y",0,IF($B28=1,IF($B29=1,IF(INDEX(Keys!$H:$H,MATCH($A8,Keys!$D:$D,0))="Y",0,IF(AND(INDEX(Keys!$G:$G,MATCH($A8,Keys!$D:$D,0))="Y",AB$1&lt;Keys!$K$2),0,1)),IF(INDEX(Keys!$E:$E,MATCH($A8,Keys!$D:$D,0))="Y",1,0)),1))</f>
        <v>1</v>
      </c>
      <c r="AC8">
        <f>IF(INDEX(Keys!$F:$F,MATCH($A8,Keys!$D:$D,0))="Y",0,IF($B28=1,IF($B29=1,IF(INDEX(Keys!$H:$H,MATCH($A8,Keys!$D:$D,0))="Y",0,IF(AND(INDEX(Keys!$G:$G,MATCH($A8,Keys!$D:$D,0))="Y",AC$1&lt;Keys!$K$2),0,1)),IF(INDEX(Keys!$E:$E,MATCH($A8,Keys!$D:$D,0))="Y",1,0)),1))</f>
        <v>1</v>
      </c>
      <c r="AD8">
        <f>IF(INDEX(Keys!$F:$F,MATCH($A8,Keys!$D:$D,0))="Y",0,IF($B28=1,IF($B29=1,IF(INDEX(Keys!$H:$H,MATCH($A8,Keys!$D:$D,0))="Y",0,IF(AND(INDEX(Keys!$G:$G,MATCH($A8,Keys!$D:$D,0))="Y",AD$1&lt;Keys!$K$2),0,1)),IF(INDEX(Keys!$E:$E,MATCH($A8,Keys!$D:$D,0))="Y",1,0)),1))</f>
        <v>1</v>
      </c>
      <c r="AE8">
        <f>IF(INDEX(Keys!$F:$F,MATCH($A8,Keys!$D:$D,0))="Y",0,IF($B28=1,IF($B29=1,IF(INDEX(Keys!$H:$H,MATCH($A8,Keys!$D:$D,0))="Y",0,IF(AND(INDEX(Keys!$G:$G,MATCH($A8,Keys!$D:$D,0))="Y",AE$1&lt;Keys!$K$2),0,1)),IF(INDEX(Keys!$E:$E,MATCH($A8,Keys!$D:$D,0))="Y",1,0)),1))</f>
        <v>1</v>
      </c>
    </row>
    <row r="9" spans="1:31" x14ac:dyDescent="0.45">
      <c r="A9" t="str">
        <f>Keys!$D9</f>
        <v>pulp paper and printing 17T18</v>
      </c>
      <c r="B9">
        <f>IF(INDEX(Keys!$F:$F,MATCH($A9,Keys!$D:$D,0))="Y",0,IF($B28=1,IF($B29=1,IF(INDEX(Keys!$H:$H,MATCH($A9,Keys!$D:$D,0))="Y",0,IF(AND(INDEX(Keys!$G:$G,MATCH($A9,Keys!$D:$D,0))="Y",B$1&lt;Keys!$K$2),0,1)),IF(INDEX(Keys!$E:$E,MATCH($A9,Keys!$D:$D,0))="Y",1,0)),1))</f>
        <v>1</v>
      </c>
      <c r="C9">
        <f>IF(INDEX(Keys!$F:$F,MATCH($A9,Keys!$D:$D,0))="Y",0,IF($B28=1,IF($B29=1,IF(INDEX(Keys!$H:$H,MATCH($A9,Keys!$D:$D,0))="Y",0,IF(AND(INDEX(Keys!$G:$G,MATCH($A9,Keys!$D:$D,0))="Y",C$1&lt;Keys!$K$2),0,1)),IF(INDEX(Keys!$E:$E,MATCH($A9,Keys!$D:$D,0))="Y",1,0)),1))</f>
        <v>1</v>
      </c>
      <c r="D9">
        <f>IF(INDEX(Keys!$F:$F,MATCH($A9,Keys!$D:$D,0))="Y",0,IF($B28=1,IF($B29=1,IF(INDEX(Keys!$H:$H,MATCH($A9,Keys!$D:$D,0))="Y",0,IF(AND(INDEX(Keys!$G:$G,MATCH($A9,Keys!$D:$D,0))="Y",D$1&lt;Keys!$K$2),0,1)),IF(INDEX(Keys!$E:$E,MATCH($A9,Keys!$D:$D,0))="Y",1,0)),1))</f>
        <v>1</v>
      </c>
      <c r="E9">
        <f>IF(INDEX(Keys!$F:$F,MATCH($A9,Keys!$D:$D,0))="Y",0,IF($B28=1,IF($B29=1,IF(INDEX(Keys!$H:$H,MATCH($A9,Keys!$D:$D,0))="Y",0,IF(AND(INDEX(Keys!$G:$G,MATCH($A9,Keys!$D:$D,0))="Y",E$1&lt;Keys!$K$2),0,1)),IF(INDEX(Keys!$E:$E,MATCH($A9,Keys!$D:$D,0))="Y",1,0)),1))</f>
        <v>1</v>
      </c>
      <c r="F9">
        <f>IF(INDEX(Keys!$F:$F,MATCH($A9,Keys!$D:$D,0))="Y",0,IF($B28=1,IF($B29=1,IF(INDEX(Keys!$H:$H,MATCH($A9,Keys!$D:$D,0))="Y",0,IF(AND(INDEX(Keys!$G:$G,MATCH($A9,Keys!$D:$D,0))="Y",F$1&lt;Keys!$K$2),0,1)),IF(INDEX(Keys!$E:$E,MATCH($A9,Keys!$D:$D,0))="Y",1,0)),1))</f>
        <v>1</v>
      </c>
      <c r="G9">
        <f>IF(INDEX(Keys!$F:$F,MATCH($A9,Keys!$D:$D,0))="Y",0,IF($B28=1,IF($B29=1,IF(INDEX(Keys!$H:$H,MATCH($A9,Keys!$D:$D,0))="Y",0,IF(AND(INDEX(Keys!$G:$G,MATCH($A9,Keys!$D:$D,0))="Y",G$1&lt;Keys!$K$2),0,1)),IF(INDEX(Keys!$E:$E,MATCH($A9,Keys!$D:$D,0))="Y",1,0)),1))</f>
        <v>1</v>
      </c>
      <c r="H9">
        <f>IF(INDEX(Keys!$F:$F,MATCH($A9,Keys!$D:$D,0))="Y",0,IF($B28=1,IF($B29=1,IF(INDEX(Keys!$H:$H,MATCH($A9,Keys!$D:$D,0))="Y",0,IF(AND(INDEX(Keys!$G:$G,MATCH($A9,Keys!$D:$D,0))="Y",H$1&lt;Keys!$K$2),0,1)),IF(INDEX(Keys!$E:$E,MATCH($A9,Keys!$D:$D,0))="Y",1,0)),1))</f>
        <v>1</v>
      </c>
      <c r="I9">
        <f>IF(INDEX(Keys!$F:$F,MATCH($A9,Keys!$D:$D,0))="Y",0,IF($B28=1,IF($B29=1,IF(INDEX(Keys!$H:$H,MATCH($A9,Keys!$D:$D,0))="Y",0,IF(AND(INDEX(Keys!$G:$G,MATCH($A9,Keys!$D:$D,0))="Y",I$1&lt;Keys!$K$2),0,1)),IF(INDEX(Keys!$E:$E,MATCH($A9,Keys!$D:$D,0))="Y",1,0)),1))</f>
        <v>1</v>
      </c>
      <c r="J9">
        <f>IF(INDEX(Keys!$F:$F,MATCH($A9,Keys!$D:$D,0))="Y",0,IF($B28=1,IF($B29=1,IF(INDEX(Keys!$H:$H,MATCH($A9,Keys!$D:$D,0))="Y",0,IF(AND(INDEX(Keys!$G:$G,MATCH($A9,Keys!$D:$D,0))="Y",J$1&lt;Keys!$K$2),0,1)),IF(INDEX(Keys!$E:$E,MATCH($A9,Keys!$D:$D,0))="Y",1,0)),1))</f>
        <v>1</v>
      </c>
      <c r="K9">
        <f>IF(INDEX(Keys!$F:$F,MATCH($A9,Keys!$D:$D,0))="Y",0,IF($B28=1,IF($B29=1,IF(INDEX(Keys!$H:$H,MATCH($A9,Keys!$D:$D,0))="Y",0,IF(AND(INDEX(Keys!$G:$G,MATCH($A9,Keys!$D:$D,0))="Y",K$1&lt;Keys!$K$2),0,1)),IF(INDEX(Keys!$E:$E,MATCH($A9,Keys!$D:$D,0))="Y",1,0)),1))</f>
        <v>1</v>
      </c>
      <c r="L9">
        <f>IF(INDEX(Keys!$F:$F,MATCH($A9,Keys!$D:$D,0))="Y",0,IF($B28=1,IF($B29=1,IF(INDEX(Keys!$H:$H,MATCH($A9,Keys!$D:$D,0))="Y",0,IF(AND(INDEX(Keys!$G:$G,MATCH($A9,Keys!$D:$D,0))="Y",L$1&lt;Keys!$K$2),0,1)),IF(INDEX(Keys!$E:$E,MATCH($A9,Keys!$D:$D,0))="Y",1,0)),1))</f>
        <v>1</v>
      </c>
      <c r="M9">
        <f>IF(INDEX(Keys!$F:$F,MATCH($A9,Keys!$D:$D,0))="Y",0,IF($B28=1,IF($B29=1,IF(INDEX(Keys!$H:$H,MATCH($A9,Keys!$D:$D,0))="Y",0,IF(AND(INDEX(Keys!$G:$G,MATCH($A9,Keys!$D:$D,0))="Y",M$1&lt;Keys!$K$2),0,1)),IF(INDEX(Keys!$E:$E,MATCH($A9,Keys!$D:$D,0))="Y",1,0)),1))</f>
        <v>1</v>
      </c>
      <c r="N9">
        <f>IF(INDEX(Keys!$F:$F,MATCH($A9,Keys!$D:$D,0))="Y",0,IF($B28=1,IF($B29=1,IF(INDEX(Keys!$H:$H,MATCH($A9,Keys!$D:$D,0))="Y",0,IF(AND(INDEX(Keys!$G:$G,MATCH($A9,Keys!$D:$D,0))="Y",N$1&lt;Keys!$K$2),0,1)),IF(INDEX(Keys!$E:$E,MATCH($A9,Keys!$D:$D,0))="Y",1,0)),1))</f>
        <v>1</v>
      </c>
      <c r="O9">
        <f>IF(INDEX(Keys!$F:$F,MATCH($A9,Keys!$D:$D,0))="Y",0,IF($B28=1,IF($B29=1,IF(INDEX(Keys!$H:$H,MATCH($A9,Keys!$D:$D,0))="Y",0,IF(AND(INDEX(Keys!$G:$G,MATCH($A9,Keys!$D:$D,0))="Y",O$1&lt;Keys!$K$2),0,1)),IF(INDEX(Keys!$E:$E,MATCH($A9,Keys!$D:$D,0))="Y",1,0)),1))</f>
        <v>1</v>
      </c>
      <c r="P9">
        <f>IF(INDEX(Keys!$F:$F,MATCH($A9,Keys!$D:$D,0))="Y",0,IF($B28=1,IF($B29=1,IF(INDEX(Keys!$H:$H,MATCH($A9,Keys!$D:$D,0))="Y",0,IF(AND(INDEX(Keys!$G:$G,MATCH($A9,Keys!$D:$D,0))="Y",P$1&lt;Keys!$K$2),0,1)),IF(INDEX(Keys!$E:$E,MATCH($A9,Keys!$D:$D,0))="Y",1,0)),1))</f>
        <v>1</v>
      </c>
      <c r="Q9">
        <f>IF(INDEX(Keys!$F:$F,MATCH($A9,Keys!$D:$D,0))="Y",0,IF($B28=1,IF($B29=1,IF(INDEX(Keys!$H:$H,MATCH($A9,Keys!$D:$D,0))="Y",0,IF(AND(INDEX(Keys!$G:$G,MATCH($A9,Keys!$D:$D,0))="Y",Q$1&lt;Keys!$K$2),0,1)),IF(INDEX(Keys!$E:$E,MATCH($A9,Keys!$D:$D,0))="Y",1,0)),1))</f>
        <v>1</v>
      </c>
      <c r="R9">
        <f>IF(INDEX(Keys!$F:$F,MATCH($A9,Keys!$D:$D,0))="Y",0,IF($B28=1,IF($B29=1,IF(INDEX(Keys!$H:$H,MATCH($A9,Keys!$D:$D,0))="Y",0,IF(AND(INDEX(Keys!$G:$G,MATCH($A9,Keys!$D:$D,0))="Y",R$1&lt;Keys!$K$2),0,1)),IF(INDEX(Keys!$E:$E,MATCH($A9,Keys!$D:$D,0))="Y",1,0)),1))</f>
        <v>1</v>
      </c>
      <c r="S9">
        <f>IF(INDEX(Keys!$F:$F,MATCH($A9,Keys!$D:$D,0))="Y",0,IF($B28=1,IF($B29=1,IF(INDEX(Keys!$H:$H,MATCH($A9,Keys!$D:$D,0))="Y",0,IF(AND(INDEX(Keys!$G:$G,MATCH($A9,Keys!$D:$D,0))="Y",S$1&lt;Keys!$K$2),0,1)),IF(INDEX(Keys!$E:$E,MATCH($A9,Keys!$D:$D,0))="Y",1,0)),1))</f>
        <v>1</v>
      </c>
      <c r="T9">
        <f>IF(INDEX(Keys!$F:$F,MATCH($A9,Keys!$D:$D,0))="Y",0,IF($B28=1,IF($B29=1,IF(INDEX(Keys!$H:$H,MATCH($A9,Keys!$D:$D,0))="Y",0,IF(AND(INDEX(Keys!$G:$G,MATCH($A9,Keys!$D:$D,0))="Y",T$1&lt;Keys!$K$2),0,1)),IF(INDEX(Keys!$E:$E,MATCH($A9,Keys!$D:$D,0))="Y",1,0)),1))</f>
        <v>1</v>
      </c>
      <c r="U9">
        <f>IF(INDEX(Keys!$F:$F,MATCH($A9,Keys!$D:$D,0))="Y",0,IF($B28=1,IF($B29=1,IF(INDEX(Keys!$H:$H,MATCH($A9,Keys!$D:$D,0))="Y",0,IF(AND(INDEX(Keys!$G:$G,MATCH($A9,Keys!$D:$D,0))="Y",U$1&lt;Keys!$K$2),0,1)),IF(INDEX(Keys!$E:$E,MATCH($A9,Keys!$D:$D,0))="Y",1,0)),1))</f>
        <v>1</v>
      </c>
      <c r="V9">
        <f>IF(INDEX(Keys!$F:$F,MATCH($A9,Keys!$D:$D,0))="Y",0,IF($B28=1,IF($B29=1,IF(INDEX(Keys!$H:$H,MATCH($A9,Keys!$D:$D,0))="Y",0,IF(AND(INDEX(Keys!$G:$G,MATCH($A9,Keys!$D:$D,0))="Y",V$1&lt;Keys!$K$2),0,1)),IF(INDEX(Keys!$E:$E,MATCH($A9,Keys!$D:$D,0))="Y",1,0)),1))</f>
        <v>1</v>
      </c>
      <c r="W9">
        <f>IF(INDEX(Keys!$F:$F,MATCH($A9,Keys!$D:$D,0))="Y",0,IF($B28=1,IF($B29=1,IF(INDEX(Keys!$H:$H,MATCH($A9,Keys!$D:$D,0))="Y",0,IF(AND(INDEX(Keys!$G:$G,MATCH($A9,Keys!$D:$D,0))="Y",W$1&lt;Keys!$K$2),0,1)),IF(INDEX(Keys!$E:$E,MATCH($A9,Keys!$D:$D,0))="Y",1,0)),1))</f>
        <v>1</v>
      </c>
      <c r="X9">
        <f>IF(INDEX(Keys!$F:$F,MATCH($A9,Keys!$D:$D,0))="Y",0,IF($B28=1,IF($B29=1,IF(INDEX(Keys!$H:$H,MATCH($A9,Keys!$D:$D,0))="Y",0,IF(AND(INDEX(Keys!$G:$G,MATCH($A9,Keys!$D:$D,0))="Y",X$1&lt;Keys!$K$2),0,1)),IF(INDEX(Keys!$E:$E,MATCH($A9,Keys!$D:$D,0))="Y",1,0)),1))</f>
        <v>1</v>
      </c>
      <c r="Y9">
        <f>IF(INDEX(Keys!$F:$F,MATCH($A9,Keys!$D:$D,0))="Y",0,IF($B28=1,IF($B29=1,IF(INDEX(Keys!$H:$H,MATCH($A9,Keys!$D:$D,0))="Y",0,IF(AND(INDEX(Keys!$G:$G,MATCH($A9,Keys!$D:$D,0))="Y",Y$1&lt;Keys!$K$2),0,1)),IF(INDEX(Keys!$E:$E,MATCH($A9,Keys!$D:$D,0))="Y",1,0)),1))</f>
        <v>1</v>
      </c>
      <c r="Z9">
        <f>IF(INDEX(Keys!$F:$F,MATCH($A9,Keys!$D:$D,0))="Y",0,IF($B28=1,IF($B29=1,IF(INDEX(Keys!$H:$H,MATCH($A9,Keys!$D:$D,0))="Y",0,IF(AND(INDEX(Keys!$G:$G,MATCH($A9,Keys!$D:$D,0))="Y",Z$1&lt;Keys!$K$2),0,1)),IF(INDEX(Keys!$E:$E,MATCH($A9,Keys!$D:$D,0))="Y",1,0)),1))</f>
        <v>1</v>
      </c>
      <c r="AA9">
        <f>IF(INDEX(Keys!$F:$F,MATCH($A9,Keys!$D:$D,0))="Y",0,IF($B28=1,IF($B29=1,IF(INDEX(Keys!$H:$H,MATCH($A9,Keys!$D:$D,0))="Y",0,IF(AND(INDEX(Keys!$G:$G,MATCH($A9,Keys!$D:$D,0))="Y",AA$1&lt;Keys!$K$2),0,1)),IF(INDEX(Keys!$E:$E,MATCH($A9,Keys!$D:$D,0))="Y",1,0)),1))</f>
        <v>1</v>
      </c>
      <c r="AB9">
        <f>IF(INDEX(Keys!$F:$F,MATCH($A9,Keys!$D:$D,0))="Y",0,IF($B28=1,IF($B29=1,IF(INDEX(Keys!$H:$H,MATCH($A9,Keys!$D:$D,0))="Y",0,IF(AND(INDEX(Keys!$G:$G,MATCH($A9,Keys!$D:$D,0))="Y",AB$1&lt;Keys!$K$2),0,1)),IF(INDEX(Keys!$E:$E,MATCH($A9,Keys!$D:$D,0))="Y",1,0)),1))</f>
        <v>1</v>
      </c>
      <c r="AC9">
        <f>IF(INDEX(Keys!$F:$F,MATCH($A9,Keys!$D:$D,0))="Y",0,IF($B28=1,IF($B29=1,IF(INDEX(Keys!$H:$H,MATCH($A9,Keys!$D:$D,0))="Y",0,IF(AND(INDEX(Keys!$G:$G,MATCH($A9,Keys!$D:$D,0))="Y",AC$1&lt;Keys!$K$2),0,1)),IF(INDEX(Keys!$E:$E,MATCH($A9,Keys!$D:$D,0))="Y",1,0)),1))</f>
        <v>1</v>
      </c>
      <c r="AD9">
        <f>IF(INDEX(Keys!$F:$F,MATCH($A9,Keys!$D:$D,0))="Y",0,IF($B28=1,IF($B29=1,IF(INDEX(Keys!$H:$H,MATCH($A9,Keys!$D:$D,0))="Y",0,IF(AND(INDEX(Keys!$G:$G,MATCH($A9,Keys!$D:$D,0))="Y",AD$1&lt;Keys!$K$2),0,1)),IF(INDEX(Keys!$E:$E,MATCH($A9,Keys!$D:$D,0))="Y",1,0)),1))</f>
        <v>1</v>
      </c>
      <c r="AE9">
        <f>IF(INDEX(Keys!$F:$F,MATCH($A9,Keys!$D:$D,0))="Y",0,IF($B28=1,IF($B29=1,IF(INDEX(Keys!$H:$H,MATCH($A9,Keys!$D:$D,0))="Y",0,IF(AND(INDEX(Keys!$G:$G,MATCH($A9,Keys!$D:$D,0))="Y",AE$1&lt;Keys!$K$2),0,1)),IF(INDEX(Keys!$E:$E,MATCH($A9,Keys!$D:$D,0))="Y",1,0)),1))</f>
        <v>1</v>
      </c>
    </row>
    <row r="10" spans="1:31" x14ac:dyDescent="0.45">
      <c r="A10" t="str">
        <f>Keys!$D10</f>
        <v>refined petroleum and coke 19</v>
      </c>
      <c r="B10">
        <f>IF(INDEX(Keys!$F:$F,MATCH($A10,Keys!$D:$D,0))="Y",0,IF($B28=1,IF($B29=1,IF(INDEX(Keys!$H:$H,MATCH($A10,Keys!$D:$D,0))="Y",0,IF(AND(INDEX(Keys!$G:$G,MATCH($A10,Keys!$D:$D,0))="Y",B$1&lt;Keys!$K$2),0,1)),IF(INDEX(Keys!$E:$E,MATCH($A10,Keys!$D:$D,0))="Y",1,0)),1))</f>
        <v>1</v>
      </c>
      <c r="C10">
        <f>IF(INDEX(Keys!$F:$F,MATCH($A10,Keys!$D:$D,0))="Y",0,IF($B28=1,IF($B29=1,IF(INDEX(Keys!$H:$H,MATCH($A10,Keys!$D:$D,0))="Y",0,IF(AND(INDEX(Keys!$G:$G,MATCH($A10,Keys!$D:$D,0))="Y",C$1&lt;Keys!$K$2),0,1)),IF(INDEX(Keys!$E:$E,MATCH($A10,Keys!$D:$D,0))="Y",1,0)),1))</f>
        <v>1</v>
      </c>
      <c r="D10">
        <f>IF(INDEX(Keys!$F:$F,MATCH($A10,Keys!$D:$D,0))="Y",0,IF($B28=1,IF($B29=1,IF(INDEX(Keys!$H:$H,MATCH($A10,Keys!$D:$D,0))="Y",0,IF(AND(INDEX(Keys!$G:$G,MATCH($A10,Keys!$D:$D,0))="Y",D$1&lt;Keys!$K$2),0,1)),IF(INDEX(Keys!$E:$E,MATCH($A10,Keys!$D:$D,0))="Y",1,0)),1))</f>
        <v>1</v>
      </c>
      <c r="E10">
        <f>IF(INDEX(Keys!$F:$F,MATCH($A10,Keys!$D:$D,0))="Y",0,IF($B28=1,IF($B29=1,IF(INDEX(Keys!$H:$H,MATCH($A10,Keys!$D:$D,0))="Y",0,IF(AND(INDEX(Keys!$G:$G,MATCH($A10,Keys!$D:$D,0))="Y",E$1&lt;Keys!$K$2),0,1)),IF(INDEX(Keys!$E:$E,MATCH($A10,Keys!$D:$D,0))="Y",1,0)),1))</f>
        <v>1</v>
      </c>
      <c r="F10">
        <f>IF(INDEX(Keys!$F:$F,MATCH($A10,Keys!$D:$D,0))="Y",0,IF($B28=1,IF($B29=1,IF(INDEX(Keys!$H:$H,MATCH($A10,Keys!$D:$D,0))="Y",0,IF(AND(INDEX(Keys!$G:$G,MATCH($A10,Keys!$D:$D,0))="Y",F$1&lt;Keys!$K$2),0,1)),IF(INDEX(Keys!$E:$E,MATCH($A10,Keys!$D:$D,0))="Y",1,0)),1))</f>
        <v>1</v>
      </c>
      <c r="G10">
        <f>IF(INDEX(Keys!$F:$F,MATCH($A10,Keys!$D:$D,0))="Y",0,IF($B28=1,IF($B29=1,IF(INDEX(Keys!$H:$H,MATCH($A10,Keys!$D:$D,0))="Y",0,IF(AND(INDEX(Keys!$G:$G,MATCH($A10,Keys!$D:$D,0))="Y",G$1&lt;Keys!$K$2),0,1)),IF(INDEX(Keys!$E:$E,MATCH($A10,Keys!$D:$D,0))="Y",1,0)),1))</f>
        <v>1</v>
      </c>
      <c r="H10">
        <f>IF(INDEX(Keys!$F:$F,MATCH($A10,Keys!$D:$D,0))="Y",0,IF($B28=1,IF($B29=1,IF(INDEX(Keys!$H:$H,MATCH($A10,Keys!$D:$D,0))="Y",0,IF(AND(INDEX(Keys!$G:$G,MATCH($A10,Keys!$D:$D,0))="Y",H$1&lt;Keys!$K$2),0,1)),IF(INDEX(Keys!$E:$E,MATCH($A10,Keys!$D:$D,0))="Y",1,0)),1))</f>
        <v>1</v>
      </c>
      <c r="I10">
        <f>IF(INDEX(Keys!$F:$F,MATCH($A10,Keys!$D:$D,0))="Y",0,IF($B28=1,IF($B29=1,IF(INDEX(Keys!$H:$H,MATCH($A10,Keys!$D:$D,0))="Y",0,IF(AND(INDEX(Keys!$G:$G,MATCH($A10,Keys!$D:$D,0))="Y",I$1&lt;Keys!$K$2),0,1)),IF(INDEX(Keys!$E:$E,MATCH($A10,Keys!$D:$D,0))="Y",1,0)),1))</f>
        <v>1</v>
      </c>
      <c r="J10">
        <f>IF(INDEX(Keys!$F:$F,MATCH($A10,Keys!$D:$D,0))="Y",0,IF($B28=1,IF($B29=1,IF(INDEX(Keys!$H:$H,MATCH($A10,Keys!$D:$D,0))="Y",0,IF(AND(INDEX(Keys!$G:$G,MATCH($A10,Keys!$D:$D,0))="Y",J$1&lt;Keys!$K$2),0,1)),IF(INDEX(Keys!$E:$E,MATCH($A10,Keys!$D:$D,0))="Y",1,0)),1))</f>
        <v>1</v>
      </c>
      <c r="K10">
        <f>IF(INDEX(Keys!$F:$F,MATCH($A10,Keys!$D:$D,0))="Y",0,IF($B28=1,IF($B29=1,IF(INDEX(Keys!$H:$H,MATCH($A10,Keys!$D:$D,0))="Y",0,IF(AND(INDEX(Keys!$G:$G,MATCH($A10,Keys!$D:$D,0))="Y",K$1&lt;Keys!$K$2),0,1)),IF(INDEX(Keys!$E:$E,MATCH($A10,Keys!$D:$D,0))="Y",1,0)),1))</f>
        <v>1</v>
      </c>
      <c r="L10">
        <f>IF(INDEX(Keys!$F:$F,MATCH($A10,Keys!$D:$D,0))="Y",0,IF($B28=1,IF($B29=1,IF(INDEX(Keys!$H:$H,MATCH($A10,Keys!$D:$D,0))="Y",0,IF(AND(INDEX(Keys!$G:$G,MATCH($A10,Keys!$D:$D,0))="Y",L$1&lt;Keys!$K$2),0,1)),IF(INDEX(Keys!$E:$E,MATCH($A10,Keys!$D:$D,0))="Y",1,0)),1))</f>
        <v>1</v>
      </c>
      <c r="M10">
        <f>IF(INDEX(Keys!$F:$F,MATCH($A10,Keys!$D:$D,0))="Y",0,IF($B28=1,IF($B29=1,IF(INDEX(Keys!$H:$H,MATCH($A10,Keys!$D:$D,0))="Y",0,IF(AND(INDEX(Keys!$G:$G,MATCH($A10,Keys!$D:$D,0))="Y",M$1&lt;Keys!$K$2),0,1)),IF(INDEX(Keys!$E:$E,MATCH($A10,Keys!$D:$D,0))="Y",1,0)),1))</f>
        <v>1</v>
      </c>
      <c r="N10">
        <f>IF(INDEX(Keys!$F:$F,MATCH($A10,Keys!$D:$D,0))="Y",0,IF($B28=1,IF($B29=1,IF(INDEX(Keys!$H:$H,MATCH($A10,Keys!$D:$D,0))="Y",0,IF(AND(INDEX(Keys!$G:$G,MATCH($A10,Keys!$D:$D,0))="Y",N$1&lt;Keys!$K$2),0,1)),IF(INDEX(Keys!$E:$E,MATCH($A10,Keys!$D:$D,0))="Y",1,0)),1))</f>
        <v>1</v>
      </c>
      <c r="O10">
        <f>IF(INDEX(Keys!$F:$F,MATCH($A10,Keys!$D:$D,0))="Y",0,IF($B28=1,IF($B29=1,IF(INDEX(Keys!$H:$H,MATCH($A10,Keys!$D:$D,0))="Y",0,IF(AND(INDEX(Keys!$G:$G,MATCH($A10,Keys!$D:$D,0))="Y",O$1&lt;Keys!$K$2),0,1)),IF(INDEX(Keys!$E:$E,MATCH($A10,Keys!$D:$D,0))="Y",1,0)),1))</f>
        <v>1</v>
      </c>
      <c r="P10">
        <f>IF(INDEX(Keys!$F:$F,MATCH($A10,Keys!$D:$D,0))="Y",0,IF($B28=1,IF($B29=1,IF(INDEX(Keys!$H:$H,MATCH($A10,Keys!$D:$D,0))="Y",0,IF(AND(INDEX(Keys!$G:$G,MATCH($A10,Keys!$D:$D,0))="Y",P$1&lt;Keys!$K$2),0,1)),IF(INDEX(Keys!$E:$E,MATCH($A10,Keys!$D:$D,0))="Y",1,0)),1))</f>
        <v>1</v>
      </c>
      <c r="Q10">
        <f>IF(INDEX(Keys!$F:$F,MATCH($A10,Keys!$D:$D,0))="Y",0,IF($B28=1,IF($B29=1,IF(INDEX(Keys!$H:$H,MATCH($A10,Keys!$D:$D,0))="Y",0,IF(AND(INDEX(Keys!$G:$G,MATCH($A10,Keys!$D:$D,0))="Y",Q$1&lt;Keys!$K$2),0,1)),IF(INDEX(Keys!$E:$E,MATCH($A10,Keys!$D:$D,0))="Y",1,0)),1))</f>
        <v>1</v>
      </c>
      <c r="R10">
        <f>IF(INDEX(Keys!$F:$F,MATCH($A10,Keys!$D:$D,0))="Y",0,IF($B28=1,IF($B29=1,IF(INDEX(Keys!$H:$H,MATCH($A10,Keys!$D:$D,0))="Y",0,IF(AND(INDEX(Keys!$G:$G,MATCH($A10,Keys!$D:$D,0))="Y",R$1&lt;Keys!$K$2),0,1)),IF(INDEX(Keys!$E:$E,MATCH($A10,Keys!$D:$D,0))="Y",1,0)),1))</f>
        <v>1</v>
      </c>
      <c r="S10">
        <f>IF(INDEX(Keys!$F:$F,MATCH($A10,Keys!$D:$D,0))="Y",0,IF($B28=1,IF($B29=1,IF(INDEX(Keys!$H:$H,MATCH($A10,Keys!$D:$D,0))="Y",0,IF(AND(INDEX(Keys!$G:$G,MATCH($A10,Keys!$D:$D,0))="Y",S$1&lt;Keys!$K$2),0,1)),IF(INDEX(Keys!$E:$E,MATCH($A10,Keys!$D:$D,0))="Y",1,0)),1))</f>
        <v>1</v>
      </c>
      <c r="T10">
        <f>IF(INDEX(Keys!$F:$F,MATCH($A10,Keys!$D:$D,0))="Y",0,IF($B28=1,IF($B29=1,IF(INDEX(Keys!$H:$H,MATCH($A10,Keys!$D:$D,0))="Y",0,IF(AND(INDEX(Keys!$G:$G,MATCH($A10,Keys!$D:$D,0))="Y",T$1&lt;Keys!$K$2),0,1)),IF(INDEX(Keys!$E:$E,MATCH($A10,Keys!$D:$D,0))="Y",1,0)),1))</f>
        <v>1</v>
      </c>
      <c r="U10">
        <f>IF(INDEX(Keys!$F:$F,MATCH($A10,Keys!$D:$D,0))="Y",0,IF($B28=1,IF($B29=1,IF(INDEX(Keys!$H:$H,MATCH($A10,Keys!$D:$D,0))="Y",0,IF(AND(INDEX(Keys!$G:$G,MATCH($A10,Keys!$D:$D,0))="Y",U$1&lt;Keys!$K$2),0,1)),IF(INDEX(Keys!$E:$E,MATCH($A10,Keys!$D:$D,0))="Y",1,0)),1))</f>
        <v>1</v>
      </c>
      <c r="V10">
        <f>IF(INDEX(Keys!$F:$F,MATCH($A10,Keys!$D:$D,0))="Y",0,IF($B28=1,IF($B29=1,IF(INDEX(Keys!$H:$H,MATCH($A10,Keys!$D:$D,0))="Y",0,IF(AND(INDEX(Keys!$G:$G,MATCH($A10,Keys!$D:$D,0))="Y",V$1&lt;Keys!$K$2),0,1)),IF(INDEX(Keys!$E:$E,MATCH($A10,Keys!$D:$D,0))="Y",1,0)),1))</f>
        <v>1</v>
      </c>
      <c r="W10">
        <f>IF(INDEX(Keys!$F:$F,MATCH($A10,Keys!$D:$D,0))="Y",0,IF($B28=1,IF($B29=1,IF(INDEX(Keys!$H:$H,MATCH($A10,Keys!$D:$D,0))="Y",0,IF(AND(INDEX(Keys!$G:$G,MATCH($A10,Keys!$D:$D,0))="Y",W$1&lt;Keys!$K$2),0,1)),IF(INDEX(Keys!$E:$E,MATCH($A10,Keys!$D:$D,0))="Y",1,0)),1))</f>
        <v>1</v>
      </c>
      <c r="X10">
        <f>IF(INDEX(Keys!$F:$F,MATCH($A10,Keys!$D:$D,0))="Y",0,IF($B28=1,IF($B29=1,IF(INDEX(Keys!$H:$H,MATCH($A10,Keys!$D:$D,0))="Y",0,IF(AND(INDEX(Keys!$G:$G,MATCH($A10,Keys!$D:$D,0))="Y",X$1&lt;Keys!$K$2),0,1)),IF(INDEX(Keys!$E:$E,MATCH($A10,Keys!$D:$D,0))="Y",1,0)),1))</f>
        <v>1</v>
      </c>
      <c r="Y10">
        <f>IF(INDEX(Keys!$F:$F,MATCH($A10,Keys!$D:$D,0))="Y",0,IF($B28=1,IF($B29=1,IF(INDEX(Keys!$H:$H,MATCH($A10,Keys!$D:$D,0))="Y",0,IF(AND(INDEX(Keys!$G:$G,MATCH($A10,Keys!$D:$D,0))="Y",Y$1&lt;Keys!$K$2),0,1)),IF(INDEX(Keys!$E:$E,MATCH($A10,Keys!$D:$D,0))="Y",1,0)),1))</f>
        <v>1</v>
      </c>
      <c r="Z10">
        <f>IF(INDEX(Keys!$F:$F,MATCH($A10,Keys!$D:$D,0))="Y",0,IF($B28=1,IF($B29=1,IF(INDEX(Keys!$H:$H,MATCH($A10,Keys!$D:$D,0))="Y",0,IF(AND(INDEX(Keys!$G:$G,MATCH($A10,Keys!$D:$D,0))="Y",Z$1&lt;Keys!$K$2),0,1)),IF(INDEX(Keys!$E:$E,MATCH($A10,Keys!$D:$D,0))="Y",1,0)),1))</f>
        <v>1</v>
      </c>
      <c r="AA10">
        <f>IF(INDEX(Keys!$F:$F,MATCH($A10,Keys!$D:$D,0))="Y",0,IF($B28=1,IF($B29=1,IF(INDEX(Keys!$H:$H,MATCH($A10,Keys!$D:$D,0))="Y",0,IF(AND(INDEX(Keys!$G:$G,MATCH($A10,Keys!$D:$D,0))="Y",AA$1&lt;Keys!$K$2),0,1)),IF(INDEX(Keys!$E:$E,MATCH($A10,Keys!$D:$D,0))="Y",1,0)),1))</f>
        <v>1</v>
      </c>
      <c r="AB10">
        <f>IF(INDEX(Keys!$F:$F,MATCH($A10,Keys!$D:$D,0))="Y",0,IF($B28=1,IF($B29=1,IF(INDEX(Keys!$H:$H,MATCH($A10,Keys!$D:$D,0))="Y",0,IF(AND(INDEX(Keys!$G:$G,MATCH($A10,Keys!$D:$D,0))="Y",AB$1&lt;Keys!$K$2),0,1)),IF(INDEX(Keys!$E:$E,MATCH($A10,Keys!$D:$D,0))="Y",1,0)),1))</f>
        <v>1</v>
      </c>
      <c r="AC10">
        <f>IF(INDEX(Keys!$F:$F,MATCH($A10,Keys!$D:$D,0))="Y",0,IF($B28=1,IF($B29=1,IF(INDEX(Keys!$H:$H,MATCH($A10,Keys!$D:$D,0))="Y",0,IF(AND(INDEX(Keys!$G:$G,MATCH($A10,Keys!$D:$D,0))="Y",AC$1&lt;Keys!$K$2),0,1)),IF(INDEX(Keys!$E:$E,MATCH($A10,Keys!$D:$D,0))="Y",1,0)),1))</f>
        <v>1</v>
      </c>
      <c r="AD10">
        <f>IF(INDEX(Keys!$F:$F,MATCH($A10,Keys!$D:$D,0))="Y",0,IF($B28=1,IF($B29=1,IF(INDEX(Keys!$H:$H,MATCH($A10,Keys!$D:$D,0))="Y",0,IF(AND(INDEX(Keys!$G:$G,MATCH($A10,Keys!$D:$D,0))="Y",AD$1&lt;Keys!$K$2),0,1)),IF(INDEX(Keys!$E:$E,MATCH($A10,Keys!$D:$D,0))="Y",1,0)),1))</f>
        <v>1</v>
      </c>
      <c r="AE10">
        <f>IF(INDEX(Keys!$F:$F,MATCH($A10,Keys!$D:$D,0))="Y",0,IF($B28=1,IF($B29=1,IF(INDEX(Keys!$H:$H,MATCH($A10,Keys!$D:$D,0))="Y",0,IF(AND(INDEX(Keys!$G:$G,MATCH($A10,Keys!$D:$D,0))="Y",AE$1&lt;Keys!$K$2),0,1)),IF(INDEX(Keys!$E:$E,MATCH($A10,Keys!$D:$D,0))="Y",1,0)),1))</f>
        <v>1</v>
      </c>
    </row>
    <row r="11" spans="1:31" x14ac:dyDescent="0.45">
      <c r="A11" t="str">
        <f>Keys!$D11</f>
        <v>chemicals 20</v>
      </c>
      <c r="B11">
        <f>IF(INDEX(Keys!$F:$F,MATCH($A11,Keys!$D:$D,0))="Y",0,IF($B28=1,IF($B29=1,IF(INDEX(Keys!$H:$H,MATCH($A11,Keys!$D:$D,0))="Y",0,IF(AND(INDEX(Keys!$G:$G,MATCH($A11,Keys!$D:$D,0))="Y",B$1&lt;Keys!$K$2),0,1)),IF(INDEX(Keys!$E:$E,MATCH($A11,Keys!$D:$D,0))="Y",1,0)),1))</f>
        <v>1</v>
      </c>
      <c r="C11">
        <f>IF(INDEX(Keys!$F:$F,MATCH($A11,Keys!$D:$D,0))="Y",0,IF($B28=1,IF($B29=1,IF(INDEX(Keys!$H:$H,MATCH($A11,Keys!$D:$D,0))="Y",0,IF(AND(INDEX(Keys!$G:$G,MATCH($A11,Keys!$D:$D,0))="Y",C$1&lt;Keys!$K$2),0,1)),IF(INDEX(Keys!$E:$E,MATCH($A11,Keys!$D:$D,0))="Y",1,0)),1))</f>
        <v>1</v>
      </c>
      <c r="D11">
        <f>IF(INDEX(Keys!$F:$F,MATCH($A11,Keys!$D:$D,0))="Y",0,IF($B28=1,IF($B29=1,IF(INDEX(Keys!$H:$H,MATCH($A11,Keys!$D:$D,0))="Y",0,IF(AND(INDEX(Keys!$G:$G,MATCH($A11,Keys!$D:$D,0))="Y",D$1&lt;Keys!$K$2),0,1)),IF(INDEX(Keys!$E:$E,MATCH($A11,Keys!$D:$D,0))="Y",1,0)),1))</f>
        <v>1</v>
      </c>
      <c r="E11">
        <f>IF(INDEX(Keys!$F:$F,MATCH($A11,Keys!$D:$D,0))="Y",0,IF($B28=1,IF($B29=1,IF(INDEX(Keys!$H:$H,MATCH($A11,Keys!$D:$D,0))="Y",0,IF(AND(INDEX(Keys!$G:$G,MATCH($A11,Keys!$D:$D,0))="Y",E$1&lt;Keys!$K$2),0,1)),IF(INDEX(Keys!$E:$E,MATCH($A11,Keys!$D:$D,0))="Y",1,0)),1))</f>
        <v>1</v>
      </c>
      <c r="F11">
        <f>IF(INDEX(Keys!$F:$F,MATCH($A11,Keys!$D:$D,0))="Y",0,IF($B28=1,IF($B29=1,IF(INDEX(Keys!$H:$H,MATCH($A11,Keys!$D:$D,0))="Y",0,IF(AND(INDEX(Keys!$G:$G,MATCH($A11,Keys!$D:$D,0))="Y",F$1&lt;Keys!$K$2),0,1)),IF(INDEX(Keys!$E:$E,MATCH($A11,Keys!$D:$D,0))="Y",1,0)),1))</f>
        <v>1</v>
      </c>
      <c r="G11">
        <f>IF(INDEX(Keys!$F:$F,MATCH($A11,Keys!$D:$D,0))="Y",0,IF($B28=1,IF($B29=1,IF(INDEX(Keys!$H:$H,MATCH($A11,Keys!$D:$D,0))="Y",0,IF(AND(INDEX(Keys!$G:$G,MATCH($A11,Keys!$D:$D,0))="Y",G$1&lt;Keys!$K$2),0,1)),IF(INDEX(Keys!$E:$E,MATCH($A11,Keys!$D:$D,0))="Y",1,0)),1))</f>
        <v>1</v>
      </c>
      <c r="H11">
        <f>IF(INDEX(Keys!$F:$F,MATCH($A11,Keys!$D:$D,0))="Y",0,IF($B28=1,IF($B29=1,IF(INDEX(Keys!$H:$H,MATCH($A11,Keys!$D:$D,0))="Y",0,IF(AND(INDEX(Keys!$G:$G,MATCH($A11,Keys!$D:$D,0))="Y",H$1&lt;Keys!$K$2),0,1)),IF(INDEX(Keys!$E:$E,MATCH($A11,Keys!$D:$D,0))="Y",1,0)),1))</f>
        <v>1</v>
      </c>
      <c r="I11">
        <f>IF(INDEX(Keys!$F:$F,MATCH($A11,Keys!$D:$D,0))="Y",0,IF($B28=1,IF($B29=1,IF(INDEX(Keys!$H:$H,MATCH($A11,Keys!$D:$D,0))="Y",0,IF(AND(INDEX(Keys!$G:$G,MATCH($A11,Keys!$D:$D,0))="Y",I$1&lt;Keys!$K$2),0,1)),IF(INDEX(Keys!$E:$E,MATCH($A11,Keys!$D:$D,0))="Y",1,0)),1))</f>
        <v>1</v>
      </c>
      <c r="J11">
        <f>IF(INDEX(Keys!$F:$F,MATCH($A11,Keys!$D:$D,0))="Y",0,IF($B28=1,IF($B29=1,IF(INDEX(Keys!$H:$H,MATCH($A11,Keys!$D:$D,0))="Y",0,IF(AND(INDEX(Keys!$G:$G,MATCH($A11,Keys!$D:$D,0))="Y",J$1&lt;Keys!$K$2),0,1)),IF(INDEX(Keys!$E:$E,MATCH($A11,Keys!$D:$D,0))="Y",1,0)),1))</f>
        <v>1</v>
      </c>
      <c r="K11">
        <f>IF(INDEX(Keys!$F:$F,MATCH($A11,Keys!$D:$D,0))="Y",0,IF($B28=1,IF($B29=1,IF(INDEX(Keys!$H:$H,MATCH($A11,Keys!$D:$D,0))="Y",0,IF(AND(INDEX(Keys!$G:$G,MATCH($A11,Keys!$D:$D,0))="Y",K$1&lt;Keys!$K$2),0,1)),IF(INDEX(Keys!$E:$E,MATCH($A11,Keys!$D:$D,0))="Y",1,0)),1))</f>
        <v>1</v>
      </c>
      <c r="L11">
        <f>IF(INDEX(Keys!$F:$F,MATCH($A11,Keys!$D:$D,0))="Y",0,IF($B28=1,IF($B29=1,IF(INDEX(Keys!$H:$H,MATCH($A11,Keys!$D:$D,0))="Y",0,IF(AND(INDEX(Keys!$G:$G,MATCH($A11,Keys!$D:$D,0))="Y",L$1&lt;Keys!$K$2),0,1)),IF(INDEX(Keys!$E:$E,MATCH($A11,Keys!$D:$D,0))="Y",1,0)),1))</f>
        <v>1</v>
      </c>
      <c r="M11">
        <f>IF(INDEX(Keys!$F:$F,MATCH($A11,Keys!$D:$D,0))="Y",0,IF($B28=1,IF($B29=1,IF(INDEX(Keys!$H:$H,MATCH($A11,Keys!$D:$D,0))="Y",0,IF(AND(INDEX(Keys!$G:$G,MATCH($A11,Keys!$D:$D,0))="Y",M$1&lt;Keys!$K$2),0,1)),IF(INDEX(Keys!$E:$E,MATCH($A11,Keys!$D:$D,0))="Y",1,0)),1))</f>
        <v>1</v>
      </c>
      <c r="N11">
        <f>IF(INDEX(Keys!$F:$F,MATCH($A11,Keys!$D:$D,0))="Y",0,IF($B28=1,IF($B29=1,IF(INDEX(Keys!$H:$H,MATCH($A11,Keys!$D:$D,0))="Y",0,IF(AND(INDEX(Keys!$G:$G,MATCH($A11,Keys!$D:$D,0))="Y",N$1&lt;Keys!$K$2),0,1)),IF(INDEX(Keys!$E:$E,MATCH($A11,Keys!$D:$D,0))="Y",1,0)),1))</f>
        <v>1</v>
      </c>
      <c r="O11">
        <f>IF(INDEX(Keys!$F:$F,MATCH($A11,Keys!$D:$D,0))="Y",0,IF($B28=1,IF($B29=1,IF(INDEX(Keys!$H:$H,MATCH($A11,Keys!$D:$D,0))="Y",0,IF(AND(INDEX(Keys!$G:$G,MATCH($A11,Keys!$D:$D,0))="Y",O$1&lt;Keys!$K$2),0,1)),IF(INDEX(Keys!$E:$E,MATCH($A11,Keys!$D:$D,0))="Y",1,0)),1))</f>
        <v>1</v>
      </c>
      <c r="P11">
        <f>IF(INDEX(Keys!$F:$F,MATCH($A11,Keys!$D:$D,0))="Y",0,IF($B28=1,IF($B29=1,IF(INDEX(Keys!$H:$H,MATCH($A11,Keys!$D:$D,0))="Y",0,IF(AND(INDEX(Keys!$G:$G,MATCH($A11,Keys!$D:$D,0))="Y",P$1&lt;Keys!$K$2),0,1)),IF(INDEX(Keys!$E:$E,MATCH($A11,Keys!$D:$D,0))="Y",1,0)),1))</f>
        <v>1</v>
      </c>
      <c r="Q11">
        <f>IF(INDEX(Keys!$F:$F,MATCH($A11,Keys!$D:$D,0))="Y",0,IF($B28=1,IF($B29=1,IF(INDEX(Keys!$H:$H,MATCH($A11,Keys!$D:$D,0))="Y",0,IF(AND(INDEX(Keys!$G:$G,MATCH($A11,Keys!$D:$D,0))="Y",Q$1&lt;Keys!$K$2),0,1)),IF(INDEX(Keys!$E:$E,MATCH($A11,Keys!$D:$D,0))="Y",1,0)),1))</f>
        <v>1</v>
      </c>
      <c r="R11">
        <f>IF(INDEX(Keys!$F:$F,MATCH($A11,Keys!$D:$D,0))="Y",0,IF($B28=1,IF($B29=1,IF(INDEX(Keys!$H:$H,MATCH($A11,Keys!$D:$D,0))="Y",0,IF(AND(INDEX(Keys!$G:$G,MATCH($A11,Keys!$D:$D,0))="Y",R$1&lt;Keys!$K$2),0,1)),IF(INDEX(Keys!$E:$E,MATCH($A11,Keys!$D:$D,0))="Y",1,0)),1))</f>
        <v>1</v>
      </c>
      <c r="S11">
        <f>IF(INDEX(Keys!$F:$F,MATCH($A11,Keys!$D:$D,0))="Y",0,IF($B28=1,IF($B29=1,IF(INDEX(Keys!$H:$H,MATCH($A11,Keys!$D:$D,0))="Y",0,IF(AND(INDEX(Keys!$G:$G,MATCH($A11,Keys!$D:$D,0))="Y",S$1&lt;Keys!$K$2),0,1)),IF(INDEX(Keys!$E:$E,MATCH($A11,Keys!$D:$D,0))="Y",1,0)),1))</f>
        <v>1</v>
      </c>
      <c r="T11">
        <f>IF(INDEX(Keys!$F:$F,MATCH($A11,Keys!$D:$D,0))="Y",0,IF($B28=1,IF($B29=1,IF(INDEX(Keys!$H:$H,MATCH($A11,Keys!$D:$D,0))="Y",0,IF(AND(INDEX(Keys!$G:$G,MATCH($A11,Keys!$D:$D,0))="Y",T$1&lt;Keys!$K$2),0,1)),IF(INDEX(Keys!$E:$E,MATCH($A11,Keys!$D:$D,0))="Y",1,0)),1))</f>
        <v>1</v>
      </c>
      <c r="U11">
        <f>IF(INDEX(Keys!$F:$F,MATCH($A11,Keys!$D:$D,0))="Y",0,IF($B28=1,IF($B29=1,IF(INDEX(Keys!$H:$H,MATCH($A11,Keys!$D:$D,0))="Y",0,IF(AND(INDEX(Keys!$G:$G,MATCH($A11,Keys!$D:$D,0))="Y",U$1&lt;Keys!$K$2),0,1)),IF(INDEX(Keys!$E:$E,MATCH($A11,Keys!$D:$D,0))="Y",1,0)),1))</f>
        <v>1</v>
      </c>
      <c r="V11">
        <f>IF(INDEX(Keys!$F:$F,MATCH($A11,Keys!$D:$D,0))="Y",0,IF($B28=1,IF($B29=1,IF(INDEX(Keys!$H:$H,MATCH($A11,Keys!$D:$D,0))="Y",0,IF(AND(INDEX(Keys!$G:$G,MATCH($A11,Keys!$D:$D,0))="Y",V$1&lt;Keys!$K$2),0,1)),IF(INDEX(Keys!$E:$E,MATCH($A11,Keys!$D:$D,0))="Y",1,0)),1))</f>
        <v>1</v>
      </c>
      <c r="W11">
        <f>IF(INDEX(Keys!$F:$F,MATCH($A11,Keys!$D:$D,0))="Y",0,IF($B28=1,IF($B29=1,IF(INDEX(Keys!$H:$H,MATCH($A11,Keys!$D:$D,0))="Y",0,IF(AND(INDEX(Keys!$G:$G,MATCH($A11,Keys!$D:$D,0))="Y",W$1&lt;Keys!$K$2),0,1)),IF(INDEX(Keys!$E:$E,MATCH($A11,Keys!$D:$D,0))="Y",1,0)),1))</f>
        <v>1</v>
      </c>
      <c r="X11">
        <f>IF(INDEX(Keys!$F:$F,MATCH($A11,Keys!$D:$D,0))="Y",0,IF($B28=1,IF($B29=1,IF(INDEX(Keys!$H:$H,MATCH($A11,Keys!$D:$D,0))="Y",0,IF(AND(INDEX(Keys!$G:$G,MATCH($A11,Keys!$D:$D,0))="Y",X$1&lt;Keys!$K$2),0,1)),IF(INDEX(Keys!$E:$E,MATCH($A11,Keys!$D:$D,0))="Y",1,0)),1))</f>
        <v>1</v>
      </c>
      <c r="Y11">
        <f>IF(INDEX(Keys!$F:$F,MATCH($A11,Keys!$D:$D,0))="Y",0,IF($B28=1,IF($B29=1,IF(INDEX(Keys!$H:$H,MATCH($A11,Keys!$D:$D,0))="Y",0,IF(AND(INDEX(Keys!$G:$G,MATCH($A11,Keys!$D:$D,0))="Y",Y$1&lt;Keys!$K$2),0,1)),IF(INDEX(Keys!$E:$E,MATCH($A11,Keys!$D:$D,0))="Y",1,0)),1))</f>
        <v>1</v>
      </c>
      <c r="Z11">
        <f>IF(INDEX(Keys!$F:$F,MATCH($A11,Keys!$D:$D,0))="Y",0,IF($B28=1,IF($B29=1,IF(INDEX(Keys!$H:$H,MATCH($A11,Keys!$D:$D,0))="Y",0,IF(AND(INDEX(Keys!$G:$G,MATCH($A11,Keys!$D:$D,0))="Y",Z$1&lt;Keys!$K$2),0,1)),IF(INDEX(Keys!$E:$E,MATCH($A11,Keys!$D:$D,0))="Y",1,0)),1))</f>
        <v>1</v>
      </c>
      <c r="AA11">
        <f>IF(INDEX(Keys!$F:$F,MATCH($A11,Keys!$D:$D,0))="Y",0,IF($B28=1,IF($B29=1,IF(INDEX(Keys!$H:$H,MATCH($A11,Keys!$D:$D,0))="Y",0,IF(AND(INDEX(Keys!$G:$G,MATCH($A11,Keys!$D:$D,0))="Y",AA$1&lt;Keys!$K$2),0,1)),IF(INDEX(Keys!$E:$E,MATCH($A11,Keys!$D:$D,0))="Y",1,0)),1))</f>
        <v>1</v>
      </c>
      <c r="AB11">
        <f>IF(INDEX(Keys!$F:$F,MATCH($A11,Keys!$D:$D,0))="Y",0,IF($B28=1,IF($B29=1,IF(INDEX(Keys!$H:$H,MATCH($A11,Keys!$D:$D,0))="Y",0,IF(AND(INDEX(Keys!$G:$G,MATCH($A11,Keys!$D:$D,0))="Y",AB$1&lt;Keys!$K$2),0,1)),IF(INDEX(Keys!$E:$E,MATCH($A11,Keys!$D:$D,0))="Y",1,0)),1))</f>
        <v>1</v>
      </c>
      <c r="AC11">
        <f>IF(INDEX(Keys!$F:$F,MATCH($A11,Keys!$D:$D,0))="Y",0,IF($B28=1,IF($B29=1,IF(INDEX(Keys!$H:$H,MATCH($A11,Keys!$D:$D,0))="Y",0,IF(AND(INDEX(Keys!$G:$G,MATCH($A11,Keys!$D:$D,0))="Y",AC$1&lt;Keys!$K$2),0,1)),IF(INDEX(Keys!$E:$E,MATCH($A11,Keys!$D:$D,0))="Y",1,0)),1))</f>
        <v>1</v>
      </c>
      <c r="AD11">
        <f>IF(INDEX(Keys!$F:$F,MATCH($A11,Keys!$D:$D,0))="Y",0,IF($B28=1,IF($B29=1,IF(INDEX(Keys!$H:$H,MATCH($A11,Keys!$D:$D,0))="Y",0,IF(AND(INDEX(Keys!$G:$G,MATCH($A11,Keys!$D:$D,0))="Y",AD$1&lt;Keys!$K$2),0,1)),IF(INDEX(Keys!$E:$E,MATCH($A11,Keys!$D:$D,0))="Y",1,0)),1))</f>
        <v>1</v>
      </c>
      <c r="AE11">
        <f>IF(INDEX(Keys!$F:$F,MATCH($A11,Keys!$D:$D,0))="Y",0,IF($B28=1,IF($B29=1,IF(INDEX(Keys!$H:$H,MATCH($A11,Keys!$D:$D,0))="Y",0,IF(AND(INDEX(Keys!$G:$G,MATCH($A11,Keys!$D:$D,0))="Y",AE$1&lt;Keys!$K$2),0,1)),IF(INDEX(Keys!$E:$E,MATCH($A11,Keys!$D:$D,0))="Y",1,0)),1))</f>
        <v>1</v>
      </c>
    </row>
    <row r="12" spans="1:31" x14ac:dyDescent="0.45">
      <c r="A12" t="str">
        <f>Keys!$D12</f>
        <v>rubber and plastic products 22</v>
      </c>
      <c r="B12">
        <f>IF(INDEX(Keys!$F:$F,MATCH($A12,Keys!$D:$D,0))="Y",0,IF($B28=1,IF($B29=1,IF(INDEX(Keys!$H:$H,MATCH($A12,Keys!$D:$D,0))="Y",0,IF(AND(INDEX(Keys!$G:$G,MATCH($A12,Keys!$D:$D,0))="Y",B$1&lt;Keys!$K$2),0,1)),IF(INDEX(Keys!$E:$E,MATCH($A12,Keys!$D:$D,0))="Y",1,0)),1))</f>
        <v>1</v>
      </c>
      <c r="C12">
        <f>IF(INDEX(Keys!$F:$F,MATCH($A12,Keys!$D:$D,0))="Y",0,IF($B28=1,IF($B29=1,IF(INDEX(Keys!$H:$H,MATCH($A12,Keys!$D:$D,0))="Y",0,IF(AND(INDEX(Keys!$G:$G,MATCH($A12,Keys!$D:$D,0))="Y",C$1&lt;Keys!$K$2),0,1)),IF(INDEX(Keys!$E:$E,MATCH($A12,Keys!$D:$D,0))="Y",1,0)),1))</f>
        <v>1</v>
      </c>
      <c r="D12">
        <f>IF(INDEX(Keys!$F:$F,MATCH($A12,Keys!$D:$D,0))="Y",0,IF($B28=1,IF($B29=1,IF(INDEX(Keys!$H:$H,MATCH($A12,Keys!$D:$D,0))="Y",0,IF(AND(INDEX(Keys!$G:$G,MATCH($A12,Keys!$D:$D,0))="Y",D$1&lt;Keys!$K$2),0,1)),IF(INDEX(Keys!$E:$E,MATCH($A12,Keys!$D:$D,0))="Y",1,0)),1))</f>
        <v>1</v>
      </c>
      <c r="E12">
        <f>IF(INDEX(Keys!$F:$F,MATCH($A12,Keys!$D:$D,0))="Y",0,IF($B28=1,IF($B29=1,IF(INDEX(Keys!$H:$H,MATCH($A12,Keys!$D:$D,0))="Y",0,IF(AND(INDEX(Keys!$G:$G,MATCH($A12,Keys!$D:$D,0))="Y",E$1&lt;Keys!$K$2),0,1)),IF(INDEX(Keys!$E:$E,MATCH($A12,Keys!$D:$D,0))="Y",1,0)),1))</f>
        <v>1</v>
      </c>
      <c r="F12">
        <f>IF(INDEX(Keys!$F:$F,MATCH($A12,Keys!$D:$D,0))="Y",0,IF($B28=1,IF($B29=1,IF(INDEX(Keys!$H:$H,MATCH($A12,Keys!$D:$D,0))="Y",0,IF(AND(INDEX(Keys!$G:$G,MATCH($A12,Keys!$D:$D,0))="Y",F$1&lt;Keys!$K$2),0,1)),IF(INDEX(Keys!$E:$E,MATCH($A12,Keys!$D:$D,0))="Y",1,0)),1))</f>
        <v>1</v>
      </c>
      <c r="G12">
        <f>IF(INDEX(Keys!$F:$F,MATCH($A12,Keys!$D:$D,0))="Y",0,IF($B28=1,IF($B29=1,IF(INDEX(Keys!$H:$H,MATCH($A12,Keys!$D:$D,0))="Y",0,IF(AND(INDEX(Keys!$G:$G,MATCH($A12,Keys!$D:$D,0))="Y",G$1&lt;Keys!$K$2),0,1)),IF(INDEX(Keys!$E:$E,MATCH($A12,Keys!$D:$D,0))="Y",1,0)),1))</f>
        <v>1</v>
      </c>
      <c r="H12">
        <f>IF(INDEX(Keys!$F:$F,MATCH($A12,Keys!$D:$D,0))="Y",0,IF($B28=1,IF($B29=1,IF(INDEX(Keys!$H:$H,MATCH($A12,Keys!$D:$D,0))="Y",0,IF(AND(INDEX(Keys!$G:$G,MATCH($A12,Keys!$D:$D,0))="Y",H$1&lt;Keys!$K$2),0,1)),IF(INDEX(Keys!$E:$E,MATCH($A12,Keys!$D:$D,0))="Y",1,0)),1))</f>
        <v>1</v>
      </c>
      <c r="I12">
        <f>IF(INDEX(Keys!$F:$F,MATCH($A12,Keys!$D:$D,0))="Y",0,IF($B28=1,IF($B29=1,IF(INDEX(Keys!$H:$H,MATCH($A12,Keys!$D:$D,0))="Y",0,IF(AND(INDEX(Keys!$G:$G,MATCH($A12,Keys!$D:$D,0))="Y",I$1&lt;Keys!$K$2),0,1)),IF(INDEX(Keys!$E:$E,MATCH($A12,Keys!$D:$D,0))="Y",1,0)),1))</f>
        <v>1</v>
      </c>
      <c r="J12">
        <f>IF(INDEX(Keys!$F:$F,MATCH($A12,Keys!$D:$D,0))="Y",0,IF($B28=1,IF($B29=1,IF(INDEX(Keys!$H:$H,MATCH($A12,Keys!$D:$D,0))="Y",0,IF(AND(INDEX(Keys!$G:$G,MATCH($A12,Keys!$D:$D,0))="Y",J$1&lt;Keys!$K$2),0,1)),IF(INDEX(Keys!$E:$E,MATCH($A12,Keys!$D:$D,0))="Y",1,0)),1))</f>
        <v>1</v>
      </c>
      <c r="K12">
        <f>IF(INDEX(Keys!$F:$F,MATCH($A12,Keys!$D:$D,0))="Y",0,IF($B28=1,IF($B29=1,IF(INDEX(Keys!$H:$H,MATCH($A12,Keys!$D:$D,0))="Y",0,IF(AND(INDEX(Keys!$G:$G,MATCH($A12,Keys!$D:$D,0))="Y",K$1&lt;Keys!$K$2),0,1)),IF(INDEX(Keys!$E:$E,MATCH($A12,Keys!$D:$D,0))="Y",1,0)),1))</f>
        <v>1</v>
      </c>
      <c r="L12">
        <f>IF(INDEX(Keys!$F:$F,MATCH($A12,Keys!$D:$D,0))="Y",0,IF($B28=1,IF($B29=1,IF(INDEX(Keys!$H:$H,MATCH($A12,Keys!$D:$D,0))="Y",0,IF(AND(INDEX(Keys!$G:$G,MATCH($A12,Keys!$D:$D,0))="Y",L$1&lt;Keys!$K$2),0,1)),IF(INDEX(Keys!$E:$E,MATCH($A12,Keys!$D:$D,0))="Y",1,0)),1))</f>
        <v>1</v>
      </c>
      <c r="M12">
        <f>IF(INDEX(Keys!$F:$F,MATCH($A12,Keys!$D:$D,0))="Y",0,IF($B28=1,IF($B29=1,IF(INDEX(Keys!$H:$H,MATCH($A12,Keys!$D:$D,0))="Y",0,IF(AND(INDEX(Keys!$G:$G,MATCH($A12,Keys!$D:$D,0))="Y",M$1&lt;Keys!$K$2),0,1)),IF(INDEX(Keys!$E:$E,MATCH($A12,Keys!$D:$D,0))="Y",1,0)),1))</f>
        <v>1</v>
      </c>
      <c r="N12">
        <f>IF(INDEX(Keys!$F:$F,MATCH($A12,Keys!$D:$D,0))="Y",0,IF($B28=1,IF($B29=1,IF(INDEX(Keys!$H:$H,MATCH($A12,Keys!$D:$D,0))="Y",0,IF(AND(INDEX(Keys!$G:$G,MATCH($A12,Keys!$D:$D,0))="Y",N$1&lt;Keys!$K$2),0,1)),IF(INDEX(Keys!$E:$E,MATCH($A12,Keys!$D:$D,0))="Y",1,0)),1))</f>
        <v>1</v>
      </c>
      <c r="O12">
        <f>IF(INDEX(Keys!$F:$F,MATCH($A12,Keys!$D:$D,0))="Y",0,IF($B28=1,IF($B29=1,IF(INDEX(Keys!$H:$H,MATCH($A12,Keys!$D:$D,0))="Y",0,IF(AND(INDEX(Keys!$G:$G,MATCH($A12,Keys!$D:$D,0))="Y",O$1&lt;Keys!$K$2),0,1)),IF(INDEX(Keys!$E:$E,MATCH($A12,Keys!$D:$D,0))="Y",1,0)),1))</f>
        <v>1</v>
      </c>
      <c r="P12">
        <f>IF(INDEX(Keys!$F:$F,MATCH($A12,Keys!$D:$D,0))="Y",0,IF($B28=1,IF($B29=1,IF(INDEX(Keys!$H:$H,MATCH($A12,Keys!$D:$D,0))="Y",0,IF(AND(INDEX(Keys!$G:$G,MATCH($A12,Keys!$D:$D,0))="Y",P$1&lt;Keys!$K$2),0,1)),IF(INDEX(Keys!$E:$E,MATCH($A12,Keys!$D:$D,0))="Y",1,0)),1))</f>
        <v>1</v>
      </c>
      <c r="Q12">
        <f>IF(INDEX(Keys!$F:$F,MATCH($A12,Keys!$D:$D,0))="Y",0,IF($B28=1,IF($B29=1,IF(INDEX(Keys!$H:$H,MATCH($A12,Keys!$D:$D,0))="Y",0,IF(AND(INDEX(Keys!$G:$G,MATCH($A12,Keys!$D:$D,0))="Y",Q$1&lt;Keys!$K$2),0,1)),IF(INDEX(Keys!$E:$E,MATCH($A12,Keys!$D:$D,0))="Y",1,0)),1))</f>
        <v>1</v>
      </c>
      <c r="R12">
        <f>IF(INDEX(Keys!$F:$F,MATCH($A12,Keys!$D:$D,0))="Y",0,IF($B28=1,IF($B29=1,IF(INDEX(Keys!$H:$H,MATCH($A12,Keys!$D:$D,0))="Y",0,IF(AND(INDEX(Keys!$G:$G,MATCH($A12,Keys!$D:$D,0))="Y",R$1&lt;Keys!$K$2),0,1)),IF(INDEX(Keys!$E:$E,MATCH($A12,Keys!$D:$D,0))="Y",1,0)),1))</f>
        <v>1</v>
      </c>
      <c r="S12">
        <f>IF(INDEX(Keys!$F:$F,MATCH($A12,Keys!$D:$D,0))="Y",0,IF($B28=1,IF($B29=1,IF(INDEX(Keys!$H:$H,MATCH($A12,Keys!$D:$D,0))="Y",0,IF(AND(INDEX(Keys!$G:$G,MATCH($A12,Keys!$D:$D,0))="Y",S$1&lt;Keys!$K$2),0,1)),IF(INDEX(Keys!$E:$E,MATCH($A12,Keys!$D:$D,0))="Y",1,0)),1))</f>
        <v>1</v>
      </c>
      <c r="T12">
        <f>IF(INDEX(Keys!$F:$F,MATCH($A12,Keys!$D:$D,0))="Y",0,IF($B28=1,IF($B29=1,IF(INDEX(Keys!$H:$H,MATCH($A12,Keys!$D:$D,0))="Y",0,IF(AND(INDEX(Keys!$G:$G,MATCH($A12,Keys!$D:$D,0))="Y",T$1&lt;Keys!$K$2),0,1)),IF(INDEX(Keys!$E:$E,MATCH($A12,Keys!$D:$D,0))="Y",1,0)),1))</f>
        <v>1</v>
      </c>
      <c r="U12">
        <f>IF(INDEX(Keys!$F:$F,MATCH($A12,Keys!$D:$D,0))="Y",0,IF($B28=1,IF($B29=1,IF(INDEX(Keys!$H:$H,MATCH($A12,Keys!$D:$D,0))="Y",0,IF(AND(INDEX(Keys!$G:$G,MATCH($A12,Keys!$D:$D,0))="Y",U$1&lt;Keys!$K$2),0,1)),IF(INDEX(Keys!$E:$E,MATCH($A12,Keys!$D:$D,0))="Y",1,0)),1))</f>
        <v>1</v>
      </c>
      <c r="V12">
        <f>IF(INDEX(Keys!$F:$F,MATCH($A12,Keys!$D:$D,0))="Y",0,IF($B28=1,IF($B29=1,IF(INDEX(Keys!$H:$H,MATCH($A12,Keys!$D:$D,0))="Y",0,IF(AND(INDEX(Keys!$G:$G,MATCH($A12,Keys!$D:$D,0))="Y",V$1&lt;Keys!$K$2),0,1)),IF(INDEX(Keys!$E:$E,MATCH($A12,Keys!$D:$D,0))="Y",1,0)),1))</f>
        <v>1</v>
      </c>
      <c r="W12">
        <f>IF(INDEX(Keys!$F:$F,MATCH($A12,Keys!$D:$D,0))="Y",0,IF($B28=1,IF($B29=1,IF(INDEX(Keys!$H:$H,MATCH($A12,Keys!$D:$D,0))="Y",0,IF(AND(INDEX(Keys!$G:$G,MATCH($A12,Keys!$D:$D,0))="Y",W$1&lt;Keys!$K$2),0,1)),IF(INDEX(Keys!$E:$E,MATCH($A12,Keys!$D:$D,0))="Y",1,0)),1))</f>
        <v>1</v>
      </c>
      <c r="X12">
        <f>IF(INDEX(Keys!$F:$F,MATCH($A12,Keys!$D:$D,0))="Y",0,IF($B28=1,IF($B29=1,IF(INDEX(Keys!$H:$H,MATCH($A12,Keys!$D:$D,0))="Y",0,IF(AND(INDEX(Keys!$G:$G,MATCH($A12,Keys!$D:$D,0))="Y",X$1&lt;Keys!$K$2),0,1)),IF(INDEX(Keys!$E:$E,MATCH($A12,Keys!$D:$D,0))="Y",1,0)),1))</f>
        <v>1</v>
      </c>
      <c r="Y12">
        <f>IF(INDEX(Keys!$F:$F,MATCH($A12,Keys!$D:$D,0))="Y",0,IF($B28=1,IF($B29=1,IF(INDEX(Keys!$H:$H,MATCH($A12,Keys!$D:$D,0))="Y",0,IF(AND(INDEX(Keys!$G:$G,MATCH($A12,Keys!$D:$D,0))="Y",Y$1&lt;Keys!$K$2),0,1)),IF(INDEX(Keys!$E:$E,MATCH($A12,Keys!$D:$D,0))="Y",1,0)),1))</f>
        <v>1</v>
      </c>
      <c r="Z12">
        <f>IF(INDEX(Keys!$F:$F,MATCH($A12,Keys!$D:$D,0))="Y",0,IF($B28=1,IF($B29=1,IF(INDEX(Keys!$H:$H,MATCH($A12,Keys!$D:$D,0))="Y",0,IF(AND(INDEX(Keys!$G:$G,MATCH($A12,Keys!$D:$D,0))="Y",Z$1&lt;Keys!$K$2),0,1)),IF(INDEX(Keys!$E:$E,MATCH($A12,Keys!$D:$D,0))="Y",1,0)),1))</f>
        <v>1</v>
      </c>
      <c r="AA12">
        <f>IF(INDEX(Keys!$F:$F,MATCH($A12,Keys!$D:$D,0))="Y",0,IF($B28=1,IF($B29=1,IF(INDEX(Keys!$H:$H,MATCH($A12,Keys!$D:$D,0))="Y",0,IF(AND(INDEX(Keys!$G:$G,MATCH($A12,Keys!$D:$D,0))="Y",AA$1&lt;Keys!$K$2),0,1)),IF(INDEX(Keys!$E:$E,MATCH($A12,Keys!$D:$D,0))="Y",1,0)),1))</f>
        <v>1</v>
      </c>
      <c r="AB12">
        <f>IF(INDEX(Keys!$F:$F,MATCH($A12,Keys!$D:$D,0))="Y",0,IF($B28=1,IF($B29=1,IF(INDEX(Keys!$H:$H,MATCH($A12,Keys!$D:$D,0))="Y",0,IF(AND(INDEX(Keys!$G:$G,MATCH($A12,Keys!$D:$D,0))="Y",AB$1&lt;Keys!$K$2),0,1)),IF(INDEX(Keys!$E:$E,MATCH($A12,Keys!$D:$D,0))="Y",1,0)),1))</f>
        <v>1</v>
      </c>
      <c r="AC12">
        <f>IF(INDEX(Keys!$F:$F,MATCH($A12,Keys!$D:$D,0))="Y",0,IF($B28=1,IF($B29=1,IF(INDEX(Keys!$H:$H,MATCH($A12,Keys!$D:$D,0))="Y",0,IF(AND(INDEX(Keys!$G:$G,MATCH($A12,Keys!$D:$D,0))="Y",AC$1&lt;Keys!$K$2),0,1)),IF(INDEX(Keys!$E:$E,MATCH($A12,Keys!$D:$D,0))="Y",1,0)),1))</f>
        <v>1</v>
      </c>
      <c r="AD12">
        <f>IF(INDEX(Keys!$F:$F,MATCH($A12,Keys!$D:$D,0))="Y",0,IF($B28=1,IF($B29=1,IF(INDEX(Keys!$H:$H,MATCH($A12,Keys!$D:$D,0))="Y",0,IF(AND(INDEX(Keys!$G:$G,MATCH($A12,Keys!$D:$D,0))="Y",AD$1&lt;Keys!$K$2),0,1)),IF(INDEX(Keys!$E:$E,MATCH($A12,Keys!$D:$D,0))="Y",1,0)),1))</f>
        <v>1</v>
      </c>
      <c r="AE12">
        <f>IF(INDEX(Keys!$F:$F,MATCH($A12,Keys!$D:$D,0))="Y",0,IF($B28=1,IF($B29=1,IF(INDEX(Keys!$H:$H,MATCH($A12,Keys!$D:$D,0))="Y",0,IF(AND(INDEX(Keys!$G:$G,MATCH($A12,Keys!$D:$D,0))="Y",AE$1&lt;Keys!$K$2),0,1)),IF(INDEX(Keys!$E:$E,MATCH($A12,Keys!$D:$D,0))="Y",1,0)),1))</f>
        <v>1</v>
      </c>
    </row>
    <row r="13" spans="1:31" x14ac:dyDescent="0.45">
      <c r="A13" t="str">
        <f>Keys!$D13</f>
        <v>glass and glass products 231</v>
      </c>
      <c r="B13">
        <f>IF(INDEX(Keys!$F:$F,MATCH($A13,Keys!$D:$D,0))="Y",0,IF($B28=1,IF($B29=1,IF(INDEX(Keys!$H:$H,MATCH($A13,Keys!$D:$D,0))="Y",0,IF(AND(INDEX(Keys!$G:$G,MATCH($A13,Keys!$D:$D,0))="Y",B$1&lt;Keys!$K$2),0,1)),IF(INDEX(Keys!$E:$E,MATCH($A13,Keys!$D:$D,0))="Y",1,0)),1))</f>
        <v>1</v>
      </c>
      <c r="C13">
        <f>IF(INDEX(Keys!$F:$F,MATCH($A13,Keys!$D:$D,0))="Y",0,IF($B28=1,IF($B29=1,IF(INDEX(Keys!$H:$H,MATCH($A13,Keys!$D:$D,0))="Y",0,IF(AND(INDEX(Keys!$G:$G,MATCH($A13,Keys!$D:$D,0))="Y",C$1&lt;Keys!$K$2),0,1)),IF(INDEX(Keys!$E:$E,MATCH($A13,Keys!$D:$D,0))="Y",1,0)),1))</f>
        <v>1</v>
      </c>
      <c r="D13">
        <f>IF(INDEX(Keys!$F:$F,MATCH($A13,Keys!$D:$D,0))="Y",0,IF($B28=1,IF($B29=1,IF(INDEX(Keys!$H:$H,MATCH($A13,Keys!$D:$D,0))="Y",0,IF(AND(INDEX(Keys!$G:$G,MATCH($A13,Keys!$D:$D,0))="Y",D$1&lt;Keys!$K$2),0,1)),IF(INDEX(Keys!$E:$E,MATCH($A13,Keys!$D:$D,0))="Y",1,0)),1))</f>
        <v>1</v>
      </c>
      <c r="E13">
        <f>IF(INDEX(Keys!$F:$F,MATCH($A13,Keys!$D:$D,0))="Y",0,IF($B28=1,IF($B29=1,IF(INDEX(Keys!$H:$H,MATCH($A13,Keys!$D:$D,0))="Y",0,IF(AND(INDEX(Keys!$G:$G,MATCH($A13,Keys!$D:$D,0))="Y",E$1&lt;Keys!$K$2),0,1)),IF(INDEX(Keys!$E:$E,MATCH($A13,Keys!$D:$D,0))="Y",1,0)),1))</f>
        <v>1</v>
      </c>
      <c r="F13">
        <f>IF(INDEX(Keys!$F:$F,MATCH($A13,Keys!$D:$D,0))="Y",0,IF($B28=1,IF($B29=1,IF(INDEX(Keys!$H:$H,MATCH($A13,Keys!$D:$D,0))="Y",0,IF(AND(INDEX(Keys!$G:$G,MATCH($A13,Keys!$D:$D,0))="Y",F$1&lt;Keys!$K$2),0,1)),IF(INDEX(Keys!$E:$E,MATCH($A13,Keys!$D:$D,0))="Y",1,0)),1))</f>
        <v>1</v>
      </c>
      <c r="G13">
        <f>IF(INDEX(Keys!$F:$F,MATCH($A13,Keys!$D:$D,0))="Y",0,IF($B28=1,IF($B29=1,IF(INDEX(Keys!$H:$H,MATCH($A13,Keys!$D:$D,0))="Y",0,IF(AND(INDEX(Keys!$G:$G,MATCH($A13,Keys!$D:$D,0))="Y",G$1&lt;Keys!$K$2),0,1)),IF(INDEX(Keys!$E:$E,MATCH($A13,Keys!$D:$D,0))="Y",1,0)),1))</f>
        <v>1</v>
      </c>
      <c r="H13">
        <f>IF(INDEX(Keys!$F:$F,MATCH($A13,Keys!$D:$D,0))="Y",0,IF($B28=1,IF($B29=1,IF(INDEX(Keys!$H:$H,MATCH($A13,Keys!$D:$D,0))="Y",0,IF(AND(INDEX(Keys!$G:$G,MATCH($A13,Keys!$D:$D,0))="Y",H$1&lt;Keys!$K$2),0,1)),IF(INDEX(Keys!$E:$E,MATCH($A13,Keys!$D:$D,0))="Y",1,0)),1))</f>
        <v>1</v>
      </c>
      <c r="I13">
        <f>IF(INDEX(Keys!$F:$F,MATCH($A13,Keys!$D:$D,0))="Y",0,IF($B28=1,IF($B29=1,IF(INDEX(Keys!$H:$H,MATCH($A13,Keys!$D:$D,0))="Y",0,IF(AND(INDEX(Keys!$G:$G,MATCH($A13,Keys!$D:$D,0))="Y",I$1&lt;Keys!$K$2),0,1)),IF(INDEX(Keys!$E:$E,MATCH($A13,Keys!$D:$D,0))="Y",1,0)),1))</f>
        <v>1</v>
      </c>
      <c r="J13">
        <f>IF(INDEX(Keys!$F:$F,MATCH($A13,Keys!$D:$D,0))="Y",0,IF($B28=1,IF($B29=1,IF(INDEX(Keys!$H:$H,MATCH($A13,Keys!$D:$D,0))="Y",0,IF(AND(INDEX(Keys!$G:$G,MATCH($A13,Keys!$D:$D,0))="Y",J$1&lt;Keys!$K$2),0,1)),IF(INDEX(Keys!$E:$E,MATCH($A13,Keys!$D:$D,0))="Y",1,0)),1))</f>
        <v>1</v>
      </c>
      <c r="K13">
        <f>IF(INDEX(Keys!$F:$F,MATCH($A13,Keys!$D:$D,0))="Y",0,IF($B28=1,IF($B29=1,IF(INDEX(Keys!$H:$H,MATCH($A13,Keys!$D:$D,0))="Y",0,IF(AND(INDEX(Keys!$G:$G,MATCH($A13,Keys!$D:$D,0))="Y",K$1&lt;Keys!$K$2),0,1)),IF(INDEX(Keys!$E:$E,MATCH($A13,Keys!$D:$D,0))="Y",1,0)),1))</f>
        <v>1</v>
      </c>
      <c r="L13">
        <f>IF(INDEX(Keys!$F:$F,MATCH($A13,Keys!$D:$D,0))="Y",0,IF($B28=1,IF($B29=1,IF(INDEX(Keys!$H:$H,MATCH($A13,Keys!$D:$D,0))="Y",0,IF(AND(INDEX(Keys!$G:$G,MATCH($A13,Keys!$D:$D,0))="Y",L$1&lt;Keys!$K$2),0,1)),IF(INDEX(Keys!$E:$E,MATCH($A13,Keys!$D:$D,0))="Y",1,0)),1))</f>
        <v>1</v>
      </c>
      <c r="M13">
        <f>IF(INDEX(Keys!$F:$F,MATCH($A13,Keys!$D:$D,0))="Y",0,IF($B28=1,IF($B29=1,IF(INDEX(Keys!$H:$H,MATCH($A13,Keys!$D:$D,0))="Y",0,IF(AND(INDEX(Keys!$G:$G,MATCH($A13,Keys!$D:$D,0))="Y",M$1&lt;Keys!$K$2),0,1)),IF(INDEX(Keys!$E:$E,MATCH($A13,Keys!$D:$D,0))="Y",1,0)),1))</f>
        <v>1</v>
      </c>
      <c r="N13">
        <f>IF(INDEX(Keys!$F:$F,MATCH($A13,Keys!$D:$D,0))="Y",0,IF($B28=1,IF($B29=1,IF(INDEX(Keys!$H:$H,MATCH($A13,Keys!$D:$D,0))="Y",0,IF(AND(INDEX(Keys!$G:$G,MATCH($A13,Keys!$D:$D,0))="Y",N$1&lt;Keys!$K$2),0,1)),IF(INDEX(Keys!$E:$E,MATCH($A13,Keys!$D:$D,0))="Y",1,0)),1))</f>
        <v>1</v>
      </c>
      <c r="O13">
        <f>IF(INDEX(Keys!$F:$F,MATCH($A13,Keys!$D:$D,0))="Y",0,IF($B28=1,IF($B29=1,IF(INDEX(Keys!$H:$H,MATCH($A13,Keys!$D:$D,0))="Y",0,IF(AND(INDEX(Keys!$G:$G,MATCH($A13,Keys!$D:$D,0))="Y",O$1&lt;Keys!$K$2),0,1)),IF(INDEX(Keys!$E:$E,MATCH($A13,Keys!$D:$D,0))="Y",1,0)),1))</f>
        <v>1</v>
      </c>
      <c r="P13">
        <f>IF(INDEX(Keys!$F:$F,MATCH($A13,Keys!$D:$D,0))="Y",0,IF($B28=1,IF($B29=1,IF(INDEX(Keys!$H:$H,MATCH($A13,Keys!$D:$D,0))="Y",0,IF(AND(INDEX(Keys!$G:$G,MATCH($A13,Keys!$D:$D,0))="Y",P$1&lt;Keys!$K$2),0,1)),IF(INDEX(Keys!$E:$E,MATCH($A13,Keys!$D:$D,0))="Y",1,0)),1))</f>
        <v>1</v>
      </c>
      <c r="Q13">
        <f>IF(INDEX(Keys!$F:$F,MATCH($A13,Keys!$D:$D,0))="Y",0,IF($B28=1,IF($B29=1,IF(INDEX(Keys!$H:$H,MATCH($A13,Keys!$D:$D,0))="Y",0,IF(AND(INDEX(Keys!$G:$G,MATCH($A13,Keys!$D:$D,0))="Y",Q$1&lt;Keys!$K$2),0,1)),IF(INDEX(Keys!$E:$E,MATCH($A13,Keys!$D:$D,0))="Y",1,0)),1))</f>
        <v>1</v>
      </c>
      <c r="R13">
        <f>IF(INDEX(Keys!$F:$F,MATCH($A13,Keys!$D:$D,0))="Y",0,IF($B28=1,IF($B29=1,IF(INDEX(Keys!$H:$H,MATCH($A13,Keys!$D:$D,0))="Y",0,IF(AND(INDEX(Keys!$G:$G,MATCH($A13,Keys!$D:$D,0))="Y",R$1&lt;Keys!$K$2),0,1)),IF(INDEX(Keys!$E:$E,MATCH($A13,Keys!$D:$D,0))="Y",1,0)),1))</f>
        <v>1</v>
      </c>
      <c r="S13">
        <f>IF(INDEX(Keys!$F:$F,MATCH($A13,Keys!$D:$D,0))="Y",0,IF($B28=1,IF($B29=1,IF(INDEX(Keys!$H:$H,MATCH($A13,Keys!$D:$D,0))="Y",0,IF(AND(INDEX(Keys!$G:$G,MATCH($A13,Keys!$D:$D,0))="Y",S$1&lt;Keys!$K$2),0,1)),IF(INDEX(Keys!$E:$E,MATCH($A13,Keys!$D:$D,0))="Y",1,0)),1))</f>
        <v>1</v>
      </c>
      <c r="T13">
        <f>IF(INDEX(Keys!$F:$F,MATCH($A13,Keys!$D:$D,0))="Y",0,IF($B28=1,IF($B29=1,IF(INDEX(Keys!$H:$H,MATCH($A13,Keys!$D:$D,0))="Y",0,IF(AND(INDEX(Keys!$G:$G,MATCH($A13,Keys!$D:$D,0))="Y",T$1&lt;Keys!$K$2),0,1)),IF(INDEX(Keys!$E:$E,MATCH($A13,Keys!$D:$D,0))="Y",1,0)),1))</f>
        <v>1</v>
      </c>
      <c r="U13">
        <f>IF(INDEX(Keys!$F:$F,MATCH($A13,Keys!$D:$D,0))="Y",0,IF($B28=1,IF($B29=1,IF(INDEX(Keys!$H:$H,MATCH($A13,Keys!$D:$D,0))="Y",0,IF(AND(INDEX(Keys!$G:$G,MATCH($A13,Keys!$D:$D,0))="Y",U$1&lt;Keys!$K$2),0,1)),IF(INDEX(Keys!$E:$E,MATCH($A13,Keys!$D:$D,0))="Y",1,0)),1))</f>
        <v>1</v>
      </c>
      <c r="V13">
        <f>IF(INDEX(Keys!$F:$F,MATCH($A13,Keys!$D:$D,0))="Y",0,IF($B28=1,IF($B29=1,IF(INDEX(Keys!$H:$H,MATCH($A13,Keys!$D:$D,0))="Y",0,IF(AND(INDEX(Keys!$G:$G,MATCH($A13,Keys!$D:$D,0))="Y",V$1&lt;Keys!$K$2),0,1)),IF(INDEX(Keys!$E:$E,MATCH($A13,Keys!$D:$D,0))="Y",1,0)),1))</f>
        <v>1</v>
      </c>
      <c r="W13">
        <f>IF(INDEX(Keys!$F:$F,MATCH($A13,Keys!$D:$D,0))="Y",0,IF($B28=1,IF($B29=1,IF(INDEX(Keys!$H:$H,MATCH($A13,Keys!$D:$D,0))="Y",0,IF(AND(INDEX(Keys!$G:$G,MATCH($A13,Keys!$D:$D,0))="Y",W$1&lt;Keys!$K$2),0,1)),IF(INDEX(Keys!$E:$E,MATCH($A13,Keys!$D:$D,0))="Y",1,0)),1))</f>
        <v>1</v>
      </c>
      <c r="X13">
        <f>IF(INDEX(Keys!$F:$F,MATCH($A13,Keys!$D:$D,0))="Y",0,IF($B28=1,IF($B29=1,IF(INDEX(Keys!$H:$H,MATCH($A13,Keys!$D:$D,0))="Y",0,IF(AND(INDEX(Keys!$G:$G,MATCH($A13,Keys!$D:$D,0))="Y",X$1&lt;Keys!$K$2),0,1)),IF(INDEX(Keys!$E:$E,MATCH($A13,Keys!$D:$D,0))="Y",1,0)),1))</f>
        <v>1</v>
      </c>
      <c r="Y13">
        <f>IF(INDEX(Keys!$F:$F,MATCH($A13,Keys!$D:$D,0))="Y",0,IF($B28=1,IF($B29=1,IF(INDEX(Keys!$H:$H,MATCH($A13,Keys!$D:$D,0))="Y",0,IF(AND(INDEX(Keys!$G:$G,MATCH($A13,Keys!$D:$D,0))="Y",Y$1&lt;Keys!$K$2),0,1)),IF(INDEX(Keys!$E:$E,MATCH($A13,Keys!$D:$D,0))="Y",1,0)),1))</f>
        <v>1</v>
      </c>
      <c r="Z13">
        <f>IF(INDEX(Keys!$F:$F,MATCH($A13,Keys!$D:$D,0))="Y",0,IF($B28=1,IF($B29=1,IF(INDEX(Keys!$H:$H,MATCH($A13,Keys!$D:$D,0))="Y",0,IF(AND(INDEX(Keys!$G:$G,MATCH($A13,Keys!$D:$D,0))="Y",Z$1&lt;Keys!$K$2),0,1)),IF(INDEX(Keys!$E:$E,MATCH($A13,Keys!$D:$D,0))="Y",1,0)),1))</f>
        <v>1</v>
      </c>
      <c r="AA13">
        <f>IF(INDEX(Keys!$F:$F,MATCH($A13,Keys!$D:$D,0))="Y",0,IF($B28=1,IF($B29=1,IF(INDEX(Keys!$H:$H,MATCH($A13,Keys!$D:$D,0))="Y",0,IF(AND(INDEX(Keys!$G:$G,MATCH($A13,Keys!$D:$D,0))="Y",AA$1&lt;Keys!$K$2),0,1)),IF(INDEX(Keys!$E:$E,MATCH($A13,Keys!$D:$D,0))="Y",1,0)),1))</f>
        <v>1</v>
      </c>
      <c r="AB13">
        <f>IF(INDEX(Keys!$F:$F,MATCH($A13,Keys!$D:$D,0))="Y",0,IF($B28=1,IF($B29=1,IF(INDEX(Keys!$H:$H,MATCH($A13,Keys!$D:$D,0))="Y",0,IF(AND(INDEX(Keys!$G:$G,MATCH($A13,Keys!$D:$D,0))="Y",AB$1&lt;Keys!$K$2),0,1)),IF(INDEX(Keys!$E:$E,MATCH($A13,Keys!$D:$D,0))="Y",1,0)),1))</f>
        <v>1</v>
      </c>
      <c r="AC13">
        <f>IF(INDEX(Keys!$F:$F,MATCH($A13,Keys!$D:$D,0))="Y",0,IF($B28=1,IF($B29=1,IF(INDEX(Keys!$H:$H,MATCH($A13,Keys!$D:$D,0))="Y",0,IF(AND(INDEX(Keys!$G:$G,MATCH($A13,Keys!$D:$D,0))="Y",AC$1&lt;Keys!$K$2),0,1)),IF(INDEX(Keys!$E:$E,MATCH($A13,Keys!$D:$D,0))="Y",1,0)),1))</f>
        <v>1</v>
      </c>
      <c r="AD13">
        <f>IF(INDEX(Keys!$F:$F,MATCH($A13,Keys!$D:$D,0))="Y",0,IF($B28=1,IF($B29=1,IF(INDEX(Keys!$H:$H,MATCH($A13,Keys!$D:$D,0))="Y",0,IF(AND(INDEX(Keys!$G:$G,MATCH($A13,Keys!$D:$D,0))="Y",AD$1&lt;Keys!$K$2),0,1)),IF(INDEX(Keys!$E:$E,MATCH($A13,Keys!$D:$D,0))="Y",1,0)),1))</f>
        <v>1</v>
      </c>
      <c r="AE13">
        <f>IF(INDEX(Keys!$F:$F,MATCH($A13,Keys!$D:$D,0))="Y",0,IF($B28=1,IF($B29=1,IF(INDEX(Keys!$H:$H,MATCH($A13,Keys!$D:$D,0))="Y",0,IF(AND(INDEX(Keys!$G:$G,MATCH($A13,Keys!$D:$D,0))="Y",AE$1&lt;Keys!$K$2),0,1)),IF(INDEX(Keys!$E:$E,MATCH($A13,Keys!$D:$D,0))="Y",1,0)),1))</f>
        <v>1</v>
      </c>
    </row>
    <row r="14" spans="1:31" x14ac:dyDescent="0.45">
      <c r="A14" t="str">
        <f>Keys!$D14</f>
        <v>cement and other nonmetallic minerals 239</v>
      </c>
      <c r="B14">
        <f>IF(INDEX(Keys!$F:$F,MATCH($A14,Keys!$D:$D,0))="Y",0,IF($B28=1,IF($B29=1,IF(INDEX(Keys!$H:$H,MATCH($A14,Keys!$D:$D,0))="Y",0,IF(AND(INDEX(Keys!$G:$G,MATCH($A14,Keys!$D:$D,0))="Y",B$1&lt;Keys!$K$2),0,1)),IF(INDEX(Keys!$E:$E,MATCH($A14,Keys!$D:$D,0))="Y",1,0)),1))</f>
        <v>1</v>
      </c>
      <c r="C14">
        <f>IF(INDEX(Keys!$F:$F,MATCH($A14,Keys!$D:$D,0))="Y",0,IF($B28=1,IF($B29=1,IF(INDEX(Keys!$H:$H,MATCH($A14,Keys!$D:$D,0))="Y",0,IF(AND(INDEX(Keys!$G:$G,MATCH($A14,Keys!$D:$D,0))="Y",C$1&lt;Keys!$K$2),0,1)),IF(INDEX(Keys!$E:$E,MATCH($A14,Keys!$D:$D,0))="Y",1,0)),1))</f>
        <v>1</v>
      </c>
      <c r="D14">
        <f>IF(INDEX(Keys!$F:$F,MATCH($A14,Keys!$D:$D,0))="Y",0,IF($B28=1,IF($B29=1,IF(INDEX(Keys!$H:$H,MATCH($A14,Keys!$D:$D,0))="Y",0,IF(AND(INDEX(Keys!$G:$G,MATCH($A14,Keys!$D:$D,0))="Y",D$1&lt;Keys!$K$2),0,1)),IF(INDEX(Keys!$E:$E,MATCH($A14,Keys!$D:$D,0))="Y",1,0)),1))</f>
        <v>1</v>
      </c>
      <c r="E14">
        <f>IF(INDEX(Keys!$F:$F,MATCH($A14,Keys!$D:$D,0))="Y",0,IF($B28=1,IF($B29=1,IF(INDEX(Keys!$H:$H,MATCH($A14,Keys!$D:$D,0))="Y",0,IF(AND(INDEX(Keys!$G:$G,MATCH($A14,Keys!$D:$D,0))="Y",E$1&lt;Keys!$K$2),0,1)),IF(INDEX(Keys!$E:$E,MATCH($A14,Keys!$D:$D,0))="Y",1,0)),1))</f>
        <v>1</v>
      </c>
      <c r="F14">
        <f>IF(INDEX(Keys!$F:$F,MATCH($A14,Keys!$D:$D,0))="Y",0,IF($B28=1,IF($B29=1,IF(INDEX(Keys!$H:$H,MATCH($A14,Keys!$D:$D,0))="Y",0,IF(AND(INDEX(Keys!$G:$G,MATCH($A14,Keys!$D:$D,0))="Y",F$1&lt;Keys!$K$2),0,1)),IF(INDEX(Keys!$E:$E,MATCH($A14,Keys!$D:$D,0))="Y",1,0)),1))</f>
        <v>1</v>
      </c>
      <c r="G14">
        <f>IF(INDEX(Keys!$F:$F,MATCH($A14,Keys!$D:$D,0))="Y",0,IF($B28=1,IF($B29=1,IF(INDEX(Keys!$H:$H,MATCH($A14,Keys!$D:$D,0))="Y",0,IF(AND(INDEX(Keys!$G:$G,MATCH($A14,Keys!$D:$D,0))="Y",G$1&lt;Keys!$K$2),0,1)),IF(INDEX(Keys!$E:$E,MATCH($A14,Keys!$D:$D,0))="Y",1,0)),1))</f>
        <v>1</v>
      </c>
      <c r="H14">
        <f>IF(INDEX(Keys!$F:$F,MATCH($A14,Keys!$D:$D,0))="Y",0,IF($B28=1,IF($B29=1,IF(INDEX(Keys!$H:$H,MATCH($A14,Keys!$D:$D,0))="Y",0,IF(AND(INDEX(Keys!$G:$G,MATCH($A14,Keys!$D:$D,0))="Y",H$1&lt;Keys!$K$2),0,1)),IF(INDEX(Keys!$E:$E,MATCH($A14,Keys!$D:$D,0))="Y",1,0)),1))</f>
        <v>1</v>
      </c>
      <c r="I14">
        <f>IF(INDEX(Keys!$F:$F,MATCH($A14,Keys!$D:$D,0))="Y",0,IF($B28=1,IF($B29=1,IF(INDEX(Keys!$H:$H,MATCH($A14,Keys!$D:$D,0))="Y",0,IF(AND(INDEX(Keys!$G:$G,MATCH($A14,Keys!$D:$D,0))="Y",I$1&lt;Keys!$K$2),0,1)),IF(INDEX(Keys!$E:$E,MATCH($A14,Keys!$D:$D,0))="Y",1,0)),1))</f>
        <v>1</v>
      </c>
      <c r="J14">
        <f>IF(INDEX(Keys!$F:$F,MATCH($A14,Keys!$D:$D,0))="Y",0,IF($B28=1,IF($B29=1,IF(INDEX(Keys!$H:$H,MATCH($A14,Keys!$D:$D,0))="Y",0,IF(AND(INDEX(Keys!$G:$G,MATCH($A14,Keys!$D:$D,0))="Y",J$1&lt;Keys!$K$2),0,1)),IF(INDEX(Keys!$E:$E,MATCH($A14,Keys!$D:$D,0))="Y",1,0)),1))</f>
        <v>1</v>
      </c>
      <c r="K14">
        <f>IF(INDEX(Keys!$F:$F,MATCH($A14,Keys!$D:$D,0))="Y",0,IF($B28=1,IF($B29=1,IF(INDEX(Keys!$H:$H,MATCH($A14,Keys!$D:$D,0))="Y",0,IF(AND(INDEX(Keys!$G:$G,MATCH($A14,Keys!$D:$D,0))="Y",K$1&lt;Keys!$K$2),0,1)),IF(INDEX(Keys!$E:$E,MATCH($A14,Keys!$D:$D,0))="Y",1,0)),1))</f>
        <v>1</v>
      </c>
      <c r="L14">
        <f>IF(INDEX(Keys!$F:$F,MATCH($A14,Keys!$D:$D,0))="Y",0,IF($B28=1,IF($B29=1,IF(INDEX(Keys!$H:$H,MATCH($A14,Keys!$D:$D,0))="Y",0,IF(AND(INDEX(Keys!$G:$G,MATCH($A14,Keys!$D:$D,0))="Y",L$1&lt;Keys!$K$2),0,1)),IF(INDEX(Keys!$E:$E,MATCH($A14,Keys!$D:$D,0))="Y",1,0)),1))</f>
        <v>1</v>
      </c>
      <c r="M14">
        <f>IF(INDEX(Keys!$F:$F,MATCH($A14,Keys!$D:$D,0))="Y",0,IF($B28=1,IF($B29=1,IF(INDEX(Keys!$H:$H,MATCH($A14,Keys!$D:$D,0))="Y",0,IF(AND(INDEX(Keys!$G:$G,MATCH($A14,Keys!$D:$D,0))="Y",M$1&lt;Keys!$K$2),0,1)),IF(INDEX(Keys!$E:$E,MATCH($A14,Keys!$D:$D,0))="Y",1,0)),1))</f>
        <v>1</v>
      </c>
      <c r="N14">
        <f>IF(INDEX(Keys!$F:$F,MATCH($A14,Keys!$D:$D,0))="Y",0,IF($B28=1,IF($B29=1,IF(INDEX(Keys!$H:$H,MATCH($A14,Keys!$D:$D,0))="Y",0,IF(AND(INDEX(Keys!$G:$G,MATCH($A14,Keys!$D:$D,0))="Y",N$1&lt;Keys!$K$2),0,1)),IF(INDEX(Keys!$E:$E,MATCH($A14,Keys!$D:$D,0))="Y",1,0)),1))</f>
        <v>1</v>
      </c>
      <c r="O14">
        <f>IF(INDEX(Keys!$F:$F,MATCH($A14,Keys!$D:$D,0))="Y",0,IF($B28=1,IF($B29=1,IF(INDEX(Keys!$H:$H,MATCH($A14,Keys!$D:$D,0))="Y",0,IF(AND(INDEX(Keys!$G:$G,MATCH($A14,Keys!$D:$D,0))="Y",O$1&lt;Keys!$K$2),0,1)),IF(INDEX(Keys!$E:$E,MATCH($A14,Keys!$D:$D,0))="Y",1,0)),1))</f>
        <v>1</v>
      </c>
      <c r="P14">
        <f>IF(INDEX(Keys!$F:$F,MATCH($A14,Keys!$D:$D,0))="Y",0,IF($B28=1,IF($B29=1,IF(INDEX(Keys!$H:$H,MATCH($A14,Keys!$D:$D,0))="Y",0,IF(AND(INDEX(Keys!$G:$G,MATCH($A14,Keys!$D:$D,0))="Y",P$1&lt;Keys!$K$2),0,1)),IF(INDEX(Keys!$E:$E,MATCH($A14,Keys!$D:$D,0))="Y",1,0)),1))</f>
        <v>1</v>
      </c>
      <c r="Q14">
        <f>IF(INDEX(Keys!$F:$F,MATCH($A14,Keys!$D:$D,0))="Y",0,IF($B28=1,IF($B29=1,IF(INDEX(Keys!$H:$H,MATCH($A14,Keys!$D:$D,0))="Y",0,IF(AND(INDEX(Keys!$G:$G,MATCH($A14,Keys!$D:$D,0))="Y",Q$1&lt;Keys!$K$2),0,1)),IF(INDEX(Keys!$E:$E,MATCH($A14,Keys!$D:$D,0))="Y",1,0)),1))</f>
        <v>1</v>
      </c>
      <c r="R14">
        <f>IF(INDEX(Keys!$F:$F,MATCH($A14,Keys!$D:$D,0))="Y",0,IF($B28=1,IF($B29=1,IF(INDEX(Keys!$H:$H,MATCH($A14,Keys!$D:$D,0))="Y",0,IF(AND(INDEX(Keys!$G:$G,MATCH($A14,Keys!$D:$D,0))="Y",R$1&lt;Keys!$K$2),0,1)),IF(INDEX(Keys!$E:$E,MATCH($A14,Keys!$D:$D,0))="Y",1,0)),1))</f>
        <v>1</v>
      </c>
      <c r="S14">
        <f>IF(INDEX(Keys!$F:$F,MATCH($A14,Keys!$D:$D,0))="Y",0,IF($B28=1,IF($B29=1,IF(INDEX(Keys!$H:$H,MATCH($A14,Keys!$D:$D,0))="Y",0,IF(AND(INDEX(Keys!$G:$G,MATCH($A14,Keys!$D:$D,0))="Y",S$1&lt;Keys!$K$2),0,1)),IF(INDEX(Keys!$E:$E,MATCH($A14,Keys!$D:$D,0))="Y",1,0)),1))</f>
        <v>1</v>
      </c>
      <c r="T14">
        <f>IF(INDEX(Keys!$F:$F,MATCH($A14,Keys!$D:$D,0))="Y",0,IF($B28=1,IF($B29=1,IF(INDEX(Keys!$H:$H,MATCH($A14,Keys!$D:$D,0))="Y",0,IF(AND(INDEX(Keys!$G:$G,MATCH($A14,Keys!$D:$D,0))="Y",T$1&lt;Keys!$K$2),0,1)),IF(INDEX(Keys!$E:$E,MATCH($A14,Keys!$D:$D,0))="Y",1,0)),1))</f>
        <v>1</v>
      </c>
      <c r="U14">
        <f>IF(INDEX(Keys!$F:$F,MATCH($A14,Keys!$D:$D,0))="Y",0,IF($B28=1,IF($B29=1,IF(INDEX(Keys!$H:$H,MATCH($A14,Keys!$D:$D,0))="Y",0,IF(AND(INDEX(Keys!$G:$G,MATCH($A14,Keys!$D:$D,0))="Y",U$1&lt;Keys!$K$2),0,1)),IF(INDEX(Keys!$E:$E,MATCH($A14,Keys!$D:$D,0))="Y",1,0)),1))</f>
        <v>1</v>
      </c>
      <c r="V14">
        <f>IF(INDEX(Keys!$F:$F,MATCH($A14,Keys!$D:$D,0))="Y",0,IF($B28=1,IF($B29=1,IF(INDEX(Keys!$H:$H,MATCH($A14,Keys!$D:$D,0))="Y",0,IF(AND(INDEX(Keys!$G:$G,MATCH($A14,Keys!$D:$D,0))="Y",V$1&lt;Keys!$K$2),0,1)),IF(INDEX(Keys!$E:$E,MATCH($A14,Keys!$D:$D,0))="Y",1,0)),1))</f>
        <v>1</v>
      </c>
      <c r="W14">
        <f>IF(INDEX(Keys!$F:$F,MATCH($A14,Keys!$D:$D,0))="Y",0,IF($B28=1,IF($B29=1,IF(INDEX(Keys!$H:$H,MATCH($A14,Keys!$D:$D,0))="Y",0,IF(AND(INDEX(Keys!$G:$G,MATCH($A14,Keys!$D:$D,0))="Y",W$1&lt;Keys!$K$2),0,1)),IF(INDEX(Keys!$E:$E,MATCH($A14,Keys!$D:$D,0))="Y",1,0)),1))</f>
        <v>1</v>
      </c>
      <c r="X14">
        <f>IF(INDEX(Keys!$F:$F,MATCH($A14,Keys!$D:$D,0))="Y",0,IF($B28=1,IF($B29=1,IF(INDEX(Keys!$H:$H,MATCH($A14,Keys!$D:$D,0))="Y",0,IF(AND(INDEX(Keys!$G:$G,MATCH($A14,Keys!$D:$D,0))="Y",X$1&lt;Keys!$K$2),0,1)),IF(INDEX(Keys!$E:$E,MATCH($A14,Keys!$D:$D,0))="Y",1,0)),1))</f>
        <v>1</v>
      </c>
      <c r="Y14">
        <f>IF(INDEX(Keys!$F:$F,MATCH($A14,Keys!$D:$D,0))="Y",0,IF($B28=1,IF($B29=1,IF(INDEX(Keys!$H:$H,MATCH($A14,Keys!$D:$D,0))="Y",0,IF(AND(INDEX(Keys!$G:$G,MATCH($A14,Keys!$D:$D,0))="Y",Y$1&lt;Keys!$K$2),0,1)),IF(INDEX(Keys!$E:$E,MATCH($A14,Keys!$D:$D,0))="Y",1,0)),1))</f>
        <v>1</v>
      </c>
      <c r="Z14">
        <f>IF(INDEX(Keys!$F:$F,MATCH($A14,Keys!$D:$D,0))="Y",0,IF($B28=1,IF($B29=1,IF(INDEX(Keys!$H:$H,MATCH($A14,Keys!$D:$D,0))="Y",0,IF(AND(INDEX(Keys!$G:$G,MATCH($A14,Keys!$D:$D,0))="Y",Z$1&lt;Keys!$K$2),0,1)),IF(INDEX(Keys!$E:$E,MATCH($A14,Keys!$D:$D,0))="Y",1,0)),1))</f>
        <v>1</v>
      </c>
      <c r="AA14">
        <f>IF(INDEX(Keys!$F:$F,MATCH($A14,Keys!$D:$D,0))="Y",0,IF($B28=1,IF($B29=1,IF(INDEX(Keys!$H:$H,MATCH($A14,Keys!$D:$D,0))="Y",0,IF(AND(INDEX(Keys!$G:$G,MATCH($A14,Keys!$D:$D,0))="Y",AA$1&lt;Keys!$K$2),0,1)),IF(INDEX(Keys!$E:$E,MATCH($A14,Keys!$D:$D,0))="Y",1,0)),1))</f>
        <v>1</v>
      </c>
      <c r="AB14">
        <f>IF(INDEX(Keys!$F:$F,MATCH($A14,Keys!$D:$D,0))="Y",0,IF($B28=1,IF($B29=1,IF(INDEX(Keys!$H:$H,MATCH($A14,Keys!$D:$D,0))="Y",0,IF(AND(INDEX(Keys!$G:$G,MATCH($A14,Keys!$D:$D,0))="Y",AB$1&lt;Keys!$K$2),0,1)),IF(INDEX(Keys!$E:$E,MATCH($A14,Keys!$D:$D,0))="Y",1,0)),1))</f>
        <v>1</v>
      </c>
      <c r="AC14">
        <f>IF(INDEX(Keys!$F:$F,MATCH($A14,Keys!$D:$D,0))="Y",0,IF($B28=1,IF($B29=1,IF(INDEX(Keys!$H:$H,MATCH($A14,Keys!$D:$D,0))="Y",0,IF(AND(INDEX(Keys!$G:$G,MATCH($A14,Keys!$D:$D,0))="Y",AC$1&lt;Keys!$K$2),0,1)),IF(INDEX(Keys!$E:$E,MATCH($A14,Keys!$D:$D,0))="Y",1,0)),1))</f>
        <v>1</v>
      </c>
      <c r="AD14">
        <f>IF(INDEX(Keys!$F:$F,MATCH($A14,Keys!$D:$D,0))="Y",0,IF($B28=1,IF($B29=1,IF(INDEX(Keys!$H:$H,MATCH($A14,Keys!$D:$D,0))="Y",0,IF(AND(INDEX(Keys!$G:$G,MATCH($A14,Keys!$D:$D,0))="Y",AD$1&lt;Keys!$K$2),0,1)),IF(INDEX(Keys!$E:$E,MATCH($A14,Keys!$D:$D,0))="Y",1,0)),1))</f>
        <v>1</v>
      </c>
      <c r="AE14">
        <f>IF(INDEX(Keys!$F:$F,MATCH($A14,Keys!$D:$D,0))="Y",0,IF($B28=1,IF($B29=1,IF(INDEX(Keys!$H:$H,MATCH($A14,Keys!$D:$D,0))="Y",0,IF(AND(INDEX(Keys!$G:$G,MATCH($A14,Keys!$D:$D,0))="Y",AE$1&lt;Keys!$K$2),0,1)),IF(INDEX(Keys!$E:$E,MATCH($A14,Keys!$D:$D,0))="Y",1,0)),1))</f>
        <v>1</v>
      </c>
    </row>
    <row r="15" spans="1:31" x14ac:dyDescent="0.45">
      <c r="A15" t="str">
        <f>Keys!$D15</f>
        <v>iron and steel 241</v>
      </c>
      <c r="B15">
        <f>IF(INDEX(Keys!$F:$F,MATCH($A15,Keys!$D:$D,0))="Y",0,IF($B28=1,IF($B29=1,IF(INDEX(Keys!$H:$H,MATCH($A15,Keys!$D:$D,0))="Y",0,IF(AND(INDEX(Keys!$G:$G,MATCH($A15,Keys!$D:$D,0))="Y",B$1&lt;Keys!$K$2),0,1)),IF(INDEX(Keys!$E:$E,MATCH($A15,Keys!$D:$D,0))="Y",1,0)),1))</f>
        <v>1</v>
      </c>
      <c r="C15">
        <f>IF(INDEX(Keys!$F:$F,MATCH($A15,Keys!$D:$D,0))="Y",0,IF($B28=1,IF($B29=1,IF(INDEX(Keys!$H:$H,MATCH($A15,Keys!$D:$D,0))="Y",0,IF(AND(INDEX(Keys!$G:$G,MATCH($A15,Keys!$D:$D,0))="Y",C$1&lt;Keys!$K$2),0,1)),IF(INDEX(Keys!$E:$E,MATCH($A15,Keys!$D:$D,0))="Y",1,0)),1))</f>
        <v>1</v>
      </c>
      <c r="D15">
        <f>IF(INDEX(Keys!$F:$F,MATCH($A15,Keys!$D:$D,0))="Y",0,IF($B28=1,IF($B29=1,IF(INDEX(Keys!$H:$H,MATCH($A15,Keys!$D:$D,0))="Y",0,IF(AND(INDEX(Keys!$G:$G,MATCH($A15,Keys!$D:$D,0))="Y",D$1&lt;Keys!$K$2),0,1)),IF(INDEX(Keys!$E:$E,MATCH($A15,Keys!$D:$D,0))="Y",1,0)),1))</f>
        <v>1</v>
      </c>
      <c r="E15">
        <f>IF(INDEX(Keys!$F:$F,MATCH($A15,Keys!$D:$D,0))="Y",0,IF($B28=1,IF($B29=1,IF(INDEX(Keys!$H:$H,MATCH($A15,Keys!$D:$D,0))="Y",0,IF(AND(INDEX(Keys!$G:$G,MATCH($A15,Keys!$D:$D,0))="Y",E$1&lt;Keys!$K$2),0,1)),IF(INDEX(Keys!$E:$E,MATCH($A15,Keys!$D:$D,0))="Y",1,0)),1))</f>
        <v>1</v>
      </c>
      <c r="F15">
        <f>IF(INDEX(Keys!$F:$F,MATCH($A15,Keys!$D:$D,0))="Y",0,IF($B28=1,IF($B29=1,IF(INDEX(Keys!$H:$H,MATCH($A15,Keys!$D:$D,0))="Y",0,IF(AND(INDEX(Keys!$G:$G,MATCH($A15,Keys!$D:$D,0))="Y",F$1&lt;Keys!$K$2),0,1)),IF(INDEX(Keys!$E:$E,MATCH($A15,Keys!$D:$D,0))="Y",1,0)),1))</f>
        <v>1</v>
      </c>
      <c r="G15">
        <f>IF(INDEX(Keys!$F:$F,MATCH($A15,Keys!$D:$D,0))="Y",0,IF($B28=1,IF($B29=1,IF(INDEX(Keys!$H:$H,MATCH($A15,Keys!$D:$D,0))="Y",0,IF(AND(INDEX(Keys!$G:$G,MATCH($A15,Keys!$D:$D,0))="Y",G$1&lt;Keys!$K$2),0,1)),IF(INDEX(Keys!$E:$E,MATCH($A15,Keys!$D:$D,0))="Y",1,0)),1))</f>
        <v>1</v>
      </c>
      <c r="H15">
        <f>IF(INDEX(Keys!$F:$F,MATCH($A15,Keys!$D:$D,0))="Y",0,IF($B28=1,IF($B29=1,IF(INDEX(Keys!$H:$H,MATCH($A15,Keys!$D:$D,0))="Y",0,IF(AND(INDEX(Keys!$G:$G,MATCH($A15,Keys!$D:$D,0))="Y",H$1&lt;Keys!$K$2),0,1)),IF(INDEX(Keys!$E:$E,MATCH($A15,Keys!$D:$D,0))="Y",1,0)),1))</f>
        <v>1</v>
      </c>
      <c r="I15">
        <f>IF(INDEX(Keys!$F:$F,MATCH($A15,Keys!$D:$D,0))="Y",0,IF($B28=1,IF($B29=1,IF(INDEX(Keys!$H:$H,MATCH($A15,Keys!$D:$D,0))="Y",0,IF(AND(INDEX(Keys!$G:$G,MATCH($A15,Keys!$D:$D,0))="Y",I$1&lt;Keys!$K$2),0,1)),IF(INDEX(Keys!$E:$E,MATCH($A15,Keys!$D:$D,0))="Y",1,0)),1))</f>
        <v>1</v>
      </c>
      <c r="J15">
        <f>IF(INDEX(Keys!$F:$F,MATCH($A15,Keys!$D:$D,0))="Y",0,IF($B28=1,IF($B29=1,IF(INDEX(Keys!$H:$H,MATCH($A15,Keys!$D:$D,0))="Y",0,IF(AND(INDEX(Keys!$G:$G,MATCH($A15,Keys!$D:$D,0))="Y",J$1&lt;Keys!$K$2),0,1)),IF(INDEX(Keys!$E:$E,MATCH($A15,Keys!$D:$D,0))="Y",1,0)),1))</f>
        <v>1</v>
      </c>
      <c r="K15">
        <f>IF(INDEX(Keys!$F:$F,MATCH($A15,Keys!$D:$D,0))="Y",0,IF($B28=1,IF($B29=1,IF(INDEX(Keys!$H:$H,MATCH($A15,Keys!$D:$D,0))="Y",0,IF(AND(INDEX(Keys!$G:$G,MATCH($A15,Keys!$D:$D,0))="Y",K$1&lt;Keys!$K$2),0,1)),IF(INDEX(Keys!$E:$E,MATCH($A15,Keys!$D:$D,0))="Y",1,0)),1))</f>
        <v>1</v>
      </c>
      <c r="L15">
        <f>IF(INDEX(Keys!$F:$F,MATCH($A15,Keys!$D:$D,0))="Y",0,IF($B28=1,IF($B29=1,IF(INDEX(Keys!$H:$H,MATCH($A15,Keys!$D:$D,0))="Y",0,IF(AND(INDEX(Keys!$G:$G,MATCH($A15,Keys!$D:$D,0))="Y",L$1&lt;Keys!$K$2),0,1)),IF(INDEX(Keys!$E:$E,MATCH($A15,Keys!$D:$D,0))="Y",1,0)),1))</f>
        <v>1</v>
      </c>
      <c r="M15">
        <f>IF(INDEX(Keys!$F:$F,MATCH($A15,Keys!$D:$D,0))="Y",0,IF($B28=1,IF($B29=1,IF(INDEX(Keys!$H:$H,MATCH($A15,Keys!$D:$D,0))="Y",0,IF(AND(INDEX(Keys!$G:$G,MATCH($A15,Keys!$D:$D,0))="Y",M$1&lt;Keys!$K$2),0,1)),IF(INDEX(Keys!$E:$E,MATCH($A15,Keys!$D:$D,0))="Y",1,0)),1))</f>
        <v>1</v>
      </c>
      <c r="N15">
        <f>IF(INDEX(Keys!$F:$F,MATCH($A15,Keys!$D:$D,0))="Y",0,IF($B28=1,IF($B29=1,IF(INDEX(Keys!$H:$H,MATCH($A15,Keys!$D:$D,0))="Y",0,IF(AND(INDEX(Keys!$G:$G,MATCH($A15,Keys!$D:$D,0))="Y",N$1&lt;Keys!$K$2),0,1)),IF(INDEX(Keys!$E:$E,MATCH($A15,Keys!$D:$D,0))="Y",1,0)),1))</f>
        <v>1</v>
      </c>
      <c r="O15">
        <f>IF(INDEX(Keys!$F:$F,MATCH($A15,Keys!$D:$D,0))="Y",0,IF($B28=1,IF($B29=1,IF(INDEX(Keys!$H:$H,MATCH($A15,Keys!$D:$D,0))="Y",0,IF(AND(INDEX(Keys!$G:$G,MATCH($A15,Keys!$D:$D,0))="Y",O$1&lt;Keys!$K$2),0,1)),IF(INDEX(Keys!$E:$E,MATCH($A15,Keys!$D:$D,0))="Y",1,0)),1))</f>
        <v>1</v>
      </c>
      <c r="P15">
        <f>IF(INDEX(Keys!$F:$F,MATCH($A15,Keys!$D:$D,0))="Y",0,IF($B28=1,IF($B29=1,IF(INDEX(Keys!$H:$H,MATCH($A15,Keys!$D:$D,0))="Y",0,IF(AND(INDEX(Keys!$G:$G,MATCH($A15,Keys!$D:$D,0))="Y",P$1&lt;Keys!$K$2),0,1)),IF(INDEX(Keys!$E:$E,MATCH($A15,Keys!$D:$D,0))="Y",1,0)),1))</f>
        <v>1</v>
      </c>
      <c r="Q15">
        <f>IF(INDEX(Keys!$F:$F,MATCH($A15,Keys!$D:$D,0))="Y",0,IF($B28=1,IF($B29=1,IF(INDEX(Keys!$H:$H,MATCH($A15,Keys!$D:$D,0))="Y",0,IF(AND(INDEX(Keys!$G:$G,MATCH($A15,Keys!$D:$D,0))="Y",Q$1&lt;Keys!$K$2),0,1)),IF(INDEX(Keys!$E:$E,MATCH($A15,Keys!$D:$D,0))="Y",1,0)),1))</f>
        <v>1</v>
      </c>
      <c r="R15">
        <f>IF(INDEX(Keys!$F:$F,MATCH($A15,Keys!$D:$D,0))="Y",0,IF($B28=1,IF($B29=1,IF(INDEX(Keys!$H:$H,MATCH($A15,Keys!$D:$D,0))="Y",0,IF(AND(INDEX(Keys!$G:$G,MATCH($A15,Keys!$D:$D,0))="Y",R$1&lt;Keys!$K$2),0,1)),IF(INDEX(Keys!$E:$E,MATCH($A15,Keys!$D:$D,0))="Y",1,0)),1))</f>
        <v>1</v>
      </c>
      <c r="S15">
        <f>IF(INDEX(Keys!$F:$F,MATCH($A15,Keys!$D:$D,0))="Y",0,IF($B28=1,IF($B29=1,IF(INDEX(Keys!$H:$H,MATCH($A15,Keys!$D:$D,0))="Y",0,IF(AND(INDEX(Keys!$G:$G,MATCH($A15,Keys!$D:$D,0))="Y",S$1&lt;Keys!$K$2),0,1)),IF(INDEX(Keys!$E:$E,MATCH($A15,Keys!$D:$D,0))="Y",1,0)),1))</f>
        <v>1</v>
      </c>
      <c r="T15">
        <f>IF(INDEX(Keys!$F:$F,MATCH($A15,Keys!$D:$D,0))="Y",0,IF($B28=1,IF($B29=1,IF(INDEX(Keys!$H:$H,MATCH($A15,Keys!$D:$D,0))="Y",0,IF(AND(INDEX(Keys!$G:$G,MATCH($A15,Keys!$D:$D,0))="Y",T$1&lt;Keys!$K$2),0,1)),IF(INDEX(Keys!$E:$E,MATCH($A15,Keys!$D:$D,0))="Y",1,0)),1))</f>
        <v>1</v>
      </c>
      <c r="U15">
        <f>IF(INDEX(Keys!$F:$F,MATCH($A15,Keys!$D:$D,0))="Y",0,IF($B28=1,IF($B29=1,IF(INDEX(Keys!$H:$H,MATCH($A15,Keys!$D:$D,0))="Y",0,IF(AND(INDEX(Keys!$G:$G,MATCH($A15,Keys!$D:$D,0))="Y",U$1&lt;Keys!$K$2),0,1)),IF(INDEX(Keys!$E:$E,MATCH($A15,Keys!$D:$D,0))="Y",1,0)),1))</f>
        <v>1</v>
      </c>
      <c r="V15">
        <f>IF(INDEX(Keys!$F:$F,MATCH($A15,Keys!$D:$D,0))="Y",0,IF($B28=1,IF($B29=1,IF(INDEX(Keys!$H:$H,MATCH($A15,Keys!$D:$D,0))="Y",0,IF(AND(INDEX(Keys!$G:$G,MATCH($A15,Keys!$D:$D,0))="Y",V$1&lt;Keys!$K$2),0,1)),IF(INDEX(Keys!$E:$E,MATCH($A15,Keys!$D:$D,0))="Y",1,0)),1))</f>
        <v>1</v>
      </c>
      <c r="W15">
        <f>IF(INDEX(Keys!$F:$F,MATCH($A15,Keys!$D:$D,0))="Y",0,IF($B28=1,IF($B29=1,IF(INDEX(Keys!$H:$H,MATCH($A15,Keys!$D:$D,0))="Y",0,IF(AND(INDEX(Keys!$G:$G,MATCH($A15,Keys!$D:$D,0))="Y",W$1&lt;Keys!$K$2),0,1)),IF(INDEX(Keys!$E:$E,MATCH($A15,Keys!$D:$D,0))="Y",1,0)),1))</f>
        <v>1</v>
      </c>
      <c r="X15">
        <f>IF(INDEX(Keys!$F:$F,MATCH($A15,Keys!$D:$D,0))="Y",0,IF($B28=1,IF($B29=1,IF(INDEX(Keys!$H:$H,MATCH($A15,Keys!$D:$D,0))="Y",0,IF(AND(INDEX(Keys!$G:$G,MATCH($A15,Keys!$D:$D,0))="Y",X$1&lt;Keys!$K$2),0,1)),IF(INDEX(Keys!$E:$E,MATCH($A15,Keys!$D:$D,0))="Y",1,0)),1))</f>
        <v>1</v>
      </c>
      <c r="Y15">
        <f>IF(INDEX(Keys!$F:$F,MATCH($A15,Keys!$D:$D,0))="Y",0,IF($B28=1,IF($B29=1,IF(INDEX(Keys!$H:$H,MATCH($A15,Keys!$D:$D,0))="Y",0,IF(AND(INDEX(Keys!$G:$G,MATCH($A15,Keys!$D:$D,0))="Y",Y$1&lt;Keys!$K$2),0,1)),IF(INDEX(Keys!$E:$E,MATCH($A15,Keys!$D:$D,0))="Y",1,0)),1))</f>
        <v>1</v>
      </c>
      <c r="Z15">
        <f>IF(INDEX(Keys!$F:$F,MATCH($A15,Keys!$D:$D,0))="Y",0,IF($B28=1,IF($B29=1,IF(INDEX(Keys!$H:$H,MATCH($A15,Keys!$D:$D,0))="Y",0,IF(AND(INDEX(Keys!$G:$G,MATCH($A15,Keys!$D:$D,0))="Y",Z$1&lt;Keys!$K$2),0,1)),IF(INDEX(Keys!$E:$E,MATCH($A15,Keys!$D:$D,0))="Y",1,0)),1))</f>
        <v>1</v>
      </c>
      <c r="AA15">
        <f>IF(INDEX(Keys!$F:$F,MATCH($A15,Keys!$D:$D,0))="Y",0,IF($B28=1,IF($B29=1,IF(INDEX(Keys!$H:$H,MATCH($A15,Keys!$D:$D,0))="Y",0,IF(AND(INDEX(Keys!$G:$G,MATCH($A15,Keys!$D:$D,0))="Y",AA$1&lt;Keys!$K$2),0,1)),IF(INDEX(Keys!$E:$E,MATCH($A15,Keys!$D:$D,0))="Y",1,0)),1))</f>
        <v>1</v>
      </c>
      <c r="AB15">
        <f>IF(INDEX(Keys!$F:$F,MATCH($A15,Keys!$D:$D,0))="Y",0,IF($B28=1,IF($B29=1,IF(INDEX(Keys!$H:$H,MATCH($A15,Keys!$D:$D,0))="Y",0,IF(AND(INDEX(Keys!$G:$G,MATCH($A15,Keys!$D:$D,0))="Y",AB$1&lt;Keys!$K$2),0,1)),IF(INDEX(Keys!$E:$E,MATCH($A15,Keys!$D:$D,0))="Y",1,0)),1))</f>
        <v>1</v>
      </c>
      <c r="AC15">
        <f>IF(INDEX(Keys!$F:$F,MATCH($A15,Keys!$D:$D,0))="Y",0,IF($B28=1,IF($B29=1,IF(INDEX(Keys!$H:$H,MATCH($A15,Keys!$D:$D,0))="Y",0,IF(AND(INDEX(Keys!$G:$G,MATCH($A15,Keys!$D:$D,0))="Y",AC$1&lt;Keys!$K$2),0,1)),IF(INDEX(Keys!$E:$E,MATCH($A15,Keys!$D:$D,0))="Y",1,0)),1))</f>
        <v>1</v>
      </c>
      <c r="AD15">
        <f>IF(INDEX(Keys!$F:$F,MATCH($A15,Keys!$D:$D,0))="Y",0,IF($B28=1,IF($B29=1,IF(INDEX(Keys!$H:$H,MATCH($A15,Keys!$D:$D,0))="Y",0,IF(AND(INDEX(Keys!$G:$G,MATCH($A15,Keys!$D:$D,0))="Y",AD$1&lt;Keys!$K$2),0,1)),IF(INDEX(Keys!$E:$E,MATCH($A15,Keys!$D:$D,0))="Y",1,0)),1))</f>
        <v>1</v>
      </c>
      <c r="AE15">
        <f>IF(INDEX(Keys!$F:$F,MATCH($A15,Keys!$D:$D,0))="Y",0,IF($B28=1,IF($B29=1,IF(INDEX(Keys!$H:$H,MATCH($A15,Keys!$D:$D,0))="Y",0,IF(AND(INDEX(Keys!$G:$G,MATCH($A15,Keys!$D:$D,0))="Y",AE$1&lt;Keys!$K$2),0,1)),IF(INDEX(Keys!$E:$E,MATCH($A15,Keys!$D:$D,0))="Y",1,0)),1))</f>
        <v>1</v>
      </c>
    </row>
    <row r="16" spans="1:31" x14ac:dyDescent="0.45">
      <c r="A16" t="str">
        <f>Keys!$D16</f>
        <v>other metals 242</v>
      </c>
      <c r="B16">
        <f>IF(INDEX(Keys!$F:$F,MATCH($A16,Keys!$D:$D,0))="Y",0,IF($B28=1,IF($B29=1,IF(INDEX(Keys!$H:$H,MATCH($A16,Keys!$D:$D,0))="Y",0,IF(AND(INDEX(Keys!$G:$G,MATCH($A16,Keys!$D:$D,0))="Y",B$1&lt;Keys!$K$2),0,1)),IF(INDEX(Keys!$E:$E,MATCH($A16,Keys!$D:$D,0))="Y",1,0)),1))</f>
        <v>1</v>
      </c>
      <c r="C16">
        <f>IF(INDEX(Keys!$F:$F,MATCH($A16,Keys!$D:$D,0))="Y",0,IF($B28=1,IF($B29=1,IF(INDEX(Keys!$H:$H,MATCH($A16,Keys!$D:$D,0))="Y",0,IF(AND(INDEX(Keys!$G:$G,MATCH($A16,Keys!$D:$D,0))="Y",C$1&lt;Keys!$K$2),0,1)),IF(INDEX(Keys!$E:$E,MATCH($A16,Keys!$D:$D,0))="Y",1,0)),1))</f>
        <v>1</v>
      </c>
      <c r="D16">
        <f>IF(INDEX(Keys!$F:$F,MATCH($A16,Keys!$D:$D,0))="Y",0,IF($B28=1,IF($B29=1,IF(INDEX(Keys!$H:$H,MATCH($A16,Keys!$D:$D,0))="Y",0,IF(AND(INDEX(Keys!$G:$G,MATCH($A16,Keys!$D:$D,0))="Y",D$1&lt;Keys!$K$2),0,1)),IF(INDEX(Keys!$E:$E,MATCH($A16,Keys!$D:$D,0))="Y",1,0)),1))</f>
        <v>1</v>
      </c>
      <c r="E16">
        <f>IF(INDEX(Keys!$F:$F,MATCH($A16,Keys!$D:$D,0))="Y",0,IF($B28=1,IF($B29=1,IF(INDEX(Keys!$H:$H,MATCH($A16,Keys!$D:$D,0))="Y",0,IF(AND(INDEX(Keys!$G:$G,MATCH($A16,Keys!$D:$D,0))="Y",E$1&lt;Keys!$K$2),0,1)),IF(INDEX(Keys!$E:$E,MATCH($A16,Keys!$D:$D,0))="Y",1,0)),1))</f>
        <v>1</v>
      </c>
      <c r="F16">
        <f>IF(INDEX(Keys!$F:$F,MATCH($A16,Keys!$D:$D,0))="Y",0,IF($B28=1,IF($B29=1,IF(INDEX(Keys!$H:$H,MATCH($A16,Keys!$D:$D,0))="Y",0,IF(AND(INDEX(Keys!$G:$G,MATCH($A16,Keys!$D:$D,0))="Y",F$1&lt;Keys!$K$2),0,1)),IF(INDEX(Keys!$E:$E,MATCH($A16,Keys!$D:$D,0))="Y",1,0)),1))</f>
        <v>1</v>
      </c>
      <c r="G16">
        <f>IF(INDEX(Keys!$F:$F,MATCH($A16,Keys!$D:$D,0))="Y",0,IF($B28=1,IF($B29=1,IF(INDEX(Keys!$H:$H,MATCH($A16,Keys!$D:$D,0))="Y",0,IF(AND(INDEX(Keys!$G:$G,MATCH($A16,Keys!$D:$D,0))="Y",G$1&lt;Keys!$K$2),0,1)),IF(INDEX(Keys!$E:$E,MATCH($A16,Keys!$D:$D,0))="Y",1,0)),1))</f>
        <v>1</v>
      </c>
      <c r="H16">
        <f>IF(INDEX(Keys!$F:$F,MATCH($A16,Keys!$D:$D,0))="Y",0,IF($B28=1,IF($B29=1,IF(INDEX(Keys!$H:$H,MATCH($A16,Keys!$D:$D,0))="Y",0,IF(AND(INDEX(Keys!$G:$G,MATCH($A16,Keys!$D:$D,0))="Y",H$1&lt;Keys!$K$2),0,1)),IF(INDEX(Keys!$E:$E,MATCH($A16,Keys!$D:$D,0))="Y",1,0)),1))</f>
        <v>1</v>
      </c>
      <c r="I16">
        <f>IF(INDEX(Keys!$F:$F,MATCH($A16,Keys!$D:$D,0))="Y",0,IF($B28=1,IF($B29=1,IF(INDEX(Keys!$H:$H,MATCH($A16,Keys!$D:$D,0))="Y",0,IF(AND(INDEX(Keys!$G:$G,MATCH($A16,Keys!$D:$D,0))="Y",I$1&lt;Keys!$K$2),0,1)),IF(INDEX(Keys!$E:$E,MATCH($A16,Keys!$D:$D,0))="Y",1,0)),1))</f>
        <v>1</v>
      </c>
      <c r="J16">
        <f>IF(INDEX(Keys!$F:$F,MATCH($A16,Keys!$D:$D,0))="Y",0,IF($B28=1,IF($B29=1,IF(INDEX(Keys!$H:$H,MATCH($A16,Keys!$D:$D,0))="Y",0,IF(AND(INDEX(Keys!$G:$G,MATCH($A16,Keys!$D:$D,0))="Y",J$1&lt;Keys!$K$2),0,1)),IF(INDEX(Keys!$E:$E,MATCH($A16,Keys!$D:$D,0))="Y",1,0)),1))</f>
        <v>1</v>
      </c>
      <c r="K16">
        <f>IF(INDEX(Keys!$F:$F,MATCH($A16,Keys!$D:$D,0))="Y",0,IF($B28=1,IF($B29=1,IF(INDEX(Keys!$H:$H,MATCH($A16,Keys!$D:$D,0))="Y",0,IF(AND(INDEX(Keys!$G:$G,MATCH($A16,Keys!$D:$D,0))="Y",K$1&lt;Keys!$K$2),0,1)),IF(INDEX(Keys!$E:$E,MATCH($A16,Keys!$D:$D,0))="Y",1,0)),1))</f>
        <v>1</v>
      </c>
      <c r="L16">
        <f>IF(INDEX(Keys!$F:$F,MATCH($A16,Keys!$D:$D,0))="Y",0,IF($B28=1,IF($B29=1,IF(INDEX(Keys!$H:$H,MATCH($A16,Keys!$D:$D,0))="Y",0,IF(AND(INDEX(Keys!$G:$G,MATCH($A16,Keys!$D:$D,0))="Y",L$1&lt;Keys!$K$2),0,1)),IF(INDEX(Keys!$E:$E,MATCH($A16,Keys!$D:$D,0))="Y",1,0)),1))</f>
        <v>1</v>
      </c>
      <c r="M16">
        <f>IF(INDEX(Keys!$F:$F,MATCH($A16,Keys!$D:$D,0))="Y",0,IF($B28=1,IF($B29=1,IF(INDEX(Keys!$H:$H,MATCH($A16,Keys!$D:$D,0))="Y",0,IF(AND(INDEX(Keys!$G:$G,MATCH($A16,Keys!$D:$D,0))="Y",M$1&lt;Keys!$K$2),0,1)),IF(INDEX(Keys!$E:$E,MATCH($A16,Keys!$D:$D,0))="Y",1,0)),1))</f>
        <v>1</v>
      </c>
      <c r="N16">
        <f>IF(INDEX(Keys!$F:$F,MATCH($A16,Keys!$D:$D,0))="Y",0,IF($B28=1,IF($B29=1,IF(INDEX(Keys!$H:$H,MATCH($A16,Keys!$D:$D,0))="Y",0,IF(AND(INDEX(Keys!$G:$G,MATCH($A16,Keys!$D:$D,0))="Y",N$1&lt;Keys!$K$2),0,1)),IF(INDEX(Keys!$E:$E,MATCH($A16,Keys!$D:$D,0))="Y",1,0)),1))</f>
        <v>1</v>
      </c>
      <c r="O16">
        <f>IF(INDEX(Keys!$F:$F,MATCH($A16,Keys!$D:$D,0))="Y",0,IF($B28=1,IF($B29=1,IF(INDEX(Keys!$H:$H,MATCH($A16,Keys!$D:$D,0))="Y",0,IF(AND(INDEX(Keys!$G:$G,MATCH($A16,Keys!$D:$D,0))="Y",O$1&lt;Keys!$K$2),0,1)),IF(INDEX(Keys!$E:$E,MATCH($A16,Keys!$D:$D,0))="Y",1,0)),1))</f>
        <v>1</v>
      </c>
      <c r="P16">
        <f>IF(INDEX(Keys!$F:$F,MATCH($A16,Keys!$D:$D,0))="Y",0,IF($B28=1,IF($B29=1,IF(INDEX(Keys!$H:$H,MATCH($A16,Keys!$D:$D,0))="Y",0,IF(AND(INDEX(Keys!$G:$G,MATCH($A16,Keys!$D:$D,0))="Y",P$1&lt;Keys!$K$2),0,1)),IF(INDEX(Keys!$E:$E,MATCH($A16,Keys!$D:$D,0))="Y",1,0)),1))</f>
        <v>1</v>
      </c>
      <c r="Q16">
        <f>IF(INDEX(Keys!$F:$F,MATCH($A16,Keys!$D:$D,0))="Y",0,IF($B28=1,IF($B29=1,IF(INDEX(Keys!$H:$H,MATCH($A16,Keys!$D:$D,0))="Y",0,IF(AND(INDEX(Keys!$G:$G,MATCH($A16,Keys!$D:$D,0))="Y",Q$1&lt;Keys!$K$2),0,1)),IF(INDEX(Keys!$E:$E,MATCH($A16,Keys!$D:$D,0))="Y",1,0)),1))</f>
        <v>1</v>
      </c>
      <c r="R16">
        <f>IF(INDEX(Keys!$F:$F,MATCH($A16,Keys!$D:$D,0))="Y",0,IF($B28=1,IF($B29=1,IF(INDEX(Keys!$H:$H,MATCH($A16,Keys!$D:$D,0))="Y",0,IF(AND(INDEX(Keys!$G:$G,MATCH($A16,Keys!$D:$D,0))="Y",R$1&lt;Keys!$K$2),0,1)),IF(INDEX(Keys!$E:$E,MATCH($A16,Keys!$D:$D,0))="Y",1,0)),1))</f>
        <v>1</v>
      </c>
      <c r="S16">
        <f>IF(INDEX(Keys!$F:$F,MATCH($A16,Keys!$D:$D,0))="Y",0,IF($B28=1,IF($B29=1,IF(INDEX(Keys!$H:$H,MATCH($A16,Keys!$D:$D,0))="Y",0,IF(AND(INDEX(Keys!$G:$G,MATCH($A16,Keys!$D:$D,0))="Y",S$1&lt;Keys!$K$2),0,1)),IF(INDEX(Keys!$E:$E,MATCH($A16,Keys!$D:$D,0))="Y",1,0)),1))</f>
        <v>1</v>
      </c>
      <c r="T16">
        <f>IF(INDEX(Keys!$F:$F,MATCH($A16,Keys!$D:$D,0))="Y",0,IF($B28=1,IF($B29=1,IF(INDEX(Keys!$H:$H,MATCH($A16,Keys!$D:$D,0))="Y",0,IF(AND(INDEX(Keys!$G:$G,MATCH($A16,Keys!$D:$D,0))="Y",T$1&lt;Keys!$K$2),0,1)),IF(INDEX(Keys!$E:$E,MATCH($A16,Keys!$D:$D,0))="Y",1,0)),1))</f>
        <v>1</v>
      </c>
      <c r="U16">
        <f>IF(INDEX(Keys!$F:$F,MATCH($A16,Keys!$D:$D,0))="Y",0,IF($B28=1,IF($B29=1,IF(INDEX(Keys!$H:$H,MATCH($A16,Keys!$D:$D,0))="Y",0,IF(AND(INDEX(Keys!$G:$G,MATCH($A16,Keys!$D:$D,0))="Y",U$1&lt;Keys!$K$2),0,1)),IF(INDEX(Keys!$E:$E,MATCH($A16,Keys!$D:$D,0))="Y",1,0)),1))</f>
        <v>1</v>
      </c>
      <c r="V16">
        <f>IF(INDEX(Keys!$F:$F,MATCH($A16,Keys!$D:$D,0))="Y",0,IF($B28=1,IF($B29=1,IF(INDEX(Keys!$H:$H,MATCH($A16,Keys!$D:$D,0))="Y",0,IF(AND(INDEX(Keys!$G:$G,MATCH($A16,Keys!$D:$D,0))="Y",V$1&lt;Keys!$K$2),0,1)),IF(INDEX(Keys!$E:$E,MATCH($A16,Keys!$D:$D,0))="Y",1,0)),1))</f>
        <v>1</v>
      </c>
      <c r="W16">
        <f>IF(INDEX(Keys!$F:$F,MATCH($A16,Keys!$D:$D,0))="Y",0,IF($B28=1,IF($B29=1,IF(INDEX(Keys!$H:$H,MATCH($A16,Keys!$D:$D,0))="Y",0,IF(AND(INDEX(Keys!$G:$G,MATCH($A16,Keys!$D:$D,0))="Y",W$1&lt;Keys!$K$2),0,1)),IF(INDEX(Keys!$E:$E,MATCH($A16,Keys!$D:$D,0))="Y",1,0)),1))</f>
        <v>1</v>
      </c>
      <c r="X16">
        <f>IF(INDEX(Keys!$F:$F,MATCH($A16,Keys!$D:$D,0))="Y",0,IF($B28=1,IF($B29=1,IF(INDEX(Keys!$H:$H,MATCH($A16,Keys!$D:$D,0))="Y",0,IF(AND(INDEX(Keys!$G:$G,MATCH($A16,Keys!$D:$D,0))="Y",X$1&lt;Keys!$K$2),0,1)),IF(INDEX(Keys!$E:$E,MATCH($A16,Keys!$D:$D,0))="Y",1,0)),1))</f>
        <v>1</v>
      </c>
      <c r="Y16">
        <f>IF(INDEX(Keys!$F:$F,MATCH($A16,Keys!$D:$D,0))="Y",0,IF($B28=1,IF($B29=1,IF(INDEX(Keys!$H:$H,MATCH($A16,Keys!$D:$D,0))="Y",0,IF(AND(INDEX(Keys!$G:$G,MATCH($A16,Keys!$D:$D,0))="Y",Y$1&lt;Keys!$K$2),0,1)),IF(INDEX(Keys!$E:$E,MATCH($A16,Keys!$D:$D,0))="Y",1,0)),1))</f>
        <v>1</v>
      </c>
      <c r="Z16">
        <f>IF(INDEX(Keys!$F:$F,MATCH($A16,Keys!$D:$D,0))="Y",0,IF($B28=1,IF($B29=1,IF(INDEX(Keys!$H:$H,MATCH($A16,Keys!$D:$D,0))="Y",0,IF(AND(INDEX(Keys!$G:$G,MATCH($A16,Keys!$D:$D,0))="Y",Z$1&lt;Keys!$K$2),0,1)),IF(INDEX(Keys!$E:$E,MATCH($A16,Keys!$D:$D,0))="Y",1,0)),1))</f>
        <v>1</v>
      </c>
      <c r="AA16">
        <f>IF(INDEX(Keys!$F:$F,MATCH($A16,Keys!$D:$D,0))="Y",0,IF($B28=1,IF($B29=1,IF(INDEX(Keys!$H:$H,MATCH($A16,Keys!$D:$D,0))="Y",0,IF(AND(INDEX(Keys!$G:$G,MATCH($A16,Keys!$D:$D,0))="Y",AA$1&lt;Keys!$K$2),0,1)),IF(INDEX(Keys!$E:$E,MATCH($A16,Keys!$D:$D,0))="Y",1,0)),1))</f>
        <v>1</v>
      </c>
      <c r="AB16">
        <f>IF(INDEX(Keys!$F:$F,MATCH($A16,Keys!$D:$D,0))="Y",0,IF($B28=1,IF($B29=1,IF(INDEX(Keys!$H:$H,MATCH($A16,Keys!$D:$D,0))="Y",0,IF(AND(INDEX(Keys!$G:$G,MATCH($A16,Keys!$D:$D,0))="Y",AB$1&lt;Keys!$K$2),0,1)),IF(INDEX(Keys!$E:$E,MATCH($A16,Keys!$D:$D,0))="Y",1,0)),1))</f>
        <v>1</v>
      </c>
      <c r="AC16">
        <f>IF(INDEX(Keys!$F:$F,MATCH($A16,Keys!$D:$D,0))="Y",0,IF($B28=1,IF($B29=1,IF(INDEX(Keys!$H:$H,MATCH($A16,Keys!$D:$D,0))="Y",0,IF(AND(INDEX(Keys!$G:$G,MATCH($A16,Keys!$D:$D,0))="Y",AC$1&lt;Keys!$K$2),0,1)),IF(INDEX(Keys!$E:$E,MATCH($A16,Keys!$D:$D,0))="Y",1,0)),1))</f>
        <v>1</v>
      </c>
      <c r="AD16">
        <f>IF(INDEX(Keys!$F:$F,MATCH($A16,Keys!$D:$D,0))="Y",0,IF($B28=1,IF($B29=1,IF(INDEX(Keys!$H:$H,MATCH($A16,Keys!$D:$D,0))="Y",0,IF(AND(INDEX(Keys!$G:$G,MATCH($A16,Keys!$D:$D,0))="Y",AD$1&lt;Keys!$K$2),0,1)),IF(INDEX(Keys!$E:$E,MATCH($A16,Keys!$D:$D,0))="Y",1,0)),1))</f>
        <v>1</v>
      </c>
      <c r="AE16">
        <f>IF(INDEX(Keys!$F:$F,MATCH($A16,Keys!$D:$D,0))="Y",0,IF($B28=1,IF($B29=1,IF(INDEX(Keys!$H:$H,MATCH($A16,Keys!$D:$D,0))="Y",0,IF(AND(INDEX(Keys!$G:$G,MATCH($A16,Keys!$D:$D,0))="Y",AE$1&lt;Keys!$K$2),0,1)),IF(INDEX(Keys!$E:$E,MATCH($A16,Keys!$D:$D,0))="Y",1,0)),1))</f>
        <v>1</v>
      </c>
    </row>
    <row r="17" spans="1:31" x14ac:dyDescent="0.45">
      <c r="A17" t="str">
        <f>Keys!$D17</f>
        <v>metal products except machinery and vehicles 25</v>
      </c>
      <c r="B17">
        <f>IF(INDEX(Keys!$F:$F,MATCH($A17,Keys!$D:$D,0))="Y",0,IF($B28=1,IF($B29=1,IF(INDEX(Keys!$H:$H,MATCH($A17,Keys!$D:$D,0))="Y",0,IF(AND(INDEX(Keys!$G:$G,MATCH($A17,Keys!$D:$D,0))="Y",B$1&lt;Keys!$K$2),0,1)),IF(INDEX(Keys!$E:$E,MATCH($A17,Keys!$D:$D,0))="Y",1,0)),1))</f>
        <v>1</v>
      </c>
      <c r="C17">
        <f>IF(INDEX(Keys!$F:$F,MATCH($A17,Keys!$D:$D,0))="Y",0,IF($B28=1,IF($B29=1,IF(INDEX(Keys!$H:$H,MATCH($A17,Keys!$D:$D,0))="Y",0,IF(AND(INDEX(Keys!$G:$G,MATCH($A17,Keys!$D:$D,0))="Y",C$1&lt;Keys!$K$2),0,1)),IF(INDEX(Keys!$E:$E,MATCH($A17,Keys!$D:$D,0))="Y",1,0)),1))</f>
        <v>1</v>
      </c>
      <c r="D17">
        <f>IF(INDEX(Keys!$F:$F,MATCH($A17,Keys!$D:$D,0))="Y",0,IF($B28=1,IF($B29=1,IF(INDEX(Keys!$H:$H,MATCH($A17,Keys!$D:$D,0))="Y",0,IF(AND(INDEX(Keys!$G:$G,MATCH($A17,Keys!$D:$D,0))="Y",D$1&lt;Keys!$K$2),0,1)),IF(INDEX(Keys!$E:$E,MATCH($A17,Keys!$D:$D,0))="Y",1,0)),1))</f>
        <v>1</v>
      </c>
      <c r="E17">
        <f>IF(INDEX(Keys!$F:$F,MATCH($A17,Keys!$D:$D,0))="Y",0,IF($B28=1,IF($B29=1,IF(INDEX(Keys!$H:$H,MATCH($A17,Keys!$D:$D,0))="Y",0,IF(AND(INDEX(Keys!$G:$G,MATCH($A17,Keys!$D:$D,0))="Y",E$1&lt;Keys!$K$2),0,1)),IF(INDEX(Keys!$E:$E,MATCH($A17,Keys!$D:$D,0))="Y",1,0)),1))</f>
        <v>1</v>
      </c>
      <c r="F17">
        <f>IF(INDEX(Keys!$F:$F,MATCH($A17,Keys!$D:$D,0))="Y",0,IF($B28=1,IF($B29=1,IF(INDEX(Keys!$H:$H,MATCH($A17,Keys!$D:$D,0))="Y",0,IF(AND(INDEX(Keys!$G:$G,MATCH($A17,Keys!$D:$D,0))="Y",F$1&lt;Keys!$K$2),0,1)),IF(INDEX(Keys!$E:$E,MATCH($A17,Keys!$D:$D,0))="Y",1,0)),1))</f>
        <v>1</v>
      </c>
      <c r="G17">
        <f>IF(INDEX(Keys!$F:$F,MATCH($A17,Keys!$D:$D,0))="Y",0,IF($B28=1,IF($B29=1,IF(INDEX(Keys!$H:$H,MATCH($A17,Keys!$D:$D,0))="Y",0,IF(AND(INDEX(Keys!$G:$G,MATCH($A17,Keys!$D:$D,0))="Y",G$1&lt;Keys!$K$2),0,1)),IF(INDEX(Keys!$E:$E,MATCH($A17,Keys!$D:$D,0))="Y",1,0)),1))</f>
        <v>1</v>
      </c>
      <c r="H17">
        <f>IF(INDEX(Keys!$F:$F,MATCH($A17,Keys!$D:$D,0))="Y",0,IF($B28=1,IF($B29=1,IF(INDEX(Keys!$H:$H,MATCH($A17,Keys!$D:$D,0))="Y",0,IF(AND(INDEX(Keys!$G:$G,MATCH($A17,Keys!$D:$D,0))="Y",H$1&lt;Keys!$K$2),0,1)),IF(INDEX(Keys!$E:$E,MATCH($A17,Keys!$D:$D,0))="Y",1,0)),1))</f>
        <v>1</v>
      </c>
      <c r="I17">
        <f>IF(INDEX(Keys!$F:$F,MATCH($A17,Keys!$D:$D,0))="Y",0,IF($B28=1,IF($B29=1,IF(INDEX(Keys!$H:$H,MATCH($A17,Keys!$D:$D,0))="Y",0,IF(AND(INDEX(Keys!$G:$G,MATCH($A17,Keys!$D:$D,0))="Y",I$1&lt;Keys!$K$2),0,1)),IF(INDEX(Keys!$E:$E,MATCH($A17,Keys!$D:$D,0))="Y",1,0)),1))</f>
        <v>1</v>
      </c>
      <c r="J17">
        <f>IF(INDEX(Keys!$F:$F,MATCH($A17,Keys!$D:$D,0))="Y",0,IF($B28=1,IF($B29=1,IF(INDEX(Keys!$H:$H,MATCH($A17,Keys!$D:$D,0))="Y",0,IF(AND(INDEX(Keys!$G:$G,MATCH($A17,Keys!$D:$D,0))="Y",J$1&lt;Keys!$K$2),0,1)),IF(INDEX(Keys!$E:$E,MATCH($A17,Keys!$D:$D,0))="Y",1,0)),1))</f>
        <v>1</v>
      </c>
      <c r="K17">
        <f>IF(INDEX(Keys!$F:$F,MATCH($A17,Keys!$D:$D,0))="Y",0,IF($B28=1,IF($B29=1,IF(INDEX(Keys!$H:$H,MATCH($A17,Keys!$D:$D,0))="Y",0,IF(AND(INDEX(Keys!$G:$G,MATCH($A17,Keys!$D:$D,0))="Y",K$1&lt;Keys!$K$2),0,1)),IF(INDEX(Keys!$E:$E,MATCH($A17,Keys!$D:$D,0))="Y",1,0)),1))</f>
        <v>1</v>
      </c>
      <c r="L17">
        <f>IF(INDEX(Keys!$F:$F,MATCH($A17,Keys!$D:$D,0))="Y",0,IF($B28=1,IF($B29=1,IF(INDEX(Keys!$H:$H,MATCH($A17,Keys!$D:$D,0))="Y",0,IF(AND(INDEX(Keys!$G:$G,MATCH($A17,Keys!$D:$D,0))="Y",L$1&lt;Keys!$K$2),0,1)),IF(INDEX(Keys!$E:$E,MATCH($A17,Keys!$D:$D,0))="Y",1,0)),1))</f>
        <v>1</v>
      </c>
      <c r="M17">
        <f>IF(INDEX(Keys!$F:$F,MATCH($A17,Keys!$D:$D,0))="Y",0,IF($B28=1,IF($B29=1,IF(INDEX(Keys!$H:$H,MATCH($A17,Keys!$D:$D,0))="Y",0,IF(AND(INDEX(Keys!$G:$G,MATCH($A17,Keys!$D:$D,0))="Y",M$1&lt;Keys!$K$2),0,1)),IF(INDEX(Keys!$E:$E,MATCH($A17,Keys!$D:$D,0))="Y",1,0)),1))</f>
        <v>1</v>
      </c>
      <c r="N17">
        <f>IF(INDEX(Keys!$F:$F,MATCH($A17,Keys!$D:$D,0))="Y",0,IF($B28=1,IF($B29=1,IF(INDEX(Keys!$H:$H,MATCH($A17,Keys!$D:$D,0))="Y",0,IF(AND(INDEX(Keys!$G:$G,MATCH($A17,Keys!$D:$D,0))="Y",N$1&lt;Keys!$K$2),0,1)),IF(INDEX(Keys!$E:$E,MATCH($A17,Keys!$D:$D,0))="Y",1,0)),1))</f>
        <v>1</v>
      </c>
      <c r="O17">
        <f>IF(INDEX(Keys!$F:$F,MATCH($A17,Keys!$D:$D,0))="Y",0,IF($B28=1,IF($B29=1,IF(INDEX(Keys!$H:$H,MATCH($A17,Keys!$D:$D,0))="Y",0,IF(AND(INDEX(Keys!$G:$G,MATCH($A17,Keys!$D:$D,0))="Y",O$1&lt;Keys!$K$2),0,1)),IF(INDEX(Keys!$E:$E,MATCH($A17,Keys!$D:$D,0))="Y",1,0)),1))</f>
        <v>1</v>
      </c>
      <c r="P17">
        <f>IF(INDEX(Keys!$F:$F,MATCH($A17,Keys!$D:$D,0))="Y",0,IF($B28=1,IF($B29=1,IF(INDEX(Keys!$H:$H,MATCH($A17,Keys!$D:$D,0))="Y",0,IF(AND(INDEX(Keys!$G:$G,MATCH($A17,Keys!$D:$D,0))="Y",P$1&lt;Keys!$K$2),0,1)),IF(INDEX(Keys!$E:$E,MATCH($A17,Keys!$D:$D,0))="Y",1,0)),1))</f>
        <v>1</v>
      </c>
      <c r="Q17">
        <f>IF(INDEX(Keys!$F:$F,MATCH($A17,Keys!$D:$D,0))="Y",0,IF($B28=1,IF($B29=1,IF(INDEX(Keys!$H:$H,MATCH($A17,Keys!$D:$D,0))="Y",0,IF(AND(INDEX(Keys!$G:$G,MATCH($A17,Keys!$D:$D,0))="Y",Q$1&lt;Keys!$K$2),0,1)),IF(INDEX(Keys!$E:$E,MATCH($A17,Keys!$D:$D,0))="Y",1,0)),1))</f>
        <v>1</v>
      </c>
      <c r="R17">
        <f>IF(INDEX(Keys!$F:$F,MATCH($A17,Keys!$D:$D,0))="Y",0,IF($B28=1,IF($B29=1,IF(INDEX(Keys!$H:$H,MATCH($A17,Keys!$D:$D,0))="Y",0,IF(AND(INDEX(Keys!$G:$G,MATCH($A17,Keys!$D:$D,0))="Y",R$1&lt;Keys!$K$2),0,1)),IF(INDEX(Keys!$E:$E,MATCH($A17,Keys!$D:$D,0))="Y",1,0)),1))</f>
        <v>1</v>
      </c>
      <c r="S17">
        <f>IF(INDEX(Keys!$F:$F,MATCH($A17,Keys!$D:$D,0))="Y",0,IF($B28=1,IF($B29=1,IF(INDEX(Keys!$H:$H,MATCH($A17,Keys!$D:$D,0))="Y",0,IF(AND(INDEX(Keys!$G:$G,MATCH($A17,Keys!$D:$D,0))="Y",S$1&lt;Keys!$K$2),0,1)),IF(INDEX(Keys!$E:$E,MATCH($A17,Keys!$D:$D,0))="Y",1,0)),1))</f>
        <v>1</v>
      </c>
      <c r="T17">
        <f>IF(INDEX(Keys!$F:$F,MATCH($A17,Keys!$D:$D,0))="Y",0,IF($B28=1,IF($B29=1,IF(INDEX(Keys!$H:$H,MATCH($A17,Keys!$D:$D,0))="Y",0,IF(AND(INDEX(Keys!$G:$G,MATCH($A17,Keys!$D:$D,0))="Y",T$1&lt;Keys!$K$2),0,1)),IF(INDEX(Keys!$E:$E,MATCH($A17,Keys!$D:$D,0))="Y",1,0)),1))</f>
        <v>1</v>
      </c>
      <c r="U17">
        <f>IF(INDEX(Keys!$F:$F,MATCH($A17,Keys!$D:$D,0))="Y",0,IF($B28=1,IF($B29=1,IF(INDEX(Keys!$H:$H,MATCH($A17,Keys!$D:$D,0))="Y",0,IF(AND(INDEX(Keys!$G:$G,MATCH($A17,Keys!$D:$D,0))="Y",U$1&lt;Keys!$K$2),0,1)),IF(INDEX(Keys!$E:$E,MATCH($A17,Keys!$D:$D,0))="Y",1,0)),1))</f>
        <v>1</v>
      </c>
      <c r="V17">
        <f>IF(INDEX(Keys!$F:$F,MATCH($A17,Keys!$D:$D,0))="Y",0,IF($B28=1,IF($B29=1,IF(INDEX(Keys!$H:$H,MATCH($A17,Keys!$D:$D,0))="Y",0,IF(AND(INDEX(Keys!$G:$G,MATCH($A17,Keys!$D:$D,0))="Y",V$1&lt;Keys!$K$2),0,1)),IF(INDEX(Keys!$E:$E,MATCH($A17,Keys!$D:$D,0))="Y",1,0)),1))</f>
        <v>1</v>
      </c>
      <c r="W17">
        <f>IF(INDEX(Keys!$F:$F,MATCH($A17,Keys!$D:$D,0))="Y",0,IF($B28=1,IF($B29=1,IF(INDEX(Keys!$H:$H,MATCH($A17,Keys!$D:$D,0))="Y",0,IF(AND(INDEX(Keys!$G:$G,MATCH($A17,Keys!$D:$D,0))="Y",W$1&lt;Keys!$K$2),0,1)),IF(INDEX(Keys!$E:$E,MATCH($A17,Keys!$D:$D,0))="Y",1,0)),1))</f>
        <v>1</v>
      </c>
      <c r="X17">
        <f>IF(INDEX(Keys!$F:$F,MATCH($A17,Keys!$D:$D,0))="Y",0,IF($B28=1,IF($B29=1,IF(INDEX(Keys!$H:$H,MATCH($A17,Keys!$D:$D,0))="Y",0,IF(AND(INDEX(Keys!$G:$G,MATCH($A17,Keys!$D:$D,0))="Y",X$1&lt;Keys!$K$2),0,1)),IF(INDEX(Keys!$E:$E,MATCH($A17,Keys!$D:$D,0))="Y",1,0)),1))</f>
        <v>1</v>
      </c>
      <c r="Y17">
        <f>IF(INDEX(Keys!$F:$F,MATCH($A17,Keys!$D:$D,0))="Y",0,IF($B28=1,IF($B29=1,IF(INDEX(Keys!$H:$H,MATCH($A17,Keys!$D:$D,0))="Y",0,IF(AND(INDEX(Keys!$G:$G,MATCH($A17,Keys!$D:$D,0))="Y",Y$1&lt;Keys!$K$2),0,1)),IF(INDEX(Keys!$E:$E,MATCH($A17,Keys!$D:$D,0))="Y",1,0)),1))</f>
        <v>1</v>
      </c>
      <c r="Z17">
        <f>IF(INDEX(Keys!$F:$F,MATCH($A17,Keys!$D:$D,0))="Y",0,IF($B28=1,IF($B29=1,IF(INDEX(Keys!$H:$H,MATCH($A17,Keys!$D:$D,0))="Y",0,IF(AND(INDEX(Keys!$G:$G,MATCH($A17,Keys!$D:$D,0))="Y",Z$1&lt;Keys!$K$2),0,1)),IF(INDEX(Keys!$E:$E,MATCH($A17,Keys!$D:$D,0))="Y",1,0)),1))</f>
        <v>1</v>
      </c>
      <c r="AA17">
        <f>IF(INDEX(Keys!$F:$F,MATCH($A17,Keys!$D:$D,0))="Y",0,IF($B28=1,IF($B29=1,IF(INDEX(Keys!$H:$H,MATCH($A17,Keys!$D:$D,0))="Y",0,IF(AND(INDEX(Keys!$G:$G,MATCH($A17,Keys!$D:$D,0))="Y",AA$1&lt;Keys!$K$2),0,1)),IF(INDEX(Keys!$E:$E,MATCH($A17,Keys!$D:$D,0))="Y",1,0)),1))</f>
        <v>1</v>
      </c>
      <c r="AB17">
        <f>IF(INDEX(Keys!$F:$F,MATCH($A17,Keys!$D:$D,0))="Y",0,IF($B28=1,IF($B29=1,IF(INDEX(Keys!$H:$H,MATCH($A17,Keys!$D:$D,0))="Y",0,IF(AND(INDEX(Keys!$G:$G,MATCH($A17,Keys!$D:$D,0))="Y",AB$1&lt;Keys!$K$2),0,1)),IF(INDEX(Keys!$E:$E,MATCH($A17,Keys!$D:$D,0))="Y",1,0)),1))</f>
        <v>1</v>
      </c>
      <c r="AC17">
        <f>IF(INDEX(Keys!$F:$F,MATCH($A17,Keys!$D:$D,0))="Y",0,IF($B28=1,IF($B29=1,IF(INDEX(Keys!$H:$H,MATCH($A17,Keys!$D:$D,0))="Y",0,IF(AND(INDEX(Keys!$G:$G,MATCH($A17,Keys!$D:$D,0))="Y",AC$1&lt;Keys!$K$2),0,1)),IF(INDEX(Keys!$E:$E,MATCH($A17,Keys!$D:$D,0))="Y",1,0)),1))</f>
        <v>1</v>
      </c>
      <c r="AD17">
        <f>IF(INDEX(Keys!$F:$F,MATCH($A17,Keys!$D:$D,0))="Y",0,IF($B28=1,IF($B29=1,IF(INDEX(Keys!$H:$H,MATCH($A17,Keys!$D:$D,0))="Y",0,IF(AND(INDEX(Keys!$G:$G,MATCH($A17,Keys!$D:$D,0))="Y",AD$1&lt;Keys!$K$2),0,1)),IF(INDEX(Keys!$E:$E,MATCH($A17,Keys!$D:$D,0))="Y",1,0)),1))</f>
        <v>1</v>
      </c>
      <c r="AE17">
        <f>IF(INDEX(Keys!$F:$F,MATCH($A17,Keys!$D:$D,0))="Y",0,IF($B28=1,IF($B29=1,IF(INDEX(Keys!$H:$H,MATCH($A17,Keys!$D:$D,0))="Y",0,IF(AND(INDEX(Keys!$G:$G,MATCH($A17,Keys!$D:$D,0))="Y",AE$1&lt;Keys!$K$2),0,1)),IF(INDEX(Keys!$E:$E,MATCH($A17,Keys!$D:$D,0))="Y",1,0)),1))</f>
        <v>1</v>
      </c>
    </row>
    <row r="18" spans="1:31" x14ac:dyDescent="0.45">
      <c r="A18" t="str">
        <f>Keys!$D18</f>
        <v>computers and electronics 26</v>
      </c>
      <c r="B18">
        <f>IF(INDEX(Keys!$F:$F,MATCH($A18,Keys!$D:$D,0))="Y",0,IF($B28=1,IF($B29=1,IF(INDEX(Keys!$H:$H,MATCH($A18,Keys!$D:$D,0))="Y",0,IF(AND(INDEX(Keys!$G:$G,MATCH($A18,Keys!$D:$D,0))="Y",B$1&lt;Keys!$K$2),0,1)),IF(INDEX(Keys!$E:$E,MATCH($A18,Keys!$D:$D,0))="Y",1,0)),1))</f>
        <v>1</v>
      </c>
      <c r="C18">
        <f>IF(INDEX(Keys!$F:$F,MATCH($A18,Keys!$D:$D,0))="Y",0,IF($B28=1,IF($B29=1,IF(INDEX(Keys!$H:$H,MATCH($A18,Keys!$D:$D,0))="Y",0,IF(AND(INDEX(Keys!$G:$G,MATCH($A18,Keys!$D:$D,0))="Y",C$1&lt;Keys!$K$2),0,1)),IF(INDEX(Keys!$E:$E,MATCH($A18,Keys!$D:$D,0))="Y",1,0)),1))</f>
        <v>1</v>
      </c>
      <c r="D18">
        <f>IF(INDEX(Keys!$F:$F,MATCH($A18,Keys!$D:$D,0))="Y",0,IF($B28=1,IF($B29=1,IF(INDEX(Keys!$H:$H,MATCH($A18,Keys!$D:$D,0))="Y",0,IF(AND(INDEX(Keys!$G:$G,MATCH($A18,Keys!$D:$D,0))="Y",D$1&lt;Keys!$K$2),0,1)),IF(INDEX(Keys!$E:$E,MATCH($A18,Keys!$D:$D,0))="Y",1,0)),1))</f>
        <v>1</v>
      </c>
      <c r="E18">
        <f>IF(INDEX(Keys!$F:$F,MATCH($A18,Keys!$D:$D,0))="Y",0,IF($B28=1,IF($B29=1,IF(INDEX(Keys!$H:$H,MATCH($A18,Keys!$D:$D,0))="Y",0,IF(AND(INDEX(Keys!$G:$G,MATCH($A18,Keys!$D:$D,0))="Y",E$1&lt;Keys!$K$2),0,1)),IF(INDEX(Keys!$E:$E,MATCH($A18,Keys!$D:$D,0))="Y",1,0)),1))</f>
        <v>1</v>
      </c>
      <c r="F18">
        <f>IF(INDEX(Keys!$F:$F,MATCH($A18,Keys!$D:$D,0))="Y",0,IF($B28=1,IF($B29=1,IF(INDEX(Keys!$H:$H,MATCH($A18,Keys!$D:$D,0))="Y",0,IF(AND(INDEX(Keys!$G:$G,MATCH($A18,Keys!$D:$D,0))="Y",F$1&lt;Keys!$K$2),0,1)),IF(INDEX(Keys!$E:$E,MATCH($A18,Keys!$D:$D,0))="Y",1,0)),1))</f>
        <v>1</v>
      </c>
      <c r="G18">
        <f>IF(INDEX(Keys!$F:$F,MATCH($A18,Keys!$D:$D,0))="Y",0,IF($B28=1,IF($B29=1,IF(INDEX(Keys!$H:$H,MATCH($A18,Keys!$D:$D,0))="Y",0,IF(AND(INDEX(Keys!$G:$G,MATCH($A18,Keys!$D:$D,0))="Y",G$1&lt;Keys!$K$2),0,1)),IF(INDEX(Keys!$E:$E,MATCH($A18,Keys!$D:$D,0))="Y",1,0)),1))</f>
        <v>1</v>
      </c>
      <c r="H18">
        <f>IF(INDEX(Keys!$F:$F,MATCH($A18,Keys!$D:$D,0))="Y",0,IF($B28=1,IF($B29=1,IF(INDEX(Keys!$H:$H,MATCH($A18,Keys!$D:$D,0))="Y",0,IF(AND(INDEX(Keys!$G:$G,MATCH($A18,Keys!$D:$D,0))="Y",H$1&lt;Keys!$K$2),0,1)),IF(INDEX(Keys!$E:$E,MATCH($A18,Keys!$D:$D,0))="Y",1,0)),1))</f>
        <v>1</v>
      </c>
      <c r="I18">
        <f>IF(INDEX(Keys!$F:$F,MATCH($A18,Keys!$D:$D,0))="Y",0,IF($B28=1,IF($B29=1,IF(INDEX(Keys!$H:$H,MATCH($A18,Keys!$D:$D,0))="Y",0,IF(AND(INDEX(Keys!$G:$G,MATCH($A18,Keys!$D:$D,0))="Y",I$1&lt;Keys!$K$2),0,1)),IF(INDEX(Keys!$E:$E,MATCH($A18,Keys!$D:$D,0))="Y",1,0)),1))</f>
        <v>1</v>
      </c>
      <c r="J18">
        <f>IF(INDEX(Keys!$F:$F,MATCH($A18,Keys!$D:$D,0))="Y",0,IF($B28=1,IF($B29=1,IF(INDEX(Keys!$H:$H,MATCH($A18,Keys!$D:$D,0))="Y",0,IF(AND(INDEX(Keys!$G:$G,MATCH($A18,Keys!$D:$D,0))="Y",J$1&lt;Keys!$K$2),0,1)),IF(INDEX(Keys!$E:$E,MATCH($A18,Keys!$D:$D,0))="Y",1,0)),1))</f>
        <v>1</v>
      </c>
      <c r="K18">
        <f>IF(INDEX(Keys!$F:$F,MATCH($A18,Keys!$D:$D,0))="Y",0,IF($B28=1,IF($B29=1,IF(INDEX(Keys!$H:$H,MATCH($A18,Keys!$D:$D,0))="Y",0,IF(AND(INDEX(Keys!$G:$G,MATCH($A18,Keys!$D:$D,0))="Y",K$1&lt;Keys!$K$2),0,1)),IF(INDEX(Keys!$E:$E,MATCH($A18,Keys!$D:$D,0))="Y",1,0)),1))</f>
        <v>1</v>
      </c>
      <c r="L18">
        <f>IF(INDEX(Keys!$F:$F,MATCH($A18,Keys!$D:$D,0))="Y",0,IF($B28=1,IF($B29=1,IF(INDEX(Keys!$H:$H,MATCH($A18,Keys!$D:$D,0))="Y",0,IF(AND(INDEX(Keys!$G:$G,MATCH($A18,Keys!$D:$D,0))="Y",L$1&lt;Keys!$K$2),0,1)),IF(INDEX(Keys!$E:$E,MATCH($A18,Keys!$D:$D,0))="Y",1,0)),1))</f>
        <v>1</v>
      </c>
      <c r="M18">
        <f>IF(INDEX(Keys!$F:$F,MATCH($A18,Keys!$D:$D,0))="Y",0,IF($B28=1,IF($B29=1,IF(INDEX(Keys!$H:$H,MATCH($A18,Keys!$D:$D,0))="Y",0,IF(AND(INDEX(Keys!$G:$G,MATCH($A18,Keys!$D:$D,0))="Y",M$1&lt;Keys!$K$2),0,1)),IF(INDEX(Keys!$E:$E,MATCH($A18,Keys!$D:$D,0))="Y",1,0)),1))</f>
        <v>1</v>
      </c>
      <c r="N18">
        <f>IF(INDEX(Keys!$F:$F,MATCH($A18,Keys!$D:$D,0))="Y",0,IF($B28=1,IF($B29=1,IF(INDEX(Keys!$H:$H,MATCH($A18,Keys!$D:$D,0))="Y",0,IF(AND(INDEX(Keys!$G:$G,MATCH($A18,Keys!$D:$D,0))="Y",N$1&lt;Keys!$K$2),0,1)),IF(INDEX(Keys!$E:$E,MATCH($A18,Keys!$D:$D,0))="Y",1,0)),1))</f>
        <v>1</v>
      </c>
      <c r="O18">
        <f>IF(INDEX(Keys!$F:$F,MATCH($A18,Keys!$D:$D,0))="Y",0,IF($B28=1,IF($B29=1,IF(INDEX(Keys!$H:$H,MATCH($A18,Keys!$D:$D,0))="Y",0,IF(AND(INDEX(Keys!$G:$G,MATCH($A18,Keys!$D:$D,0))="Y",O$1&lt;Keys!$K$2),0,1)),IF(INDEX(Keys!$E:$E,MATCH($A18,Keys!$D:$D,0))="Y",1,0)),1))</f>
        <v>1</v>
      </c>
      <c r="P18">
        <f>IF(INDEX(Keys!$F:$F,MATCH($A18,Keys!$D:$D,0))="Y",0,IF($B28=1,IF($B29=1,IF(INDEX(Keys!$H:$H,MATCH($A18,Keys!$D:$D,0))="Y",0,IF(AND(INDEX(Keys!$G:$G,MATCH($A18,Keys!$D:$D,0))="Y",P$1&lt;Keys!$K$2),0,1)),IF(INDEX(Keys!$E:$E,MATCH($A18,Keys!$D:$D,0))="Y",1,0)),1))</f>
        <v>1</v>
      </c>
      <c r="Q18">
        <f>IF(INDEX(Keys!$F:$F,MATCH($A18,Keys!$D:$D,0))="Y",0,IF($B28=1,IF($B29=1,IF(INDEX(Keys!$H:$H,MATCH($A18,Keys!$D:$D,0))="Y",0,IF(AND(INDEX(Keys!$G:$G,MATCH($A18,Keys!$D:$D,0))="Y",Q$1&lt;Keys!$K$2),0,1)),IF(INDEX(Keys!$E:$E,MATCH($A18,Keys!$D:$D,0))="Y",1,0)),1))</f>
        <v>1</v>
      </c>
      <c r="R18">
        <f>IF(INDEX(Keys!$F:$F,MATCH($A18,Keys!$D:$D,0))="Y",0,IF($B28=1,IF($B29=1,IF(INDEX(Keys!$H:$H,MATCH($A18,Keys!$D:$D,0))="Y",0,IF(AND(INDEX(Keys!$G:$G,MATCH($A18,Keys!$D:$D,0))="Y",R$1&lt;Keys!$K$2),0,1)),IF(INDEX(Keys!$E:$E,MATCH($A18,Keys!$D:$D,0))="Y",1,0)),1))</f>
        <v>1</v>
      </c>
      <c r="S18">
        <f>IF(INDEX(Keys!$F:$F,MATCH($A18,Keys!$D:$D,0))="Y",0,IF($B28=1,IF($B29=1,IF(INDEX(Keys!$H:$H,MATCH($A18,Keys!$D:$D,0))="Y",0,IF(AND(INDEX(Keys!$G:$G,MATCH($A18,Keys!$D:$D,0))="Y",S$1&lt;Keys!$K$2),0,1)),IF(INDEX(Keys!$E:$E,MATCH($A18,Keys!$D:$D,0))="Y",1,0)),1))</f>
        <v>1</v>
      </c>
      <c r="T18">
        <f>IF(INDEX(Keys!$F:$F,MATCH($A18,Keys!$D:$D,0))="Y",0,IF($B28=1,IF($B29=1,IF(INDEX(Keys!$H:$H,MATCH($A18,Keys!$D:$D,0))="Y",0,IF(AND(INDEX(Keys!$G:$G,MATCH($A18,Keys!$D:$D,0))="Y",T$1&lt;Keys!$K$2),0,1)),IF(INDEX(Keys!$E:$E,MATCH($A18,Keys!$D:$D,0))="Y",1,0)),1))</f>
        <v>1</v>
      </c>
      <c r="U18">
        <f>IF(INDEX(Keys!$F:$F,MATCH($A18,Keys!$D:$D,0))="Y",0,IF($B28=1,IF($B29=1,IF(INDEX(Keys!$H:$H,MATCH($A18,Keys!$D:$D,0))="Y",0,IF(AND(INDEX(Keys!$G:$G,MATCH($A18,Keys!$D:$D,0))="Y",U$1&lt;Keys!$K$2),0,1)),IF(INDEX(Keys!$E:$E,MATCH($A18,Keys!$D:$D,0))="Y",1,0)),1))</f>
        <v>1</v>
      </c>
      <c r="V18">
        <f>IF(INDEX(Keys!$F:$F,MATCH($A18,Keys!$D:$D,0))="Y",0,IF($B28=1,IF($B29=1,IF(INDEX(Keys!$H:$H,MATCH($A18,Keys!$D:$D,0))="Y",0,IF(AND(INDEX(Keys!$G:$G,MATCH($A18,Keys!$D:$D,0))="Y",V$1&lt;Keys!$K$2),0,1)),IF(INDEX(Keys!$E:$E,MATCH($A18,Keys!$D:$D,0))="Y",1,0)),1))</f>
        <v>1</v>
      </c>
      <c r="W18">
        <f>IF(INDEX(Keys!$F:$F,MATCH($A18,Keys!$D:$D,0))="Y",0,IF($B28=1,IF($B29=1,IF(INDEX(Keys!$H:$H,MATCH($A18,Keys!$D:$D,0))="Y",0,IF(AND(INDEX(Keys!$G:$G,MATCH($A18,Keys!$D:$D,0))="Y",W$1&lt;Keys!$K$2),0,1)),IF(INDEX(Keys!$E:$E,MATCH($A18,Keys!$D:$D,0))="Y",1,0)),1))</f>
        <v>1</v>
      </c>
      <c r="X18">
        <f>IF(INDEX(Keys!$F:$F,MATCH($A18,Keys!$D:$D,0))="Y",0,IF($B28=1,IF($B29=1,IF(INDEX(Keys!$H:$H,MATCH($A18,Keys!$D:$D,0))="Y",0,IF(AND(INDEX(Keys!$G:$G,MATCH($A18,Keys!$D:$D,0))="Y",X$1&lt;Keys!$K$2),0,1)),IF(INDEX(Keys!$E:$E,MATCH($A18,Keys!$D:$D,0))="Y",1,0)),1))</f>
        <v>1</v>
      </c>
      <c r="Y18">
        <f>IF(INDEX(Keys!$F:$F,MATCH($A18,Keys!$D:$D,0))="Y",0,IF($B28=1,IF($B29=1,IF(INDEX(Keys!$H:$H,MATCH($A18,Keys!$D:$D,0))="Y",0,IF(AND(INDEX(Keys!$G:$G,MATCH($A18,Keys!$D:$D,0))="Y",Y$1&lt;Keys!$K$2),0,1)),IF(INDEX(Keys!$E:$E,MATCH($A18,Keys!$D:$D,0))="Y",1,0)),1))</f>
        <v>1</v>
      </c>
      <c r="Z18">
        <f>IF(INDEX(Keys!$F:$F,MATCH($A18,Keys!$D:$D,0))="Y",0,IF($B28=1,IF($B29=1,IF(INDEX(Keys!$H:$H,MATCH($A18,Keys!$D:$D,0))="Y",0,IF(AND(INDEX(Keys!$G:$G,MATCH($A18,Keys!$D:$D,0))="Y",Z$1&lt;Keys!$K$2),0,1)),IF(INDEX(Keys!$E:$E,MATCH($A18,Keys!$D:$D,0))="Y",1,0)),1))</f>
        <v>1</v>
      </c>
      <c r="AA18">
        <f>IF(INDEX(Keys!$F:$F,MATCH($A18,Keys!$D:$D,0))="Y",0,IF($B28=1,IF($B29=1,IF(INDEX(Keys!$H:$H,MATCH($A18,Keys!$D:$D,0))="Y",0,IF(AND(INDEX(Keys!$G:$G,MATCH($A18,Keys!$D:$D,0))="Y",AA$1&lt;Keys!$K$2),0,1)),IF(INDEX(Keys!$E:$E,MATCH($A18,Keys!$D:$D,0))="Y",1,0)),1))</f>
        <v>1</v>
      </c>
      <c r="AB18">
        <f>IF(INDEX(Keys!$F:$F,MATCH($A18,Keys!$D:$D,0))="Y",0,IF($B28=1,IF($B29=1,IF(INDEX(Keys!$H:$H,MATCH($A18,Keys!$D:$D,0))="Y",0,IF(AND(INDEX(Keys!$G:$G,MATCH($A18,Keys!$D:$D,0))="Y",AB$1&lt;Keys!$K$2),0,1)),IF(INDEX(Keys!$E:$E,MATCH($A18,Keys!$D:$D,0))="Y",1,0)),1))</f>
        <v>1</v>
      </c>
      <c r="AC18">
        <f>IF(INDEX(Keys!$F:$F,MATCH($A18,Keys!$D:$D,0))="Y",0,IF($B28=1,IF($B29=1,IF(INDEX(Keys!$H:$H,MATCH($A18,Keys!$D:$D,0))="Y",0,IF(AND(INDEX(Keys!$G:$G,MATCH($A18,Keys!$D:$D,0))="Y",AC$1&lt;Keys!$K$2),0,1)),IF(INDEX(Keys!$E:$E,MATCH($A18,Keys!$D:$D,0))="Y",1,0)),1))</f>
        <v>1</v>
      </c>
      <c r="AD18">
        <f>IF(INDEX(Keys!$F:$F,MATCH($A18,Keys!$D:$D,0))="Y",0,IF($B28=1,IF($B29=1,IF(INDEX(Keys!$H:$H,MATCH($A18,Keys!$D:$D,0))="Y",0,IF(AND(INDEX(Keys!$G:$G,MATCH($A18,Keys!$D:$D,0))="Y",AD$1&lt;Keys!$K$2),0,1)),IF(INDEX(Keys!$E:$E,MATCH($A18,Keys!$D:$D,0))="Y",1,0)),1))</f>
        <v>1</v>
      </c>
      <c r="AE18">
        <f>IF(INDEX(Keys!$F:$F,MATCH($A18,Keys!$D:$D,0))="Y",0,IF($B28=1,IF($B29=1,IF(INDEX(Keys!$H:$H,MATCH($A18,Keys!$D:$D,0))="Y",0,IF(AND(INDEX(Keys!$G:$G,MATCH($A18,Keys!$D:$D,0))="Y",AE$1&lt;Keys!$K$2),0,1)),IF(INDEX(Keys!$E:$E,MATCH($A18,Keys!$D:$D,0))="Y",1,0)),1))</f>
        <v>1</v>
      </c>
    </row>
    <row r="19" spans="1:31" x14ac:dyDescent="0.45">
      <c r="A19" t="str">
        <f>Keys!$D19</f>
        <v>appliances and electrical equipment 27</v>
      </c>
      <c r="B19">
        <f>IF(INDEX(Keys!$F:$F,MATCH($A19,Keys!$D:$D,0))="Y",0,IF($B28=1,IF($B29=1,IF(INDEX(Keys!$H:$H,MATCH($A19,Keys!$D:$D,0))="Y",0,IF(AND(INDEX(Keys!$G:$G,MATCH($A19,Keys!$D:$D,0))="Y",B$1&lt;Keys!$K$2),0,1)),IF(INDEX(Keys!$E:$E,MATCH($A19,Keys!$D:$D,0))="Y",1,0)),1))</f>
        <v>1</v>
      </c>
      <c r="C19">
        <f>IF(INDEX(Keys!$F:$F,MATCH($A19,Keys!$D:$D,0))="Y",0,IF($B28=1,IF($B29=1,IF(INDEX(Keys!$H:$H,MATCH($A19,Keys!$D:$D,0))="Y",0,IF(AND(INDEX(Keys!$G:$G,MATCH($A19,Keys!$D:$D,0))="Y",C$1&lt;Keys!$K$2),0,1)),IF(INDEX(Keys!$E:$E,MATCH($A19,Keys!$D:$D,0))="Y",1,0)),1))</f>
        <v>1</v>
      </c>
      <c r="D19">
        <f>IF(INDEX(Keys!$F:$F,MATCH($A19,Keys!$D:$D,0))="Y",0,IF($B28=1,IF($B29=1,IF(INDEX(Keys!$H:$H,MATCH($A19,Keys!$D:$D,0))="Y",0,IF(AND(INDEX(Keys!$G:$G,MATCH($A19,Keys!$D:$D,0))="Y",D$1&lt;Keys!$K$2),0,1)),IF(INDEX(Keys!$E:$E,MATCH($A19,Keys!$D:$D,0))="Y",1,0)),1))</f>
        <v>1</v>
      </c>
      <c r="E19">
        <f>IF(INDEX(Keys!$F:$F,MATCH($A19,Keys!$D:$D,0))="Y",0,IF($B28=1,IF($B29=1,IF(INDEX(Keys!$H:$H,MATCH($A19,Keys!$D:$D,0))="Y",0,IF(AND(INDEX(Keys!$G:$G,MATCH($A19,Keys!$D:$D,0))="Y",E$1&lt;Keys!$K$2),0,1)),IF(INDEX(Keys!$E:$E,MATCH($A19,Keys!$D:$D,0))="Y",1,0)),1))</f>
        <v>1</v>
      </c>
      <c r="F19">
        <f>IF(INDEX(Keys!$F:$F,MATCH($A19,Keys!$D:$D,0))="Y",0,IF($B28=1,IF($B29=1,IF(INDEX(Keys!$H:$H,MATCH($A19,Keys!$D:$D,0))="Y",0,IF(AND(INDEX(Keys!$G:$G,MATCH($A19,Keys!$D:$D,0))="Y",F$1&lt;Keys!$K$2),0,1)),IF(INDEX(Keys!$E:$E,MATCH($A19,Keys!$D:$D,0))="Y",1,0)),1))</f>
        <v>1</v>
      </c>
      <c r="G19">
        <f>IF(INDEX(Keys!$F:$F,MATCH($A19,Keys!$D:$D,0))="Y",0,IF($B28=1,IF($B29=1,IF(INDEX(Keys!$H:$H,MATCH($A19,Keys!$D:$D,0))="Y",0,IF(AND(INDEX(Keys!$G:$G,MATCH($A19,Keys!$D:$D,0))="Y",G$1&lt;Keys!$K$2),0,1)),IF(INDEX(Keys!$E:$E,MATCH($A19,Keys!$D:$D,0))="Y",1,0)),1))</f>
        <v>1</v>
      </c>
      <c r="H19">
        <f>IF(INDEX(Keys!$F:$F,MATCH($A19,Keys!$D:$D,0))="Y",0,IF($B28=1,IF($B29=1,IF(INDEX(Keys!$H:$H,MATCH($A19,Keys!$D:$D,0))="Y",0,IF(AND(INDEX(Keys!$G:$G,MATCH($A19,Keys!$D:$D,0))="Y",H$1&lt;Keys!$K$2),0,1)),IF(INDEX(Keys!$E:$E,MATCH($A19,Keys!$D:$D,0))="Y",1,0)),1))</f>
        <v>1</v>
      </c>
      <c r="I19">
        <f>IF(INDEX(Keys!$F:$F,MATCH($A19,Keys!$D:$D,0))="Y",0,IF($B28=1,IF($B29=1,IF(INDEX(Keys!$H:$H,MATCH($A19,Keys!$D:$D,0))="Y",0,IF(AND(INDEX(Keys!$G:$G,MATCH($A19,Keys!$D:$D,0))="Y",I$1&lt;Keys!$K$2),0,1)),IF(INDEX(Keys!$E:$E,MATCH($A19,Keys!$D:$D,0))="Y",1,0)),1))</f>
        <v>1</v>
      </c>
      <c r="J19">
        <f>IF(INDEX(Keys!$F:$F,MATCH($A19,Keys!$D:$D,0))="Y",0,IF($B28=1,IF($B29=1,IF(INDEX(Keys!$H:$H,MATCH($A19,Keys!$D:$D,0))="Y",0,IF(AND(INDEX(Keys!$G:$G,MATCH($A19,Keys!$D:$D,0))="Y",J$1&lt;Keys!$K$2),0,1)),IF(INDEX(Keys!$E:$E,MATCH($A19,Keys!$D:$D,0))="Y",1,0)),1))</f>
        <v>1</v>
      </c>
      <c r="K19">
        <f>IF(INDEX(Keys!$F:$F,MATCH($A19,Keys!$D:$D,0))="Y",0,IF($B28=1,IF($B29=1,IF(INDEX(Keys!$H:$H,MATCH($A19,Keys!$D:$D,0))="Y",0,IF(AND(INDEX(Keys!$G:$G,MATCH($A19,Keys!$D:$D,0))="Y",K$1&lt;Keys!$K$2),0,1)),IF(INDEX(Keys!$E:$E,MATCH($A19,Keys!$D:$D,0))="Y",1,0)),1))</f>
        <v>1</v>
      </c>
      <c r="L19">
        <f>IF(INDEX(Keys!$F:$F,MATCH($A19,Keys!$D:$D,0))="Y",0,IF($B28=1,IF($B29=1,IF(INDEX(Keys!$H:$H,MATCH($A19,Keys!$D:$D,0))="Y",0,IF(AND(INDEX(Keys!$G:$G,MATCH($A19,Keys!$D:$D,0))="Y",L$1&lt;Keys!$K$2),0,1)),IF(INDEX(Keys!$E:$E,MATCH($A19,Keys!$D:$D,0))="Y",1,0)),1))</f>
        <v>1</v>
      </c>
      <c r="M19">
        <f>IF(INDEX(Keys!$F:$F,MATCH($A19,Keys!$D:$D,0))="Y",0,IF($B28=1,IF($B29=1,IF(INDEX(Keys!$H:$H,MATCH($A19,Keys!$D:$D,0))="Y",0,IF(AND(INDEX(Keys!$G:$G,MATCH($A19,Keys!$D:$D,0))="Y",M$1&lt;Keys!$K$2),0,1)),IF(INDEX(Keys!$E:$E,MATCH($A19,Keys!$D:$D,0))="Y",1,0)),1))</f>
        <v>1</v>
      </c>
      <c r="N19">
        <f>IF(INDEX(Keys!$F:$F,MATCH($A19,Keys!$D:$D,0))="Y",0,IF($B28=1,IF($B29=1,IF(INDEX(Keys!$H:$H,MATCH($A19,Keys!$D:$D,0))="Y",0,IF(AND(INDEX(Keys!$G:$G,MATCH($A19,Keys!$D:$D,0))="Y",N$1&lt;Keys!$K$2),0,1)),IF(INDEX(Keys!$E:$E,MATCH($A19,Keys!$D:$D,0))="Y",1,0)),1))</f>
        <v>1</v>
      </c>
      <c r="O19">
        <f>IF(INDEX(Keys!$F:$F,MATCH($A19,Keys!$D:$D,0))="Y",0,IF($B28=1,IF($B29=1,IF(INDEX(Keys!$H:$H,MATCH($A19,Keys!$D:$D,0))="Y",0,IF(AND(INDEX(Keys!$G:$G,MATCH($A19,Keys!$D:$D,0))="Y",O$1&lt;Keys!$K$2),0,1)),IF(INDEX(Keys!$E:$E,MATCH($A19,Keys!$D:$D,0))="Y",1,0)),1))</f>
        <v>1</v>
      </c>
      <c r="P19">
        <f>IF(INDEX(Keys!$F:$F,MATCH($A19,Keys!$D:$D,0))="Y",0,IF($B28=1,IF($B29=1,IF(INDEX(Keys!$H:$H,MATCH($A19,Keys!$D:$D,0))="Y",0,IF(AND(INDEX(Keys!$G:$G,MATCH($A19,Keys!$D:$D,0))="Y",P$1&lt;Keys!$K$2),0,1)),IF(INDEX(Keys!$E:$E,MATCH($A19,Keys!$D:$D,0))="Y",1,0)),1))</f>
        <v>1</v>
      </c>
      <c r="Q19">
        <f>IF(INDEX(Keys!$F:$F,MATCH($A19,Keys!$D:$D,0))="Y",0,IF($B28=1,IF($B29=1,IF(INDEX(Keys!$H:$H,MATCH($A19,Keys!$D:$D,0))="Y",0,IF(AND(INDEX(Keys!$G:$G,MATCH($A19,Keys!$D:$D,0))="Y",Q$1&lt;Keys!$K$2),0,1)),IF(INDEX(Keys!$E:$E,MATCH($A19,Keys!$D:$D,0))="Y",1,0)),1))</f>
        <v>1</v>
      </c>
      <c r="R19">
        <f>IF(INDEX(Keys!$F:$F,MATCH($A19,Keys!$D:$D,0))="Y",0,IF($B28=1,IF($B29=1,IF(INDEX(Keys!$H:$H,MATCH($A19,Keys!$D:$D,0))="Y",0,IF(AND(INDEX(Keys!$G:$G,MATCH($A19,Keys!$D:$D,0))="Y",R$1&lt;Keys!$K$2),0,1)),IF(INDEX(Keys!$E:$E,MATCH($A19,Keys!$D:$D,0))="Y",1,0)),1))</f>
        <v>1</v>
      </c>
      <c r="S19">
        <f>IF(INDEX(Keys!$F:$F,MATCH($A19,Keys!$D:$D,0))="Y",0,IF($B28=1,IF($B29=1,IF(INDEX(Keys!$H:$H,MATCH($A19,Keys!$D:$D,0))="Y",0,IF(AND(INDEX(Keys!$G:$G,MATCH($A19,Keys!$D:$D,0))="Y",S$1&lt;Keys!$K$2),0,1)),IF(INDEX(Keys!$E:$E,MATCH($A19,Keys!$D:$D,0))="Y",1,0)),1))</f>
        <v>1</v>
      </c>
      <c r="T19">
        <f>IF(INDEX(Keys!$F:$F,MATCH($A19,Keys!$D:$D,0))="Y",0,IF($B28=1,IF($B29=1,IF(INDEX(Keys!$H:$H,MATCH($A19,Keys!$D:$D,0))="Y",0,IF(AND(INDEX(Keys!$G:$G,MATCH($A19,Keys!$D:$D,0))="Y",T$1&lt;Keys!$K$2),0,1)),IF(INDEX(Keys!$E:$E,MATCH($A19,Keys!$D:$D,0))="Y",1,0)),1))</f>
        <v>1</v>
      </c>
      <c r="U19">
        <f>IF(INDEX(Keys!$F:$F,MATCH($A19,Keys!$D:$D,0))="Y",0,IF($B28=1,IF($B29=1,IF(INDEX(Keys!$H:$H,MATCH($A19,Keys!$D:$D,0))="Y",0,IF(AND(INDEX(Keys!$G:$G,MATCH($A19,Keys!$D:$D,0))="Y",U$1&lt;Keys!$K$2),0,1)),IF(INDEX(Keys!$E:$E,MATCH($A19,Keys!$D:$D,0))="Y",1,0)),1))</f>
        <v>1</v>
      </c>
      <c r="V19">
        <f>IF(INDEX(Keys!$F:$F,MATCH($A19,Keys!$D:$D,0))="Y",0,IF($B28=1,IF($B29=1,IF(INDEX(Keys!$H:$H,MATCH($A19,Keys!$D:$D,0))="Y",0,IF(AND(INDEX(Keys!$G:$G,MATCH($A19,Keys!$D:$D,0))="Y",V$1&lt;Keys!$K$2),0,1)),IF(INDEX(Keys!$E:$E,MATCH($A19,Keys!$D:$D,0))="Y",1,0)),1))</f>
        <v>1</v>
      </c>
      <c r="W19">
        <f>IF(INDEX(Keys!$F:$F,MATCH($A19,Keys!$D:$D,0))="Y",0,IF($B28=1,IF($B29=1,IF(INDEX(Keys!$H:$H,MATCH($A19,Keys!$D:$D,0))="Y",0,IF(AND(INDEX(Keys!$G:$G,MATCH($A19,Keys!$D:$D,0))="Y",W$1&lt;Keys!$K$2),0,1)),IF(INDEX(Keys!$E:$E,MATCH($A19,Keys!$D:$D,0))="Y",1,0)),1))</f>
        <v>1</v>
      </c>
      <c r="X19">
        <f>IF(INDEX(Keys!$F:$F,MATCH($A19,Keys!$D:$D,0))="Y",0,IF($B28=1,IF($B29=1,IF(INDEX(Keys!$H:$H,MATCH($A19,Keys!$D:$D,0))="Y",0,IF(AND(INDEX(Keys!$G:$G,MATCH($A19,Keys!$D:$D,0))="Y",X$1&lt;Keys!$K$2),0,1)),IF(INDEX(Keys!$E:$E,MATCH($A19,Keys!$D:$D,0))="Y",1,0)),1))</f>
        <v>1</v>
      </c>
      <c r="Y19">
        <f>IF(INDEX(Keys!$F:$F,MATCH($A19,Keys!$D:$D,0))="Y",0,IF($B28=1,IF($B29=1,IF(INDEX(Keys!$H:$H,MATCH($A19,Keys!$D:$D,0))="Y",0,IF(AND(INDEX(Keys!$G:$G,MATCH($A19,Keys!$D:$D,0))="Y",Y$1&lt;Keys!$K$2),0,1)),IF(INDEX(Keys!$E:$E,MATCH($A19,Keys!$D:$D,0))="Y",1,0)),1))</f>
        <v>1</v>
      </c>
      <c r="Z19">
        <f>IF(INDEX(Keys!$F:$F,MATCH($A19,Keys!$D:$D,0))="Y",0,IF($B28=1,IF($B29=1,IF(INDEX(Keys!$H:$H,MATCH($A19,Keys!$D:$D,0))="Y",0,IF(AND(INDEX(Keys!$G:$G,MATCH($A19,Keys!$D:$D,0))="Y",Z$1&lt;Keys!$K$2),0,1)),IF(INDEX(Keys!$E:$E,MATCH($A19,Keys!$D:$D,0))="Y",1,0)),1))</f>
        <v>1</v>
      </c>
      <c r="AA19">
        <f>IF(INDEX(Keys!$F:$F,MATCH($A19,Keys!$D:$D,0))="Y",0,IF($B28=1,IF($B29=1,IF(INDEX(Keys!$H:$H,MATCH($A19,Keys!$D:$D,0))="Y",0,IF(AND(INDEX(Keys!$G:$G,MATCH($A19,Keys!$D:$D,0))="Y",AA$1&lt;Keys!$K$2),0,1)),IF(INDEX(Keys!$E:$E,MATCH($A19,Keys!$D:$D,0))="Y",1,0)),1))</f>
        <v>1</v>
      </c>
      <c r="AB19">
        <f>IF(INDEX(Keys!$F:$F,MATCH($A19,Keys!$D:$D,0))="Y",0,IF($B28=1,IF($B29=1,IF(INDEX(Keys!$H:$H,MATCH($A19,Keys!$D:$D,0))="Y",0,IF(AND(INDEX(Keys!$G:$G,MATCH($A19,Keys!$D:$D,0))="Y",AB$1&lt;Keys!$K$2),0,1)),IF(INDEX(Keys!$E:$E,MATCH($A19,Keys!$D:$D,0))="Y",1,0)),1))</f>
        <v>1</v>
      </c>
      <c r="AC19">
        <f>IF(INDEX(Keys!$F:$F,MATCH($A19,Keys!$D:$D,0))="Y",0,IF($B28=1,IF($B29=1,IF(INDEX(Keys!$H:$H,MATCH($A19,Keys!$D:$D,0))="Y",0,IF(AND(INDEX(Keys!$G:$G,MATCH($A19,Keys!$D:$D,0))="Y",AC$1&lt;Keys!$K$2),0,1)),IF(INDEX(Keys!$E:$E,MATCH($A19,Keys!$D:$D,0))="Y",1,0)),1))</f>
        <v>1</v>
      </c>
      <c r="AD19">
        <f>IF(INDEX(Keys!$F:$F,MATCH($A19,Keys!$D:$D,0))="Y",0,IF($B28=1,IF($B29=1,IF(INDEX(Keys!$H:$H,MATCH($A19,Keys!$D:$D,0))="Y",0,IF(AND(INDEX(Keys!$G:$G,MATCH($A19,Keys!$D:$D,0))="Y",AD$1&lt;Keys!$K$2),0,1)),IF(INDEX(Keys!$E:$E,MATCH($A19,Keys!$D:$D,0))="Y",1,0)),1))</f>
        <v>1</v>
      </c>
      <c r="AE19">
        <f>IF(INDEX(Keys!$F:$F,MATCH($A19,Keys!$D:$D,0))="Y",0,IF($B28=1,IF($B29=1,IF(INDEX(Keys!$H:$H,MATCH($A19,Keys!$D:$D,0))="Y",0,IF(AND(INDEX(Keys!$G:$G,MATCH($A19,Keys!$D:$D,0))="Y",AE$1&lt;Keys!$K$2),0,1)),IF(INDEX(Keys!$E:$E,MATCH($A19,Keys!$D:$D,0))="Y",1,0)),1))</f>
        <v>1</v>
      </c>
    </row>
    <row r="20" spans="1:31" x14ac:dyDescent="0.45">
      <c r="A20" t="str">
        <f>Keys!$D20</f>
        <v>other machinery 28</v>
      </c>
      <c r="B20">
        <f>IF(INDEX(Keys!$F:$F,MATCH($A20,Keys!$D:$D,0))="Y",0,IF($B28=1,IF($B29=1,IF(INDEX(Keys!$H:$H,MATCH($A20,Keys!$D:$D,0))="Y",0,IF(AND(INDEX(Keys!$G:$G,MATCH($A20,Keys!$D:$D,0))="Y",B$1&lt;Keys!$K$2),0,1)),IF(INDEX(Keys!$E:$E,MATCH($A20,Keys!$D:$D,0))="Y",1,0)),1))</f>
        <v>1</v>
      </c>
      <c r="C20">
        <f>IF(INDEX(Keys!$F:$F,MATCH($A20,Keys!$D:$D,0))="Y",0,IF($B28=1,IF($B29=1,IF(INDEX(Keys!$H:$H,MATCH($A20,Keys!$D:$D,0))="Y",0,IF(AND(INDEX(Keys!$G:$G,MATCH($A20,Keys!$D:$D,0))="Y",C$1&lt;Keys!$K$2),0,1)),IF(INDEX(Keys!$E:$E,MATCH($A20,Keys!$D:$D,0))="Y",1,0)),1))</f>
        <v>1</v>
      </c>
      <c r="D20">
        <f>IF(INDEX(Keys!$F:$F,MATCH($A20,Keys!$D:$D,0))="Y",0,IF($B28=1,IF($B29=1,IF(INDEX(Keys!$H:$H,MATCH($A20,Keys!$D:$D,0))="Y",0,IF(AND(INDEX(Keys!$G:$G,MATCH($A20,Keys!$D:$D,0))="Y",D$1&lt;Keys!$K$2),0,1)),IF(INDEX(Keys!$E:$E,MATCH($A20,Keys!$D:$D,0))="Y",1,0)),1))</f>
        <v>1</v>
      </c>
      <c r="E20">
        <f>IF(INDEX(Keys!$F:$F,MATCH($A20,Keys!$D:$D,0))="Y",0,IF($B28=1,IF($B29=1,IF(INDEX(Keys!$H:$H,MATCH($A20,Keys!$D:$D,0))="Y",0,IF(AND(INDEX(Keys!$G:$G,MATCH($A20,Keys!$D:$D,0))="Y",E$1&lt;Keys!$K$2),0,1)),IF(INDEX(Keys!$E:$E,MATCH($A20,Keys!$D:$D,0))="Y",1,0)),1))</f>
        <v>1</v>
      </c>
      <c r="F20">
        <f>IF(INDEX(Keys!$F:$F,MATCH($A20,Keys!$D:$D,0))="Y",0,IF($B28=1,IF($B29=1,IF(INDEX(Keys!$H:$H,MATCH($A20,Keys!$D:$D,0))="Y",0,IF(AND(INDEX(Keys!$G:$G,MATCH($A20,Keys!$D:$D,0))="Y",F$1&lt;Keys!$K$2),0,1)),IF(INDEX(Keys!$E:$E,MATCH($A20,Keys!$D:$D,0))="Y",1,0)),1))</f>
        <v>1</v>
      </c>
      <c r="G20">
        <f>IF(INDEX(Keys!$F:$F,MATCH($A20,Keys!$D:$D,0))="Y",0,IF($B28=1,IF($B29=1,IF(INDEX(Keys!$H:$H,MATCH($A20,Keys!$D:$D,0))="Y",0,IF(AND(INDEX(Keys!$G:$G,MATCH($A20,Keys!$D:$D,0))="Y",G$1&lt;Keys!$K$2),0,1)),IF(INDEX(Keys!$E:$E,MATCH($A20,Keys!$D:$D,0))="Y",1,0)),1))</f>
        <v>1</v>
      </c>
      <c r="H20">
        <f>IF(INDEX(Keys!$F:$F,MATCH($A20,Keys!$D:$D,0))="Y",0,IF($B28=1,IF($B29=1,IF(INDEX(Keys!$H:$H,MATCH($A20,Keys!$D:$D,0))="Y",0,IF(AND(INDEX(Keys!$G:$G,MATCH($A20,Keys!$D:$D,0))="Y",H$1&lt;Keys!$K$2),0,1)),IF(INDEX(Keys!$E:$E,MATCH($A20,Keys!$D:$D,0))="Y",1,0)),1))</f>
        <v>1</v>
      </c>
      <c r="I20">
        <f>IF(INDEX(Keys!$F:$F,MATCH($A20,Keys!$D:$D,0))="Y",0,IF($B28=1,IF($B29=1,IF(INDEX(Keys!$H:$H,MATCH($A20,Keys!$D:$D,0))="Y",0,IF(AND(INDEX(Keys!$G:$G,MATCH($A20,Keys!$D:$D,0))="Y",I$1&lt;Keys!$K$2),0,1)),IF(INDEX(Keys!$E:$E,MATCH($A20,Keys!$D:$D,0))="Y",1,0)),1))</f>
        <v>1</v>
      </c>
      <c r="J20">
        <f>IF(INDEX(Keys!$F:$F,MATCH($A20,Keys!$D:$D,0))="Y",0,IF($B28=1,IF($B29=1,IF(INDEX(Keys!$H:$H,MATCH($A20,Keys!$D:$D,0))="Y",0,IF(AND(INDEX(Keys!$G:$G,MATCH($A20,Keys!$D:$D,0))="Y",J$1&lt;Keys!$K$2),0,1)),IF(INDEX(Keys!$E:$E,MATCH($A20,Keys!$D:$D,0))="Y",1,0)),1))</f>
        <v>1</v>
      </c>
      <c r="K20">
        <f>IF(INDEX(Keys!$F:$F,MATCH($A20,Keys!$D:$D,0))="Y",0,IF($B28=1,IF($B29=1,IF(INDEX(Keys!$H:$H,MATCH($A20,Keys!$D:$D,0))="Y",0,IF(AND(INDEX(Keys!$G:$G,MATCH($A20,Keys!$D:$D,0))="Y",K$1&lt;Keys!$K$2),0,1)),IF(INDEX(Keys!$E:$E,MATCH($A20,Keys!$D:$D,0))="Y",1,0)),1))</f>
        <v>1</v>
      </c>
      <c r="L20">
        <f>IF(INDEX(Keys!$F:$F,MATCH($A20,Keys!$D:$D,0))="Y",0,IF($B28=1,IF($B29=1,IF(INDEX(Keys!$H:$H,MATCH($A20,Keys!$D:$D,0))="Y",0,IF(AND(INDEX(Keys!$G:$G,MATCH($A20,Keys!$D:$D,0))="Y",L$1&lt;Keys!$K$2),0,1)),IF(INDEX(Keys!$E:$E,MATCH($A20,Keys!$D:$D,0))="Y",1,0)),1))</f>
        <v>1</v>
      </c>
      <c r="M20">
        <f>IF(INDEX(Keys!$F:$F,MATCH($A20,Keys!$D:$D,0))="Y",0,IF($B28=1,IF($B29=1,IF(INDEX(Keys!$H:$H,MATCH($A20,Keys!$D:$D,0))="Y",0,IF(AND(INDEX(Keys!$G:$G,MATCH($A20,Keys!$D:$D,0))="Y",M$1&lt;Keys!$K$2),0,1)),IF(INDEX(Keys!$E:$E,MATCH($A20,Keys!$D:$D,0))="Y",1,0)),1))</f>
        <v>1</v>
      </c>
      <c r="N20">
        <f>IF(INDEX(Keys!$F:$F,MATCH($A20,Keys!$D:$D,0))="Y",0,IF($B28=1,IF($B29=1,IF(INDEX(Keys!$H:$H,MATCH($A20,Keys!$D:$D,0))="Y",0,IF(AND(INDEX(Keys!$G:$G,MATCH($A20,Keys!$D:$D,0))="Y",N$1&lt;Keys!$K$2),0,1)),IF(INDEX(Keys!$E:$E,MATCH($A20,Keys!$D:$D,0))="Y",1,0)),1))</f>
        <v>1</v>
      </c>
      <c r="O20">
        <f>IF(INDEX(Keys!$F:$F,MATCH($A20,Keys!$D:$D,0))="Y",0,IF($B28=1,IF($B29=1,IF(INDEX(Keys!$H:$H,MATCH($A20,Keys!$D:$D,0))="Y",0,IF(AND(INDEX(Keys!$G:$G,MATCH($A20,Keys!$D:$D,0))="Y",O$1&lt;Keys!$K$2),0,1)),IF(INDEX(Keys!$E:$E,MATCH($A20,Keys!$D:$D,0))="Y",1,0)),1))</f>
        <v>1</v>
      </c>
      <c r="P20">
        <f>IF(INDEX(Keys!$F:$F,MATCH($A20,Keys!$D:$D,0))="Y",0,IF($B28=1,IF($B29=1,IF(INDEX(Keys!$H:$H,MATCH($A20,Keys!$D:$D,0))="Y",0,IF(AND(INDEX(Keys!$G:$G,MATCH($A20,Keys!$D:$D,0))="Y",P$1&lt;Keys!$K$2),0,1)),IF(INDEX(Keys!$E:$E,MATCH($A20,Keys!$D:$D,0))="Y",1,0)),1))</f>
        <v>1</v>
      </c>
      <c r="Q20">
        <f>IF(INDEX(Keys!$F:$F,MATCH($A20,Keys!$D:$D,0))="Y",0,IF($B28=1,IF($B29=1,IF(INDEX(Keys!$H:$H,MATCH($A20,Keys!$D:$D,0))="Y",0,IF(AND(INDEX(Keys!$G:$G,MATCH($A20,Keys!$D:$D,0))="Y",Q$1&lt;Keys!$K$2),0,1)),IF(INDEX(Keys!$E:$E,MATCH($A20,Keys!$D:$D,0))="Y",1,0)),1))</f>
        <v>1</v>
      </c>
      <c r="R20">
        <f>IF(INDEX(Keys!$F:$F,MATCH($A20,Keys!$D:$D,0))="Y",0,IF($B28=1,IF($B29=1,IF(INDEX(Keys!$H:$H,MATCH($A20,Keys!$D:$D,0))="Y",0,IF(AND(INDEX(Keys!$G:$G,MATCH($A20,Keys!$D:$D,0))="Y",R$1&lt;Keys!$K$2),0,1)),IF(INDEX(Keys!$E:$E,MATCH($A20,Keys!$D:$D,0))="Y",1,0)),1))</f>
        <v>1</v>
      </c>
      <c r="S20">
        <f>IF(INDEX(Keys!$F:$F,MATCH($A20,Keys!$D:$D,0))="Y",0,IF($B28=1,IF($B29=1,IF(INDEX(Keys!$H:$H,MATCH($A20,Keys!$D:$D,0))="Y",0,IF(AND(INDEX(Keys!$G:$G,MATCH($A20,Keys!$D:$D,0))="Y",S$1&lt;Keys!$K$2),0,1)),IF(INDEX(Keys!$E:$E,MATCH($A20,Keys!$D:$D,0))="Y",1,0)),1))</f>
        <v>1</v>
      </c>
      <c r="T20">
        <f>IF(INDEX(Keys!$F:$F,MATCH($A20,Keys!$D:$D,0))="Y",0,IF($B28=1,IF($B29=1,IF(INDEX(Keys!$H:$H,MATCH($A20,Keys!$D:$D,0))="Y",0,IF(AND(INDEX(Keys!$G:$G,MATCH($A20,Keys!$D:$D,0))="Y",T$1&lt;Keys!$K$2),0,1)),IF(INDEX(Keys!$E:$E,MATCH($A20,Keys!$D:$D,0))="Y",1,0)),1))</f>
        <v>1</v>
      </c>
      <c r="U20">
        <f>IF(INDEX(Keys!$F:$F,MATCH($A20,Keys!$D:$D,0))="Y",0,IF($B28=1,IF($B29=1,IF(INDEX(Keys!$H:$H,MATCH($A20,Keys!$D:$D,0))="Y",0,IF(AND(INDEX(Keys!$G:$G,MATCH($A20,Keys!$D:$D,0))="Y",U$1&lt;Keys!$K$2),0,1)),IF(INDEX(Keys!$E:$E,MATCH($A20,Keys!$D:$D,0))="Y",1,0)),1))</f>
        <v>1</v>
      </c>
      <c r="V20">
        <f>IF(INDEX(Keys!$F:$F,MATCH($A20,Keys!$D:$D,0))="Y",0,IF($B28=1,IF($B29=1,IF(INDEX(Keys!$H:$H,MATCH($A20,Keys!$D:$D,0))="Y",0,IF(AND(INDEX(Keys!$G:$G,MATCH($A20,Keys!$D:$D,0))="Y",V$1&lt;Keys!$K$2),0,1)),IF(INDEX(Keys!$E:$E,MATCH($A20,Keys!$D:$D,0))="Y",1,0)),1))</f>
        <v>1</v>
      </c>
      <c r="W20">
        <f>IF(INDEX(Keys!$F:$F,MATCH($A20,Keys!$D:$D,0))="Y",0,IF($B28=1,IF($B29=1,IF(INDEX(Keys!$H:$H,MATCH($A20,Keys!$D:$D,0))="Y",0,IF(AND(INDEX(Keys!$G:$G,MATCH($A20,Keys!$D:$D,0))="Y",W$1&lt;Keys!$K$2),0,1)),IF(INDEX(Keys!$E:$E,MATCH($A20,Keys!$D:$D,0))="Y",1,0)),1))</f>
        <v>1</v>
      </c>
      <c r="X20">
        <f>IF(INDEX(Keys!$F:$F,MATCH($A20,Keys!$D:$D,0))="Y",0,IF($B28=1,IF($B29=1,IF(INDEX(Keys!$H:$H,MATCH($A20,Keys!$D:$D,0))="Y",0,IF(AND(INDEX(Keys!$G:$G,MATCH($A20,Keys!$D:$D,0))="Y",X$1&lt;Keys!$K$2),0,1)),IF(INDEX(Keys!$E:$E,MATCH($A20,Keys!$D:$D,0))="Y",1,0)),1))</f>
        <v>1</v>
      </c>
      <c r="Y20">
        <f>IF(INDEX(Keys!$F:$F,MATCH($A20,Keys!$D:$D,0))="Y",0,IF($B28=1,IF($B29=1,IF(INDEX(Keys!$H:$H,MATCH($A20,Keys!$D:$D,0))="Y",0,IF(AND(INDEX(Keys!$G:$G,MATCH($A20,Keys!$D:$D,0))="Y",Y$1&lt;Keys!$K$2),0,1)),IF(INDEX(Keys!$E:$E,MATCH($A20,Keys!$D:$D,0))="Y",1,0)),1))</f>
        <v>1</v>
      </c>
      <c r="Z20">
        <f>IF(INDEX(Keys!$F:$F,MATCH($A20,Keys!$D:$D,0))="Y",0,IF($B28=1,IF($B29=1,IF(INDEX(Keys!$H:$H,MATCH($A20,Keys!$D:$D,0))="Y",0,IF(AND(INDEX(Keys!$G:$G,MATCH($A20,Keys!$D:$D,0))="Y",Z$1&lt;Keys!$K$2),0,1)),IF(INDEX(Keys!$E:$E,MATCH($A20,Keys!$D:$D,0))="Y",1,0)),1))</f>
        <v>1</v>
      </c>
      <c r="AA20">
        <f>IF(INDEX(Keys!$F:$F,MATCH($A20,Keys!$D:$D,0))="Y",0,IF($B28=1,IF($B29=1,IF(INDEX(Keys!$H:$H,MATCH($A20,Keys!$D:$D,0))="Y",0,IF(AND(INDEX(Keys!$G:$G,MATCH($A20,Keys!$D:$D,0))="Y",AA$1&lt;Keys!$K$2),0,1)),IF(INDEX(Keys!$E:$E,MATCH($A20,Keys!$D:$D,0))="Y",1,0)),1))</f>
        <v>1</v>
      </c>
      <c r="AB20">
        <f>IF(INDEX(Keys!$F:$F,MATCH($A20,Keys!$D:$D,0))="Y",0,IF($B28=1,IF($B29=1,IF(INDEX(Keys!$H:$H,MATCH($A20,Keys!$D:$D,0))="Y",0,IF(AND(INDEX(Keys!$G:$G,MATCH($A20,Keys!$D:$D,0))="Y",AB$1&lt;Keys!$K$2),0,1)),IF(INDEX(Keys!$E:$E,MATCH($A20,Keys!$D:$D,0))="Y",1,0)),1))</f>
        <v>1</v>
      </c>
      <c r="AC20">
        <f>IF(INDEX(Keys!$F:$F,MATCH($A20,Keys!$D:$D,0))="Y",0,IF($B28=1,IF($B29=1,IF(INDEX(Keys!$H:$H,MATCH($A20,Keys!$D:$D,0))="Y",0,IF(AND(INDEX(Keys!$G:$G,MATCH($A20,Keys!$D:$D,0))="Y",AC$1&lt;Keys!$K$2),0,1)),IF(INDEX(Keys!$E:$E,MATCH($A20,Keys!$D:$D,0))="Y",1,0)),1))</f>
        <v>1</v>
      </c>
      <c r="AD20">
        <f>IF(INDEX(Keys!$F:$F,MATCH($A20,Keys!$D:$D,0))="Y",0,IF($B28=1,IF($B29=1,IF(INDEX(Keys!$H:$H,MATCH($A20,Keys!$D:$D,0))="Y",0,IF(AND(INDEX(Keys!$G:$G,MATCH($A20,Keys!$D:$D,0))="Y",AD$1&lt;Keys!$K$2),0,1)),IF(INDEX(Keys!$E:$E,MATCH($A20,Keys!$D:$D,0))="Y",1,0)),1))</f>
        <v>1</v>
      </c>
      <c r="AE20">
        <f>IF(INDEX(Keys!$F:$F,MATCH($A20,Keys!$D:$D,0))="Y",0,IF($B28=1,IF($B29=1,IF(INDEX(Keys!$H:$H,MATCH($A20,Keys!$D:$D,0))="Y",0,IF(AND(INDEX(Keys!$G:$G,MATCH($A20,Keys!$D:$D,0))="Y",AE$1&lt;Keys!$K$2),0,1)),IF(INDEX(Keys!$E:$E,MATCH($A20,Keys!$D:$D,0))="Y",1,0)),1))</f>
        <v>1</v>
      </c>
    </row>
    <row r="21" spans="1:31" x14ac:dyDescent="0.45">
      <c r="A21" t="str">
        <f>Keys!$D21</f>
        <v>road vehicles 29</v>
      </c>
      <c r="B21">
        <f>IF(INDEX(Keys!$F:$F,MATCH($A21,Keys!$D:$D,0))="Y",0,IF($B28=1,IF($B29=1,IF(INDEX(Keys!$H:$H,MATCH($A21,Keys!$D:$D,0))="Y",0,IF(AND(INDEX(Keys!$G:$G,MATCH($A21,Keys!$D:$D,0))="Y",B$1&lt;Keys!$K$2),0,1)),IF(INDEX(Keys!$E:$E,MATCH($A21,Keys!$D:$D,0))="Y",1,0)),1))</f>
        <v>1</v>
      </c>
      <c r="C21">
        <f>IF(INDEX(Keys!$F:$F,MATCH($A21,Keys!$D:$D,0))="Y",0,IF($B28=1,IF($B29=1,IF(INDEX(Keys!$H:$H,MATCH($A21,Keys!$D:$D,0))="Y",0,IF(AND(INDEX(Keys!$G:$G,MATCH($A21,Keys!$D:$D,0))="Y",C$1&lt;Keys!$K$2),0,1)),IF(INDEX(Keys!$E:$E,MATCH($A21,Keys!$D:$D,0))="Y",1,0)),1))</f>
        <v>1</v>
      </c>
      <c r="D21">
        <f>IF(INDEX(Keys!$F:$F,MATCH($A21,Keys!$D:$D,0))="Y",0,IF($B28=1,IF($B29=1,IF(INDEX(Keys!$H:$H,MATCH($A21,Keys!$D:$D,0))="Y",0,IF(AND(INDEX(Keys!$G:$G,MATCH($A21,Keys!$D:$D,0))="Y",D$1&lt;Keys!$K$2),0,1)),IF(INDEX(Keys!$E:$E,MATCH($A21,Keys!$D:$D,0))="Y",1,0)),1))</f>
        <v>1</v>
      </c>
      <c r="E21">
        <f>IF(INDEX(Keys!$F:$F,MATCH($A21,Keys!$D:$D,0))="Y",0,IF($B28=1,IF($B29=1,IF(INDEX(Keys!$H:$H,MATCH($A21,Keys!$D:$D,0))="Y",0,IF(AND(INDEX(Keys!$G:$G,MATCH($A21,Keys!$D:$D,0))="Y",E$1&lt;Keys!$K$2),0,1)),IF(INDEX(Keys!$E:$E,MATCH($A21,Keys!$D:$D,0))="Y",1,0)),1))</f>
        <v>1</v>
      </c>
      <c r="F21">
        <f>IF(INDEX(Keys!$F:$F,MATCH($A21,Keys!$D:$D,0))="Y",0,IF($B28=1,IF($B29=1,IF(INDEX(Keys!$H:$H,MATCH($A21,Keys!$D:$D,0))="Y",0,IF(AND(INDEX(Keys!$G:$G,MATCH($A21,Keys!$D:$D,0))="Y",F$1&lt;Keys!$K$2),0,1)),IF(INDEX(Keys!$E:$E,MATCH($A21,Keys!$D:$D,0))="Y",1,0)),1))</f>
        <v>1</v>
      </c>
      <c r="G21">
        <f>IF(INDEX(Keys!$F:$F,MATCH($A21,Keys!$D:$D,0))="Y",0,IF($B28=1,IF($B29=1,IF(INDEX(Keys!$H:$H,MATCH($A21,Keys!$D:$D,0))="Y",0,IF(AND(INDEX(Keys!$G:$G,MATCH($A21,Keys!$D:$D,0))="Y",G$1&lt;Keys!$K$2),0,1)),IF(INDEX(Keys!$E:$E,MATCH($A21,Keys!$D:$D,0))="Y",1,0)),1))</f>
        <v>1</v>
      </c>
      <c r="H21">
        <f>IF(INDEX(Keys!$F:$F,MATCH($A21,Keys!$D:$D,0))="Y",0,IF($B28=1,IF($B29=1,IF(INDEX(Keys!$H:$H,MATCH($A21,Keys!$D:$D,0))="Y",0,IF(AND(INDEX(Keys!$G:$G,MATCH($A21,Keys!$D:$D,0))="Y",H$1&lt;Keys!$K$2),0,1)),IF(INDEX(Keys!$E:$E,MATCH($A21,Keys!$D:$D,0))="Y",1,0)),1))</f>
        <v>1</v>
      </c>
      <c r="I21">
        <f>IF(INDEX(Keys!$F:$F,MATCH($A21,Keys!$D:$D,0))="Y",0,IF($B28=1,IF($B29=1,IF(INDEX(Keys!$H:$H,MATCH($A21,Keys!$D:$D,0))="Y",0,IF(AND(INDEX(Keys!$G:$G,MATCH($A21,Keys!$D:$D,0))="Y",I$1&lt;Keys!$K$2),0,1)),IF(INDEX(Keys!$E:$E,MATCH($A21,Keys!$D:$D,0))="Y",1,0)),1))</f>
        <v>1</v>
      </c>
      <c r="J21">
        <f>IF(INDEX(Keys!$F:$F,MATCH($A21,Keys!$D:$D,0))="Y",0,IF($B28=1,IF($B29=1,IF(INDEX(Keys!$H:$H,MATCH($A21,Keys!$D:$D,0))="Y",0,IF(AND(INDEX(Keys!$G:$G,MATCH($A21,Keys!$D:$D,0))="Y",J$1&lt;Keys!$K$2),0,1)),IF(INDEX(Keys!$E:$E,MATCH($A21,Keys!$D:$D,0))="Y",1,0)),1))</f>
        <v>1</v>
      </c>
      <c r="K21">
        <f>IF(INDEX(Keys!$F:$F,MATCH($A21,Keys!$D:$D,0))="Y",0,IF($B28=1,IF($B29=1,IF(INDEX(Keys!$H:$H,MATCH($A21,Keys!$D:$D,0))="Y",0,IF(AND(INDEX(Keys!$G:$G,MATCH($A21,Keys!$D:$D,0))="Y",K$1&lt;Keys!$K$2),0,1)),IF(INDEX(Keys!$E:$E,MATCH($A21,Keys!$D:$D,0))="Y",1,0)),1))</f>
        <v>1</v>
      </c>
      <c r="L21">
        <f>IF(INDEX(Keys!$F:$F,MATCH($A21,Keys!$D:$D,0))="Y",0,IF($B28=1,IF($B29=1,IF(INDEX(Keys!$H:$H,MATCH($A21,Keys!$D:$D,0))="Y",0,IF(AND(INDEX(Keys!$G:$G,MATCH($A21,Keys!$D:$D,0))="Y",L$1&lt;Keys!$K$2),0,1)),IF(INDEX(Keys!$E:$E,MATCH($A21,Keys!$D:$D,0))="Y",1,0)),1))</f>
        <v>1</v>
      </c>
      <c r="M21">
        <f>IF(INDEX(Keys!$F:$F,MATCH($A21,Keys!$D:$D,0))="Y",0,IF($B28=1,IF($B29=1,IF(INDEX(Keys!$H:$H,MATCH($A21,Keys!$D:$D,0))="Y",0,IF(AND(INDEX(Keys!$G:$G,MATCH($A21,Keys!$D:$D,0))="Y",M$1&lt;Keys!$K$2),0,1)),IF(INDEX(Keys!$E:$E,MATCH($A21,Keys!$D:$D,0))="Y",1,0)),1))</f>
        <v>1</v>
      </c>
      <c r="N21">
        <f>IF(INDEX(Keys!$F:$F,MATCH($A21,Keys!$D:$D,0))="Y",0,IF($B28=1,IF($B29=1,IF(INDEX(Keys!$H:$H,MATCH($A21,Keys!$D:$D,0))="Y",0,IF(AND(INDEX(Keys!$G:$G,MATCH($A21,Keys!$D:$D,0))="Y",N$1&lt;Keys!$K$2),0,1)),IF(INDEX(Keys!$E:$E,MATCH($A21,Keys!$D:$D,0))="Y",1,0)),1))</f>
        <v>1</v>
      </c>
      <c r="O21">
        <f>IF(INDEX(Keys!$F:$F,MATCH($A21,Keys!$D:$D,0))="Y",0,IF($B28=1,IF($B29=1,IF(INDEX(Keys!$H:$H,MATCH($A21,Keys!$D:$D,0))="Y",0,IF(AND(INDEX(Keys!$G:$G,MATCH($A21,Keys!$D:$D,0))="Y",O$1&lt;Keys!$K$2),0,1)),IF(INDEX(Keys!$E:$E,MATCH($A21,Keys!$D:$D,0))="Y",1,0)),1))</f>
        <v>1</v>
      </c>
      <c r="P21">
        <f>IF(INDEX(Keys!$F:$F,MATCH($A21,Keys!$D:$D,0))="Y",0,IF($B28=1,IF($B29=1,IF(INDEX(Keys!$H:$H,MATCH($A21,Keys!$D:$D,0))="Y",0,IF(AND(INDEX(Keys!$G:$G,MATCH($A21,Keys!$D:$D,0))="Y",P$1&lt;Keys!$K$2),0,1)),IF(INDEX(Keys!$E:$E,MATCH($A21,Keys!$D:$D,0))="Y",1,0)),1))</f>
        <v>1</v>
      </c>
      <c r="Q21">
        <f>IF(INDEX(Keys!$F:$F,MATCH($A21,Keys!$D:$D,0))="Y",0,IF($B28=1,IF($B29=1,IF(INDEX(Keys!$H:$H,MATCH($A21,Keys!$D:$D,0))="Y",0,IF(AND(INDEX(Keys!$G:$G,MATCH($A21,Keys!$D:$D,0))="Y",Q$1&lt;Keys!$K$2),0,1)),IF(INDEX(Keys!$E:$E,MATCH($A21,Keys!$D:$D,0))="Y",1,0)),1))</f>
        <v>1</v>
      </c>
      <c r="R21">
        <f>IF(INDEX(Keys!$F:$F,MATCH($A21,Keys!$D:$D,0))="Y",0,IF($B28=1,IF($B29=1,IF(INDEX(Keys!$H:$H,MATCH($A21,Keys!$D:$D,0))="Y",0,IF(AND(INDEX(Keys!$G:$G,MATCH($A21,Keys!$D:$D,0))="Y",R$1&lt;Keys!$K$2),0,1)),IF(INDEX(Keys!$E:$E,MATCH($A21,Keys!$D:$D,0))="Y",1,0)),1))</f>
        <v>1</v>
      </c>
      <c r="S21">
        <f>IF(INDEX(Keys!$F:$F,MATCH($A21,Keys!$D:$D,0))="Y",0,IF($B28=1,IF($B29=1,IF(INDEX(Keys!$H:$H,MATCH($A21,Keys!$D:$D,0))="Y",0,IF(AND(INDEX(Keys!$G:$G,MATCH($A21,Keys!$D:$D,0))="Y",S$1&lt;Keys!$K$2),0,1)),IF(INDEX(Keys!$E:$E,MATCH($A21,Keys!$D:$D,0))="Y",1,0)),1))</f>
        <v>1</v>
      </c>
      <c r="T21">
        <f>IF(INDEX(Keys!$F:$F,MATCH($A21,Keys!$D:$D,0))="Y",0,IF($B28=1,IF($B29=1,IF(INDEX(Keys!$H:$H,MATCH($A21,Keys!$D:$D,0))="Y",0,IF(AND(INDEX(Keys!$G:$G,MATCH($A21,Keys!$D:$D,0))="Y",T$1&lt;Keys!$K$2),0,1)),IF(INDEX(Keys!$E:$E,MATCH($A21,Keys!$D:$D,0))="Y",1,0)),1))</f>
        <v>1</v>
      </c>
      <c r="U21">
        <f>IF(INDEX(Keys!$F:$F,MATCH($A21,Keys!$D:$D,0))="Y",0,IF($B28=1,IF($B29=1,IF(INDEX(Keys!$H:$H,MATCH($A21,Keys!$D:$D,0))="Y",0,IF(AND(INDEX(Keys!$G:$G,MATCH($A21,Keys!$D:$D,0))="Y",U$1&lt;Keys!$K$2),0,1)),IF(INDEX(Keys!$E:$E,MATCH($A21,Keys!$D:$D,0))="Y",1,0)),1))</f>
        <v>1</v>
      </c>
      <c r="V21">
        <f>IF(INDEX(Keys!$F:$F,MATCH($A21,Keys!$D:$D,0))="Y",0,IF($B28=1,IF($B29=1,IF(INDEX(Keys!$H:$H,MATCH($A21,Keys!$D:$D,0))="Y",0,IF(AND(INDEX(Keys!$G:$G,MATCH($A21,Keys!$D:$D,0))="Y",V$1&lt;Keys!$K$2),0,1)),IF(INDEX(Keys!$E:$E,MATCH($A21,Keys!$D:$D,0))="Y",1,0)),1))</f>
        <v>1</v>
      </c>
      <c r="W21">
        <f>IF(INDEX(Keys!$F:$F,MATCH($A21,Keys!$D:$D,0))="Y",0,IF($B28=1,IF($B29=1,IF(INDEX(Keys!$H:$H,MATCH($A21,Keys!$D:$D,0))="Y",0,IF(AND(INDEX(Keys!$G:$G,MATCH($A21,Keys!$D:$D,0))="Y",W$1&lt;Keys!$K$2),0,1)),IF(INDEX(Keys!$E:$E,MATCH($A21,Keys!$D:$D,0))="Y",1,0)),1))</f>
        <v>1</v>
      </c>
      <c r="X21">
        <f>IF(INDEX(Keys!$F:$F,MATCH($A21,Keys!$D:$D,0))="Y",0,IF($B28=1,IF($B29=1,IF(INDEX(Keys!$H:$H,MATCH($A21,Keys!$D:$D,0))="Y",0,IF(AND(INDEX(Keys!$G:$G,MATCH($A21,Keys!$D:$D,0))="Y",X$1&lt;Keys!$K$2),0,1)),IF(INDEX(Keys!$E:$E,MATCH($A21,Keys!$D:$D,0))="Y",1,0)),1))</f>
        <v>1</v>
      </c>
      <c r="Y21">
        <f>IF(INDEX(Keys!$F:$F,MATCH($A21,Keys!$D:$D,0))="Y",0,IF($B28=1,IF($B29=1,IF(INDEX(Keys!$H:$H,MATCH($A21,Keys!$D:$D,0))="Y",0,IF(AND(INDEX(Keys!$G:$G,MATCH($A21,Keys!$D:$D,0))="Y",Y$1&lt;Keys!$K$2),0,1)),IF(INDEX(Keys!$E:$E,MATCH($A21,Keys!$D:$D,0))="Y",1,0)),1))</f>
        <v>1</v>
      </c>
      <c r="Z21">
        <f>IF(INDEX(Keys!$F:$F,MATCH($A21,Keys!$D:$D,0))="Y",0,IF($B28=1,IF($B29=1,IF(INDEX(Keys!$H:$H,MATCH($A21,Keys!$D:$D,0))="Y",0,IF(AND(INDEX(Keys!$G:$G,MATCH($A21,Keys!$D:$D,0))="Y",Z$1&lt;Keys!$K$2),0,1)),IF(INDEX(Keys!$E:$E,MATCH($A21,Keys!$D:$D,0))="Y",1,0)),1))</f>
        <v>1</v>
      </c>
      <c r="AA21">
        <f>IF(INDEX(Keys!$F:$F,MATCH($A21,Keys!$D:$D,0))="Y",0,IF($B28=1,IF($B29=1,IF(INDEX(Keys!$H:$H,MATCH($A21,Keys!$D:$D,0))="Y",0,IF(AND(INDEX(Keys!$G:$G,MATCH($A21,Keys!$D:$D,0))="Y",AA$1&lt;Keys!$K$2),0,1)),IF(INDEX(Keys!$E:$E,MATCH($A21,Keys!$D:$D,0))="Y",1,0)),1))</f>
        <v>1</v>
      </c>
      <c r="AB21">
        <f>IF(INDEX(Keys!$F:$F,MATCH($A21,Keys!$D:$D,0))="Y",0,IF($B28=1,IF($B29=1,IF(INDEX(Keys!$H:$H,MATCH($A21,Keys!$D:$D,0))="Y",0,IF(AND(INDEX(Keys!$G:$G,MATCH($A21,Keys!$D:$D,0))="Y",AB$1&lt;Keys!$K$2),0,1)),IF(INDEX(Keys!$E:$E,MATCH($A21,Keys!$D:$D,0))="Y",1,0)),1))</f>
        <v>1</v>
      </c>
      <c r="AC21">
        <f>IF(INDEX(Keys!$F:$F,MATCH($A21,Keys!$D:$D,0))="Y",0,IF($B28=1,IF($B29=1,IF(INDEX(Keys!$H:$H,MATCH($A21,Keys!$D:$D,0))="Y",0,IF(AND(INDEX(Keys!$G:$G,MATCH($A21,Keys!$D:$D,0))="Y",AC$1&lt;Keys!$K$2),0,1)),IF(INDEX(Keys!$E:$E,MATCH($A21,Keys!$D:$D,0))="Y",1,0)),1))</f>
        <v>1</v>
      </c>
      <c r="AD21">
        <f>IF(INDEX(Keys!$F:$F,MATCH($A21,Keys!$D:$D,0))="Y",0,IF($B28=1,IF($B29=1,IF(INDEX(Keys!$H:$H,MATCH($A21,Keys!$D:$D,0))="Y",0,IF(AND(INDEX(Keys!$G:$G,MATCH($A21,Keys!$D:$D,0))="Y",AD$1&lt;Keys!$K$2),0,1)),IF(INDEX(Keys!$E:$E,MATCH($A21,Keys!$D:$D,0))="Y",1,0)),1))</f>
        <v>1</v>
      </c>
      <c r="AE21">
        <f>IF(INDEX(Keys!$F:$F,MATCH($A21,Keys!$D:$D,0))="Y",0,IF($B28=1,IF($B29=1,IF(INDEX(Keys!$H:$H,MATCH($A21,Keys!$D:$D,0))="Y",0,IF(AND(INDEX(Keys!$G:$G,MATCH($A21,Keys!$D:$D,0))="Y",AE$1&lt;Keys!$K$2),0,1)),IF(INDEX(Keys!$E:$E,MATCH($A21,Keys!$D:$D,0))="Y",1,0)),1))</f>
        <v>1</v>
      </c>
    </row>
    <row r="22" spans="1:31" x14ac:dyDescent="0.45">
      <c r="A22" t="str">
        <f>Keys!$D22</f>
        <v>nonroad vehicles 30</v>
      </c>
      <c r="B22">
        <f>IF(INDEX(Keys!$F:$F,MATCH($A22,Keys!$D:$D,0))="Y",0,IF($B28=1,IF($B29=1,IF(INDEX(Keys!$H:$H,MATCH($A22,Keys!$D:$D,0))="Y",0,IF(AND(INDEX(Keys!$G:$G,MATCH($A22,Keys!$D:$D,0))="Y",B$1&lt;Keys!$K$2),0,1)),IF(INDEX(Keys!$E:$E,MATCH($A22,Keys!$D:$D,0))="Y",1,0)),1))</f>
        <v>1</v>
      </c>
      <c r="C22">
        <f>IF(INDEX(Keys!$F:$F,MATCH($A22,Keys!$D:$D,0))="Y",0,IF($B28=1,IF($B29=1,IF(INDEX(Keys!$H:$H,MATCH($A22,Keys!$D:$D,0))="Y",0,IF(AND(INDEX(Keys!$G:$G,MATCH($A22,Keys!$D:$D,0))="Y",C$1&lt;Keys!$K$2),0,1)),IF(INDEX(Keys!$E:$E,MATCH($A22,Keys!$D:$D,0))="Y",1,0)),1))</f>
        <v>1</v>
      </c>
      <c r="D22">
        <f>IF(INDEX(Keys!$F:$F,MATCH($A22,Keys!$D:$D,0))="Y",0,IF($B28=1,IF($B29=1,IF(INDEX(Keys!$H:$H,MATCH($A22,Keys!$D:$D,0))="Y",0,IF(AND(INDEX(Keys!$G:$G,MATCH($A22,Keys!$D:$D,0))="Y",D$1&lt;Keys!$K$2),0,1)),IF(INDEX(Keys!$E:$E,MATCH($A22,Keys!$D:$D,0))="Y",1,0)),1))</f>
        <v>1</v>
      </c>
      <c r="E22">
        <f>IF(INDEX(Keys!$F:$F,MATCH($A22,Keys!$D:$D,0))="Y",0,IF($B28=1,IF($B29=1,IF(INDEX(Keys!$H:$H,MATCH($A22,Keys!$D:$D,0))="Y",0,IF(AND(INDEX(Keys!$G:$G,MATCH($A22,Keys!$D:$D,0))="Y",E$1&lt;Keys!$K$2),0,1)),IF(INDEX(Keys!$E:$E,MATCH($A22,Keys!$D:$D,0))="Y",1,0)),1))</f>
        <v>1</v>
      </c>
      <c r="F22">
        <f>IF(INDEX(Keys!$F:$F,MATCH($A22,Keys!$D:$D,0))="Y",0,IF($B28=1,IF($B29=1,IF(INDEX(Keys!$H:$H,MATCH($A22,Keys!$D:$D,0))="Y",0,IF(AND(INDEX(Keys!$G:$G,MATCH($A22,Keys!$D:$D,0))="Y",F$1&lt;Keys!$K$2),0,1)),IF(INDEX(Keys!$E:$E,MATCH($A22,Keys!$D:$D,0))="Y",1,0)),1))</f>
        <v>1</v>
      </c>
      <c r="G22">
        <f>IF(INDEX(Keys!$F:$F,MATCH($A22,Keys!$D:$D,0))="Y",0,IF($B28=1,IF($B29=1,IF(INDEX(Keys!$H:$H,MATCH($A22,Keys!$D:$D,0))="Y",0,IF(AND(INDEX(Keys!$G:$G,MATCH($A22,Keys!$D:$D,0))="Y",G$1&lt;Keys!$K$2),0,1)),IF(INDEX(Keys!$E:$E,MATCH($A22,Keys!$D:$D,0))="Y",1,0)),1))</f>
        <v>1</v>
      </c>
      <c r="H22">
        <f>IF(INDEX(Keys!$F:$F,MATCH($A22,Keys!$D:$D,0))="Y",0,IF($B28=1,IF($B29=1,IF(INDEX(Keys!$H:$H,MATCH($A22,Keys!$D:$D,0))="Y",0,IF(AND(INDEX(Keys!$G:$G,MATCH($A22,Keys!$D:$D,0))="Y",H$1&lt;Keys!$K$2),0,1)),IF(INDEX(Keys!$E:$E,MATCH($A22,Keys!$D:$D,0))="Y",1,0)),1))</f>
        <v>1</v>
      </c>
      <c r="I22">
        <f>IF(INDEX(Keys!$F:$F,MATCH($A22,Keys!$D:$D,0))="Y",0,IF($B28=1,IF($B29=1,IF(INDEX(Keys!$H:$H,MATCH($A22,Keys!$D:$D,0))="Y",0,IF(AND(INDEX(Keys!$G:$G,MATCH($A22,Keys!$D:$D,0))="Y",I$1&lt;Keys!$K$2),0,1)),IF(INDEX(Keys!$E:$E,MATCH($A22,Keys!$D:$D,0))="Y",1,0)),1))</f>
        <v>1</v>
      </c>
      <c r="J22">
        <f>IF(INDEX(Keys!$F:$F,MATCH($A22,Keys!$D:$D,0))="Y",0,IF($B28=1,IF($B29=1,IF(INDEX(Keys!$H:$H,MATCH($A22,Keys!$D:$D,0))="Y",0,IF(AND(INDEX(Keys!$G:$G,MATCH($A22,Keys!$D:$D,0))="Y",J$1&lt;Keys!$K$2),0,1)),IF(INDEX(Keys!$E:$E,MATCH($A22,Keys!$D:$D,0))="Y",1,0)),1))</f>
        <v>1</v>
      </c>
      <c r="K22">
        <f>IF(INDEX(Keys!$F:$F,MATCH($A22,Keys!$D:$D,0))="Y",0,IF($B28=1,IF($B29=1,IF(INDEX(Keys!$H:$H,MATCH($A22,Keys!$D:$D,0))="Y",0,IF(AND(INDEX(Keys!$G:$G,MATCH($A22,Keys!$D:$D,0))="Y",K$1&lt;Keys!$K$2),0,1)),IF(INDEX(Keys!$E:$E,MATCH($A22,Keys!$D:$D,0))="Y",1,0)),1))</f>
        <v>1</v>
      </c>
      <c r="L22">
        <f>IF(INDEX(Keys!$F:$F,MATCH($A22,Keys!$D:$D,0))="Y",0,IF($B28=1,IF($B29=1,IF(INDEX(Keys!$H:$H,MATCH($A22,Keys!$D:$D,0))="Y",0,IF(AND(INDEX(Keys!$G:$G,MATCH($A22,Keys!$D:$D,0))="Y",L$1&lt;Keys!$K$2),0,1)),IF(INDEX(Keys!$E:$E,MATCH($A22,Keys!$D:$D,0))="Y",1,0)),1))</f>
        <v>1</v>
      </c>
      <c r="M22">
        <f>IF(INDEX(Keys!$F:$F,MATCH($A22,Keys!$D:$D,0))="Y",0,IF($B28=1,IF($B29=1,IF(INDEX(Keys!$H:$H,MATCH($A22,Keys!$D:$D,0))="Y",0,IF(AND(INDEX(Keys!$G:$G,MATCH($A22,Keys!$D:$D,0))="Y",M$1&lt;Keys!$K$2),0,1)),IF(INDEX(Keys!$E:$E,MATCH($A22,Keys!$D:$D,0))="Y",1,0)),1))</f>
        <v>1</v>
      </c>
      <c r="N22">
        <f>IF(INDEX(Keys!$F:$F,MATCH($A22,Keys!$D:$D,0))="Y",0,IF($B28=1,IF($B29=1,IF(INDEX(Keys!$H:$H,MATCH($A22,Keys!$D:$D,0))="Y",0,IF(AND(INDEX(Keys!$G:$G,MATCH($A22,Keys!$D:$D,0))="Y",N$1&lt;Keys!$K$2),0,1)),IF(INDEX(Keys!$E:$E,MATCH($A22,Keys!$D:$D,0))="Y",1,0)),1))</f>
        <v>1</v>
      </c>
      <c r="O22">
        <f>IF(INDEX(Keys!$F:$F,MATCH($A22,Keys!$D:$D,0))="Y",0,IF($B28=1,IF($B29=1,IF(INDEX(Keys!$H:$H,MATCH($A22,Keys!$D:$D,0))="Y",0,IF(AND(INDEX(Keys!$G:$G,MATCH($A22,Keys!$D:$D,0))="Y",O$1&lt;Keys!$K$2),0,1)),IF(INDEX(Keys!$E:$E,MATCH($A22,Keys!$D:$D,0))="Y",1,0)),1))</f>
        <v>1</v>
      </c>
      <c r="P22">
        <f>IF(INDEX(Keys!$F:$F,MATCH($A22,Keys!$D:$D,0))="Y",0,IF($B28=1,IF($B29=1,IF(INDEX(Keys!$H:$H,MATCH($A22,Keys!$D:$D,0))="Y",0,IF(AND(INDEX(Keys!$G:$G,MATCH($A22,Keys!$D:$D,0))="Y",P$1&lt;Keys!$K$2),0,1)),IF(INDEX(Keys!$E:$E,MATCH($A22,Keys!$D:$D,0))="Y",1,0)),1))</f>
        <v>1</v>
      </c>
      <c r="Q22">
        <f>IF(INDEX(Keys!$F:$F,MATCH($A22,Keys!$D:$D,0))="Y",0,IF($B28=1,IF($B29=1,IF(INDEX(Keys!$H:$H,MATCH($A22,Keys!$D:$D,0))="Y",0,IF(AND(INDEX(Keys!$G:$G,MATCH($A22,Keys!$D:$D,0))="Y",Q$1&lt;Keys!$K$2),0,1)),IF(INDEX(Keys!$E:$E,MATCH($A22,Keys!$D:$D,0))="Y",1,0)),1))</f>
        <v>1</v>
      </c>
      <c r="R22">
        <f>IF(INDEX(Keys!$F:$F,MATCH($A22,Keys!$D:$D,0))="Y",0,IF($B28=1,IF($B29=1,IF(INDEX(Keys!$H:$H,MATCH($A22,Keys!$D:$D,0))="Y",0,IF(AND(INDEX(Keys!$G:$G,MATCH($A22,Keys!$D:$D,0))="Y",R$1&lt;Keys!$K$2),0,1)),IF(INDEX(Keys!$E:$E,MATCH($A22,Keys!$D:$D,0))="Y",1,0)),1))</f>
        <v>1</v>
      </c>
      <c r="S22">
        <f>IF(INDEX(Keys!$F:$F,MATCH($A22,Keys!$D:$D,0))="Y",0,IF($B28=1,IF($B29=1,IF(INDEX(Keys!$H:$H,MATCH($A22,Keys!$D:$D,0))="Y",0,IF(AND(INDEX(Keys!$G:$G,MATCH($A22,Keys!$D:$D,0))="Y",S$1&lt;Keys!$K$2),0,1)),IF(INDEX(Keys!$E:$E,MATCH($A22,Keys!$D:$D,0))="Y",1,0)),1))</f>
        <v>1</v>
      </c>
      <c r="T22">
        <f>IF(INDEX(Keys!$F:$F,MATCH($A22,Keys!$D:$D,0))="Y",0,IF($B28=1,IF($B29=1,IF(INDEX(Keys!$H:$H,MATCH($A22,Keys!$D:$D,0))="Y",0,IF(AND(INDEX(Keys!$G:$G,MATCH($A22,Keys!$D:$D,0))="Y",T$1&lt;Keys!$K$2),0,1)),IF(INDEX(Keys!$E:$E,MATCH($A22,Keys!$D:$D,0))="Y",1,0)),1))</f>
        <v>1</v>
      </c>
      <c r="U22">
        <f>IF(INDEX(Keys!$F:$F,MATCH($A22,Keys!$D:$D,0))="Y",0,IF($B28=1,IF($B29=1,IF(INDEX(Keys!$H:$H,MATCH($A22,Keys!$D:$D,0))="Y",0,IF(AND(INDEX(Keys!$G:$G,MATCH($A22,Keys!$D:$D,0))="Y",U$1&lt;Keys!$K$2),0,1)),IF(INDEX(Keys!$E:$E,MATCH($A22,Keys!$D:$D,0))="Y",1,0)),1))</f>
        <v>1</v>
      </c>
      <c r="V22">
        <f>IF(INDEX(Keys!$F:$F,MATCH($A22,Keys!$D:$D,0))="Y",0,IF($B28=1,IF($B29=1,IF(INDEX(Keys!$H:$H,MATCH($A22,Keys!$D:$D,0))="Y",0,IF(AND(INDEX(Keys!$G:$G,MATCH($A22,Keys!$D:$D,0))="Y",V$1&lt;Keys!$K$2),0,1)),IF(INDEX(Keys!$E:$E,MATCH($A22,Keys!$D:$D,0))="Y",1,0)),1))</f>
        <v>1</v>
      </c>
      <c r="W22">
        <f>IF(INDEX(Keys!$F:$F,MATCH($A22,Keys!$D:$D,0))="Y",0,IF($B28=1,IF($B29=1,IF(INDEX(Keys!$H:$H,MATCH($A22,Keys!$D:$D,0))="Y",0,IF(AND(INDEX(Keys!$G:$G,MATCH($A22,Keys!$D:$D,0))="Y",W$1&lt;Keys!$K$2),0,1)),IF(INDEX(Keys!$E:$E,MATCH($A22,Keys!$D:$D,0))="Y",1,0)),1))</f>
        <v>1</v>
      </c>
      <c r="X22">
        <f>IF(INDEX(Keys!$F:$F,MATCH($A22,Keys!$D:$D,0))="Y",0,IF($B28=1,IF($B29=1,IF(INDEX(Keys!$H:$H,MATCH($A22,Keys!$D:$D,0))="Y",0,IF(AND(INDEX(Keys!$G:$G,MATCH($A22,Keys!$D:$D,0))="Y",X$1&lt;Keys!$K$2),0,1)),IF(INDEX(Keys!$E:$E,MATCH($A22,Keys!$D:$D,0))="Y",1,0)),1))</f>
        <v>1</v>
      </c>
      <c r="Y22">
        <f>IF(INDEX(Keys!$F:$F,MATCH($A22,Keys!$D:$D,0))="Y",0,IF($B28=1,IF($B29=1,IF(INDEX(Keys!$H:$H,MATCH($A22,Keys!$D:$D,0))="Y",0,IF(AND(INDEX(Keys!$G:$G,MATCH($A22,Keys!$D:$D,0))="Y",Y$1&lt;Keys!$K$2),0,1)),IF(INDEX(Keys!$E:$E,MATCH($A22,Keys!$D:$D,0))="Y",1,0)),1))</f>
        <v>1</v>
      </c>
      <c r="Z22">
        <f>IF(INDEX(Keys!$F:$F,MATCH($A22,Keys!$D:$D,0))="Y",0,IF($B28=1,IF($B29=1,IF(INDEX(Keys!$H:$H,MATCH($A22,Keys!$D:$D,0))="Y",0,IF(AND(INDEX(Keys!$G:$G,MATCH($A22,Keys!$D:$D,0))="Y",Z$1&lt;Keys!$K$2),0,1)),IF(INDEX(Keys!$E:$E,MATCH($A22,Keys!$D:$D,0))="Y",1,0)),1))</f>
        <v>1</v>
      </c>
      <c r="AA22">
        <f>IF(INDEX(Keys!$F:$F,MATCH($A22,Keys!$D:$D,0))="Y",0,IF($B28=1,IF($B29=1,IF(INDEX(Keys!$H:$H,MATCH($A22,Keys!$D:$D,0))="Y",0,IF(AND(INDEX(Keys!$G:$G,MATCH($A22,Keys!$D:$D,0))="Y",AA$1&lt;Keys!$K$2),0,1)),IF(INDEX(Keys!$E:$E,MATCH($A22,Keys!$D:$D,0))="Y",1,0)),1))</f>
        <v>1</v>
      </c>
      <c r="AB22">
        <f>IF(INDEX(Keys!$F:$F,MATCH($A22,Keys!$D:$D,0))="Y",0,IF($B28=1,IF($B29=1,IF(INDEX(Keys!$H:$H,MATCH($A22,Keys!$D:$D,0))="Y",0,IF(AND(INDEX(Keys!$G:$G,MATCH($A22,Keys!$D:$D,0))="Y",AB$1&lt;Keys!$K$2),0,1)),IF(INDEX(Keys!$E:$E,MATCH($A22,Keys!$D:$D,0))="Y",1,0)),1))</f>
        <v>1</v>
      </c>
      <c r="AC22">
        <f>IF(INDEX(Keys!$F:$F,MATCH($A22,Keys!$D:$D,0))="Y",0,IF($B28=1,IF($B29=1,IF(INDEX(Keys!$H:$H,MATCH($A22,Keys!$D:$D,0))="Y",0,IF(AND(INDEX(Keys!$G:$G,MATCH($A22,Keys!$D:$D,0))="Y",AC$1&lt;Keys!$K$2),0,1)),IF(INDEX(Keys!$E:$E,MATCH($A22,Keys!$D:$D,0))="Y",1,0)),1))</f>
        <v>1</v>
      </c>
      <c r="AD22">
        <f>IF(INDEX(Keys!$F:$F,MATCH($A22,Keys!$D:$D,0))="Y",0,IF($B28=1,IF($B29=1,IF(INDEX(Keys!$H:$H,MATCH($A22,Keys!$D:$D,0))="Y",0,IF(AND(INDEX(Keys!$G:$G,MATCH($A22,Keys!$D:$D,0))="Y",AD$1&lt;Keys!$K$2),0,1)),IF(INDEX(Keys!$E:$E,MATCH($A22,Keys!$D:$D,0))="Y",1,0)),1))</f>
        <v>1</v>
      </c>
      <c r="AE22">
        <f>IF(INDEX(Keys!$F:$F,MATCH($A22,Keys!$D:$D,0))="Y",0,IF($B28=1,IF($B29=1,IF(INDEX(Keys!$H:$H,MATCH($A22,Keys!$D:$D,0))="Y",0,IF(AND(INDEX(Keys!$G:$G,MATCH($A22,Keys!$D:$D,0))="Y",AE$1&lt;Keys!$K$2),0,1)),IF(INDEX(Keys!$E:$E,MATCH($A22,Keys!$D:$D,0))="Y",1,0)),1))</f>
        <v>1</v>
      </c>
    </row>
    <row r="23" spans="1:31" x14ac:dyDescent="0.45">
      <c r="A23" t="str">
        <f>Keys!$D23</f>
        <v>other manufacturing 31T33</v>
      </c>
      <c r="B23">
        <f>IF(INDEX(Keys!$F:$F,MATCH($A23,Keys!$D:$D,0))="Y",0,IF($B28=1,IF($B29=1,IF(INDEX(Keys!$H:$H,MATCH($A23,Keys!$D:$D,0))="Y",0,IF(AND(INDEX(Keys!$G:$G,MATCH($A23,Keys!$D:$D,0))="Y",B$1&lt;Keys!$K$2),0,1)),IF(INDEX(Keys!$E:$E,MATCH($A23,Keys!$D:$D,0))="Y",1,0)),1))</f>
        <v>1</v>
      </c>
      <c r="C23">
        <f>IF(INDEX(Keys!$F:$F,MATCH($A23,Keys!$D:$D,0))="Y",0,IF($B28=1,IF($B29=1,IF(INDEX(Keys!$H:$H,MATCH($A23,Keys!$D:$D,0))="Y",0,IF(AND(INDEX(Keys!$G:$G,MATCH($A23,Keys!$D:$D,0))="Y",C$1&lt;Keys!$K$2),0,1)),IF(INDEX(Keys!$E:$E,MATCH($A23,Keys!$D:$D,0))="Y",1,0)),1))</f>
        <v>1</v>
      </c>
      <c r="D23">
        <f>IF(INDEX(Keys!$F:$F,MATCH($A23,Keys!$D:$D,0))="Y",0,IF($B28=1,IF($B29=1,IF(INDEX(Keys!$H:$H,MATCH($A23,Keys!$D:$D,0))="Y",0,IF(AND(INDEX(Keys!$G:$G,MATCH($A23,Keys!$D:$D,0))="Y",D$1&lt;Keys!$K$2),0,1)),IF(INDEX(Keys!$E:$E,MATCH($A23,Keys!$D:$D,0))="Y",1,0)),1))</f>
        <v>1</v>
      </c>
      <c r="E23">
        <f>IF(INDEX(Keys!$F:$F,MATCH($A23,Keys!$D:$D,0))="Y",0,IF($B28=1,IF($B29=1,IF(INDEX(Keys!$H:$H,MATCH($A23,Keys!$D:$D,0))="Y",0,IF(AND(INDEX(Keys!$G:$G,MATCH($A23,Keys!$D:$D,0))="Y",E$1&lt;Keys!$K$2),0,1)),IF(INDEX(Keys!$E:$E,MATCH($A23,Keys!$D:$D,0))="Y",1,0)),1))</f>
        <v>1</v>
      </c>
      <c r="F23">
        <f>IF(INDEX(Keys!$F:$F,MATCH($A23,Keys!$D:$D,0))="Y",0,IF($B28=1,IF($B29=1,IF(INDEX(Keys!$H:$H,MATCH($A23,Keys!$D:$D,0))="Y",0,IF(AND(INDEX(Keys!$G:$G,MATCH($A23,Keys!$D:$D,0))="Y",F$1&lt;Keys!$K$2),0,1)),IF(INDEX(Keys!$E:$E,MATCH($A23,Keys!$D:$D,0))="Y",1,0)),1))</f>
        <v>1</v>
      </c>
      <c r="G23">
        <f>IF(INDEX(Keys!$F:$F,MATCH($A23,Keys!$D:$D,0))="Y",0,IF($B28=1,IF($B29=1,IF(INDEX(Keys!$H:$H,MATCH($A23,Keys!$D:$D,0))="Y",0,IF(AND(INDEX(Keys!$G:$G,MATCH($A23,Keys!$D:$D,0))="Y",G$1&lt;Keys!$K$2),0,1)),IF(INDEX(Keys!$E:$E,MATCH($A23,Keys!$D:$D,0))="Y",1,0)),1))</f>
        <v>1</v>
      </c>
      <c r="H23">
        <f>IF(INDEX(Keys!$F:$F,MATCH($A23,Keys!$D:$D,0))="Y",0,IF($B28=1,IF($B29=1,IF(INDEX(Keys!$H:$H,MATCH($A23,Keys!$D:$D,0))="Y",0,IF(AND(INDEX(Keys!$G:$G,MATCH($A23,Keys!$D:$D,0))="Y",H$1&lt;Keys!$K$2),0,1)),IF(INDEX(Keys!$E:$E,MATCH($A23,Keys!$D:$D,0))="Y",1,0)),1))</f>
        <v>1</v>
      </c>
      <c r="I23">
        <f>IF(INDEX(Keys!$F:$F,MATCH($A23,Keys!$D:$D,0))="Y",0,IF($B28=1,IF($B29=1,IF(INDEX(Keys!$H:$H,MATCH($A23,Keys!$D:$D,0))="Y",0,IF(AND(INDEX(Keys!$G:$G,MATCH($A23,Keys!$D:$D,0))="Y",I$1&lt;Keys!$K$2),0,1)),IF(INDEX(Keys!$E:$E,MATCH($A23,Keys!$D:$D,0))="Y",1,0)),1))</f>
        <v>1</v>
      </c>
      <c r="J23">
        <f>IF(INDEX(Keys!$F:$F,MATCH($A23,Keys!$D:$D,0))="Y",0,IF($B28=1,IF($B29=1,IF(INDEX(Keys!$H:$H,MATCH($A23,Keys!$D:$D,0))="Y",0,IF(AND(INDEX(Keys!$G:$G,MATCH($A23,Keys!$D:$D,0))="Y",J$1&lt;Keys!$K$2),0,1)),IF(INDEX(Keys!$E:$E,MATCH($A23,Keys!$D:$D,0))="Y",1,0)),1))</f>
        <v>1</v>
      </c>
      <c r="K23">
        <f>IF(INDEX(Keys!$F:$F,MATCH($A23,Keys!$D:$D,0))="Y",0,IF($B28=1,IF($B29=1,IF(INDEX(Keys!$H:$H,MATCH($A23,Keys!$D:$D,0))="Y",0,IF(AND(INDEX(Keys!$G:$G,MATCH($A23,Keys!$D:$D,0))="Y",K$1&lt;Keys!$K$2),0,1)),IF(INDEX(Keys!$E:$E,MATCH($A23,Keys!$D:$D,0))="Y",1,0)),1))</f>
        <v>1</v>
      </c>
      <c r="L23">
        <f>IF(INDEX(Keys!$F:$F,MATCH($A23,Keys!$D:$D,0))="Y",0,IF($B28=1,IF($B29=1,IF(INDEX(Keys!$H:$H,MATCH($A23,Keys!$D:$D,0))="Y",0,IF(AND(INDEX(Keys!$G:$G,MATCH($A23,Keys!$D:$D,0))="Y",L$1&lt;Keys!$K$2),0,1)),IF(INDEX(Keys!$E:$E,MATCH($A23,Keys!$D:$D,0))="Y",1,0)),1))</f>
        <v>1</v>
      </c>
      <c r="M23">
        <f>IF(INDEX(Keys!$F:$F,MATCH($A23,Keys!$D:$D,0))="Y",0,IF($B28=1,IF($B29=1,IF(INDEX(Keys!$H:$H,MATCH($A23,Keys!$D:$D,0))="Y",0,IF(AND(INDEX(Keys!$G:$G,MATCH($A23,Keys!$D:$D,0))="Y",M$1&lt;Keys!$K$2),0,1)),IF(INDEX(Keys!$E:$E,MATCH($A23,Keys!$D:$D,0))="Y",1,0)),1))</f>
        <v>1</v>
      </c>
      <c r="N23">
        <f>IF(INDEX(Keys!$F:$F,MATCH($A23,Keys!$D:$D,0))="Y",0,IF($B28=1,IF($B29=1,IF(INDEX(Keys!$H:$H,MATCH($A23,Keys!$D:$D,0))="Y",0,IF(AND(INDEX(Keys!$G:$G,MATCH($A23,Keys!$D:$D,0))="Y",N$1&lt;Keys!$K$2),0,1)),IF(INDEX(Keys!$E:$E,MATCH($A23,Keys!$D:$D,0))="Y",1,0)),1))</f>
        <v>1</v>
      </c>
      <c r="O23">
        <f>IF(INDEX(Keys!$F:$F,MATCH($A23,Keys!$D:$D,0))="Y",0,IF($B28=1,IF($B29=1,IF(INDEX(Keys!$H:$H,MATCH($A23,Keys!$D:$D,0))="Y",0,IF(AND(INDEX(Keys!$G:$G,MATCH($A23,Keys!$D:$D,0))="Y",O$1&lt;Keys!$K$2),0,1)),IF(INDEX(Keys!$E:$E,MATCH($A23,Keys!$D:$D,0))="Y",1,0)),1))</f>
        <v>1</v>
      </c>
      <c r="P23">
        <f>IF(INDEX(Keys!$F:$F,MATCH($A23,Keys!$D:$D,0))="Y",0,IF($B28=1,IF($B29=1,IF(INDEX(Keys!$H:$H,MATCH($A23,Keys!$D:$D,0))="Y",0,IF(AND(INDEX(Keys!$G:$G,MATCH($A23,Keys!$D:$D,0))="Y",P$1&lt;Keys!$K$2),0,1)),IF(INDEX(Keys!$E:$E,MATCH($A23,Keys!$D:$D,0))="Y",1,0)),1))</f>
        <v>1</v>
      </c>
      <c r="Q23">
        <f>IF(INDEX(Keys!$F:$F,MATCH($A23,Keys!$D:$D,0))="Y",0,IF($B28=1,IF($B29=1,IF(INDEX(Keys!$H:$H,MATCH($A23,Keys!$D:$D,0))="Y",0,IF(AND(INDEX(Keys!$G:$G,MATCH($A23,Keys!$D:$D,0))="Y",Q$1&lt;Keys!$K$2),0,1)),IF(INDEX(Keys!$E:$E,MATCH($A23,Keys!$D:$D,0))="Y",1,0)),1))</f>
        <v>1</v>
      </c>
      <c r="R23">
        <f>IF(INDEX(Keys!$F:$F,MATCH($A23,Keys!$D:$D,0))="Y",0,IF($B28=1,IF($B29=1,IF(INDEX(Keys!$H:$H,MATCH($A23,Keys!$D:$D,0))="Y",0,IF(AND(INDEX(Keys!$G:$G,MATCH($A23,Keys!$D:$D,0))="Y",R$1&lt;Keys!$K$2),0,1)),IF(INDEX(Keys!$E:$E,MATCH($A23,Keys!$D:$D,0))="Y",1,0)),1))</f>
        <v>1</v>
      </c>
      <c r="S23">
        <f>IF(INDEX(Keys!$F:$F,MATCH($A23,Keys!$D:$D,0))="Y",0,IF($B28=1,IF($B29=1,IF(INDEX(Keys!$H:$H,MATCH($A23,Keys!$D:$D,0))="Y",0,IF(AND(INDEX(Keys!$G:$G,MATCH($A23,Keys!$D:$D,0))="Y",S$1&lt;Keys!$K$2),0,1)),IF(INDEX(Keys!$E:$E,MATCH($A23,Keys!$D:$D,0))="Y",1,0)),1))</f>
        <v>1</v>
      </c>
      <c r="T23">
        <f>IF(INDEX(Keys!$F:$F,MATCH($A23,Keys!$D:$D,0))="Y",0,IF($B28=1,IF($B29=1,IF(INDEX(Keys!$H:$H,MATCH($A23,Keys!$D:$D,0))="Y",0,IF(AND(INDEX(Keys!$G:$G,MATCH($A23,Keys!$D:$D,0))="Y",T$1&lt;Keys!$K$2),0,1)),IF(INDEX(Keys!$E:$E,MATCH($A23,Keys!$D:$D,0))="Y",1,0)),1))</f>
        <v>1</v>
      </c>
      <c r="U23">
        <f>IF(INDEX(Keys!$F:$F,MATCH($A23,Keys!$D:$D,0))="Y",0,IF($B28=1,IF($B29=1,IF(INDEX(Keys!$H:$H,MATCH($A23,Keys!$D:$D,0))="Y",0,IF(AND(INDEX(Keys!$G:$G,MATCH($A23,Keys!$D:$D,0))="Y",U$1&lt;Keys!$K$2),0,1)),IF(INDEX(Keys!$E:$E,MATCH($A23,Keys!$D:$D,0))="Y",1,0)),1))</f>
        <v>1</v>
      </c>
      <c r="V23">
        <f>IF(INDEX(Keys!$F:$F,MATCH($A23,Keys!$D:$D,0))="Y",0,IF($B28=1,IF($B29=1,IF(INDEX(Keys!$H:$H,MATCH($A23,Keys!$D:$D,0))="Y",0,IF(AND(INDEX(Keys!$G:$G,MATCH($A23,Keys!$D:$D,0))="Y",V$1&lt;Keys!$K$2),0,1)),IF(INDEX(Keys!$E:$E,MATCH($A23,Keys!$D:$D,0))="Y",1,0)),1))</f>
        <v>1</v>
      </c>
      <c r="W23">
        <f>IF(INDEX(Keys!$F:$F,MATCH($A23,Keys!$D:$D,0))="Y",0,IF($B28=1,IF($B29=1,IF(INDEX(Keys!$H:$H,MATCH($A23,Keys!$D:$D,0))="Y",0,IF(AND(INDEX(Keys!$G:$G,MATCH($A23,Keys!$D:$D,0))="Y",W$1&lt;Keys!$K$2),0,1)),IF(INDEX(Keys!$E:$E,MATCH($A23,Keys!$D:$D,0))="Y",1,0)),1))</f>
        <v>1</v>
      </c>
      <c r="X23">
        <f>IF(INDEX(Keys!$F:$F,MATCH($A23,Keys!$D:$D,0))="Y",0,IF($B28=1,IF($B29=1,IF(INDEX(Keys!$H:$H,MATCH($A23,Keys!$D:$D,0))="Y",0,IF(AND(INDEX(Keys!$G:$G,MATCH($A23,Keys!$D:$D,0))="Y",X$1&lt;Keys!$K$2),0,1)),IF(INDEX(Keys!$E:$E,MATCH($A23,Keys!$D:$D,0))="Y",1,0)),1))</f>
        <v>1</v>
      </c>
      <c r="Y23">
        <f>IF(INDEX(Keys!$F:$F,MATCH($A23,Keys!$D:$D,0))="Y",0,IF($B28=1,IF($B29=1,IF(INDEX(Keys!$H:$H,MATCH($A23,Keys!$D:$D,0))="Y",0,IF(AND(INDEX(Keys!$G:$G,MATCH($A23,Keys!$D:$D,0))="Y",Y$1&lt;Keys!$K$2),0,1)),IF(INDEX(Keys!$E:$E,MATCH($A23,Keys!$D:$D,0))="Y",1,0)),1))</f>
        <v>1</v>
      </c>
      <c r="Z23">
        <f>IF(INDEX(Keys!$F:$F,MATCH($A23,Keys!$D:$D,0))="Y",0,IF($B28=1,IF($B29=1,IF(INDEX(Keys!$H:$H,MATCH($A23,Keys!$D:$D,0))="Y",0,IF(AND(INDEX(Keys!$G:$G,MATCH($A23,Keys!$D:$D,0))="Y",Z$1&lt;Keys!$K$2),0,1)),IF(INDEX(Keys!$E:$E,MATCH($A23,Keys!$D:$D,0))="Y",1,0)),1))</f>
        <v>1</v>
      </c>
      <c r="AA23">
        <f>IF(INDEX(Keys!$F:$F,MATCH($A23,Keys!$D:$D,0))="Y",0,IF($B28=1,IF($B29=1,IF(INDEX(Keys!$H:$H,MATCH($A23,Keys!$D:$D,0))="Y",0,IF(AND(INDEX(Keys!$G:$G,MATCH($A23,Keys!$D:$D,0))="Y",AA$1&lt;Keys!$K$2),0,1)),IF(INDEX(Keys!$E:$E,MATCH($A23,Keys!$D:$D,0))="Y",1,0)),1))</f>
        <v>1</v>
      </c>
      <c r="AB23">
        <f>IF(INDEX(Keys!$F:$F,MATCH($A23,Keys!$D:$D,0))="Y",0,IF($B28=1,IF($B29=1,IF(INDEX(Keys!$H:$H,MATCH($A23,Keys!$D:$D,0))="Y",0,IF(AND(INDEX(Keys!$G:$G,MATCH($A23,Keys!$D:$D,0))="Y",AB$1&lt;Keys!$K$2),0,1)),IF(INDEX(Keys!$E:$E,MATCH($A23,Keys!$D:$D,0))="Y",1,0)),1))</f>
        <v>1</v>
      </c>
      <c r="AC23">
        <f>IF(INDEX(Keys!$F:$F,MATCH($A23,Keys!$D:$D,0))="Y",0,IF($B28=1,IF($B29=1,IF(INDEX(Keys!$H:$H,MATCH($A23,Keys!$D:$D,0))="Y",0,IF(AND(INDEX(Keys!$G:$G,MATCH($A23,Keys!$D:$D,0))="Y",AC$1&lt;Keys!$K$2),0,1)),IF(INDEX(Keys!$E:$E,MATCH($A23,Keys!$D:$D,0))="Y",1,0)),1))</f>
        <v>1</v>
      </c>
      <c r="AD23">
        <f>IF(INDEX(Keys!$F:$F,MATCH($A23,Keys!$D:$D,0))="Y",0,IF($B28=1,IF($B29=1,IF(INDEX(Keys!$H:$H,MATCH($A23,Keys!$D:$D,0))="Y",0,IF(AND(INDEX(Keys!$G:$G,MATCH($A23,Keys!$D:$D,0))="Y",AD$1&lt;Keys!$K$2),0,1)),IF(INDEX(Keys!$E:$E,MATCH($A23,Keys!$D:$D,0))="Y",1,0)),1))</f>
        <v>1</v>
      </c>
      <c r="AE23">
        <f>IF(INDEX(Keys!$F:$F,MATCH($A23,Keys!$D:$D,0))="Y",0,IF($B28=1,IF($B29=1,IF(INDEX(Keys!$H:$H,MATCH($A23,Keys!$D:$D,0))="Y",0,IF(AND(INDEX(Keys!$G:$G,MATCH($A23,Keys!$D:$D,0))="Y",AE$1&lt;Keys!$K$2),0,1)),IF(INDEX(Keys!$E:$E,MATCH($A23,Keys!$D:$D,0))="Y",1,0)),1))</f>
        <v>1</v>
      </c>
    </row>
    <row r="24" spans="1:31" x14ac:dyDescent="0.45">
      <c r="A24" t="str">
        <f>Keys!$D24</f>
        <v>energy pipelines and gas processing 352T353</v>
      </c>
      <c r="B24">
        <f>IF(INDEX(Keys!$F:$F,MATCH($A24,Keys!$D:$D,0))="Y",0,IF($B28=1,IF($B29=1,IF(INDEX(Keys!$H:$H,MATCH($A24,Keys!$D:$D,0))="Y",0,IF(AND(INDEX(Keys!$G:$G,MATCH($A24,Keys!$D:$D,0))="Y",B$1&lt;Keys!$K$2),0,1)),IF(INDEX(Keys!$E:$E,MATCH($A24,Keys!$D:$D,0))="Y",1,0)),1))</f>
        <v>1</v>
      </c>
      <c r="C24">
        <f>IF(INDEX(Keys!$F:$F,MATCH($A24,Keys!$D:$D,0))="Y",0,IF($B28=1,IF($B29=1,IF(INDEX(Keys!$H:$H,MATCH($A24,Keys!$D:$D,0))="Y",0,IF(AND(INDEX(Keys!$G:$G,MATCH($A24,Keys!$D:$D,0))="Y",C$1&lt;Keys!$K$2),0,1)),IF(INDEX(Keys!$E:$E,MATCH($A24,Keys!$D:$D,0))="Y",1,0)),1))</f>
        <v>1</v>
      </c>
      <c r="D24">
        <f>IF(INDEX(Keys!$F:$F,MATCH($A24,Keys!$D:$D,0))="Y",0,IF($B28=1,IF($B29=1,IF(INDEX(Keys!$H:$H,MATCH($A24,Keys!$D:$D,0))="Y",0,IF(AND(INDEX(Keys!$G:$G,MATCH($A24,Keys!$D:$D,0))="Y",D$1&lt;Keys!$K$2),0,1)),IF(INDEX(Keys!$E:$E,MATCH($A24,Keys!$D:$D,0))="Y",1,0)),1))</f>
        <v>1</v>
      </c>
      <c r="E24">
        <f>IF(INDEX(Keys!$F:$F,MATCH($A24,Keys!$D:$D,0))="Y",0,IF($B28=1,IF($B29=1,IF(INDEX(Keys!$H:$H,MATCH($A24,Keys!$D:$D,0))="Y",0,IF(AND(INDEX(Keys!$G:$G,MATCH($A24,Keys!$D:$D,0))="Y",E$1&lt;Keys!$K$2),0,1)),IF(INDEX(Keys!$E:$E,MATCH($A24,Keys!$D:$D,0))="Y",1,0)),1))</f>
        <v>1</v>
      </c>
      <c r="F24">
        <f>IF(INDEX(Keys!$F:$F,MATCH($A24,Keys!$D:$D,0))="Y",0,IF($B28=1,IF($B29=1,IF(INDEX(Keys!$H:$H,MATCH($A24,Keys!$D:$D,0))="Y",0,IF(AND(INDEX(Keys!$G:$G,MATCH($A24,Keys!$D:$D,0))="Y",F$1&lt;Keys!$K$2),0,1)),IF(INDEX(Keys!$E:$E,MATCH($A24,Keys!$D:$D,0))="Y",1,0)),1))</f>
        <v>1</v>
      </c>
      <c r="G24">
        <f>IF(INDEX(Keys!$F:$F,MATCH($A24,Keys!$D:$D,0))="Y",0,IF($B28=1,IF($B29=1,IF(INDEX(Keys!$H:$H,MATCH($A24,Keys!$D:$D,0))="Y",0,IF(AND(INDEX(Keys!$G:$G,MATCH($A24,Keys!$D:$D,0))="Y",G$1&lt;Keys!$K$2),0,1)),IF(INDEX(Keys!$E:$E,MATCH($A24,Keys!$D:$D,0))="Y",1,0)),1))</f>
        <v>1</v>
      </c>
      <c r="H24">
        <f>IF(INDEX(Keys!$F:$F,MATCH($A24,Keys!$D:$D,0))="Y",0,IF($B28=1,IF($B29=1,IF(INDEX(Keys!$H:$H,MATCH($A24,Keys!$D:$D,0))="Y",0,IF(AND(INDEX(Keys!$G:$G,MATCH($A24,Keys!$D:$D,0))="Y",H$1&lt;Keys!$K$2),0,1)),IF(INDEX(Keys!$E:$E,MATCH($A24,Keys!$D:$D,0))="Y",1,0)),1))</f>
        <v>1</v>
      </c>
      <c r="I24">
        <f>IF(INDEX(Keys!$F:$F,MATCH($A24,Keys!$D:$D,0))="Y",0,IF($B28=1,IF($B29=1,IF(INDEX(Keys!$H:$H,MATCH($A24,Keys!$D:$D,0))="Y",0,IF(AND(INDEX(Keys!$G:$G,MATCH($A24,Keys!$D:$D,0))="Y",I$1&lt;Keys!$K$2),0,1)),IF(INDEX(Keys!$E:$E,MATCH($A24,Keys!$D:$D,0))="Y",1,0)),1))</f>
        <v>1</v>
      </c>
      <c r="J24">
        <f>IF(INDEX(Keys!$F:$F,MATCH($A24,Keys!$D:$D,0))="Y",0,IF($B28=1,IF($B29=1,IF(INDEX(Keys!$H:$H,MATCH($A24,Keys!$D:$D,0))="Y",0,IF(AND(INDEX(Keys!$G:$G,MATCH($A24,Keys!$D:$D,0))="Y",J$1&lt;Keys!$K$2),0,1)),IF(INDEX(Keys!$E:$E,MATCH($A24,Keys!$D:$D,0))="Y",1,0)),1))</f>
        <v>1</v>
      </c>
      <c r="K24">
        <f>IF(INDEX(Keys!$F:$F,MATCH($A24,Keys!$D:$D,0))="Y",0,IF($B28=1,IF($B29=1,IF(INDEX(Keys!$H:$H,MATCH($A24,Keys!$D:$D,0))="Y",0,IF(AND(INDEX(Keys!$G:$G,MATCH($A24,Keys!$D:$D,0))="Y",K$1&lt;Keys!$K$2),0,1)),IF(INDEX(Keys!$E:$E,MATCH($A24,Keys!$D:$D,0))="Y",1,0)),1))</f>
        <v>1</v>
      </c>
      <c r="L24">
        <f>IF(INDEX(Keys!$F:$F,MATCH($A24,Keys!$D:$D,0))="Y",0,IF($B28=1,IF($B29=1,IF(INDEX(Keys!$H:$H,MATCH($A24,Keys!$D:$D,0))="Y",0,IF(AND(INDEX(Keys!$G:$G,MATCH($A24,Keys!$D:$D,0))="Y",L$1&lt;Keys!$K$2),0,1)),IF(INDEX(Keys!$E:$E,MATCH($A24,Keys!$D:$D,0))="Y",1,0)),1))</f>
        <v>1</v>
      </c>
      <c r="M24">
        <f>IF(INDEX(Keys!$F:$F,MATCH($A24,Keys!$D:$D,0))="Y",0,IF($B28=1,IF($B29=1,IF(INDEX(Keys!$H:$H,MATCH($A24,Keys!$D:$D,0))="Y",0,IF(AND(INDEX(Keys!$G:$G,MATCH($A24,Keys!$D:$D,0))="Y",M$1&lt;Keys!$K$2),0,1)),IF(INDEX(Keys!$E:$E,MATCH($A24,Keys!$D:$D,0))="Y",1,0)),1))</f>
        <v>1</v>
      </c>
      <c r="N24">
        <f>IF(INDEX(Keys!$F:$F,MATCH($A24,Keys!$D:$D,0))="Y",0,IF($B28=1,IF($B29=1,IF(INDEX(Keys!$H:$H,MATCH($A24,Keys!$D:$D,0))="Y",0,IF(AND(INDEX(Keys!$G:$G,MATCH($A24,Keys!$D:$D,0))="Y",N$1&lt;Keys!$K$2),0,1)),IF(INDEX(Keys!$E:$E,MATCH($A24,Keys!$D:$D,0))="Y",1,0)),1))</f>
        <v>1</v>
      </c>
      <c r="O24">
        <f>IF(INDEX(Keys!$F:$F,MATCH($A24,Keys!$D:$D,0))="Y",0,IF($B28=1,IF($B29=1,IF(INDEX(Keys!$H:$H,MATCH($A24,Keys!$D:$D,0))="Y",0,IF(AND(INDEX(Keys!$G:$G,MATCH($A24,Keys!$D:$D,0))="Y",O$1&lt;Keys!$K$2),0,1)),IF(INDEX(Keys!$E:$E,MATCH($A24,Keys!$D:$D,0))="Y",1,0)),1))</f>
        <v>1</v>
      </c>
      <c r="P24">
        <f>IF(INDEX(Keys!$F:$F,MATCH($A24,Keys!$D:$D,0))="Y",0,IF($B28=1,IF($B29=1,IF(INDEX(Keys!$H:$H,MATCH($A24,Keys!$D:$D,0))="Y",0,IF(AND(INDEX(Keys!$G:$G,MATCH($A24,Keys!$D:$D,0))="Y",P$1&lt;Keys!$K$2),0,1)),IF(INDEX(Keys!$E:$E,MATCH($A24,Keys!$D:$D,0))="Y",1,0)),1))</f>
        <v>1</v>
      </c>
      <c r="Q24">
        <f>IF(INDEX(Keys!$F:$F,MATCH($A24,Keys!$D:$D,0))="Y",0,IF($B28=1,IF($B29=1,IF(INDEX(Keys!$H:$H,MATCH($A24,Keys!$D:$D,0))="Y",0,IF(AND(INDEX(Keys!$G:$G,MATCH($A24,Keys!$D:$D,0))="Y",Q$1&lt;Keys!$K$2),0,1)),IF(INDEX(Keys!$E:$E,MATCH($A24,Keys!$D:$D,0))="Y",1,0)),1))</f>
        <v>1</v>
      </c>
      <c r="R24">
        <f>IF(INDEX(Keys!$F:$F,MATCH($A24,Keys!$D:$D,0))="Y",0,IF($B28=1,IF($B29=1,IF(INDEX(Keys!$H:$H,MATCH($A24,Keys!$D:$D,0))="Y",0,IF(AND(INDEX(Keys!$G:$G,MATCH($A24,Keys!$D:$D,0))="Y",R$1&lt;Keys!$K$2),0,1)),IF(INDEX(Keys!$E:$E,MATCH($A24,Keys!$D:$D,0))="Y",1,0)),1))</f>
        <v>1</v>
      </c>
      <c r="S24">
        <f>IF(INDEX(Keys!$F:$F,MATCH($A24,Keys!$D:$D,0))="Y",0,IF($B28=1,IF($B29=1,IF(INDEX(Keys!$H:$H,MATCH($A24,Keys!$D:$D,0))="Y",0,IF(AND(INDEX(Keys!$G:$G,MATCH($A24,Keys!$D:$D,0))="Y",S$1&lt;Keys!$K$2),0,1)),IF(INDEX(Keys!$E:$E,MATCH($A24,Keys!$D:$D,0))="Y",1,0)),1))</f>
        <v>1</v>
      </c>
      <c r="T24">
        <f>IF(INDEX(Keys!$F:$F,MATCH($A24,Keys!$D:$D,0))="Y",0,IF($B28=1,IF($B29=1,IF(INDEX(Keys!$H:$H,MATCH($A24,Keys!$D:$D,0))="Y",0,IF(AND(INDEX(Keys!$G:$G,MATCH($A24,Keys!$D:$D,0))="Y",T$1&lt;Keys!$K$2),0,1)),IF(INDEX(Keys!$E:$E,MATCH($A24,Keys!$D:$D,0))="Y",1,0)),1))</f>
        <v>1</v>
      </c>
      <c r="U24">
        <f>IF(INDEX(Keys!$F:$F,MATCH($A24,Keys!$D:$D,0))="Y",0,IF($B28=1,IF($B29=1,IF(INDEX(Keys!$H:$H,MATCH($A24,Keys!$D:$D,0))="Y",0,IF(AND(INDEX(Keys!$G:$G,MATCH($A24,Keys!$D:$D,0))="Y",U$1&lt;Keys!$K$2),0,1)),IF(INDEX(Keys!$E:$E,MATCH($A24,Keys!$D:$D,0))="Y",1,0)),1))</f>
        <v>1</v>
      </c>
      <c r="V24">
        <f>IF(INDEX(Keys!$F:$F,MATCH($A24,Keys!$D:$D,0))="Y",0,IF($B28=1,IF($B29=1,IF(INDEX(Keys!$H:$H,MATCH($A24,Keys!$D:$D,0))="Y",0,IF(AND(INDEX(Keys!$G:$G,MATCH($A24,Keys!$D:$D,0))="Y",V$1&lt;Keys!$K$2),0,1)),IF(INDEX(Keys!$E:$E,MATCH($A24,Keys!$D:$D,0))="Y",1,0)),1))</f>
        <v>1</v>
      </c>
      <c r="W24">
        <f>IF(INDEX(Keys!$F:$F,MATCH($A24,Keys!$D:$D,0))="Y",0,IF($B28=1,IF($B29=1,IF(INDEX(Keys!$H:$H,MATCH($A24,Keys!$D:$D,0))="Y",0,IF(AND(INDEX(Keys!$G:$G,MATCH($A24,Keys!$D:$D,0))="Y",W$1&lt;Keys!$K$2),0,1)),IF(INDEX(Keys!$E:$E,MATCH($A24,Keys!$D:$D,0))="Y",1,0)),1))</f>
        <v>1</v>
      </c>
      <c r="X24">
        <f>IF(INDEX(Keys!$F:$F,MATCH($A24,Keys!$D:$D,0))="Y",0,IF($B28=1,IF($B29=1,IF(INDEX(Keys!$H:$H,MATCH($A24,Keys!$D:$D,0))="Y",0,IF(AND(INDEX(Keys!$G:$G,MATCH($A24,Keys!$D:$D,0))="Y",X$1&lt;Keys!$K$2),0,1)),IF(INDEX(Keys!$E:$E,MATCH($A24,Keys!$D:$D,0))="Y",1,0)),1))</f>
        <v>1</v>
      </c>
      <c r="Y24">
        <f>IF(INDEX(Keys!$F:$F,MATCH($A24,Keys!$D:$D,0))="Y",0,IF($B28=1,IF($B29=1,IF(INDEX(Keys!$H:$H,MATCH($A24,Keys!$D:$D,0))="Y",0,IF(AND(INDEX(Keys!$G:$G,MATCH($A24,Keys!$D:$D,0))="Y",Y$1&lt;Keys!$K$2),0,1)),IF(INDEX(Keys!$E:$E,MATCH($A24,Keys!$D:$D,0))="Y",1,0)),1))</f>
        <v>1</v>
      </c>
      <c r="Z24">
        <f>IF(INDEX(Keys!$F:$F,MATCH($A24,Keys!$D:$D,0))="Y",0,IF($B28=1,IF($B29=1,IF(INDEX(Keys!$H:$H,MATCH($A24,Keys!$D:$D,0))="Y",0,IF(AND(INDEX(Keys!$G:$G,MATCH($A24,Keys!$D:$D,0))="Y",Z$1&lt;Keys!$K$2),0,1)),IF(INDEX(Keys!$E:$E,MATCH($A24,Keys!$D:$D,0))="Y",1,0)),1))</f>
        <v>1</v>
      </c>
      <c r="AA24">
        <f>IF(INDEX(Keys!$F:$F,MATCH($A24,Keys!$D:$D,0))="Y",0,IF($B28=1,IF($B29=1,IF(INDEX(Keys!$H:$H,MATCH($A24,Keys!$D:$D,0))="Y",0,IF(AND(INDEX(Keys!$G:$G,MATCH($A24,Keys!$D:$D,0))="Y",AA$1&lt;Keys!$K$2),0,1)),IF(INDEX(Keys!$E:$E,MATCH($A24,Keys!$D:$D,0))="Y",1,0)),1))</f>
        <v>1</v>
      </c>
      <c r="AB24">
        <f>IF(INDEX(Keys!$F:$F,MATCH($A24,Keys!$D:$D,0))="Y",0,IF($B28=1,IF($B29=1,IF(INDEX(Keys!$H:$H,MATCH($A24,Keys!$D:$D,0))="Y",0,IF(AND(INDEX(Keys!$G:$G,MATCH($A24,Keys!$D:$D,0))="Y",AB$1&lt;Keys!$K$2),0,1)),IF(INDEX(Keys!$E:$E,MATCH($A24,Keys!$D:$D,0))="Y",1,0)),1))</f>
        <v>1</v>
      </c>
      <c r="AC24">
        <f>IF(INDEX(Keys!$F:$F,MATCH($A24,Keys!$D:$D,0))="Y",0,IF($B28=1,IF($B29=1,IF(INDEX(Keys!$H:$H,MATCH($A24,Keys!$D:$D,0))="Y",0,IF(AND(INDEX(Keys!$G:$G,MATCH($A24,Keys!$D:$D,0))="Y",AC$1&lt;Keys!$K$2),0,1)),IF(INDEX(Keys!$E:$E,MATCH($A24,Keys!$D:$D,0))="Y",1,0)),1))</f>
        <v>1</v>
      </c>
      <c r="AD24">
        <f>IF(INDEX(Keys!$F:$F,MATCH($A24,Keys!$D:$D,0))="Y",0,IF($B28=1,IF($B29=1,IF(INDEX(Keys!$H:$H,MATCH($A24,Keys!$D:$D,0))="Y",0,IF(AND(INDEX(Keys!$G:$G,MATCH($A24,Keys!$D:$D,0))="Y",AD$1&lt;Keys!$K$2),0,1)),IF(INDEX(Keys!$E:$E,MATCH($A24,Keys!$D:$D,0))="Y",1,0)),1))</f>
        <v>1</v>
      </c>
      <c r="AE24">
        <f>IF(INDEX(Keys!$F:$F,MATCH($A24,Keys!$D:$D,0))="Y",0,IF($B28=1,IF($B29=1,IF(INDEX(Keys!$H:$H,MATCH($A24,Keys!$D:$D,0))="Y",0,IF(AND(INDEX(Keys!$G:$G,MATCH($A24,Keys!$D:$D,0))="Y",AE$1&lt;Keys!$K$2),0,1)),IF(INDEX(Keys!$E:$E,MATCH($A24,Keys!$D:$D,0))="Y",1,0)),1))</f>
        <v>1</v>
      </c>
    </row>
    <row r="25" spans="1:31" x14ac:dyDescent="0.45">
      <c r="A25" t="str">
        <f>Keys!$D25</f>
        <v>water and waste 36T39</v>
      </c>
      <c r="B25">
        <f>IF(INDEX(Keys!$F:$F,MATCH($A25,Keys!$D:$D,0))="Y",0,IF($B28=1,IF($B29=1,IF(INDEX(Keys!$H:$H,MATCH($A25,Keys!$D:$D,0))="Y",0,IF(AND(INDEX(Keys!$G:$G,MATCH($A25,Keys!$D:$D,0))="Y",B$1&lt;Keys!$K$2),0,1)),IF(INDEX(Keys!$E:$E,MATCH($A25,Keys!$D:$D,0))="Y",1,0)),1))</f>
        <v>0</v>
      </c>
      <c r="C25">
        <f>IF(INDEX(Keys!$F:$F,MATCH($A25,Keys!$D:$D,0))="Y",0,IF($B28=1,IF($B29=1,IF(INDEX(Keys!$H:$H,MATCH($A25,Keys!$D:$D,0))="Y",0,IF(AND(INDEX(Keys!$G:$G,MATCH($A25,Keys!$D:$D,0))="Y",C$1&lt;Keys!$K$2),0,1)),IF(INDEX(Keys!$E:$E,MATCH($A25,Keys!$D:$D,0))="Y",1,0)),1))</f>
        <v>0</v>
      </c>
      <c r="D25">
        <f>IF(INDEX(Keys!$F:$F,MATCH($A25,Keys!$D:$D,0))="Y",0,IF($B28=1,IF($B29=1,IF(INDEX(Keys!$H:$H,MATCH($A25,Keys!$D:$D,0))="Y",0,IF(AND(INDEX(Keys!$G:$G,MATCH($A25,Keys!$D:$D,0))="Y",D$1&lt;Keys!$K$2),0,1)),IF(INDEX(Keys!$E:$E,MATCH($A25,Keys!$D:$D,0))="Y",1,0)),1))</f>
        <v>0</v>
      </c>
      <c r="E25">
        <f>IF(INDEX(Keys!$F:$F,MATCH($A25,Keys!$D:$D,0))="Y",0,IF($B28=1,IF($B29=1,IF(INDEX(Keys!$H:$H,MATCH($A25,Keys!$D:$D,0))="Y",0,IF(AND(INDEX(Keys!$G:$G,MATCH($A25,Keys!$D:$D,0))="Y",E$1&lt;Keys!$K$2),0,1)),IF(INDEX(Keys!$E:$E,MATCH($A25,Keys!$D:$D,0))="Y",1,0)),1))</f>
        <v>0</v>
      </c>
      <c r="F25">
        <f>IF(INDEX(Keys!$F:$F,MATCH($A25,Keys!$D:$D,0))="Y",0,IF($B28=1,IF($B29=1,IF(INDEX(Keys!$H:$H,MATCH($A25,Keys!$D:$D,0))="Y",0,IF(AND(INDEX(Keys!$G:$G,MATCH($A25,Keys!$D:$D,0))="Y",F$1&lt;Keys!$K$2),0,1)),IF(INDEX(Keys!$E:$E,MATCH($A25,Keys!$D:$D,0))="Y",1,0)),1))</f>
        <v>0</v>
      </c>
      <c r="G25">
        <f>IF(INDEX(Keys!$F:$F,MATCH($A25,Keys!$D:$D,0))="Y",0,IF($B28=1,IF($B29=1,IF(INDEX(Keys!$H:$H,MATCH($A25,Keys!$D:$D,0))="Y",0,IF(AND(INDEX(Keys!$G:$G,MATCH($A25,Keys!$D:$D,0))="Y",G$1&lt;Keys!$K$2),0,1)),IF(INDEX(Keys!$E:$E,MATCH($A25,Keys!$D:$D,0))="Y",1,0)),1))</f>
        <v>0</v>
      </c>
      <c r="H25">
        <f>IF(INDEX(Keys!$F:$F,MATCH($A25,Keys!$D:$D,0))="Y",0,IF($B28=1,IF($B29=1,IF(INDEX(Keys!$H:$H,MATCH($A25,Keys!$D:$D,0))="Y",0,IF(AND(INDEX(Keys!$G:$G,MATCH($A25,Keys!$D:$D,0))="Y",H$1&lt;Keys!$K$2),0,1)),IF(INDEX(Keys!$E:$E,MATCH($A25,Keys!$D:$D,0))="Y",1,0)),1))</f>
        <v>0</v>
      </c>
      <c r="I25">
        <f>IF(INDEX(Keys!$F:$F,MATCH($A25,Keys!$D:$D,0))="Y",0,IF($B28=1,IF($B29=1,IF(INDEX(Keys!$H:$H,MATCH($A25,Keys!$D:$D,0))="Y",0,IF(AND(INDEX(Keys!$G:$G,MATCH($A25,Keys!$D:$D,0))="Y",I$1&lt;Keys!$K$2),0,1)),IF(INDEX(Keys!$E:$E,MATCH($A25,Keys!$D:$D,0))="Y",1,0)),1))</f>
        <v>0</v>
      </c>
      <c r="J25">
        <f>IF(INDEX(Keys!$F:$F,MATCH($A25,Keys!$D:$D,0))="Y",0,IF($B28=1,IF($B29=1,IF(INDEX(Keys!$H:$H,MATCH($A25,Keys!$D:$D,0))="Y",0,IF(AND(INDEX(Keys!$G:$G,MATCH($A25,Keys!$D:$D,0))="Y",J$1&lt;Keys!$K$2),0,1)),IF(INDEX(Keys!$E:$E,MATCH($A25,Keys!$D:$D,0))="Y",1,0)),1))</f>
        <v>0</v>
      </c>
      <c r="K25">
        <f>IF(INDEX(Keys!$F:$F,MATCH($A25,Keys!$D:$D,0))="Y",0,IF($B28=1,IF($B29=1,IF(INDEX(Keys!$H:$H,MATCH($A25,Keys!$D:$D,0))="Y",0,IF(AND(INDEX(Keys!$G:$G,MATCH($A25,Keys!$D:$D,0))="Y",K$1&lt;Keys!$K$2),0,1)),IF(INDEX(Keys!$E:$E,MATCH($A25,Keys!$D:$D,0))="Y",1,0)),1))</f>
        <v>0</v>
      </c>
      <c r="L25">
        <f>IF(INDEX(Keys!$F:$F,MATCH($A25,Keys!$D:$D,0))="Y",0,IF($B28=1,IF($B29=1,IF(INDEX(Keys!$H:$H,MATCH($A25,Keys!$D:$D,0))="Y",0,IF(AND(INDEX(Keys!$G:$G,MATCH($A25,Keys!$D:$D,0))="Y",L$1&lt;Keys!$K$2),0,1)),IF(INDEX(Keys!$E:$E,MATCH($A25,Keys!$D:$D,0))="Y",1,0)),1))</f>
        <v>0</v>
      </c>
      <c r="M25">
        <f>IF(INDEX(Keys!$F:$F,MATCH($A25,Keys!$D:$D,0))="Y",0,IF($B28=1,IF($B29=1,IF(INDEX(Keys!$H:$H,MATCH($A25,Keys!$D:$D,0))="Y",0,IF(AND(INDEX(Keys!$G:$G,MATCH($A25,Keys!$D:$D,0))="Y",M$1&lt;Keys!$K$2),0,1)),IF(INDEX(Keys!$E:$E,MATCH($A25,Keys!$D:$D,0))="Y",1,0)),1))</f>
        <v>0</v>
      </c>
      <c r="N25">
        <f>IF(INDEX(Keys!$F:$F,MATCH($A25,Keys!$D:$D,0))="Y",0,IF($B28=1,IF($B29=1,IF(INDEX(Keys!$H:$H,MATCH($A25,Keys!$D:$D,0))="Y",0,IF(AND(INDEX(Keys!$G:$G,MATCH($A25,Keys!$D:$D,0))="Y",N$1&lt;Keys!$K$2),0,1)),IF(INDEX(Keys!$E:$E,MATCH($A25,Keys!$D:$D,0))="Y",1,0)),1))</f>
        <v>0</v>
      </c>
      <c r="O25">
        <f>IF(INDEX(Keys!$F:$F,MATCH($A25,Keys!$D:$D,0))="Y",0,IF($B28=1,IF($B29=1,IF(INDEX(Keys!$H:$H,MATCH($A25,Keys!$D:$D,0))="Y",0,IF(AND(INDEX(Keys!$G:$G,MATCH($A25,Keys!$D:$D,0))="Y",O$1&lt;Keys!$K$2),0,1)),IF(INDEX(Keys!$E:$E,MATCH($A25,Keys!$D:$D,0))="Y",1,0)),1))</f>
        <v>0</v>
      </c>
      <c r="P25">
        <f>IF(INDEX(Keys!$F:$F,MATCH($A25,Keys!$D:$D,0))="Y",0,IF($B28=1,IF($B29=1,IF(INDEX(Keys!$H:$H,MATCH($A25,Keys!$D:$D,0))="Y",0,IF(AND(INDEX(Keys!$G:$G,MATCH($A25,Keys!$D:$D,0))="Y",P$1&lt;Keys!$K$2),0,1)),IF(INDEX(Keys!$E:$E,MATCH($A25,Keys!$D:$D,0))="Y",1,0)),1))</f>
        <v>0</v>
      </c>
      <c r="Q25">
        <f>IF(INDEX(Keys!$F:$F,MATCH($A25,Keys!$D:$D,0))="Y",0,IF($B28=1,IF($B29=1,IF(INDEX(Keys!$H:$H,MATCH($A25,Keys!$D:$D,0))="Y",0,IF(AND(INDEX(Keys!$G:$G,MATCH($A25,Keys!$D:$D,0))="Y",Q$1&lt;Keys!$K$2),0,1)),IF(INDEX(Keys!$E:$E,MATCH($A25,Keys!$D:$D,0))="Y",1,0)),1))</f>
        <v>0</v>
      </c>
      <c r="R25">
        <f>IF(INDEX(Keys!$F:$F,MATCH($A25,Keys!$D:$D,0))="Y",0,IF($B28=1,IF($B29=1,IF(INDEX(Keys!$H:$H,MATCH($A25,Keys!$D:$D,0))="Y",0,IF(AND(INDEX(Keys!$G:$G,MATCH($A25,Keys!$D:$D,0))="Y",R$1&lt;Keys!$K$2),0,1)),IF(INDEX(Keys!$E:$E,MATCH($A25,Keys!$D:$D,0))="Y",1,0)),1))</f>
        <v>0</v>
      </c>
      <c r="S25">
        <f>IF(INDEX(Keys!$F:$F,MATCH($A25,Keys!$D:$D,0))="Y",0,IF($B28=1,IF($B29=1,IF(INDEX(Keys!$H:$H,MATCH($A25,Keys!$D:$D,0))="Y",0,IF(AND(INDEX(Keys!$G:$G,MATCH($A25,Keys!$D:$D,0))="Y",S$1&lt;Keys!$K$2),0,1)),IF(INDEX(Keys!$E:$E,MATCH($A25,Keys!$D:$D,0))="Y",1,0)),1))</f>
        <v>0</v>
      </c>
      <c r="T25">
        <f>IF(INDEX(Keys!$F:$F,MATCH($A25,Keys!$D:$D,0))="Y",0,IF($B28=1,IF($B29=1,IF(INDEX(Keys!$H:$H,MATCH($A25,Keys!$D:$D,0))="Y",0,IF(AND(INDEX(Keys!$G:$G,MATCH($A25,Keys!$D:$D,0))="Y",T$1&lt;Keys!$K$2),0,1)),IF(INDEX(Keys!$E:$E,MATCH($A25,Keys!$D:$D,0))="Y",1,0)),1))</f>
        <v>0</v>
      </c>
      <c r="U25">
        <f>IF(INDEX(Keys!$F:$F,MATCH($A25,Keys!$D:$D,0))="Y",0,IF($B28=1,IF($B29=1,IF(INDEX(Keys!$H:$H,MATCH($A25,Keys!$D:$D,0))="Y",0,IF(AND(INDEX(Keys!$G:$G,MATCH($A25,Keys!$D:$D,0))="Y",U$1&lt;Keys!$K$2),0,1)),IF(INDEX(Keys!$E:$E,MATCH($A25,Keys!$D:$D,0))="Y",1,0)),1))</f>
        <v>0</v>
      </c>
      <c r="V25">
        <f>IF(INDEX(Keys!$F:$F,MATCH($A25,Keys!$D:$D,0))="Y",0,IF($B28=1,IF($B29=1,IF(INDEX(Keys!$H:$H,MATCH($A25,Keys!$D:$D,0))="Y",0,IF(AND(INDEX(Keys!$G:$G,MATCH($A25,Keys!$D:$D,0))="Y",V$1&lt;Keys!$K$2),0,1)),IF(INDEX(Keys!$E:$E,MATCH($A25,Keys!$D:$D,0))="Y",1,0)),1))</f>
        <v>0</v>
      </c>
      <c r="W25">
        <f>IF(INDEX(Keys!$F:$F,MATCH($A25,Keys!$D:$D,0))="Y",0,IF($B28=1,IF($B29=1,IF(INDEX(Keys!$H:$H,MATCH($A25,Keys!$D:$D,0))="Y",0,IF(AND(INDEX(Keys!$G:$G,MATCH($A25,Keys!$D:$D,0))="Y",W$1&lt;Keys!$K$2),0,1)),IF(INDEX(Keys!$E:$E,MATCH($A25,Keys!$D:$D,0))="Y",1,0)),1))</f>
        <v>0</v>
      </c>
      <c r="X25">
        <f>IF(INDEX(Keys!$F:$F,MATCH($A25,Keys!$D:$D,0))="Y",0,IF($B28=1,IF($B29=1,IF(INDEX(Keys!$H:$H,MATCH($A25,Keys!$D:$D,0))="Y",0,IF(AND(INDEX(Keys!$G:$G,MATCH($A25,Keys!$D:$D,0))="Y",X$1&lt;Keys!$K$2),0,1)),IF(INDEX(Keys!$E:$E,MATCH($A25,Keys!$D:$D,0))="Y",1,0)),1))</f>
        <v>0</v>
      </c>
      <c r="Y25">
        <f>IF(INDEX(Keys!$F:$F,MATCH($A25,Keys!$D:$D,0))="Y",0,IF($B28=1,IF($B29=1,IF(INDEX(Keys!$H:$H,MATCH($A25,Keys!$D:$D,0))="Y",0,IF(AND(INDEX(Keys!$G:$G,MATCH($A25,Keys!$D:$D,0))="Y",Y$1&lt;Keys!$K$2),0,1)),IF(INDEX(Keys!$E:$E,MATCH($A25,Keys!$D:$D,0))="Y",1,0)),1))</f>
        <v>0</v>
      </c>
      <c r="Z25">
        <f>IF(INDEX(Keys!$F:$F,MATCH($A25,Keys!$D:$D,0))="Y",0,IF($B28=1,IF($B29=1,IF(INDEX(Keys!$H:$H,MATCH($A25,Keys!$D:$D,0))="Y",0,IF(AND(INDEX(Keys!$G:$G,MATCH($A25,Keys!$D:$D,0))="Y",Z$1&lt;Keys!$K$2),0,1)),IF(INDEX(Keys!$E:$E,MATCH($A25,Keys!$D:$D,0))="Y",1,0)),1))</f>
        <v>0</v>
      </c>
      <c r="AA25">
        <f>IF(INDEX(Keys!$F:$F,MATCH($A25,Keys!$D:$D,0))="Y",0,IF($B28=1,IF($B29=1,IF(INDEX(Keys!$H:$H,MATCH($A25,Keys!$D:$D,0))="Y",0,IF(AND(INDEX(Keys!$G:$G,MATCH($A25,Keys!$D:$D,0))="Y",AA$1&lt;Keys!$K$2),0,1)),IF(INDEX(Keys!$E:$E,MATCH($A25,Keys!$D:$D,0))="Y",1,0)),1))</f>
        <v>0</v>
      </c>
      <c r="AB25">
        <f>IF(INDEX(Keys!$F:$F,MATCH($A25,Keys!$D:$D,0))="Y",0,IF($B28=1,IF($B29=1,IF(INDEX(Keys!$H:$H,MATCH($A25,Keys!$D:$D,0))="Y",0,IF(AND(INDEX(Keys!$G:$G,MATCH($A25,Keys!$D:$D,0))="Y",AB$1&lt;Keys!$K$2),0,1)),IF(INDEX(Keys!$E:$E,MATCH($A25,Keys!$D:$D,0))="Y",1,0)),1))</f>
        <v>0</v>
      </c>
      <c r="AC25">
        <f>IF(INDEX(Keys!$F:$F,MATCH($A25,Keys!$D:$D,0))="Y",0,IF($B28=1,IF($B29=1,IF(INDEX(Keys!$H:$H,MATCH($A25,Keys!$D:$D,0))="Y",0,IF(AND(INDEX(Keys!$G:$G,MATCH($A25,Keys!$D:$D,0))="Y",AC$1&lt;Keys!$K$2),0,1)),IF(INDEX(Keys!$E:$E,MATCH($A25,Keys!$D:$D,0))="Y",1,0)),1))</f>
        <v>0</v>
      </c>
      <c r="AD25">
        <f>IF(INDEX(Keys!$F:$F,MATCH($A25,Keys!$D:$D,0))="Y",0,IF($B28=1,IF($B29=1,IF(INDEX(Keys!$H:$H,MATCH($A25,Keys!$D:$D,0))="Y",0,IF(AND(INDEX(Keys!$G:$G,MATCH($A25,Keys!$D:$D,0))="Y",AD$1&lt;Keys!$K$2),0,1)),IF(INDEX(Keys!$E:$E,MATCH($A25,Keys!$D:$D,0))="Y",1,0)),1))</f>
        <v>0</v>
      </c>
      <c r="AE25">
        <f>IF(INDEX(Keys!$F:$F,MATCH($A25,Keys!$D:$D,0))="Y",0,IF($B28=1,IF($B29=1,IF(INDEX(Keys!$H:$H,MATCH($A25,Keys!$D:$D,0))="Y",0,IF(AND(INDEX(Keys!$G:$G,MATCH($A25,Keys!$D:$D,0))="Y",AE$1&lt;Keys!$K$2),0,1)),IF(INDEX(Keys!$E:$E,MATCH($A25,Keys!$D:$D,0))="Y",1,0)),1))</f>
        <v>0</v>
      </c>
    </row>
    <row r="26" spans="1:31" x14ac:dyDescent="0.45">
      <c r="A26" t="str">
        <f>Keys!$D26</f>
        <v>construction 41T43</v>
      </c>
      <c r="B26">
        <f>IF(INDEX(Keys!$F:$F,MATCH($A26,Keys!$D:$D,0))="Y",0,IF($B28=1,IF($B29=1,IF(INDEX(Keys!$H:$H,MATCH($A26,Keys!$D:$D,0))="Y",0,IF(AND(INDEX(Keys!$G:$G,MATCH($A26,Keys!$D:$D,0))="Y",B$1&lt;Keys!$K$2),0,1)),IF(INDEX(Keys!$E:$E,MATCH($A26,Keys!$D:$D,0))="Y",1,0)),1))</f>
        <v>1</v>
      </c>
      <c r="C26">
        <f>IF(INDEX(Keys!$F:$F,MATCH($A26,Keys!$D:$D,0))="Y",0,IF($B28=1,IF($B29=1,IF(INDEX(Keys!$H:$H,MATCH($A26,Keys!$D:$D,0))="Y",0,IF(AND(INDEX(Keys!$G:$G,MATCH($A26,Keys!$D:$D,0))="Y",C$1&lt;Keys!$K$2),0,1)),IF(INDEX(Keys!$E:$E,MATCH($A26,Keys!$D:$D,0))="Y",1,0)),1))</f>
        <v>1</v>
      </c>
      <c r="D26">
        <f>IF(INDEX(Keys!$F:$F,MATCH($A26,Keys!$D:$D,0))="Y",0,IF($B28=1,IF($B29=1,IF(INDEX(Keys!$H:$H,MATCH($A26,Keys!$D:$D,0))="Y",0,IF(AND(INDEX(Keys!$G:$G,MATCH($A26,Keys!$D:$D,0))="Y",D$1&lt;Keys!$K$2),0,1)),IF(INDEX(Keys!$E:$E,MATCH($A26,Keys!$D:$D,0))="Y",1,0)),1))</f>
        <v>1</v>
      </c>
      <c r="E26">
        <f>IF(INDEX(Keys!$F:$F,MATCH($A26,Keys!$D:$D,0))="Y",0,IF($B28=1,IF($B29=1,IF(INDEX(Keys!$H:$H,MATCH($A26,Keys!$D:$D,0))="Y",0,IF(AND(INDEX(Keys!$G:$G,MATCH($A26,Keys!$D:$D,0))="Y",E$1&lt;Keys!$K$2),0,1)),IF(INDEX(Keys!$E:$E,MATCH($A26,Keys!$D:$D,0))="Y",1,0)),1))</f>
        <v>1</v>
      </c>
      <c r="F26">
        <f>IF(INDEX(Keys!$F:$F,MATCH($A26,Keys!$D:$D,0))="Y",0,IF($B28=1,IF($B29=1,IF(INDEX(Keys!$H:$H,MATCH($A26,Keys!$D:$D,0))="Y",0,IF(AND(INDEX(Keys!$G:$G,MATCH($A26,Keys!$D:$D,0))="Y",F$1&lt;Keys!$K$2),0,1)),IF(INDEX(Keys!$E:$E,MATCH($A26,Keys!$D:$D,0))="Y",1,0)),1))</f>
        <v>1</v>
      </c>
      <c r="G26">
        <f>IF(INDEX(Keys!$F:$F,MATCH($A26,Keys!$D:$D,0))="Y",0,IF($B28=1,IF($B29=1,IF(INDEX(Keys!$H:$H,MATCH($A26,Keys!$D:$D,0))="Y",0,IF(AND(INDEX(Keys!$G:$G,MATCH($A26,Keys!$D:$D,0))="Y",G$1&lt;Keys!$K$2),0,1)),IF(INDEX(Keys!$E:$E,MATCH($A26,Keys!$D:$D,0))="Y",1,0)),1))</f>
        <v>1</v>
      </c>
      <c r="H26">
        <f>IF(INDEX(Keys!$F:$F,MATCH($A26,Keys!$D:$D,0))="Y",0,IF($B28=1,IF($B29=1,IF(INDEX(Keys!$H:$H,MATCH($A26,Keys!$D:$D,0))="Y",0,IF(AND(INDEX(Keys!$G:$G,MATCH($A26,Keys!$D:$D,0))="Y",H$1&lt;Keys!$K$2),0,1)),IF(INDEX(Keys!$E:$E,MATCH($A26,Keys!$D:$D,0))="Y",1,0)),1))</f>
        <v>1</v>
      </c>
      <c r="I26">
        <f>IF(INDEX(Keys!$F:$F,MATCH($A26,Keys!$D:$D,0))="Y",0,IF($B28=1,IF($B29=1,IF(INDEX(Keys!$H:$H,MATCH($A26,Keys!$D:$D,0))="Y",0,IF(AND(INDEX(Keys!$G:$G,MATCH($A26,Keys!$D:$D,0))="Y",I$1&lt;Keys!$K$2),0,1)),IF(INDEX(Keys!$E:$E,MATCH($A26,Keys!$D:$D,0))="Y",1,0)),1))</f>
        <v>1</v>
      </c>
      <c r="J26">
        <f>IF(INDEX(Keys!$F:$F,MATCH($A26,Keys!$D:$D,0))="Y",0,IF($B28=1,IF($B29=1,IF(INDEX(Keys!$H:$H,MATCH($A26,Keys!$D:$D,0))="Y",0,IF(AND(INDEX(Keys!$G:$G,MATCH($A26,Keys!$D:$D,0))="Y",J$1&lt;Keys!$K$2),0,1)),IF(INDEX(Keys!$E:$E,MATCH($A26,Keys!$D:$D,0))="Y",1,0)),1))</f>
        <v>1</v>
      </c>
      <c r="K26">
        <f>IF(INDEX(Keys!$F:$F,MATCH($A26,Keys!$D:$D,0))="Y",0,IF($B28=1,IF($B29=1,IF(INDEX(Keys!$H:$H,MATCH($A26,Keys!$D:$D,0))="Y",0,IF(AND(INDEX(Keys!$G:$G,MATCH($A26,Keys!$D:$D,0))="Y",K$1&lt;Keys!$K$2),0,1)),IF(INDEX(Keys!$E:$E,MATCH($A26,Keys!$D:$D,0))="Y",1,0)),1))</f>
        <v>1</v>
      </c>
      <c r="L26">
        <f>IF(INDEX(Keys!$F:$F,MATCH($A26,Keys!$D:$D,0))="Y",0,IF($B28=1,IF($B29=1,IF(INDEX(Keys!$H:$H,MATCH($A26,Keys!$D:$D,0))="Y",0,IF(AND(INDEX(Keys!$G:$G,MATCH($A26,Keys!$D:$D,0))="Y",L$1&lt;Keys!$K$2),0,1)),IF(INDEX(Keys!$E:$E,MATCH($A26,Keys!$D:$D,0))="Y",1,0)),1))</f>
        <v>1</v>
      </c>
      <c r="M26">
        <f>IF(INDEX(Keys!$F:$F,MATCH($A26,Keys!$D:$D,0))="Y",0,IF($B28=1,IF($B29=1,IF(INDEX(Keys!$H:$H,MATCH($A26,Keys!$D:$D,0))="Y",0,IF(AND(INDEX(Keys!$G:$G,MATCH($A26,Keys!$D:$D,0))="Y",M$1&lt;Keys!$K$2),0,1)),IF(INDEX(Keys!$E:$E,MATCH($A26,Keys!$D:$D,0))="Y",1,0)),1))</f>
        <v>1</v>
      </c>
      <c r="N26">
        <f>IF(INDEX(Keys!$F:$F,MATCH($A26,Keys!$D:$D,0))="Y",0,IF($B28=1,IF($B29=1,IF(INDEX(Keys!$H:$H,MATCH($A26,Keys!$D:$D,0))="Y",0,IF(AND(INDEX(Keys!$G:$G,MATCH($A26,Keys!$D:$D,0))="Y",N$1&lt;Keys!$K$2),0,1)),IF(INDEX(Keys!$E:$E,MATCH($A26,Keys!$D:$D,0))="Y",1,0)),1))</f>
        <v>1</v>
      </c>
      <c r="O26">
        <f>IF(INDEX(Keys!$F:$F,MATCH($A26,Keys!$D:$D,0))="Y",0,IF($B28=1,IF($B29=1,IF(INDEX(Keys!$H:$H,MATCH($A26,Keys!$D:$D,0))="Y",0,IF(AND(INDEX(Keys!$G:$G,MATCH($A26,Keys!$D:$D,0))="Y",O$1&lt;Keys!$K$2),0,1)),IF(INDEX(Keys!$E:$E,MATCH($A26,Keys!$D:$D,0))="Y",1,0)),1))</f>
        <v>1</v>
      </c>
      <c r="P26">
        <f>IF(INDEX(Keys!$F:$F,MATCH($A26,Keys!$D:$D,0))="Y",0,IF($B28=1,IF($B29=1,IF(INDEX(Keys!$H:$H,MATCH($A26,Keys!$D:$D,0))="Y",0,IF(AND(INDEX(Keys!$G:$G,MATCH($A26,Keys!$D:$D,0))="Y",P$1&lt;Keys!$K$2),0,1)),IF(INDEX(Keys!$E:$E,MATCH($A26,Keys!$D:$D,0))="Y",1,0)),1))</f>
        <v>1</v>
      </c>
      <c r="Q26">
        <f>IF(INDEX(Keys!$F:$F,MATCH($A26,Keys!$D:$D,0))="Y",0,IF($B28=1,IF($B29=1,IF(INDEX(Keys!$H:$H,MATCH($A26,Keys!$D:$D,0))="Y",0,IF(AND(INDEX(Keys!$G:$G,MATCH($A26,Keys!$D:$D,0))="Y",Q$1&lt;Keys!$K$2),0,1)),IF(INDEX(Keys!$E:$E,MATCH($A26,Keys!$D:$D,0))="Y",1,0)),1))</f>
        <v>1</v>
      </c>
      <c r="R26">
        <f>IF(INDEX(Keys!$F:$F,MATCH($A26,Keys!$D:$D,0))="Y",0,IF($B28=1,IF($B29=1,IF(INDEX(Keys!$H:$H,MATCH($A26,Keys!$D:$D,0))="Y",0,IF(AND(INDEX(Keys!$G:$G,MATCH($A26,Keys!$D:$D,0))="Y",R$1&lt;Keys!$K$2),0,1)),IF(INDEX(Keys!$E:$E,MATCH($A26,Keys!$D:$D,0))="Y",1,0)),1))</f>
        <v>1</v>
      </c>
      <c r="S26">
        <f>IF(INDEX(Keys!$F:$F,MATCH($A26,Keys!$D:$D,0))="Y",0,IF($B28=1,IF($B29=1,IF(INDEX(Keys!$H:$H,MATCH($A26,Keys!$D:$D,0))="Y",0,IF(AND(INDEX(Keys!$G:$G,MATCH($A26,Keys!$D:$D,0))="Y",S$1&lt;Keys!$K$2),0,1)),IF(INDEX(Keys!$E:$E,MATCH($A26,Keys!$D:$D,0))="Y",1,0)),1))</f>
        <v>1</v>
      </c>
      <c r="T26">
        <f>IF(INDEX(Keys!$F:$F,MATCH($A26,Keys!$D:$D,0))="Y",0,IF($B28=1,IF($B29=1,IF(INDEX(Keys!$H:$H,MATCH($A26,Keys!$D:$D,0))="Y",0,IF(AND(INDEX(Keys!$G:$G,MATCH($A26,Keys!$D:$D,0))="Y",T$1&lt;Keys!$K$2),0,1)),IF(INDEX(Keys!$E:$E,MATCH($A26,Keys!$D:$D,0))="Y",1,0)),1))</f>
        <v>1</v>
      </c>
      <c r="U26">
        <f>IF(INDEX(Keys!$F:$F,MATCH($A26,Keys!$D:$D,0))="Y",0,IF($B28=1,IF($B29=1,IF(INDEX(Keys!$H:$H,MATCH($A26,Keys!$D:$D,0))="Y",0,IF(AND(INDEX(Keys!$G:$G,MATCH($A26,Keys!$D:$D,0))="Y",U$1&lt;Keys!$K$2),0,1)),IF(INDEX(Keys!$E:$E,MATCH($A26,Keys!$D:$D,0))="Y",1,0)),1))</f>
        <v>1</v>
      </c>
      <c r="V26">
        <f>IF(INDEX(Keys!$F:$F,MATCH($A26,Keys!$D:$D,0))="Y",0,IF($B28=1,IF($B29=1,IF(INDEX(Keys!$H:$H,MATCH($A26,Keys!$D:$D,0))="Y",0,IF(AND(INDEX(Keys!$G:$G,MATCH($A26,Keys!$D:$D,0))="Y",V$1&lt;Keys!$K$2),0,1)),IF(INDEX(Keys!$E:$E,MATCH($A26,Keys!$D:$D,0))="Y",1,0)),1))</f>
        <v>1</v>
      </c>
      <c r="W26">
        <f>IF(INDEX(Keys!$F:$F,MATCH($A26,Keys!$D:$D,0))="Y",0,IF($B28=1,IF($B29=1,IF(INDEX(Keys!$H:$H,MATCH($A26,Keys!$D:$D,0))="Y",0,IF(AND(INDEX(Keys!$G:$G,MATCH($A26,Keys!$D:$D,0))="Y",W$1&lt;Keys!$K$2),0,1)),IF(INDEX(Keys!$E:$E,MATCH($A26,Keys!$D:$D,0))="Y",1,0)),1))</f>
        <v>1</v>
      </c>
      <c r="X26">
        <f>IF(INDEX(Keys!$F:$F,MATCH($A26,Keys!$D:$D,0))="Y",0,IF($B28=1,IF($B29=1,IF(INDEX(Keys!$H:$H,MATCH($A26,Keys!$D:$D,0))="Y",0,IF(AND(INDEX(Keys!$G:$G,MATCH($A26,Keys!$D:$D,0))="Y",X$1&lt;Keys!$K$2),0,1)),IF(INDEX(Keys!$E:$E,MATCH($A26,Keys!$D:$D,0))="Y",1,0)),1))</f>
        <v>1</v>
      </c>
      <c r="Y26">
        <f>IF(INDEX(Keys!$F:$F,MATCH($A26,Keys!$D:$D,0))="Y",0,IF($B28=1,IF($B29=1,IF(INDEX(Keys!$H:$H,MATCH($A26,Keys!$D:$D,0))="Y",0,IF(AND(INDEX(Keys!$G:$G,MATCH($A26,Keys!$D:$D,0))="Y",Y$1&lt;Keys!$K$2),0,1)),IF(INDEX(Keys!$E:$E,MATCH($A26,Keys!$D:$D,0))="Y",1,0)),1))</f>
        <v>1</v>
      </c>
      <c r="Z26">
        <f>IF(INDEX(Keys!$F:$F,MATCH($A26,Keys!$D:$D,0))="Y",0,IF($B28=1,IF($B29=1,IF(INDEX(Keys!$H:$H,MATCH($A26,Keys!$D:$D,0))="Y",0,IF(AND(INDEX(Keys!$G:$G,MATCH($A26,Keys!$D:$D,0))="Y",Z$1&lt;Keys!$K$2),0,1)),IF(INDEX(Keys!$E:$E,MATCH($A26,Keys!$D:$D,0))="Y",1,0)),1))</f>
        <v>1</v>
      </c>
      <c r="AA26">
        <f>IF(INDEX(Keys!$F:$F,MATCH($A26,Keys!$D:$D,0))="Y",0,IF($B28=1,IF($B29=1,IF(INDEX(Keys!$H:$H,MATCH($A26,Keys!$D:$D,0))="Y",0,IF(AND(INDEX(Keys!$G:$G,MATCH($A26,Keys!$D:$D,0))="Y",AA$1&lt;Keys!$K$2),0,1)),IF(INDEX(Keys!$E:$E,MATCH($A26,Keys!$D:$D,0))="Y",1,0)),1))</f>
        <v>1</v>
      </c>
      <c r="AB26">
        <f>IF(INDEX(Keys!$F:$F,MATCH($A26,Keys!$D:$D,0))="Y",0,IF($B28=1,IF($B29=1,IF(INDEX(Keys!$H:$H,MATCH($A26,Keys!$D:$D,0))="Y",0,IF(AND(INDEX(Keys!$G:$G,MATCH($A26,Keys!$D:$D,0))="Y",AB$1&lt;Keys!$K$2),0,1)),IF(INDEX(Keys!$E:$E,MATCH($A26,Keys!$D:$D,0))="Y",1,0)),1))</f>
        <v>1</v>
      </c>
      <c r="AC26">
        <f>IF(INDEX(Keys!$F:$F,MATCH($A26,Keys!$D:$D,0))="Y",0,IF($B28=1,IF($B29=1,IF(INDEX(Keys!$H:$H,MATCH($A26,Keys!$D:$D,0))="Y",0,IF(AND(INDEX(Keys!$G:$G,MATCH($A26,Keys!$D:$D,0))="Y",AC$1&lt;Keys!$K$2),0,1)),IF(INDEX(Keys!$E:$E,MATCH($A26,Keys!$D:$D,0))="Y",1,0)),1))</f>
        <v>1</v>
      </c>
      <c r="AD26">
        <f>IF(INDEX(Keys!$F:$F,MATCH($A26,Keys!$D:$D,0))="Y",0,IF($B28=1,IF($B29=1,IF(INDEX(Keys!$H:$H,MATCH($A26,Keys!$D:$D,0))="Y",0,IF(AND(INDEX(Keys!$G:$G,MATCH($A26,Keys!$D:$D,0))="Y",AD$1&lt;Keys!$K$2),0,1)),IF(INDEX(Keys!$E:$E,MATCH($A26,Keys!$D:$D,0))="Y",1,0)),1))</f>
        <v>1</v>
      </c>
      <c r="AE26">
        <f>IF(INDEX(Keys!$F:$F,MATCH($A26,Keys!$D:$D,0))="Y",0,IF($B28=1,IF($B29=1,IF(INDEX(Keys!$H:$H,MATCH($A26,Keys!$D:$D,0))="Y",0,IF(AND(INDEX(Keys!$G:$G,MATCH($A26,Keys!$D:$D,0))="Y",AE$1&lt;Keys!$K$2),0,1)),IF(INDEX(Keys!$E:$E,MATCH($A26,Keys!$D:$D,0))="Y",1,0)),1))</f>
        <v>1</v>
      </c>
    </row>
    <row r="28" spans="1:31" x14ac:dyDescent="0.45">
      <c r="A28" t="s">
        <v>142</v>
      </c>
      <c r="B28">
        <f>IF(COUNTIFS('State Policies'!$A:$A,About!$B$2,'State Policies'!$X:$X,"Y")&gt;0,1,0)</f>
        <v>0</v>
      </c>
    </row>
    <row r="29" spans="1:31" x14ac:dyDescent="0.45">
      <c r="A29" t="s">
        <v>143</v>
      </c>
      <c r="B29">
        <f>IF(About!$B$2=Keys!$J$2,1,0)</f>
        <v>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6"/>
  <sheetViews>
    <sheetView zoomScaleNormal="100" workbookViewId="0"/>
  </sheetViews>
  <sheetFormatPr defaultColWidth="8.6640625"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5"/>
  <sheetViews>
    <sheetView zoomScaleNormal="100" workbookViewId="0"/>
  </sheetViews>
  <sheetFormatPr defaultColWidth="8.6640625" defaultRowHeight="14.25" x14ac:dyDescent="0.45"/>
  <cols>
    <col min="1" max="1" width="8" customWidth="1"/>
    <col min="2" max="24" width="26" customWidth="1"/>
  </cols>
  <sheetData>
    <row r="1" spans="1:24" x14ac:dyDescent="0.45">
      <c r="A1" s="1" t="s">
        <v>144</v>
      </c>
    </row>
    <row r="3" spans="1:24" x14ac:dyDescent="0.45">
      <c r="A3" s="1" t="s">
        <v>145</v>
      </c>
      <c r="B3" s="1" t="s">
        <v>146</v>
      </c>
      <c r="C3" s="1" t="s">
        <v>147</v>
      </c>
      <c r="D3" s="1" t="s">
        <v>148</v>
      </c>
      <c r="E3" s="1" t="s">
        <v>149</v>
      </c>
      <c r="F3" s="1" t="s">
        <v>150</v>
      </c>
      <c r="G3" s="1" t="s">
        <v>13</v>
      </c>
      <c r="H3" s="1" t="s">
        <v>151</v>
      </c>
      <c r="I3" s="1" t="s">
        <v>152</v>
      </c>
      <c r="J3" s="1" t="s">
        <v>153</v>
      </c>
      <c r="K3" s="1" t="s">
        <v>154</v>
      </c>
      <c r="L3" s="1" t="s">
        <v>155</v>
      </c>
      <c r="M3" s="1" t="s">
        <v>156</v>
      </c>
      <c r="N3" s="1" t="s">
        <v>157</v>
      </c>
      <c r="O3" s="1" t="s">
        <v>158</v>
      </c>
      <c r="P3" s="1" t="s">
        <v>159</v>
      </c>
      <c r="Q3" s="1" t="s">
        <v>160</v>
      </c>
      <c r="R3" s="1" t="s">
        <v>161</v>
      </c>
      <c r="S3" s="1" t="s">
        <v>162</v>
      </c>
      <c r="T3" s="1" t="s">
        <v>163</v>
      </c>
      <c r="U3" s="1" t="s">
        <v>164</v>
      </c>
      <c r="V3" s="1" t="s">
        <v>165</v>
      </c>
      <c r="W3" s="1" t="s">
        <v>166</v>
      </c>
      <c r="X3" s="1" t="s">
        <v>167</v>
      </c>
    </row>
    <row r="4" spans="1:24" ht="270.75" x14ac:dyDescent="0.45">
      <c r="A4" t="s">
        <v>23</v>
      </c>
      <c r="B4" t="s">
        <v>168</v>
      </c>
      <c r="C4" t="s">
        <v>33</v>
      </c>
      <c r="D4" t="s">
        <v>169</v>
      </c>
      <c r="E4" s="2" t="s">
        <v>170</v>
      </c>
      <c r="F4">
        <v>2023</v>
      </c>
      <c r="G4" t="s">
        <v>171</v>
      </c>
      <c r="H4" t="s">
        <v>172</v>
      </c>
      <c r="I4" t="s">
        <v>173</v>
      </c>
      <c r="J4">
        <v>2023</v>
      </c>
      <c r="K4" t="s">
        <v>174</v>
      </c>
      <c r="L4" t="s">
        <v>175</v>
      </c>
      <c r="M4" t="s">
        <v>176</v>
      </c>
      <c r="N4" t="s">
        <v>22</v>
      </c>
      <c r="O4" t="s">
        <v>22</v>
      </c>
      <c r="P4" t="s">
        <v>177</v>
      </c>
      <c r="Q4" t="s">
        <v>22</v>
      </c>
      <c r="R4" t="s">
        <v>178</v>
      </c>
      <c r="S4" t="s">
        <v>179</v>
      </c>
      <c r="T4" t="s">
        <v>180</v>
      </c>
      <c r="U4" t="s">
        <v>181</v>
      </c>
      <c r="W4" t="s">
        <v>22</v>
      </c>
      <c r="X4" t="s">
        <v>22</v>
      </c>
    </row>
    <row r="5" spans="1:24" x14ac:dyDescent="0.45">
      <c r="A5" t="s">
        <v>113</v>
      </c>
      <c r="B5" t="s">
        <v>168</v>
      </c>
      <c r="C5" t="s">
        <v>114</v>
      </c>
      <c r="D5" t="s">
        <v>169</v>
      </c>
      <c r="E5" t="s">
        <v>182</v>
      </c>
      <c r="F5">
        <v>2024</v>
      </c>
      <c r="G5" t="s">
        <v>171</v>
      </c>
      <c r="H5" t="s">
        <v>183</v>
      </c>
      <c r="I5" t="s">
        <v>184</v>
      </c>
      <c r="J5">
        <v>2024</v>
      </c>
      <c r="K5" t="s">
        <v>174</v>
      </c>
      <c r="L5" t="s">
        <v>175</v>
      </c>
      <c r="M5" t="s">
        <v>176</v>
      </c>
      <c r="N5" t="s">
        <v>22</v>
      </c>
      <c r="O5" t="s">
        <v>22</v>
      </c>
      <c r="P5" t="s">
        <v>177</v>
      </c>
      <c r="Q5" t="s">
        <v>22</v>
      </c>
      <c r="R5" t="s">
        <v>178</v>
      </c>
      <c r="S5" t="s">
        <v>185</v>
      </c>
      <c r="U5" t="s">
        <v>186</v>
      </c>
      <c r="W5" t="s">
        <v>22</v>
      </c>
      <c r="X5" t="s">
        <v>22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Calculations</vt:lpstr>
      <vt:lpstr>BFoICStCT</vt:lpstr>
      <vt:lpstr>State Policies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Olivia Ashmoore</cp:lastModifiedBy>
  <cp:revision>0</cp:revision>
  <dcterms:created xsi:type="dcterms:W3CDTF">2026-09-03T14:57:55Z</dcterms:created>
  <dcterms:modified xsi:type="dcterms:W3CDTF">2026-09-03T16:49:03Z</dcterms:modified>
  <dc:language>en-US</dc:language>
</cp:coreProperties>
</file>