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AZ\trans\TTS\"/>
    </mc:Choice>
  </mc:AlternateContent>
  <xr:revisionPtr revIDLastSave="0" documentId="8_{A805E0FD-74EA-42D8-87A4-6A23F6C3114E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bout" sheetId="1" r:id="rId1"/>
    <sheet name="Geography" sheetId="2" r:id="rId2"/>
    <sheet name="Keys" sheetId="3" r:id="rId3"/>
    <sheet name="Alliance_2025" sheetId="4" r:id="rId4"/>
    <sheet name="Costs_raw" sheetId="5" r:id="rId5"/>
    <sheet name="Costs_BAU" sheetId="6" r:id="rId6"/>
    <sheet name="Solve" sheetId="7" r:id="rId7"/>
    <sheet name="SYVbT_all" sheetId="8" r:id="rId8"/>
    <sheet name="SYVbT-passenger" sheetId="9" r:id="rId9"/>
    <sheet name="Data" sheetId="10" r:id="rId10"/>
    <sheet name="TTS-LDVs-psgr" sheetId="11" r:id="rId11"/>
    <sheet name="TTS-LDVs-frgt" sheetId="12" r:id="rId12"/>
    <sheet name="TTS-HDVs-psgr" sheetId="13" r:id="rId13"/>
    <sheet name="TTS-HDVs-frgt" sheetId="14" r:id="rId14"/>
    <sheet name="TTS-aircraft-psgr" sheetId="15" r:id="rId15"/>
    <sheet name="TTS-aircraft-frgt" sheetId="16" r:id="rId16"/>
    <sheet name="TTS-rail-psgr" sheetId="17" r:id="rId17"/>
    <sheet name="TTS-rail-frgt" sheetId="18" r:id="rId18"/>
    <sheet name="TTS-ships-psgr" sheetId="19" r:id="rId19"/>
    <sheet name="TTS-ships-frgt" sheetId="20" r:id="rId20"/>
    <sheet name="TTS-motorbikes-psgr" sheetId="21" r:id="rId21"/>
    <sheet name="TTS-motorbikes-frgt" sheetId="22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22" l="1"/>
  <c r="A7" i="22"/>
  <c r="A6" i="22"/>
  <c r="A5" i="22"/>
  <c r="A4" i="22"/>
  <c r="A3" i="22"/>
  <c r="A2" i="22"/>
  <c r="A8" i="21"/>
  <c r="A7" i="21"/>
  <c r="A6" i="21"/>
  <c r="A5" i="21"/>
  <c r="A4" i="21"/>
  <c r="A3" i="21"/>
  <c r="A2" i="21"/>
  <c r="A8" i="20"/>
  <c r="A7" i="20"/>
  <c r="A6" i="20"/>
  <c r="A5" i="20"/>
  <c r="A4" i="20"/>
  <c r="A3" i="20"/>
  <c r="A2" i="20"/>
  <c r="A8" i="19"/>
  <c r="A7" i="19"/>
  <c r="A6" i="19"/>
  <c r="A5" i="19"/>
  <c r="A4" i="19"/>
  <c r="A3" i="19"/>
  <c r="A2" i="19"/>
  <c r="A8" i="18"/>
  <c r="A7" i="18"/>
  <c r="A6" i="18"/>
  <c r="A5" i="18"/>
  <c r="A4" i="18"/>
  <c r="A3" i="18"/>
  <c r="A2" i="18"/>
  <c r="A8" i="17"/>
  <c r="A7" i="17"/>
  <c r="A6" i="17"/>
  <c r="A5" i="17"/>
  <c r="A4" i="17"/>
  <c r="A3" i="17"/>
  <c r="A2" i="17"/>
  <c r="A8" i="16"/>
  <c r="A7" i="16"/>
  <c r="A6" i="16"/>
  <c r="A5" i="16"/>
  <c r="A4" i="16"/>
  <c r="A3" i="16"/>
  <c r="A2" i="16"/>
  <c r="A8" i="15"/>
  <c r="A7" i="15"/>
  <c r="A6" i="15"/>
  <c r="A5" i="15"/>
  <c r="A4" i="15"/>
  <c r="A3" i="15"/>
  <c r="A2" i="15"/>
  <c r="A8" i="14"/>
  <c r="A7" i="14"/>
  <c r="A6" i="14"/>
  <c r="A5" i="14"/>
  <c r="A4" i="14"/>
  <c r="A3" i="14"/>
  <c r="A2" i="14"/>
  <c r="A8" i="13"/>
  <c r="A7" i="13"/>
  <c r="A6" i="13"/>
  <c r="A5" i="13"/>
  <c r="A4" i="13"/>
  <c r="A3" i="13"/>
  <c r="A2" i="13"/>
  <c r="C1" i="13"/>
  <c r="A8" i="12"/>
  <c r="A7" i="12"/>
  <c r="A6" i="12"/>
  <c r="A5" i="12"/>
  <c r="A4" i="12"/>
  <c r="A3" i="12"/>
  <c r="A2" i="12"/>
  <c r="A8" i="11"/>
  <c r="A7" i="11"/>
  <c r="A6" i="11"/>
  <c r="A5" i="11"/>
  <c r="A4" i="11"/>
  <c r="A3" i="11"/>
  <c r="A2" i="11"/>
  <c r="I93" i="10"/>
  <c r="G93" i="10"/>
  <c r="I92" i="10"/>
  <c r="G92" i="10"/>
  <c r="I91" i="10"/>
  <c r="G91" i="10"/>
  <c r="K90" i="10"/>
  <c r="J90" i="10"/>
  <c r="I90" i="10"/>
  <c r="G90" i="10"/>
  <c r="J89" i="10"/>
  <c r="I89" i="10"/>
  <c r="G89" i="10"/>
  <c r="I88" i="10"/>
  <c r="G88" i="10"/>
  <c r="I87" i="10"/>
  <c r="G87" i="10"/>
  <c r="D86" i="10"/>
  <c r="D85" i="10"/>
  <c r="D84" i="10"/>
  <c r="D83" i="10"/>
  <c r="D82" i="10"/>
  <c r="D81" i="10"/>
  <c r="F80" i="10"/>
  <c r="D80" i="10"/>
  <c r="I79" i="10"/>
  <c r="G79" i="10"/>
  <c r="I78" i="10"/>
  <c r="G78" i="10"/>
  <c r="L77" i="10"/>
  <c r="D6" i="20" s="1"/>
  <c r="I77" i="10"/>
  <c r="G77" i="10"/>
  <c r="I76" i="10"/>
  <c r="G76" i="10"/>
  <c r="J75" i="10"/>
  <c r="B4" i="20" s="1"/>
  <c r="I75" i="10"/>
  <c r="G75" i="10"/>
  <c r="I74" i="10"/>
  <c r="G74" i="10"/>
  <c r="I73" i="10"/>
  <c r="G73" i="10"/>
  <c r="I72" i="10"/>
  <c r="G72" i="10"/>
  <c r="I71" i="10"/>
  <c r="G71" i="10"/>
  <c r="I70" i="10"/>
  <c r="G70" i="10"/>
  <c r="I69" i="10"/>
  <c r="G69" i="10"/>
  <c r="I68" i="10"/>
  <c r="G68" i="10"/>
  <c r="I67" i="10"/>
  <c r="G67" i="10"/>
  <c r="I66" i="10"/>
  <c r="G66" i="10"/>
  <c r="I65" i="10"/>
  <c r="G65" i="10"/>
  <c r="J64" i="10"/>
  <c r="B7" i="18" s="1"/>
  <c r="I64" i="10"/>
  <c r="G64" i="10"/>
  <c r="I63" i="10"/>
  <c r="G63" i="10"/>
  <c r="J62" i="10"/>
  <c r="B5" i="18" s="1"/>
  <c r="I62" i="10"/>
  <c r="G62" i="10"/>
  <c r="I61" i="10"/>
  <c r="G61" i="10"/>
  <c r="I60" i="10"/>
  <c r="G60" i="10"/>
  <c r="J59" i="10"/>
  <c r="B2" i="18" s="1"/>
  <c r="I59" i="10"/>
  <c r="G59" i="10"/>
  <c r="I58" i="10"/>
  <c r="G58" i="10"/>
  <c r="I57" i="10"/>
  <c r="G57" i="10"/>
  <c r="I56" i="10"/>
  <c r="G56" i="10"/>
  <c r="I54" i="10"/>
  <c r="G54" i="10"/>
  <c r="J53" i="10"/>
  <c r="B3" i="17" s="1"/>
  <c r="I53" i="10"/>
  <c r="G53" i="10"/>
  <c r="I51" i="10"/>
  <c r="G51" i="10"/>
  <c r="I50" i="10"/>
  <c r="G50" i="10"/>
  <c r="L49" i="10"/>
  <c r="D6" i="16" s="1"/>
  <c r="J49" i="10"/>
  <c r="B6" i="16" s="1"/>
  <c r="I49" i="10"/>
  <c r="G49" i="10"/>
  <c r="I48" i="10"/>
  <c r="G48" i="10"/>
  <c r="K47" i="10"/>
  <c r="C4" i="16" s="1"/>
  <c r="I47" i="10"/>
  <c r="G47" i="10"/>
  <c r="I46" i="10"/>
  <c r="G46" i="10"/>
  <c r="I45" i="10"/>
  <c r="G45" i="10"/>
  <c r="I44" i="10"/>
  <c r="G44" i="10"/>
  <c r="L43" i="10"/>
  <c r="D7" i="15" s="1"/>
  <c r="I43" i="10"/>
  <c r="G43" i="10"/>
  <c r="I42" i="10"/>
  <c r="G42" i="10"/>
  <c r="L41" i="10"/>
  <c r="D5" i="15" s="1"/>
  <c r="I41" i="10"/>
  <c r="G41" i="10"/>
  <c r="K40" i="10"/>
  <c r="C4" i="15" s="1"/>
  <c r="J40" i="10"/>
  <c r="B4" i="15" s="1"/>
  <c r="I40" i="10"/>
  <c r="G40" i="10"/>
  <c r="K39" i="10"/>
  <c r="C3" i="15" s="1"/>
  <c r="J39" i="10"/>
  <c r="B3" i="15" s="1"/>
  <c r="I39" i="10"/>
  <c r="G39" i="10"/>
  <c r="J38" i="10"/>
  <c r="B2" i="15" s="1"/>
  <c r="I38" i="10"/>
  <c r="G38" i="10"/>
  <c r="J37" i="10"/>
  <c r="B8" i="14" s="1"/>
  <c r="I37" i="10"/>
  <c r="F37" i="10"/>
  <c r="G37" i="10" s="1"/>
  <c r="J36" i="10"/>
  <c r="B7" i="14" s="1"/>
  <c r="I36" i="10"/>
  <c r="F36" i="10"/>
  <c r="G36" i="10" s="1"/>
  <c r="K35" i="10"/>
  <c r="C6" i="14" s="1"/>
  <c r="J35" i="10"/>
  <c r="B6" i="14" s="1"/>
  <c r="I35" i="10"/>
  <c r="G35" i="10"/>
  <c r="F35" i="10"/>
  <c r="K34" i="10"/>
  <c r="C5" i="14" s="1"/>
  <c r="J34" i="10"/>
  <c r="B5" i="14" s="1"/>
  <c r="I34" i="10"/>
  <c r="G34" i="10"/>
  <c r="J33" i="10"/>
  <c r="B4" i="14" s="1"/>
  <c r="I33" i="10"/>
  <c r="F33" i="10"/>
  <c r="G33" i="10" s="1"/>
  <c r="K32" i="10"/>
  <c r="C3" i="14" s="1"/>
  <c r="J32" i="10"/>
  <c r="B3" i="14" s="1"/>
  <c r="I32" i="10"/>
  <c r="F32" i="10"/>
  <c r="G32" i="10" s="1"/>
  <c r="J31" i="10"/>
  <c r="B2" i="14" s="1"/>
  <c r="I31" i="10"/>
  <c r="G31" i="10"/>
  <c r="K30" i="10"/>
  <c r="C8" i="13" s="1"/>
  <c r="J30" i="10"/>
  <c r="B8" i="13" s="1"/>
  <c r="I30" i="10"/>
  <c r="G30" i="10"/>
  <c r="F30" i="10"/>
  <c r="L29" i="10"/>
  <c r="D7" i="13" s="1"/>
  <c r="J29" i="10"/>
  <c r="B7" i="13" s="1"/>
  <c r="I29" i="10"/>
  <c r="F29" i="10"/>
  <c r="G29" i="10" s="1"/>
  <c r="J28" i="10"/>
  <c r="B6" i="13" s="1"/>
  <c r="I28" i="10"/>
  <c r="F28" i="10"/>
  <c r="G28" i="10" s="1"/>
  <c r="K27" i="10"/>
  <c r="C5" i="13" s="1"/>
  <c r="J27" i="10"/>
  <c r="B5" i="13" s="1"/>
  <c r="I27" i="10"/>
  <c r="G27" i="10"/>
  <c r="L26" i="10"/>
  <c r="D4" i="13" s="1"/>
  <c r="K26" i="10"/>
  <c r="C4" i="13" s="1"/>
  <c r="J26" i="10"/>
  <c r="B4" i="13" s="1"/>
  <c r="I26" i="10"/>
  <c r="F26" i="10"/>
  <c r="G26" i="10" s="1"/>
  <c r="J25" i="10"/>
  <c r="B3" i="13" s="1"/>
  <c r="I25" i="10"/>
  <c r="F25" i="10"/>
  <c r="G25" i="10" s="1"/>
  <c r="J24" i="10"/>
  <c r="B2" i="13" s="1"/>
  <c r="I24" i="10"/>
  <c r="G24" i="10"/>
  <c r="J23" i="10"/>
  <c r="B8" i="12" s="1"/>
  <c r="I23" i="10"/>
  <c r="G23" i="10"/>
  <c r="F23" i="10"/>
  <c r="J22" i="10"/>
  <c r="B7" i="12" s="1"/>
  <c r="I22" i="10"/>
  <c r="G22" i="10"/>
  <c r="F22" i="10"/>
  <c r="J21" i="10"/>
  <c r="B6" i="12" s="1"/>
  <c r="I21" i="10"/>
  <c r="F21" i="10"/>
  <c r="J20" i="10"/>
  <c r="B5" i="12" s="1"/>
  <c r="I20" i="10"/>
  <c r="G20" i="10"/>
  <c r="L19" i="10"/>
  <c r="D4" i="12" s="1"/>
  <c r="K19" i="10"/>
  <c r="C4" i="12" s="1"/>
  <c r="J19" i="10"/>
  <c r="B4" i="12" s="1"/>
  <c r="I19" i="10"/>
  <c r="F19" i="10"/>
  <c r="G19" i="10" s="1"/>
  <c r="L18" i="10"/>
  <c r="D3" i="12" s="1"/>
  <c r="K18" i="10"/>
  <c r="C3" i="12" s="1"/>
  <c r="J18" i="10"/>
  <c r="B3" i="12" s="1"/>
  <c r="I18" i="10"/>
  <c r="F18" i="10"/>
  <c r="J17" i="10"/>
  <c r="B2" i="12" s="1"/>
  <c r="I17" i="10"/>
  <c r="G17" i="10"/>
  <c r="I14" i="10"/>
  <c r="I10" i="10"/>
  <c r="L9" i="10"/>
  <c r="K9" i="10"/>
  <c r="K57" i="10" s="1"/>
  <c r="C7" i="17" s="1"/>
  <c r="J9" i="10"/>
  <c r="AY59" i="7"/>
  <c r="K53" i="7"/>
  <c r="G53" i="7"/>
  <c r="K52" i="7"/>
  <c r="J52" i="7"/>
  <c r="G52" i="7"/>
  <c r="C52" i="7"/>
  <c r="L51" i="7"/>
  <c r="G51" i="7"/>
  <c r="G50" i="7"/>
  <c r="G49" i="7"/>
  <c r="E49" i="7"/>
  <c r="K48" i="7"/>
  <c r="J48" i="7"/>
  <c r="G48" i="7"/>
  <c r="C48" i="7"/>
  <c r="L47" i="7"/>
  <c r="G47" i="7"/>
  <c r="D47" i="7"/>
  <c r="G46" i="7"/>
  <c r="K45" i="7"/>
  <c r="J45" i="7"/>
  <c r="G45" i="7"/>
  <c r="I45" i="7" s="1"/>
  <c r="G44" i="7"/>
  <c r="L43" i="7"/>
  <c r="G43" i="7"/>
  <c r="L42" i="7"/>
  <c r="I42" i="7"/>
  <c r="G42" i="7"/>
  <c r="E42" i="7"/>
  <c r="G41" i="7"/>
  <c r="J41" i="7" s="1"/>
  <c r="C41" i="7"/>
  <c r="L40" i="7"/>
  <c r="I40" i="7"/>
  <c r="G40" i="7"/>
  <c r="K39" i="7"/>
  <c r="G39" i="7"/>
  <c r="I38" i="7"/>
  <c r="G38" i="7"/>
  <c r="E38" i="7"/>
  <c r="D38" i="7"/>
  <c r="C38" i="7"/>
  <c r="G37" i="7"/>
  <c r="J37" i="7" s="1"/>
  <c r="G36" i="7"/>
  <c r="J36" i="7" s="1"/>
  <c r="G35" i="7"/>
  <c r="K34" i="7"/>
  <c r="G34" i="7"/>
  <c r="E34" i="7"/>
  <c r="J33" i="7"/>
  <c r="G33" i="7"/>
  <c r="D33" i="7"/>
  <c r="C33" i="7"/>
  <c r="L32" i="7"/>
  <c r="J32" i="7"/>
  <c r="G32" i="7"/>
  <c r="L31" i="7"/>
  <c r="G31" i="7"/>
  <c r="K31" i="7" s="1"/>
  <c r="J30" i="7"/>
  <c r="G30" i="7"/>
  <c r="C30" i="7"/>
  <c r="F30" i="7" s="1"/>
  <c r="M29" i="7"/>
  <c r="L29" i="7"/>
  <c r="G29" i="7"/>
  <c r="G28" i="7"/>
  <c r="K28" i="7" s="1"/>
  <c r="E28" i="7"/>
  <c r="G27" i="7"/>
  <c r="I27" i="7" s="1"/>
  <c r="F27" i="7"/>
  <c r="C27" i="7"/>
  <c r="J26" i="7"/>
  <c r="G26" i="7"/>
  <c r="D26" i="7"/>
  <c r="L25" i="7"/>
  <c r="J25" i="7"/>
  <c r="G25" i="7"/>
  <c r="K24" i="7"/>
  <c r="G24" i="7"/>
  <c r="G23" i="7"/>
  <c r="E23" i="7"/>
  <c r="G22" i="7"/>
  <c r="I22" i="7" s="1"/>
  <c r="E22" i="7"/>
  <c r="D22" i="7"/>
  <c r="C22" i="7"/>
  <c r="I21" i="7"/>
  <c r="G21" i="7"/>
  <c r="E21" i="7"/>
  <c r="D21" i="7"/>
  <c r="K20" i="7"/>
  <c r="G20" i="7"/>
  <c r="K19" i="7"/>
  <c r="J19" i="7"/>
  <c r="G19" i="7"/>
  <c r="C19" i="7"/>
  <c r="L18" i="7"/>
  <c r="J18" i="7"/>
  <c r="G18" i="7"/>
  <c r="C18" i="7"/>
  <c r="F18" i="7" s="1"/>
  <c r="G17" i="7"/>
  <c r="K17" i="7" s="1"/>
  <c r="G16" i="7"/>
  <c r="F16" i="7"/>
  <c r="C16" i="7"/>
  <c r="M15" i="7"/>
  <c r="J15" i="7"/>
  <c r="I15" i="7"/>
  <c r="G15" i="7"/>
  <c r="L14" i="7"/>
  <c r="G14" i="7"/>
  <c r="J14" i="7" s="1"/>
  <c r="K13" i="7"/>
  <c r="G13" i="7"/>
  <c r="J12" i="7"/>
  <c r="G12" i="7"/>
  <c r="I12" i="7" s="1"/>
  <c r="C12" i="7"/>
  <c r="J11" i="7"/>
  <c r="G11" i="7"/>
  <c r="C11" i="7"/>
  <c r="L10" i="7"/>
  <c r="G10" i="7"/>
  <c r="F10" i="7"/>
  <c r="C10" i="7"/>
  <c r="L9" i="7"/>
  <c r="G9" i="7"/>
  <c r="J9" i="7" s="1"/>
  <c r="I8" i="7"/>
  <c r="G8" i="7"/>
  <c r="L7" i="7"/>
  <c r="G7" i="7"/>
  <c r="E7" i="7"/>
  <c r="C7" i="7"/>
  <c r="K6" i="7"/>
  <c r="G6" i="7"/>
  <c r="E6" i="7"/>
  <c r="D6" i="7"/>
  <c r="I52" i="6"/>
  <c r="H52" i="6"/>
  <c r="L53" i="7" s="1"/>
  <c r="G52" i="6"/>
  <c r="F52" i="6"/>
  <c r="J53" i="7" s="1"/>
  <c r="E52" i="6"/>
  <c r="I53" i="7" s="1"/>
  <c r="D52" i="6"/>
  <c r="C52" i="6"/>
  <c r="I51" i="6"/>
  <c r="H51" i="6"/>
  <c r="L52" i="7" s="1"/>
  <c r="G51" i="6"/>
  <c r="F51" i="6"/>
  <c r="E51" i="6"/>
  <c r="I52" i="7" s="1"/>
  <c r="D51" i="6"/>
  <c r="C51" i="6"/>
  <c r="I50" i="6"/>
  <c r="H50" i="6"/>
  <c r="G50" i="6"/>
  <c r="F50" i="6"/>
  <c r="E50" i="6"/>
  <c r="I51" i="7" s="1"/>
  <c r="D50" i="6"/>
  <c r="K51" i="7" s="1"/>
  <c r="C50" i="6"/>
  <c r="I49" i="6"/>
  <c r="H49" i="6"/>
  <c r="L50" i="7" s="1"/>
  <c r="M50" i="7" s="1"/>
  <c r="G49" i="6"/>
  <c r="F49" i="6"/>
  <c r="J50" i="7" s="1"/>
  <c r="E49" i="6"/>
  <c r="I50" i="7" s="1"/>
  <c r="D49" i="6"/>
  <c r="K50" i="7" s="1"/>
  <c r="C49" i="6"/>
  <c r="I48" i="6"/>
  <c r="H48" i="6"/>
  <c r="L49" i="7" s="1"/>
  <c r="G48" i="6"/>
  <c r="F48" i="6"/>
  <c r="E48" i="6"/>
  <c r="D48" i="6"/>
  <c r="C48" i="6"/>
  <c r="I47" i="6"/>
  <c r="H47" i="6"/>
  <c r="L48" i="7" s="1"/>
  <c r="G47" i="6"/>
  <c r="F47" i="6"/>
  <c r="E47" i="6"/>
  <c r="I48" i="7" s="1"/>
  <c r="D47" i="6"/>
  <c r="C47" i="6"/>
  <c r="I46" i="6"/>
  <c r="H46" i="6"/>
  <c r="G46" i="6"/>
  <c r="F46" i="6"/>
  <c r="J47" i="7" s="1"/>
  <c r="E46" i="6"/>
  <c r="I47" i="7" s="1"/>
  <c r="M47" i="7" s="1"/>
  <c r="D46" i="6"/>
  <c r="K47" i="7" s="1"/>
  <c r="C46" i="6"/>
  <c r="I45" i="6"/>
  <c r="H45" i="6"/>
  <c r="L46" i="7" s="1"/>
  <c r="G45" i="6"/>
  <c r="F45" i="6"/>
  <c r="J46" i="7" s="1"/>
  <c r="E45" i="6"/>
  <c r="I46" i="7" s="1"/>
  <c r="M46" i="7" s="1"/>
  <c r="D45" i="6"/>
  <c r="K46" i="7" s="1"/>
  <c r="C45" i="6"/>
  <c r="I44" i="6"/>
  <c r="H44" i="6"/>
  <c r="L45" i="7" s="1"/>
  <c r="G44" i="6"/>
  <c r="F44" i="6"/>
  <c r="E44" i="6"/>
  <c r="D44" i="6"/>
  <c r="C44" i="6"/>
  <c r="I43" i="6"/>
  <c r="H43" i="6"/>
  <c r="L44" i="7" s="1"/>
  <c r="G43" i="6"/>
  <c r="F43" i="6"/>
  <c r="J44" i="7" s="1"/>
  <c r="E43" i="6"/>
  <c r="I44" i="7" s="1"/>
  <c r="D43" i="6"/>
  <c r="K44" i="7" s="1"/>
  <c r="C43" i="6"/>
  <c r="I42" i="6"/>
  <c r="H42" i="6"/>
  <c r="G42" i="6"/>
  <c r="F42" i="6"/>
  <c r="E42" i="6"/>
  <c r="D42" i="6"/>
  <c r="C42" i="6"/>
  <c r="I41" i="6"/>
  <c r="H41" i="6"/>
  <c r="G41" i="6"/>
  <c r="F41" i="6"/>
  <c r="J42" i="7" s="1"/>
  <c r="E41" i="6"/>
  <c r="D41" i="6"/>
  <c r="C41" i="6"/>
  <c r="I40" i="6"/>
  <c r="H40" i="6"/>
  <c r="L41" i="7" s="1"/>
  <c r="G40" i="6"/>
  <c r="F40" i="6"/>
  <c r="E40" i="6"/>
  <c r="I41" i="7" s="1"/>
  <c r="D40" i="6"/>
  <c r="C40" i="6"/>
  <c r="I39" i="6"/>
  <c r="H39" i="6"/>
  <c r="G39" i="6"/>
  <c r="F39" i="6"/>
  <c r="J40" i="7" s="1"/>
  <c r="E39" i="6"/>
  <c r="D39" i="6"/>
  <c r="K40" i="7" s="1"/>
  <c r="C39" i="6"/>
  <c r="I38" i="6"/>
  <c r="H38" i="6"/>
  <c r="L39" i="7" s="1"/>
  <c r="G38" i="6"/>
  <c r="F38" i="6"/>
  <c r="J39" i="7" s="1"/>
  <c r="E38" i="6"/>
  <c r="I39" i="7" s="1"/>
  <c r="D38" i="6"/>
  <c r="C38" i="6"/>
  <c r="I37" i="6"/>
  <c r="H37" i="6"/>
  <c r="L38" i="7" s="1"/>
  <c r="G37" i="6"/>
  <c r="F37" i="6"/>
  <c r="J38" i="7" s="1"/>
  <c r="E37" i="6"/>
  <c r="D37" i="6"/>
  <c r="K38" i="7" s="1"/>
  <c r="C37" i="6"/>
  <c r="I36" i="6"/>
  <c r="H36" i="6"/>
  <c r="L37" i="7" s="1"/>
  <c r="G36" i="6"/>
  <c r="F36" i="6"/>
  <c r="E36" i="6"/>
  <c r="D36" i="6"/>
  <c r="K37" i="7" s="1"/>
  <c r="C36" i="6"/>
  <c r="I35" i="6"/>
  <c r="H35" i="6"/>
  <c r="L36" i="7" s="1"/>
  <c r="G35" i="6"/>
  <c r="F35" i="6"/>
  <c r="E35" i="6"/>
  <c r="D35" i="6"/>
  <c r="C35" i="6"/>
  <c r="I34" i="6"/>
  <c r="H34" i="6"/>
  <c r="L35" i="7" s="1"/>
  <c r="G34" i="6"/>
  <c r="F34" i="6"/>
  <c r="J35" i="7" s="1"/>
  <c r="E34" i="6"/>
  <c r="I35" i="7" s="1"/>
  <c r="M35" i="7" s="1"/>
  <c r="D34" i="6"/>
  <c r="K35" i="7" s="1"/>
  <c r="C34" i="6"/>
  <c r="I33" i="6"/>
  <c r="H33" i="6"/>
  <c r="L34" i="7" s="1"/>
  <c r="G33" i="6"/>
  <c r="F33" i="6"/>
  <c r="J34" i="7" s="1"/>
  <c r="E33" i="6"/>
  <c r="I34" i="7" s="1"/>
  <c r="D33" i="6"/>
  <c r="C33" i="6"/>
  <c r="I32" i="6"/>
  <c r="H32" i="6"/>
  <c r="L33" i="7" s="1"/>
  <c r="G32" i="6"/>
  <c r="F32" i="6"/>
  <c r="E32" i="6"/>
  <c r="I33" i="7" s="1"/>
  <c r="D32" i="6"/>
  <c r="K33" i="7" s="1"/>
  <c r="M33" i="7" s="1"/>
  <c r="C32" i="6"/>
  <c r="I31" i="6"/>
  <c r="H31" i="6"/>
  <c r="G31" i="6"/>
  <c r="F31" i="6"/>
  <c r="E31" i="6"/>
  <c r="I32" i="7" s="1"/>
  <c r="D31" i="6"/>
  <c r="K32" i="7" s="1"/>
  <c r="C31" i="6"/>
  <c r="I30" i="6"/>
  <c r="H30" i="6"/>
  <c r="G30" i="6"/>
  <c r="F30" i="6"/>
  <c r="J31" i="7" s="1"/>
  <c r="E30" i="6"/>
  <c r="D30" i="6"/>
  <c r="C30" i="6"/>
  <c r="I29" i="6"/>
  <c r="H29" i="6"/>
  <c r="L30" i="7" s="1"/>
  <c r="G29" i="6"/>
  <c r="F29" i="6"/>
  <c r="E29" i="6"/>
  <c r="D29" i="6"/>
  <c r="K30" i="7" s="1"/>
  <c r="C29" i="6"/>
  <c r="I28" i="6"/>
  <c r="H28" i="6"/>
  <c r="G28" i="6"/>
  <c r="F28" i="6"/>
  <c r="J29" i="7" s="1"/>
  <c r="E28" i="6"/>
  <c r="I29" i="7" s="1"/>
  <c r="D28" i="6"/>
  <c r="K29" i="7" s="1"/>
  <c r="C28" i="6"/>
  <c r="I27" i="6"/>
  <c r="H27" i="6"/>
  <c r="L28" i="7" s="1"/>
  <c r="G27" i="6"/>
  <c r="F27" i="6"/>
  <c r="J28" i="7" s="1"/>
  <c r="E27" i="6"/>
  <c r="I28" i="7" s="1"/>
  <c r="D27" i="6"/>
  <c r="C27" i="6"/>
  <c r="I26" i="6"/>
  <c r="H26" i="6"/>
  <c r="L27" i="7" s="1"/>
  <c r="G26" i="6"/>
  <c r="F26" i="6"/>
  <c r="J27" i="7" s="1"/>
  <c r="E26" i="6"/>
  <c r="D26" i="6"/>
  <c r="C26" i="6"/>
  <c r="I25" i="6"/>
  <c r="H25" i="6"/>
  <c r="L26" i="7" s="1"/>
  <c r="G25" i="6"/>
  <c r="F25" i="6"/>
  <c r="E25" i="6"/>
  <c r="I26" i="7" s="1"/>
  <c r="D25" i="6"/>
  <c r="K26" i="7" s="1"/>
  <c r="C25" i="6"/>
  <c r="I24" i="6"/>
  <c r="H24" i="6"/>
  <c r="G24" i="6"/>
  <c r="F24" i="6"/>
  <c r="E24" i="6"/>
  <c r="I25" i="7" s="1"/>
  <c r="M25" i="7" s="1"/>
  <c r="D24" i="6"/>
  <c r="K25" i="7" s="1"/>
  <c r="C24" i="6"/>
  <c r="I23" i="6"/>
  <c r="H23" i="6"/>
  <c r="L24" i="7" s="1"/>
  <c r="G23" i="6"/>
  <c r="F23" i="6"/>
  <c r="J24" i="7" s="1"/>
  <c r="E23" i="6"/>
  <c r="I24" i="7" s="1"/>
  <c r="M24" i="7" s="1"/>
  <c r="D23" i="6"/>
  <c r="C23" i="6"/>
  <c r="I22" i="6"/>
  <c r="H22" i="6"/>
  <c r="L23" i="7" s="1"/>
  <c r="G22" i="6"/>
  <c r="F22" i="6"/>
  <c r="E22" i="6"/>
  <c r="D22" i="6"/>
  <c r="K23" i="7" s="1"/>
  <c r="C22" i="6"/>
  <c r="I21" i="6"/>
  <c r="H21" i="6"/>
  <c r="L22" i="7" s="1"/>
  <c r="G21" i="6"/>
  <c r="F21" i="6"/>
  <c r="J22" i="7" s="1"/>
  <c r="E21" i="6"/>
  <c r="D21" i="6"/>
  <c r="K22" i="7" s="1"/>
  <c r="C21" i="6"/>
  <c r="I20" i="6"/>
  <c r="H20" i="6"/>
  <c r="L21" i="7" s="1"/>
  <c r="G20" i="6"/>
  <c r="F20" i="6"/>
  <c r="J21" i="7" s="1"/>
  <c r="E20" i="6"/>
  <c r="D20" i="6"/>
  <c r="K21" i="7" s="1"/>
  <c r="C20" i="6"/>
  <c r="I19" i="6"/>
  <c r="H19" i="6"/>
  <c r="L20" i="7" s="1"/>
  <c r="G19" i="6"/>
  <c r="F19" i="6"/>
  <c r="J20" i="7" s="1"/>
  <c r="E19" i="6"/>
  <c r="I20" i="7" s="1"/>
  <c r="M20" i="7" s="1"/>
  <c r="D19" i="6"/>
  <c r="C19" i="6"/>
  <c r="I18" i="6"/>
  <c r="H18" i="6"/>
  <c r="L19" i="7" s="1"/>
  <c r="G18" i="6"/>
  <c r="F18" i="6"/>
  <c r="E18" i="6"/>
  <c r="I19" i="7" s="1"/>
  <c r="D18" i="6"/>
  <c r="C18" i="6"/>
  <c r="I17" i="6"/>
  <c r="H17" i="6"/>
  <c r="G17" i="6"/>
  <c r="F17" i="6"/>
  <c r="E17" i="6"/>
  <c r="I18" i="7" s="1"/>
  <c r="D17" i="6"/>
  <c r="K18" i="7" s="1"/>
  <c r="C17" i="6"/>
  <c r="I16" i="6"/>
  <c r="H16" i="6"/>
  <c r="L17" i="7" s="1"/>
  <c r="G16" i="6"/>
  <c r="F16" i="6"/>
  <c r="J17" i="7" s="1"/>
  <c r="E16" i="6"/>
  <c r="D16" i="6"/>
  <c r="C16" i="6"/>
  <c r="I15" i="6"/>
  <c r="H15" i="6"/>
  <c r="L16" i="7" s="1"/>
  <c r="G15" i="6"/>
  <c r="F15" i="6"/>
  <c r="J16" i="7" s="1"/>
  <c r="E15" i="6"/>
  <c r="I16" i="7" s="1"/>
  <c r="D15" i="6"/>
  <c r="K16" i="7" s="1"/>
  <c r="C15" i="6"/>
  <c r="I14" i="6"/>
  <c r="H14" i="6"/>
  <c r="L15" i="7" s="1"/>
  <c r="G14" i="6"/>
  <c r="F14" i="6"/>
  <c r="E14" i="6"/>
  <c r="D14" i="6"/>
  <c r="K15" i="7" s="1"/>
  <c r="C14" i="6"/>
  <c r="I13" i="6"/>
  <c r="H13" i="6"/>
  <c r="G13" i="6"/>
  <c r="F13" i="6"/>
  <c r="E13" i="6"/>
  <c r="I14" i="7" s="1"/>
  <c r="D13" i="6"/>
  <c r="K14" i="7" s="1"/>
  <c r="C13" i="6"/>
  <c r="I12" i="6"/>
  <c r="H12" i="6"/>
  <c r="L13" i="7" s="1"/>
  <c r="G12" i="6"/>
  <c r="F12" i="6"/>
  <c r="J13" i="7" s="1"/>
  <c r="E12" i="6"/>
  <c r="I13" i="7" s="1"/>
  <c r="M13" i="7" s="1"/>
  <c r="D12" i="6"/>
  <c r="C12" i="6"/>
  <c r="I11" i="6"/>
  <c r="H11" i="6"/>
  <c r="L12" i="7" s="1"/>
  <c r="G11" i="6"/>
  <c r="F11" i="6"/>
  <c r="E11" i="6"/>
  <c r="D11" i="6"/>
  <c r="C11" i="6"/>
  <c r="I10" i="6"/>
  <c r="H10" i="6"/>
  <c r="L11" i="7" s="1"/>
  <c r="G10" i="6"/>
  <c r="F10" i="6"/>
  <c r="E10" i="6"/>
  <c r="I11" i="7" s="1"/>
  <c r="D10" i="6"/>
  <c r="K11" i="7" s="1"/>
  <c r="C10" i="6"/>
  <c r="I9" i="6"/>
  <c r="H9" i="6"/>
  <c r="G9" i="6"/>
  <c r="F9" i="6"/>
  <c r="J10" i="7" s="1"/>
  <c r="E9" i="6"/>
  <c r="I10" i="7" s="1"/>
  <c r="M10" i="7" s="1"/>
  <c r="N10" i="7" s="1"/>
  <c r="D9" i="6"/>
  <c r="K10" i="7" s="1"/>
  <c r="C9" i="6"/>
  <c r="I8" i="6"/>
  <c r="H8" i="6"/>
  <c r="G8" i="6"/>
  <c r="F8" i="6"/>
  <c r="E8" i="6"/>
  <c r="D8" i="6"/>
  <c r="C8" i="6"/>
  <c r="I7" i="6"/>
  <c r="H7" i="6"/>
  <c r="L8" i="7" s="1"/>
  <c r="G7" i="6"/>
  <c r="F7" i="6"/>
  <c r="E7" i="6"/>
  <c r="D7" i="6"/>
  <c r="K8" i="7" s="1"/>
  <c r="C7" i="6"/>
  <c r="I6" i="6"/>
  <c r="H6" i="6"/>
  <c r="G6" i="6"/>
  <c r="F6" i="6"/>
  <c r="J7" i="7" s="1"/>
  <c r="E6" i="6"/>
  <c r="I7" i="7" s="1"/>
  <c r="D6" i="6"/>
  <c r="K7" i="7" s="1"/>
  <c r="M7" i="7" s="1"/>
  <c r="C6" i="6"/>
  <c r="I5" i="6"/>
  <c r="H5" i="6"/>
  <c r="L6" i="7" s="1"/>
  <c r="G5" i="6"/>
  <c r="F5" i="6"/>
  <c r="J6" i="7" s="1"/>
  <c r="M6" i="7" s="1"/>
  <c r="E5" i="6"/>
  <c r="I6" i="7" s="1"/>
  <c r="D5" i="6"/>
  <c r="C5" i="6"/>
  <c r="J56" i="4"/>
  <c r="I56" i="4"/>
  <c r="E56" i="7" s="1"/>
  <c r="H56" i="4"/>
  <c r="C56" i="7" s="1"/>
  <c r="G56" i="4"/>
  <c r="D56" i="7" s="1"/>
  <c r="J55" i="4"/>
  <c r="I55" i="4"/>
  <c r="E53" i="7" s="1"/>
  <c r="H55" i="4"/>
  <c r="C53" i="7" s="1"/>
  <c r="G55" i="4"/>
  <c r="D53" i="7" s="1"/>
  <c r="J54" i="4"/>
  <c r="I54" i="4"/>
  <c r="E52" i="7" s="1"/>
  <c r="H54" i="4"/>
  <c r="G54" i="4"/>
  <c r="D52" i="7" s="1"/>
  <c r="J53" i="4"/>
  <c r="I53" i="4"/>
  <c r="E51" i="7" s="1"/>
  <c r="H53" i="4"/>
  <c r="C51" i="7" s="1"/>
  <c r="G53" i="4"/>
  <c r="D51" i="7" s="1"/>
  <c r="J52" i="4"/>
  <c r="I52" i="4"/>
  <c r="E50" i="7" s="1"/>
  <c r="H52" i="4"/>
  <c r="C50" i="7" s="1"/>
  <c r="G52" i="4"/>
  <c r="D50" i="7" s="1"/>
  <c r="J51" i="4"/>
  <c r="I51" i="4"/>
  <c r="H51" i="4"/>
  <c r="C49" i="7" s="1"/>
  <c r="G51" i="4"/>
  <c r="D49" i="7" s="1"/>
  <c r="J50" i="4"/>
  <c r="I50" i="4"/>
  <c r="E48" i="7" s="1"/>
  <c r="H50" i="4"/>
  <c r="G50" i="4"/>
  <c r="D48" i="7" s="1"/>
  <c r="J49" i="4"/>
  <c r="I49" i="4"/>
  <c r="E47" i="7" s="1"/>
  <c r="H49" i="4"/>
  <c r="C47" i="7" s="1"/>
  <c r="G49" i="4"/>
  <c r="J48" i="4"/>
  <c r="I48" i="4"/>
  <c r="E46" i="7" s="1"/>
  <c r="H48" i="4"/>
  <c r="C46" i="7" s="1"/>
  <c r="G48" i="4"/>
  <c r="D46" i="7" s="1"/>
  <c r="J47" i="4"/>
  <c r="I47" i="4"/>
  <c r="E45" i="7" s="1"/>
  <c r="H47" i="4"/>
  <c r="C45" i="7" s="1"/>
  <c r="G47" i="4"/>
  <c r="D45" i="7" s="1"/>
  <c r="J46" i="4"/>
  <c r="I46" i="4"/>
  <c r="E44" i="7" s="1"/>
  <c r="H46" i="4"/>
  <c r="C44" i="7" s="1"/>
  <c r="G46" i="4"/>
  <c r="D44" i="7" s="1"/>
  <c r="J45" i="4"/>
  <c r="I45" i="4"/>
  <c r="E43" i="7" s="1"/>
  <c r="H45" i="4"/>
  <c r="C43" i="7" s="1"/>
  <c r="G45" i="4"/>
  <c r="D43" i="7" s="1"/>
  <c r="J44" i="4"/>
  <c r="I44" i="4"/>
  <c r="H44" i="4"/>
  <c r="C42" i="7" s="1"/>
  <c r="G44" i="4"/>
  <c r="D42" i="7" s="1"/>
  <c r="J43" i="4"/>
  <c r="I43" i="4"/>
  <c r="E41" i="7" s="1"/>
  <c r="H43" i="4"/>
  <c r="G43" i="4"/>
  <c r="D41" i="7" s="1"/>
  <c r="J42" i="4"/>
  <c r="I42" i="4"/>
  <c r="E40" i="7" s="1"/>
  <c r="H42" i="4"/>
  <c r="C40" i="7" s="1"/>
  <c r="G42" i="4"/>
  <c r="D40" i="7" s="1"/>
  <c r="J41" i="4"/>
  <c r="I41" i="4"/>
  <c r="E39" i="7" s="1"/>
  <c r="H41" i="4"/>
  <c r="C39" i="7" s="1"/>
  <c r="G41" i="4"/>
  <c r="D39" i="7" s="1"/>
  <c r="J40" i="4"/>
  <c r="I40" i="4"/>
  <c r="H40" i="4"/>
  <c r="G40" i="4"/>
  <c r="J39" i="4"/>
  <c r="I39" i="4"/>
  <c r="E37" i="7" s="1"/>
  <c r="H39" i="4"/>
  <c r="C37" i="7" s="1"/>
  <c r="G39" i="4"/>
  <c r="D37" i="7" s="1"/>
  <c r="J38" i="4"/>
  <c r="I38" i="4"/>
  <c r="E36" i="7" s="1"/>
  <c r="H38" i="4"/>
  <c r="C36" i="7" s="1"/>
  <c r="G38" i="4"/>
  <c r="D36" i="7" s="1"/>
  <c r="J37" i="4"/>
  <c r="I37" i="4"/>
  <c r="E35" i="7" s="1"/>
  <c r="H37" i="4"/>
  <c r="C35" i="7" s="1"/>
  <c r="G37" i="4"/>
  <c r="D35" i="7" s="1"/>
  <c r="J36" i="4"/>
  <c r="I36" i="4"/>
  <c r="H36" i="4"/>
  <c r="C34" i="7" s="1"/>
  <c r="G36" i="4"/>
  <c r="D34" i="7" s="1"/>
  <c r="J35" i="4"/>
  <c r="I35" i="4"/>
  <c r="E33" i="7" s="1"/>
  <c r="H35" i="4"/>
  <c r="G35" i="4"/>
  <c r="J34" i="4"/>
  <c r="I34" i="4"/>
  <c r="E32" i="7" s="1"/>
  <c r="H34" i="4"/>
  <c r="C32" i="7" s="1"/>
  <c r="F32" i="7" s="1"/>
  <c r="G34" i="4"/>
  <c r="D32" i="7" s="1"/>
  <c r="J33" i="4"/>
  <c r="I33" i="4"/>
  <c r="E31" i="7" s="1"/>
  <c r="H33" i="4"/>
  <c r="C31" i="7" s="1"/>
  <c r="G33" i="4"/>
  <c r="D31" i="7" s="1"/>
  <c r="J32" i="4"/>
  <c r="I32" i="4"/>
  <c r="E30" i="7" s="1"/>
  <c r="H32" i="4"/>
  <c r="G32" i="4"/>
  <c r="D30" i="7" s="1"/>
  <c r="J31" i="4"/>
  <c r="I31" i="4"/>
  <c r="E29" i="7" s="1"/>
  <c r="H31" i="4"/>
  <c r="C29" i="7" s="1"/>
  <c r="G31" i="4"/>
  <c r="D29" i="7" s="1"/>
  <c r="J30" i="4"/>
  <c r="I30" i="4"/>
  <c r="H30" i="4"/>
  <c r="C28" i="7" s="1"/>
  <c r="G30" i="4"/>
  <c r="D28" i="7" s="1"/>
  <c r="J29" i="4"/>
  <c r="I29" i="4"/>
  <c r="E27" i="7" s="1"/>
  <c r="H29" i="4"/>
  <c r="G29" i="4"/>
  <c r="D27" i="7" s="1"/>
  <c r="J28" i="4"/>
  <c r="I28" i="4"/>
  <c r="E26" i="7" s="1"/>
  <c r="H28" i="4"/>
  <c r="C26" i="7" s="1"/>
  <c r="G28" i="4"/>
  <c r="J27" i="4"/>
  <c r="I27" i="4"/>
  <c r="E25" i="7" s="1"/>
  <c r="H27" i="4"/>
  <c r="C25" i="7" s="1"/>
  <c r="G27" i="4"/>
  <c r="D25" i="7" s="1"/>
  <c r="J26" i="4"/>
  <c r="I26" i="4"/>
  <c r="E24" i="7" s="1"/>
  <c r="H26" i="4"/>
  <c r="C24" i="7" s="1"/>
  <c r="G26" i="4"/>
  <c r="D24" i="7" s="1"/>
  <c r="J25" i="4"/>
  <c r="I25" i="4"/>
  <c r="H25" i="4"/>
  <c r="C23" i="7" s="1"/>
  <c r="F23" i="7" s="1"/>
  <c r="G25" i="4"/>
  <c r="D23" i="7" s="1"/>
  <c r="J24" i="4"/>
  <c r="I24" i="4"/>
  <c r="H24" i="4"/>
  <c r="G24" i="4"/>
  <c r="J23" i="4"/>
  <c r="I23" i="4"/>
  <c r="H23" i="4"/>
  <c r="C21" i="7" s="1"/>
  <c r="G23" i="4"/>
  <c r="J22" i="4"/>
  <c r="I22" i="4"/>
  <c r="E20" i="7" s="1"/>
  <c r="H22" i="4"/>
  <c r="C20" i="7" s="1"/>
  <c r="G22" i="4"/>
  <c r="D20" i="7" s="1"/>
  <c r="J21" i="4"/>
  <c r="I21" i="4"/>
  <c r="E19" i="7" s="1"/>
  <c r="H21" i="4"/>
  <c r="G21" i="4"/>
  <c r="D19" i="7" s="1"/>
  <c r="J20" i="4"/>
  <c r="I20" i="4"/>
  <c r="E18" i="7" s="1"/>
  <c r="H20" i="4"/>
  <c r="G20" i="4"/>
  <c r="D18" i="7" s="1"/>
  <c r="J19" i="4"/>
  <c r="I19" i="4"/>
  <c r="E17" i="7" s="1"/>
  <c r="H19" i="4"/>
  <c r="C17" i="7" s="1"/>
  <c r="F17" i="7" s="1"/>
  <c r="G19" i="4"/>
  <c r="D17" i="7" s="1"/>
  <c r="J18" i="4"/>
  <c r="I18" i="4"/>
  <c r="E16" i="7" s="1"/>
  <c r="H18" i="4"/>
  <c r="G18" i="4"/>
  <c r="D16" i="7" s="1"/>
  <c r="J17" i="4"/>
  <c r="I17" i="4"/>
  <c r="E15" i="7" s="1"/>
  <c r="H17" i="4"/>
  <c r="C15" i="7" s="1"/>
  <c r="G17" i="4"/>
  <c r="D15" i="7" s="1"/>
  <c r="J16" i="4"/>
  <c r="I16" i="4"/>
  <c r="H16" i="4"/>
  <c r="G16" i="4"/>
  <c r="J15" i="4"/>
  <c r="I15" i="4"/>
  <c r="E14" i="7" s="1"/>
  <c r="H15" i="4"/>
  <c r="C14" i="7" s="1"/>
  <c r="G15" i="4"/>
  <c r="D14" i="7" s="1"/>
  <c r="J14" i="4"/>
  <c r="I14" i="4"/>
  <c r="E13" i="7" s="1"/>
  <c r="H14" i="4"/>
  <c r="C13" i="7" s="1"/>
  <c r="G14" i="4"/>
  <c r="D13" i="7" s="1"/>
  <c r="J13" i="4"/>
  <c r="I13" i="4"/>
  <c r="E12" i="7" s="1"/>
  <c r="H13" i="4"/>
  <c r="G13" i="4"/>
  <c r="D12" i="7" s="1"/>
  <c r="J12" i="4"/>
  <c r="I12" i="4"/>
  <c r="H12" i="4"/>
  <c r="G12" i="4"/>
  <c r="J11" i="4"/>
  <c r="I11" i="4"/>
  <c r="E11" i="7" s="1"/>
  <c r="H11" i="4"/>
  <c r="G11" i="4"/>
  <c r="D11" i="7" s="1"/>
  <c r="J10" i="4"/>
  <c r="I10" i="4"/>
  <c r="E10" i="7" s="1"/>
  <c r="H10" i="4"/>
  <c r="G10" i="4"/>
  <c r="D10" i="7" s="1"/>
  <c r="J9" i="4"/>
  <c r="I9" i="4"/>
  <c r="E9" i="7" s="1"/>
  <c r="H9" i="4"/>
  <c r="C9" i="7" s="1"/>
  <c r="G9" i="4"/>
  <c r="D9" i="7" s="1"/>
  <c r="J8" i="4"/>
  <c r="I8" i="4"/>
  <c r="E8" i="7" s="1"/>
  <c r="H8" i="4"/>
  <c r="C8" i="7" s="1"/>
  <c r="G8" i="4"/>
  <c r="D8" i="7" s="1"/>
  <c r="J7" i="4"/>
  <c r="I7" i="4"/>
  <c r="H7" i="4"/>
  <c r="G7" i="4"/>
  <c r="D7" i="7" s="1"/>
  <c r="J6" i="4"/>
  <c r="I6" i="4"/>
  <c r="H6" i="4"/>
  <c r="C6" i="7" s="1"/>
  <c r="G6" i="4"/>
  <c r="J5" i="4"/>
  <c r="I5" i="4"/>
  <c r="H5" i="4"/>
  <c r="G5" i="4"/>
  <c r="B2" i="1"/>
  <c r="F7" i="9" s="1"/>
  <c r="D2" i="9" l="1"/>
  <c r="C2" i="9"/>
  <c r="C3" i="9"/>
  <c r="B2" i="9"/>
  <c r="H3" i="9"/>
  <c r="G4" i="9"/>
  <c r="H4" i="9"/>
  <c r="B4" i="9"/>
  <c r="D5" i="9"/>
  <c r="E5" i="9"/>
  <c r="E6" i="9"/>
  <c r="G3" i="9"/>
  <c r="F5" i="9"/>
  <c r="B7" i="9"/>
  <c r="F39" i="7"/>
  <c r="F8" i="7"/>
  <c r="N50" i="7"/>
  <c r="O50" i="7" s="1"/>
  <c r="N20" i="7"/>
  <c r="Q20" i="7" s="1"/>
  <c r="I9" i="7"/>
  <c r="M9" i="7" s="1"/>
  <c r="N9" i="7" s="1"/>
  <c r="P9" i="7" s="1"/>
  <c r="I36" i="7"/>
  <c r="M36" i="7" s="1"/>
  <c r="P28" i="7"/>
  <c r="F20" i="7"/>
  <c r="F42" i="7"/>
  <c r="M14" i="7"/>
  <c r="K9" i="7"/>
  <c r="M22" i="7"/>
  <c r="K43" i="7"/>
  <c r="J43" i="7"/>
  <c r="P11" i="7"/>
  <c r="F22" i="7"/>
  <c r="F21" i="7"/>
  <c r="F36" i="7"/>
  <c r="F48" i="7"/>
  <c r="F11" i="7"/>
  <c r="M19" i="7"/>
  <c r="M16" i="7"/>
  <c r="N16" i="7" s="1"/>
  <c r="O16" i="7" s="1"/>
  <c r="D55" i="7"/>
  <c r="M27" i="7"/>
  <c r="N27" i="7" s="1"/>
  <c r="F51" i="7"/>
  <c r="E55" i="7"/>
  <c r="O30" i="7"/>
  <c r="M25" i="10"/>
  <c r="E3" i="13" s="1"/>
  <c r="L25" i="10"/>
  <c r="D3" i="13" s="1"/>
  <c r="K25" i="10"/>
  <c r="C3" i="13" s="1"/>
  <c r="F28" i="7"/>
  <c r="O28" i="7"/>
  <c r="Q50" i="7"/>
  <c r="F13" i="7"/>
  <c r="N13" i="7" s="1"/>
  <c r="F45" i="7"/>
  <c r="F29" i="7"/>
  <c r="N29" i="7" s="1"/>
  <c r="M32" i="7"/>
  <c r="N32" i="7" s="1"/>
  <c r="F6" i="7"/>
  <c r="N6" i="7" s="1"/>
  <c r="F35" i="7"/>
  <c r="N35" i="7" s="1"/>
  <c r="F50" i="7"/>
  <c r="F9" i="7"/>
  <c r="F46" i="7"/>
  <c r="P50" i="7"/>
  <c r="M28" i="7"/>
  <c r="N28" i="7" s="1"/>
  <c r="N47" i="7"/>
  <c r="P47" i="7" s="1"/>
  <c r="M44" i="7"/>
  <c r="N44" i="7" s="1"/>
  <c r="P44" i="7" s="1"/>
  <c r="O18" i="7"/>
  <c r="F34" i="7"/>
  <c r="F40" i="7"/>
  <c r="F41" i="7"/>
  <c r="F14" i="7"/>
  <c r="F24" i="7"/>
  <c r="N24" i="7" s="1"/>
  <c r="M26" i="7"/>
  <c r="F38" i="7"/>
  <c r="P10" i="7"/>
  <c r="M48" i="7"/>
  <c r="N48" i="7" s="1"/>
  <c r="Q48" i="7" s="1"/>
  <c r="M45" i="7"/>
  <c r="Q10" i="7"/>
  <c r="F25" i="7"/>
  <c r="N25" i="7" s="1"/>
  <c r="F47" i="7"/>
  <c r="I17" i="7"/>
  <c r="M17" i="7" s="1"/>
  <c r="N17" i="7" s="1"/>
  <c r="P17" i="7" s="1"/>
  <c r="K36" i="7"/>
  <c r="M39" i="7"/>
  <c r="N39" i="7" s="1"/>
  <c r="O39" i="7" s="1"/>
  <c r="F15" i="7"/>
  <c r="N15" i="7" s="1"/>
  <c r="F53" i="7"/>
  <c r="N46" i="7"/>
  <c r="O46" i="7" s="1"/>
  <c r="M21" i="7"/>
  <c r="O32" i="7"/>
  <c r="I43" i="7"/>
  <c r="M43" i="7" s="1"/>
  <c r="N43" i="7" s="1"/>
  <c r="Q43" i="7" s="1"/>
  <c r="F52" i="7"/>
  <c r="K23" i="10"/>
  <c r="C8" i="12" s="1"/>
  <c r="L23" i="10"/>
  <c r="D8" i="12" s="1"/>
  <c r="I37" i="7"/>
  <c r="M37" i="7" s="1"/>
  <c r="J49" i="7"/>
  <c r="M40" i="7"/>
  <c r="Q32" i="7"/>
  <c r="M18" i="7"/>
  <c r="N18" i="7" s="1"/>
  <c r="P18" i="7" s="1"/>
  <c r="M23" i="10"/>
  <c r="E8" i="12" s="1"/>
  <c r="K66" i="10"/>
  <c r="C2" i="19" s="1"/>
  <c r="J66" i="10"/>
  <c r="B2" i="19" s="1"/>
  <c r="L66" i="10"/>
  <c r="D2" i="19" s="1"/>
  <c r="M11" i="7"/>
  <c r="N11" i="7" s="1"/>
  <c r="P32" i="7"/>
  <c r="P43" i="7"/>
  <c r="Q28" i="7"/>
  <c r="O43" i="7"/>
  <c r="F43" i="7"/>
  <c r="O11" i="7"/>
  <c r="K12" i="7"/>
  <c r="M12" i="7" s="1"/>
  <c r="N12" i="7" s="1"/>
  <c r="P12" i="7" s="1"/>
  <c r="F19" i="7"/>
  <c r="Q16" i="7"/>
  <c r="Q27" i="7"/>
  <c r="F33" i="7"/>
  <c r="N33" i="7" s="1"/>
  <c r="K22" i="10"/>
  <c r="C7" i="12" s="1"/>
  <c r="M22" i="10"/>
  <c r="E7" i="12" s="1"/>
  <c r="L22" i="10"/>
  <c r="D7" i="12" s="1"/>
  <c r="L45" i="10"/>
  <c r="D2" i="16" s="1"/>
  <c r="K45" i="10"/>
  <c r="C2" i="16" s="1"/>
  <c r="J45" i="10"/>
  <c r="B2" i="16" s="1"/>
  <c r="M45" i="10"/>
  <c r="E2" i="16" s="1"/>
  <c r="O12" i="7"/>
  <c r="K41" i="7"/>
  <c r="M41" i="7" s="1"/>
  <c r="N41" i="7" s="1"/>
  <c r="F12" i="7"/>
  <c r="F31" i="7"/>
  <c r="K27" i="7"/>
  <c r="I30" i="7"/>
  <c r="M30" i="7" s="1"/>
  <c r="N30" i="7" s="1"/>
  <c r="P30" i="7" s="1"/>
  <c r="K49" i="7"/>
  <c r="M52" i="7"/>
  <c r="Q11" i="7"/>
  <c r="C55" i="7"/>
  <c r="F26" i="7"/>
  <c r="J8" i="7"/>
  <c r="M8" i="7" s="1"/>
  <c r="N8" i="7" s="1"/>
  <c r="I49" i="7"/>
  <c r="F37" i="7"/>
  <c r="M38" i="7"/>
  <c r="D1" i="16"/>
  <c r="D1" i="22"/>
  <c r="D1" i="13"/>
  <c r="D1" i="12"/>
  <c r="D1" i="20"/>
  <c r="D1" i="17"/>
  <c r="D1" i="21"/>
  <c r="D1" i="18"/>
  <c r="D1" i="14"/>
  <c r="D1" i="15"/>
  <c r="M9" i="10"/>
  <c r="L79" i="10"/>
  <c r="D8" i="20" s="1"/>
  <c r="L87" i="10"/>
  <c r="L90" i="10"/>
  <c r="L64" i="10"/>
  <c r="D7" i="18" s="1"/>
  <c r="L75" i="10"/>
  <c r="D4" i="20" s="1"/>
  <c r="D1" i="19"/>
  <c r="L71" i="10"/>
  <c r="D7" i="19" s="1"/>
  <c r="L60" i="10"/>
  <c r="D3" i="18" s="1"/>
  <c r="L89" i="10"/>
  <c r="L51" i="10"/>
  <c r="D8" i="16" s="1"/>
  <c r="D1" i="11"/>
  <c r="L72" i="10"/>
  <c r="D8" i="19" s="1"/>
  <c r="L36" i="10"/>
  <c r="D7" i="14" s="1"/>
  <c r="L70" i="10"/>
  <c r="D6" i="19" s="1"/>
  <c r="L57" i="10"/>
  <c r="D7" i="17" s="1"/>
  <c r="L48" i="10"/>
  <c r="D5" i="16" s="1"/>
  <c r="L62" i="10"/>
  <c r="D5" i="18" s="1"/>
  <c r="L39" i="10"/>
  <c r="D3" i="15" s="1"/>
  <c r="L34" i="10"/>
  <c r="D5" i="14" s="1"/>
  <c r="L58" i="10"/>
  <c r="D8" i="17" s="1"/>
  <c r="L44" i="10"/>
  <c r="D8" i="15" s="1"/>
  <c r="L20" i="10"/>
  <c r="D5" i="12" s="1"/>
  <c r="K50" i="10"/>
  <c r="C7" i="16" s="1"/>
  <c r="L50" i="10"/>
  <c r="D7" i="16" s="1"/>
  <c r="J50" i="10"/>
  <c r="B7" i="16" s="1"/>
  <c r="J51" i="7"/>
  <c r="M51" i="7" s="1"/>
  <c r="N51" i="7" s="1"/>
  <c r="L27" i="10"/>
  <c r="D5" i="13" s="1"/>
  <c r="M77" i="10"/>
  <c r="E6" i="20" s="1"/>
  <c r="K77" i="10"/>
  <c r="C6" i="20" s="1"/>
  <c r="J77" i="10"/>
  <c r="B6" i="20" s="1"/>
  <c r="L42" i="10"/>
  <c r="D6" i="15" s="1"/>
  <c r="K42" i="10"/>
  <c r="C6" i="15" s="1"/>
  <c r="J42" i="10"/>
  <c r="B6" i="15" s="1"/>
  <c r="M19" i="10"/>
  <c r="E4" i="12" s="1"/>
  <c r="K28" i="10"/>
  <c r="C6" i="13" s="1"/>
  <c r="L28" i="10"/>
  <c r="D6" i="13" s="1"/>
  <c r="M37" i="10"/>
  <c r="E8" i="14" s="1"/>
  <c r="K37" i="10"/>
  <c r="C8" i="14" s="1"/>
  <c r="L37" i="10"/>
  <c r="D8" i="14" s="1"/>
  <c r="L69" i="10"/>
  <c r="D5" i="19" s="1"/>
  <c r="K69" i="10"/>
  <c r="C5" i="19" s="1"/>
  <c r="M34" i="7"/>
  <c r="N34" i="7" s="1"/>
  <c r="Q34" i="7" s="1"/>
  <c r="F7" i="7"/>
  <c r="N7" i="7" s="1"/>
  <c r="J69" i="10"/>
  <c r="B5" i="19" s="1"/>
  <c r="F44" i="7"/>
  <c r="I31" i="7"/>
  <c r="M31" i="7" s="1"/>
  <c r="N31" i="7" s="1"/>
  <c r="Q31" i="7" s="1"/>
  <c r="O10" i="7"/>
  <c r="M43" i="10"/>
  <c r="E7" i="15" s="1"/>
  <c r="K43" i="10"/>
  <c r="C7" i="15" s="1"/>
  <c r="J43" i="10"/>
  <c r="B7" i="15" s="1"/>
  <c r="F49" i="7"/>
  <c r="H7" i="9"/>
  <c r="M53" i="7"/>
  <c r="C1" i="17"/>
  <c r="C1" i="22"/>
  <c r="C1" i="19"/>
  <c r="C1" i="11"/>
  <c r="C1" i="18"/>
  <c r="C1" i="12"/>
  <c r="C1" i="21"/>
  <c r="C1" i="15"/>
  <c r="K91" i="10"/>
  <c r="K44" i="10"/>
  <c r="C8" i="15" s="1"/>
  <c r="C1" i="16"/>
  <c r="K87" i="10"/>
  <c r="K72" i="10"/>
  <c r="C8" i="19" s="1"/>
  <c r="K60" i="10"/>
  <c r="C3" i="18" s="1"/>
  <c r="C1" i="20"/>
  <c r="C1" i="14"/>
  <c r="K75" i="10"/>
  <c r="C4" i="20" s="1"/>
  <c r="K92" i="10"/>
  <c r="K62" i="10"/>
  <c r="C5" i="18" s="1"/>
  <c r="K63" i="10"/>
  <c r="C6" i="18" s="1"/>
  <c r="K93" i="10"/>
  <c r="K61" i="10"/>
  <c r="C4" i="18" s="1"/>
  <c r="K68" i="10"/>
  <c r="C4" i="19" s="1"/>
  <c r="K89" i="10"/>
  <c r="K58" i="10"/>
  <c r="C8" i="17" s="1"/>
  <c r="K76" i="10"/>
  <c r="C5" i="20" s="1"/>
  <c r="K65" i="10"/>
  <c r="C8" i="18" s="1"/>
  <c r="K29" i="10"/>
  <c r="C7" i="13" s="1"/>
  <c r="K49" i="10"/>
  <c r="C6" i="16" s="1"/>
  <c r="G5" i="9"/>
  <c r="F2" i="9"/>
  <c r="C5" i="9"/>
  <c r="C6" i="9"/>
  <c r="G2" i="9"/>
  <c r="G7" i="9"/>
  <c r="C4" i="9"/>
  <c r="D6" i="9"/>
  <c r="E2" i="9"/>
  <c r="B5" i="9"/>
  <c r="E7" i="9"/>
  <c r="F3" i="9"/>
  <c r="D7" i="9"/>
  <c r="E3" i="9"/>
  <c r="C7" i="9"/>
  <c r="D3" i="9"/>
  <c r="H6" i="9"/>
  <c r="B3" i="9"/>
  <c r="G6" i="9"/>
  <c r="H2" i="9"/>
  <c r="F6" i="9"/>
  <c r="B6" i="9"/>
  <c r="H5" i="9"/>
  <c r="E4" i="9"/>
  <c r="I23" i="7"/>
  <c r="K42" i="7"/>
  <c r="M42" i="7" s="1"/>
  <c r="N42" i="7" s="1"/>
  <c r="D4" i="9"/>
  <c r="L30" i="10"/>
  <c r="D8" i="13" s="1"/>
  <c r="J23" i="7"/>
  <c r="F4" i="9"/>
  <c r="K48" i="10"/>
  <c r="C5" i="16" s="1"/>
  <c r="K53" i="10"/>
  <c r="C3" i="17" s="1"/>
  <c r="L67" i="10"/>
  <c r="D3" i="19" s="1"/>
  <c r="K67" i="10"/>
  <c r="C3" i="19" s="1"/>
  <c r="J67" i="10"/>
  <c r="B3" i="19" s="1"/>
  <c r="K33" i="10"/>
  <c r="C4" i="14" s="1"/>
  <c r="L33" i="10"/>
  <c r="D4" i="14" s="1"/>
  <c r="L38" i="10"/>
  <c r="D2" i="15" s="1"/>
  <c r="K38" i="10"/>
  <c r="C2" i="15" s="1"/>
  <c r="M20" i="10"/>
  <c r="E5" i="12" s="1"/>
  <c r="K20" i="10"/>
  <c r="C5" i="12" s="1"/>
  <c r="L40" i="10"/>
  <c r="D4" i="15" s="1"/>
  <c r="M54" i="10"/>
  <c r="E4" i="17" s="1"/>
  <c r="J54" i="10"/>
  <c r="B4" i="17" s="1"/>
  <c r="K54" i="10"/>
  <c r="C4" i="17" s="1"/>
  <c r="L54" i="10"/>
  <c r="D4" i="17" s="1"/>
  <c r="B1" i="20"/>
  <c r="B1" i="17"/>
  <c r="B1" i="19"/>
  <c r="B1" i="18"/>
  <c r="B1" i="14"/>
  <c r="B1" i="22"/>
  <c r="B1" i="15"/>
  <c r="B1" i="12"/>
  <c r="B1" i="13"/>
  <c r="B1" i="21"/>
  <c r="J91" i="10"/>
  <c r="B1" i="16"/>
  <c r="J71" i="10"/>
  <c r="B7" i="19" s="1"/>
  <c r="J72" i="10"/>
  <c r="B8" i="19" s="1"/>
  <c r="J60" i="10"/>
  <c r="B3" i="18" s="1"/>
  <c r="J58" i="10"/>
  <c r="B8" i="17" s="1"/>
  <c r="B1" i="11"/>
  <c r="J87" i="10"/>
  <c r="J76" i="10"/>
  <c r="B5" i="20" s="1"/>
  <c r="J65" i="10"/>
  <c r="B8" i="18" s="1"/>
  <c r="J63" i="10"/>
  <c r="B6" i="18" s="1"/>
  <c r="J61" i="10"/>
  <c r="B4" i="18" s="1"/>
  <c r="J44" i="10"/>
  <c r="B8" i="15" s="1"/>
  <c r="J48" i="10"/>
  <c r="B5" i="16" s="1"/>
  <c r="L47" i="10"/>
  <c r="D4" i="16" s="1"/>
  <c r="J47" i="10"/>
  <c r="B4" i="16" s="1"/>
  <c r="J56" i="10"/>
  <c r="B6" i="17" s="1"/>
  <c r="L56" i="10"/>
  <c r="D6" i="17" s="1"/>
  <c r="J68" i="10"/>
  <c r="B4" i="19" s="1"/>
  <c r="M74" i="10"/>
  <c r="E3" i="20" s="1"/>
  <c r="L74" i="10"/>
  <c r="D3" i="20" s="1"/>
  <c r="K88" i="10"/>
  <c r="J88" i="10"/>
  <c r="M88" i="10"/>
  <c r="L88" i="10"/>
  <c r="K56" i="10"/>
  <c r="C6" i="17" s="1"/>
  <c r="L68" i="10"/>
  <c r="D4" i="19" s="1"/>
  <c r="J74" i="10"/>
  <c r="B3" i="20" s="1"/>
  <c r="K78" i="10"/>
  <c r="C7" i="20" s="1"/>
  <c r="L78" i="10"/>
  <c r="D7" i="20" s="1"/>
  <c r="J78" i="10"/>
  <c r="B7" i="20" s="1"/>
  <c r="K36" i="10"/>
  <c r="C7" i="14" s="1"/>
  <c r="K74" i="10"/>
  <c r="C3" i="20" s="1"/>
  <c r="L35" i="10"/>
  <c r="D6" i="14" s="1"/>
  <c r="M35" i="10"/>
  <c r="E6" i="14" s="1"/>
  <c r="J51" i="10"/>
  <c r="B8" i="16" s="1"/>
  <c r="K51" i="10"/>
  <c r="C8" i="16" s="1"/>
  <c r="L76" i="10"/>
  <c r="D5" i="20" s="1"/>
  <c r="L46" i="10"/>
  <c r="D3" i="16" s="1"/>
  <c r="J46" i="10"/>
  <c r="B3" i="16" s="1"/>
  <c r="K46" i="10"/>
  <c r="C3" i="16" s="1"/>
  <c r="J41" i="10"/>
  <c r="B5" i="15" s="1"/>
  <c r="K41" i="10"/>
  <c r="C5" i="15" s="1"/>
  <c r="L32" i="10"/>
  <c r="D3" i="14" s="1"/>
  <c r="L73" i="10"/>
  <c r="D2" i="20" s="1"/>
  <c r="K73" i="10"/>
  <c r="C2" i="20" s="1"/>
  <c r="J73" i="10"/>
  <c r="B2" i="20" s="1"/>
  <c r="L93" i="10"/>
  <c r="J93" i="10"/>
  <c r="M93" i="10"/>
  <c r="L59" i="10"/>
  <c r="D2" i="18" s="1"/>
  <c r="K59" i="10"/>
  <c r="C2" i="18" s="1"/>
  <c r="M57" i="10"/>
  <c r="E7" i="17" s="1"/>
  <c r="J57" i="10"/>
  <c r="B7" i="17" s="1"/>
  <c r="L53" i="10"/>
  <c r="D3" i="17" s="1"/>
  <c r="L63" i="10"/>
  <c r="D6" i="18" s="1"/>
  <c r="L61" i="10"/>
  <c r="D4" i="18" s="1"/>
  <c r="J92" i="10"/>
  <c r="M92" i="10"/>
  <c r="L92" i="10"/>
  <c r="K70" i="10"/>
  <c r="C6" i="19" s="1"/>
  <c r="J70" i="10"/>
  <c r="B6" i="19" s="1"/>
  <c r="L65" i="10"/>
  <c r="D8" i="18" s="1"/>
  <c r="M91" i="10"/>
  <c r="L91" i="10"/>
  <c r="K79" i="10"/>
  <c r="C8" i="20" s="1"/>
  <c r="J79" i="10"/>
  <c r="B8" i="20" s="1"/>
  <c r="K64" i="10"/>
  <c r="C7" i="18" s="1"/>
  <c r="K71" i="10"/>
  <c r="C7" i="19" s="1"/>
  <c r="M79" i="10"/>
  <c r="E8" i="20" s="1"/>
  <c r="O15" i="7" l="1"/>
  <c r="P15" i="7"/>
  <c r="Q15" i="7"/>
  <c r="AG46" i="7"/>
  <c r="AG39" i="7"/>
  <c r="O35" i="7"/>
  <c r="Q35" i="7"/>
  <c r="P35" i="7"/>
  <c r="O7" i="7"/>
  <c r="P7" i="7"/>
  <c r="Q7" i="7"/>
  <c r="AI48" i="7"/>
  <c r="Q33" i="7"/>
  <c r="O33" i="7"/>
  <c r="P33" i="7"/>
  <c r="P51" i="7"/>
  <c r="Q51" i="7"/>
  <c r="O51" i="7"/>
  <c r="O25" i="7"/>
  <c r="Q25" i="7"/>
  <c r="P25" i="7"/>
  <c r="O41" i="7"/>
  <c r="P41" i="7"/>
  <c r="Q41" i="7"/>
  <c r="O13" i="7"/>
  <c r="Q13" i="7"/>
  <c r="P13" i="7"/>
  <c r="AI43" i="7"/>
  <c r="Q8" i="7"/>
  <c r="O8" i="7"/>
  <c r="P8" i="7"/>
  <c r="AH17" i="7"/>
  <c r="O6" i="7"/>
  <c r="P6" i="7"/>
  <c r="Q6" i="7"/>
  <c r="P42" i="7"/>
  <c r="Q42" i="7"/>
  <c r="O42" i="7"/>
  <c r="P29" i="7"/>
  <c r="Q29" i="7"/>
  <c r="O29" i="7"/>
  <c r="O24" i="7"/>
  <c r="Q24" i="7"/>
  <c r="P24" i="7"/>
  <c r="AG50" i="7"/>
  <c r="R50" i="7"/>
  <c r="S50" i="7" s="1"/>
  <c r="AH47" i="7"/>
  <c r="AI31" i="7"/>
  <c r="R43" i="7"/>
  <c r="S43" i="7" s="1"/>
  <c r="AG43" i="7"/>
  <c r="AH43" i="7"/>
  <c r="T43" i="7"/>
  <c r="P31" i="7"/>
  <c r="E1" i="21"/>
  <c r="E1" i="22"/>
  <c r="E1" i="20"/>
  <c r="E1" i="17"/>
  <c r="E1" i="16"/>
  <c r="E1" i="14"/>
  <c r="M90" i="10"/>
  <c r="E1" i="11"/>
  <c r="E1" i="18"/>
  <c r="M75" i="10"/>
  <c r="E4" i="20" s="1"/>
  <c r="M89" i="10"/>
  <c r="M44" i="10"/>
  <c r="E8" i="15" s="1"/>
  <c r="E1" i="19"/>
  <c r="M71" i="10"/>
  <c r="E7" i="19" s="1"/>
  <c r="E1" i="13"/>
  <c r="M72" i="10"/>
  <c r="E8" i="19" s="1"/>
  <c r="M62" i="10"/>
  <c r="E5" i="18" s="1"/>
  <c r="M60" i="10"/>
  <c r="E3" i="18" s="1"/>
  <c r="E1" i="15"/>
  <c r="E1" i="12"/>
  <c r="M48" i="10"/>
  <c r="E5" i="16" s="1"/>
  <c r="M29" i="10"/>
  <c r="E7" i="13" s="1"/>
  <c r="M76" i="10"/>
  <c r="E5" i="20" s="1"/>
  <c r="M73" i="10"/>
  <c r="E2" i="20" s="1"/>
  <c r="M65" i="10"/>
  <c r="E8" i="18" s="1"/>
  <c r="M70" i="10"/>
  <c r="E6" i="19" s="1"/>
  <c r="M49" i="10"/>
  <c r="E6" i="16" s="1"/>
  <c r="M41" i="10"/>
  <c r="E5" i="15" s="1"/>
  <c r="M87" i="10"/>
  <c r="M38" i="10"/>
  <c r="E2" i="15" s="1"/>
  <c r="M40" i="10"/>
  <c r="E4" i="15" s="1"/>
  <c r="M64" i="10"/>
  <c r="E7" i="18" s="1"/>
  <c r="M39" i="10"/>
  <c r="E3" i="15" s="1"/>
  <c r="M18" i="10"/>
  <c r="E3" i="12" s="1"/>
  <c r="N9" i="10"/>
  <c r="M51" i="10"/>
  <c r="E8" i="16" s="1"/>
  <c r="M26" i="10"/>
  <c r="E4" i="13" s="1"/>
  <c r="M58" i="10"/>
  <c r="E8" i="17" s="1"/>
  <c r="M27" i="10"/>
  <c r="E5" i="13" s="1"/>
  <c r="M46" i="10"/>
  <c r="E3" i="16" s="1"/>
  <c r="M53" i="10"/>
  <c r="E3" i="17" s="1"/>
  <c r="M67" i="10"/>
  <c r="E3" i="19" s="1"/>
  <c r="M28" i="10"/>
  <c r="E6" i="13" s="1"/>
  <c r="AH32" i="7"/>
  <c r="T32" i="7"/>
  <c r="AG32" i="7"/>
  <c r="R32" i="7"/>
  <c r="S32" i="7"/>
  <c r="O34" i="7"/>
  <c r="M78" i="10"/>
  <c r="E7" i="20" s="1"/>
  <c r="M36" i="10"/>
  <c r="E7" i="14" s="1"/>
  <c r="Q30" i="7"/>
  <c r="M23" i="7"/>
  <c r="N23" i="7" s="1"/>
  <c r="O44" i="7"/>
  <c r="M50" i="10"/>
  <c r="E7" i="16" s="1"/>
  <c r="AI11" i="7"/>
  <c r="N21" i="7"/>
  <c r="AH10" i="7"/>
  <c r="P46" i="7"/>
  <c r="O17" i="7"/>
  <c r="P20" i="7"/>
  <c r="AG18" i="7"/>
  <c r="AG30" i="7"/>
  <c r="AH28" i="7"/>
  <c r="T28" i="7"/>
  <c r="O48" i="7"/>
  <c r="AG12" i="7"/>
  <c r="AH44" i="7"/>
  <c r="M66" i="10"/>
  <c r="E2" i="19" s="1"/>
  <c r="N26" i="7"/>
  <c r="P34" i="7"/>
  <c r="M63" i="10"/>
  <c r="E6" i="18" s="1"/>
  <c r="M32" i="10"/>
  <c r="E3" i="14" s="1"/>
  <c r="N52" i="7"/>
  <c r="AI34" i="7"/>
  <c r="AI27" i="7"/>
  <c r="AH30" i="7"/>
  <c r="AI16" i="7"/>
  <c r="Q46" i="7"/>
  <c r="N36" i="7"/>
  <c r="M61" i="10"/>
  <c r="E4" i="18" s="1"/>
  <c r="M30" i="10"/>
  <c r="E8" i="13" s="1"/>
  <c r="AH18" i="7"/>
  <c r="Q47" i="7"/>
  <c r="P39" i="7"/>
  <c r="Q9" i="7"/>
  <c r="P48" i="7"/>
  <c r="Q17" i="7"/>
  <c r="AI32" i="7"/>
  <c r="U32" i="7"/>
  <c r="T50" i="7"/>
  <c r="AH50" i="7"/>
  <c r="AH9" i="7"/>
  <c r="O47" i="7"/>
  <c r="N53" i="7"/>
  <c r="AI10" i="7"/>
  <c r="O9" i="7"/>
  <c r="AG16" i="7"/>
  <c r="M34" i="10"/>
  <c r="E5" i="14" s="1"/>
  <c r="Q12" i="7"/>
  <c r="R12" i="7" s="1"/>
  <c r="N45" i="7"/>
  <c r="Q39" i="7"/>
  <c r="N22" i="7"/>
  <c r="AH12" i="7"/>
  <c r="AH11" i="7"/>
  <c r="R11" i="7"/>
  <c r="U11" i="7" s="1"/>
  <c r="S11" i="7"/>
  <c r="AG11" i="7"/>
  <c r="AI20" i="7"/>
  <c r="S28" i="7"/>
  <c r="R28" i="7"/>
  <c r="AG28" i="7"/>
  <c r="E52" i="10"/>
  <c r="N38" i="7"/>
  <c r="O31" i="7"/>
  <c r="N37" i="7"/>
  <c r="U28" i="7"/>
  <c r="AI28" i="7"/>
  <c r="O20" i="7"/>
  <c r="M42" i="10"/>
  <c r="E6" i="15" s="1"/>
  <c r="P16" i="7"/>
  <c r="Q18" i="7"/>
  <c r="Q44" i="7"/>
  <c r="N19" i="7"/>
  <c r="AG10" i="7"/>
  <c r="R10" i="7"/>
  <c r="P27" i="7"/>
  <c r="O27" i="7"/>
  <c r="N40" i="7"/>
  <c r="AI50" i="7"/>
  <c r="M68" i="10"/>
  <c r="E4" i="19" s="1"/>
  <c r="M59" i="10"/>
  <c r="E2" i="18" s="1"/>
  <c r="M56" i="10"/>
  <c r="E6" i="17" s="1"/>
  <c r="M47" i="10"/>
  <c r="E4" i="16" s="1"/>
  <c r="M33" i="10"/>
  <c r="E4" i="14" s="1"/>
  <c r="M69" i="10"/>
  <c r="E5" i="19" s="1"/>
  <c r="M49" i="7"/>
  <c r="N49" i="7" s="1"/>
  <c r="N14" i="7"/>
  <c r="Y12" i="7" l="1"/>
  <c r="X12" i="7"/>
  <c r="W12" i="7"/>
  <c r="V12" i="7"/>
  <c r="S12" i="7"/>
  <c r="T12" i="7"/>
  <c r="AB11" i="7"/>
  <c r="T42" i="7"/>
  <c r="AH42" i="7"/>
  <c r="AH51" i="7"/>
  <c r="T51" i="7"/>
  <c r="P40" i="7"/>
  <c r="Q40" i="7"/>
  <c r="O40" i="7"/>
  <c r="AH33" i="7"/>
  <c r="AH46" i="7"/>
  <c r="P21" i="7"/>
  <c r="O21" i="7"/>
  <c r="Q21" i="7"/>
  <c r="O19" i="7"/>
  <c r="P19" i="7"/>
  <c r="Q19" i="7"/>
  <c r="AH48" i="7"/>
  <c r="P26" i="7"/>
  <c r="Q26" i="7"/>
  <c r="O26" i="7"/>
  <c r="AH6" i="7"/>
  <c r="T11" i="7"/>
  <c r="F1" i="21"/>
  <c r="F1" i="22"/>
  <c r="F1" i="19"/>
  <c r="F1" i="17"/>
  <c r="F1" i="18"/>
  <c r="F1" i="13"/>
  <c r="F1" i="12"/>
  <c r="N90" i="10"/>
  <c r="F1" i="11"/>
  <c r="F1" i="14"/>
  <c r="N89" i="10"/>
  <c r="N44" i="10"/>
  <c r="F8" i="15" s="1"/>
  <c r="N58" i="10"/>
  <c r="F8" i="17" s="1"/>
  <c r="N75" i="10"/>
  <c r="F4" i="20" s="1"/>
  <c r="N71" i="10"/>
  <c r="F7" i="19" s="1"/>
  <c r="F1" i="16"/>
  <c r="F1" i="15"/>
  <c r="N39" i="10"/>
  <c r="F3" i="15" s="1"/>
  <c r="N72" i="10"/>
  <c r="F8" i="19" s="1"/>
  <c r="N62" i="10"/>
  <c r="F5" i="18" s="1"/>
  <c r="N61" i="10"/>
  <c r="F4" i="18" s="1"/>
  <c r="N91" i="10"/>
  <c r="N63" i="10"/>
  <c r="F6" i="18" s="1"/>
  <c r="N60" i="10"/>
  <c r="F3" i="18" s="1"/>
  <c r="N56" i="10"/>
  <c r="F6" i="17" s="1"/>
  <c r="N48" i="10"/>
  <c r="F5" i="16" s="1"/>
  <c r="N57" i="10"/>
  <c r="F7" i="17" s="1"/>
  <c r="N29" i="10"/>
  <c r="F7" i="13" s="1"/>
  <c r="N53" i="10"/>
  <c r="F3" i="17" s="1"/>
  <c r="N26" i="10"/>
  <c r="F4" i="13" s="1"/>
  <c r="N18" i="10"/>
  <c r="F3" i="12" s="1"/>
  <c r="N79" i="10"/>
  <c r="F8" i="20" s="1"/>
  <c r="N65" i="10"/>
  <c r="F8" i="18" s="1"/>
  <c r="N54" i="10"/>
  <c r="F4" i="17" s="1"/>
  <c r="N46" i="10"/>
  <c r="F3" i="16" s="1"/>
  <c r="N87" i="10"/>
  <c r="N51" i="10"/>
  <c r="F8" i="16" s="1"/>
  <c r="O9" i="10"/>
  <c r="N20" i="10"/>
  <c r="F5" i="12" s="1"/>
  <c r="N41" i="10"/>
  <c r="F5" i="15" s="1"/>
  <c r="F1" i="20"/>
  <c r="N64" i="10"/>
  <c r="F7" i="18" s="1"/>
  <c r="N49" i="10"/>
  <c r="F6" i="16" s="1"/>
  <c r="N74" i="10"/>
  <c r="F3" i="20" s="1"/>
  <c r="N76" i="10"/>
  <c r="F5" i="20" s="1"/>
  <c r="N92" i="10"/>
  <c r="N40" i="10"/>
  <c r="F4" i="15" s="1"/>
  <c r="N77" i="10"/>
  <c r="F6" i="20" s="1"/>
  <c r="N38" i="10"/>
  <c r="F2" i="15" s="1"/>
  <c r="N70" i="10"/>
  <c r="F6" i="19" s="1"/>
  <c r="N34" i="10"/>
  <c r="F5" i="14" s="1"/>
  <c r="N42" i="10"/>
  <c r="F6" i="15" s="1"/>
  <c r="N93" i="10"/>
  <c r="N30" i="10"/>
  <c r="F8" i="13" s="1"/>
  <c r="N88" i="10"/>
  <c r="N59" i="10"/>
  <c r="F2" i="18" s="1"/>
  <c r="N78" i="10"/>
  <c r="F7" i="20" s="1"/>
  <c r="N32" i="10"/>
  <c r="F3" i="14" s="1"/>
  <c r="N68" i="10"/>
  <c r="F4" i="19" s="1"/>
  <c r="N73" i="10"/>
  <c r="F2" i="20" s="1"/>
  <c r="N19" i="10"/>
  <c r="F4" i="12" s="1"/>
  <c r="N50" i="10"/>
  <c r="F7" i="16" s="1"/>
  <c r="N66" i="10"/>
  <c r="F2" i="19" s="1"/>
  <c r="N27" i="10"/>
  <c r="F5" i="13" s="1"/>
  <c r="N37" i="10"/>
  <c r="F8" i="14" s="1"/>
  <c r="N23" i="10"/>
  <c r="F8" i="12" s="1"/>
  <c r="N22" i="10"/>
  <c r="F7" i="12" s="1"/>
  <c r="N69" i="10"/>
  <c r="F5" i="19" s="1"/>
  <c r="N36" i="10"/>
  <c r="F7" i="14" s="1"/>
  <c r="N35" i="10"/>
  <c r="F6" i="14" s="1"/>
  <c r="N43" i="10"/>
  <c r="F7" i="15" s="1"/>
  <c r="N47" i="10"/>
  <c r="F4" i="16" s="1"/>
  <c r="N45" i="10"/>
  <c r="F2" i="16" s="1"/>
  <c r="N25" i="10"/>
  <c r="F3" i="13" s="1"/>
  <c r="N67" i="10"/>
  <c r="F3" i="19" s="1"/>
  <c r="N28" i="10"/>
  <c r="F6" i="13" s="1"/>
  <c r="N33" i="10"/>
  <c r="F4" i="14" s="1"/>
  <c r="AH8" i="7"/>
  <c r="T8" i="7"/>
  <c r="R17" i="7"/>
  <c r="AG17" i="7"/>
  <c r="Q52" i="7"/>
  <c r="O52" i="7"/>
  <c r="P52" i="7"/>
  <c r="AG6" i="7"/>
  <c r="R6" i="7"/>
  <c r="S6" i="7" s="1"/>
  <c r="AI33" i="7"/>
  <c r="AI17" i="7"/>
  <c r="AH34" i="7"/>
  <c r="AI44" i="7"/>
  <c r="U44" i="7"/>
  <c r="U9" i="7"/>
  <c r="AI9" i="7"/>
  <c r="X43" i="7"/>
  <c r="Y43" i="7"/>
  <c r="W43" i="7"/>
  <c r="V43" i="7"/>
  <c r="U7" i="7"/>
  <c r="AI7" i="7"/>
  <c r="AI18" i="7"/>
  <c r="O22" i="7"/>
  <c r="Q22" i="7"/>
  <c r="P22" i="7"/>
  <c r="AH39" i="7"/>
  <c r="AG8" i="7"/>
  <c r="R8" i="7"/>
  <c r="AH7" i="7"/>
  <c r="T7" i="7"/>
  <c r="AG27" i="7"/>
  <c r="R27" i="7"/>
  <c r="AH27" i="7"/>
  <c r="T27" i="7"/>
  <c r="AH31" i="7"/>
  <c r="T31" i="7"/>
  <c r="AH16" i="7"/>
  <c r="AI47" i="7"/>
  <c r="R44" i="7"/>
  <c r="S44" i="7"/>
  <c r="AG44" i="7"/>
  <c r="AI8" i="7"/>
  <c r="AG7" i="7"/>
  <c r="R7" i="7"/>
  <c r="AI42" i="7"/>
  <c r="U6" i="7"/>
  <c r="AI6" i="7"/>
  <c r="X10" i="7"/>
  <c r="W10" i="7"/>
  <c r="V10" i="7"/>
  <c r="Y10" i="7"/>
  <c r="V11" i="7"/>
  <c r="Z11" i="7" s="1"/>
  <c r="Y11" i="7"/>
  <c r="X11" i="7"/>
  <c r="W11" i="7"/>
  <c r="AB32" i="7"/>
  <c r="T10" i="7"/>
  <c r="AG33" i="7"/>
  <c r="R33" i="7"/>
  <c r="S10" i="7"/>
  <c r="AI39" i="7"/>
  <c r="Q45" i="7"/>
  <c r="O45" i="7"/>
  <c r="P45" i="7"/>
  <c r="P23" i="7"/>
  <c r="Q23" i="7"/>
  <c r="O23" i="7"/>
  <c r="U43" i="7"/>
  <c r="AB43" i="7" s="1"/>
  <c r="AH35" i="7"/>
  <c r="AH13" i="7"/>
  <c r="R35" i="7"/>
  <c r="S35" i="7"/>
  <c r="AG35" i="7"/>
  <c r="U51" i="7"/>
  <c r="AI51" i="7"/>
  <c r="AI12" i="7"/>
  <c r="U12" i="7"/>
  <c r="AB12" i="7" s="1"/>
  <c r="AI30" i="7"/>
  <c r="AI35" i="7"/>
  <c r="O14" i="7"/>
  <c r="Q14" i="7"/>
  <c r="P14" i="7"/>
  <c r="Q49" i="7"/>
  <c r="O49" i="7"/>
  <c r="P49" i="7"/>
  <c r="R48" i="7"/>
  <c r="S48" i="7" s="1"/>
  <c r="AG48" i="7"/>
  <c r="W50" i="7"/>
  <c r="Y50" i="7"/>
  <c r="V50" i="7"/>
  <c r="AA50" i="7" s="1"/>
  <c r="X50" i="7"/>
  <c r="R39" i="7"/>
  <c r="R13" i="7"/>
  <c r="S13" i="7"/>
  <c r="AG13" i="7"/>
  <c r="S31" i="7"/>
  <c r="AG31" i="7"/>
  <c r="R31" i="7"/>
  <c r="AI46" i="7"/>
  <c r="AH24" i="7"/>
  <c r="U41" i="7"/>
  <c r="AI41" i="7"/>
  <c r="Q38" i="7"/>
  <c r="P38" i="7"/>
  <c r="O38" i="7"/>
  <c r="R9" i="7"/>
  <c r="AG9" i="7"/>
  <c r="X32" i="7"/>
  <c r="W32" i="7"/>
  <c r="Y32" i="7"/>
  <c r="V32" i="7"/>
  <c r="AA32" i="7" s="1"/>
  <c r="AI24" i="7"/>
  <c r="AH41" i="7"/>
  <c r="T41" i="7"/>
  <c r="AH20" i="7"/>
  <c r="AG20" i="7"/>
  <c r="R20" i="7"/>
  <c r="S20" i="7" s="1"/>
  <c r="AI13" i="7"/>
  <c r="U13" i="7"/>
  <c r="O36" i="7"/>
  <c r="Q36" i="7"/>
  <c r="P36" i="7"/>
  <c r="R16" i="7"/>
  <c r="T16" i="7" s="1"/>
  <c r="E55" i="10"/>
  <c r="I52" i="10"/>
  <c r="F52" i="10"/>
  <c r="L52" i="10"/>
  <c r="D2" i="17" s="1"/>
  <c r="U10" i="7"/>
  <c r="R24" i="7"/>
  <c r="U24" i="7" s="1"/>
  <c r="S24" i="7"/>
  <c r="AG24" i="7"/>
  <c r="R30" i="7"/>
  <c r="AG29" i="7"/>
  <c r="R29" i="7"/>
  <c r="S29" i="7" s="1"/>
  <c r="AH25" i="7"/>
  <c r="T25" i="7"/>
  <c r="R46" i="7"/>
  <c r="T46" i="7" s="1"/>
  <c r="V28" i="7"/>
  <c r="AB28" i="7" s="1"/>
  <c r="W28" i="7"/>
  <c r="X28" i="7"/>
  <c r="Y28" i="7"/>
  <c r="O53" i="7"/>
  <c r="Q53" i="7"/>
  <c r="P53" i="7"/>
  <c r="R18" i="7"/>
  <c r="AI29" i="7"/>
  <c r="AI25" i="7"/>
  <c r="U25" i="7"/>
  <c r="AI15" i="7"/>
  <c r="AH15" i="7"/>
  <c r="P37" i="7"/>
  <c r="Q37" i="7"/>
  <c r="O37" i="7"/>
  <c r="AG34" i="7"/>
  <c r="R34" i="7"/>
  <c r="R41" i="7"/>
  <c r="S41" i="7" s="1"/>
  <c r="AG41" i="7"/>
  <c r="AG47" i="7"/>
  <c r="R47" i="7"/>
  <c r="S47" i="7" s="1"/>
  <c r="AH29" i="7"/>
  <c r="S25" i="7"/>
  <c r="R25" i="7"/>
  <c r="AG25" i="7"/>
  <c r="U50" i="7"/>
  <c r="AG42" i="7"/>
  <c r="R42" i="7"/>
  <c r="S42" i="7"/>
  <c r="S51" i="7"/>
  <c r="AG51" i="7"/>
  <c r="R51" i="7"/>
  <c r="R15" i="7"/>
  <c r="S15" i="7" s="1"/>
  <c r="AG15" i="7"/>
  <c r="Z15" i="7" l="1"/>
  <c r="AC11" i="7"/>
  <c r="AD11" i="7" s="1"/>
  <c r="Y17" i="7"/>
  <c r="W17" i="7"/>
  <c r="V17" i="7"/>
  <c r="X17" i="7"/>
  <c r="T17" i="7"/>
  <c r="AI38" i="7"/>
  <c r="AH26" i="7"/>
  <c r="V33" i="7"/>
  <c r="Y33" i="7"/>
  <c r="W33" i="7"/>
  <c r="X33" i="7"/>
  <c r="U33" i="7"/>
  <c r="AB33" i="7" s="1"/>
  <c r="Z24" i="7"/>
  <c r="V44" i="7"/>
  <c r="Y44" i="7"/>
  <c r="W44" i="7"/>
  <c r="X44" i="7"/>
  <c r="T44" i="7"/>
  <c r="AA44" i="7" s="1"/>
  <c r="AA10" i="7"/>
  <c r="U47" i="7"/>
  <c r="AG22" i="7"/>
  <c r="AJ48" i="7" s="1"/>
  <c r="R22" i="7"/>
  <c r="S22" i="7"/>
  <c r="X42" i="7"/>
  <c r="W42" i="7"/>
  <c r="Z42" i="7" s="1"/>
  <c r="V42" i="7"/>
  <c r="Y42" i="7"/>
  <c r="AI22" i="7"/>
  <c r="AL42" i="7" s="1"/>
  <c r="U22" i="7"/>
  <c r="U29" i="7"/>
  <c r="AB10" i="7"/>
  <c r="Y18" i="7"/>
  <c r="X18" i="7"/>
  <c r="V18" i="7"/>
  <c r="W18" i="7"/>
  <c r="S18" i="7"/>
  <c r="Z18" i="7" s="1"/>
  <c r="T18" i="7"/>
  <c r="AJ29" i="7"/>
  <c r="AJ20" i="7"/>
  <c r="AJ21" i="7"/>
  <c r="AJ15" i="7"/>
  <c r="AJ19" i="7"/>
  <c r="AJ43" i="7"/>
  <c r="AJ28" i="7"/>
  <c r="AJ6" i="7"/>
  <c r="AJ24" i="7"/>
  <c r="T33" i="7"/>
  <c r="T36" i="7"/>
  <c r="AH36" i="7"/>
  <c r="Y6" i="7"/>
  <c r="X6" i="7"/>
  <c r="W6" i="7"/>
  <c r="V6" i="7"/>
  <c r="N52" i="10"/>
  <c r="F2" i="17" s="1"/>
  <c r="AH52" i="7"/>
  <c r="AK19" i="7" s="1"/>
  <c r="T52" i="7"/>
  <c r="AG52" i="7"/>
  <c r="R52" i="7"/>
  <c r="AG40" i="7"/>
  <c r="AJ50" i="7" s="1"/>
  <c r="R40" i="7"/>
  <c r="S33" i="7"/>
  <c r="AH22" i="7"/>
  <c r="T22" i="7"/>
  <c r="X24" i="7"/>
  <c r="W24" i="7"/>
  <c r="V24" i="7"/>
  <c r="Y24" i="7"/>
  <c r="V47" i="7"/>
  <c r="Y47" i="7"/>
  <c r="X47" i="7"/>
  <c r="W47" i="7"/>
  <c r="T47" i="7"/>
  <c r="AA47" i="7" s="1"/>
  <c r="U18" i="7"/>
  <c r="V39" i="7"/>
  <c r="X39" i="7"/>
  <c r="Y39" i="7"/>
  <c r="W39" i="7"/>
  <c r="S39" i="7"/>
  <c r="Z39" i="7" s="1"/>
  <c r="AA43" i="7"/>
  <c r="AI40" i="7"/>
  <c r="AL50" i="7" s="1"/>
  <c r="Y34" i="7"/>
  <c r="X34" i="7"/>
  <c r="W34" i="7"/>
  <c r="V34" i="7"/>
  <c r="U34" i="7"/>
  <c r="V16" i="7"/>
  <c r="W16" i="7"/>
  <c r="X16" i="7"/>
  <c r="Y16" i="7"/>
  <c r="AA16" i="7" s="1"/>
  <c r="S16" i="7"/>
  <c r="U16" i="7"/>
  <c r="J52" i="10"/>
  <c r="B2" i="17" s="1"/>
  <c r="T29" i="7"/>
  <c r="Y13" i="7"/>
  <c r="X13" i="7"/>
  <c r="W13" i="7"/>
  <c r="Z13" i="7" s="1"/>
  <c r="V13" i="7"/>
  <c r="AH53" i="7"/>
  <c r="AK33" i="7" s="1"/>
  <c r="T53" i="7"/>
  <c r="Z28" i="7"/>
  <c r="AC28" i="7" s="1"/>
  <c r="AD28" i="7" s="1"/>
  <c r="AI53" i="7"/>
  <c r="U53" i="7"/>
  <c r="AG53" i="7"/>
  <c r="R53" i="7"/>
  <c r="S53" i="7"/>
  <c r="K52" i="10"/>
  <c r="C2" i="17" s="1"/>
  <c r="Y35" i="7"/>
  <c r="W35" i="7"/>
  <c r="V35" i="7"/>
  <c r="X35" i="7"/>
  <c r="AI52" i="7"/>
  <c r="AJ9" i="7"/>
  <c r="AJ40" i="7"/>
  <c r="AA11" i="7"/>
  <c r="AH40" i="7"/>
  <c r="R38" i="7"/>
  <c r="AG38" i="7"/>
  <c r="S38" i="7"/>
  <c r="X48" i="7"/>
  <c r="W48" i="7"/>
  <c r="V48" i="7"/>
  <c r="Y48" i="7"/>
  <c r="U48" i="7"/>
  <c r="AH38" i="7"/>
  <c r="T38" i="7"/>
  <c r="AI26" i="7"/>
  <c r="AL30" i="7" s="1"/>
  <c r="AB9" i="7"/>
  <c r="Y15" i="7"/>
  <c r="V15" i="7"/>
  <c r="X15" i="7"/>
  <c r="W15" i="7"/>
  <c r="V41" i="7"/>
  <c r="Z41" i="7" s="1"/>
  <c r="X41" i="7"/>
  <c r="W41" i="7"/>
  <c r="Y41" i="7"/>
  <c r="V9" i="7"/>
  <c r="Y9" i="7"/>
  <c r="W9" i="7"/>
  <c r="X9" i="7"/>
  <c r="T9" i="7"/>
  <c r="T13" i="7"/>
  <c r="G1" i="21"/>
  <c r="G1" i="18"/>
  <c r="G1" i="14"/>
  <c r="G1" i="15"/>
  <c r="G1" i="13"/>
  <c r="P9" i="10"/>
  <c r="G1" i="22"/>
  <c r="G1" i="12"/>
  <c r="G1" i="20"/>
  <c r="G1" i="19"/>
  <c r="O72" i="10"/>
  <c r="G8" i="19" s="1"/>
  <c r="G1" i="17"/>
  <c r="O71" i="10"/>
  <c r="G7" i="19" s="1"/>
  <c r="O70" i="10"/>
  <c r="G6" i="19" s="1"/>
  <c r="O58" i="10"/>
  <c r="G8" i="17" s="1"/>
  <c r="O75" i="10"/>
  <c r="G4" i="20" s="1"/>
  <c r="G1" i="11"/>
  <c r="O87" i="10"/>
  <c r="G1" i="16"/>
  <c r="O39" i="10"/>
  <c r="G3" i="15" s="1"/>
  <c r="O60" i="10"/>
  <c r="G3" i="18" s="1"/>
  <c r="O62" i="10"/>
  <c r="G5" i="18" s="1"/>
  <c r="O61" i="10"/>
  <c r="G4" i="18" s="1"/>
  <c r="O79" i="10"/>
  <c r="G8" i="20" s="1"/>
  <c r="O56" i="10"/>
  <c r="G6" i="17" s="1"/>
  <c r="O47" i="10"/>
  <c r="G4" i="16" s="1"/>
  <c r="O29" i="10"/>
  <c r="G7" i="13" s="1"/>
  <c r="O53" i="10"/>
  <c r="G3" i="17" s="1"/>
  <c r="O26" i="10"/>
  <c r="G4" i="13" s="1"/>
  <c r="O90" i="10"/>
  <c r="O64" i="10"/>
  <c r="G7" i="18" s="1"/>
  <c r="O89" i="10"/>
  <c r="O65" i="10"/>
  <c r="G8" i="18" s="1"/>
  <c r="O54" i="10"/>
  <c r="G4" i="17" s="1"/>
  <c r="O41" i="10"/>
  <c r="G5" i="15" s="1"/>
  <c r="O44" i="10"/>
  <c r="G8" i="15" s="1"/>
  <c r="O63" i="10"/>
  <c r="G6" i="18" s="1"/>
  <c r="O48" i="10"/>
  <c r="G5" i="16" s="1"/>
  <c r="O50" i="10"/>
  <c r="G7" i="16" s="1"/>
  <c r="O19" i="10"/>
  <c r="G4" i="12" s="1"/>
  <c r="O76" i="10"/>
  <c r="G5" i="20" s="1"/>
  <c r="O73" i="10"/>
  <c r="G2" i="20" s="1"/>
  <c r="O22" i="10"/>
  <c r="G7" i="12" s="1"/>
  <c r="O43" i="10"/>
  <c r="G7" i="15" s="1"/>
  <c r="O30" i="10"/>
  <c r="G8" i="13" s="1"/>
  <c r="O92" i="10"/>
  <c r="O36" i="10"/>
  <c r="G7" i="14" s="1"/>
  <c r="O20" i="10"/>
  <c r="G5" i="12" s="1"/>
  <c r="O51" i="10"/>
  <c r="G8" i="16" s="1"/>
  <c r="O57" i="10"/>
  <c r="G7" i="17" s="1"/>
  <c r="O18" i="10"/>
  <c r="G3" i="12" s="1"/>
  <c r="O91" i="10"/>
  <c r="O45" i="10"/>
  <c r="G2" i="16" s="1"/>
  <c r="O27" i="10"/>
  <c r="G5" i="13" s="1"/>
  <c r="O88" i="10"/>
  <c r="O35" i="10"/>
  <c r="G6" i="14" s="1"/>
  <c r="O23" i="10"/>
  <c r="G8" i="12" s="1"/>
  <c r="O42" i="10"/>
  <c r="G6" i="15" s="1"/>
  <c r="O78" i="10"/>
  <c r="G7" i="20" s="1"/>
  <c r="O32" i="10"/>
  <c r="G3" i="14" s="1"/>
  <c r="O66" i="10"/>
  <c r="G2" i="19" s="1"/>
  <c r="O33" i="10"/>
  <c r="G4" i="14" s="1"/>
  <c r="O46" i="10"/>
  <c r="G3" i="16" s="1"/>
  <c r="O67" i="10"/>
  <c r="G3" i="19" s="1"/>
  <c r="O69" i="10"/>
  <c r="G5" i="19" s="1"/>
  <c r="O34" i="10"/>
  <c r="G5" i="14" s="1"/>
  <c r="O93" i="10"/>
  <c r="O40" i="10"/>
  <c r="G4" i="15" s="1"/>
  <c r="O59" i="10"/>
  <c r="G2" i="18" s="1"/>
  <c r="O49" i="10"/>
  <c r="G6" i="16" s="1"/>
  <c r="O28" i="10"/>
  <c r="G6" i="13" s="1"/>
  <c r="O37" i="10"/>
  <c r="G8" i="14" s="1"/>
  <c r="O38" i="10"/>
  <c r="G2" i="15" s="1"/>
  <c r="O25" i="10"/>
  <c r="G3" i="13" s="1"/>
  <c r="O77" i="10"/>
  <c r="G6" i="20" s="1"/>
  <c r="O74" i="10"/>
  <c r="G3" i="20" s="1"/>
  <c r="O68" i="10"/>
  <c r="G4" i="19" s="1"/>
  <c r="T6" i="7"/>
  <c r="AA6" i="7" s="1"/>
  <c r="X51" i="7"/>
  <c r="V51" i="7"/>
  <c r="AB51" i="7" s="1"/>
  <c r="Y51" i="7"/>
  <c r="W51" i="7"/>
  <c r="S34" i="7"/>
  <c r="S9" i="7"/>
  <c r="Z9" i="7" s="1"/>
  <c r="T35" i="7"/>
  <c r="S17" i="7"/>
  <c r="AK53" i="7"/>
  <c r="AK31" i="7"/>
  <c r="AK44" i="7"/>
  <c r="AK39" i="7"/>
  <c r="AK35" i="7"/>
  <c r="R26" i="7"/>
  <c r="T26" i="7" s="1"/>
  <c r="AG26" i="7"/>
  <c r="AJ22" i="7" s="1"/>
  <c r="Z43" i="7"/>
  <c r="AC43" i="7" s="1"/>
  <c r="AD43" i="7" s="1"/>
  <c r="AA28" i="7"/>
  <c r="U23" i="7"/>
  <c r="AI23" i="7"/>
  <c r="M52" i="10"/>
  <c r="E2" i="17" s="1"/>
  <c r="AI36" i="7"/>
  <c r="U36" i="7"/>
  <c r="X27" i="7"/>
  <c r="W27" i="7"/>
  <c r="Y27" i="7"/>
  <c r="AA27" i="7" s="1"/>
  <c r="V27" i="7"/>
  <c r="U27" i="7"/>
  <c r="R37" i="7"/>
  <c r="T37" i="7" s="1"/>
  <c r="AG37" i="7"/>
  <c r="R49" i="7"/>
  <c r="AG49" i="7"/>
  <c r="S49" i="7"/>
  <c r="S27" i="7"/>
  <c r="T23" i="7"/>
  <c r="AH23" i="7"/>
  <c r="AK17" i="7" s="1"/>
  <c r="AG19" i="7"/>
  <c r="AJ31" i="7" s="1"/>
  <c r="R19" i="7"/>
  <c r="S19" i="7"/>
  <c r="W46" i="7"/>
  <c r="V46" i="7"/>
  <c r="X46" i="7"/>
  <c r="Y46" i="7"/>
  <c r="S46" i="7"/>
  <c r="Z46" i="7" s="1"/>
  <c r="AH49" i="7"/>
  <c r="R36" i="7"/>
  <c r="AG36" i="7"/>
  <c r="S36" i="7"/>
  <c r="U37" i="7"/>
  <c r="AI37" i="7"/>
  <c r="AA12" i="7"/>
  <c r="AH37" i="7"/>
  <c r="T14" i="7"/>
  <c r="AH14" i="7"/>
  <c r="AK41" i="7" s="1"/>
  <c r="AI19" i="7"/>
  <c r="AL27" i="7" s="1"/>
  <c r="P52" i="10"/>
  <c r="H2" i="17" s="1"/>
  <c r="V20" i="7"/>
  <c r="X20" i="7"/>
  <c r="W20" i="7"/>
  <c r="Y20" i="7"/>
  <c r="U20" i="7"/>
  <c r="AB20" i="7" s="1"/>
  <c r="T24" i="7"/>
  <c r="AA24" i="7" s="1"/>
  <c r="U14" i="7"/>
  <c r="AI14" i="7"/>
  <c r="R45" i="7"/>
  <c r="S45" i="7"/>
  <c r="AG45" i="7"/>
  <c r="X7" i="7"/>
  <c r="Y7" i="7"/>
  <c r="V7" i="7"/>
  <c r="W7" i="7"/>
  <c r="T34" i="7"/>
  <c r="AH19" i="7"/>
  <c r="AK20" i="7" s="1"/>
  <c r="T19" i="7"/>
  <c r="Z32" i="7"/>
  <c r="AC32" i="7" s="1"/>
  <c r="AD32" i="7" s="1"/>
  <c r="U45" i="7"/>
  <c r="AI45" i="7"/>
  <c r="W8" i="7"/>
  <c r="Y8" i="7"/>
  <c r="X8" i="7"/>
  <c r="V8" i="7"/>
  <c r="Y30" i="7"/>
  <c r="X30" i="7"/>
  <c r="W30" i="7"/>
  <c r="V30" i="7"/>
  <c r="T30" i="7"/>
  <c r="S30" i="7"/>
  <c r="F55" i="10"/>
  <c r="G55" i="10" s="1"/>
  <c r="I55" i="10"/>
  <c r="U35" i="7"/>
  <c r="AB35" i="7" s="1"/>
  <c r="S7" i="7"/>
  <c r="AA7" i="7" s="1"/>
  <c r="AJ47" i="7"/>
  <c r="AJ49" i="7"/>
  <c r="AJ42" i="7"/>
  <c r="U17" i="7"/>
  <c r="U21" i="7"/>
  <c r="AI21" i="7"/>
  <c r="Z12" i="7"/>
  <c r="U15" i="7"/>
  <c r="T20" i="7"/>
  <c r="U46" i="7"/>
  <c r="U39" i="7"/>
  <c r="AL17" i="7"/>
  <c r="S8" i="7"/>
  <c r="Z8" i="7" s="1"/>
  <c r="R21" i="7"/>
  <c r="AG21" i="7"/>
  <c r="AG23" i="7"/>
  <c r="AJ17" i="7" s="1"/>
  <c r="R23" i="7"/>
  <c r="S23" i="7" s="1"/>
  <c r="Y29" i="7"/>
  <c r="X29" i="7"/>
  <c r="V29" i="7"/>
  <c r="W29" i="7"/>
  <c r="U49" i="7"/>
  <c r="AI49" i="7"/>
  <c r="AL8" i="7" s="1"/>
  <c r="T48" i="7"/>
  <c r="O52" i="10"/>
  <c r="G2" i="17" s="1"/>
  <c r="T45" i="7"/>
  <c r="AH45" i="7"/>
  <c r="U42" i="7"/>
  <c r="T15" i="7"/>
  <c r="R14" i="7"/>
  <c r="S14" i="7"/>
  <c r="AG14" i="7"/>
  <c r="AJ51" i="7" s="1"/>
  <c r="AB50" i="7"/>
  <c r="X25" i="7"/>
  <c r="W25" i="7"/>
  <c r="V25" i="7"/>
  <c r="Z25" i="7" s="1"/>
  <c r="Y25" i="7"/>
  <c r="X31" i="7"/>
  <c r="W31" i="7"/>
  <c r="V31" i="7"/>
  <c r="Y31" i="7"/>
  <c r="U31" i="7"/>
  <c r="AB31" i="7" s="1"/>
  <c r="U30" i="7"/>
  <c r="AB30" i="7" s="1"/>
  <c r="Z10" i="7"/>
  <c r="AC10" i="7" s="1"/>
  <c r="AD10" i="7" s="1"/>
  <c r="U8" i="7"/>
  <c r="T39" i="7"/>
  <c r="T21" i="7"/>
  <c r="AH21" i="7"/>
  <c r="Z50" i="7"/>
  <c r="AC50" i="7" s="1"/>
  <c r="AD50" i="7" s="1"/>
  <c r="AM17" i="7" l="1"/>
  <c r="AO17" i="7" s="1"/>
  <c r="AO19" i="7"/>
  <c r="AL43" i="7"/>
  <c r="AK45" i="7"/>
  <c r="AC15" i="7"/>
  <c r="AD15" i="7" s="1"/>
  <c r="AL29" i="7"/>
  <c r="AL13" i="7"/>
  <c r="AK48" i="7"/>
  <c r="AM48" i="7" s="1"/>
  <c r="AL23" i="7"/>
  <c r="AJ30" i="7"/>
  <c r="AB36" i="7"/>
  <c r="AL6" i="7"/>
  <c r="X38" i="7"/>
  <c r="AA38" i="7" s="1"/>
  <c r="W38" i="7"/>
  <c r="V38" i="7"/>
  <c r="Y38" i="7"/>
  <c r="AK34" i="7"/>
  <c r="AJ44" i="7"/>
  <c r="V22" i="7"/>
  <c r="Y22" i="7"/>
  <c r="W22" i="7"/>
  <c r="Z22" i="7" s="1"/>
  <c r="AC22" i="7" s="1"/>
  <c r="AD22" i="7" s="1"/>
  <c r="X22" i="7"/>
  <c r="U38" i="7"/>
  <c r="AK40" i="7"/>
  <c r="AK9" i="7"/>
  <c r="AK50" i="7"/>
  <c r="AK22" i="7"/>
  <c r="AM22" i="7" s="1"/>
  <c r="AJ37" i="7"/>
  <c r="AA35" i="7"/>
  <c r="AM9" i="7"/>
  <c r="AN9" i="7" s="1"/>
  <c r="AB29" i="7"/>
  <c r="Y49" i="7"/>
  <c r="V49" i="7"/>
  <c r="W49" i="7"/>
  <c r="X49" i="7"/>
  <c r="K55" i="10"/>
  <c r="C5" i="17" s="1"/>
  <c r="N55" i="10"/>
  <c r="F5" i="17" s="1"/>
  <c r="M55" i="10"/>
  <c r="E5" i="17" s="1"/>
  <c r="O55" i="10"/>
  <c r="G5" i="17" s="1"/>
  <c r="L55" i="10"/>
  <c r="D5" i="17" s="1"/>
  <c r="P55" i="10"/>
  <c r="H5" i="17" s="1"/>
  <c r="J55" i="10"/>
  <c r="B5" i="17" s="1"/>
  <c r="AL31" i="7"/>
  <c r="AB39" i="7"/>
  <c r="AK27" i="7"/>
  <c r="AB46" i="7"/>
  <c r="AL24" i="7"/>
  <c r="AK42" i="7"/>
  <c r="AK49" i="7"/>
  <c r="Z53" i="7"/>
  <c r="AB34" i="7"/>
  <c r="AJ53" i="7"/>
  <c r="Y26" i="7"/>
  <c r="X26" i="7"/>
  <c r="W26" i="7"/>
  <c r="V26" i="7"/>
  <c r="AL35" i="7"/>
  <c r="AJ8" i="7"/>
  <c r="AL26" i="7"/>
  <c r="X14" i="7"/>
  <c r="V14" i="7"/>
  <c r="Z14" i="7" s="1"/>
  <c r="W14" i="7"/>
  <c r="Y14" i="7"/>
  <c r="AJ25" i="7"/>
  <c r="AB42" i="7"/>
  <c r="AL14" i="7"/>
  <c r="AJ41" i="7"/>
  <c r="AL10" i="7"/>
  <c r="AL36" i="7"/>
  <c r="AK29" i="7"/>
  <c r="AL45" i="7"/>
  <c r="AA20" i="7"/>
  <c r="AJ13" i="7"/>
  <c r="AB41" i="7"/>
  <c r="AK24" i="7"/>
  <c r="AL21" i="7"/>
  <c r="AK46" i="7"/>
  <c r="AK47" i="7"/>
  <c r="X53" i="7"/>
  <c r="V53" i="7"/>
  <c r="AA53" i="7" s="1"/>
  <c r="Y53" i="7"/>
  <c r="W53" i="7"/>
  <c r="AJ33" i="7"/>
  <c r="AB47" i="7"/>
  <c r="AA17" i="7"/>
  <c r="AC18" i="7"/>
  <c r="AD18" i="7" s="1"/>
  <c r="AL18" i="7"/>
  <c r="AM6" i="7"/>
  <c r="AN6" i="7"/>
  <c r="AB13" i="7"/>
  <c r="AM28" i="7"/>
  <c r="AN28" i="7" s="1"/>
  <c r="AJ12" i="7"/>
  <c r="S26" i="7"/>
  <c r="AL7" i="7"/>
  <c r="AL37" i="7"/>
  <c r="AK6" i="7"/>
  <c r="AA15" i="7"/>
  <c r="AL11" i="7"/>
  <c r="AJ23" i="7"/>
  <c r="AK28" i="7"/>
  <c r="AL44" i="7"/>
  <c r="AK37" i="7"/>
  <c r="AL9" i="7"/>
  <c r="AJ52" i="7"/>
  <c r="AC39" i="7"/>
  <c r="AD39" i="7" s="1"/>
  <c r="AL34" i="7"/>
  <c r="Y40" i="7"/>
  <c r="X40" i="7"/>
  <c r="W40" i="7"/>
  <c r="V40" i="7"/>
  <c r="AK11" i="7"/>
  <c r="AJ11" i="7"/>
  <c r="AK13" i="7"/>
  <c r="AL46" i="7"/>
  <c r="V19" i="7"/>
  <c r="Y19" i="7"/>
  <c r="X19" i="7"/>
  <c r="W19" i="7"/>
  <c r="Z51" i="7"/>
  <c r="AC51" i="7" s="1"/>
  <c r="AD51" i="7" s="1"/>
  <c r="AK43" i="7"/>
  <c r="AM43" i="7" s="1"/>
  <c r="AL33" i="7"/>
  <c r="AK14" i="7"/>
  <c r="AL40" i="7"/>
  <c r="AM40" i="7" s="1"/>
  <c r="AB53" i="7"/>
  <c r="AJ27" i="7"/>
  <c r="AL32" i="7"/>
  <c r="AA22" i="7"/>
  <c r="AL25" i="7"/>
  <c r="AL48" i="7"/>
  <c r="AJ45" i="7"/>
  <c r="AA51" i="7"/>
  <c r="AA39" i="7"/>
  <c r="AL22" i="7"/>
  <c r="AB15" i="7"/>
  <c r="AJ26" i="7"/>
  <c r="AB8" i="7"/>
  <c r="AA48" i="7"/>
  <c r="AL51" i="7"/>
  <c r="AC12" i="7"/>
  <c r="AD12" i="7" s="1"/>
  <c r="AJ34" i="7"/>
  <c r="AB45" i="7"/>
  <c r="U19" i="7"/>
  <c r="AB19" i="7" s="1"/>
  <c r="AK52" i="7"/>
  <c r="AL52" i="7"/>
  <c r="AK18" i="7"/>
  <c r="AK10" i="7"/>
  <c r="AK36" i="7"/>
  <c r="AA18" i="7"/>
  <c r="AL15" i="7"/>
  <c r="AK8" i="7"/>
  <c r="T40" i="7"/>
  <c r="U40" i="7"/>
  <c r="AA33" i="7"/>
  <c r="AA46" i="7"/>
  <c r="AC46" i="7" s="1"/>
  <c r="AD46" i="7" s="1"/>
  <c r="AB23" i="7"/>
  <c r="AA36" i="7"/>
  <c r="AM47" i="7"/>
  <c r="AB17" i="7"/>
  <c r="AA19" i="7"/>
  <c r="AA14" i="7"/>
  <c r="AB44" i="7"/>
  <c r="AL53" i="7"/>
  <c r="AK25" i="7"/>
  <c r="Z44" i="7"/>
  <c r="Z47" i="7"/>
  <c r="AL38" i="7"/>
  <c r="AJ14" i="7"/>
  <c r="AJ16" i="7"/>
  <c r="Z27" i="7"/>
  <c r="AA42" i="7"/>
  <c r="AC42" i="7" s="1"/>
  <c r="AD42" i="7" s="1"/>
  <c r="AK21" i="7"/>
  <c r="AM21" i="7" s="1"/>
  <c r="H1" i="18"/>
  <c r="H1" i="21"/>
  <c r="H1" i="12"/>
  <c r="H1" i="16"/>
  <c r="H1" i="11"/>
  <c r="H1" i="13"/>
  <c r="H1" i="22"/>
  <c r="H1" i="20"/>
  <c r="P60" i="10"/>
  <c r="H3" i="18" s="1"/>
  <c r="P65" i="10"/>
  <c r="H8" i="18" s="1"/>
  <c r="P64" i="10"/>
  <c r="H7" i="18" s="1"/>
  <c r="H1" i="14"/>
  <c r="P72" i="10"/>
  <c r="H8" i="19" s="1"/>
  <c r="P75" i="10"/>
  <c r="H4" i="20" s="1"/>
  <c r="H1" i="15"/>
  <c r="H1" i="19"/>
  <c r="P59" i="10"/>
  <c r="H2" i="18" s="1"/>
  <c r="P79" i="10"/>
  <c r="H8" i="20" s="1"/>
  <c r="P89" i="10"/>
  <c r="P56" i="10"/>
  <c r="H6" i="17" s="1"/>
  <c r="P47" i="10"/>
  <c r="H4" i="16" s="1"/>
  <c r="P70" i="10"/>
  <c r="H6" i="19" s="1"/>
  <c r="P48" i="10"/>
  <c r="H5" i="16" s="1"/>
  <c r="P61" i="10"/>
  <c r="H4" i="18" s="1"/>
  <c r="P57" i="10"/>
  <c r="H7" i="17" s="1"/>
  <c r="P53" i="10"/>
  <c r="H3" i="17" s="1"/>
  <c r="P26" i="10"/>
  <c r="H4" i="13" s="1"/>
  <c r="P90" i="10"/>
  <c r="P18" i="10"/>
  <c r="H3" i="12" s="1"/>
  <c r="P49" i="10"/>
  <c r="H6" i="16" s="1"/>
  <c r="P44" i="10"/>
  <c r="H8" i="15" s="1"/>
  <c r="P71" i="10"/>
  <c r="H7" i="19" s="1"/>
  <c r="P73" i="10"/>
  <c r="H2" i="20" s="1"/>
  <c r="P33" i="10"/>
  <c r="H4" i="14" s="1"/>
  <c r="P35" i="10"/>
  <c r="H6" i="14" s="1"/>
  <c r="P46" i="10"/>
  <c r="H3" i="16" s="1"/>
  <c r="P91" i="10"/>
  <c r="P39" i="10"/>
  <c r="H3" i="15" s="1"/>
  <c r="P87" i="10"/>
  <c r="Q9" i="10"/>
  <c r="P45" i="10"/>
  <c r="H2" i="16" s="1"/>
  <c r="P58" i="10"/>
  <c r="H8" i="17" s="1"/>
  <c r="P29" i="10"/>
  <c r="H7" i="13" s="1"/>
  <c r="H1" i="17"/>
  <c r="P42" i="10"/>
  <c r="H6" i="15" s="1"/>
  <c r="P34" i="10"/>
  <c r="H5" i="14" s="1"/>
  <c r="P19" i="10"/>
  <c r="H4" i="12" s="1"/>
  <c r="P40" i="10"/>
  <c r="H4" i="15" s="1"/>
  <c r="P32" i="10"/>
  <c r="H3" i="14" s="1"/>
  <c r="P63" i="10"/>
  <c r="H6" i="18" s="1"/>
  <c r="P43" i="10"/>
  <c r="H7" i="15" s="1"/>
  <c r="P41" i="10"/>
  <c r="H5" i="15" s="1"/>
  <c r="P22" i="10"/>
  <c r="H7" i="12" s="1"/>
  <c r="P78" i="10"/>
  <c r="H7" i="20" s="1"/>
  <c r="P69" i="10"/>
  <c r="H5" i="19" s="1"/>
  <c r="P30" i="10"/>
  <c r="H8" i="13" s="1"/>
  <c r="P92" i="10"/>
  <c r="P28" i="10"/>
  <c r="H6" i="13" s="1"/>
  <c r="P68" i="10"/>
  <c r="H4" i="19" s="1"/>
  <c r="P23" i="10"/>
  <c r="H8" i="12" s="1"/>
  <c r="P62" i="10"/>
  <c r="H5" i="18" s="1"/>
  <c r="P25" i="10"/>
  <c r="H3" i="13" s="1"/>
  <c r="P66" i="10"/>
  <c r="H2" i="19" s="1"/>
  <c r="P77" i="10"/>
  <c r="H6" i="20" s="1"/>
  <c r="P38" i="10"/>
  <c r="H2" i="15" s="1"/>
  <c r="P76" i="10"/>
  <c r="H5" i="20" s="1"/>
  <c r="P27" i="10"/>
  <c r="H5" i="13" s="1"/>
  <c r="P74" i="10"/>
  <c r="H3" i="20" s="1"/>
  <c r="P67" i="10"/>
  <c r="H3" i="19" s="1"/>
  <c r="P37" i="10"/>
  <c r="H8" i="14" s="1"/>
  <c r="P88" i="10"/>
  <c r="P54" i="10"/>
  <c r="H4" i="17" s="1"/>
  <c r="P20" i="10"/>
  <c r="H5" i="12" s="1"/>
  <c r="P51" i="10"/>
  <c r="H8" i="16" s="1"/>
  <c r="P36" i="10"/>
  <c r="H7" i="14" s="1"/>
  <c r="P50" i="10"/>
  <c r="H7" i="16" s="1"/>
  <c r="P93" i="10"/>
  <c r="AA25" i="7"/>
  <c r="AC25" i="7" s="1"/>
  <c r="AD25" i="7" s="1"/>
  <c r="AK12" i="7"/>
  <c r="AA31" i="7"/>
  <c r="Z33" i="7"/>
  <c r="AC33" i="7" s="1"/>
  <c r="AD33" i="7" s="1"/>
  <c r="AJ39" i="7"/>
  <c r="Z20" i="7"/>
  <c r="AC20" i="7" s="1"/>
  <c r="AD20" i="7" s="1"/>
  <c r="AL47" i="7"/>
  <c r="AJ46" i="7"/>
  <c r="AJ38" i="7"/>
  <c r="AA34" i="7"/>
  <c r="AB6" i="7"/>
  <c r="AA8" i="7"/>
  <c r="AC8" i="7" s="1"/>
  <c r="AD8" i="7" s="1"/>
  <c r="AK32" i="7"/>
  <c r="U26" i="7"/>
  <c r="AK16" i="7"/>
  <c r="Z31" i="7"/>
  <c r="AJ7" i="7"/>
  <c r="Z6" i="7"/>
  <c r="AB25" i="7"/>
  <c r="AK38" i="7"/>
  <c r="AJ32" i="7"/>
  <c r="Z48" i="7"/>
  <c r="AA23" i="7"/>
  <c r="Z7" i="7"/>
  <c r="Z17" i="7"/>
  <c r="S40" i="7"/>
  <c r="AM19" i="7"/>
  <c r="AN19" i="7" s="1"/>
  <c r="AJ18" i="7"/>
  <c r="Z36" i="7"/>
  <c r="AC36" i="7" s="1"/>
  <c r="AD36" i="7" s="1"/>
  <c r="AL20" i="7"/>
  <c r="AB48" i="7"/>
  <c r="AK23" i="7"/>
  <c r="AA29" i="7"/>
  <c r="V52" i="7"/>
  <c r="Y52" i="7"/>
  <c r="X52" i="7"/>
  <c r="W52" i="7"/>
  <c r="AL41" i="7"/>
  <c r="Z30" i="7"/>
  <c r="AK15" i="7"/>
  <c r="AL49" i="7"/>
  <c r="AA30" i="7"/>
  <c r="W36" i="7"/>
  <c r="Y36" i="7"/>
  <c r="X36" i="7"/>
  <c r="V36" i="7"/>
  <c r="AB27" i="7"/>
  <c r="AK7" i="7"/>
  <c r="AA13" i="7"/>
  <c r="AC13" i="7" s="1"/>
  <c r="AD13" i="7" s="1"/>
  <c r="AL28" i="7"/>
  <c r="AK30" i="7"/>
  <c r="AB7" i="7"/>
  <c r="AB16" i="7"/>
  <c r="AB18" i="7"/>
  <c r="S52" i="7"/>
  <c r="AJ35" i="7"/>
  <c r="Z29" i="7"/>
  <c r="AC29" i="7" s="1"/>
  <c r="AD29" i="7" s="1"/>
  <c r="V23" i="7"/>
  <c r="Z23" i="7" s="1"/>
  <c r="AC23" i="7" s="1"/>
  <c r="AD23" i="7" s="1"/>
  <c r="Y23" i="7"/>
  <c r="X23" i="7"/>
  <c r="W23" i="7"/>
  <c r="AK26" i="7"/>
  <c r="AL12" i="7"/>
  <c r="AB22" i="7"/>
  <c r="AL16" i="7"/>
  <c r="AL19" i="7"/>
  <c r="AK51" i="7"/>
  <c r="AM51" i="7" s="1"/>
  <c r="Y37" i="7"/>
  <c r="V37" i="7"/>
  <c r="AB37" i="7" s="1"/>
  <c r="W37" i="7"/>
  <c r="X37" i="7"/>
  <c r="AM15" i="7"/>
  <c r="AN15" i="7" s="1"/>
  <c r="AB24" i="7"/>
  <c r="AC24" i="7" s="1"/>
  <c r="AD24" i="7" s="1"/>
  <c r="Z45" i="7"/>
  <c r="AJ36" i="7"/>
  <c r="AJ10" i="7"/>
  <c r="S37" i="7"/>
  <c r="AA37" i="7" s="1"/>
  <c r="Z34" i="7"/>
  <c r="AL39" i="7"/>
  <c r="U52" i="7"/>
  <c r="AB52" i="7" s="1"/>
  <c r="X21" i="7"/>
  <c r="Y21" i="7"/>
  <c r="V21" i="7"/>
  <c r="W21" i="7"/>
  <c r="V45" i="7"/>
  <c r="AA45" i="7" s="1"/>
  <c r="X45" i="7"/>
  <c r="W45" i="7"/>
  <c r="Y45" i="7"/>
  <c r="S21" i="7"/>
  <c r="Z21" i="7" s="1"/>
  <c r="T49" i="7"/>
  <c r="AA49" i="7" s="1"/>
  <c r="AA9" i="7"/>
  <c r="AC9" i="7" s="1"/>
  <c r="AD9" i="7" s="1"/>
  <c r="Z16" i="7"/>
  <c r="Z35" i="7"/>
  <c r="AA41" i="7"/>
  <c r="AC41" i="7" s="1"/>
  <c r="AD41" i="7" s="1"/>
  <c r="AT21" i="7" l="1"/>
  <c r="AS21" i="7"/>
  <c r="AQ21" i="7"/>
  <c r="AR21" i="7"/>
  <c r="AN21" i="7"/>
  <c r="AR40" i="7"/>
  <c r="AQ40" i="7"/>
  <c r="AS40" i="7"/>
  <c r="AT40" i="7"/>
  <c r="AN40" i="7"/>
  <c r="AT43" i="7"/>
  <c r="AS43" i="7"/>
  <c r="AR43" i="7"/>
  <c r="AQ43" i="7"/>
  <c r="AN43" i="7"/>
  <c r="AT22" i="7"/>
  <c r="AQ22" i="7"/>
  <c r="AR22" i="7"/>
  <c r="AS22" i="7"/>
  <c r="AN22" i="7"/>
  <c r="AR48" i="7"/>
  <c r="AQ48" i="7"/>
  <c r="AT48" i="7"/>
  <c r="AS48" i="7"/>
  <c r="AN48" i="7"/>
  <c r="AU48" i="7" s="1"/>
  <c r="AS51" i="7"/>
  <c r="AT51" i="7"/>
  <c r="AQ51" i="7"/>
  <c r="AR51" i="7"/>
  <c r="AN51" i="7"/>
  <c r="AU51" i="7" s="1"/>
  <c r="AB26" i="7"/>
  <c r="AP6" i="7"/>
  <c r="AM37" i="7"/>
  <c r="AN37" i="7" s="1"/>
  <c r="AM41" i="7"/>
  <c r="AN41" i="7"/>
  <c r="AN17" i="7"/>
  <c r="AV17" i="7" s="1"/>
  <c r="Z40" i="7"/>
  <c r="AC40" i="7" s="1"/>
  <c r="AD40" i="7" s="1"/>
  <c r="AM46" i="7"/>
  <c r="I1" i="17"/>
  <c r="I1" i="14"/>
  <c r="I1" i="15"/>
  <c r="I1" i="12"/>
  <c r="I1" i="18"/>
  <c r="I1" i="16"/>
  <c r="I1" i="11"/>
  <c r="I1" i="19"/>
  <c r="I1" i="20"/>
  <c r="Q89" i="10"/>
  <c r="Q71" i="10"/>
  <c r="I7" i="19" s="1"/>
  <c r="I1" i="13"/>
  <c r="Q79" i="10"/>
  <c r="I8" i="20" s="1"/>
  <c r="Q65" i="10"/>
  <c r="I8" i="18" s="1"/>
  <c r="Q48" i="10"/>
  <c r="I5" i="16" s="1"/>
  <c r="Q60" i="10"/>
  <c r="I3" i="18" s="1"/>
  <c r="Q61" i="10"/>
  <c r="I4" i="18" s="1"/>
  <c r="Q72" i="10"/>
  <c r="I8" i="19" s="1"/>
  <c r="R9" i="10"/>
  <c r="I1" i="21"/>
  <c r="I1" i="22"/>
  <c r="Q36" i="10"/>
  <c r="I7" i="14" s="1"/>
  <c r="Q74" i="10"/>
  <c r="I3" i="20" s="1"/>
  <c r="Q70" i="10"/>
  <c r="I6" i="19" s="1"/>
  <c r="Q90" i="10"/>
  <c r="Q18" i="10"/>
  <c r="I3" i="12" s="1"/>
  <c r="Q49" i="10"/>
  <c r="I6" i="16" s="1"/>
  <c r="Q44" i="10"/>
  <c r="I8" i="15" s="1"/>
  <c r="Q58" i="10"/>
  <c r="I8" i="17" s="1"/>
  <c r="Q46" i="10"/>
  <c r="I3" i="16" s="1"/>
  <c r="Q35" i="10"/>
  <c r="I6" i="14" s="1"/>
  <c r="Q73" i="10"/>
  <c r="I2" i="20" s="1"/>
  <c r="Q62" i="10"/>
  <c r="I5" i="18" s="1"/>
  <c r="Q57" i="10"/>
  <c r="I7" i="17" s="1"/>
  <c r="Q91" i="10"/>
  <c r="Q26" i="10"/>
  <c r="I4" i="13" s="1"/>
  <c r="Q75" i="10"/>
  <c r="I4" i="20" s="1"/>
  <c r="Q39" i="10"/>
  <c r="I3" i="15" s="1"/>
  <c r="Q87" i="10"/>
  <c r="Q63" i="10"/>
  <c r="I6" i="18" s="1"/>
  <c r="Q32" i="10"/>
  <c r="I3" i="14" s="1"/>
  <c r="Q33" i="10"/>
  <c r="I4" i="14" s="1"/>
  <c r="Q50" i="10"/>
  <c r="I7" i="16" s="1"/>
  <c r="Q59" i="10"/>
  <c r="I2" i="18" s="1"/>
  <c r="Q77" i="10"/>
  <c r="I6" i="20" s="1"/>
  <c r="Q56" i="10"/>
  <c r="I6" i="17" s="1"/>
  <c r="Q53" i="10"/>
  <c r="I3" i="17" s="1"/>
  <c r="Q64" i="10"/>
  <c r="I7" i="18" s="1"/>
  <c r="Q19" i="10"/>
  <c r="I4" i="12" s="1"/>
  <c r="Q38" i="10"/>
  <c r="I2" i="15" s="1"/>
  <c r="Q47" i="10"/>
  <c r="I4" i="16" s="1"/>
  <c r="Q40" i="10"/>
  <c r="I4" i="15" s="1"/>
  <c r="Q30" i="10"/>
  <c r="I8" i="13" s="1"/>
  <c r="Q37" i="10"/>
  <c r="I8" i="14" s="1"/>
  <c r="Q43" i="10"/>
  <c r="I7" i="15" s="1"/>
  <c r="Q41" i="10"/>
  <c r="I5" i="15" s="1"/>
  <c r="Q20" i="10"/>
  <c r="I5" i="12" s="1"/>
  <c r="Q93" i="10"/>
  <c r="Q22" i="10"/>
  <c r="I7" i="12" s="1"/>
  <c r="Q54" i="10"/>
  <c r="I4" i="17" s="1"/>
  <c r="Q92" i="10"/>
  <c r="Q78" i="10"/>
  <c r="I7" i="20" s="1"/>
  <c r="Q28" i="10"/>
  <c r="I6" i="13" s="1"/>
  <c r="Q25" i="10"/>
  <c r="I3" i="13" s="1"/>
  <c r="Q27" i="10"/>
  <c r="I5" i="13" s="1"/>
  <c r="Q42" i="10"/>
  <c r="I6" i="15" s="1"/>
  <c r="Q67" i="10"/>
  <c r="I3" i="19" s="1"/>
  <c r="Q69" i="10"/>
  <c r="I5" i="19" s="1"/>
  <c r="Q23" i="10"/>
  <c r="I8" i="12" s="1"/>
  <c r="Q45" i="10"/>
  <c r="I2" i="16" s="1"/>
  <c r="Q66" i="10"/>
  <c r="I2" i="19" s="1"/>
  <c r="Q88" i="10"/>
  <c r="Q51" i="10"/>
  <c r="I8" i="16" s="1"/>
  <c r="Q29" i="10"/>
  <c r="I7" i="13" s="1"/>
  <c r="Q76" i="10"/>
  <c r="I5" i="20" s="1"/>
  <c r="Q68" i="10"/>
  <c r="I4" i="19" s="1"/>
  <c r="Q34" i="10"/>
  <c r="I5" i="14" s="1"/>
  <c r="Q52" i="10"/>
  <c r="I2" i="17" s="1"/>
  <c r="AP22" i="7"/>
  <c r="AO40" i="7"/>
  <c r="AV40" i="7" s="1"/>
  <c r="AA52" i="7"/>
  <c r="AA26" i="7"/>
  <c r="AP44" i="7"/>
  <c r="AP31" i="7"/>
  <c r="AB38" i="7"/>
  <c r="AO50" i="7"/>
  <c r="AO12" i="7"/>
  <c r="Z19" i="7"/>
  <c r="AC19" i="7" s="1"/>
  <c r="AD19" i="7" s="1"/>
  <c r="AO47" i="7"/>
  <c r="AQ9" i="7"/>
  <c r="AT9" i="7"/>
  <c r="AS9" i="7"/>
  <c r="AR9" i="7"/>
  <c r="AC16" i="7"/>
  <c r="AD16" i="7" s="1"/>
  <c r="AT19" i="7"/>
  <c r="AR19" i="7"/>
  <c r="AS19" i="7"/>
  <c r="AQ19" i="7"/>
  <c r="AN34" i="7"/>
  <c r="AM34" i="7"/>
  <c r="E10" i="10"/>
  <c r="AO14" i="7"/>
  <c r="AO48" i="7"/>
  <c r="AM49" i="7"/>
  <c r="AP19" i="7"/>
  <c r="AM52" i="7"/>
  <c r="AC17" i="7"/>
  <c r="AD17" i="7" s="1"/>
  <c r="Z49" i="7"/>
  <c r="AP12" i="7"/>
  <c r="AC48" i="7"/>
  <c r="AD48" i="7" s="1"/>
  <c r="AP43" i="7"/>
  <c r="AM12" i="7"/>
  <c r="AQ15" i="7"/>
  <c r="AT15" i="7"/>
  <c r="AS15" i="7"/>
  <c r="AR15" i="7"/>
  <c r="AU15" i="7" s="1"/>
  <c r="AC53" i="7"/>
  <c r="AD53" i="7" s="1"/>
  <c r="AS6" i="7"/>
  <c r="E11" i="10" s="1"/>
  <c r="AQ6" i="7"/>
  <c r="E12" i="10" s="1"/>
  <c r="AR6" i="7"/>
  <c r="E13" i="10" s="1"/>
  <c r="AT6" i="7"/>
  <c r="E15" i="10" s="1"/>
  <c r="AP17" i="7"/>
  <c r="AB49" i="7"/>
  <c r="AM26" i="7"/>
  <c r="AO27" i="7"/>
  <c r="AP9" i="7"/>
  <c r="AC7" i="7"/>
  <c r="AD7" i="7" s="1"/>
  <c r="AN14" i="7"/>
  <c r="AM14" i="7"/>
  <c r="AO28" i="7"/>
  <c r="Z38" i="7"/>
  <c r="AP15" i="7"/>
  <c r="AP39" i="7"/>
  <c r="AM24" i="7"/>
  <c r="AP24" i="7" s="1"/>
  <c r="AB14" i="7"/>
  <c r="AC14" i="7" s="1"/>
  <c r="AD14" i="7" s="1"/>
  <c r="AP21" i="7"/>
  <c r="AM44" i="7"/>
  <c r="AC45" i="7"/>
  <c r="AD45" i="7" s="1"/>
  <c r="AP52" i="7"/>
  <c r="AP40" i="7"/>
  <c r="AQ17" i="7"/>
  <c r="AT17" i="7"/>
  <c r="AR17" i="7"/>
  <c r="AS17" i="7"/>
  <c r="AP47" i="7"/>
  <c r="AP11" i="7"/>
  <c r="AC44" i="7"/>
  <c r="AD44" i="7" s="1"/>
  <c r="AO6" i="7"/>
  <c r="AM8" i="7"/>
  <c r="AO34" i="7"/>
  <c r="AM50" i="7"/>
  <c r="AO16" i="7"/>
  <c r="AO30" i="7"/>
  <c r="AC35" i="7"/>
  <c r="AD35" i="7" s="1"/>
  <c r="AM18" i="7"/>
  <c r="AO18" i="7" s="1"/>
  <c r="AN18" i="7"/>
  <c r="AO22" i="7"/>
  <c r="AM38" i="7"/>
  <c r="AN38" i="7" s="1"/>
  <c r="AO43" i="7"/>
  <c r="AM29" i="7"/>
  <c r="AB21" i="7"/>
  <c r="AO51" i="7"/>
  <c r="AM25" i="7"/>
  <c r="AN25" i="7" s="1"/>
  <c r="AB40" i="7"/>
  <c r="AO15" i="7"/>
  <c r="AA40" i="7"/>
  <c r="AP41" i="7"/>
  <c r="AO8" i="7"/>
  <c r="AP26" i="7"/>
  <c r="AC6" i="7"/>
  <c r="AD6" i="7" s="1"/>
  <c r="AO25" i="7"/>
  <c r="AP35" i="7"/>
  <c r="AN27" i="7"/>
  <c r="AM27" i="7"/>
  <c r="AT28" i="7"/>
  <c r="AS28" i="7"/>
  <c r="AR28" i="7"/>
  <c r="AQ28" i="7"/>
  <c r="AU28" i="7" s="1"/>
  <c r="AN53" i="7"/>
  <c r="AM53" i="7"/>
  <c r="AP28" i="7"/>
  <c r="AM30" i="7"/>
  <c r="AN30" i="7" s="1"/>
  <c r="AQ47" i="7"/>
  <c r="AR47" i="7"/>
  <c r="AT47" i="7"/>
  <c r="AS47" i="7"/>
  <c r="AN47" i="7"/>
  <c r="AP14" i="7"/>
  <c r="AM42" i="7"/>
  <c r="AP51" i="7"/>
  <c r="AP18" i="7"/>
  <c r="AO21" i="7"/>
  <c r="AV21" i="7" s="1"/>
  <c r="AP16" i="7"/>
  <c r="AM39" i="7"/>
  <c r="AM33" i="7"/>
  <c r="AM20" i="7"/>
  <c r="AC27" i="7"/>
  <c r="AD27" i="7" s="1"/>
  <c r="AM16" i="7"/>
  <c r="AN16" i="7" s="1"/>
  <c r="AA21" i="7"/>
  <c r="AC21" i="7" s="1"/>
  <c r="AD21" i="7" s="1"/>
  <c r="AC30" i="7"/>
  <c r="AD30" i="7" s="1"/>
  <c r="AM23" i="7"/>
  <c r="AP23" i="7" s="1"/>
  <c r="AC47" i="7"/>
  <c r="AD47" i="7" s="1"/>
  <c r="AO46" i="7"/>
  <c r="AM31" i="7"/>
  <c r="AC34" i="7"/>
  <c r="AD34" i="7" s="1"/>
  <c r="AM11" i="7"/>
  <c r="Z37" i="7"/>
  <c r="AC37" i="7" s="1"/>
  <c r="AD37" i="7" s="1"/>
  <c r="AM35" i="7"/>
  <c r="AM10" i="7"/>
  <c r="Z52" i="7"/>
  <c r="AC52" i="7" s="1"/>
  <c r="AD52" i="7" s="1"/>
  <c r="AM7" i="7"/>
  <c r="AP53" i="7"/>
  <c r="AM13" i="7"/>
  <c r="AO13" i="7" s="1"/>
  <c r="Q55" i="10"/>
  <c r="I5" i="17" s="1"/>
  <c r="AO9" i="7"/>
  <c r="AM32" i="7"/>
  <c r="AP32" i="7" s="1"/>
  <c r="AM45" i="7"/>
  <c r="AN45" i="7" s="1"/>
  <c r="AP48" i="7"/>
  <c r="AM36" i="7"/>
  <c r="AC31" i="7"/>
  <c r="AD31" i="7" s="1"/>
  <c r="AP25" i="7"/>
  <c r="Z26" i="7"/>
  <c r="AC26" i="7" s="1"/>
  <c r="AD26" i="7" s="1"/>
  <c r="AV13" i="7" l="1"/>
  <c r="AU25" i="7"/>
  <c r="AS36" i="7"/>
  <c r="AR36" i="7"/>
  <c r="AT36" i="7"/>
  <c r="AQ36" i="7"/>
  <c r="F13" i="10"/>
  <c r="F83" i="10" s="1"/>
  <c r="I13" i="10"/>
  <c r="G13" i="10"/>
  <c r="E83" i="10"/>
  <c r="AT20" i="7"/>
  <c r="AR20" i="7"/>
  <c r="AS20" i="7"/>
  <c r="AQ20" i="7"/>
  <c r="AN20" i="7"/>
  <c r="AO20" i="7"/>
  <c r="AV20" i="7" s="1"/>
  <c r="AR29" i="7"/>
  <c r="AQ29" i="7"/>
  <c r="AT29" i="7"/>
  <c r="AS29" i="7"/>
  <c r="AN29" i="7"/>
  <c r="AU29" i="7" s="1"/>
  <c r="AT33" i="7"/>
  <c r="AS33" i="7"/>
  <c r="AR33" i="7"/>
  <c r="AQ33" i="7"/>
  <c r="AO33" i="7"/>
  <c r="AW47" i="7"/>
  <c r="AW9" i="7"/>
  <c r="AW6" i="7"/>
  <c r="E16" i="10"/>
  <c r="AN33" i="7"/>
  <c r="AV27" i="7"/>
  <c r="AQ52" i="7"/>
  <c r="AS52" i="7"/>
  <c r="AT52" i="7"/>
  <c r="AR52" i="7"/>
  <c r="AV47" i="7"/>
  <c r="AO29" i="7"/>
  <c r="AO38" i="7"/>
  <c r="AV38" i="7" s="1"/>
  <c r="AU14" i="7"/>
  <c r="AT10" i="7"/>
  <c r="AS10" i="7"/>
  <c r="AR10" i="7"/>
  <c r="AQ10" i="7"/>
  <c r="AQ7" i="7"/>
  <c r="AS7" i="7"/>
  <c r="AR7" i="7"/>
  <c r="AT7" i="7"/>
  <c r="AT37" i="7"/>
  <c r="AS37" i="7"/>
  <c r="AR37" i="7"/>
  <c r="AQ37" i="7"/>
  <c r="AC49" i="7"/>
  <c r="AD49" i="7" s="1"/>
  <c r="AV43" i="7"/>
  <c r="AP45" i="7"/>
  <c r="AN10" i="7"/>
  <c r="AT35" i="7"/>
  <c r="AS35" i="7"/>
  <c r="AR35" i="7"/>
  <c r="AQ35" i="7"/>
  <c r="AO35" i="7"/>
  <c r="AV35" i="7" s="1"/>
  <c r="AT39" i="7"/>
  <c r="AW39" i="7" s="1"/>
  <c r="AS39" i="7"/>
  <c r="AR39" i="7"/>
  <c r="AQ39" i="7"/>
  <c r="AO39" i="7"/>
  <c r="AP33" i="7"/>
  <c r="AT26" i="7"/>
  <c r="AS26" i="7"/>
  <c r="AR26" i="7"/>
  <c r="AQ26" i="7"/>
  <c r="AN52" i="7"/>
  <c r="AO23" i="7"/>
  <c r="AN35" i="7"/>
  <c r="AN39" i="7"/>
  <c r="AR27" i="7"/>
  <c r="AQ27" i="7"/>
  <c r="AS27" i="7"/>
  <c r="AT27" i="7"/>
  <c r="AP27" i="7"/>
  <c r="AW27" i="7" s="1"/>
  <c r="AN26" i="7"/>
  <c r="AW26" i="7" s="1"/>
  <c r="AW19" i="7"/>
  <c r="AV12" i="7"/>
  <c r="AO52" i="7"/>
  <c r="AV52" i="7" s="1"/>
  <c r="AU43" i="7"/>
  <c r="AS38" i="7"/>
  <c r="AR38" i="7"/>
  <c r="AT38" i="7"/>
  <c r="AQ38" i="7"/>
  <c r="AS49" i="7"/>
  <c r="AR49" i="7"/>
  <c r="AT49" i="7"/>
  <c r="AQ49" i="7"/>
  <c r="AN49" i="7"/>
  <c r="AN36" i="7"/>
  <c r="AT11" i="7"/>
  <c r="AS11" i="7"/>
  <c r="AR11" i="7"/>
  <c r="AQ11" i="7"/>
  <c r="AV22" i="7"/>
  <c r="AW40" i="7"/>
  <c r="AW17" i="7"/>
  <c r="AO45" i="7"/>
  <c r="AV45" i="7" s="1"/>
  <c r="AP20" i="7"/>
  <c r="AW48" i="7"/>
  <c r="AN11" i="7"/>
  <c r="AP13" i="7"/>
  <c r="AP37" i="7"/>
  <c r="AV19" i="7"/>
  <c r="AP10" i="7"/>
  <c r="I15" i="10"/>
  <c r="E85" i="10"/>
  <c r="F15" i="10"/>
  <c r="F85" i="10" s="1"/>
  <c r="AV48" i="7"/>
  <c r="AT31" i="7"/>
  <c r="AS31" i="7"/>
  <c r="AR31" i="7"/>
  <c r="AQ31" i="7"/>
  <c r="AN31" i="7"/>
  <c r="AO31" i="7"/>
  <c r="AV31" i="7" s="1"/>
  <c r="E82" i="10"/>
  <c r="F12" i="10"/>
  <c r="F82" i="10" s="1"/>
  <c r="I12" i="10"/>
  <c r="J1" i="22"/>
  <c r="J1" i="20"/>
  <c r="J1" i="17"/>
  <c r="J1" i="18"/>
  <c r="J1" i="15"/>
  <c r="R89" i="10"/>
  <c r="J1" i="14"/>
  <c r="J1" i="21"/>
  <c r="J1" i="11"/>
  <c r="J1" i="12"/>
  <c r="J1" i="16"/>
  <c r="R44" i="10"/>
  <c r="J8" i="15" s="1"/>
  <c r="R91" i="10"/>
  <c r="R39" i="10"/>
  <c r="J3" i="15" s="1"/>
  <c r="J1" i="19"/>
  <c r="R60" i="10"/>
  <c r="J3" i="18" s="1"/>
  <c r="J1" i="13"/>
  <c r="R61" i="10"/>
  <c r="J4" i="18" s="1"/>
  <c r="R62" i="10"/>
  <c r="J5" i="18" s="1"/>
  <c r="R79" i="10"/>
  <c r="J8" i="20" s="1"/>
  <c r="R63" i="10"/>
  <c r="J6" i="18" s="1"/>
  <c r="R59" i="10"/>
  <c r="J2" i="18" s="1"/>
  <c r="R72" i="10"/>
  <c r="J8" i="19" s="1"/>
  <c r="R47" i="10"/>
  <c r="J4" i="16" s="1"/>
  <c r="R78" i="10"/>
  <c r="J7" i="20" s="1"/>
  <c r="R70" i="10"/>
  <c r="J6" i="19" s="1"/>
  <c r="R48" i="10"/>
  <c r="J5" i="16" s="1"/>
  <c r="R29" i="10"/>
  <c r="J7" i="13" s="1"/>
  <c r="R64" i="10"/>
  <c r="J7" i="18" s="1"/>
  <c r="R65" i="10"/>
  <c r="J8" i="18" s="1"/>
  <c r="R90" i="10"/>
  <c r="S9" i="10"/>
  <c r="R67" i="10"/>
  <c r="J3" i="19" s="1"/>
  <c r="R32" i="10"/>
  <c r="J3" i="14" s="1"/>
  <c r="R75" i="10"/>
  <c r="J4" i="20" s="1"/>
  <c r="R18" i="10"/>
  <c r="J3" i="12" s="1"/>
  <c r="R53" i="10"/>
  <c r="J3" i="17" s="1"/>
  <c r="R33" i="10"/>
  <c r="J4" i="14" s="1"/>
  <c r="R36" i="10"/>
  <c r="J7" i="14" s="1"/>
  <c r="R71" i="10"/>
  <c r="J7" i="19" s="1"/>
  <c r="R40" i="10"/>
  <c r="J4" i="15" s="1"/>
  <c r="R42" i="10"/>
  <c r="J6" i="15" s="1"/>
  <c r="R28" i="10"/>
  <c r="J6" i="13" s="1"/>
  <c r="R57" i="10"/>
  <c r="J7" i="17" s="1"/>
  <c r="R74" i="10"/>
  <c r="J3" i="20" s="1"/>
  <c r="R38" i="10"/>
  <c r="J2" i="15" s="1"/>
  <c r="R92" i="10"/>
  <c r="R46" i="10"/>
  <c r="J3" i="16" s="1"/>
  <c r="R73" i="10"/>
  <c r="J2" i="20" s="1"/>
  <c r="R20" i="10"/>
  <c r="J5" i="12" s="1"/>
  <c r="R27" i="10"/>
  <c r="J5" i="13" s="1"/>
  <c r="R37" i="10"/>
  <c r="J8" i="14" s="1"/>
  <c r="R51" i="10"/>
  <c r="J8" i="16" s="1"/>
  <c r="R50" i="10"/>
  <c r="J7" i="16" s="1"/>
  <c r="R34" i="10"/>
  <c r="J5" i="14" s="1"/>
  <c r="R56" i="10"/>
  <c r="J6" i="17" s="1"/>
  <c r="R19" i="10"/>
  <c r="J4" i="12" s="1"/>
  <c r="R45" i="10"/>
  <c r="J2" i="16" s="1"/>
  <c r="R93" i="10"/>
  <c r="R25" i="10"/>
  <c r="J3" i="13" s="1"/>
  <c r="R22" i="10"/>
  <c r="J7" i="12" s="1"/>
  <c r="R35" i="10"/>
  <c r="J6" i="14" s="1"/>
  <c r="R23" i="10"/>
  <c r="J8" i="12" s="1"/>
  <c r="R30" i="10"/>
  <c r="J8" i="13" s="1"/>
  <c r="R68" i="10"/>
  <c r="J4" i="19" s="1"/>
  <c r="R54" i="10"/>
  <c r="J4" i="17" s="1"/>
  <c r="R58" i="10"/>
  <c r="J8" i="17" s="1"/>
  <c r="R66" i="10"/>
  <c r="J2" i="19" s="1"/>
  <c r="R43" i="10"/>
  <c r="J7" i="15" s="1"/>
  <c r="R69" i="10"/>
  <c r="J5" i="19" s="1"/>
  <c r="R76" i="10"/>
  <c r="J5" i="20" s="1"/>
  <c r="R41" i="10"/>
  <c r="J5" i="15" s="1"/>
  <c r="R49" i="10"/>
  <c r="J6" i="16" s="1"/>
  <c r="R26" i="10"/>
  <c r="J4" i="13" s="1"/>
  <c r="R87" i="10"/>
  <c r="R77" i="10"/>
  <c r="J6" i="20" s="1"/>
  <c r="R88" i="10"/>
  <c r="R52" i="10"/>
  <c r="J2" i="17" s="1"/>
  <c r="R55" i="10"/>
  <c r="J5" i="17" s="1"/>
  <c r="AQ32" i="7"/>
  <c r="AT32" i="7"/>
  <c r="AW32" i="7" s="1"/>
  <c r="AS32" i="7"/>
  <c r="AR32" i="7"/>
  <c r="AT42" i="7"/>
  <c r="AQ42" i="7"/>
  <c r="AR42" i="7"/>
  <c r="AS42" i="7"/>
  <c r="AP42" i="7"/>
  <c r="AN42" i="7"/>
  <c r="AU42" i="7" s="1"/>
  <c r="E81" i="10"/>
  <c r="I11" i="10"/>
  <c r="F11" i="10"/>
  <c r="F81" i="10" s="1"/>
  <c r="G11" i="10"/>
  <c r="AU6" i="7"/>
  <c r="AX6" i="7" s="1"/>
  <c r="AY6" i="7" s="1"/>
  <c r="AQ46" i="7"/>
  <c r="AS46" i="7"/>
  <c r="AR46" i="7"/>
  <c r="AT46" i="7"/>
  <c r="AW51" i="7"/>
  <c r="AV25" i="7"/>
  <c r="AQ18" i="7"/>
  <c r="AV18" i="7" s="1"/>
  <c r="AR18" i="7"/>
  <c r="AT18" i="7"/>
  <c r="AS18" i="7"/>
  <c r="AT44" i="7"/>
  <c r="AQ44" i="7"/>
  <c r="AR44" i="7"/>
  <c r="AS44" i="7"/>
  <c r="AO44" i="7"/>
  <c r="AV44" i="7" s="1"/>
  <c r="E80" i="10"/>
  <c r="J10" i="10"/>
  <c r="B2" i="11" s="1"/>
  <c r="G10" i="10"/>
  <c r="AO42" i="7"/>
  <c r="AU40" i="7"/>
  <c r="AN32" i="7"/>
  <c r="AO32" i="7"/>
  <c r="AN44" i="7"/>
  <c r="AW44" i="7" s="1"/>
  <c r="AV9" i="7"/>
  <c r="AU47" i="7"/>
  <c r="AX47" i="7" s="1"/>
  <c r="AY47" i="7" s="1"/>
  <c r="AV8" i="7"/>
  <c r="AV30" i="7"/>
  <c r="AW21" i="7"/>
  <c r="AP36" i="7"/>
  <c r="AR34" i="7"/>
  <c r="AT34" i="7"/>
  <c r="AQ34" i="7"/>
  <c r="AS34" i="7"/>
  <c r="AN46" i="7"/>
  <c r="AV46" i="7" s="1"/>
  <c r="AR45" i="7"/>
  <c r="AS45" i="7"/>
  <c r="AQ45" i="7"/>
  <c r="AT45" i="7"/>
  <c r="AO36" i="7"/>
  <c r="AP29" i="7"/>
  <c r="AR12" i="7"/>
  <c r="AS12" i="7"/>
  <c r="AQ12" i="7"/>
  <c r="AW12" i="7" s="1"/>
  <c r="AT12" i="7"/>
  <c r="AO7" i="7"/>
  <c r="AV7" i="7" s="1"/>
  <c r="AU9" i="7"/>
  <c r="AX9" i="7" s="1"/>
  <c r="AY9" i="7" s="1"/>
  <c r="AV15" i="7"/>
  <c r="AX15" i="7" s="1"/>
  <c r="AY15" i="7" s="1"/>
  <c r="AQ8" i="7"/>
  <c r="AT8" i="7"/>
  <c r="AR8" i="7"/>
  <c r="AS8" i="7"/>
  <c r="AP8" i="7"/>
  <c r="AW15" i="7"/>
  <c r="AP46" i="7"/>
  <c r="AW46" i="7" s="1"/>
  <c r="AC38" i="7"/>
  <c r="AD38" i="7" s="1"/>
  <c r="AN12" i="7"/>
  <c r="AW28" i="7"/>
  <c r="AV6" i="7"/>
  <c r="E14" i="10"/>
  <c r="AV28" i="7"/>
  <c r="AX28" i="7" s="1"/>
  <c r="AY28" i="7" s="1"/>
  <c r="AW43" i="7"/>
  <c r="AU22" i="7"/>
  <c r="AV14" i="7"/>
  <c r="AR23" i="7"/>
  <c r="AW23" i="7" s="1"/>
  <c r="AT23" i="7"/>
  <c r="AQ23" i="7"/>
  <c r="AS23" i="7"/>
  <c r="AX48" i="7"/>
  <c r="AY48" i="7" s="1"/>
  <c r="AQ13" i="7"/>
  <c r="AS13" i="7"/>
  <c r="AR13" i="7"/>
  <c r="AT13" i="7"/>
  <c r="AN23" i="7"/>
  <c r="AQ50" i="7"/>
  <c r="AS50" i="7"/>
  <c r="AT50" i="7"/>
  <c r="AR50" i="7"/>
  <c r="AN50" i="7"/>
  <c r="AP50" i="7"/>
  <c r="AW50" i="7" s="1"/>
  <c r="AT24" i="7"/>
  <c r="AS24" i="7"/>
  <c r="AQ24" i="7"/>
  <c r="AR24" i="7"/>
  <c r="AN24" i="7"/>
  <c r="AU24" i="7" s="1"/>
  <c r="AO37" i="7"/>
  <c r="AV37" i="7" s="1"/>
  <c r="AO49" i="7"/>
  <c r="AV49" i="7" s="1"/>
  <c r="AN13" i="7"/>
  <c r="AP38" i="7"/>
  <c r="AW22" i="7"/>
  <c r="AU17" i="7"/>
  <c r="AU21" i="7"/>
  <c r="AX21" i="7" s="1"/>
  <c r="AY21" i="7" s="1"/>
  <c r="AP7" i="7"/>
  <c r="AO11" i="7"/>
  <c r="AV11" i="7" s="1"/>
  <c r="AO26" i="7"/>
  <c r="AS30" i="7"/>
  <c r="AR30" i="7"/>
  <c r="AQ30" i="7"/>
  <c r="AT30" i="7"/>
  <c r="AP30" i="7"/>
  <c r="AW30" i="7" s="1"/>
  <c r="AN8" i="7"/>
  <c r="AP34" i="7"/>
  <c r="AW34" i="7" s="1"/>
  <c r="AO10" i="7"/>
  <c r="AQ16" i="7"/>
  <c r="AW16" i="7" s="1"/>
  <c r="AT16" i="7"/>
  <c r="AR16" i="7"/>
  <c r="AS16" i="7"/>
  <c r="AR25" i="7"/>
  <c r="AT25" i="7"/>
  <c r="AS25" i="7"/>
  <c r="AQ25" i="7"/>
  <c r="AW25" i="7" s="1"/>
  <c r="AO24" i="7"/>
  <c r="AN7" i="7"/>
  <c r="AP49" i="7"/>
  <c r="AR53" i="7"/>
  <c r="AQ53" i="7"/>
  <c r="AU53" i="7" s="1"/>
  <c r="AS53" i="7"/>
  <c r="AT53" i="7"/>
  <c r="AO53" i="7"/>
  <c r="AW53" i="7" s="1"/>
  <c r="AV51" i="7"/>
  <c r="AX51" i="7" s="1"/>
  <c r="AY51" i="7" s="1"/>
  <c r="AQ14" i="7"/>
  <c r="AW14" i="7" s="1"/>
  <c r="AT14" i="7"/>
  <c r="AR14" i="7"/>
  <c r="AS14" i="7"/>
  <c r="AR41" i="7"/>
  <c r="AQ41" i="7"/>
  <c r="AT41" i="7"/>
  <c r="AS41" i="7"/>
  <c r="AO41" i="7"/>
  <c r="AV41" i="7" s="1"/>
  <c r="AU19" i="7"/>
  <c r="G81" i="10" l="1"/>
  <c r="I81" i="10"/>
  <c r="AU33" i="7"/>
  <c r="AW49" i="7"/>
  <c r="AW10" i="7"/>
  <c r="E86" i="10"/>
  <c r="I16" i="10"/>
  <c r="F16" i="10"/>
  <c r="F86" i="10" s="1"/>
  <c r="G16" i="10"/>
  <c r="O13" i="10"/>
  <c r="G5" i="11" s="1"/>
  <c r="J13" i="10"/>
  <c r="B5" i="11" s="1"/>
  <c r="S13" i="10"/>
  <c r="K5" i="11" s="1"/>
  <c r="R13" i="10"/>
  <c r="J5" i="11" s="1"/>
  <c r="K13" i="10"/>
  <c r="C5" i="11" s="1"/>
  <c r="M13" i="10"/>
  <c r="E5" i="11" s="1"/>
  <c r="L13" i="10"/>
  <c r="D5" i="11" s="1"/>
  <c r="N13" i="10"/>
  <c r="F5" i="11" s="1"/>
  <c r="Q13" i="10"/>
  <c r="I5" i="11" s="1"/>
  <c r="P13" i="10"/>
  <c r="H5" i="11" s="1"/>
  <c r="AU7" i="7"/>
  <c r="AX7" i="7" s="1"/>
  <c r="AY7" i="7" s="1"/>
  <c r="AW31" i="7"/>
  <c r="AW7" i="7"/>
  <c r="AX17" i="7"/>
  <c r="AY17" i="7" s="1"/>
  <c r="AW8" i="7"/>
  <c r="AV24" i="7"/>
  <c r="AX24" i="7" s="1"/>
  <c r="AY24" i="7" s="1"/>
  <c r="AW37" i="7"/>
  <c r="AW33" i="7"/>
  <c r="I82" i="10"/>
  <c r="G82" i="10"/>
  <c r="AU18" i="7"/>
  <c r="I83" i="10"/>
  <c r="G83" i="10"/>
  <c r="AV34" i="7"/>
  <c r="AU34" i="7"/>
  <c r="AU11" i="7"/>
  <c r="AV33" i="7"/>
  <c r="AU27" i="7"/>
  <c r="AX27" i="7" s="1"/>
  <c r="AY27" i="7" s="1"/>
  <c r="AU23" i="7"/>
  <c r="G85" i="10"/>
  <c r="I85" i="10"/>
  <c r="AU46" i="7"/>
  <c r="AX46" i="7" s="1"/>
  <c r="AY46" i="7" s="1"/>
  <c r="AW42" i="7"/>
  <c r="AX42" i="7" s="1"/>
  <c r="AY42" i="7" s="1"/>
  <c r="AW13" i="7"/>
  <c r="AV39" i="7"/>
  <c r="AW38" i="7"/>
  <c r="AW36" i="7"/>
  <c r="AX19" i="7"/>
  <c r="AY19" i="7" s="1"/>
  <c r="AU13" i="7"/>
  <c r="AX13" i="7" s="1"/>
  <c r="AY13" i="7" s="1"/>
  <c r="AW20" i="7"/>
  <c r="AX43" i="7"/>
  <c r="AY43" i="7" s="1"/>
  <c r="AX25" i="7"/>
  <c r="AY25" i="7" s="1"/>
  <c r="AU10" i="7"/>
  <c r="AV16" i="7"/>
  <c r="AW45" i="7"/>
  <c r="J14" i="10"/>
  <c r="B6" i="11" s="1"/>
  <c r="F14" i="10"/>
  <c r="F84" i="10" s="1"/>
  <c r="E84" i="10"/>
  <c r="G14" i="10"/>
  <c r="AU20" i="7"/>
  <c r="AX20" i="7" s="1"/>
  <c r="AY20" i="7" s="1"/>
  <c r="AU38" i="7"/>
  <c r="AX38" i="7" s="1"/>
  <c r="AY38" i="7" s="1"/>
  <c r="AW11" i="7"/>
  <c r="AU44" i="7"/>
  <c r="AX44" i="7" s="1"/>
  <c r="AY44" i="7" s="1"/>
  <c r="AX14" i="7"/>
  <c r="AY14" i="7" s="1"/>
  <c r="AU45" i="7"/>
  <c r="AX45" i="7" s="1"/>
  <c r="AY45" i="7" s="1"/>
  <c r="AU8" i="7"/>
  <c r="AX8" i="7" s="1"/>
  <c r="AY8" i="7" s="1"/>
  <c r="AU32" i="7"/>
  <c r="AX32" i="7" s="1"/>
  <c r="AY32" i="7" s="1"/>
  <c r="AU37" i="7"/>
  <c r="AU50" i="7"/>
  <c r="AX50" i="7" s="1"/>
  <c r="AY50" i="7" s="1"/>
  <c r="AW41" i="7"/>
  <c r="AV36" i="7"/>
  <c r="AV42" i="7"/>
  <c r="AU36" i="7"/>
  <c r="AU39" i="7"/>
  <c r="G12" i="10"/>
  <c r="K1" i="22"/>
  <c r="K1" i="20"/>
  <c r="K1" i="21"/>
  <c r="S90" i="10"/>
  <c r="S75" i="10"/>
  <c r="K4" i="20" s="1"/>
  <c r="K1" i="11"/>
  <c r="K1" i="16"/>
  <c r="K1" i="13"/>
  <c r="K1" i="18"/>
  <c r="S89" i="10"/>
  <c r="K1" i="14"/>
  <c r="S61" i="10"/>
  <c r="K4" i="18" s="1"/>
  <c r="K1" i="15"/>
  <c r="S72" i="10"/>
  <c r="K8" i="19" s="1"/>
  <c r="S91" i="10"/>
  <c r="K1" i="12"/>
  <c r="K1" i="17"/>
  <c r="S74" i="10"/>
  <c r="K3" i="20" s="1"/>
  <c r="S78" i="10"/>
  <c r="K7" i="20" s="1"/>
  <c r="S29" i="10"/>
  <c r="K7" i="13" s="1"/>
  <c r="S26" i="10"/>
  <c r="K4" i="13" s="1"/>
  <c r="S18" i="10"/>
  <c r="K3" i="12" s="1"/>
  <c r="S64" i="10"/>
  <c r="K7" i="18" s="1"/>
  <c r="S49" i="10"/>
  <c r="K6" i="16" s="1"/>
  <c r="S44" i="10"/>
  <c r="K8" i="15" s="1"/>
  <c r="S58" i="10"/>
  <c r="K8" i="17" s="1"/>
  <c r="S39" i="10"/>
  <c r="K3" i="15" s="1"/>
  <c r="K1" i="19"/>
  <c r="S36" i="10"/>
  <c r="K7" i="14" s="1"/>
  <c r="S87" i="10"/>
  <c r="S40" i="10"/>
  <c r="K4" i="15" s="1"/>
  <c r="S47" i="10"/>
  <c r="K4" i="16" s="1"/>
  <c r="S46" i="10"/>
  <c r="K3" i="16" s="1"/>
  <c r="S59" i="10"/>
  <c r="K2" i="18" s="1"/>
  <c r="S32" i="10"/>
  <c r="K3" i="14" s="1"/>
  <c r="S79" i="10"/>
  <c r="K8" i="20" s="1"/>
  <c r="S51" i="10"/>
  <c r="K8" i="16" s="1"/>
  <c r="S33" i="10"/>
  <c r="K4" i="14" s="1"/>
  <c r="T9" i="10"/>
  <c r="T13" i="10" s="1"/>
  <c r="L5" i="11" s="1"/>
  <c r="S35" i="10"/>
  <c r="K6" i="14" s="1"/>
  <c r="S71" i="10"/>
  <c r="K7" i="19" s="1"/>
  <c r="S50" i="10"/>
  <c r="K7" i="16" s="1"/>
  <c r="S54" i="10"/>
  <c r="K4" i="17" s="1"/>
  <c r="S42" i="10"/>
  <c r="K6" i="15" s="1"/>
  <c r="S70" i="10"/>
  <c r="K6" i="19" s="1"/>
  <c r="S73" i="10"/>
  <c r="K2" i="20" s="1"/>
  <c r="S53" i="10"/>
  <c r="K3" i="17" s="1"/>
  <c r="S65" i="10"/>
  <c r="K8" i="18" s="1"/>
  <c r="S93" i="10"/>
  <c r="S60" i="10"/>
  <c r="K3" i="18" s="1"/>
  <c r="S45" i="10"/>
  <c r="K2" i="16" s="1"/>
  <c r="S63" i="10"/>
  <c r="K6" i="18" s="1"/>
  <c r="S23" i="10"/>
  <c r="K8" i="12" s="1"/>
  <c r="S37" i="10"/>
  <c r="K8" i="14" s="1"/>
  <c r="S68" i="10"/>
  <c r="K4" i="19" s="1"/>
  <c r="S48" i="10"/>
  <c r="K5" i="16" s="1"/>
  <c r="S19" i="10"/>
  <c r="K4" i="12" s="1"/>
  <c r="S66" i="10"/>
  <c r="K2" i="19" s="1"/>
  <c r="S41" i="10"/>
  <c r="K5" i="15" s="1"/>
  <c r="S30" i="10"/>
  <c r="K8" i="13" s="1"/>
  <c r="S38" i="10"/>
  <c r="K2" i="15" s="1"/>
  <c r="S25" i="10"/>
  <c r="K3" i="13" s="1"/>
  <c r="S56" i="10"/>
  <c r="K6" i="17" s="1"/>
  <c r="S76" i="10"/>
  <c r="K5" i="20" s="1"/>
  <c r="S92" i="10"/>
  <c r="S20" i="10"/>
  <c r="K5" i="12" s="1"/>
  <c r="S27" i="10"/>
  <c r="K5" i="13" s="1"/>
  <c r="S69" i="10"/>
  <c r="K5" i="19" s="1"/>
  <c r="S28" i="10"/>
  <c r="K6" i="13" s="1"/>
  <c r="S57" i="10"/>
  <c r="K7" i="17" s="1"/>
  <c r="S43" i="10"/>
  <c r="K7" i="15" s="1"/>
  <c r="S22" i="10"/>
  <c r="K7" i="12" s="1"/>
  <c r="S67" i="10"/>
  <c r="K3" i="19" s="1"/>
  <c r="S77" i="10"/>
  <c r="K6" i="20" s="1"/>
  <c r="S34" i="10"/>
  <c r="K5" i="14" s="1"/>
  <c r="S62" i="10"/>
  <c r="K5" i="18" s="1"/>
  <c r="S88" i="10"/>
  <c r="S52" i="10"/>
  <c r="K2" i="17" s="1"/>
  <c r="S55" i="10"/>
  <c r="K5" i="17" s="1"/>
  <c r="AV29" i="7"/>
  <c r="AV50" i="7"/>
  <c r="AU35" i="7"/>
  <c r="AU16" i="7"/>
  <c r="AX29" i="7"/>
  <c r="AY29" i="7" s="1"/>
  <c r="AW52" i="7"/>
  <c r="AW18" i="7"/>
  <c r="AX22" i="7"/>
  <c r="AY22" i="7" s="1"/>
  <c r="AW35" i="7"/>
  <c r="AX40" i="7"/>
  <c r="AY40" i="7" s="1"/>
  <c r="M11" i="10"/>
  <c r="E3" i="11" s="1"/>
  <c r="N11" i="10"/>
  <c r="F3" i="11" s="1"/>
  <c r="R11" i="10"/>
  <c r="J3" i="11" s="1"/>
  <c r="Q11" i="10"/>
  <c r="I3" i="11" s="1"/>
  <c r="T11" i="10"/>
  <c r="L3" i="11" s="1"/>
  <c r="S11" i="10"/>
  <c r="K3" i="11" s="1"/>
  <c r="P11" i="10"/>
  <c r="H3" i="11" s="1"/>
  <c r="J11" i="10"/>
  <c r="B3" i="11" s="1"/>
  <c r="O11" i="10"/>
  <c r="G3" i="11" s="1"/>
  <c r="K11" i="10"/>
  <c r="C3" i="11" s="1"/>
  <c r="L11" i="10"/>
  <c r="D3" i="11" s="1"/>
  <c r="AU49" i="7"/>
  <c r="AX49" i="7" s="1"/>
  <c r="AY49" i="7" s="1"/>
  <c r="AV23" i="7"/>
  <c r="AW24" i="7"/>
  <c r="AU26" i="7"/>
  <c r="AX26" i="7" s="1"/>
  <c r="AY26" i="7" s="1"/>
  <c r="AV10" i="7"/>
  <c r="AU31" i="7"/>
  <c r="AX31" i="7" s="1"/>
  <c r="AY31" i="7" s="1"/>
  <c r="AU41" i="7"/>
  <c r="AV32" i="7"/>
  <c r="AW29" i="7"/>
  <c r="AU30" i="7"/>
  <c r="AX30" i="7" s="1"/>
  <c r="AY30" i="7" s="1"/>
  <c r="AV53" i="7"/>
  <c r="AX53" i="7" s="1"/>
  <c r="AY53" i="7" s="1"/>
  <c r="AV26" i="7"/>
  <c r="AU12" i="7"/>
  <c r="AX12" i="7" s="1"/>
  <c r="AY12" i="7" s="1"/>
  <c r="G80" i="10"/>
  <c r="I80" i="10"/>
  <c r="J80" i="10"/>
  <c r="B2" i="21" s="1"/>
  <c r="G15" i="10"/>
  <c r="AU52" i="7"/>
  <c r="AX52" i="7" s="1"/>
  <c r="AY52" i="7" s="1"/>
  <c r="AX37" i="7" l="1"/>
  <c r="AY37" i="7" s="1"/>
  <c r="N85" i="10"/>
  <c r="F7" i="21" s="1"/>
  <c r="M85" i="10"/>
  <c r="E7" i="21" s="1"/>
  <c r="P85" i="10"/>
  <c r="H7" i="21" s="1"/>
  <c r="O85" i="10"/>
  <c r="G7" i="21" s="1"/>
  <c r="L85" i="10"/>
  <c r="D7" i="21" s="1"/>
  <c r="U85" i="10"/>
  <c r="M7" i="21" s="1"/>
  <c r="Q85" i="10"/>
  <c r="I7" i="21" s="1"/>
  <c r="K85" i="10"/>
  <c r="C7" i="21" s="1"/>
  <c r="J85" i="10"/>
  <c r="B7" i="21" s="1"/>
  <c r="T85" i="10"/>
  <c r="L7" i="21" s="1"/>
  <c r="S85" i="10"/>
  <c r="K7" i="21" s="1"/>
  <c r="R85" i="10"/>
  <c r="J7" i="21" s="1"/>
  <c r="AX23" i="7"/>
  <c r="AY23" i="7" s="1"/>
  <c r="J84" i="10"/>
  <c r="B6" i="21" s="1"/>
  <c r="I84" i="10"/>
  <c r="G84" i="10"/>
  <c r="K16" i="10"/>
  <c r="C8" i="11" s="1"/>
  <c r="O16" i="10"/>
  <c r="G8" i="11" s="1"/>
  <c r="N16" i="10"/>
  <c r="F8" i="11" s="1"/>
  <c r="T16" i="10"/>
  <c r="L8" i="11" s="1"/>
  <c r="R16" i="10"/>
  <c r="J8" i="11" s="1"/>
  <c r="Q16" i="10"/>
  <c r="I8" i="11" s="1"/>
  <c r="P16" i="10"/>
  <c r="H8" i="11" s="1"/>
  <c r="S16" i="10"/>
  <c r="K8" i="11" s="1"/>
  <c r="M16" i="10"/>
  <c r="E8" i="11" s="1"/>
  <c r="J16" i="10"/>
  <c r="B8" i="11" s="1"/>
  <c r="L16" i="10"/>
  <c r="D8" i="11" s="1"/>
  <c r="AX11" i="7"/>
  <c r="AY11" i="7" s="1"/>
  <c r="AX34" i="7"/>
  <c r="AY34" i="7" s="1"/>
  <c r="G86" i="10"/>
  <c r="I86" i="10"/>
  <c r="AX10" i="7"/>
  <c r="AY10" i="7" s="1"/>
  <c r="J83" i="10"/>
  <c r="B5" i="21" s="1"/>
  <c r="R83" i="10"/>
  <c r="J5" i="21" s="1"/>
  <c r="O83" i="10"/>
  <c r="G5" i="21" s="1"/>
  <c r="K83" i="10"/>
  <c r="C5" i="21" s="1"/>
  <c r="Q83" i="10"/>
  <c r="I5" i="21" s="1"/>
  <c r="U83" i="10"/>
  <c r="M5" i="21" s="1"/>
  <c r="T83" i="10"/>
  <c r="L5" i="21" s="1"/>
  <c r="S83" i="10"/>
  <c r="K5" i="21" s="1"/>
  <c r="P83" i="10"/>
  <c r="H5" i="21" s="1"/>
  <c r="N83" i="10"/>
  <c r="F5" i="21" s="1"/>
  <c r="M83" i="10"/>
  <c r="E5" i="21" s="1"/>
  <c r="L83" i="10"/>
  <c r="D5" i="21" s="1"/>
  <c r="M15" i="10"/>
  <c r="E7" i="11" s="1"/>
  <c r="R15" i="10"/>
  <c r="J7" i="11" s="1"/>
  <c r="T15" i="10"/>
  <c r="L7" i="11" s="1"/>
  <c r="S15" i="10"/>
  <c r="K7" i="11" s="1"/>
  <c r="Q15" i="10"/>
  <c r="I7" i="11" s="1"/>
  <c r="P15" i="10"/>
  <c r="H7" i="11" s="1"/>
  <c r="O15" i="10"/>
  <c r="G7" i="11" s="1"/>
  <c r="N15" i="10"/>
  <c r="F7" i="11" s="1"/>
  <c r="L15" i="10"/>
  <c r="D7" i="11" s="1"/>
  <c r="K15" i="10"/>
  <c r="C7" i="11" s="1"/>
  <c r="J15" i="10"/>
  <c r="B7" i="11" s="1"/>
  <c r="AX33" i="7"/>
  <c r="AY33" i="7" s="1"/>
  <c r="AX16" i="7"/>
  <c r="AY16" i="7" s="1"/>
  <c r="AX35" i="7"/>
  <c r="AY35" i="7" s="1"/>
  <c r="AX36" i="7"/>
  <c r="AY36" i="7" s="1"/>
  <c r="AX18" i="7"/>
  <c r="AY18" i="7" s="1"/>
  <c r="L1" i="22"/>
  <c r="L1" i="18"/>
  <c r="L1" i="19"/>
  <c r="L1" i="20"/>
  <c r="T90" i="10"/>
  <c r="L1" i="13"/>
  <c r="L1" i="16"/>
  <c r="L1" i="21"/>
  <c r="L1" i="11"/>
  <c r="L1" i="12"/>
  <c r="T79" i="10"/>
  <c r="L8" i="20" s="1"/>
  <c r="T39" i="10"/>
  <c r="L3" i="15" s="1"/>
  <c r="L1" i="15"/>
  <c r="U9" i="10"/>
  <c r="U16" i="10" s="1"/>
  <c r="M8" i="11" s="1"/>
  <c r="T89" i="10"/>
  <c r="T75" i="10"/>
  <c r="L4" i="20" s="1"/>
  <c r="L1" i="14"/>
  <c r="T72" i="10"/>
  <c r="L8" i="19" s="1"/>
  <c r="T62" i="10"/>
  <c r="L5" i="18" s="1"/>
  <c r="T29" i="10"/>
  <c r="L7" i="13" s="1"/>
  <c r="T63" i="10"/>
  <c r="L6" i="18" s="1"/>
  <c r="L1" i="17"/>
  <c r="T78" i="10"/>
  <c r="L7" i="20" s="1"/>
  <c r="T70" i="10"/>
  <c r="L6" i="19" s="1"/>
  <c r="T26" i="10"/>
  <c r="L4" i="13" s="1"/>
  <c r="T57" i="10"/>
  <c r="L7" i="17" s="1"/>
  <c r="T53" i="10"/>
  <c r="L3" i="17" s="1"/>
  <c r="T58" i="10"/>
  <c r="L8" i="17" s="1"/>
  <c r="T32" i="10"/>
  <c r="L3" i="14" s="1"/>
  <c r="T65" i="10"/>
  <c r="L8" i="18" s="1"/>
  <c r="T60" i="10"/>
  <c r="L3" i="18" s="1"/>
  <c r="T59" i="10"/>
  <c r="L2" i="18" s="1"/>
  <c r="T44" i="10"/>
  <c r="L8" i="15" s="1"/>
  <c r="T71" i="10"/>
  <c r="L7" i="19" s="1"/>
  <c r="T41" i="10"/>
  <c r="L5" i="15" s="1"/>
  <c r="T47" i="10"/>
  <c r="L4" i="16" s="1"/>
  <c r="T51" i="10"/>
  <c r="L8" i="16" s="1"/>
  <c r="T64" i="10"/>
  <c r="L7" i="18" s="1"/>
  <c r="T46" i="10"/>
  <c r="L3" i="16" s="1"/>
  <c r="T20" i="10"/>
  <c r="L5" i="12" s="1"/>
  <c r="T92" i="10"/>
  <c r="T38" i="10"/>
  <c r="L2" i="15" s="1"/>
  <c r="T66" i="10"/>
  <c r="L2" i="19" s="1"/>
  <c r="T91" i="10"/>
  <c r="T50" i="10"/>
  <c r="L7" i="16" s="1"/>
  <c r="T27" i="10"/>
  <c r="L5" i="13" s="1"/>
  <c r="T19" i="10"/>
  <c r="L4" i="12" s="1"/>
  <c r="T87" i="10"/>
  <c r="T67" i="10"/>
  <c r="L3" i="19" s="1"/>
  <c r="T36" i="10"/>
  <c r="L7" i="14" s="1"/>
  <c r="T42" i="10"/>
  <c r="L6" i="15" s="1"/>
  <c r="T88" i="10"/>
  <c r="T28" i="10"/>
  <c r="L6" i="13" s="1"/>
  <c r="T56" i="10"/>
  <c r="L6" i="17" s="1"/>
  <c r="T73" i="10"/>
  <c r="L2" i="20" s="1"/>
  <c r="T76" i="10"/>
  <c r="L5" i="20" s="1"/>
  <c r="T30" i="10"/>
  <c r="L8" i="13" s="1"/>
  <c r="T68" i="10"/>
  <c r="L4" i="19" s="1"/>
  <c r="T35" i="10"/>
  <c r="L6" i="14" s="1"/>
  <c r="T25" i="10"/>
  <c r="L3" i="13" s="1"/>
  <c r="T43" i="10"/>
  <c r="L7" i="15" s="1"/>
  <c r="T23" i="10"/>
  <c r="L8" i="12" s="1"/>
  <c r="T34" i="10"/>
  <c r="L5" i="14" s="1"/>
  <c r="T69" i="10"/>
  <c r="L5" i="19" s="1"/>
  <c r="T18" i="10"/>
  <c r="L3" i="12" s="1"/>
  <c r="T22" i="10"/>
  <c r="L7" i="12" s="1"/>
  <c r="T77" i="10"/>
  <c r="L6" i="20" s="1"/>
  <c r="T93" i="10"/>
  <c r="T61" i="10"/>
  <c r="L4" i="18" s="1"/>
  <c r="T37" i="10"/>
  <c r="L8" i="14" s="1"/>
  <c r="T45" i="10"/>
  <c r="L2" i="16" s="1"/>
  <c r="T54" i="10"/>
  <c r="L4" i="17" s="1"/>
  <c r="T49" i="10"/>
  <c r="L6" i="16" s="1"/>
  <c r="T48" i="10"/>
  <c r="L5" i="16" s="1"/>
  <c r="T33" i="10"/>
  <c r="L4" i="14" s="1"/>
  <c r="T40" i="10"/>
  <c r="L4" i="15" s="1"/>
  <c r="T74" i="10"/>
  <c r="L3" i="20" s="1"/>
  <c r="T52" i="10"/>
  <c r="L2" i="17" s="1"/>
  <c r="T55" i="10"/>
  <c r="L5" i="17" s="1"/>
  <c r="O12" i="10"/>
  <c r="G4" i="11" s="1"/>
  <c r="P12" i="10"/>
  <c r="H4" i="11" s="1"/>
  <c r="T12" i="10"/>
  <c r="L4" i="11" s="1"/>
  <c r="K12" i="10"/>
  <c r="C4" i="11" s="1"/>
  <c r="N12" i="10"/>
  <c r="F4" i="11" s="1"/>
  <c r="Q12" i="10"/>
  <c r="I4" i="11" s="1"/>
  <c r="L12" i="10"/>
  <c r="D4" i="11" s="1"/>
  <c r="R12" i="10"/>
  <c r="J4" i="11" s="1"/>
  <c r="S12" i="10"/>
  <c r="K4" i="11" s="1"/>
  <c r="J12" i="10"/>
  <c r="B4" i="11" s="1"/>
  <c r="M12" i="10"/>
  <c r="E4" i="11" s="1"/>
  <c r="AX39" i="7"/>
  <c r="AY39" i="7" s="1"/>
  <c r="S82" i="10"/>
  <c r="K4" i="21" s="1"/>
  <c r="R82" i="10"/>
  <c r="J4" i="21" s="1"/>
  <c r="K82" i="10"/>
  <c r="C4" i="21" s="1"/>
  <c r="J82" i="10"/>
  <c r="B4" i="21" s="1"/>
  <c r="T82" i="10"/>
  <c r="L4" i="21" s="1"/>
  <c r="O82" i="10"/>
  <c r="G4" i="21" s="1"/>
  <c r="P82" i="10"/>
  <c r="H4" i="21" s="1"/>
  <c r="N82" i="10"/>
  <c r="F4" i="21" s="1"/>
  <c r="M82" i="10"/>
  <c r="E4" i="21" s="1"/>
  <c r="L82" i="10"/>
  <c r="D4" i="21" s="1"/>
  <c r="U82" i="10"/>
  <c r="M4" i="21" s="1"/>
  <c r="Q82" i="10"/>
  <c r="I4" i="21" s="1"/>
  <c r="R81" i="10"/>
  <c r="J3" i="21" s="1"/>
  <c r="Q81" i="10"/>
  <c r="I3" i="21" s="1"/>
  <c r="L81" i="10"/>
  <c r="D3" i="21" s="1"/>
  <c r="N81" i="10"/>
  <c r="F3" i="21" s="1"/>
  <c r="T81" i="10"/>
  <c r="L3" i="21" s="1"/>
  <c r="U81" i="10"/>
  <c r="M3" i="21" s="1"/>
  <c r="S81" i="10"/>
  <c r="K3" i="21" s="1"/>
  <c r="J81" i="10"/>
  <c r="B3" i="21" s="1"/>
  <c r="O81" i="10"/>
  <c r="G3" i="21" s="1"/>
  <c r="K81" i="10"/>
  <c r="C3" i="21" s="1"/>
  <c r="M81" i="10"/>
  <c r="E3" i="21" s="1"/>
  <c r="P81" i="10"/>
  <c r="H3" i="21" s="1"/>
  <c r="AX41" i="7"/>
  <c r="AY41" i="7" s="1"/>
  <c r="T86" i="10" l="1"/>
  <c r="L8" i="21" s="1"/>
  <c r="O86" i="10"/>
  <c r="G8" i="21" s="1"/>
  <c r="U86" i="10"/>
  <c r="M8" i="21" s="1"/>
  <c r="V86" i="10"/>
  <c r="N8" i="21" s="1"/>
  <c r="S86" i="10"/>
  <c r="K8" i="21" s="1"/>
  <c r="Q86" i="10"/>
  <c r="I8" i="21" s="1"/>
  <c r="P86" i="10"/>
  <c r="H8" i="21" s="1"/>
  <c r="N86" i="10"/>
  <c r="F8" i="21" s="1"/>
  <c r="L86" i="10"/>
  <c r="D8" i="21" s="1"/>
  <c r="K86" i="10"/>
  <c r="C8" i="21" s="1"/>
  <c r="J86" i="10"/>
  <c r="B8" i="21" s="1"/>
  <c r="R86" i="10"/>
  <c r="J8" i="21" s="1"/>
  <c r="M86" i="10"/>
  <c r="E8" i="21" s="1"/>
  <c r="M1" i="19"/>
  <c r="M1" i="21"/>
  <c r="M1" i="17"/>
  <c r="M1" i="13"/>
  <c r="M1" i="14"/>
  <c r="M1" i="15"/>
  <c r="M1" i="20"/>
  <c r="M1" i="18"/>
  <c r="U89" i="10"/>
  <c r="M1" i="12"/>
  <c r="M1" i="22"/>
  <c r="U75" i="10"/>
  <c r="M4" i="20" s="1"/>
  <c r="M1" i="16"/>
  <c r="U70" i="10"/>
  <c r="M6" i="19" s="1"/>
  <c r="U29" i="10"/>
  <c r="M7" i="13" s="1"/>
  <c r="M1" i="11"/>
  <c r="U79" i="10"/>
  <c r="M8" i="20" s="1"/>
  <c r="U63" i="10"/>
  <c r="M6" i="18" s="1"/>
  <c r="U91" i="10"/>
  <c r="U64" i="10"/>
  <c r="M7" i="18" s="1"/>
  <c r="U65" i="10"/>
  <c r="M8" i="18" s="1"/>
  <c r="U88" i="10"/>
  <c r="U48" i="10"/>
  <c r="M5" i="16" s="1"/>
  <c r="U26" i="10"/>
  <c r="M4" i="13" s="1"/>
  <c r="U57" i="10"/>
  <c r="M7" i="17" s="1"/>
  <c r="U53" i="10"/>
  <c r="M3" i="17" s="1"/>
  <c r="U90" i="10"/>
  <c r="U44" i="10"/>
  <c r="M8" i="15" s="1"/>
  <c r="U58" i="10"/>
  <c r="M8" i="17" s="1"/>
  <c r="U39" i="10"/>
  <c r="M3" i="15" s="1"/>
  <c r="U32" i="10"/>
  <c r="M3" i="14" s="1"/>
  <c r="U60" i="10"/>
  <c r="M3" i="18" s="1"/>
  <c r="U49" i="10"/>
  <c r="M6" i="16" s="1"/>
  <c r="U51" i="10"/>
  <c r="M8" i="16" s="1"/>
  <c r="U40" i="10"/>
  <c r="M4" i="15" s="1"/>
  <c r="U73" i="10"/>
  <c r="M2" i="20" s="1"/>
  <c r="U74" i="10"/>
  <c r="M3" i="20" s="1"/>
  <c r="U78" i="10"/>
  <c r="M7" i="20" s="1"/>
  <c r="U67" i="10"/>
  <c r="M3" i="19" s="1"/>
  <c r="U34" i="10"/>
  <c r="M5" i="14" s="1"/>
  <c r="U61" i="10"/>
  <c r="M4" i="18" s="1"/>
  <c r="U50" i="10"/>
  <c r="M7" i="16" s="1"/>
  <c r="V9" i="10"/>
  <c r="U71" i="10"/>
  <c r="M7" i="19" s="1"/>
  <c r="U35" i="10"/>
  <c r="M6" i="14" s="1"/>
  <c r="U54" i="10"/>
  <c r="M4" i="17" s="1"/>
  <c r="U87" i="10"/>
  <c r="U33" i="10"/>
  <c r="M4" i="14" s="1"/>
  <c r="U36" i="10"/>
  <c r="M7" i="14" s="1"/>
  <c r="U77" i="10"/>
  <c r="M6" i="20" s="1"/>
  <c r="U92" i="10"/>
  <c r="U56" i="10"/>
  <c r="M6" i="17" s="1"/>
  <c r="U37" i="10"/>
  <c r="M8" i="14" s="1"/>
  <c r="U19" i="10"/>
  <c r="M4" i="12" s="1"/>
  <c r="U22" i="10"/>
  <c r="M7" i="12" s="1"/>
  <c r="U59" i="10"/>
  <c r="M2" i="18" s="1"/>
  <c r="U68" i="10"/>
  <c r="M4" i="19" s="1"/>
  <c r="U43" i="10"/>
  <c r="M7" i="15" s="1"/>
  <c r="U18" i="10"/>
  <c r="M3" i="12" s="1"/>
  <c r="U23" i="10"/>
  <c r="M8" i="12" s="1"/>
  <c r="U42" i="10"/>
  <c r="M6" i="15" s="1"/>
  <c r="U28" i="10"/>
  <c r="M6" i="13" s="1"/>
  <c r="U30" i="10"/>
  <c r="M8" i="13" s="1"/>
  <c r="U66" i="10"/>
  <c r="M2" i="19" s="1"/>
  <c r="U27" i="10"/>
  <c r="M5" i="13" s="1"/>
  <c r="U93" i="10"/>
  <c r="U25" i="10"/>
  <c r="M3" i="13" s="1"/>
  <c r="U20" i="10"/>
  <c r="M5" i="12" s="1"/>
  <c r="U47" i="10"/>
  <c r="M4" i="16" s="1"/>
  <c r="U69" i="10"/>
  <c r="M5" i="19" s="1"/>
  <c r="U45" i="10"/>
  <c r="M2" i="16" s="1"/>
  <c r="U62" i="10"/>
  <c r="M5" i="18" s="1"/>
  <c r="U72" i="10"/>
  <c r="M8" i="19" s="1"/>
  <c r="U38" i="10"/>
  <c r="M2" i="15" s="1"/>
  <c r="U41" i="10"/>
  <c r="M5" i="15" s="1"/>
  <c r="U46" i="10"/>
  <c r="M3" i="16" s="1"/>
  <c r="U76" i="10"/>
  <c r="M5" i="20" s="1"/>
  <c r="U52" i="10"/>
  <c r="M2" i="17" s="1"/>
  <c r="U55" i="10"/>
  <c r="M5" i="17" s="1"/>
  <c r="U11" i="10"/>
  <c r="M3" i="11" s="1"/>
  <c r="U13" i="10"/>
  <c r="M5" i="11" s="1"/>
  <c r="U15" i="10"/>
  <c r="M7" i="11" s="1"/>
  <c r="U12" i="10"/>
  <c r="M4" i="11" s="1"/>
  <c r="N1" i="18" l="1"/>
  <c r="N1" i="15"/>
  <c r="N1" i="17"/>
  <c r="N1" i="16"/>
  <c r="N1" i="21"/>
  <c r="N1" i="19"/>
  <c r="N1" i="22"/>
  <c r="V75" i="10"/>
  <c r="N4" i="20" s="1"/>
  <c r="V44" i="10"/>
  <c r="N8" i="15" s="1"/>
  <c r="N1" i="12"/>
  <c r="N1" i="14"/>
  <c r="V71" i="10"/>
  <c r="N7" i="19" s="1"/>
  <c r="V90" i="10"/>
  <c r="V65" i="10"/>
  <c r="N8" i="18" s="1"/>
  <c r="V64" i="10"/>
  <c r="N7" i="18" s="1"/>
  <c r="N1" i="13"/>
  <c r="V72" i="10"/>
  <c r="N8" i="19" s="1"/>
  <c r="V62" i="10"/>
  <c r="N5" i="18" s="1"/>
  <c r="N1" i="11"/>
  <c r="V79" i="10"/>
  <c r="N8" i="20" s="1"/>
  <c r="W9" i="10"/>
  <c r="V53" i="10"/>
  <c r="N3" i="17" s="1"/>
  <c r="V89" i="10"/>
  <c r="N1" i="20"/>
  <c r="V48" i="10"/>
  <c r="N5" i="16" s="1"/>
  <c r="V57" i="10"/>
  <c r="N7" i="17" s="1"/>
  <c r="V29" i="10"/>
  <c r="N7" i="13" s="1"/>
  <c r="V18" i="10"/>
  <c r="N3" i="12" s="1"/>
  <c r="V39" i="10"/>
  <c r="N3" i="15" s="1"/>
  <c r="V32" i="10"/>
  <c r="N3" i="14" s="1"/>
  <c r="V73" i="10"/>
  <c r="N2" i="20" s="1"/>
  <c r="V47" i="10"/>
  <c r="N4" i="16" s="1"/>
  <c r="V56" i="10"/>
  <c r="N6" i="17" s="1"/>
  <c r="V26" i="10"/>
  <c r="N4" i="13" s="1"/>
  <c r="V60" i="10"/>
  <c r="N3" i="18" s="1"/>
  <c r="V54" i="10"/>
  <c r="N4" i="17" s="1"/>
  <c r="V59" i="10"/>
  <c r="N2" i="18" s="1"/>
  <c r="V35" i="10"/>
  <c r="N6" i="14" s="1"/>
  <c r="V34" i="10"/>
  <c r="N5" i="14" s="1"/>
  <c r="V58" i="10"/>
  <c r="N8" i="17" s="1"/>
  <c r="V63" i="10"/>
  <c r="N6" i="18" s="1"/>
  <c r="V40" i="10"/>
  <c r="N4" i="15" s="1"/>
  <c r="V37" i="10"/>
  <c r="N8" i="14" s="1"/>
  <c r="V41" i="10"/>
  <c r="N5" i="15" s="1"/>
  <c r="V30" i="10"/>
  <c r="N8" i="13" s="1"/>
  <c r="V36" i="10"/>
  <c r="N7" i="14" s="1"/>
  <c r="V46" i="10"/>
  <c r="N3" i="16" s="1"/>
  <c r="V42" i="10"/>
  <c r="N6" i="15" s="1"/>
  <c r="V27" i="10"/>
  <c r="N5" i="13" s="1"/>
  <c r="V51" i="10"/>
  <c r="N8" i="16" s="1"/>
  <c r="V77" i="10"/>
  <c r="N6" i="20" s="1"/>
  <c r="V87" i="10"/>
  <c r="V66" i="10"/>
  <c r="N2" i="19" s="1"/>
  <c r="V22" i="10"/>
  <c r="N7" i="12" s="1"/>
  <c r="V25" i="10"/>
  <c r="N3" i="13" s="1"/>
  <c r="V28" i="10"/>
  <c r="N6" i="13" s="1"/>
  <c r="V20" i="10"/>
  <c r="N5" i="12" s="1"/>
  <c r="V91" i="10"/>
  <c r="V33" i="10"/>
  <c r="N4" i="14" s="1"/>
  <c r="V78" i="10"/>
  <c r="N7" i="20" s="1"/>
  <c r="V67" i="10"/>
  <c r="N3" i="19" s="1"/>
  <c r="V19" i="10"/>
  <c r="N4" i="12" s="1"/>
  <c r="V23" i="10"/>
  <c r="N8" i="12" s="1"/>
  <c r="V68" i="10"/>
  <c r="N4" i="19" s="1"/>
  <c r="V43" i="10"/>
  <c r="N7" i="15" s="1"/>
  <c r="V88" i="10"/>
  <c r="V76" i="10"/>
  <c r="N5" i="20" s="1"/>
  <c r="V61" i="10"/>
  <c r="N4" i="18" s="1"/>
  <c r="V45" i="10"/>
  <c r="N2" i="16" s="1"/>
  <c r="V38" i="10"/>
  <c r="N2" i="15" s="1"/>
  <c r="V49" i="10"/>
  <c r="N6" i="16" s="1"/>
  <c r="V69" i="10"/>
  <c r="N5" i="19" s="1"/>
  <c r="V74" i="10"/>
  <c r="N3" i="20" s="1"/>
  <c r="V93" i="10"/>
  <c r="V70" i="10"/>
  <c r="N6" i="19" s="1"/>
  <c r="V50" i="10"/>
  <c r="N7" i="16" s="1"/>
  <c r="V92" i="10"/>
  <c r="V52" i="10"/>
  <c r="N2" i="17" s="1"/>
  <c r="V55" i="10"/>
  <c r="N5" i="17" s="1"/>
  <c r="V11" i="10"/>
  <c r="N3" i="11" s="1"/>
  <c r="V13" i="10"/>
  <c r="N5" i="11" s="1"/>
  <c r="V85" i="10"/>
  <c r="N7" i="21" s="1"/>
  <c r="V83" i="10"/>
  <c r="N5" i="21" s="1"/>
  <c r="V12" i="10"/>
  <c r="N4" i="11" s="1"/>
  <c r="V81" i="10"/>
  <c r="N3" i="21" s="1"/>
  <c r="V82" i="10"/>
  <c r="N4" i="21" s="1"/>
  <c r="V15" i="10"/>
  <c r="N7" i="11" s="1"/>
  <c r="V16" i="10"/>
  <c r="N8" i="11" s="1"/>
  <c r="O1" i="15" l="1"/>
  <c r="O1" i="16"/>
  <c r="O1" i="14"/>
  <c r="O1" i="19"/>
  <c r="O1" i="12"/>
  <c r="O1" i="22"/>
  <c r="O1" i="21"/>
  <c r="W90" i="10"/>
  <c r="O1" i="17"/>
  <c r="W89" i="10"/>
  <c r="W60" i="10"/>
  <c r="O3" i="18" s="1"/>
  <c r="W75" i="10"/>
  <c r="O4" i="20" s="1"/>
  <c r="O1" i="18"/>
  <c r="W58" i="10"/>
  <c r="O8" i="17" s="1"/>
  <c r="O1" i="13"/>
  <c r="O1" i="11"/>
  <c r="W44" i="10"/>
  <c r="O8" i="15" s="1"/>
  <c r="W64" i="10"/>
  <c r="O7" i="18" s="1"/>
  <c r="O1" i="20"/>
  <c r="W70" i="10"/>
  <c r="O6" i="19" s="1"/>
  <c r="W48" i="10"/>
  <c r="O5" i="16" s="1"/>
  <c r="W18" i="10"/>
  <c r="O3" i="12" s="1"/>
  <c r="W61" i="10"/>
  <c r="O4" i="18" s="1"/>
  <c r="W73" i="10"/>
  <c r="O2" i="20" s="1"/>
  <c r="W65" i="10"/>
  <c r="O8" i="18" s="1"/>
  <c r="W76" i="10"/>
  <c r="O5" i="20" s="1"/>
  <c r="W62" i="10"/>
  <c r="O5" i="18" s="1"/>
  <c r="W36" i="10"/>
  <c r="O7" i="14" s="1"/>
  <c r="W32" i="10"/>
  <c r="O3" i="14" s="1"/>
  <c r="X9" i="10"/>
  <c r="W56" i="10"/>
  <c r="O6" i="17" s="1"/>
  <c r="W26" i="10"/>
  <c r="O4" i="13" s="1"/>
  <c r="W71" i="10"/>
  <c r="O7" i="19" s="1"/>
  <c r="W78" i="10"/>
  <c r="O7" i="20" s="1"/>
  <c r="W39" i="10"/>
  <c r="O3" i="15" s="1"/>
  <c r="W59" i="10"/>
  <c r="O2" i="18" s="1"/>
  <c r="W51" i="10"/>
  <c r="O8" i="16" s="1"/>
  <c r="W29" i="10"/>
  <c r="O7" i="13" s="1"/>
  <c r="W40" i="10"/>
  <c r="O4" i="15" s="1"/>
  <c r="W37" i="10"/>
  <c r="O8" i="14" s="1"/>
  <c r="W87" i="10"/>
  <c r="W22" i="10"/>
  <c r="O7" i="12" s="1"/>
  <c r="W34" i="10"/>
  <c r="O5" i="14" s="1"/>
  <c r="W49" i="10"/>
  <c r="O6" i="16" s="1"/>
  <c r="W43" i="10"/>
  <c r="O7" i="15" s="1"/>
  <c r="W20" i="10"/>
  <c r="O5" i="12" s="1"/>
  <c r="W68" i="10"/>
  <c r="O4" i="19" s="1"/>
  <c r="W45" i="10"/>
  <c r="O2" i="16" s="1"/>
  <c r="W41" i="10"/>
  <c r="O5" i="15" s="1"/>
  <c r="W57" i="10"/>
  <c r="O7" i="17" s="1"/>
  <c r="W77" i="10"/>
  <c r="O6" i="20" s="1"/>
  <c r="W53" i="10"/>
  <c r="O3" i="17" s="1"/>
  <c r="W19" i="10"/>
  <c r="O4" i="12" s="1"/>
  <c r="W47" i="10"/>
  <c r="O4" i="16" s="1"/>
  <c r="W92" i="10"/>
  <c r="W33" i="10"/>
  <c r="O4" i="14" s="1"/>
  <c r="W23" i="10"/>
  <c r="O8" i="12" s="1"/>
  <c r="W38" i="10"/>
  <c r="O2" i="15" s="1"/>
  <c r="W27" i="10"/>
  <c r="O5" i="13" s="1"/>
  <c r="W93" i="10"/>
  <c r="W25" i="10"/>
  <c r="O3" i="13" s="1"/>
  <c r="W46" i="10"/>
  <c r="O3" i="16" s="1"/>
  <c r="W67" i="10"/>
  <c r="O3" i="19" s="1"/>
  <c r="W54" i="10"/>
  <c r="O4" i="17" s="1"/>
  <c r="W88" i="10"/>
  <c r="W63" i="10"/>
  <c r="O6" i="18" s="1"/>
  <c r="W91" i="10"/>
  <c r="W42" i="10"/>
  <c r="O6" i="15" s="1"/>
  <c r="W35" i="10"/>
  <c r="O6" i="14" s="1"/>
  <c r="W50" i="10"/>
  <c r="O7" i="16" s="1"/>
  <c r="W74" i="10"/>
  <c r="O3" i="20" s="1"/>
  <c r="W72" i="10"/>
  <c r="O8" i="19" s="1"/>
  <c r="W69" i="10"/>
  <c r="O5" i="19" s="1"/>
  <c r="W66" i="10"/>
  <c r="O2" i="19" s="1"/>
  <c r="W28" i="10"/>
  <c r="O6" i="13" s="1"/>
  <c r="W30" i="10"/>
  <c r="O8" i="13" s="1"/>
  <c r="W79" i="10"/>
  <c r="O8" i="20" s="1"/>
  <c r="W52" i="10"/>
  <c r="O2" i="17" s="1"/>
  <c r="W55" i="10"/>
  <c r="O5" i="17" s="1"/>
  <c r="W11" i="10"/>
  <c r="O3" i="11" s="1"/>
  <c r="W13" i="10"/>
  <c r="O5" i="11" s="1"/>
  <c r="W82" i="10"/>
  <c r="O4" i="21" s="1"/>
  <c r="W16" i="10"/>
  <c r="O8" i="11" s="1"/>
  <c r="W81" i="10"/>
  <c r="O3" i="21" s="1"/>
  <c r="W12" i="10"/>
  <c r="O4" i="11" s="1"/>
  <c r="W85" i="10"/>
  <c r="O7" i="21" s="1"/>
  <c r="W15" i="10"/>
  <c r="O7" i="11" s="1"/>
  <c r="W83" i="10"/>
  <c r="O5" i="21" s="1"/>
  <c r="W86" i="10"/>
  <c r="O8" i="21" s="1"/>
  <c r="P1" i="14" l="1"/>
  <c r="P1" i="16"/>
  <c r="P1" i="21"/>
  <c r="P1" i="15"/>
  <c r="X89" i="10"/>
  <c r="P1" i="22"/>
  <c r="P1" i="18"/>
  <c r="X71" i="10"/>
  <c r="P7" i="19" s="1"/>
  <c r="X60" i="10"/>
  <c r="P3" i="18" s="1"/>
  <c r="X92" i="10"/>
  <c r="X90" i="10"/>
  <c r="P1" i="19"/>
  <c r="X39" i="10"/>
  <c r="P3" i="15" s="1"/>
  <c r="P1" i="11"/>
  <c r="X79" i="10"/>
  <c r="P8" i="20" s="1"/>
  <c r="X44" i="10"/>
  <c r="P8" i="15" s="1"/>
  <c r="X63" i="10"/>
  <c r="P6" i="18" s="1"/>
  <c r="X64" i="10"/>
  <c r="P7" i="18" s="1"/>
  <c r="P1" i="17"/>
  <c r="P1" i="20"/>
  <c r="P1" i="13"/>
  <c r="X61" i="10"/>
  <c r="P4" i="18" s="1"/>
  <c r="X58" i="10"/>
  <c r="P8" i="17" s="1"/>
  <c r="X32" i="10"/>
  <c r="P3" i="14" s="1"/>
  <c r="P1" i="12"/>
  <c r="X87" i="10"/>
  <c r="X62" i="10"/>
  <c r="P5" i="18" s="1"/>
  <c r="X36" i="10"/>
  <c r="P7" i="14" s="1"/>
  <c r="X70" i="10"/>
  <c r="P6" i="19" s="1"/>
  <c r="X67" i="10"/>
  <c r="P3" i="19" s="1"/>
  <c r="X29" i="10"/>
  <c r="P7" i="13" s="1"/>
  <c r="X26" i="10"/>
  <c r="P4" i="13" s="1"/>
  <c r="X65" i="10"/>
  <c r="P8" i="18" s="1"/>
  <c r="X56" i="10"/>
  <c r="P6" i="17" s="1"/>
  <c r="X59" i="10"/>
  <c r="P2" i="18" s="1"/>
  <c r="X48" i="10"/>
  <c r="P5" i="16" s="1"/>
  <c r="X43" i="10"/>
  <c r="P7" i="15" s="1"/>
  <c r="X47" i="10"/>
  <c r="P4" i="16" s="1"/>
  <c r="X35" i="10"/>
  <c r="P6" i="14" s="1"/>
  <c r="X30" i="10"/>
  <c r="P8" i="13" s="1"/>
  <c r="Y9" i="10"/>
  <c r="X46" i="10"/>
  <c r="P3" i="16" s="1"/>
  <c r="X28" i="10"/>
  <c r="P6" i="13" s="1"/>
  <c r="X34" i="10"/>
  <c r="P5" i="14" s="1"/>
  <c r="X42" i="10"/>
  <c r="P6" i="15" s="1"/>
  <c r="X75" i="10"/>
  <c r="P4" i="20" s="1"/>
  <c r="X41" i="10"/>
  <c r="P5" i="15" s="1"/>
  <c r="X74" i="10"/>
  <c r="P3" i="20" s="1"/>
  <c r="X88" i="10"/>
  <c r="X77" i="10"/>
  <c r="P6" i="20" s="1"/>
  <c r="X37" i="10"/>
  <c r="P8" i="14" s="1"/>
  <c r="X69" i="10"/>
  <c r="P5" i="19" s="1"/>
  <c r="X72" i="10"/>
  <c r="P8" i="19" s="1"/>
  <c r="X53" i="10"/>
  <c r="P3" i="17" s="1"/>
  <c r="X50" i="10"/>
  <c r="P7" i="16" s="1"/>
  <c r="X57" i="10"/>
  <c r="P7" i="17" s="1"/>
  <c r="X23" i="10"/>
  <c r="P8" i="12" s="1"/>
  <c r="X93" i="10"/>
  <c r="X73" i="10"/>
  <c r="P2" i="20" s="1"/>
  <c r="X49" i="10"/>
  <c r="P6" i="16" s="1"/>
  <c r="X33" i="10"/>
  <c r="P4" i="14" s="1"/>
  <c r="X91" i="10"/>
  <c r="X18" i="10"/>
  <c r="P3" i="12" s="1"/>
  <c r="X19" i="10"/>
  <c r="P4" i="12" s="1"/>
  <c r="X38" i="10"/>
  <c r="P2" i="15" s="1"/>
  <c r="X76" i="10"/>
  <c r="P5" i="20" s="1"/>
  <c r="X51" i="10"/>
  <c r="P8" i="16" s="1"/>
  <c r="X25" i="10"/>
  <c r="P3" i="13" s="1"/>
  <c r="X27" i="10"/>
  <c r="P5" i="13" s="1"/>
  <c r="X40" i="10"/>
  <c r="P4" i="15" s="1"/>
  <c r="X45" i="10"/>
  <c r="P2" i="16" s="1"/>
  <c r="X78" i="10"/>
  <c r="P7" i="20" s="1"/>
  <c r="X66" i="10"/>
  <c r="P2" i="19" s="1"/>
  <c r="X54" i="10"/>
  <c r="P4" i="17" s="1"/>
  <c r="X68" i="10"/>
  <c r="P4" i="19" s="1"/>
  <c r="X20" i="10"/>
  <c r="P5" i="12" s="1"/>
  <c r="X22" i="10"/>
  <c r="P7" i="12" s="1"/>
  <c r="X52" i="10"/>
  <c r="P2" i="17" s="1"/>
  <c r="X55" i="10"/>
  <c r="P5" i="17" s="1"/>
  <c r="X11" i="10"/>
  <c r="P3" i="11" s="1"/>
  <c r="X13" i="10"/>
  <c r="P5" i="11" s="1"/>
  <c r="X16" i="10"/>
  <c r="P8" i="11" s="1"/>
  <c r="X81" i="10"/>
  <c r="P3" i="21" s="1"/>
  <c r="X12" i="10"/>
  <c r="P4" i="11" s="1"/>
  <c r="X85" i="10"/>
  <c r="P7" i="21" s="1"/>
  <c r="X15" i="10"/>
  <c r="P7" i="11" s="1"/>
  <c r="X82" i="10"/>
  <c r="P4" i="21" s="1"/>
  <c r="X83" i="10"/>
  <c r="P5" i="21" s="1"/>
  <c r="X86" i="10"/>
  <c r="P8" i="21" s="1"/>
  <c r="Q1" i="19" l="1"/>
  <c r="Q1" i="20"/>
  <c r="Y90" i="10"/>
  <c r="Q1" i="21"/>
  <c r="Q1" i="14"/>
  <c r="Q1" i="16"/>
  <c r="Q1" i="15"/>
  <c r="Q1" i="22"/>
  <c r="Q1" i="18"/>
  <c r="Y72" i="10"/>
  <c r="Q8" i="19" s="1"/>
  <c r="Y65" i="10"/>
  <c r="Q8" i="18" s="1"/>
  <c r="Y79" i="10"/>
  <c r="Q8" i="20" s="1"/>
  <c r="Q1" i="17"/>
  <c r="Q1" i="13"/>
  <c r="Y53" i="10"/>
  <c r="Q3" i="17" s="1"/>
  <c r="Y89" i="10"/>
  <c r="Q1" i="11"/>
  <c r="Y57" i="10"/>
  <c r="Q7" i="17" s="1"/>
  <c r="Y61" i="10"/>
  <c r="Q4" i="18" s="1"/>
  <c r="Y44" i="10"/>
  <c r="Q8" i="15" s="1"/>
  <c r="Y32" i="10"/>
  <c r="Q3" i="14" s="1"/>
  <c r="Y49" i="10"/>
  <c r="Q6" i="16" s="1"/>
  <c r="Y39" i="10"/>
  <c r="Q3" i="15" s="1"/>
  <c r="Y71" i="10"/>
  <c r="Q7" i="19" s="1"/>
  <c r="Y56" i="10"/>
  <c r="Q6" i="17" s="1"/>
  <c r="Y36" i="10"/>
  <c r="Q7" i="14" s="1"/>
  <c r="Q1" i="12"/>
  <c r="Y70" i="10"/>
  <c r="Q6" i="19" s="1"/>
  <c r="Y51" i="10"/>
  <c r="Q8" i="16" s="1"/>
  <c r="Y47" i="10"/>
  <c r="Q4" i="16" s="1"/>
  <c r="Y18" i="10"/>
  <c r="Q3" i="12" s="1"/>
  <c r="Y41" i="10"/>
  <c r="Q5" i="15" s="1"/>
  <c r="Z9" i="10"/>
  <c r="Y46" i="10"/>
  <c r="Q3" i="16" s="1"/>
  <c r="Y74" i="10"/>
  <c r="Q3" i="20" s="1"/>
  <c r="Y93" i="10"/>
  <c r="Y37" i="10"/>
  <c r="Q8" i="14" s="1"/>
  <c r="Y29" i="10"/>
  <c r="Q7" i="13" s="1"/>
  <c r="Y30" i="10"/>
  <c r="Q8" i="13" s="1"/>
  <c r="Y27" i="10"/>
  <c r="Q5" i="13" s="1"/>
  <c r="Y34" i="10"/>
  <c r="Q5" i="14" s="1"/>
  <c r="Y60" i="10"/>
  <c r="Q3" i="18" s="1"/>
  <c r="Y20" i="10"/>
  <c r="Q5" i="12" s="1"/>
  <c r="Y28" i="10"/>
  <c r="Q6" i="13" s="1"/>
  <c r="Y69" i="10"/>
  <c r="Q5" i="19" s="1"/>
  <c r="Y58" i="10"/>
  <c r="Q8" i="17" s="1"/>
  <c r="Y88" i="10"/>
  <c r="Y76" i="10"/>
  <c r="Q5" i="20" s="1"/>
  <c r="Y66" i="10"/>
  <c r="Q2" i="19" s="1"/>
  <c r="Y87" i="10"/>
  <c r="Y40" i="10"/>
  <c r="Q4" i="15" s="1"/>
  <c r="Y35" i="10"/>
  <c r="Q6" i="14" s="1"/>
  <c r="Y43" i="10"/>
  <c r="Q7" i="15" s="1"/>
  <c r="Y26" i="10"/>
  <c r="Q4" i="13" s="1"/>
  <c r="Y62" i="10"/>
  <c r="Q5" i="18" s="1"/>
  <c r="Y48" i="10"/>
  <c r="Q5" i="16" s="1"/>
  <c r="Y54" i="10"/>
  <c r="Q4" i="17" s="1"/>
  <c r="Y23" i="10"/>
  <c r="Q8" i="12" s="1"/>
  <c r="Y67" i="10"/>
  <c r="Q3" i="19" s="1"/>
  <c r="Y68" i="10"/>
  <c r="Q4" i="19" s="1"/>
  <c r="Y42" i="10"/>
  <c r="Q6" i="15" s="1"/>
  <c r="Y92" i="10"/>
  <c r="Y91" i="10"/>
  <c r="Y38" i="10"/>
  <c r="Q2" i="15" s="1"/>
  <c r="Y33" i="10"/>
  <c r="Q4" i="14" s="1"/>
  <c r="Y78" i="10"/>
  <c r="Q7" i="20" s="1"/>
  <c r="Y19" i="10"/>
  <c r="Q4" i="12" s="1"/>
  <c r="Y64" i="10"/>
  <c r="Q7" i="18" s="1"/>
  <c r="Y25" i="10"/>
  <c r="Q3" i="13" s="1"/>
  <c r="Y59" i="10"/>
  <c r="Q2" i="18" s="1"/>
  <c r="Y77" i="10"/>
  <c r="Q6" i="20" s="1"/>
  <c r="Y22" i="10"/>
  <c r="Q7" i="12" s="1"/>
  <c r="Y75" i="10"/>
  <c r="Q4" i="20" s="1"/>
  <c r="Y45" i="10"/>
  <c r="Q2" i="16" s="1"/>
  <c r="Y50" i="10"/>
  <c r="Q7" i="16" s="1"/>
  <c r="Y73" i="10"/>
  <c r="Q2" i="20" s="1"/>
  <c r="Y63" i="10"/>
  <c r="Q6" i="18" s="1"/>
  <c r="Y52" i="10"/>
  <c r="Q2" i="17" s="1"/>
  <c r="Y55" i="10"/>
  <c r="Q5" i="17" s="1"/>
  <c r="Y11" i="10"/>
  <c r="Q3" i="11" s="1"/>
  <c r="Y13" i="10"/>
  <c r="Q5" i="11" s="1"/>
  <c r="Y15" i="10"/>
  <c r="Q7" i="11" s="1"/>
  <c r="Y82" i="10"/>
  <c r="Q4" i="21" s="1"/>
  <c r="Y16" i="10"/>
  <c r="Q8" i="11" s="1"/>
  <c r="Y83" i="10"/>
  <c r="Q5" i="21" s="1"/>
  <c r="Y81" i="10"/>
  <c r="Q3" i="21" s="1"/>
  <c r="Y12" i="10"/>
  <c r="Q4" i="11" s="1"/>
  <c r="Y85" i="10"/>
  <c r="Q7" i="21" s="1"/>
  <c r="Y86" i="10"/>
  <c r="Q8" i="21" s="1"/>
  <c r="R1" i="20" l="1"/>
  <c r="R1" i="18"/>
  <c r="R1" i="13"/>
  <c r="R1" i="12"/>
  <c r="Z90" i="10"/>
  <c r="R1" i="14"/>
  <c r="R1" i="16"/>
  <c r="R1" i="19"/>
  <c r="R1" i="15"/>
  <c r="R1" i="11"/>
  <c r="R1" i="22"/>
  <c r="R1" i="17"/>
  <c r="R1" i="21"/>
  <c r="Z72" i="10"/>
  <c r="R8" i="19" s="1"/>
  <c r="Z44" i="10"/>
  <c r="R8" i="15" s="1"/>
  <c r="Z79" i="10"/>
  <c r="R8" i="20" s="1"/>
  <c r="Z63" i="10"/>
  <c r="R6" i="18" s="1"/>
  <c r="Z91" i="10"/>
  <c r="Z57" i="10"/>
  <c r="R7" i="17" s="1"/>
  <c r="Z58" i="10"/>
  <c r="R8" i="17" s="1"/>
  <c r="Z39" i="10"/>
  <c r="R3" i="15" s="1"/>
  <c r="Z64" i="10"/>
  <c r="R7" i="18" s="1"/>
  <c r="Z87" i="10"/>
  <c r="Z71" i="10"/>
  <c r="R7" i="19" s="1"/>
  <c r="Z75" i="10"/>
  <c r="R4" i="20" s="1"/>
  <c r="AA9" i="10"/>
  <c r="Z60" i="10"/>
  <c r="R3" i="18" s="1"/>
  <c r="Z62" i="10"/>
  <c r="R5" i="18" s="1"/>
  <c r="Z51" i="10"/>
  <c r="R8" i="16" s="1"/>
  <c r="Z47" i="10"/>
  <c r="R4" i="16" s="1"/>
  <c r="Z18" i="10"/>
  <c r="R3" i="12" s="1"/>
  <c r="Z29" i="10"/>
  <c r="R7" i="13" s="1"/>
  <c r="Z89" i="10"/>
  <c r="Z41" i="10"/>
  <c r="R5" i="15" s="1"/>
  <c r="Z36" i="10"/>
  <c r="R7" i="14" s="1"/>
  <c r="Z27" i="10"/>
  <c r="R5" i="13" s="1"/>
  <c r="Z20" i="10"/>
  <c r="R5" i="12" s="1"/>
  <c r="Z26" i="10"/>
  <c r="R4" i="13" s="1"/>
  <c r="Z43" i="10"/>
  <c r="R7" i="15" s="1"/>
  <c r="Z56" i="10"/>
  <c r="R6" i="17" s="1"/>
  <c r="Z37" i="10"/>
  <c r="R8" i="14" s="1"/>
  <c r="Z46" i="10"/>
  <c r="R3" i="16" s="1"/>
  <c r="Z65" i="10"/>
  <c r="R8" i="18" s="1"/>
  <c r="Z78" i="10"/>
  <c r="R7" i="20" s="1"/>
  <c r="Z35" i="10"/>
  <c r="R6" i="14" s="1"/>
  <c r="Z32" i="10"/>
  <c r="R3" i="14" s="1"/>
  <c r="Z23" i="10"/>
  <c r="R8" i="12" s="1"/>
  <c r="Z38" i="10"/>
  <c r="R2" i="15" s="1"/>
  <c r="Z92" i="10"/>
  <c r="Z42" i="10"/>
  <c r="R6" i="15" s="1"/>
  <c r="Z54" i="10"/>
  <c r="R4" i="17" s="1"/>
  <c r="Z50" i="10"/>
  <c r="R7" i="16" s="1"/>
  <c r="Z33" i="10"/>
  <c r="R4" i="14" s="1"/>
  <c r="Z59" i="10"/>
  <c r="R2" i="18" s="1"/>
  <c r="Z53" i="10"/>
  <c r="R3" i="17" s="1"/>
  <c r="Z45" i="10"/>
  <c r="R2" i="16" s="1"/>
  <c r="Z77" i="10"/>
  <c r="R6" i="20" s="1"/>
  <c r="Z68" i="10"/>
  <c r="R4" i="19" s="1"/>
  <c r="Z88" i="10"/>
  <c r="Z19" i="10"/>
  <c r="R4" i="12" s="1"/>
  <c r="Z70" i="10"/>
  <c r="R6" i="19" s="1"/>
  <c r="Z76" i="10"/>
  <c r="R5" i="20" s="1"/>
  <c r="Z66" i="10"/>
  <c r="R2" i="19" s="1"/>
  <c r="Z69" i="10"/>
  <c r="R5" i="19" s="1"/>
  <c r="Z40" i="10"/>
  <c r="R4" i="15" s="1"/>
  <c r="Z61" i="10"/>
  <c r="R4" i="18" s="1"/>
  <c r="Z49" i="10"/>
  <c r="R6" i="16" s="1"/>
  <c r="Z25" i="10"/>
  <c r="R3" i="13" s="1"/>
  <c r="Z93" i="10"/>
  <c r="Z67" i="10"/>
  <c r="R3" i="19" s="1"/>
  <c r="Z48" i="10"/>
  <c r="R5" i="16" s="1"/>
  <c r="Z74" i="10"/>
  <c r="R3" i="20" s="1"/>
  <c r="Z30" i="10"/>
  <c r="R8" i="13" s="1"/>
  <c r="Z73" i="10"/>
  <c r="R2" i="20" s="1"/>
  <c r="Z22" i="10"/>
  <c r="R7" i="12" s="1"/>
  <c r="Z34" i="10"/>
  <c r="R5" i="14" s="1"/>
  <c r="Z28" i="10"/>
  <c r="R6" i="13" s="1"/>
  <c r="Z52" i="10"/>
  <c r="R2" i="17" s="1"/>
  <c r="Z55" i="10"/>
  <c r="R5" i="17" s="1"/>
  <c r="Z13" i="10"/>
  <c r="R5" i="11" s="1"/>
  <c r="Z11" i="10"/>
  <c r="R3" i="11" s="1"/>
  <c r="Z85" i="10"/>
  <c r="R7" i="21" s="1"/>
  <c r="Z81" i="10"/>
  <c r="R3" i="21" s="1"/>
  <c r="Z15" i="10"/>
  <c r="R7" i="11" s="1"/>
  <c r="Z16" i="10"/>
  <c r="R8" i="11" s="1"/>
  <c r="Z82" i="10"/>
  <c r="R4" i="21" s="1"/>
  <c r="Z83" i="10"/>
  <c r="R5" i="21" s="1"/>
  <c r="Z12" i="10"/>
  <c r="R4" i="11" s="1"/>
  <c r="Z86" i="10"/>
  <c r="R8" i="21" s="1"/>
  <c r="S1" i="19" l="1"/>
  <c r="S1" i="16"/>
  <c r="S1" i="20"/>
  <c r="S1" i="17"/>
  <c r="S1" i="11"/>
  <c r="S1" i="13"/>
  <c r="S1" i="12"/>
  <c r="AA90" i="10"/>
  <c r="S1" i="22"/>
  <c r="S1" i="15"/>
  <c r="S1" i="21"/>
  <c r="S1" i="14"/>
  <c r="AA64" i="10"/>
  <c r="S7" i="18" s="1"/>
  <c r="AA63" i="10"/>
  <c r="S6" i="18" s="1"/>
  <c r="AA89" i="10"/>
  <c r="AA65" i="10"/>
  <c r="S8" i="18" s="1"/>
  <c r="AA61" i="10"/>
  <c r="S4" i="18" s="1"/>
  <c r="AA44" i="10"/>
  <c r="S8" i="15" s="1"/>
  <c r="AA39" i="10"/>
  <c r="S3" i="15" s="1"/>
  <c r="AA49" i="10"/>
  <c r="S6" i="16" s="1"/>
  <c r="AA75" i="10"/>
  <c r="S4" i="20" s="1"/>
  <c r="AB9" i="10"/>
  <c r="AA60" i="10"/>
  <c r="S3" i="18" s="1"/>
  <c r="AA79" i="10"/>
  <c r="S8" i="20" s="1"/>
  <c r="AA62" i="10"/>
  <c r="S5" i="18" s="1"/>
  <c r="AA51" i="10"/>
  <c r="S8" i="16" s="1"/>
  <c r="AA70" i="10"/>
  <c r="S6" i="19" s="1"/>
  <c r="AA41" i="10"/>
  <c r="S5" i="15" s="1"/>
  <c r="AA67" i="10"/>
  <c r="S3" i="19" s="1"/>
  <c r="AA72" i="10"/>
  <c r="S8" i="19" s="1"/>
  <c r="AA91" i="10"/>
  <c r="AA35" i="10"/>
  <c r="S6" i="14" s="1"/>
  <c r="AA59" i="10"/>
  <c r="S2" i="18" s="1"/>
  <c r="S1" i="18"/>
  <c r="AA74" i="10"/>
  <c r="S3" i="20" s="1"/>
  <c r="AA29" i="10"/>
  <c r="S7" i="13" s="1"/>
  <c r="AA56" i="10"/>
  <c r="S6" i="17" s="1"/>
  <c r="AA26" i="10"/>
  <c r="S4" i="13" s="1"/>
  <c r="AA27" i="10"/>
  <c r="S5" i="13" s="1"/>
  <c r="AA57" i="10"/>
  <c r="S7" i="17" s="1"/>
  <c r="AA19" i="10"/>
  <c r="S4" i="12" s="1"/>
  <c r="AA22" i="10"/>
  <c r="S7" i="12" s="1"/>
  <c r="AA78" i="10"/>
  <c r="S7" i="20" s="1"/>
  <c r="AA18" i="10"/>
  <c r="S3" i="12" s="1"/>
  <c r="AA92" i="10"/>
  <c r="AA38" i="10"/>
  <c r="S2" i="15" s="1"/>
  <c r="AA30" i="10"/>
  <c r="S8" i="13" s="1"/>
  <c r="AA48" i="10"/>
  <c r="S5" i="16" s="1"/>
  <c r="AA47" i="10"/>
  <c r="S4" i="16" s="1"/>
  <c r="AA23" i="10"/>
  <c r="S8" i="12" s="1"/>
  <c r="AA73" i="10"/>
  <c r="S2" i="20" s="1"/>
  <c r="AA88" i="10"/>
  <c r="AA45" i="10"/>
  <c r="S2" i="16" s="1"/>
  <c r="AA87" i="10"/>
  <c r="AA46" i="10"/>
  <c r="S3" i="16" s="1"/>
  <c r="AA36" i="10"/>
  <c r="S7" i="14" s="1"/>
  <c r="AA42" i="10"/>
  <c r="S6" i="15" s="1"/>
  <c r="AA20" i="10"/>
  <c r="S5" i="12" s="1"/>
  <c r="AA69" i="10"/>
  <c r="S5" i="19" s="1"/>
  <c r="AA53" i="10"/>
  <c r="S3" i="17" s="1"/>
  <c r="AA34" i="10"/>
  <c r="S5" i="14" s="1"/>
  <c r="AA58" i="10"/>
  <c r="S8" i="17" s="1"/>
  <c r="AA77" i="10"/>
  <c r="S6" i="20" s="1"/>
  <c r="AA50" i="10"/>
  <c r="S7" i="16" s="1"/>
  <c r="AA28" i="10"/>
  <c r="S6" i="13" s="1"/>
  <c r="AA93" i="10"/>
  <c r="AA25" i="10"/>
  <c r="S3" i="13" s="1"/>
  <c r="AA32" i="10"/>
  <c r="S3" i="14" s="1"/>
  <c r="AA54" i="10"/>
  <c r="S4" i="17" s="1"/>
  <c r="AA68" i="10"/>
  <c r="S4" i="19" s="1"/>
  <c r="AA76" i="10"/>
  <c r="S5" i="20" s="1"/>
  <c r="AA37" i="10"/>
  <c r="S8" i="14" s="1"/>
  <c r="AA43" i="10"/>
  <c r="S7" i="15" s="1"/>
  <c r="AA66" i="10"/>
  <c r="S2" i="19" s="1"/>
  <c r="AA40" i="10"/>
  <c r="S4" i="15" s="1"/>
  <c r="AA71" i="10"/>
  <c r="S7" i="19" s="1"/>
  <c r="AA33" i="10"/>
  <c r="S4" i="14" s="1"/>
  <c r="AA52" i="10"/>
  <c r="S2" i="17" s="1"/>
  <c r="AA55" i="10"/>
  <c r="S5" i="17" s="1"/>
  <c r="AA11" i="10"/>
  <c r="S3" i="11" s="1"/>
  <c r="AA13" i="10"/>
  <c r="S5" i="11" s="1"/>
  <c r="AA83" i="10"/>
  <c r="S5" i="21" s="1"/>
  <c r="AA16" i="10"/>
  <c r="S8" i="11" s="1"/>
  <c r="AA12" i="10"/>
  <c r="S4" i="11" s="1"/>
  <c r="AA85" i="10"/>
  <c r="S7" i="21" s="1"/>
  <c r="AA82" i="10"/>
  <c r="S4" i="21" s="1"/>
  <c r="AA15" i="10"/>
  <c r="S7" i="11" s="1"/>
  <c r="AA81" i="10"/>
  <c r="S3" i="21" s="1"/>
  <c r="AA86" i="10"/>
  <c r="S8" i="21" s="1"/>
  <c r="T1" i="16" l="1"/>
  <c r="T1" i="11"/>
  <c r="T1" i="22"/>
  <c r="T1" i="19"/>
  <c r="T1" i="20"/>
  <c r="T1" i="13"/>
  <c r="T1" i="21"/>
  <c r="AB89" i="10"/>
  <c r="T1" i="12"/>
  <c r="T1" i="18"/>
  <c r="AB90" i="10"/>
  <c r="AB39" i="10"/>
  <c r="T3" i="15" s="1"/>
  <c r="T1" i="15"/>
  <c r="AB64" i="10"/>
  <c r="T7" i="18" s="1"/>
  <c r="T1" i="17"/>
  <c r="AB60" i="10"/>
  <c r="T3" i="18" s="1"/>
  <c r="AB44" i="10"/>
  <c r="T8" i="15" s="1"/>
  <c r="AB58" i="10"/>
  <c r="T8" i="17" s="1"/>
  <c r="AB53" i="10"/>
  <c r="T3" i="17" s="1"/>
  <c r="AB49" i="10"/>
  <c r="T6" i="16" s="1"/>
  <c r="AB32" i="10"/>
  <c r="T3" i="14" s="1"/>
  <c r="AB75" i="10"/>
  <c r="T4" i="20" s="1"/>
  <c r="AC9" i="10"/>
  <c r="AB79" i="10"/>
  <c r="T8" i="20" s="1"/>
  <c r="AB62" i="10"/>
  <c r="T5" i="18" s="1"/>
  <c r="AB41" i="10"/>
  <c r="T5" i="15" s="1"/>
  <c r="AB92" i="10"/>
  <c r="T1" i="14"/>
  <c r="AB57" i="10"/>
  <c r="T7" i="17" s="1"/>
  <c r="AB46" i="10"/>
  <c r="T3" i="16" s="1"/>
  <c r="AB63" i="10"/>
  <c r="T6" i="18" s="1"/>
  <c r="AB74" i="10"/>
  <c r="T3" i="20" s="1"/>
  <c r="AB30" i="10"/>
  <c r="T8" i="13" s="1"/>
  <c r="AB22" i="10"/>
  <c r="T7" i="12" s="1"/>
  <c r="AB29" i="10"/>
  <c r="T7" i="13" s="1"/>
  <c r="AB33" i="10"/>
  <c r="T4" i="14" s="1"/>
  <c r="AB72" i="10"/>
  <c r="T8" i="19" s="1"/>
  <c r="AB18" i="10"/>
  <c r="T3" i="12" s="1"/>
  <c r="AB35" i="10"/>
  <c r="T6" i="14" s="1"/>
  <c r="AB43" i="10"/>
  <c r="T7" i="15" s="1"/>
  <c r="AB51" i="10"/>
  <c r="T8" i="16" s="1"/>
  <c r="AB54" i="10"/>
  <c r="T4" i="17" s="1"/>
  <c r="AB77" i="10"/>
  <c r="T6" i="20" s="1"/>
  <c r="AB65" i="10"/>
  <c r="T8" i="18" s="1"/>
  <c r="AB73" i="10"/>
  <c r="T2" i="20" s="1"/>
  <c r="AB19" i="10"/>
  <c r="T4" i="12" s="1"/>
  <c r="AB69" i="10"/>
  <c r="T5" i="19" s="1"/>
  <c r="AB45" i="10"/>
  <c r="T2" i="16" s="1"/>
  <c r="AB34" i="10"/>
  <c r="T5" i="14" s="1"/>
  <c r="AB27" i="10"/>
  <c r="T5" i="13" s="1"/>
  <c r="AB20" i="10"/>
  <c r="T5" i="12" s="1"/>
  <c r="AB26" i="10"/>
  <c r="T4" i="13" s="1"/>
  <c r="AB93" i="10"/>
  <c r="AB88" i="10"/>
  <c r="AB76" i="10"/>
  <c r="T5" i="20" s="1"/>
  <c r="AB87" i="10"/>
  <c r="AB48" i="10"/>
  <c r="T5" i="16" s="1"/>
  <c r="AB66" i="10"/>
  <c r="T2" i="19" s="1"/>
  <c r="AB78" i="10"/>
  <c r="T7" i="20" s="1"/>
  <c r="AB40" i="10"/>
  <c r="T4" i="15" s="1"/>
  <c r="AB91" i="10"/>
  <c r="AB28" i="10"/>
  <c r="T6" i="13" s="1"/>
  <c r="AB59" i="10"/>
  <c r="T2" i="18" s="1"/>
  <c r="AB36" i="10"/>
  <c r="T7" i="14" s="1"/>
  <c r="AB71" i="10"/>
  <c r="T7" i="19" s="1"/>
  <c r="AB56" i="10"/>
  <c r="T6" i="17" s="1"/>
  <c r="AB68" i="10"/>
  <c r="T4" i="19" s="1"/>
  <c r="AB61" i="10"/>
  <c r="T4" i="18" s="1"/>
  <c r="AB50" i="10"/>
  <c r="T7" i="16" s="1"/>
  <c r="AB38" i="10"/>
  <c r="T2" i="15" s="1"/>
  <c r="AB67" i="10"/>
  <c r="T3" i="19" s="1"/>
  <c r="AB23" i="10"/>
  <c r="T8" i="12" s="1"/>
  <c r="AB42" i="10"/>
  <c r="T6" i="15" s="1"/>
  <c r="AB25" i="10"/>
  <c r="T3" i="13" s="1"/>
  <c r="AB70" i="10"/>
  <c r="T6" i="19" s="1"/>
  <c r="AB37" i="10"/>
  <c r="T8" i="14" s="1"/>
  <c r="AB47" i="10"/>
  <c r="T4" i="16" s="1"/>
  <c r="AB52" i="10"/>
  <c r="T2" i="17" s="1"/>
  <c r="AB55" i="10"/>
  <c r="T5" i="17" s="1"/>
  <c r="AB13" i="10"/>
  <c r="T5" i="11" s="1"/>
  <c r="AB11" i="10"/>
  <c r="T3" i="11" s="1"/>
  <c r="AB83" i="10"/>
  <c r="T5" i="21" s="1"/>
  <c r="AB15" i="10"/>
  <c r="T7" i="11" s="1"/>
  <c r="AB85" i="10"/>
  <c r="T7" i="21" s="1"/>
  <c r="AB81" i="10"/>
  <c r="T3" i="21" s="1"/>
  <c r="AB16" i="10"/>
  <c r="T8" i="11" s="1"/>
  <c r="AB82" i="10"/>
  <c r="T4" i="21" s="1"/>
  <c r="AB12" i="10"/>
  <c r="T4" i="11" s="1"/>
  <c r="AB86" i="10"/>
  <c r="T8" i="21" s="1"/>
  <c r="U1" i="15" l="1"/>
  <c r="U1" i="22"/>
  <c r="U1" i="21"/>
  <c r="U1" i="12"/>
  <c r="U1" i="11"/>
  <c r="U1" i="14"/>
  <c r="U1" i="17"/>
  <c r="U1" i="16"/>
  <c r="U1" i="20"/>
  <c r="U1" i="13"/>
  <c r="U1" i="19"/>
  <c r="AC89" i="10"/>
  <c r="AC90" i="10"/>
  <c r="AC79" i="10"/>
  <c r="U8" i="20" s="1"/>
  <c r="AC91" i="10"/>
  <c r="AC60" i="10"/>
  <c r="U3" i="18" s="1"/>
  <c r="AC64" i="10"/>
  <c r="U7" i="18" s="1"/>
  <c r="AC65" i="10"/>
  <c r="U8" i="18" s="1"/>
  <c r="U1" i="18"/>
  <c r="AC88" i="10"/>
  <c r="AC68" i="10"/>
  <c r="U4" i="19" s="1"/>
  <c r="AC61" i="10"/>
  <c r="U4" i="18" s="1"/>
  <c r="AC44" i="10"/>
  <c r="U8" i="15" s="1"/>
  <c r="AC58" i="10"/>
  <c r="U8" i="17" s="1"/>
  <c r="AC53" i="10"/>
  <c r="U3" i="17" s="1"/>
  <c r="AC49" i="10"/>
  <c r="U6" i="16" s="1"/>
  <c r="AC39" i="10"/>
  <c r="U3" i="15" s="1"/>
  <c r="AC32" i="10"/>
  <c r="U3" i="14" s="1"/>
  <c r="AC70" i="10"/>
  <c r="U6" i="19" s="1"/>
  <c r="AC47" i="10"/>
  <c r="U4" i="16" s="1"/>
  <c r="AC41" i="10"/>
  <c r="U5" i="15" s="1"/>
  <c r="AC75" i="10"/>
  <c r="U4" i="20" s="1"/>
  <c r="AC29" i="10"/>
  <c r="U7" i="13" s="1"/>
  <c r="AD9" i="10"/>
  <c r="AC72" i="10"/>
  <c r="U8" i="19" s="1"/>
  <c r="AC20" i="10"/>
  <c r="U5" i="12" s="1"/>
  <c r="AC63" i="10"/>
  <c r="U6" i="18" s="1"/>
  <c r="AC26" i="10"/>
  <c r="U4" i="13" s="1"/>
  <c r="AC57" i="10"/>
  <c r="U7" i="17" s="1"/>
  <c r="AC28" i="10"/>
  <c r="U6" i="13" s="1"/>
  <c r="AC48" i="10"/>
  <c r="U5" i="16" s="1"/>
  <c r="AC18" i="10"/>
  <c r="U3" i="12" s="1"/>
  <c r="AC56" i="10"/>
  <c r="U6" i="17" s="1"/>
  <c r="AC78" i="10"/>
  <c r="U7" i="20" s="1"/>
  <c r="AC87" i="10"/>
  <c r="AC30" i="10"/>
  <c r="U8" i="13" s="1"/>
  <c r="AC59" i="10"/>
  <c r="U2" i="18" s="1"/>
  <c r="AC92" i="10"/>
  <c r="AC51" i="10"/>
  <c r="U8" i="16" s="1"/>
  <c r="AC23" i="10"/>
  <c r="U8" i="12" s="1"/>
  <c r="AC27" i="10"/>
  <c r="U5" i="13" s="1"/>
  <c r="AC93" i="10"/>
  <c r="AC19" i="10"/>
  <c r="U4" i="12" s="1"/>
  <c r="AC43" i="10"/>
  <c r="U7" i="15" s="1"/>
  <c r="AC67" i="10"/>
  <c r="U3" i="19" s="1"/>
  <c r="AC33" i="10"/>
  <c r="U4" i="14" s="1"/>
  <c r="AC40" i="10"/>
  <c r="U4" i="15" s="1"/>
  <c r="AC38" i="10"/>
  <c r="U2" i="15" s="1"/>
  <c r="AC37" i="10"/>
  <c r="U8" i="14" s="1"/>
  <c r="AC34" i="10"/>
  <c r="U5" i="14" s="1"/>
  <c r="AC69" i="10"/>
  <c r="U5" i="19" s="1"/>
  <c r="AC73" i="10"/>
  <c r="U2" i="20" s="1"/>
  <c r="AC54" i="10"/>
  <c r="U4" i="17" s="1"/>
  <c r="AC45" i="10"/>
  <c r="U2" i="16" s="1"/>
  <c r="AC46" i="10"/>
  <c r="U3" i="16" s="1"/>
  <c r="AC62" i="10"/>
  <c r="U5" i="18" s="1"/>
  <c r="AC35" i="10"/>
  <c r="U6" i="14" s="1"/>
  <c r="AC22" i="10"/>
  <c r="U7" i="12" s="1"/>
  <c r="AC25" i="10"/>
  <c r="U3" i="13" s="1"/>
  <c r="AC50" i="10"/>
  <c r="U7" i="16" s="1"/>
  <c r="AC77" i="10"/>
  <c r="U6" i="20" s="1"/>
  <c r="AC42" i="10"/>
  <c r="U6" i="15" s="1"/>
  <c r="AC66" i="10"/>
  <c r="U2" i="19" s="1"/>
  <c r="AC36" i="10"/>
  <c r="U7" i="14" s="1"/>
  <c r="AC71" i="10"/>
  <c r="U7" i="19" s="1"/>
  <c r="AC74" i="10"/>
  <c r="U3" i="20" s="1"/>
  <c r="AC76" i="10"/>
  <c r="U5" i="20" s="1"/>
  <c r="AC52" i="10"/>
  <c r="U2" i="17" s="1"/>
  <c r="AC55" i="10"/>
  <c r="U5" i="17" s="1"/>
  <c r="AC13" i="10"/>
  <c r="U5" i="11" s="1"/>
  <c r="AC11" i="10"/>
  <c r="U3" i="11" s="1"/>
  <c r="AC15" i="10"/>
  <c r="U7" i="11" s="1"/>
  <c r="AC82" i="10"/>
  <c r="U4" i="21" s="1"/>
  <c r="AC16" i="10"/>
  <c r="U8" i="11" s="1"/>
  <c r="AC83" i="10"/>
  <c r="U5" i="21" s="1"/>
  <c r="AC85" i="10"/>
  <c r="U7" i="21" s="1"/>
  <c r="AC12" i="10"/>
  <c r="U4" i="11" s="1"/>
  <c r="AC81" i="10"/>
  <c r="U3" i="21" s="1"/>
  <c r="AC86" i="10"/>
  <c r="U8" i="21" s="1"/>
  <c r="V1" i="20" l="1"/>
  <c r="V1" i="21"/>
  <c r="V1" i="16"/>
  <c r="V1" i="15"/>
  <c r="V1" i="14"/>
  <c r="V1" i="17"/>
  <c r="V1" i="13"/>
  <c r="V1" i="11"/>
  <c r="AD75" i="10"/>
  <c r="V4" i="20" s="1"/>
  <c r="AD72" i="10"/>
  <c r="V8" i="19" s="1"/>
  <c r="V1" i="22"/>
  <c r="V1" i="19"/>
  <c r="V1" i="12"/>
  <c r="AD79" i="10"/>
  <c r="V8" i="20" s="1"/>
  <c r="AD65" i="10"/>
  <c r="V8" i="18" s="1"/>
  <c r="AD64" i="10"/>
  <c r="V7" i="18" s="1"/>
  <c r="AD92" i="10"/>
  <c r="AD71" i="10"/>
  <c r="V7" i="19" s="1"/>
  <c r="AD91" i="10"/>
  <c r="V1" i="18"/>
  <c r="AD58" i="10"/>
  <c r="V8" i="17" s="1"/>
  <c r="AD53" i="10"/>
  <c r="V3" i="17" s="1"/>
  <c r="AD49" i="10"/>
  <c r="V6" i="16" s="1"/>
  <c r="AE9" i="10"/>
  <c r="AD62" i="10"/>
  <c r="V5" i="18" s="1"/>
  <c r="AD59" i="10"/>
  <c r="V2" i="18" s="1"/>
  <c r="AD70" i="10"/>
  <c r="V6" i="19" s="1"/>
  <c r="AD61" i="10"/>
  <c r="V4" i="18" s="1"/>
  <c r="AD51" i="10"/>
  <c r="V8" i="16" s="1"/>
  <c r="AD74" i="10"/>
  <c r="V3" i="20" s="1"/>
  <c r="AD32" i="10"/>
  <c r="V3" i="14" s="1"/>
  <c r="AD37" i="10"/>
  <c r="V8" i="14" s="1"/>
  <c r="AD36" i="10"/>
  <c r="V7" i="14" s="1"/>
  <c r="AD60" i="10"/>
  <c r="V3" i="18" s="1"/>
  <c r="AD40" i="10"/>
  <c r="V4" i="15" s="1"/>
  <c r="AD48" i="10"/>
  <c r="V5" i="16" s="1"/>
  <c r="AD18" i="10"/>
  <c r="V3" i="12" s="1"/>
  <c r="AD56" i="10"/>
  <c r="V6" i="17" s="1"/>
  <c r="AD26" i="10"/>
  <c r="V4" i="13" s="1"/>
  <c r="AD35" i="10"/>
  <c r="V6" i="14" s="1"/>
  <c r="AD77" i="10"/>
  <c r="V6" i="20" s="1"/>
  <c r="AD28" i="10"/>
  <c r="V6" i="13" s="1"/>
  <c r="AD30" i="10"/>
  <c r="V8" i="13" s="1"/>
  <c r="AD20" i="10"/>
  <c r="V5" i="12" s="1"/>
  <c r="AD93" i="10"/>
  <c r="AD22" i="10"/>
  <c r="V7" i="12" s="1"/>
  <c r="AD38" i="10"/>
  <c r="V2" i="15" s="1"/>
  <c r="AD66" i="10"/>
  <c r="V2" i="19" s="1"/>
  <c r="AD63" i="10"/>
  <c r="V6" i="18" s="1"/>
  <c r="AD45" i="10"/>
  <c r="V2" i="16" s="1"/>
  <c r="AD44" i="10"/>
  <c r="V8" i="15" s="1"/>
  <c r="AD33" i="10"/>
  <c r="V4" i="14" s="1"/>
  <c r="AD27" i="10"/>
  <c r="V5" i="13" s="1"/>
  <c r="AD41" i="10"/>
  <c r="V5" i="15" s="1"/>
  <c r="AD47" i="10"/>
  <c r="V4" i="16" s="1"/>
  <c r="AD73" i="10"/>
  <c r="V2" i="20" s="1"/>
  <c r="AD69" i="10"/>
  <c r="V5" i="19" s="1"/>
  <c r="AD87" i="10"/>
  <c r="AD39" i="10"/>
  <c r="V3" i="15" s="1"/>
  <c r="AD57" i="10"/>
  <c r="V7" i="17" s="1"/>
  <c r="AD19" i="10"/>
  <c r="V4" i="12" s="1"/>
  <c r="AD89" i="10"/>
  <c r="AD67" i="10"/>
  <c r="V3" i="19" s="1"/>
  <c r="AD68" i="10"/>
  <c r="V4" i="19" s="1"/>
  <c r="AD50" i="10"/>
  <c r="V7" i="16" s="1"/>
  <c r="AD88" i="10"/>
  <c r="AD78" i="10"/>
  <c r="V7" i="20" s="1"/>
  <c r="AD54" i="10"/>
  <c r="V4" i="17" s="1"/>
  <c r="AD34" i="10"/>
  <c r="V5" i="14" s="1"/>
  <c r="AD42" i="10"/>
  <c r="V6" i="15" s="1"/>
  <c r="AD46" i="10"/>
  <c r="V3" i="16" s="1"/>
  <c r="AD23" i="10"/>
  <c r="V8" i="12" s="1"/>
  <c r="AD90" i="10"/>
  <c r="AD76" i="10"/>
  <c r="V5" i="20" s="1"/>
  <c r="AD29" i="10"/>
  <c r="V7" i="13" s="1"/>
  <c r="AD25" i="10"/>
  <c r="V3" i="13" s="1"/>
  <c r="AD43" i="10"/>
  <c r="V7" i="15" s="1"/>
  <c r="AD52" i="10"/>
  <c r="V2" i="17" s="1"/>
  <c r="AD55" i="10"/>
  <c r="V5" i="17" s="1"/>
  <c r="AD13" i="10"/>
  <c r="V5" i="11" s="1"/>
  <c r="AD11" i="10"/>
  <c r="V3" i="11" s="1"/>
  <c r="AD82" i="10"/>
  <c r="V4" i="21" s="1"/>
  <c r="AD12" i="10"/>
  <c r="V4" i="11" s="1"/>
  <c r="AD81" i="10"/>
  <c r="V3" i="21" s="1"/>
  <c r="AD16" i="10"/>
  <c r="V8" i="11" s="1"/>
  <c r="AD15" i="10"/>
  <c r="V7" i="11" s="1"/>
  <c r="AD85" i="10"/>
  <c r="V7" i="21" s="1"/>
  <c r="AD83" i="10"/>
  <c r="V5" i="21" s="1"/>
  <c r="AD86" i="10"/>
  <c r="V8" i="21" s="1"/>
  <c r="W1" i="20" l="1"/>
  <c r="W1" i="21"/>
  <c r="W1" i="18"/>
  <c r="W1" i="16"/>
  <c r="W1" i="13"/>
  <c r="W1" i="14"/>
  <c r="AE89" i="10"/>
  <c r="W1" i="22"/>
  <c r="W1" i="11"/>
  <c r="W1" i="17"/>
  <c r="W1" i="19"/>
  <c r="AE64" i="10"/>
  <c r="W7" i="18" s="1"/>
  <c r="AE39" i="10"/>
  <c r="W3" i="15" s="1"/>
  <c r="AE71" i="10"/>
  <c r="W7" i="19" s="1"/>
  <c r="W1" i="15"/>
  <c r="AE91" i="10"/>
  <c r="AE26" i="10"/>
  <c r="W4" i="13" s="1"/>
  <c r="W1" i="12"/>
  <c r="AE70" i="10"/>
  <c r="W6" i="19" s="1"/>
  <c r="AE90" i="10"/>
  <c r="AF9" i="10"/>
  <c r="AE62" i="10"/>
  <c r="W5" i="18" s="1"/>
  <c r="AE79" i="10"/>
  <c r="W8" i="20" s="1"/>
  <c r="AE73" i="10"/>
  <c r="W2" i="20" s="1"/>
  <c r="AE59" i="10"/>
  <c r="W2" i="18" s="1"/>
  <c r="AE68" i="10"/>
  <c r="W4" i="19" s="1"/>
  <c r="AE18" i="10"/>
  <c r="W3" i="12" s="1"/>
  <c r="AE49" i="10"/>
  <c r="W6" i="16" s="1"/>
  <c r="AE92" i="10"/>
  <c r="AE78" i="10"/>
  <c r="W7" i="20" s="1"/>
  <c r="AE61" i="10"/>
  <c r="W4" i="18" s="1"/>
  <c r="AE76" i="10"/>
  <c r="W5" i="20" s="1"/>
  <c r="AE63" i="10"/>
  <c r="W6" i="18" s="1"/>
  <c r="AE20" i="10"/>
  <c r="W5" i="12" s="1"/>
  <c r="AE30" i="10"/>
  <c r="W8" i="13" s="1"/>
  <c r="AE56" i="10"/>
  <c r="W6" i="17" s="1"/>
  <c r="AE44" i="10"/>
  <c r="W8" i="15" s="1"/>
  <c r="AE35" i="10"/>
  <c r="W6" i="14" s="1"/>
  <c r="AE28" i="10"/>
  <c r="W6" i="13" s="1"/>
  <c r="AE72" i="10"/>
  <c r="W8" i="19" s="1"/>
  <c r="AE36" i="10"/>
  <c r="W7" i="14" s="1"/>
  <c r="AE27" i="10"/>
  <c r="W5" i="13" s="1"/>
  <c r="AE69" i="10"/>
  <c r="W5" i="19" s="1"/>
  <c r="AE48" i="10"/>
  <c r="W5" i="16" s="1"/>
  <c r="AE88" i="10"/>
  <c r="AE29" i="10"/>
  <c r="W7" i="13" s="1"/>
  <c r="AE38" i="10"/>
  <c r="W2" i="15" s="1"/>
  <c r="AE54" i="10"/>
  <c r="W4" i="17" s="1"/>
  <c r="AE25" i="10"/>
  <c r="W3" i="13" s="1"/>
  <c r="AE47" i="10"/>
  <c r="W4" i="16" s="1"/>
  <c r="AE50" i="10"/>
  <c r="W7" i="16" s="1"/>
  <c r="AE46" i="10"/>
  <c r="W3" i="16" s="1"/>
  <c r="AE60" i="10"/>
  <c r="W3" i="18" s="1"/>
  <c r="AE19" i="10"/>
  <c r="W4" i="12" s="1"/>
  <c r="AE41" i="10"/>
  <c r="W5" i="15" s="1"/>
  <c r="AE53" i="10"/>
  <c r="W3" i="17" s="1"/>
  <c r="AE65" i="10"/>
  <c r="W8" i="18" s="1"/>
  <c r="AE67" i="10"/>
  <c r="W3" i="19" s="1"/>
  <c r="AE66" i="10"/>
  <c r="W2" i="19" s="1"/>
  <c r="AE93" i="10"/>
  <c r="AE58" i="10"/>
  <c r="W8" i="17" s="1"/>
  <c r="AE22" i="10"/>
  <c r="W7" i="12" s="1"/>
  <c r="AE57" i="10"/>
  <c r="W7" i="17" s="1"/>
  <c r="AE87" i="10"/>
  <c r="AE74" i="10"/>
  <c r="W3" i="20" s="1"/>
  <c r="AE32" i="10"/>
  <c r="W3" i="14" s="1"/>
  <c r="AE34" i="10"/>
  <c r="W5" i="14" s="1"/>
  <c r="AE77" i="10"/>
  <c r="W6" i="20" s="1"/>
  <c r="AE37" i="10"/>
  <c r="W8" i="14" s="1"/>
  <c r="AE33" i="10"/>
  <c r="W4" i="14" s="1"/>
  <c r="AE42" i="10"/>
  <c r="W6" i="15" s="1"/>
  <c r="AE45" i="10"/>
  <c r="W2" i="16" s="1"/>
  <c r="AE23" i="10"/>
  <c r="W8" i="12" s="1"/>
  <c r="AE43" i="10"/>
  <c r="W7" i="15" s="1"/>
  <c r="AE75" i="10"/>
  <c r="W4" i="20" s="1"/>
  <c r="AE40" i="10"/>
  <c r="W4" i="15" s="1"/>
  <c r="AE51" i="10"/>
  <c r="W8" i="16" s="1"/>
  <c r="AE52" i="10"/>
  <c r="W2" i="17" s="1"/>
  <c r="AE55" i="10"/>
  <c r="W5" i="17" s="1"/>
  <c r="AE11" i="10"/>
  <c r="W3" i="11" s="1"/>
  <c r="AE13" i="10"/>
  <c r="W5" i="11" s="1"/>
  <c r="AE12" i="10"/>
  <c r="W4" i="11" s="1"/>
  <c r="AE83" i="10"/>
  <c r="W5" i="21" s="1"/>
  <c r="AE82" i="10"/>
  <c r="W4" i="21" s="1"/>
  <c r="AE81" i="10"/>
  <c r="W3" i="21" s="1"/>
  <c r="AE85" i="10"/>
  <c r="W7" i="21" s="1"/>
  <c r="AE16" i="10"/>
  <c r="W8" i="11" s="1"/>
  <c r="AE15" i="10"/>
  <c r="W7" i="11" s="1"/>
  <c r="AE86" i="10"/>
  <c r="W8" i="21" s="1"/>
  <c r="X1" i="20" l="1"/>
  <c r="X1" i="17"/>
  <c r="X1" i="19"/>
  <c r="X1" i="22"/>
  <c r="X1" i="18"/>
  <c r="X1" i="14"/>
  <c r="X1" i="21"/>
  <c r="X1" i="15"/>
  <c r="X1" i="12"/>
  <c r="X1" i="11"/>
  <c r="X1" i="16"/>
  <c r="AF75" i="10"/>
  <c r="X4" i="20" s="1"/>
  <c r="AF90" i="10"/>
  <c r="AF65" i="10"/>
  <c r="X8" i="18" s="1"/>
  <c r="AF39" i="10"/>
  <c r="X3" i="15" s="1"/>
  <c r="AF72" i="10"/>
  <c r="X8" i="19" s="1"/>
  <c r="AF44" i="10"/>
  <c r="X8" i="15" s="1"/>
  <c r="AF61" i="10"/>
  <c r="X4" i="18" s="1"/>
  <c r="AF60" i="10"/>
  <c r="X3" i="18" s="1"/>
  <c r="AG9" i="10"/>
  <c r="AF91" i="10"/>
  <c r="AF89" i="10"/>
  <c r="AF87" i="10"/>
  <c r="AF79" i="10"/>
  <c r="X8" i="20" s="1"/>
  <c r="AF71" i="10"/>
  <c r="X7" i="19" s="1"/>
  <c r="AF76" i="10"/>
  <c r="X5" i="20" s="1"/>
  <c r="AF92" i="10"/>
  <c r="X1" i="13"/>
  <c r="AF88" i="10"/>
  <c r="AF53" i="10"/>
  <c r="X3" i="17" s="1"/>
  <c r="AF35" i="10"/>
  <c r="X6" i="14" s="1"/>
  <c r="AF58" i="10"/>
  <c r="X8" i="17" s="1"/>
  <c r="AF18" i="10"/>
  <c r="X3" i="12" s="1"/>
  <c r="AF48" i="10"/>
  <c r="X5" i="16" s="1"/>
  <c r="AF57" i="10"/>
  <c r="X7" i="17" s="1"/>
  <c r="AF46" i="10"/>
  <c r="X3" i="16" s="1"/>
  <c r="AF47" i="10"/>
  <c r="X4" i="16" s="1"/>
  <c r="AF28" i="10"/>
  <c r="X6" i="13" s="1"/>
  <c r="AF68" i="10"/>
  <c r="X4" i="19" s="1"/>
  <c r="AF74" i="10"/>
  <c r="X3" i="20" s="1"/>
  <c r="AF50" i="10"/>
  <c r="X7" i="16" s="1"/>
  <c r="AF38" i="10"/>
  <c r="X2" i="15" s="1"/>
  <c r="AF30" i="10"/>
  <c r="X8" i="13" s="1"/>
  <c r="AF20" i="10"/>
  <c r="X5" i="12" s="1"/>
  <c r="AF66" i="10"/>
  <c r="X2" i="19" s="1"/>
  <c r="AF37" i="10"/>
  <c r="X8" i="14" s="1"/>
  <c r="AF41" i="10"/>
  <c r="X5" i="15" s="1"/>
  <c r="AF26" i="10"/>
  <c r="X4" i="13" s="1"/>
  <c r="AF56" i="10"/>
  <c r="X6" i="17" s="1"/>
  <c r="AF34" i="10"/>
  <c r="X5" i="14" s="1"/>
  <c r="AF69" i="10"/>
  <c r="X5" i="19" s="1"/>
  <c r="AF62" i="10"/>
  <c r="X5" i="18" s="1"/>
  <c r="AF33" i="10"/>
  <c r="X4" i="14" s="1"/>
  <c r="AF54" i="10"/>
  <c r="X4" i="17" s="1"/>
  <c r="AF40" i="10"/>
  <c r="X4" i="15" s="1"/>
  <c r="AF64" i="10"/>
  <c r="X7" i="18" s="1"/>
  <c r="AF67" i="10"/>
  <c r="X3" i="19" s="1"/>
  <c r="AF73" i="10"/>
  <c r="X2" i="20" s="1"/>
  <c r="AF32" i="10"/>
  <c r="X3" i="14" s="1"/>
  <c r="AF59" i="10"/>
  <c r="X2" i="18" s="1"/>
  <c r="AF45" i="10"/>
  <c r="X2" i="16" s="1"/>
  <c r="AF43" i="10"/>
  <c r="X7" i="15" s="1"/>
  <c r="AF42" i="10"/>
  <c r="X6" i="15" s="1"/>
  <c r="AF77" i="10"/>
  <c r="X6" i="20" s="1"/>
  <c r="AF78" i="10"/>
  <c r="X7" i="20" s="1"/>
  <c r="AF27" i="10"/>
  <c r="X5" i="13" s="1"/>
  <c r="AF19" i="10"/>
  <c r="X4" i="12" s="1"/>
  <c r="AF36" i="10"/>
  <c r="X7" i="14" s="1"/>
  <c r="AF51" i="10"/>
  <c r="X8" i="16" s="1"/>
  <c r="AF93" i="10"/>
  <c r="AF25" i="10"/>
  <c r="X3" i="13" s="1"/>
  <c r="AF23" i="10"/>
  <c r="X8" i="12" s="1"/>
  <c r="AF63" i="10"/>
  <c r="X6" i="18" s="1"/>
  <c r="AF22" i="10"/>
  <c r="X7" i="12" s="1"/>
  <c r="AF49" i="10"/>
  <c r="X6" i="16" s="1"/>
  <c r="AF29" i="10"/>
  <c r="X7" i="13" s="1"/>
  <c r="AF70" i="10"/>
  <c r="X6" i="19" s="1"/>
  <c r="AF52" i="10"/>
  <c r="X2" i="17" s="1"/>
  <c r="AF55" i="10"/>
  <c r="X5" i="17" s="1"/>
  <c r="AF11" i="10"/>
  <c r="X3" i="11" s="1"/>
  <c r="AF13" i="10"/>
  <c r="X5" i="11" s="1"/>
  <c r="AF12" i="10"/>
  <c r="X4" i="11" s="1"/>
  <c r="AF83" i="10"/>
  <c r="X5" i="21" s="1"/>
  <c r="AF15" i="10"/>
  <c r="X7" i="11" s="1"/>
  <c r="AF85" i="10"/>
  <c r="X7" i="21" s="1"/>
  <c r="AF82" i="10"/>
  <c r="X4" i="21" s="1"/>
  <c r="AF16" i="10"/>
  <c r="X8" i="11" s="1"/>
  <c r="AF81" i="10"/>
  <c r="X3" i="21" s="1"/>
  <c r="AF86" i="10"/>
  <c r="X8" i="21" s="1"/>
  <c r="Y1" i="17" l="1"/>
  <c r="Y1" i="14"/>
  <c r="Y1" i="21"/>
  <c r="Y1" i="16"/>
  <c r="Y1" i="19"/>
  <c r="Y1" i="18"/>
  <c r="Y1" i="13"/>
  <c r="AG89" i="10"/>
  <c r="Y1" i="20"/>
  <c r="AG90" i="10"/>
  <c r="Y1" i="22"/>
  <c r="Y1" i="11"/>
  <c r="AG91" i="10"/>
  <c r="AG64" i="10"/>
  <c r="Y7" i="18" s="1"/>
  <c r="AG65" i="10"/>
  <c r="Y8" i="18" s="1"/>
  <c r="Y1" i="12"/>
  <c r="AH9" i="10"/>
  <c r="AG75" i="10"/>
  <c r="Y4" i="20" s="1"/>
  <c r="AG59" i="10"/>
  <c r="Y2" i="18" s="1"/>
  <c r="AG35" i="10"/>
  <c r="Y6" i="14" s="1"/>
  <c r="AG36" i="10"/>
  <c r="Y7" i="14" s="1"/>
  <c r="AG78" i="10"/>
  <c r="Y7" i="20" s="1"/>
  <c r="AG53" i="10"/>
  <c r="Y3" i="17" s="1"/>
  <c r="AG57" i="10"/>
  <c r="Y7" i="17" s="1"/>
  <c r="AG39" i="10"/>
  <c r="Y3" i="15" s="1"/>
  <c r="AG61" i="10"/>
  <c r="Y4" i="18" s="1"/>
  <c r="AG68" i="10"/>
  <c r="Y4" i="19" s="1"/>
  <c r="Y1" i="15"/>
  <c r="AG48" i="10"/>
  <c r="Y5" i="16" s="1"/>
  <c r="AG60" i="10"/>
  <c r="Y3" i="18" s="1"/>
  <c r="AG43" i="10"/>
  <c r="Y7" i="15" s="1"/>
  <c r="AG20" i="10"/>
  <c r="Y5" i="12" s="1"/>
  <c r="AG32" i="10"/>
  <c r="Y3" i="14" s="1"/>
  <c r="AG44" i="10"/>
  <c r="Y8" i="15" s="1"/>
  <c r="AG56" i="10"/>
  <c r="Y6" i="17" s="1"/>
  <c r="AG38" i="10"/>
  <c r="Y2" i="15" s="1"/>
  <c r="AG27" i="10"/>
  <c r="Y5" i="13" s="1"/>
  <c r="AG58" i="10"/>
  <c r="Y8" i="17" s="1"/>
  <c r="AG22" i="10"/>
  <c r="Y7" i="12" s="1"/>
  <c r="AG42" i="10"/>
  <c r="Y6" i="15" s="1"/>
  <c r="AG69" i="10"/>
  <c r="Y5" i="19" s="1"/>
  <c r="AG33" i="10"/>
  <c r="Y4" i="14" s="1"/>
  <c r="AG54" i="10"/>
  <c r="Y4" i="17" s="1"/>
  <c r="AG51" i="10"/>
  <c r="Y8" i="16" s="1"/>
  <c r="AG93" i="10"/>
  <c r="AG79" i="10"/>
  <c r="Y8" i="20" s="1"/>
  <c r="AG25" i="10"/>
  <c r="Y3" i="13" s="1"/>
  <c r="AG87" i="10"/>
  <c r="AG88" i="10"/>
  <c r="AG40" i="10"/>
  <c r="Y4" i="15" s="1"/>
  <c r="AG30" i="10"/>
  <c r="Y8" i="13" s="1"/>
  <c r="AG26" i="10"/>
  <c r="Y4" i="13" s="1"/>
  <c r="AG46" i="10"/>
  <c r="Y3" i="16" s="1"/>
  <c r="AG71" i="10"/>
  <c r="Y7" i="19" s="1"/>
  <c r="AG18" i="10"/>
  <c r="Y3" i="12" s="1"/>
  <c r="AG29" i="10"/>
  <c r="Y7" i="13" s="1"/>
  <c r="AG45" i="10"/>
  <c r="Y2" i="16" s="1"/>
  <c r="AG34" i="10"/>
  <c r="Y5" i="14" s="1"/>
  <c r="AG28" i="10"/>
  <c r="Y6" i="13" s="1"/>
  <c r="AG77" i="10"/>
  <c r="Y6" i="20" s="1"/>
  <c r="AG47" i="10"/>
  <c r="Y4" i="16" s="1"/>
  <c r="AG50" i="10"/>
  <c r="Y7" i="16" s="1"/>
  <c r="AG19" i="10"/>
  <c r="Y4" i="12" s="1"/>
  <c r="AG76" i="10"/>
  <c r="Y5" i="20" s="1"/>
  <c r="AG62" i="10"/>
  <c r="Y5" i="18" s="1"/>
  <c r="AG67" i="10"/>
  <c r="Y3" i="19" s="1"/>
  <c r="AG73" i="10"/>
  <c r="Y2" i="20" s="1"/>
  <c r="AG72" i="10"/>
  <c r="Y8" i="19" s="1"/>
  <c r="AG70" i="10"/>
  <c r="Y6" i="19" s="1"/>
  <c r="AG23" i="10"/>
  <c r="Y8" i="12" s="1"/>
  <c r="AG63" i="10"/>
  <c r="Y6" i="18" s="1"/>
  <c r="AG92" i="10"/>
  <c r="AG66" i="10"/>
  <c r="Y2" i="19" s="1"/>
  <c r="AG37" i="10"/>
  <c r="Y8" i="14" s="1"/>
  <c r="AG41" i="10"/>
  <c r="Y5" i="15" s="1"/>
  <c r="AG49" i="10"/>
  <c r="Y6" i="16" s="1"/>
  <c r="AG74" i="10"/>
  <c r="Y3" i="20" s="1"/>
  <c r="AG52" i="10"/>
  <c r="Y2" i="17" s="1"/>
  <c r="AG55" i="10"/>
  <c r="Y5" i="17" s="1"/>
  <c r="AG11" i="10"/>
  <c r="Y3" i="11" s="1"/>
  <c r="AG13" i="10"/>
  <c r="Y5" i="11" s="1"/>
  <c r="AG81" i="10"/>
  <c r="Y3" i="21" s="1"/>
  <c r="AG16" i="10"/>
  <c r="Y8" i="11" s="1"/>
  <c r="AG15" i="10"/>
  <c r="Y7" i="11" s="1"/>
  <c r="AG83" i="10"/>
  <c r="Y5" i="21" s="1"/>
  <c r="AG82" i="10"/>
  <c r="Y4" i="21" s="1"/>
  <c r="AG12" i="10"/>
  <c r="Y4" i="11" s="1"/>
  <c r="AG85" i="10"/>
  <c r="Y7" i="21" s="1"/>
  <c r="AG86" i="10"/>
  <c r="Y8" i="21" s="1"/>
  <c r="Z1" i="16" l="1"/>
  <c r="Z1" i="22"/>
  <c r="Z1" i="13"/>
  <c r="Z1" i="11"/>
  <c r="Z1" i="12"/>
  <c r="Z1" i="15"/>
  <c r="Z1" i="20"/>
  <c r="Z1" i="17"/>
  <c r="Z1" i="14"/>
  <c r="Z1" i="19"/>
  <c r="Z1" i="18"/>
  <c r="AH99" i="10"/>
  <c r="AH14" i="10" s="1"/>
  <c r="Z6" i="11" s="1"/>
  <c r="AH90" i="10"/>
  <c r="AH97" i="10"/>
  <c r="AH84" i="10" s="1"/>
  <c r="Z6" i="21" s="1"/>
  <c r="AH89" i="10"/>
  <c r="AH75" i="10"/>
  <c r="Z4" i="20" s="1"/>
  <c r="Z1" i="21"/>
  <c r="AH87" i="10"/>
  <c r="AH57" i="10"/>
  <c r="Z7" i="17" s="1"/>
  <c r="AH101" i="10"/>
  <c r="AH98" i="10"/>
  <c r="AH63" i="10"/>
  <c r="Z6" i="18" s="1"/>
  <c r="AH29" i="10"/>
  <c r="Z7" i="13" s="1"/>
  <c r="AH64" i="10"/>
  <c r="Z7" i="18" s="1"/>
  <c r="AH76" i="10"/>
  <c r="Z5" i="20" s="1"/>
  <c r="AH49" i="10"/>
  <c r="Z6" i="16" s="1"/>
  <c r="AH53" i="10"/>
  <c r="Z3" i="17" s="1"/>
  <c r="AH59" i="10"/>
  <c r="Z2" i="18" s="1"/>
  <c r="AH26" i="10"/>
  <c r="Z4" i="13" s="1"/>
  <c r="AH91" i="10"/>
  <c r="AI9" i="10"/>
  <c r="AH38" i="10"/>
  <c r="Z2" i="15" s="1"/>
  <c r="AH71" i="10"/>
  <c r="Z7" i="19" s="1"/>
  <c r="AH39" i="10"/>
  <c r="Z3" i="15" s="1"/>
  <c r="AH36" i="10"/>
  <c r="Z7" i="14" s="1"/>
  <c r="AH72" i="10"/>
  <c r="Z8" i="19" s="1"/>
  <c r="AH60" i="10"/>
  <c r="Z3" i="18" s="1"/>
  <c r="AH27" i="10"/>
  <c r="Z5" i="13" s="1"/>
  <c r="AH44" i="10"/>
  <c r="Z8" i="15" s="1"/>
  <c r="AH32" i="10"/>
  <c r="Z3" i="14" s="1"/>
  <c r="AH34" i="10"/>
  <c r="Z5" i="14" s="1"/>
  <c r="AH23" i="10"/>
  <c r="Z8" i="12" s="1"/>
  <c r="AH93" i="10"/>
  <c r="AH79" i="10"/>
  <c r="Z8" i="20" s="1"/>
  <c r="AH18" i="10"/>
  <c r="Z3" i="12" s="1"/>
  <c r="AH46" i="10"/>
  <c r="Z3" i="16" s="1"/>
  <c r="AH51" i="10"/>
  <c r="Z8" i="16" s="1"/>
  <c r="AH20" i="10"/>
  <c r="Z5" i="12" s="1"/>
  <c r="AH28" i="10"/>
  <c r="Z6" i="13" s="1"/>
  <c r="AH69" i="10"/>
  <c r="Z5" i="19" s="1"/>
  <c r="AH54" i="10"/>
  <c r="Z4" i="17" s="1"/>
  <c r="AH47" i="10"/>
  <c r="Z4" i="16" s="1"/>
  <c r="AH66" i="10"/>
  <c r="Z2" i="19" s="1"/>
  <c r="AH40" i="10"/>
  <c r="Z4" i="15" s="1"/>
  <c r="AH56" i="10"/>
  <c r="Z6" i="17" s="1"/>
  <c r="AH74" i="10"/>
  <c r="Z3" i="20" s="1"/>
  <c r="AH58" i="10"/>
  <c r="Z8" i="17" s="1"/>
  <c r="AH92" i="10"/>
  <c r="AH78" i="10"/>
  <c r="Z7" i="20" s="1"/>
  <c r="AH25" i="10"/>
  <c r="Z3" i="13" s="1"/>
  <c r="AH77" i="10"/>
  <c r="Z6" i="20" s="1"/>
  <c r="AH35" i="10"/>
  <c r="Z6" i="14" s="1"/>
  <c r="AH65" i="10"/>
  <c r="Z8" i="18" s="1"/>
  <c r="AH22" i="10"/>
  <c r="Z7" i="12" s="1"/>
  <c r="AH45" i="10"/>
  <c r="Z2" i="16" s="1"/>
  <c r="AH37" i="10"/>
  <c r="Z8" i="14" s="1"/>
  <c r="AH43" i="10"/>
  <c r="Z7" i="15" s="1"/>
  <c r="AH48" i="10"/>
  <c r="Z5" i="16" s="1"/>
  <c r="AH19" i="10"/>
  <c r="Z4" i="12" s="1"/>
  <c r="AH73" i="10"/>
  <c r="Z2" i="20" s="1"/>
  <c r="AH50" i="10"/>
  <c r="Z7" i="16" s="1"/>
  <c r="AH30" i="10"/>
  <c r="Z8" i="13" s="1"/>
  <c r="AH67" i="10"/>
  <c r="Z3" i="19" s="1"/>
  <c r="AH68" i="10"/>
  <c r="Z4" i="19" s="1"/>
  <c r="AH61" i="10"/>
  <c r="Z4" i="18" s="1"/>
  <c r="AH62" i="10"/>
  <c r="Z5" i="18" s="1"/>
  <c r="AH41" i="10"/>
  <c r="Z5" i="15" s="1"/>
  <c r="AH42" i="10"/>
  <c r="Z6" i="15" s="1"/>
  <c r="AH70" i="10"/>
  <c r="Z6" i="19" s="1"/>
  <c r="AH33" i="10"/>
  <c r="Z4" i="14" s="1"/>
  <c r="AH88" i="10"/>
  <c r="AH52" i="10"/>
  <c r="Z2" i="17" s="1"/>
  <c r="AH55" i="10"/>
  <c r="Z5" i="17" s="1"/>
  <c r="AH13" i="10"/>
  <c r="Z5" i="11" s="1"/>
  <c r="AH11" i="10"/>
  <c r="Z3" i="11" s="1"/>
  <c r="AH82" i="10"/>
  <c r="Z4" i="21" s="1"/>
  <c r="AH85" i="10"/>
  <c r="Z7" i="21" s="1"/>
  <c r="AH16" i="10"/>
  <c r="Z8" i="11" s="1"/>
  <c r="AH83" i="10"/>
  <c r="Z5" i="21" s="1"/>
  <c r="AH12" i="10"/>
  <c r="Z4" i="11" s="1"/>
  <c r="AH81" i="10"/>
  <c r="Z3" i="21" s="1"/>
  <c r="AH15" i="10"/>
  <c r="Z7" i="11" s="1"/>
  <c r="AH86" i="10"/>
  <c r="Z8" i="21" s="1"/>
  <c r="AH10" i="10" l="1"/>
  <c r="Z2" i="11" s="1"/>
  <c r="AH80" i="10"/>
  <c r="Z2" i="21" s="1"/>
  <c r="AA1" i="21"/>
  <c r="AA1" i="22"/>
  <c r="AA1" i="15"/>
  <c r="AA1" i="14"/>
  <c r="AA1" i="12"/>
  <c r="AI100" i="10"/>
  <c r="AI31" i="10" s="1"/>
  <c r="AA2" i="14" s="1"/>
  <c r="AA1" i="19"/>
  <c r="AA1" i="18"/>
  <c r="AA1" i="16"/>
  <c r="AA1" i="13"/>
  <c r="AA1" i="20"/>
  <c r="AI89" i="10"/>
  <c r="AI90" i="10"/>
  <c r="AI91" i="10"/>
  <c r="AI44" i="10"/>
  <c r="AA8" i="15" s="1"/>
  <c r="AI98" i="10"/>
  <c r="AA1" i="11"/>
  <c r="AI87" i="10"/>
  <c r="AI101" i="10"/>
  <c r="AI70" i="10"/>
  <c r="AA6" i="19" s="1"/>
  <c r="AI26" i="10"/>
  <c r="AA4" i="13" s="1"/>
  <c r="AI18" i="10"/>
  <c r="AA3" i="12" s="1"/>
  <c r="AI75" i="10"/>
  <c r="AA4" i="20" s="1"/>
  <c r="AI71" i="10"/>
  <c r="AA7" i="19" s="1"/>
  <c r="AI59" i="10"/>
  <c r="AA2" i="18" s="1"/>
  <c r="AI97" i="10"/>
  <c r="AI84" i="10" s="1"/>
  <c r="AA6" i="21" s="1"/>
  <c r="AI92" i="10"/>
  <c r="AI53" i="10"/>
  <c r="AA3" i="17" s="1"/>
  <c r="AI78" i="10"/>
  <c r="AA7" i="20" s="1"/>
  <c r="AI39" i="10"/>
  <c r="AA3" i="15" s="1"/>
  <c r="AI29" i="10"/>
  <c r="AA7" i="13" s="1"/>
  <c r="AI57" i="10"/>
  <c r="AA7" i="17" s="1"/>
  <c r="AA1" i="17"/>
  <c r="AI72" i="10"/>
  <c r="AA8" i="19" s="1"/>
  <c r="AI58" i="10"/>
  <c r="AA8" i="17" s="1"/>
  <c r="AI60" i="10"/>
  <c r="AA3" i="18" s="1"/>
  <c r="AI30" i="10"/>
  <c r="AA8" i="13" s="1"/>
  <c r="AI63" i="10"/>
  <c r="AA6" i="18" s="1"/>
  <c r="AI99" i="10"/>
  <c r="AI14" i="10" s="1"/>
  <c r="AA6" i="11" s="1"/>
  <c r="AI36" i="10"/>
  <c r="AA7" i="14" s="1"/>
  <c r="AI28" i="10"/>
  <c r="AA6" i="13" s="1"/>
  <c r="AI49" i="10"/>
  <c r="AA6" i="16" s="1"/>
  <c r="AI32" i="10"/>
  <c r="AA3" i="14" s="1"/>
  <c r="AI37" i="10"/>
  <c r="AA8" i="14" s="1"/>
  <c r="AI62" i="10"/>
  <c r="AA5" i="18" s="1"/>
  <c r="AI51" i="10"/>
  <c r="AA8" i="16" s="1"/>
  <c r="AI22" i="10"/>
  <c r="AA7" i="12" s="1"/>
  <c r="I100" i="10"/>
  <c r="L97" i="10"/>
  <c r="L84" i="10" s="1"/>
  <c r="D6" i="21" s="1"/>
  <c r="K98" i="10"/>
  <c r="AI40" i="10"/>
  <c r="AA4" i="15" s="1"/>
  <c r="J99" i="10"/>
  <c r="AI79" i="10"/>
  <c r="AA8" i="20" s="1"/>
  <c r="AI38" i="10"/>
  <c r="AA2" i="15" s="1"/>
  <c r="J98" i="10"/>
  <c r="AI25" i="10"/>
  <c r="AA3" i="13" s="1"/>
  <c r="AI69" i="10"/>
  <c r="AA5" i="19" s="1"/>
  <c r="AI76" i="10"/>
  <c r="AA5" i="20" s="1"/>
  <c r="K97" i="10"/>
  <c r="K84" i="10" s="1"/>
  <c r="C6" i="21" s="1"/>
  <c r="AI45" i="10"/>
  <c r="AA2" i="16" s="1"/>
  <c r="K100" i="10"/>
  <c r="K31" i="10" s="1"/>
  <c r="C2" i="14" s="1"/>
  <c r="AI50" i="10"/>
  <c r="AA7" i="16" s="1"/>
  <c r="AI65" i="10"/>
  <c r="AA8" i="18" s="1"/>
  <c r="AI19" i="10"/>
  <c r="AA4" i="12" s="1"/>
  <c r="K99" i="10"/>
  <c r="K14" i="10" s="1"/>
  <c r="C6" i="11" s="1"/>
  <c r="L100" i="10"/>
  <c r="L31" i="10" s="1"/>
  <c r="D2" i="14" s="1"/>
  <c r="J97" i="10"/>
  <c r="I97" i="10"/>
  <c r="AI46" i="10"/>
  <c r="AA3" i="16" s="1"/>
  <c r="AI34" i="10"/>
  <c r="AA5" i="14" s="1"/>
  <c r="AI23" i="10"/>
  <c r="AA8" i="12" s="1"/>
  <c r="J100" i="10"/>
  <c r="AI61" i="10"/>
  <c r="AA4" i="18" s="1"/>
  <c r="AI64" i="10"/>
  <c r="AA7" i="18" s="1"/>
  <c r="AI68" i="10"/>
  <c r="AA4" i="19" s="1"/>
  <c r="AI56" i="10"/>
  <c r="AA6" i="17" s="1"/>
  <c r="AI48" i="10"/>
  <c r="AA5" i="16" s="1"/>
  <c r="AI27" i="10"/>
  <c r="AA5" i="13" s="1"/>
  <c r="AI43" i="10"/>
  <c r="AA7" i="15" s="1"/>
  <c r="AI54" i="10"/>
  <c r="AA4" i="17" s="1"/>
  <c r="AI47" i="10"/>
  <c r="AA4" i="16" s="1"/>
  <c r="AI42" i="10"/>
  <c r="AA6" i="15" s="1"/>
  <c r="AI67" i="10"/>
  <c r="AA3" i="19" s="1"/>
  <c r="AI35" i="10"/>
  <c r="AA6" i="14" s="1"/>
  <c r="I101" i="10"/>
  <c r="J101" i="10"/>
  <c r="AI33" i="10"/>
  <c r="AA4" i="14" s="1"/>
  <c r="AI66" i="10"/>
  <c r="AA2" i="19" s="1"/>
  <c r="L99" i="10"/>
  <c r="L14" i="10" s="1"/>
  <c r="D6" i="11" s="1"/>
  <c r="AI74" i="10"/>
  <c r="AA3" i="20" s="1"/>
  <c r="AI73" i="10"/>
  <c r="AA2" i="20" s="1"/>
  <c r="K101" i="10"/>
  <c r="L101" i="10"/>
  <c r="AI88" i="10"/>
  <c r="AI77" i="10"/>
  <c r="AA6" i="20" s="1"/>
  <c r="I98" i="10"/>
  <c r="AI93" i="10"/>
  <c r="L98" i="10"/>
  <c r="I99" i="10"/>
  <c r="AI41" i="10"/>
  <c r="AA5" i="15" s="1"/>
  <c r="AI20" i="10"/>
  <c r="AA5" i="12" s="1"/>
  <c r="M97" i="10"/>
  <c r="M84" i="10" s="1"/>
  <c r="E6" i="21" s="1"/>
  <c r="M98" i="10"/>
  <c r="M101" i="10"/>
  <c r="M100" i="10"/>
  <c r="M31" i="10" s="1"/>
  <c r="E2" i="14" s="1"/>
  <c r="M99" i="10"/>
  <c r="M14" i="10" s="1"/>
  <c r="E6" i="11" s="1"/>
  <c r="N99" i="10"/>
  <c r="N14" i="10" s="1"/>
  <c r="F6" i="11" s="1"/>
  <c r="N98" i="10"/>
  <c r="N97" i="10"/>
  <c r="N84" i="10" s="1"/>
  <c r="F6" i="21" s="1"/>
  <c r="N100" i="10"/>
  <c r="N31" i="10" s="1"/>
  <c r="F2" i="14" s="1"/>
  <c r="N101" i="10"/>
  <c r="O99" i="10"/>
  <c r="O14" i="10" s="1"/>
  <c r="G6" i="11" s="1"/>
  <c r="O98" i="10"/>
  <c r="O100" i="10"/>
  <c r="O31" i="10" s="1"/>
  <c r="G2" i="14" s="1"/>
  <c r="O97" i="10"/>
  <c r="O84" i="10" s="1"/>
  <c r="G6" i="21" s="1"/>
  <c r="O101" i="10"/>
  <c r="AI52" i="10"/>
  <c r="AA2" i="17" s="1"/>
  <c r="P97" i="10"/>
  <c r="P84" i="10" s="1"/>
  <c r="H6" i="21" s="1"/>
  <c r="P99" i="10"/>
  <c r="P14" i="10" s="1"/>
  <c r="H6" i="11" s="1"/>
  <c r="P98" i="10"/>
  <c r="AI55" i="10"/>
  <c r="AA5" i="17" s="1"/>
  <c r="P100" i="10"/>
  <c r="P31" i="10" s="1"/>
  <c r="H2" i="14" s="1"/>
  <c r="P101" i="10"/>
  <c r="Q98" i="10"/>
  <c r="Q97" i="10"/>
  <c r="Q84" i="10" s="1"/>
  <c r="I6" i="21" s="1"/>
  <c r="Q101" i="10"/>
  <c r="Q100" i="10"/>
  <c r="Q31" i="10" s="1"/>
  <c r="I2" i="14" s="1"/>
  <c r="Q99" i="10"/>
  <c r="Q14" i="10" s="1"/>
  <c r="I6" i="11" s="1"/>
  <c r="R101" i="10"/>
  <c r="R99" i="10"/>
  <c r="R14" i="10" s="1"/>
  <c r="J6" i="11" s="1"/>
  <c r="R97" i="10"/>
  <c r="R84" i="10" s="1"/>
  <c r="J6" i="21" s="1"/>
  <c r="R98" i="10"/>
  <c r="R100" i="10"/>
  <c r="R31" i="10" s="1"/>
  <c r="J2" i="14" s="1"/>
  <c r="S97" i="10"/>
  <c r="S84" i="10" s="1"/>
  <c r="K6" i="21" s="1"/>
  <c r="S101" i="10"/>
  <c r="S99" i="10"/>
  <c r="S14" i="10" s="1"/>
  <c r="K6" i="11" s="1"/>
  <c r="AI13" i="10"/>
  <c r="AA5" i="11" s="1"/>
  <c r="S98" i="10"/>
  <c r="AI11" i="10"/>
  <c r="AA3" i="11" s="1"/>
  <c r="S100" i="10"/>
  <c r="S31" i="10" s="1"/>
  <c r="K2" i="14" s="1"/>
  <c r="T99" i="10"/>
  <c r="T14" i="10" s="1"/>
  <c r="L6" i="11" s="1"/>
  <c r="AI85" i="10"/>
  <c r="AA7" i="21" s="1"/>
  <c r="AI15" i="10"/>
  <c r="AA7" i="11" s="1"/>
  <c r="T101" i="10"/>
  <c r="T97" i="10"/>
  <c r="T84" i="10" s="1"/>
  <c r="L6" i="21" s="1"/>
  <c r="AI12" i="10"/>
  <c r="AA4" i="11" s="1"/>
  <c r="AI83" i="10"/>
  <c r="AA5" i="21" s="1"/>
  <c r="AI81" i="10"/>
  <c r="AA3" i="21" s="1"/>
  <c r="T100" i="10"/>
  <c r="T31" i="10" s="1"/>
  <c r="L2" i="14" s="1"/>
  <c r="AI16" i="10"/>
  <c r="AA8" i="11" s="1"/>
  <c r="AI82" i="10"/>
  <c r="AA4" i="21" s="1"/>
  <c r="T98" i="10"/>
  <c r="U97" i="10"/>
  <c r="U84" i="10" s="1"/>
  <c r="M6" i="21" s="1"/>
  <c r="U101" i="10"/>
  <c r="U100" i="10"/>
  <c r="U31" i="10" s="1"/>
  <c r="M2" i="14" s="1"/>
  <c r="U99" i="10"/>
  <c r="U14" i="10" s="1"/>
  <c r="M6" i="11" s="1"/>
  <c r="AI86" i="10"/>
  <c r="AA8" i="21" s="1"/>
  <c r="U98" i="10"/>
  <c r="V98" i="10"/>
  <c r="V99" i="10"/>
  <c r="V14" i="10" s="1"/>
  <c r="N6" i="11" s="1"/>
  <c r="V100" i="10"/>
  <c r="V31" i="10" s="1"/>
  <c r="N2" i="14" s="1"/>
  <c r="V97" i="10"/>
  <c r="V84" i="10" s="1"/>
  <c r="N6" i="21" s="1"/>
  <c r="V101" i="10"/>
  <c r="W97" i="10"/>
  <c r="W84" i="10" s="1"/>
  <c r="O6" i="21" s="1"/>
  <c r="W100" i="10"/>
  <c r="W31" i="10" s="1"/>
  <c r="O2" i="14" s="1"/>
  <c r="W101" i="10"/>
  <c r="W99" i="10"/>
  <c r="W14" i="10" s="1"/>
  <c r="O6" i="11" s="1"/>
  <c r="W98" i="10"/>
  <c r="X98" i="10"/>
  <c r="X100" i="10"/>
  <c r="X31" i="10" s="1"/>
  <c r="P2" i="14" s="1"/>
  <c r="X97" i="10"/>
  <c r="X84" i="10" s="1"/>
  <c r="P6" i="21" s="1"/>
  <c r="X101" i="10"/>
  <c r="X99" i="10"/>
  <c r="X14" i="10" s="1"/>
  <c r="P6" i="11" s="1"/>
  <c r="Y97" i="10"/>
  <c r="Y84" i="10" s="1"/>
  <c r="Q6" i="21" s="1"/>
  <c r="Y98" i="10"/>
  <c r="Y100" i="10"/>
  <c r="Y31" i="10" s="1"/>
  <c r="Q2" i="14" s="1"/>
  <c r="Y99" i="10"/>
  <c r="Y14" i="10" s="1"/>
  <c r="Q6" i="11" s="1"/>
  <c r="Y101" i="10"/>
  <c r="Z99" i="10"/>
  <c r="Z14" i="10" s="1"/>
  <c r="R6" i="11" s="1"/>
  <c r="Z97" i="10"/>
  <c r="Z84" i="10" s="1"/>
  <c r="R6" i="21" s="1"/>
  <c r="Z100" i="10"/>
  <c r="Z31" i="10" s="1"/>
  <c r="R2" i="14" s="1"/>
  <c r="Z98" i="10"/>
  <c r="Z101" i="10"/>
  <c r="AA97" i="10"/>
  <c r="AA84" i="10" s="1"/>
  <c r="S6" i="21" s="1"/>
  <c r="AA101" i="10"/>
  <c r="AA100" i="10"/>
  <c r="AA31" i="10" s="1"/>
  <c r="S2" i="14" s="1"/>
  <c r="AA98" i="10"/>
  <c r="AA99" i="10"/>
  <c r="AA14" i="10" s="1"/>
  <c r="S6" i="11" s="1"/>
  <c r="AB99" i="10"/>
  <c r="AB14" i="10" s="1"/>
  <c r="T6" i="11" s="1"/>
  <c r="AB100" i="10"/>
  <c r="AB31" i="10" s="1"/>
  <c r="T2" i="14" s="1"/>
  <c r="AB101" i="10"/>
  <c r="AB98" i="10"/>
  <c r="AB97" i="10"/>
  <c r="AB84" i="10" s="1"/>
  <c r="T6" i="21" s="1"/>
  <c r="AC97" i="10"/>
  <c r="AC84" i="10" s="1"/>
  <c r="U6" i="21" s="1"/>
  <c r="AC101" i="10"/>
  <c r="AC98" i="10"/>
  <c r="AC99" i="10"/>
  <c r="AC14" i="10" s="1"/>
  <c r="U6" i="11" s="1"/>
  <c r="AC100" i="10"/>
  <c r="AC31" i="10" s="1"/>
  <c r="U2" i="14" s="1"/>
  <c r="AD97" i="10"/>
  <c r="AD84" i="10" s="1"/>
  <c r="V6" i="21" s="1"/>
  <c r="AD101" i="10"/>
  <c r="AD99" i="10"/>
  <c r="AD14" i="10" s="1"/>
  <c r="V6" i="11" s="1"/>
  <c r="AD98" i="10"/>
  <c r="AD100" i="10"/>
  <c r="AD31" i="10" s="1"/>
  <c r="V2" i="14" s="1"/>
  <c r="AE97" i="10"/>
  <c r="AE84" i="10" s="1"/>
  <c r="W6" i="21" s="1"/>
  <c r="AE101" i="10"/>
  <c r="AE99" i="10"/>
  <c r="AE14" i="10" s="1"/>
  <c r="W6" i="11" s="1"/>
  <c r="AE100" i="10"/>
  <c r="AE31" i="10" s="1"/>
  <c r="W2" i="14" s="1"/>
  <c r="AE98" i="10"/>
  <c r="AF97" i="10"/>
  <c r="AF84" i="10" s="1"/>
  <c r="X6" i="21" s="1"/>
  <c r="AF100" i="10"/>
  <c r="AF31" i="10" s="1"/>
  <c r="X2" i="14" s="1"/>
  <c r="AF98" i="10"/>
  <c r="AF101" i="10"/>
  <c r="AF99" i="10"/>
  <c r="AF14" i="10" s="1"/>
  <c r="X6" i="11" s="1"/>
  <c r="AG97" i="10"/>
  <c r="AG84" i="10" s="1"/>
  <c r="Y6" i="21" s="1"/>
  <c r="AG101" i="10"/>
  <c r="AG100" i="10"/>
  <c r="AG31" i="10" s="1"/>
  <c r="Y2" i="14" s="1"/>
  <c r="AG99" i="10"/>
  <c r="AG14" i="10" s="1"/>
  <c r="Y6" i="11" s="1"/>
  <c r="AG98" i="10"/>
  <c r="AH21" i="10"/>
  <c r="Z6" i="12" s="1"/>
  <c r="AH24" i="10"/>
  <c r="Z2" i="13" s="1"/>
  <c r="AH17" i="10"/>
  <c r="Z2" i="12" s="1"/>
  <c r="AH100" i="10"/>
  <c r="AH31" i="10" s="1"/>
  <c r="Z2" i="14" s="1"/>
  <c r="AC21" i="10" l="1"/>
  <c r="U6" i="12" s="1"/>
  <c r="AC24" i="10"/>
  <c r="U2" i="13" s="1"/>
  <c r="AC17" i="10"/>
  <c r="U2" i="12" s="1"/>
  <c r="R24" i="10"/>
  <c r="J2" i="13" s="1"/>
  <c r="R17" i="10"/>
  <c r="J2" i="12" s="1"/>
  <c r="R21" i="10"/>
  <c r="J6" i="12" s="1"/>
  <c r="Z21" i="10"/>
  <c r="R6" i="12" s="1"/>
  <c r="Z17" i="10"/>
  <c r="R2" i="12" s="1"/>
  <c r="Z24" i="10"/>
  <c r="R2" i="13" s="1"/>
  <c r="V10" i="10"/>
  <c r="N2" i="11" s="1"/>
  <c r="V80" i="10"/>
  <c r="N2" i="21" s="1"/>
  <c r="L21" i="10"/>
  <c r="D6" i="12" s="1"/>
  <c r="L24" i="10"/>
  <c r="D2" i="13" s="1"/>
  <c r="L17" i="10"/>
  <c r="D2" i="12" s="1"/>
  <c r="AD10" i="10"/>
  <c r="V2" i="11" s="1"/>
  <c r="AD80" i="10"/>
  <c r="V2" i="21" s="1"/>
  <c r="U10" i="10"/>
  <c r="M2" i="11" s="1"/>
  <c r="U80" i="10"/>
  <c r="M2" i="21" s="1"/>
  <c r="Y10" i="10"/>
  <c r="Q2" i="11" s="1"/>
  <c r="Y80" i="10"/>
  <c r="Q2" i="21" s="1"/>
  <c r="AG10" i="10"/>
  <c r="Y2" i="11" s="1"/>
  <c r="AG80" i="10"/>
  <c r="Y2" i="21" s="1"/>
  <c r="AC10" i="10"/>
  <c r="U2" i="11" s="1"/>
  <c r="AC80" i="10"/>
  <c r="U2" i="21" s="1"/>
  <c r="T10" i="10"/>
  <c r="L2" i="11" s="1"/>
  <c r="T80" i="10"/>
  <c r="L2" i="21" s="1"/>
  <c r="N10" i="10"/>
  <c r="F2" i="11" s="1"/>
  <c r="N80" i="10"/>
  <c r="F2" i="21" s="1"/>
  <c r="Q21" i="10"/>
  <c r="I6" i="12" s="1"/>
  <c r="Q24" i="10"/>
  <c r="I2" i="13" s="1"/>
  <c r="Q17" i="10"/>
  <c r="I2" i="12" s="1"/>
  <c r="AI10" i="10"/>
  <c r="AA2" i="11" s="1"/>
  <c r="AI80" i="10"/>
  <c r="AA2" i="21" s="1"/>
  <c r="AB21" i="10"/>
  <c r="T6" i="12" s="1"/>
  <c r="AB17" i="10"/>
  <c r="T2" i="12" s="1"/>
  <c r="AB24" i="10"/>
  <c r="T2" i="13" s="1"/>
  <c r="P21" i="10"/>
  <c r="H6" i="12" s="1"/>
  <c r="P24" i="10"/>
  <c r="H2" i="13" s="1"/>
  <c r="P17" i="10"/>
  <c r="H2" i="12" s="1"/>
  <c r="AG24" i="10"/>
  <c r="Y2" i="13" s="1"/>
  <c r="AG21" i="10"/>
  <c r="Y6" i="12" s="1"/>
  <c r="AG17" i="10"/>
  <c r="Y2" i="12" s="1"/>
  <c r="X10" i="10"/>
  <c r="P2" i="11" s="1"/>
  <c r="X80" i="10"/>
  <c r="P2" i="21" s="1"/>
  <c r="M10" i="10"/>
  <c r="E2" i="11" s="1"/>
  <c r="M80" i="10"/>
  <c r="E2" i="21" s="1"/>
  <c r="Q10" i="10"/>
  <c r="I2" i="11" s="1"/>
  <c r="Q80" i="10"/>
  <c r="I2" i="21" s="1"/>
  <c r="W21" i="10"/>
  <c r="O6" i="12" s="1"/>
  <c r="W24" i="10"/>
  <c r="O2" i="13" s="1"/>
  <c r="W17" i="10"/>
  <c r="O2" i="12" s="1"/>
  <c r="T21" i="10"/>
  <c r="L6" i="12" s="1"/>
  <c r="T24" i="10"/>
  <c r="L2" i="13" s="1"/>
  <c r="T17" i="10"/>
  <c r="L2" i="12" s="1"/>
  <c r="AA10" i="10"/>
  <c r="S2" i="11" s="1"/>
  <c r="AA80" i="10"/>
  <c r="S2" i="21" s="1"/>
  <c r="AE10" i="10"/>
  <c r="W2" i="11" s="1"/>
  <c r="AE80" i="10"/>
  <c r="W2" i="21" s="1"/>
  <c r="P10" i="10"/>
  <c r="H2" i="11" s="1"/>
  <c r="P80" i="10"/>
  <c r="H2" i="21" s="1"/>
  <c r="L10" i="10"/>
  <c r="D2" i="11" s="1"/>
  <c r="L80" i="10"/>
  <c r="D2" i="21" s="1"/>
  <c r="AB10" i="10"/>
  <c r="T2" i="11" s="1"/>
  <c r="AB80" i="10"/>
  <c r="T2" i="21" s="1"/>
  <c r="M17" i="10"/>
  <c r="E2" i="12" s="1"/>
  <c r="M21" i="10"/>
  <c r="E6" i="12" s="1"/>
  <c r="M24" i="10"/>
  <c r="E2" i="13" s="1"/>
  <c r="AF21" i="10"/>
  <c r="X6" i="12" s="1"/>
  <c r="AF24" i="10"/>
  <c r="X2" i="13" s="1"/>
  <c r="AF17" i="10"/>
  <c r="X2" i="12" s="1"/>
  <c r="W10" i="10"/>
  <c r="O2" i="11" s="1"/>
  <c r="W80" i="10"/>
  <c r="O2" i="21" s="1"/>
  <c r="AF10" i="10"/>
  <c r="X2" i="11" s="1"/>
  <c r="AF80" i="10"/>
  <c r="X2" i="21" s="1"/>
  <c r="AA21" i="10"/>
  <c r="S6" i="12" s="1"/>
  <c r="AA17" i="10"/>
  <c r="S2" i="12" s="1"/>
  <c r="AA24" i="10"/>
  <c r="S2" i="13" s="1"/>
  <c r="V21" i="10"/>
  <c r="N6" i="12" s="1"/>
  <c r="V24" i="10"/>
  <c r="N2" i="13" s="1"/>
  <c r="V17" i="10"/>
  <c r="N2" i="12" s="1"/>
  <c r="X21" i="10"/>
  <c r="P6" i="12" s="1"/>
  <c r="X24" i="10"/>
  <c r="P2" i="13" s="1"/>
  <c r="X17" i="10"/>
  <c r="P2" i="12" s="1"/>
  <c r="S21" i="10"/>
  <c r="K6" i="12" s="1"/>
  <c r="S24" i="10"/>
  <c r="K2" i="13" s="1"/>
  <c r="S17" i="10"/>
  <c r="K2" i="12" s="1"/>
  <c r="O10" i="10"/>
  <c r="G2" i="11" s="1"/>
  <c r="O80" i="10"/>
  <c r="G2" i="21" s="1"/>
  <c r="AD21" i="10"/>
  <c r="V6" i="12" s="1"/>
  <c r="AD17" i="10"/>
  <c r="V2" i="12" s="1"/>
  <c r="AD24" i="10"/>
  <c r="V2" i="13" s="1"/>
  <c r="Y21" i="10"/>
  <c r="Q6" i="12" s="1"/>
  <c r="Y24" i="10"/>
  <c r="Q2" i="13" s="1"/>
  <c r="Y17" i="10"/>
  <c r="Q2" i="12" s="1"/>
  <c r="N17" i="10"/>
  <c r="F2" i="12" s="1"/>
  <c r="N21" i="10"/>
  <c r="F6" i="12" s="1"/>
  <c r="N24" i="10"/>
  <c r="F2" i="13" s="1"/>
  <c r="AE24" i="10"/>
  <c r="W2" i="13" s="1"/>
  <c r="AE17" i="10"/>
  <c r="W2" i="12" s="1"/>
  <c r="AE21" i="10"/>
  <c r="W6" i="12" s="1"/>
  <c r="Z10" i="10"/>
  <c r="R2" i="11" s="1"/>
  <c r="Z80" i="10"/>
  <c r="R2" i="21" s="1"/>
  <c r="S10" i="10"/>
  <c r="K2" i="11" s="1"/>
  <c r="S80" i="10"/>
  <c r="K2" i="21" s="1"/>
  <c r="K21" i="10"/>
  <c r="C6" i="12" s="1"/>
  <c r="K17" i="10"/>
  <c r="C2" i="12" s="1"/>
  <c r="K24" i="10"/>
  <c r="C2" i="13" s="1"/>
  <c r="U21" i="10"/>
  <c r="M6" i="12" s="1"/>
  <c r="U24" i="10"/>
  <c r="M2" i="13" s="1"/>
  <c r="U17" i="10"/>
  <c r="M2" i="12" s="1"/>
  <c r="R10" i="10"/>
  <c r="J2" i="11" s="1"/>
  <c r="R80" i="10"/>
  <c r="J2" i="21" s="1"/>
  <c r="AI21" i="10"/>
  <c r="AA6" i="12" s="1"/>
  <c r="AI24" i="10"/>
  <c r="AA2" i="13" s="1"/>
  <c r="AI17" i="10"/>
  <c r="AA2" i="12" s="1"/>
  <c r="O21" i="10"/>
  <c r="G6" i="12" s="1"/>
  <c r="O17" i="10"/>
  <c r="G2" i="12" s="1"/>
  <c r="O24" i="10"/>
  <c r="G2" i="13" s="1"/>
  <c r="K10" i="10"/>
  <c r="C2" i="11" s="1"/>
  <c r="K80" i="10"/>
  <c r="C2" i="21" s="1"/>
</calcChain>
</file>

<file path=xl/sharedStrings.xml><?xml version="1.0" encoding="utf-8"?>
<sst xmlns="http://schemas.openxmlformats.org/spreadsheetml/2006/main" count="1577" uniqueCount="338">
  <si>
    <t>Active state name:</t>
  </si>
  <si>
    <t>Alabama</t>
  </si>
  <si>
    <t>state_name</t>
  </si>
  <si>
    <t>state_abbr</t>
  </si>
  <si>
    <t>Active state code:</t>
  </si>
  <si>
    <t>AL</t>
  </si>
  <si>
    <t>Arkansas</t>
  </si>
  <si>
    <t>AR</t>
  </si>
  <si>
    <t>TTS Transportation Technology Shareweights -- per-state ZEV anchors</t>
  </si>
  <si>
    <t>Arizona</t>
  </si>
  <si>
    <t>AZ</t>
  </si>
  <si>
    <t>Built 2026-08-03 by outputs/TTS/_build_tts_workbook.py</t>
  </si>
  <si>
    <t>California</t>
  </si>
  <si>
    <t>CA</t>
  </si>
  <si>
    <t>Colorado</t>
  </si>
  <si>
    <t>CO</t>
  </si>
  <si>
    <t>*** PROVISIONAL: Costs_BAU holds US placeholder costs, not state costs. Do not deploy to state-eps-data until the per-state BAU cost export replaces them. ***</t>
  </si>
  <si>
    <t>Connecticut</t>
  </si>
  <si>
    <t>CT</t>
  </si>
  <si>
    <t>Delaware</t>
  </si>
  <si>
    <t>DE</t>
  </si>
  <si>
    <t>What this file is</t>
  </si>
  <si>
    <t>Florida</t>
  </si>
  <si>
    <t>FL</t>
  </si>
  <si>
    <t>TTS is the multiplicative preference weight in the modified-logit allocation of new vehicle</t>
  </si>
  <si>
    <t>Georgia</t>
  </si>
  <si>
    <t>GA</t>
  </si>
  <si>
    <t>sales: New Vehicles_j is proportional to TTS_j * EXP(TTLE * CostPerMile_j). It is NOT a cap,</t>
  </si>
  <si>
    <t>Iowa</t>
  </si>
  <si>
    <t>IA</t>
  </si>
  <si>
    <t>despite the "Max Fraction of Production" header the EPS CSVs carry. You cannot write a</t>
  </si>
  <si>
    <t>Idaho</t>
  </si>
  <si>
    <t>ID</t>
  </si>
  <si>
    <t>target sales share into it -- you solve for the weight that reproduces an observed share</t>
  </si>
  <si>
    <t>Illinois</t>
  </si>
  <si>
    <t>IL</t>
  </si>
  <si>
    <t>given that state's costs.</t>
  </si>
  <si>
    <t>Indiana</t>
  </si>
  <si>
    <t>IN</t>
  </si>
  <si>
    <t>Kansas</t>
  </si>
  <si>
    <t>KS</t>
  </si>
  <si>
    <t>All 48 EPS-modelled states are solved on the Solve tab simultaneously. About!B1 selects</t>
  </si>
  <si>
    <t>Kentucky</t>
  </si>
  <si>
    <t>KY</t>
  </si>
  <si>
    <t>which state the 12 TTS-* view tabs export.</t>
  </si>
  <si>
    <t>Louisiana</t>
  </si>
  <si>
    <t>LA</t>
  </si>
  <si>
    <t>Massachusetts</t>
  </si>
  <si>
    <t>MA</t>
  </si>
  <si>
    <t>What is customized per state (locked with Olivia 2026-07-30)</t>
  </si>
  <si>
    <t>Maryland</t>
  </si>
  <si>
    <t>MD</t>
  </si>
  <si>
    <t>1. Base year 2025 only. State models have INITIAL TIME = 2025 (plcy-schd/IT/IT.csv), so</t>
  </si>
  <si>
    <t>Maine</t>
  </si>
  <si>
    <t>ME</t>
  </si>
  <si>
    <t xml:space="preserve">   the 2024 column sits before the simulation start and is carried over from the US file.</t>
  </si>
  <si>
    <t>Michigan</t>
  </si>
  <si>
    <t>MI</t>
  </si>
  <si>
    <t>2. ZEV technologies only: battery electric, plugin hybrid, hydrogen.</t>
  </si>
  <si>
    <t>Minnesota</t>
  </si>
  <si>
    <t>MN</t>
  </si>
  <si>
    <t>3. Fossil shareweights (gasoline, diesel, natural gas, LPG) are FROZEN at US values.</t>
  </si>
  <si>
    <t>Missouri</t>
  </si>
  <si>
    <t>MO</t>
  </si>
  <si>
    <t xml:space="preserve">   In a logit this means the fossil technologies split the residual (1 - ZEV share) in</t>
  </si>
  <si>
    <t>Mississippi</t>
  </si>
  <si>
    <t>MS</t>
  </si>
  <si>
    <t xml:space="preserve">   proportion to their existing weights, so the national relative gasoline/diesel/NGV</t>
  </si>
  <si>
    <t>Montana</t>
  </si>
  <si>
    <t>MT</t>
  </si>
  <si>
    <t xml:space="preserve">   preference carries through untouched and gasoline stays the numeraire at 1.0.</t>
  </si>
  <si>
    <t>North Carolina</t>
  </si>
  <si>
    <t>NC</t>
  </si>
  <si>
    <t>4. 2050 endpoints and s-curve L/k/Xo stay national -- states differ only in their 2025</t>
  </si>
  <si>
    <t>North Dakota</t>
  </si>
  <si>
    <t>ND</t>
  </si>
  <si>
    <t xml:space="preserve">   anchor. Consequence to accept: every state converges to the same 2050 weight, so this</t>
  </si>
  <si>
    <t>Nebraska</t>
  </si>
  <si>
    <t>NE</t>
  </si>
  <si>
    <t xml:space="preserve">   customization moves the near and mid term, not 2050.</t>
  </si>
  <si>
    <t>New Hampshire</t>
  </si>
  <si>
    <t>NH</t>
  </si>
  <si>
    <t>5. One formula change: Data!F14, the PHEV 2050 endpoint, is repointed from the 2024</t>
  </si>
  <si>
    <t>New Jersey</t>
  </si>
  <si>
    <t>NJ</t>
  </si>
  <si>
    <t xml:space="preserve">   anchors (=D14/D10*F10) to the 2025 anchors (=E14/E10*F10) -- the anchors we actually</t>
  </si>
  <si>
    <t>New Mexico</t>
  </si>
  <si>
    <t>NM</t>
  </si>
  <si>
    <t xml:space="preserve">   update, and already the convention on row 21 for freight LDV.</t>
  </si>
  <si>
    <t>Nevada</t>
  </si>
  <si>
    <t>NV</t>
  </si>
  <si>
    <t>6. Passenger rail (Data rows 52/55) is re-derived from each state's own start-year stock</t>
  </si>
  <si>
    <t>New York</t>
  </si>
  <si>
    <t>NY</t>
  </si>
  <si>
    <t xml:space="preserve">   mix, with an IFERROR guard for states that have no passenger rail (0/0 in the US form).</t>
  </si>
  <si>
    <t>Ohio</t>
  </si>
  <si>
    <t>OH</t>
  </si>
  <si>
    <t>Oklahoma</t>
  </si>
  <si>
    <t>OK</t>
  </si>
  <si>
    <t>Not customized: passenger HDV, freight LDV, freight HDV (the Alliance source is</t>
  </si>
  <si>
    <t>Oregon</t>
  </si>
  <si>
    <t>OR</t>
  </si>
  <si>
    <t>light-duty only -- there is no state ZEV *sales* series for buses or trucks); aircraft,</t>
  </si>
  <si>
    <t>Pennsylvania</t>
  </si>
  <si>
    <t>PA</t>
  </si>
  <si>
    <t>ships, freight rail and freight motorbikes are single-technology groups.</t>
  </si>
  <si>
    <t>Rhode Island</t>
  </si>
  <si>
    <t>RI</t>
  </si>
  <si>
    <t>South Carolina</t>
  </si>
  <si>
    <t>SC</t>
  </si>
  <si>
    <t>Sources</t>
  </si>
  <si>
    <t>South Dakota</t>
  </si>
  <si>
    <t>SD</t>
  </si>
  <si>
    <t>Observed ZEV sales shares: Alliance for Automotive Innovation, "Get Connected: EV</t>
  </si>
  <si>
    <t>Tennessee</t>
  </si>
  <si>
    <t>TN</t>
  </si>
  <si>
    <t>Quarterly Report" Q4 2025 p.15 -- 2025 full-year new light-duty vehicle registrations by</t>
  </si>
  <si>
    <t>Texas</t>
  </si>
  <si>
    <t>TX</t>
  </si>
  <si>
    <t>state and powertrain, compiled from S&amp;P Global Mobility retail + fleet new registrations.</t>
  </si>
  <si>
    <t>Utah</t>
  </si>
  <si>
    <t>UT</t>
  </si>
  <si>
    <t>Embedded verbatim on Alliance_2025. NOTE this is a SALES basis (new registrations); AFDC</t>
  </si>
  <si>
    <t>Virginia</t>
  </si>
  <si>
    <t>VA</t>
  </si>
  <si>
    <t>and Atlas EV Hub publish STOCK, which is not interchangeable on a fleet this young.</t>
  </si>
  <si>
    <t>Vermont</t>
  </si>
  <si>
    <t>VT</t>
  </si>
  <si>
    <t>Cost per mile: eps-us calibration_parameters.csv (US, placeholder) -&gt; to be replaced by a</t>
  </si>
  <si>
    <t>Washington</t>
  </si>
  <si>
    <t>WA</t>
  </si>
  <si>
    <t>per-state export of "BAU New Vehicle Cost per Mile".</t>
  </si>
  <si>
    <t>Wisconsin</t>
  </si>
  <si>
    <t>WI</t>
  </si>
  <si>
    <t>Logit exponent: trans/TTLE/TTLE.csv, -8 for passenger LDVs, identical in all 48 states.</t>
  </si>
  <si>
    <t>West Virginia</t>
  </si>
  <si>
    <t>WV</t>
  </si>
  <si>
    <t>Start-year stock: state-eps-data/&lt;ST&gt;/trans/SYVbT/SYVbT-passenger.csv, verbatim.</t>
  </si>
  <si>
    <t>Wyoming</t>
  </si>
  <si>
    <t>WY</t>
  </si>
  <si>
    <t>Caveats</t>
  </si>
  <si>
    <t>2025 is a policy-transition year: federal EV credits expired 2025-09-30, so full-year 2025</t>
  </si>
  <si>
    <t>blends a record Q3 (12.6% national) with a collapsed Q4 (6.5%), landing at 9.6% -- below</t>
  </si>
  <si>
    <t>2024's 10.2%. Anchoring here is deliberate (the post-credit regime is the forward-looking</t>
  </si>
  <si>
    <t>one), but the full-year average sits above the post-credit run rate.</t>
  </si>
  <si>
    <t>The Alliance state shares cover all light duty including commercial light trucks, while EPS</t>
  </si>
  <si>
    <t>splits passenger LDV from freight LDV (95.5/4.5 nationally); we map them onto passenger LDV.</t>
  </si>
  <si>
    <t>Alliance/S&amp;P data is licensed third-party material -- verify redistribution terms before</t>
  </si>
  <si>
    <t>publishing state-level values externally.</t>
  </si>
  <si>
    <t>Method: docs/methodology/TTS-state-proposal.md. Outputs are inputs for staff review;</t>
  </si>
  <si>
    <t>verify all numerical claims against primary sources before external use.</t>
  </si>
  <si>
    <t>category</t>
  </si>
  <si>
    <t>key</t>
  </si>
  <si>
    <t>value</t>
  </si>
  <si>
    <t>description</t>
  </si>
  <si>
    <t>year</t>
  </si>
  <si>
    <t>base_year</t>
  </si>
  <si>
    <t>the only year solved; state models have INITIAL TIME = 2025, so the 2024 TTS column is before the simulation start and is inert</t>
  </si>
  <si>
    <t>unit</t>
  </si>
  <si>
    <t>pct_to_frac</t>
  </si>
  <si>
    <t>the Alliance table is embedded verbatim in published percent; multiply to get a fraction</t>
  </si>
  <si>
    <t>logit</t>
  </si>
  <si>
    <t>ttle_ldv_psgr</t>
  </si>
  <si>
    <t>TTLE logit exponent, passenger LDVs (trans/TTLE/TTLE.csv). Identical in all 48 states</t>
  </si>
  <si>
    <t>cost_cutoff</t>
  </si>
  <si>
    <t>$/mile above which a technology is treated as unavailable (weight 0); matches COST_CUTOFF in the eps-us transport_calibration.py solver</t>
  </si>
  <si>
    <t>frozen_w</t>
  </si>
  <si>
    <t>w_gasoline</t>
  </si>
  <si>
    <t>FROZEN US shareweight, gasoline, 2025 -- the logit numeraire (max weight = 1)</t>
  </si>
  <si>
    <t>w_diesel</t>
  </si>
  <si>
    <t>FROZEN US shareweight, diesel, 2025</t>
  </si>
  <si>
    <t>w_NGV</t>
  </si>
  <si>
    <t>FROZEN US shareweight, natural gas, 2025</t>
  </si>
  <si>
    <t>w_LPG</t>
  </si>
  <si>
    <t>FROZEN US shareweight, LPG, 2025 (0 -- US cost/mile is ~8700, far above cost_cutoff)</t>
  </si>
  <si>
    <t>label</t>
  </si>
  <si>
    <t>tech_bev</t>
  </si>
  <si>
    <t>battery electric vehicle</t>
  </si>
  <si>
    <t>EPS Vehicle Technology label</t>
  </si>
  <si>
    <t>tech_phev</t>
  </si>
  <si>
    <t>plugin hybrid vehicle</t>
  </si>
  <si>
    <t>tech_h2</t>
  </si>
  <si>
    <t>hydrogen vehicle</t>
  </si>
  <si>
    <t>us_row</t>
  </si>
  <si>
    <t>U.S.</t>
  </si>
  <si>
    <t>row label of the national row on the Alliance_2025 tab</t>
  </si>
  <si>
    <t>qc</t>
  </si>
  <si>
    <t>share_tol</t>
  </si>
  <si>
    <t>max acceptable |realized - target| ZEV share on the Solve tab forward check</t>
  </si>
  <si>
    <t>w_max</t>
  </si>
  <si>
    <t>shareweights must not exceed this: gasoline is the numeraire at 1 and the BEV 2050 endpoint is 1, so a 2025 anchor above it would invert the s-curve</t>
  </si>
  <si>
    <t>us_cost</t>
  </si>
  <si>
    <t>uscost_BEV</t>
  </si>
  <si>
    <t>US 2025 passenger-LDV cost per mile, BEV (eps-us calibration_parameters.csv) -- placeholder source for Costs_BAU</t>
  </si>
  <si>
    <t>uscost_NGV</t>
  </si>
  <si>
    <t>US 2025 passenger-LDV cost per mile, NGV (eps-us calibration_parameters.csv) -- placeholder source for Costs_BAU</t>
  </si>
  <si>
    <t>uscost_gasoline</t>
  </si>
  <si>
    <t>US 2025 passenger-LDV cost per mile, gasoline (eps-us calibration_parameters.csv) -- placeholder source for Costs_BAU</t>
  </si>
  <si>
    <t>uscost_diesel</t>
  </si>
  <si>
    <t>US 2025 passenger-LDV cost per mile, diesel (eps-us calibration_parameters.csv) -- placeholder source for Costs_BAU</t>
  </si>
  <si>
    <t>uscost_PHEV</t>
  </si>
  <si>
    <t>US 2025 passenger-LDV cost per mile, PHEV (eps-us calibration_parameters.csv) -- placeholder source for Costs_BAU</t>
  </si>
  <si>
    <t>uscost_LPG</t>
  </si>
  <si>
    <t>US 2025 passenger-LDV cost per mile, LPG (eps-us calibration_parameters.csv) -- placeholder source for Costs_BAU</t>
  </si>
  <si>
    <t>uscost_H2</t>
  </si>
  <si>
    <t>US 2025 passenger-LDV cost per mile, H2 (eps-us calibration_parameters.csv) -- placeholder source for Costs_BAU</t>
  </si>
  <si>
    <t>Alliance for Automotive Innovation, "Get Connected: EV Quarterly Report" Q4 2025, p.15 -- 2025 (Full Year) New Light-Duty Vehicle Registrations By Powertrain</t>
  </si>
  <si>
    <t>Source: figures compiled by the Alliance with new registrations for retail and fleet data provided by S&amp;P Global Mobility, January 1 - December 31, 2025. Embedded VERBATIM in published percent; cols G-I convert to fractions via Keys!pct_to_frac.</t>
  </si>
  <si>
    <t>state</t>
  </si>
  <si>
    <t>PHEV %</t>
  </si>
  <si>
    <t>BEV %</t>
  </si>
  <si>
    <t>FCEV %</t>
  </si>
  <si>
    <t>EV total %</t>
  </si>
  <si>
    <t>PHEV frac</t>
  </si>
  <si>
    <t>BEV frac</t>
  </si>
  <si>
    <t>H2 frac</t>
  </si>
  <si>
    <t>sum check</t>
  </si>
  <si>
    <t>AK</t>
  </si>
  <si>
    <t>DC</t>
  </si>
  <si>
    <t>HI</t>
  </si>
  <si>
    <t>"BAU New Vehicle Cost per Mile" [LDVs,passenger,*], 2025, $/mile (2012 USD) -- embedded VERBATIM from the per-state BAU exports</t>
  </si>
  <si>
    <t>Source: state-eps-code/run-all/&lt;ST&gt;/BAU.tsv, first data column (= 2025). The standard run-all sweep already exports this variable, so no extra Vensim time is needed -- just rebuild after a sweep. (Verified identical to a dedicated export across CA/FL/ND/NY/TX, 2026-07-30.) TTSCOST.tsv from outputs/TTS/_export_bau_costs.py is the fallback for states a sweep has not covered; the source file is recorded per row.</t>
  </si>
  <si>
    <t>BEV</t>
  </si>
  <si>
    <t>NGV</t>
  </si>
  <si>
    <t>gasoline</t>
  </si>
  <si>
    <t>diesel</t>
  </si>
  <si>
    <t>PHEV</t>
  </si>
  <si>
    <t>LPG</t>
  </si>
  <si>
    <t>H2</t>
  </si>
  <si>
    <t>source file</t>
  </si>
  <si>
    <t>BAU.tsv</t>
  </si>
  <si>
    <t>BAU New Vehicle Cost per Mile -- passenger LDV, 2025 ($/mile, 2012 USD)</t>
  </si>
  <si>
    <t>All 48 states carry a real per-state BAU export (Costs_raw). No placeholders remain.</t>
  </si>
  <si>
    <t>source</t>
  </si>
  <si>
    <t>state BAU export</t>
  </si>
  <si>
    <t>ZEV shareweight solve -- passenger LDV, 2025, all 48 EPS-modelled states</t>
  </si>
  <si>
    <t>Closed form: F = SUM(frozen fossil w * EXP(b*c)); D = F/(1-S_Z); w_k = s_k*D*EXP(-b*c_k). Fossil weights are frozen (Keys!frozen_w_*), so the fossil technologies split the residual (1-S_Z) in proportion to their existing weights. Reproduces the shipped US file to 1.6e-8 when fed US shares+costs.</t>
  </si>
  <si>
    <t>Then RESCALE (col R-Y, Olivia 2026-07-30): divide all SEVEN weights by MAX(1, w_BEV, w_PHEV, w_H2) so the max weight is 1, per the US solver convention. The logit is scale-invariant, so this leaves every realized share EXACTLY unchanged (cols Z-AB verify that) -- it only stops a &gt;1 anchor from inverting the 2025-&gt;2050 s-curve, whose BEV endpoint is 1. It is a no-op wherever w_BEV &lt;= 1, and there gasoline stays at exactly 1.0. Where it does bite, the fossil RATIOS are still frozen -- only the common scale moves, which is the only scale-invariant reading of "freeze the fossil weights".</t>
  </si>
  <si>
    <t>target BEV share</t>
  </si>
  <si>
    <t>target PHEV share</t>
  </si>
  <si>
    <t>target H2 share</t>
  </si>
  <si>
    <t>S_Z (ZEV total)</t>
  </si>
  <si>
    <t>b (exponent)</t>
  </si>
  <si>
    <t>gasoline term</t>
  </si>
  <si>
    <t>diesel term</t>
  </si>
  <si>
    <t>NGV term</t>
  </si>
  <si>
    <t>LPG term</t>
  </si>
  <si>
    <t>F (fossil denom)</t>
  </si>
  <si>
    <t>D (full denom)</t>
  </si>
  <si>
    <t>w BEV raw</t>
  </si>
  <si>
    <t>w PHEV raw</t>
  </si>
  <si>
    <t>w H2 raw</t>
  </si>
  <si>
    <t>scale = MAX(1,ZEV w)</t>
  </si>
  <si>
    <t>w BEV</t>
  </si>
  <si>
    <t>w PHEV</t>
  </si>
  <si>
    <t>w H2</t>
  </si>
  <si>
    <t>w gasoline</t>
  </si>
  <si>
    <t>w diesel</t>
  </si>
  <si>
    <t>w NGV</t>
  </si>
  <si>
    <t>w LPG</t>
  </si>
  <si>
    <t>check BEV share</t>
  </si>
  <si>
    <t>check PHEV share</t>
  </si>
  <si>
    <t>check H2 share</t>
  </si>
  <si>
    <t>max abs err</t>
  </si>
  <si>
    <t>QC</t>
  </si>
  <si>
    <t>tier (1..4, low-&gt;high)</t>
  </si>
  <si>
    <t>log10 w BEV raw</t>
  </si>
  <si>
    <t>log10 w PHEV raw</t>
  </si>
  <si>
    <t>log10 w H2 raw</t>
  </si>
  <si>
    <t>TIER w BEV (geomean)</t>
  </si>
  <si>
    <t>TIER w PHEV</t>
  </si>
  <si>
    <t>TIER w H2</t>
  </si>
  <si>
    <t>tier scale = MAX(1,ZEV)</t>
  </si>
  <si>
    <t>tiered w BEV</t>
  </si>
  <si>
    <t>tiered w PHEV</t>
  </si>
  <si>
    <t>tiered w H2</t>
  </si>
  <si>
    <t>tiered w gasoline</t>
  </si>
  <si>
    <t>tiered w diesel</t>
  </si>
  <si>
    <t>tiered w NGV</t>
  </si>
  <si>
    <t>tiered w LPG</t>
  </si>
  <si>
    <t>implied BEV share</t>
  </si>
  <si>
    <t>implied PHEV share</t>
  </si>
  <si>
    <t>implied H2 share</t>
  </si>
  <si>
    <t>implied ZEV total</t>
  </si>
  <si>
    <t>ZEV err vs target (pp)</t>
  </si>
  <si>
    <t>unweighted mean of state targets (NOT the national total -- sales concentrate in high-EV states; volume-weight once the BAU export provides BAU New Vehicles Demanded per state):</t>
  </si>
  <si>
    <t>Alliance U.S. row (the volume-weighted national truth):</t>
  </si>
  <si>
    <t>Anchor tiering: the 4 tiers above replace the per-state anchors in the Data sheet. Tier weight = geometric mean of member states' solved weights; col AY is the accuracy cost in percentage points of base-year ZEV share. Tier IDs come from a 1-D dynamic program minimising the WORST such error (k-means minimises weight distance, which is the wrong objective and gave 10.6pp).</t>
  </si>
  <si>
    <t>worst |err| across all states:</t>
  </si>
  <si>
    <t>Start-year vehicles by technology (passenger), as currently deployed in state-eps-data/&lt;ST&gt;/trans/SYVbT/SYVbT-passenger.csv -- embedded verbatim</t>
  </si>
  <si>
    <t>mode</t>
  </si>
  <si>
    <t>natural gas vehicle</t>
  </si>
  <si>
    <t>gasoline vehicle</t>
  </si>
  <si>
    <t>diesel vehicle</t>
  </si>
  <si>
    <t>LPG vehicle</t>
  </si>
  <si>
    <t>LDVs</t>
  </si>
  <si>
    <t>HDVs</t>
  </si>
  <si>
    <t>aircraft</t>
  </si>
  <si>
    <t>rail</t>
  </si>
  <si>
    <t>ships</t>
  </si>
  <si>
    <t>motorbikes</t>
  </si>
  <si>
    <t>Number of Vehicles</t>
  </si>
  <si>
    <t>Active-state slice of SYVbT_all, driven by About!B2. Same layout as the US TTS workbook tab of this name, so Data!E52 (rail BEV shareweight = electric share of the passenger-rail stock) works unchanged -- wrapped in IFERROR for the states with no passenger rail at all.</t>
  </si>
  <si>
    <t>We use sigmoidal interpolation for relatively new technologies (battery electric vehicles, natural gas vehicles, and</t>
  </si>
  <si>
    <t>Sigmoidal Curve Values for Vehicle Technologies (all except battery electric passenger LDVs)</t>
  </si>
  <si>
    <t>Sigmoidal Curve Values for battery electric passenger LDV Technologies</t>
  </si>
  <si>
    <t>Sigmoidal Curve Values for battery electric freight HDV Technologies</t>
  </si>
  <si>
    <t>Sigmoidal Curve Values for PHEV passenger LDV Technologies</t>
  </si>
  <si>
    <t>Sigmoidal Curve Values for battery electric/PHEV passenger HDV and freight LDV Technologies</t>
  </si>
  <si>
    <t>plugin hybrid vehicles) and linear interpolation for other vehicle technologies.  Technologies with constant values</t>
  </si>
  <si>
    <t>L</t>
  </si>
  <si>
    <t>do not require interpolation.</t>
  </si>
  <si>
    <t>k</t>
  </si>
  <si>
    <t>The values (to the right) that define the shape of the sigmoidal curve are assumptions, which neatly approach the</t>
  </si>
  <si>
    <t>Xo</t>
  </si>
  <si>
    <t>specified 2050 max sales share with a flattening curve.  (Of course, linear interpolation is similarly an assumption.)</t>
  </si>
  <si>
    <t>Max Potential Sales Share</t>
  </si>
  <si>
    <t>Interpolation Method</t>
  </si>
  <si>
    <t>Psgr LDVs only</t>
  </si>
  <si>
    <t>2024 and 2025 shareweights for onroad vehicle types copied/pasted from the Python solver outputs, explained on the About page</t>
  </si>
  <si>
    <t>2025: all 7 weights come from Solve via About!B2. ZEV rows (BEV 10 / PHEV 14 / H2 16) are solved to the state's observed sales shares; fossil rows (12, 13, 11, 15) keep the frozen US ratios and share the rescale factor so max weight = 1. F12 tracks E12 so gasoline stays constant. Rows 80-86 mirror 10-16, so motorbikes inherit all of it.</t>
  </si>
  <si>
    <t>*for passenger LDVs only, see Assumptions page</t>
  </si>
  <si>
    <t>Vehicle Type</t>
  </si>
  <si>
    <t>Cargo Type</t>
  </si>
  <si>
    <t>Vehicle Technology</t>
  </si>
  <si>
    <t>passenger</t>
  </si>
  <si>
    <t>freight</t>
  </si>
  <si>
    <t>linear</t>
  </si>
  <si>
    <t>s-curve</t>
  </si>
  <si>
    <t>Re-based s-curve helper (see About). phi(t) = (sigma(t) - sigma(2025)) / (sigma(2050) - sigma(2025)), so phi = 0 in 2025 and exactly 1 in 2050. The shipped form used sigma(t) raw, and sigma(2025) = 0.0356 not 0, which put a step between the anchor and the curve. Time index is (year - 2025) from row 9, so every row is on the same clock.</t>
  </si>
  <si>
    <t>phi -- I block (L=$I$2, k=$I$3, Xo=$I$4)</t>
  </si>
  <si>
    <t>phi -- O block (L=$O$2, k=$O$3, Xo=$O$4)</t>
  </si>
  <si>
    <t>phi -- U block (L=$U$2, k=$U$3, Xo=$U$4)</t>
  </si>
  <si>
    <t>phi -- R block (L=$R$2, k=$R$3, Xo=$R$4)</t>
  </si>
  <si>
    <t>phi -- X block (L=$X$2, k=$X$3, Xo=$X$4)</t>
  </si>
  <si>
    <t>Max Fraction of Production (dimensionless)</t>
  </si>
  <si>
    <t>Export view: 2025-2050 (26 year columns). The US workbook starts at 2024; that column is inert in a state model (INITIAL TIME = 2025, TIME STEP = 1) and is dropped here -- verified by a perturbation run, see the methodology doc.</t>
  </si>
  <si>
    <t>Rows 2, 3, 4, 5, 6, 7, 8 carry the US export view's literal values instead of mirroring Data: the US Data rows for this class evaluate to 0 (no anchors) and the US view overrides them with 1s. All-zero shareweights crash EPS (raw division in New Vehicles Allocated before ZEV Standards).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</si>
</sst>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0"/>
    <numFmt numFmtId="165" formatCode="0.000"/>
    <numFmt numFmtId="166" formatCode="0.000000"/>
    <numFmt numFmtId="167" formatCode="0.000000000000"/>
    <numFmt numFmtId="168" formatCode="0.0000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3"/>
      <name val="Calibri"/>
    </font>
    <font>
      <i/>
      <sz val="9"/>
      <color rgb="FF555555"/>
      <name val="Calibri"/>
    </font>
    <font>
      <b/>
      <sz val="11"/>
      <name val="Calibri"/>
    </font>
    <font>
      <b/>
      <sz val="11"/>
      <color rgb="FF9C0006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4" fillId="0" borderId="0" xfId="0" applyFont="1"/>
    <xf numFmtId="0" fontId="0" fillId="3" borderId="0" xfId="0" applyFill="1"/>
    <xf numFmtId="0" fontId="3" fillId="0" borderId="0" xfId="0" applyFont="1"/>
    <xf numFmtId="0" fontId="1" fillId="2" borderId="0" xfId="0" applyFont="1" applyFill="1"/>
    <xf numFmtId="0" fontId="2" fillId="0" borderId="0" xfId="0" applyFont="1"/>
    <xf numFmtId="0" fontId="5" fillId="4" borderId="0" xfId="0" applyFont="1" applyFill="1"/>
    <xf numFmtId="164" fontId="0" fillId="3" borderId="0" xfId="0" applyNumberFormat="1" applyFill="1"/>
    <xf numFmtId="165" fontId="0" fillId="0" borderId="0" xfId="0" applyNumberFormat="1"/>
    <xf numFmtId="166" fontId="0" fillId="0" borderId="0" xfId="0" applyNumberFormat="1"/>
    <xf numFmtId="0" fontId="1" fillId="2" borderId="0" xfId="0" applyFont="1" applyFill="1" applyAlignment="1">
      <alignment wrapText="1"/>
    </xf>
    <xf numFmtId="164" fontId="0" fillId="0" borderId="0" xfId="0" applyNumberFormat="1"/>
    <xf numFmtId="11" fontId="0" fillId="3" borderId="0" xfId="0" applyNumberFormat="1" applyFill="1"/>
    <xf numFmtId="167" fontId="0" fillId="0" borderId="0" xfId="0" applyNumberFormat="1"/>
    <xf numFmtId="166" fontId="0" fillId="3" borderId="0" xfId="0" applyNumberFormat="1" applyFill="1"/>
    <xf numFmtId="11" fontId="0" fillId="0" borderId="0" xfId="0" applyNumberFormat="1"/>
    <xf numFmtId="168" fontId="0" fillId="0" borderId="0" xfId="0" applyNumberFormat="1"/>
    <xf numFmtId="2" fontId="0" fillId="0" borderId="0" xfId="0" applyNumberFormat="1"/>
    <xf numFmtId="167" fontId="0" fillId="3" borderId="0" xfId="0" applyNumberFormat="1" applyFill="1"/>
    <xf numFmtId="168" fontId="0" fillId="3" borderId="0" xfId="0" applyNumberFormat="1" applyFill="1"/>
    <xf numFmtId="14" fontId="3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2"/>
  <sheetViews>
    <sheetView tabSelected="1" workbookViewId="0"/>
  </sheetViews>
  <sheetFormatPr defaultRowHeight="15" x14ac:dyDescent="0.25"/>
  <cols>
    <col min="1" max="1" width="100" customWidth="1"/>
    <col min="2" max="2" width="16" customWidth="1"/>
    <col min="5" max="5" width="20" customWidth="1"/>
    <col min="6" max="6" width="12" customWidth="1"/>
  </cols>
  <sheetData>
    <row r="1" spans="1:6" x14ac:dyDescent="0.25">
      <c r="A1" s="1" t="s">
        <v>0</v>
      </c>
      <c r="B1" s="2" t="s">
        <v>9</v>
      </c>
      <c r="C1" s="20">
        <v>46237</v>
      </c>
      <c r="E1" s="4" t="s">
        <v>2</v>
      </c>
      <c r="F1" s="4" t="s">
        <v>3</v>
      </c>
    </row>
    <row r="2" spans="1:6" x14ac:dyDescent="0.25">
      <c r="A2" s="1" t="s">
        <v>4</v>
      </c>
      <c r="B2" t="str">
        <f>INDEX(Geography!$A$2:$A$49,MATCH($B$1,Geography!$B$2:$B$49,0))</f>
        <v>AZ</v>
      </c>
      <c r="E2" t="s">
        <v>1</v>
      </c>
      <c r="F2" t="s">
        <v>5</v>
      </c>
    </row>
    <row r="3" spans="1:6" x14ac:dyDescent="0.25">
      <c r="E3" t="s">
        <v>6</v>
      </c>
      <c r="F3" t="s">
        <v>7</v>
      </c>
    </row>
    <row r="4" spans="1:6" ht="17.25" x14ac:dyDescent="0.3">
      <c r="A4" s="5" t="s">
        <v>8</v>
      </c>
      <c r="E4" t="s">
        <v>9</v>
      </c>
      <c r="F4" t="s">
        <v>10</v>
      </c>
    </row>
    <row r="5" spans="1:6" x14ac:dyDescent="0.25">
      <c r="A5" s="3" t="s">
        <v>11</v>
      </c>
      <c r="E5" t="s">
        <v>12</v>
      </c>
      <c r="F5" t="s">
        <v>13</v>
      </c>
    </row>
    <row r="6" spans="1:6" x14ac:dyDescent="0.25">
      <c r="E6" t="s">
        <v>14</v>
      </c>
      <c r="F6" t="s">
        <v>15</v>
      </c>
    </row>
    <row r="7" spans="1:6" x14ac:dyDescent="0.25">
      <c r="A7" s="6" t="s">
        <v>16</v>
      </c>
      <c r="E7" t="s">
        <v>17</v>
      </c>
      <c r="F7" t="s">
        <v>18</v>
      </c>
    </row>
    <row r="8" spans="1:6" x14ac:dyDescent="0.25">
      <c r="E8" t="s">
        <v>19</v>
      </c>
      <c r="F8" t="s">
        <v>20</v>
      </c>
    </row>
    <row r="9" spans="1:6" x14ac:dyDescent="0.25">
      <c r="A9" s="1" t="s">
        <v>21</v>
      </c>
      <c r="E9" t="s">
        <v>22</v>
      </c>
      <c r="F9" t="s">
        <v>23</v>
      </c>
    </row>
    <row r="10" spans="1:6" x14ac:dyDescent="0.25">
      <c r="A10" t="s">
        <v>24</v>
      </c>
      <c r="E10" t="s">
        <v>25</v>
      </c>
      <c r="F10" t="s">
        <v>26</v>
      </c>
    </row>
    <row r="11" spans="1:6" x14ac:dyDescent="0.25">
      <c r="A11" t="s">
        <v>27</v>
      </c>
      <c r="E11" t="s">
        <v>28</v>
      </c>
      <c r="F11" t="s">
        <v>29</v>
      </c>
    </row>
    <row r="12" spans="1:6" x14ac:dyDescent="0.25">
      <c r="A12" t="s">
        <v>30</v>
      </c>
      <c r="E12" t="s">
        <v>31</v>
      </c>
      <c r="F12" t="s">
        <v>32</v>
      </c>
    </row>
    <row r="13" spans="1:6" x14ac:dyDescent="0.25">
      <c r="A13" t="s">
        <v>33</v>
      </c>
      <c r="E13" t="s">
        <v>34</v>
      </c>
      <c r="F13" t="s">
        <v>35</v>
      </c>
    </row>
    <row r="14" spans="1:6" x14ac:dyDescent="0.25">
      <c r="A14" t="s">
        <v>36</v>
      </c>
      <c r="E14" t="s">
        <v>37</v>
      </c>
      <c r="F14" t="s">
        <v>38</v>
      </c>
    </row>
    <row r="15" spans="1:6" x14ac:dyDescent="0.25">
      <c r="E15" t="s">
        <v>39</v>
      </c>
      <c r="F15" t="s">
        <v>40</v>
      </c>
    </row>
    <row r="16" spans="1:6" x14ac:dyDescent="0.25">
      <c r="A16" t="s">
        <v>41</v>
      </c>
      <c r="E16" t="s">
        <v>42</v>
      </c>
      <c r="F16" t="s">
        <v>43</v>
      </c>
    </row>
    <row r="17" spans="1:6" x14ac:dyDescent="0.25">
      <c r="A17" t="s">
        <v>44</v>
      </c>
      <c r="E17" t="s">
        <v>45</v>
      </c>
      <c r="F17" t="s">
        <v>46</v>
      </c>
    </row>
    <row r="18" spans="1:6" x14ac:dyDescent="0.25">
      <c r="E18" t="s">
        <v>47</v>
      </c>
      <c r="F18" t="s">
        <v>48</v>
      </c>
    </row>
    <row r="19" spans="1:6" x14ac:dyDescent="0.25">
      <c r="A19" s="1" t="s">
        <v>49</v>
      </c>
      <c r="E19" t="s">
        <v>50</v>
      </c>
      <c r="F19" t="s">
        <v>51</v>
      </c>
    </row>
    <row r="20" spans="1:6" x14ac:dyDescent="0.25">
      <c r="A20" t="s">
        <v>52</v>
      </c>
      <c r="E20" t="s">
        <v>53</v>
      </c>
      <c r="F20" t="s">
        <v>54</v>
      </c>
    </row>
    <row r="21" spans="1:6" x14ac:dyDescent="0.25">
      <c r="A21" t="s">
        <v>55</v>
      </c>
      <c r="E21" t="s">
        <v>56</v>
      </c>
      <c r="F21" t="s">
        <v>57</v>
      </c>
    </row>
    <row r="22" spans="1:6" x14ac:dyDescent="0.25">
      <c r="A22" t="s">
        <v>58</v>
      </c>
      <c r="E22" t="s">
        <v>59</v>
      </c>
      <c r="F22" t="s">
        <v>60</v>
      </c>
    </row>
    <row r="23" spans="1:6" x14ac:dyDescent="0.25">
      <c r="A23" t="s">
        <v>61</v>
      </c>
      <c r="E23" t="s">
        <v>62</v>
      </c>
      <c r="F23" t="s">
        <v>63</v>
      </c>
    </row>
    <row r="24" spans="1:6" x14ac:dyDescent="0.25">
      <c r="A24" t="s">
        <v>64</v>
      </c>
      <c r="E24" t="s">
        <v>65</v>
      </c>
      <c r="F24" t="s">
        <v>66</v>
      </c>
    </row>
    <row r="25" spans="1:6" x14ac:dyDescent="0.25">
      <c r="A25" t="s">
        <v>67</v>
      </c>
      <c r="E25" t="s">
        <v>68</v>
      </c>
      <c r="F25" t="s">
        <v>69</v>
      </c>
    </row>
    <row r="26" spans="1:6" x14ac:dyDescent="0.25">
      <c r="A26" t="s">
        <v>70</v>
      </c>
      <c r="E26" t="s">
        <v>71</v>
      </c>
      <c r="F26" t="s">
        <v>72</v>
      </c>
    </row>
    <row r="27" spans="1:6" x14ac:dyDescent="0.25">
      <c r="A27" t="s">
        <v>73</v>
      </c>
      <c r="E27" t="s">
        <v>74</v>
      </c>
      <c r="F27" t="s">
        <v>75</v>
      </c>
    </row>
    <row r="28" spans="1:6" x14ac:dyDescent="0.25">
      <c r="A28" t="s">
        <v>76</v>
      </c>
      <c r="E28" t="s">
        <v>77</v>
      </c>
      <c r="F28" t="s">
        <v>78</v>
      </c>
    </row>
    <row r="29" spans="1:6" x14ac:dyDescent="0.25">
      <c r="A29" t="s">
        <v>79</v>
      </c>
      <c r="E29" t="s">
        <v>80</v>
      </c>
      <c r="F29" t="s">
        <v>81</v>
      </c>
    </row>
    <row r="30" spans="1:6" x14ac:dyDescent="0.25">
      <c r="A30" t="s">
        <v>82</v>
      </c>
      <c r="E30" t="s">
        <v>83</v>
      </c>
      <c r="F30" t="s">
        <v>84</v>
      </c>
    </row>
    <row r="31" spans="1:6" x14ac:dyDescent="0.25">
      <c r="A31" t="s">
        <v>85</v>
      </c>
      <c r="E31" t="s">
        <v>86</v>
      </c>
      <c r="F31" t="s">
        <v>87</v>
      </c>
    </row>
    <row r="32" spans="1:6" x14ac:dyDescent="0.25">
      <c r="A32" t="s">
        <v>88</v>
      </c>
      <c r="E32" t="s">
        <v>89</v>
      </c>
      <c r="F32" t="s">
        <v>90</v>
      </c>
    </row>
    <row r="33" spans="1:6" x14ac:dyDescent="0.25">
      <c r="A33" t="s">
        <v>91</v>
      </c>
      <c r="E33" t="s">
        <v>92</v>
      </c>
      <c r="F33" t="s">
        <v>93</v>
      </c>
    </row>
    <row r="34" spans="1:6" x14ac:dyDescent="0.25">
      <c r="A34" t="s">
        <v>94</v>
      </c>
      <c r="E34" t="s">
        <v>95</v>
      </c>
      <c r="F34" t="s">
        <v>96</v>
      </c>
    </row>
    <row r="35" spans="1:6" x14ac:dyDescent="0.25">
      <c r="E35" t="s">
        <v>97</v>
      </c>
      <c r="F35" t="s">
        <v>98</v>
      </c>
    </row>
    <row r="36" spans="1:6" x14ac:dyDescent="0.25">
      <c r="A36" t="s">
        <v>99</v>
      </c>
      <c r="E36" t="s">
        <v>100</v>
      </c>
      <c r="F36" t="s">
        <v>101</v>
      </c>
    </row>
    <row r="37" spans="1:6" x14ac:dyDescent="0.25">
      <c r="A37" t="s">
        <v>102</v>
      </c>
      <c r="E37" t="s">
        <v>103</v>
      </c>
      <c r="F37" t="s">
        <v>104</v>
      </c>
    </row>
    <row r="38" spans="1:6" x14ac:dyDescent="0.25">
      <c r="A38" t="s">
        <v>105</v>
      </c>
      <c r="E38" t="s">
        <v>106</v>
      </c>
      <c r="F38" t="s">
        <v>107</v>
      </c>
    </row>
    <row r="39" spans="1:6" x14ac:dyDescent="0.25">
      <c r="E39" t="s">
        <v>108</v>
      </c>
      <c r="F39" t="s">
        <v>109</v>
      </c>
    </row>
    <row r="40" spans="1:6" x14ac:dyDescent="0.25">
      <c r="A40" s="1" t="s">
        <v>110</v>
      </c>
      <c r="E40" t="s">
        <v>111</v>
      </c>
      <c r="F40" t="s">
        <v>112</v>
      </c>
    </row>
    <row r="41" spans="1:6" x14ac:dyDescent="0.25">
      <c r="A41" t="s">
        <v>113</v>
      </c>
      <c r="E41" t="s">
        <v>114</v>
      </c>
      <c r="F41" t="s">
        <v>115</v>
      </c>
    </row>
    <row r="42" spans="1:6" x14ac:dyDescent="0.25">
      <c r="A42" t="s">
        <v>116</v>
      </c>
      <c r="E42" t="s">
        <v>117</v>
      </c>
      <c r="F42" t="s">
        <v>118</v>
      </c>
    </row>
    <row r="43" spans="1:6" x14ac:dyDescent="0.25">
      <c r="A43" t="s">
        <v>119</v>
      </c>
      <c r="E43" t="s">
        <v>120</v>
      </c>
      <c r="F43" t="s">
        <v>121</v>
      </c>
    </row>
    <row r="44" spans="1:6" x14ac:dyDescent="0.25">
      <c r="A44" t="s">
        <v>122</v>
      </c>
      <c r="E44" t="s">
        <v>123</v>
      </c>
      <c r="F44" t="s">
        <v>124</v>
      </c>
    </row>
    <row r="45" spans="1:6" x14ac:dyDescent="0.25">
      <c r="A45" t="s">
        <v>125</v>
      </c>
      <c r="E45" t="s">
        <v>126</v>
      </c>
      <c r="F45" t="s">
        <v>127</v>
      </c>
    </row>
    <row r="46" spans="1:6" x14ac:dyDescent="0.25">
      <c r="A46" t="s">
        <v>128</v>
      </c>
      <c r="E46" t="s">
        <v>129</v>
      </c>
      <c r="F46" t="s">
        <v>130</v>
      </c>
    </row>
    <row r="47" spans="1:6" x14ac:dyDescent="0.25">
      <c r="A47" t="s">
        <v>131</v>
      </c>
      <c r="E47" t="s">
        <v>132</v>
      </c>
      <c r="F47" t="s">
        <v>133</v>
      </c>
    </row>
    <row r="48" spans="1:6" x14ac:dyDescent="0.25">
      <c r="A48" t="s">
        <v>134</v>
      </c>
      <c r="E48" t="s">
        <v>135</v>
      </c>
      <c r="F48" t="s">
        <v>136</v>
      </c>
    </row>
    <row r="49" spans="1:6" x14ac:dyDescent="0.25">
      <c r="A49" t="s">
        <v>137</v>
      </c>
      <c r="E49" t="s">
        <v>138</v>
      </c>
      <c r="F49" t="s">
        <v>139</v>
      </c>
    </row>
    <row r="51" spans="1:6" x14ac:dyDescent="0.25">
      <c r="A51" s="1" t="s">
        <v>140</v>
      </c>
    </row>
    <row r="52" spans="1:6" x14ac:dyDescent="0.25">
      <c r="A52" t="s">
        <v>141</v>
      </c>
    </row>
    <row r="53" spans="1:6" x14ac:dyDescent="0.25">
      <c r="A53" t="s">
        <v>142</v>
      </c>
    </row>
    <row r="54" spans="1:6" x14ac:dyDescent="0.25">
      <c r="A54" t="s">
        <v>143</v>
      </c>
    </row>
    <row r="55" spans="1:6" x14ac:dyDescent="0.25">
      <c r="A55" t="s">
        <v>144</v>
      </c>
    </row>
    <row r="56" spans="1:6" x14ac:dyDescent="0.25">
      <c r="A56" t="s">
        <v>145</v>
      </c>
    </row>
    <row r="57" spans="1:6" x14ac:dyDescent="0.25">
      <c r="A57" t="s">
        <v>146</v>
      </c>
    </row>
    <row r="58" spans="1:6" x14ac:dyDescent="0.25">
      <c r="A58" t="s">
        <v>147</v>
      </c>
    </row>
    <row r="59" spans="1:6" x14ac:dyDescent="0.25">
      <c r="A59" t="s">
        <v>148</v>
      </c>
    </row>
    <row r="61" spans="1:6" x14ac:dyDescent="0.25">
      <c r="A61" s="3" t="s">
        <v>149</v>
      </c>
    </row>
    <row r="62" spans="1:6" x14ac:dyDescent="0.25">
      <c r="A62" s="3" t="s">
        <v>150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2" customWidth="1"/>
    <col min="2" max="2" width="20" customWidth="1"/>
  </cols>
  <sheetData>
    <row r="1" spans="1:2" x14ac:dyDescent="0.25">
      <c r="A1" s="4" t="s">
        <v>3</v>
      </c>
      <c r="B1" s="4" t="s">
        <v>2</v>
      </c>
    </row>
    <row r="2" spans="1:2" x14ac:dyDescent="0.25">
      <c r="A2" t="s">
        <v>5</v>
      </c>
      <c r="B2" t="s">
        <v>1</v>
      </c>
    </row>
    <row r="3" spans="1:2" x14ac:dyDescent="0.25">
      <c r="A3" t="s">
        <v>7</v>
      </c>
      <c r="B3" t="s">
        <v>6</v>
      </c>
    </row>
    <row r="4" spans="1:2" x14ac:dyDescent="0.25">
      <c r="A4" t="s">
        <v>10</v>
      </c>
      <c r="B4" t="s">
        <v>9</v>
      </c>
    </row>
    <row r="5" spans="1:2" x14ac:dyDescent="0.25">
      <c r="A5" t="s">
        <v>13</v>
      </c>
      <c r="B5" t="s">
        <v>12</v>
      </c>
    </row>
    <row r="6" spans="1:2" x14ac:dyDescent="0.25">
      <c r="A6" t="s">
        <v>15</v>
      </c>
      <c r="B6" t="s">
        <v>14</v>
      </c>
    </row>
    <row r="7" spans="1:2" x14ac:dyDescent="0.25">
      <c r="A7" t="s">
        <v>18</v>
      </c>
      <c r="B7" t="s">
        <v>17</v>
      </c>
    </row>
    <row r="8" spans="1:2" x14ac:dyDescent="0.25">
      <c r="A8" t="s">
        <v>20</v>
      </c>
      <c r="B8" t="s">
        <v>19</v>
      </c>
    </row>
    <row r="9" spans="1:2" x14ac:dyDescent="0.25">
      <c r="A9" t="s">
        <v>23</v>
      </c>
      <c r="B9" t="s">
        <v>22</v>
      </c>
    </row>
    <row r="10" spans="1:2" x14ac:dyDescent="0.25">
      <c r="A10" t="s">
        <v>26</v>
      </c>
      <c r="B10" t="s">
        <v>25</v>
      </c>
    </row>
    <row r="11" spans="1:2" x14ac:dyDescent="0.25">
      <c r="A11" t="s">
        <v>29</v>
      </c>
      <c r="B11" t="s">
        <v>28</v>
      </c>
    </row>
    <row r="12" spans="1:2" x14ac:dyDescent="0.25">
      <c r="A12" t="s">
        <v>32</v>
      </c>
      <c r="B12" t="s">
        <v>31</v>
      </c>
    </row>
    <row r="13" spans="1:2" x14ac:dyDescent="0.25">
      <c r="A13" t="s">
        <v>35</v>
      </c>
      <c r="B13" t="s">
        <v>34</v>
      </c>
    </row>
    <row r="14" spans="1:2" x14ac:dyDescent="0.25">
      <c r="A14" t="s">
        <v>38</v>
      </c>
      <c r="B14" t="s">
        <v>37</v>
      </c>
    </row>
    <row r="15" spans="1:2" x14ac:dyDescent="0.25">
      <c r="A15" t="s">
        <v>40</v>
      </c>
      <c r="B15" t="s">
        <v>39</v>
      </c>
    </row>
    <row r="16" spans="1:2" x14ac:dyDescent="0.25">
      <c r="A16" t="s">
        <v>43</v>
      </c>
      <c r="B16" t="s">
        <v>42</v>
      </c>
    </row>
    <row r="17" spans="1:2" x14ac:dyDescent="0.25">
      <c r="A17" t="s">
        <v>46</v>
      </c>
      <c r="B17" t="s">
        <v>45</v>
      </c>
    </row>
    <row r="18" spans="1:2" x14ac:dyDescent="0.25">
      <c r="A18" t="s">
        <v>48</v>
      </c>
      <c r="B18" t="s">
        <v>47</v>
      </c>
    </row>
    <row r="19" spans="1:2" x14ac:dyDescent="0.25">
      <c r="A19" t="s">
        <v>51</v>
      </c>
      <c r="B19" t="s">
        <v>50</v>
      </c>
    </row>
    <row r="20" spans="1:2" x14ac:dyDescent="0.25">
      <c r="A20" t="s">
        <v>54</v>
      </c>
      <c r="B20" t="s">
        <v>53</v>
      </c>
    </row>
    <row r="21" spans="1:2" x14ac:dyDescent="0.25">
      <c r="A21" t="s">
        <v>57</v>
      </c>
      <c r="B21" t="s">
        <v>56</v>
      </c>
    </row>
    <row r="22" spans="1:2" x14ac:dyDescent="0.25">
      <c r="A22" t="s">
        <v>60</v>
      </c>
      <c r="B22" t="s">
        <v>59</v>
      </c>
    </row>
    <row r="23" spans="1:2" x14ac:dyDescent="0.25">
      <c r="A23" t="s">
        <v>63</v>
      </c>
      <c r="B23" t="s">
        <v>62</v>
      </c>
    </row>
    <row r="24" spans="1:2" x14ac:dyDescent="0.25">
      <c r="A24" t="s">
        <v>66</v>
      </c>
      <c r="B24" t="s">
        <v>65</v>
      </c>
    </row>
    <row r="25" spans="1:2" x14ac:dyDescent="0.25">
      <c r="A25" t="s">
        <v>69</v>
      </c>
      <c r="B25" t="s">
        <v>68</v>
      </c>
    </row>
    <row r="26" spans="1:2" x14ac:dyDescent="0.25">
      <c r="A26" t="s">
        <v>72</v>
      </c>
      <c r="B26" t="s">
        <v>71</v>
      </c>
    </row>
    <row r="27" spans="1:2" x14ac:dyDescent="0.25">
      <c r="A27" t="s">
        <v>75</v>
      </c>
      <c r="B27" t="s">
        <v>74</v>
      </c>
    </row>
    <row r="28" spans="1:2" x14ac:dyDescent="0.25">
      <c r="A28" t="s">
        <v>78</v>
      </c>
      <c r="B28" t="s">
        <v>77</v>
      </c>
    </row>
    <row r="29" spans="1:2" x14ac:dyDescent="0.25">
      <c r="A29" t="s">
        <v>81</v>
      </c>
      <c r="B29" t="s">
        <v>80</v>
      </c>
    </row>
    <row r="30" spans="1:2" x14ac:dyDescent="0.25">
      <c r="A30" t="s">
        <v>84</v>
      </c>
      <c r="B30" t="s">
        <v>83</v>
      </c>
    </row>
    <row r="31" spans="1:2" x14ac:dyDescent="0.25">
      <c r="A31" t="s">
        <v>87</v>
      </c>
      <c r="B31" t="s">
        <v>86</v>
      </c>
    </row>
    <row r="32" spans="1:2" x14ac:dyDescent="0.25">
      <c r="A32" t="s">
        <v>90</v>
      </c>
      <c r="B32" t="s">
        <v>89</v>
      </c>
    </row>
    <row r="33" spans="1:2" x14ac:dyDescent="0.25">
      <c r="A33" t="s">
        <v>93</v>
      </c>
      <c r="B33" t="s">
        <v>92</v>
      </c>
    </row>
    <row r="34" spans="1:2" x14ac:dyDescent="0.25">
      <c r="A34" t="s">
        <v>96</v>
      </c>
      <c r="B34" t="s">
        <v>95</v>
      </c>
    </row>
    <row r="35" spans="1:2" x14ac:dyDescent="0.25">
      <c r="A35" t="s">
        <v>98</v>
      </c>
      <c r="B35" t="s">
        <v>97</v>
      </c>
    </row>
    <row r="36" spans="1:2" x14ac:dyDescent="0.25">
      <c r="A36" t="s">
        <v>101</v>
      </c>
      <c r="B36" t="s">
        <v>100</v>
      </c>
    </row>
    <row r="37" spans="1:2" x14ac:dyDescent="0.25">
      <c r="A37" t="s">
        <v>104</v>
      </c>
      <c r="B37" t="s">
        <v>103</v>
      </c>
    </row>
    <row r="38" spans="1:2" x14ac:dyDescent="0.25">
      <c r="A38" t="s">
        <v>107</v>
      </c>
      <c r="B38" t="s">
        <v>106</v>
      </c>
    </row>
    <row r="39" spans="1:2" x14ac:dyDescent="0.25">
      <c r="A39" t="s">
        <v>109</v>
      </c>
      <c r="B39" t="s">
        <v>108</v>
      </c>
    </row>
    <row r="40" spans="1:2" x14ac:dyDescent="0.25">
      <c r="A40" t="s">
        <v>112</v>
      </c>
      <c r="B40" t="s">
        <v>111</v>
      </c>
    </row>
    <row r="41" spans="1:2" x14ac:dyDescent="0.25">
      <c r="A41" t="s">
        <v>115</v>
      </c>
      <c r="B41" t="s">
        <v>114</v>
      </c>
    </row>
    <row r="42" spans="1:2" x14ac:dyDescent="0.25">
      <c r="A42" t="s">
        <v>118</v>
      </c>
      <c r="B42" t="s">
        <v>117</v>
      </c>
    </row>
    <row r="43" spans="1:2" x14ac:dyDescent="0.25">
      <c r="A43" t="s">
        <v>121</v>
      </c>
      <c r="B43" t="s">
        <v>120</v>
      </c>
    </row>
    <row r="44" spans="1:2" x14ac:dyDescent="0.25">
      <c r="A44" t="s">
        <v>124</v>
      </c>
      <c r="B44" t="s">
        <v>123</v>
      </c>
    </row>
    <row r="45" spans="1:2" x14ac:dyDescent="0.25">
      <c r="A45" t="s">
        <v>127</v>
      </c>
      <c r="B45" t="s">
        <v>126</v>
      </c>
    </row>
    <row r="46" spans="1:2" x14ac:dyDescent="0.25">
      <c r="A46" t="s">
        <v>130</v>
      </c>
      <c r="B46" t="s">
        <v>129</v>
      </c>
    </row>
    <row r="47" spans="1:2" x14ac:dyDescent="0.25">
      <c r="A47" t="s">
        <v>133</v>
      </c>
      <c r="B47" t="s">
        <v>132</v>
      </c>
    </row>
    <row r="48" spans="1:2" x14ac:dyDescent="0.25">
      <c r="A48" t="s">
        <v>136</v>
      </c>
      <c r="B48" t="s">
        <v>135</v>
      </c>
    </row>
    <row r="49" spans="1:2" x14ac:dyDescent="0.25">
      <c r="A49" t="s">
        <v>139</v>
      </c>
      <c r="B49" t="s">
        <v>138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2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1" customWidth="1"/>
    <col min="2" max="2" width="18" customWidth="1"/>
    <col min="3" max="3" width="22" customWidth="1"/>
    <col min="4" max="4" width="96" customWidth="1"/>
  </cols>
  <sheetData>
    <row r="1" spans="1:4" x14ac:dyDescent="0.25">
      <c r="A1" s="4" t="s">
        <v>151</v>
      </c>
      <c r="B1" s="4" t="s">
        <v>152</v>
      </c>
      <c r="C1" s="4" t="s">
        <v>153</v>
      </c>
      <c r="D1" s="4" t="s">
        <v>154</v>
      </c>
    </row>
    <row r="2" spans="1:4" x14ac:dyDescent="0.25">
      <c r="A2" t="s">
        <v>155</v>
      </c>
      <c r="B2" t="s">
        <v>156</v>
      </c>
      <c r="C2">
        <v>2025</v>
      </c>
      <c r="D2" t="s">
        <v>157</v>
      </c>
    </row>
    <row r="3" spans="1:4" x14ac:dyDescent="0.25">
      <c r="A3" t="s">
        <v>158</v>
      </c>
      <c r="B3" t="s">
        <v>159</v>
      </c>
      <c r="C3">
        <v>0.01</v>
      </c>
      <c r="D3" t="s">
        <v>160</v>
      </c>
    </row>
    <row r="4" spans="1:4" x14ac:dyDescent="0.25">
      <c r="A4" t="s">
        <v>161</v>
      </c>
      <c r="B4" t="s">
        <v>162</v>
      </c>
      <c r="C4">
        <v>-8</v>
      </c>
      <c r="D4" t="s">
        <v>163</v>
      </c>
    </row>
    <row r="5" spans="1:4" x14ac:dyDescent="0.25">
      <c r="A5" t="s">
        <v>161</v>
      </c>
      <c r="B5" t="s">
        <v>164</v>
      </c>
      <c r="C5">
        <v>10</v>
      </c>
      <c r="D5" t="s">
        <v>165</v>
      </c>
    </row>
    <row r="6" spans="1:4" x14ac:dyDescent="0.25">
      <c r="A6" t="s">
        <v>166</v>
      </c>
      <c r="B6" t="s">
        <v>167</v>
      </c>
      <c r="C6">
        <v>1</v>
      </c>
      <c r="D6" t="s">
        <v>168</v>
      </c>
    </row>
    <row r="7" spans="1:4" x14ac:dyDescent="0.25">
      <c r="A7" t="s">
        <v>166</v>
      </c>
      <c r="B7" t="s">
        <v>169</v>
      </c>
      <c r="C7">
        <v>6.7382959534800002E-2</v>
      </c>
      <c r="D7" t="s">
        <v>170</v>
      </c>
    </row>
    <row r="8" spans="1:4" x14ac:dyDescent="0.25">
      <c r="A8" t="s">
        <v>166</v>
      </c>
      <c r="B8" t="s">
        <v>171</v>
      </c>
      <c r="C8">
        <v>1.00970167475E-4</v>
      </c>
      <c r="D8" t="s">
        <v>172</v>
      </c>
    </row>
    <row r="9" spans="1:4" x14ac:dyDescent="0.25">
      <c r="A9" t="s">
        <v>166</v>
      </c>
      <c r="B9" t="s">
        <v>173</v>
      </c>
      <c r="C9">
        <v>0</v>
      </c>
      <c r="D9" t="s">
        <v>174</v>
      </c>
    </row>
    <row r="10" spans="1:4" x14ac:dyDescent="0.25">
      <c r="A10" t="s">
        <v>175</v>
      </c>
      <c r="B10" t="s">
        <v>176</v>
      </c>
      <c r="C10" t="s">
        <v>177</v>
      </c>
      <c r="D10" t="s">
        <v>178</v>
      </c>
    </row>
    <row r="11" spans="1:4" x14ac:dyDescent="0.25">
      <c r="A11" t="s">
        <v>175</v>
      </c>
      <c r="B11" t="s">
        <v>179</v>
      </c>
      <c r="C11" t="s">
        <v>180</v>
      </c>
      <c r="D11" t="s">
        <v>178</v>
      </c>
    </row>
    <row r="12" spans="1:4" x14ac:dyDescent="0.25">
      <c r="A12" t="s">
        <v>175</v>
      </c>
      <c r="B12" t="s">
        <v>181</v>
      </c>
      <c r="C12" t="s">
        <v>182</v>
      </c>
      <c r="D12" t="s">
        <v>178</v>
      </c>
    </row>
    <row r="13" spans="1:4" x14ac:dyDescent="0.25">
      <c r="A13" t="s">
        <v>175</v>
      </c>
      <c r="B13" t="s">
        <v>183</v>
      </c>
      <c r="C13" t="s">
        <v>184</v>
      </c>
      <c r="D13" t="s">
        <v>185</v>
      </c>
    </row>
    <row r="14" spans="1:4" x14ac:dyDescent="0.25">
      <c r="A14" t="s">
        <v>186</v>
      </c>
      <c r="B14" t="s">
        <v>187</v>
      </c>
      <c r="C14">
        <v>9.9999999999999995E-7</v>
      </c>
      <c r="D14" t="s">
        <v>188</v>
      </c>
    </row>
    <row r="15" spans="1:4" x14ac:dyDescent="0.25">
      <c r="A15" t="s">
        <v>186</v>
      </c>
      <c r="B15" t="s">
        <v>189</v>
      </c>
      <c r="C15">
        <v>1</v>
      </c>
      <c r="D15" t="s">
        <v>190</v>
      </c>
    </row>
    <row r="16" spans="1:4" x14ac:dyDescent="0.25">
      <c r="A16" t="s">
        <v>191</v>
      </c>
      <c r="B16" t="s">
        <v>192</v>
      </c>
      <c r="C16">
        <v>0.59524699999999997</v>
      </c>
      <c r="D16" t="s">
        <v>193</v>
      </c>
    </row>
    <row r="17" spans="1:4" x14ac:dyDescent="0.25">
      <c r="A17" t="s">
        <v>191</v>
      </c>
      <c r="B17" t="s">
        <v>194</v>
      </c>
      <c r="C17">
        <v>0.50148400000000004</v>
      </c>
      <c r="D17" t="s">
        <v>195</v>
      </c>
    </row>
    <row r="18" spans="1:4" x14ac:dyDescent="0.25">
      <c r="A18" t="s">
        <v>191</v>
      </c>
      <c r="B18" t="s">
        <v>196</v>
      </c>
      <c r="C18">
        <v>0.47344999999999998</v>
      </c>
      <c r="D18" t="s">
        <v>197</v>
      </c>
    </row>
    <row r="19" spans="1:4" x14ac:dyDescent="0.25">
      <c r="A19" t="s">
        <v>191</v>
      </c>
      <c r="B19" t="s">
        <v>198</v>
      </c>
      <c r="C19">
        <v>0.53883199999999998</v>
      </c>
      <c r="D19" t="s">
        <v>199</v>
      </c>
    </row>
    <row r="20" spans="1:4" x14ac:dyDescent="0.25">
      <c r="A20" t="s">
        <v>191</v>
      </c>
      <c r="B20" t="s">
        <v>200</v>
      </c>
      <c r="C20">
        <v>0.49004900000000001</v>
      </c>
      <c r="D20" t="s">
        <v>201</v>
      </c>
    </row>
    <row r="21" spans="1:4" x14ac:dyDescent="0.25">
      <c r="A21" t="s">
        <v>191</v>
      </c>
      <c r="B21" t="s">
        <v>202</v>
      </c>
      <c r="C21">
        <v>8701.1299999999992</v>
      </c>
      <c r="D21" t="s">
        <v>203</v>
      </c>
    </row>
    <row r="22" spans="1:4" x14ac:dyDescent="0.25">
      <c r="A22" t="s">
        <v>191</v>
      </c>
      <c r="B22" t="s">
        <v>204</v>
      </c>
      <c r="C22">
        <v>0.58939600000000003</v>
      </c>
      <c r="D22" t="s">
        <v>205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6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10" customWidth="1"/>
    <col min="2" max="5" width="11" customWidth="1"/>
    <col min="7" max="10" width="11" customWidth="1"/>
  </cols>
  <sheetData>
    <row r="1" spans="1:10" ht="17.25" x14ac:dyDescent="0.3">
      <c r="A1" s="5" t="s">
        <v>206</v>
      </c>
    </row>
    <row r="2" spans="1:10" x14ac:dyDescent="0.25">
      <c r="A2" s="3" t="s">
        <v>207</v>
      </c>
    </row>
    <row r="4" spans="1:10" x14ac:dyDescent="0.25">
      <c r="A4" s="4" t="s">
        <v>208</v>
      </c>
      <c r="B4" s="4" t="s">
        <v>209</v>
      </c>
      <c r="C4" s="4" t="s">
        <v>210</v>
      </c>
      <c r="D4" s="4" t="s">
        <v>211</v>
      </c>
      <c r="E4" s="4" t="s">
        <v>212</v>
      </c>
      <c r="G4" s="4" t="s">
        <v>213</v>
      </c>
      <c r="H4" s="4" t="s">
        <v>214</v>
      </c>
      <c r="I4" s="4" t="s">
        <v>215</v>
      </c>
      <c r="J4" s="4" t="s">
        <v>216</v>
      </c>
    </row>
    <row r="5" spans="1:10" x14ac:dyDescent="0.25">
      <c r="A5" t="s">
        <v>217</v>
      </c>
      <c r="B5">
        <v>0.63</v>
      </c>
      <c r="C5">
        <v>2.5</v>
      </c>
      <c r="D5">
        <v>0</v>
      </c>
      <c r="E5">
        <v>3.13</v>
      </c>
      <c r="G5" s="7">
        <f>B5*Keys!$C$3</f>
        <v>6.3E-3</v>
      </c>
      <c r="H5" s="7">
        <f>C5*Keys!$C$3</f>
        <v>2.5000000000000001E-2</v>
      </c>
      <c r="I5" s="7">
        <f>D5*Keys!$C$3</f>
        <v>0</v>
      </c>
      <c r="J5" s="8">
        <f t="shared" ref="J5:J36" si="0">B5+C5+D5-E5</f>
        <v>0</v>
      </c>
    </row>
    <row r="6" spans="1:10" x14ac:dyDescent="0.25">
      <c r="A6" t="s">
        <v>5</v>
      </c>
      <c r="B6">
        <v>0.57999999999999996</v>
      </c>
      <c r="C6">
        <v>3.04</v>
      </c>
      <c r="D6">
        <v>0</v>
      </c>
      <c r="E6">
        <v>3.62</v>
      </c>
      <c r="G6" s="7">
        <f>B6*Keys!$C$3</f>
        <v>5.7999999999999996E-3</v>
      </c>
      <c r="H6" s="7">
        <f>C6*Keys!$C$3</f>
        <v>3.04E-2</v>
      </c>
      <c r="I6" s="7">
        <f>D6*Keys!$C$3</f>
        <v>0</v>
      </c>
      <c r="J6" s="8">
        <f t="shared" si="0"/>
        <v>0</v>
      </c>
    </row>
    <row r="7" spans="1:10" x14ac:dyDescent="0.25">
      <c r="A7" t="s">
        <v>7</v>
      </c>
      <c r="B7">
        <v>0.54</v>
      </c>
      <c r="C7">
        <v>2.0299999999999998</v>
      </c>
      <c r="D7">
        <v>0</v>
      </c>
      <c r="E7">
        <v>2.57</v>
      </c>
      <c r="G7" s="7">
        <f>B7*Keys!$C$3</f>
        <v>5.4000000000000003E-3</v>
      </c>
      <c r="H7" s="7">
        <f>C7*Keys!$C$3</f>
        <v>2.0299999999999999E-2</v>
      </c>
      <c r="I7" s="7">
        <f>D7*Keys!$C$3</f>
        <v>0</v>
      </c>
      <c r="J7" s="8">
        <f t="shared" si="0"/>
        <v>0</v>
      </c>
    </row>
    <row r="8" spans="1:10" x14ac:dyDescent="0.25">
      <c r="A8" t="s">
        <v>10</v>
      </c>
      <c r="B8">
        <v>1.18</v>
      </c>
      <c r="C8">
        <v>7.59</v>
      </c>
      <c r="D8">
        <v>0</v>
      </c>
      <c r="E8">
        <v>8.77</v>
      </c>
      <c r="G8" s="7">
        <f>B8*Keys!$C$3</f>
        <v>1.18E-2</v>
      </c>
      <c r="H8" s="7">
        <f>C8*Keys!$C$3</f>
        <v>7.5899999999999995E-2</v>
      </c>
      <c r="I8" s="7">
        <f>D8*Keys!$C$3</f>
        <v>0</v>
      </c>
      <c r="J8" s="8">
        <f t="shared" si="0"/>
        <v>0</v>
      </c>
    </row>
    <row r="9" spans="1:10" x14ac:dyDescent="0.25">
      <c r="A9" t="s">
        <v>13</v>
      </c>
      <c r="B9">
        <v>3.42</v>
      </c>
      <c r="C9">
        <v>20.420000000000002</v>
      </c>
      <c r="D9">
        <v>0.02</v>
      </c>
      <c r="E9">
        <v>23.86</v>
      </c>
      <c r="G9" s="7">
        <f>B9*Keys!$C$3</f>
        <v>3.4200000000000001E-2</v>
      </c>
      <c r="H9" s="7">
        <f>C9*Keys!$C$3</f>
        <v>0.20420000000000002</v>
      </c>
      <c r="I9" s="7">
        <f>D9*Keys!$C$3</f>
        <v>2.0000000000000001E-4</v>
      </c>
      <c r="J9" s="8">
        <f t="shared" si="0"/>
        <v>0</v>
      </c>
    </row>
    <row r="10" spans="1:10" x14ac:dyDescent="0.25">
      <c r="A10" t="s">
        <v>15</v>
      </c>
      <c r="B10">
        <v>4.2300000000000004</v>
      </c>
      <c r="C10">
        <v>15.62</v>
      </c>
      <c r="D10">
        <v>0</v>
      </c>
      <c r="E10">
        <v>19.850000000000001</v>
      </c>
      <c r="G10" s="7">
        <f>B10*Keys!$C$3</f>
        <v>4.2300000000000004E-2</v>
      </c>
      <c r="H10" s="7">
        <f>C10*Keys!$C$3</f>
        <v>0.15620000000000001</v>
      </c>
      <c r="I10" s="7">
        <f>D10*Keys!$C$3</f>
        <v>0</v>
      </c>
      <c r="J10" s="8">
        <f t="shared" si="0"/>
        <v>0</v>
      </c>
    </row>
    <row r="11" spans="1:10" x14ac:dyDescent="0.25">
      <c r="A11" t="s">
        <v>18</v>
      </c>
      <c r="B11">
        <v>2.88</v>
      </c>
      <c r="C11">
        <v>7.54</v>
      </c>
      <c r="D11">
        <v>0</v>
      </c>
      <c r="E11">
        <v>10.42</v>
      </c>
      <c r="G11" s="7">
        <f>B11*Keys!$C$3</f>
        <v>2.8799999999999999E-2</v>
      </c>
      <c r="H11" s="7">
        <f>C11*Keys!$C$3</f>
        <v>7.5400000000000009E-2</v>
      </c>
      <c r="I11" s="7">
        <f>D11*Keys!$C$3</f>
        <v>0</v>
      </c>
      <c r="J11" s="8">
        <f t="shared" si="0"/>
        <v>0</v>
      </c>
    </row>
    <row r="12" spans="1:10" x14ac:dyDescent="0.25">
      <c r="A12" t="s">
        <v>218</v>
      </c>
      <c r="B12">
        <v>4.29</v>
      </c>
      <c r="C12">
        <v>14.7</v>
      </c>
      <c r="D12">
        <v>0</v>
      </c>
      <c r="E12">
        <v>18.98</v>
      </c>
      <c r="G12" s="7">
        <f>B12*Keys!$C$3</f>
        <v>4.2900000000000001E-2</v>
      </c>
      <c r="H12" s="7">
        <f>C12*Keys!$C$3</f>
        <v>0.14699999999999999</v>
      </c>
      <c r="I12" s="7">
        <f>D12*Keys!$C$3</f>
        <v>0</v>
      </c>
      <c r="J12" s="8">
        <f t="shared" si="0"/>
        <v>9.9999999999980105E-3</v>
      </c>
    </row>
    <row r="13" spans="1:10" x14ac:dyDescent="0.25">
      <c r="A13" t="s">
        <v>20</v>
      </c>
      <c r="B13">
        <v>2.02</v>
      </c>
      <c r="C13">
        <v>7.23</v>
      </c>
      <c r="D13">
        <v>0</v>
      </c>
      <c r="E13">
        <v>9.26</v>
      </c>
      <c r="G13" s="7">
        <f>B13*Keys!$C$3</f>
        <v>2.0199999999999999E-2</v>
      </c>
      <c r="H13" s="7">
        <f>C13*Keys!$C$3</f>
        <v>7.2300000000000003E-2</v>
      </c>
      <c r="I13" s="7">
        <f>D13*Keys!$C$3</f>
        <v>0</v>
      </c>
      <c r="J13" s="8">
        <f t="shared" si="0"/>
        <v>-9.9999999999997868E-3</v>
      </c>
    </row>
    <row r="14" spans="1:10" x14ac:dyDescent="0.25">
      <c r="A14" t="s">
        <v>23</v>
      </c>
      <c r="B14">
        <v>1.35</v>
      </c>
      <c r="C14">
        <v>8.58</v>
      </c>
      <c r="D14">
        <v>0</v>
      </c>
      <c r="E14">
        <v>9.93</v>
      </c>
      <c r="G14" s="7">
        <f>B14*Keys!$C$3</f>
        <v>1.3500000000000002E-2</v>
      </c>
      <c r="H14" s="7">
        <f>C14*Keys!$C$3</f>
        <v>8.5800000000000001E-2</v>
      </c>
      <c r="I14" s="7">
        <f>D14*Keys!$C$3</f>
        <v>0</v>
      </c>
      <c r="J14" s="8">
        <f t="shared" si="0"/>
        <v>0</v>
      </c>
    </row>
    <row r="15" spans="1:10" x14ac:dyDescent="0.25">
      <c r="A15" t="s">
        <v>26</v>
      </c>
      <c r="B15">
        <v>1.07</v>
      </c>
      <c r="C15">
        <v>7.63</v>
      </c>
      <c r="D15">
        <v>0</v>
      </c>
      <c r="E15">
        <v>8.6999999999999993</v>
      </c>
      <c r="G15" s="7">
        <f>B15*Keys!$C$3</f>
        <v>1.0700000000000001E-2</v>
      </c>
      <c r="H15" s="7">
        <f>C15*Keys!$C$3</f>
        <v>7.6300000000000007E-2</v>
      </c>
      <c r="I15" s="7">
        <f>D15*Keys!$C$3</f>
        <v>0</v>
      </c>
      <c r="J15" s="8">
        <f t="shared" si="0"/>
        <v>0</v>
      </c>
    </row>
    <row r="16" spans="1:10" x14ac:dyDescent="0.25">
      <c r="A16" t="s">
        <v>219</v>
      </c>
      <c r="B16">
        <v>1.52</v>
      </c>
      <c r="C16">
        <v>9.2799999999999994</v>
      </c>
      <c r="D16">
        <v>0</v>
      </c>
      <c r="E16">
        <v>10.8</v>
      </c>
      <c r="G16" s="7">
        <f>B16*Keys!$C$3</f>
        <v>1.52E-2</v>
      </c>
      <c r="H16" s="7">
        <f>C16*Keys!$C$3</f>
        <v>9.2799999999999994E-2</v>
      </c>
      <c r="I16" s="7">
        <f>D16*Keys!$C$3</f>
        <v>0</v>
      </c>
      <c r="J16" s="8">
        <f t="shared" si="0"/>
        <v>0</v>
      </c>
    </row>
    <row r="17" spans="1:10" x14ac:dyDescent="0.25">
      <c r="A17" t="s">
        <v>29</v>
      </c>
      <c r="B17">
        <v>0.95</v>
      </c>
      <c r="C17">
        <v>2.81</v>
      </c>
      <c r="D17">
        <v>0</v>
      </c>
      <c r="E17">
        <v>3.76</v>
      </c>
      <c r="G17" s="7">
        <f>B17*Keys!$C$3</f>
        <v>9.4999999999999998E-3</v>
      </c>
      <c r="H17" s="7">
        <f>C17*Keys!$C$3</f>
        <v>2.81E-2</v>
      </c>
      <c r="I17" s="7">
        <f>D17*Keys!$C$3</f>
        <v>0</v>
      </c>
      <c r="J17" s="8">
        <f t="shared" si="0"/>
        <v>0</v>
      </c>
    </row>
    <row r="18" spans="1:10" x14ac:dyDescent="0.25">
      <c r="A18" t="s">
        <v>32</v>
      </c>
      <c r="B18">
        <v>1.2</v>
      </c>
      <c r="C18">
        <v>3.6</v>
      </c>
      <c r="D18">
        <v>0</v>
      </c>
      <c r="E18">
        <v>4.8099999999999996</v>
      </c>
      <c r="G18" s="7">
        <f>B18*Keys!$C$3</f>
        <v>1.2E-2</v>
      </c>
      <c r="H18" s="7">
        <f>C18*Keys!$C$3</f>
        <v>3.6000000000000004E-2</v>
      </c>
      <c r="I18" s="7">
        <f>D18*Keys!$C$3</f>
        <v>0</v>
      </c>
      <c r="J18" s="8">
        <f t="shared" si="0"/>
        <v>-9.9999999999997868E-3</v>
      </c>
    </row>
    <row r="19" spans="1:10" x14ac:dyDescent="0.25">
      <c r="A19" t="s">
        <v>35</v>
      </c>
      <c r="B19">
        <v>1.58</v>
      </c>
      <c r="C19">
        <v>6.55</v>
      </c>
      <c r="D19">
        <v>0</v>
      </c>
      <c r="E19">
        <v>8.14</v>
      </c>
      <c r="G19" s="7">
        <f>B19*Keys!$C$3</f>
        <v>1.5800000000000002E-2</v>
      </c>
      <c r="H19" s="7">
        <f>C19*Keys!$C$3</f>
        <v>6.5500000000000003E-2</v>
      </c>
      <c r="I19" s="7">
        <f>D19*Keys!$C$3</f>
        <v>0</v>
      </c>
      <c r="J19" s="8">
        <f t="shared" si="0"/>
        <v>-1.0000000000001563E-2</v>
      </c>
    </row>
    <row r="20" spans="1:10" x14ac:dyDescent="0.25">
      <c r="A20" t="s">
        <v>38</v>
      </c>
      <c r="B20">
        <v>1.05</v>
      </c>
      <c r="C20">
        <v>4.24</v>
      </c>
      <c r="D20">
        <v>0</v>
      </c>
      <c r="E20">
        <v>5.29</v>
      </c>
      <c r="G20" s="7">
        <f>B20*Keys!$C$3</f>
        <v>1.0500000000000001E-2</v>
      </c>
      <c r="H20" s="7">
        <f>C20*Keys!$C$3</f>
        <v>4.24E-2</v>
      </c>
      <c r="I20" s="7">
        <f>D20*Keys!$C$3</f>
        <v>0</v>
      </c>
      <c r="J20" s="8">
        <f t="shared" si="0"/>
        <v>0</v>
      </c>
    </row>
    <row r="21" spans="1:10" x14ac:dyDescent="0.25">
      <c r="A21" t="s">
        <v>40</v>
      </c>
      <c r="B21">
        <v>0.9</v>
      </c>
      <c r="C21">
        <v>3.65</v>
      </c>
      <c r="D21">
        <v>0</v>
      </c>
      <c r="E21">
        <v>4.5599999999999996</v>
      </c>
      <c r="G21" s="7">
        <f>B21*Keys!$C$3</f>
        <v>9.0000000000000011E-3</v>
      </c>
      <c r="H21" s="7">
        <f>C21*Keys!$C$3</f>
        <v>3.6499999999999998E-2</v>
      </c>
      <c r="I21" s="7">
        <f>D21*Keys!$C$3</f>
        <v>0</v>
      </c>
      <c r="J21" s="8">
        <f t="shared" si="0"/>
        <v>-9.9999999999997868E-3</v>
      </c>
    </row>
    <row r="22" spans="1:10" x14ac:dyDescent="0.25">
      <c r="A22" t="s">
        <v>43</v>
      </c>
      <c r="B22">
        <v>0.91</v>
      </c>
      <c r="C22">
        <v>2.89</v>
      </c>
      <c r="D22">
        <v>0</v>
      </c>
      <c r="E22">
        <v>3.79</v>
      </c>
      <c r="G22" s="7">
        <f>B22*Keys!$C$3</f>
        <v>9.1000000000000004E-3</v>
      </c>
      <c r="H22" s="7">
        <f>C22*Keys!$C$3</f>
        <v>2.8900000000000002E-2</v>
      </c>
      <c r="I22" s="7">
        <f>D22*Keys!$C$3</f>
        <v>0</v>
      </c>
      <c r="J22" s="8">
        <f t="shared" si="0"/>
        <v>1.0000000000000231E-2</v>
      </c>
    </row>
    <row r="23" spans="1:10" x14ac:dyDescent="0.25">
      <c r="A23" t="s">
        <v>46</v>
      </c>
      <c r="B23">
        <v>0.44</v>
      </c>
      <c r="C23">
        <v>3.05</v>
      </c>
      <c r="D23">
        <v>0</v>
      </c>
      <c r="E23">
        <v>3.49</v>
      </c>
      <c r="G23" s="7">
        <f>B23*Keys!$C$3</f>
        <v>4.4000000000000003E-3</v>
      </c>
      <c r="H23" s="7">
        <f>C23*Keys!$C$3</f>
        <v>3.0499999999999999E-2</v>
      </c>
      <c r="I23" s="7">
        <f>D23*Keys!$C$3</f>
        <v>0</v>
      </c>
      <c r="J23" s="8">
        <f t="shared" si="0"/>
        <v>0</v>
      </c>
    </row>
    <row r="24" spans="1:10" x14ac:dyDescent="0.25">
      <c r="A24" t="s">
        <v>48</v>
      </c>
      <c r="B24">
        <v>2.61</v>
      </c>
      <c r="C24">
        <v>7.94</v>
      </c>
      <c r="D24">
        <v>0</v>
      </c>
      <c r="E24">
        <v>10.56</v>
      </c>
      <c r="G24" s="7">
        <f>B24*Keys!$C$3</f>
        <v>2.6099999999999998E-2</v>
      </c>
      <c r="H24" s="7">
        <f>C24*Keys!$C$3</f>
        <v>7.9400000000000012E-2</v>
      </c>
      <c r="I24" s="7">
        <f>D24*Keys!$C$3</f>
        <v>0</v>
      </c>
      <c r="J24" s="8">
        <f t="shared" si="0"/>
        <v>-9.9999999999997868E-3</v>
      </c>
    </row>
    <row r="25" spans="1:10" x14ac:dyDescent="0.25">
      <c r="A25" t="s">
        <v>51</v>
      </c>
      <c r="B25">
        <v>1.98</v>
      </c>
      <c r="C25">
        <v>7.77</v>
      </c>
      <c r="D25">
        <v>0</v>
      </c>
      <c r="E25">
        <v>9.75</v>
      </c>
      <c r="G25" s="7">
        <f>B25*Keys!$C$3</f>
        <v>1.9800000000000002E-2</v>
      </c>
      <c r="H25" s="7">
        <f>C25*Keys!$C$3</f>
        <v>7.7699999999999991E-2</v>
      </c>
      <c r="I25" s="7">
        <f>D25*Keys!$C$3</f>
        <v>0</v>
      </c>
      <c r="J25" s="8">
        <f t="shared" si="0"/>
        <v>0</v>
      </c>
    </row>
    <row r="26" spans="1:10" x14ac:dyDescent="0.25">
      <c r="A26" t="s">
        <v>54</v>
      </c>
      <c r="B26">
        <v>1.62</v>
      </c>
      <c r="C26">
        <v>3.04</v>
      </c>
      <c r="D26">
        <v>0</v>
      </c>
      <c r="E26">
        <v>4.66</v>
      </c>
      <c r="G26" s="7">
        <f>B26*Keys!$C$3</f>
        <v>1.6200000000000003E-2</v>
      </c>
      <c r="H26" s="7">
        <f>C26*Keys!$C$3</f>
        <v>3.04E-2</v>
      </c>
      <c r="I26" s="7">
        <f>D26*Keys!$C$3</f>
        <v>0</v>
      </c>
      <c r="J26" s="8">
        <f t="shared" si="0"/>
        <v>0</v>
      </c>
    </row>
    <row r="27" spans="1:10" x14ac:dyDescent="0.25">
      <c r="A27" t="s">
        <v>57</v>
      </c>
      <c r="B27">
        <v>2.08</v>
      </c>
      <c r="C27">
        <v>6.54</v>
      </c>
      <c r="D27">
        <v>0</v>
      </c>
      <c r="E27">
        <v>8.61</v>
      </c>
      <c r="G27" s="7">
        <f>B27*Keys!$C$3</f>
        <v>2.0800000000000003E-2</v>
      </c>
      <c r="H27" s="7">
        <f>C27*Keys!$C$3</f>
        <v>6.54E-2</v>
      </c>
      <c r="I27" s="7">
        <f>D27*Keys!$C$3</f>
        <v>0</v>
      </c>
      <c r="J27" s="8">
        <f t="shared" si="0"/>
        <v>1.0000000000001563E-2</v>
      </c>
    </row>
    <row r="28" spans="1:10" x14ac:dyDescent="0.25">
      <c r="A28" t="s">
        <v>60</v>
      </c>
      <c r="B28">
        <v>1.67</v>
      </c>
      <c r="C28">
        <v>4.91</v>
      </c>
      <c r="D28">
        <v>0</v>
      </c>
      <c r="E28">
        <v>6.58</v>
      </c>
      <c r="G28" s="7">
        <f>B28*Keys!$C$3</f>
        <v>1.67E-2</v>
      </c>
      <c r="H28" s="7">
        <f>C28*Keys!$C$3</f>
        <v>4.9100000000000005E-2</v>
      </c>
      <c r="I28" s="7">
        <f>D28*Keys!$C$3</f>
        <v>0</v>
      </c>
      <c r="J28" s="8">
        <f t="shared" si="0"/>
        <v>0</v>
      </c>
    </row>
    <row r="29" spans="1:10" x14ac:dyDescent="0.25">
      <c r="A29" t="s">
        <v>63</v>
      </c>
      <c r="B29">
        <v>0.78</v>
      </c>
      <c r="C29">
        <v>3.02</v>
      </c>
      <c r="D29">
        <v>0</v>
      </c>
      <c r="E29">
        <v>3.81</v>
      </c>
      <c r="G29" s="7">
        <f>B29*Keys!$C$3</f>
        <v>7.8000000000000005E-3</v>
      </c>
      <c r="H29" s="7">
        <f>C29*Keys!$C$3</f>
        <v>3.0200000000000001E-2</v>
      </c>
      <c r="I29" s="7">
        <f>D29*Keys!$C$3</f>
        <v>0</v>
      </c>
      <c r="J29" s="8">
        <f t="shared" si="0"/>
        <v>-1.0000000000000231E-2</v>
      </c>
    </row>
    <row r="30" spans="1:10" x14ac:dyDescent="0.25">
      <c r="A30" t="s">
        <v>66</v>
      </c>
      <c r="B30">
        <v>0.35</v>
      </c>
      <c r="C30">
        <v>1.88</v>
      </c>
      <c r="D30">
        <v>0</v>
      </c>
      <c r="E30">
        <v>2.2400000000000002</v>
      </c>
      <c r="G30" s="7">
        <f>B30*Keys!$C$3</f>
        <v>3.4999999999999996E-3</v>
      </c>
      <c r="H30" s="7">
        <f>C30*Keys!$C$3</f>
        <v>1.8800000000000001E-2</v>
      </c>
      <c r="I30" s="7">
        <f>D30*Keys!$C$3</f>
        <v>0</v>
      </c>
      <c r="J30" s="8">
        <f t="shared" si="0"/>
        <v>-1.0000000000000231E-2</v>
      </c>
    </row>
    <row r="31" spans="1:10" x14ac:dyDescent="0.25">
      <c r="A31" t="s">
        <v>69</v>
      </c>
      <c r="B31">
        <v>1.43</v>
      </c>
      <c r="C31">
        <v>2.33</v>
      </c>
      <c r="D31">
        <v>0</v>
      </c>
      <c r="E31">
        <v>3.77</v>
      </c>
      <c r="G31" s="7">
        <f>B31*Keys!$C$3</f>
        <v>1.43E-2</v>
      </c>
      <c r="H31" s="7">
        <f>C31*Keys!$C$3</f>
        <v>2.3300000000000001E-2</v>
      </c>
      <c r="I31" s="7">
        <f>D31*Keys!$C$3</f>
        <v>0</v>
      </c>
      <c r="J31" s="8">
        <f t="shared" si="0"/>
        <v>-1.0000000000000231E-2</v>
      </c>
    </row>
    <row r="32" spans="1:10" x14ac:dyDescent="0.25">
      <c r="A32" t="s">
        <v>72</v>
      </c>
      <c r="B32">
        <v>1.38</v>
      </c>
      <c r="C32">
        <v>6.25</v>
      </c>
      <c r="D32">
        <v>0</v>
      </c>
      <c r="E32">
        <v>7.63</v>
      </c>
      <c r="G32" s="7">
        <f>B32*Keys!$C$3</f>
        <v>1.38E-2</v>
      </c>
      <c r="H32" s="7">
        <f>C32*Keys!$C$3</f>
        <v>6.25E-2</v>
      </c>
      <c r="I32" s="7">
        <f>D32*Keys!$C$3</f>
        <v>0</v>
      </c>
      <c r="J32" s="8">
        <f t="shared" si="0"/>
        <v>0</v>
      </c>
    </row>
    <row r="33" spans="1:10" x14ac:dyDescent="0.25">
      <c r="A33" t="s">
        <v>75</v>
      </c>
      <c r="B33">
        <v>0.42</v>
      </c>
      <c r="C33">
        <v>1.4</v>
      </c>
      <c r="D33">
        <v>0</v>
      </c>
      <c r="E33">
        <v>1.82</v>
      </c>
      <c r="G33" s="7">
        <f>B33*Keys!$C$3</f>
        <v>4.1999999999999997E-3</v>
      </c>
      <c r="H33" s="7">
        <f>C33*Keys!$C$3</f>
        <v>1.3999999999999999E-2</v>
      </c>
      <c r="I33" s="7">
        <f>D33*Keys!$C$3</f>
        <v>0</v>
      </c>
      <c r="J33" s="8">
        <f t="shared" si="0"/>
        <v>0</v>
      </c>
    </row>
    <row r="34" spans="1:10" x14ac:dyDescent="0.25">
      <c r="A34" t="s">
        <v>78</v>
      </c>
      <c r="B34">
        <v>0.99</v>
      </c>
      <c r="C34">
        <v>3.25</v>
      </c>
      <c r="D34">
        <v>0</v>
      </c>
      <c r="E34">
        <v>4.24</v>
      </c>
      <c r="G34" s="7">
        <f>B34*Keys!$C$3</f>
        <v>9.9000000000000008E-3</v>
      </c>
      <c r="H34" s="7">
        <f>C34*Keys!$C$3</f>
        <v>3.2500000000000001E-2</v>
      </c>
      <c r="I34" s="7">
        <f>D34*Keys!$C$3</f>
        <v>0</v>
      </c>
      <c r="J34" s="8">
        <f t="shared" si="0"/>
        <v>0</v>
      </c>
    </row>
    <row r="35" spans="1:10" x14ac:dyDescent="0.25">
      <c r="A35" t="s">
        <v>81</v>
      </c>
      <c r="B35">
        <v>1.69</v>
      </c>
      <c r="C35">
        <v>3.87</v>
      </c>
      <c r="D35">
        <v>0</v>
      </c>
      <c r="E35">
        <v>5.57</v>
      </c>
      <c r="G35" s="7">
        <f>B35*Keys!$C$3</f>
        <v>1.6899999999999998E-2</v>
      </c>
      <c r="H35" s="7">
        <f>C35*Keys!$C$3</f>
        <v>3.8700000000000005E-2</v>
      </c>
      <c r="I35" s="7">
        <f>D35*Keys!$C$3</f>
        <v>0</v>
      </c>
      <c r="J35" s="8">
        <f t="shared" si="0"/>
        <v>-9.9999999999997868E-3</v>
      </c>
    </row>
    <row r="36" spans="1:10" x14ac:dyDescent="0.25">
      <c r="A36" t="s">
        <v>84</v>
      </c>
      <c r="B36">
        <v>2.48</v>
      </c>
      <c r="C36">
        <v>9.74</v>
      </c>
      <c r="D36">
        <v>0</v>
      </c>
      <c r="E36">
        <v>12.23</v>
      </c>
      <c r="G36" s="7">
        <f>B36*Keys!$C$3</f>
        <v>2.4799999999999999E-2</v>
      </c>
      <c r="H36" s="7">
        <f>C36*Keys!$C$3</f>
        <v>9.74E-2</v>
      </c>
      <c r="I36" s="7">
        <f>D36*Keys!$C$3</f>
        <v>0</v>
      </c>
      <c r="J36" s="8">
        <f t="shared" si="0"/>
        <v>-9.9999999999997868E-3</v>
      </c>
    </row>
    <row r="37" spans="1:10" x14ac:dyDescent="0.25">
      <c r="A37" t="s">
        <v>87</v>
      </c>
      <c r="B37">
        <v>1.07</v>
      </c>
      <c r="C37">
        <v>3.93</v>
      </c>
      <c r="D37">
        <v>0</v>
      </c>
      <c r="E37">
        <v>4.99</v>
      </c>
      <c r="G37" s="7">
        <f>B37*Keys!$C$3</f>
        <v>1.0700000000000001E-2</v>
      </c>
      <c r="H37" s="7">
        <f>C37*Keys!$C$3</f>
        <v>3.9300000000000002E-2</v>
      </c>
      <c r="I37" s="7">
        <f>D37*Keys!$C$3</f>
        <v>0</v>
      </c>
      <c r="J37" s="8">
        <f t="shared" ref="J37:J56" si="1">B37+C37+D37-E37</f>
        <v>9.9999999999997868E-3</v>
      </c>
    </row>
    <row r="38" spans="1:10" x14ac:dyDescent="0.25">
      <c r="A38" t="s">
        <v>90</v>
      </c>
      <c r="B38">
        <v>1.85</v>
      </c>
      <c r="C38">
        <v>14.35</v>
      </c>
      <c r="D38">
        <v>0</v>
      </c>
      <c r="E38">
        <v>16.2</v>
      </c>
      <c r="G38" s="7">
        <f>B38*Keys!$C$3</f>
        <v>1.8500000000000003E-2</v>
      </c>
      <c r="H38" s="7">
        <f>C38*Keys!$C$3</f>
        <v>0.14349999999999999</v>
      </c>
      <c r="I38" s="7">
        <f>D38*Keys!$C$3</f>
        <v>0</v>
      </c>
      <c r="J38" s="8">
        <f t="shared" si="1"/>
        <v>0</v>
      </c>
    </row>
    <row r="39" spans="1:10" x14ac:dyDescent="0.25">
      <c r="A39" t="s">
        <v>93</v>
      </c>
      <c r="B39">
        <v>2.72</v>
      </c>
      <c r="C39">
        <v>6.39</v>
      </c>
      <c r="D39">
        <v>0</v>
      </c>
      <c r="E39">
        <v>9.11</v>
      </c>
      <c r="G39" s="7">
        <f>B39*Keys!$C$3</f>
        <v>2.7200000000000002E-2</v>
      </c>
      <c r="H39" s="7">
        <f>C39*Keys!$C$3</f>
        <v>6.3899999999999998E-2</v>
      </c>
      <c r="I39" s="7">
        <f>D39*Keys!$C$3</f>
        <v>0</v>
      </c>
      <c r="J39" s="8">
        <f t="shared" si="1"/>
        <v>0</v>
      </c>
    </row>
    <row r="40" spans="1:10" x14ac:dyDescent="0.25">
      <c r="A40" t="s">
        <v>96</v>
      </c>
      <c r="B40">
        <v>1.18</v>
      </c>
      <c r="C40">
        <v>4.0599999999999996</v>
      </c>
      <c r="D40">
        <v>0</v>
      </c>
      <c r="E40">
        <v>5.24</v>
      </c>
      <c r="G40" s="7">
        <f>B40*Keys!$C$3</f>
        <v>1.18E-2</v>
      </c>
      <c r="H40" s="7">
        <f>C40*Keys!$C$3</f>
        <v>4.0599999999999997E-2</v>
      </c>
      <c r="I40" s="7">
        <f>D40*Keys!$C$3</f>
        <v>0</v>
      </c>
      <c r="J40" s="8">
        <f t="shared" si="1"/>
        <v>0</v>
      </c>
    </row>
    <row r="41" spans="1:10" x14ac:dyDescent="0.25">
      <c r="A41" t="s">
        <v>98</v>
      </c>
      <c r="B41">
        <v>0.31</v>
      </c>
      <c r="C41">
        <v>0.92</v>
      </c>
      <c r="D41">
        <v>0</v>
      </c>
      <c r="E41">
        <v>1.23</v>
      </c>
      <c r="G41" s="7">
        <f>B41*Keys!$C$3</f>
        <v>3.0999999999999999E-3</v>
      </c>
      <c r="H41" s="7">
        <f>C41*Keys!$C$3</f>
        <v>9.1999999999999998E-3</v>
      </c>
      <c r="I41" s="7">
        <f>D41*Keys!$C$3</f>
        <v>0</v>
      </c>
      <c r="J41" s="8">
        <f t="shared" si="1"/>
        <v>0</v>
      </c>
    </row>
    <row r="42" spans="1:10" x14ac:dyDescent="0.25">
      <c r="A42" t="s">
        <v>101</v>
      </c>
      <c r="B42">
        <v>3.45</v>
      </c>
      <c r="C42">
        <v>12.06</v>
      </c>
      <c r="D42">
        <v>0</v>
      </c>
      <c r="E42">
        <v>15.51</v>
      </c>
      <c r="G42" s="7">
        <f>B42*Keys!$C$3</f>
        <v>3.4500000000000003E-2</v>
      </c>
      <c r="H42" s="7">
        <f>C42*Keys!$C$3</f>
        <v>0.12060000000000001</v>
      </c>
      <c r="I42" s="7">
        <f>D42*Keys!$C$3</f>
        <v>0</v>
      </c>
      <c r="J42" s="8">
        <f t="shared" si="1"/>
        <v>0</v>
      </c>
    </row>
    <row r="43" spans="1:10" x14ac:dyDescent="0.25">
      <c r="A43" t="s">
        <v>104</v>
      </c>
      <c r="B43">
        <v>1.78</v>
      </c>
      <c r="C43">
        <v>4.54</v>
      </c>
      <c r="D43">
        <v>0</v>
      </c>
      <c r="E43">
        <v>6.32</v>
      </c>
      <c r="G43" s="7">
        <f>B43*Keys!$C$3</f>
        <v>1.78E-2</v>
      </c>
      <c r="H43" s="7">
        <f>C43*Keys!$C$3</f>
        <v>4.5400000000000003E-2</v>
      </c>
      <c r="I43" s="7">
        <f>D43*Keys!$C$3</f>
        <v>0</v>
      </c>
      <c r="J43" s="8">
        <f t="shared" si="1"/>
        <v>0</v>
      </c>
    </row>
    <row r="44" spans="1:10" x14ac:dyDescent="0.25">
      <c r="A44" t="s">
        <v>107</v>
      </c>
      <c r="B44">
        <v>1.96</v>
      </c>
      <c r="C44">
        <v>4.8099999999999996</v>
      </c>
      <c r="D44">
        <v>0</v>
      </c>
      <c r="E44">
        <v>6.77</v>
      </c>
      <c r="G44" s="7">
        <f>B44*Keys!$C$3</f>
        <v>1.9599999999999999E-2</v>
      </c>
      <c r="H44" s="7">
        <f>C44*Keys!$C$3</f>
        <v>4.8099999999999997E-2</v>
      </c>
      <c r="I44" s="7">
        <f>D44*Keys!$C$3</f>
        <v>0</v>
      </c>
      <c r="J44" s="8">
        <f t="shared" si="1"/>
        <v>0</v>
      </c>
    </row>
    <row r="45" spans="1:10" x14ac:dyDescent="0.25">
      <c r="A45" t="s">
        <v>109</v>
      </c>
      <c r="B45">
        <v>0.94</v>
      </c>
      <c r="C45">
        <v>3.51</v>
      </c>
      <c r="D45">
        <v>0</v>
      </c>
      <c r="E45">
        <v>4.45</v>
      </c>
      <c r="G45" s="7">
        <f>B45*Keys!$C$3</f>
        <v>9.4000000000000004E-3</v>
      </c>
      <c r="H45" s="7">
        <f>C45*Keys!$C$3</f>
        <v>3.5099999999999999E-2</v>
      </c>
      <c r="I45" s="7">
        <f>D45*Keys!$C$3</f>
        <v>0</v>
      </c>
      <c r="J45" s="8">
        <f t="shared" si="1"/>
        <v>0</v>
      </c>
    </row>
    <row r="46" spans="1:10" x14ac:dyDescent="0.25">
      <c r="A46" t="s">
        <v>112</v>
      </c>
      <c r="B46">
        <v>1.57</v>
      </c>
      <c r="C46">
        <v>1.78</v>
      </c>
      <c r="D46">
        <v>0</v>
      </c>
      <c r="E46">
        <v>3.35</v>
      </c>
      <c r="G46" s="7">
        <f>B46*Keys!$C$3</f>
        <v>1.5700000000000002E-2</v>
      </c>
      <c r="H46" s="7">
        <f>C46*Keys!$C$3</f>
        <v>1.78E-2</v>
      </c>
      <c r="I46" s="7">
        <f>D46*Keys!$C$3</f>
        <v>0</v>
      </c>
      <c r="J46" s="8">
        <f t="shared" si="1"/>
        <v>0</v>
      </c>
    </row>
    <row r="47" spans="1:10" x14ac:dyDescent="0.25">
      <c r="A47" t="s">
        <v>115</v>
      </c>
      <c r="B47">
        <v>0.94</v>
      </c>
      <c r="C47">
        <v>4.3099999999999996</v>
      </c>
      <c r="D47">
        <v>0</v>
      </c>
      <c r="E47">
        <v>5.26</v>
      </c>
      <c r="G47" s="7">
        <f>B47*Keys!$C$3</f>
        <v>9.4000000000000004E-3</v>
      </c>
      <c r="H47" s="7">
        <f>C47*Keys!$C$3</f>
        <v>4.3099999999999999E-2</v>
      </c>
      <c r="I47" s="7">
        <f>D47*Keys!$C$3</f>
        <v>0</v>
      </c>
      <c r="J47" s="8">
        <f t="shared" si="1"/>
        <v>-9.9999999999997868E-3</v>
      </c>
    </row>
    <row r="48" spans="1:10" x14ac:dyDescent="0.25">
      <c r="A48" t="s">
        <v>118</v>
      </c>
      <c r="B48">
        <v>0.88</v>
      </c>
      <c r="C48">
        <v>6.22</v>
      </c>
      <c r="D48">
        <v>0</v>
      </c>
      <c r="E48">
        <v>7.1</v>
      </c>
      <c r="G48" s="7">
        <f>B48*Keys!$C$3</f>
        <v>8.8000000000000005E-3</v>
      </c>
      <c r="H48" s="7">
        <f>C48*Keys!$C$3</f>
        <v>6.2199999999999998E-2</v>
      </c>
      <c r="I48" s="7">
        <f>D48*Keys!$C$3</f>
        <v>0</v>
      </c>
      <c r="J48" s="8">
        <f t="shared" si="1"/>
        <v>0</v>
      </c>
    </row>
    <row r="49" spans="1:10" x14ac:dyDescent="0.25">
      <c r="A49" t="s">
        <v>121</v>
      </c>
      <c r="B49">
        <v>1.75</v>
      </c>
      <c r="C49">
        <v>7.04</v>
      </c>
      <c r="D49">
        <v>0</v>
      </c>
      <c r="E49">
        <v>8.7799999999999994</v>
      </c>
      <c r="G49" s="7">
        <f>B49*Keys!$C$3</f>
        <v>1.7500000000000002E-2</v>
      </c>
      <c r="H49" s="7">
        <f>C49*Keys!$C$3</f>
        <v>7.0400000000000004E-2</v>
      </c>
      <c r="I49" s="7">
        <f>D49*Keys!$C$3</f>
        <v>0</v>
      </c>
      <c r="J49" s="8">
        <f t="shared" si="1"/>
        <v>9.9999999999997868E-3</v>
      </c>
    </row>
    <row r="50" spans="1:10" x14ac:dyDescent="0.25">
      <c r="A50" t="s">
        <v>124</v>
      </c>
      <c r="B50">
        <v>1.82</v>
      </c>
      <c r="C50">
        <v>6.55</v>
      </c>
      <c r="D50">
        <v>0</v>
      </c>
      <c r="E50">
        <v>8.3699999999999992</v>
      </c>
      <c r="G50" s="7">
        <f>B50*Keys!$C$3</f>
        <v>1.8200000000000001E-2</v>
      </c>
      <c r="H50" s="7">
        <f>C50*Keys!$C$3</f>
        <v>6.5500000000000003E-2</v>
      </c>
      <c r="I50" s="7">
        <f>D50*Keys!$C$3</f>
        <v>0</v>
      </c>
      <c r="J50" s="8">
        <f t="shared" si="1"/>
        <v>0</v>
      </c>
    </row>
    <row r="51" spans="1:10" x14ac:dyDescent="0.25">
      <c r="A51" t="s">
        <v>127</v>
      </c>
      <c r="B51">
        <v>2.88</v>
      </c>
      <c r="C51">
        <v>6.31</v>
      </c>
      <c r="D51">
        <v>0</v>
      </c>
      <c r="E51">
        <v>9.19</v>
      </c>
      <c r="G51" s="7">
        <f>B51*Keys!$C$3</f>
        <v>2.8799999999999999E-2</v>
      </c>
      <c r="H51" s="7">
        <f>C51*Keys!$C$3</f>
        <v>6.3100000000000003E-2</v>
      </c>
      <c r="I51" s="7">
        <f>D51*Keys!$C$3</f>
        <v>0</v>
      </c>
      <c r="J51" s="8">
        <f t="shared" si="1"/>
        <v>0</v>
      </c>
    </row>
    <row r="52" spans="1:10" x14ac:dyDescent="0.25">
      <c r="A52" t="s">
        <v>130</v>
      </c>
      <c r="B52">
        <v>2.94</v>
      </c>
      <c r="C52">
        <v>16.04</v>
      </c>
      <c r="D52">
        <v>0</v>
      </c>
      <c r="E52">
        <v>18.98</v>
      </c>
      <c r="G52" s="7">
        <f>B52*Keys!$C$3</f>
        <v>2.9399999999999999E-2</v>
      </c>
      <c r="H52" s="7">
        <f>C52*Keys!$C$3</f>
        <v>0.16039999999999999</v>
      </c>
      <c r="I52" s="7">
        <f>D52*Keys!$C$3</f>
        <v>0</v>
      </c>
      <c r="J52" s="8">
        <f t="shared" si="1"/>
        <v>0</v>
      </c>
    </row>
    <row r="53" spans="1:10" x14ac:dyDescent="0.25">
      <c r="A53" t="s">
        <v>133</v>
      </c>
      <c r="B53">
        <v>1.04</v>
      </c>
      <c r="C53">
        <v>3.41</v>
      </c>
      <c r="D53">
        <v>0</v>
      </c>
      <c r="E53">
        <v>4.45</v>
      </c>
      <c r="G53" s="7">
        <f>B53*Keys!$C$3</f>
        <v>1.0400000000000001E-2</v>
      </c>
      <c r="H53" s="7">
        <f>C53*Keys!$C$3</f>
        <v>3.4100000000000005E-2</v>
      </c>
      <c r="I53" s="7">
        <f>D53*Keys!$C$3</f>
        <v>0</v>
      </c>
      <c r="J53" s="8">
        <f t="shared" si="1"/>
        <v>0</v>
      </c>
    </row>
    <row r="54" spans="1:10" x14ac:dyDescent="0.25">
      <c r="A54" t="s">
        <v>136</v>
      </c>
      <c r="B54">
        <v>0.56000000000000005</v>
      </c>
      <c r="C54">
        <v>1.45</v>
      </c>
      <c r="D54">
        <v>0</v>
      </c>
      <c r="E54">
        <v>2.0099999999999998</v>
      </c>
      <c r="G54" s="7">
        <f>B54*Keys!$C$3</f>
        <v>5.6000000000000008E-3</v>
      </c>
      <c r="H54" s="7">
        <f>C54*Keys!$C$3</f>
        <v>1.4499999999999999E-2</v>
      </c>
      <c r="I54" s="7">
        <f>D54*Keys!$C$3</f>
        <v>0</v>
      </c>
      <c r="J54" s="8">
        <f t="shared" si="1"/>
        <v>0</v>
      </c>
    </row>
    <row r="55" spans="1:10" x14ac:dyDescent="0.25">
      <c r="A55" t="s">
        <v>139</v>
      </c>
      <c r="B55">
        <v>0.69</v>
      </c>
      <c r="C55">
        <v>1.57</v>
      </c>
      <c r="D55">
        <v>0</v>
      </c>
      <c r="E55">
        <v>2.2599999999999998</v>
      </c>
      <c r="G55" s="7">
        <f>B55*Keys!$C$3</f>
        <v>6.8999999999999999E-3</v>
      </c>
      <c r="H55" s="7">
        <f>C55*Keys!$C$3</f>
        <v>1.5700000000000002E-2</v>
      </c>
      <c r="I55" s="7">
        <f>D55*Keys!$C$3</f>
        <v>0</v>
      </c>
      <c r="J55" s="8">
        <f t="shared" si="1"/>
        <v>0</v>
      </c>
    </row>
    <row r="56" spans="1:10" x14ac:dyDescent="0.25">
      <c r="A56" t="s">
        <v>184</v>
      </c>
      <c r="B56">
        <v>1.72</v>
      </c>
      <c r="C56">
        <v>7.87</v>
      </c>
      <c r="D56">
        <v>0</v>
      </c>
      <c r="E56">
        <v>9.59</v>
      </c>
      <c r="G56" s="7">
        <f>B56*Keys!$C$3</f>
        <v>1.72E-2</v>
      </c>
      <c r="H56" s="7">
        <f>C56*Keys!$C$3</f>
        <v>7.8700000000000006E-2</v>
      </c>
      <c r="I56" s="7">
        <f>D56*Keys!$C$3</f>
        <v>0</v>
      </c>
      <c r="J56" s="8">
        <f t="shared" si="1"/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52"/>
  <sheetViews>
    <sheetView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8" width="13" customWidth="1"/>
  </cols>
  <sheetData>
    <row r="1" spans="1:9" ht="17.25" x14ac:dyDescent="0.3">
      <c r="A1" s="5" t="s">
        <v>220</v>
      </c>
    </row>
    <row r="2" spans="1:9" x14ac:dyDescent="0.25">
      <c r="A2" s="3" t="s">
        <v>221</v>
      </c>
    </row>
    <row r="4" spans="1:9" x14ac:dyDescent="0.25">
      <c r="A4" s="4" t="s">
        <v>3</v>
      </c>
      <c r="B4" s="4" t="s">
        <v>222</v>
      </c>
      <c r="C4" s="4" t="s">
        <v>223</v>
      </c>
      <c r="D4" s="4" t="s">
        <v>224</v>
      </c>
      <c r="E4" s="4" t="s">
        <v>225</v>
      </c>
      <c r="F4" s="4" t="s">
        <v>226</v>
      </c>
      <c r="G4" s="4" t="s">
        <v>227</v>
      </c>
      <c r="H4" s="4" t="s">
        <v>228</v>
      </c>
      <c r="I4" s="4" t="s">
        <v>229</v>
      </c>
    </row>
    <row r="5" spans="1:9" x14ac:dyDescent="0.25">
      <c r="A5" t="s">
        <v>5</v>
      </c>
      <c r="B5" s="9">
        <v>0.54695899999999997</v>
      </c>
      <c r="C5" s="9">
        <v>0.436695</v>
      </c>
      <c r="D5" s="9">
        <v>0.409302</v>
      </c>
      <c r="E5" s="9">
        <v>0.46726000000000001</v>
      </c>
      <c r="F5" s="9">
        <v>0.42907400000000001</v>
      </c>
      <c r="G5" s="9">
        <v>7573.32</v>
      </c>
      <c r="H5" s="9">
        <v>0.51896299999999995</v>
      </c>
      <c r="I5" t="s">
        <v>230</v>
      </c>
    </row>
    <row r="6" spans="1:9" x14ac:dyDescent="0.25">
      <c r="A6" t="s">
        <v>7</v>
      </c>
      <c r="B6" s="9">
        <v>0.68985099999999999</v>
      </c>
      <c r="C6" s="9">
        <v>0.55783700000000003</v>
      </c>
      <c r="D6" s="9">
        <v>0.51526400000000006</v>
      </c>
      <c r="E6" s="9">
        <v>0.58839300000000005</v>
      </c>
      <c r="F6" s="9">
        <v>0.53713</v>
      </c>
      <c r="G6" s="9">
        <v>9674.2099999999991</v>
      </c>
      <c r="H6" s="9">
        <v>0.65650699999999995</v>
      </c>
      <c r="I6" t="s">
        <v>230</v>
      </c>
    </row>
    <row r="7" spans="1:9" x14ac:dyDescent="0.25">
      <c r="A7" t="s">
        <v>10</v>
      </c>
      <c r="B7" s="9">
        <v>0.67544899999999997</v>
      </c>
      <c r="C7" s="9">
        <v>0.55136399999999997</v>
      </c>
      <c r="D7" s="9">
        <v>0.51765099999999997</v>
      </c>
      <c r="E7" s="9">
        <v>0.58435800000000004</v>
      </c>
      <c r="F7" s="9">
        <v>0.53712499999999996</v>
      </c>
      <c r="G7" s="9">
        <v>9561.9599999999991</v>
      </c>
      <c r="H7" s="9">
        <v>0.64915900000000004</v>
      </c>
      <c r="I7" t="s">
        <v>230</v>
      </c>
    </row>
    <row r="8" spans="1:9" x14ac:dyDescent="0.25">
      <c r="A8" t="s">
        <v>13</v>
      </c>
      <c r="B8" s="9">
        <v>0.71524799999999999</v>
      </c>
      <c r="C8" s="9">
        <v>0.57864499999999996</v>
      </c>
      <c r="D8" s="9">
        <v>0.54927800000000004</v>
      </c>
      <c r="E8" s="9">
        <v>0.62513200000000002</v>
      </c>
      <c r="F8" s="9">
        <v>0.58856900000000001</v>
      </c>
      <c r="G8" s="9">
        <v>10035.1</v>
      </c>
      <c r="H8" s="9">
        <v>0.68013299999999999</v>
      </c>
      <c r="I8" t="s">
        <v>230</v>
      </c>
    </row>
    <row r="9" spans="1:9" x14ac:dyDescent="0.25">
      <c r="A9" t="s">
        <v>15</v>
      </c>
      <c r="B9" s="9">
        <v>0.65968099999999996</v>
      </c>
      <c r="C9" s="9">
        <v>0.56180699999999995</v>
      </c>
      <c r="D9" s="9">
        <v>0.52066199999999996</v>
      </c>
      <c r="E9" s="9">
        <v>0.59343999999999997</v>
      </c>
      <c r="F9" s="9">
        <v>0.52097400000000005</v>
      </c>
      <c r="G9" s="9">
        <v>9743.0499999999993</v>
      </c>
      <c r="H9" s="9">
        <v>0.63670099999999996</v>
      </c>
      <c r="I9" t="s">
        <v>230</v>
      </c>
    </row>
    <row r="10" spans="1:9" x14ac:dyDescent="0.25">
      <c r="A10" t="s">
        <v>18</v>
      </c>
      <c r="B10" s="9">
        <v>0.58265599999999995</v>
      </c>
      <c r="C10" s="9">
        <v>0.46813700000000003</v>
      </c>
      <c r="D10" s="9">
        <v>0.44111299999999998</v>
      </c>
      <c r="E10" s="9">
        <v>0.505278</v>
      </c>
      <c r="F10" s="9">
        <v>0.476522</v>
      </c>
      <c r="G10" s="9">
        <v>8118.6</v>
      </c>
      <c r="H10" s="9">
        <v>0.55193599999999998</v>
      </c>
      <c r="I10" t="s">
        <v>230</v>
      </c>
    </row>
    <row r="11" spans="1:9" x14ac:dyDescent="0.25">
      <c r="A11" t="s">
        <v>20</v>
      </c>
      <c r="B11" s="9">
        <v>0.58376899999999998</v>
      </c>
      <c r="C11" s="9">
        <v>0.48652899999999999</v>
      </c>
      <c r="D11" s="9">
        <v>0.45661000000000002</v>
      </c>
      <c r="E11" s="9">
        <v>0.52085099999999995</v>
      </c>
      <c r="F11" s="9">
        <v>0.472078</v>
      </c>
      <c r="G11" s="9">
        <v>8437.56</v>
      </c>
      <c r="H11" s="9">
        <v>0.560504</v>
      </c>
      <c r="I11" t="s">
        <v>230</v>
      </c>
    </row>
    <row r="12" spans="1:9" x14ac:dyDescent="0.25">
      <c r="A12" t="s">
        <v>23</v>
      </c>
      <c r="B12" s="9">
        <v>0.64272899999999999</v>
      </c>
      <c r="C12" s="9">
        <v>0.52394099999999999</v>
      </c>
      <c r="D12" s="9">
        <v>0.48716799999999999</v>
      </c>
      <c r="E12" s="9">
        <v>0.55773799999999996</v>
      </c>
      <c r="F12" s="9">
        <v>0.509046</v>
      </c>
      <c r="G12" s="9">
        <v>9086.3700000000008</v>
      </c>
      <c r="H12" s="9">
        <v>0.61802199999999996</v>
      </c>
      <c r="I12" t="s">
        <v>230</v>
      </c>
    </row>
    <row r="13" spans="1:9" x14ac:dyDescent="0.25">
      <c r="A13" t="s">
        <v>26</v>
      </c>
      <c r="B13" s="9">
        <v>0.59046100000000001</v>
      </c>
      <c r="C13" s="9">
        <v>0.47794700000000001</v>
      </c>
      <c r="D13" s="9">
        <v>0.44584000000000001</v>
      </c>
      <c r="E13" s="9">
        <v>0.51025299999999996</v>
      </c>
      <c r="F13" s="9">
        <v>0.46615200000000001</v>
      </c>
      <c r="G13" s="9">
        <v>8288.7199999999993</v>
      </c>
      <c r="H13" s="9">
        <v>0.56579999999999997</v>
      </c>
      <c r="I13" t="s">
        <v>230</v>
      </c>
    </row>
    <row r="14" spans="1:9" x14ac:dyDescent="0.25">
      <c r="A14" t="s">
        <v>29</v>
      </c>
      <c r="B14" s="9">
        <v>0.77669699999999997</v>
      </c>
      <c r="C14" s="9">
        <v>0.62840099999999999</v>
      </c>
      <c r="D14" s="9">
        <v>0.57859700000000003</v>
      </c>
      <c r="E14" s="9">
        <v>0.66095000000000004</v>
      </c>
      <c r="F14" s="9">
        <v>0.60397299999999998</v>
      </c>
      <c r="G14" s="9">
        <v>10898</v>
      </c>
      <c r="H14" s="9">
        <v>0.736626</v>
      </c>
      <c r="I14" t="s">
        <v>230</v>
      </c>
    </row>
    <row r="15" spans="1:9" x14ac:dyDescent="0.25">
      <c r="A15" t="s">
        <v>32</v>
      </c>
      <c r="B15" s="9">
        <v>0.82724399999999998</v>
      </c>
      <c r="C15" s="9">
        <v>0.67352100000000004</v>
      </c>
      <c r="D15" s="9">
        <v>0.62004000000000004</v>
      </c>
      <c r="E15" s="9">
        <v>0.70720000000000005</v>
      </c>
      <c r="F15" s="9">
        <v>0.64381500000000003</v>
      </c>
      <c r="G15" s="9">
        <v>11680.4</v>
      </c>
      <c r="H15" s="9">
        <v>0.78785499999999997</v>
      </c>
      <c r="I15" t="s">
        <v>230</v>
      </c>
    </row>
    <row r="16" spans="1:9" x14ac:dyDescent="0.25">
      <c r="A16" t="s">
        <v>35</v>
      </c>
      <c r="B16" s="9">
        <v>0.77368400000000004</v>
      </c>
      <c r="C16" s="9">
        <v>0.64155600000000002</v>
      </c>
      <c r="D16" s="9">
        <v>0.59059200000000001</v>
      </c>
      <c r="E16" s="9">
        <v>0.67658799999999997</v>
      </c>
      <c r="F16" s="9">
        <v>0.61962499999999998</v>
      </c>
      <c r="G16" s="9">
        <v>11126.1</v>
      </c>
      <c r="H16" s="9">
        <v>0.73569600000000002</v>
      </c>
      <c r="I16" t="s">
        <v>230</v>
      </c>
    </row>
    <row r="17" spans="1:9" x14ac:dyDescent="0.25">
      <c r="A17" t="s">
        <v>38</v>
      </c>
      <c r="B17" s="9">
        <v>0.64313500000000001</v>
      </c>
      <c r="C17" s="9">
        <v>0.51736499999999996</v>
      </c>
      <c r="D17" s="9">
        <v>0.48131099999999999</v>
      </c>
      <c r="E17" s="9">
        <v>0.55124200000000001</v>
      </c>
      <c r="F17" s="9">
        <v>0.50339599999999995</v>
      </c>
      <c r="G17" s="9">
        <v>8972.34</v>
      </c>
      <c r="H17" s="9">
        <v>0.61055599999999999</v>
      </c>
      <c r="I17" t="s">
        <v>230</v>
      </c>
    </row>
    <row r="18" spans="1:9" x14ac:dyDescent="0.25">
      <c r="A18" t="s">
        <v>40</v>
      </c>
      <c r="B18" s="9">
        <v>0.45363900000000001</v>
      </c>
      <c r="C18" s="9">
        <v>0.36455399999999999</v>
      </c>
      <c r="D18" s="9">
        <v>0.34834399999999999</v>
      </c>
      <c r="E18" s="9">
        <v>0.397123</v>
      </c>
      <c r="F18" s="9">
        <v>0.36204700000000001</v>
      </c>
      <c r="G18" s="9">
        <v>6322.22</v>
      </c>
      <c r="H18" s="9">
        <v>0.437054</v>
      </c>
      <c r="I18" t="s">
        <v>230</v>
      </c>
    </row>
    <row r="19" spans="1:9" x14ac:dyDescent="0.25">
      <c r="A19" t="s">
        <v>43</v>
      </c>
      <c r="B19" s="9">
        <v>0.65037400000000001</v>
      </c>
      <c r="C19" s="9">
        <v>0.523455</v>
      </c>
      <c r="D19" s="9">
        <v>0.48758400000000002</v>
      </c>
      <c r="E19" s="9">
        <v>0.55609799999999998</v>
      </c>
      <c r="F19" s="9">
        <v>0.50671500000000003</v>
      </c>
      <c r="G19" s="9">
        <v>9077.94</v>
      </c>
      <c r="H19" s="9">
        <v>0.61746999999999996</v>
      </c>
      <c r="I19" t="s">
        <v>230</v>
      </c>
    </row>
    <row r="20" spans="1:9" x14ac:dyDescent="0.25">
      <c r="A20" t="s">
        <v>46</v>
      </c>
      <c r="B20" s="9">
        <v>0.66619300000000004</v>
      </c>
      <c r="C20" s="9">
        <v>0.53513699999999997</v>
      </c>
      <c r="D20" s="9">
        <v>0.49529200000000001</v>
      </c>
      <c r="E20" s="9">
        <v>0.56545100000000004</v>
      </c>
      <c r="F20" s="9">
        <v>0.51543799999999995</v>
      </c>
      <c r="G20" s="9">
        <v>9280.5400000000009</v>
      </c>
      <c r="H20" s="9">
        <v>0.63073400000000002</v>
      </c>
      <c r="I20" t="s">
        <v>230</v>
      </c>
    </row>
    <row r="21" spans="1:9" x14ac:dyDescent="0.25">
      <c r="A21" t="s">
        <v>48</v>
      </c>
      <c r="B21" s="9">
        <v>0.60306499999999996</v>
      </c>
      <c r="C21" s="9">
        <v>0.50256400000000001</v>
      </c>
      <c r="D21" s="9">
        <v>0.47078100000000001</v>
      </c>
      <c r="E21" s="9">
        <v>0.538412</v>
      </c>
      <c r="F21" s="9">
        <v>0.50953700000000002</v>
      </c>
      <c r="G21" s="9">
        <v>8715.65</v>
      </c>
      <c r="H21" s="9">
        <v>0.57199999999999995</v>
      </c>
      <c r="I21" t="s">
        <v>230</v>
      </c>
    </row>
    <row r="22" spans="1:9" x14ac:dyDescent="0.25">
      <c r="A22" t="s">
        <v>51</v>
      </c>
      <c r="B22" s="9">
        <v>0.62878900000000004</v>
      </c>
      <c r="C22" s="9">
        <v>0.52912000000000003</v>
      </c>
      <c r="D22" s="9">
        <v>0.493896</v>
      </c>
      <c r="E22" s="9">
        <v>0.56363200000000002</v>
      </c>
      <c r="F22" s="9">
        <v>0.49964900000000001</v>
      </c>
      <c r="G22" s="9">
        <v>9176.18</v>
      </c>
      <c r="H22" s="9">
        <v>0.60427399999999998</v>
      </c>
      <c r="I22" t="s">
        <v>230</v>
      </c>
    </row>
    <row r="23" spans="1:9" x14ac:dyDescent="0.25">
      <c r="A23" t="s">
        <v>54</v>
      </c>
      <c r="B23" s="9">
        <v>0.57513300000000001</v>
      </c>
      <c r="C23" s="9">
        <v>0.45993600000000001</v>
      </c>
      <c r="D23" s="9">
        <v>0.43378699999999998</v>
      </c>
      <c r="E23" s="9">
        <v>0.49640099999999998</v>
      </c>
      <c r="F23" s="9">
        <v>0.46332000000000001</v>
      </c>
      <c r="G23" s="9">
        <v>7976.38</v>
      </c>
      <c r="H23" s="9">
        <v>0.54535100000000003</v>
      </c>
      <c r="I23" t="s">
        <v>230</v>
      </c>
    </row>
    <row r="24" spans="1:9" x14ac:dyDescent="0.25">
      <c r="A24" t="s">
        <v>57</v>
      </c>
      <c r="B24" s="9">
        <v>0.69106800000000002</v>
      </c>
      <c r="C24" s="9">
        <v>0.55742100000000006</v>
      </c>
      <c r="D24" s="9">
        <v>0.51654100000000003</v>
      </c>
      <c r="E24" s="9">
        <v>0.59060800000000002</v>
      </c>
      <c r="F24" s="9">
        <v>0.54614499999999999</v>
      </c>
      <c r="G24" s="9">
        <v>9666.99</v>
      </c>
      <c r="H24" s="9">
        <v>0.65603500000000003</v>
      </c>
      <c r="I24" t="s">
        <v>230</v>
      </c>
    </row>
    <row r="25" spans="1:9" x14ac:dyDescent="0.25">
      <c r="A25" t="s">
        <v>60</v>
      </c>
      <c r="B25" s="9">
        <v>0.76408399999999999</v>
      </c>
      <c r="C25" s="9">
        <v>0.62082300000000001</v>
      </c>
      <c r="D25" s="9">
        <v>0.57222600000000001</v>
      </c>
      <c r="E25" s="9">
        <v>0.65434499999999995</v>
      </c>
      <c r="F25" s="9">
        <v>0.59979199999999999</v>
      </c>
      <c r="G25" s="9">
        <v>10766.5</v>
      </c>
      <c r="H25" s="9">
        <v>0.72802199999999995</v>
      </c>
      <c r="I25" t="s">
        <v>230</v>
      </c>
    </row>
    <row r="26" spans="1:9" x14ac:dyDescent="0.25">
      <c r="A26" t="s">
        <v>63</v>
      </c>
      <c r="B26" s="9">
        <v>0.52695000000000003</v>
      </c>
      <c r="C26" s="9">
        <v>0.42556699999999997</v>
      </c>
      <c r="D26" s="9">
        <v>0.40089399999999997</v>
      </c>
      <c r="E26" s="9">
        <v>0.45718199999999998</v>
      </c>
      <c r="F26" s="9">
        <v>0.41645199999999999</v>
      </c>
      <c r="G26" s="9">
        <v>7380.33</v>
      </c>
      <c r="H26" s="9">
        <v>0.506328</v>
      </c>
      <c r="I26" t="s">
        <v>230</v>
      </c>
    </row>
    <row r="27" spans="1:9" x14ac:dyDescent="0.25">
      <c r="A27" t="s">
        <v>66</v>
      </c>
      <c r="B27" s="9">
        <v>0.42735499999999998</v>
      </c>
      <c r="C27" s="9">
        <v>0.33868199999999998</v>
      </c>
      <c r="D27" s="9">
        <v>0.32391799999999998</v>
      </c>
      <c r="E27" s="9">
        <v>0.36914999999999998</v>
      </c>
      <c r="F27" s="9">
        <v>0.33659699999999998</v>
      </c>
      <c r="G27" s="9">
        <v>5873.54</v>
      </c>
      <c r="H27" s="9">
        <v>0.40767799999999998</v>
      </c>
      <c r="I27" t="s">
        <v>230</v>
      </c>
    </row>
    <row r="28" spans="1:9" x14ac:dyDescent="0.25">
      <c r="A28" t="s">
        <v>69</v>
      </c>
      <c r="B28" s="9">
        <v>0.62988900000000003</v>
      </c>
      <c r="C28" s="9">
        <v>0.50991600000000004</v>
      </c>
      <c r="D28" s="9">
        <v>0.47723599999999999</v>
      </c>
      <c r="E28" s="9">
        <v>0.54403400000000002</v>
      </c>
      <c r="F28" s="9">
        <v>0.49456</v>
      </c>
      <c r="G28" s="9">
        <v>8843.15</v>
      </c>
      <c r="H28" s="9">
        <v>0.60209800000000002</v>
      </c>
      <c r="I28" t="s">
        <v>230</v>
      </c>
    </row>
    <row r="29" spans="1:9" x14ac:dyDescent="0.25">
      <c r="A29" t="s">
        <v>72</v>
      </c>
      <c r="B29" s="9">
        <v>0.53765600000000002</v>
      </c>
      <c r="C29" s="9">
        <v>0.43371599999999999</v>
      </c>
      <c r="D29" s="9">
        <v>0.40937400000000002</v>
      </c>
      <c r="E29" s="9">
        <v>0.46715000000000001</v>
      </c>
      <c r="F29" s="9">
        <v>0.42599999999999999</v>
      </c>
      <c r="G29" s="9">
        <v>7521.67</v>
      </c>
      <c r="H29" s="9">
        <v>0.51558099999999996</v>
      </c>
      <c r="I29" t="s">
        <v>230</v>
      </c>
    </row>
    <row r="30" spans="1:9" x14ac:dyDescent="0.25">
      <c r="A30" t="s">
        <v>75</v>
      </c>
      <c r="B30" s="9">
        <v>0.81151700000000004</v>
      </c>
      <c r="C30" s="9">
        <v>0.65826600000000002</v>
      </c>
      <c r="D30" s="9">
        <v>0.60641999999999996</v>
      </c>
      <c r="E30" s="9">
        <v>0.69261499999999998</v>
      </c>
      <c r="F30" s="9">
        <v>0.62955700000000003</v>
      </c>
      <c r="G30" s="9">
        <v>11415.9</v>
      </c>
      <c r="H30" s="9">
        <v>0.77053499999999997</v>
      </c>
      <c r="I30" t="s">
        <v>230</v>
      </c>
    </row>
    <row r="31" spans="1:9" x14ac:dyDescent="0.25">
      <c r="A31" t="s">
        <v>78</v>
      </c>
      <c r="B31" s="9">
        <v>0.68842300000000001</v>
      </c>
      <c r="C31" s="9">
        <v>0.55735599999999996</v>
      </c>
      <c r="D31" s="9">
        <v>0.51746499999999995</v>
      </c>
      <c r="E31" s="9">
        <v>0.59062999999999999</v>
      </c>
      <c r="F31" s="9">
        <v>0.53648300000000004</v>
      </c>
      <c r="G31" s="9">
        <v>9665.8700000000008</v>
      </c>
      <c r="H31" s="9">
        <v>0.65596100000000002</v>
      </c>
      <c r="I31" t="s">
        <v>230</v>
      </c>
    </row>
    <row r="32" spans="1:9" x14ac:dyDescent="0.25">
      <c r="A32" t="s">
        <v>81</v>
      </c>
      <c r="B32" s="9">
        <v>0.604742</v>
      </c>
      <c r="C32" s="9">
        <v>0.482705</v>
      </c>
      <c r="D32" s="9">
        <v>0.45273799999999997</v>
      </c>
      <c r="E32" s="9">
        <v>0.51750200000000002</v>
      </c>
      <c r="F32" s="9">
        <v>0.482985</v>
      </c>
      <c r="G32" s="9">
        <v>8371.25</v>
      </c>
      <c r="H32" s="9">
        <v>0.57120300000000002</v>
      </c>
      <c r="I32" t="s">
        <v>230</v>
      </c>
    </row>
    <row r="33" spans="1:9" x14ac:dyDescent="0.25">
      <c r="A33" t="s">
        <v>84</v>
      </c>
      <c r="B33" s="9">
        <v>0.52661500000000006</v>
      </c>
      <c r="C33" s="9">
        <v>0.43584499999999998</v>
      </c>
      <c r="D33" s="9">
        <v>0.41145199999999998</v>
      </c>
      <c r="E33" s="9">
        <v>0.46906599999999998</v>
      </c>
      <c r="F33" s="9">
        <v>0.43536200000000003</v>
      </c>
      <c r="G33" s="9">
        <v>7558.58</v>
      </c>
      <c r="H33" s="9">
        <v>0.50721899999999998</v>
      </c>
      <c r="I33" t="s">
        <v>230</v>
      </c>
    </row>
    <row r="34" spans="1:9" x14ac:dyDescent="0.25">
      <c r="A34" t="s">
        <v>87</v>
      </c>
      <c r="B34" s="9">
        <v>0.61332200000000003</v>
      </c>
      <c r="C34" s="9">
        <v>0.51262300000000005</v>
      </c>
      <c r="D34" s="9">
        <v>0.47668500000000003</v>
      </c>
      <c r="E34" s="9">
        <v>0.54455500000000001</v>
      </c>
      <c r="F34" s="9">
        <v>0.48236200000000001</v>
      </c>
      <c r="G34" s="9">
        <v>8890.1</v>
      </c>
      <c r="H34" s="9">
        <v>0.58615600000000001</v>
      </c>
      <c r="I34" t="s">
        <v>230</v>
      </c>
    </row>
    <row r="35" spans="1:9" x14ac:dyDescent="0.25">
      <c r="A35" t="s">
        <v>90</v>
      </c>
      <c r="B35" s="9">
        <v>0.60973299999999997</v>
      </c>
      <c r="C35" s="9">
        <v>0.49818299999999999</v>
      </c>
      <c r="D35" s="9">
        <v>0.47270800000000002</v>
      </c>
      <c r="E35" s="9">
        <v>0.53185099999999996</v>
      </c>
      <c r="F35" s="9">
        <v>0.48903200000000002</v>
      </c>
      <c r="G35" s="9">
        <v>8639.67</v>
      </c>
      <c r="H35" s="9">
        <v>0.58877599999999997</v>
      </c>
      <c r="I35" t="s">
        <v>230</v>
      </c>
    </row>
    <row r="36" spans="1:9" x14ac:dyDescent="0.25">
      <c r="A36" t="s">
        <v>93</v>
      </c>
      <c r="B36" s="9">
        <v>0.69987299999999997</v>
      </c>
      <c r="C36" s="9">
        <v>0.56967000000000001</v>
      </c>
      <c r="D36" s="9">
        <v>0.52782700000000005</v>
      </c>
      <c r="E36" s="9">
        <v>0.60530499999999998</v>
      </c>
      <c r="F36" s="9">
        <v>0.56289400000000001</v>
      </c>
      <c r="G36" s="9">
        <v>9879.43</v>
      </c>
      <c r="H36" s="9">
        <v>0.66746399999999995</v>
      </c>
      <c r="I36" t="s">
        <v>230</v>
      </c>
    </row>
    <row r="37" spans="1:9" x14ac:dyDescent="0.25">
      <c r="A37" t="s">
        <v>96</v>
      </c>
      <c r="B37" s="9">
        <v>0.73954600000000004</v>
      </c>
      <c r="C37" s="9">
        <v>0.59927799999999998</v>
      </c>
      <c r="D37" s="9">
        <v>0.55438299999999996</v>
      </c>
      <c r="E37" s="9">
        <v>0.63246999999999998</v>
      </c>
      <c r="F37" s="9">
        <v>0.58082500000000004</v>
      </c>
      <c r="G37" s="9">
        <v>10392.9</v>
      </c>
      <c r="H37" s="9">
        <v>0.70355999999999996</v>
      </c>
      <c r="I37" t="s">
        <v>230</v>
      </c>
    </row>
    <row r="38" spans="1:9" x14ac:dyDescent="0.25">
      <c r="A38" t="s">
        <v>98</v>
      </c>
      <c r="B38" s="9">
        <v>0.59877599999999997</v>
      </c>
      <c r="C38" s="9">
        <v>0.484016</v>
      </c>
      <c r="D38" s="9">
        <v>0.45193299999999997</v>
      </c>
      <c r="E38" s="9">
        <v>0.51531300000000002</v>
      </c>
      <c r="F38" s="9">
        <v>0.46943800000000002</v>
      </c>
      <c r="G38" s="9">
        <v>8393.99</v>
      </c>
      <c r="H38" s="9">
        <v>0.57269199999999998</v>
      </c>
      <c r="I38" t="s">
        <v>230</v>
      </c>
    </row>
    <row r="39" spans="1:9" x14ac:dyDescent="0.25">
      <c r="A39" t="s">
        <v>101</v>
      </c>
      <c r="B39" s="9">
        <v>0.893293</v>
      </c>
      <c r="C39" s="9">
        <v>0.74332799999999999</v>
      </c>
      <c r="D39" s="9">
        <v>0.68742400000000004</v>
      </c>
      <c r="E39" s="9">
        <v>0.77821899999999999</v>
      </c>
      <c r="F39" s="9">
        <v>0.71024900000000002</v>
      </c>
      <c r="G39" s="9">
        <v>12891.1</v>
      </c>
      <c r="H39" s="9">
        <v>0.86093799999999998</v>
      </c>
      <c r="I39" t="s">
        <v>230</v>
      </c>
    </row>
    <row r="40" spans="1:9" x14ac:dyDescent="0.25">
      <c r="A40" t="s">
        <v>104</v>
      </c>
      <c r="B40" s="9">
        <v>0.72199999999999998</v>
      </c>
      <c r="C40" s="9">
        <v>0.60306300000000002</v>
      </c>
      <c r="D40" s="9">
        <v>0.55906400000000001</v>
      </c>
      <c r="E40" s="9">
        <v>0.63909400000000005</v>
      </c>
      <c r="F40" s="9">
        <v>0.57584500000000005</v>
      </c>
      <c r="G40" s="9">
        <v>10458.5</v>
      </c>
      <c r="H40" s="9">
        <v>0.68548699999999996</v>
      </c>
      <c r="I40" t="s">
        <v>230</v>
      </c>
    </row>
    <row r="41" spans="1:9" x14ac:dyDescent="0.25">
      <c r="A41" t="s">
        <v>107</v>
      </c>
      <c r="B41" s="9">
        <v>0.70361200000000002</v>
      </c>
      <c r="C41" s="9">
        <v>0.57365699999999997</v>
      </c>
      <c r="D41" s="9">
        <v>0.53286599999999995</v>
      </c>
      <c r="E41" s="9">
        <v>0.60979700000000003</v>
      </c>
      <c r="F41" s="9">
        <v>0.56652499999999995</v>
      </c>
      <c r="G41" s="9">
        <v>9948.56</v>
      </c>
      <c r="H41" s="9">
        <v>0.663829</v>
      </c>
      <c r="I41" t="s">
        <v>230</v>
      </c>
    </row>
    <row r="42" spans="1:9" x14ac:dyDescent="0.25">
      <c r="A42" t="s">
        <v>109</v>
      </c>
      <c r="B42" s="9">
        <v>0.57616100000000003</v>
      </c>
      <c r="C42" s="9">
        <v>0.46310400000000002</v>
      </c>
      <c r="D42" s="9">
        <v>0.43327300000000002</v>
      </c>
      <c r="E42" s="9">
        <v>0.49466599999999999</v>
      </c>
      <c r="F42" s="9">
        <v>0.452544</v>
      </c>
      <c r="G42" s="9">
        <v>8031.32</v>
      </c>
      <c r="H42" s="9">
        <v>0.54894799999999999</v>
      </c>
      <c r="I42" t="s">
        <v>230</v>
      </c>
    </row>
    <row r="43" spans="1:9" x14ac:dyDescent="0.25">
      <c r="A43" t="s">
        <v>112</v>
      </c>
      <c r="B43" s="9">
        <v>0.848858</v>
      </c>
      <c r="C43" s="9">
        <v>0.68609399999999998</v>
      </c>
      <c r="D43" s="9">
        <v>0.62992499999999996</v>
      </c>
      <c r="E43" s="9">
        <v>0.71952799999999995</v>
      </c>
      <c r="F43" s="9">
        <v>0.656667</v>
      </c>
      <c r="G43" s="9">
        <v>11898.5</v>
      </c>
      <c r="H43" s="9">
        <v>0.80213100000000004</v>
      </c>
      <c r="I43" t="s">
        <v>230</v>
      </c>
    </row>
    <row r="44" spans="1:9" x14ac:dyDescent="0.25">
      <c r="A44" t="s">
        <v>115</v>
      </c>
      <c r="B44" s="9">
        <v>0.64455799999999996</v>
      </c>
      <c r="C44" s="9">
        <v>0.521038</v>
      </c>
      <c r="D44" s="9">
        <v>0.48461399999999999</v>
      </c>
      <c r="E44" s="9">
        <v>0.55274000000000001</v>
      </c>
      <c r="F44" s="9">
        <v>0.50386799999999998</v>
      </c>
      <c r="G44" s="9">
        <v>9036.0300000000007</v>
      </c>
      <c r="H44" s="9">
        <v>0.61472599999999999</v>
      </c>
      <c r="I44" t="s">
        <v>230</v>
      </c>
    </row>
    <row r="45" spans="1:9" x14ac:dyDescent="0.25">
      <c r="A45" t="s">
        <v>118</v>
      </c>
      <c r="B45" s="9">
        <v>0.50247399999999998</v>
      </c>
      <c r="C45" s="9">
        <v>0.40358300000000003</v>
      </c>
      <c r="D45" s="9">
        <v>0.380361</v>
      </c>
      <c r="E45" s="9">
        <v>0.43382599999999999</v>
      </c>
      <c r="F45" s="9">
        <v>0.39857399999999998</v>
      </c>
      <c r="G45" s="9">
        <v>6999.08</v>
      </c>
      <c r="H45" s="9">
        <v>0.48136699999999999</v>
      </c>
      <c r="I45" t="s">
        <v>230</v>
      </c>
    </row>
    <row r="46" spans="1:9" x14ac:dyDescent="0.25">
      <c r="A46" t="s">
        <v>121</v>
      </c>
      <c r="B46" s="9">
        <v>0.69834700000000005</v>
      </c>
      <c r="C46" s="9">
        <v>0.57411999999999996</v>
      </c>
      <c r="D46" s="9">
        <v>0.53321600000000002</v>
      </c>
      <c r="E46" s="9">
        <v>0.60819999999999996</v>
      </c>
      <c r="F46" s="9">
        <v>0.55343900000000001</v>
      </c>
      <c r="G46" s="9">
        <v>9956.6</v>
      </c>
      <c r="H46" s="9">
        <v>0.67499600000000004</v>
      </c>
      <c r="I46" t="s">
        <v>230</v>
      </c>
    </row>
    <row r="47" spans="1:9" x14ac:dyDescent="0.25">
      <c r="A47" t="s">
        <v>124</v>
      </c>
      <c r="B47" s="9">
        <v>0.61176699999999995</v>
      </c>
      <c r="C47" s="9">
        <v>0.49666100000000002</v>
      </c>
      <c r="D47" s="9">
        <v>0.46340799999999999</v>
      </c>
      <c r="E47" s="9">
        <v>0.52952399999999999</v>
      </c>
      <c r="F47" s="9">
        <v>0.48416900000000002</v>
      </c>
      <c r="G47" s="9">
        <v>8613.27</v>
      </c>
      <c r="H47" s="9">
        <v>0.58704800000000001</v>
      </c>
      <c r="I47" t="s">
        <v>230</v>
      </c>
    </row>
    <row r="48" spans="1:9" x14ac:dyDescent="0.25">
      <c r="A48" t="s">
        <v>127</v>
      </c>
      <c r="B48" s="9">
        <v>0.70402600000000004</v>
      </c>
      <c r="C48" s="9">
        <v>0.58419600000000005</v>
      </c>
      <c r="D48" s="9">
        <v>0.54230500000000004</v>
      </c>
      <c r="E48" s="9">
        <v>0.62104800000000004</v>
      </c>
      <c r="F48" s="9">
        <v>0.56791499999999995</v>
      </c>
      <c r="G48" s="9">
        <v>10131.299999999999</v>
      </c>
      <c r="H48" s="9">
        <v>0.67054400000000003</v>
      </c>
      <c r="I48" t="s">
        <v>230</v>
      </c>
    </row>
    <row r="49" spans="1:9" x14ac:dyDescent="0.25">
      <c r="A49" t="s">
        <v>130</v>
      </c>
      <c r="B49" s="9">
        <v>0.87146599999999996</v>
      </c>
      <c r="C49" s="9">
        <v>0.72115499999999999</v>
      </c>
      <c r="D49" s="9">
        <v>0.672906</v>
      </c>
      <c r="E49" s="9">
        <v>0.76282000000000005</v>
      </c>
      <c r="F49" s="9">
        <v>0.69185799999999997</v>
      </c>
      <c r="G49" s="9">
        <v>12506.5</v>
      </c>
      <c r="H49" s="9">
        <v>0.84193899999999999</v>
      </c>
      <c r="I49" t="s">
        <v>230</v>
      </c>
    </row>
    <row r="50" spans="1:9" x14ac:dyDescent="0.25">
      <c r="A50" t="s">
        <v>133</v>
      </c>
      <c r="B50" s="9">
        <v>0.73285999999999996</v>
      </c>
      <c r="C50" s="9">
        <v>0.59058299999999997</v>
      </c>
      <c r="D50" s="9">
        <v>0.54707700000000004</v>
      </c>
      <c r="E50" s="9">
        <v>0.62410500000000002</v>
      </c>
      <c r="F50" s="9">
        <v>0.57438800000000001</v>
      </c>
      <c r="G50" s="9">
        <v>10242.1</v>
      </c>
      <c r="H50" s="9">
        <v>0.69368799999999997</v>
      </c>
      <c r="I50" t="s">
        <v>230</v>
      </c>
    </row>
    <row r="51" spans="1:9" x14ac:dyDescent="0.25">
      <c r="A51" t="s">
        <v>136</v>
      </c>
      <c r="B51" s="9">
        <v>0.62737200000000004</v>
      </c>
      <c r="C51" s="9">
        <v>0.50315699999999997</v>
      </c>
      <c r="D51" s="9">
        <v>0.47134700000000002</v>
      </c>
      <c r="E51" s="9">
        <v>0.53744199999999998</v>
      </c>
      <c r="F51" s="9">
        <v>0.49127599999999999</v>
      </c>
      <c r="G51" s="9">
        <v>8725.93</v>
      </c>
      <c r="H51" s="9">
        <v>0.59442399999999995</v>
      </c>
      <c r="I51" t="s">
        <v>230</v>
      </c>
    </row>
    <row r="52" spans="1:9" x14ac:dyDescent="0.25">
      <c r="A52" t="s">
        <v>139</v>
      </c>
      <c r="B52" s="9">
        <v>0.76383999999999996</v>
      </c>
      <c r="C52" s="9">
        <v>0.62063299999999999</v>
      </c>
      <c r="D52" s="9">
        <v>0.57182900000000003</v>
      </c>
      <c r="E52" s="9">
        <v>0.652617</v>
      </c>
      <c r="F52" s="9">
        <v>0.59561600000000003</v>
      </c>
      <c r="G52" s="9">
        <v>10763.2</v>
      </c>
      <c r="H52" s="9">
        <v>0.72780699999999998</v>
      </c>
      <c r="I52" t="s">
        <v>230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52"/>
  <sheetViews>
    <sheetView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8" customWidth="1"/>
    <col min="3" max="9" width="12" customWidth="1"/>
    <col min="10" max="10" width="20" customWidth="1"/>
  </cols>
  <sheetData>
    <row r="1" spans="1:10" ht="17.25" x14ac:dyDescent="0.3">
      <c r="A1" s="5" t="s">
        <v>231</v>
      </c>
    </row>
    <row r="2" spans="1:10" x14ac:dyDescent="0.25">
      <c r="A2" s="3" t="s">
        <v>232</v>
      </c>
    </row>
    <row r="4" spans="1:10" x14ac:dyDescent="0.25">
      <c r="A4" s="4" t="s">
        <v>3</v>
      </c>
      <c r="B4" s="4" t="s">
        <v>2</v>
      </c>
      <c r="C4" s="4" t="s">
        <v>222</v>
      </c>
      <c r="D4" s="4" t="s">
        <v>223</v>
      </c>
      <c r="E4" s="4" t="s">
        <v>224</v>
      </c>
      <c r="F4" s="4" t="s">
        <v>225</v>
      </c>
      <c r="G4" s="4" t="s">
        <v>226</v>
      </c>
      <c r="H4" s="4" t="s">
        <v>227</v>
      </c>
      <c r="I4" s="4" t="s">
        <v>228</v>
      </c>
      <c r="J4" s="4" t="s">
        <v>233</v>
      </c>
    </row>
    <row r="5" spans="1:10" x14ac:dyDescent="0.25">
      <c r="A5" t="s">
        <v>5</v>
      </c>
      <c r="B5" t="s">
        <v>1</v>
      </c>
      <c r="C5" s="9">
        <f>INDEX(Costs_raw!$B$5:$B$52,MATCH($A5,Costs_raw!$A$5:$A$52,0))</f>
        <v>0.54695899999999997</v>
      </c>
      <c r="D5" s="9">
        <f>INDEX(Costs_raw!$C$5:$C$52,MATCH($A5,Costs_raw!$A$5:$A$52,0))</f>
        <v>0.436695</v>
      </c>
      <c r="E5" s="9">
        <f>INDEX(Costs_raw!$D$5:$D$52,MATCH($A5,Costs_raw!$A$5:$A$52,0))</f>
        <v>0.409302</v>
      </c>
      <c r="F5" s="9">
        <f>INDEX(Costs_raw!$E$5:$E$52,MATCH($A5,Costs_raw!$A$5:$A$52,0))</f>
        <v>0.46726000000000001</v>
      </c>
      <c r="G5" s="9">
        <f>INDEX(Costs_raw!$F$5:$F$52,MATCH($A5,Costs_raw!$A$5:$A$52,0))</f>
        <v>0.42907400000000001</v>
      </c>
      <c r="H5" s="9">
        <f>INDEX(Costs_raw!$G$5:$G$52,MATCH($A5,Costs_raw!$A$5:$A$52,0))</f>
        <v>7573.32</v>
      </c>
      <c r="I5" s="9">
        <f>INDEX(Costs_raw!$H$5:$H$52,MATCH($A5,Costs_raw!$A$5:$A$52,0))</f>
        <v>0.51896299999999995</v>
      </c>
      <c r="J5" t="s">
        <v>234</v>
      </c>
    </row>
    <row r="6" spans="1:10" x14ac:dyDescent="0.25">
      <c r="A6" t="s">
        <v>7</v>
      </c>
      <c r="B6" t="s">
        <v>6</v>
      </c>
      <c r="C6" s="9">
        <f>INDEX(Costs_raw!$B$5:$B$52,MATCH($A6,Costs_raw!$A$5:$A$52,0))</f>
        <v>0.68985099999999999</v>
      </c>
      <c r="D6" s="9">
        <f>INDEX(Costs_raw!$C$5:$C$52,MATCH($A6,Costs_raw!$A$5:$A$52,0))</f>
        <v>0.55783700000000003</v>
      </c>
      <c r="E6" s="9">
        <f>INDEX(Costs_raw!$D$5:$D$52,MATCH($A6,Costs_raw!$A$5:$A$52,0))</f>
        <v>0.51526400000000006</v>
      </c>
      <c r="F6" s="9">
        <f>INDEX(Costs_raw!$E$5:$E$52,MATCH($A6,Costs_raw!$A$5:$A$52,0))</f>
        <v>0.58839300000000005</v>
      </c>
      <c r="G6" s="9">
        <f>INDEX(Costs_raw!$F$5:$F$52,MATCH($A6,Costs_raw!$A$5:$A$52,0))</f>
        <v>0.53713</v>
      </c>
      <c r="H6" s="9">
        <f>INDEX(Costs_raw!$G$5:$G$52,MATCH($A6,Costs_raw!$A$5:$A$52,0))</f>
        <v>9674.2099999999991</v>
      </c>
      <c r="I6" s="9">
        <f>INDEX(Costs_raw!$H$5:$H$52,MATCH($A6,Costs_raw!$A$5:$A$52,0))</f>
        <v>0.65650699999999995</v>
      </c>
      <c r="J6" t="s">
        <v>234</v>
      </c>
    </row>
    <row r="7" spans="1:10" x14ac:dyDescent="0.25">
      <c r="A7" t="s">
        <v>10</v>
      </c>
      <c r="B7" t="s">
        <v>9</v>
      </c>
      <c r="C7" s="9">
        <f>INDEX(Costs_raw!$B$5:$B$52,MATCH($A7,Costs_raw!$A$5:$A$52,0))</f>
        <v>0.67544899999999997</v>
      </c>
      <c r="D7" s="9">
        <f>INDEX(Costs_raw!$C$5:$C$52,MATCH($A7,Costs_raw!$A$5:$A$52,0))</f>
        <v>0.55136399999999997</v>
      </c>
      <c r="E7" s="9">
        <f>INDEX(Costs_raw!$D$5:$D$52,MATCH($A7,Costs_raw!$A$5:$A$52,0))</f>
        <v>0.51765099999999997</v>
      </c>
      <c r="F7" s="9">
        <f>INDEX(Costs_raw!$E$5:$E$52,MATCH($A7,Costs_raw!$A$5:$A$52,0))</f>
        <v>0.58435800000000004</v>
      </c>
      <c r="G7" s="9">
        <f>INDEX(Costs_raw!$F$5:$F$52,MATCH($A7,Costs_raw!$A$5:$A$52,0))</f>
        <v>0.53712499999999996</v>
      </c>
      <c r="H7" s="9">
        <f>INDEX(Costs_raw!$G$5:$G$52,MATCH($A7,Costs_raw!$A$5:$A$52,0))</f>
        <v>9561.9599999999991</v>
      </c>
      <c r="I7" s="9">
        <f>INDEX(Costs_raw!$H$5:$H$52,MATCH($A7,Costs_raw!$A$5:$A$52,0))</f>
        <v>0.64915900000000004</v>
      </c>
      <c r="J7" t="s">
        <v>234</v>
      </c>
    </row>
    <row r="8" spans="1:10" x14ac:dyDescent="0.25">
      <c r="A8" t="s">
        <v>13</v>
      </c>
      <c r="B8" t="s">
        <v>12</v>
      </c>
      <c r="C8" s="9">
        <f>INDEX(Costs_raw!$B$5:$B$52,MATCH($A8,Costs_raw!$A$5:$A$52,0))</f>
        <v>0.71524799999999999</v>
      </c>
      <c r="D8" s="9">
        <f>INDEX(Costs_raw!$C$5:$C$52,MATCH($A8,Costs_raw!$A$5:$A$52,0))</f>
        <v>0.57864499999999996</v>
      </c>
      <c r="E8" s="9">
        <f>INDEX(Costs_raw!$D$5:$D$52,MATCH($A8,Costs_raw!$A$5:$A$52,0))</f>
        <v>0.54927800000000004</v>
      </c>
      <c r="F8" s="9">
        <f>INDEX(Costs_raw!$E$5:$E$52,MATCH($A8,Costs_raw!$A$5:$A$52,0))</f>
        <v>0.62513200000000002</v>
      </c>
      <c r="G8" s="9">
        <f>INDEX(Costs_raw!$F$5:$F$52,MATCH($A8,Costs_raw!$A$5:$A$52,0))</f>
        <v>0.58856900000000001</v>
      </c>
      <c r="H8" s="9">
        <f>INDEX(Costs_raw!$G$5:$G$52,MATCH($A8,Costs_raw!$A$5:$A$52,0))</f>
        <v>10035.1</v>
      </c>
      <c r="I8" s="9">
        <f>INDEX(Costs_raw!$H$5:$H$52,MATCH($A8,Costs_raw!$A$5:$A$52,0))</f>
        <v>0.68013299999999999</v>
      </c>
      <c r="J8" t="s">
        <v>234</v>
      </c>
    </row>
    <row r="9" spans="1:10" x14ac:dyDescent="0.25">
      <c r="A9" t="s">
        <v>15</v>
      </c>
      <c r="B9" t="s">
        <v>14</v>
      </c>
      <c r="C9" s="9">
        <f>INDEX(Costs_raw!$B$5:$B$52,MATCH($A9,Costs_raw!$A$5:$A$52,0))</f>
        <v>0.65968099999999996</v>
      </c>
      <c r="D9" s="9">
        <f>INDEX(Costs_raw!$C$5:$C$52,MATCH($A9,Costs_raw!$A$5:$A$52,0))</f>
        <v>0.56180699999999995</v>
      </c>
      <c r="E9" s="9">
        <f>INDEX(Costs_raw!$D$5:$D$52,MATCH($A9,Costs_raw!$A$5:$A$52,0))</f>
        <v>0.52066199999999996</v>
      </c>
      <c r="F9" s="9">
        <f>INDEX(Costs_raw!$E$5:$E$52,MATCH($A9,Costs_raw!$A$5:$A$52,0))</f>
        <v>0.59343999999999997</v>
      </c>
      <c r="G9" s="9">
        <f>INDEX(Costs_raw!$F$5:$F$52,MATCH($A9,Costs_raw!$A$5:$A$52,0))</f>
        <v>0.52097400000000005</v>
      </c>
      <c r="H9" s="9">
        <f>INDEX(Costs_raw!$G$5:$G$52,MATCH($A9,Costs_raw!$A$5:$A$52,0))</f>
        <v>9743.0499999999993</v>
      </c>
      <c r="I9" s="9">
        <f>INDEX(Costs_raw!$H$5:$H$52,MATCH($A9,Costs_raw!$A$5:$A$52,0))</f>
        <v>0.63670099999999996</v>
      </c>
      <c r="J9" t="s">
        <v>234</v>
      </c>
    </row>
    <row r="10" spans="1:10" x14ac:dyDescent="0.25">
      <c r="A10" t="s">
        <v>18</v>
      </c>
      <c r="B10" t="s">
        <v>17</v>
      </c>
      <c r="C10" s="9">
        <f>INDEX(Costs_raw!$B$5:$B$52,MATCH($A10,Costs_raw!$A$5:$A$52,0))</f>
        <v>0.58265599999999995</v>
      </c>
      <c r="D10" s="9">
        <f>INDEX(Costs_raw!$C$5:$C$52,MATCH($A10,Costs_raw!$A$5:$A$52,0))</f>
        <v>0.46813700000000003</v>
      </c>
      <c r="E10" s="9">
        <f>INDEX(Costs_raw!$D$5:$D$52,MATCH($A10,Costs_raw!$A$5:$A$52,0))</f>
        <v>0.44111299999999998</v>
      </c>
      <c r="F10" s="9">
        <f>INDEX(Costs_raw!$E$5:$E$52,MATCH($A10,Costs_raw!$A$5:$A$52,0))</f>
        <v>0.505278</v>
      </c>
      <c r="G10" s="9">
        <f>INDEX(Costs_raw!$F$5:$F$52,MATCH($A10,Costs_raw!$A$5:$A$52,0))</f>
        <v>0.476522</v>
      </c>
      <c r="H10" s="9">
        <f>INDEX(Costs_raw!$G$5:$G$52,MATCH($A10,Costs_raw!$A$5:$A$52,0))</f>
        <v>8118.6</v>
      </c>
      <c r="I10" s="9">
        <f>INDEX(Costs_raw!$H$5:$H$52,MATCH($A10,Costs_raw!$A$5:$A$52,0))</f>
        <v>0.55193599999999998</v>
      </c>
      <c r="J10" t="s">
        <v>234</v>
      </c>
    </row>
    <row r="11" spans="1:10" x14ac:dyDescent="0.25">
      <c r="A11" t="s">
        <v>20</v>
      </c>
      <c r="B11" t="s">
        <v>19</v>
      </c>
      <c r="C11" s="9">
        <f>INDEX(Costs_raw!$B$5:$B$52,MATCH($A11,Costs_raw!$A$5:$A$52,0))</f>
        <v>0.58376899999999998</v>
      </c>
      <c r="D11" s="9">
        <f>INDEX(Costs_raw!$C$5:$C$52,MATCH($A11,Costs_raw!$A$5:$A$52,0))</f>
        <v>0.48652899999999999</v>
      </c>
      <c r="E11" s="9">
        <f>INDEX(Costs_raw!$D$5:$D$52,MATCH($A11,Costs_raw!$A$5:$A$52,0))</f>
        <v>0.45661000000000002</v>
      </c>
      <c r="F11" s="9">
        <f>INDEX(Costs_raw!$E$5:$E$52,MATCH($A11,Costs_raw!$A$5:$A$52,0))</f>
        <v>0.52085099999999995</v>
      </c>
      <c r="G11" s="9">
        <f>INDEX(Costs_raw!$F$5:$F$52,MATCH($A11,Costs_raw!$A$5:$A$52,0))</f>
        <v>0.472078</v>
      </c>
      <c r="H11" s="9">
        <f>INDEX(Costs_raw!$G$5:$G$52,MATCH($A11,Costs_raw!$A$5:$A$52,0))</f>
        <v>8437.56</v>
      </c>
      <c r="I11" s="9">
        <f>INDEX(Costs_raw!$H$5:$H$52,MATCH($A11,Costs_raw!$A$5:$A$52,0))</f>
        <v>0.560504</v>
      </c>
      <c r="J11" t="s">
        <v>234</v>
      </c>
    </row>
    <row r="12" spans="1:10" x14ac:dyDescent="0.25">
      <c r="A12" t="s">
        <v>23</v>
      </c>
      <c r="B12" t="s">
        <v>22</v>
      </c>
      <c r="C12" s="9">
        <f>INDEX(Costs_raw!$B$5:$B$52,MATCH($A12,Costs_raw!$A$5:$A$52,0))</f>
        <v>0.64272899999999999</v>
      </c>
      <c r="D12" s="9">
        <f>INDEX(Costs_raw!$C$5:$C$52,MATCH($A12,Costs_raw!$A$5:$A$52,0))</f>
        <v>0.52394099999999999</v>
      </c>
      <c r="E12" s="9">
        <f>INDEX(Costs_raw!$D$5:$D$52,MATCH($A12,Costs_raw!$A$5:$A$52,0))</f>
        <v>0.48716799999999999</v>
      </c>
      <c r="F12" s="9">
        <f>INDEX(Costs_raw!$E$5:$E$52,MATCH($A12,Costs_raw!$A$5:$A$52,0))</f>
        <v>0.55773799999999996</v>
      </c>
      <c r="G12" s="9">
        <f>INDEX(Costs_raw!$F$5:$F$52,MATCH($A12,Costs_raw!$A$5:$A$52,0))</f>
        <v>0.509046</v>
      </c>
      <c r="H12" s="9">
        <f>INDEX(Costs_raw!$G$5:$G$52,MATCH($A12,Costs_raw!$A$5:$A$52,0))</f>
        <v>9086.3700000000008</v>
      </c>
      <c r="I12" s="9">
        <f>INDEX(Costs_raw!$H$5:$H$52,MATCH($A12,Costs_raw!$A$5:$A$52,0))</f>
        <v>0.61802199999999996</v>
      </c>
      <c r="J12" t="s">
        <v>234</v>
      </c>
    </row>
    <row r="13" spans="1:10" x14ac:dyDescent="0.25">
      <c r="A13" t="s">
        <v>26</v>
      </c>
      <c r="B13" t="s">
        <v>25</v>
      </c>
      <c r="C13" s="9">
        <f>INDEX(Costs_raw!$B$5:$B$52,MATCH($A13,Costs_raw!$A$5:$A$52,0))</f>
        <v>0.59046100000000001</v>
      </c>
      <c r="D13" s="9">
        <f>INDEX(Costs_raw!$C$5:$C$52,MATCH($A13,Costs_raw!$A$5:$A$52,0))</f>
        <v>0.47794700000000001</v>
      </c>
      <c r="E13" s="9">
        <f>INDEX(Costs_raw!$D$5:$D$52,MATCH($A13,Costs_raw!$A$5:$A$52,0))</f>
        <v>0.44584000000000001</v>
      </c>
      <c r="F13" s="9">
        <f>INDEX(Costs_raw!$E$5:$E$52,MATCH($A13,Costs_raw!$A$5:$A$52,0))</f>
        <v>0.51025299999999996</v>
      </c>
      <c r="G13" s="9">
        <f>INDEX(Costs_raw!$F$5:$F$52,MATCH($A13,Costs_raw!$A$5:$A$52,0))</f>
        <v>0.46615200000000001</v>
      </c>
      <c r="H13" s="9">
        <f>INDEX(Costs_raw!$G$5:$G$52,MATCH($A13,Costs_raw!$A$5:$A$52,0))</f>
        <v>8288.7199999999993</v>
      </c>
      <c r="I13" s="9">
        <f>INDEX(Costs_raw!$H$5:$H$52,MATCH($A13,Costs_raw!$A$5:$A$52,0))</f>
        <v>0.56579999999999997</v>
      </c>
      <c r="J13" t="s">
        <v>234</v>
      </c>
    </row>
    <row r="14" spans="1:10" x14ac:dyDescent="0.25">
      <c r="A14" t="s">
        <v>29</v>
      </c>
      <c r="B14" t="s">
        <v>28</v>
      </c>
      <c r="C14" s="9">
        <f>INDEX(Costs_raw!$B$5:$B$52,MATCH($A14,Costs_raw!$A$5:$A$52,0))</f>
        <v>0.77669699999999997</v>
      </c>
      <c r="D14" s="9">
        <f>INDEX(Costs_raw!$C$5:$C$52,MATCH($A14,Costs_raw!$A$5:$A$52,0))</f>
        <v>0.62840099999999999</v>
      </c>
      <c r="E14" s="9">
        <f>INDEX(Costs_raw!$D$5:$D$52,MATCH($A14,Costs_raw!$A$5:$A$52,0))</f>
        <v>0.57859700000000003</v>
      </c>
      <c r="F14" s="9">
        <f>INDEX(Costs_raw!$E$5:$E$52,MATCH($A14,Costs_raw!$A$5:$A$52,0))</f>
        <v>0.66095000000000004</v>
      </c>
      <c r="G14" s="9">
        <f>INDEX(Costs_raw!$F$5:$F$52,MATCH($A14,Costs_raw!$A$5:$A$52,0))</f>
        <v>0.60397299999999998</v>
      </c>
      <c r="H14" s="9">
        <f>INDEX(Costs_raw!$G$5:$G$52,MATCH($A14,Costs_raw!$A$5:$A$52,0))</f>
        <v>10898</v>
      </c>
      <c r="I14" s="9">
        <f>INDEX(Costs_raw!$H$5:$H$52,MATCH($A14,Costs_raw!$A$5:$A$52,0))</f>
        <v>0.736626</v>
      </c>
      <c r="J14" t="s">
        <v>234</v>
      </c>
    </row>
    <row r="15" spans="1:10" x14ac:dyDescent="0.25">
      <c r="A15" t="s">
        <v>32</v>
      </c>
      <c r="B15" t="s">
        <v>31</v>
      </c>
      <c r="C15" s="9">
        <f>INDEX(Costs_raw!$B$5:$B$52,MATCH($A15,Costs_raw!$A$5:$A$52,0))</f>
        <v>0.82724399999999998</v>
      </c>
      <c r="D15" s="9">
        <f>INDEX(Costs_raw!$C$5:$C$52,MATCH($A15,Costs_raw!$A$5:$A$52,0))</f>
        <v>0.67352100000000004</v>
      </c>
      <c r="E15" s="9">
        <f>INDEX(Costs_raw!$D$5:$D$52,MATCH($A15,Costs_raw!$A$5:$A$52,0))</f>
        <v>0.62004000000000004</v>
      </c>
      <c r="F15" s="9">
        <f>INDEX(Costs_raw!$E$5:$E$52,MATCH($A15,Costs_raw!$A$5:$A$52,0))</f>
        <v>0.70720000000000005</v>
      </c>
      <c r="G15" s="9">
        <f>INDEX(Costs_raw!$F$5:$F$52,MATCH($A15,Costs_raw!$A$5:$A$52,0))</f>
        <v>0.64381500000000003</v>
      </c>
      <c r="H15" s="9">
        <f>INDEX(Costs_raw!$G$5:$G$52,MATCH($A15,Costs_raw!$A$5:$A$52,0))</f>
        <v>11680.4</v>
      </c>
      <c r="I15" s="9">
        <f>INDEX(Costs_raw!$H$5:$H$52,MATCH($A15,Costs_raw!$A$5:$A$52,0))</f>
        <v>0.78785499999999997</v>
      </c>
      <c r="J15" t="s">
        <v>234</v>
      </c>
    </row>
    <row r="16" spans="1:10" x14ac:dyDescent="0.25">
      <c r="A16" t="s">
        <v>35</v>
      </c>
      <c r="B16" t="s">
        <v>34</v>
      </c>
      <c r="C16" s="9">
        <f>INDEX(Costs_raw!$B$5:$B$52,MATCH($A16,Costs_raw!$A$5:$A$52,0))</f>
        <v>0.77368400000000004</v>
      </c>
      <c r="D16" s="9">
        <f>INDEX(Costs_raw!$C$5:$C$52,MATCH($A16,Costs_raw!$A$5:$A$52,0))</f>
        <v>0.64155600000000002</v>
      </c>
      <c r="E16" s="9">
        <f>INDEX(Costs_raw!$D$5:$D$52,MATCH($A16,Costs_raw!$A$5:$A$52,0))</f>
        <v>0.59059200000000001</v>
      </c>
      <c r="F16" s="9">
        <f>INDEX(Costs_raw!$E$5:$E$52,MATCH($A16,Costs_raw!$A$5:$A$52,0))</f>
        <v>0.67658799999999997</v>
      </c>
      <c r="G16" s="9">
        <f>INDEX(Costs_raw!$F$5:$F$52,MATCH($A16,Costs_raw!$A$5:$A$52,0))</f>
        <v>0.61962499999999998</v>
      </c>
      <c r="H16" s="9">
        <f>INDEX(Costs_raw!$G$5:$G$52,MATCH($A16,Costs_raw!$A$5:$A$52,0))</f>
        <v>11126.1</v>
      </c>
      <c r="I16" s="9">
        <f>INDEX(Costs_raw!$H$5:$H$52,MATCH($A16,Costs_raw!$A$5:$A$52,0))</f>
        <v>0.73569600000000002</v>
      </c>
      <c r="J16" t="s">
        <v>234</v>
      </c>
    </row>
    <row r="17" spans="1:10" x14ac:dyDescent="0.25">
      <c r="A17" t="s">
        <v>38</v>
      </c>
      <c r="B17" t="s">
        <v>37</v>
      </c>
      <c r="C17" s="9">
        <f>INDEX(Costs_raw!$B$5:$B$52,MATCH($A17,Costs_raw!$A$5:$A$52,0))</f>
        <v>0.64313500000000001</v>
      </c>
      <c r="D17" s="9">
        <f>INDEX(Costs_raw!$C$5:$C$52,MATCH($A17,Costs_raw!$A$5:$A$52,0))</f>
        <v>0.51736499999999996</v>
      </c>
      <c r="E17" s="9">
        <f>INDEX(Costs_raw!$D$5:$D$52,MATCH($A17,Costs_raw!$A$5:$A$52,0))</f>
        <v>0.48131099999999999</v>
      </c>
      <c r="F17" s="9">
        <f>INDEX(Costs_raw!$E$5:$E$52,MATCH($A17,Costs_raw!$A$5:$A$52,0))</f>
        <v>0.55124200000000001</v>
      </c>
      <c r="G17" s="9">
        <f>INDEX(Costs_raw!$F$5:$F$52,MATCH($A17,Costs_raw!$A$5:$A$52,0))</f>
        <v>0.50339599999999995</v>
      </c>
      <c r="H17" s="9">
        <f>INDEX(Costs_raw!$G$5:$G$52,MATCH($A17,Costs_raw!$A$5:$A$52,0))</f>
        <v>8972.34</v>
      </c>
      <c r="I17" s="9">
        <f>INDEX(Costs_raw!$H$5:$H$52,MATCH($A17,Costs_raw!$A$5:$A$52,0))</f>
        <v>0.61055599999999999</v>
      </c>
      <c r="J17" t="s">
        <v>234</v>
      </c>
    </row>
    <row r="18" spans="1:10" x14ac:dyDescent="0.25">
      <c r="A18" t="s">
        <v>40</v>
      </c>
      <c r="B18" t="s">
        <v>39</v>
      </c>
      <c r="C18" s="9">
        <f>INDEX(Costs_raw!$B$5:$B$52,MATCH($A18,Costs_raw!$A$5:$A$52,0))</f>
        <v>0.45363900000000001</v>
      </c>
      <c r="D18" s="9">
        <f>INDEX(Costs_raw!$C$5:$C$52,MATCH($A18,Costs_raw!$A$5:$A$52,0))</f>
        <v>0.36455399999999999</v>
      </c>
      <c r="E18" s="9">
        <f>INDEX(Costs_raw!$D$5:$D$52,MATCH($A18,Costs_raw!$A$5:$A$52,0))</f>
        <v>0.34834399999999999</v>
      </c>
      <c r="F18" s="9">
        <f>INDEX(Costs_raw!$E$5:$E$52,MATCH($A18,Costs_raw!$A$5:$A$52,0))</f>
        <v>0.397123</v>
      </c>
      <c r="G18" s="9">
        <f>INDEX(Costs_raw!$F$5:$F$52,MATCH($A18,Costs_raw!$A$5:$A$52,0))</f>
        <v>0.36204700000000001</v>
      </c>
      <c r="H18" s="9">
        <f>INDEX(Costs_raw!$G$5:$G$52,MATCH($A18,Costs_raw!$A$5:$A$52,0))</f>
        <v>6322.22</v>
      </c>
      <c r="I18" s="9">
        <f>INDEX(Costs_raw!$H$5:$H$52,MATCH($A18,Costs_raw!$A$5:$A$52,0))</f>
        <v>0.437054</v>
      </c>
      <c r="J18" t="s">
        <v>234</v>
      </c>
    </row>
    <row r="19" spans="1:10" x14ac:dyDescent="0.25">
      <c r="A19" t="s">
        <v>43</v>
      </c>
      <c r="B19" t="s">
        <v>42</v>
      </c>
      <c r="C19" s="9">
        <f>INDEX(Costs_raw!$B$5:$B$52,MATCH($A19,Costs_raw!$A$5:$A$52,0))</f>
        <v>0.65037400000000001</v>
      </c>
      <c r="D19" s="9">
        <f>INDEX(Costs_raw!$C$5:$C$52,MATCH($A19,Costs_raw!$A$5:$A$52,0))</f>
        <v>0.523455</v>
      </c>
      <c r="E19" s="9">
        <f>INDEX(Costs_raw!$D$5:$D$52,MATCH($A19,Costs_raw!$A$5:$A$52,0))</f>
        <v>0.48758400000000002</v>
      </c>
      <c r="F19" s="9">
        <f>INDEX(Costs_raw!$E$5:$E$52,MATCH($A19,Costs_raw!$A$5:$A$52,0))</f>
        <v>0.55609799999999998</v>
      </c>
      <c r="G19" s="9">
        <f>INDEX(Costs_raw!$F$5:$F$52,MATCH($A19,Costs_raw!$A$5:$A$52,0))</f>
        <v>0.50671500000000003</v>
      </c>
      <c r="H19" s="9">
        <f>INDEX(Costs_raw!$G$5:$G$52,MATCH($A19,Costs_raw!$A$5:$A$52,0))</f>
        <v>9077.94</v>
      </c>
      <c r="I19" s="9">
        <f>INDEX(Costs_raw!$H$5:$H$52,MATCH($A19,Costs_raw!$A$5:$A$52,0))</f>
        <v>0.61746999999999996</v>
      </c>
      <c r="J19" t="s">
        <v>234</v>
      </c>
    </row>
    <row r="20" spans="1:10" x14ac:dyDescent="0.25">
      <c r="A20" t="s">
        <v>46</v>
      </c>
      <c r="B20" t="s">
        <v>45</v>
      </c>
      <c r="C20" s="9">
        <f>INDEX(Costs_raw!$B$5:$B$52,MATCH($A20,Costs_raw!$A$5:$A$52,0))</f>
        <v>0.66619300000000004</v>
      </c>
      <c r="D20" s="9">
        <f>INDEX(Costs_raw!$C$5:$C$52,MATCH($A20,Costs_raw!$A$5:$A$52,0))</f>
        <v>0.53513699999999997</v>
      </c>
      <c r="E20" s="9">
        <f>INDEX(Costs_raw!$D$5:$D$52,MATCH($A20,Costs_raw!$A$5:$A$52,0))</f>
        <v>0.49529200000000001</v>
      </c>
      <c r="F20" s="9">
        <f>INDEX(Costs_raw!$E$5:$E$52,MATCH($A20,Costs_raw!$A$5:$A$52,0))</f>
        <v>0.56545100000000004</v>
      </c>
      <c r="G20" s="9">
        <f>INDEX(Costs_raw!$F$5:$F$52,MATCH($A20,Costs_raw!$A$5:$A$52,0))</f>
        <v>0.51543799999999995</v>
      </c>
      <c r="H20" s="9">
        <f>INDEX(Costs_raw!$G$5:$G$52,MATCH($A20,Costs_raw!$A$5:$A$52,0))</f>
        <v>9280.5400000000009</v>
      </c>
      <c r="I20" s="9">
        <f>INDEX(Costs_raw!$H$5:$H$52,MATCH($A20,Costs_raw!$A$5:$A$52,0))</f>
        <v>0.63073400000000002</v>
      </c>
      <c r="J20" t="s">
        <v>234</v>
      </c>
    </row>
    <row r="21" spans="1:10" x14ac:dyDescent="0.25">
      <c r="A21" t="s">
        <v>48</v>
      </c>
      <c r="B21" t="s">
        <v>47</v>
      </c>
      <c r="C21" s="9">
        <f>INDEX(Costs_raw!$B$5:$B$52,MATCH($A21,Costs_raw!$A$5:$A$52,0))</f>
        <v>0.60306499999999996</v>
      </c>
      <c r="D21" s="9">
        <f>INDEX(Costs_raw!$C$5:$C$52,MATCH($A21,Costs_raw!$A$5:$A$52,0))</f>
        <v>0.50256400000000001</v>
      </c>
      <c r="E21" s="9">
        <f>INDEX(Costs_raw!$D$5:$D$52,MATCH($A21,Costs_raw!$A$5:$A$52,0))</f>
        <v>0.47078100000000001</v>
      </c>
      <c r="F21" s="9">
        <f>INDEX(Costs_raw!$E$5:$E$52,MATCH($A21,Costs_raw!$A$5:$A$52,0))</f>
        <v>0.538412</v>
      </c>
      <c r="G21" s="9">
        <f>INDEX(Costs_raw!$F$5:$F$52,MATCH($A21,Costs_raw!$A$5:$A$52,0))</f>
        <v>0.50953700000000002</v>
      </c>
      <c r="H21" s="9">
        <f>INDEX(Costs_raw!$G$5:$G$52,MATCH($A21,Costs_raw!$A$5:$A$52,0))</f>
        <v>8715.65</v>
      </c>
      <c r="I21" s="9">
        <f>INDEX(Costs_raw!$H$5:$H$52,MATCH($A21,Costs_raw!$A$5:$A$52,0))</f>
        <v>0.57199999999999995</v>
      </c>
      <c r="J21" t="s">
        <v>234</v>
      </c>
    </row>
    <row r="22" spans="1:10" x14ac:dyDescent="0.25">
      <c r="A22" t="s">
        <v>51</v>
      </c>
      <c r="B22" t="s">
        <v>50</v>
      </c>
      <c r="C22" s="9">
        <f>INDEX(Costs_raw!$B$5:$B$52,MATCH($A22,Costs_raw!$A$5:$A$52,0))</f>
        <v>0.62878900000000004</v>
      </c>
      <c r="D22" s="9">
        <f>INDEX(Costs_raw!$C$5:$C$52,MATCH($A22,Costs_raw!$A$5:$A$52,0))</f>
        <v>0.52912000000000003</v>
      </c>
      <c r="E22" s="9">
        <f>INDEX(Costs_raw!$D$5:$D$52,MATCH($A22,Costs_raw!$A$5:$A$52,0))</f>
        <v>0.493896</v>
      </c>
      <c r="F22" s="9">
        <f>INDEX(Costs_raw!$E$5:$E$52,MATCH($A22,Costs_raw!$A$5:$A$52,0))</f>
        <v>0.56363200000000002</v>
      </c>
      <c r="G22" s="9">
        <f>INDEX(Costs_raw!$F$5:$F$52,MATCH($A22,Costs_raw!$A$5:$A$52,0))</f>
        <v>0.49964900000000001</v>
      </c>
      <c r="H22" s="9">
        <f>INDEX(Costs_raw!$G$5:$G$52,MATCH($A22,Costs_raw!$A$5:$A$52,0))</f>
        <v>9176.18</v>
      </c>
      <c r="I22" s="9">
        <f>INDEX(Costs_raw!$H$5:$H$52,MATCH($A22,Costs_raw!$A$5:$A$52,0))</f>
        <v>0.60427399999999998</v>
      </c>
      <c r="J22" t="s">
        <v>234</v>
      </c>
    </row>
    <row r="23" spans="1:10" x14ac:dyDescent="0.25">
      <c r="A23" t="s">
        <v>54</v>
      </c>
      <c r="B23" t="s">
        <v>53</v>
      </c>
      <c r="C23" s="9">
        <f>INDEX(Costs_raw!$B$5:$B$52,MATCH($A23,Costs_raw!$A$5:$A$52,0))</f>
        <v>0.57513300000000001</v>
      </c>
      <c r="D23" s="9">
        <f>INDEX(Costs_raw!$C$5:$C$52,MATCH($A23,Costs_raw!$A$5:$A$52,0))</f>
        <v>0.45993600000000001</v>
      </c>
      <c r="E23" s="9">
        <f>INDEX(Costs_raw!$D$5:$D$52,MATCH($A23,Costs_raw!$A$5:$A$52,0))</f>
        <v>0.43378699999999998</v>
      </c>
      <c r="F23" s="9">
        <f>INDEX(Costs_raw!$E$5:$E$52,MATCH($A23,Costs_raw!$A$5:$A$52,0))</f>
        <v>0.49640099999999998</v>
      </c>
      <c r="G23" s="9">
        <f>INDEX(Costs_raw!$F$5:$F$52,MATCH($A23,Costs_raw!$A$5:$A$52,0))</f>
        <v>0.46332000000000001</v>
      </c>
      <c r="H23" s="9">
        <f>INDEX(Costs_raw!$G$5:$G$52,MATCH($A23,Costs_raw!$A$5:$A$52,0))</f>
        <v>7976.38</v>
      </c>
      <c r="I23" s="9">
        <f>INDEX(Costs_raw!$H$5:$H$52,MATCH($A23,Costs_raw!$A$5:$A$52,0))</f>
        <v>0.54535100000000003</v>
      </c>
      <c r="J23" t="s">
        <v>234</v>
      </c>
    </row>
    <row r="24" spans="1:10" x14ac:dyDescent="0.25">
      <c r="A24" t="s">
        <v>57</v>
      </c>
      <c r="B24" t="s">
        <v>56</v>
      </c>
      <c r="C24" s="9">
        <f>INDEX(Costs_raw!$B$5:$B$52,MATCH($A24,Costs_raw!$A$5:$A$52,0))</f>
        <v>0.69106800000000002</v>
      </c>
      <c r="D24" s="9">
        <f>INDEX(Costs_raw!$C$5:$C$52,MATCH($A24,Costs_raw!$A$5:$A$52,0))</f>
        <v>0.55742100000000006</v>
      </c>
      <c r="E24" s="9">
        <f>INDEX(Costs_raw!$D$5:$D$52,MATCH($A24,Costs_raw!$A$5:$A$52,0))</f>
        <v>0.51654100000000003</v>
      </c>
      <c r="F24" s="9">
        <f>INDEX(Costs_raw!$E$5:$E$52,MATCH($A24,Costs_raw!$A$5:$A$52,0))</f>
        <v>0.59060800000000002</v>
      </c>
      <c r="G24" s="9">
        <f>INDEX(Costs_raw!$F$5:$F$52,MATCH($A24,Costs_raw!$A$5:$A$52,0))</f>
        <v>0.54614499999999999</v>
      </c>
      <c r="H24" s="9">
        <f>INDEX(Costs_raw!$G$5:$G$52,MATCH($A24,Costs_raw!$A$5:$A$52,0))</f>
        <v>9666.99</v>
      </c>
      <c r="I24" s="9">
        <f>INDEX(Costs_raw!$H$5:$H$52,MATCH($A24,Costs_raw!$A$5:$A$52,0))</f>
        <v>0.65603500000000003</v>
      </c>
      <c r="J24" t="s">
        <v>234</v>
      </c>
    </row>
    <row r="25" spans="1:10" x14ac:dyDescent="0.25">
      <c r="A25" t="s">
        <v>60</v>
      </c>
      <c r="B25" t="s">
        <v>59</v>
      </c>
      <c r="C25" s="9">
        <f>INDEX(Costs_raw!$B$5:$B$52,MATCH($A25,Costs_raw!$A$5:$A$52,0))</f>
        <v>0.76408399999999999</v>
      </c>
      <c r="D25" s="9">
        <f>INDEX(Costs_raw!$C$5:$C$52,MATCH($A25,Costs_raw!$A$5:$A$52,0))</f>
        <v>0.62082300000000001</v>
      </c>
      <c r="E25" s="9">
        <f>INDEX(Costs_raw!$D$5:$D$52,MATCH($A25,Costs_raw!$A$5:$A$52,0))</f>
        <v>0.57222600000000001</v>
      </c>
      <c r="F25" s="9">
        <f>INDEX(Costs_raw!$E$5:$E$52,MATCH($A25,Costs_raw!$A$5:$A$52,0))</f>
        <v>0.65434499999999995</v>
      </c>
      <c r="G25" s="9">
        <f>INDEX(Costs_raw!$F$5:$F$52,MATCH($A25,Costs_raw!$A$5:$A$52,0))</f>
        <v>0.59979199999999999</v>
      </c>
      <c r="H25" s="9">
        <f>INDEX(Costs_raw!$G$5:$G$52,MATCH($A25,Costs_raw!$A$5:$A$52,0))</f>
        <v>10766.5</v>
      </c>
      <c r="I25" s="9">
        <f>INDEX(Costs_raw!$H$5:$H$52,MATCH($A25,Costs_raw!$A$5:$A$52,0))</f>
        <v>0.72802199999999995</v>
      </c>
      <c r="J25" t="s">
        <v>234</v>
      </c>
    </row>
    <row r="26" spans="1:10" x14ac:dyDescent="0.25">
      <c r="A26" t="s">
        <v>63</v>
      </c>
      <c r="B26" t="s">
        <v>62</v>
      </c>
      <c r="C26" s="9">
        <f>INDEX(Costs_raw!$B$5:$B$52,MATCH($A26,Costs_raw!$A$5:$A$52,0))</f>
        <v>0.52695000000000003</v>
      </c>
      <c r="D26" s="9">
        <f>INDEX(Costs_raw!$C$5:$C$52,MATCH($A26,Costs_raw!$A$5:$A$52,0))</f>
        <v>0.42556699999999997</v>
      </c>
      <c r="E26" s="9">
        <f>INDEX(Costs_raw!$D$5:$D$52,MATCH($A26,Costs_raw!$A$5:$A$52,0))</f>
        <v>0.40089399999999997</v>
      </c>
      <c r="F26" s="9">
        <f>INDEX(Costs_raw!$E$5:$E$52,MATCH($A26,Costs_raw!$A$5:$A$52,0))</f>
        <v>0.45718199999999998</v>
      </c>
      <c r="G26" s="9">
        <f>INDEX(Costs_raw!$F$5:$F$52,MATCH($A26,Costs_raw!$A$5:$A$52,0))</f>
        <v>0.41645199999999999</v>
      </c>
      <c r="H26" s="9">
        <f>INDEX(Costs_raw!$G$5:$G$52,MATCH($A26,Costs_raw!$A$5:$A$52,0))</f>
        <v>7380.33</v>
      </c>
      <c r="I26" s="9">
        <f>INDEX(Costs_raw!$H$5:$H$52,MATCH($A26,Costs_raw!$A$5:$A$52,0))</f>
        <v>0.506328</v>
      </c>
      <c r="J26" t="s">
        <v>234</v>
      </c>
    </row>
    <row r="27" spans="1:10" x14ac:dyDescent="0.25">
      <c r="A27" t="s">
        <v>66</v>
      </c>
      <c r="B27" t="s">
        <v>65</v>
      </c>
      <c r="C27" s="9">
        <f>INDEX(Costs_raw!$B$5:$B$52,MATCH($A27,Costs_raw!$A$5:$A$52,0))</f>
        <v>0.42735499999999998</v>
      </c>
      <c r="D27" s="9">
        <f>INDEX(Costs_raw!$C$5:$C$52,MATCH($A27,Costs_raw!$A$5:$A$52,0))</f>
        <v>0.33868199999999998</v>
      </c>
      <c r="E27" s="9">
        <f>INDEX(Costs_raw!$D$5:$D$52,MATCH($A27,Costs_raw!$A$5:$A$52,0))</f>
        <v>0.32391799999999998</v>
      </c>
      <c r="F27" s="9">
        <f>INDEX(Costs_raw!$E$5:$E$52,MATCH($A27,Costs_raw!$A$5:$A$52,0))</f>
        <v>0.36914999999999998</v>
      </c>
      <c r="G27" s="9">
        <f>INDEX(Costs_raw!$F$5:$F$52,MATCH($A27,Costs_raw!$A$5:$A$52,0))</f>
        <v>0.33659699999999998</v>
      </c>
      <c r="H27" s="9">
        <f>INDEX(Costs_raw!$G$5:$G$52,MATCH($A27,Costs_raw!$A$5:$A$52,0))</f>
        <v>5873.54</v>
      </c>
      <c r="I27" s="9">
        <f>INDEX(Costs_raw!$H$5:$H$52,MATCH($A27,Costs_raw!$A$5:$A$52,0))</f>
        <v>0.40767799999999998</v>
      </c>
      <c r="J27" t="s">
        <v>234</v>
      </c>
    </row>
    <row r="28" spans="1:10" x14ac:dyDescent="0.25">
      <c r="A28" t="s">
        <v>69</v>
      </c>
      <c r="B28" t="s">
        <v>68</v>
      </c>
      <c r="C28" s="9">
        <f>INDEX(Costs_raw!$B$5:$B$52,MATCH($A28,Costs_raw!$A$5:$A$52,0))</f>
        <v>0.62988900000000003</v>
      </c>
      <c r="D28" s="9">
        <f>INDEX(Costs_raw!$C$5:$C$52,MATCH($A28,Costs_raw!$A$5:$A$52,0))</f>
        <v>0.50991600000000004</v>
      </c>
      <c r="E28" s="9">
        <f>INDEX(Costs_raw!$D$5:$D$52,MATCH($A28,Costs_raw!$A$5:$A$52,0))</f>
        <v>0.47723599999999999</v>
      </c>
      <c r="F28" s="9">
        <f>INDEX(Costs_raw!$E$5:$E$52,MATCH($A28,Costs_raw!$A$5:$A$52,0))</f>
        <v>0.54403400000000002</v>
      </c>
      <c r="G28" s="9">
        <f>INDEX(Costs_raw!$F$5:$F$52,MATCH($A28,Costs_raw!$A$5:$A$52,0))</f>
        <v>0.49456</v>
      </c>
      <c r="H28" s="9">
        <f>INDEX(Costs_raw!$G$5:$G$52,MATCH($A28,Costs_raw!$A$5:$A$52,0))</f>
        <v>8843.15</v>
      </c>
      <c r="I28" s="9">
        <f>INDEX(Costs_raw!$H$5:$H$52,MATCH($A28,Costs_raw!$A$5:$A$52,0))</f>
        <v>0.60209800000000002</v>
      </c>
      <c r="J28" t="s">
        <v>234</v>
      </c>
    </row>
    <row r="29" spans="1:10" x14ac:dyDescent="0.25">
      <c r="A29" t="s">
        <v>72</v>
      </c>
      <c r="B29" t="s">
        <v>71</v>
      </c>
      <c r="C29" s="9">
        <f>INDEX(Costs_raw!$B$5:$B$52,MATCH($A29,Costs_raw!$A$5:$A$52,0))</f>
        <v>0.53765600000000002</v>
      </c>
      <c r="D29" s="9">
        <f>INDEX(Costs_raw!$C$5:$C$52,MATCH($A29,Costs_raw!$A$5:$A$52,0))</f>
        <v>0.43371599999999999</v>
      </c>
      <c r="E29" s="9">
        <f>INDEX(Costs_raw!$D$5:$D$52,MATCH($A29,Costs_raw!$A$5:$A$52,0))</f>
        <v>0.40937400000000002</v>
      </c>
      <c r="F29" s="9">
        <f>INDEX(Costs_raw!$E$5:$E$52,MATCH($A29,Costs_raw!$A$5:$A$52,0))</f>
        <v>0.46715000000000001</v>
      </c>
      <c r="G29" s="9">
        <f>INDEX(Costs_raw!$F$5:$F$52,MATCH($A29,Costs_raw!$A$5:$A$52,0))</f>
        <v>0.42599999999999999</v>
      </c>
      <c r="H29" s="9">
        <f>INDEX(Costs_raw!$G$5:$G$52,MATCH($A29,Costs_raw!$A$5:$A$52,0))</f>
        <v>7521.67</v>
      </c>
      <c r="I29" s="9">
        <f>INDEX(Costs_raw!$H$5:$H$52,MATCH($A29,Costs_raw!$A$5:$A$52,0))</f>
        <v>0.51558099999999996</v>
      </c>
      <c r="J29" t="s">
        <v>234</v>
      </c>
    </row>
    <row r="30" spans="1:10" x14ac:dyDescent="0.25">
      <c r="A30" t="s">
        <v>75</v>
      </c>
      <c r="B30" t="s">
        <v>74</v>
      </c>
      <c r="C30" s="9">
        <f>INDEX(Costs_raw!$B$5:$B$52,MATCH($A30,Costs_raw!$A$5:$A$52,0))</f>
        <v>0.81151700000000004</v>
      </c>
      <c r="D30" s="9">
        <f>INDEX(Costs_raw!$C$5:$C$52,MATCH($A30,Costs_raw!$A$5:$A$52,0))</f>
        <v>0.65826600000000002</v>
      </c>
      <c r="E30" s="9">
        <f>INDEX(Costs_raw!$D$5:$D$52,MATCH($A30,Costs_raw!$A$5:$A$52,0))</f>
        <v>0.60641999999999996</v>
      </c>
      <c r="F30" s="9">
        <f>INDEX(Costs_raw!$E$5:$E$52,MATCH($A30,Costs_raw!$A$5:$A$52,0))</f>
        <v>0.69261499999999998</v>
      </c>
      <c r="G30" s="9">
        <f>INDEX(Costs_raw!$F$5:$F$52,MATCH($A30,Costs_raw!$A$5:$A$52,0))</f>
        <v>0.62955700000000003</v>
      </c>
      <c r="H30" s="9">
        <f>INDEX(Costs_raw!$G$5:$G$52,MATCH($A30,Costs_raw!$A$5:$A$52,0))</f>
        <v>11415.9</v>
      </c>
      <c r="I30" s="9">
        <f>INDEX(Costs_raw!$H$5:$H$52,MATCH($A30,Costs_raw!$A$5:$A$52,0))</f>
        <v>0.77053499999999997</v>
      </c>
      <c r="J30" t="s">
        <v>234</v>
      </c>
    </row>
    <row r="31" spans="1:10" x14ac:dyDescent="0.25">
      <c r="A31" t="s">
        <v>78</v>
      </c>
      <c r="B31" t="s">
        <v>77</v>
      </c>
      <c r="C31" s="9">
        <f>INDEX(Costs_raw!$B$5:$B$52,MATCH($A31,Costs_raw!$A$5:$A$52,0))</f>
        <v>0.68842300000000001</v>
      </c>
      <c r="D31" s="9">
        <f>INDEX(Costs_raw!$C$5:$C$52,MATCH($A31,Costs_raw!$A$5:$A$52,0))</f>
        <v>0.55735599999999996</v>
      </c>
      <c r="E31" s="9">
        <f>INDEX(Costs_raw!$D$5:$D$52,MATCH($A31,Costs_raw!$A$5:$A$52,0))</f>
        <v>0.51746499999999995</v>
      </c>
      <c r="F31" s="9">
        <f>INDEX(Costs_raw!$E$5:$E$52,MATCH($A31,Costs_raw!$A$5:$A$52,0))</f>
        <v>0.59062999999999999</v>
      </c>
      <c r="G31" s="9">
        <f>INDEX(Costs_raw!$F$5:$F$52,MATCH($A31,Costs_raw!$A$5:$A$52,0))</f>
        <v>0.53648300000000004</v>
      </c>
      <c r="H31" s="9">
        <f>INDEX(Costs_raw!$G$5:$G$52,MATCH($A31,Costs_raw!$A$5:$A$52,0))</f>
        <v>9665.8700000000008</v>
      </c>
      <c r="I31" s="9">
        <f>INDEX(Costs_raw!$H$5:$H$52,MATCH($A31,Costs_raw!$A$5:$A$52,0))</f>
        <v>0.65596100000000002</v>
      </c>
      <c r="J31" t="s">
        <v>234</v>
      </c>
    </row>
    <row r="32" spans="1:10" x14ac:dyDescent="0.25">
      <c r="A32" t="s">
        <v>81</v>
      </c>
      <c r="B32" t="s">
        <v>80</v>
      </c>
      <c r="C32" s="9">
        <f>INDEX(Costs_raw!$B$5:$B$52,MATCH($A32,Costs_raw!$A$5:$A$52,0))</f>
        <v>0.604742</v>
      </c>
      <c r="D32" s="9">
        <f>INDEX(Costs_raw!$C$5:$C$52,MATCH($A32,Costs_raw!$A$5:$A$52,0))</f>
        <v>0.482705</v>
      </c>
      <c r="E32" s="9">
        <f>INDEX(Costs_raw!$D$5:$D$52,MATCH($A32,Costs_raw!$A$5:$A$52,0))</f>
        <v>0.45273799999999997</v>
      </c>
      <c r="F32" s="9">
        <f>INDEX(Costs_raw!$E$5:$E$52,MATCH($A32,Costs_raw!$A$5:$A$52,0))</f>
        <v>0.51750200000000002</v>
      </c>
      <c r="G32" s="9">
        <f>INDEX(Costs_raw!$F$5:$F$52,MATCH($A32,Costs_raw!$A$5:$A$52,0))</f>
        <v>0.482985</v>
      </c>
      <c r="H32" s="9">
        <f>INDEX(Costs_raw!$G$5:$G$52,MATCH($A32,Costs_raw!$A$5:$A$52,0))</f>
        <v>8371.25</v>
      </c>
      <c r="I32" s="9">
        <f>INDEX(Costs_raw!$H$5:$H$52,MATCH($A32,Costs_raw!$A$5:$A$52,0))</f>
        <v>0.57120300000000002</v>
      </c>
      <c r="J32" t="s">
        <v>234</v>
      </c>
    </row>
    <row r="33" spans="1:10" x14ac:dyDescent="0.25">
      <c r="A33" t="s">
        <v>84</v>
      </c>
      <c r="B33" t="s">
        <v>83</v>
      </c>
      <c r="C33" s="9">
        <f>INDEX(Costs_raw!$B$5:$B$52,MATCH($A33,Costs_raw!$A$5:$A$52,0))</f>
        <v>0.52661500000000006</v>
      </c>
      <c r="D33" s="9">
        <f>INDEX(Costs_raw!$C$5:$C$52,MATCH($A33,Costs_raw!$A$5:$A$52,0))</f>
        <v>0.43584499999999998</v>
      </c>
      <c r="E33" s="9">
        <f>INDEX(Costs_raw!$D$5:$D$52,MATCH($A33,Costs_raw!$A$5:$A$52,0))</f>
        <v>0.41145199999999998</v>
      </c>
      <c r="F33" s="9">
        <f>INDEX(Costs_raw!$E$5:$E$52,MATCH($A33,Costs_raw!$A$5:$A$52,0))</f>
        <v>0.46906599999999998</v>
      </c>
      <c r="G33" s="9">
        <f>INDEX(Costs_raw!$F$5:$F$52,MATCH($A33,Costs_raw!$A$5:$A$52,0))</f>
        <v>0.43536200000000003</v>
      </c>
      <c r="H33" s="9">
        <f>INDEX(Costs_raw!$G$5:$G$52,MATCH($A33,Costs_raw!$A$5:$A$52,0))</f>
        <v>7558.58</v>
      </c>
      <c r="I33" s="9">
        <f>INDEX(Costs_raw!$H$5:$H$52,MATCH($A33,Costs_raw!$A$5:$A$52,0))</f>
        <v>0.50721899999999998</v>
      </c>
      <c r="J33" t="s">
        <v>234</v>
      </c>
    </row>
    <row r="34" spans="1:10" x14ac:dyDescent="0.25">
      <c r="A34" t="s">
        <v>87</v>
      </c>
      <c r="B34" t="s">
        <v>86</v>
      </c>
      <c r="C34" s="9">
        <f>INDEX(Costs_raw!$B$5:$B$52,MATCH($A34,Costs_raw!$A$5:$A$52,0))</f>
        <v>0.61332200000000003</v>
      </c>
      <c r="D34" s="9">
        <f>INDEX(Costs_raw!$C$5:$C$52,MATCH($A34,Costs_raw!$A$5:$A$52,0))</f>
        <v>0.51262300000000005</v>
      </c>
      <c r="E34" s="9">
        <f>INDEX(Costs_raw!$D$5:$D$52,MATCH($A34,Costs_raw!$A$5:$A$52,0))</f>
        <v>0.47668500000000003</v>
      </c>
      <c r="F34" s="9">
        <f>INDEX(Costs_raw!$E$5:$E$52,MATCH($A34,Costs_raw!$A$5:$A$52,0))</f>
        <v>0.54455500000000001</v>
      </c>
      <c r="G34" s="9">
        <f>INDEX(Costs_raw!$F$5:$F$52,MATCH($A34,Costs_raw!$A$5:$A$52,0))</f>
        <v>0.48236200000000001</v>
      </c>
      <c r="H34" s="9">
        <f>INDEX(Costs_raw!$G$5:$G$52,MATCH($A34,Costs_raw!$A$5:$A$52,0))</f>
        <v>8890.1</v>
      </c>
      <c r="I34" s="9">
        <f>INDEX(Costs_raw!$H$5:$H$52,MATCH($A34,Costs_raw!$A$5:$A$52,0))</f>
        <v>0.58615600000000001</v>
      </c>
      <c r="J34" t="s">
        <v>234</v>
      </c>
    </row>
    <row r="35" spans="1:10" x14ac:dyDescent="0.25">
      <c r="A35" t="s">
        <v>90</v>
      </c>
      <c r="B35" t="s">
        <v>89</v>
      </c>
      <c r="C35" s="9">
        <f>INDEX(Costs_raw!$B$5:$B$52,MATCH($A35,Costs_raw!$A$5:$A$52,0))</f>
        <v>0.60973299999999997</v>
      </c>
      <c r="D35" s="9">
        <f>INDEX(Costs_raw!$C$5:$C$52,MATCH($A35,Costs_raw!$A$5:$A$52,0))</f>
        <v>0.49818299999999999</v>
      </c>
      <c r="E35" s="9">
        <f>INDEX(Costs_raw!$D$5:$D$52,MATCH($A35,Costs_raw!$A$5:$A$52,0))</f>
        <v>0.47270800000000002</v>
      </c>
      <c r="F35" s="9">
        <f>INDEX(Costs_raw!$E$5:$E$52,MATCH($A35,Costs_raw!$A$5:$A$52,0))</f>
        <v>0.53185099999999996</v>
      </c>
      <c r="G35" s="9">
        <f>INDEX(Costs_raw!$F$5:$F$52,MATCH($A35,Costs_raw!$A$5:$A$52,0))</f>
        <v>0.48903200000000002</v>
      </c>
      <c r="H35" s="9">
        <f>INDEX(Costs_raw!$G$5:$G$52,MATCH($A35,Costs_raw!$A$5:$A$52,0))</f>
        <v>8639.67</v>
      </c>
      <c r="I35" s="9">
        <f>INDEX(Costs_raw!$H$5:$H$52,MATCH($A35,Costs_raw!$A$5:$A$52,0))</f>
        <v>0.58877599999999997</v>
      </c>
      <c r="J35" t="s">
        <v>234</v>
      </c>
    </row>
    <row r="36" spans="1:10" x14ac:dyDescent="0.25">
      <c r="A36" t="s">
        <v>93</v>
      </c>
      <c r="B36" t="s">
        <v>92</v>
      </c>
      <c r="C36" s="9">
        <f>INDEX(Costs_raw!$B$5:$B$52,MATCH($A36,Costs_raw!$A$5:$A$52,0))</f>
        <v>0.69987299999999997</v>
      </c>
      <c r="D36" s="9">
        <f>INDEX(Costs_raw!$C$5:$C$52,MATCH($A36,Costs_raw!$A$5:$A$52,0))</f>
        <v>0.56967000000000001</v>
      </c>
      <c r="E36" s="9">
        <f>INDEX(Costs_raw!$D$5:$D$52,MATCH($A36,Costs_raw!$A$5:$A$52,0))</f>
        <v>0.52782700000000005</v>
      </c>
      <c r="F36" s="9">
        <f>INDEX(Costs_raw!$E$5:$E$52,MATCH($A36,Costs_raw!$A$5:$A$52,0))</f>
        <v>0.60530499999999998</v>
      </c>
      <c r="G36" s="9">
        <f>INDEX(Costs_raw!$F$5:$F$52,MATCH($A36,Costs_raw!$A$5:$A$52,0))</f>
        <v>0.56289400000000001</v>
      </c>
      <c r="H36" s="9">
        <f>INDEX(Costs_raw!$G$5:$G$52,MATCH($A36,Costs_raw!$A$5:$A$52,0))</f>
        <v>9879.43</v>
      </c>
      <c r="I36" s="9">
        <f>INDEX(Costs_raw!$H$5:$H$52,MATCH($A36,Costs_raw!$A$5:$A$52,0))</f>
        <v>0.66746399999999995</v>
      </c>
      <c r="J36" t="s">
        <v>234</v>
      </c>
    </row>
    <row r="37" spans="1:10" x14ac:dyDescent="0.25">
      <c r="A37" t="s">
        <v>96</v>
      </c>
      <c r="B37" t="s">
        <v>95</v>
      </c>
      <c r="C37" s="9">
        <f>INDEX(Costs_raw!$B$5:$B$52,MATCH($A37,Costs_raw!$A$5:$A$52,0))</f>
        <v>0.73954600000000004</v>
      </c>
      <c r="D37" s="9">
        <f>INDEX(Costs_raw!$C$5:$C$52,MATCH($A37,Costs_raw!$A$5:$A$52,0))</f>
        <v>0.59927799999999998</v>
      </c>
      <c r="E37" s="9">
        <f>INDEX(Costs_raw!$D$5:$D$52,MATCH($A37,Costs_raw!$A$5:$A$52,0))</f>
        <v>0.55438299999999996</v>
      </c>
      <c r="F37" s="9">
        <f>INDEX(Costs_raw!$E$5:$E$52,MATCH($A37,Costs_raw!$A$5:$A$52,0))</f>
        <v>0.63246999999999998</v>
      </c>
      <c r="G37" s="9">
        <f>INDEX(Costs_raw!$F$5:$F$52,MATCH($A37,Costs_raw!$A$5:$A$52,0))</f>
        <v>0.58082500000000004</v>
      </c>
      <c r="H37" s="9">
        <f>INDEX(Costs_raw!$G$5:$G$52,MATCH($A37,Costs_raw!$A$5:$A$52,0))</f>
        <v>10392.9</v>
      </c>
      <c r="I37" s="9">
        <f>INDEX(Costs_raw!$H$5:$H$52,MATCH($A37,Costs_raw!$A$5:$A$52,0))</f>
        <v>0.70355999999999996</v>
      </c>
      <c r="J37" t="s">
        <v>234</v>
      </c>
    </row>
    <row r="38" spans="1:10" x14ac:dyDescent="0.25">
      <c r="A38" t="s">
        <v>98</v>
      </c>
      <c r="B38" t="s">
        <v>97</v>
      </c>
      <c r="C38" s="9">
        <f>INDEX(Costs_raw!$B$5:$B$52,MATCH($A38,Costs_raw!$A$5:$A$52,0))</f>
        <v>0.59877599999999997</v>
      </c>
      <c r="D38" s="9">
        <f>INDEX(Costs_raw!$C$5:$C$52,MATCH($A38,Costs_raw!$A$5:$A$52,0))</f>
        <v>0.484016</v>
      </c>
      <c r="E38" s="9">
        <f>INDEX(Costs_raw!$D$5:$D$52,MATCH($A38,Costs_raw!$A$5:$A$52,0))</f>
        <v>0.45193299999999997</v>
      </c>
      <c r="F38" s="9">
        <f>INDEX(Costs_raw!$E$5:$E$52,MATCH($A38,Costs_raw!$A$5:$A$52,0))</f>
        <v>0.51531300000000002</v>
      </c>
      <c r="G38" s="9">
        <f>INDEX(Costs_raw!$F$5:$F$52,MATCH($A38,Costs_raw!$A$5:$A$52,0))</f>
        <v>0.46943800000000002</v>
      </c>
      <c r="H38" s="9">
        <f>INDEX(Costs_raw!$G$5:$G$52,MATCH($A38,Costs_raw!$A$5:$A$52,0))</f>
        <v>8393.99</v>
      </c>
      <c r="I38" s="9">
        <f>INDEX(Costs_raw!$H$5:$H$52,MATCH($A38,Costs_raw!$A$5:$A$52,0))</f>
        <v>0.57269199999999998</v>
      </c>
      <c r="J38" t="s">
        <v>234</v>
      </c>
    </row>
    <row r="39" spans="1:10" x14ac:dyDescent="0.25">
      <c r="A39" t="s">
        <v>101</v>
      </c>
      <c r="B39" t="s">
        <v>100</v>
      </c>
      <c r="C39" s="9">
        <f>INDEX(Costs_raw!$B$5:$B$52,MATCH($A39,Costs_raw!$A$5:$A$52,0))</f>
        <v>0.893293</v>
      </c>
      <c r="D39" s="9">
        <f>INDEX(Costs_raw!$C$5:$C$52,MATCH($A39,Costs_raw!$A$5:$A$52,0))</f>
        <v>0.74332799999999999</v>
      </c>
      <c r="E39" s="9">
        <f>INDEX(Costs_raw!$D$5:$D$52,MATCH($A39,Costs_raw!$A$5:$A$52,0))</f>
        <v>0.68742400000000004</v>
      </c>
      <c r="F39" s="9">
        <f>INDEX(Costs_raw!$E$5:$E$52,MATCH($A39,Costs_raw!$A$5:$A$52,0))</f>
        <v>0.77821899999999999</v>
      </c>
      <c r="G39" s="9">
        <f>INDEX(Costs_raw!$F$5:$F$52,MATCH($A39,Costs_raw!$A$5:$A$52,0))</f>
        <v>0.71024900000000002</v>
      </c>
      <c r="H39" s="9">
        <f>INDEX(Costs_raw!$G$5:$G$52,MATCH($A39,Costs_raw!$A$5:$A$52,0))</f>
        <v>12891.1</v>
      </c>
      <c r="I39" s="9">
        <f>INDEX(Costs_raw!$H$5:$H$52,MATCH($A39,Costs_raw!$A$5:$A$52,0))</f>
        <v>0.86093799999999998</v>
      </c>
      <c r="J39" t="s">
        <v>234</v>
      </c>
    </row>
    <row r="40" spans="1:10" x14ac:dyDescent="0.25">
      <c r="A40" t="s">
        <v>104</v>
      </c>
      <c r="B40" t="s">
        <v>103</v>
      </c>
      <c r="C40" s="9">
        <f>INDEX(Costs_raw!$B$5:$B$52,MATCH($A40,Costs_raw!$A$5:$A$52,0))</f>
        <v>0.72199999999999998</v>
      </c>
      <c r="D40" s="9">
        <f>INDEX(Costs_raw!$C$5:$C$52,MATCH($A40,Costs_raw!$A$5:$A$52,0))</f>
        <v>0.60306300000000002</v>
      </c>
      <c r="E40" s="9">
        <f>INDEX(Costs_raw!$D$5:$D$52,MATCH($A40,Costs_raw!$A$5:$A$52,0))</f>
        <v>0.55906400000000001</v>
      </c>
      <c r="F40" s="9">
        <f>INDEX(Costs_raw!$E$5:$E$52,MATCH($A40,Costs_raw!$A$5:$A$52,0))</f>
        <v>0.63909400000000005</v>
      </c>
      <c r="G40" s="9">
        <f>INDEX(Costs_raw!$F$5:$F$52,MATCH($A40,Costs_raw!$A$5:$A$52,0))</f>
        <v>0.57584500000000005</v>
      </c>
      <c r="H40" s="9">
        <f>INDEX(Costs_raw!$G$5:$G$52,MATCH($A40,Costs_raw!$A$5:$A$52,0))</f>
        <v>10458.5</v>
      </c>
      <c r="I40" s="9">
        <f>INDEX(Costs_raw!$H$5:$H$52,MATCH($A40,Costs_raw!$A$5:$A$52,0))</f>
        <v>0.68548699999999996</v>
      </c>
      <c r="J40" t="s">
        <v>234</v>
      </c>
    </row>
    <row r="41" spans="1:10" x14ac:dyDescent="0.25">
      <c r="A41" t="s">
        <v>107</v>
      </c>
      <c r="B41" t="s">
        <v>106</v>
      </c>
      <c r="C41" s="9">
        <f>INDEX(Costs_raw!$B$5:$B$52,MATCH($A41,Costs_raw!$A$5:$A$52,0))</f>
        <v>0.70361200000000002</v>
      </c>
      <c r="D41" s="9">
        <f>INDEX(Costs_raw!$C$5:$C$52,MATCH($A41,Costs_raw!$A$5:$A$52,0))</f>
        <v>0.57365699999999997</v>
      </c>
      <c r="E41" s="9">
        <f>INDEX(Costs_raw!$D$5:$D$52,MATCH($A41,Costs_raw!$A$5:$A$52,0))</f>
        <v>0.53286599999999995</v>
      </c>
      <c r="F41" s="9">
        <f>INDEX(Costs_raw!$E$5:$E$52,MATCH($A41,Costs_raw!$A$5:$A$52,0))</f>
        <v>0.60979700000000003</v>
      </c>
      <c r="G41" s="9">
        <f>INDEX(Costs_raw!$F$5:$F$52,MATCH($A41,Costs_raw!$A$5:$A$52,0))</f>
        <v>0.56652499999999995</v>
      </c>
      <c r="H41" s="9">
        <f>INDEX(Costs_raw!$G$5:$G$52,MATCH($A41,Costs_raw!$A$5:$A$52,0))</f>
        <v>9948.56</v>
      </c>
      <c r="I41" s="9">
        <f>INDEX(Costs_raw!$H$5:$H$52,MATCH($A41,Costs_raw!$A$5:$A$52,0))</f>
        <v>0.663829</v>
      </c>
      <c r="J41" t="s">
        <v>234</v>
      </c>
    </row>
    <row r="42" spans="1:10" x14ac:dyDescent="0.25">
      <c r="A42" t="s">
        <v>109</v>
      </c>
      <c r="B42" t="s">
        <v>108</v>
      </c>
      <c r="C42" s="9">
        <f>INDEX(Costs_raw!$B$5:$B$52,MATCH($A42,Costs_raw!$A$5:$A$52,0))</f>
        <v>0.57616100000000003</v>
      </c>
      <c r="D42" s="9">
        <f>INDEX(Costs_raw!$C$5:$C$52,MATCH($A42,Costs_raw!$A$5:$A$52,0))</f>
        <v>0.46310400000000002</v>
      </c>
      <c r="E42" s="9">
        <f>INDEX(Costs_raw!$D$5:$D$52,MATCH($A42,Costs_raw!$A$5:$A$52,0))</f>
        <v>0.43327300000000002</v>
      </c>
      <c r="F42" s="9">
        <f>INDEX(Costs_raw!$E$5:$E$52,MATCH($A42,Costs_raw!$A$5:$A$52,0))</f>
        <v>0.49466599999999999</v>
      </c>
      <c r="G42" s="9">
        <f>INDEX(Costs_raw!$F$5:$F$52,MATCH($A42,Costs_raw!$A$5:$A$52,0))</f>
        <v>0.452544</v>
      </c>
      <c r="H42" s="9">
        <f>INDEX(Costs_raw!$G$5:$G$52,MATCH($A42,Costs_raw!$A$5:$A$52,0))</f>
        <v>8031.32</v>
      </c>
      <c r="I42" s="9">
        <f>INDEX(Costs_raw!$H$5:$H$52,MATCH($A42,Costs_raw!$A$5:$A$52,0))</f>
        <v>0.54894799999999999</v>
      </c>
      <c r="J42" t="s">
        <v>234</v>
      </c>
    </row>
    <row r="43" spans="1:10" x14ac:dyDescent="0.25">
      <c r="A43" t="s">
        <v>112</v>
      </c>
      <c r="B43" t="s">
        <v>111</v>
      </c>
      <c r="C43" s="9">
        <f>INDEX(Costs_raw!$B$5:$B$52,MATCH($A43,Costs_raw!$A$5:$A$52,0))</f>
        <v>0.848858</v>
      </c>
      <c r="D43" s="9">
        <f>INDEX(Costs_raw!$C$5:$C$52,MATCH($A43,Costs_raw!$A$5:$A$52,0))</f>
        <v>0.68609399999999998</v>
      </c>
      <c r="E43" s="9">
        <f>INDEX(Costs_raw!$D$5:$D$52,MATCH($A43,Costs_raw!$A$5:$A$52,0))</f>
        <v>0.62992499999999996</v>
      </c>
      <c r="F43" s="9">
        <f>INDEX(Costs_raw!$E$5:$E$52,MATCH($A43,Costs_raw!$A$5:$A$52,0))</f>
        <v>0.71952799999999995</v>
      </c>
      <c r="G43" s="9">
        <f>INDEX(Costs_raw!$F$5:$F$52,MATCH($A43,Costs_raw!$A$5:$A$52,0))</f>
        <v>0.656667</v>
      </c>
      <c r="H43" s="9">
        <f>INDEX(Costs_raw!$G$5:$G$52,MATCH($A43,Costs_raw!$A$5:$A$52,0))</f>
        <v>11898.5</v>
      </c>
      <c r="I43" s="9">
        <f>INDEX(Costs_raw!$H$5:$H$52,MATCH($A43,Costs_raw!$A$5:$A$52,0))</f>
        <v>0.80213100000000004</v>
      </c>
      <c r="J43" t="s">
        <v>234</v>
      </c>
    </row>
    <row r="44" spans="1:10" x14ac:dyDescent="0.25">
      <c r="A44" t="s">
        <v>115</v>
      </c>
      <c r="B44" t="s">
        <v>114</v>
      </c>
      <c r="C44" s="9">
        <f>INDEX(Costs_raw!$B$5:$B$52,MATCH($A44,Costs_raw!$A$5:$A$52,0))</f>
        <v>0.64455799999999996</v>
      </c>
      <c r="D44" s="9">
        <f>INDEX(Costs_raw!$C$5:$C$52,MATCH($A44,Costs_raw!$A$5:$A$52,0))</f>
        <v>0.521038</v>
      </c>
      <c r="E44" s="9">
        <f>INDEX(Costs_raw!$D$5:$D$52,MATCH($A44,Costs_raw!$A$5:$A$52,0))</f>
        <v>0.48461399999999999</v>
      </c>
      <c r="F44" s="9">
        <f>INDEX(Costs_raw!$E$5:$E$52,MATCH($A44,Costs_raw!$A$5:$A$52,0))</f>
        <v>0.55274000000000001</v>
      </c>
      <c r="G44" s="9">
        <f>INDEX(Costs_raw!$F$5:$F$52,MATCH($A44,Costs_raw!$A$5:$A$52,0))</f>
        <v>0.50386799999999998</v>
      </c>
      <c r="H44" s="9">
        <f>INDEX(Costs_raw!$G$5:$G$52,MATCH($A44,Costs_raw!$A$5:$A$52,0))</f>
        <v>9036.0300000000007</v>
      </c>
      <c r="I44" s="9">
        <f>INDEX(Costs_raw!$H$5:$H$52,MATCH($A44,Costs_raw!$A$5:$A$52,0))</f>
        <v>0.61472599999999999</v>
      </c>
      <c r="J44" t="s">
        <v>234</v>
      </c>
    </row>
    <row r="45" spans="1:10" x14ac:dyDescent="0.25">
      <c r="A45" t="s">
        <v>118</v>
      </c>
      <c r="B45" t="s">
        <v>117</v>
      </c>
      <c r="C45" s="9">
        <f>INDEX(Costs_raw!$B$5:$B$52,MATCH($A45,Costs_raw!$A$5:$A$52,0))</f>
        <v>0.50247399999999998</v>
      </c>
      <c r="D45" s="9">
        <f>INDEX(Costs_raw!$C$5:$C$52,MATCH($A45,Costs_raw!$A$5:$A$52,0))</f>
        <v>0.40358300000000003</v>
      </c>
      <c r="E45" s="9">
        <f>INDEX(Costs_raw!$D$5:$D$52,MATCH($A45,Costs_raw!$A$5:$A$52,0))</f>
        <v>0.380361</v>
      </c>
      <c r="F45" s="9">
        <f>INDEX(Costs_raw!$E$5:$E$52,MATCH($A45,Costs_raw!$A$5:$A$52,0))</f>
        <v>0.43382599999999999</v>
      </c>
      <c r="G45" s="9">
        <f>INDEX(Costs_raw!$F$5:$F$52,MATCH($A45,Costs_raw!$A$5:$A$52,0))</f>
        <v>0.39857399999999998</v>
      </c>
      <c r="H45" s="9">
        <f>INDEX(Costs_raw!$G$5:$G$52,MATCH($A45,Costs_raw!$A$5:$A$52,0))</f>
        <v>6999.08</v>
      </c>
      <c r="I45" s="9">
        <f>INDEX(Costs_raw!$H$5:$H$52,MATCH($A45,Costs_raw!$A$5:$A$52,0))</f>
        <v>0.48136699999999999</v>
      </c>
      <c r="J45" t="s">
        <v>234</v>
      </c>
    </row>
    <row r="46" spans="1:10" x14ac:dyDescent="0.25">
      <c r="A46" t="s">
        <v>121</v>
      </c>
      <c r="B46" t="s">
        <v>120</v>
      </c>
      <c r="C46" s="9">
        <f>INDEX(Costs_raw!$B$5:$B$52,MATCH($A46,Costs_raw!$A$5:$A$52,0))</f>
        <v>0.69834700000000005</v>
      </c>
      <c r="D46" s="9">
        <f>INDEX(Costs_raw!$C$5:$C$52,MATCH($A46,Costs_raw!$A$5:$A$52,0))</f>
        <v>0.57411999999999996</v>
      </c>
      <c r="E46" s="9">
        <f>INDEX(Costs_raw!$D$5:$D$52,MATCH($A46,Costs_raw!$A$5:$A$52,0))</f>
        <v>0.53321600000000002</v>
      </c>
      <c r="F46" s="9">
        <f>INDEX(Costs_raw!$E$5:$E$52,MATCH($A46,Costs_raw!$A$5:$A$52,0))</f>
        <v>0.60819999999999996</v>
      </c>
      <c r="G46" s="9">
        <f>INDEX(Costs_raw!$F$5:$F$52,MATCH($A46,Costs_raw!$A$5:$A$52,0))</f>
        <v>0.55343900000000001</v>
      </c>
      <c r="H46" s="9">
        <f>INDEX(Costs_raw!$G$5:$G$52,MATCH($A46,Costs_raw!$A$5:$A$52,0))</f>
        <v>9956.6</v>
      </c>
      <c r="I46" s="9">
        <f>INDEX(Costs_raw!$H$5:$H$52,MATCH($A46,Costs_raw!$A$5:$A$52,0))</f>
        <v>0.67499600000000004</v>
      </c>
      <c r="J46" t="s">
        <v>234</v>
      </c>
    </row>
    <row r="47" spans="1:10" x14ac:dyDescent="0.25">
      <c r="A47" t="s">
        <v>124</v>
      </c>
      <c r="B47" t="s">
        <v>123</v>
      </c>
      <c r="C47" s="9">
        <f>INDEX(Costs_raw!$B$5:$B$52,MATCH($A47,Costs_raw!$A$5:$A$52,0))</f>
        <v>0.61176699999999995</v>
      </c>
      <c r="D47" s="9">
        <f>INDEX(Costs_raw!$C$5:$C$52,MATCH($A47,Costs_raw!$A$5:$A$52,0))</f>
        <v>0.49666100000000002</v>
      </c>
      <c r="E47" s="9">
        <f>INDEX(Costs_raw!$D$5:$D$52,MATCH($A47,Costs_raw!$A$5:$A$52,0))</f>
        <v>0.46340799999999999</v>
      </c>
      <c r="F47" s="9">
        <f>INDEX(Costs_raw!$E$5:$E$52,MATCH($A47,Costs_raw!$A$5:$A$52,0))</f>
        <v>0.52952399999999999</v>
      </c>
      <c r="G47" s="9">
        <f>INDEX(Costs_raw!$F$5:$F$52,MATCH($A47,Costs_raw!$A$5:$A$52,0))</f>
        <v>0.48416900000000002</v>
      </c>
      <c r="H47" s="9">
        <f>INDEX(Costs_raw!$G$5:$G$52,MATCH($A47,Costs_raw!$A$5:$A$52,0))</f>
        <v>8613.27</v>
      </c>
      <c r="I47" s="9">
        <f>INDEX(Costs_raw!$H$5:$H$52,MATCH($A47,Costs_raw!$A$5:$A$52,0))</f>
        <v>0.58704800000000001</v>
      </c>
      <c r="J47" t="s">
        <v>234</v>
      </c>
    </row>
    <row r="48" spans="1:10" x14ac:dyDescent="0.25">
      <c r="A48" t="s">
        <v>127</v>
      </c>
      <c r="B48" t="s">
        <v>126</v>
      </c>
      <c r="C48" s="9">
        <f>INDEX(Costs_raw!$B$5:$B$52,MATCH($A48,Costs_raw!$A$5:$A$52,0))</f>
        <v>0.70402600000000004</v>
      </c>
      <c r="D48" s="9">
        <f>INDEX(Costs_raw!$C$5:$C$52,MATCH($A48,Costs_raw!$A$5:$A$52,0))</f>
        <v>0.58419600000000005</v>
      </c>
      <c r="E48" s="9">
        <f>INDEX(Costs_raw!$D$5:$D$52,MATCH($A48,Costs_raw!$A$5:$A$52,0))</f>
        <v>0.54230500000000004</v>
      </c>
      <c r="F48" s="9">
        <f>INDEX(Costs_raw!$E$5:$E$52,MATCH($A48,Costs_raw!$A$5:$A$52,0))</f>
        <v>0.62104800000000004</v>
      </c>
      <c r="G48" s="9">
        <f>INDEX(Costs_raw!$F$5:$F$52,MATCH($A48,Costs_raw!$A$5:$A$52,0))</f>
        <v>0.56791499999999995</v>
      </c>
      <c r="H48" s="9">
        <f>INDEX(Costs_raw!$G$5:$G$52,MATCH($A48,Costs_raw!$A$5:$A$52,0))</f>
        <v>10131.299999999999</v>
      </c>
      <c r="I48" s="9">
        <f>INDEX(Costs_raw!$H$5:$H$52,MATCH($A48,Costs_raw!$A$5:$A$52,0))</f>
        <v>0.67054400000000003</v>
      </c>
      <c r="J48" t="s">
        <v>234</v>
      </c>
    </row>
    <row r="49" spans="1:10" x14ac:dyDescent="0.25">
      <c r="A49" t="s">
        <v>130</v>
      </c>
      <c r="B49" t="s">
        <v>129</v>
      </c>
      <c r="C49" s="9">
        <f>INDEX(Costs_raw!$B$5:$B$52,MATCH($A49,Costs_raw!$A$5:$A$52,0))</f>
        <v>0.87146599999999996</v>
      </c>
      <c r="D49" s="9">
        <f>INDEX(Costs_raw!$C$5:$C$52,MATCH($A49,Costs_raw!$A$5:$A$52,0))</f>
        <v>0.72115499999999999</v>
      </c>
      <c r="E49" s="9">
        <f>INDEX(Costs_raw!$D$5:$D$52,MATCH($A49,Costs_raw!$A$5:$A$52,0))</f>
        <v>0.672906</v>
      </c>
      <c r="F49" s="9">
        <f>INDEX(Costs_raw!$E$5:$E$52,MATCH($A49,Costs_raw!$A$5:$A$52,0))</f>
        <v>0.76282000000000005</v>
      </c>
      <c r="G49" s="9">
        <f>INDEX(Costs_raw!$F$5:$F$52,MATCH($A49,Costs_raw!$A$5:$A$52,0))</f>
        <v>0.69185799999999997</v>
      </c>
      <c r="H49" s="9">
        <f>INDEX(Costs_raw!$G$5:$G$52,MATCH($A49,Costs_raw!$A$5:$A$52,0))</f>
        <v>12506.5</v>
      </c>
      <c r="I49" s="9">
        <f>INDEX(Costs_raw!$H$5:$H$52,MATCH($A49,Costs_raw!$A$5:$A$52,0))</f>
        <v>0.84193899999999999</v>
      </c>
      <c r="J49" t="s">
        <v>234</v>
      </c>
    </row>
    <row r="50" spans="1:10" x14ac:dyDescent="0.25">
      <c r="A50" t="s">
        <v>133</v>
      </c>
      <c r="B50" t="s">
        <v>132</v>
      </c>
      <c r="C50" s="9">
        <f>INDEX(Costs_raw!$B$5:$B$52,MATCH($A50,Costs_raw!$A$5:$A$52,0))</f>
        <v>0.73285999999999996</v>
      </c>
      <c r="D50" s="9">
        <f>INDEX(Costs_raw!$C$5:$C$52,MATCH($A50,Costs_raw!$A$5:$A$52,0))</f>
        <v>0.59058299999999997</v>
      </c>
      <c r="E50" s="9">
        <f>INDEX(Costs_raw!$D$5:$D$52,MATCH($A50,Costs_raw!$A$5:$A$52,0))</f>
        <v>0.54707700000000004</v>
      </c>
      <c r="F50" s="9">
        <f>INDEX(Costs_raw!$E$5:$E$52,MATCH($A50,Costs_raw!$A$5:$A$52,0))</f>
        <v>0.62410500000000002</v>
      </c>
      <c r="G50" s="9">
        <f>INDEX(Costs_raw!$F$5:$F$52,MATCH($A50,Costs_raw!$A$5:$A$52,0))</f>
        <v>0.57438800000000001</v>
      </c>
      <c r="H50" s="9">
        <f>INDEX(Costs_raw!$G$5:$G$52,MATCH($A50,Costs_raw!$A$5:$A$52,0))</f>
        <v>10242.1</v>
      </c>
      <c r="I50" s="9">
        <f>INDEX(Costs_raw!$H$5:$H$52,MATCH($A50,Costs_raw!$A$5:$A$52,0))</f>
        <v>0.69368799999999997</v>
      </c>
      <c r="J50" t="s">
        <v>234</v>
      </c>
    </row>
    <row r="51" spans="1:10" x14ac:dyDescent="0.25">
      <c r="A51" t="s">
        <v>136</v>
      </c>
      <c r="B51" t="s">
        <v>135</v>
      </c>
      <c r="C51" s="9">
        <f>INDEX(Costs_raw!$B$5:$B$52,MATCH($A51,Costs_raw!$A$5:$A$52,0))</f>
        <v>0.62737200000000004</v>
      </c>
      <c r="D51" s="9">
        <f>INDEX(Costs_raw!$C$5:$C$52,MATCH($A51,Costs_raw!$A$5:$A$52,0))</f>
        <v>0.50315699999999997</v>
      </c>
      <c r="E51" s="9">
        <f>INDEX(Costs_raw!$D$5:$D$52,MATCH($A51,Costs_raw!$A$5:$A$52,0))</f>
        <v>0.47134700000000002</v>
      </c>
      <c r="F51" s="9">
        <f>INDEX(Costs_raw!$E$5:$E$52,MATCH($A51,Costs_raw!$A$5:$A$52,0))</f>
        <v>0.53744199999999998</v>
      </c>
      <c r="G51" s="9">
        <f>INDEX(Costs_raw!$F$5:$F$52,MATCH($A51,Costs_raw!$A$5:$A$52,0))</f>
        <v>0.49127599999999999</v>
      </c>
      <c r="H51" s="9">
        <f>INDEX(Costs_raw!$G$5:$G$52,MATCH($A51,Costs_raw!$A$5:$A$52,0))</f>
        <v>8725.93</v>
      </c>
      <c r="I51" s="9">
        <f>INDEX(Costs_raw!$H$5:$H$52,MATCH($A51,Costs_raw!$A$5:$A$52,0))</f>
        <v>0.59442399999999995</v>
      </c>
      <c r="J51" t="s">
        <v>234</v>
      </c>
    </row>
    <row r="52" spans="1:10" x14ac:dyDescent="0.25">
      <c r="A52" t="s">
        <v>139</v>
      </c>
      <c r="B52" t="s">
        <v>138</v>
      </c>
      <c r="C52" s="9">
        <f>INDEX(Costs_raw!$B$5:$B$52,MATCH($A52,Costs_raw!$A$5:$A$52,0))</f>
        <v>0.76383999999999996</v>
      </c>
      <c r="D52" s="9">
        <f>INDEX(Costs_raw!$C$5:$C$52,MATCH($A52,Costs_raw!$A$5:$A$52,0))</f>
        <v>0.62063299999999999</v>
      </c>
      <c r="E52" s="9">
        <f>INDEX(Costs_raw!$D$5:$D$52,MATCH($A52,Costs_raw!$A$5:$A$52,0))</f>
        <v>0.57182900000000003</v>
      </c>
      <c r="F52" s="9">
        <f>INDEX(Costs_raw!$E$5:$E$52,MATCH($A52,Costs_raw!$A$5:$A$52,0))</f>
        <v>0.652617</v>
      </c>
      <c r="G52" s="9">
        <f>INDEX(Costs_raw!$F$5:$F$52,MATCH($A52,Costs_raw!$A$5:$A$52,0))</f>
        <v>0.59561600000000003</v>
      </c>
      <c r="H52" s="9">
        <f>INDEX(Costs_raw!$G$5:$G$52,MATCH($A52,Costs_raw!$A$5:$A$52,0))</f>
        <v>10763.2</v>
      </c>
      <c r="I52" s="9">
        <f>INDEX(Costs_raw!$H$5:$H$52,MATCH($A52,Costs_raw!$A$5:$A$52,0))</f>
        <v>0.72780699999999998</v>
      </c>
      <c r="J52" t="s">
        <v>234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Y59"/>
  <sheetViews>
    <sheetView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8" customWidth="1"/>
    <col min="3" max="51" width="13" customWidth="1"/>
  </cols>
  <sheetData>
    <row r="1" spans="1:51" ht="17.25" x14ac:dyDescent="0.3">
      <c r="A1" s="5" t="s">
        <v>235</v>
      </c>
    </row>
    <row r="2" spans="1:51" x14ac:dyDescent="0.25">
      <c r="A2" s="3" t="s">
        <v>236</v>
      </c>
    </row>
    <row r="3" spans="1:51" x14ac:dyDescent="0.25">
      <c r="A3" s="3" t="s">
        <v>237</v>
      </c>
    </row>
    <row r="5" spans="1:51" ht="45" x14ac:dyDescent="0.25">
      <c r="A5" s="10" t="s">
        <v>3</v>
      </c>
      <c r="B5" s="10" t="s">
        <v>2</v>
      </c>
      <c r="C5" s="10" t="s">
        <v>238</v>
      </c>
      <c r="D5" s="10" t="s">
        <v>239</v>
      </c>
      <c r="E5" s="10" t="s">
        <v>240</v>
      </c>
      <c r="F5" s="10" t="s">
        <v>241</v>
      </c>
      <c r="G5" s="10" t="s">
        <v>242</v>
      </c>
      <c r="I5" s="10" t="s">
        <v>243</v>
      </c>
      <c r="J5" s="10" t="s">
        <v>244</v>
      </c>
      <c r="K5" s="10" t="s">
        <v>245</v>
      </c>
      <c r="L5" s="10" t="s">
        <v>246</v>
      </c>
      <c r="M5" s="10" t="s">
        <v>247</v>
      </c>
      <c r="N5" s="10" t="s">
        <v>248</v>
      </c>
      <c r="O5" s="10" t="s">
        <v>249</v>
      </c>
      <c r="P5" s="10" t="s">
        <v>250</v>
      </c>
      <c r="Q5" s="10" t="s">
        <v>251</v>
      </c>
      <c r="R5" s="10" t="s">
        <v>252</v>
      </c>
      <c r="S5" s="10" t="s">
        <v>253</v>
      </c>
      <c r="T5" s="10" t="s">
        <v>254</v>
      </c>
      <c r="U5" s="10" t="s">
        <v>255</v>
      </c>
      <c r="V5" s="10" t="s">
        <v>256</v>
      </c>
      <c r="W5" s="10" t="s">
        <v>257</v>
      </c>
      <c r="X5" s="10" t="s">
        <v>258</v>
      </c>
      <c r="Y5" s="10" t="s">
        <v>259</v>
      </c>
      <c r="Z5" s="10" t="s">
        <v>260</v>
      </c>
      <c r="AA5" s="10" t="s">
        <v>261</v>
      </c>
      <c r="AB5" s="10" t="s">
        <v>262</v>
      </c>
      <c r="AC5" s="10" t="s">
        <v>263</v>
      </c>
      <c r="AD5" s="10" t="s">
        <v>264</v>
      </c>
      <c r="AF5" s="10" t="s">
        <v>265</v>
      </c>
      <c r="AG5" s="10" t="s">
        <v>266</v>
      </c>
      <c r="AH5" s="10" t="s">
        <v>267</v>
      </c>
      <c r="AI5" s="10" t="s">
        <v>268</v>
      </c>
      <c r="AJ5" s="10" t="s">
        <v>269</v>
      </c>
      <c r="AK5" s="10" t="s">
        <v>270</v>
      </c>
      <c r="AL5" s="10" t="s">
        <v>271</v>
      </c>
      <c r="AM5" s="10" t="s">
        <v>272</v>
      </c>
      <c r="AN5" s="10" t="s">
        <v>273</v>
      </c>
      <c r="AO5" s="10" t="s">
        <v>274</v>
      </c>
      <c r="AP5" s="10" t="s">
        <v>275</v>
      </c>
      <c r="AQ5" s="10" t="s">
        <v>276</v>
      </c>
      <c r="AR5" s="10" t="s">
        <v>277</v>
      </c>
      <c r="AS5" s="10" t="s">
        <v>278</v>
      </c>
      <c r="AT5" s="10" t="s">
        <v>279</v>
      </c>
      <c r="AU5" s="10" t="s">
        <v>280</v>
      </c>
      <c r="AV5" s="10" t="s">
        <v>281</v>
      </c>
      <c r="AW5" s="10" t="s">
        <v>282</v>
      </c>
      <c r="AX5" s="10" t="s">
        <v>283</v>
      </c>
      <c r="AY5" s="10" t="s">
        <v>284</v>
      </c>
    </row>
    <row r="6" spans="1:51" x14ac:dyDescent="0.25">
      <c r="A6" t="s">
        <v>5</v>
      </c>
      <c r="B6" t="s">
        <v>1</v>
      </c>
      <c r="C6" s="11">
        <f>INDEX(Alliance_2025!$H$5:$H$56,MATCH($A6,Alliance_2025!$A$5:$A$56,0))</f>
        <v>3.04E-2</v>
      </c>
      <c r="D6" s="11">
        <f>INDEX(Alliance_2025!$G$5:$G$56,MATCH($A6,Alliance_2025!$A$5:$A$56,0))</f>
        <v>5.7999999999999996E-3</v>
      </c>
      <c r="E6" s="11">
        <f>INDEX(Alliance_2025!$I$5:$I$56,MATCH($A6,Alliance_2025!$A$5:$A$56,0))</f>
        <v>0</v>
      </c>
      <c r="F6" s="11">
        <f t="shared" ref="F6:F53" si="0">C6+D6+E6</f>
        <v>3.6199999999999996E-2</v>
      </c>
      <c r="G6">
        <f>Keys!$C$4</f>
        <v>-8</v>
      </c>
      <c r="I6" s="12">
        <f>IF(INDEX(Costs_BAU!$E$5:$E$52,MATCH($A6,Costs_BAU!$A$5:$A$52,0))&gt;Keys!$C$5,0,Keys!$C$6*EXP($G6*INDEX(Costs_BAU!$E$5:$E$52,MATCH($A6,Costs_BAU!$A$5:$A$52,0))))</f>
        <v>3.7838960731045639E-2</v>
      </c>
      <c r="J6" s="12">
        <f>IF(INDEX(Costs_BAU!$F$5:$F$52,MATCH($A6,Costs_BAU!$A$5:$A$52,0))&gt;Keys!$C$5,0,Keys!$C$7*EXP($G6*INDEX(Costs_BAU!$F$5:$F$52,MATCH($A6,Costs_BAU!$A$5:$A$52,0))))</f>
        <v>1.6036979160358722E-3</v>
      </c>
      <c r="K6" s="12">
        <f>IF(INDEX(Costs_BAU!$D$5:$D$52,MATCH($A6,Costs_BAU!$A$5:$A$52,0))&gt;Keys!$C$5,0,Keys!$C$8*EXP($G6*INDEX(Costs_BAU!$D$5:$D$52,MATCH($A6,Costs_BAU!$A$5:$A$52,0))))</f>
        <v>3.0687340091387761E-6</v>
      </c>
      <c r="L6" s="12">
        <f>IF(INDEX(Costs_BAU!$H$5:$H$52,MATCH($A6,Costs_BAU!$A$5:$A$52,0))&gt;Keys!$C$5,0,Keys!$C$9*EXP($G6*INDEX(Costs_BAU!$H$5:$H$52,MATCH($A6,Costs_BAU!$A$5:$A$52,0))))</f>
        <v>0</v>
      </c>
      <c r="M6" s="12">
        <f t="shared" ref="M6:M53" si="1">SUM(I6:L6)</f>
        <v>3.9445727381090652E-2</v>
      </c>
      <c r="N6" s="12">
        <f t="shared" ref="N6:N53" si="2">M6/(1-F6)</f>
        <v>4.0927295477371499E-2</v>
      </c>
      <c r="O6" s="13">
        <f>$C6*$N6*EXP(-$G6*INDEX(Costs_BAU!$C$5:$C$52,MATCH($A6,Costs_BAU!$A$5:$A$52,0)))</f>
        <v>9.890467831226582E-2</v>
      </c>
      <c r="P6" s="13">
        <f>$D6*$N6*EXP(-$G6*INDEX(Costs_BAU!$G$5:$G$52,MATCH($A6,Costs_BAU!$A$5:$A$52,0)))</f>
        <v>7.3484679558055294E-3</v>
      </c>
      <c r="Q6" s="13">
        <f>$E6*$N6*EXP(-$G6*INDEX(Costs_BAU!$I$5:$I$52,MATCH($A6,Costs_BAU!$A$5:$A$52,0)))</f>
        <v>0</v>
      </c>
      <c r="R6" s="14">
        <f>MAX(Keys!$C$15,O6,P6,Q6)</f>
        <v>1</v>
      </c>
      <c r="S6" s="13">
        <f t="shared" ref="S6:S53" si="3">O6/$R6</f>
        <v>9.890467831226582E-2</v>
      </c>
      <c r="T6" s="13">
        <f t="shared" ref="T6:T53" si="4">P6/$R6</f>
        <v>7.3484679558055294E-3</v>
      </c>
      <c r="U6" s="13">
        <f t="shared" ref="U6:U53" si="5">Q6/$R6</f>
        <v>0</v>
      </c>
      <c r="V6" s="13">
        <f>Keys!$C$6/$R6</f>
        <v>1</v>
      </c>
      <c r="W6" s="13">
        <f>Keys!$C$7/$R6</f>
        <v>6.7382959534800002E-2</v>
      </c>
      <c r="X6" s="13">
        <f>Keys!$C$8/$R6</f>
        <v>1.00970167475E-4</v>
      </c>
      <c r="Y6" s="13">
        <f>Keys!$C$9/$R6</f>
        <v>0</v>
      </c>
      <c r="Z6" s="11">
        <f>S6*EXP($G6*INDEX(Costs_BAU!$C$5:$C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3.0399999999999996E-2</v>
      </c>
      <c r="AA6" s="11">
        <f>T6*EXP($G6*INDEX(Costs_BAU!$G$5:$G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5.8000000000000005E-3</v>
      </c>
      <c r="AB6" s="11">
        <f>U6*EXP($G6*INDEX(Costs_BAU!$I$5:$I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0</v>
      </c>
      <c r="AC6" s="15">
        <f t="shared" ref="AC6:AC53" si="6">MAX(ABS(Z6-C6),ABS(AA6-D6),ABS(AB6-E6))</f>
        <v>3.4694469519536142E-18</v>
      </c>
      <c r="AD6" t="str">
        <f>IF(AC6&gt;Keys!$C$14,"SHARE MISMATCH",IF(ABS(MAX(S6:Y6)-Keys!$C$15)&gt;Keys!$C$14,"MAX WEIGHT &lt;&gt; 1",IF(R6&gt;Keys!$C$15,"ok (rescaled)","ok")))</f>
        <v>ok</v>
      </c>
      <c r="AF6" s="2">
        <v>1</v>
      </c>
      <c r="AG6" s="2">
        <f t="shared" ref="AG6:AG53" si="7">IF(O6&gt;0,LOG10(O6),"")</f>
        <v>-1.0047831652567294</v>
      </c>
      <c r="AH6" s="2">
        <f t="shared" ref="AH6:AH53" si="8">IF(P6&gt;0,LOG10(P6),"")</f>
        <v>-2.1338031952958643</v>
      </c>
      <c r="AI6" s="2" t="str">
        <f t="shared" ref="AI6:AI53" si="9">IF(Q6&gt;0,LOG10(Q6),"")</f>
        <v/>
      </c>
      <c r="AJ6" s="9">
        <f t="shared" ref="AJ6:AJ53" si="10">IFERROR(10^AVERAGEIF($AF$6:$AF$53,AF6,$AG$6:$AG$53),0)</f>
        <v>9.2125264583003991E-2</v>
      </c>
      <c r="AK6" s="9">
        <f t="shared" ref="AK6:AK53" si="11">IFERROR(10^AVERAGEIF($AF$6:$AF$53,AF6,$AH$6:$AH$53),0)</f>
        <v>9.8662431120855477E-3</v>
      </c>
      <c r="AL6" s="9">
        <f t="shared" ref="AL6:AL53" si="12">IFERROR(10^AVERAGEIF($AF$6:$AF$53,AF6,$AI$6:$AI$53),0)</f>
        <v>0</v>
      </c>
      <c r="AM6" s="16">
        <f t="shared" ref="AM6:AM53" si="13">MAX(1,AJ6,AK6,AL6)</f>
        <v>1</v>
      </c>
      <c r="AN6" s="9">
        <f t="shared" ref="AN6:AN53" si="14">AJ6/AM6</f>
        <v>9.2125264583003991E-2</v>
      </c>
      <c r="AO6" s="9">
        <f t="shared" ref="AO6:AO53" si="15">AK6/AM6</f>
        <v>9.8662431120855477E-3</v>
      </c>
      <c r="AP6" s="9">
        <f t="shared" ref="AP6:AP53" si="16">AL6/AM6</f>
        <v>0</v>
      </c>
      <c r="AQ6" s="9">
        <f>Keys!$C$6/AM6</f>
        <v>1</v>
      </c>
      <c r="AR6" s="9">
        <f>Keys!$C$7/AM6</f>
        <v>6.7382959534800002E-2</v>
      </c>
      <c r="AS6" s="9">
        <f>Keys!$C$8/AM6</f>
        <v>1.00970167475E-4</v>
      </c>
      <c r="AT6" s="9">
        <f>Keys!$C$9/AM6</f>
        <v>0</v>
      </c>
      <c r="AU6" s="11">
        <f>AN6*EXP($G6*INDEX(Costs_BAU!$C$5:$C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2.8318968080544005E-2</v>
      </c>
      <c r="AV6" s="11">
        <f>AO6*EXP($G6*INDEX(Costs_BAU!$G$5:$G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7.7879818089953076E-3</v>
      </c>
      <c r="AW6" s="11">
        <f>AP6*EXP($G6*INDEX(Costs_BAU!$I$5:$I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0</v>
      </c>
      <c r="AX6" s="11">
        <f t="shared" ref="AX6:AX53" si="17">AU6+AV6+AW6</f>
        <v>3.6106949889539317E-2</v>
      </c>
      <c r="AY6" s="17">
        <f t="shared" ref="AY6:AY53" si="18">(AX6-$F6)*100</f>
        <v>-9.3050110460679569E-3</v>
      </c>
    </row>
    <row r="7" spans="1:51" x14ac:dyDescent="0.25">
      <c r="A7" t="s">
        <v>7</v>
      </c>
      <c r="B7" t="s">
        <v>6</v>
      </c>
      <c r="C7" s="11">
        <f>INDEX(Alliance_2025!$H$5:$H$56,MATCH($A7,Alliance_2025!$A$5:$A$56,0))</f>
        <v>2.0299999999999999E-2</v>
      </c>
      <c r="D7" s="11">
        <f>INDEX(Alliance_2025!$G$5:$G$56,MATCH($A7,Alliance_2025!$A$5:$A$56,0))</f>
        <v>5.4000000000000003E-3</v>
      </c>
      <c r="E7" s="11">
        <f>INDEX(Alliance_2025!$I$5:$I$56,MATCH($A7,Alliance_2025!$A$5:$A$56,0))</f>
        <v>0</v>
      </c>
      <c r="F7" s="11">
        <f t="shared" si="0"/>
        <v>2.5700000000000001E-2</v>
      </c>
      <c r="G7">
        <f>Keys!$C$4</f>
        <v>-8</v>
      </c>
      <c r="I7" s="12">
        <f>IF(INDEX(Costs_BAU!$E$5:$E$52,MATCH($A7,Costs_BAU!$A$5:$A$52,0))&gt;Keys!$C$5,0,Keys!$C$6*EXP($G7*INDEX(Costs_BAU!$E$5:$E$52,MATCH($A7,Costs_BAU!$A$5:$A$52,0))))</f>
        <v>1.6210242231641945E-2</v>
      </c>
      <c r="J7" s="12">
        <f>IF(INDEX(Costs_BAU!$F$5:$F$52,MATCH($A7,Costs_BAU!$A$5:$A$52,0))&gt;Keys!$C$5,0,Keys!$C$7*EXP($G7*INDEX(Costs_BAU!$F$5:$F$52,MATCH($A7,Costs_BAU!$A$5:$A$52,0))))</f>
        <v>6.0850397145744946E-4</v>
      </c>
      <c r="K7" s="12">
        <f>IF(INDEX(Costs_BAU!$D$5:$D$52,MATCH($A7,Costs_BAU!$A$5:$A$52,0))&gt;Keys!$C$5,0,Keys!$C$8*EXP($G7*INDEX(Costs_BAU!$D$5:$D$52,MATCH($A7,Costs_BAU!$A$5:$A$52,0))))</f>
        <v>1.1643105411716729E-6</v>
      </c>
      <c r="L7" s="12">
        <f>IF(INDEX(Costs_BAU!$H$5:$H$52,MATCH($A7,Costs_BAU!$A$5:$A$52,0))&gt;Keys!$C$5,0,Keys!$C$9*EXP($G7*INDEX(Costs_BAU!$H$5:$H$52,MATCH($A7,Costs_BAU!$A$5:$A$52,0))))</f>
        <v>0</v>
      </c>
      <c r="M7" s="12">
        <f t="shared" si="1"/>
        <v>1.6819910513640565E-2</v>
      </c>
      <c r="N7" s="12">
        <f t="shared" si="2"/>
        <v>1.7263584638859249E-2</v>
      </c>
      <c r="O7" s="13">
        <f>$C7*$N7*EXP(-$G7*INDEX(Costs_BAU!$C$5:$C$52,MATCH($A7,Costs_BAU!$A$5:$A$52,0)))</f>
        <v>8.7380570801963209E-2</v>
      </c>
      <c r="P7" s="13">
        <f>$D7*$N7*EXP(-$G7*INDEX(Costs_BAU!$G$5:$G$52,MATCH($A7,Costs_BAU!$A$5:$A$52,0)))</f>
        <v>6.8502354464925926E-3</v>
      </c>
      <c r="Q7" s="13">
        <f>$E7*$N7*EXP(-$G7*INDEX(Costs_BAU!$I$5:$I$52,MATCH($A7,Costs_BAU!$A$5:$A$52,0)))</f>
        <v>0</v>
      </c>
      <c r="R7" s="14">
        <f>MAX(Keys!$C$15,O7,P7,Q7)</f>
        <v>1</v>
      </c>
      <c r="S7" s="13">
        <f t="shared" si="3"/>
        <v>8.7380570801963209E-2</v>
      </c>
      <c r="T7" s="13">
        <f t="shared" si="4"/>
        <v>6.8502354464925926E-3</v>
      </c>
      <c r="U7" s="13">
        <f t="shared" si="5"/>
        <v>0</v>
      </c>
      <c r="V7" s="13">
        <f>Keys!$C$6/$R7</f>
        <v>1</v>
      </c>
      <c r="W7" s="13">
        <f>Keys!$C$7/$R7</f>
        <v>6.7382959534800002E-2</v>
      </c>
      <c r="X7" s="13">
        <f>Keys!$C$8/$R7</f>
        <v>1.00970167475E-4</v>
      </c>
      <c r="Y7" s="13">
        <f>Keys!$C$9/$R7</f>
        <v>0</v>
      </c>
      <c r="Z7" s="11">
        <f>S7*EXP($G7*INDEX(Costs_BAU!$C$5:$C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2.0299999999999999E-2</v>
      </c>
      <c r="AA7" s="11">
        <f>T7*EXP($G7*INDEX(Costs_BAU!$G$5:$G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5.4000000000000003E-3</v>
      </c>
      <c r="AB7" s="11">
        <f>U7*EXP($G7*INDEX(Costs_BAU!$I$5:$I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0</v>
      </c>
      <c r="AC7" s="15">
        <f t="shared" si="6"/>
        <v>0</v>
      </c>
      <c r="AD7" t="str">
        <f>IF(AC7&gt;Keys!$C$14,"SHARE MISMATCH",IF(ABS(MAX(S7:Y7)-Keys!$C$15)&gt;Keys!$C$14,"MAX WEIGHT &lt;&gt; 1",IF(R7&gt;Keys!$C$15,"ok (rescaled)","ok")))</f>
        <v>ok</v>
      </c>
      <c r="AF7" s="2">
        <v>1</v>
      </c>
      <c r="AG7" s="2">
        <f t="shared" si="7"/>
        <v>-1.0585851226462122</v>
      </c>
      <c r="AH7" s="2">
        <f t="shared" si="8"/>
        <v>-2.1642945013024288</v>
      </c>
      <c r="AI7" s="2" t="str">
        <f t="shared" si="9"/>
        <v/>
      </c>
      <c r="AJ7" s="9">
        <f t="shared" si="10"/>
        <v>9.2125264583003991E-2</v>
      </c>
      <c r="AK7" s="9">
        <f t="shared" si="11"/>
        <v>9.8662431120855477E-3</v>
      </c>
      <c r="AL7" s="9">
        <f t="shared" si="12"/>
        <v>0</v>
      </c>
      <c r="AM7" s="16">
        <f t="shared" si="13"/>
        <v>1</v>
      </c>
      <c r="AN7" s="9">
        <f t="shared" si="14"/>
        <v>9.2125264583003991E-2</v>
      </c>
      <c r="AO7" s="9">
        <f t="shared" si="15"/>
        <v>9.8662431120855477E-3</v>
      </c>
      <c r="AP7" s="9">
        <f t="shared" si="16"/>
        <v>0</v>
      </c>
      <c r="AQ7" s="9">
        <f>Keys!$C$6/AM7</f>
        <v>1</v>
      </c>
      <c r="AR7" s="9">
        <f>Keys!$C$7/AM7</f>
        <v>6.7382959534800002E-2</v>
      </c>
      <c r="AS7" s="9">
        <f>Keys!$C$8/AM7</f>
        <v>1.00970167475E-4</v>
      </c>
      <c r="AT7" s="9">
        <f>Keys!$C$9/AM7</f>
        <v>0</v>
      </c>
      <c r="AU7" s="11">
        <f>AN7*EXP($G7*INDEX(Costs_BAU!$C$5:$C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2.1328056629947252E-2</v>
      </c>
      <c r="AV7" s="11">
        <f>AO7*EXP($G7*INDEX(Costs_BAU!$G$5:$G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7.7505308673429234E-3</v>
      </c>
      <c r="AW7" s="11">
        <f>AP7*EXP($G7*INDEX(Costs_BAU!$I$5:$I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0</v>
      </c>
      <c r="AX7" s="11">
        <f t="shared" si="17"/>
        <v>2.9078587497290177E-2</v>
      </c>
      <c r="AY7" s="17">
        <f t="shared" si="18"/>
        <v>0.33785874972901764</v>
      </c>
    </row>
    <row r="8" spans="1:51" x14ac:dyDescent="0.25">
      <c r="A8" t="s">
        <v>10</v>
      </c>
      <c r="B8" t="s">
        <v>9</v>
      </c>
      <c r="C8" s="11">
        <f>INDEX(Alliance_2025!$H$5:$H$56,MATCH($A8,Alliance_2025!$A$5:$A$56,0))</f>
        <v>7.5899999999999995E-2</v>
      </c>
      <c r="D8" s="11">
        <f>INDEX(Alliance_2025!$G$5:$G$56,MATCH($A8,Alliance_2025!$A$5:$A$56,0))</f>
        <v>1.18E-2</v>
      </c>
      <c r="E8" s="11">
        <f>INDEX(Alliance_2025!$I$5:$I$56,MATCH($A8,Alliance_2025!$A$5:$A$56,0))</f>
        <v>0</v>
      </c>
      <c r="F8" s="11">
        <f t="shared" si="0"/>
        <v>8.77E-2</v>
      </c>
      <c r="G8">
        <f>Keys!$C$4</f>
        <v>-8</v>
      </c>
      <c r="I8" s="12">
        <f>IF(INDEX(Costs_BAU!$E$5:$E$52,MATCH($A8,Costs_BAU!$A$5:$A$52,0))&gt;Keys!$C$5,0,Keys!$C$6*EXP($G8*INDEX(Costs_BAU!$E$5:$E$52,MATCH($A8,Costs_BAU!$A$5:$A$52,0))))</f>
        <v>1.5903628313039538E-2</v>
      </c>
      <c r="J8" s="12">
        <f>IF(INDEX(Costs_BAU!$F$5:$F$52,MATCH($A8,Costs_BAU!$A$5:$A$52,0))&gt;Keys!$C$5,0,Keys!$C$7*EXP($G8*INDEX(Costs_BAU!$F$5:$F$52,MATCH($A8,Costs_BAU!$A$5:$A$52,0))))</f>
        <v>6.2846694868953063E-4</v>
      </c>
      <c r="K8" s="12">
        <f>IF(INDEX(Costs_BAU!$D$5:$D$52,MATCH($A8,Costs_BAU!$A$5:$A$52,0))&gt;Keys!$C$5,0,Keys!$C$8*EXP($G8*INDEX(Costs_BAU!$D$5:$D$52,MATCH($A8,Costs_BAU!$A$5:$A$52,0))))</f>
        <v>1.2261915948317082E-6</v>
      </c>
      <c r="L8" s="12">
        <f>IF(INDEX(Costs_BAU!$H$5:$H$52,MATCH($A8,Costs_BAU!$A$5:$A$52,0))&gt;Keys!$C$5,0,Keys!$C$9*EXP($G8*INDEX(Costs_BAU!$H$5:$H$52,MATCH($A8,Costs_BAU!$A$5:$A$52,0))))</f>
        <v>0</v>
      </c>
      <c r="M8" s="12">
        <f t="shared" si="1"/>
        <v>1.6533321453323899E-2</v>
      </c>
      <c r="N8" s="12">
        <f t="shared" si="2"/>
        <v>1.8122680536362928E-2</v>
      </c>
      <c r="O8" s="13">
        <f>$C8*$N8*EXP(-$G8*INDEX(Costs_BAU!$C$5:$C$52,MATCH($A8,Costs_BAU!$A$5:$A$52,0)))</f>
        <v>0.30564296129439306</v>
      </c>
      <c r="P8" s="13">
        <f>$D8*$N8*EXP(-$G8*INDEX(Costs_BAU!$G$5:$G$52,MATCH($A8,Costs_BAU!$A$5:$A$52,0)))</f>
        <v>1.5713315511184465E-2</v>
      </c>
      <c r="Q8" s="13">
        <f>$E8*$N8*EXP(-$G8*INDEX(Costs_BAU!$I$5:$I$52,MATCH($A8,Costs_BAU!$A$5:$A$52,0)))</f>
        <v>0</v>
      </c>
      <c r="R8" s="14">
        <f>MAX(Keys!$C$15,O8,P8,Q8)</f>
        <v>1</v>
      </c>
      <c r="S8" s="13">
        <f t="shared" si="3"/>
        <v>0.30564296129439306</v>
      </c>
      <c r="T8" s="13">
        <f t="shared" si="4"/>
        <v>1.5713315511184465E-2</v>
      </c>
      <c r="U8" s="13">
        <f t="shared" si="5"/>
        <v>0</v>
      </c>
      <c r="V8" s="13">
        <f>Keys!$C$6/$R8</f>
        <v>1</v>
      </c>
      <c r="W8" s="13">
        <f>Keys!$C$7/$R8</f>
        <v>6.7382959534800002E-2</v>
      </c>
      <c r="X8" s="13">
        <f>Keys!$C$8/$R8</f>
        <v>1.00970167475E-4</v>
      </c>
      <c r="Y8" s="13">
        <f>Keys!$C$9/$R8</f>
        <v>0</v>
      </c>
      <c r="Z8" s="11">
        <f>S8*EXP($G8*INDEX(Costs_BAU!$C$5:$C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7.5899999999999995E-2</v>
      </c>
      <c r="AA8" s="11">
        <f>T8*EXP($G8*INDEX(Costs_BAU!$G$5:$G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1.1799999999999998E-2</v>
      </c>
      <c r="AB8" s="11">
        <f>U8*EXP($G8*INDEX(Costs_BAU!$I$5:$I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0</v>
      </c>
      <c r="AC8" s="15">
        <f t="shared" si="6"/>
        <v>1.7347234759768071E-18</v>
      </c>
      <c r="AD8" t="str">
        <f>IF(AC8&gt;Keys!$C$14,"SHARE MISMATCH",IF(ABS(MAX(S8:Y8)-Keys!$C$15)&gt;Keys!$C$14,"MAX WEIGHT &lt;&gt; 1",IF(R8&gt;Keys!$C$15,"ok (rescaled)","ok")))</f>
        <v>ok</v>
      </c>
      <c r="AF8" s="2">
        <v>2</v>
      </c>
      <c r="AG8" s="2">
        <f t="shared" si="7"/>
        <v>-0.5147856012031824</v>
      </c>
      <c r="AH8" s="2">
        <f t="shared" si="8"/>
        <v>-1.8037321691108208</v>
      </c>
      <c r="AI8" s="2" t="str">
        <f t="shared" si="9"/>
        <v/>
      </c>
      <c r="AJ8" s="9">
        <f t="shared" si="10"/>
        <v>0.23983771978951599</v>
      </c>
      <c r="AK8" s="9">
        <f t="shared" si="11"/>
        <v>2.2130378178094778E-2</v>
      </c>
      <c r="AL8" s="9">
        <f t="shared" si="12"/>
        <v>0</v>
      </c>
      <c r="AM8" s="16">
        <f t="shared" si="13"/>
        <v>1</v>
      </c>
      <c r="AN8" s="9">
        <f t="shared" si="14"/>
        <v>0.23983771978951599</v>
      </c>
      <c r="AO8" s="9">
        <f t="shared" si="15"/>
        <v>2.2130378178094778E-2</v>
      </c>
      <c r="AP8" s="9">
        <f t="shared" si="16"/>
        <v>0</v>
      </c>
      <c r="AQ8" s="9">
        <f>Keys!$C$6/AM8</f>
        <v>1</v>
      </c>
      <c r="AR8" s="9">
        <f>Keys!$C$7/AM8</f>
        <v>6.7382959534800002E-2</v>
      </c>
      <c r="AS8" s="9">
        <f>Keys!$C$8/AM8</f>
        <v>1.00970167475E-4</v>
      </c>
      <c r="AT8" s="9">
        <f>Keys!$C$9/AM8</f>
        <v>0</v>
      </c>
      <c r="AU8" s="11">
        <f>AN8*EXP($G8*INDEX(Costs_BAU!$C$5:$C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6.0252911847947815E-2</v>
      </c>
      <c r="AV8" s="11">
        <f>AO8*EXP($G8*INDEX(Costs_BAU!$G$5:$G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1.6812650624261453E-2</v>
      </c>
      <c r="AW8" s="11">
        <f>AP8*EXP($G8*INDEX(Costs_BAU!$I$5:$I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0</v>
      </c>
      <c r="AX8" s="11">
        <f t="shared" si="17"/>
        <v>7.7065562472209276E-2</v>
      </c>
      <c r="AY8" s="17">
        <f t="shared" si="18"/>
        <v>-1.0634437527790723</v>
      </c>
    </row>
    <row r="9" spans="1:51" x14ac:dyDescent="0.25">
      <c r="A9" t="s">
        <v>13</v>
      </c>
      <c r="B9" t="s">
        <v>12</v>
      </c>
      <c r="C9" s="11">
        <f>INDEX(Alliance_2025!$H$5:$H$56,MATCH($A9,Alliance_2025!$A$5:$A$56,0))</f>
        <v>0.20420000000000002</v>
      </c>
      <c r="D9" s="11">
        <f>INDEX(Alliance_2025!$G$5:$G$56,MATCH($A9,Alliance_2025!$A$5:$A$56,0))</f>
        <v>3.4200000000000001E-2</v>
      </c>
      <c r="E9" s="11">
        <f>INDEX(Alliance_2025!$I$5:$I$56,MATCH($A9,Alliance_2025!$A$5:$A$56,0))</f>
        <v>2.0000000000000001E-4</v>
      </c>
      <c r="F9" s="11">
        <f t="shared" si="0"/>
        <v>0.23860000000000003</v>
      </c>
      <c r="G9">
        <f>Keys!$C$4</f>
        <v>-8</v>
      </c>
      <c r="I9" s="12">
        <f>IF(INDEX(Costs_BAU!$E$5:$E$52,MATCH($A9,Costs_BAU!$A$5:$A$52,0))&gt;Keys!$C$5,0,Keys!$C$6*EXP($G9*INDEX(Costs_BAU!$E$5:$E$52,MATCH($A9,Costs_BAU!$A$5:$A$52,0))))</f>
        <v>1.2348459012613014E-2</v>
      </c>
      <c r="J9" s="12">
        <f>IF(INDEX(Costs_BAU!$F$5:$F$52,MATCH($A9,Costs_BAU!$A$5:$A$52,0))&gt;Keys!$C$5,0,Keys!$C$7*EXP($G9*INDEX(Costs_BAU!$F$5:$F$52,MATCH($A9,Costs_BAU!$A$5:$A$52,0))))</f>
        <v>4.5354361495916214E-4</v>
      </c>
      <c r="K9" s="12">
        <f>IF(INDEX(Costs_BAU!$D$5:$D$52,MATCH($A9,Costs_BAU!$A$5:$A$52,0))&gt;Keys!$C$5,0,Keys!$C$8*EXP($G9*INDEX(Costs_BAU!$D$5:$D$52,MATCH($A9,Costs_BAU!$A$5:$A$52,0))))</f>
        <v>9.8576735714047577E-7</v>
      </c>
      <c r="L9" s="12">
        <f>IF(INDEX(Costs_BAU!$H$5:$H$52,MATCH($A9,Costs_BAU!$A$5:$A$52,0))&gt;Keys!$C$5,0,Keys!$C$9*EXP($G9*INDEX(Costs_BAU!$H$5:$H$52,MATCH($A9,Costs_BAU!$A$5:$A$52,0))))</f>
        <v>0</v>
      </c>
      <c r="M9" s="12">
        <f t="shared" si="1"/>
        <v>1.2802988394929316E-2</v>
      </c>
      <c r="N9" s="12">
        <f t="shared" si="2"/>
        <v>1.6815062247083422E-2</v>
      </c>
      <c r="O9" s="13">
        <f>$C9*$N9*EXP(-$G9*INDEX(Costs_BAU!$C$5:$C$52,MATCH($A9,Costs_BAU!$A$5:$A$52,0)))</f>
        <v>1.0490116076853966</v>
      </c>
      <c r="P9" s="13">
        <f>$D9*$N9*EXP(-$G9*INDEX(Costs_BAU!$G$5:$G$52,MATCH($A9,Costs_BAU!$A$5:$A$52,0)))</f>
        <v>6.3770927976498942E-2</v>
      </c>
      <c r="Q9" s="13">
        <f>$E9*$N9*EXP(-$G9*INDEX(Costs_BAU!$I$5:$I$52,MATCH($A9,Costs_BAU!$A$5:$A$52,0)))</f>
        <v>7.7580494932785564E-4</v>
      </c>
      <c r="R9" s="14">
        <f>MAX(Keys!$C$15,O9,P9,Q9)</f>
        <v>1.0490116076853966</v>
      </c>
      <c r="S9" s="13">
        <f t="shared" si="3"/>
        <v>1</v>
      </c>
      <c r="T9" s="13">
        <f t="shared" si="4"/>
        <v>6.0791441685957147E-2</v>
      </c>
      <c r="U9" s="13">
        <f t="shared" si="5"/>
        <v>7.3955802170734715E-4</v>
      </c>
      <c r="V9" s="13">
        <f>Keys!$C$6/$R9</f>
        <v>0.95327829804139275</v>
      </c>
      <c r="W9" s="13">
        <f>Keys!$C$7/$R9</f>
        <v>6.4234712982326178E-2</v>
      </c>
      <c r="X9" s="13">
        <f>Keys!$C$8/$R9</f>
        <v>9.6252669403522386E-5</v>
      </c>
      <c r="Y9" s="13">
        <f>Keys!$C$9/$R9</f>
        <v>0</v>
      </c>
      <c r="Z9" s="11">
        <f>S9*EXP($G9*INDEX(Costs_BAU!$C$5:$C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0.20420000000000002</v>
      </c>
      <c r="AA9" s="11">
        <f>T9*EXP($G9*INDEX(Costs_BAU!$G$5:$G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3.4200000000000008E-2</v>
      </c>
      <c r="AB9" s="11">
        <f>U9*EXP($G9*INDEX(Costs_BAU!$I$5:$I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2.0000000000000004E-4</v>
      </c>
      <c r="AC9" s="15">
        <f t="shared" si="6"/>
        <v>6.9388939039072284E-18</v>
      </c>
      <c r="AD9" t="str">
        <f>IF(AC9&gt;Keys!$C$14,"SHARE MISMATCH",IF(ABS(MAX(S9:Y9)-Keys!$C$15)&gt;Keys!$C$14,"MAX WEIGHT &lt;&gt; 1",IF(R9&gt;Keys!$C$15,"ok (rescaled)","ok")))</f>
        <v>ok (rescaled)</v>
      </c>
      <c r="AF9" s="2">
        <v>4</v>
      </c>
      <c r="AG9" s="2">
        <f t="shared" si="7"/>
        <v>2.0780293842580001E-2</v>
      </c>
      <c r="AH9" s="2">
        <f t="shared" si="8"/>
        <v>-1.1953772632363526</v>
      </c>
      <c r="AI9" s="2">
        <f t="shared" si="9"/>
        <v>-3.110247454100592</v>
      </c>
      <c r="AJ9" s="9">
        <f t="shared" si="10"/>
        <v>0.92973261140526997</v>
      </c>
      <c r="AK9" s="9">
        <f t="shared" si="11"/>
        <v>5.2021527112866645E-2</v>
      </c>
      <c r="AL9" s="9">
        <f t="shared" si="12"/>
        <v>7.7580494932785466E-4</v>
      </c>
      <c r="AM9" s="16">
        <f t="shared" si="13"/>
        <v>1</v>
      </c>
      <c r="AN9" s="9">
        <f t="shared" si="14"/>
        <v>0.92973261140526997</v>
      </c>
      <c r="AO9" s="9">
        <f t="shared" si="15"/>
        <v>5.2021527112866645E-2</v>
      </c>
      <c r="AP9" s="9">
        <f t="shared" si="16"/>
        <v>7.7580494932785466E-4</v>
      </c>
      <c r="AQ9" s="9">
        <f>Keys!$C$6/AM9</f>
        <v>1</v>
      </c>
      <c r="AR9" s="9">
        <f>Keys!$C$7/AM9</f>
        <v>6.7382959534800002E-2</v>
      </c>
      <c r="AS9" s="9">
        <f>Keys!$C$8/AM9</f>
        <v>1.00970167475E-4</v>
      </c>
      <c r="AT9" s="9">
        <f>Keys!$C$9/AM9</f>
        <v>0</v>
      </c>
      <c r="AU9" s="11">
        <f>AN9*EXP($G9*INDEX(Costs_BAU!$C$5:$C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0.18648627891942829</v>
      </c>
      <c r="AV9" s="11">
        <f>AO9*EXP($G9*INDEX(Costs_BAU!$G$5:$G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2.8747484005582302E-2</v>
      </c>
      <c r="AW9" s="11">
        <f>AP9*EXP($G9*INDEX(Costs_BAU!$I$5:$I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2.0608357066044869E-4</v>
      </c>
      <c r="AX9" s="11">
        <f t="shared" si="17"/>
        <v>0.21543984649567105</v>
      </c>
      <c r="AY9" s="17">
        <f t="shared" si="18"/>
        <v>-2.3160153504328984</v>
      </c>
    </row>
    <row r="10" spans="1:51" x14ac:dyDescent="0.25">
      <c r="A10" t="s">
        <v>15</v>
      </c>
      <c r="B10" t="s">
        <v>14</v>
      </c>
      <c r="C10" s="11">
        <f>INDEX(Alliance_2025!$H$5:$H$56,MATCH($A10,Alliance_2025!$A$5:$A$56,0))</f>
        <v>0.15620000000000001</v>
      </c>
      <c r="D10" s="11">
        <f>INDEX(Alliance_2025!$G$5:$G$56,MATCH($A10,Alliance_2025!$A$5:$A$56,0))</f>
        <v>4.2300000000000004E-2</v>
      </c>
      <c r="E10" s="11">
        <f>INDEX(Alliance_2025!$I$5:$I$56,MATCH($A10,Alliance_2025!$A$5:$A$56,0))</f>
        <v>0</v>
      </c>
      <c r="F10" s="11">
        <f t="shared" si="0"/>
        <v>0.19850000000000001</v>
      </c>
      <c r="G10">
        <f>Keys!$C$4</f>
        <v>-8</v>
      </c>
      <c r="I10" s="12">
        <f>IF(INDEX(Costs_BAU!$E$5:$E$52,MATCH($A10,Costs_BAU!$A$5:$A$52,0))&gt;Keys!$C$5,0,Keys!$C$6*EXP($G10*INDEX(Costs_BAU!$E$5:$E$52,MATCH($A10,Costs_BAU!$A$5:$A$52,0))))</f>
        <v>1.5525118784753706E-2</v>
      </c>
      <c r="J10" s="12">
        <f>IF(INDEX(Costs_BAU!$F$5:$F$52,MATCH($A10,Costs_BAU!$A$5:$A$52,0))&gt;Keys!$C$5,0,Keys!$C$7*EXP($G10*INDEX(Costs_BAU!$F$5:$F$52,MATCH($A10,Costs_BAU!$A$5:$A$52,0))))</f>
        <v>5.8442440456547731E-4</v>
      </c>
      <c r="K10" s="12">
        <f>IF(INDEX(Costs_BAU!$D$5:$D$52,MATCH($A10,Costs_BAU!$A$5:$A$52,0))&gt;Keys!$C$5,0,Keys!$C$8*EXP($G10*INDEX(Costs_BAU!$D$5:$D$52,MATCH($A10,Costs_BAU!$A$5:$A$52,0))))</f>
        <v>1.1279130893691088E-6</v>
      </c>
      <c r="L10" s="12">
        <f>IF(INDEX(Costs_BAU!$H$5:$H$52,MATCH($A10,Costs_BAU!$A$5:$A$52,0))&gt;Keys!$C$5,0,Keys!$C$9*EXP($G10*INDEX(Costs_BAU!$H$5:$H$52,MATCH($A10,Costs_BAU!$A$5:$A$52,0))))</f>
        <v>0</v>
      </c>
      <c r="M10" s="12">
        <f t="shared" si="1"/>
        <v>1.611067110240855E-2</v>
      </c>
      <c r="N10" s="12">
        <f t="shared" si="2"/>
        <v>2.0100650158962632E-2</v>
      </c>
      <c r="O10" s="13">
        <f>$C10*$N10*EXP(-$G10*INDEX(Costs_BAU!$C$5:$C$52,MATCH($A10,Costs_BAU!$A$5:$A$52,0)))</f>
        <v>0.61497530909182208</v>
      </c>
      <c r="P10" s="13">
        <f>$D10*$N10*EXP(-$G10*INDEX(Costs_BAU!$G$5:$G$52,MATCH($A10,Costs_BAU!$A$5:$A$52,0)))</f>
        <v>5.4903437907953018E-2</v>
      </c>
      <c r="Q10" s="13">
        <f>$E10*$N10*EXP(-$G10*INDEX(Costs_BAU!$I$5:$I$52,MATCH($A10,Costs_BAU!$A$5:$A$52,0)))</f>
        <v>0</v>
      </c>
      <c r="R10" s="14">
        <f>MAX(Keys!$C$15,O10,P10,Q10)</f>
        <v>1</v>
      </c>
      <c r="S10" s="13">
        <f t="shared" si="3"/>
        <v>0.61497530909182208</v>
      </c>
      <c r="T10" s="13">
        <f t="shared" si="4"/>
        <v>5.4903437907953018E-2</v>
      </c>
      <c r="U10" s="13">
        <f t="shared" si="5"/>
        <v>0</v>
      </c>
      <c r="V10" s="13">
        <f>Keys!$C$6/$R10</f>
        <v>1</v>
      </c>
      <c r="W10" s="13">
        <f>Keys!$C$7/$R10</f>
        <v>6.7382959534800002E-2</v>
      </c>
      <c r="X10" s="13">
        <f>Keys!$C$8/$R10</f>
        <v>1.00970167475E-4</v>
      </c>
      <c r="Y10" s="13">
        <f>Keys!$C$9/$R10</f>
        <v>0</v>
      </c>
      <c r="Z10" s="11">
        <f>S10*EXP($G10*INDEX(Costs_BAU!$C$5:$C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0.15619999999999998</v>
      </c>
      <c r="AA10" s="11">
        <f>T10*EXP($G10*INDEX(Costs_BAU!$G$5:$G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4.2299999999999997E-2</v>
      </c>
      <c r="AB10" s="11">
        <f>U10*EXP($G10*INDEX(Costs_BAU!$I$5:$I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0</v>
      </c>
      <c r="AC10" s="15">
        <f t="shared" si="6"/>
        <v>2.7755575615628914E-17</v>
      </c>
      <c r="AD10" t="str">
        <f>IF(AC10&gt;Keys!$C$14,"SHARE MISMATCH",IF(ABS(MAX(S10:Y10)-Keys!$C$15)&gt;Keys!$C$14,"MAX WEIGHT &lt;&gt; 1",IF(R10&gt;Keys!$C$15,"ok (rescaled)","ok")))</f>
        <v>ok</v>
      </c>
      <c r="AF10" s="2">
        <v>3</v>
      </c>
      <c r="AG10" s="2">
        <f t="shared" si="7"/>
        <v>-0.21114232055049489</v>
      </c>
      <c r="AH10" s="2">
        <f t="shared" si="8"/>
        <v>-1.2604004603275685</v>
      </c>
      <c r="AI10" s="2" t="str">
        <f t="shared" si="9"/>
        <v/>
      </c>
      <c r="AJ10" s="9">
        <f t="shared" si="10"/>
        <v>0.57308220018853917</v>
      </c>
      <c r="AK10" s="9">
        <f t="shared" si="11"/>
        <v>3.7937494923897065E-2</v>
      </c>
      <c r="AL10" s="9">
        <f t="shared" si="12"/>
        <v>0</v>
      </c>
      <c r="AM10" s="16">
        <f t="shared" si="13"/>
        <v>1</v>
      </c>
      <c r="AN10" s="9">
        <f t="shared" si="14"/>
        <v>0.57308220018853917</v>
      </c>
      <c r="AO10" s="9">
        <f t="shared" si="15"/>
        <v>3.7937494923897065E-2</v>
      </c>
      <c r="AP10" s="9">
        <f t="shared" si="16"/>
        <v>0</v>
      </c>
      <c r="AQ10" s="9">
        <f>Keys!$C$6/AM10</f>
        <v>1</v>
      </c>
      <c r="AR10" s="9">
        <f>Keys!$C$7/AM10</f>
        <v>6.7382959534800002E-2</v>
      </c>
      <c r="AS10" s="9">
        <f>Keys!$C$8/AM10</f>
        <v>1.00970167475E-4</v>
      </c>
      <c r="AT10" s="9">
        <f>Keys!$C$9/AM10</f>
        <v>0</v>
      </c>
      <c r="AU10" s="11">
        <f>AN10*EXP($G10*INDEX(Costs_BAU!$C$5:$C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0.14909472306690416</v>
      </c>
      <c r="AV10" s="11">
        <f>AO10*EXP($G10*INDEX(Costs_BAU!$G$5:$G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2.9938599529768045E-2</v>
      </c>
      <c r="AW10" s="11">
        <f>AP10*EXP($G10*INDEX(Costs_BAU!$I$5:$I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0</v>
      </c>
      <c r="AX10" s="11">
        <f t="shared" si="17"/>
        <v>0.17903332259667221</v>
      </c>
      <c r="AY10" s="17">
        <f t="shared" si="18"/>
        <v>-1.9466677403327803</v>
      </c>
    </row>
    <row r="11" spans="1:51" x14ac:dyDescent="0.25">
      <c r="A11" t="s">
        <v>18</v>
      </c>
      <c r="B11" t="s">
        <v>17</v>
      </c>
      <c r="C11" s="11">
        <f>INDEX(Alliance_2025!$H$5:$H$56,MATCH($A11,Alliance_2025!$A$5:$A$56,0))</f>
        <v>7.5400000000000009E-2</v>
      </c>
      <c r="D11" s="11">
        <f>INDEX(Alliance_2025!$G$5:$G$56,MATCH($A11,Alliance_2025!$A$5:$A$56,0))</f>
        <v>2.8799999999999999E-2</v>
      </c>
      <c r="E11" s="11">
        <f>INDEX(Alliance_2025!$I$5:$I$56,MATCH($A11,Alliance_2025!$A$5:$A$56,0))</f>
        <v>0</v>
      </c>
      <c r="F11" s="11">
        <f t="shared" si="0"/>
        <v>0.10420000000000001</v>
      </c>
      <c r="G11">
        <f>Keys!$C$4</f>
        <v>-8</v>
      </c>
      <c r="I11" s="12">
        <f>IF(INDEX(Costs_BAU!$E$5:$E$52,MATCH($A11,Costs_BAU!$A$5:$A$52,0))&gt;Keys!$C$5,0,Keys!$C$6*EXP($G11*INDEX(Costs_BAU!$E$5:$E$52,MATCH($A11,Costs_BAU!$A$5:$A$52,0))))</f>
        <v>2.9337051662029854E-2</v>
      </c>
      <c r="J11" s="12">
        <f>IF(INDEX(Costs_BAU!$F$5:$F$52,MATCH($A11,Costs_BAU!$A$5:$A$52,0))&gt;Keys!$C$5,0,Keys!$C$7*EXP($G11*INDEX(Costs_BAU!$F$5:$F$52,MATCH($A11,Costs_BAU!$A$5:$A$52,0))))</f>
        <v>1.1831355500646885E-3</v>
      </c>
      <c r="K11" s="12">
        <f>IF(INDEX(Costs_BAU!$D$5:$D$52,MATCH($A11,Costs_BAU!$A$5:$A$52,0))&gt;Keys!$C$5,0,Keys!$C$8*EXP($G11*INDEX(Costs_BAU!$D$5:$D$52,MATCH($A11,Costs_BAU!$A$5:$A$52,0))))</f>
        <v>2.3862643309490381E-6</v>
      </c>
      <c r="L11" s="12">
        <f>IF(INDEX(Costs_BAU!$H$5:$H$52,MATCH($A11,Costs_BAU!$A$5:$A$52,0))&gt;Keys!$C$5,0,Keys!$C$9*EXP($G11*INDEX(Costs_BAU!$H$5:$H$52,MATCH($A11,Costs_BAU!$A$5:$A$52,0))))</f>
        <v>0</v>
      </c>
      <c r="M11" s="12">
        <f t="shared" si="1"/>
        <v>3.0522573476425494E-2</v>
      </c>
      <c r="N11" s="12">
        <f t="shared" si="2"/>
        <v>3.4072977758903208E-2</v>
      </c>
      <c r="O11" s="13">
        <f>$C11*$N11*EXP(-$G11*INDEX(Costs_BAU!$C$5:$C$52,MATCH($A11,Costs_BAU!$A$5:$A$52,0)))</f>
        <v>0.27172883125079161</v>
      </c>
      <c r="P11" s="13">
        <f>$D11*$N11*EXP(-$G11*INDEX(Costs_BAU!$G$5:$G$52,MATCH($A11,Costs_BAU!$A$5:$A$52,0)))</f>
        <v>4.4402720372578516E-2</v>
      </c>
      <c r="Q11" s="13">
        <f>$E11*$N11*EXP(-$G11*INDEX(Costs_BAU!$I$5:$I$52,MATCH($A11,Costs_BAU!$A$5:$A$52,0)))</f>
        <v>0</v>
      </c>
      <c r="R11" s="14">
        <f>MAX(Keys!$C$15,O11,P11,Q11)</f>
        <v>1</v>
      </c>
      <c r="S11" s="13">
        <f t="shared" si="3"/>
        <v>0.27172883125079161</v>
      </c>
      <c r="T11" s="13">
        <f t="shared" si="4"/>
        <v>4.4402720372578516E-2</v>
      </c>
      <c r="U11" s="13">
        <f t="shared" si="5"/>
        <v>0</v>
      </c>
      <c r="V11" s="13">
        <f>Keys!$C$6/$R11</f>
        <v>1</v>
      </c>
      <c r="W11" s="13">
        <f>Keys!$C$7/$R11</f>
        <v>6.7382959534800002E-2</v>
      </c>
      <c r="X11" s="13">
        <f>Keys!$C$8/$R11</f>
        <v>1.00970167475E-4</v>
      </c>
      <c r="Y11" s="13">
        <f>Keys!$C$9/$R11</f>
        <v>0</v>
      </c>
      <c r="Z11" s="11">
        <f>S11*EXP($G11*INDEX(Costs_BAU!$C$5:$C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7.5400000000000023E-2</v>
      </c>
      <c r="AA11" s="11">
        <f>T11*EXP($G11*INDEX(Costs_BAU!$G$5:$G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2.8800000000000006E-2</v>
      </c>
      <c r="AB11" s="11">
        <f>U11*EXP($G11*INDEX(Costs_BAU!$I$5:$I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0</v>
      </c>
      <c r="AC11" s="15">
        <f t="shared" si="6"/>
        <v>1.3877787807814457E-17</v>
      </c>
      <c r="AD11" t="str">
        <f>IF(AC11&gt;Keys!$C$14,"SHARE MISMATCH",IF(ABS(MAX(S11:Y11)-Keys!$C$15)&gt;Keys!$C$14,"MAX WEIGHT &lt;&gt; 1",IF(R11&gt;Keys!$C$15,"ok (rescaled)","ok")))</f>
        <v>ok</v>
      </c>
      <c r="AF11" s="2">
        <v>2</v>
      </c>
      <c r="AG11" s="2">
        <f t="shared" si="7"/>
        <v>-0.5658642791793479</v>
      </c>
      <c r="AH11" s="2">
        <f t="shared" si="8"/>
        <v>-1.3525904216284488</v>
      </c>
      <c r="AI11" s="2" t="str">
        <f t="shared" si="9"/>
        <v/>
      </c>
      <c r="AJ11" s="9">
        <f t="shared" si="10"/>
        <v>0.23983771978951599</v>
      </c>
      <c r="AK11" s="9">
        <f t="shared" si="11"/>
        <v>2.2130378178094778E-2</v>
      </c>
      <c r="AL11" s="9">
        <f t="shared" si="12"/>
        <v>0</v>
      </c>
      <c r="AM11" s="16">
        <f t="shared" si="13"/>
        <v>1</v>
      </c>
      <c r="AN11" s="9">
        <f t="shared" si="14"/>
        <v>0.23983771978951599</v>
      </c>
      <c r="AO11" s="9">
        <f t="shared" si="15"/>
        <v>2.2130378178094778E-2</v>
      </c>
      <c r="AP11" s="9">
        <f t="shared" si="16"/>
        <v>0</v>
      </c>
      <c r="AQ11" s="9">
        <f>Keys!$C$6/AM11</f>
        <v>1</v>
      </c>
      <c r="AR11" s="9">
        <f>Keys!$C$7/AM11</f>
        <v>6.7382959534800002E-2</v>
      </c>
      <c r="AS11" s="9">
        <f>Keys!$C$8/AM11</f>
        <v>1.00970167475E-4</v>
      </c>
      <c r="AT11" s="9">
        <f>Keys!$C$9/AM11</f>
        <v>0</v>
      </c>
      <c r="AU11" s="11">
        <f>AN11*EXP($G11*INDEX(Costs_BAU!$C$5:$C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6.813806851862042E-2</v>
      </c>
      <c r="AV11" s="11">
        <f>AO11*EXP($G11*INDEX(Costs_BAU!$G$5:$G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1.4696314995905771E-2</v>
      </c>
      <c r="AW11" s="11">
        <f>AP11*EXP($G11*INDEX(Costs_BAU!$I$5:$I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0</v>
      </c>
      <c r="AX11" s="11">
        <f t="shared" si="17"/>
        <v>8.2834383514526197E-2</v>
      </c>
      <c r="AY11" s="17">
        <f t="shared" si="18"/>
        <v>-2.136561648547382</v>
      </c>
    </row>
    <row r="12" spans="1:51" x14ac:dyDescent="0.25">
      <c r="A12" t="s">
        <v>20</v>
      </c>
      <c r="B12" t="s">
        <v>19</v>
      </c>
      <c r="C12" s="11">
        <f>INDEX(Alliance_2025!$H$5:$H$56,MATCH($A12,Alliance_2025!$A$5:$A$56,0))</f>
        <v>7.2300000000000003E-2</v>
      </c>
      <c r="D12" s="11">
        <f>INDEX(Alliance_2025!$G$5:$G$56,MATCH($A12,Alliance_2025!$A$5:$A$56,0))</f>
        <v>2.0199999999999999E-2</v>
      </c>
      <c r="E12" s="11">
        <f>INDEX(Alliance_2025!$I$5:$I$56,MATCH($A12,Alliance_2025!$A$5:$A$56,0))</f>
        <v>0</v>
      </c>
      <c r="F12" s="11">
        <f t="shared" si="0"/>
        <v>9.2499999999999999E-2</v>
      </c>
      <c r="G12">
        <f>Keys!$C$4</f>
        <v>-8</v>
      </c>
      <c r="I12" s="12">
        <f>IF(INDEX(Costs_BAU!$E$5:$E$52,MATCH($A12,Costs_BAU!$A$5:$A$52,0))&gt;Keys!$C$5,0,Keys!$C$6*EXP($G12*INDEX(Costs_BAU!$E$5:$E$52,MATCH($A12,Costs_BAU!$A$5:$A$52,0))))</f>
        <v>2.5916382014877466E-2</v>
      </c>
      <c r="J12" s="12">
        <f>IF(INDEX(Costs_BAU!$F$5:$F$52,MATCH($A12,Costs_BAU!$A$5:$A$52,0))&gt;Keys!$C$5,0,Keys!$C$7*EXP($G12*INDEX(Costs_BAU!$F$5:$F$52,MATCH($A12,Costs_BAU!$A$5:$A$52,0))))</f>
        <v>1.0445478998260284E-3</v>
      </c>
      <c r="K12" s="12">
        <f>IF(INDEX(Costs_BAU!$D$5:$D$52,MATCH($A12,Costs_BAU!$A$5:$A$52,0))&gt;Keys!$C$5,0,Keys!$C$8*EXP($G12*INDEX(Costs_BAU!$D$5:$D$52,MATCH($A12,Costs_BAU!$A$5:$A$52,0))))</f>
        <v>2.0597674780050862E-6</v>
      </c>
      <c r="L12" s="12">
        <f>IF(INDEX(Costs_BAU!$H$5:$H$52,MATCH($A12,Costs_BAU!$A$5:$A$52,0))&gt;Keys!$C$5,0,Keys!$C$9*EXP($G12*INDEX(Costs_BAU!$H$5:$H$52,MATCH($A12,Costs_BAU!$A$5:$A$52,0))))</f>
        <v>0</v>
      </c>
      <c r="M12" s="12">
        <f t="shared" si="1"/>
        <v>2.6962989682181498E-2</v>
      </c>
      <c r="N12" s="12">
        <f t="shared" si="2"/>
        <v>2.9711283396343251E-2</v>
      </c>
      <c r="O12" s="13">
        <f>$C12*$N12*EXP(-$G12*INDEX(Costs_BAU!$C$5:$C$52,MATCH($A12,Costs_BAU!$A$5:$A$52,0)))</f>
        <v>0.22923501328054025</v>
      </c>
      <c r="P12" s="13">
        <f>$D12*$N12*EXP(-$G12*INDEX(Costs_BAU!$G$5:$G$52,MATCH($A12,Costs_BAU!$A$5:$A$52,0)))</f>
        <v>2.620835390865351E-2</v>
      </c>
      <c r="Q12" s="13">
        <f>$E12*$N12*EXP(-$G12*INDEX(Costs_BAU!$I$5:$I$52,MATCH($A12,Costs_BAU!$A$5:$A$52,0)))</f>
        <v>0</v>
      </c>
      <c r="R12" s="14">
        <f>MAX(Keys!$C$15,O12,P12,Q12)</f>
        <v>1</v>
      </c>
      <c r="S12" s="13">
        <f t="shared" si="3"/>
        <v>0.22923501328054025</v>
      </c>
      <c r="T12" s="13">
        <f t="shared" si="4"/>
        <v>2.620835390865351E-2</v>
      </c>
      <c r="U12" s="13">
        <f t="shared" si="5"/>
        <v>0</v>
      </c>
      <c r="V12" s="13">
        <f>Keys!$C$6/$R12</f>
        <v>1</v>
      </c>
      <c r="W12" s="13">
        <f>Keys!$C$7/$R12</f>
        <v>6.7382959534800002E-2</v>
      </c>
      <c r="X12" s="13">
        <f>Keys!$C$8/$R12</f>
        <v>1.00970167475E-4</v>
      </c>
      <c r="Y12" s="13">
        <f>Keys!$C$9/$R12</f>
        <v>0</v>
      </c>
      <c r="Z12" s="11">
        <f>S12*EXP($G12*INDEX(Costs_BAU!$C$5:$C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7.2300000000000003E-2</v>
      </c>
      <c r="AA12" s="11">
        <f>T12*EXP($G12*INDEX(Costs_BAU!$G$5:$G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2.0200000000000003E-2</v>
      </c>
      <c r="AB12" s="11">
        <f>U12*EXP($G12*INDEX(Costs_BAU!$I$5:$I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0</v>
      </c>
      <c r="AC12" s="15">
        <f t="shared" si="6"/>
        <v>3.4694469519536142E-18</v>
      </c>
      <c r="AD12" t="str">
        <f>IF(AC12&gt;Keys!$C$14,"SHARE MISMATCH",IF(ABS(MAX(S12:Y12)-Keys!$C$15)&gt;Keys!$C$14,"MAX WEIGHT &lt;&gt; 1",IF(R12&gt;Keys!$C$15,"ok (rescaled)","ok")))</f>
        <v>ok</v>
      </c>
      <c r="AF12" s="2">
        <v>2</v>
      </c>
      <c r="AG12" s="2">
        <f t="shared" si="7"/>
        <v>-0.63971904764187526</v>
      </c>
      <c r="AH12" s="2">
        <f t="shared" si="8"/>
        <v>-1.5815602553158312</v>
      </c>
      <c r="AI12" s="2" t="str">
        <f t="shared" si="9"/>
        <v/>
      </c>
      <c r="AJ12" s="9">
        <f t="shared" si="10"/>
        <v>0.23983771978951599</v>
      </c>
      <c r="AK12" s="9">
        <f t="shared" si="11"/>
        <v>2.2130378178094778E-2</v>
      </c>
      <c r="AL12" s="9">
        <f t="shared" si="12"/>
        <v>0</v>
      </c>
      <c r="AM12" s="16">
        <f t="shared" si="13"/>
        <v>1</v>
      </c>
      <c r="AN12" s="9">
        <f t="shared" si="14"/>
        <v>0.23983771978951599</v>
      </c>
      <c r="AO12" s="9">
        <f t="shared" si="15"/>
        <v>2.2130378178094778E-2</v>
      </c>
      <c r="AP12" s="9">
        <f t="shared" si="16"/>
        <v>0</v>
      </c>
      <c r="AQ12" s="9">
        <f>Keys!$C$6/AM12</f>
        <v>1</v>
      </c>
      <c r="AR12" s="9">
        <f>Keys!$C$7/AM12</f>
        <v>6.7382959534800002E-2</v>
      </c>
      <c r="AS12" s="9">
        <f>Keys!$C$8/AM12</f>
        <v>1.00970167475E-4</v>
      </c>
      <c r="AT12" s="9">
        <f>Keys!$C$9/AM12</f>
        <v>0</v>
      </c>
      <c r="AU12" s="11">
        <f>AN12*EXP($G12*INDEX(Costs_BAU!$C$5:$C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7.562886073362797E-2</v>
      </c>
      <c r="AV12" s="11">
        <f>AO12*EXP($G12*INDEX(Costs_BAU!$G$5:$G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1.7053486708035595E-2</v>
      </c>
      <c r="AW12" s="11">
        <f>AP12*EXP($G12*INDEX(Costs_BAU!$I$5:$I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0</v>
      </c>
      <c r="AX12" s="11">
        <f t="shared" si="17"/>
        <v>9.2682347441663565E-2</v>
      </c>
      <c r="AY12" s="17">
        <f t="shared" si="18"/>
        <v>1.823474416635662E-2</v>
      </c>
    </row>
    <row r="13" spans="1:51" x14ac:dyDescent="0.25">
      <c r="A13" t="s">
        <v>23</v>
      </c>
      <c r="B13" t="s">
        <v>22</v>
      </c>
      <c r="C13" s="11">
        <f>INDEX(Alliance_2025!$H$5:$H$56,MATCH($A13,Alliance_2025!$A$5:$A$56,0))</f>
        <v>8.5800000000000001E-2</v>
      </c>
      <c r="D13" s="11">
        <f>INDEX(Alliance_2025!$G$5:$G$56,MATCH($A13,Alliance_2025!$A$5:$A$56,0))</f>
        <v>1.3500000000000002E-2</v>
      </c>
      <c r="E13" s="11">
        <f>INDEX(Alliance_2025!$I$5:$I$56,MATCH($A13,Alliance_2025!$A$5:$A$56,0))</f>
        <v>0</v>
      </c>
      <c r="F13" s="11">
        <f t="shared" si="0"/>
        <v>9.9299999999999999E-2</v>
      </c>
      <c r="G13">
        <f>Keys!$C$4</f>
        <v>-8</v>
      </c>
      <c r="I13" s="12">
        <f>IF(INDEX(Costs_BAU!$E$5:$E$52,MATCH($A13,Costs_BAU!$A$5:$A$52,0))&gt;Keys!$C$5,0,Keys!$C$6*EXP($G13*INDEX(Costs_BAU!$E$5:$E$52,MATCH($A13,Costs_BAU!$A$5:$A$52,0))))</f>
        <v>2.029574542247856E-2</v>
      </c>
      <c r="J13" s="12">
        <f>IF(INDEX(Costs_BAU!$F$5:$F$52,MATCH($A13,Costs_BAU!$A$5:$A$52,0))&gt;Keys!$C$5,0,Keys!$C$7*EXP($G13*INDEX(Costs_BAU!$F$5:$F$52,MATCH($A13,Costs_BAU!$A$5:$A$52,0))))</f>
        <v>7.7762425053019639E-4</v>
      </c>
      <c r="K13" s="12">
        <f>IF(INDEX(Costs_BAU!$D$5:$D$52,MATCH($A13,Costs_BAU!$A$5:$A$52,0))&gt;Keys!$C$5,0,Keys!$C$8*EXP($G13*INDEX(Costs_BAU!$D$5:$D$52,MATCH($A13,Costs_BAU!$A$5:$A$52,0))))</f>
        <v>1.5269878992438299E-6</v>
      </c>
      <c r="L13" s="12">
        <f>IF(INDEX(Costs_BAU!$H$5:$H$52,MATCH($A13,Costs_BAU!$A$5:$A$52,0))&gt;Keys!$C$5,0,Keys!$C$9*EXP($G13*INDEX(Costs_BAU!$H$5:$H$52,MATCH($A13,Costs_BAU!$A$5:$A$52,0))))</f>
        <v>0</v>
      </c>
      <c r="M13" s="12">
        <f t="shared" si="1"/>
        <v>2.1074896660907998E-2</v>
      </c>
      <c r="N13" s="12">
        <f t="shared" si="2"/>
        <v>2.3398353126355052E-2</v>
      </c>
      <c r="O13" s="13">
        <f>$C13*$N13*EXP(-$G13*INDEX(Costs_BAU!$C$5:$C$52,MATCH($A13,Costs_BAU!$A$5:$A$52,0)))</f>
        <v>0.34335378824142099</v>
      </c>
      <c r="P13" s="13">
        <f>$D13*$N13*EXP(-$G13*INDEX(Costs_BAU!$G$5:$G$52,MATCH($A13,Costs_BAU!$A$5:$A$52,0)))</f>
        <v>1.8540695021930384E-2</v>
      </c>
      <c r="Q13" s="13">
        <f>$E13*$N13*EXP(-$G13*INDEX(Costs_BAU!$I$5:$I$52,MATCH($A13,Costs_BAU!$A$5:$A$52,0)))</f>
        <v>0</v>
      </c>
      <c r="R13" s="14">
        <f>MAX(Keys!$C$15,O13,P13,Q13)</f>
        <v>1</v>
      </c>
      <c r="S13" s="13">
        <f t="shared" si="3"/>
        <v>0.34335378824142099</v>
      </c>
      <c r="T13" s="13">
        <f t="shared" si="4"/>
        <v>1.8540695021930384E-2</v>
      </c>
      <c r="U13" s="13">
        <f t="shared" si="5"/>
        <v>0</v>
      </c>
      <c r="V13" s="13">
        <f>Keys!$C$6/$R13</f>
        <v>1</v>
      </c>
      <c r="W13" s="13">
        <f>Keys!$C$7/$R13</f>
        <v>6.7382959534800002E-2</v>
      </c>
      <c r="X13" s="13">
        <f>Keys!$C$8/$R13</f>
        <v>1.00970167475E-4</v>
      </c>
      <c r="Y13" s="13">
        <f>Keys!$C$9/$R13</f>
        <v>0</v>
      </c>
      <c r="Z13" s="11">
        <f>S13*EXP($G13*INDEX(Costs_BAU!$C$5:$C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8.5799999999999987E-2</v>
      </c>
      <c r="AA13" s="11">
        <f>T13*EXP($G13*INDEX(Costs_BAU!$G$5:$G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1.35E-2</v>
      </c>
      <c r="AB13" s="11">
        <f>U13*EXP($G13*INDEX(Costs_BAU!$I$5:$I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0</v>
      </c>
      <c r="AC13" s="15">
        <f t="shared" si="6"/>
        <v>1.3877787807814457E-17</v>
      </c>
      <c r="AD13" t="str">
        <f>IF(AC13&gt;Keys!$C$14,"SHARE MISMATCH",IF(ABS(MAX(S13:Y13)-Keys!$C$15)&gt;Keys!$C$14,"MAX WEIGHT &lt;&gt; 1",IF(R13&gt;Keys!$C$15,"ok (rescaled)","ok")))</f>
        <v>ok</v>
      </c>
      <c r="AF13" s="2">
        <v>2</v>
      </c>
      <c r="AG13" s="2">
        <f t="shared" si="7"/>
        <v>-0.46425815664819625</v>
      </c>
      <c r="AH13" s="2">
        <f t="shared" si="8"/>
        <v>-1.7318739897960747</v>
      </c>
      <c r="AI13" s="2" t="str">
        <f t="shared" si="9"/>
        <v/>
      </c>
      <c r="AJ13" s="9">
        <f t="shared" si="10"/>
        <v>0.23983771978951599</v>
      </c>
      <c r="AK13" s="9">
        <f t="shared" si="11"/>
        <v>2.2130378178094778E-2</v>
      </c>
      <c r="AL13" s="9">
        <f t="shared" si="12"/>
        <v>0</v>
      </c>
      <c r="AM13" s="16">
        <f t="shared" si="13"/>
        <v>1</v>
      </c>
      <c r="AN13" s="9">
        <f t="shared" si="14"/>
        <v>0.23983771978951599</v>
      </c>
      <c r="AO13" s="9">
        <f t="shared" si="15"/>
        <v>2.2130378178094778E-2</v>
      </c>
      <c r="AP13" s="9">
        <f t="shared" si="16"/>
        <v>0</v>
      </c>
      <c r="AQ13" s="9">
        <f>Keys!$C$6/AM13</f>
        <v>1</v>
      </c>
      <c r="AR13" s="9">
        <f>Keys!$C$7/AM13</f>
        <v>6.7382959534800002E-2</v>
      </c>
      <c r="AS13" s="9">
        <f>Keys!$C$8/AM13</f>
        <v>1.00970167475E-4</v>
      </c>
      <c r="AT13" s="9">
        <f>Keys!$C$9/AM13</f>
        <v>0</v>
      </c>
      <c r="AU13" s="11">
        <f>AN13*EXP($G13*INDEX(Costs_BAU!$C$5:$C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6.1359405905745089E-2</v>
      </c>
      <c r="AV13" s="11">
        <f>AO13*EXP($G13*INDEX(Costs_BAU!$G$5:$G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1.6497373569967576E-2</v>
      </c>
      <c r="AW13" s="11">
        <f>AP13*EXP($G13*INDEX(Costs_BAU!$I$5:$I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0</v>
      </c>
      <c r="AX13" s="11">
        <f t="shared" si="17"/>
        <v>7.7856779475712665E-2</v>
      </c>
      <c r="AY13" s="17">
        <f t="shared" si="18"/>
        <v>-2.1443220524287336</v>
      </c>
    </row>
    <row r="14" spans="1:51" x14ac:dyDescent="0.25">
      <c r="A14" t="s">
        <v>26</v>
      </c>
      <c r="B14" t="s">
        <v>25</v>
      </c>
      <c r="C14" s="11">
        <f>INDEX(Alliance_2025!$H$5:$H$56,MATCH($A14,Alliance_2025!$A$5:$A$56,0))</f>
        <v>7.6300000000000007E-2</v>
      </c>
      <c r="D14" s="11">
        <f>INDEX(Alliance_2025!$G$5:$G$56,MATCH($A14,Alliance_2025!$A$5:$A$56,0))</f>
        <v>1.0700000000000001E-2</v>
      </c>
      <c r="E14" s="11">
        <f>INDEX(Alliance_2025!$I$5:$I$56,MATCH($A14,Alliance_2025!$A$5:$A$56,0))</f>
        <v>0</v>
      </c>
      <c r="F14" s="11">
        <f t="shared" si="0"/>
        <v>8.7000000000000008E-2</v>
      </c>
      <c r="G14">
        <f>Keys!$C$4</f>
        <v>-8</v>
      </c>
      <c r="I14" s="12">
        <f>IF(INDEX(Costs_BAU!$E$5:$E$52,MATCH($A14,Costs_BAU!$A$5:$A$52,0))&gt;Keys!$C$5,0,Keys!$C$6*EXP($G14*INDEX(Costs_BAU!$E$5:$E$52,MATCH($A14,Costs_BAU!$A$5:$A$52,0))))</f>
        <v>2.8248356502067334E-2</v>
      </c>
      <c r="J14" s="12">
        <f>IF(INDEX(Costs_BAU!$F$5:$F$52,MATCH($A14,Costs_BAU!$A$5:$A$52,0))&gt;Keys!$C$5,0,Keys!$C$7*EXP($G14*INDEX(Costs_BAU!$F$5:$F$52,MATCH($A14,Costs_BAU!$A$5:$A$52,0))))</f>
        <v>1.1369715131525442E-3</v>
      </c>
      <c r="K14" s="12">
        <f>IF(INDEX(Costs_BAU!$D$5:$D$52,MATCH($A14,Costs_BAU!$A$5:$A$52,0))&gt;Keys!$C$5,0,Keys!$C$8*EXP($G14*INDEX(Costs_BAU!$D$5:$D$52,MATCH($A14,Costs_BAU!$A$5:$A$52,0))))</f>
        <v>2.2061504120705899E-6</v>
      </c>
      <c r="L14" s="12">
        <f>IF(INDEX(Costs_BAU!$H$5:$H$52,MATCH($A14,Costs_BAU!$A$5:$A$52,0))&gt;Keys!$C$5,0,Keys!$C$9*EXP($G14*INDEX(Costs_BAU!$H$5:$H$52,MATCH($A14,Costs_BAU!$A$5:$A$52,0))))</f>
        <v>0</v>
      </c>
      <c r="M14" s="12">
        <f t="shared" si="1"/>
        <v>2.9387534165631949E-2</v>
      </c>
      <c r="N14" s="12">
        <f t="shared" si="2"/>
        <v>3.2187879699487346E-2</v>
      </c>
      <c r="O14" s="13">
        <f>$C14*$N14*EXP(-$G14*INDEX(Costs_BAU!$C$5:$C$52,MATCH($A14,Costs_BAU!$A$5:$A$52,0)))</f>
        <v>0.27649580087869646</v>
      </c>
      <c r="P14" s="13">
        <f>$D14*$N14*EXP(-$G14*INDEX(Costs_BAU!$G$5:$G$52,MATCH($A14,Costs_BAU!$A$5:$A$52,0)))</f>
        <v>1.4343464993497413E-2</v>
      </c>
      <c r="Q14" s="13">
        <f>$E14*$N14*EXP(-$G14*INDEX(Costs_BAU!$I$5:$I$52,MATCH($A14,Costs_BAU!$A$5:$A$52,0)))</f>
        <v>0</v>
      </c>
      <c r="R14" s="14">
        <f>MAX(Keys!$C$15,O14,P14,Q14)</f>
        <v>1</v>
      </c>
      <c r="S14" s="13">
        <f t="shared" si="3"/>
        <v>0.27649580087869646</v>
      </c>
      <c r="T14" s="13">
        <f t="shared" si="4"/>
        <v>1.4343464993497413E-2</v>
      </c>
      <c r="U14" s="13">
        <f t="shared" si="5"/>
        <v>0</v>
      </c>
      <c r="V14" s="13">
        <f>Keys!$C$6/$R14</f>
        <v>1</v>
      </c>
      <c r="W14" s="13">
        <f>Keys!$C$7/$R14</f>
        <v>6.7382959534800002E-2</v>
      </c>
      <c r="X14" s="13">
        <f>Keys!$C$8/$R14</f>
        <v>1.00970167475E-4</v>
      </c>
      <c r="Y14" s="13">
        <f>Keys!$C$9/$R14</f>
        <v>0</v>
      </c>
      <c r="Z14" s="11">
        <f>S14*EXP($G14*INDEX(Costs_BAU!$C$5:$C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7.6300000000000007E-2</v>
      </c>
      <c r="AA14" s="11">
        <f>T14*EXP($G14*INDEX(Costs_BAU!$G$5:$G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1.0700000000000001E-2</v>
      </c>
      <c r="AB14" s="11">
        <f>U14*EXP($G14*INDEX(Costs_BAU!$I$5:$I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0</v>
      </c>
      <c r="AC14" s="15">
        <f t="shared" si="6"/>
        <v>0</v>
      </c>
      <c r="AD14" t="str">
        <f>IF(AC14&gt;Keys!$C$14,"SHARE MISMATCH",IF(ABS(MAX(S14:Y14)-Keys!$C$15)&gt;Keys!$C$14,"MAX WEIGHT &lt;&gt; 1",IF(R14&gt;Keys!$C$15,"ok (rescaled)","ok")))</f>
        <v>ok</v>
      </c>
      <c r="AF14" s="2">
        <v>2</v>
      </c>
      <c r="AG14" s="2">
        <f t="shared" si="7"/>
        <v>-0.55831145990741582</v>
      </c>
      <c r="AH14" s="2">
        <f t="shared" si="8"/>
        <v>-1.8433459221843773</v>
      </c>
      <c r="AI14" s="2" t="str">
        <f t="shared" si="9"/>
        <v/>
      </c>
      <c r="AJ14" s="9">
        <f t="shared" si="10"/>
        <v>0.23983771978951599</v>
      </c>
      <c r="AK14" s="9">
        <f t="shared" si="11"/>
        <v>2.2130378178094778E-2</v>
      </c>
      <c r="AL14" s="9">
        <f t="shared" si="12"/>
        <v>0</v>
      </c>
      <c r="AM14" s="16">
        <f t="shared" si="13"/>
        <v>1</v>
      </c>
      <c r="AN14" s="9">
        <f t="shared" si="14"/>
        <v>0.23983771978951599</v>
      </c>
      <c r="AO14" s="9">
        <f t="shared" si="15"/>
        <v>2.2130378178094778E-2</v>
      </c>
      <c r="AP14" s="9">
        <f t="shared" si="16"/>
        <v>0</v>
      </c>
      <c r="AQ14" s="9">
        <f>Keys!$C$6/AM14</f>
        <v>1</v>
      </c>
      <c r="AR14" s="9">
        <f>Keys!$C$7/AM14</f>
        <v>6.7382959534800002E-2</v>
      </c>
      <c r="AS14" s="9">
        <f>Keys!$C$8/AM14</f>
        <v>1.00970167475E-4</v>
      </c>
      <c r="AT14" s="9">
        <f>Keys!$C$9/AM14</f>
        <v>0</v>
      </c>
      <c r="AU14" s="11">
        <f>AN14*EXP($G14*INDEX(Costs_BAU!$C$5:$C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6.6470360788974239E-2</v>
      </c>
      <c r="AV14" s="11">
        <f>AO14*EXP($G14*INDEX(Costs_BAU!$G$5:$G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1.6580326827098868E-2</v>
      </c>
      <c r="AW14" s="11">
        <f>AP14*EXP($G14*INDEX(Costs_BAU!$I$5:$I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0</v>
      </c>
      <c r="AX14" s="11">
        <f t="shared" si="17"/>
        <v>8.3050687616073107E-2</v>
      </c>
      <c r="AY14" s="17">
        <f t="shared" si="18"/>
        <v>-0.39493123839269006</v>
      </c>
    </row>
    <row r="15" spans="1:51" x14ac:dyDescent="0.25">
      <c r="A15" t="s">
        <v>29</v>
      </c>
      <c r="B15" t="s">
        <v>28</v>
      </c>
      <c r="C15" s="11">
        <f>INDEX(Alliance_2025!$H$5:$H$56,MATCH($A15,Alliance_2025!$A$5:$A$56,0))</f>
        <v>2.81E-2</v>
      </c>
      <c r="D15" s="11">
        <f>INDEX(Alliance_2025!$G$5:$G$56,MATCH($A15,Alliance_2025!$A$5:$A$56,0))</f>
        <v>9.4999999999999998E-3</v>
      </c>
      <c r="E15" s="11">
        <f>INDEX(Alliance_2025!$I$5:$I$56,MATCH($A15,Alliance_2025!$A$5:$A$56,0))</f>
        <v>0</v>
      </c>
      <c r="F15" s="11">
        <f t="shared" si="0"/>
        <v>3.7600000000000001E-2</v>
      </c>
      <c r="G15">
        <f>Keys!$C$4</f>
        <v>-8</v>
      </c>
      <c r="I15" s="12">
        <f>IF(INDEX(Costs_BAU!$E$5:$E$52,MATCH($A15,Costs_BAU!$A$5:$A$52,0))&gt;Keys!$C$5,0,Keys!$C$6*EXP($G15*INDEX(Costs_BAU!$E$5:$E$52,MATCH($A15,Costs_BAU!$A$5:$A$52,0))))</f>
        <v>9.7667062376393925E-3</v>
      </c>
      <c r="J15" s="12">
        <f>IF(INDEX(Costs_BAU!$F$5:$F$52,MATCH($A15,Costs_BAU!$A$5:$A$52,0))&gt;Keys!$C$5,0,Keys!$C$7*EXP($G15*INDEX(Costs_BAU!$F$5:$F$52,MATCH($A15,Costs_BAU!$A$5:$A$52,0))))</f>
        <v>3.4054505571101115E-4</v>
      </c>
      <c r="K15" s="12">
        <f>IF(INDEX(Costs_BAU!$D$5:$D$52,MATCH($A15,Costs_BAU!$A$5:$A$52,0))&gt;Keys!$C$5,0,Keys!$C$8*EXP($G15*INDEX(Costs_BAU!$D$5:$D$52,MATCH($A15,Costs_BAU!$A$5:$A$52,0))))</f>
        <v>6.6207072174263113E-7</v>
      </c>
      <c r="L15" s="12">
        <f>IF(INDEX(Costs_BAU!$H$5:$H$52,MATCH($A15,Costs_BAU!$A$5:$A$52,0))&gt;Keys!$C$5,0,Keys!$C$9*EXP($G15*INDEX(Costs_BAU!$H$5:$H$52,MATCH($A15,Costs_BAU!$A$5:$A$52,0))))</f>
        <v>0</v>
      </c>
      <c r="M15" s="12">
        <f t="shared" si="1"/>
        <v>1.0107913364072147E-2</v>
      </c>
      <c r="N15" s="12">
        <f t="shared" si="2"/>
        <v>1.0502819372477292E-2</v>
      </c>
      <c r="O15" s="13">
        <f>$C15*$N15*EXP(-$G15*INDEX(Costs_BAU!$C$5:$C$52,MATCH($A15,Costs_BAU!$A$5:$A$52,0)))</f>
        <v>0.14741238954778382</v>
      </c>
      <c r="P15" s="13">
        <f>$D15*$N15*EXP(-$G15*INDEX(Costs_BAU!$G$5:$G$52,MATCH($A15,Costs_BAU!$A$5:$A$52,0)))</f>
        <v>1.2515454647243402E-2</v>
      </c>
      <c r="Q15" s="13">
        <f>$E15*$N15*EXP(-$G15*INDEX(Costs_BAU!$I$5:$I$52,MATCH($A15,Costs_BAU!$A$5:$A$52,0)))</f>
        <v>0</v>
      </c>
      <c r="R15" s="14">
        <f>MAX(Keys!$C$15,O15,P15,Q15)</f>
        <v>1</v>
      </c>
      <c r="S15" s="13">
        <f t="shared" si="3"/>
        <v>0.14741238954778382</v>
      </c>
      <c r="T15" s="13">
        <f t="shared" si="4"/>
        <v>1.2515454647243402E-2</v>
      </c>
      <c r="U15" s="13">
        <f t="shared" si="5"/>
        <v>0</v>
      </c>
      <c r="V15" s="13">
        <f>Keys!$C$6/$R15</f>
        <v>1</v>
      </c>
      <c r="W15" s="13">
        <f>Keys!$C$7/$R15</f>
        <v>6.7382959534800002E-2</v>
      </c>
      <c r="X15" s="13">
        <f>Keys!$C$8/$R15</f>
        <v>1.00970167475E-4</v>
      </c>
      <c r="Y15" s="13">
        <f>Keys!$C$9/$R15</f>
        <v>0</v>
      </c>
      <c r="Z15" s="11">
        <f>S15*EXP($G15*INDEX(Costs_BAU!$C$5:$C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2.8099999999999997E-2</v>
      </c>
      <c r="AA15" s="11">
        <f>T15*EXP($G15*INDEX(Costs_BAU!$G$5:$G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9.4999999999999963E-3</v>
      </c>
      <c r="AB15" s="11">
        <f>U15*EXP($G15*INDEX(Costs_BAU!$I$5:$I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0</v>
      </c>
      <c r="AC15" s="15">
        <f t="shared" si="6"/>
        <v>3.4694469519536142E-18</v>
      </c>
      <c r="AD15" t="str">
        <f>IF(AC15&gt;Keys!$C$14,"SHARE MISMATCH",IF(ABS(MAX(S15:Y15)-Keys!$C$15)&gt;Keys!$C$14,"MAX WEIGHT &lt;&gt; 1",IF(R15&gt;Keys!$C$15,"ok (rescaled)","ok")))</f>
        <v>ok</v>
      </c>
      <c r="AF15" s="2">
        <v>1</v>
      </c>
      <c r="AG15" s="2">
        <f t="shared" si="7"/>
        <v>-0.83146601385747287</v>
      </c>
      <c r="AH15" s="2">
        <f t="shared" si="8"/>
        <v>-1.9025533692117631</v>
      </c>
      <c r="AI15" s="2" t="str">
        <f t="shared" si="9"/>
        <v/>
      </c>
      <c r="AJ15" s="9">
        <f t="shared" si="10"/>
        <v>9.2125264583003991E-2</v>
      </c>
      <c r="AK15" s="9">
        <f t="shared" si="11"/>
        <v>9.8662431120855477E-3</v>
      </c>
      <c r="AL15" s="9">
        <f t="shared" si="12"/>
        <v>0</v>
      </c>
      <c r="AM15" s="16">
        <f t="shared" si="13"/>
        <v>1</v>
      </c>
      <c r="AN15" s="9">
        <f t="shared" si="14"/>
        <v>9.2125264583003991E-2</v>
      </c>
      <c r="AO15" s="9">
        <f t="shared" si="15"/>
        <v>9.8662431120855477E-3</v>
      </c>
      <c r="AP15" s="9">
        <f t="shared" si="16"/>
        <v>0</v>
      </c>
      <c r="AQ15" s="9">
        <f>Keys!$C$6/AM15</f>
        <v>1</v>
      </c>
      <c r="AR15" s="9">
        <f>Keys!$C$7/AM15</f>
        <v>6.7382959534800002E-2</v>
      </c>
      <c r="AS15" s="9">
        <f>Keys!$C$8/AM15</f>
        <v>1.00970167475E-4</v>
      </c>
      <c r="AT15" s="9">
        <f>Keys!$C$9/AM15</f>
        <v>0</v>
      </c>
      <c r="AU15" s="11">
        <f>AN15*EXP($G15*INDEX(Costs_BAU!$C$5:$C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1.7784264033460732E-2</v>
      </c>
      <c r="AV15" s="11">
        <f>AO15*EXP($G15*INDEX(Costs_BAU!$G$5:$G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7.5842668074672069E-3</v>
      </c>
      <c r="AW15" s="11">
        <f>AP15*EXP($G15*INDEX(Costs_BAU!$I$5:$I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0</v>
      </c>
      <c r="AX15" s="11">
        <f t="shared" si="17"/>
        <v>2.5368530840927939E-2</v>
      </c>
      <c r="AY15" s="17">
        <f t="shared" si="18"/>
        <v>-1.2231469159072064</v>
      </c>
    </row>
    <row r="16" spans="1:51" x14ac:dyDescent="0.25">
      <c r="A16" t="s">
        <v>32</v>
      </c>
      <c r="B16" t="s">
        <v>31</v>
      </c>
      <c r="C16" s="11">
        <f>INDEX(Alliance_2025!$H$5:$H$56,MATCH($A16,Alliance_2025!$A$5:$A$56,0))</f>
        <v>3.6000000000000004E-2</v>
      </c>
      <c r="D16" s="11">
        <f>INDEX(Alliance_2025!$G$5:$G$56,MATCH($A16,Alliance_2025!$A$5:$A$56,0))</f>
        <v>1.2E-2</v>
      </c>
      <c r="E16" s="11">
        <f>INDEX(Alliance_2025!$I$5:$I$56,MATCH($A16,Alliance_2025!$A$5:$A$56,0))</f>
        <v>0</v>
      </c>
      <c r="F16" s="11">
        <f t="shared" si="0"/>
        <v>4.8000000000000001E-2</v>
      </c>
      <c r="G16">
        <f>Keys!$C$4</f>
        <v>-8</v>
      </c>
      <c r="I16" s="12">
        <f>IF(INDEX(Costs_BAU!$E$5:$E$52,MATCH($A16,Costs_BAU!$A$5:$A$52,0))&gt;Keys!$C$5,0,Keys!$C$6*EXP($G16*INDEX(Costs_BAU!$E$5:$E$52,MATCH($A16,Costs_BAU!$A$5:$A$52,0))))</f>
        <v>7.0106840547026032E-3</v>
      </c>
      <c r="J16" s="12">
        <f>IF(INDEX(Costs_BAU!$F$5:$F$52,MATCH($A16,Costs_BAU!$A$5:$A$52,0))&gt;Keys!$C$5,0,Keys!$C$7*EXP($G16*INDEX(Costs_BAU!$F$5:$F$52,MATCH($A16,Costs_BAU!$A$5:$A$52,0))))</f>
        <v>2.3522616110840591E-4</v>
      </c>
      <c r="K16" s="12">
        <f>IF(INDEX(Costs_BAU!$D$5:$D$52,MATCH($A16,Costs_BAU!$A$5:$A$52,0))&gt;Keys!$C$5,0,Keys!$C$8*EXP($G16*INDEX(Costs_BAU!$D$5:$D$52,MATCH($A16,Costs_BAU!$A$5:$A$52,0))))</f>
        <v>4.6146784689912498E-7</v>
      </c>
      <c r="L16" s="12">
        <f>IF(INDEX(Costs_BAU!$H$5:$H$52,MATCH($A16,Costs_BAU!$A$5:$A$52,0))&gt;Keys!$C$5,0,Keys!$C$9*EXP($G16*INDEX(Costs_BAU!$H$5:$H$52,MATCH($A16,Costs_BAU!$A$5:$A$52,0))))</f>
        <v>0</v>
      </c>
      <c r="M16" s="12">
        <f t="shared" si="1"/>
        <v>7.2463716836579086E-3</v>
      </c>
      <c r="N16" s="12">
        <f t="shared" si="2"/>
        <v>7.6117349618255344E-3</v>
      </c>
      <c r="O16" s="13">
        <f>$C16*$N16*EXP(-$G16*INDEX(Costs_BAU!$C$5:$C$52,MATCH($A16,Costs_BAU!$A$5:$A$52,0)))</f>
        <v>0.20508136233429569</v>
      </c>
      <c r="P16" s="13">
        <f>$D16*$N16*EXP(-$G16*INDEX(Costs_BAU!$G$5:$G$52,MATCH($A16,Costs_BAU!$A$5:$A$52,0)))</f>
        <v>1.5758225787640461E-2</v>
      </c>
      <c r="Q16" s="13">
        <f>$E16*$N16*EXP(-$G16*INDEX(Costs_BAU!$I$5:$I$52,MATCH($A16,Costs_BAU!$A$5:$A$52,0)))</f>
        <v>0</v>
      </c>
      <c r="R16" s="14">
        <f>MAX(Keys!$C$15,O16,P16,Q16)</f>
        <v>1</v>
      </c>
      <c r="S16" s="13">
        <f t="shared" si="3"/>
        <v>0.20508136233429569</v>
      </c>
      <c r="T16" s="13">
        <f t="shared" si="4"/>
        <v>1.5758225787640461E-2</v>
      </c>
      <c r="U16" s="13">
        <f t="shared" si="5"/>
        <v>0</v>
      </c>
      <c r="V16" s="13">
        <f>Keys!$C$6/$R16</f>
        <v>1</v>
      </c>
      <c r="W16" s="13">
        <f>Keys!$C$7/$R16</f>
        <v>6.7382959534800002E-2</v>
      </c>
      <c r="X16" s="13">
        <f>Keys!$C$8/$R16</f>
        <v>1.00970167475E-4</v>
      </c>
      <c r="Y16" s="13">
        <f>Keys!$C$9/$R16</f>
        <v>0</v>
      </c>
      <c r="Z16" s="11">
        <f>S16*EXP($G16*INDEX(Costs_BAU!$C$5:$C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3.6000000000000004E-2</v>
      </c>
      <c r="AA16" s="11">
        <f>T16*EXP($G16*INDEX(Costs_BAU!$G$5:$G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1.1999999999999999E-2</v>
      </c>
      <c r="AB16" s="11">
        <f>U16*EXP($G16*INDEX(Costs_BAU!$I$5:$I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0</v>
      </c>
      <c r="AC16" s="15">
        <f t="shared" si="6"/>
        <v>1.7347234759768071E-18</v>
      </c>
      <c r="AD16" t="str">
        <f>IF(AC16&gt;Keys!$C$14,"SHARE MISMATCH",IF(ABS(MAX(S16:Y16)-Keys!$C$15)&gt;Keys!$C$14,"MAX WEIGHT &lt;&gt; 1",IF(R16&gt;Keys!$C$15,"ok (rescaled)","ok")))</f>
        <v>ok</v>
      </c>
      <c r="AF16" s="2">
        <v>2</v>
      </c>
      <c r="AG16" s="2">
        <f t="shared" si="7"/>
        <v>-0.68807380624869519</v>
      </c>
      <c r="AH16" s="2">
        <f t="shared" si="8"/>
        <v>-1.8024926811366102</v>
      </c>
      <c r="AI16" s="2" t="str">
        <f t="shared" si="9"/>
        <v/>
      </c>
      <c r="AJ16" s="9">
        <f t="shared" si="10"/>
        <v>0.23983771978951599</v>
      </c>
      <c r="AK16" s="9">
        <f t="shared" si="11"/>
        <v>2.2130378178094778E-2</v>
      </c>
      <c r="AL16" s="9">
        <f t="shared" si="12"/>
        <v>0</v>
      </c>
      <c r="AM16" s="16">
        <f t="shared" si="13"/>
        <v>1</v>
      </c>
      <c r="AN16" s="9">
        <f t="shared" si="14"/>
        <v>0.23983771978951599</v>
      </c>
      <c r="AO16" s="9">
        <f t="shared" si="15"/>
        <v>2.2130378178094778E-2</v>
      </c>
      <c r="AP16" s="9">
        <f t="shared" si="16"/>
        <v>0</v>
      </c>
      <c r="AQ16" s="9">
        <f>Keys!$C$6/AM16</f>
        <v>1</v>
      </c>
      <c r="AR16" s="9">
        <f>Keys!$C$7/AM16</f>
        <v>6.7382959534800002E-2</v>
      </c>
      <c r="AS16" s="9">
        <f>Keys!$C$8/AM16</f>
        <v>1.00970167475E-4</v>
      </c>
      <c r="AT16" s="9">
        <f>Keys!$C$9/AM16</f>
        <v>0</v>
      </c>
      <c r="AU16" s="11">
        <f>AN16*EXP($G16*INDEX(Costs_BAU!$C$5:$C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4.1644972733686336E-2</v>
      </c>
      <c r="AV16" s="11">
        <f>AO16*EXP($G16*INDEX(Costs_BAU!$G$5:$G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1.6669844597128971E-2</v>
      </c>
      <c r="AW16" s="11">
        <f>AP16*EXP($G16*INDEX(Costs_BAU!$I$5:$I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0</v>
      </c>
      <c r="AX16" s="11">
        <f t="shared" si="17"/>
        <v>5.8314817330815311E-2</v>
      </c>
      <c r="AY16" s="17">
        <f t="shared" si="18"/>
        <v>1.0314817330815309</v>
      </c>
    </row>
    <row r="17" spans="1:51" x14ac:dyDescent="0.25">
      <c r="A17" t="s">
        <v>35</v>
      </c>
      <c r="B17" t="s">
        <v>34</v>
      </c>
      <c r="C17" s="11">
        <f>INDEX(Alliance_2025!$H$5:$H$56,MATCH($A17,Alliance_2025!$A$5:$A$56,0))</f>
        <v>6.5500000000000003E-2</v>
      </c>
      <c r="D17" s="11">
        <f>INDEX(Alliance_2025!$G$5:$G$56,MATCH($A17,Alliance_2025!$A$5:$A$56,0))</f>
        <v>1.5800000000000002E-2</v>
      </c>
      <c r="E17" s="11">
        <f>INDEX(Alliance_2025!$I$5:$I$56,MATCH($A17,Alliance_2025!$A$5:$A$56,0))</f>
        <v>0</v>
      </c>
      <c r="F17" s="11">
        <f t="shared" si="0"/>
        <v>8.1300000000000011E-2</v>
      </c>
      <c r="G17">
        <f>Keys!$C$4</f>
        <v>-8</v>
      </c>
      <c r="I17" s="12">
        <f>IF(INDEX(Costs_BAU!$E$5:$E$52,MATCH($A17,Costs_BAU!$A$5:$A$52,0))&gt;Keys!$C$5,0,Keys!$C$6*EXP($G17*INDEX(Costs_BAU!$E$5:$E$52,MATCH($A17,Costs_BAU!$A$5:$A$52,0))))</f>
        <v>8.8730560875543204E-3</v>
      </c>
      <c r="J17" s="12">
        <f>IF(INDEX(Costs_BAU!$F$5:$F$52,MATCH($A17,Costs_BAU!$A$5:$A$52,0))&gt;Keys!$C$5,0,Keys!$C$7*EXP($G17*INDEX(Costs_BAU!$F$5:$F$52,MATCH($A17,Costs_BAU!$A$5:$A$52,0))))</f>
        <v>3.0049870336516267E-4</v>
      </c>
      <c r="K17" s="12">
        <f>IF(INDEX(Costs_BAU!$D$5:$D$52,MATCH($A17,Costs_BAU!$A$5:$A$52,0))&gt;Keys!$C$5,0,Keys!$C$8*EXP($G17*INDEX(Costs_BAU!$D$5:$D$52,MATCH($A17,Costs_BAU!$A$5:$A$52,0))))</f>
        <v>5.9593546479541305E-7</v>
      </c>
      <c r="L17" s="12">
        <f>IF(INDEX(Costs_BAU!$H$5:$H$52,MATCH($A17,Costs_BAU!$A$5:$A$52,0))&gt;Keys!$C$5,0,Keys!$C$9*EXP($G17*INDEX(Costs_BAU!$H$5:$H$52,MATCH($A17,Costs_BAU!$A$5:$A$52,0))))</f>
        <v>0</v>
      </c>
      <c r="M17" s="12">
        <f t="shared" si="1"/>
        <v>9.1741507263842781E-3</v>
      </c>
      <c r="N17" s="12">
        <f t="shared" si="2"/>
        <v>9.9860136349017945E-3</v>
      </c>
      <c r="O17" s="13">
        <f>$C17*$N17*EXP(-$G17*INDEX(Costs_BAU!$C$5:$C$52,MATCH($A17,Costs_BAU!$A$5:$A$52,0)))</f>
        <v>0.31892384412666386</v>
      </c>
      <c r="P17" s="13">
        <f>$D17*$N17*EXP(-$G17*INDEX(Costs_BAU!$G$5:$G$52,MATCH($A17,Costs_BAU!$A$5:$A$52,0)))</f>
        <v>2.2430914938312809E-2</v>
      </c>
      <c r="Q17" s="13">
        <f>$E17*$N17*EXP(-$G17*INDEX(Costs_BAU!$I$5:$I$52,MATCH($A17,Costs_BAU!$A$5:$A$52,0)))</f>
        <v>0</v>
      </c>
      <c r="R17" s="14">
        <f>MAX(Keys!$C$15,O17,P17,Q17)</f>
        <v>1</v>
      </c>
      <c r="S17" s="13">
        <f t="shared" si="3"/>
        <v>0.31892384412666386</v>
      </c>
      <c r="T17" s="13">
        <f t="shared" si="4"/>
        <v>2.2430914938312809E-2</v>
      </c>
      <c r="U17" s="13">
        <f t="shared" si="5"/>
        <v>0</v>
      </c>
      <c r="V17" s="13">
        <f>Keys!$C$6/$R17</f>
        <v>1</v>
      </c>
      <c r="W17" s="13">
        <f>Keys!$C$7/$R17</f>
        <v>6.7382959534800002E-2</v>
      </c>
      <c r="X17" s="13">
        <f>Keys!$C$8/$R17</f>
        <v>1.00970167475E-4</v>
      </c>
      <c r="Y17" s="13">
        <f>Keys!$C$9/$R17</f>
        <v>0</v>
      </c>
      <c r="Z17" s="11">
        <f>S17*EXP($G17*INDEX(Costs_BAU!$C$5:$C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6.5499999999999989E-2</v>
      </c>
      <c r="AA17" s="11">
        <f>T17*EXP($G17*INDEX(Costs_BAU!$G$5:$G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1.5800000000000002E-2</v>
      </c>
      <c r="AB17" s="11">
        <f>U17*EXP($G17*INDEX(Costs_BAU!$I$5:$I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0</v>
      </c>
      <c r="AC17" s="15">
        <f t="shared" si="6"/>
        <v>1.3877787807814457E-17</v>
      </c>
      <c r="AD17" t="str">
        <f>IF(AC17&gt;Keys!$C$14,"SHARE MISMATCH",IF(ABS(MAX(S17:Y17)-Keys!$C$15)&gt;Keys!$C$14,"MAX WEIGHT &lt;&gt; 1",IF(R17&gt;Keys!$C$15,"ok (rescaled)","ok")))</f>
        <v>ok</v>
      </c>
      <c r="AF17" s="2">
        <v>2</v>
      </c>
      <c r="AG17" s="2">
        <f t="shared" si="7"/>
        <v>-0.49631300980840476</v>
      </c>
      <c r="AH17" s="2">
        <f t="shared" si="8"/>
        <v>-1.64915301154603</v>
      </c>
      <c r="AI17" s="2" t="str">
        <f t="shared" si="9"/>
        <v/>
      </c>
      <c r="AJ17" s="9">
        <f t="shared" si="10"/>
        <v>0.23983771978951599</v>
      </c>
      <c r="AK17" s="9">
        <f t="shared" si="11"/>
        <v>2.2130378178094778E-2</v>
      </c>
      <c r="AL17" s="9">
        <f t="shared" si="12"/>
        <v>0</v>
      </c>
      <c r="AM17" s="16">
        <f t="shared" si="13"/>
        <v>1</v>
      </c>
      <c r="AN17" s="9">
        <f t="shared" si="14"/>
        <v>0.23983771978951599</v>
      </c>
      <c r="AO17" s="9">
        <f t="shared" si="15"/>
        <v>2.2130378178094778E-2</v>
      </c>
      <c r="AP17" s="9">
        <f t="shared" si="16"/>
        <v>0</v>
      </c>
      <c r="AQ17" s="9">
        <f>Keys!$C$6/AM17</f>
        <v>1</v>
      </c>
      <c r="AR17" s="9">
        <f>Keys!$C$7/AM17</f>
        <v>6.7382959534800002E-2</v>
      </c>
      <c r="AS17" s="9">
        <f>Keys!$C$8/AM17</f>
        <v>1.00970167475E-4</v>
      </c>
      <c r="AT17" s="9">
        <f>Keys!$C$9/AM17</f>
        <v>0</v>
      </c>
      <c r="AU17" s="11">
        <f>AN17*EXP($G17*INDEX(Costs_BAU!$C$5:$C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5.0081489142617633E-2</v>
      </c>
      <c r="AV17" s="11">
        <f>AO17*EXP($G17*INDEX(Costs_BAU!$G$5:$G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1.5849091457421277E-2</v>
      </c>
      <c r="AW17" s="11">
        <f>AP17*EXP($G17*INDEX(Costs_BAU!$I$5:$I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0</v>
      </c>
      <c r="AX17" s="11">
        <f t="shared" si="17"/>
        <v>6.593058060003891E-2</v>
      </c>
      <c r="AY17" s="17">
        <f t="shared" si="18"/>
        <v>-1.5369419399961102</v>
      </c>
    </row>
    <row r="18" spans="1:51" x14ac:dyDescent="0.25">
      <c r="A18" t="s">
        <v>38</v>
      </c>
      <c r="B18" t="s">
        <v>37</v>
      </c>
      <c r="C18" s="11">
        <f>INDEX(Alliance_2025!$H$5:$H$56,MATCH($A18,Alliance_2025!$A$5:$A$56,0))</f>
        <v>4.24E-2</v>
      </c>
      <c r="D18" s="11">
        <f>INDEX(Alliance_2025!$G$5:$G$56,MATCH($A18,Alliance_2025!$A$5:$A$56,0))</f>
        <v>1.0500000000000001E-2</v>
      </c>
      <c r="E18" s="11">
        <f>INDEX(Alliance_2025!$I$5:$I$56,MATCH($A18,Alliance_2025!$A$5:$A$56,0))</f>
        <v>0</v>
      </c>
      <c r="F18" s="11">
        <f t="shared" si="0"/>
        <v>5.2900000000000003E-2</v>
      </c>
      <c r="G18">
        <f>Keys!$C$4</f>
        <v>-8</v>
      </c>
      <c r="I18" s="12">
        <f>IF(INDEX(Costs_BAU!$E$5:$E$52,MATCH($A18,Costs_BAU!$A$5:$A$52,0))&gt;Keys!$C$5,0,Keys!$C$6*EXP($G18*INDEX(Costs_BAU!$E$5:$E$52,MATCH($A18,Costs_BAU!$A$5:$A$52,0))))</f>
        <v>2.1269354460403903E-2</v>
      </c>
      <c r="J18" s="12">
        <f>IF(INDEX(Costs_BAU!$F$5:$F$52,MATCH($A18,Costs_BAU!$A$5:$A$52,0))&gt;Keys!$C$5,0,Keys!$C$7*EXP($G18*INDEX(Costs_BAU!$F$5:$F$52,MATCH($A18,Costs_BAU!$A$5:$A$52,0))))</f>
        <v>8.1910431054132082E-4</v>
      </c>
      <c r="K18" s="12">
        <f>IF(INDEX(Costs_BAU!$D$5:$D$52,MATCH($A18,Costs_BAU!$A$5:$A$52,0))&gt;Keys!$C$5,0,Keys!$C$8*EXP($G18*INDEX(Costs_BAU!$D$5:$D$52,MATCH($A18,Costs_BAU!$A$5:$A$52,0))))</f>
        <v>1.6094702726793526E-6</v>
      </c>
      <c r="L18" s="12">
        <f>IF(INDEX(Costs_BAU!$H$5:$H$52,MATCH($A18,Costs_BAU!$A$5:$A$52,0))&gt;Keys!$C$5,0,Keys!$C$9*EXP($G18*INDEX(Costs_BAU!$H$5:$H$52,MATCH($A18,Costs_BAU!$A$5:$A$52,0))))</f>
        <v>0</v>
      </c>
      <c r="M18" s="12">
        <f t="shared" si="1"/>
        <v>2.2090068241217901E-2</v>
      </c>
      <c r="N18" s="12">
        <f t="shared" si="2"/>
        <v>2.3323902693715447E-2</v>
      </c>
      <c r="O18" s="13">
        <f>$C18*$N18*EXP(-$G18*INDEX(Costs_BAU!$C$5:$C$52,MATCH($A18,Costs_BAU!$A$5:$A$52,0)))</f>
        <v>0.16968635877744812</v>
      </c>
      <c r="P18" s="13">
        <f>$D18*$N18*EXP(-$G18*INDEX(Costs_BAU!$G$5:$G$52,MATCH($A18,Costs_BAU!$A$5:$A$52,0)))</f>
        <v>1.373938711074491E-2</v>
      </c>
      <c r="Q18" s="13">
        <f>$E18*$N18*EXP(-$G18*INDEX(Costs_BAU!$I$5:$I$52,MATCH($A18,Costs_BAU!$A$5:$A$52,0)))</f>
        <v>0</v>
      </c>
      <c r="R18" s="14">
        <f>MAX(Keys!$C$15,O18,P18,Q18)</f>
        <v>1</v>
      </c>
      <c r="S18" s="13">
        <f t="shared" si="3"/>
        <v>0.16968635877744812</v>
      </c>
      <c r="T18" s="13">
        <f t="shared" si="4"/>
        <v>1.373938711074491E-2</v>
      </c>
      <c r="U18" s="13">
        <f t="shared" si="5"/>
        <v>0</v>
      </c>
      <c r="V18" s="13">
        <f>Keys!$C$6/$R18</f>
        <v>1</v>
      </c>
      <c r="W18" s="13">
        <f>Keys!$C$7/$R18</f>
        <v>6.7382959534800002E-2</v>
      </c>
      <c r="X18" s="13">
        <f>Keys!$C$8/$R18</f>
        <v>1.00970167475E-4</v>
      </c>
      <c r="Y18" s="13">
        <f>Keys!$C$9/$R18</f>
        <v>0</v>
      </c>
      <c r="Z18" s="11">
        <f>S18*EXP($G18*INDEX(Costs_BAU!$C$5:$C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4.24E-2</v>
      </c>
      <c r="AA18" s="11">
        <f>T18*EXP($G18*INDEX(Costs_BAU!$G$5:$G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1.0500000000000001E-2</v>
      </c>
      <c r="AB18" s="11">
        <f>U18*EXP($G18*INDEX(Costs_BAU!$I$5:$I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0</v>
      </c>
      <c r="AC18" s="15">
        <f t="shared" si="6"/>
        <v>0</v>
      </c>
      <c r="AD18" t="str">
        <f>IF(AC18&gt;Keys!$C$14,"SHARE MISMATCH",IF(ABS(MAX(S18:Y18)-Keys!$C$15)&gt;Keys!$C$14,"MAX WEIGHT &lt;&gt; 1",IF(R18&gt;Keys!$C$15,"ok (rescaled)","ok")))</f>
        <v>ok</v>
      </c>
      <c r="AF18" s="2">
        <v>2</v>
      </c>
      <c r="AG18" s="2">
        <f t="shared" si="7"/>
        <v>-0.7703530695609585</v>
      </c>
      <c r="AH18" s="2">
        <f t="shared" si="8"/>
        <v>-1.8620326399371814</v>
      </c>
      <c r="AI18" s="2" t="str">
        <f t="shared" si="9"/>
        <v/>
      </c>
      <c r="AJ18" s="9">
        <f t="shared" si="10"/>
        <v>0.23983771978951599</v>
      </c>
      <c r="AK18" s="9">
        <f t="shared" si="11"/>
        <v>2.2130378178094778E-2</v>
      </c>
      <c r="AL18" s="9">
        <f t="shared" si="12"/>
        <v>0</v>
      </c>
      <c r="AM18" s="16">
        <f t="shared" si="13"/>
        <v>1</v>
      </c>
      <c r="AN18" s="9">
        <f t="shared" si="14"/>
        <v>0.23983771978951599</v>
      </c>
      <c r="AO18" s="9">
        <f t="shared" si="15"/>
        <v>2.2130378178094778E-2</v>
      </c>
      <c r="AP18" s="9">
        <f t="shared" si="16"/>
        <v>0</v>
      </c>
      <c r="AQ18" s="9">
        <f>Keys!$C$6/AM18</f>
        <v>1</v>
      </c>
      <c r="AR18" s="9">
        <f>Keys!$C$7/AM18</f>
        <v>6.7382959534800002E-2</v>
      </c>
      <c r="AS18" s="9">
        <f>Keys!$C$8/AM18</f>
        <v>1.00970167475E-4</v>
      </c>
      <c r="AT18" s="9">
        <f>Keys!$C$9/AM18</f>
        <v>0</v>
      </c>
      <c r="AU18" s="11">
        <f>AN18*EXP($G18*INDEX(Costs_BAU!$C$5:$C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5.8527672649745011E-2</v>
      </c>
      <c r="AV18" s="11">
        <f>AO18*EXP($G18*INDEX(Costs_BAU!$G$5:$G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1.6517169157349409E-2</v>
      </c>
      <c r="AW18" s="11">
        <f>AP18*EXP($G18*INDEX(Costs_BAU!$I$5:$I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0</v>
      </c>
      <c r="AX18" s="11">
        <f t="shared" si="17"/>
        <v>7.504484180709442E-2</v>
      </c>
      <c r="AY18" s="17">
        <f t="shared" si="18"/>
        <v>2.2144841807094418</v>
      </c>
    </row>
    <row r="19" spans="1:51" x14ac:dyDescent="0.25">
      <c r="A19" t="s">
        <v>40</v>
      </c>
      <c r="B19" t="s">
        <v>39</v>
      </c>
      <c r="C19" s="11">
        <f>INDEX(Alliance_2025!$H$5:$H$56,MATCH($A19,Alliance_2025!$A$5:$A$56,0))</f>
        <v>3.6499999999999998E-2</v>
      </c>
      <c r="D19" s="11">
        <f>INDEX(Alliance_2025!$G$5:$G$56,MATCH($A19,Alliance_2025!$A$5:$A$56,0))</f>
        <v>9.0000000000000011E-3</v>
      </c>
      <c r="E19" s="11">
        <f>INDEX(Alliance_2025!$I$5:$I$56,MATCH($A19,Alliance_2025!$A$5:$A$56,0))</f>
        <v>0</v>
      </c>
      <c r="F19" s="11">
        <f t="shared" si="0"/>
        <v>4.5499999999999999E-2</v>
      </c>
      <c r="G19">
        <f>Keys!$C$4</f>
        <v>-8</v>
      </c>
      <c r="I19" s="12">
        <f>IF(INDEX(Costs_BAU!$E$5:$E$52,MATCH($A19,Costs_BAU!$A$5:$A$52,0))&gt;Keys!$C$5,0,Keys!$C$6*EXP($G19*INDEX(Costs_BAU!$E$5:$E$52,MATCH($A19,Costs_BAU!$A$5:$A$52,0))))</f>
        <v>6.1621034350516156E-2</v>
      </c>
      <c r="J19" s="12">
        <f>IF(INDEX(Costs_BAU!$F$5:$F$52,MATCH($A19,Costs_BAU!$A$5:$A$52,0))&gt;Keys!$C$5,0,Keys!$C$7*EXP($G19*INDEX(Costs_BAU!$F$5:$F$52,MATCH($A19,Costs_BAU!$A$5:$A$52,0))))</f>
        <v>2.8106286018643322E-3</v>
      </c>
      <c r="K19" s="12">
        <f>IF(INDEX(Costs_BAU!$D$5:$D$52,MATCH($A19,Costs_BAU!$A$5:$A$52,0))&gt;Keys!$C$5,0,Keys!$C$8*EXP($G19*INDEX(Costs_BAU!$D$5:$D$52,MATCH($A19,Costs_BAU!$A$5:$A$52,0))))</f>
        <v>5.4651583782536112E-6</v>
      </c>
      <c r="L19" s="12">
        <f>IF(INDEX(Costs_BAU!$H$5:$H$52,MATCH($A19,Costs_BAU!$A$5:$A$52,0))&gt;Keys!$C$5,0,Keys!$C$9*EXP($G19*INDEX(Costs_BAU!$H$5:$H$52,MATCH($A19,Costs_BAU!$A$5:$A$52,0))))</f>
        <v>0</v>
      </c>
      <c r="M19" s="12">
        <f t="shared" si="1"/>
        <v>6.4437128110758746E-2</v>
      </c>
      <c r="N19" s="12">
        <f t="shared" si="2"/>
        <v>6.7508777486389462E-2</v>
      </c>
      <c r="O19" s="13">
        <f>$C19*$N19*EXP(-$G19*INDEX(Costs_BAU!$C$5:$C$52,MATCH($A19,Costs_BAU!$A$5:$A$52,0)))</f>
        <v>9.2844551728113733E-2</v>
      </c>
      <c r="P19" s="13">
        <f>$D19*$N19*EXP(-$G19*INDEX(Costs_BAU!$G$5:$G$52,MATCH($A19,Costs_BAU!$A$5:$A$52,0)))</f>
        <v>1.1002284407143367E-2</v>
      </c>
      <c r="Q19" s="13">
        <f>$E19*$N19*EXP(-$G19*INDEX(Costs_BAU!$I$5:$I$52,MATCH($A19,Costs_BAU!$A$5:$A$52,0)))</f>
        <v>0</v>
      </c>
      <c r="R19" s="14">
        <f>MAX(Keys!$C$15,O19,P19,Q19)</f>
        <v>1</v>
      </c>
      <c r="S19" s="13">
        <f t="shared" si="3"/>
        <v>9.2844551728113733E-2</v>
      </c>
      <c r="T19" s="13">
        <f t="shared" si="4"/>
        <v>1.1002284407143367E-2</v>
      </c>
      <c r="U19" s="13">
        <f t="shared" si="5"/>
        <v>0</v>
      </c>
      <c r="V19" s="13">
        <f>Keys!$C$6/$R19</f>
        <v>1</v>
      </c>
      <c r="W19" s="13">
        <f>Keys!$C$7/$R19</f>
        <v>6.7382959534800002E-2</v>
      </c>
      <c r="X19" s="13">
        <f>Keys!$C$8/$R19</f>
        <v>1.00970167475E-4</v>
      </c>
      <c r="Y19" s="13">
        <f>Keys!$C$9/$R19</f>
        <v>0</v>
      </c>
      <c r="Z19" s="11">
        <f>S19*EXP($G19*INDEX(Costs_BAU!$C$5:$C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3.6499999999999991E-2</v>
      </c>
      <c r="AA19" s="11">
        <f>T19*EXP($G19*INDEX(Costs_BAU!$G$5:$G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8.9999999999999993E-3</v>
      </c>
      <c r="AB19" s="11">
        <f>U19*EXP($G19*INDEX(Costs_BAU!$I$5:$I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0</v>
      </c>
      <c r="AC19" s="15">
        <f t="shared" si="6"/>
        <v>6.9388939039072284E-18</v>
      </c>
      <c r="AD19" t="str">
        <f>IF(AC19&gt;Keys!$C$14,"SHARE MISMATCH",IF(ABS(MAX(S19:Y19)-Keys!$C$15)&gt;Keys!$C$14,"MAX WEIGHT &lt;&gt; 1",IF(R19&gt;Keys!$C$15,"ok (rescaled)","ok")))</f>
        <v>ok</v>
      </c>
      <c r="AF19" s="2">
        <v>1</v>
      </c>
      <c r="AG19" s="2">
        <f t="shared" si="7"/>
        <v>-1.0322435762951183</v>
      </c>
      <c r="AH19" s="2">
        <f t="shared" si="8"/>
        <v>-1.9585171328041291</v>
      </c>
      <c r="AI19" s="2" t="str">
        <f t="shared" si="9"/>
        <v/>
      </c>
      <c r="AJ19" s="9">
        <f t="shared" si="10"/>
        <v>9.2125264583003991E-2</v>
      </c>
      <c r="AK19" s="9">
        <f t="shared" si="11"/>
        <v>9.8662431120855477E-3</v>
      </c>
      <c r="AL19" s="9">
        <f t="shared" si="12"/>
        <v>0</v>
      </c>
      <c r="AM19" s="16">
        <f t="shared" si="13"/>
        <v>1</v>
      </c>
      <c r="AN19" s="9">
        <f t="shared" si="14"/>
        <v>9.2125264583003991E-2</v>
      </c>
      <c r="AO19" s="9">
        <f t="shared" si="15"/>
        <v>9.8662431120855477E-3</v>
      </c>
      <c r="AP19" s="9">
        <f t="shared" si="16"/>
        <v>0</v>
      </c>
      <c r="AQ19" s="9">
        <f>Keys!$C$6/AM19</f>
        <v>1</v>
      </c>
      <c r="AR19" s="9">
        <f>Keys!$C$7/AM19</f>
        <v>6.7382959534800002E-2</v>
      </c>
      <c r="AS19" s="9">
        <f>Keys!$C$8/AM19</f>
        <v>1.00970167475E-4</v>
      </c>
      <c r="AT19" s="9">
        <f>Keys!$C$9/AM19</f>
        <v>0</v>
      </c>
      <c r="AU19" s="11">
        <f>AN19*EXP($G19*INDEX(Costs_BAU!$C$5:$C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3.6261177523240498E-2</v>
      </c>
      <c r="AV19" s="11">
        <f>AO19*EXP($G19*INDEX(Costs_BAU!$G$5:$G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8.0804987785519089E-3</v>
      </c>
      <c r="AW19" s="11">
        <f>AP19*EXP($G19*INDEX(Costs_BAU!$I$5:$I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0</v>
      </c>
      <c r="AX19" s="11">
        <f t="shared" si="17"/>
        <v>4.4341676301792407E-2</v>
      </c>
      <c r="AY19" s="17">
        <f t="shared" si="18"/>
        <v>-0.11583236982075917</v>
      </c>
    </row>
    <row r="20" spans="1:51" x14ac:dyDescent="0.25">
      <c r="A20" t="s">
        <v>43</v>
      </c>
      <c r="B20" t="s">
        <v>42</v>
      </c>
      <c r="C20" s="11">
        <f>INDEX(Alliance_2025!$H$5:$H$56,MATCH($A20,Alliance_2025!$A$5:$A$56,0))</f>
        <v>2.8900000000000002E-2</v>
      </c>
      <c r="D20" s="11">
        <f>INDEX(Alliance_2025!$G$5:$G$56,MATCH($A20,Alliance_2025!$A$5:$A$56,0))</f>
        <v>9.1000000000000004E-3</v>
      </c>
      <c r="E20" s="11">
        <f>INDEX(Alliance_2025!$I$5:$I$56,MATCH($A20,Alliance_2025!$A$5:$A$56,0))</f>
        <v>0</v>
      </c>
      <c r="F20" s="11">
        <f t="shared" si="0"/>
        <v>3.8000000000000006E-2</v>
      </c>
      <c r="G20">
        <f>Keys!$C$4</f>
        <v>-8</v>
      </c>
      <c r="I20" s="12">
        <f>IF(INDEX(Costs_BAU!$E$5:$E$52,MATCH($A20,Costs_BAU!$A$5:$A$52,0))&gt;Keys!$C$5,0,Keys!$C$6*EXP($G20*INDEX(Costs_BAU!$E$5:$E$52,MATCH($A20,Costs_BAU!$A$5:$A$52,0))))</f>
        <v>2.0228313450750861E-2</v>
      </c>
      <c r="J20" s="12">
        <f>IF(INDEX(Costs_BAU!$F$5:$F$52,MATCH($A20,Costs_BAU!$A$5:$A$52,0))&gt;Keys!$C$5,0,Keys!$C$7*EXP($G20*INDEX(Costs_BAU!$F$5:$F$52,MATCH($A20,Costs_BAU!$A$5:$A$52,0))))</f>
        <v>7.8789390229982157E-4</v>
      </c>
      <c r="K20" s="12">
        <f>IF(INDEX(Costs_BAU!$D$5:$D$52,MATCH($A20,Costs_BAU!$A$5:$A$52,0))&gt;Keys!$C$5,0,Keys!$C$8*EXP($G20*INDEX(Costs_BAU!$D$5:$D$52,MATCH($A20,Costs_BAU!$A$5:$A$52,0))))</f>
        <v>1.5329363845581642E-6</v>
      </c>
      <c r="L20" s="12">
        <f>IF(INDEX(Costs_BAU!$H$5:$H$52,MATCH($A20,Costs_BAU!$A$5:$A$52,0))&gt;Keys!$C$5,0,Keys!$C$9*EXP($G20*INDEX(Costs_BAU!$H$5:$H$52,MATCH($A20,Costs_BAU!$A$5:$A$52,0))))</f>
        <v>0</v>
      </c>
      <c r="M20" s="12">
        <f t="shared" si="1"/>
        <v>2.1017740289435243E-2</v>
      </c>
      <c r="N20" s="12">
        <f t="shared" si="2"/>
        <v>2.1847962878830816E-2</v>
      </c>
      <c r="O20" s="13">
        <f>$C20*$N20*EXP(-$G20*INDEX(Costs_BAU!$C$5:$C$52,MATCH($A20,Costs_BAU!$A$5:$A$52,0)))</f>
        <v>0.11479937059418024</v>
      </c>
      <c r="P20" s="13">
        <f>$D20*$N20*EXP(-$G20*INDEX(Costs_BAU!$G$5:$G$52,MATCH($A20,Costs_BAU!$A$5:$A$52,0)))</f>
        <v>1.1454089406540044E-2</v>
      </c>
      <c r="Q20" s="13">
        <f>$E20*$N20*EXP(-$G20*INDEX(Costs_BAU!$I$5:$I$52,MATCH($A20,Costs_BAU!$A$5:$A$52,0)))</f>
        <v>0</v>
      </c>
      <c r="R20" s="14">
        <f>MAX(Keys!$C$15,O20,P20,Q20)</f>
        <v>1</v>
      </c>
      <c r="S20" s="13">
        <f t="shared" si="3"/>
        <v>0.11479937059418024</v>
      </c>
      <c r="T20" s="13">
        <f t="shared" si="4"/>
        <v>1.1454089406540044E-2</v>
      </c>
      <c r="U20" s="13">
        <f t="shared" si="5"/>
        <v>0</v>
      </c>
      <c r="V20" s="13">
        <f>Keys!$C$6/$R20</f>
        <v>1</v>
      </c>
      <c r="W20" s="13">
        <f>Keys!$C$7/$R20</f>
        <v>6.7382959534800002E-2</v>
      </c>
      <c r="X20" s="13">
        <f>Keys!$C$8/$R20</f>
        <v>1.00970167475E-4</v>
      </c>
      <c r="Y20" s="13">
        <f>Keys!$C$9/$R20</f>
        <v>0</v>
      </c>
      <c r="Z20" s="11">
        <f>S20*EXP($G20*INDEX(Costs_BAU!$C$5:$C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2.8899999999999999E-2</v>
      </c>
      <c r="AA20" s="11">
        <f>T20*EXP($G20*INDEX(Costs_BAU!$G$5:$G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9.1000000000000004E-3</v>
      </c>
      <c r="AB20" s="11">
        <f>U20*EXP($G20*INDEX(Costs_BAU!$I$5:$I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0</v>
      </c>
      <c r="AC20" s="15">
        <f t="shared" si="6"/>
        <v>3.4694469519536142E-18</v>
      </c>
      <c r="AD20" t="str">
        <f>IF(AC20&gt;Keys!$C$14,"SHARE MISMATCH",IF(ABS(MAX(S20:Y20)-Keys!$C$15)&gt;Keys!$C$14,"MAX WEIGHT &lt;&gt; 1",IF(R20&gt;Keys!$C$15,"ok (rescaled)","ok")))</f>
        <v>ok</v>
      </c>
      <c r="AF20" s="2">
        <v>1</v>
      </c>
      <c r="AG20" s="2">
        <f t="shared" si="7"/>
        <v>-0.9400604930201335</v>
      </c>
      <c r="AH20" s="2">
        <f t="shared" si="8"/>
        <v>-1.9410394312615018</v>
      </c>
      <c r="AI20" s="2" t="str">
        <f t="shared" si="9"/>
        <v/>
      </c>
      <c r="AJ20" s="9">
        <f t="shared" si="10"/>
        <v>9.2125264583003991E-2</v>
      </c>
      <c r="AK20" s="9">
        <f t="shared" si="11"/>
        <v>9.8662431120855477E-3</v>
      </c>
      <c r="AL20" s="9">
        <f t="shared" si="12"/>
        <v>0</v>
      </c>
      <c r="AM20" s="16">
        <f t="shared" si="13"/>
        <v>1</v>
      </c>
      <c r="AN20" s="9">
        <f t="shared" si="14"/>
        <v>9.2125264583003991E-2</v>
      </c>
      <c r="AO20" s="9">
        <f t="shared" si="15"/>
        <v>9.8662431120855477E-3</v>
      </c>
      <c r="AP20" s="9">
        <f t="shared" si="16"/>
        <v>0</v>
      </c>
      <c r="AQ20" s="9">
        <f>Keys!$C$6/AM20</f>
        <v>1</v>
      </c>
      <c r="AR20" s="9">
        <f>Keys!$C$7/AM20</f>
        <v>6.7382959534800002E-2</v>
      </c>
      <c r="AS20" s="9">
        <f>Keys!$C$8/AM20</f>
        <v>1.00970167475E-4</v>
      </c>
      <c r="AT20" s="9">
        <f>Keys!$C$9/AM20</f>
        <v>0</v>
      </c>
      <c r="AU20" s="11">
        <f>AN20*EXP($G20*INDEX(Costs_BAU!$C$5:$C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2.3354712476259684E-2</v>
      </c>
      <c r="AV20" s="11">
        <f>AO20*EXP($G20*INDEX(Costs_BAU!$G$5:$G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7.8935084324741073E-3</v>
      </c>
      <c r="AW20" s="11">
        <f>AP20*EXP($G20*INDEX(Costs_BAU!$I$5:$I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0</v>
      </c>
      <c r="AX20" s="11">
        <f t="shared" si="17"/>
        <v>3.124822090873379E-2</v>
      </c>
      <c r="AY20" s="17">
        <f t="shared" si="18"/>
        <v>-0.67517790912662168</v>
      </c>
    </row>
    <row r="21" spans="1:51" x14ac:dyDescent="0.25">
      <c r="A21" t="s">
        <v>46</v>
      </c>
      <c r="B21" t="s">
        <v>45</v>
      </c>
      <c r="C21" s="11">
        <f>INDEX(Alliance_2025!$H$5:$H$56,MATCH($A21,Alliance_2025!$A$5:$A$56,0))</f>
        <v>3.0499999999999999E-2</v>
      </c>
      <c r="D21" s="11">
        <f>INDEX(Alliance_2025!$G$5:$G$56,MATCH($A21,Alliance_2025!$A$5:$A$56,0))</f>
        <v>4.4000000000000003E-3</v>
      </c>
      <c r="E21" s="11">
        <f>INDEX(Alliance_2025!$I$5:$I$56,MATCH($A21,Alliance_2025!$A$5:$A$56,0))</f>
        <v>0</v>
      </c>
      <c r="F21" s="11">
        <f t="shared" si="0"/>
        <v>3.49E-2</v>
      </c>
      <c r="G21">
        <f>Keys!$C$4</f>
        <v>-8</v>
      </c>
      <c r="I21" s="12">
        <f>IF(INDEX(Costs_BAU!$E$5:$E$52,MATCH($A21,Costs_BAU!$A$5:$A$52,0))&gt;Keys!$C$5,0,Keys!$C$6*EXP($G21*INDEX(Costs_BAU!$E$5:$E$52,MATCH($A21,Costs_BAU!$A$5:$A$52,0))))</f>
        <v>1.9018634828865566E-2</v>
      </c>
      <c r="J21" s="12">
        <f>IF(INDEX(Costs_BAU!$F$5:$F$52,MATCH($A21,Costs_BAU!$A$5:$A$52,0))&gt;Keys!$C$5,0,Keys!$C$7*EXP($G21*INDEX(Costs_BAU!$F$5:$F$52,MATCH($A21,Costs_BAU!$A$5:$A$52,0))))</f>
        <v>7.3109209666316697E-4</v>
      </c>
      <c r="K21" s="12">
        <f>IF(INDEX(Costs_BAU!$D$5:$D$52,MATCH($A21,Costs_BAU!$A$5:$A$52,0))&gt;Keys!$C$5,0,Keys!$C$8*EXP($G21*INDEX(Costs_BAU!$D$5:$D$52,MATCH($A21,Costs_BAU!$A$5:$A$52,0))))</f>
        <v>1.3961648736159601E-6</v>
      </c>
      <c r="L21" s="12">
        <f>IF(INDEX(Costs_BAU!$H$5:$H$52,MATCH($A21,Costs_BAU!$A$5:$A$52,0))&gt;Keys!$C$5,0,Keys!$C$9*EXP($G21*INDEX(Costs_BAU!$H$5:$H$52,MATCH($A21,Costs_BAU!$A$5:$A$52,0))))</f>
        <v>0</v>
      </c>
      <c r="M21" s="12">
        <f t="shared" si="1"/>
        <v>1.9751123090402348E-2</v>
      </c>
      <c r="N21" s="12">
        <f t="shared" si="2"/>
        <v>2.0465364304634078E-2</v>
      </c>
      <c r="O21" s="13">
        <f>$C21*$N21*EXP(-$G21*INDEX(Costs_BAU!$C$5:$C$52,MATCH($A21,Costs_BAU!$A$5:$A$52,0)))</f>
        <v>0.12879851907863432</v>
      </c>
      <c r="P21" s="13">
        <f>$D21*$N21*EXP(-$G21*INDEX(Costs_BAU!$G$5:$G$52,MATCH($A21,Costs_BAU!$A$5:$A$52,0)))</f>
        <v>5.5627198654169888E-3</v>
      </c>
      <c r="Q21" s="13">
        <f>$E21*$N21*EXP(-$G21*INDEX(Costs_BAU!$I$5:$I$52,MATCH($A21,Costs_BAU!$A$5:$A$52,0)))</f>
        <v>0</v>
      </c>
      <c r="R21" s="14">
        <f>MAX(Keys!$C$15,O21,P21,Q21)</f>
        <v>1</v>
      </c>
      <c r="S21" s="13">
        <f t="shared" si="3"/>
        <v>0.12879851907863432</v>
      </c>
      <c r="T21" s="13">
        <f t="shared" si="4"/>
        <v>5.5627198654169888E-3</v>
      </c>
      <c r="U21" s="13">
        <f t="shared" si="5"/>
        <v>0</v>
      </c>
      <c r="V21" s="13">
        <f>Keys!$C$6/$R21</f>
        <v>1</v>
      </c>
      <c r="W21" s="13">
        <f>Keys!$C$7/$R21</f>
        <v>6.7382959534800002E-2</v>
      </c>
      <c r="X21" s="13">
        <f>Keys!$C$8/$R21</f>
        <v>1.00970167475E-4</v>
      </c>
      <c r="Y21" s="13">
        <f>Keys!$C$9/$R21</f>
        <v>0</v>
      </c>
      <c r="Z21" s="11">
        <f>S21*EXP($G21*INDEX(Costs_BAU!$C$5:$C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3.0499999999999999E-2</v>
      </c>
      <c r="AA21" s="11">
        <f>T21*EXP($G21*INDEX(Costs_BAU!$G$5:$G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4.4000000000000003E-3</v>
      </c>
      <c r="AB21" s="11">
        <f>U21*EXP($G21*INDEX(Costs_BAU!$I$5:$I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0</v>
      </c>
      <c r="AC21" s="15">
        <f t="shared" si="6"/>
        <v>0</v>
      </c>
      <c r="AD21" t="str">
        <f>IF(AC21&gt;Keys!$C$14,"SHARE MISMATCH",IF(ABS(MAX(S21:Y21)-Keys!$C$15)&gt;Keys!$C$14,"MAX WEIGHT &lt;&gt; 1",IF(R21&gt;Keys!$C$15,"ok (rescaled)","ok")))</f>
        <v>ok</v>
      </c>
      <c r="AF21" s="2">
        <v>1</v>
      </c>
      <c r="AG21" s="2">
        <f t="shared" si="7"/>
        <v>-0.89008913045194216</v>
      </c>
      <c r="AH21" s="2">
        <f t="shared" si="8"/>
        <v>-2.2547128102671388</v>
      </c>
      <c r="AI21" s="2" t="str">
        <f t="shared" si="9"/>
        <v/>
      </c>
      <c r="AJ21" s="9">
        <f t="shared" si="10"/>
        <v>9.2125264583003991E-2</v>
      </c>
      <c r="AK21" s="9">
        <f t="shared" si="11"/>
        <v>9.8662431120855477E-3</v>
      </c>
      <c r="AL21" s="9">
        <f t="shared" si="12"/>
        <v>0</v>
      </c>
      <c r="AM21" s="16">
        <f t="shared" si="13"/>
        <v>1</v>
      </c>
      <c r="AN21" s="9">
        <f t="shared" si="14"/>
        <v>9.2125264583003991E-2</v>
      </c>
      <c r="AO21" s="9">
        <f t="shared" si="15"/>
        <v>9.8662431120855477E-3</v>
      </c>
      <c r="AP21" s="9">
        <f t="shared" si="16"/>
        <v>0</v>
      </c>
      <c r="AQ21" s="9">
        <f>Keys!$C$6/AM21</f>
        <v>1</v>
      </c>
      <c r="AR21" s="9">
        <f>Keys!$C$7/AM21</f>
        <v>6.7382959534800002E-2</v>
      </c>
      <c r="AS21" s="9">
        <f>Keys!$C$8/AM21</f>
        <v>1.00970167475E-4</v>
      </c>
      <c r="AT21" s="9">
        <f>Keys!$C$9/AM21</f>
        <v>0</v>
      </c>
      <c r="AU21" s="11">
        <f>AN21*EXP($G21*INDEX(Costs_BAU!$C$5:$C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2.1931434043715996E-2</v>
      </c>
      <c r="AV21" s="11">
        <f>AO21*EXP($G21*INDEX(Costs_BAU!$G$5:$G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7.8454274651656736E-3</v>
      </c>
      <c r="AW21" s="11">
        <f>AP21*EXP($G21*INDEX(Costs_BAU!$I$5:$I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0</v>
      </c>
      <c r="AX21" s="11">
        <f t="shared" si="17"/>
        <v>2.9776861508881668E-2</v>
      </c>
      <c r="AY21" s="17">
        <f t="shared" si="18"/>
        <v>-0.51231384911183331</v>
      </c>
    </row>
    <row r="22" spans="1:51" x14ac:dyDescent="0.25">
      <c r="A22" t="s">
        <v>48</v>
      </c>
      <c r="B22" t="s">
        <v>47</v>
      </c>
      <c r="C22" s="11">
        <f>INDEX(Alliance_2025!$H$5:$H$56,MATCH($A22,Alliance_2025!$A$5:$A$56,0))</f>
        <v>7.9400000000000012E-2</v>
      </c>
      <c r="D22" s="11">
        <f>INDEX(Alliance_2025!$G$5:$G$56,MATCH($A22,Alliance_2025!$A$5:$A$56,0))</f>
        <v>2.6099999999999998E-2</v>
      </c>
      <c r="E22" s="11">
        <f>INDEX(Alliance_2025!$I$5:$I$56,MATCH($A22,Alliance_2025!$A$5:$A$56,0))</f>
        <v>0</v>
      </c>
      <c r="F22" s="11">
        <f t="shared" si="0"/>
        <v>0.10550000000000001</v>
      </c>
      <c r="G22">
        <f>Keys!$C$4</f>
        <v>-8</v>
      </c>
      <c r="I22" s="12">
        <f>IF(INDEX(Costs_BAU!$E$5:$E$52,MATCH($A22,Costs_BAU!$A$5:$A$52,0))&gt;Keys!$C$5,0,Keys!$C$6*EXP($G22*INDEX(Costs_BAU!$E$5:$E$52,MATCH($A22,Costs_BAU!$A$5:$A$52,0))))</f>
        <v>2.3138717089556667E-2</v>
      </c>
      <c r="J22" s="12">
        <f>IF(INDEX(Costs_BAU!$F$5:$F$52,MATCH($A22,Costs_BAU!$A$5:$A$52,0))&gt;Keys!$C$5,0,Keys!$C$7*EXP($G22*INDEX(Costs_BAU!$F$5:$F$52,MATCH($A22,Costs_BAU!$A$5:$A$52,0))))</f>
        <v>9.0764328096868839E-4</v>
      </c>
      <c r="K22" s="12">
        <f>IF(INDEX(Costs_BAU!$D$5:$D$52,MATCH($A22,Costs_BAU!$A$5:$A$52,0))&gt;Keys!$C$5,0,Keys!$C$8*EXP($G22*INDEX(Costs_BAU!$D$5:$D$52,MATCH($A22,Costs_BAU!$A$5:$A$52,0))))</f>
        <v>1.8117860046650687E-6</v>
      </c>
      <c r="L22" s="12">
        <f>IF(INDEX(Costs_BAU!$H$5:$H$52,MATCH($A22,Costs_BAU!$A$5:$A$52,0))&gt;Keys!$C$5,0,Keys!$C$9*EXP($G22*INDEX(Costs_BAU!$H$5:$H$52,MATCH($A22,Costs_BAU!$A$5:$A$52,0))))</f>
        <v>0</v>
      </c>
      <c r="M22" s="12">
        <f t="shared" si="1"/>
        <v>2.4048172156530021E-2</v>
      </c>
      <c r="N22" s="12">
        <f t="shared" si="2"/>
        <v>2.688448536224709E-2</v>
      </c>
      <c r="O22" s="13">
        <f>$C22*$N22*EXP(-$G22*INDEX(Costs_BAU!$C$5:$C$52,MATCH($A22,Costs_BAU!$A$5:$A$52,0)))</f>
        <v>0.26581815765239158</v>
      </c>
      <c r="P22" s="13">
        <f>$D22*$N22*EXP(-$G22*INDEX(Costs_BAU!$G$5:$G$52,MATCH($A22,Costs_BAU!$A$5:$A$52,0)))</f>
        <v>4.1348055841737209E-2</v>
      </c>
      <c r="Q22" s="13">
        <f>$E22*$N22*EXP(-$G22*INDEX(Costs_BAU!$I$5:$I$52,MATCH($A22,Costs_BAU!$A$5:$A$52,0)))</f>
        <v>0</v>
      </c>
      <c r="R22" s="14">
        <f>MAX(Keys!$C$15,O22,P22,Q22)</f>
        <v>1</v>
      </c>
      <c r="S22" s="13">
        <f t="shared" si="3"/>
        <v>0.26581815765239158</v>
      </c>
      <c r="T22" s="13">
        <f t="shared" si="4"/>
        <v>4.1348055841737209E-2</v>
      </c>
      <c r="U22" s="13">
        <f t="shared" si="5"/>
        <v>0</v>
      </c>
      <c r="V22" s="13">
        <f>Keys!$C$6/$R22</f>
        <v>1</v>
      </c>
      <c r="W22" s="13">
        <f>Keys!$C$7/$R22</f>
        <v>6.7382959534800002E-2</v>
      </c>
      <c r="X22" s="13">
        <f>Keys!$C$8/$R22</f>
        <v>1.00970167475E-4</v>
      </c>
      <c r="Y22" s="13">
        <f>Keys!$C$9/$R22</f>
        <v>0</v>
      </c>
      <c r="Z22" s="11">
        <f>S22*EXP($G22*INDEX(Costs_BAU!$C$5:$C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7.9399999999999998E-2</v>
      </c>
      <c r="AA22" s="11">
        <f>T22*EXP($G22*INDEX(Costs_BAU!$G$5:$G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2.6100000000000005E-2</v>
      </c>
      <c r="AB22" s="11">
        <f>U22*EXP($G22*INDEX(Costs_BAU!$I$5:$I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0</v>
      </c>
      <c r="AC22" s="15">
        <f t="shared" si="6"/>
        <v>1.3877787807814457E-17</v>
      </c>
      <c r="AD22" t="str">
        <f>IF(AC22&gt;Keys!$C$14,"SHARE MISMATCH",IF(ABS(MAX(S22:Y22)-Keys!$C$15)&gt;Keys!$C$14,"MAX WEIGHT &lt;&gt; 1",IF(R22&gt;Keys!$C$15,"ok (rescaled)","ok")))</f>
        <v>ok</v>
      </c>
      <c r="AF22" s="2">
        <v>2</v>
      </c>
      <c r="AG22" s="2">
        <f t="shared" si="7"/>
        <v>-0.575415356354539</v>
      </c>
      <c r="AH22" s="2">
        <f t="shared" si="8"/>
        <v>-1.3835449058709328</v>
      </c>
      <c r="AI22" s="2" t="str">
        <f t="shared" si="9"/>
        <v/>
      </c>
      <c r="AJ22" s="9">
        <f t="shared" si="10"/>
        <v>0.23983771978951599</v>
      </c>
      <c r="AK22" s="9">
        <f t="shared" si="11"/>
        <v>2.2130378178094778E-2</v>
      </c>
      <c r="AL22" s="9">
        <f t="shared" si="12"/>
        <v>0</v>
      </c>
      <c r="AM22" s="16">
        <f t="shared" si="13"/>
        <v>1</v>
      </c>
      <c r="AN22" s="9">
        <f t="shared" si="14"/>
        <v>0.23983771978951599</v>
      </c>
      <c r="AO22" s="9">
        <f t="shared" si="15"/>
        <v>2.2130378178094778E-2</v>
      </c>
      <c r="AP22" s="9">
        <f t="shared" si="16"/>
        <v>0</v>
      </c>
      <c r="AQ22" s="9">
        <f>Keys!$C$6/AM22</f>
        <v>1</v>
      </c>
      <c r="AR22" s="9">
        <f>Keys!$C$7/AM22</f>
        <v>6.7382959534800002E-2</v>
      </c>
      <c r="AS22" s="9">
        <f>Keys!$C$8/AM22</f>
        <v>1.00970167475E-4</v>
      </c>
      <c r="AT22" s="9">
        <f>Keys!$C$9/AM22</f>
        <v>0</v>
      </c>
      <c r="AU22" s="11">
        <f>AN22*EXP($G22*INDEX(Costs_BAU!$C$5:$C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7.3093541386028874E-2</v>
      </c>
      <c r="AV22" s="11">
        <f>AO22*EXP($G22*INDEX(Costs_BAU!$G$5:$G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1.4252790690580865E-2</v>
      </c>
      <c r="AW22" s="11">
        <f>AP22*EXP($G22*INDEX(Costs_BAU!$I$5:$I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0</v>
      </c>
      <c r="AX22" s="11">
        <f t="shared" si="17"/>
        <v>8.7346332076609745E-2</v>
      </c>
      <c r="AY22" s="17">
        <f t="shared" si="18"/>
        <v>-1.8153667923390264</v>
      </c>
    </row>
    <row r="23" spans="1:51" x14ac:dyDescent="0.25">
      <c r="A23" t="s">
        <v>51</v>
      </c>
      <c r="B23" t="s">
        <v>50</v>
      </c>
      <c r="C23" s="11">
        <f>INDEX(Alliance_2025!$H$5:$H$56,MATCH($A23,Alliance_2025!$A$5:$A$56,0))</f>
        <v>7.7699999999999991E-2</v>
      </c>
      <c r="D23" s="11">
        <f>INDEX(Alliance_2025!$G$5:$G$56,MATCH($A23,Alliance_2025!$A$5:$A$56,0))</f>
        <v>1.9800000000000002E-2</v>
      </c>
      <c r="E23" s="11">
        <f>INDEX(Alliance_2025!$I$5:$I$56,MATCH($A23,Alliance_2025!$A$5:$A$56,0))</f>
        <v>0</v>
      </c>
      <c r="F23" s="11">
        <f t="shared" si="0"/>
        <v>9.7499999999999989E-2</v>
      </c>
      <c r="G23">
        <f>Keys!$C$4</f>
        <v>-8</v>
      </c>
      <c r="I23" s="12">
        <f>IF(INDEX(Costs_BAU!$E$5:$E$52,MATCH($A23,Costs_BAU!$A$5:$A$52,0))&gt;Keys!$C$5,0,Keys!$C$6*EXP($G23*INDEX(Costs_BAU!$E$5:$E$52,MATCH($A23,Costs_BAU!$A$5:$A$52,0))))</f>
        <v>1.923222541246445E-2</v>
      </c>
      <c r="J23" s="12">
        <f>IF(INDEX(Costs_BAU!$F$5:$F$52,MATCH($A23,Costs_BAU!$A$5:$A$52,0))&gt;Keys!$C$5,0,Keys!$C$7*EXP($G23*INDEX(Costs_BAU!$F$5:$F$52,MATCH($A23,Costs_BAU!$A$5:$A$52,0))))</f>
        <v>7.4180873399414167E-4</v>
      </c>
      <c r="K23" s="12">
        <f>IF(INDEX(Costs_BAU!$D$5:$D$52,MATCH($A23,Costs_BAU!$A$5:$A$52,0))&gt;Keys!$C$5,0,Keys!$C$8*EXP($G23*INDEX(Costs_BAU!$D$5:$D$52,MATCH($A23,Costs_BAU!$A$5:$A$52,0))))</f>
        <v>1.4650144438091811E-6</v>
      </c>
      <c r="L23" s="12">
        <f>IF(INDEX(Costs_BAU!$H$5:$H$52,MATCH($A23,Costs_BAU!$A$5:$A$52,0))&gt;Keys!$C$5,0,Keys!$C$9*EXP($G23*INDEX(Costs_BAU!$H$5:$H$52,MATCH($A23,Costs_BAU!$A$5:$A$52,0))))</f>
        <v>0</v>
      </c>
      <c r="M23" s="12">
        <f t="shared" si="1"/>
        <v>1.9975499160902403E-2</v>
      </c>
      <c r="N23" s="12">
        <f t="shared" si="2"/>
        <v>2.2133517075792138E-2</v>
      </c>
      <c r="O23" s="13">
        <f>$C23*$N23*EXP(-$G23*INDEX(Costs_BAU!$C$5:$C$52,MATCH($A23,Costs_BAU!$A$5:$A$52,0)))</f>
        <v>0.26309233330986559</v>
      </c>
      <c r="P23" s="13">
        <f>$D23*$N23*EXP(-$G23*INDEX(Costs_BAU!$G$5:$G$52,MATCH($A23,Costs_BAU!$A$5:$A$52,0)))</f>
        <v>2.3860198311914178E-2</v>
      </c>
      <c r="Q23" s="13">
        <f>$E23*$N23*EXP(-$G23*INDEX(Costs_BAU!$I$5:$I$52,MATCH($A23,Costs_BAU!$A$5:$A$52,0)))</f>
        <v>0</v>
      </c>
      <c r="R23" s="14">
        <f>MAX(Keys!$C$15,O23,P23,Q23)</f>
        <v>1</v>
      </c>
      <c r="S23" s="13">
        <f t="shared" si="3"/>
        <v>0.26309233330986559</v>
      </c>
      <c r="T23" s="13">
        <f t="shared" si="4"/>
        <v>2.3860198311914178E-2</v>
      </c>
      <c r="U23" s="13">
        <f t="shared" si="5"/>
        <v>0</v>
      </c>
      <c r="V23" s="13">
        <f>Keys!$C$6/$R23</f>
        <v>1</v>
      </c>
      <c r="W23" s="13">
        <f>Keys!$C$7/$R23</f>
        <v>6.7382959534800002E-2</v>
      </c>
      <c r="X23" s="13">
        <f>Keys!$C$8/$R23</f>
        <v>1.00970167475E-4</v>
      </c>
      <c r="Y23" s="13">
        <f>Keys!$C$9/$R23</f>
        <v>0</v>
      </c>
      <c r="Z23" s="11">
        <f>S23*EXP($G23*INDEX(Costs_BAU!$C$5:$C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7.7699999999999991E-2</v>
      </c>
      <c r="AA23" s="11">
        <f>T23*EXP($G23*INDEX(Costs_BAU!$G$5:$G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1.9800000000000005E-2</v>
      </c>
      <c r="AB23" s="11">
        <f>U23*EXP($G23*INDEX(Costs_BAU!$I$5:$I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0</v>
      </c>
      <c r="AC23" s="15">
        <f t="shared" si="6"/>
        <v>3.4694469519536142E-18</v>
      </c>
      <c r="AD23" t="str">
        <f>IF(AC23&gt;Keys!$C$14,"SHARE MISMATCH",IF(ABS(MAX(S23:Y23)-Keys!$C$15)&gt;Keys!$C$14,"MAX WEIGHT &lt;&gt; 1",IF(R23&gt;Keys!$C$15,"ok (rescaled)","ok")))</f>
        <v>ok</v>
      </c>
      <c r="AF23" s="2">
        <v>2</v>
      </c>
      <c r="AG23" s="2">
        <f t="shared" si="7"/>
        <v>-0.57989180736748136</v>
      </c>
      <c r="AH23" s="2">
        <f t="shared" si="8"/>
        <v>-1.6223259510507519</v>
      </c>
      <c r="AI23" s="2" t="str">
        <f t="shared" si="9"/>
        <v/>
      </c>
      <c r="AJ23" s="9">
        <f t="shared" si="10"/>
        <v>0.23983771978951599</v>
      </c>
      <c r="AK23" s="9">
        <f t="shared" si="11"/>
        <v>2.2130378178094778E-2</v>
      </c>
      <c r="AL23" s="9">
        <f t="shared" si="12"/>
        <v>0</v>
      </c>
      <c r="AM23" s="16">
        <f t="shared" si="13"/>
        <v>1</v>
      </c>
      <c r="AN23" s="9">
        <f t="shared" si="14"/>
        <v>0.23983771978951599</v>
      </c>
      <c r="AO23" s="9">
        <f t="shared" si="15"/>
        <v>2.2130378178094778E-2</v>
      </c>
      <c r="AP23" s="9">
        <f t="shared" si="16"/>
        <v>0</v>
      </c>
      <c r="AQ23" s="9">
        <f>Keys!$C$6/AM23</f>
        <v>1</v>
      </c>
      <c r="AR23" s="9">
        <f>Keys!$C$7/AM23</f>
        <v>6.7382959534800002E-2</v>
      </c>
      <c r="AS23" s="9">
        <f>Keys!$C$8/AM23</f>
        <v>1.00970167475E-4</v>
      </c>
      <c r="AT23" s="9">
        <f>Keys!$C$9/AM23</f>
        <v>0</v>
      </c>
      <c r="AU23" s="11">
        <f>AN23*EXP($G23*INDEX(Costs_BAU!$C$5:$C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7.1425198899568082E-2</v>
      </c>
      <c r="AV23" s="11">
        <f>AO23*EXP($G23*INDEX(Costs_BAU!$G$5:$G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1.8518300301001194E-2</v>
      </c>
      <c r="AW23" s="11">
        <f>AP23*EXP($G23*INDEX(Costs_BAU!$I$5:$I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0</v>
      </c>
      <c r="AX23" s="11">
        <f t="shared" si="17"/>
        <v>8.994349920056928E-2</v>
      </c>
      <c r="AY23" s="17">
        <f t="shared" si="18"/>
        <v>-0.75565007994307098</v>
      </c>
    </row>
    <row r="24" spans="1:51" x14ac:dyDescent="0.25">
      <c r="A24" t="s">
        <v>54</v>
      </c>
      <c r="B24" t="s">
        <v>53</v>
      </c>
      <c r="C24" s="11">
        <f>INDEX(Alliance_2025!$H$5:$H$56,MATCH($A24,Alliance_2025!$A$5:$A$56,0))</f>
        <v>3.04E-2</v>
      </c>
      <c r="D24" s="11">
        <f>INDEX(Alliance_2025!$G$5:$G$56,MATCH($A24,Alliance_2025!$A$5:$A$56,0))</f>
        <v>1.6200000000000003E-2</v>
      </c>
      <c r="E24" s="11">
        <f>INDEX(Alliance_2025!$I$5:$I$56,MATCH($A24,Alliance_2025!$A$5:$A$56,0))</f>
        <v>0</v>
      </c>
      <c r="F24" s="11">
        <f t="shared" si="0"/>
        <v>4.6600000000000003E-2</v>
      </c>
      <c r="G24">
        <f>Keys!$C$4</f>
        <v>-8</v>
      </c>
      <c r="I24" s="12">
        <f>IF(INDEX(Costs_BAU!$E$5:$E$52,MATCH($A24,Costs_BAU!$A$5:$A$52,0))&gt;Keys!$C$5,0,Keys!$C$6*EXP($G24*INDEX(Costs_BAU!$E$5:$E$52,MATCH($A24,Costs_BAU!$A$5:$A$52,0))))</f>
        <v>3.1107821383025588E-2</v>
      </c>
      <c r="J24" s="12">
        <f>IF(INDEX(Costs_BAU!$F$5:$F$52,MATCH($A24,Costs_BAU!$A$5:$A$52,0))&gt;Keys!$C$5,0,Keys!$C$7*EXP($G24*INDEX(Costs_BAU!$F$5:$F$52,MATCH($A24,Costs_BAU!$A$5:$A$52,0))))</f>
        <v>1.2702124374432946E-3</v>
      </c>
      <c r="K24" s="12">
        <f>IF(INDEX(Costs_BAU!$D$5:$D$52,MATCH($A24,Costs_BAU!$A$5:$A$52,0))&gt;Keys!$C$5,0,Keys!$C$8*EXP($G24*INDEX(Costs_BAU!$D$5:$D$52,MATCH($A24,Costs_BAU!$A$5:$A$52,0))))</f>
        <v>2.5480722724101397E-6</v>
      </c>
      <c r="L24" s="12">
        <f>IF(INDEX(Costs_BAU!$H$5:$H$52,MATCH($A24,Costs_BAU!$A$5:$A$52,0))&gt;Keys!$C$5,0,Keys!$C$9*EXP($G24*INDEX(Costs_BAU!$H$5:$H$52,MATCH($A24,Costs_BAU!$A$5:$A$52,0))))</f>
        <v>0</v>
      </c>
      <c r="M24" s="12">
        <f t="shared" si="1"/>
        <v>3.2380581892741289E-2</v>
      </c>
      <c r="N24" s="12">
        <f t="shared" si="2"/>
        <v>3.3963270288170012E-2</v>
      </c>
      <c r="O24" s="13">
        <f>$C24*$N24*EXP(-$G24*INDEX(Costs_BAU!$C$5:$C$52,MATCH($A24,Costs_BAU!$A$5:$A$52,0)))</f>
        <v>0.10282525401493083</v>
      </c>
      <c r="P24" s="13">
        <f>$D24*$N24*EXP(-$G24*INDEX(Costs_BAU!$G$5:$G$52,MATCH($A24,Costs_BAU!$A$5:$A$52,0)))</f>
        <v>2.2400776384914889E-2</v>
      </c>
      <c r="Q24" s="13">
        <f>$E24*$N24*EXP(-$G24*INDEX(Costs_BAU!$I$5:$I$52,MATCH($A24,Costs_BAU!$A$5:$A$52,0)))</f>
        <v>0</v>
      </c>
      <c r="R24" s="14">
        <f>MAX(Keys!$C$15,O24,P24,Q24)</f>
        <v>1</v>
      </c>
      <c r="S24" s="13">
        <f t="shared" si="3"/>
        <v>0.10282525401493083</v>
      </c>
      <c r="T24" s="13">
        <f t="shared" si="4"/>
        <v>2.2400776384914889E-2</v>
      </c>
      <c r="U24" s="13">
        <f t="shared" si="5"/>
        <v>0</v>
      </c>
      <c r="V24" s="13">
        <f>Keys!$C$6/$R24</f>
        <v>1</v>
      </c>
      <c r="W24" s="13">
        <f>Keys!$C$7/$R24</f>
        <v>6.7382959534800002E-2</v>
      </c>
      <c r="X24" s="13">
        <f>Keys!$C$8/$R24</f>
        <v>1.00970167475E-4</v>
      </c>
      <c r="Y24" s="13">
        <f>Keys!$C$9/$R24</f>
        <v>0</v>
      </c>
      <c r="Z24" s="11">
        <f>S24*EXP($G24*INDEX(Costs_BAU!$C$5:$C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3.0400000000000003E-2</v>
      </c>
      <c r="AA24" s="11">
        <f>T24*EXP($G24*INDEX(Costs_BAU!$G$5:$G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1.6200000000000003E-2</v>
      </c>
      <c r="AB24" s="11">
        <f>U24*EXP($G24*INDEX(Costs_BAU!$I$5:$I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0</v>
      </c>
      <c r="AC24" s="15">
        <f t="shared" si="6"/>
        <v>3.4694469519536142E-18</v>
      </c>
      <c r="AD24" t="str">
        <f>IF(AC24&gt;Keys!$C$14,"SHARE MISMATCH",IF(ABS(MAX(S24:Y24)-Keys!$C$15)&gt;Keys!$C$14,"MAX WEIGHT &lt;&gt; 1",IF(R24&gt;Keys!$C$15,"ok (rescaled)","ok")))</f>
        <v>ok</v>
      </c>
      <c r="AF24" s="2">
        <v>1</v>
      </c>
      <c r="AG24" s="2">
        <f t="shared" si="7"/>
        <v>-0.98790020895570418</v>
      </c>
      <c r="AH24" s="2">
        <f t="shared" si="8"/>
        <v>-1.6497369292622135</v>
      </c>
      <c r="AI24" s="2" t="str">
        <f t="shared" si="9"/>
        <v/>
      </c>
      <c r="AJ24" s="9">
        <f t="shared" si="10"/>
        <v>9.2125264583003991E-2</v>
      </c>
      <c r="AK24" s="9">
        <f t="shared" si="11"/>
        <v>9.8662431120855477E-3</v>
      </c>
      <c r="AL24" s="9">
        <f t="shared" si="12"/>
        <v>0</v>
      </c>
      <c r="AM24" s="16">
        <f t="shared" si="13"/>
        <v>1</v>
      </c>
      <c r="AN24" s="9">
        <f t="shared" si="14"/>
        <v>9.2125264583003991E-2</v>
      </c>
      <c r="AO24" s="9">
        <f t="shared" si="15"/>
        <v>9.8662431120855477E-3</v>
      </c>
      <c r="AP24" s="9">
        <f t="shared" si="16"/>
        <v>0</v>
      </c>
      <c r="AQ24" s="9">
        <f>Keys!$C$6/AM24</f>
        <v>1</v>
      </c>
      <c r="AR24" s="9">
        <f>Keys!$C$7/AM24</f>
        <v>6.7382959534800002E-2</v>
      </c>
      <c r="AS24" s="9">
        <f>Keys!$C$8/AM24</f>
        <v>1.00970167475E-4</v>
      </c>
      <c r="AT24" s="9">
        <f>Keys!$C$9/AM24</f>
        <v>0</v>
      </c>
      <c r="AU24" s="11">
        <f>AN24*EXP($G24*INDEX(Costs_BAU!$C$5:$C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2.7573757031217502E-2</v>
      </c>
      <c r="AV24" s="11">
        <f>AO24*EXP($G24*INDEX(Costs_BAU!$G$5:$G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7.2234914012355694E-3</v>
      </c>
      <c r="AW24" s="11">
        <f>AP24*EXP($G24*INDEX(Costs_BAU!$I$5:$I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0</v>
      </c>
      <c r="AX24" s="11">
        <f t="shared" si="17"/>
        <v>3.4797248432453069E-2</v>
      </c>
      <c r="AY24" s="17">
        <f t="shared" si="18"/>
        <v>-1.1802751567546934</v>
      </c>
    </row>
    <row r="25" spans="1:51" x14ac:dyDescent="0.25">
      <c r="A25" t="s">
        <v>57</v>
      </c>
      <c r="B25" t="s">
        <v>56</v>
      </c>
      <c r="C25" s="11">
        <f>INDEX(Alliance_2025!$H$5:$H$56,MATCH($A25,Alliance_2025!$A$5:$A$56,0))</f>
        <v>6.54E-2</v>
      </c>
      <c r="D25" s="11">
        <f>INDEX(Alliance_2025!$G$5:$G$56,MATCH($A25,Alliance_2025!$A$5:$A$56,0))</f>
        <v>2.0800000000000003E-2</v>
      </c>
      <c r="E25" s="11">
        <f>INDEX(Alliance_2025!$I$5:$I$56,MATCH($A25,Alliance_2025!$A$5:$A$56,0))</f>
        <v>0</v>
      </c>
      <c r="F25" s="11">
        <f t="shared" si="0"/>
        <v>8.6199999999999999E-2</v>
      </c>
      <c r="G25">
        <f>Keys!$C$4</f>
        <v>-8</v>
      </c>
      <c r="I25" s="12">
        <f>IF(INDEX(Costs_BAU!$E$5:$E$52,MATCH($A25,Costs_BAU!$A$5:$A$52,0))&gt;Keys!$C$5,0,Keys!$C$6*EXP($G25*INDEX(Costs_BAU!$E$5:$E$52,MATCH($A25,Costs_BAU!$A$5:$A$52,0))))</f>
        <v>1.6045481428146432E-2</v>
      </c>
      <c r="J25" s="12">
        <f>IF(INDEX(Costs_BAU!$F$5:$F$52,MATCH($A25,Costs_BAU!$A$5:$A$52,0))&gt;Keys!$C$5,0,Keys!$C$7*EXP($G25*INDEX(Costs_BAU!$F$5:$F$52,MATCH($A25,Costs_BAU!$A$5:$A$52,0))))</f>
        <v>5.9781625391966203E-4</v>
      </c>
      <c r="K25" s="12">
        <f>IF(INDEX(Costs_BAU!$D$5:$D$52,MATCH($A25,Costs_BAU!$A$5:$A$52,0))&gt;Keys!$C$5,0,Keys!$C$8*EXP($G25*INDEX(Costs_BAU!$D$5:$D$52,MATCH($A25,Costs_BAU!$A$5:$A$52,0))))</f>
        <v>1.1681918215209064E-6</v>
      </c>
      <c r="L25" s="12">
        <f>IF(INDEX(Costs_BAU!$H$5:$H$52,MATCH($A25,Costs_BAU!$A$5:$A$52,0))&gt;Keys!$C$5,0,Keys!$C$9*EXP($G25*INDEX(Costs_BAU!$H$5:$H$52,MATCH($A25,Costs_BAU!$A$5:$A$52,0))))</f>
        <v>0</v>
      </c>
      <c r="M25" s="12">
        <f t="shared" si="1"/>
        <v>1.6644465873887612E-2</v>
      </c>
      <c r="N25" s="12">
        <f t="shared" si="2"/>
        <v>1.8214561035114481E-2</v>
      </c>
      <c r="O25" s="13">
        <f>$C25*$N25*EXP(-$G25*INDEX(Costs_BAU!$C$5:$C$52,MATCH($A25,Costs_BAU!$A$5:$A$52,0)))</f>
        <v>0.29992496015865411</v>
      </c>
      <c r="P25" s="13">
        <f>$D25*$N25*EXP(-$G25*INDEX(Costs_BAU!$G$5:$G$52,MATCH($A25,Costs_BAU!$A$5:$A$52,0)))</f>
        <v>2.9921552460452718E-2</v>
      </c>
      <c r="Q25" s="13">
        <f>$E25*$N25*EXP(-$G25*INDEX(Costs_BAU!$I$5:$I$52,MATCH($A25,Costs_BAU!$A$5:$A$52,0)))</f>
        <v>0</v>
      </c>
      <c r="R25" s="14">
        <f>MAX(Keys!$C$15,O25,P25,Q25)</f>
        <v>1</v>
      </c>
      <c r="S25" s="13">
        <f t="shared" si="3"/>
        <v>0.29992496015865411</v>
      </c>
      <c r="T25" s="13">
        <f t="shared" si="4"/>
        <v>2.9921552460452718E-2</v>
      </c>
      <c r="U25" s="13">
        <f t="shared" si="5"/>
        <v>0</v>
      </c>
      <c r="V25" s="13">
        <f>Keys!$C$6/$R25</f>
        <v>1</v>
      </c>
      <c r="W25" s="13">
        <f>Keys!$C$7/$R25</f>
        <v>6.7382959534800002E-2</v>
      </c>
      <c r="X25" s="13">
        <f>Keys!$C$8/$R25</f>
        <v>1.00970167475E-4</v>
      </c>
      <c r="Y25" s="13">
        <f>Keys!$C$9/$R25</f>
        <v>0</v>
      </c>
      <c r="Z25" s="11">
        <f>S25*EXP($G25*INDEX(Costs_BAU!$C$5:$C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6.5399999999999986E-2</v>
      </c>
      <c r="AA25" s="11">
        <f>T25*EXP($G25*INDEX(Costs_BAU!$G$5:$G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2.0800000000000003E-2</v>
      </c>
      <c r="AB25" s="11">
        <f>U25*EXP($G25*INDEX(Costs_BAU!$I$5:$I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0</v>
      </c>
      <c r="AC25" s="15">
        <f t="shared" si="6"/>
        <v>1.3877787807814457E-17</v>
      </c>
      <c r="AD25" t="str">
        <f>IF(AC25&gt;Keys!$C$14,"SHARE MISMATCH",IF(ABS(MAX(S25:Y25)-Keys!$C$15)&gt;Keys!$C$14,"MAX WEIGHT &lt;&gt; 1",IF(R25&gt;Keys!$C$15,"ok (rescaled)","ok")))</f>
        <v>ok</v>
      </c>
      <c r="AF25" s="2">
        <v>2</v>
      </c>
      <c r="AG25" s="2">
        <f t="shared" si="7"/>
        <v>-0.52298739016546036</v>
      </c>
      <c r="AH25" s="2">
        <f t="shared" si="8"/>
        <v>-1.5240158771338856</v>
      </c>
      <c r="AI25" s="2" t="str">
        <f t="shared" si="9"/>
        <v/>
      </c>
      <c r="AJ25" s="9">
        <f t="shared" si="10"/>
        <v>0.23983771978951599</v>
      </c>
      <c r="AK25" s="9">
        <f t="shared" si="11"/>
        <v>2.2130378178094778E-2</v>
      </c>
      <c r="AL25" s="9">
        <f t="shared" si="12"/>
        <v>0</v>
      </c>
      <c r="AM25" s="16">
        <f t="shared" si="13"/>
        <v>1</v>
      </c>
      <c r="AN25" s="9">
        <f t="shared" si="14"/>
        <v>0.23983771978951599</v>
      </c>
      <c r="AO25" s="9">
        <f t="shared" si="15"/>
        <v>2.2130378178094778E-2</v>
      </c>
      <c r="AP25" s="9">
        <f t="shared" si="16"/>
        <v>0</v>
      </c>
      <c r="AQ25" s="9">
        <f>Keys!$C$6/AM25</f>
        <v>1</v>
      </c>
      <c r="AR25" s="9">
        <f>Keys!$C$7/AM25</f>
        <v>6.7382959534800002E-2</v>
      </c>
      <c r="AS25" s="9">
        <f>Keys!$C$8/AM25</f>
        <v>1.00970167475E-4</v>
      </c>
      <c r="AT25" s="9">
        <f>Keys!$C$9/AM25</f>
        <v>0</v>
      </c>
      <c r="AU25" s="11">
        <f>AN25*EXP($G25*INDEX(Costs_BAU!$C$5:$C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5.3284443680215336E-2</v>
      </c>
      <c r="AV25" s="11">
        <f>AO25*EXP($G25*INDEX(Costs_BAU!$G$5:$G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1.5674217122241891E-2</v>
      </c>
      <c r="AW25" s="11">
        <f>AP25*EXP($G25*INDEX(Costs_BAU!$I$5:$I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0</v>
      </c>
      <c r="AX25" s="11">
        <f t="shared" si="17"/>
        <v>6.8958660802457231E-2</v>
      </c>
      <c r="AY25" s="17">
        <f t="shared" si="18"/>
        <v>-1.7241339197542769</v>
      </c>
    </row>
    <row r="26" spans="1:51" x14ac:dyDescent="0.25">
      <c r="A26" t="s">
        <v>60</v>
      </c>
      <c r="B26" t="s">
        <v>59</v>
      </c>
      <c r="C26" s="11">
        <f>INDEX(Alliance_2025!$H$5:$H$56,MATCH($A26,Alliance_2025!$A$5:$A$56,0))</f>
        <v>4.9100000000000005E-2</v>
      </c>
      <c r="D26" s="11">
        <f>INDEX(Alliance_2025!$G$5:$G$56,MATCH($A26,Alliance_2025!$A$5:$A$56,0))</f>
        <v>1.67E-2</v>
      </c>
      <c r="E26" s="11">
        <f>INDEX(Alliance_2025!$I$5:$I$56,MATCH($A26,Alliance_2025!$A$5:$A$56,0))</f>
        <v>0</v>
      </c>
      <c r="F26" s="11">
        <f t="shared" si="0"/>
        <v>6.5799999999999997E-2</v>
      </c>
      <c r="G26">
        <f>Keys!$C$4</f>
        <v>-8</v>
      </c>
      <c r="I26" s="12">
        <f>IF(INDEX(Costs_BAU!$E$5:$E$52,MATCH($A26,Costs_BAU!$A$5:$A$52,0))&gt;Keys!$C$5,0,Keys!$C$6*EXP($G26*INDEX(Costs_BAU!$E$5:$E$52,MATCH($A26,Costs_BAU!$A$5:$A$52,0))))</f>
        <v>1.0277399683787837E-2</v>
      </c>
      <c r="J26" s="12">
        <f>IF(INDEX(Costs_BAU!$F$5:$F$52,MATCH($A26,Costs_BAU!$A$5:$A$52,0))&gt;Keys!$C$5,0,Keys!$C$7*EXP($G26*INDEX(Costs_BAU!$F$5:$F$52,MATCH($A26,Costs_BAU!$A$5:$A$52,0))))</f>
        <v>3.5902335390814366E-4</v>
      </c>
      <c r="K26" s="12">
        <f>IF(INDEX(Costs_BAU!$D$5:$D$52,MATCH($A26,Costs_BAU!$A$5:$A$52,0))&gt;Keys!$C$5,0,Keys!$C$8*EXP($G26*INDEX(Costs_BAU!$D$5:$D$52,MATCH($A26,Costs_BAU!$A$5:$A$52,0))))</f>
        <v>7.0344970443482214E-7</v>
      </c>
      <c r="L26" s="12">
        <f>IF(INDEX(Costs_BAU!$H$5:$H$52,MATCH($A26,Costs_BAU!$A$5:$A$52,0))&gt;Keys!$C$5,0,Keys!$C$9*EXP($G26*INDEX(Costs_BAU!$H$5:$H$52,MATCH($A26,Costs_BAU!$A$5:$A$52,0))))</f>
        <v>0</v>
      </c>
      <c r="M26" s="12">
        <f t="shared" si="1"/>
        <v>1.0637126487400415E-2</v>
      </c>
      <c r="N26" s="12">
        <f t="shared" si="2"/>
        <v>1.1386348198887192E-2</v>
      </c>
      <c r="O26" s="13">
        <f>$C26*$N26*EXP(-$G26*INDEX(Costs_BAU!$C$5:$C$52,MATCH($A26,Costs_BAU!$A$5:$A$52,0)))</f>
        <v>0.25244435979803032</v>
      </c>
      <c r="P26" s="13">
        <f>$D26*$N26*EXP(-$G26*INDEX(Costs_BAU!$G$5:$G$52,MATCH($A26,Costs_BAU!$A$5:$A$52,0)))</f>
        <v>2.3067035225682944E-2</v>
      </c>
      <c r="Q26" s="13">
        <f>$E26*$N26*EXP(-$G26*INDEX(Costs_BAU!$I$5:$I$52,MATCH($A26,Costs_BAU!$A$5:$A$52,0)))</f>
        <v>0</v>
      </c>
      <c r="R26" s="14">
        <f>MAX(Keys!$C$15,O26,P26,Q26)</f>
        <v>1</v>
      </c>
      <c r="S26" s="13">
        <f t="shared" si="3"/>
        <v>0.25244435979803032</v>
      </c>
      <c r="T26" s="13">
        <f t="shared" si="4"/>
        <v>2.3067035225682944E-2</v>
      </c>
      <c r="U26" s="13">
        <f t="shared" si="5"/>
        <v>0</v>
      </c>
      <c r="V26" s="13">
        <f>Keys!$C$6/$R26</f>
        <v>1</v>
      </c>
      <c r="W26" s="13">
        <f>Keys!$C$7/$R26</f>
        <v>6.7382959534800002E-2</v>
      </c>
      <c r="X26" s="13">
        <f>Keys!$C$8/$R26</f>
        <v>1.00970167475E-4</v>
      </c>
      <c r="Y26" s="13">
        <f>Keys!$C$9/$R26</f>
        <v>0</v>
      </c>
      <c r="Z26" s="11">
        <f>S26*EXP($G26*INDEX(Costs_BAU!$C$5:$C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4.9100000000000012E-2</v>
      </c>
      <c r="AA26" s="11">
        <f>T26*EXP($G26*INDEX(Costs_BAU!$G$5:$G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1.67E-2</v>
      </c>
      <c r="AB26" s="11">
        <f>U26*EXP($G26*INDEX(Costs_BAU!$I$5:$I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0</v>
      </c>
      <c r="AC26" s="15">
        <f t="shared" si="6"/>
        <v>6.9388939039072284E-18</v>
      </c>
      <c r="AD26" t="str">
        <f>IF(AC26&gt;Keys!$C$14,"SHARE MISMATCH",IF(ABS(MAX(S26:Y26)-Keys!$C$15)&gt;Keys!$C$14,"MAX WEIGHT &lt;&gt; 1",IF(R26&gt;Keys!$C$15,"ok (rescaled)","ok")))</f>
        <v>ok</v>
      </c>
      <c r="AF26" s="2">
        <v>2</v>
      </c>
      <c r="AG26" s="2">
        <f t="shared" si="7"/>
        <v>-0.59783432802239056</v>
      </c>
      <c r="AH26" s="2">
        <f t="shared" si="8"/>
        <v>-1.6370082211645682</v>
      </c>
      <c r="AI26" s="2" t="str">
        <f t="shared" si="9"/>
        <v/>
      </c>
      <c r="AJ26" s="9">
        <f t="shared" si="10"/>
        <v>0.23983771978951599</v>
      </c>
      <c r="AK26" s="9">
        <f t="shared" si="11"/>
        <v>2.2130378178094778E-2</v>
      </c>
      <c r="AL26" s="9">
        <f t="shared" si="12"/>
        <v>0</v>
      </c>
      <c r="AM26" s="16">
        <f t="shared" si="13"/>
        <v>1</v>
      </c>
      <c r="AN26" s="9">
        <f t="shared" si="14"/>
        <v>0.23983771978951599</v>
      </c>
      <c r="AO26" s="9">
        <f t="shared" si="15"/>
        <v>2.2130378178094778E-2</v>
      </c>
      <c r="AP26" s="9">
        <f t="shared" si="16"/>
        <v>0</v>
      </c>
      <c r="AQ26" s="9">
        <f>Keys!$C$6/AM26</f>
        <v>1</v>
      </c>
      <c r="AR26" s="9">
        <f>Keys!$C$7/AM26</f>
        <v>6.7382959534800002E-2</v>
      </c>
      <c r="AS26" s="9">
        <f>Keys!$C$8/AM26</f>
        <v>1.00970167475E-4</v>
      </c>
      <c r="AT26" s="9">
        <f>Keys!$C$9/AM26</f>
        <v>0</v>
      </c>
      <c r="AU26" s="11">
        <f>AN26*EXP($G26*INDEX(Costs_BAU!$C$5:$C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4.6794500803331168E-2</v>
      </c>
      <c r="AV26" s="11">
        <f>AO26*EXP($G26*INDEX(Costs_BAU!$G$5:$G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1.6072189330252843E-2</v>
      </c>
      <c r="AW26" s="11">
        <f>AP26*EXP($G26*INDEX(Costs_BAU!$I$5:$I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0</v>
      </c>
      <c r="AX26" s="11">
        <f t="shared" si="17"/>
        <v>6.2866690133584008E-2</v>
      </c>
      <c r="AY26" s="17">
        <f t="shared" si="18"/>
        <v>-0.29333098664159896</v>
      </c>
    </row>
    <row r="27" spans="1:51" x14ac:dyDescent="0.25">
      <c r="A27" t="s">
        <v>63</v>
      </c>
      <c r="B27" t="s">
        <v>62</v>
      </c>
      <c r="C27" s="11">
        <f>INDEX(Alliance_2025!$H$5:$H$56,MATCH($A27,Alliance_2025!$A$5:$A$56,0))</f>
        <v>3.0200000000000001E-2</v>
      </c>
      <c r="D27" s="11">
        <f>INDEX(Alliance_2025!$G$5:$G$56,MATCH($A27,Alliance_2025!$A$5:$A$56,0))</f>
        <v>7.8000000000000005E-3</v>
      </c>
      <c r="E27" s="11">
        <f>INDEX(Alliance_2025!$I$5:$I$56,MATCH($A27,Alliance_2025!$A$5:$A$56,0))</f>
        <v>0</v>
      </c>
      <c r="F27" s="11">
        <f t="shared" si="0"/>
        <v>3.7999999999999999E-2</v>
      </c>
      <c r="G27">
        <f>Keys!$C$4</f>
        <v>-8</v>
      </c>
      <c r="I27" s="12">
        <f>IF(INDEX(Costs_BAU!$E$5:$E$52,MATCH($A27,Costs_BAU!$A$5:$A$52,0))&gt;Keys!$C$5,0,Keys!$C$6*EXP($G27*INDEX(Costs_BAU!$E$5:$E$52,MATCH($A27,Costs_BAU!$A$5:$A$52,0))))</f>
        <v>4.0471712730460074E-2</v>
      </c>
      <c r="J27" s="12">
        <f>IF(INDEX(Costs_BAU!$F$5:$F$52,MATCH($A27,Costs_BAU!$A$5:$A$52,0))&gt;Keys!$C$5,0,Keys!$C$7*EXP($G27*INDEX(Costs_BAU!$F$5:$F$52,MATCH($A27,Costs_BAU!$A$5:$A$52,0))))</f>
        <v>1.7383496046868426E-3</v>
      </c>
      <c r="K27" s="12">
        <f>IF(INDEX(Costs_BAU!$D$5:$D$52,MATCH($A27,Costs_BAU!$A$5:$A$52,0))&gt;Keys!$C$5,0,Keys!$C$8*EXP($G27*INDEX(Costs_BAU!$D$5:$D$52,MATCH($A27,Costs_BAU!$A$5:$A$52,0))))</f>
        <v>3.354454290737248E-6</v>
      </c>
      <c r="L27" s="12">
        <f>IF(INDEX(Costs_BAU!$H$5:$H$52,MATCH($A27,Costs_BAU!$A$5:$A$52,0))&gt;Keys!$C$5,0,Keys!$C$9*EXP($G27*INDEX(Costs_BAU!$H$5:$H$52,MATCH($A27,Costs_BAU!$A$5:$A$52,0))))</f>
        <v>0</v>
      </c>
      <c r="M27" s="12">
        <f t="shared" si="1"/>
        <v>4.2213416789437651E-2</v>
      </c>
      <c r="N27" s="12">
        <f t="shared" si="2"/>
        <v>4.3880890633511076E-2</v>
      </c>
      <c r="O27" s="13">
        <f>$C27*$N27*EXP(-$G27*INDEX(Costs_BAU!$C$5:$C$52,MATCH($A27,Costs_BAU!$A$5:$A$52,0)))</f>
        <v>8.976234598469493E-2</v>
      </c>
      <c r="P27" s="13">
        <f>$D27*$N27*EXP(-$G27*INDEX(Costs_BAU!$G$5:$G$52,MATCH($A27,Costs_BAU!$A$5:$A$52,0)))</f>
        <v>9.5779481354645816E-3</v>
      </c>
      <c r="Q27" s="13">
        <f>$E27*$N27*EXP(-$G27*INDEX(Costs_BAU!$I$5:$I$52,MATCH($A27,Costs_BAU!$A$5:$A$52,0)))</f>
        <v>0</v>
      </c>
      <c r="R27" s="14">
        <f>MAX(Keys!$C$15,O27,P27,Q27)</f>
        <v>1</v>
      </c>
      <c r="S27" s="13">
        <f t="shared" si="3"/>
        <v>8.976234598469493E-2</v>
      </c>
      <c r="T27" s="13">
        <f t="shared" si="4"/>
        <v>9.5779481354645816E-3</v>
      </c>
      <c r="U27" s="13">
        <f t="shared" si="5"/>
        <v>0</v>
      </c>
      <c r="V27" s="13">
        <f>Keys!$C$6/$R27</f>
        <v>1</v>
      </c>
      <c r="W27" s="13">
        <f>Keys!$C$7/$R27</f>
        <v>6.7382959534800002E-2</v>
      </c>
      <c r="X27" s="13">
        <f>Keys!$C$8/$R27</f>
        <v>1.00970167475E-4</v>
      </c>
      <c r="Y27" s="13">
        <f>Keys!$C$9/$R27</f>
        <v>0</v>
      </c>
      <c r="Z27" s="11">
        <f>S27*EXP($G27*INDEX(Costs_BAU!$C$5:$C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3.0200000000000008E-2</v>
      </c>
      <c r="AA27" s="11">
        <f>T27*EXP($G27*INDEX(Costs_BAU!$G$5:$G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7.8000000000000014E-3</v>
      </c>
      <c r="AB27" s="11">
        <f>U27*EXP($G27*INDEX(Costs_BAU!$I$5:$I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0</v>
      </c>
      <c r="AC27" s="15">
        <f t="shared" si="6"/>
        <v>6.9388939039072284E-18</v>
      </c>
      <c r="AD27" t="str">
        <f>IF(AC27&gt;Keys!$C$14,"SHARE MISMATCH",IF(ABS(MAX(S27:Y27)-Keys!$C$15)&gt;Keys!$C$14,"MAX WEIGHT &lt;&gt; 1",IF(R27&gt;Keys!$C$15,"ok (rescaled)","ok")))</f>
        <v>ok</v>
      </c>
      <c r="AF27" s="2">
        <v>1</v>
      </c>
      <c r="AG27" s="2">
        <f t="shared" si="7"/>
        <v>-1.0469058054317923</v>
      </c>
      <c r="AH27" s="2">
        <f t="shared" si="8"/>
        <v>-2.0187275189892269</v>
      </c>
      <c r="AI27" s="2" t="str">
        <f t="shared" si="9"/>
        <v/>
      </c>
      <c r="AJ27" s="9">
        <f t="shared" si="10"/>
        <v>9.2125264583003991E-2</v>
      </c>
      <c r="AK27" s="9">
        <f t="shared" si="11"/>
        <v>9.8662431120855477E-3</v>
      </c>
      <c r="AL27" s="9">
        <f t="shared" si="12"/>
        <v>0</v>
      </c>
      <c r="AM27" s="16">
        <f t="shared" si="13"/>
        <v>1</v>
      </c>
      <c r="AN27" s="9">
        <f t="shared" si="14"/>
        <v>9.2125264583003991E-2</v>
      </c>
      <c r="AO27" s="9">
        <f t="shared" si="15"/>
        <v>9.8662431120855477E-3</v>
      </c>
      <c r="AP27" s="9">
        <f t="shared" si="16"/>
        <v>0</v>
      </c>
      <c r="AQ27" s="9">
        <f>Keys!$C$6/AM27</f>
        <v>1</v>
      </c>
      <c r="AR27" s="9">
        <f>Keys!$C$7/AM27</f>
        <v>6.7382959534800002E-2</v>
      </c>
      <c r="AS27" s="9">
        <f>Keys!$C$8/AM27</f>
        <v>1.00970167475E-4</v>
      </c>
      <c r="AT27" s="9">
        <f>Keys!$C$9/AM27</f>
        <v>0</v>
      </c>
      <c r="AU27" s="11">
        <f>AN27*EXP($G27*INDEX(Costs_BAU!$C$5:$C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3.0963104877166057E-2</v>
      </c>
      <c r="AV27" s="11">
        <f>AO27*EXP($G27*INDEX(Costs_BAU!$G$5:$G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8.0265135197827991E-3</v>
      </c>
      <c r="AW27" s="11">
        <f>AP27*EXP($G27*INDEX(Costs_BAU!$I$5:$I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0</v>
      </c>
      <c r="AX27" s="11">
        <f t="shared" si="17"/>
        <v>3.8989618396948852E-2</v>
      </c>
      <c r="AY27" s="17">
        <f t="shared" si="18"/>
        <v>9.896183969488534E-2</v>
      </c>
    </row>
    <row r="28" spans="1:51" x14ac:dyDescent="0.25">
      <c r="A28" t="s">
        <v>66</v>
      </c>
      <c r="B28" t="s">
        <v>65</v>
      </c>
      <c r="C28" s="11">
        <f>INDEX(Alliance_2025!$H$5:$H$56,MATCH($A28,Alliance_2025!$A$5:$A$56,0))</f>
        <v>1.8800000000000001E-2</v>
      </c>
      <c r="D28" s="11">
        <f>INDEX(Alliance_2025!$G$5:$G$56,MATCH($A28,Alliance_2025!$A$5:$A$56,0))</f>
        <v>3.4999999999999996E-3</v>
      </c>
      <c r="E28" s="11">
        <f>INDEX(Alliance_2025!$I$5:$I$56,MATCH($A28,Alliance_2025!$A$5:$A$56,0))</f>
        <v>0</v>
      </c>
      <c r="F28" s="11">
        <f t="shared" si="0"/>
        <v>2.23E-2</v>
      </c>
      <c r="G28">
        <f>Keys!$C$4</f>
        <v>-8</v>
      </c>
      <c r="I28" s="12">
        <f>IF(INDEX(Costs_BAU!$E$5:$E$52,MATCH($A28,Costs_BAU!$A$5:$A$52,0))&gt;Keys!$C$5,0,Keys!$C$6*EXP($G28*INDEX(Costs_BAU!$E$5:$E$52,MATCH($A28,Costs_BAU!$A$5:$A$52,0))))</f>
        <v>7.4919280876807492E-2</v>
      </c>
      <c r="J28" s="12">
        <f>IF(INDEX(Costs_BAU!$F$5:$F$52,MATCH($A28,Costs_BAU!$A$5:$A$52,0))&gt;Keys!$C$5,0,Keys!$C$7*EXP($G28*INDEX(Costs_BAU!$F$5:$F$52,MATCH($A28,Costs_BAU!$A$5:$A$52,0))))</f>
        <v>3.5155365522572942E-3</v>
      </c>
      <c r="K28" s="12">
        <f>IF(INDEX(Costs_BAU!$D$5:$D$52,MATCH($A28,Costs_BAU!$A$5:$A$52,0))&gt;Keys!$C$5,0,Keys!$C$8*EXP($G28*INDEX(Costs_BAU!$D$5:$D$52,MATCH($A28,Costs_BAU!$A$5:$A$52,0))))</f>
        <v>6.7218882300200643E-6</v>
      </c>
      <c r="L28" s="12">
        <f>IF(INDEX(Costs_BAU!$H$5:$H$52,MATCH($A28,Costs_BAU!$A$5:$A$52,0))&gt;Keys!$C$5,0,Keys!$C$9*EXP($G28*INDEX(Costs_BAU!$H$5:$H$52,MATCH($A28,Costs_BAU!$A$5:$A$52,0))))</f>
        <v>0</v>
      </c>
      <c r="M28" s="12">
        <f t="shared" si="1"/>
        <v>7.8441539317294806E-2</v>
      </c>
      <c r="N28" s="12">
        <f t="shared" si="2"/>
        <v>8.0230683560698374E-2</v>
      </c>
      <c r="O28" s="13">
        <f>$C28*$N28*EXP(-$G28*INDEX(Costs_BAU!$C$5:$C$52,MATCH($A28,Costs_BAU!$A$5:$A$52,0)))</f>
        <v>4.6055519786872064E-2</v>
      </c>
      <c r="P28" s="13">
        <f>$D28*$N28*EXP(-$G28*INDEX(Costs_BAU!$G$5:$G$52,MATCH($A28,Costs_BAU!$A$5:$A$52,0)))</f>
        <v>4.14826311137554E-3</v>
      </c>
      <c r="Q28" s="13">
        <f>$E28*$N28*EXP(-$G28*INDEX(Costs_BAU!$I$5:$I$52,MATCH($A28,Costs_BAU!$A$5:$A$52,0)))</f>
        <v>0</v>
      </c>
      <c r="R28" s="14">
        <f>MAX(Keys!$C$15,O28,P28,Q28)</f>
        <v>1</v>
      </c>
      <c r="S28" s="13">
        <f t="shared" si="3"/>
        <v>4.6055519786872064E-2</v>
      </c>
      <c r="T28" s="13">
        <f t="shared" si="4"/>
        <v>4.14826311137554E-3</v>
      </c>
      <c r="U28" s="13">
        <f t="shared" si="5"/>
        <v>0</v>
      </c>
      <c r="V28" s="13">
        <f>Keys!$C$6/$R28</f>
        <v>1</v>
      </c>
      <c r="W28" s="13">
        <f>Keys!$C$7/$R28</f>
        <v>6.7382959534800002E-2</v>
      </c>
      <c r="X28" s="13">
        <f>Keys!$C$8/$R28</f>
        <v>1.00970167475E-4</v>
      </c>
      <c r="Y28" s="13">
        <f>Keys!$C$9/$R28</f>
        <v>0</v>
      </c>
      <c r="Z28" s="11">
        <f>S28*EXP($G28*INDEX(Costs_BAU!$C$5:$C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1.8800000000000001E-2</v>
      </c>
      <c r="AA28" s="11">
        <f>T28*EXP($G28*INDEX(Costs_BAU!$G$5:$G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3.4999999999999996E-3</v>
      </c>
      <c r="AB28" s="11">
        <f>U28*EXP($G28*INDEX(Costs_BAU!$I$5:$I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0</v>
      </c>
      <c r="AC28" s="15">
        <f t="shared" si="6"/>
        <v>0</v>
      </c>
      <c r="AD28" t="str">
        <f>IF(AC28&gt;Keys!$C$14,"SHARE MISMATCH",IF(ABS(MAX(S28:Y28)-Keys!$C$15)&gt;Keys!$C$14,"MAX WEIGHT &lt;&gt; 1",IF(R28&gt;Keys!$C$15,"ok (rescaled)","ok")))</f>
        <v>ok</v>
      </c>
      <c r="AF28" s="2">
        <v>1</v>
      </c>
      <c r="AG28" s="2">
        <f t="shared" si="7"/>
        <v>-1.3367183118445429</v>
      </c>
      <c r="AH28" s="2">
        <f t="shared" si="8"/>
        <v>-2.3821337054665501</v>
      </c>
      <c r="AI28" s="2" t="str">
        <f t="shared" si="9"/>
        <v/>
      </c>
      <c r="AJ28" s="9">
        <f t="shared" si="10"/>
        <v>9.2125264583003991E-2</v>
      </c>
      <c r="AK28" s="9">
        <f t="shared" si="11"/>
        <v>9.8662431120855477E-3</v>
      </c>
      <c r="AL28" s="9">
        <f t="shared" si="12"/>
        <v>0</v>
      </c>
      <c r="AM28" s="16">
        <f t="shared" si="13"/>
        <v>1</v>
      </c>
      <c r="AN28" s="9">
        <f t="shared" si="14"/>
        <v>9.2125264583003991E-2</v>
      </c>
      <c r="AO28" s="9">
        <f t="shared" si="15"/>
        <v>9.8662431120855477E-3</v>
      </c>
      <c r="AP28" s="9">
        <f t="shared" si="16"/>
        <v>0</v>
      </c>
      <c r="AQ28" s="9">
        <f>Keys!$C$6/AM28</f>
        <v>1</v>
      </c>
      <c r="AR28" s="9">
        <f>Keys!$C$7/AM28</f>
        <v>6.7382959534800002E-2</v>
      </c>
      <c r="AS28" s="9">
        <f>Keys!$C$8/AM28</f>
        <v>1.00970167475E-4</v>
      </c>
      <c r="AT28" s="9">
        <f>Keys!$C$9/AM28</f>
        <v>0</v>
      </c>
      <c r="AU28" s="11">
        <f>AN28*EXP($G28*INDEX(Costs_BAU!$C$5:$C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3.6737687113283138E-2</v>
      </c>
      <c r="AV28" s="11">
        <f>AO28*EXP($G28*INDEX(Costs_BAU!$G$5:$G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8.132245188555709E-3</v>
      </c>
      <c r="AW28" s="11">
        <f>AP28*EXP($G28*INDEX(Costs_BAU!$I$5:$I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0</v>
      </c>
      <c r="AX28" s="11">
        <f t="shared" si="17"/>
        <v>4.4869932301838847E-2</v>
      </c>
      <c r="AY28" s="17">
        <f t="shared" si="18"/>
        <v>2.2569932301838849</v>
      </c>
    </row>
    <row r="29" spans="1:51" x14ac:dyDescent="0.25">
      <c r="A29" t="s">
        <v>69</v>
      </c>
      <c r="B29" t="s">
        <v>68</v>
      </c>
      <c r="C29" s="11">
        <f>INDEX(Alliance_2025!$H$5:$H$56,MATCH($A29,Alliance_2025!$A$5:$A$56,0))</f>
        <v>2.3300000000000001E-2</v>
      </c>
      <c r="D29" s="11">
        <f>INDEX(Alliance_2025!$G$5:$G$56,MATCH($A29,Alliance_2025!$A$5:$A$56,0))</f>
        <v>1.43E-2</v>
      </c>
      <c r="E29" s="11">
        <f>INDEX(Alliance_2025!$I$5:$I$56,MATCH($A29,Alliance_2025!$A$5:$A$56,0))</f>
        <v>0</v>
      </c>
      <c r="F29" s="11">
        <f t="shared" si="0"/>
        <v>3.7600000000000001E-2</v>
      </c>
      <c r="G29">
        <f>Keys!$C$4</f>
        <v>-8</v>
      </c>
      <c r="I29" s="12">
        <f>IF(INDEX(Costs_BAU!$E$5:$E$52,MATCH($A29,Costs_BAU!$A$5:$A$52,0))&gt;Keys!$C$5,0,Keys!$C$6*EXP($G29*INDEX(Costs_BAU!$E$5:$E$52,MATCH($A29,Costs_BAU!$A$5:$A$52,0))))</f>
        <v>2.1974161349157934E-2</v>
      </c>
      <c r="J29" s="12">
        <f>IF(INDEX(Costs_BAU!$F$5:$F$52,MATCH($A29,Costs_BAU!$A$5:$A$52,0))&gt;Keys!$C$5,0,Keys!$C$7*EXP($G29*INDEX(Costs_BAU!$F$5:$F$52,MATCH($A29,Costs_BAU!$A$5:$A$52,0))))</f>
        <v>8.6772551617128396E-4</v>
      </c>
      <c r="K29" s="12">
        <f>IF(INDEX(Costs_BAU!$D$5:$D$52,MATCH($A29,Costs_BAU!$A$5:$A$52,0))&gt;Keys!$C$5,0,Keys!$C$8*EXP($G29*INDEX(Costs_BAU!$D$5:$D$52,MATCH($A29,Costs_BAU!$A$5:$A$52,0))))</f>
        <v>1.7082972286356437E-6</v>
      </c>
      <c r="L29" s="12">
        <f>IF(INDEX(Costs_BAU!$H$5:$H$52,MATCH($A29,Costs_BAU!$A$5:$A$52,0))&gt;Keys!$C$5,0,Keys!$C$9*EXP($G29*INDEX(Costs_BAU!$H$5:$H$52,MATCH($A29,Costs_BAU!$A$5:$A$52,0))))</f>
        <v>0</v>
      </c>
      <c r="M29" s="12">
        <f t="shared" si="1"/>
        <v>2.2843595162557854E-2</v>
      </c>
      <c r="N29" s="12">
        <f t="shared" si="2"/>
        <v>2.3736071449041826E-2</v>
      </c>
      <c r="O29" s="13">
        <f>$C29*$N29*EXP(-$G29*INDEX(Costs_BAU!$C$5:$C$52,MATCH($A29,Costs_BAU!$A$5:$A$52,0)))</f>
        <v>8.5353885688863942E-2</v>
      </c>
      <c r="P29" s="13">
        <f>$D29*$N29*EXP(-$G29*INDEX(Costs_BAU!$G$5:$G$52,MATCH($A29,Costs_BAU!$A$5:$A$52,0)))</f>
        <v>1.7742806238296261E-2</v>
      </c>
      <c r="Q29" s="13">
        <f>$E29*$N29*EXP(-$G29*INDEX(Costs_BAU!$I$5:$I$52,MATCH($A29,Costs_BAU!$A$5:$A$52,0)))</f>
        <v>0</v>
      </c>
      <c r="R29" s="14">
        <f>MAX(Keys!$C$15,O29,P29,Q29)</f>
        <v>1</v>
      </c>
      <c r="S29" s="13">
        <f t="shared" si="3"/>
        <v>8.5353885688863942E-2</v>
      </c>
      <c r="T29" s="13">
        <f t="shared" si="4"/>
        <v>1.7742806238296261E-2</v>
      </c>
      <c r="U29" s="13">
        <f t="shared" si="5"/>
        <v>0</v>
      </c>
      <c r="V29" s="13">
        <f>Keys!$C$6/$R29</f>
        <v>1</v>
      </c>
      <c r="W29" s="13">
        <f>Keys!$C$7/$R29</f>
        <v>6.7382959534800002E-2</v>
      </c>
      <c r="X29" s="13">
        <f>Keys!$C$8/$R29</f>
        <v>1.00970167475E-4</v>
      </c>
      <c r="Y29" s="13">
        <f>Keys!$C$9/$R29</f>
        <v>0</v>
      </c>
      <c r="Z29" s="11">
        <f>S29*EXP($G29*INDEX(Costs_BAU!$C$5:$C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2.3299999999999998E-2</v>
      </c>
      <c r="AA29" s="11">
        <f>T29*EXP($G29*INDEX(Costs_BAU!$G$5:$G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1.43E-2</v>
      </c>
      <c r="AB29" s="11">
        <f>U29*EXP($G29*INDEX(Costs_BAU!$I$5:$I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0</v>
      </c>
      <c r="AC29" s="15">
        <f t="shared" si="6"/>
        <v>3.4694469519536142E-18</v>
      </c>
      <c r="AD29" t="str">
        <f>IF(AC29&gt;Keys!$C$14,"SHARE MISMATCH",IF(ABS(MAX(S29:Y29)-Keys!$C$15)&gt;Keys!$C$14,"MAX WEIGHT &lt;&gt; 1",IF(R29&gt;Keys!$C$15,"ok (rescaled)","ok")))</f>
        <v>ok</v>
      </c>
      <c r="AF29" s="2">
        <v>1</v>
      </c>
      <c r="AG29" s="2">
        <f t="shared" si="7"/>
        <v>-1.0687767030809476</v>
      </c>
      <c r="AH29" s="2">
        <f t="shared" si="8"/>
        <v>-1.7509776901737861</v>
      </c>
      <c r="AI29" s="2" t="str">
        <f t="shared" si="9"/>
        <v/>
      </c>
      <c r="AJ29" s="9">
        <f t="shared" si="10"/>
        <v>9.2125264583003991E-2</v>
      </c>
      <c r="AK29" s="9">
        <f t="shared" si="11"/>
        <v>9.8662431120855477E-3</v>
      </c>
      <c r="AL29" s="9">
        <f t="shared" si="12"/>
        <v>0</v>
      </c>
      <c r="AM29" s="16">
        <f t="shared" si="13"/>
        <v>1</v>
      </c>
      <c r="AN29" s="9">
        <f t="shared" si="14"/>
        <v>9.2125264583003991E-2</v>
      </c>
      <c r="AO29" s="9">
        <f t="shared" si="15"/>
        <v>9.8662431120855477E-3</v>
      </c>
      <c r="AP29" s="9">
        <f t="shared" si="16"/>
        <v>0</v>
      </c>
      <c r="AQ29" s="9">
        <f>Keys!$C$6/AM29</f>
        <v>1</v>
      </c>
      <c r="AR29" s="9">
        <f>Keys!$C$7/AM29</f>
        <v>6.7382959534800002E-2</v>
      </c>
      <c r="AS29" s="9">
        <f>Keys!$C$8/AM29</f>
        <v>1.00970167475E-4</v>
      </c>
      <c r="AT29" s="9">
        <f>Keys!$C$9/AM29</f>
        <v>0</v>
      </c>
      <c r="AU29" s="11">
        <f>AN29*EXP($G29*INDEX(Costs_BAU!$C$5:$C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2.5262131665027009E-2</v>
      </c>
      <c r="AV29" s="11">
        <f>AO29*EXP($G29*INDEX(Costs_BAU!$G$5:$G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7.987744453350161E-3</v>
      </c>
      <c r="AW29" s="11">
        <f>AP29*EXP($G29*INDEX(Costs_BAU!$I$5:$I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0</v>
      </c>
      <c r="AX29" s="11">
        <f t="shared" si="17"/>
        <v>3.3249876118377167E-2</v>
      </c>
      <c r="AY29" s="17">
        <f t="shared" si="18"/>
        <v>-0.43501238816228349</v>
      </c>
    </row>
    <row r="30" spans="1:51" x14ac:dyDescent="0.25">
      <c r="A30" t="s">
        <v>72</v>
      </c>
      <c r="B30" t="s">
        <v>71</v>
      </c>
      <c r="C30" s="11">
        <f>INDEX(Alliance_2025!$H$5:$H$56,MATCH($A30,Alliance_2025!$A$5:$A$56,0))</f>
        <v>6.25E-2</v>
      </c>
      <c r="D30" s="11">
        <f>INDEX(Alliance_2025!$G$5:$G$56,MATCH($A30,Alliance_2025!$A$5:$A$56,0))</f>
        <v>1.38E-2</v>
      </c>
      <c r="E30" s="11">
        <f>INDEX(Alliance_2025!$I$5:$I$56,MATCH($A30,Alliance_2025!$A$5:$A$56,0))</f>
        <v>0</v>
      </c>
      <c r="F30" s="11">
        <f t="shared" si="0"/>
        <v>7.6300000000000007E-2</v>
      </c>
      <c r="G30">
        <f>Keys!$C$4</f>
        <v>-8</v>
      </c>
      <c r="I30" s="12">
        <f>IF(INDEX(Costs_BAU!$E$5:$E$52,MATCH($A30,Costs_BAU!$A$5:$A$52,0))&gt;Keys!$C$5,0,Keys!$C$6*EXP($G30*INDEX(Costs_BAU!$E$5:$E$52,MATCH($A30,Costs_BAU!$A$5:$A$52,0))))</f>
        <v>3.7817171765489051E-2</v>
      </c>
      <c r="J30" s="12">
        <f>IF(INDEX(Costs_BAU!$F$5:$F$52,MATCH($A30,Costs_BAU!$A$5:$A$52,0))&gt;Keys!$C$5,0,Keys!$C$7*EXP($G30*INDEX(Costs_BAU!$F$5:$F$52,MATCH($A30,Costs_BAU!$A$5:$A$52,0))))</f>
        <v>1.6051097913360028E-3</v>
      </c>
      <c r="K30" s="12">
        <f>IF(INDEX(Costs_BAU!$D$5:$D$52,MATCH($A30,Costs_BAU!$A$5:$A$52,0))&gt;Keys!$C$5,0,Keys!$C$8*EXP($G30*INDEX(Costs_BAU!$D$5:$D$52,MATCH($A30,Costs_BAU!$A$5:$A$52,0))))</f>
        <v>3.1427465079762565E-6</v>
      </c>
      <c r="L30" s="12">
        <f>IF(INDEX(Costs_BAU!$H$5:$H$52,MATCH($A30,Costs_BAU!$A$5:$A$52,0))&gt;Keys!$C$5,0,Keys!$C$9*EXP($G30*INDEX(Costs_BAU!$H$5:$H$52,MATCH($A30,Costs_BAU!$A$5:$A$52,0))))</f>
        <v>0</v>
      </c>
      <c r="M30" s="12">
        <f t="shared" si="1"/>
        <v>3.9425424303333033E-2</v>
      </c>
      <c r="N30" s="12">
        <f t="shared" si="2"/>
        <v>4.2682065934105264E-2</v>
      </c>
      <c r="O30" s="13">
        <f>$C30*$N30*EXP(-$G30*INDEX(Costs_BAU!$C$5:$C$52,MATCH($A30,Costs_BAU!$A$5:$A$52,0)))</f>
        <v>0.1968492304826685</v>
      </c>
      <c r="P30" s="13">
        <f>$D30*$N30*EXP(-$G30*INDEX(Costs_BAU!$G$5:$G$52,MATCH($A30,Costs_BAU!$A$5:$A$52,0)))</f>
        <v>1.7790989898173577E-2</v>
      </c>
      <c r="Q30" s="13">
        <f>$E30*$N30*EXP(-$G30*INDEX(Costs_BAU!$I$5:$I$52,MATCH($A30,Costs_BAU!$A$5:$A$52,0)))</f>
        <v>0</v>
      </c>
      <c r="R30" s="14">
        <f>MAX(Keys!$C$15,O30,P30,Q30)</f>
        <v>1</v>
      </c>
      <c r="S30" s="13">
        <f t="shared" si="3"/>
        <v>0.1968492304826685</v>
      </c>
      <c r="T30" s="13">
        <f t="shared" si="4"/>
        <v>1.7790989898173577E-2</v>
      </c>
      <c r="U30" s="13">
        <f t="shared" si="5"/>
        <v>0</v>
      </c>
      <c r="V30" s="13">
        <f>Keys!$C$6/$R30</f>
        <v>1</v>
      </c>
      <c r="W30" s="13">
        <f>Keys!$C$7/$R30</f>
        <v>6.7382959534800002E-2</v>
      </c>
      <c r="X30" s="13">
        <f>Keys!$C$8/$R30</f>
        <v>1.00970167475E-4</v>
      </c>
      <c r="Y30" s="13">
        <f>Keys!$C$9/$R30</f>
        <v>0</v>
      </c>
      <c r="Z30" s="11">
        <f>S30*EXP($G30*INDEX(Costs_BAU!$C$5:$C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6.25E-2</v>
      </c>
      <c r="AA30" s="11">
        <f>T30*EXP($G30*INDEX(Costs_BAU!$G$5:$G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1.3799999999999998E-2</v>
      </c>
      <c r="AB30" s="11">
        <f>U30*EXP($G30*INDEX(Costs_BAU!$I$5:$I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0</v>
      </c>
      <c r="AC30" s="15">
        <f t="shared" si="6"/>
        <v>1.7347234759768071E-18</v>
      </c>
      <c r="AD30" t="str">
        <f>IF(AC30&gt;Keys!$C$14,"SHARE MISMATCH",IF(ABS(MAX(S30:Y30)-Keys!$C$15)&gt;Keys!$C$14,"MAX WEIGHT &lt;&gt; 1",IF(R30&gt;Keys!$C$15,"ok (rescaled)","ok")))</f>
        <v>ok</v>
      </c>
      <c r="AF30" s="2">
        <v>2</v>
      </c>
      <c r="AG30" s="2">
        <f t="shared" si="7"/>
        <v>-0.70586627860188988</v>
      </c>
      <c r="AH30" s="2">
        <f t="shared" si="8"/>
        <v>-1.7497998869158446</v>
      </c>
      <c r="AI30" s="2" t="str">
        <f t="shared" si="9"/>
        <v/>
      </c>
      <c r="AJ30" s="9">
        <f t="shared" si="10"/>
        <v>0.23983771978951599</v>
      </c>
      <c r="AK30" s="9">
        <f t="shared" si="11"/>
        <v>2.2130378178094778E-2</v>
      </c>
      <c r="AL30" s="9">
        <f t="shared" si="12"/>
        <v>0</v>
      </c>
      <c r="AM30" s="16">
        <f t="shared" si="13"/>
        <v>1</v>
      </c>
      <c r="AN30" s="9">
        <f t="shared" si="14"/>
        <v>0.23983771978951599</v>
      </c>
      <c r="AO30" s="9">
        <f t="shared" si="15"/>
        <v>2.2130378178094778E-2</v>
      </c>
      <c r="AP30" s="9">
        <f t="shared" si="16"/>
        <v>0</v>
      </c>
      <c r="AQ30" s="9">
        <f>Keys!$C$6/AM30</f>
        <v>1</v>
      </c>
      <c r="AR30" s="9">
        <f>Keys!$C$7/AM30</f>
        <v>6.7382959534800002E-2</v>
      </c>
      <c r="AS30" s="9">
        <f>Keys!$C$8/AM30</f>
        <v>1.00970167475E-4</v>
      </c>
      <c r="AT30" s="9">
        <f>Keys!$C$9/AM30</f>
        <v>0</v>
      </c>
      <c r="AU30" s="11">
        <f>AN30*EXP($G30*INDEX(Costs_BAU!$C$5:$C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7.48749383186013E-2</v>
      </c>
      <c r="AV30" s="11">
        <f>AO30*EXP($G30*INDEX(Costs_BAU!$G$5:$G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1.6878758677483612E-2</v>
      </c>
      <c r="AW30" s="11">
        <f>AP30*EXP($G30*INDEX(Costs_BAU!$I$5:$I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0</v>
      </c>
      <c r="AX30" s="11">
        <f t="shared" si="17"/>
        <v>9.1753696996084905E-2</v>
      </c>
      <c r="AY30" s="17">
        <f t="shared" si="18"/>
        <v>1.5453696996084898</v>
      </c>
    </row>
    <row r="31" spans="1:51" x14ac:dyDescent="0.25">
      <c r="A31" t="s">
        <v>75</v>
      </c>
      <c r="B31" t="s">
        <v>74</v>
      </c>
      <c r="C31" s="11">
        <f>INDEX(Alliance_2025!$H$5:$H$56,MATCH($A31,Alliance_2025!$A$5:$A$56,0))</f>
        <v>1.3999999999999999E-2</v>
      </c>
      <c r="D31" s="11">
        <f>INDEX(Alliance_2025!$G$5:$G$56,MATCH($A31,Alliance_2025!$A$5:$A$56,0))</f>
        <v>4.1999999999999997E-3</v>
      </c>
      <c r="E31" s="11">
        <f>INDEX(Alliance_2025!$I$5:$I$56,MATCH($A31,Alliance_2025!$A$5:$A$56,0))</f>
        <v>0</v>
      </c>
      <c r="F31" s="11">
        <f t="shared" si="0"/>
        <v>1.8199999999999997E-2</v>
      </c>
      <c r="G31">
        <f>Keys!$C$4</f>
        <v>-8</v>
      </c>
      <c r="I31" s="12">
        <f>IF(INDEX(Costs_BAU!$E$5:$E$52,MATCH($A31,Costs_BAU!$A$5:$A$52,0))&gt;Keys!$C$5,0,Keys!$C$6*EXP($G31*INDEX(Costs_BAU!$E$5:$E$52,MATCH($A31,Costs_BAU!$A$5:$A$52,0))))</f>
        <v>7.8177381921615101E-3</v>
      </c>
      <c r="J31" s="12">
        <f>IF(INDEX(Costs_BAU!$F$5:$F$52,MATCH($A31,Costs_BAU!$A$5:$A$52,0))&gt;Keys!$C$5,0,Keys!$C$7*EXP($G31*INDEX(Costs_BAU!$F$5:$F$52,MATCH($A31,Costs_BAU!$A$5:$A$52,0))))</f>
        <v>2.643376964750699E-4</v>
      </c>
      <c r="K31" s="12">
        <f>IF(INDEX(Costs_BAU!$D$5:$D$52,MATCH($A31,Costs_BAU!$A$5:$A$52,0))&gt;Keys!$C$5,0,Keys!$C$8*EXP($G31*INDEX(Costs_BAU!$D$5:$D$52,MATCH($A31,Costs_BAU!$A$5:$A$52,0))))</f>
        <v>5.2136604709881536E-7</v>
      </c>
      <c r="L31" s="12">
        <f>IF(INDEX(Costs_BAU!$H$5:$H$52,MATCH($A31,Costs_BAU!$A$5:$A$52,0))&gt;Keys!$C$5,0,Keys!$C$9*EXP($G31*INDEX(Costs_BAU!$H$5:$H$52,MATCH($A31,Costs_BAU!$A$5:$A$52,0))))</f>
        <v>0</v>
      </c>
      <c r="M31" s="12">
        <f t="shared" si="1"/>
        <v>8.0825972546836791E-3</v>
      </c>
      <c r="N31" s="12">
        <f t="shared" si="2"/>
        <v>8.2324274339821545E-3</v>
      </c>
      <c r="O31" s="13">
        <f>$C31*$N31*EXP(-$G31*INDEX(Costs_BAU!$C$5:$C$52,MATCH($A31,Costs_BAU!$A$5:$A$52,0)))</f>
        <v>7.6059731416185272E-2</v>
      </c>
      <c r="P31" s="13">
        <f>$D31*$N31*EXP(-$G31*INDEX(Costs_BAU!$G$5:$G$52,MATCH($A31,Costs_BAU!$A$5:$A$52,0)))</f>
        <v>5.3220904449795912E-3</v>
      </c>
      <c r="Q31" s="13">
        <f>$E31*$N31*EXP(-$G31*INDEX(Costs_BAU!$I$5:$I$52,MATCH($A31,Costs_BAU!$A$5:$A$52,0)))</f>
        <v>0</v>
      </c>
      <c r="R31" s="14">
        <f>MAX(Keys!$C$15,O31,P31,Q31)</f>
        <v>1</v>
      </c>
      <c r="S31" s="13">
        <f t="shared" si="3"/>
        <v>7.6059731416185272E-2</v>
      </c>
      <c r="T31" s="13">
        <f t="shared" si="4"/>
        <v>5.3220904449795912E-3</v>
      </c>
      <c r="U31" s="13">
        <f t="shared" si="5"/>
        <v>0</v>
      </c>
      <c r="V31" s="13">
        <f>Keys!$C$6/$R31</f>
        <v>1</v>
      </c>
      <c r="W31" s="13">
        <f>Keys!$C$7/$R31</f>
        <v>6.7382959534800002E-2</v>
      </c>
      <c r="X31" s="13">
        <f>Keys!$C$8/$R31</f>
        <v>1.00970167475E-4</v>
      </c>
      <c r="Y31" s="13">
        <f>Keys!$C$9/$R31</f>
        <v>0</v>
      </c>
      <c r="Z31" s="11">
        <f>S31*EXP($G31*INDEX(Costs_BAU!$C$5:$C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1.4000000000000002E-2</v>
      </c>
      <c r="AA31" s="11">
        <f>T31*EXP($G31*INDEX(Costs_BAU!$G$5:$G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4.2000000000000006E-3</v>
      </c>
      <c r="AB31" s="11">
        <f>U31*EXP($G31*INDEX(Costs_BAU!$I$5:$I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0</v>
      </c>
      <c r="AC31" s="15">
        <f t="shared" si="6"/>
        <v>3.4694469519536142E-18</v>
      </c>
      <c r="AD31" t="str">
        <f>IF(AC31&gt;Keys!$C$14,"SHARE MISMATCH",IF(ABS(MAX(S31:Y31)-Keys!$C$15)&gt;Keys!$C$14,"MAX WEIGHT &lt;&gt; 1",IF(R31&gt;Keys!$C$15,"ok (rescaled)","ok")))</f>
        <v>ok</v>
      </c>
      <c r="AF31" s="2">
        <v>1</v>
      </c>
      <c r="AG31" s="2">
        <f t="shared" si="7"/>
        <v>-1.1188452125120594</v>
      </c>
      <c r="AH31" s="2">
        <f t="shared" si="8"/>
        <v>-2.2739177492093225</v>
      </c>
      <c r="AI31" s="2" t="str">
        <f t="shared" si="9"/>
        <v/>
      </c>
      <c r="AJ31" s="9">
        <f t="shared" si="10"/>
        <v>9.2125264583003991E-2</v>
      </c>
      <c r="AK31" s="9">
        <f t="shared" si="11"/>
        <v>9.8662431120855477E-3</v>
      </c>
      <c r="AL31" s="9">
        <f t="shared" si="12"/>
        <v>0</v>
      </c>
      <c r="AM31" s="16">
        <f t="shared" si="13"/>
        <v>1</v>
      </c>
      <c r="AN31" s="9">
        <f t="shared" si="14"/>
        <v>9.2125264583003991E-2</v>
      </c>
      <c r="AO31" s="9">
        <f t="shared" si="15"/>
        <v>9.8662431120855477E-3</v>
      </c>
      <c r="AP31" s="9">
        <f t="shared" si="16"/>
        <v>0</v>
      </c>
      <c r="AQ31" s="9">
        <f>Keys!$C$6/AM31</f>
        <v>1</v>
      </c>
      <c r="AR31" s="9">
        <f>Keys!$C$7/AM31</f>
        <v>6.7382959534800002E-2</v>
      </c>
      <c r="AS31" s="9">
        <f>Keys!$C$8/AM31</f>
        <v>1.00970167475E-4</v>
      </c>
      <c r="AT31" s="9">
        <f>Keys!$C$9/AM31</f>
        <v>0</v>
      </c>
      <c r="AU31" s="11">
        <f>AN31*EXP($G31*INDEX(Costs_BAU!$C$5:$C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1.6846883742299704E-2</v>
      </c>
      <c r="AV31" s="11">
        <f>AO31*EXP($G31*INDEX(Costs_BAU!$G$5:$G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7.7354651656812027E-3</v>
      </c>
      <c r="AW31" s="11">
        <f>AP31*EXP($G31*INDEX(Costs_BAU!$I$5:$I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0</v>
      </c>
      <c r="AX31" s="11">
        <f t="shared" si="17"/>
        <v>2.4582348907980906E-2</v>
      </c>
      <c r="AY31" s="17">
        <f t="shared" si="18"/>
        <v>0.63823489079809081</v>
      </c>
    </row>
    <row r="32" spans="1:51" x14ac:dyDescent="0.25">
      <c r="A32" t="s">
        <v>78</v>
      </c>
      <c r="B32" t="s">
        <v>77</v>
      </c>
      <c r="C32" s="11">
        <f>INDEX(Alliance_2025!$H$5:$H$56,MATCH($A32,Alliance_2025!$A$5:$A$56,0))</f>
        <v>3.2500000000000001E-2</v>
      </c>
      <c r="D32" s="11">
        <f>INDEX(Alliance_2025!$G$5:$G$56,MATCH($A32,Alliance_2025!$A$5:$A$56,0))</f>
        <v>9.9000000000000008E-3</v>
      </c>
      <c r="E32" s="11">
        <f>INDEX(Alliance_2025!$I$5:$I$56,MATCH($A32,Alliance_2025!$A$5:$A$56,0))</f>
        <v>0</v>
      </c>
      <c r="F32" s="11">
        <f t="shared" si="0"/>
        <v>4.24E-2</v>
      </c>
      <c r="G32">
        <f>Keys!$C$4</f>
        <v>-8</v>
      </c>
      <c r="I32" s="12">
        <f>IF(INDEX(Costs_BAU!$E$5:$E$52,MATCH($A32,Costs_BAU!$A$5:$A$52,0))&gt;Keys!$C$5,0,Keys!$C$6*EXP($G32*INDEX(Costs_BAU!$E$5:$E$52,MATCH($A32,Costs_BAU!$A$5:$A$52,0))))</f>
        <v>1.5927310527167001E-2</v>
      </c>
      <c r="J32" s="12">
        <f>IF(INDEX(Costs_BAU!$F$5:$F$52,MATCH($A32,Costs_BAU!$A$5:$A$52,0))&gt;Keys!$C$5,0,Keys!$C$7*EXP($G32*INDEX(Costs_BAU!$F$5:$F$52,MATCH($A32,Costs_BAU!$A$5:$A$52,0))))</f>
        <v>5.9771104751740734E-4</v>
      </c>
      <c r="K32" s="12">
        <f>IF(INDEX(Costs_BAU!$D$5:$D$52,MATCH($A32,Costs_BAU!$A$5:$A$52,0))&gt;Keys!$C$5,0,Keys!$C$8*EXP($G32*INDEX(Costs_BAU!$D$5:$D$52,MATCH($A32,Costs_BAU!$A$5:$A$52,0))))</f>
        <v>1.1687994392350124E-6</v>
      </c>
      <c r="L32" s="12">
        <f>IF(INDEX(Costs_BAU!$H$5:$H$52,MATCH($A32,Costs_BAU!$A$5:$A$52,0))&gt;Keys!$C$5,0,Keys!$C$9*EXP($G32*INDEX(Costs_BAU!$H$5:$H$52,MATCH($A32,Costs_BAU!$A$5:$A$52,0))))</f>
        <v>0</v>
      </c>
      <c r="M32" s="12">
        <f t="shared" si="1"/>
        <v>1.6526190374123645E-2</v>
      </c>
      <c r="N32" s="12">
        <f t="shared" si="2"/>
        <v>1.7257926455851759E-2</v>
      </c>
      <c r="O32" s="13">
        <f>$C32*$N32*EXP(-$G32*INDEX(Costs_BAU!$C$5:$C$52,MATCH($A32,Costs_BAU!$A$5:$A$52,0)))</f>
        <v>0.13826060592037365</v>
      </c>
      <c r="P32" s="13">
        <f>$D32*$N32*EXP(-$G32*INDEX(Costs_BAU!$G$5:$G$52,MATCH($A32,Costs_BAU!$A$5:$A$52,0)))</f>
        <v>1.2489833842206267E-2</v>
      </c>
      <c r="Q32" s="13">
        <f>$E32*$N32*EXP(-$G32*INDEX(Costs_BAU!$I$5:$I$52,MATCH($A32,Costs_BAU!$A$5:$A$52,0)))</f>
        <v>0</v>
      </c>
      <c r="R32" s="14">
        <f>MAX(Keys!$C$15,O32,P32,Q32)</f>
        <v>1</v>
      </c>
      <c r="S32" s="13">
        <f t="shared" si="3"/>
        <v>0.13826060592037365</v>
      </c>
      <c r="T32" s="13">
        <f t="shared" si="4"/>
        <v>1.2489833842206267E-2</v>
      </c>
      <c r="U32" s="13">
        <f t="shared" si="5"/>
        <v>0</v>
      </c>
      <c r="V32" s="13">
        <f>Keys!$C$6/$R32</f>
        <v>1</v>
      </c>
      <c r="W32" s="13">
        <f>Keys!$C$7/$R32</f>
        <v>6.7382959534800002E-2</v>
      </c>
      <c r="X32" s="13">
        <f>Keys!$C$8/$R32</f>
        <v>1.00970167475E-4</v>
      </c>
      <c r="Y32" s="13">
        <f>Keys!$C$9/$R32</f>
        <v>0</v>
      </c>
      <c r="Z32" s="11">
        <f>S32*EXP($G32*INDEX(Costs_BAU!$C$5:$C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3.2499999999999994E-2</v>
      </c>
      <c r="AA32" s="11">
        <f>T32*EXP($G32*INDEX(Costs_BAU!$G$5:$G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9.9000000000000008E-3</v>
      </c>
      <c r="AB32" s="11">
        <f>U32*EXP($G32*INDEX(Costs_BAU!$I$5:$I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0</v>
      </c>
      <c r="AC32" s="15">
        <f t="shared" si="6"/>
        <v>6.9388939039072284E-18</v>
      </c>
      <c r="AD32" t="str">
        <f>IF(AC32&gt;Keys!$C$14,"SHARE MISMATCH",IF(ABS(MAX(S32:Y32)-Keys!$C$15)&gt;Keys!$C$14,"MAX WEIGHT &lt;&gt; 1",IF(R32&gt;Keys!$C$15,"ok (rescaled)","ok")))</f>
        <v>ok</v>
      </c>
      <c r="AF32" s="2">
        <v>1</v>
      </c>
      <c r="AG32" s="2">
        <f t="shared" si="7"/>
        <v>-0.85930154417499349</v>
      </c>
      <c r="AH32" s="2">
        <f t="shared" si="8"/>
        <v>-1.9034433391993584</v>
      </c>
      <c r="AI32" s="2" t="str">
        <f t="shared" si="9"/>
        <v/>
      </c>
      <c r="AJ32" s="9">
        <f t="shared" si="10"/>
        <v>9.2125264583003991E-2</v>
      </c>
      <c r="AK32" s="9">
        <f t="shared" si="11"/>
        <v>9.8662431120855477E-3</v>
      </c>
      <c r="AL32" s="9">
        <f t="shared" si="12"/>
        <v>0</v>
      </c>
      <c r="AM32" s="16">
        <f t="shared" si="13"/>
        <v>1</v>
      </c>
      <c r="AN32" s="9">
        <f t="shared" si="14"/>
        <v>9.2125264583003991E-2</v>
      </c>
      <c r="AO32" s="9">
        <f t="shared" si="15"/>
        <v>9.8662431120855477E-3</v>
      </c>
      <c r="AP32" s="9">
        <f t="shared" si="16"/>
        <v>0</v>
      </c>
      <c r="AQ32" s="9">
        <f>Keys!$C$6/AM32</f>
        <v>1</v>
      </c>
      <c r="AR32" s="9">
        <f>Keys!$C$7/AM32</f>
        <v>6.7382959534800002E-2</v>
      </c>
      <c r="AS32" s="9">
        <f>Keys!$C$8/AM32</f>
        <v>1.00970167475E-4</v>
      </c>
      <c r="AT32" s="9">
        <f>Keys!$C$9/AM32</f>
        <v>0</v>
      </c>
      <c r="AU32" s="11">
        <f>AN32*EXP($G32*INDEX(Costs_BAU!$C$5:$C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2.1938816415603656E-2</v>
      </c>
      <c r="AV32" s="11">
        <f>AO32*EXP($G32*INDEX(Costs_BAU!$G$5:$G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7.9228217851907579E-3</v>
      </c>
      <c r="AW32" s="11">
        <f>AP32*EXP($G32*INDEX(Costs_BAU!$I$5:$I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0</v>
      </c>
      <c r="AX32" s="11">
        <f t="shared" si="17"/>
        <v>2.9861638200794412E-2</v>
      </c>
      <c r="AY32" s="17">
        <f t="shared" si="18"/>
        <v>-1.2538361799205588</v>
      </c>
    </row>
    <row r="33" spans="1:51" x14ac:dyDescent="0.25">
      <c r="A33" t="s">
        <v>81</v>
      </c>
      <c r="B33" t="s">
        <v>80</v>
      </c>
      <c r="C33" s="11">
        <f>INDEX(Alliance_2025!$H$5:$H$56,MATCH($A33,Alliance_2025!$A$5:$A$56,0))</f>
        <v>3.8700000000000005E-2</v>
      </c>
      <c r="D33" s="11">
        <f>INDEX(Alliance_2025!$G$5:$G$56,MATCH($A33,Alliance_2025!$A$5:$A$56,0))</f>
        <v>1.6899999999999998E-2</v>
      </c>
      <c r="E33" s="11">
        <f>INDEX(Alliance_2025!$I$5:$I$56,MATCH($A33,Alliance_2025!$A$5:$A$56,0))</f>
        <v>0</v>
      </c>
      <c r="F33" s="11">
        <f t="shared" si="0"/>
        <v>5.5600000000000004E-2</v>
      </c>
      <c r="G33">
        <f>Keys!$C$4</f>
        <v>-8</v>
      </c>
      <c r="I33" s="12">
        <f>IF(INDEX(Costs_BAU!$E$5:$E$52,MATCH($A33,Costs_BAU!$A$5:$A$52,0))&gt;Keys!$C$5,0,Keys!$C$6*EXP($G33*INDEX(Costs_BAU!$E$5:$E$52,MATCH($A33,Costs_BAU!$A$5:$A$52,0))))</f>
        <v>2.6731730792293691E-2</v>
      </c>
      <c r="J33" s="12">
        <f>IF(INDEX(Costs_BAU!$F$5:$F$52,MATCH($A33,Costs_BAU!$A$5:$A$52,0))&gt;Keys!$C$5,0,Keys!$C$7*EXP($G33*INDEX(Costs_BAU!$F$5:$F$52,MATCH($A33,Costs_BAU!$A$5:$A$52,0))))</f>
        <v>1.0729116918827368E-3</v>
      </c>
      <c r="K33" s="12">
        <f>IF(INDEX(Costs_BAU!$D$5:$D$52,MATCH($A33,Costs_BAU!$A$5:$A$52,0))&gt;Keys!$C$5,0,Keys!$C$8*EXP($G33*INDEX(Costs_BAU!$D$5:$D$52,MATCH($A33,Costs_BAU!$A$5:$A$52,0))))</f>
        <v>2.1237536266711622E-6</v>
      </c>
      <c r="L33" s="12">
        <f>IF(INDEX(Costs_BAU!$H$5:$H$52,MATCH($A33,Costs_BAU!$A$5:$A$52,0))&gt;Keys!$C$5,0,Keys!$C$9*EXP($G33*INDEX(Costs_BAU!$H$5:$H$52,MATCH($A33,Costs_BAU!$A$5:$A$52,0))))</f>
        <v>0</v>
      </c>
      <c r="M33" s="12">
        <f t="shared" si="1"/>
        <v>2.78067662378031E-2</v>
      </c>
      <c r="N33" s="12">
        <f t="shared" si="2"/>
        <v>2.9443843962095616E-2</v>
      </c>
      <c r="O33" s="13">
        <f>$C33*$N33*EXP(-$G33*INDEX(Costs_BAU!$C$5:$C$52,MATCH($A33,Costs_BAU!$A$5:$A$52,0)))</f>
        <v>0.14381175332167342</v>
      </c>
      <c r="P33" s="13">
        <f>$D33*$N33*EXP(-$G33*INDEX(Costs_BAU!$G$5:$G$52,MATCH($A33,Costs_BAU!$A$5:$A$52,0)))</f>
        <v>2.3710623523618222E-2</v>
      </c>
      <c r="Q33" s="13">
        <f>$E33*$N33*EXP(-$G33*INDEX(Costs_BAU!$I$5:$I$52,MATCH($A33,Costs_BAU!$A$5:$A$52,0)))</f>
        <v>0</v>
      </c>
      <c r="R33" s="14">
        <f>MAX(Keys!$C$15,O33,P33,Q33)</f>
        <v>1</v>
      </c>
      <c r="S33" s="13">
        <f t="shared" si="3"/>
        <v>0.14381175332167342</v>
      </c>
      <c r="T33" s="13">
        <f t="shared" si="4"/>
        <v>2.3710623523618222E-2</v>
      </c>
      <c r="U33" s="13">
        <f t="shared" si="5"/>
        <v>0</v>
      </c>
      <c r="V33" s="13">
        <f>Keys!$C$6/$R33</f>
        <v>1</v>
      </c>
      <c r="W33" s="13">
        <f>Keys!$C$7/$R33</f>
        <v>6.7382959534800002E-2</v>
      </c>
      <c r="X33" s="13">
        <f>Keys!$C$8/$R33</f>
        <v>1.00970167475E-4</v>
      </c>
      <c r="Y33" s="13">
        <f>Keys!$C$9/$R33</f>
        <v>0</v>
      </c>
      <c r="Z33" s="11">
        <f>S33*EXP($G33*INDEX(Costs_BAU!$C$5:$C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3.8699999999999998E-2</v>
      </c>
      <c r="AA33" s="11">
        <f>T33*EXP($G33*INDEX(Costs_BAU!$G$5:$G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1.6899999999999998E-2</v>
      </c>
      <c r="AB33" s="11">
        <f>U33*EXP($G33*INDEX(Costs_BAU!$I$5:$I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0</v>
      </c>
      <c r="AC33" s="15">
        <f t="shared" si="6"/>
        <v>6.9388939039072284E-18</v>
      </c>
      <c r="AD33" t="str">
        <f>IF(AC33&gt;Keys!$C$14,"SHARE MISMATCH",IF(ABS(MAX(S33:Y33)-Keys!$C$15)&gt;Keys!$C$14,"MAX WEIGHT &lt;&gt; 1",IF(R33&gt;Keys!$C$15,"ok (rescaled)","ok")))</f>
        <v>ok</v>
      </c>
      <c r="AF33" s="2">
        <v>1</v>
      </c>
      <c r="AG33" s="2">
        <f t="shared" si="7"/>
        <v>-0.84220561886164091</v>
      </c>
      <c r="AH33" s="2">
        <f t="shared" si="8"/>
        <v>-1.6250570251316327</v>
      </c>
      <c r="AI33" s="2" t="str">
        <f t="shared" si="9"/>
        <v/>
      </c>
      <c r="AJ33" s="9">
        <f t="shared" si="10"/>
        <v>9.2125264583003991E-2</v>
      </c>
      <c r="AK33" s="9">
        <f t="shared" si="11"/>
        <v>9.8662431120855477E-3</v>
      </c>
      <c r="AL33" s="9">
        <f t="shared" si="12"/>
        <v>0</v>
      </c>
      <c r="AM33" s="16">
        <f t="shared" si="13"/>
        <v>1</v>
      </c>
      <c r="AN33" s="9">
        <f t="shared" si="14"/>
        <v>9.2125264583003991E-2</v>
      </c>
      <c r="AO33" s="9">
        <f t="shared" si="15"/>
        <v>9.8662431120855477E-3</v>
      </c>
      <c r="AP33" s="9">
        <f t="shared" si="16"/>
        <v>0</v>
      </c>
      <c r="AQ33" s="9">
        <f>Keys!$C$6/AM33</f>
        <v>1</v>
      </c>
      <c r="AR33" s="9">
        <f>Keys!$C$7/AM33</f>
        <v>6.7382959534800002E-2</v>
      </c>
      <c r="AS33" s="9">
        <f>Keys!$C$8/AM33</f>
        <v>1.00970167475E-4</v>
      </c>
      <c r="AT33" s="9">
        <f>Keys!$C$9/AM33</f>
        <v>0</v>
      </c>
      <c r="AU33" s="11">
        <f>AN33*EXP($G33*INDEX(Costs_BAU!$C$5:$C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2.5394878756654429E-2</v>
      </c>
      <c r="AV33" s="11">
        <f>AO33*EXP($G33*INDEX(Costs_BAU!$G$5:$G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7.2035463354268546E-3</v>
      </c>
      <c r="AW33" s="11">
        <f>AP33*EXP($G33*INDEX(Costs_BAU!$I$5:$I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0</v>
      </c>
      <c r="AX33" s="11">
        <f t="shared" si="17"/>
        <v>3.2598425092081287E-2</v>
      </c>
      <c r="AY33" s="17">
        <f t="shared" si="18"/>
        <v>-2.3001574907918716</v>
      </c>
    </row>
    <row r="34" spans="1:51" x14ac:dyDescent="0.25">
      <c r="A34" t="s">
        <v>84</v>
      </c>
      <c r="B34" t="s">
        <v>83</v>
      </c>
      <c r="C34" s="11">
        <f>INDEX(Alliance_2025!$H$5:$H$56,MATCH($A34,Alliance_2025!$A$5:$A$56,0))</f>
        <v>9.74E-2</v>
      </c>
      <c r="D34" s="11">
        <f>INDEX(Alliance_2025!$G$5:$G$56,MATCH($A34,Alliance_2025!$A$5:$A$56,0))</f>
        <v>2.4799999999999999E-2</v>
      </c>
      <c r="E34" s="11">
        <f>INDEX(Alliance_2025!$I$5:$I$56,MATCH($A34,Alliance_2025!$A$5:$A$56,0))</f>
        <v>0</v>
      </c>
      <c r="F34" s="11">
        <f t="shared" si="0"/>
        <v>0.1222</v>
      </c>
      <c r="G34">
        <f>Keys!$C$4</f>
        <v>-8</v>
      </c>
      <c r="I34" s="12">
        <f>IF(INDEX(Costs_BAU!$E$5:$E$52,MATCH($A34,Costs_BAU!$A$5:$A$52,0))&gt;Keys!$C$5,0,Keys!$C$6*EXP($G34*INDEX(Costs_BAU!$E$5:$E$52,MATCH($A34,Costs_BAU!$A$5:$A$52,0))))</f>
        <v>3.7193695792793802E-2</v>
      </c>
      <c r="J34" s="12">
        <f>IF(INDEX(Costs_BAU!$F$5:$F$52,MATCH($A34,Costs_BAU!$A$5:$A$52,0))&gt;Keys!$C$5,0,Keys!$C$7*EXP($G34*INDEX(Costs_BAU!$F$5:$F$52,MATCH($A34,Costs_BAU!$A$5:$A$52,0))))</f>
        <v>1.5806942670612777E-3</v>
      </c>
      <c r="K34" s="12">
        <f>IF(INDEX(Costs_BAU!$D$5:$D$52,MATCH($A34,Costs_BAU!$A$5:$A$52,0))&gt;Keys!$C$5,0,Keys!$C$8*EXP($G34*INDEX(Costs_BAU!$D$5:$D$52,MATCH($A34,Costs_BAU!$A$5:$A$52,0))))</f>
        <v>3.0896725106230036E-6</v>
      </c>
      <c r="L34" s="12">
        <f>IF(INDEX(Costs_BAU!$H$5:$H$52,MATCH($A34,Costs_BAU!$A$5:$A$52,0))&gt;Keys!$C$5,0,Keys!$C$9*EXP($G34*INDEX(Costs_BAU!$H$5:$H$52,MATCH($A34,Costs_BAU!$A$5:$A$52,0))))</f>
        <v>0</v>
      </c>
      <c r="M34" s="12">
        <f t="shared" si="1"/>
        <v>3.8777479732365699E-2</v>
      </c>
      <c r="N34" s="12">
        <f t="shared" si="2"/>
        <v>4.4175757270865458E-2</v>
      </c>
      <c r="O34" s="13">
        <f>$C34*$N34*EXP(-$G34*INDEX(Costs_BAU!$C$5:$C$52,MATCH($A34,Costs_BAU!$A$5:$A$52,0)))</f>
        <v>0.29066374751753765</v>
      </c>
      <c r="P34" s="13">
        <f>$D34*$N34*EXP(-$G34*INDEX(Costs_BAU!$G$5:$G$52,MATCH($A34,Costs_BAU!$A$5:$A$52,0)))</f>
        <v>3.5664668996048879E-2</v>
      </c>
      <c r="Q34" s="13">
        <f>$E34*$N34*EXP(-$G34*INDEX(Costs_BAU!$I$5:$I$52,MATCH($A34,Costs_BAU!$A$5:$A$52,0)))</f>
        <v>0</v>
      </c>
      <c r="R34" s="14">
        <f>MAX(Keys!$C$15,O34,P34,Q34)</f>
        <v>1</v>
      </c>
      <c r="S34" s="13">
        <f t="shared" si="3"/>
        <v>0.29066374751753765</v>
      </c>
      <c r="T34" s="13">
        <f t="shared" si="4"/>
        <v>3.5664668996048879E-2</v>
      </c>
      <c r="U34" s="13">
        <f t="shared" si="5"/>
        <v>0</v>
      </c>
      <c r="V34" s="13">
        <f>Keys!$C$6/$R34</f>
        <v>1</v>
      </c>
      <c r="W34" s="13">
        <f>Keys!$C$7/$R34</f>
        <v>6.7382959534800002E-2</v>
      </c>
      <c r="X34" s="13">
        <f>Keys!$C$8/$R34</f>
        <v>1.00970167475E-4</v>
      </c>
      <c r="Y34" s="13">
        <f>Keys!$C$9/$R34</f>
        <v>0</v>
      </c>
      <c r="Z34" s="11">
        <f>S34*EXP($G34*INDEX(Costs_BAU!$C$5:$C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9.7400000000000014E-2</v>
      </c>
      <c r="AA34" s="11">
        <f>T34*EXP($G34*INDEX(Costs_BAU!$G$5:$G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2.4799999999999999E-2</v>
      </c>
      <c r="AB34" s="11">
        <f>U34*EXP($G34*INDEX(Costs_BAU!$I$5:$I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0</v>
      </c>
      <c r="AC34" s="15">
        <f t="shared" si="6"/>
        <v>1.3877787807814457E-17</v>
      </c>
      <c r="AD34" t="str">
        <f>IF(AC34&gt;Keys!$C$14,"SHARE MISMATCH",IF(ABS(MAX(S34:Y34)-Keys!$C$15)&gt;Keys!$C$14,"MAX WEIGHT &lt;&gt; 1",IF(R34&gt;Keys!$C$15,"ok (rescaled)","ok")))</f>
        <v>ok</v>
      </c>
      <c r="AF34" s="2">
        <v>2</v>
      </c>
      <c r="AG34" s="2">
        <f t="shared" si="7"/>
        <v>-0.53660913140426736</v>
      </c>
      <c r="AH34" s="2">
        <f t="shared" si="8"/>
        <v>-1.4477618023136063</v>
      </c>
      <c r="AI34" s="2" t="str">
        <f t="shared" si="9"/>
        <v/>
      </c>
      <c r="AJ34" s="9">
        <f t="shared" si="10"/>
        <v>0.23983771978951599</v>
      </c>
      <c r="AK34" s="9">
        <f t="shared" si="11"/>
        <v>2.2130378178094778E-2</v>
      </c>
      <c r="AL34" s="9">
        <f t="shared" si="12"/>
        <v>0</v>
      </c>
      <c r="AM34" s="16">
        <f t="shared" si="13"/>
        <v>1</v>
      </c>
      <c r="AN34" s="9">
        <f t="shared" si="14"/>
        <v>0.23983771978951599</v>
      </c>
      <c r="AO34" s="9">
        <f t="shared" si="15"/>
        <v>2.2130378178094778E-2</v>
      </c>
      <c r="AP34" s="9">
        <f t="shared" si="16"/>
        <v>0</v>
      </c>
      <c r="AQ34" s="9">
        <f>Keys!$C$6/AM34</f>
        <v>1</v>
      </c>
      <c r="AR34" s="9">
        <f>Keys!$C$7/AM34</f>
        <v>6.7382959534800002E-2</v>
      </c>
      <c r="AS34" s="9">
        <f>Keys!$C$8/AM34</f>
        <v>1.00970167475E-4</v>
      </c>
      <c r="AT34" s="9">
        <f>Keys!$C$9/AM34</f>
        <v>0</v>
      </c>
      <c r="AU34" s="11">
        <f>AN34*EXP($G34*INDEX(Costs_BAU!$C$5:$C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8.2551338530883631E-2</v>
      </c>
      <c r="AV34" s="11">
        <f>AO34*EXP($G34*INDEX(Costs_BAU!$G$5:$G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1.5806687354627383E-2</v>
      </c>
      <c r="AW34" s="11">
        <f>AP34*EXP($G34*INDEX(Costs_BAU!$I$5:$I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0</v>
      </c>
      <c r="AX34" s="11">
        <f t="shared" si="17"/>
        <v>9.8358025885511013E-2</v>
      </c>
      <c r="AY34" s="17">
        <f t="shared" si="18"/>
        <v>-2.3841974114488989</v>
      </c>
    </row>
    <row r="35" spans="1:51" x14ac:dyDescent="0.25">
      <c r="A35" t="s">
        <v>87</v>
      </c>
      <c r="B35" t="s">
        <v>86</v>
      </c>
      <c r="C35" s="11">
        <f>INDEX(Alliance_2025!$H$5:$H$56,MATCH($A35,Alliance_2025!$A$5:$A$56,0))</f>
        <v>3.9300000000000002E-2</v>
      </c>
      <c r="D35" s="11">
        <f>INDEX(Alliance_2025!$G$5:$G$56,MATCH($A35,Alliance_2025!$A$5:$A$56,0))</f>
        <v>1.0700000000000001E-2</v>
      </c>
      <c r="E35" s="11">
        <f>INDEX(Alliance_2025!$I$5:$I$56,MATCH($A35,Alliance_2025!$A$5:$A$56,0))</f>
        <v>0</v>
      </c>
      <c r="F35" s="11">
        <f t="shared" si="0"/>
        <v>0.05</v>
      </c>
      <c r="G35">
        <f>Keys!$C$4</f>
        <v>-8</v>
      </c>
      <c r="I35" s="12">
        <f>IF(INDEX(Costs_BAU!$E$5:$E$52,MATCH($A35,Costs_BAU!$A$5:$A$52,0))&gt;Keys!$C$5,0,Keys!$C$6*EXP($G35*INDEX(Costs_BAU!$E$5:$E$52,MATCH($A35,Costs_BAU!$A$5:$A$52,0))))</f>
        <v>2.2071237250485775E-2</v>
      </c>
      <c r="J35" s="12">
        <f>IF(INDEX(Costs_BAU!$F$5:$F$52,MATCH($A35,Costs_BAU!$A$5:$A$52,0))&gt;Keys!$C$5,0,Keys!$C$7*EXP($G35*INDEX(Costs_BAU!$F$5:$F$52,MATCH($A35,Costs_BAU!$A$5:$A$52,0))))</f>
        <v>8.6411636292017412E-4</v>
      </c>
      <c r="K35" s="12">
        <f>IF(INDEX(Costs_BAU!$D$5:$D$52,MATCH($A35,Costs_BAU!$A$5:$A$52,0))&gt;Keys!$C$5,0,Keys!$C$8*EXP($G35*INDEX(Costs_BAU!$D$5:$D$52,MATCH($A35,Costs_BAU!$A$5:$A$52,0))))</f>
        <v>1.6717000483947029E-6</v>
      </c>
      <c r="L35" s="12">
        <f>IF(INDEX(Costs_BAU!$H$5:$H$52,MATCH($A35,Costs_BAU!$A$5:$A$52,0))&gt;Keys!$C$5,0,Keys!$C$9*EXP($G35*INDEX(Costs_BAU!$H$5:$H$52,MATCH($A35,Costs_BAU!$A$5:$A$52,0))))</f>
        <v>0</v>
      </c>
      <c r="M35" s="12">
        <f t="shared" si="1"/>
        <v>2.2937025313454346E-2</v>
      </c>
      <c r="N35" s="12">
        <f t="shared" si="2"/>
        <v>2.4144237172057208E-2</v>
      </c>
      <c r="O35" s="13">
        <f>$C35*$N35*EXP(-$G35*INDEX(Costs_BAU!$C$5:$C$52,MATCH($A35,Costs_BAU!$A$5:$A$52,0)))</f>
        <v>0.12826404171318606</v>
      </c>
      <c r="P35" s="13">
        <f>$D35*$N35*EXP(-$G35*INDEX(Costs_BAU!$G$5:$G$52,MATCH($A35,Costs_BAU!$A$5:$A$52,0)))</f>
        <v>1.224882712725011E-2</v>
      </c>
      <c r="Q35" s="13">
        <f>$E35*$N35*EXP(-$G35*INDEX(Costs_BAU!$I$5:$I$52,MATCH($A35,Costs_BAU!$A$5:$A$52,0)))</f>
        <v>0</v>
      </c>
      <c r="R35" s="14">
        <f>MAX(Keys!$C$15,O35,P35,Q35)</f>
        <v>1</v>
      </c>
      <c r="S35" s="13">
        <f t="shared" si="3"/>
        <v>0.12826404171318606</v>
      </c>
      <c r="T35" s="13">
        <f t="shared" si="4"/>
        <v>1.224882712725011E-2</v>
      </c>
      <c r="U35" s="13">
        <f t="shared" si="5"/>
        <v>0</v>
      </c>
      <c r="V35" s="13">
        <f>Keys!$C$6/$R35</f>
        <v>1</v>
      </c>
      <c r="W35" s="13">
        <f>Keys!$C$7/$R35</f>
        <v>6.7382959534800002E-2</v>
      </c>
      <c r="X35" s="13">
        <f>Keys!$C$8/$R35</f>
        <v>1.00970167475E-4</v>
      </c>
      <c r="Y35" s="13">
        <f>Keys!$C$9/$R35</f>
        <v>0</v>
      </c>
      <c r="Z35" s="11">
        <f>S35*EXP($G35*INDEX(Costs_BAU!$C$5:$C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3.9300000000000009E-2</v>
      </c>
      <c r="AA35" s="11">
        <f>T35*EXP($G35*INDEX(Costs_BAU!$G$5:$G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1.0700000000000003E-2</v>
      </c>
      <c r="AB35" s="11">
        <f>U35*EXP($G35*INDEX(Costs_BAU!$I$5:$I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0</v>
      </c>
      <c r="AC35" s="15">
        <f t="shared" si="6"/>
        <v>6.9388939039072284E-18</v>
      </c>
      <c r="AD35" t="str">
        <f>IF(AC35&gt;Keys!$C$14,"SHARE MISMATCH",IF(ABS(MAX(S35:Y35)-Keys!$C$15)&gt;Keys!$C$14,"MAX WEIGHT &lt;&gt; 1",IF(R35&gt;Keys!$C$15,"ok (rescaled)","ok")))</f>
        <v>ok</v>
      </c>
      <c r="AF35" s="2">
        <v>1</v>
      </c>
      <c r="AG35" s="2">
        <f t="shared" si="7"/>
        <v>-0.89189507920064137</v>
      </c>
      <c r="AH35" s="2">
        <f t="shared" si="8"/>
        <v>-1.9119054946912573</v>
      </c>
      <c r="AI35" s="2" t="str">
        <f t="shared" si="9"/>
        <v/>
      </c>
      <c r="AJ35" s="9">
        <f t="shared" si="10"/>
        <v>9.2125264583003991E-2</v>
      </c>
      <c r="AK35" s="9">
        <f t="shared" si="11"/>
        <v>9.8662431120855477E-3</v>
      </c>
      <c r="AL35" s="9">
        <f t="shared" si="12"/>
        <v>0</v>
      </c>
      <c r="AM35" s="16">
        <f t="shared" si="13"/>
        <v>1</v>
      </c>
      <c r="AN35" s="9">
        <f t="shared" si="14"/>
        <v>9.2125264583003991E-2</v>
      </c>
      <c r="AO35" s="9">
        <f t="shared" si="15"/>
        <v>9.8662431120855477E-3</v>
      </c>
      <c r="AP35" s="9">
        <f t="shared" si="16"/>
        <v>0</v>
      </c>
      <c r="AQ35" s="9">
        <f>Keys!$C$6/AM35</f>
        <v>1</v>
      </c>
      <c r="AR35" s="9">
        <f>Keys!$C$7/AM35</f>
        <v>6.7382959534800002E-2</v>
      </c>
      <c r="AS35" s="9">
        <f>Keys!$C$8/AM35</f>
        <v>1.00970167475E-4</v>
      </c>
      <c r="AT35" s="9">
        <f>Keys!$C$9/AM35</f>
        <v>0</v>
      </c>
      <c r="AU35" s="11">
        <f>AN35*EXP($G35*INDEX(Costs_BAU!$C$5:$C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2.8603362048470894E-2</v>
      </c>
      <c r="AV35" s="11">
        <f>AO35*EXP($G35*INDEX(Costs_BAU!$G$5:$G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8.7335696986628984E-3</v>
      </c>
      <c r="AW35" s="11">
        <f>AP35*EXP($G35*INDEX(Costs_BAU!$I$5:$I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0</v>
      </c>
      <c r="AX35" s="11">
        <f t="shared" si="17"/>
        <v>3.7336931747133789E-2</v>
      </c>
      <c r="AY35" s="17">
        <f t="shared" si="18"/>
        <v>-1.2663068252866214</v>
      </c>
    </row>
    <row r="36" spans="1:51" x14ac:dyDescent="0.25">
      <c r="A36" t="s">
        <v>90</v>
      </c>
      <c r="B36" t="s">
        <v>89</v>
      </c>
      <c r="C36" s="11">
        <f>INDEX(Alliance_2025!$H$5:$H$56,MATCH($A36,Alliance_2025!$A$5:$A$56,0))</f>
        <v>0.14349999999999999</v>
      </c>
      <c r="D36" s="11">
        <f>INDEX(Alliance_2025!$G$5:$G$56,MATCH($A36,Alliance_2025!$A$5:$A$56,0))</f>
        <v>1.8500000000000003E-2</v>
      </c>
      <c r="E36" s="11">
        <f>INDEX(Alliance_2025!$I$5:$I$56,MATCH($A36,Alliance_2025!$A$5:$A$56,0))</f>
        <v>0</v>
      </c>
      <c r="F36" s="11">
        <f t="shared" si="0"/>
        <v>0.16199999999999998</v>
      </c>
      <c r="G36">
        <f>Keys!$C$4</f>
        <v>-8</v>
      </c>
      <c r="I36" s="12">
        <f>IF(INDEX(Costs_BAU!$E$5:$E$52,MATCH($A36,Costs_BAU!$A$5:$A$52,0))&gt;Keys!$C$5,0,Keys!$C$6*EXP($G36*INDEX(Costs_BAU!$E$5:$E$52,MATCH($A36,Costs_BAU!$A$5:$A$52,0))))</f>
        <v>2.2784746045872696E-2</v>
      </c>
      <c r="J36" s="12">
        <f>IF(INDEX(Costs_BAU!$F$5:$F$52,MATCH($A36,Costs_BAU!$A$5:$A$52,0))&gt;Keys!$C$5,0,Keys!$C$7*EXP($G36*INDEX(Costs_BAU!$F$5:$F$52,MATCH($A36,Costs_BAU!$A$5:$A$52,0))))</f>
        <v>9.5655610052419206E-4</v>
      </c>
      <c r="K36" s="12">
        <f>IF(INDEX(Costs_BAU!$D$5:$D$52,MATCH($A36,Costs_BAU!$A$5:$A$52,0))&gt;Keys!$C$5,0,Keys!$C$8*EXP($G36*INDEX(Costs_BAU!$D$5:$D$52,MATCH($A36,Costs_BAU!$A$5:$A$52,0))))</f>
        <v>1.8764113601421673E-6</v>
      </c>
      <c r="L36" s="12">
        <f>IF(INDEX(Costs_BAU!$H$5:$H$52,MATCH($A36,Costs_BAU!$A$5:$A$52,0))&gt;Keys!$C$5,0,Keys!$C$9*EXP($G36*INDEX(Costs_BAU!$H$5:$H$52,MATCH($A36,Costs_BAU!$A$5:$A$52,0))))</f>
        <v>0</v>
      </c>
      <c r="M36" s="12">
        <f t="shared" si="1"/>
        <v>2.3743178557757028E-2</v>
      </c>
      <c r="N36" s="12">
        <f t="shared" si="2"/>
        <v>2.8333148636941557E-2</v>
      </c>
      <c r="O36" s="13">
        <f>$C36*$N36*EXP(-$G36*INDEX(Costs_BAU!$C$5:$C$52,MATCH($A36,Costs_BAU!$A$5:$A$52,0)))</f>
        <v>0.53404291736190679</v>
      </c>
      <c r="P36" s="13">
        <f>$D36*$N36*EXP(-$G36*INDEX(Costs_BAU!$G$5:$G$52,MATCH($A36,Costs_BAU!$A$5:$A$52,0)))</f>
        <v>2.6214269560198768E-2</v>
      </c>
      <c r="Q36" s="13">
        <f>$E36*$N36*EXP(-$G36*INDEX(Costs_BAU!$I$5:$I$52,MATCH($A36,Costs_BAU!$A$5:$A$52,0)))</f>
        <v>0</v>
      </c>
      <c r="R36" s="14">
        <f>MAX(Keys!$C$15,O36,P36,Q36)</f>
        <v>1</v>
      </c>
      <c r="S36" s="13">
        <f t="shared" si="3"/>
        <v>0.53404291736190679</v>
      </c>
      <c r="T36" s="13">
        <f t="shared" si="4"/>
        <v>2.6214269560198768E-2</v>
      </c>
      <c r="U36" s="13">
        <f t="shared" si="5"/>
        <v>0</v>
      </c>
      <c r="V36" s="13">
        <f>Keys!$C$6/$R36</f>
        <v>1</v>
      </c>
      <c r="W36" s="13">
        <f>Keys!$C$7/$R36</f>
        <v>6.7382959534800002E-2</v>
      </c>
      <c r="X36" s="13">
        <f>Keys!$C$8/$R36</f>
        <v>1.00970167475E-4</v>
      </c>
      <c r="Y36" s="13">
        <f>Keys!$C$9/$R36</f>
        <v>0</v>
      </c>
      <c r="Z36" s="11">
        <f>S36*EXP($G36*INDEX(Costs_BAU!$C$5:$C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0.14349999999999996</v>
      </c>
      <c r="AA36" s="11">
        <f>T36*EXP($G36*INDEX(Costs_BAU!$G$5:$G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1.8499999999999999E-2</v>
      </c>
      <c r="AB36" s="11">
        <f>U36*EXP($G36*INDEX(Costs_BAU!$I$5:$I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0</v>
      </c>
      <c r="AC36" s="15">
        <f t="shared" si="6"/>
        <v>2.7755575615628914E-17</v>
      </c>
      <c r="AD36" t="str">
        <f>IF(AC36&gt;Keys!$C$14,"SHARE MISMATCH",IF(ABS(MAX(S36:Y36)-Keys!$C$15)&gt;Keys!$C$14,"MAX WEIGHT &lt;&gt; 1",IF(R36&gt;Keys!$C$15,"ok (rescaled)","ok")))</f>
        <v>ok</v>
      </c>
      <c r="AF36" s="2">
        <v>3</v>
      </c>
      <c r="AG36" s="2">
        <f t="shared" si="7"/>
        <v>-0.27242384030384287</v>
      </c>
      <c r="AH36" s="2">
        <f t="shared" si="8"/>
        <v>-1.5814622390524751</v>
      </c>
      <c r="AI36" s="2" t="str">
        <f t="shared" si="9"/>
        <v/>
      </c>
      <c r="AJ36" s="9">
        <f t="shared" si="10"/>
        <v>0.57308220018853917</v>
      </c>
      <c r="AK36" s="9">
        <f t="shared" si="11"/>
        <v>3.7937494923897065E-2</v>
      </c>
      <c r="AL36" s="9">
        <f t="shared" si="12"/>
        <v>0</v>
      </c>
      <c r="AM36" s="16">
        <f t="shared" si="13"/>
        <v>1</v>
      </c>
      <c r="AN36" s="9">
        <f t="shared" si="14"/>
        <v>0.57308220018853917</v>
      </c>
      <c r="AO36" s="9">
        <f t="shared" si="15"/>
        <v>3.7937494923897065E-2</v>
      </c>
      <c r="AP36" s="9">
        <f t="shared" si="16"/>
        <v>0</v>
      </c>
      <c r="AQ36" s="9">
        <f>Keys!$C$6/AM36</f>
        <v>1</v>
      </c>
      <c r="AR36" s="9">
        <f>Keys!$C$7/AM36</f>
        <v>6.7382959534800002E-2</v>
      </c>
      <c r="AS36" s="9">
        <f>Keys!$C$8/AM36</f>
        <v>1.00970167475E-4</v>
      </c>
      <c r="AT36" s="9">
        <f>Keys!$C$9/AM36</f>
        <v>0</v>
      </c>
      <c r="AU36" s="11">
        <f>AN36*EXP($G36*INDEX(Costs_BAU!$C$5:$C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0.15115389029166695</v>
      </c>
      <c r="AV36" s="11">
        <f>AO36*EXP($G36*INDEX(Costs_BAU!$G$5:$G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2.6280237519632856E-2</v>
      </c>
      <c r="AW36" s="11">
        <f>AP36*EXP($G36*INDEX(Costs_BAU!$I$5:$I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0</v>
      </c>
      <c r="AX36" s="11">
        <f t="shared" si="17"/>
        <v>0.1774341278112998</v>
      </c>
      <c r="AY36" s="17">
        <f t="shared" si="18"/>
        <v>1.5434127811299825</v>
      </c>
    </row>
    <row r="37" spans="1:51" x14ac:dyDescent="0.25">
      <c r="A37" t="s">
        <v>93</v>
      </c>
      <c r="B37" t="s">
        <v>92</v>
      </c>
      <c r="C37" s="11">
        <f>INDEX(Alliance_2025!$H$5:$H$56,MATCH($A37,Alliance_2025!$A$5:$A$56,0))</f>
        <v>6.3899999999999998E-2</v>
      </c>
      <c r="D37" s="11">
        <f>INDEX(Alliance_2025!$G$5:$G$56,MATCH($A37,Alliance_2025!$A$5:$A$56,0))</f>
        <v>2.7200000000000002E-2</v>
      </c>
      <c r="E37" s="11">
        <f>INDEX(Alliance_2025!$I$5:$I$56,MATCH($A37,Alliance_2025!$A$5:$A$56,0))</f>
        <v>0</v>
      </c>
      <c r="F37" s="11">
        <f t="shared" si="0"/>
        <v>9.11E-2</v>
      </c>
      <c r="G37">
        <f>Keys!$C$4</f>
        <v>-8</v>
      </c>
      <c r="I37" s="12">
        <f>IF(INDEX(Costs_BAU!$E$5:$E$52,MATCH($A37,Costs_BAU!$A$5:$A$52,0))&gt;Keys!$C$5,0,Keys!$C$6*EXP($G37*INDEX(Costs_BAU!$E$5:$E$52,MATCH($A37,Costs_BAU!$A$5:$A$52,0))))</f>
        <v>1.466024310181205E-2</v>
      </c>
      <c r="J37" s="12">
        <f>IF(INDEX(Costs_BAU!$F$5:$F$52,MATCH($A37,Costs_BAU!$A$5:$A$52,0))&gt;Keys!$C$5,0,Keys!$C$7*EXP($G37*INDEX(Costs_BAU!$F$5:$F$52,MATCH($A37,Costs_BAU!$A$5:$A$52,0))))</f>
        <v>5.3150225423413385E-4</v>
      </c>
      <c r="K37" s="12">
        <f>IF(INDEX(Costs_BAU!$D$5:$D$52,MATCH($A37,Costs_BAU!$A$5:$A$52,0))&gt;Keys!$C$5,0,Keys!$C$8*EXP($G37*INDEX(Costs_BAU!$D$5:$D$52,MATCH($A37,Costs_BAU!$A$5:$A$52,0))))</f>
        <v>1.0591483075087938E-6</v>
      </c>
      <c r="L37" s="12">
        <f>IF(INDEX(Costs_BAU!$H$5:$H$52,MATCH($A37,Costs_BAU!$A$5:$A$52,0))&gt;Keys!$C$5,0,Keys!$C$9*EXP($G37*INDEX(Costs_BAU!$H$5:$H$52,MATCH($A37,Costs_BAU!$A$5:$A$52,0))))</f>
        <v>0</v>
      </c>
      <c r="M37" s="12">
        <f t="shared" si="1"/>
        <v>1.5192804504353691E-2</v>
      </c>
      <c r="N37" s="12">
        <f t="shared" si="2"/>
        <v>1.6715595229787314E-2</v>
      </c>
      <c r="O37" s="13">
        <f>$C37*$N37*EXP(-$G37*INDEX(Costs_BAU!$C$5:$C$52,MATCH($A37,Costs_BAU!$A$5:$A$52,0)))</f>
        <v>0.28855629940356248</v>
      </c>
      <c r="P37" s="13">
        <f>$D37*$N37*EXP(-$G37*INDEX(Costs_BAU!$G$5:$G$52,MATCH($A37,Costs_BAU!$A$5:$A$52,0)))</f>
        <v>4.1056773323374332E-2</v>
      </c>
      <c r="Q37" s="13">
        <f>$E37*$N37*EXP(-$G37*INDEX(Costs_BAU!$I$5:$I$52,MATCH($A37,Costs_BAU!$A$5:$A$52,0)))</f>
        <v>0</v>
      </c>
      <c r="R37" s="14">
        <f>MAX(Keys!$C$15,O37,P37,Q37)</f>
        <v>1</v>
      </c>
      <c r="S37" s="13">
        <f t="shared" si="3"/>
        <v>0.28855629940356248</v>
      </c>
      <c r="T37" s="13">
        <f t="shared" si="4"/>
        <v>4.1056773323374332E-2</v>
      </c>
      <c r="U37" s="13">
        <f t="shared" si="5"/>
        <v>0</v>
      </c>
      <c r="V37" s="13">
        <f>Keys!$C$6/$R37</f>
        <v>1</v>
      </c>
      <c r="W37" s="13">
        <f>Keys!$C$7/$R37</f>
        <v>6.7382959534800002E-2</v>
      </c>
      <c r="X37" s="13">
        <f>Keys!$C$8/$R37</f>
        <v>1.00970167475E-4</v>
      </c>
      <c r="Y37" s="13">
        <f>Keys!$C$9/$R37</f>
        <v>0</v>
      </c>
      <c r="Z37" s="11">
        <f>S37*EXP($G37*INDEX(Costs_BAU!$C$5:$C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6.3899999999999985E-2</v>
      </c>
      <c r="AA37" s="11">
        <f>T37*EXP($G37*INDEX(Costs_BAU!$G$5:$G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2.7199999999999995E-2</v>
      </c>
      <c r="AB37" s="11">
        <f>U37*EXP($G37*INDEX(Costs_BAU!$I$5:$I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0</v>
      </c>
      <c r="AC37" s="15">
        <f t="shared" si="6"/>
        <v>1.3877787807814457E-17</v>
      </c>
      <c r="AD37" t="str">
        <f>IF(AC37&gt;Keys!$C$14,"SHARE MISMATCH",IF(ABS(MAX(S37:Y37)-Keys!$C$15)&gt;Keys!$C$14,"MAX WEIGHT &lt;&gt; 1",IF(R37&gt;Keys!$C$15,"ok (rescaled)","ok")))</f>
        <v>ok</v>
      </c>
      <c r="AF37" s="2">
        <v>2</v>
      </c>
      <c r="AG37" s="2">
        <f t="shared" si="7"/>
        <v>-0.53976944027285789</v>
      </c>
      <c r="AH37" s="2">
        <f t="shared" si="8"/>
        <v>-1.3866151850900634</v>
      </c>
      <c r="AI37" s="2" t="str">
        <f t="shared" si="9"/>
        <v/>
      </c>
      <c r="AJ37" s="9">
        <f t="shared" si="10"/>
        <v>0.23983771978951599</v>
      </c>
      <c r="AK37" s="9">
        <f t="shared" si="11"/>
        <v>2.2130378178094778E-2</v>
      </c>
      <c r="AL37" s="9">
        <f t="shared" si="12"/>
        <v>0</v>
      </c>
      <c r="AM37" s="16">
        <f t="shared" si="13"/>
        <v>1</v>
      </c>
      <c r="AN37" s="9">
        <f t="shared" si="14"/>
        <v>0.23983771978951599</v>
      </c>
      <c r="AO37" s="9">
        <f t="shared" si="15"/>
        <v>2.2130378178094778E-2</v>
      </c>
      <c r="AP37" s="9">
        <f t="shared" si="16"/>
        <v>0</v>
      </c>
      <c r="AQ37" s="9">
        <f>Keys!$C$6/AM37</f>
        <v>1</v>
      </c>
      <c r="AR37" s="9">
        <f>Keys!$C$7/AM37</f>
        <v>6.7382959534800002E-2</v>
      </c>
      <c r="AS37" s="9">
        <f>Keys!$C$8/AM37</f>
        <v>1.00970167475E-4</v>
      </c>
      <c r="AT37" s="9">
        <f>Keys!$C$9/AM37</f>
        <v>0</v>
      </c>
      <c r="AU37" s="11">
        <f>AN37*EXP($G37*INDEX(Costs_BAU!$C$5:$C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5.4379940480841944E-2</v>
      </c>
      <c r="AV37" s="11">
        <f>AO37*EXP($G37*INDEX(Costs_BAU!$G$5:$G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1.501149229047689E-2</v>
      </c>
      <c r="AW37" s="11">
        <f>AP37*EXP($G37*INDEX(Costs_BAU!$I$5:$I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0</v>
      </c>
      <c r="AX37" s="11">
        <f t="shared" si="17"/>
        <v>6.9391432771318831E-2</v>
      </c>
      <c r="AY37" s="17">
        <f t="shared" si="18"/>
        <v>-2.170856722868117</v>
      </c>
    </row>
    <row r="38" spans="1:51" x14ac:dyDescent="0.25">
      <c r="A38" t="s">
        <v>96</v>
      </c>
      <c r="B38" t="s">
        <v>95</v>
      </c>
      <c r="C38" s="11">
        <f>INDEX(Alliance_2025!$H$5:$H$56,MATCH($A38,Alliance_2025!$A$5:$A$56,0))</f>
        <v>4.0599999999999997E-2</v>
      </c>
      <c r="D38" s="11">
        <f>INDEX(Alliance_2025!$G$5:$G$56,MATCH($A38,Alliance_2025!$A$5:$A$56,0))</f>
        <v>1.18E-2</v>
      </c>
      <c r="E38" s="11">
        <f>INDEX(Alliance_2025!$I$5:$I$56,MATCH($A38,Alliance_2025!$A$5:$A$56,0))</f>
        <v>0</v>
      </c>
      <c r="F38" s="11">
        <f t="shared" si="0"/>
        <v>5.2399999999999995E-2</v>
      </c>
      <c r="G38">
        <f>Keys!$C$4</f>
        <v>-8</v>
      </c>
      <c r="I38" s="12">
        <f>IF(INDEX(Costs_BAU!$E$5:$E$52,MATCH($A38,Costs_BAU!$A$5:$A$52,0))&gt;Keys!$C$5,0,Keys!$C$6*EXP($G38*INDEX(Costs_BAU!$E$5:$E$52,MATCH($A38,Costs_BAU!$A$5:$A$52,0))))</f>
        <v>1.1854307207698605E-2</v>
      </c>
      <c r="J38" s="12">
        <f>IF(INDEX(Costs_BAU!$F$5:$F$52,MATCH($A38,Costs_BAU!$A$5:$A$52,0))&gt;Keys!$C$5,0,Keys!$C$7*EXP($G38*INDEX(Costs_BAU!$F$5:$F$52,MATCH($A38,Costs_BAU!$A$5:$A$52,0))))</f>
        <v>4.2768521201855573E-4</v>
      </c>
      <c r="K38" s="12">
        <f>IF(INDEX(Costs_BAU!$D$5:$D$52,MATCH($A38,Costs_BAU!$A$5:$A$52,0))&gt;Keys!$C$5,0,Keys!$C$8*EXP($G38*INDEX(Costs_BAU!$D$5:$D$52,MATCH($A38,Costs_BAU!$A$5:$A$52,0))))</f>
        <v>8.3577244466663621E-7</v>
      </c>
      <c r="L38" s="12">
        <f>IF(INDEX(Costs_BAU!$H$5:$H$52,MATCH($A38,Costs_BAU!$A$5:$A$52,0))&gt;Keys!$C$5,0,Keys!$C$9*EXP($G38*INDEX(Costs_BAU!$H$5:$H$52,MATCH($A38,Costs_BAU!$A$5:$A$52,0))))</f>
        <v>0</v>
      </c>
      <c r="M38" s="12">
        <f t="shared" si="1"/>
        <v>1.2282828192161827E-2</v>
      </c>
      <c r="N38" s="12">
        <f t="shared" si="2"/>
        <v>1.2962039037739371E-2</v>
      </c>
      <c r="O38" s="13">
        <f>$C38*$N38*EXP(-$G38*INDEX(Costs_BAU!$C$5:$C$52,MATCH($A38,Costs_BAU!$A$5:$A$52,0)))</f>
        <v>0.19527440984794486</v>
      </c>
      <c r="P38" s="13">
        <f>$D38*$N38*EXP(-$G38*INDEX(Costs_BAU!$G$5:$G$52,MATCH($A38,Costs_BAU!$A$5:$A$52,0)))</f>
        <v>1.5942193348796884E-2</v>
      </c>
      <c r="Q38" s="13">
        <f>$E38*$N38*EXP(-$G38*INDEX(Costs_BAU!$I$5:$I$52,MATCH($A38,Costs_BAU!$A$5:$A$52,0)))</f>
        <v>0</v>
      </c>
      <c r="R38" s="14">
        <f>MAX(Keys!$C$15,O38,P38,Q38)</f>
        <v>1</v>
      </c>
      <c r="S38" s="13">
        <f t="shared" si="3"/>
        <v>0.19527440984794486</v>
      </c>
      <c r="T38" s="13">
        <f t="shared" si="4"/>
        <v>1.5942193348796884E-2</v>
      </c>
      <c r="U38" s="13">
        <f t="shared" si="5"/>
        <v>0</v>
      </c>
      <c r="V38" s="13">
        <f>Keys!$C$6/$R38</f>
        <v>1</v>
      </c>
      <c r="W38" s="13">
        <f>Keys!$C$7/$R38</f>
        <v>6.7382959534800002E-2</v>
      </c>
      <c r="X38" s="13">
        <f>Keys!$C$8/$R38</f>
        <v>1.00970167475E-4</v>
      </c>
      <c r="Y38" s="13">
        <f>Keys!$C$9/$R38</f>
        <v>0</v>
      </c>
      <c r="Z38" s="11">
        <f>S38*EXP($G38*INDEX(Costs_BAU!$C$5:$C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4.0599999999999997E-2</v>
      </c>
      <c r="AA38" s="11">
        <f>T38*EXP($G38*INDEX(Costs_BAU!$G$5:$G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1.18E-2</v>
      </c>
      <c r="AB38" s="11">
        <f>U38*EXP($G38*INDEX(Costs_BAU!$I$5:$I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0</v>
      </c>
      <c r="AC38" s="15">
        <f t="shared" si="6"/>
        <v>0</v>
      </c>
      <c r="AD38" t="str">
        <f>IF(AC38&gt;Keys!$C$14,"SHARE MISMATCH",IF(ABS(MAX(S38:Y38)-Keys!$C$15)&gt;Keys!$C$14,"MAX WEIGHT &lt;&gt; 1",IF(R38&gt;Keys!$C$15,"ok (rescaled)","ok")))</f>
        <v>ok</v>
      </c>
      <c r="AF38" s="2">
        <v>2</v>
      </c>
      <c r="AG38" s="2">
        <f t="shared" si="7"/>
        <v>-0.70935466603116037</v>
      </c>
      <c r="AH38" s="2">
        <f t="shared" si="8"/>
        <v>-1.7974519279995573</v>
      </c>
      <c r="AI38" s="2" t="str">
        <f t="shared" si="9"/>
        <v/>
      </c>
      <c r="AJ38" s="9">
        <f t="shared" si="10"/>
        <v>0.23983771978951599</v>
      </c>
      <c r="AK38" s="9">
        <f t="shared" si="11"/>
        <v>2.2130378178094778E-2</v>
      </c>
      <c r="AL38" s="9">
        <f t="shared" si="12"/>
        <v>0</v>
      </c>
      <c r="AM38" s="16">
        <f t="shared" si="13"/>
        <v>1</v>
      </c>
      <c r="AN38" s="9">
        <f t="shared" si="14"/>
        <v>0.23983771978951599</v>
      </c>
      <c r="AO38" s="9">
        <f t="shared" si="15"/>
        <v>2.2130378178094778E-2</v>
      </c>
      <c r="AP38" s="9">
        <f t="shared" si="16"/>
        <v>0</v>
      </c>
      <c r="AQ38" s="9">
        <f>Keys!$C$6/AM38</f>
        <v>1</v>
      </c>
      <c r="AR38" s="9">
        <f>Keys!$C$7/AM38</f>
        <v>6.7382959534800002E-2</v>
      </c>
      <c r="AS38" s="9">
        <f>Keys!$C$8/AM38</f>
        <v>1.00970167475E-4</v>
      </c>
      <c r="AT38" s="9">
        <f>Keys!$C$9/AM38</f>
        <v>0</v>
      </c>
      <c r="AU38" s="11">
        <f>AN38*EXP($G38*INDEX(Costs_BAU!$C$5:$C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4.9184285061295872E-2</v>
      </c>
      <c r="AV38" s="11">
        <f>AO38*EXP($G38*INDEX(Costs_BAU!$G$5:$G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1.6156636255327324E-2</v>
      </c>
      <c r="AW38" s="11">
        <f>AP38*EXP($G38*INDEX(Costs_BAU!$I$5:$I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0</v>
      </c>
      <c r="AX38" s="11">
        <f t="shared" si="17"/>
        <v>6.5340921316623196E-2</v>
      </c>
      <c r="AY38" s="17">
        <f t="shared" si="18"/>
        <v>1.2940921316623202</v>
      </c>
    </row>
    <row r="39" spans="1:51" x14ac:dyDescent="0.25">
      <c r="A39" t="s">
        <v>98</v>
      </c>
      <c r="B39" t="s">
        <v>97</v>
      </c>
      <c r="C39" s="11">
        <f>INDEX(Alliance_2025!$H$5:$H$56,MATCH($A39,Alliance_2025!$A$5:$A$56,0))</f>
        <v>9.1999999999999998E-3</v>
      </c>
      <c r="D39" s="11">
        <f>INDEX(Alliance_2025!$G$5:$G$56,MATCH($A39,Alliance_2025!$A$5:$A$56,0))</f>
        <v>3.0999999999999999E-3</v>
      </c>
      <c r="E39" s="11">
        <f>INDEX(Alliance_2025!$I$5:$I$56,MATCH($A39,Alliance_2025!$A$5:$A$56,0))</f>
        <v>0</v>
      </c>
      <c r="F39" s="11">
        <f t="shared" si="0"/>
        <v>1.23E-2</v>
      </c>
      <c r="G39">
        <f>Keys!$C$4</f>
        <v>-8</v>
      </c>
      <c r="I39" s="12">
        <f>IF(INDEX(Costs_BAU!$E$5:$E$52,MATCH($A39,Costs_BAU!$A$5:$A$52,0))&gt;Keys!$C$5,0,Keys!$C$6*EXP($G39*INDEX(Costs_BAU!$E$5:$E$52,MATCH($A39,Costs_BAU!$A$5:$A$52,0))))</f>
        <v>2.6904438661032391E-2</v>
      </c>
      <c r="J39" s="12">
        <f>IF(INDEX(Costs_BAU!$F$5:$F$52,MATCH($A39,Costs_BAU!$A$5:$A$52,0))&gt;Keys!$C$5,0,Keys!$C$7*EXP($G39*INDEX(Costs_BAU!$F$5:$F$52,MATCH($A39,Costs_BAU!$A$5:$A$52,0))))</f>
        <v>1.0918660009704437E-3</v>
      </c>
      <c r="K39" s="12">
        <f>IF(INDEX(Costs_BAU!$D$5:$D$52,MATCH($A39,Costs_BAU!$A$5:$A$52,0))&gt;Keys!$C$5,0,Keys!$C$8*EXP($G39*INDEX(Costs_BAU!$D$5:$D$52,MATCH($A39,Costs_BAU!$A$5:$A$52,0))))</f>
        <v>2.101596095833249E-6</v>
      </c>
      <c r="L39" s="12">
        <f>IF(INDEX(Costs_BAU!$H$5:$H$52,MATCH($A39,Costs_BAU!$A$5:$A$52,0))&gt;Keys!$C$5,0,Keys!$C$9*EXP($G39*INDEX(Costs_BAU!$H$5:$H$52,MATCH($A39,Costs_BAU!$A$5:$A$52,0))))</f>
        <v>0</v>
      </c>
      <c r="M39" s="12">
        <f t="shared" si="1"/>
        <v>2.7998406258098667E-2</v>
      </c>
      <c r="N39" s="12">
        <f t="shared" si="2"/>
        <v>2.8347075284093012E-2</v>
      </c>
      <c r="O39" s="13">
        <f>$C39*$N39*EXP(-$G39*INDEX(Costs_BAU!$C$5:$C$52,MATCH($A39,Costs_BAU!$A$5:$A$52,0)))</f>
        <v>3.1380292401383549E-2</v>
      </c>
      <c r="P39" s="13">
        <f>$D39*$N39*EXP(-$G39*INDEX(Costs_BAU!$G$5:$G$52,MATCH($A39,Costs_BAU!$A$5:$A$52,0)))</f>
        <v>3.7572026061466631E-3</v>
      </c>
      <c r="Q39" s="13">
        <f>$E39*$N39*EXP(-$G39*INDEX(Costs_BAU!$I$5:$I$52,MATCH($A39,Costs_BAU!$A$5:$A$52,0)))</f>
        <v>0</v>
      </c>
      <c r="R39" s="14">
        <f>MAX(Keys!$C$15,O39,P39,Q39)</f>
        <v>1</v>
      </c>
      <c r="S39" s="13">
        <f t="shared" si="3"/>
        <v>3.1380292401383549E-2</v>
      </c>
      <c r="T39" s="13">
        <f t="shared" si="4"/>
        <v>3.7572026061466631E-3</v>
      </c>
      <c r="U39" s="13">
        <f t="shared" si="5"/>
        <v>0</v>
      </c>
      <c r="V39" s="13">
        <f>Keys!$C$6/$R39</f>
        <v>1</v>
      </c>
      <c r="W39" s="13">
        <f>Keys!$C$7/$R39</f>
        <v>6.7382959534800002E-2</v>
      </c>
      <c r="X39" s="13">
        <f>Keys!$C$8/$R39</f>
        <v>1.00970167475E-4</v>
      </c>
      <c r="Y39" s="13">
        <f>Keys!$C$9/$R39</f>
        <v>0</v>
      </c>
      <c r="Z39" s="11">
        <f>S39*EXP($G39*INDEX(Costs_BAU!$C$5:$C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9.1999999999999981E-3</v>
      </c>
      <c r="AA39" s="11">
        <f>T39*EXP($G39*INDEX(Costs_BAU!$G$5:$G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3.0999999999999999E-3</v>
      </c>
      <c r="AB39" s="11">
        <f>U39*EXP($G39*INDEX(Costs_BAU!$I$5:$I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0</v>
      </c>
      <c r="AC39" s="15">
        <f t="shared" si="6"/>
        <v>1.7347234759768071E-18</v>
      </c>
      <c r="AD39" t="str">
        <f>IF(AC39&gt;Keys!$C$14,"SHARE MISMATCH",IF(ABS(MAX(S39:Y39)-Keys!$C$15)&gt;Keys!$C$14,"MAX WEIGHT &lt;&gt; 1",IF(R39&gt;Keys!$C$15,"ok (rescaled)","ok")))</f>
        <v>ok</v>
      </c>
      <c r="AF39" s="2">
        <v>1</v>
      </c>
      <c r="AG39" s="2">
        <f t="shared" si="7"/>
        <v>-1.5033430139767514</v>
      </c>
      <c r="AH39" s="2">
        <f t="shared" si="8"/>
        <v>-2.4251353850912563</v>
      </c>
      <c r="AI39" s="2" t="str">
        <f t="shared" si="9"/>
        <v/>
      </c>
      <c r="AJ39" s="9">
        <f t="shared" si="10"/>
        <v>9.2125264583003991E-2</v>
      </c>
      <c r="AK39" s="9">
        <f t="shared" si="11"/>
        <v>9.8662431120855477E-3</v>
      </c>
      <c r="AL39" s="9">
        <f t="shared" si="12"/>
        <v>0</v>
      </c>
      <c r="AM39" s="16">
        <f t="shared" si="13"/>
        <v>1</v>
      </c>
      <c r="AN39" s="9">
        <f t="shared" si="14"/>
        <v>9.2125264583003991E-2</v>
      </c>
      <c r="AO39" s="9">
        <f t="shared" si="15"/>
        <v>9.8662431120855477E-3</v>
      </c>
      <c r="AP39" s="9">
        <f t="shared" si="16"/>
        <v>0</v>
      </c>
      <c r="AQ39" s="9">
        <f>Keys!$C$6/AM39</f>
        <v>1</v>
      </c>
      <c r="AR39" s="9">
        <f>Keys!$C$7/AM39</f>
        <v>6.7382959534800002E-2</v>
      </c>
      <c r="AS39" s="9">
        <f>Keys!$C$8/AM39</f>
        <v>1.00970167475E-4</v>
      </c>
      <c r="AT39" s="9">
        <f>Keys!$C$9/AM39</f>
        <v>0</v>
      </c>
      <c r="AU39" s="11">
        <f>AN39*EXP($G39*INDEX(Costs_BAU!$C$5:$C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2.6405709496211422E-2</v>
      </c>
      <c r="AV39" s="11">
        <f>AO39*EXP($G39*INDEX(Costs_BAU!$G$5:$G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7.9586085314694785E-3</v>
      </c>
      <c r="AW39" s="11">
        <f>AP39*EXP($G39*INDEX(Costs_BAU!$I$5:$I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0</v>
      </c>
      <c r="AX39" s="11">
        <f t="shared" si="17"/>
        <v>3.4364318027680904E-2</v>
      </c>
      <c r="AY39" s="17">
        <f t="shared" si="18"/>
        <v>2.2064318027680905</v>
      </c>
    </row>
    <row r="40" spans="1:51" x14ac:dyDescent="0.25">
      <c r="A40" t="s">
        <v>101</v>
      </c>
      <c r="B40" t="s">
        <v>100</v>
      </c>
      <c r="C40" s="11">
        <f>INDEX(Alliance_2025!$H$5:$H$56,MATCH($A40,Alliance_2025!$A$5:$A$56,0))</f>
        <v>0.12060000000000001</v>
      </c>
      <c r="D40" s="11">
        <f>INDEX(Alliance_2025!$G$5:$G$56,MATCH($A40,Alliance_2025!$A$5:$A$56,0))</f>
        <v>3.4500000000000003E-2</v>
      </c>
      <c r="E40" s="11">
        <f>INDEX(Alliance_2025!$I$5:$I$56,MATCH($A40,Alliance_2025!$A$5:$A$56,0))</f>
        <v>0</v>
      </c>
      <c r="F40" s="11">
        <f t="shared" si="0"/>
        <v>0.15510000000000002</v>
      </c>
      <c r="G40">
        <f>Keys!$C$4</f>
        <v>-8</v>
      </c>
      <c r="I40" s="12">
        <f>IF(INDEX(Costs_BAU!$E$5:$E$52,MATCH($A40,Costs_BAU!$A$5:$A$52,0))&gt;Keys!$C$5,0,Keys!$C$6*EXP($G40*INDEX(Costs_BAU!$E$5:$E$52,MATCH($A40,Costs_BAU!$A$5:$A$52,0))))</f>
        <v>4.089256951017901E-3</v>
      </c>
      <c r="J40" s="12">
        <f>IF(INDEX(Costs_BAU!$F$5:$F$52,MATCH($A40,Costs_BAU!$A$5:$A$52,0))&gt;Keys!$C$5,0,Keys!$C$7*EXP($G40*INDEX(Costs_BAU!$F$5:$F$52,MATCH($A40,Costs_BAU!$A$5:$A$52,0))))</f>
        <v>1.3327243799034558E-4</v>
      </c>
      <c r="K40" s="12">
        <f>IF(INDEX(Costs_BAU!$D$5:$D$52,MATCH($A40,Costs_BAU!$A$5:$A$52,0))&gt;Keys!$C$5,0,Keys!$C$8*EXP($G40*INDEX(Costs_BAU!$D$5:$D$52,MATCH($A40,Costs_BAU!$A$5:$A$52,0))))</f>
        <v>2.6400192127007022E-7</v>
      </c>
      <c r="L40" s="12">
        <f>IF(INDEX(Costs_BAU!$H$5:$H$52,MATCH($A40,Costs_BAU!$A$5:$A$52,0))&gt;Keys!$C$5,0,Keys!$C$9*EXP($G40*INDEX(Costs_BAU!$H$5:$H$52,MATCH($A40,Costs_BAU!$A$5:$A$52,0))))</f>
        <v>0</v>
      </c>
      <c r="M40" s="12">
        <f t="shared" si="1"/>
        <v>4.2227933909295169E-3</v>
      </c>
      <c r="N40" s="12">
        <f t="shared" si="2"/>
        <v>4.9979801052544882E-3</v>
      </c>
      <c r="O40" s="13">
        <f>$C40*$N40*EXP(-$G40*INDEX(Costs_BAU!$C$5:$C$52,MATCH($A40,Costs_BAU!$A$5:$A$52,0)))</f>
        <v>0.76517292740324672</v>
      </c>
      <c r="P40" s="13">
        <f>$D40*$N40*EXP(-$G40*INDEX(Costs_BAU!$G$5:$G$52,MATCH($A40,Costs_BAU!$A$5:$A$52,0)))</f>
        <v>5.0614084983618808E-2</v>
      </c>
      <c r="Q40" s="13">
        <f>$E40*$N40*EXP(-$G40*INDEX(Costs_BAU!$I$5:$I$52,MATCH($A40,Costs_BAU!$A$5:$A$52,0)))</f>
        <v>0</v>
      </c>
      <c r="R40" s="14">
        <f>MAX(Keys!$C$15,O40,P40,Q40)</f>
        <v>1</v>
      </c>
      <c r="S40" s="13">
        <f t="shared" si="3"/>
        <v>0.76517292740324672</v>
      </c>
      <c r="T40" s="13">
        <f t="shared" si="4"/>
        <v>5.0614084983618808E-2</v>
      </c>
      <c r="U40" s="13">
        <f t="shared" si="5"/>
        <v>0</v>
      </c>
      <c r="V40" s="13">
        <f>Keys!$C$6/$R40</f>
        <v>1</v>
      </c>
      <c r="W40" s="13">
        <f>Keys!$C$7/$R40</f>
        <v>6.7382959534800002E-2</v>
      </c>
      <c r="X40" s="13">
        <f>Keys!$C$8/$R40</f>
        <v>1.00970167475E-4</v>
      </c>
      <c r="Y40" s="13">
        <f>Keys!$C$9/$R40</f>
        <v>0</v>
      </c>
      <c r="Z40" s="11">
        <f>S40*EXP($G40*INDEX(Costs_BAU!$C$5:$C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0.12059999999999998</v>
      </c>
      <c r="AA40" s="11">
        <f>T40*EXP($G40*INDEX(Costs_BAU!$G$5:$G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3.4500000000000003E-2</v>
      </c>
      <c r="AB40" s="11">
        <f>U40*EXP($G40*INDEX(Costs_BAU!$I$5:$I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0</v>
      </c>
      <c r="AC40" s="15">
        <f t="shared" si="6"/>
        <v>2.7755575615628914E-17</v>
      </c>
      <c r="AD40" t="str">
        <f>IF(AC40&gt;Keys!$C$14,"SHARE MISMATCH",IF(ABS(MAX(S40:Y40)-Keys!$C$15)&gt;Keys!$C$14,"MAX WEIGHT &lt;&gt; 1",IF(R40&gt;Keys!$C$15,"ok (rescaled)","ok")))</f>
        <v>ok</v>
      </c>
      <c r="AF40" s="2">
        <v>4</v>
      </c>
      <c r="AG40" s="2">
        <f t="shared" si="7"/>
        <v>-0.11624040415359445</v>
      </c>
      <c r="AH40" s="2">
        <f t="shared" si="8"/>
        <v>-1.2957286100484433</v>
      </c>
      <c r="AI40" s="2" t="str">
        <f t="shared" si="9"/>
        <v/>
      </c>
      <c r="AJ40" s="9">
        <f t="shared" si="10"/>
        <v>0.92973261140526997</v>
      </c>
      <c r="AK40" s="9">
        <f t="shared" si="11"/>
        <v>5.2021527112866645E-2</v>
      </c>
      <c r="AL40" s="9">
        <f t="shared" si="12"/>
        <v>7.7580494932785466E-4</v>
      </c>
      <c r="AM40" s="16">
        <f t="shared" si="13"/>
        <v>1</v>
      </c>
      <c r="AN40" s="9">
        <f t="shared" si="14"/>
        <v>0.92973261140526997</v>
      </c>
      <c r="AO40" s="9">
        <f t="shared" si="15"/>
        <v>5.2021527112866645E-2</v>
      </c>
      <c r="AP40" s="9">
        <f t="shared" si="16"/>
        <v>7.7580494932785466E-4</v>
      </c>
      <c r="AQ40" s="9">
        <f>Keys!$C$6/AM40</f>
        <v>1</v>
      </c>
      <c r="AR40" s="9">
        <f>Keys!$C$7/AM40</f>
        <v>6.7382959534800002E-2</v>
      </c>
      <c r="AS40" s="9">
        <f>Keys!$C$8/AM40</f>
        <v>1.00970167475E-4</v>
      </c>
      <c r="AT40" s="9">
        <f>Keys!$C$9/AM40</f>
        <v>0</v>
      </c>
      <c r="AU40" s="11">
        <f>AN40*EXP($G40*INDEX(Costs_BAU!$C$5:$C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0.1426764835720343</v>
      </c>
      <c r="AV40" s="11">
        <f>AO40*EXP($G40*INDEX(Costs_BAU!$G$5:$G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3.4525296950808727E-2</v>
      </c>
      <c r="AW40" s="11">
        <f>AP40*EXP($G40*INDEX(Costs_BAU!$I$5:$I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1.5422673411187674E-4</v>
      </c>
      <c r="AX40" s="11">
        <f t="shared" si="17"/>
        <v>0.17735600725695491</v>
      </c>
      <c r="AY40" s="17">
        <f t="shared" si="18"/>
        <v>2.2256007256954895</v>
      </c>
    </row>
    <row r="41" spans="1:51" x14ac:dyDescent="0.25">
      <c r="A41" t="s">
        <v>104</v>
      </c>
      <c r="B41" t="s">
        <v>103</v>
      </c>
      <c r="C41" s="11">
        <f>INDEX(Alliance_2025!$H$5:$H$56,MATCH($A41,Alliance_2025!$A$5:$A$56,0))</f>
        <v>4.5400000000000003E-2</v>
      </c>
      <c r="D41" s="11">
        <f>INDEX(Alliance_2025!$G$5:$G$56,MATCH($A41,Alliance_2025!$A$5:$A$56,0))</f>
        <v>1.78E-2</v>
      </c>
      <c r="E41" s="11">
        <f>INDEX(Alliance_2025!$I$5:$I$56,MATCH($A41,Alliance_2025!$A$5:$A$56,0))</f>
        <v>0</v>
      </c>
      <c r="F41" s="11">
        <f t="shared" si="0"/>
        <v>6.3200000000000006E-2</v>
      </c>
      <c r="G41">
        <f>Keys!$C$4</f>
        <v>-8</v>
      </c>
      <c r="I41" s="12">
        <f>IF(INDEX(Costs_BAU!$E$5:$E$52,MATCH($A41,Costs_BAU!$A$5:$A$52,0))&gt;Keys!$C$5,0,Keys!$C$6*EXP($G41*INDEX(Costs_BAU!$E$5:$E$52,MATCH($A41,Costs_BAU!$A$5:$A$52,0))))</f>
        <v>1.1418596279971879E-2</v>
      </c>
      <c r="J41" s="12">
        <f>IF(INDEX(Costs_BAU!$F$5:$F$52,MATCH($A41,Costs_BAU!$A$5:$A$52,0))&gt;Keys!$C$5,0,Keys!$C$7*EXP($G41*INDEX(Costs_BAU!$F$5:$F$52,MATCH($A41,Costs_BAU!$A$5:$A$52,0))))</f>
        <v>4.0561135159048519E-4</v>
      </c>
      <c r="K41" s="12">
        <f>IF(INDEX(Costs_BAU!$D$5:$D$52,MATCH($A41,Costs_BAU!$A$5:$A$52,0))&gt;Keys!$C$5,0,Keys!$C$8*EXP($G41*INDEX(Costs_BAU!$D$5:$D$52,MATCH($A41,Costs_BAU!$A$5:$A$52,0))))</f>
        <v>8.1084456772261844E-7</v>
      </c>
      <c r="L41" s="12">
        <f>IF(INDEX(Costs_BAU!$H$5:$H$52,MATCH($A41,Costs_BAU!$A$5:$A$52,0))&gt;Keys!$C$5,0,Keys!$C$9*EXP($G41*INDEX(Costs_BAU!$H$5:$H$52,MATCH($A41,Costs_BAU!$A$5:$A$52,0))))</f>
        <v>0</v>
      </c>
      <c r="M41" s="12">
        <f t="shared" si="1"/>
        <v>1.1825018476130088E-2</v>
      </c>
      <c r="N41" s="12">
        <f t="shared" si="2"/>
        <v>1.262277804881521E-2</v>
      </c>
      <c r="O41" s="13">
        <f>$C41*$N41*EXP(-$G41*INDEX(Costs_BAU!$C$5:$C$52,MATCH($A41,Costs_BAU!$A$5:$A$52,0)))</f>
        <v>0.18479734451633745</v>
      </c>
      <c r="P41" s="13">
        <f>$D41*$N41*EXP(-$G41*INDEX(Costs_BAU!$G$5:$G$52,MATCH($A41,Costs_BAU!$A$5:$A$52,0)))</f>
        <v>2.2504294144216657E-2</v>
      </c>
      <c r="Q41" s="13">
        <f>$E41*$N41*EXP(-$G41*INDEX(Costs_BAU!$I$5:$I$52,MATCH($A41,Costs_BAU!$A$5:$A$52,0)))</f>
        <v>0</v>
      </c>
      <c r="R41" s="14">
        <f>MAX(Keys!$C$15,O41,P41,Q41)</f>
        <v>1</v>
      </c>
      <c r="S41" s="13">
        <f t="shared" si="3"/>
        <v>0.18479734451633745</v>
      </c>
      <c r="T41" s="13">
        <f t="shared" si="4"/>
        <v>2.2504294144216657E-2</v>
      </c>
      <c r="U41" s="13">
        <f t="shared" si="5"/>
        <v>0</v>
      </c>
      <c r="V41" s="13">
        <f>Keys!$C$6/$R41</f>
        <v>1</v>
      </c>
      <c r="W41" s="13">
        <f>Keys!$C$7/$R41</f>
        <v>6.7382959534800002E-2</v>
      </c>
      <c r="X41" s="13">
        <f>Keys!$C$8/$R41</f>
        <v>1.00970167475E-4</v>
      </c>
      <c r="Y41" s="13">
        <f>Keys!$C$9/$R41</f>
        <v>0</v>
      </c>
      <c r="Z41" s="11">
        <f>S41*EXP($G41*INDEX(Costs_BAU!$C$5:$C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4.540000000000001E-2</v>
      </c>
      <c r="AA41" s="11">
        <f>T41*EXP($G41*INDEX(Costs_BAU!$G$5:$G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1.78E-2</v>
      </c>
      <c r="AB41" s="11">
        <f>U41*EXP($G41*INDEX(Costs_BAU!$I$5:$I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0</v>
      </c>
      <c r="AC41" s="15">
        <f t="shared" si="6"/>
        <v>6.9388939039072284E-18</v>
      </c>
      <c r="AD41" t="str">
        <f>IF(AC41&gt;Keys!$C$14,"SHARE MISMATCH",IF(ABS(MAX(S41:Y41)-Keys!$C$15)&gt;Keys!$C$14,"MAX WEIGHT &lt;&gt; 1",IF(R41&gt;Keys!$C$15,"ok (rescaled)","ok")))</f>
        <v>ok</v>
      </c>
      <c r="AF41" s="2">
        <v>2</v>
      </c>
      <c r="AG41" s="2">
        <f t="shared" si="7"/>
        <v>-0.73330427375545437</v>
      </c>
      <c r="AH41" s="2">
        <f t="shared" si="8"/>
        <v>-1.6477346043242223</v>
      </c>
      <c r="AI41" s="2" t="str">
        <f t="shared" si="9"/>
        <v/>
      </c>
      <c r="AJ41" s="9">
        <f t="shared" si="10"/>
        <v>0.23983771978951599</v>
      </c>
      <c r="AK41" s="9">
        <f t="shared" si="11"/>
        <v>2.2130378178094778E-2</v>
      </c>
      <c r="AL41" s="9">
        <f t="shared" si="12"/>
        <v>0</v>
      </c>
      <c r="AM41" s="16">
        <f t="shared" si="13"/>
        <v>1</v>
      </c>
      <c r="AN41" s="9">
        <f t="shared" si="14"/>
        <v>0.23983771978951599</v>
      </c>
      <c r="AO41" s="9">
        <f t="shared" si="15"/>
        <v>2.2130378178094778E-2</v>
      </c>
      <c r="AP41" s="9">
        <f t="shared" si="16"/>
        <v>0</v>
      </c>
      <c r="AQ41" s="9">
        <f>Keys!$C$6/AM41</f>
        <v>1</v>
      </c>
      <c r="AR41" s="9">
        <f>Keys!$C$7/AM41</f>
        <v>6.7382959534800002E-2</v>
      </c>
      <c r="AS41" s="9">
        <f>Keys!$C$8/AM41</f>
        <v>1.00970167475E-4</v>
      </c>
      <c r="AT41" s="9">
        <f>Keys!$C$9/AM41</f>
        <v>0</v>
      </c>
      <c r="AU41" s="11">
        <f>AN41*EXP($G41*INDEX(Costs_BAU!$C$5:$C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5.8152872767088887E-2</v>
      </c>
      <c r="AV41" s="11">
        <f>AO41*EXP($G41*INDEX(Costs_BAU!$G$5:$G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1.7275753665064387E-2</v>
      </c>
      <c r="AW41" s="11">
        <f>AP41*EXP($G41*INDEX(Costs_BAU!$I$5:$I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0</v>
      </c>
      <c r="AX41" s="11">
        <f t="shared" si="17"/>
        <v>7.542862643215327E-2</v>
      </c>
      <c r="AY41" s="17">
        <f t="shared" si="18"/>
        <v>1.2228626432153265</v>
      </c>
    </row>
    <row r="42" spans="1:51" x14ac:dyDescent="0.25">
      <c r="A42" t="s">
        <v>107</v>
      </c>
      <c r="B42" t="s">
        <v>106</v>
      </c>
      <c r="C42" s="11">
        <f>INDEX(Alliance_2025!$H$5:$H$56,MATCH($A42,Alliance_2025!$A$5:$A$56,0))</f>
        <v>4.8099999999999997E-2</v>
      </c>
      <c r="D42" s="11">
        <f>INDEX(Alliance_2025!$G$5:$G$56,MATCH($A42,Alliance_2025!$A$5:$A$56,0))</f>
        <v>1.9599999999999999E-2</v>
      </c>
      <c r="E42" s="11">
        <f>INDEX(Alliance_2025!$I$5:$I$56,MATCH($A42,Alliance_2025!$A$5:$A$56,0))</f>
        <v>0</v>
      </c>
      <c r="F42" s="11">
        <f t="shared" si="0"/>
        <v>6.7699999999999996E-2</v>
      </c>
      <c r="G42">
        <f>Keys!$C$4</f>
        <v>-8</v>
      </c>
      <c r="I42" s="12">
        <f>IF(INDEX(Costs_BAU!$E$5:$E$52,MATCH($A42,Costs_BAU!$A$5:$A$52,0))&gt;Keys!$C$5,0,Keys!$C$6*EXP($G42*INDEX(Costs_BAU!$E$5:$E$52,MATCH($A42,Costs_BAU!$A$5:$A$52,0))))</f>
        <v>1.408101278621509E-2</v>
      </c>
      <c r="J42" s="12">
        <f>IF(INDEX(Costs_BAU!$F$5:$F$52,MATCH($A42,Costs_BAU!$A$5:$A$52,0))&gt;Keys!$C$5,0,Keys!$C$7*EXP($G42*INDEX(Costs_BAU!$F$5:$F$52,MATCH($A42,Costs_BAU!$A$5:$A$52,0))))</f>
        <v>5.1274130490479828E-4</v>
      </c>
      <c r="K42" s="12">
        <f>IF(INDEX(Costs_BAU!$D$5:$D$52,MATCH($A42,Costs_BAU!$A$5:$A$52,0))&gt;Keys!$C$5,0,Keys!$C$8*EXP($G42*INDEX(Costs_BAU!$D$5:$D$52,MATCH($A42,Costs_BAU!$A$5:$A$52,0))))</f>
        <v>1.0258987951471359E-6</v>
      </c>
      <c r="L42" s="12">
        <f>IF(INDEX(Costs_BAU!$H$5:$H$52,MATCH($A42,Costs_BAU!$A$5:$A$52,0))&gt;Keys!$C$5,0,Keys!$C$9*EXP($G42*INDEX(Costs_BAU!$H$5:$H$52,MATCH($A42,Costs_BAU!$A$5:$A$52,0))))</f>
        <v>0</v>
      </c>
      <c r="M42" s="12">
        <f t="shared" si="1"/>
        <v>1.4594779989915036E-2</v>
      </c>
      <c r="N42" s="12">
        <f t="shared" si="2"/>
        <v>1.5654596149217027E-2</v>
      </c>
      <c r="O42" s="13">
        <f>$C42*$N42*EXP(-$G42*INDEX(Costs_BAU!$C$5:$C$52,MATCH($A42,Costs_BAU!$A$5:$A$52,0)))</f>
        <v>0.2095971710915483</v>
      </c>
      <c r="P42" s="13">
        <f>$D42*$N42*EXP(-$G42*INDEX(Costs_BAU!$G$5:$G$52,MATCH($A42,Costs_BAU!$A$5:$A$52,0)))</f>
        <v>2.852380052135171E-2</v>
      </c>
      <c r="Q42" s="13">
        <f>$E42*$N42*EXP(-$G42*INDEX(Costs_BAU!$I$5:$I$52,MATCH($A42,Costs_BAU!$A$5:$A$52,0)))</f>
        <v>0</v>
      </c>
      <c r="R42" s="14">
        <f>MAX(Keys!$C$15,O42,P42,Q42)</f>
        <v>1</v>
      </c>
      <c r="S42" s="13">
        <f t="shared" si="3"/>
        <v>0.2095971710915483</v>
      </c>
      <c r="T42" s="13">
        <f t="shared" si="4"/>
        <v>2.852380052135171E-2</v>
      </c>
      <c r="U42" s="13">
        <f t="shared" si="5"/>
        <v>0</v>
      </c>
      <c r="V42" s="13">
        <f>Keys!$C$6/$R42</f>
        <v>1</v>
      </c>
      <c r="W42" s="13">
        <f>Keys!$C$7/$R42</f>
        <v>6.7382959534800002E-2</v>
      </c>
      <c r="X42" s="13">
        <f>Keys!$C$8/$R42</f>
        <v>1.00970167475E-4</v>
      </c>
      <c r="Y42" s="13">
        <f>Keys!$C$9/$R42</f>
        <v>0</v>
      </c>
      <c r="Z42" s="11">
        <f>S42*EXP($G42*INDEX(Costs_BAU!$C$5:$C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4.8099999999999983E-2</v>
      </c>
      <c r="AA42" s="11">
        <f>T42*EXP($G42*INDEX(Costs_BAU!$G$5:$G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1.9599999999999996E-2</v>
      </c>
      <c r="AB42" s="11">
        <f>U42*EXP($G42*INDEX(Costs_BAU!$I$5:$I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0</v>
      </c>
      <c r="AC42" s="15">
        <f t="shared" si="6"/>
        <v>1.3877787807814457E-17</v>
      </c>
      <c r="AD42" t="str">
        <f>IF(AC42&gt;Keys!$C$14,"SHARE MISMATCH",IF(ABS(MAX(S42:Y42)-Keys!$C$15)&gt;Keys!$C$14,"MAX WEIGHT &lt;&gt; 1",IF(R42&gt;Keys!$C$15,"ok (rescaled)","ok")))</f>
        <v>ok</v>
      </c>
      <c r="AF42" s="2">
        <v>2</v>
      </c>
      <c r="AG42" s="2">
        <f t="shared" si="7"/>
        <v>-0.67861458327047386</v>
      </c>
      <c r="AH42" s="2">
        <f t="shared" si="8"/>
        <v>-1.5447926094131985</v>
      </c>
      <c r="AI42" s="2" t="str">
        <f t="shared" si="9"/>
        <v/>
      </c>
      <c r="AJ42" s="9">
        <f t="shared" si="10"/>
        <v>0.23983771978951599</v>
      </c>
      <c r="AK42" s="9">
        <f t="shared" si="11"/>
        <v>2.2130378178094778E-2</v>
      </c>
      <c r="AL42" s="9">
        <f t="shared" si="12"/>
        <v>0</v>
      </c>
      <c r="AM42" s="16">
        <f t="shared" si="13"/>
        <v>1</v>
      </c>
      <c r="AN42" s="9">
        <f t="shared" si="14"/>
        <v>0.23983771978951599</v>
      </c>
      <c r="AO42" s="9">
        <f t="shared" si="15"/>
        <v>2.2130378178094778E-2</v>
      </c>
      <c r="AP42" s="9">
        <f t="shared" si="16"/>
        <v>0</v>
      </c>
      <c r="AQ42" s="9">
        <f>Keys!$C$6/AM42</f>
        <v>1</v>
      </c>
      <c r="AR42" s="9">
        <f>Keys!$C$7/AM42</f>
        <v>6.7382959534800002E-2</v>
      </c>
      <c r="AS42" s="9">
        <f>Keys!$C$8/AM42</f>
        <v>1.00970167475E-4</v>
      </c>
      <c r="AT42" s="9">
        <f>Keys!$C$9/AM42</f>
        <v>0</v>
      </c>
      <c r="AU42" s="11">
        <f>AN42*EXP($G42*INDEX(Costs_BAU!$C$5:$C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5.4900028022128462E-2</v>
      </c>
      <c r="AV42" s="11">
        <f>AO42*EXP($G42*INDEX(Costs_BAU!$G$5:$G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1.5168161224263959E-2</v>
      </c>
      <c r="AW42" s="11">
        <f>AP42*EXP($G42*INDEX(Costs_BAU!$I$5:$I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0</v>
      </c>
      <c r="AX42" s="11">
        <f t="shared" si="17"/>
        <v>7.0068189246392423E-2</v>
      </c>
      <c r="AY42" s="17">
        <f t="shared" si="18"/>
        <v>0.2368189246392427</v>
      </c>
    </row>
    <row r="43" spans="1:51" x14ac:dyDescent="0.25">
      <c r="A43" t="s">
        <v>109</v>
      </c>
      <c r="B43" t="s">
        <v>108</v>
      </c>
      <c r="C43" s="11">
        <f>INDEX(Alliance_2025!$H$5:$H$56,MATCH($A43,Alliance_2025!$A$5:$A$56,0))</f>
        <v>3.5099999999999999E-2</v>
      </c>
      <c r="D43" s="11">
        <f>INDEX(Alliance_2025!$G$5:$G$56,MATCH($A43,Alliance_2025!$A$5:$A$56,0))</f>
        <v>9.4000000000000004E-3</v>
      </c>
      <c r="E43" s="11">
        <f>INDEX(Alliance_2025!$I$5:$I$56,MATCH($A43,Alliance_2025!$A$5:$A$56,0))</f>
        <v>0</v>
      </c>
      <c r="F43" s="11">
        <f t="shared" si="0"/>
        <v>4.4499999999999998E-2</v>
      </c>
      <c r="G43">
        <f>Keys!$C$4</f>
        <v>-8</v>
      </c>
      <c r="I43" s="12">
        <f>IF(INDEX(Costs_BAU!$E$5:$E$52,MATCH($A43,Costs_BAU!$A$5:$A$52,0))&gt;Keys!$C$5,0,Keys!$C$6*EXP($G43*INDEX(Costs_BAU!$E$5:$E$52,MATCH($A43,Costs_BAU!$A$5:$A$52,0))))</f>
        <v>3.1236000099383838E-2</v>
      </c>
      <c r="J43" s="12">
        <f>IF(INDEX(Costs_BAU!$F$5:$F$52,MATCH($A43,Costs_BAU!$A$5:$A$52,0))&gt;Keys!$C$5,0,Keys!$C$7*EXP($G43*INDEX(Costs_BAU!$F$5:$F$52,MATCH($A43,Costs_BAU!$A$5:$A$52,0))))</f>
        <v>1.2879659101528074E-3</v>
      </c>
      <c r="K43" s="12">
        <f>IF(INDEX(Costs_BAU!$D$5:$D$52,MATCH($A43,Costs_BAU!$A$5:$A$52,0))&gt;Keys!$C$5,0,Keys!$C$8*EXP($G43*INDEX(Costs_BAU!$D$5:$D$52,MATCH($A43,Costs_BAU!$A$5:$A$52,0))))</f>
        <v>2.4843053957817799E-6</v>
      </c>
      <c r="L43" s="12">
        <f>IF(INDEX(Costs_BAU!$H$5:$H$52,MATCH($A43,Costs_BAU!$A$5:$A$52,0))&gt;Keys!$C$5,0,Keys!$C$9*EXP($G43*INDEX(Costs_BAU!$H$5:$H$52,MATCH($A43,Costs_BAU!$A$5:$A$52,0))))</f>
        <v>0</v>
      </c>
      <c r="M43" s="12">
        <f t="shared" si="1"/>
        <v>3.2526450314932426E-2</v>
      </c>
      <c r="N43" s="12">
        <f t="shared" si="2"/>
        <v>3.4041287613744038E-2</v>
      </c>
      <c r="O43" s="13">
        <f>$C43*$N43*EXP(-$G43*INDEX(Costs_BAU!$C$5:$C$52,MATCH($A43,Costs_BAU!$A$5:$A$52,0)))</f>
        <v>0.11997795060855511</v>
      </c>
      <c r="P43" s="13">
        <f>$D43*$N43*EXP(-$G43*INDEX(Costs_BAU!$G$5:$G$52,MATCH($A43,Costs_BAU!$A$5:$A$52,0)))</f>
        <v>1.1951783806815068E-2</v>
      </c>
      <c r="Q43" s="13">
        <f>$E43*$N43*EXP(-$G43*INDEX(Costs_BAU!$I$5:$I$52,MATCH($A43,Costs_BAU!$A$5:$A$52,0)))</f>
        <v>0</v>
      </c>
      <c r="R43" s="14">
        <f>MAX(Keys!$C$15,O43,P43,Q43)</f>
        <v>1</v>
      </c>
      <c r="S43" s="13">
        <f t="shared" si="3"/>
        <v>0.11997795060855511</v>
      </c>
      <c r="T43" s="13">
        <f t="shared" si="4"/>
        <v>1.1951783806815068E-2</v>
      </c>
      <c r="U43" s="13">
        <f t="shared" si="5"/>
        <v>0</v>
      </c>
      <c r="V43" s="13">
        <f>Keys!$C$6/$R43</f>
        <v>1</v>
      </c>
      <c r="W43" s="13">
        <f>Keys!$C$7/$R43</f>
        <v>6.7382959534800002E-2</v>
      </c>
      <c r="X43" s="13">
        <f>Keys!$C$8/$R43</f>
        <v>1.00970167475E-4</v>
      </c>
      <c r="Y43" s="13">
        <f>Keys!$C$9/$R43</f>
        <v>0</v>
      </c>
      <c r="Z43" s="11">
        <f>S43*EXP($G43*INDEX(Costs_BAU!$C$5:$C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3.5099999999999999E-2</v>
      </c>
      <c r="AA43" s="11">
        <f>T43*EXP($G43*INDEX(Costs_BAU!$G$5:$G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9.4000000000000021E-3</v>
      </c>
      <c r="AB43" s="11">
        <f>U43*EXP($G43*INDEX(Costs_BAU!$I$5:$I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0</v>
      </c>
      <c r="AC43" s="15">
        <f t="shared" si="6"/>
        <v>1.7347234759768071E-18</v>
      </c>
      <c r="AD43" t="str">
        <f>IF(AC43&gt;Keys!$C$14,"SHARE MISMATCH",IF(ABS(MAX(S43:Y43)-Keys!$C$15)&gt;Keys!$C$14,"MAX WEIGHT &lt;&gt; 1",IF(R43&gt;Keys!$C$15,"ok (rescaled)","ok")))</f>
        <v>ok</v>
      </c>
      <c r="AF43" s="2">
        <v>1</v>
      </c>
      <c r="AG43" s="2">
        <f t="shared" si="7"/>
        <v>-0.92089856069325704</v>
      </c>
      <c r="AH43" s="2">
        <f t="shared" si="8"/>
        <v>-1.9225672713148567</v>
      </c>
      <c r="AI43" s="2" t="str">
        <f t="shared" si="9"/>
        <v/>
      </c>
      <c r="AJ43" s="9">
        <f t="shared" si="10"/>
        <v>9.2125264583003991E-2</v>
      </c>
      <c r="AK43" s="9">
        <f t="shared" si="11"/>
        <v>9.8662431120855477E-3</v>
      </c>
      <c r="AL43" s="9">
        <f t="shared" si="12"/>
        <v>0</v>
      </c>
      <c r="AM43" s="16">
        <f t="shared" si="13"/>
        <v>1</v>
      </c>
      <c r="AN43" s="9">
        <f t="shared" si="14"/>
        <v>9.2125264583003991E-2</v>
      </c>
      <c r="AO43" s="9">
        <f t="shared" si="15"/>
        <v>9.8662431120855477E-3</v>
      </c>
      <c r="AP43" s="9">
        <f t="shared" si="16"/>
        <v>0</v>
      </c>
      <c r="AQ43" s="9">
        <f>Keys!$C$6/AM43</f>
        <v>1</v>
      </c>
      <c r="AR43" s="9">
        <f>Keys!$C$7/AM43</f>
        <v>6.7382959534800002E-2</v>
      </c>
      <c r="AS43" s="9">
        <f>Keys!$C$8/AM43</f>
        <v>1.00970167475E-4</v>
      </c>
      <c r="AT43" s="9">
        <f>Keys!$C$9/AM43</f>
        <v>0</v>
      </c>
      <c r="AU43" s="11">
        <f>AN43*EXP($G43*INDEX(Costs_BAU!$C$5:$C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2.7218020384100945E-2</v>
      </c>
      <c r="AV43" s="11">
        <f>AO43*EXP($G43*INDEX(Costs_BAU!$G$5:$G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7.8364442305834097E-3</v>
      </c>
      <c r="AW43" s="11">
        <f>AP43*EXP($G43*INDEX(Costs_BAU!$I$5:$I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0</v>
      </c>
      <c r="AX43" s="11">
        <f t="shared" si="17"/>
        <v>3.5054464614684352E-2</v>
      </c>
      <c r="AY43" s="17">
        <f t="shared" si="18"/>
        <v>-0.94455353853156454</v>
      </c>
    </row>
    <row r="44" spans="1:51" x14ac:dyDescent="0.25">
      <c r="A44" t="s">
        <v>112</v>
      </c>
      <c r="B44" t="s">
        <v>111</v>
      </c>
      <c r="C44" s="11">
        <f>INDEX(Alliance_2025!$H$5:$H$56,MATCH($A44,Alliance_2025!$A$5:$A$56,0))</f>
        <v>1.78E-2</v>
      </c>
      <c r="D44" s="11">
        <f>INDEX(Alliance_2025!$G$5:$G$56,MATCH($A44,Alliance_2025!$A$5:$A$56,0))</f>
        <v>1.5700000000000002E-2</v>
      </c>
      <c r="E44" s="11">
        <f>INDEX(Alliance_2025!$I$5:$I$56,MATCH($A44,Alliance_2025!$A$5:$A$56,0))</f>
        <v>0</v>
      </c>
      <c r="F44" s="11">
        <f t="shared" si="0"/>
        <v>3.3500000000000002E-2</v>
      </c>
      <c r="G44">
        <f>Keys!$C$4</f>
        <v>-8</v>
      </c>
      <c r="I44" s="12">
        <f>IF(INDEX(Costs_BAU!$E$5:$E$52,MATCH($A44,Costs_BAU!$A$5:$A$52,0))&gt;Keys!$C$5,0,Keys!$C$6*EXP($G44*INDEX(Costs_BAU!$E$5:$E$52,MATCH($A44,Costs_BAU!$A$5:$A$52,0))))</f>
        <v>6.4776337327881678E-3</v>
      </c>
      <c r="J44" s="12">
        <f>IF(INDEX(Costs_BAU!$F$5:$F$52,MATCH($A44,Costs_BAU!$A$5:$A$52,0))&gt;Keys!$C$5,0,Keys!$C$7*EXP($G44*INDEX(Costs_BAU!$F$5:$F$52,MATCH($A44,Costs_BAU!$A$5:$A$52,0))))</f>
        <v>2.1313450366952731E-4</v>
      </c>
      <c r="K44" s="12">
        <f>IF(INDEX(Costs_BAU!$D$5:$D$52,MATCH($A44,Costs_BAU!$A$5:$A$52,0))&gt;Keys!$C$5,0,Keys!$C$8*EXP($G44*INDEX(Costs_BAU!$D$5:$D$52,MATCH($A44,Costs_BAU!$A$5:$A$52,0))))</f>
        <v>4.1730959511444541E-7</v>
      </c>
      <c r="L44" s="12">
        <f>IF(INDEX(Costs_BAU!$H$5:$H$52,MATCH($A44,Costs_BAU!$A$5:$A$52,0))&gt;Keys!$C$5,0,Keys!$C$9*EXP($G44*INDEX(Costs_BAU!$H$5:$H$52,MATCH($A44,Costs_BAU!$A$5:$A$52,0))))</f>
        <v>0</v>
      </c>
      <c r="M44" s="12">
        <f t="shared" si="1"/>
        <v>6.6911855460528094E-3</v>
      </c>
      <c r="N44" s="12">
        <f t="shared" si="2"/>
        <v>6.9231097217307908E-3</v>
      </c>
      <c r="O44" s="13">
        <f>$C44*$N44*EXP(-$G44*INDEX(Costs_BAU!$C$5:$C$52,MATCH($A44,Costs_BAU!$A$5:$A$52,0)))</f>
        <v>0.1096367061702796</v>
      </c>
      <c r="P44" s="13">
        <f>$D44*$N44*EXP(-$G44*INDEX(Costs_BAU!$G$5:$G$52,MATCH($A44,Costs_BAU!$A$5:$A$52,0)))</f>
        <v>2.0782400189994478E-2</v>
      </c>
      <c r="Q44" s="13">
        <f>$E44*$N44*EXP(-$G44*INDEX(Costs_BAU!$I$5:$I$52,MATCH($A44,Costs_BAU!$A$5:$A$52,0)))</f>
        <v>0</v>
      </c>
      <c r="R44" s="14">
        <f>MAX(Keys!$C$15,O44,P44,Q44)</f>
        <v>1</v>
      </c>
      <c r="S44" s="13">
        <f t="shared" si="3"/>
        <v>0.1096367061702796</v>
      </c>
      <c r="T44" s="13">
        <f t="shared" si="4"/>
        <v>2.0782400189994478E-2</v>
      </c>
      <c r="U44" s="13">
        <f t="shared" si="5"/>
        <v>0</v>
      </c>
      <c r="V44" s="13">
        <f>Keys!$C$6/$R44</f>
        <v>1</v>
      </c>
      <c r="W44" s="13">
        <f>Keys!$C$7/$R44</f>
        <v>6.7382959534800002E-2</v>
      </c>
      <c r="X44" s="13">
        <f>Keys!$C$8/$R44</f>
        <v>1.00970167475E-4</v>
      </c>
      <c r="Y44" s="13">
        <f>Keys!$C$9/$R44</f>
        <v>0</v>
      </c>
      <c r="Z44" s="11">
        <f>S44*EXP($G44*INDEX(Costs_BAU!$C$5:$C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1.78E-2</v>
      </c>
      <c r="AA44" s="11">
        <f>T44*EXP($G44*INDEX(Costs_BAU!$G$5:$G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1.5700000000000002E-2</v>
      </c>
      <c r="AB44" s="11">
        <f>U44*EXP($G44*INDEX(Costs_BAU!$I$5:$I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0</v>
      </c>
      <c r="AC44" s="15">
        <f t="shared" si="6"/>
        <v>0</v>
      </c>
      <c r="AD44" t="str">
        <f>IF(AC44&gt;Keys!$C$14,"SHARE MISMATCH",IF(ABS(MAX(S44:Y44)-Keys!$C$15)&gt;Keys!$C$14,"MAX WEIGHT &lt;&gt; 1",IF(R44&gt;Keys!$C$15,"ok (rescaled)","ok")))</f>
        <v>ok</v>
      </c>
      <c r="AF44" s="2">
        <v>1</v>
      </c>
      <c r="AG44" s="2">
        <f t="shared" si="7"/>
        <v>-0.96004402050174675</v>
      </c>
      <c r="AH44" s="2">
        <f t="shared" si="8"/>
        <v>-1.6823042965731501</v>
      </c>
      <c r="AI44" s="2" t="str">
        <f t="shared" si="9"/>
        <v/>
      </c>
      <c r="AJ44" s="9">
        <f t="shared" si="10"/>
        <v>9.2125264583003991E-2</v>
      </c>
      <c r="AK44" s="9">
        <f t="shared" si="11"/>
        <v>9.8662431120855477E-3</v>
      </c>
      <c r="AL44" s="9">
        <f t="shared" si="12"/>
        <v>0</v>
      </c>
      <c r="AM44" s="16">
        <f t="shared" si="13"/>
        <v>1</v>
      </c>
      <c r="AN44" s="9">
        <f t="shared" si="14"/>
        <v>9.2125264583003991E-2</v>
      </c>
      <c r="AO44" s="9">
        <f t="shared" si="15"/>
        <v>9.8662431120855477E-3</v>
      </c>
      <c r="AP44" s="9">
        <f t="shared" si="16"/>
        <v>0</v>
      </c>
      <c r="AQ44" s="9">
        <f>Keys!$C$6/AM44</f>
        <v>1</v>
      </c>
      <c r="AR44" s="9">
        <f>Keys!$C$7/AM44</f>
        <v>6.7382959534800002E-2</v>
      </c>
      <c r="AS44" s="9">
        <f>Keys!$C$8/AM44</f>
        <v>1.00970167475E-4</v>
      </c>
      <c r="AT44" s="9">
        <f>Keys!$C$9/AM44</f>
        <v>0</v>
      </c>
      <c r="AU44" s="11">
        <f>AN44*EXP($G44*INDEX(Costs_BAU!$C$5:$C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1.5124667738007072E-2</v>
      </c>
      <c r="AV44" s="11">
        <f>AO44*EXP($G44*INDEX(Costs_BAU!$G$5:$G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7.5370055207422248E-3</v>
      </c>
      <c r="AW44" s="11">
        <f>AP44*EXP($G44*INDEX(Costs_BAU!$I$5:$I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0</v>
      </c>
      <c r="AX44" s="11">
        <f t="shared" si="17"/>
        <v>2.2661673258749297E-2</v>
      </c>
      <c r="AY44" s="17">
        <f t="shared" si="18"/>
        <v>-1.0838326741250706</v>
      </c>
    </row>
    <row r="45" spans="1:51" x14ac:dyDescent="0.25">
      <c r="A45" t="s">
        <v>115</v>
      </c>
      <c r="B45" t="s">
        <v>114</v>
      </c>
      <c r="C45" s="11">
        <f>INDEX(Alliance_2025!$H$5:$H$56,MATCH($A45,Alliance_2025!$A$5:$A$56,0))</f>
        <v>4.3099999999999999E-2</v>
      </c>
      <c r="D45" s="11">
        <f>INDEX(Alliance_2025!$G$5:$G$56,MATCH($A45,Alliance_2025!$A$5:$A$56,0))</f>
        <v>9.4000000000000004E-3</v>
      </c>
      <c r="E45" s="11">
        <f>INDEX(Alliance_2025!$I$5:$I$56,MATCH($A45,Alliance_2025!$A$5:$A$56,0))</f>
        <v>0</v>
      </c>
      <c r="F45" s="11">
        <f t="shared" si="0"/>
        <v>5.2499999999999998E-2</v>
      </c>
      <c r="G45">
        <f>Keys!$C$4</f>
        <v>-8</v>
      </c>
      <c r="I45" s="12">
        <f>IF(INDEX(Costs_BAU!$E$5:$E$52,MATCH($A45,Costs_BAU!$A$5:$A$52,0))&gt;Keys!$C$5,0,Keys!$C$6*EXP($G45*INDEX(Costs_BAU!$E$5:$E$52,MATCH($A45,Costs_BAU!$A$5:$A$52,0))))</f>
        <v>2.0714693491791808E-2</v>
      </c>
      <c r="J45" s="12">
        <f>IF(INDEX(Costs_BAU!$F$5:$F$52,MATCH($A45,Costs_BAU!$A$5:$A$52,0))&gt;Keys!$C$5,0,Keys!$C$7*EXP($G45*INDEX(Costs_BAU!$F$5:$F$52,MATCH($A45,Costs_BAU!$A$5:$A$52,0))))</f>
        <v>8.0934674857353493E-4</v>
      </c>
      <c r="K45" s="12">
        <f>IF(INDEX(Costs_BAU!$D$5:$D$52,MATCH($A45,Costs_BAU!$A$5:$A$52,0))&gt;Keys!$C$5,0,Keys!$C$8*EXP($G45*INDEX(Costs_BAU!$D$5:$D$52,MATCH($A45,Costs_BAU!$A$5:$A$52,0))))</f>
        <v>1.562865666292712E-6</v>
      </c>
      <c r="L45" s="12">
        <f>IF(INDEX(Costs_BAU!$H$5:$H$52,MATCH($A45,Costs_BAU!$A$5:$A$52,0))&gt;Keys!$C$5,0,Keys!$C$9*EXP($G45*INDEX(Costs_BAU!$H$5:$H$52,MATCH($A45,Costs_BAU!$A$5:$A$52,0))))</f>
        <v>0</v>
      </c>
      <c r="M45" s="12">
        <f t="shared" si="1"/>
        <v>2.1525603106031636E-2</v>
      </c>
      <c r="N45" s="12">
        <f t="shared" si="2"/>
        <v>2.271831462378009E-2</v>
      </c>
      <c r="O45" s="13">
        <f>$C45*$N45*EXP(-$G45*INDEX(Costs_BAU!$C$5:$C$52,MATCH($A45,Costs_BAU!$A$5:$A$52,0)))</f>
        <v>0.16993281090192913</v>
      </c>
      <c r="P45" s="13">
        <f>$D45*$N45*EXP(-$G45*INDEX(Costs_BAU!$G$5:$G$52,MATCH($A45,Costs_BAU!$A$5:$A$52,0)))</f>
        <v>1.2025986151907002E-2</v>
      </c>
      <c r="Q45" s="13">
        <f>$E45*$N45*EXP(-$G45*INDEX(Costs_BAU!$I$5:$I$52,MATCH($A45,Costs_BAU!$A$5:$A$52,0)))</f>
        <v>0</v>
      </c>
      <c r="R45" s="14">
        <f>MAX(Keys!$C$15,O45,P45,Q45)</f>
        <v>1</v>
      </c>
      <c r="S45" s="13">
        <f t="shared" si="3"/>
        <v>0.16993281090192913</v>
      </c>
      <c r="T45" s="13">
        <f t="shared" si="4"/>
        <v>1.2025986151907002E-2</v>
      </c>
      <c r="U45" s="13">
        <f t="shared" si="5"/>
        <v>0</v>
      </c>
      <c r="V45" s="13">
        <f>Keys!$C$6/$R45</f>
        <v>1</v>
      </c>
      <c r="W45" s="13">
        <f>Keys!$C$7/$R45</f>
        <v>6.7382959534800002E-2</v>
      </c>
      <c r="X45" s="13">
        <f>Keys!$C$8/$R45</f>
        <v>1.00970167475E-4</v>
      </c>
      <c r="Y45" s="13">
        <f>Keys!$C$9/$R45</f>
        <v>0</v>
      </c>
      <c r="Z45" s="11">
        <f>S45*EXP($G45*INDEX(Costs_BAU!$C$5:$C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4.3100000000000006E-2</v>
      </c>
      <c r="AA45" s="11">
        <f>T45*EXP($G45*INDEX(Costs_BAU!$G$5:$G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9.4000000000000004E-3</v>
      </c>
      <c r="AB45" s="11">
        <f>U45*EXP($G45*INDEX(Costs_BAU!$I$5:$I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0</v>
      </c>
      <c r="AC45" s="15">
        <f t="shared" si="6"/>
        <v>6.9388939039072284E-18</v>
      </c>
      <c r="AD45" t="str">
        <f>IF(AC45&gt;Keys!$C$14,"SHARE MISMATCH",IF(ABS(MAX(S45:Y45)-Keys!$C$15)&gt;Keys!$C$14,"MAX WEIGHT &lt;&gt; 1",IF(R45&gt;Keys!$C$15,"ok (rescaled)","ok")))</f>
        <v>ok</v>
      </c>
      <c r="AF45" s="2">
        <v>2</v>
      </c>
      <c r="AG45" s="2">
        <f t="shared" si="7"/>
        <v>-0.7697227587536839</v>
      </c>
      <c r="AH45" s="2">
        <f t="shared" si="8"/>
        <v>-1.9198793005864649</v>
      </c>
      <c r="AI45" s="2" t="str">
        <f t="shared" si="9"/>
        <v/>
      </c>
      <c r="AJ45" s="9">
        <f t="shared" si="10"/>
        <v>0.23983771978951599</v>
      </c>
      <c r="AK45" s="9">
        <f t="shared" si="11"/>
        <v>2.2130378178094778E-2</v>
      </c>
      <c r="AL45" s="9">
        <f t="shared" si="12"/>
        <v>0</v>
      </c>
      <c r="AM45" s="16">
        <f t="shared" si="13"/>
        <v>1</v>
      </c>
      <c r="AN45" s="9">
        <f t="shared" si="14"/>
        <v>0.23983771978951599</v>
      </c>
      <c r="AO45" s="9">
        <f t="shared" si="15"/>
        <v>2.2130378178094778E-2</v>
      </c>
      <c r="AP45" s="9">
        <f t="shared" si="16"/>
        <v>0</v>
      </c>
      <c r="AQ45" s="9">
        <f>Keys!$C$6/AM45</f>
        <v>1</v>
      </c>
      <c r="AR45" s="9">
        <f>Keys!$C$7/AM45</f>
        <v>6.7382959534800002E-2</v>
      </c>
      <c r="AS45" s="9">
        <f>Keys!$C$8/AM45</f>
        <v>1.00970167475E-4</v>
      </c>
      <c r="AT45" s="9">
        <f>Keys!$C$9/AM45</f>
        <v>0</v>
      </c>
      <c r="AU45" s="11">
        <f>AN45*EXP($G45*INDEX(Costs_BAU!$C$5:$C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5.9309964346046261E-2</v>
      </c>
      <c r="AV45" s="11">
        <f>AO45*EXP($G45*INDEX(Costs_BAU!$G$5:$G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1.6865768588406674E-2</v>
      </c>
      <c r="AW45" s="11">
        <f>AP45*EXP($G45*INDEX(Costs_BAU!$I$5:$I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0</v>
      </c>
      <c r="AX45" s="11">
        <f t="shared" si="17"/>
        <v>7.6175732934452928E-2</v>
      </c>
      <c r="AY45" s="17">
        <f t="shared" si="18"/>
        <v>2.3675732934452931</v>
      </c>
    </row>
    <row r="46" spans="1:51" x14ac:dyDescent="0.25">
      <c r="A46" t="s">
        <v>118</v>
      </c>
      <c r="B46" t="s">
        <v>117</v>
      </c>
      <c r="C46" s="11">
        <f>INDEX(Alliance_2025!$H$5:$H$56,MATCH($A46,Alliance_2025!$A$5:$A$56,0))</f>
        <v>6.2199999999999998E-2</v>
      </c>
      <c r="D46" s="11">
        <f>INDEX(Alliance_2025!$G$5:$G$56,MATCH($A46,Alliance_2025!$A$5:$A$56,0))</f>
        <v>8.8000000000000005E-3</v>
      </c>
      <c r="E46" s="11">
        <f>INDEX(Alliance_2025!$I$5:$I$56,MATCH($A46,Alliance_2025!$A$5:$A$56,0))</f>
        <v>0</v>
      </c>
      <c r="F46" s="11">
        <f t="shared" si="0"/>
        <v>7.0999999999999994E-2</v>
      </c>
      <c r="G46">
        <f>Keys!$C$4</f>
        <v>-8</v>
      </c>
      <c r="I46" s="12">
        <f>IF(INDEX(Costs_BAU!$E$5:$E$52,MATCH($A46,Costs_BAU!$A$5:$A$52,0))&gt;Keys!$C$5,0,Keys!$C$6*EXP($G46*INDEX(Costs_BAU!$E$5:$E$52,MATCH($A46,Costs_BAU!$A$5:$A$52,0))))</f>
        <v>4.7696941625940896E-2</v>
      </c>
      <c r="J46" s="12">
        <f>IF(INDEX(Costs_BAU!$F$5:$F$52,MATCH($A46,Costs_BAU!$A$5:$A$52,0))&gt;Keys!$C$5,0,Keys!$C$7*EXP($G46*INDEX(Costs_BAU!$F$5:$F$52,MATCH($A46,Costs_BAU!$A$5:$A$52,0))))</f>
        <v>2.0954831767150991E-3</v>
      </c>
      <c r="K46" s="12">
        <f>IF(INDEX(Costs_BAU!$D$5:$D$52,MATCH($A46,Costs_BAU!$A$5:$A$52,0))&gt;Keys!$C$5,0,Keys!$C$8*EXP($G46*INDEX(Costs_BAU!$D$5:$D$52,MATCH($A46,Costs_BAU!$A$5:$A$52,0))))</f>
        <v>3.9994669977383883E-6</v>
      </c>
      <c r="L46" s="12">
        <f>IF(INDEX(Costs_BAU!$H$5:$H$52,MATCH($A46,Costs_BAU!$A$5:$A$52,0))&gt;Keys!$C$5,0,Keys!$C$9*EXP($G46*INDEX(Costs_BAU!$H$5:$H$52,MATCH($A46,Costs_BAU!$A$5:$A$52,0))))</f>
        <v>0</v>
      </c>
      <c r="M46" s="12">
        <f t="shared" si="1"/>
        <v>4.9796424269653729E-2</v>
      </c>
      <c r="N46" s="12">
        <f t="shared" si="2"/>
        <v>5.3602178977022311E-2</v>
      </c>
      <c r="O46" s="13">
        <f>$C46*$N46*EXP(-$G46*INDEX(Costs_BAU!$C$5:$C$52,MATCH($A46,Costs_BAU!$A$5:$A$52,0)))</f>
        <v>0.1856719562573628</v>
      </c>
      <c r="P46" s="13">
        <f>$D46*$N46*EXP(-$G46*INDEX(Costs_BAU!$G$5:$G$52,MATCH($A46,Costs_BAU!$A$5:$A$52,0)))</f>
        <v>1.1440711319640019E-2</v>
      </c>
      <c r="Q46" s="13">
        <f>$E46*$N46*EXP(-$G46*INDEX(Costs_BAU!$I$5:$I$52,MATCH($A46,Costs_BAU!$A$5:$A$52,0)))</f>
        <v>0</v>
      </c>
      <c r="R46" s="14">
        <f>MAX(Keys!$C$15,O46,P46,Q46)</f>
        <v>1</v>
      </c>
      <c r="S46" s="13">
        <f t="shared" si="3"/>
        <v>0.1856719562573628</v>
      </c>
      <c r="T46" s="13">
        <f t="shared" si="4"/>
        <v>1.1440711319640019E-2</v>
      </c>
      <c r="U46" s="13">
        <f t="shared" si="5"/>
        <v>0</v>
      </c>
      <c r="V46" s="13">
        <f>Keys!$C$6/$R46</f>
        <v>1</v>
      </c>
      <c r="W46" s="13">
        <f>Keys!$C$7/$R46</f>
        <v>6.7382959534800002E-2</v>
      </c>
      <c r="X46" s="13">
        <f>Keys!$C$8/$R46</f>
        <v>1.00970167475E-4</v>
      </c>
      <c r="Y46" s="13">
        <f>Keys!$C$9/$R46</f>
        <v>0</v>
      </c>
      <c r="Z46" s="11">
        <f>S46*EXP($G46*INDEX(Costs_BAU!$C$5:$C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6.2199999999999998E-2</v>
      </c>
      <c r="AA46" s="11">
        <f>T46*EXP($G46*INDEX(Costs_BAU!$G$5:$G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8.8000000000000005E-3</v>
      </c>
      <c r="AB46" s="11">
        <f>U46*EXP($G46*INDEX(Costs_BAU!$I$5:$I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0</v>
      </c>
      <c r="AC46" s="15">
        <f t="shared" si="6"/>
        <v>0</v>
      </c>
      <c r="AD46" t="str">
        <f>IF(AC46&gt;Keys!$C$14,"SHARE MISMATCH",IF(ABS(MAX(S46:Y46)-Keys!$C$15)&gt;Keys!$C$14,"MAX WEIGHT &lt;&gt; 1",IF(R46&gt;Keys!$C$15,"ok (rescaled)","ok")))</f>
        <v>ok</v>
      </c>
      <c r="AF46" s="2">
        <v>2</v>
      </c>
      <c r="AG46" s="2">
        <f t="shared" si="7"/>
        <v>-0.7312536867955155</v>
      </c>
      <c r="AH46" s="2">
        <f t="shared" si="8"/>
        <v>-1.9415469726941483</v>
      </c>
      <c r="AI46" s="2" t="str">
        <f t="shared" si="9"/>
        <v/>
      </c>
      <c r="AJ46" s="9">
        <f t="shared" si="10"/>
        <v>0.23983771978951599</v>
      </c>
      <c r="AK46" s="9">
        <f t="shared" si="11"/>
        <v>2.2130378178094778E-2</v>
      </c>
      <c r="AL46" s="9">
        <f t="shared" si="12"/>
        <v>0</v>
      </c>
      <c r="AM46" s="16">
        <f t="shared" si="13"/>
        <v>1</v>
      </c>
      <c r="AN46" s="9">
        <f t="shared" si="14"/>
        <v>0.23983771978951599</v>
      </c>
      <c r="AO46" s="9">
        <f t="shared" si="15"/>
        <v>2.2130378178094778E-2</v>
      </c>
      <c r="AP46" s="9">
        <f t="shared" si="16"/>
        <v>0</v>
      </c>
      <c r="AQ46" s="9">
        <f>Keys!$C$6/AM46</f>
        <v>1</v>
      </c>
      <c r="AR46" s="9">
        <f>Keys!$C$7/AM46</f>
        <v>6.7382959534800002E-2</v>
      </c>
      <c r="AS46" s="9">
        <f>Keys!$C$8/AM46</f>
        <v>1.00970167475E-4</v>
      </c>
      <c r="AT46" s="9">
        <f>Keys!$C$9/AM46</f>
        <v>0</v>
      </c>
      <c r="AU46" s="11">
        <f>AN46*EXP($G46*INDEX(Costs_BAU!$C$5:$C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7.828139124210623E-2</v>
      </c>
      <c r="AV46" s="11">
        <f>AO46*EXP($G46*INDEX(Costs_BAU!$G$5:$G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1.6584999309488896E-2</v>
      </c>
      <c r="AW46" s="11">
        <f>AP46*EXP($G46*INDEX(Costs_BAU!$I$5:$I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0</v>
      </c>
      <c r="AX46" s="11">
        <f t="shared" si="17"/>
        <v>9.4866390551595126E-2</v>
      </c>
      <c r="AY46" s="17">
        <f t="shared" si="18"/>
        <v>2.3866390551595131</v>
      </c>
    </row>
    <row r="47" spans="1:51" x14ac:dyDescent="0.25">
      <c r="A47" t="s">
        <v>121</v>
      </c>
      <c r="B47" t="s">
        <v>120</v>
      </c>
      <c r="C47" s="11">
        <f>INDEX(Alliance_2025!$H$5:$H$56,MATCH($A47,Alliance_2025!$A$5:$A$56,0))</f>
        <v>7.0400000000000004E-2</v>
      </c>
      <c r="D47" s="11">
        <f>INDEX(Alliance_2025!$G$5:$G$56,MATCH($A47,Alliance_2025!$A$5:$A$56,0))</f>
        <v>1.7500000000000002E-2</v>
      </c>
      <c r="E47" s="11">
        <f>INDEX(Alliance_2025!$I$5:$I$56,MATCH($A47,Alliance_2025!$A$5:$A$56,0))</f>
        <v>0</v>
      </c>
      <c r="F47" s="11">
        <f t="shared" si="0"/>
        <v>8.7900000000000006E-2</v>
      </c>
      <c r="G47">
        <f>Keys!$C$4</f>
        <v>-8</v>
      </c>
      <c r="I47" s="12">
        <f>IF(INDEX(Costs_BAU!$E$5:$E$52,MATCH($A47,Costs_BAU!$A$5:$A$52,0))&gt;Keys!$C$5,0,Keys!$C$6*EXP($G47*INDEX(Costs_BAU!$E$5:$E$52,MATCH($A47,Costs_BAU!$A$5:$A$52,0))))</f>
        <v>1.4041641096502111E-2</v>
      </c>
      <c r="J47" s="12">
        <f>IF(INDEX(Costs_BAU!$F$5:$F$52,MATCH($A47,Costs_BAU!$A$5:$A$52,0))&gt;Keys!$C$5,0,Keys!$C$7*EXP($G47*INDEX(Costs_BAU!$F$5:$F$52,MATCH($A47,Costs_BAU!$A$5:$A$52,0))))</f>
        <v>5.1933411299803463E-4</v>
      </c>
      <c r="K47" s="12">
        <f>IF(INDEX(Costs_BAU!$D$5:$D$52,MATCH($A47,Costs_BAU!$A$5:$A$52,0))&gt;Keys!$C$5,0,Keys!$C$8*EXP($G47*INDEX(Costs_BAU!$D$5:$D$52,MATCH($A47,Costs_BAU!$A$5:$A$52,0))))</f>
        <v>1.0221058947977851E-6</v>
      </c>
      <c r="L47" s="12">
        <f>IF(INDEX(Costs_BAU!$H$5:$H$52,MATCH($A47,Costs_BAU!$A$5:$A$52,0))&gt;Keys!$C$5,0,Keys!$C$9*EXP($G47*INDEX(Costs_BAU!$H$5:$H$52,MATCH($A47,Costs_BAU!$A$5:$A$52,0))))</f>
        <v>0</v>
      </c>
      <c r="M47" s="12">
        <f t="shared" si="1"/>
        <v>1.4561997315394943E-2</v>
      </c>
      <c r="N47" s="12">
        <f t="shared" si="2"/>
        <v>1.5965351732699203E-2</v>
      </c>
      <c r="O47" s="13">
        <f>$C47*$N47*EXP(-$G47*INDEX(Costs_BAU!$C$5:$C$52,MATCH($A47,Costs_BAU!$A$5:$A$52,0)))</f>
        <v>0.29995571335035554</v>
      </c>
      <c r="P47" s="13">
        <f>$D47*$N47*EXP(-$G47*INDEX(Costs_BAU!$G$5:$G$52,MATCH($A47,Costs_BAU!$A$5:$A$52,0)))</f>
        <v>2.3391634521372232E-2</v>
      </c>
      <c r="Q47" s="13">
        <f>$E47*$N47*EXP(-$G47*INDEX(Costs_BAU!$I$5:$I$52,MATCH($A47,Costs_BAU!$A$5:$A$52,0)))</f>
        <v>0</v>
      </c>
      <c r="R47" s="14">
        <f>MAX(Keys!$C$15,O47,P47,Q47)</f>
        <v>1</v>
      </c>
      <c r="S47" s="13">
        <f t="shared" si="3"/>
        <v>0.29995571335035554</v>
      </c>
      <c r="T47" s="13">
        <f t="shared" si="4"/>
        <v>2.3391634521372232E-2</v>
      </c>
      <c r="U47" s="13">
        <f t="shared" si="5"/>
        <v>0</v>
      </c>
      <c r="V47" s="13">
        <f>Keys!$C$6/$R47</f>
        <v>1</v>
      </c>
      <c r="W47" s="13">
        <f>Keys!$C$7/$R47</f>
        <v>6.7382959534800002E-2</v>
      </c>
      <c r="X47" s="13">
        <f>Keys!$C$8/$R47</f>
        <v>1.00970167475E-4</v>
      </c>
      <c r="Y47" s="13">
        <f>Keys!$C$9/$R47</f>
        <v>0</v>
      </c>
      <c r="Z47" s="11">
        <f>S47*EXP($G47*INDEX(Costs_BAU!$C$5:$C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7.0400000000000004E-2</v>
      </c>
      <c r="AA47" s="11">
        <f>T47*EXP($G47*INDEX(Costs_BAU!$G$5:$G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1.7500000000000002E-2</v>
      </c>
      <c r="AB47" s="11">
        <f>U47*EXP($G47*INDEX(Costs_BAU!$I$5:$I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0</v>
      </c>
      <c r="AC47" s="15">
        <f t="shared" si="6"/>
        <v>0</v>
      </c>
      <c r="AD47" t="str">
        <f>IF(AC47&gt;Keys!$C$14,"SHARE MISMATCH",IF(ABS(MAX(S47:Y47)-Keys!$C$15)&gt;Keys!$C$14,"MAX WEIGHT &lt;&gt; 1",IF(R47&gt;Keys!$C$15,"ok (rescaled)","ok")))</f>
        <v>ok</v>
      </c>
      <c r="AF47" s="2">
        <v>2</v>
      </c>
      <c r="AG47" s="2">
        <f t="shared" si="7"/>
        <v>-0.52294286150481717</v>
      </c>
      <c r="AH47" s="2">
        <f t="shared" si="8"/>
        <v>-1.6309394302297266</v>
      </c>
      <c r="AI47" s="2" t="str">
        <f t="shared" si="9"/>
        <v/>
      </c>
      <c r="AJ47" s="9">
        <f t="shared" si="10"/>
        <v>0.23983771978951599</v>
      </c>
      <c r="AK47" s="9">
        <f t="shared" si="11"/>
        <v>2.2130378178094778E-2</v>
      </c>
      <c r="AL47" s="9">
        <f t="shared" si="12"/>
        <v>0</v>
      </c>
      <c r="AM47" s="16">
        <f t="shared" si="13"/>
        <v>1</v>
      </c>
      <c r="AN47" s="9">
        <f t="shared" si="14"/>
        <v>0.23983771978951599</v>
      </c>
      <c r="AO47" s="9">
        <f t="shared" si="15"/>
        <v>2.2130378178094778E-2</v>
      </c>
      <c r="AP47" s="9">
        <f t="shared" si="16"/>
        <v>0</v>
      </c>
      <c r="AQ47" s="9">
        <f>Keys!$C$6/AM47</f>
        <v>1</v>
      </c>
      <c r="AR47" s="9">
        <f>Keys!$C$7/AM47</f>
        <v>6.7382959534800002E-2</v>
      </c>
      <c r="AS47" s="9">
        <f>Keys!$C$8/AM47</f>
        <v>1.00970167475E-4</v>
      </c>
      <c r="AT47" s="9">
        <f>Keys!$C$9/AM47</f>
        <v>0</v>
      </c>
      <c r="AU47" s="11">
        <f>AN47*EXP($G47*INDEX(Costs_BAU!$C$5:$C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5.7150535321159858E-2</v>
      </c>
      <c r="AV47" s="11">
        <f>AO47*EXP($G47*INDEX(Costs_BAU!$G$5:$G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1.6809454112219617E-2</v>
      </c>
      <c r="AW47" s="11">
        <f>AP47*EXP($G47*INDEX(Costs_BAU!$I$5:$I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0</v>
      </c>
      <c r="AX47" s="11">
        <f t="shared" si="17"/>
        <v>7.3959989433379475E-2</v>
      </c>
      <c r="AY47" s="17">
        <f t="shared" si="18"/>
        <v>-1.3940010566620531</v>
      </c>
    </row>
    <row r="48" spans="1:51" x14ac:dyDescent="0.25">
      <c r="A48" t="s">
        <v>124</v>
      </c>
      <c r="B48" t="s">
        <v>123</v>
      </c>
      <c r="C48" s="11">
        <f>INDEX(Alliance_2025!$H$5:$H$56,MATCH($A48,Alliance_2025!$A$5:$A$56,0))</f>
        <v>6.5500000000000003E-2</v>
      </c>
      <c r="D48" s="11">
        <f>INDEX(Alliance_2025!$G$5:$G$56,MATCH($A48,Alliance_2025!$A$5:$A$56,0))</f>
        <v>1.8200000000000001E-2</v>
      </c>
      <c r="E48" s="11">
        <f>INDEX(Alliance_2025!$I$5:$I$56,MATCH($A48,Alliance_2025!$A$5:$A$56,0))</f>
        <v>0</v>
      </c>
      <c r="F48" s="11">
        <f t="shared" si="0"/>
        <v>8.3699999999999997E-2</v>
      </c>
      <c r="G48">
        <f>Keys!$C$4</f>
        <v>-8</v>
      </c>
      <c r="I48" s="12">
        <f>IF(INDEX(Costs_BAU!$E$5:$E$52,MATCH($A48,Costs_BAU!$A$5:$A$52,0))&gt;Keys!$C$5,0,Keys!$C$6*EXP($G48*INDEX(Costs_BAU!$E$5:$E$52,MATCH($A48,Costs_BAU!$A$5:$A$52,0))))</f>
        <v>2.4544585474583592E-2</v>
      </c>
      <c r="J48" s="12">
        <f>IF(INDEX(Costs_BAU!$F$5:$F$52,MATCH($A48,Costs_BAU!$A$5:$A$52,0))&gt;Keys!$C$5,0,Keys!$C$7*EXP($G48*INDEX(Costs_BAU!$F$5:$F$52,MATCH($A48,Costs_BAU!$A$5:$A$52,0))))</f>
        <v>9.745301320972043E-4</v>
      </c>
      <c r="K48" s="12">
        <f>IF(INDEX(Costs_BAU!$D$5:$D$52,MATCH($A48,Costs_BAU!$A$5:$A$52,0))&gt;Keys!$C$5,0,Keys!$C$8*EXP($G48*INDEX(Costs_BAU!$D$5:$D$52,MATCH($A48,Costs_BAU!$A$5:$A$52,0))))</f>
        <v>1.8993982047812808E-6</v>
      </c>
      <c r="L48" s="12">
        <f>IF(INDEX(Costs_BAU!$H$5:$H$52,MATCH($A48,Costs_BAU!$A$5:$A$52,0))&gt;Keys!$C$5,0,Keys!$C$9*EXP($G48*INDEX(Costs_BAU!$H$5:$H$52,MATCH($A48,Costs_BAU!$A$5:$A$52,0))))</f>
        <v>0</v>
      </c>
      <c r="M48" s="12">
        <f t="shared" si="1"/>
        <v>2.5521015004885579E-2</v>
      </c>
      <c r="N48" s="12">
        <f t="shared" si="2"/>
        <v>2.7852248177327926E-2</v>
      </c>
      <c r="O48" s="13">
        <f>$C48*$N48*EXP(-$G48*INDEX(Costs_BAU!$C$5:$C$52,MATCH($A48,Costs_BAU!$A$5:$A$52,0)))</f>
        <v>0.24355542903888514</v>
      </c>
      <c r="P48" s="13">
        <f>$D48*$N48*EXP(-$G48*INDEX(Costs_BAU!$G$5:$G$52,MATCH($A48,Costs_BAU!$A$5:$A$52,0)))</f>
        <v>2.4384117609478406E-2</v>
      </c>
      <c r="Q48" s="13">
        <f>$E48*$N48*EXP(-$G48*INDEX(Costs_BAU!$I$5:$I$52,MATCH($A48,Costs_BAU!$A$5:$A$52,0)))</f>
        <v>0</v>
      </c>
      <c r="R48" s="14">
        <f>MAX(Keys!$C$15,O48,P48,Q48)</f>
        <v>1</v>
      </c>
      <c r="S48" s="13">
        <f t="shared" si="3"/>
        <v>0.24355542903888514</v>
      </c>
      <c r="T48" s="13">
        <f t="shared" si="4"/>
        <v>2.4384117609478406E-2</v>
      </c>
      <c r="U48" s="13">
        <f t="shared" si="5"/>
        <v>0</v>
      </c>
      <c r="V48" s="13">
        <f>Keys!$C$6/$R48</f>
        <v>1</v>
      </c>
      <c r="W48" s="13">
        <f>Keys!$C$7/$R48</f>
        <v>6.7382959534800002E-2</v>
      </c>
      <c r="X48" s="13">
        <f>Keys!$C$8/$R48</f>
        <v>1.00970167475E-4</v>
      </c>
      <c r="Y48" s="13">
        <f>Keys!$C$9/$R48</f>
        <v>0</v>
      </c>
      <c r="Z48" s="11">
        <f>S48*EXP($G48*INDEX(Costs_BAU!$C$5:$C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6.5499999999999989E-2</v>
      </c>
      <c r="AA48" s="11">
        <f>T48*EXP($G48*INDEX(Costs_BAU!$G$5:$G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1.8200000000000001E-2</v>
      </c>
      <c r="AB48" s="11">
        <f>U48*EXP($G48*INDEX(Costs_BAU!$I$5:$I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0</v>
      </c>
      <c r="AC48" s="15">
        <f t="shared" si="6"/>
        <v>1.3877787807814457E-17</v>
      </c>
      <c r="AD48" t="str">
        <f>IF(AC48&gt;Keys!$C$14,"SHARE MISMATCH",IF(ABS(MAX(S48:Y48)-Keys!$C$15)&gt;Keys!$C$14,"MAX WEIGHT &lt;&gt; 1",IF(R48&gt;Keys!$C$15,"ok (rescaled)","ok")))</f>
        <v>ok</v>
      </c>
      <c r="AF48" s="2">
        <v>2</v>
      </c>
      <c r="AG48" s="2">
        <f t="shared" si="7"/>
        <v>-0.61340218522441803</v>
      </c>
      <c r="AH48" s="2">
        <f t="shared" si="8"/>
        <v>-1.612892955646255</v>
      </c>
      <c r="AI48" s="2" t="str">
        <f t="shared" si="9"/>
        <v/>
      </c>
      <c r="AJ48" s="9">
        <f t="shared" si="10"/>
        <v>0.23983771978951599</v>
      </c>
      <c r="AK48" s="9">
        <f t="shared" si="11"/>
        <v>2.2130378178094778E-2</v>
      </c>
      <c r="AL48" s="9">
        <f t="shared" si="12"/>
        <v>0</v>
      </c>
      <c r="AM48" s="16">
        <f t="shared" si="13"/>
        <v>1</v>
      </c>
      <c r="AN48" s="9">
        <f t="shared" si="14"/>
        <v>0.23983771978951599</v>
      </c>
      <c r="AO48" s="9">
        <f t="shared" si="15"/>
        <v>2.2130378178094778E-2</v>
      </c>
      <c r="AP48" s="9">
        <f t="shared" si="16"/>
        <v>0</v>
      </c>
      <c r="AQ48" s="9">
        <f>Keys!$C$6/AM48</f>
        <v>1</v>
      </c>
      <c r="AR48" s="9">
        <f>Keys!$C$7/AM48</f>
        <v>6.7382959534800002E-2</v>
      </c>
      <c r="AS48" s="9">
        <f>Keys!$C$8/AM48</f>
        <v>1.00970167475E-4</v>
      </c>
      <c r="AT48" s="9">
        <f>Keys!$C$9/AM48</f>
        <v>0</v>
      </c>
      <c r="AU48" s="11">
        <f>AN48*EXP($G48*INDEX(Costs_BAU!$C$5:$C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6.4673639867389804E-2</v>
      </c>
      <c r="AV48" s="11">
        <f>AO48*EXP($G48*INDEX(Costs_BAU!$G$5:$G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1.6562256691911924E-2</v>
      </c>
      <c r="AW48" s="11">
        <f>AP48*EXP($G48*INDEX(Costs_BAU!$I$5:$I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0</v>
      </c>
      <c r="AX48" s="11">
        <f t="shared" si="17"/>
        <v>8.1235896559301732E-2</v>
      </c>
      <c r="AY48" s="17">
        <f t="shared" si="18"/>
        <v>-0.24641034406982648</v>
      </c>
    </row>
    <row r="49" spans="1:51" x14ac:dyDescent="0.25">
      <c r="A49" t="s">
        <v>127</v>
      </c>
      <c r="B49" t="s">
        <v>126</v>
      </c>
      <c r="C49" s="11">
        <f>INDEX(Alliance_2025!$H$5:$H$56,MATCH($A49,Alliance_2025!$A$5:$A$56,0))</f>
        <v>6.3100000000000003E-2</v>
      </c>
      <c r="D49" s="11">
        <f>INDEX(Alliance_2025!$G$5:$G$56,MATCH($A49,Alliance_2025!$A$5:$A$56,0))</f>
        <v>2.8799999999999999E-2</v>
      </c>
      <c r="E49" s="11">
        <f>INDEX(Alliance_2025!$I$5:$I$56,MATCH($A49,Alliance_2025!$A$5:$A$56,0))</f>
        <v>0</v>
      </c>
      <c r="F49" s="11">
        <f t="shared" si="0"/>
        <v>9.1900000000000009E-2</v>
      </c>
      <c r="G49">
        <f>Keys!$C$4</f>
        <v>-8</v>
      </c>
      <c r="I49" s="12">
        <f>IF(INDEX(Costs_BAU!$E$5:$E$52,MATCH($A49,Costs_BAU!$A$5:$A$52,0))&gt;Keys!$C$5,0,Keys!$C$6*EXP($G49*INDEX(Costs_BAU!$E$5:$E$52,MATCH($A49,Costs_BAU!$A$5:$A$52,0))))</f>
        <v>1.305688105853451E-2</v>
      </c>
      <c r="J49" s="12">
        <f>IF(INDEX(Costs_BAU!$F$5:$F$52,MATCH($A49,Costs_BAU!$A$5:$A$52,0))&gt;Keys!$C$5,0,Keys!$C$7*EXP($G49*INDEX(Costs_BAU!$F$5:$F$52,MATCH($A49,Costs_BAU!$A$5:$A$52,0))))</f>
        <v>4.6860651966200569E-4</v>
      </c>
      <c r="K49" s="12">
        <f>IF(INDEX(Costs_BAU!$D$5:$D$52,MATCH($A49,Costs_BAU!$A$5:$A$52,0))&gt;Keys!$C$5,0,Keys!$C$8*EXP($G49*INDEX(Costs_BAU!$D$5:$D$52,MATCH($A49,Costs_BAU!$A$5:$A$52,0))))</f>
        <v>9.4294917180700616E-7</v>
      </c>
      <c r="L49" s="12">
        <f>IF(INDEX(Costs_BAU!$H$5:$H$52,MATCH($A49,Costs_BAU!$A$5:$A$52,0))&gt;Keys!$C$5,0,Keys!$C$9*EXP($G49*INDEX(Costs_BAU!$H$5:$H$52,MATCH($A49,Costs_BAU!$A$5:$A$52,0))))</f>
        <v>0</v>
      </c>
      <c r="M49" s="12">
        <f t="shared" si="1"/>
        <v>1.3526430527368323E-2</v>
      </c>
      <c r="N49" s="12">
        <f t="shared" si="2"/>
        <v>1.4895309467424648E-2</v>
      </c>
      <c r="O49" s="13">
        <f>$C49*$N49*EXP(-$G49*INDEX(Costs_BAU!$C$5:$C$52,MATCH($A49,Costs_BAU!$A$5:$A$52,0)))</f>
        <v>0.26249180253665594</v>
      </c>
      <c r="P49" s="13">
        <f>$D49*$N49*EXP(-$G49*INDEX(Costs_BAU!$G$5:$G$52,MATCH($A49,Costs_BAU!$A$5:$A$52,0)))</f>
        <v>4.0325598697449776E-2</v>
      </c>
      <c r="Q49" s="13">
        <f>$E49*$N49*EXP(-$G49*INDEX(Costs_BAU!$I$5:$I$52,MATCH($A49,Costs_BAU!$A$5:$A$52,0)))</f>
        <v>0</v>
      </c>
      <c r="R49" s="14">
        <f>MAX(Keys!$C$15,O49,P49,Q49)</f>
        <v>1</v>
      </c>
      <c r="S49" s="13">
        <f t="shared" si="3"/>
        <v>0.26249180253665594</v>
      </c>
      <c r="T49" s="13">
        <f t="shared" si="4"/>
        <v>4.0325598697449776E-2</v>
      </c>
      <c r="U49" s="13">
        <f t="shared" si="5"/>
        <v>0</v>
      </c>
      <c r="V49" s="13">
        <f>Keys!$C$6/$R49</f>
        <v>1</v>
      </c>
      <c r="W49" s="13">
        <f>Keys!$C$7/$R49</f>
        <v>6.7382959534800002E-2</v>
      </c>
      <c r="X49" s="13">
        <f>Keys!$C$8/$R49</f>
        <v>1.00970167475E-4</v>
      </c>
      <c r="Y49" s="13">
        <f>Keys!$C$9/$R49</f>
        <v>0</v>
      </c>
      <c r="Z49" s="11">
        <f>S49*EXP($G49*INDEX(Costs_BAU!$C$5:$C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6.3100000000000003E-2</v>
      </c>
      <c r="AA49" s="11">
        <f>T49*EXP($G49*INDEX(Costs_BAU!$G$5:$G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2.8799999999999999E-2</v>
      </c>
      <c r="AB49" s="11">
        <f>U49*EXP($G49*INDEX(Costs_BAU!$I$5:$I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0</v>
      </c>
      <c r="AC49" s="15">
        <f t="shared" si="6"/>
        <v>0</v>
      </c>
      <c r="AD49" t="str">
        <f>IF(AC49&gt;Keys!$C$14,"SHARE MISMATCH",IF(ABS(MAX(S49:Y49)-Keys!$C$15)&gt;Keys!$C$14,"MAX WEIGHT &lt;&gt; 1",IF(R49&gt;Keys!$C$15,"ok (rescaled)","ok")))</f>
        <v>ok</v>
      </c>
      <c r="AF49" s="2">
        <v>2</v>
      </c>
      <c r="AG49" s="2">
        <f t="shared" si="7"/>
        <v>-0.58088425480539752</v>
      </c>
      <c r="AH49" s="2">
        <f t="shared" si="8"/>
        <v>-1.3944191761009694</v>
      </c>
      <c r="AI49" s="2" t="str">
        <f t="shared" si="9"/>
        <v/>
      </c>
      <c r="AJ49" s="9">
        <f t="shared" si="10"/>
        <v>0.23983771978951599</v>
      </c>
      <c r="AK49" s="9">
        <f t="shared" si="11"/>
        <v>2.2130378178094778E-2</v>
      </c>
      <c r="AL49" s="9">
        <f t="shared" si="12"/>
        <v>0</v>
      </c>
      <c r="AM49" s="16">
        <f t="shared" si="13"/>
        <v>1</v>
      </c>
      <c r="AN49" s="9">
        <f t="shared" si="14"/>
        <v>0.23983771978951599</v>
      </c>
      <c r="AO49" s="9">
        <f t="shared" si="15"/>
        <v>2.2130378178094778E-2</v>
      </c>
      <c r="AP49" s="9">
        <f t="shared" si="16"/>
        <v>0</v>
      </c>
      <c r="AQ49" s="9">
        <f>Keys!$C$6/AM49</f>
        <v>1</v>
      </c>
      <c r="AR49" s="9">
        <f>Keys!$C$7/AM49</f>
        <v>6.7382959534800002E-2</v>
      </c>
      <c r="AS49" s="9">
        <f>Keys!$C$8/AM49</f>
        <v>1.00970167475E-4</v>
      </c>
      <c r="AT49" s="9">
        <f>Keys!$C$9/AM49</f>
        <v>0</v>
      </c>
      <c r="AU49" s="11">
        <f>AN49*EXP($G49*INDEX(Costs_BAU!$C$5:$C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5.8737370048612965E-2</v>
      </c>
      <c r="AV49" s="11">
        <f>AO49*EXP($G49*INDEX(Costs_BAU!$G$5:$G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1.6102151035790831E-2</v>
      </c>
      <c r="AW49" s="11">
        <f>AP49*EXP($G49*INDEX(Costs_BAU!$I$5:$I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0</v>
      </c>
      <c r="AX49" s="11">
        <f t="shared" si="17"/>
        <v>7.4839521084403796E-2</v>
      </c>
      <c r="AY49" s="17">
        <f t="shared" si="18"/>
        <v>-1.7060478915596213</v>
      </c>
    </row>
    <row r="50" spans="1:51" x14ac:dyDescent="0.25">
      <c r="A50" t="s">
        <v>130</v>
      </c>
      <c r="B50" t="s">
        <v>129</v>
      </c>
      <c r="C50" s="11">
        <f>INDEX(Alliance_2025!$H$5:$H$56,MATCH($A50,Alliance_2025!$A$5:$A$56,0))</f>
        <v>0.16039999999999999</v>
      </c>
      <c r="D50" s="11">
        <f>INDEX(Alliance_2025!$G$5:$G$56,MATCH($A50,Alliance_2025!$A$5:$A$56,0))</f>
        <v>2.9399999999999999E-2</v>
      </c>
      <c r="E50" s="11">
        <f>INDEX(Alliance_2025!$I$5:$I$56,MATCH($A50,Alliance_2025!$A$5:$A$56,0))</f>
        <v>0</v>
      </c>
      <c r="F50" s="11">
        <f t="shared" si="0"/>
        <v>0.1898</v>
      </c>
      <c r="G50">
        <f>Keys!$C$4</f>
        <v>-8</v>
      </c>
      <c r="I50" s="12">
        <f>IF(INDEX(Costs_BAU!$E$5:$E$52,MATCH($A50,Costs_BAU!$A$5:$A$52,0))&gt;Keys!$C$5,0,Keys!$C$6*EXP($G50*INDEX(Costs_BAU!$E$5:$E$52,MATCH($A50,Costs_BAU!$A$5:$A$52,0))))</f>
        <v>4.5928800031890885E-3</v>
      </c>
      <c r="J50" s="12">
        <f>IF(INDEX(Costs_BAU!$F$5:$F$52,MATCH($A50,Costs_BAU!$A$5:$A$52,0))&gt;Keys!$C$5,0,Keys!$C$7*EXP($G50*INDEX(Costs_BAU!$F$5:$F$52,MATCH($A50,Costs_BAU!$A$5:$A$52,0))))</f>
        <v>1.5074466406212413E-4</v>
      </c>
      <c r="K50" s="12">
        <f>IF(INDEX(Costs_BAU!$D$5:$D$52,MATCH($A50,Costs_BAU!$A$5:$A$52,0))&gt;Keys!$C$5,0,Keys!$C$8*EXP($G50*INDEX(Costs_BAU!$D$5:$D$52,MATCH($A50,Costs_BAU!$A$5:$A$52,0))))</f>
        <v>3.1524193153578606E-7</v>
      </c>
      <c r="L50" s="12">
        <f>IF(INDEX(Costs_BAU!$H$5:$H$52,MATCH($A50,Costs_BAU!$A$5:$A$52,0))&gt;Keys!$C$5,0,Keys!$C$9*EXP($G50*INDEX(Costs_BAU!$H$5:$H$52,MATCH($A50,Costs_BAU!$A$5:$A$52,0))))</f>
        <v>0</v>
      </c>
      <c r="M50" s="12">
        <f t="shared" si="1"/>
        <v>4.7439399091827482E-3</v>
      </c>
      <c r="N50" s="12">
        <f t="shared" si="2"/>
        <v>5.8552701915363468E-3</v>
      </c>
      <c r="O50" s="13">
        <f>$C50*$N50*EXP(-$G50*INDEX(Costs_BAU!$C$5:$C$52,MATCH($A50,Costs_BAU!$A$5:$A$52,0)))</f>
        <v>1.0012310377041065</v>
      </c>
      <c r="P50" s="13">
        <f>$D50*$N50*EXP(-$G50*INDEX(Costs_BAU!$G$5:$G$52,MATCH($A50,Costs_BAU!$A$5:$A$52,0)))</f>
        <v>4.3616937011664518E-2</v>
      </c>
      <c r="Q50" s="13">
        <f>$E50*$N50*EXP(-$G50*INDEX(Costs_BAU!$I$5:$I$52,MATCH($A50,Costs_BAU!$A$5:$A$52,0)))</f>
        <v>0</v>
      </c>
      <c r="R50" s="14">
        <f>MAX(Keys!$C$15,O50,P50,Q50)</f>
        <v>1.0012310377041065</v>
      </c>
      <c r="S50" s="13">
        <f t="shared" si="3"/>
        <v>1</v>
      </c>
      <c r="T50" s="13">
        <f t="shared" si="4"/>
        <v>4.3563308935848852E-2</v>
      </c>
      <c r="U50" s="13">
        <f t="shared" si="5"/>
        <v>0</v>
      </c>
      <c r="V50" s="13">
        <f>Keys!$C$6/$R50</f>
        <v>0.99877047588643542</v>
      </c>
      <c r="W50" s="13">
        <f>Keys!$C$7/$R50</f>
        <v>6.7300110561208618E-2</v>
      </c>
      <c r="X50" s="13">
        <f>Keys!$C$8/$R50</f>
        <v>1.0084602221933884E-4</v>
      </c>
      <c r="Y50" s="13">
        <f>Keys!$C$9/$R50</f>
        <v>0</v>
      </c>
      <c r="Z50" s="11">
        <f>S50*EXP($G50*INDEX(Costs_BAU!$C$5:$C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0.16040000000000001</v>
      </c>
      <c r="AA50" s="11">
        <f>T50*EXP($G50*INDEX(Costs_BAU!$G$5:$G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2.9400000000000003E-2</v>
      </c>
      <c r="AB50" s="11">
        <f>U50*EXP($G50*INDEX(Costs_BAU!$I$5:$I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0</v>
      </c>
      <c r="AC50" s="15">
        <f t="shared" si="6"/>
        <v>2.7755575615628914E-17</v>
      </c>
      <c r="AD50" t="str">
        <f>IF(AC50&gt;Keys!$C$14,"SHARE MISMATCH",IF(ABS(MAX(S50:Y50)-Keys!$C$15)&gt;Keys!$C$14,"MAX WEIGHT &lt;&gt; 1",IF(R50&gt;Keys!$C$15,"ok (rescaled)","ok")))</f>
        <v>ok (rescaled)</v>
      </c>
      <c r="AF50" s="2">
        <v>4</v>
      </c>
      <c r="AG50" s="2">
        <f t="shared" si="7"/>
        <v>5.3430407511193044E-4</v>
      </c>
      <c r="AH50" s="2">
        <f t="shared" si="8"/>
        <v>-1.3603448359063095</v>
      </c>
      <c r="AI50" s="2" t="str">
        <f t="shared" si="9"/>
        <v/>
      </c>
      <c r="AJ50" s="9">
        <f t="shared" si="10"/>
        <v>0.92973261140526997</v>
      </c>
      <c r="AK50" s="9">
        <f t="shared" si="11"/>
        <v>5.2021527112866645E-2</v>
      </c>
      <c r="AL50" s="9">
        <f t="shared" si="12"/>
        <v>7.7580494932785466E-4</v>
      </c>
      <c r="AM50" s="16">
        <f t="shared" si="13"/>
        <v>1</v>
      </c>
      <c r="AN50" s="9">
        <f t="shared" si="14"/>
        <v>0.92973261140526997</v>
      </c>
      <c r="AO50" s="9">
        <f t="shared" si="15"/>
        <v>5.2021527112866645E-2</v>
      </c>
      <c r="AP50" s="9">
        <f t="shared" si="16"/>
        <v>7.7580494932785466E-4</v>
      </c>
      <c r="AQ50" s="9">
        <f>Keys!$C$6/AM50</f>
        <v>1</v>
      </c>
      <c r="AR50" s="9">
        <f>Keys!$C$7/AM50</f>
        <v>6.7382959534800002E-2</v>
      </c>
      <c r="AS50" s="9">
        <f>Keys!$C$8/AM50</f>
        <v>1.00970167475E-4</v>
      </c>
      <c r="AT50" s="9">
        <f>Keys!$C$9/AM50</f>
        <v>0</v>
      </c>
      <c r="AU50" s="11">
        <f>AN50*EXP($G50*INDEX(Costs_BAU!$C$5:$C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0.14978932613873033</v>
      </c>
      <c r="AV50" s="11">
        <f>AO50*EXP($G50*INDEX(Costs_BAU!$G$5:$G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3.52637103637891E-2</v>
      </c>
      <c r="AW50" s="11">
        <f>AP50*EXP($G50*INDEX(Costs_BAU!$I$5:$I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1.5829334394429153E-4</v>
      </c>
      <c r="AX50" s="11">
        <f t="shared" si="17"/>
        <v>0.18521132984646371</v>
      </c>
      <c r="AY50" s="17">
        <f t="shared" si="18"/>
        <v>-0.45886701535362839</v>
      </c>
    </row>
    <row r="51" spans="1:51" x14ac:dyDescent="0.25">
      <c r="A51" t="s">
        <v>133</v>
      </c>
      <c r="B51" t="s">
        <v>132</v>
      </c>
      <c r="C51" s="11">
        <f>INDEX(Alliance_2025!$H$5:$H$56,MATCH($A51,Alliance_2025!$A$5:$A$56,0))</f>
        <v>3.4100000000000005E-2</v>
      </c>
      <c r="D51" s="11">
        <f>INDEX(Alliance_2025!$G$5:$G$56,MATCH($A51,Alliance_2025!$A$5:$A$56,0))</f>
        <v>1.0400000000000001E-2</v>
      </c>
      <c r="E51" s="11">
        <f>INDEX(Alliance_2025!$I$5:$I$56,MATCH($A51,Alliance_2025!$A$5:$A$56,0))</f>
        <v>0</v>
      </c>
      <c r="F51" s="11">
        <f t="shared" si="0"/>
        <v>4.4500000000000005E-2</v>
      </c>
      <c r="G51">
        <f>Keys!$C$4</f>
        <v>-8</v>
      </c>
      <c r="I51" s="12">
        <f>IF(INDEX(Costs_BAU!$E$5:$E$52,MATCH($A51,Costs_BAU!$A$5:$A$52,0))&gt;Keys!$C$5,0,Keys!$C$6*EXP($G51*INDEX(Costs_BAU!$E$5:$E$52,MATCH($A51,Costs_BAU!$A$5:$A$52,0))))</f>
        <v>1.2567816232409695E-2</v>
      </c>
      <c r="J51" s="12">
        <f>IF(INDEX(Costs_BAU!$F$5:$F$52,MATCH($A51,Costs_BAU!$A$5:$A$52,0))&gt;Keys!$C$5,0,Keys!$C$7*EXP($G51*INDEX(Costs_BAU!$F$5:$F$52,MATCH($A51,Costs_BAU!$A$5:$A$52,0))))</f>
        <v>4.5728527900791414E-4</v>
      </c>
      <c r="K51" s="12">
        <f>IF(INDEX(Costs_BAU!$D$5:$D$52,MATCH($A51,Costs_BAU!$A$5:$A$52,0))&gt;Keys!$C$5,0,Keys!$C$8*EXP($G51*INDEX(Costs_BAU!$D$5:$D$52,MATCH($A51,Costs_BAU!$A$5:$A$52,0))))</f>
        <v>8.9597846730275351E-7</v>
      </c>
      <c r="L51" s="12">
        <f>IF(INDEX(Costs_BAU!$H$5:$H$52,MATCH($A51,Costs_BAU!$A$5:$A$52,0))&gt;Keys!$C$5,0,Keys!$C$9*EXP($G51*INDEX(Costs_BAU!$H$5:$H$52,MATCH($A51,Costs_BAU!$A$5:$A$52,0))))</f>
        <v>0</v>
      </c>
      <c r="M51" s="12">
        <f t="shared" si="1"/>
        <v>1.3025997489884911E-2</v>
      </c>
      <c r="N51" s="12">
        <f t="shared" si="2"/>
        <v>1.3632650434207128E-2</v>
      </c>
      <c r="O51" s="13">
        <f>$C51*$N51*EXP(-$G51*INDEX(Costs_BAU!$C$5:$C$52,MATCH($A51,Costs_BAU!$A$5:$A$52,0)))</f>
        <v>0.16351255690540348</v>
      </c>
      <c r="P51" s="13">
        <f>$D51*$N51*EXP(-$G51*INDEX(Costs_BAU!$G$5:$G$52,MATCH($A51,Costs_BAU!$A$5:$A$52,0)))</f>
        <v>1.4035954413529996E-2</v>
      </c>
      <c r="Q51" s="13">
        <f>$E51*$N51*EXP(-$G51*INDEX(Costs_BAU!$I$5:$I$52,MATCH($A51,Costs_BAU!$A$5:$A$52,0)))</f>
        <v>0</v>
      </c>
      <c r="R51" s="14">
        <f>MAX(Keys!$C$15,O51,P51,Q51)</f>
        <v>1</v>
      </c>
      <c r="S51" s="13">
        <f t="shared" si="3"/>
        <v>0.16351255690540348</v>
      </c>
      <c r="T51" s="13">
        <f t="shared" si="4"/>
        <v>1.4035954413529996E-2</v>
      </c>
      <c r="U51" s="13">
        <f t="shared" si="5"/>
        <v>0</v>
      </c>
      <c r="V51" s="13">
        <f>Keys!$C$6/$R51</f>
        <v>1</v>
      </c>
      <c r="W51" s="13">
        <f>Keys!$C$7/$R51</f>
        <v>6.7382959534800002E-2</v>
      </c>
      <c r="X51" s="13">
        <f>Keys!$C$8/$R51</f>
        <v>1.00970167475E-4</v>
      </c>
      <c r="Y51" s="13">
        <f>Keys!$C$9/$R51</f>
        <v>0</v>
      </c>
      <c r="Z51" s="11">
        <f>S51*EXP($G51*INDEX(Costs_BAU!$C$5:$C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3.4100000000000005E-2</v>
      </c>
      <c r="AA51" s="11">
        <f>T51*EXP($G51*INDEX(Costs_BAU!$G$5:$G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1.04E-2</v>
      </c>
      <c r="AB51" s="11">
        <f>U51*EXP($G51*INDEX(Costs_BAU!$I$5:$I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0</v>
      </c>
      <c r="AC51" s="15">
        <f t="shared" si="6"/>
        <v>1.7347234759768071E-18</v>
      </c>
      <c r="AD51" t="str">
        <f>IF(AC51&gt;Keys!$C$14,"SHARE MISMATCH",IF(ABS(MAX(S51:Y51)-Keys!$C$15)&gt;Keys!$C$14,"MAX WEIGHT &lt;&gt; 1",IF(R51&gt;Keys!$C$15,"ok (rescaled)","ok")))</f>
        <v>ok</v>
      </c>
      <c r="AF51" s="2">
        <v>2</v>
      </c>
      <c r="AG51" s="2">
        <f t="shared" si="7"/>
        <v>-0.78644889018825093</v>
      </c>
      <c r="AH51" s="2">
        <f t="shared" si="8"/>
        <v>-1.8527580509713453</v>
      </c>
      <c r="AI51" s="2" t="str">
        <f t="shared" si="9"/>
        <v/>
      </c>
      <c r="AJ51" s="9">
        <f t="shared" si="10"/>
        <v>0.23983771978951599</v>
      </c>
      <c r="AK51" s="9">
        <f t="shared" si="11"/>
        <v>2.2130378178094778E-2</v>
      </c>
      <c r="AL51" s="9">
        <f t="shared" si="12"/>
        <v>0</v>
      </c>
      <c r="AM51" s="16">
        <f t="shared" si="13"/>
        <v>1</v>
      </c>
      <c r="AN51" s="9">
        <f t="shared" si="14"/>
        <v>0.23983771978951599</v>
      </c>
      <c r="AO51" s="9">
        <f t="shared" si="15"/>
        <v>2.2130378178094778E-2</v>
      </c>
      <c r="AP51" s="9">
        <f t="shared" si="16"/>
        <v>0</v>
      </c>
      <c r="AQ51" s="9">
        <f>Keys!$C$6/AM51</f>
        <v>1</v>
      </c>
      <c r="AR51" s="9">
        <f>Keys!$C$7/AM51</f>
        <v>6.7382959534800002E-2</v>
      </c>
      <c r="AS51" s="9">
        <f>Keys!$C$8/AM51</f>
        <v>1.00970167475E-4</v>
      </c>
      <c r="AT51" s="9">
        <f>Keys!$C$9/AM51</f>
        <v>0</v>
      </c>
      <c r="AU51" s="11">
        <f>AN51*EXP($G51*INDEX(Costs_BAU!$C$5:$C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4.8944737121136908E-2</v>
      </c>
      <c r="AV51" s="11">
        <f>AO51*EXP($G51*INDEX(Costs_BAU!$G$5:$G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1.6045951320048504E-2</v>
      </c>
      <c r="AW51" s="11">
        <f>AP51*EXP($G51*INDEX(Costs_BAU!$I$5:$I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0</v>
      </c>
      <c r="AX51" s="11">
        <f t="shared" si="17"/>
        <v>6.4990688441185412E-2</v>
      </c>
      <c r="AY51" s="17">
        <f t="shared" si="18"/>
        <v>2.049068844118541</v>
      </c>
    </row>
    <row r="52" spans="1:51" x14ac:dyDescent="0.25">
      <c r="A52" t="s">
        <v>136</v>
      </c>
      <c r="B52" t="s">
        <v>135</v>
      </c>
      <c r="C52" s="11">
        <f>INDEX(Alliance_2025!$H$5:$H$56,MATCH($A52,Alliance_2025!$A$5:$A$56,0))</f>
        <v>1.4499999999999999E-2</v>
      </c>
      <c r="D52" s="11">
        <f>INDEX(Alliance_2025!$G$5:$G$56,MATCH($A52,Alliance_2025!$A$5:$A$56,0))</f>
        <v>5.6000000000000008E-3</v>
      </c>
      <c r="E52" s="11">
        <f>INDEX(Alliance_2025!$I$5:$I$56,MATCH($A52,Alliance_2025!$A$5:$A$56,0))</f>
        <v>0</v>
      </c>
      <c r="F52" s="11">
        <f t="shared" si="0"/>
        <v>2.01E-2</v>
      </c>
      <c r="G52">
        <f>Keys!$C$4</f>
        <v>-8</v>
      </c>
      <c r="I52" s="12">
        <f>IF(INDEX(Costs_BAU!$E$5:$E$52,MATCH($A52,Costs_BAU!$A$5:$A$52,0))&gt;Keys!$C$5,0,Keys!$C$6*EXP($G52*INDEX(Costs_BAU!$E$5:$E$52,MATCH($A52,Costs_BAU!$A$5:$A$52,0))))</f>
        <v>2.3034181825019331E-2</v>
      </c>
      <c r="J52" s="12">
        <f>IF(INDEX(Costs_BAU!$F$5:$F$52,MATCH($A52,Costs_BAU!$A$5:$A$52,0))&gt;Keys!$C$5,0,Keys!$C$7*EXP($G52*INDEX(Costs_BAU!$F$5:$F$52,MATCH($A52,Costs_BAU!$A$5:$A$52,0))))</f>
        <v>9.1471399170492851E-4</v>
      </c>
      <c r="K52" s="12">
        <f>IF(INDEX(Costs_BAU!$D$5:$D$52,MATCH($A52,Costs_BAU!$A$5:$A$52,0))&gt;Keys!$C$5,0,Keys!$C$8*EXP($G52*INDEX(Costs_BAU!$D$5:$D$52,MATCH($A52,Costs_BAU!$A$5:$A$52,0))))</f>
        <v>1.8032112472651109E-6</v>
      </c>
      <c r="L52" s="12">
        <f>IF(INDEX(Costs_BAU!$H$5:$H$52,MATCH($A52,Costs_BAU!$A$5:$A$52,0))&gt;Keys!$C$5,0,Keys!$C$9*EXP($G52*INDEX(Costs_BAU!$H$5:$H$52,MATCH($A52,Costs_BAU!$A$5:$A$52,0))))</f>
        <v>0</v>
      </c>
      <c r="M52" s="12">
        <f t="shared" si="1"/>
        <v>2.3950699027971523E-2</v>
      </c>
      <c r="N52" s="12">
        <f t="shared" si="2"/>
        <v>2.4441982883938691E-2</v>
      </c>
      <c r="O52" s="13">
        <f>$C52*$N52*EXP(-$G52*INDEX(Costs_BAU!$C$5:$C$52,MATCH($A52,Costs_BAU!$A$5:$A$52,0)))</f>
        <v>5.3606569946149728E-2</v>
      </c>
      <c r="P52" s="13">
        <f>$D52*$N52*EXP(-$G52*INDEX(Costs_BAU!$G$5:$G$52,MATCH($A52,Costs_BAU!$A$5:$A$52,0)))</f>
        <v>6.9693473439336245E-3</v>
      </c>
      <c r="Q52" s="13">
        <f>$E52*$N52*EXP(-$G52*INDEX(Costs_BAU!$I$5:$I$52,MATCH($A52,Costs_BAU!$A$5:$A$52,0)))</f>
        <v>0</v>
      </c>
      <c r="R52" s="14">
        <f>MAX(Keys!$C$15,O52,P52,Q52)</f>
        <v>1</v>
      </c>
      <c r="S52" s="13">
        <f t="shared" si="3"/>
        <v>5.3606569946149728E-2</v>
      </c>
      <c r="T52" s="13">
        <f t="shared" si="4"/>
        <v>6.9693473439336245E-3</v>
      </c>
      <c r="U52" s="13">
        <f t="shared" si="5"/>
        <v>0</v>
      </c>
      <c r="V52" s="13">
        <f>Keys!$C$6/$R52</f>
        <v>1</v>
      </c>
      <c r="W52" s="13">
        <f>Keys!$C$7/$R52</f>
        <v>6.7382959534800002E-2</v>
      </c>
      <c r="X52" s="13">
        <f>Keys!$C$8/$R52</f>
        <v>1.00970167475E-4</v>
      </c>
      <c r="Y52" s="13">
        <f>Keys!$C$9/$R52</f>
        <v>0</v>
      </c>
      <c r="Z52" s="11">
        <f>S52*EXP($G52*INDEX(Costs_BAU!$C$5:$C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1.4499999999999997E-2</v>
      </c>
      <c r="AA52" s="11">
        <f>T52*EXP($G52*INDEX(Costs_BAU!$G$5:$G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5.6000000000000008E-3</v>
      </c>
      <c r="AB52" s="11">
        <f>U52*EXP($G52*INDEX(Costs_BAU!$I$5:$I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0</v>
      </c>
      <c r="AC52" s="15">
        <f t="shared" si="6"/>
        <v>1.7347234759768071E-18</v>
      </c>
      <c r="AD52" t="str">
        <f>IF(AC52&gt;Keys!$C$14,"SHARE MISMATCH",IF(ABS(MAX(S52:Y52)-Keys!$C$15)&gt;Keys!$C$14,"MAX WEIGHT &lt;&gt; 1",IF(R52&gt;Keys!$C$15,"ok (rescaled)","ok")))</f>
        <v>ok</v>
      </c>
      <c r="AF52" s="2">
        <v>1</v>
      </c>
      <c r="AG52" s="2">
        <f t="shared" si="7"/>
        <v>-1.2707819805217004</v>
      </c>
      <c r="AH52" s="2">
        <f t="shared" si="8"/>
        <v>-2.1568078902233143</v>
      </c>
      <c r="AI52" s="2" t="str">
        <f t="shared" si="9"/>
        <v/>
      </c>
      <c r="AJ52" s="9">
        <f t="shared" si="10"/>
        <v>9.2125264583003991E-2</v>
      </c>
      <c r="AK52" s="9">
        <f t="shared" si="11"/>
        <v>9.8662431120855477E-3</v>
      </c>
      <c r="AL52" s="9">
        <f t="shared" si="12"/>
        <v>0</v>
      </c>
      <c r="AM52" s="16">
        <f t="shared" si="13"/>
        <v>1</v>
      </c>
      <c r="AN52" s="9">
        <f t="shared" si="14"/>
        <v>9.2125264583003991E-2</v>
      </c>
      <c r="AO52" s="9">
        <f t="shared" si="15"/>
        <v>9.8662431120855477E-3</v>
      </c>
      <c r="AP52" s="9">
        <f t="shared" si="16"/>
        <v>0</v>
      </c>
      <c r="AQ52" s="9">
        <f>Keys!$C$6/AM52</f>
        <v>1</v>
      </c>
      <c r="AR52" s="9">
        <f>Keys!$C$7/AM52</f>
        <v>6.7382959534800002E-2</v>
      </c>
      <c r="AS52" s="9">
        <f>Keys!$C$8/AM52</f>
        <v>1.00970167475E-4</v>
      </c>
      <c r="AT52" s="9">
        <f>Keys!$C$9/AM52</f>
        <v>0</v>
      </c>
      <c r="AU52" s="11">
        <f>AN52*EXP($G52*INDEX(Costs_BAU!$C$5:$C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2.4605258743405401E-2</v>
      </c>
      <c r="AV52" s="11">
        <f>AO52*EXP($G52*INDEX(Costs_BAU!$G$5:$G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7.8279300338204797E-3</v>
      </c>
      <c r="AW52" s="11">
        <f>AP52*EXP($G52*INDEX(Costs_BAU!$I$5:$I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0</v>
      </c>
      <c r="AX52" s="11">
        <f t="shared" si="17"/>
        <v>3.2433188777225883E-2</v>
      </c>
      <c r="AY52" s="17">
        <f t="shared" si="18"/>
        <v>1.2333188777225883</v>
      </c>
    </row>
    <row r="53" spans="1:51" x14ac:dyDescent="0.25">
      <c r="A53" t="s">
        <v>139</v>
      </c>
      <c r="B53" t="s">
        <v>138</v>
      </c>
      <c r="C53" s="11">
        <f>INDEX(Alliance_2025!$H$5:$H$56,MATCH($A53,Alliance_2025!$A$5:$A$56,0))</f>
        <v>1.5700000000000002E-2</v>
      </c>
      <c r="D53" s="11">
        <f>INDEX(Alliance_2025!$G$5:$G$56,MATCH($A53,Alliance_2025!$A$5:$A$56,0))</f>
        <v>6.8999999999999999E-3</v>
      </c>
      <c r="E53" s="11">
        <f>INDEX(Alliance_2025!$I$5:$I$56,MATCH($A53,Alliance_2025!$A$5:$A$56,0))</f>
        <v>0</v>
      </c>
      <c r="F53" s="11">
        <f t="shared" si="0"/>
        <v>2.2600000000000002E-2</v>
      </c>
      <c r="G53">
        <f>Keys!$C$4</f>
        <v>-8</v>
      </c>
      <c r="I53" s="12">
        <f>IF(INDEX(Costs_BAU!$E$5:$E$52,MATCH($A53,Costs_BAU!$A$5:$A$52,0))&gt;Keys!$C$5,0,Keys!$C$6*EXP($G53*INDEX(Costs_BAU!$E$5:$E$52,MATCH($A53,Costs_BAU!$A$5:$A$52,0))))</f>
        <v>1.0310092594043986E-2</v>
      </c>
      <c r="J53" s="12">
        <f>IF(INDEX(Costs_BAU!$F$5:$F$52,MATCH($A53,Costs_BAU!$A$5:$A$52,0))&gt;Keys!$C$5,0,Keys!$C$7*EXP($G53*INDEX(Costs_BAU!$F$5:$F$52,MATCH($A53,Costs_BAU!$A$5:$A$52,0))))</f>
        <v>3.6402095659452934E-4</v>
      </c>
      <c r="K53" s="12">
        <f>IF(INDEX(Costs_BAU!$D$5:$D$52,MATCH($A53,Costs_BAU!$A$5:$A$52,0))&gt;Keys!$C$5,0,Keys!$C$8*EXP($G53*INDEX(Costs_BAU!$D$5:$D$52,MATCH($A53,Costs_BAU!$A$5:$A$52,0))))</f>
        <v>7.0451976102254833E-7</v>
      </c>
      <c r="L53" s="12">
        <f>IF(INDEX(Costs_BAU!$H$5:$H$52,MATCH($A53,Costs_BAU!$A$5:$A$52,0))&gt;Keys!$C$5,0,Keys!$C$9*EXP($G53*INDEX(Costs_BAU!$H$5:$H$52,MATCH($A53,Costs_BAU!$A$5:$A$52,0))))</f>
        <v>0</v>
      </c>
      <c r="M53" s="12">
        <f t="shared" si="1"/>
        <v>1.0674818070399538E-2</v>
      </c>
      <c r="N53" s="12">
        <f t="shared" si="2"/>
        <v>1.092164729936519E-2</v>
      </c>
      <c r="O53" s="13">
        <f>$C53*$N53*EXP(-$G53*INDEX(Costs_BAU!$C$5:$C$52,MATCH($A53,Costs_BAU!$A$5:$A$52,0)))</f>
        <v>7.7275135686052585E-2</v>
      </c>
      <c r="P53" s="13">
        <f>$D53*$N53*EXP(-$G53*INDEX(Costs_BAU!$G$5:$G$52,MATCH($A53,Costs_BAU!$A$5:$A$52,0)))</f>
        <v>8.8413620527943246E-3</v>
      </c>
      <c r="Q53" s="13">
        <f>$E53*$N53*EXP(-$G53*INDEX(Costs_BAU!$I$5:$I$52,MATCH($A53,Costs_BAU!$A$5:$A$52,0)))</f>
        <v>0</v>
      </c>
      <c r="R53" s="14">
        <f>MAX(Keys!$C$15,O53,P53,Q53)</f>
        <v>1</v>
      </c>
      <c r="S53" s="13">
        <f t="shared" si="3"/>
        <v>7.7275135686052585E-2</v>
      </c>
      <c r="T53" s="13">
        <f t="shared" si="4"/>
        <v>8.8413620527943246E-3</v>
      </c>
      <c r="U53" s="13">
        <f t="shared" si="5"/>
        <v>0</v>
      </c>
      <c r="V53" s="13">
        <f>Keys!$C$6/$R53</f>
        <v>1</v>
      </c>
      <c r="W53" s="13">
        <f>Keys!$C$7/$R53</f>
        <v>6.7382959534800002E-2</v>
      </c>
      <c r="X53" s="13">
        <f>Keys!$C$8/$R53</f>
        <v>1.00970167475E-4</v>
      </c>
      <c r="Y53" s="13">
        <f>Keys!$C$9/$R53</f>
        <v>0</v>
      </c>
      <c r="Z53" s="11">
        <f>S53*EXP($G53*INDEX(Costs_BAU!$C$5:$C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1.5699999999999999E-2</v>
      </c>
      <c r="AA53" s="11">
        <f>T53*EXP($G53*INDEX(Costs_BAU!$G$5:$G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6.8999999999999999E-3</v>
      </c>
      <c r="AB53" s="11">
        <f>U53*EXP($G53*INDEX(Costs_BAU!$I$5:$I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0</v>
      </c>
      <c r="AC53" s="15">
        <f t="shared" si="6"/>
        <v>3.4694469519536142E-18</v>
      </c>
      <c r="AD53" t="str">
        <f>IF(AC53&gt;Keys!$C$14,"SHARE MISMATCH",IF(ABS(MAX(S53:Y53)-Keys!$C$15)&gt;Keys!$C$14,"MAX WEIGHT &lt;&gt; 1",IF(R53&gt;Keys!$C$15,"ok (rescaled)","ok")))</f>
        <v>ok</v>
      </c>
      <c r="AF53" s="2">
        <v>1</v>
      </c>
      <c r="AG53" s="2">
        <f t="shared" si="7"/>
        <v>-1.1119602236939403</v>
      </c>
      <c r="AH53" s="2">
        <f t="shared" si="8"/>
        <v>-2.0534808247554595</v>
      </c>
      <c r="AI53" s="2" t="str">
        <f t="shared" si="9"/>
        <v/>
      </c>
      <c r="AJ53" s="9">
        <f t="shared" si="10"/>
        <v>9.2125264583003991E-2</v>
      </c>
      <c r="AK53" s="9">
        <f t="shared" si="11"/>
        <v>9.8662431120855477E-3</v>
      </c>
      <c r="AL53" s="9">
        <f t="shared" si="12"/>
        <v>0</v>
      </c>
      <c r="AM53" s="16">
        <f t="shared" si="13"/>
        <v>1</v>
      </c>
      <c r="AN53" s="9">
        <f t="shared" si="14"/>
        <v>9.2125264583003991E-2</v>
      </c>
      <c r="AO53" s="9">
        <f t="shared" si="15"/>
        <v>9.8662431120855477E-3</v>
      </c>
      <c r="AP53" s="9">
        <f t="shared" si="16"/>
        <v>0</v>
      </c>
      <c r="AQ53" s="9">
        <f>Keys!$C$6/AM53</f>
        <v>1</v>
      </c>
      <c r="AR53" s="9">
        <f>Keys!$C$7/AM53</f>
        <v>6.7382959534800002E-2</v>
      </c>
      <c r="AS53" s="9">
        <f>Keys!$C$8/AM53</f>
        <v>1.00970167475E-4</v>
      </c>
      <c r="AT53" s="9">
        <f>Keys!$C$9/AM53</f>
        <v>0</v>
      </c>
      <c r="AU53" s="11">
        <f>AN53*EXP($G53*INDEX(Costs_BAU!$C$5:$C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1.8645932276019496E-2</v>
      </c>
      <c r="AV53" s="11">
        <f>AO53*EXP($G53*INDEX(Costs_BAU!$G$5:$G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7.670562383505713E-3</v>
      </c>
      <c r="AW53" s="11">
        <f>AP53*EXP($G53*INDEX(Costs_BAU!$I$5:$I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0</v>
      </c>
      <c r="AX53" s="11">
        <f t="shared" si="17"/>
        <v>2.6316494659525208E-2</v>
      </c>
      <c r="AY53" s="17">
        <f t="shared" si="18"/>
        <v>0.37164946595252057</v>
      </c>
    </row>
    <row r="55" spans="1:51" x14ac:dyDescent="0.25">
      <c r="B55" s="3" t="s">
        <v>285</v>
      </c>
      <c r="C55" s="11">
        <f>AVERAGE(C6:C53)</f>
        <v>5.7845833333333312E-2</v>
      </c>
      <c r="D55" s="11">
        <f>AVERAGE(D6:D53)</f>
        <v>1.5439583333333331E-2</v>
      </c>
      <c r="E55" s="11">
        <f>AVERAGE(E6:E53)</f>
        <v>4.1666666666666669E-6</v>
      </c>
    </row>
    <row r="56" spans="1:51" x14ac:dyDescent="0.25">
      <c r="B56" s="3" t="s">
        <v>286</v>
      </c>
      <c r="C56" s="11">
        <f>INDEX(Alliance_2025!$H$5:$H$56,MATCH(Keys!$C$13,Alliance_2025!$A$5:$A$56,0))</f>
        <v>7.8700000000000006E-2</v>
      </c>
      <c r="D56" s="11">
        <f>INDEX(Alliance_2025!$G$5:$G$56,MATCH(Keys!$C$13,Alliance_2025!$A$5:$A$56,0))</f>
        <v>1.72E-2</v>
      </c>
      <c r="E56" s="11">
        <f>INDEX(Alliance_2025!$I$5:$I$56,MATCH(Keys!$C$13,Alliance_2025!$A$5:$A$56,0))</f>
        <v>0</v>
      </c>
    </row>
    <row r="58" spans="1:51" x14ac:dyDescent="0.25">
      <c r="B58" s="3" t="s">
        <v>287</v>
      </c>
    </row>
    <row r="59" spans="1:51" x14ac:dyDescent="0.25">
      <c r="B59" s="3" t="s">
        <v>288</v>
      </c>
      <c r="AY59" s="17" t="e">
        <f>MAX(ABS(AY6:AY53))</f>
        <v>#VALUE!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291"/>
  <sheetViews>
    <sheetView workbookViewId="0">
      <pane xSplit="2" ySplit="3" topLeftCell="C4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2" customWidth="1"/>
    <col min="3" max="9" width="15" customWidth="1"/>
  </cols>
  <sheetData>
    <row r="1" spans="1:9" ht="17.25" x14ac:dyDescent="0.3">
      <c r="A1" s="5" t="s">
        <v>289</v>
      </c>
    </row>
    <row r="3" spans="1:9" x14ac:dyDescent="0.25">
      <c r="A3" s="4" t="s">
        <v>3</v>
      </c>
      <c r="B3" s="4" t="s">
        <v>290</v>
      </c>
      <c r="C3" s="4" t="s">
        <v>177</v>
      </c>
      <c r="D3" s="4" t="s">
        <v>291</v>
      </c>
      <c r="E3" s="4" t="s">
        <v>292</v>
      </c>
      <c r="F3" s="4" t="s">
        <v>293</v>
      </c>
      <c r="G3" s="4" t="s">
        <v>180</v>
      </c>
      <c r="H3" s="4" t="s">
        <v>294</v>
      </c>
      <c r="I3" s="4" t="s">
        <v>182</v>
      </c>
    </row>
    <row r="4" spans="1:9" x14ac:dyDescent="0.25">
      <c r="A4" t="s">
        <v>5</v>
      </c>
      <c r="B4" t="s">
        <v>295</v>
      </c>
      <c r="C4">
        <v>17500</v>
      </c>
      <c r="D4">
        <v>100</v>
      </c>
      <c r="E4">
        <v>5181820</v>
      </c>
      <c r="F4">
        <v>28594</v>
      </c>
      <c r="G4">
        <v>6800</v>
      </c>
      <c r="H4">
        <v>100</v>
      </c>
      <c r="I4">
        <v>0</v>
      </c>
    </row>
    <row r="5" spans="1:9" x14ac:dyDescent="0.25">
      <c r="A5" t="s">
        <v>5</v>
      </c>
      <c r="B5" t="s">
        <v>296</v>
      </c>
      <c r="C5">
        <v>1</v>
      </c>
      <c r="D5">
        <v>401</v>
      </c>
      <c r="E5">
        <v>315</v>
      </c>
      <c r="F5">
        <v>2505</v>
      </c>
      <c r="G5">
        <v>0</v>
      </c>
      <c r="H5">
        <v>147</v>
      </c>
      <c r="I5">
        <v>1</v>
      </c>
    </row>
    <row r="6" spans="1:9" x14ac:dyDescent="0.25">
      <c r="A6" t="s">
        <v>5</v>
      </c>
      <c r="B6" t="s">
        <v>297</v>
      </c>
      <c r="C6">
        <v>0</v>
      </c>
      <c r="D6">
        <v>0</v>
      </c>
      <c r="E6">
        <v>0</v>
      </c>
      <c r="F6">
        <v>24</v>
      </c>
      <c r="G6">
        <v>0</v>
      </c>
      <c r="H6">
        <v>0</v>
      </c>
      <c r="I6">
        <v>0</v>
      </c>
    </row>
    <row r="7" spans="1:9" x14ac:dyDescent="0.25">
      <c r="A7" t="s">
        <v>5</v>
      </c>
      <c r="B7" t="s">
        <v>298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</row>
    <row r="8" spans="1:9" x14ac:dyDescent="0.25">
      <c r="A8" t="s">
        <v>5</v>
      </c>
      <c r="B8" t="s">
        <v>299</v>
      </c>
      <c r="C8">
        <v>0</v>
      </c>
      <c r="D8">
        <v>0</v>
      </c>
      <c r="E8">
        <v>219517</v>
      </c>
      <c r="F8">
        <v>53514</v>
      </c>
      <c r="G8">
        <v>0</v>
      </c>
      <c r="H8">
        <v>0</v>
      </c>
      <c r="I8">
        <v>0</v>
      </c>
    </row>
    <row r="9" spans="1:9" x14ac:dyDescent="0.25">
      <c r="A9" t="s">
        <v>5</v>
      </c>
      <c r="B9" t="s">
        <v>300</v>
      </c>
      <c r="C9">
        <v>0</v>
      </c>
      <c r="D9">
        <v>0</v>
      </c>
      <c r="E9">
        <v>129014</v>
      </c>
      <c r="F9">
        <v>0</v>
      </c>
      <c r="G9">
        <v>0</v>
      </c>
      <c r="H9">
        <v>0</v>
      </c>
      <c r="I9">
        <v>0</v>
      </c>
    </row>
    <row r="10" spans="1:9" x14ac:dyDescent="0.25">
      <c r="A10" t="s">
        <v>7</v>
      </c>
      <c r="B10" t="s">
        <v>295</v>
      </c>
      <c r="C10">
        <v>9500</v>
      </c>
      <c r="D10">
        <v>200</v>
      </c>
      <c r="E10">
        <v>3033560</v>
      </c>
      <c r="F10">
        <v>20015</v>
      </c>
      <c r="G10">
        <v>3800</v>
      </c>
      <c r="H10">
        <v>0</v>
      </c>
      <c r="I10">
        <v>0</v>
      </c>
    </row>
    <row r="11" spans="1:9" x14ac:dyDescent="0.25">
      <c r="A11" t="s">
        <v>7</v>
      </c>
      <c r="B11" t="s">
        <v>296</v>
      </c>
      <c r="C11">
        <v>3</v>
      </c>
      <c r="D11">
        <v>1285</v>
      </c>
      <c r="E11">
        <v>1011</v>
      </c>
      <c r="F11">
        <v>8034</v>
      </c>
      <c r="G11">
        <v>0</v>
      </c>
      <c r="H11">
        <v>471</v>
      </c>
      <c r="I11">
        <v>2</v>
      </c>
    </row>
    <row r="12" spans="1:9" x14ac:dyDescent="0.25">
      <c r="A12" t="s">
        <v>7</v>
      </c>
      <c r="B12" t="s">
        <v>297</v>
      </c>
      <c r="C12">
        <v>0</v>
      </c>
      <c r="D12">
        <v>0</v>
      </c>
      <c r="E12">
        <v>0</v>
      </c>
      <c r="F12">
        <v>24</v>
      </c>
      <c r="G12">
        <v>0</v>
      </c>
      <c r="H12">
        <v>0</v>
      </c>
      <c r="I12">
        <v>0</v>
      </c>
    </row>
    <row r="13" spans="1:9" x14ac:dyDescent="0.25">
      <c r="A13" t="s">
        <v>7</v>
      </c>
      <c r="B13" t="s">
        <v>298</v>
      </c>
      <c r="C13">
        <v>3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9" x14ac:dyDescent="0.25">
      <c r="A14" t="s">
        <v>7</v>
      </c>
      <c r="B14" t="s">
        <v>299</v>
      </c>
      <c r="C14">
        <v>0</v>
      </c>
      <c r="D14">
        <v>0</v>
      </c>
      <c r="E14">
        <v>173865</v>
      </c>
      <c r="F14">
        <v>42385</v>
      </c>
      <c r="G14">
        <v>0</v>
      </c>
      <c r="H14">
        <v>0</v>
      </c>
      <c r="I14">
        <v>0</v>
      </c>
    </row>
    <row r="15" spans="1:9" x14ac:dyDescent="0.25">
      <c r="A15" t="s">
        <v>7</v>
      </c>
      <c r="B15" t="s">
        <v>300</v>
      </c>
      <c r="C15">
        <v>0</v>
      </c>
      <c r="D15">
        <v>0</v>
      </c>
      <c r="E15">
        <v>100497</v>
      </c>
      <c r="F15">
        <v>0</v>
      </c>
      <c r="G15">
        <v>0</v>
      </c>
      <c r="H15">
        <v>0</v>
      </c>
      <c r="I15">
        <v>0</v>
      </c>
    </row>
    <row r="16" spans="1:9" x14ac:dyDescent="0.25">
      <c r="A16" t="s">
        <v>10</v>
      </c>
      <c r="B16" t="s">
        <v>295</v>
      </c>
      <c r="C16">
        <v>111200</v>
      </c>
      <c r="D16">
        <v>500</v>
      </c>
      <c r="E16">
        <v>5865640</v>
      </c>
      <c r="F16">
        <v>42056</v>
      </c>
      <c r="G16">
        <v>29300</v>
      </c>
      <c r="H16">
        <v>700</v>
      </c>
      <c r="I16">
        <v>0</v>
      </c>
    </row>
    <row r="17" spans="1:9" x14ac:dyDescent="0.25">
      <c r="A17" t="s">
        <v>10</v>
      </c>
      <c r="B17" t="s">
        <v>296</v>
      </c>
      <c r="C17">
        <v>6</v>
      </c>
      <c r="D17">
        <v>2689</v>
      </c>
      <c r="E17">
        <v>2117</v>
      </c>
      <c r="F17">
        <v>16816</v>
      </c>
      <c r="G17">
        <v>0</v>
      </c>
      <c r="H17">
        <v>985</v>
      </c>
      <c r="I17">
        <v>4</v>
      </c>
    </row>
    <row r="18" spans="1:9" x14ac:dyDescent="0.25">
      <c r="A18" t="s">
        <v>10</v>
      </c>
      <c r="B18" t="s">
        <v>297</v>
      </c>
      <c r="C18">
        <v>0</v>
      </c>
      <c r="D18">
        <v>0</v>
      </c>
      <c r="E18">
        <v>0</v>
      </c>
      <c r="F18">
        <v>194</v>
      </c>
      <c r="G18">
        <v>0</v>
      </c>
      <c r="H18">
        <v>0</v>
      </c>
      <c r="I18">
        <v>0</v>
      </c>
    </row>
    <row r="19" spans="1:9" x14ac:dyDescent="0.25">
      <c r="A19" t="s">
        <v>10</v>
      </c>
      <c r="B19" t="s">
        <v>298</v>
      </c>
      <c r="C19">
        <v>21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25">
      <c r="A20" t="s">
        <v>10</v>
      </c>
      <c r="B20" t="s">
        <v>299</v>
      </c>
      <c r="C20">
        <v>0</v>
      </c>
      <c r="D20">
        <v>0</v>
      </c>
      <c r="E20">
        <v>116540</v>
      </c>
      <c r="F20">
        <v>28410</v>
      </c>
      <c r="G20">
        <v>0</v>
      </c>
      <c r="H20">
        <v>0</v>
      </c>
      <c r="I20">
        <v>0</v>
      </c>
    </row>
    <row r="21" spans="1:9" x14ac:dyDescent="0.25">
      <c r="A21" t="s">
        <v>10</v>
      </c>
      <c r="B21" t="s">
        <v>300</v>
      </c>
      <c r="C21">
        <v>0</v>
      </c>
      <c r="D21">
        <v>0</v>
      </c>
      <c r="E21">
        <v>292014</v>
      </c>
      <c r="F21">
        <v>0</v>
      </c>
      <c r="G21">
        <v>0</v>
      </c>
      <c r="H21">
        <v>0</v>
      </c>
      <c r="I21">
        <v>0</v>
      </c>
    </row>
    <row r="22" spans="1:9" x14ac:dyDescent="0.25">
      <c r="A22" t="s">
        <v>13</v>
      </c>
      <c r="B22" t="s">
        <v>295</v>
      </c>
      <c r="C22">
        <v>1533900</v>
      </c>
      <c r="D22">
        <v>10000</v>
      </c>
      <c r="E22">
        <v>26563800</v>
      </c>
      <c r="F22">
        <v>145284</v>
      </c>
      <c r="G22">
        <v>447100</v>
      </c>
      <c r="H22">
        <v>1500</v>
      </c>
      <c r="I22">
        <v>16900</v>
      </c>
    </row>
    <row r="23" spans="1:9" x14ac:dyDescent="0.25">
      <c r="A23" t="s">
        <v>13</v>
      </c>
      <c r="B23" t="s">
        <v>296</v>
      </c>
      <c r="C23">
        <v>27</v>
      </c>
      <c r="D23">
        <v>11443</v>
      </c>
      <c r="E23">
        <v>9005</v>
      </c>
      <c r="F23">
        <v>71547</v>
      </c>
      <c r="G23">
        <v>0</v>
      </c>
      <c r="H23">
        <v>4192</v>
      </c>
      <c r="I23">
        <v>16</v>
      </c>
    </row>
    <row r="24" spans="1:9" x14ac:dyDescent="0.25">
      <c r="A24" t="s">
        <v>13</v>
      </c>
      <c r="B24" t="s">
        <v>297</v>
      </c>
      <c r="C24">
        <v>0</v>
      </c>
      <c r="D24">
        <v>0</v>
      </c>
      <c r="E24">
        <v>0</v>
      </c>
      <c r="F24">
        <v>903</v>
      </c>
      <c r="G24">
        <v>0</v>
      </c>
      <c r="H24">
        <v>0</v>
      </c>
      <c r="I24">
        <v>0</v>
      </c>
    </row>
    <row r="25" spans="1:9" x14ac:dyDescent="0.25">
      <c r="A25" t="s">
        <v>13</v>
      </c>
      <c r="B25" t="s">
        <v>298</v>
      </c>
      <c r="C25">
        <v>403</v>
      </c>
      <c r="D25">
        <v>0</v>
      </c>
      <c r="E25">
        <v>0</v>
      </c>
      <c r="F25">
        <v>22</v>
      </c>
      <c r="G25">
        <v>0</v>
      </c>
      <c r="H25">
        <v>0</v>
      </c>
      <c r="I25">
        <v>0</v>
      </c>
    </row>
    <row r="26" spans="1:9" x14ac:dyDescent="0.25">
      <c r="A26" t="s">
        <v>13</v>
      </c>
      <c r="B26" t="s">
        <v>299</v>
      </c>
      <c r="C26">
        <v>0</v>
      </c>
      <c r="D26">
        <v>0</v>
      </c>
      <c r="E26">
        <v>705128</v>
      </c>
      <c r="F26">
        <v>171896</v>
      </c>
      <c r="G26">
        <v>0</v>
      </c>
      <c r="H26">
        <v>0</v>
      </c>
      <c r="I26">
        <v>0</v>
      </c>
    </row>
    <row r="27" spans="1:9" x14ac:dyDescent="0.25">
      <c r="A27" t="s">
        <v>13</v>
      </c>
      <c r="B27" t="s">
        <v>300</v>
      </c>
      <c r="C27">
        <v>0</v>
      </c>
      <c r="D27">
        <v>0</v>
      </c>
      <c r="E27">
        <v>751138</v>
      </c>
      <c r="F27">
        <v>0</v>
      </c>
      <c r="G27">
        <v>0</v>
      </c>
      <c r="H27">
        <v>0</v>
      </c>
      <c r="I27">
        <v>0</v>
      </c>
    </row>
    <row r="28" spans="1:9" x14ac:dyDescent="0.25">
      <c r="A28" t="s">
        <v>15</v>
      </c>
      <c r="B28" t="s">
        <v>295</v>
      </c>
      <c r="C28">
        <v>127000</v>
      </c>
      <c r="D28">
        <v>300</v>
      </c>
      <c r="E28">
        <v>4569860</v>
      </c>
      <c r="F28">
        <v>41915</v>
      </c>
      <c r="G28">
        <v>48700</v>
      </c>
      <c r="H28">
        <v>100</v>
      </c>
      <c r="I28">
        <v>0</v>
      </c>
    </row>
    <row r="29" spans="1:9" x14ac:dyDescent="0.25">
      <c r="A29" t="s">
        <v>15</v>
      </c>
      <c r="B29" t="s">
        <v>296</v>
      </c>
      <c r="C29">
        <v>4</v>
      </c>
      <c r="D29">
        <v>1499</v>
      </c>
      <c r="E29">
        <v>1179</v>
      </c>
      <c r="F29">
        <v>9370</v>
      </c>
      <c r="G29">
        <v>0</v>
      </c>
      <c r="H29">
        <v>549</v>
      </c>
      <c r="I29">
        <v>2</v>
      </c>
    </row>
    <row r="30" spans="1:9" x14ac:dyDescent="0.25">
      <c r="A30" t="s">
        <v>15</v>
      </c>
      <c r="B30" t="s">
        <v>297</v>
      </c>
      <c r="C30">
        <v>0</v>
      </c>
      <c r="D30">
        <v>0</v>
      </c>
      <c r="E30">
        <v>0</v>
      </c>
      <c r="F30">
        <v>267</v>
      </c>
      <c r="G30">
        <v>0</v>
      </c>
      <c r="H30">
        <v>0</v>
      </c>
      <c r="I30">
        <v>0</v>
      </c>
    </row>
    <row r="31" spans="1:9" x14ac:dyDescent="0.25">
      <c r="A31" t="s">
        <v>15</v>
      </c>
      <c r="B31" t="s">
        <v>298</v>
      </c>
      <c r="C31">
        <v>64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</row>
    <row r="32" spans="1:9" x14ac:dyDescent="0.25">
      <c r="A32" t="s">
        <v>15</v>
      </c>
      <c r="B32" t="s">
        <v>299</v>
      </c>
      <c r="C32">
        <v>0</v>
      </c>
      <c r="D32">
        <v>0</v>
      </c>
      <c r="E32">
        <v>73033</v>
      </c>
      <c r="F32">
        <v>17804</v>
      </c>
      <c r="G32">
        <v>0</v>
      </c>
      <c r="H32">
        <v>0</v>
      </c>
      <c r="I32">
        <v>0</v>
      </c>
    </row>
    <row r="33" spans="1:9" x14ac:dyDescent="0.25">
      <c r="A33" t="s">
        <v>15</v>
      </c>
      <c r="B33" t="s">
        <v>300</v>
      </c>
      <c r="C33">
        <v>0</v>
      </c>
      <c r="D33">
        <v>0</v>
      </c>
      <c r="E33">
        <v>176484</v>
      </c>
      <c r="F33">
        <v>0</v>
      </c>
      <c r="G33">
        <v>0</v>
      </c>
      <c r="H33">
        <v>0</v>
      </c>
      <c r="I33">
        <v>0</v>
      </c>
    </row>
    <row r="34" spans="1:9" x14ac:dyDescent="0.25">
      <c r="A34" t="s">
        <v>18</v>
      </c>
      <c r="B34" t="s">
        <v>295</v>
      </c>
      <c r="C34">
        <v>39400</v>
      </c>
      <c r="D34">
        <v>100</v>
      </c>
      <c r="E34">
        <v>2511880</v>
      </c>
      <c r="F34">
        <v>8027</v>
      </c>
      <c r="G34">
        <v>22500</v>
      </c>
      <c r="H34">
        <v>0</v>
      </c>
      <c r="I34">
        <v>0</v>
      </c>
    </row>
    <row r="35" spans="1:9" x14ac:dyDescent="0.25">
      <c r="A35" t="s">
        <v>18</v>
      </c>
      <c r="B35" t="s">
        <v>296</v>
      </c>
      <c r="C35">
        <v>3</v>
      </c>
      <c r="D35">
        <v>1176</v>
      </c>
      <c r="E35">
        <v>925</v>
      </c>
      <c r="F35">
        <v>7352</v>
      </c>
      <c r="G35">
        <v>0</v>
      </c>
      <c r="H35">
        <v>431</v>
      </c>
      <c r="I35">
        <v>2</v>
      </c>
    </row>
    <row r="36" spans="1:9" x14ac:dyDescent="0.25">
      <c r="A36" t="s">
        <v>18</v>
      </c>
      <c r="B36" t="s">
        <v>297</v>
      </c>
      <c r="C36">
        <v>0</v>
      </c>
      <c r="D36">
        <v>0</v>
      </c>
      <c r="E36">
        <v>0</v>
      </c>
      <c r="F36">
        <v>25</v>
      </c>
      <c r="G36">
        <v>0</v>
      </c>
      <c r="H36">
        <v>0</v>
      </c>
      <c r="I36">
        <v>0</v>
      </c>
    </row>
    <row r="37" spans="1:9" x14ac:dyDescent="0.25">
      <c r="A37" t="s">
        <v>18</v>
      </c>
      <c r="B37" t="s">
        <v>298</v>
      </c>
      <c r="C37">
        <v>0</v>
      </c>
      <c r="D37">
        <v>0</v>
      </c>
      <c r="E37">
        <v>0</v>
      </c>
      <c r="F37">
        <v>4</v>
      </c>
      <c r="G37">
        <v>0</v>
      </c>
      <c r="H37">
        <v>0</v>
      </c>
      <c r="I37">
        <v>0</v>
      </c>
    </row>
    <row r="38" spans="1:9" x14ac:dyDescent="0.25">
      <c r="A38" t="s">
        <v>18</v>
      </c>
      <c r="B38" t="s">
        <v>299</v>
      </c>
      <c r="C38">
        <v>0</v>
      </c>
      <c r="D38">
        <v>0</v>
      </c>
      <c r="E38">
        <v>94125</v>
      </c>
      <c r="F38">
        <v>22946</v>
      </c>
      <c r="G38">
        <v>0</v>
      </c>
      <c r="H38">
        <v>0</v>
      </c>
      <c r="I38">
        <v>0</v>
      </c>
    </row>
    <row r="39" spans="1:9" x14ac:dyDescent="0.25">
      <c r="A39" t="s">
        <v>18</v>
      </c>
      <c r="B39" t="s">
        <v>300</v>
      </c>
      <c r="C39">
        <v>0</v>
      </c>
      <c r="D39">
        <v>0</v>
      </c>
      <c r="E39">
        <v>81996</v>
      </c>
      <c r="F39">
        <v>0</v>
      </c>
      <c r="G39">
        <v>0</v>
      </c>
      <c r="H39">
        <v>0</v>
      </c>
      <c r="I39">
        <v>0</v>
      </c>
    </row>
    <row r="40" spans="1:9" x14ac:dyDescent="0.25">
      <c r="A40" t="s">
        <v>20</v>
      </c>
      <c r="B40" t="s">
        <v>295</v>
      </c>
      <c r="C40">
        <v>11100</v>
      </c>
      <c r="D40">
        <v>0</v>
      </c>
      <c r="E40">
        <v>853623</v>
      </c>
      <c r="F40">
        <v>2967</v>
      </c>
      <c r="G40">
        <v>4600</v>
      </c>
      <c r="H40">
        <v>0</v>
      </c>
      <c r="I40">
        <v>0</v>
      </c>
    </row>
    <row r="41" spans="1:9" x14ac:dyDescent="0.25">
      <c r="A41" t="s">
        <v>20</v>
      </c>
      <c r="B41" t="s">
        <v>296</v>
      </c>
      <c r="C41">
        <v>1</v>
      </c>
      <c r="D41">
        <v>414</v>
      </c>
      <c r="E41">
        <v>326</v>
      </c>
      <c r="F41">
        <v>2590</v>
      </c>
      <c r="G41">
        <v>0</v>
      </c>
      <c r="H41">
        <v>152</v>
      </c>
      <c r="I41">
        <v>1</v>
      </c>
    </row>
    <row r="42" spans="1:9" x14ac:dyDescent="0.25">
      <c r="A42" t="s">
        <v>20</v>
      </c>
      <c r="B42" t="s">
        <v>297</v>
      </c>
      <c r="C42">
        <v>0</v>
      </c>
      <c r="D42">
        <v>0</v>
      </c>
      <c r="E42">
        <v>0</v>
      </c>
      <c r="F42">
        <v>24</v>
      </c>
      <c r="G42">
        <v>0</v>
      </c>
      <c r="H42">
        <v>0</v>
      </c>
      <c r="I42">
        <v>0</v>
      </c>
    </row>
    <row r="43" spans="1:9" x14ac:dyDescent="0.25">
      <c r="A43" t="s">
        <v>20</v>
      </c>
      <c r="B43" t="s">
        <v>298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</row>
    <row r="44" spans="1:9" x14ac:dyDescent="0.25">
      <c r="A44" t="s">
        <v>20</v>
      </c>
      <c r="B44" t="s">
        <v>299</v>
      </c>
      <c r="C44">
        <v>0</v>
      </c>
      <c r="D44">
        <v>0</v>
      </c>
      <c r="E44">
        <v>52881</v>
      </c>
      <c r="F44">
        <v>12891</v>
      </c>
      <c r="G44">
        <v>0</v>
      </c>
      <c r="H44">
        <v>0</v>
      </c>
      <c r="I44">
        <v>0</v>
      </c>
    </row>
    <row r="45" spans="1:9" x14ac:dyDescent="0.25">
      <c r="A45" t="s">
        <v>20</v>
      </c>
      <c r="B45" t="s">
        <v>300</v>
      </c>
      <c r="C45">
        <v>0</v>
      </c>
      <c r="D45">
        <v>0</v>
      </c>
      <c r="E45">
        <v>24694</v>
      </c>
      <c r="F45">
        <v>0</v>
      </c>
      <c r="G45">
        <v>0</v>
      </c>
      <c r="H45">
        <v>0</v>
      </c>
      <c r="I45">
        <v>0</v>
      </c>
    </row>
    <row r="46" spans="1:9" x14ac:dyDescent="0.25">
      <c r="A46" t="s">
        <v>23</v>
      </c>
      <c r="B46" t="s">
        <v>295</v>
      </c>
      <c r="C46">
        <v>334800</v>
      </c>
      <c r="D46">
        <v>400</v>
      </c>
      <c r="E46">
        <v>17568400</v>
      </c>
      <c r="F46">
        <v>82703</v>
      </c>
      <c r="G46">
        <v>70400</v>
      </c>
      <c r="H46">
        <v>100</v>
      </c>
      <c r="I46">
        <v>0</v>
      </c>
    </row>
    <row r="47" spans="1:9" x14ac:dyDescent="0.25">
      <c r="A47" t="s">
        <v>23</v>
      </c>
      <c r="B47" t="s">
        <v>296</v>
      </c>
      <c r="C47">
        <v>16</v>
      </c>
      <c r="D47">
        <v>6834</v>
      </c>
      <c r="E47">
        <v>5378</v>
      </c>
      <c r="F47">
        <v>42728</v>
      </c>
      <c r="G47">
        <v>0</v>
      </c>
      <c r="H47">
        <v>2503</v>
      </c>
      <c r="I47">
        <v>9</v>
      </c>
    </row>
    <row r="48" spans="1:9" x14ac:dyDescent="0.25">
      <c r="A48" t="s">
        <v>23</v>
      </c>
      <c r="B48" t="s">
        <v>297</v>
      </c>
      <c r="C48">
        <v>0</v>
      </c>
      <c r="D48">
        <v>0</v>
      </c>
      <c r="E48">
        <v>0</v>
      </c>
      <c r="F48">
        <v>717</v>
      </c>
      <c r="G48">
        <v>0</v>
      </c>
      <c r="H48">
        <v>0</v>
      </c>
      <c r="I48">
        <v>0</v>
      </c>
    </row>
    <row r="49" spans="1:9" x14ac:dyDescent="0.25">
      <c r="A49" t="s">
        <v>23</v>
      </c>
      <c r="B49" t="s">
        <v>298</v>
      </c>
      <c r="C49">
        <v>26</v>
      </c>
      <c r="D49">
        <v>0</v>
      </c>
      <c r="E49">
        <v>0</v>
      </c>
      <c r="F49">
        <v>9</v>
      </c>
      <c r="G49">
        <v>0</v>
      </c>
      <c r="H49">
        <v>0</v>
      </c>
      <c r="I49">
        <v>0</v>
      </c>
    </row>
    <row r="50" spans="1:9" x14ac:dyDescent="0.25">
      <c r="A50" t="s">
        <v>23</v>
      </c>
      <c r="B50" t="s">
        <v>299</v>
      </c>
      <c r="C50">
        <v>0</v>
      </c>
      <c r="D50">
        <v>0</v>
      </c>
      <c r="E50">
        <v>763430</v>
      </c>
      <c r="F50">
        <v>186109</v>
      </c>
      <c r="G50">
        <v>0</v>
      </c>
      <c r="H50">
        <v>0</v>
      </c>
      <c r="I50">
        <v>0</v>
      </c>
    </row>
    <row r="51" spans="1:9" x14ac:dyDescent="0.25">
      <c r="A51" t="s">
        <v>23</v>
      </c>
      <c r="B51" t="s">
        <v>300</v>
      </c>
      <c r="C51">
        <v>0</v>
      </c>
      <c r="D51">
        <v>0</v>
      </c>
      <c r="E51">
        <v>634364</v>
      </c>
      <c r="F51">
        <v>0</v>
      </c>
      <c r="G51">
        <v>0</v>
      </c>
      <c r="H51">
        <v>0</v>
      </c>
      <c r="I51">
        <v>0</v>
      </c>
    </row>
    <row r="52" spans="1:9" x14ac:dyDescent="0.25">
      <c r="A52" t="s">
        <v>26</v>
      </c>
      <c r="B52" t="s">
        <v>295</v>
      </c>
      <c r="C52">
        <v>120000</v>
      </c>
      <c r="D52">
        <v>300</v>
      </c>
      <c r="E52">
        <v>8385380</v>
      </c>
      <c r="F52">
        <v>47128</v>
      </c>
      <c r="G52">
        <v>26400</v>
      </c>
      <c r="H52">
        <v>200</v>
      </c>
      <c r="I52">
        <v>0</v>
      </c>
    </row>
    <row r="53" spans="1:9" x14ac:dyDescent="0.25">
      <c r="A53" t="s">
        <v>26</v>
      </c>
      <c r="B53" t="s">
        <v>296</v>
      </c>
      <c r="C53">
        <v>11</v>
      </c>
      <c r="D53">
        <v>4683</v>
      </c>
      <c r="E53">
        <v>3685</v>
      </c>
      <c r="F53">
        <v>29280</v>
      </c>
      <c r="G53">
        <v>0</v>
      </c>
      <c r="H53">
        <v>1716</v>
      </c>
      <c r="I53">
        <v>6</v>
      </c>
    </row>
    <row r="54" spans="1:9" x14ac:dyDescent="0.25">
      <c r="A54" t="s">
        <v>26</v>
      </c>
      <c r="B54" t="s">
        <v>297</v>
      </c>
      <c r="C54">
        <v>0</v>
      </c>
      <c r="D54">
        <v>0</v>
      </c>
      <c r="E54">
        <v>0</v>
      </c>
      <c r="F54">
        <v>415</v>
      </c>
      <c r="G54">
        <v>0</v>
      </c>
      <c r="H54">
        <v>0</v>
      </c>
      <c r="I54">
        <v>0</v>
      </c>
    </row>
    <row r="55" spans="1:9" x14ac:dyDescent="0.25">
      <c r="A55" t="s">
        <v>26</v>
      </c>
      <c r="B55" t="s">
        <v>298</v>
      </c>
      <c r="C55">
        <v>37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</row>
    <row r="56" spans="1:9" x14ac:dyDescent="0.25">
      <c r="A56" t="s">
        <v>26</v>
      </c>
      <c r="B56" t="s">
        <v>299</v>
      </c>
      <c r="C56">
        <v>0</v>
      </c>
      <c r="D56">
        <v>0</v>
      </c>
      <c r="E56">
        <v>283765</v>
      </c>
      <c r="F56">
        <v>69176</v>
      </c>
      <c r="G56">
        <v>0</v>
      </c>
      <c r="H56">
        <v>0</v>
      </c>
      <c r="I56">
        <v>0</v>
      </c>
    </row>
    <row r="57" spans="1:9" x14ac:dyDescent="0.25">
      <c r="A57" t="s">
        <v>26</v>
      </c>
      <c r="B57" t="s">
        <v>300</v>
      </c>
      <c r="C57">
        <v>0</v>
      </c>
      <c r="D57">
        <v>0</v>
      </c>
      <c r="E57">
        <v>221294</v>
      </c>
      <c r="F57">
        <v>0</v>
      </c>
      <c r="G57">
        <v>0</v>
      </c>
      <c r="H57">
        <v>0</v>
      </c>
      <c r="I57">
        <v>0</v>
      </c>
    </row>
    <row r="58" spans="1:9" x14ac:dyDescent="0.25">
      <c r="A58" t="s">
        <v>29</v>
      </c>
      <c r="B58" t="s">
        <v>295</v>
      </c>
      <c r="C58">
        <v>11700</v>
      </c>
      <c r="D58">
        <v>100</v>
      </c>
      <c r="E58">
        <v>3399320</v>
      </c>
      <c r="F58">
        <v>23219</v>
      </c>
      <c r="G58">
        <v>7300</v>
      </c>
      <c r="H58">
        <v>0</v>
      </c>
      <c r="I58">
        <v>0</v>
      </c>
    </row>
    <row r="59" spans="1:9" x14ac:dyDescent="0.25">
      <c r="A59" t="s">
        <v>29</v>
      </c>
      <c r="B59" t="s">
        <v>296</v>
      </c>
      <c r="C59">
        <v>3</v>
      </c>
      <c r="D59">
        <v>1090</v>
      </c>
      <c r="E59">
        <v>858</v>
      </c>
      <c r="F59">
        <v>6816</v>
      </c>
      <c r="G59">
        <v>0</v>
      </c>
      <c r="H59">
        <v>399</v>
      </c>
      <c r="I59">
        <v>1</v>
      </c>
    </row>
    <row r="60" spans="1:9" x14ac:dyDescent="0.25">
      <c r="A60" t="s">
        <v>29</v>
      </c>
      <c r="B60" t="s">
        <v>297</v>
      </c>
      <c r="C60">
        <v>0</v>
      </c>
      <c r="D60">
        <v>0</v>
      </c>
      <c r="E60">
        <v>0</v>
      </c>
      <c r="F60">
        <v>24</v>
      </c>
      <c r="G60">
        <v>0</v>
      </c>
      <c r="H60">
        <v>0</v>
      </c>
      <c r="I60">
        <v>0</v>
      </c>
    </row>
    <row r="61" spans="1:9" x14ac:dyDescent="0.25">
      <c r="A61" t="s">
        <v>29</v>
      </c>
      <c r="B61" t="s">
        <v>298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</row>
    <row r="62" spans="1:9" x14ac:dyDescent="0.25">
      <c r="A62" t="s">
        <v>29</v>
      </c>
      <c r="B62" t="s">
        <v>299</v>
      </c>
      <c r="C62">
        <v>0</v>
      </c>
      <c r="D62">
        <v>0</v>
      </c>
      <c r="E62">
        <v>152356</v>
      </c>
      <c r="F62">
        <v>37141</v>
      </c>
      <c r="G62">
        <v>0</v>
      </c>
      <c r="H62">
        <v>0</v>
      </c>
      <c r="I62">
        <v>0</v>
      </c>
    </row>
    <row r="63" spans="1:9" x14ac:dyDescent="0.25">
      <c r="A63" t="s">
        <v>29</v>
      </c>
      <c r="B63" t="s">
        <v>300</v>
      </c>
      <c r="C63">
        <v>0</v>
      </c>
      <c r="D63">
        <v>0</v>
      </c>
      <c r="E63">
        <v>193164</v>
      </c>
      <c r="F63">
        <v>0</v>
      </c>
      <c r="G63">
        <v>0</v>
      </c>
      <c r="H63">
        <v>0</v>
      </c>
      <c r="I63">
        <v>0</v>
      </c>
    </row>
    <row r="64" spans="1:9" x14ac:dyDescent="0.25">
      <c r="A64" t="s">
        <v>32</v>
      </c>
      <c r="B64" t="s">
        <v>295</v>
      </c>
      <c r="C64">
        <v>11000</v>
      </c>
      <c r="D64">
        <v>100</v>
      </c>
      <c r="E64">
        <v>1788860</v>
      </c>
      <c r="F64">
        <v>29687</v>
      </c>
      <c r="G64">
        <v>5600</v>
      </c>
      <c r="H64">
        <v>100</v>
      </c>
      <c r="I64">
        <v>0</v>
      </c>
    </row>
    <row r="65" spans="1:9" x14ac:dyDescent="0.25">
      <c r="A65" t="s">
        <v>32</v>
      </c>
      <c r="B65" t="s">
        <v>296</v>
      </c>
      <c r="C65">
        <v>1</v>
      </c>
      <c r="D65">
        <v>485</v>
      </c>
      <c r="E65">
        <v>382</v>
      </c>
      <c r="F65">
        <v>3035</v>
      </c>
      <c r="G65">
        <v>0</v>
      </c>
      <c r="H65">
        <v>178</v>
      </c>
      <c r="I65">
        <v>1</v>
      </c>
    </row>
    <row r="66" spans="1:9" x14ac:dyDescent="0.25">
      <c r="A66" t="s">
        <v>32</v>
      </c>
      <c r="B66" t="s">
        <v>297</v>
      </c>
      <c r="C66">
        <v>0</v>
      </c>
      <c r="D66">
        <v>0</v>
      </c>
      <c r="E66">
        <v>0</v>
      </c>
      <c r="F66">
        <v>24</v>
      </c>
      <c r="G66">
        <v>0</v>
      </c>
      <c r="H66">
        <v>0</v>
      </c>
      <c r="I66">
        <v>0</v>
      </c>
    </row>
    <row r="67" spans="1:9" x14ac:dyDescent="0.25">
      <c r="A67" t="s">
        <v>32</v>
      </c>
      <c r="B67" t="s">
        <v>298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</row>
    <row r="68" spans="1:9" x14ac:dyDescent="0.25">
      <c r="A68" t="s">
        <v>32</v>
      </c>
      <c r="B68" t="s">
        <v>299</v>
      </c>
      <c r="C68">
        <v>0</v>
      </c>
      <c r="D68">
        <v>0</v>
      </c>
      <c r="E68">
        <v>76853</v>
      </c>
      <c r="F68">
        <v>18735</v>
      </c>
      <c r="G68">
        <v>0</v>
      </c>
      <c r="H68">
        <v>0</v>
      </c>
      <c r="I68">
        <v>0</v>
      </c>
    </row>
    <row r="69" spans="1:9" x14ac:dyDescent="0.25">
      <c r="A69" t="s">
        <v>32</v>
      </c>
      <c r="B69" t="s">
        <v>300</v>
      </c>
      <c r="C69">
        <v>0</v>
      </c>
      <c r="D69">
        <v>0</v>
      </c>
      <c r="E69">
        <v>74915</v>
      </c>
      <c r="F69">
        <v>0</v>
      </c>
      <c r="G69">
        <v>0</v>
      </c>
      <c r="H69">
        <v>0</v>
      </c>
      <c r="I69">
        <v>0</v>
      </c>
    </row>
    <row r="70" spans="1:9" x14ac:dyDescent="0.25">
      <c r="A70" t="s">
        <v>35</v>
      </c>
      <c r="B70" t="s">
        <v>295</v>
      </c>
      <c r="C70">
        <v>125500</v>
      </c>
      <c r="D70">
        <v>300</v>
      </c>
      <c r="E70">
        <v>9498880</v>
      </c>
      <c r="F70">
        <v>36052</v>
      </c>
      <c r="G70">
        <v>40400</v>
      </c>
      <c r="H70">
        <v>0</v>
      </c>
      <c r="I70">
        <v>0</v>
      </c>
    </row>
    <row r="71" spans="1:9" x14ac:dyDescent="0.25">
      <c r="A71" t="s">
        <v>35</v>
      </c>
      <c r="B71" t="s">
        <v>296</v>
      </c>
      <c r="C71">
        <v>11</v>
      </c>
      <c r="D71">
        <v>4659</v>
      </c>
      <c r="E71">
        <v>3667</v>
      </c>
      <c r="F71">
        <v>29133</v>
      </c>
      <c r="G71">
        <v>0</v>
      </c>
      <c r="H71">
        <v>1707</v>
      </c>
      <c r="I71">
        <v>6</v>
      </c>
    </row>
    <row r="72" spans="1:9" x14ac:dyDescent="0.25">
      <c r="A72" t="s">
        <v>35</v>
      </c>
      <c r="B72" t="s">
        <v>297</v>
      </c>
      <c r="C72">
        <v>0</v>
      </c>
      <c r="D72">
        <v>0</v>
      </c>
      <c r="E72">
        <v>0</v>
      </c>
      <c r="F72">
        <v>392</v>
      </c>
      <c r="G72">
        <v>0</v>
      </c>
      <c r="H72">
        <v>0</v>
      </c>
      <c r="I72">
        <v>0</v>
      </c>
    </row>
    <row r="73" spans="1:9" x14ac:dyDescent="0.25">
      <c r="A73" t="s">
        <v>35</v>
      </c>
      <c r="B73" t="s">
        <v>298</v>
      </c>
      <c r="C73">
        <v>250</v>
      </c>
      <c r="D73">
        <v>0</v>
      </c>
      <c r="E73">
        <v>0</v>
      </c>
      <c r="F73">
        <v>17</v>
      </c>
      <c r="G73">
        <v>0</v>
      </c>
      <c r="H73">
        <v>0</v>
      </c>
      <c r="I73">
        <v>0</v>
      </c>
    </row>
    <row r="74" spans="1:9" x14ac:dyDescent="0.25">
      <c r="A74" t="s">
        <v>35</v>
      </c>
      <c r="B74" t="s">
        <v>299</v>
      </c>
      <c r="C74">
        <v>0</v>
      </c>
      <c r="D74">
        <v>0</v>
      </c>
      <c r="E74">
        <v>229941</v>
      </c>
      <c r="F74">
        <v>56055</v>
      </c>
      <c r="G74">
        <v>0</v>
      </c>
      <c r="H74">
        <v>0</v>
      </c>
      <c r="I74">
        <v>0</v>
      </c>
    </row>
    <row r="75" spans="1:9" x14ac:dyDescent="0.25">
      <c r="A75" t="s">
        <v>35</v>
      </c>
      <c r="B75" t="s">
        <v>300</v>
      </c>
      <c r="C75">
        <v>0</v>
      </c>
      <c r="D75">
        <v>0</v>
      </c>
      <c r="E75">
        <v>265273</v>
      </c>
      <c r="F75">
        <v>0</v>
      </c>
      <c r="G75">
        <v>0</v>
      </c>
      <c r="H75">
        <v>0</v>
      </c>
      <c r="I75">
        <v>0</v>
      </c>
    </row>
    <row r="76" spans="1:9" x14ac:dyDescent="0.25">
      <c r="A76" t="s">
        <v>38</v>
      </c>
      <c r="B76" t="s">
        <v>295</v>
      </c>
      <c r="C76">
        <v>34600</v>
      </c>
      <c r="D76">
        <v>300</v>
      </c>
      <c r="E76">
        <v>5454040</v>
      </c>
      <c r="F76">
        <v>33028</v>
      </c>
      <c r="G76">
        <v>15300</v>
      </c>
      <c r="H76">
        <v>0</v>
      </c>
      <c r="I76">
        <v>0</v>
      </c>
    </row>
    <row r="77" spans="1:9" x14ac:dyDescent="0.25">
      <c r="A77" t="s">
        <v>38</v>
      </c>
      <c r="B77" t="s">
        <v>296</v>
      </c>
      <c r="C77">
        <v>9</v>
      </c>
      <c r="D77">
        <v>3848</v>
      </c>
      <c r="E77">
        <v>3028</v>
      </c>
      <c r="F77">
        <v>24060</v>
      </c>
      <c r="G77">
        <v>0</v>
      </c>
      <c r="H77">
        <v>1410</v>
      </c>
      <c r="I77">
        <v>5</v>
      </c>
    </row>
    <row r="78" spans="1:9" x14ac:dyDescent="0.25">
      <c r="A78" t="s">
        <v>38</v>
      </c>
      <c r="B78" t="s">
        <v>297</v>
      </c>
      <c r="C78">
        <v>0</v>
      </c>
      <c r="D78">
        <v>0</v>
      </c>
      <c r="E78">
        <v>0</v>
      </c>
      <c r="F78">
        <v>43</v>
      </c>
      <c r="G78">
        <v>0</v>
      </c>
      <c r="H78">
        <v>0</v>
      </c>
      <c r="I78">
        <v>0</v>
      </c>
    </row>
    <row r="79" spans="1:9" x14ac:dyDescent="0.25">
      <c r="A79" t="s">
        <v>38</v>
      </c>
      <c r="B79" t="s">
        <v>298</v>
      </c>
      <c r="C79">
        <v>15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</row>
    <row r="80" spans="1:9" x14ac:dyDescent="0.25">
      <c r="A80" t="s">
        <v>38</v>
      </c>
      <c r="B80" t="s">
        <v>299</v>
      </c>
      <c r="C80">
        <v>0</v>
      </c>
      <c r="D80">
        <v>0</v>
      </c>
      <c r="E80">
        <v>198079</v>
      </c>
      <c r="F80">
        <v>48288</v>
      </c>
      <c r="G80">
        <v>0</v>
      </c>
      <c r="H80">
        <v>0</v>
      </c>
      <c r="I80">
        <v>0</v>
      </c>
    </row>
    <row r="81" spans="1:9" x14ac:dyDescent="0.25">
      <c r="A81" t="s">
        <v>38</v>
      </c>
      <c r="B81" t="s">
        <v>300</v>
      </c>
      <c r="C81">
        <v>0</v>
      </c>
      <c r="D81">
        <v>0</v>
      </c>
      <c r="E81">
        <v>203871</v>
      </c>
      <c r="F81">
        <v>0</v>
      </c>
      <c r="G81">
        <v>0</v>
      </c>
      <c r="H81">
        <v>0</v>
      </c>
      <c r="I81">
        <v>0</v>
      </c>
    </row>
    <row r="82" spans="1:9" x14ac:dyDescent="0.25">
      <c r="A82" t="s">
        <v>40</v>
      </c>
      <c r="B82" t="s">
        <v>295</v>
      </c>
      <c r="C82">
        <v>14500</v>
      </c>
      <c r="D82">
        <v>200</v>
      </c>
      <c r="E82">
        <v>1766430</v>
      </c>
      <c r="F82">
        <v>18039</v>
      </c>
      <c r="G82">
        <v>6600</v>
      </c>
      <c r="H82">
        <v>100</v>
      </c>
      <c r="I82">
        <v>0</v>
      </c>
    </row>
    <row r="83" spans="1:9" x14ac:dyDescent="0.25">
      <c r="A83" t="s">
        <v>40</v>
      </c>
      <c r="B83" t="s">
        <v>296</v>
      </c>
      <c r="C83">
        <v>0</v>
      </c>
      <c r="D83">
        <v>171</v>
      </c>
      <c r="E83">
        <v>134</v>
      </c>
      <c r="F83">
        <v>1066</v>
      </c>
      <c r="G83">
        <v>0</v>
      </c>
      <c r="H83">
        <v>62</v>
      </c>
      <c r="I83">
        <v>0</v>
      </c>
    </row>
    <row r="84" spans="1:9" x14ac:dyDescent="0.25">
      <c r="A84" t="s">
        <v>40</v>
      </c>
      <c r="B84" t="s">
        <v>297</v>
      </c>
      <c r="C84">
        <v>0</v>
      </c>
      <c r="D84">
        <v>0</v>
      </c>
      <c r="E84">
        <v>0</v>
      </c>
      <c r="F84">
        <v>24</v>
      </c>
      <c r="G84">
        <v>0</v>
      </c>
      <c r="H84">
        <v>0</v>
      </c>
      <c r="I84">
        <v>0</v>
      </c>
    </row>
    <row r="85" spans="1:9" x14ac:dyDescent="0.25">
      <c r="A85" t="s">
        <v>40</v>
      </c>
      <c r="B85" t="s">
        <v>298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</row>
    <row r="86" spans="1:9" x14ac:dyDescent="0.25">
      <c r="A86" t="s">
        <v>40</v>
      </c>
      <c r="B86" t="s">
        <v>299</v>
      </c>
      <c r="C86">
        <v>0</v>
      </c>
      <c r="D86">
        <v>0</v>
      </c>
      <c r="E86">
        <v>74061</v>
      </c>
      <c r="F86">
        <v>18055</v>
      </c>
      <c r="G86">
        <v>0</v>
      </c>
      <c r="H86">
        <v>0</v>
      </c>
      <c r="I86">
        <v>0</v>
      </c>
    </row>
    <row r="87" spans="1:9" x14ac:dyDescent="0.25">
      <c r="A87" t="s">
        <v>40</v>
      </c>
      <c r="B87" t="s">
        <v>300</v>
      </c>
      <c r="C87">
        <v>0</v>
      </c>
      <c r="D87">
        <v>0</v>
      </c>
      <c r="E87">
        <v>94496</v>
      </c>
      <c r="F87">
        <v>0</v>
      </c>
      <c r="G87">
        <v>0</v>
      </c>
      <c r="H87">
        <v>0</v>
      </c>
      <c r="I87">
        <v>0</v>
      </c>
    </row>
    <row r="88" spans="1:9" x14ac:dyDescent="0.25">
      <c r="A88" t="s">
        <v>43</v>
      </c>
      <c r="B88" t="s">
        <v>295</v>
      </c>
      <c r="C88">
        <v>15000</v>
      </c>
      <c r="D88">
        <v>300</v>
      </c>
      <c r="E88">
        <v>4145970</v>
      </c>
      <c r="F88">
        <v>23832</v>
      </c>
      <c r="G88">
        <v>6400</v>
      </c>
      <c r="H88">
        <v>0</v>
      </c>
      <c r="I88">
        <v>0</v>
      </c>
    </row>
    <row r="89" spans="1:9" x14ac:dyDescent="0.25">
      <c r="A89" t="s">
        <v>43</v>
      </c>
      <c r="B89" t="s">
        <v>296</v>
      </c>
      <c r="C89">
        <v>4</v>
      </c>
      <c r="D89">
        <v>1835</v>
      </c>
      <c r="E89">
        <v>1444</v>
      </c>
      <c r="F89">
        <v>11471</v>
      </c>
      <c r="G89">
        <v>0</v>
      </c>
      <c r="H89">
        <v>672</v>
      </c>
      <c r="I89">
        <v>2</v>
      </c>
    </row>
    <row r="90" spans="1:9" x14ac:dyDescent="0.25">
      <c r="A90" t="s">
        <v>43</v>
      </c>
      <c r="B90" t="s">
        <v>297</v>
      </c>
      <c r="C90">
        <v>0</v>
      </c>
      <c r="D90">
        <v>0</v>
      </c>
      <c r="E90">
        <v>0</v>
      </c>
      <c r="F90">
        <v>54</v>
      </c>
      <c r="G90">
        <v>0</v>
      </c>
      <c r="H90">
        <v>0</v>
      </c>
      <c r="I90">
        <v>0</v>
      </c>
    </row>
    <row r="91" spans="1:9" x14ac:dyDescent="0.25">
      <c r="A91" t="s">
        <v>43</v>
      </c>
      <c r="B91" t="s">
        <v>298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</row>
    <row r="92" spans="1:9" x14ac:dyDescent="0.25">
      <c r="A92" t="s">
        <v>43</v>
      </c>
      <c r="B92" t="s">
        <v>299</v>
      </c>
      <c r="C92">
        <v>0</v>
      </c>
      <c r="D92">
        <v>0</v>
      </c>
      <c r="E92">
        <v>148727</v>
      </c>
      <c r="F92">
        <v>36257</v>
      </c>
      <c r="G92">
        <v>0</v>
      </c>
      <c r="H92">
        <v>0</v>
      </c>
      <c r="I92">
        <v>0</v>
      </c>
    </row>
    <row r="93" spans="1:9" x14ac:dyDescent="0.25">
      <c r="A93" t="s">
        <v>43</v>
      </c>
      <c r="B93" t="s">
        <v>300</v>
      </c>
      <c r="C93">
        <v>0</v>
      </c>
      <c r="D93">
        <v>0</v>
      </c>
      <c r="E93">
        <v>115887</v>
      </c>
      <c r="F93">
        <v>0</v>
      </c>
      <c r="G93">
        <v>0</v>
      </c>
      <c r="H93">
        <v>0</v>
      </c>
      <c r="I93">
        <v>0</v>
      </c>
    </row>
    <row r="94" spans="1:9" x14ac:dyDescent="0.25">
      <c r="A94" t="s">
        <v>46</v>
      </c>
      <c r="B94" t="s">
        <v>295</v>
      </c>
      <c r="C94">
        <v>11600</v>
      </c>
      <c r="D94">
        <v>100</v>
      </c>
      <c r="E94">
        <v>4128210</v>
      </c>
      <c r="F94">
        <v>28035</v>
      </c>
      <c r="G94">
        <v>4600</v>
      </c>
      <c r="H94">
        <v>0</v>
      </c>
      <c r="I94">
        <v>0</v>
      </c>
    </row>
    <row r="95" spans="1:9" x14ac:dyDescent="0.25">
      <c r="A95" t="s">
        <v>46</v>
      </c>
      <c r="B95" t="s">
        <v>296</v>
      </c>
      <c r="C95">
        <v>9</v>
      </c>
      <c r="D95">
        <v>3999</v>
      </c>
      <c r="E95">
        <v>3147</v>
      </c>
      <c r="F95">
        <v>25003</v>
      </c>
      <c r="G95">
        <v>0</v>
      </c>
      <c r="H95">
        <v>1465</v>
      </c>
      <c r="I95">
        <v>5</v>
      </c>
    </row>
    <row r="96" spans="1:9" x14ac:dyDescent="0.25">
      <c r="A96" t="s">
        <v>46</v>
      </c>
      <c r="B96" t="s">
        <v>297</v>
      </c>
      <c r="C96">
        <v>0</v>
      </c>
      <c r="D96">
        <v>0</v>
      </c>
      <c r="E96">
        <v>0</v>
      </c>
      <c r="F96">
        <v>61</v>
      </c>
      <c r="G96">
        <v>0</v>
      </c>
      <c r="H96">
        <v>0</v>
      </c>
      <c r="I96">
        <v>0</v>
      </c>
    </row>
    <row r="97" spans="1:9" x14ac:dyDescent="0.25">
      <c r="A97" t="s">
        <v>46</v>
      </c>
      <c r="B97" t="s">
        <v>298</v>
      </c>
      <c r="C97">
        <v>28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</row>
    <row r="98" spans="1:9" x14ac:dyDescent="0.25">
      <c r="A98" t="s">
        <v>46</v>
      </c>
      <c r="B98" t="s">
        <v>299</v>
      </c>
      <c r="C98">
        <v>0</v>
      </c>
      <c r="D98">
        <v>0</v>
      </c>
      <c r="E98">
        <v>285238</v>
      </c>
      <c r="F98">
        <v>69535</v>
      </c>
      <c r="G98">
        <v>0</v>
      </c>
      <c r="H98">
        <v>0</v>
      </c>
      <c r="I98">
        <v>0</v>
      </c>
    </row>
    <row r="99" spans="1:9" x14ac:dyDescent="0.25">
      <c r="A99" t="s">
        <v>46</v>
      </c>
      <c r="B99" t="s">
        <v>300</v>
      </c>
      <c r="C99">
        <v>0</v>
      </c>
      <c r="D99">
        <v>0</v>
      </c>
      <c r="E99">
        <v>105504</v>
      </c>
      <c r="F99">
        <v>0</v>
      </c>
      <c r="G99">
        <v>0</v>
      </c>
      <c r="H99">
        <v>0</v>
      </c>
      <c r="I99">
        <v>0</v>
      </c>
    </row>
    <row r="100" spans="1:9" x14ac:dyDescent="0.25">
      <c r="A100" t="s">
        <v>48</v>
      </c>
      <c r="B100" t="s">
        <v>295</v>
      </c>
      <c r="C100">
        <v>91100</v>
      </c>
      <c r="D100">
        <v>200</v>
      </c>
      <c r="E100">
        <v>4523730</v>
      </c>
      <c r="F100">
        <v>12176</v>
      </c>
      <c r="G100">
        <v>52200</v>
      </c>
      <c r="H100">
        <v>0</v>
      </c>
      <c r="I100">
        <v>0</v>
      </c>
    </row>
    <row r="101" spans="1:9" x14ac:dyDescent="0.25">
      <c r="A101" t="s">
        <v>48</v>
      </c>
      <c r="B101" t="s">
        <v>296</v>
      </c>
      <c r="C101">
        <v>4</v>
      </c>
      <c r="D101">
        <v>1653</v>
      </c>
      <c r="E101">
        <v>1301</v>
      </c>
      <c r="F101">
        <v>10337</v>
      </c>
      <c r="G101">
        <v>0</v>
      </c>
      <c r="H101">
        <v>606</v>
      </c>
      <c r="I101">
        <v>2</v>
      </c>
    </row>
    <row r="102" spans="1:9" x14ac:dyDescent="0.25">
      <c r="A102" t="s">
        <v>48</v>
      </c>
      <c r="B102" t="s">
        <v>297</v>
      </c>
      <c r="C102">
        <v>0</v>
      </c>
      <c r="D102">
        <v>0</v>
      </c>
      <c r="E102">
        <v>0</v>
      </c>
      <c r="F102">
        <v>157</v>
      </c>
      <c r="G102">
        <v>0</v>
      </c>
      <c r="H102">
        <v>0</v>
      </c>
      <c r="I102">
        <v>0</v>
      </c>
    </row>
    <row r="103" spans="1:9" x14ac:dyDescent="0.25">
      <c r="A103" t="s">
        <v>48</v>
      </c>
      <c r="B103" t="s">
        <v>298</v>
      </c>
      <c r="C103">
        <v>149</v>
      </c>
      <c r="D103">
        <v>0</v>
      </c>
      <c r="E103">
        <v>0</v>
      </c>
      <c r="F103">
        <v>35</v>
      </c>
      <c r="G103">
        <v>0</v>
      </c>
      <c r="H103">
        <v>0</v>
      </c>
      <c r="I103">
        <v>0</v>
      </c>
    </row>
    <row r="104" spans="1:9" x14ac:dyDescent="0.25">
      <c r="A104" t="s">
        <v>48</v>
      </c>
      <c r="B104" t="s">
        <v>299</v>
      </c>
      <c r="C104">
        <v>0</v>
      </c>
      <c r="D104">
        <v>0</v>
      </c>
      <c r="E104">
        <v>117410</v>
      </c>
      <c r="F104">
        <v>28622</v>
      </c>
      <c r="G104">
        <v>0</v>
      </c>
      <c r="H104">
        <v>0</v>
      </c>
      <c r="I104">
        <v>0</v>
      </c>
    </row>
    <row r="105" spans="1:9" x14ac:dyDescent="0.25">
      <c r="A105" t="s">
        <v>48</v>
      </c>
      <c r="B105" t="s">
        <v>300</v>
      </c>
      <c r="C105">
        <v>0</v>
      </c>
      <c r="D105">
        <v>0</v>
      </c>
      <c r="E105">
        <v>141710</v>
      </c>
      <c r="F105">
        <v>0</v>
      </c>
      <c r="G105">
        <v>0</v>
      </c>
      <c r="H105">
        <v>0</v>
      </c>
      <c r="I105">
        <v>0</v>
      </c>
    </row>
    <row r="106" spans="1:9" x14ac:dyDescent="0.25">
      <c r="A106" t="s">
        <v>51</v>
      </c>
      <c r="B106" t="s">
        <v>295</v>
      </c>
      <c r="C106">
        <v>94900</v>
      </c>
      <c r="D106">
        <v>200</v>
      </c>
      <c r="E106">
        <v>4464410</v>
      </c>
      <c r="F106">
        <v>18125</v>
      </c>
      <c r="G106">
        <v>36600</v>
      </c>
      <c r="H106">
        <v>0</v>
      </c>
      <c r="I106">
        <v>0</v>
      </c>
    </row>
    <row r="107" spans="1:9" x14ac:dyDescent="0.25">
      <c r="A107" t="s">
        <v>51</v>
      </c>
      <c r="B107" t="s">
        <v>296</v>
      </c>
      <c r="C107">
        <v>4</v>
      </c>
      <c r="D107">
        <v>1892</v>
      </c>
      <c r="E107">
        <v>1489</v>
      </c>
      <c r="F107">
        <v>11827</v>
      </c>
      <c r="G107">
        <v>0</v>
      </c>
      <c r="H107">
        <v>693</v>
      </c>
      <c r="I107">
        <v>3</v>
      </c>
    </row>
    <row r="108" spans="1:9" x14ac:dyDescent="0.25">
      <c r="A108" t="s">
        <v>51</v>
      </c>
      <c r="B108" t="s">
        <v>297</v>
      </c>
      <c r="C108">
        <v>0</v>
      </c>
      <c r="D108">
        <v>0</v>
      </c>
      <c r="E108">
        <v>0</v>
      </c>
      <c r="F108">
        <v>100</v>
      </c>
      <c r="G108">
        <v>0</v>
      </c>
      <c r="H108">
        <v>0</v>
      </c>
      <c r="I108">
        <v>0</v>
      </c>
    </row>
    <row r="109" spans="1:9" x14ac:dyDescent="0.25">
      <c r="A109" t="s">
        <v>51</v>
      </c>
      <c r="B109" t="s">
        <v>298</v>
      </c>
      <c r="C109">
        <v>45</v>
      </c>
      <c r="D109">
        <v>0</v>
      </c>
      <c r="E109">
        <v>0</v>
      </c>
      <c r="F109">
        <v>4</v>
      </c>
      <c r="G109">
        <v>0</v>
      </c>
      <c r="H109">
        <v>0</v>
      </c>
      <c r="I109">
        <v>0</v>
      </c>
    </row>
    <row r="110" spans="1:9" x14ac:dyDescent="0.25">
      <c r="A110" t="s">
        <v>51</v>
      </c>
      <c r="B110" t="s">
        <v>299</v>
      </c>
      <c r="C110">
        <v>0</v>
      </c>
      <c r="D110">
        <v>0</v>
      </c>
      <c r="E110">
        <v>162131</v>
      </c>
      <c r="F110">
        <v>39524</v>
      </c>
      <c r="G110">
        <v>0</v>
      </c>
      <c r="H110">
        <v>0</v>
      </c>
      <c r="I110">
        <v>0</v>
      </c>
    </row>
    <row r="111" spans="1:9" x14ac:dyDescent="0.25">
      <c r="A111" t="s">
        <v>51</v>
      </c>
      <c r="B111" t="s">
        <v>300</v>
      </c>
      <c r="C111">
        <v>0</v>
      </c>
      <c r="D111">
        <v>0</v>
      </c>
      <c r="E111">
        <v>99106</v>
      </c>
      <c r="F111">
        <v>0</v>
      </c>
      <c r="G111">
        <v>0</v>
      </c>
      <c r="H111">
        <v>0</v>
      </c>
      <c r="I111">
        <v>0</v>
      </c>
    </row>
    <row r="112" spans="1:9" x14ac:dyDescent="0.25">
      <c r="A112" t="s">
        <v>54</v>
      </c>
      <c r="B112" t="s">
        <v>295</v>
      </c>
      <c r="C112">
        <v>9700</v>
      </c>
      <c r="D112">
        <v>0</v>
      </c>
      <c r="E112">
        <v>1064700</v>
      </c>
      <c r="F112">
        <v>6142</v>
      </c>
      <c r="G112">
        <v>9200</v>
      </c>
      <c r="H112">
        <v>0</v>
      </c>
      <c r="I112">
        <v>0</v>
      </c>
    </row>
    <row r="113" spans="1:9" x14ac:dyDescent="0.25">
      <c r="A113" t="s">
        <v>54</v>
      </c>
      <c r="B113" t="s">
        <v>296</v>
      </c>
      <c r="C113">
        <v>0</v>
      </c>
      <c r="D113">
        <v>196</v>
      </c>
      <c r="E113">
        <v>154</v>
      </c>
      <c r="F113">
        <v>1225</v>
      </c>
      <c r="G113">
        <v>0</v>
      </c>
      <c r="H113">
        <v>72</v>
      </c>
      <c r="I113">
        <v>0</v>
      </c>
    </row>
    <row r="114" spans="1:9" x14ac:dyDescent="0.25">
      <c r="A114" t="s">
        <v>54</v>
      </c>
      <c r="B114" t="s">
        <v>297</v>
      </c>
      <c r="C114">
        <v>0</v>
      </c>
      <c r="D114">
        <v>0</v>
      </c>
      <c r="E114">
        <v>0</v>
      </c>
      <c r="F114">
        <v>24</v>
      </c>
      <c r="G114">
        <v>0</v>
      </c>
      <c r="H114">
        <v>0</v>
      </c>
      <c r="I114">
        <v>0</v>
      </c>
    </row>
    <row r="115" spans="1:9" x14ac:dyDescent="0.25">
      <c r="A115" t="s">
        <v>54</v>
      </c>
      <c r="B115" t="s">
        <v>298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</row>
    <row r="116" spans="1:9" x14ac:dyDescent="0.25">
      <c r="A116" t="s">
        <v>54</v>
      </c>
      <c r="B116" t="s">
        <v>299</v>
      </c>
      <c r="C116">
        <v>0</v>
      </c>
      <c r="D116">
        <v>0</v>
      </c>
      <c r="E116">
        <v>98748</v>
      </c>
      <c r="F116">
        <v>24073</v>
      </c>
      <c r="G116">
        <v>0</v>
      </c>
      <c r="H116">
        <v>0</v>
      </c>
      <c r="I116">
        <v>0</v>
      </c>
    </row>
    <row r="117" spans="1:9" x14ac:dyDescent="0.25">
      <c r="A117" t="s">
        <v>54</v>
      </c>
      <c r="B117" t="s">
        <v>300</v>
      </c>
      <c r="C117">
        <v>0</v>
      </c>
      <c r="D117">
        <v>0</v>
      </c>
      <c r="E117">
        <v>47685</v>
      </c>
      <c r="F117">
        <v>0</v>
      </c>
      <c r="G117">
        <v>0</v>
      </c>
      <c r="H117">
        <v>0</v>
      </c>
      <c r="I117">
        <v>0</v>
      </c>
    </row>
    <row r="118" spans="1:9" x14ac:dyDescent="0.25">
      <c r="A118" t="s">
        <v>57</v>
      </c>
      <c r="B118" t="s">
        <v>295</v>
      </c>
      <c r="C118">
        <v>75800</v>
      </c>
      <c r="D118">
        <v>300</v>
      </c>
      <c r="E118">
        <v>8656020</v>
      </c>
      <c r="F118">
        <v>38189</v>
      </c>
      <c r="G118">
        <v>33600</v>
      </c>
      <c r="H118">
        <v>0</v>
      </c>
      <c r="I118">
        <v>0</v>
      </c>
    </row>
    <row r="119" spans="1:9" x14ac:dyDescent="0.25">
      <c r="A119" t="s">
        <v>57</v>
      </c>
      <c r="B119" t="s">
        <v>296</v>
      </c>
      <c r="C119">
        <v>1</v>
      </c>
      <c r="D119">
        <v>268</v>
      </c>
      <c r="E119">
        <v>211</v>
      </c>
      <c r="F119">
        <v>1677</v>
      </c>
      <c r="G119">
        <v>0</v>
      </c>
      <c r="H119">
        <v>98</v>
      </c>
      <c r="I119">
        <v>0</v>
      </c>
    </row>
    <row r="120" spans="1:9" x14ac:dyDescent="0.25">
      <c r="A120" t="s">
        <v>57</v>
      </c>
      <c r="B120" t="s">
        <v>297</v>
      </c>
      <c r="C120">
        <v>0</v>
      </c>
      <c r="D120">
        <v>0</v>
      </c>
      <c r="E120">
        <v>0</v>
      </c>
      <c r="F120">
        <v>159</v>
      </c>
      <c r="G120">
        <v>0</v>
      </c>
      <c r="H120">
        <v>0</v>
      </c>
      <c r="I120">
        <v>0</v>
      </c>
    </row>
    <row r="121" spans="1:9" x14ac:dyDescent="0.25">
      <c r="A121" t="s">
        <v>57</v>
      </c>
      <c r="B121" t="s">
        <v>298</v>
      </c>
      <c r="C121">
        <v>4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</row>
    <row r="122" spans="1:9" x14ac:dyDescent="0.25">
      <c r="A122" t="s">
        <v>57</v>
      </c>
      <c r="B122" t="s">
        <v>299</v>
      </c>
      <c r="C122">
        <v>0</v>
      </c>
      <c r="D122">
        <v>0</v>
      </c>
      <c r="E122">
        <v>690087</v>
      </c>
      <c r="F122">
        <v>168229</v>
      </c>
      <c r="G122">
        <v>0</v>
      </c>
      <c r="H122">
        <v>0</v>
      </c>
      <c r="I122">
        <v>0</v>
      </c>
    </row>
    <row r="123" spans="1:9" x14ac:dyDescent="0.25">
      <c r="A123" t="s">
        <v>57</v>
      </c>
      <c r="B123" t="s">
        <v>300</v>
      </c>
      <c r="C123">
        <v>0</v>
      </c>
      <c r="D123">
        <v>0</v>
      </c>
      <c r="E123">
        <v>249465</v>
      </c>
      <c r="F123">
        <v>0</v>
      </c>
      <c r="G123">
        <v>0</v>
      </c>
      <c r="H123">
        <v>0</v>
      </c>
      <c r="I123">
        <v>0</v>
      </c>
    </row>
    <row r="124" spans="1:9" x14ac:dyDescent="0.25">
      <c r="A124" t="s">
        <v>60</v>
      </c>
      <c r="B124" t="s">
        <v>295</v>
      </c>
      <c r="C124">
        <v>47400</v>
      </c>
      <c r="D124">
        <v>100</v>
      </c>
      <c r="E124">
        <v>5272660</v>
      </c>
      <c r="F124">
        <v>28045</v>
      </c>
      <c r="G124">
        <v>20100</v>
      </c>
      <c r="H124">
        <v>0</v>
      </c>
      <c r="I124">
        <v>0</v>
      </c>
    </row>
    <row r="125" spans="1:9" x14ac:dyDescent="0.25">
      <c r="A125" t="s">
        <v>60</v>
      </c>
      <c r="B125" t="s">
        <v>296</v>
      </c>
      <c r="C125">
        <v>4</v>
      </c>
      <c r="D125">
        <v>1687</v>
      </c>
      <c r="E125">
        <v>1327</v>
      </c>
      <c r="F125">
        <v>10547</v>
      </c>
      <c r="G125">
        <v>0</v>
      </c>
      <c r="H125">
        <v>618</v>
      </c>
      <c r="I125">
        <v>2</v>
      </c>
    </row>
    <row r="126" spans="1:9" x14ac:dyDescent="0.25">
      <c r="A126" t="s">
        <v>60</v>
      </c>
      <c r="B126" t="s">
        <v>297</v>
      </c>
      <c r="C126">
        <v>0</v>
      </c>
      <c r="D126">
        <v>0</v>
      </c>
      <c r="E126">
        <v>0</v>
      </c>
      <c r="F126">
        <v>147</v>
      </c>
      <c r="G126">
        <v>0</v>
      </c>
      <c r="H126">
        <v>0</v>
      </c>
      <c r="I126">
        <v>0</v>
      </c>
    </row>
    <row r="127" spans="1:9" x14ac:dyDescent="0.25">
      <c r="A127" t="s">
        <v>60</v>
      </c>
      <c r="B127" t="s">
        <v>298</v>
      </c>
      <c r="C127">
        <v>23</v>
      </c>
      <c r="D127">
        <v>0</v>
      </c>
      <c r="E127">
        <v>0</v>
      </c>
      <c r="F127">
        <v>1</v>
      </c>
      <c r="G127">
        <v>0</v>
      </c>
      <c r="H127">
        <v>0</v>
      </c>
      <c r="I127">
        <v>0</v>
      </c>
    </row>
    <row r="128" spans="1:9" x14ac:dyDescent="0.25">
      <c r="A128" t="s">
        <v>60</v>
      </c>
      <c r="B128" t="s">
        <v>299</v>
      </c>
      <c r="C128">
        <v>0</v>
      </c>
      <c r="D128">
        <v>0</v>
      </c>
      <c r="E128">
        <v>546093</v>
      </c>
      <c r="F128">
        <v>133126</v>
      </c>
      <c r="G128">
        <v>0</v>
      </c>
      <c r="H128">
        <v>0</v>
      </c>
      <c r="I128">
        <v>0</v>
      </c>
    </row>
    <row r="129" spans="1:9" x14ac:dyDescent="0.25">
      <c r="A129" t="s">
        <v>60</v>
      </c>
      <c r="B129" t="s">
        <v>300</v>
      </c>
      <c r="C129">
        <v>0</v>
      </c>
      <c r="D129">
        <v>0</v>
      </c>
      <c r="E129">
        <v>226544</v>
      </c>
      <c r="F129">
        <v>0</v>
      </c>
      <c r="G129">
        <v>0</v>
      </c>
      <c r="H129">
        <v>0</v>
      </c>
      <c r="I129">
        <v>0</v>
      </c>
    </row>
    <row r="130" spans="1:9" x14ac:dyDescent="0.25">
      <c r="A130" t="s">
        <v>63</v>
      </c>
      <c r="B130" t="s">
        <v>295</v>
      </c>
      <c r="C130">
        <v>34200</v>
      </c>
      <c r="D130">
        <v>800</v>
      </c>
      <c r="E130">
        <v>4884280</v>
      </c>
      <c r="F130">
        <v>38719</v>
      </c>
      <c r="G130">
        <v>16800</v>
      </c>
      <c r="H130">
        <v>100</v>
      </c>
      <c r="I130">
        <v>0</v>
      </c>
    </row>
    <row r="131" spans="1:9" x14ac:dyDescent="0.25">
      <c r="A131" t="s">
        <v>63</v>
      </c>
      <c r="B131" t="s">
        <v>296</v>
      </c>
      <c r="C131">
        <v>6</v>
      </c>
      <c r="D131">
        <v>2724</v>
      </c>
      <c r="E131">
        <v>2144</v>
      </c>
      <c r="F131">
        <v>17030</v>
      </c>
      <c r="G131">
        <v>0</v>
      </c>
      <c r="H131">
        <v>998</v>
      </c>
      <c r="I131">
        <v>4</v>
      </c>
    </row>
    <row r="132" spans="1:9" x14ac:dyDescent="0.25">
      <c r="A132" t="s">
        <v>63</v>
      </c>
      <c r="B132" t="s">
        <v>297</v>
      </c>
      <c r="C132">
        <v>0</v>
      </c>
      <c r="D132">
        <v>0</v>
      </c>
      <c r="E132">
        <v>0</v>
      </c>
      <c r="F132">
        <v>107</v>
      </c>
      <c r="G132">
        <v>0</v>
      </c>
      <c r="H132">
        <v>0</v>
      </c>
      <c r="I132">
        <v>0</v>
      </c>
    </row>
    <row r="133" spans="1:9" x14ac:dyDescent="0.25">
      <c r="A133" t="s">
        <v>63</v>
      </c>
      <c r="B133" t="s">
        <v>298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</row>
    <row r="134" spans="1:9" x14ac:dyDescent="0.25">
      <c r="A134" t="s">
        <v>63</v>
      </c>
      <c r="B134" t="s">
        <v>299</v>
      </c>
      <c r="C134">
        <v>0</v>
      </c>
      <c r="D134">
        <v>0</v>
      </c>
      <c r="E134">
        <v>274119</v>
      </c>
      <c r="F134">
        <v>66825</v>
      </c>
      <c r="G134">
        <v>0</v>
      </c>
      <c r="H134">
        <v>0</v>
      </c>
      <c r="I134">
        <v>0</v>
      </c>
    </row>
    <row r="135" spans="1:9" x14ac:dyDescent="0.25">
      <c r="A135" t="s">
        <v>63</v>
      </c>
      <c r="B135" t="s">
        <v>300</v>
      </c>
      <c r="C135">
        <v>0</v>
      </c>
      <c r="D135">
        <v>0</v>
      </c>
      <c r="E135">
        <v>133801</v>
      </c>
      <c r="F135">
        <v>0</v>
      </c>
      <c r="G135">
        <v>0</v>
      </c>
      <c r="H135">
        <v>0</v>
      </c>
      <c r="I135">
        <v>0</v>
      </c>
    </row>
    <row r="136" spans="1:9" x14ac:dyDescent="0.25">
      <c r="A136" t="s">
        <v>66</v>
      </c>
      <c r="B136" t="s">
        <v>295</v>
      </c>
      <c r="C136">
        <v>4900</v>
      </c>
      <c r="D136">
        <v>100</v>
      </c>
      <c r="E136">
        <v>2036780</v>
      </c>
      <c r="F136">
        <v>17195</v>
      </c>
      <c r="G136">
        <v>2400</v>
      </c>
      <c r="H136">
        <v>0</v>
      </c>
      <c r="I136">
        <v>0</v>
      </c>
    </row>
    <row r="137" spans="1:9" x14ac:dyDescent="0.25">
      <c r="A137" t="s">
        <v>66</v>
      </c>
      <c r="B137" t="s">
        <v>296</v>
      </c>
      <c r="C137">
        <v>2</v>
      </c>
      <c r="D137">
        <v>1011</v>
      </c>
      <c r="E137">
        <v>796</v>
      </c>
      <c r="F137">
        <v>6323</v>
      </c>
      <c r="G137">
        <v>0</v>
      </c>
      <c r="H137">
        <v>370</v>
      </c>
      <c r="I137">
        <v>1</v>
      </c>
    </row>
    <row r="138" spans="1:9" x14ac:dyDescent="0.25">
      <c r="A138" t="s">
        <v>66</v>
      </c>
      <c r="B138" t="s">
        <v>297</v>
      </c>
      <c r="C138">
        <v>0</v>
      </c>
      <c r="D138">
        <v>0</v>
      </c>
      <c r="E138">
        <v>0</v>
      </c>
      <c r="F138">
        <v>24</v>
      </c>
      <c r="G138">
        <v>0</v>
      </c>
      <c r="H138">
        <v>0</v>
      </c>
      <c r="I138">
        <v>0</v>
      </c>
    </row>
    <row r="139" spans="1:9" x14ac:dyDescent="0.25">
      <c r="A139" t="s">
        <v>66</v>
      </c>
      <c r="B139" t="s">
        <v>298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</row>
    <row r="140" spans="1:9" x14ac:dyDescent="0.25">
      <c r="A140" t="s">
        <v>66</v>
      </c>
      <c r="B140" t="s">
        <v>299</v>
      </c>
      <c r="C140">
        <v>0</v>
      </c>
      <c r="D140">
        <v>0</v>
      </c>
      <c r="E140">
        <v>120952</v>
      </c>
      <c r="F140">
        <v>29486</v>
      </c>
      <c r="G140">
        <v>0</v>
      </c>
      <c r="H140">
        <v>0</v>
      </c>
      <c r="I140">
        <v>0</v>
      </c>
    </row>
    <row r="141" spans="1:9" x14ac:dyDescent="0.25">
      <c r="A141" t="s">
        <v>66</v>
      </c>
      <c r="B141" t="s">
        <v>300</v>
      </c>
      <c r="C141">
        <v>0</v>
      </c>
      <c r="D141">
        <v>0</v>
      </c>
      <c r="E141">
        <v>30421</v>
      </c>
      <c r="F141">
        <v>0</v>
      </c>
      <c r="G141">
        <v>0</v>
      </c>
      <c r="H141">
        <v>0</v>
      </c>
      <c r="I141">
        <v>0</v>
      </c>
    </row>
    <row r="142" spans="1:9" x14ac:dyDescent="0.25">
      <c r="A142" t="s">
        <v>69</v>
      </c>
      <c r="B142" t="s">
        <v>295</v>
      </c>
      <c r="C142">
        <v>5600</v>
      </c>
      <c r="D142">
        <v>0</v>
      </c>
      <c r="E142">
        <v>951152</v>
      </c>
      <c r="F142">
        <v>16910</v>
      </c>
      <c r="G142">
        <v>3200</v>
      </c>
      <c r="H142">
        <v>0</v>
      </c>
      <c r="I142">
        <v>0</v>
      </c>
    </row>
    <row r="143" spans="1:9" x14ac:dyDescent="0.25">
      <c r="A143" t="s">
        <v>69</v>
      </c>
      <c r="B143" t="s">
        <v>296</v>
      </c>
      <c r="C143">
        <v>2</v>
      </c>
      <c r="D143">
        <v>669</v>
      </c>
      <c r="E143">
        <v>527</v>
      </c>
      <c r="F143">
        <v>4185</v>
      </c>
      <c r="G143">
        <v>0</v>
      </c>
      <c r="H143">
        <v>245</v>
      </c>
      <c r="I143">
        <v>1</v>
      </c>
    </row>
    <row r="144" spans="1:9" x14ac:dyDescent="0.25">
      <c r="A144" t="s">
        <v>69</v>
      </c>
      <c r="B144" t="s">
        <v>297</v>
      </c>
      <c r="C144">
        <v>0</v>
      </c>
      <c r="D144">
        <v>0</v>
      </c>
      <c r="E144">
        <v>0</v>
      </c>
      <c r="F144">
        <v>24</v>
      </c>
      <c r="G144">
        <v>0</v>
      </c>
      <c r="H144">
        <v>0</v>
      </c>
      <c r="I144">
        <v>0</v>
      </c>
    </row>
    <row r="145" spans="1:9" x14ac:dyDescent="0.25">
      <c r="A145" t="s">
        <v>69</v>
      </c>
      <c r="B145" t="s">
        <v>298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</row>
    <row r="146" spans="1:9" x14ac:dyDescent="0.25">
      <c r="A146" t="s">
        <v>69</v>
      </c>
      <c r="B146" t="s">
        <v>299</v>
      </c>
      <c r="C146">
        <v>0</v>
      </c>
      <c r="D146">
        <v>0</v>
      </c>
      <c r="E146">
        <v>58001</v>
      </c>
      <c r="F146">
        <v>14140</v>
      </c>
      <c r="G146">
        <v>0</v>
      </c>
      <c r="H146">
        <v>0</v>
      </c>
      <c r="I146">
        <v>0</v>
      </c>
    </row>
    <row r="147" spans="1:9" x14ac:dyDescent="0.25">
      <c r="A147" t="s">
        <v>69</v>
      </c>
      <c r="B147" t="s">
        <v>300</v>
      </c>
      <c r="C147">
        <v>0</v>
      </c>
      <c r="D147">
        <v>0</v>
      </c>
      <c r="E147">
        <v>447943</v>
      </c>
      <c r="F147">
        <v>0</v>
      </c>
      <c r="G147">
        <v>0</v>
      </c>
      <c r="H147">
        <v>0</v>
      </c>
      <c r="I147">
        <v>0</v>
      </c>
    </row>
    <row r="148" spans="1:9" x14ac:dyDescent="0.25">
      <c r="A148" t="s">
        <v>72</v>
      </c>
      <c r="B148" t="s">
        <v>295</v>
      </c>
      <c r="C148">
        <v>91000</v>
      </c>
      <c r="D148">
        <v>300</v>
      </c>
      <c r="E148">
        <v>8022220</v>
      </c>
      <c r="F148">
        <v>45636</v>
      </c>
      <c r="G148">
        <v>28300</v>
      </c>
      <c r="H148">
        <v>100</v>
      </c>
      <c r="I148">
        <v>0</v>
      </c>
    </row>
    <row r="149" spans="1:9" x14ac:dyDescent="0.25">
      <c r="A149" t="s">
        <v>72</v>
      </c>
      <c r="B149" t="s">
        <v>296</v>
      </c>
      <c r="C149">
        <v>9</v>
      </c>
      <c r="D149">
        <v>3863</v>
      </c>
      <c r="E149">
        <v>3040</v>
      </c>
      <c r="F149">
        <v>24151</v>
      </c>
      <c r="G149">
        <v>0</v>
      </c>
      <c r="H149">
        <v>1415</v>
      </c>
      <c r="I149">
        <v>5</v>
      </c>
    </row>
    <row r="150" spans="1:9" x14ac:dyDescent="0.25">
      <c r="A150" t="s">
        <v>72</v>
      </c>
      <c r="B150" t="s">
        <v>297</v>
      </c>
      <c r="C150">
        <v>0</v>
      </c>
      <c r="D150">
        <v>0</v>
      </c>
      <c r="E150">
        <v>0</v>
      </c>
      <c r="F150">
        <v>257</v>
      </c>
      <c r="G150">
        <v>0</v>
      </c>
      <c r="H150">
        <v>0</v>
      </c>
      <c r="I150">
        <v>0</v>
      </c>
    </row>
    <row r="151" spans="1:9" x14ac:dyDescent="0.25">
      <c r="A151" t="s">
        <v>72</v>
      </c>
      <c r="B151" t="s">
        <v>298</v>
      </c>
      <c r="C151">
        <v>18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</row>
    <row r="152" spans="1:9" x14ac:dyDescent="0.25">
      <c r="A152" t="s">
        <v>72</v>
      </c>
      <c r="B152" t="s">
        <v>299</v>
      </c>
      <c r="C152">
        <v>0</v>
      </c>
      <c r="D152">
        <v>0</v>
      </c>
      <c r="E152">
        <v>353706</v>
      </c>
      <c r="F152">
        <v>86226</v>
      </c>
      <c r="G152">
        <v>0</v>
      </c>
      <c r="H152">
        <v>0</v>
      </c>
      <c r="I152">
        <v>0</v>
      </c>
    </row>
    <row r="153" spans="1:9" x14ac:dyDescent="0.25">
      <c r="A153" t="s">
        <v>72</v>
      </c>
      <c r="B153" t="s">
        <v>300</v>
      </c>
      <c r="C153">
        <v>0</v>
      </c>
      <c r="D153">
        <v>0</v>
      </c>
      <c r="E153">
        <v>189734</v>
      </c>
      <c r="F153">
        <v>0</v>
      </c>
      <c r="G153">
        <v>0</v>
      </c>
      <c r="H153">
        <v>0</v>
      </c>
      <c r="I153">
        <v>0</v>
      </c>
    </row>
    <row r="154" spans="1:9" x14ac:dyDescent="0.25">
      <c r="A154" t="s">
        <v>75</v>
      </c>
      <c r="B154" t="s">
        <v>295</v>
      </c>
      <c r="C154">
        <v>1300</v>
      </c>
      <c r="D154">
        <v>0</v>
      </c>
      <c r="E154">
        <v>951004</v>
      </c>
      <c r="F154">
        <v>10249</v>
      </c>
      <c r="G154">
        <v>1000</v>
      </c>
      <c r="H154">
        <v>0</v>
      </c>
      <c r="I154">
        <v>0</v>
      </c>
    </row>
    <row r="155" spans="1:9" x14ac:dyDescent="0.25">
      <c r="A155" t="s">
        <v>75</v>
      </c>
      <c r="B155" t="s">
        <v>296</v>
      </c>
      <c r="C155">
        <v>1</v>
      </c>
      <c r="D155">
        <v>429</v>
      </c>
      <c r="E155">
        <v>338</v>
      </c>
      <c r="F155">
        <v>2683</v>
      </c>
      <c r="G155">
        <v>0</v>
      </c>
      <c r="H155">
        <v>157</v>
      </c>
      <c r="I155">
        <v>1</v>
      </c>
    </row>
    <row r="156" spans="1:9" x14ac:dyDescent="0.25">
      <c r="A156" t="s">
        <v>75</v>
      </c>
      <c r="B156" t="s">
        <v>297</v>
      </c>
      <c r="C156">
        <v>0</v>
      </c>
      <c r="D156">
        <v>0</v>
      </c>
      <c r="E156">
        <v>0</v>
      </c>
      <c r="F156">
        <v>24</v>
      </c>
      <c r="G156">
        <v>0</v>
      </c>
      <c r="H156">
        <v>0</v>
      </c>
      <c r="I156">
        <v>0</v>
      </c>
    </row>
    <row r="157" spans="1:9" x14ac:dyDescent="0.25">
      <c r="A157" t="s">
        <v>75</v>
      </c>
      <c r="B157" t="s">
        <v>298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</row>
    <row r="158" spans="1:9" x14ac:dyDescent="0.25">
      <c r="A158" t="s">
        <v>75</v>
      </c>
      <c r="B158" t="s">
        <v>299</v>
      </c>
      <c r="C158">
        <v>0</v>
      </c>
      <c r="D158">
        <v>0</v>
      </c>
      <c r="E158">
        <v>63220</v>
      </c>
      <c r="F158">
        <v>15412</v>
      </c>
      <c r="G158">
        <v>0</v>
      </c>
      <c r="H158">
        <v>0</v>
      </c>
      <c r="I158">
        <v>0</v>
      </c>
    </row>
    <row r="159" spans="1:9" x14ac:dyDescent="0.25">
      <c r="A159" t="s">
        <v>75</v>
      </c>
      <c r="B159" t="s">
        <v>300</v>
      </c>
      <c r="C159">
        <v>0</v>
      </c>
      <c r="D159">
        <v>0</v>
      </c>
      <c r="E159">
        <v>44166</v>
      </c>
      <c r="F159">
        <v>0</v>
      </c>
      <c r="G159">
        <v>0</v>
      </c>
      <c r="H159">
        <v>0</v>
      </c>
      <c r="I159">
        <v>0</v>
      </c>
    </row>
    <row r="160" spans="1:9" x14ac:dyDescent="0.25">
      <c r="A160" t="s">
        <v>78</v>
      </c>
      <c r="B160" t="s">
        <v>295</v>
      </c>
      <c r="C160">
        <v>9100</v>
      </c>
      <c r="D160">
        <v>100</v>
      </c>
      <c r="E160">
        <v>1789060</v>
      </c>
      <c r="F160">
        <v>16530</v>
      </c>
      <c r="G160">
        <v>4700</v>
      </c>
      <c r="H160">
        <v>0</v>
      </c>
      <c r="I160">
        <v>0</v>
      </c>
    </row>
    <row r="161" spans="1:9" x14ac:dyDescent="0.25">
      <c r="A161" t="s">
        <v>78</v>
      </c>
      <c r="B161" t="s">
        <v>296</v>
      </c>
      <c r="C161">
        <v>3</v>
      </c>
      <c r="D161">
        <v>1071</v>
      </c>
      <c r="E161">
        <v>843</v>
      </c>
      <c r="F161">
        <v>6696</v>
      </c>
      <c r="G161">
        <v>0</v>
      </c>
      <c r="H161">
        <v>392</v>
      </c>
      <c r="I161">
        <v>1</v>
      </c>
    </row>
    <row r="162" spans="1:9" x14ac:dyDescent="0.25">
      <c r="A162" t="s">
        <v>78</v>
      </c>
      <c r="B162" t="s">
        <v>297</v>
      </c>
      <c r="C162">
        <v>0</v>
      </c>
      <c r="D162">
        <v>0</v>
      </c>
      <c r="E162">
        <v>0</v>
      </c>
      <c r="F162">
        <v>24</v>
      </c>
      <c r="G162">
        <v>0</v>
      </c>
      <c r="H162">
        <v>0</v>
      </c>
      <c r="I162">
        <v>0</v>
      </c>
    </row>
    <row r="163" spans="1:9" x14ac:dyDescent="0.25">
      <c r="A163" t="s">
        <v>78</v>
      </c>
      <c r="B163" t="s">
        <v>298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</row>
    <row r="164" spans="1:9" x14ac:dyDescent="0.25">
      <c r="A164" t="s">
        <v>78</v>
      </c>
      <c r="B164" t="s">
        <v>299</v>
      </c>
      <c r="C164">
        <v>0</v>
      </c>
      <c r="D164">
        <v>0</v>
      </c>
      <c r="E164">
        <v>77093</v>
      </c>
      <c r="F164">
        <v>18794</v>
      </c>
      <c r="G164">
        <v>0</v>
      </c>
      <c r="H164">
        <v>0</v>
      </c>
      <c r="I164">
        <v>0</v>
      </c>
    </row>
    <row r="165" spans="1:9" x14ac:dyDescent="0.25">
      <c r="A165" t="s">
        <v>78</v>
      </c>
      <c r="B165" t="s">
        <v>300</v>
      </c>
      <c r="C165">
        <v>0</v>
      </c>
      <c r="D165">
        <v>0</v>
      </c>
      <c r="E165">
        <v>50753</v>
      </c>
      <c r="F165">
        <v>0</v>
      </c>
      <c r="G165">
        <v>0</v>
      </c>
      <c r="H165">
        <v>0</v>
      </c>
      <c r="I165">
        <v>0</v>
      </c>
    </row>
    <row r="166" spans="1:9" x14ac:dyDescent="0.25">
      <c r="A166" t="s">
        <v>81</v>
      </c>
      <c r="B166" t="s">
        <v>295</v>
      </c>
      <c r="C166">
        <v>12700</v>
      </c>
      <c r="D166">
        <v>100</v>
      </c>
      <c r="E166">
        <v>1201120</v>
      </c>
      <c r="F166">
        <v>6662</v>
      </c>
      <c r="G166">
        <v>8200</v>
      </c>
      <c r="H166">
        <v>0</v>
      </c>
      <c r="I166">
        <v>0</v>
      </c>
    </row>
    <row r="167" spans="1:9" x14ac:dyDescent="0.25">
      <c r="A167" t="s">
        <v>81</v>
      </c>
      <c r="B167" t="s">
        <v>296</v>
      </c>
      <c r="C167">
        <v>1</v>
      </c>
      <c r="D167">
        <v>291</v>
      </c>
      <c r="E167">
        <v>229</v>
      </c>
      <c r="F167">
        <v>1819</v>
      </c>
      <c r="G167">
        <v>0</v>
      </c>
      <c r="H167">
        <v>107</v>
      </c>
      <c r="I167">
        <v>0</v>
      </c>
    </row>
    <row r="168" spans="1:9" x14ac:dyDescent="0.25">
      <c r="A168" t="s">
        <v>81</v>
      </c>
      <c r="B168" t="s">
        <v>297</v>
      </c>
      <c r="C168">
        <v>0</v>
      </c>
      <c r="D168">
        <v>0</v>
      </c>
      <c r="E168">
        <v>0</v>
      </c>
      <c r="F168">
        <v>24</v>
      </c>
      <c r="G168">
        <v>0</v>
      </c>
      <c r="H168">
        <v>0</v>
      </c>
      <c r="I168">
        <v>0</v>
      </c>
    </row>
    <row r="169" spans="1:9" x14ac:dyDescent="0.25">
      <c r="A169" t="s">
        <v>81</v>
      </c>
      <c r="B169" t="s">
        <v>298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</row>
    <row r="170" spans="1:9" x14ac:dyDescent="0.25">
      <c r="A170" t="s">
        <v>81</v>
      </c>
      <c r="B170" t="s">
        <v>299</v>
      </c>
      <c r="C170">
        <v>0</v>
      </c>
      <c r="D170">
        <v>0</v>
      </c>
      <c r="E170">
        <v>82180</v>
      </c>
      <c r="F170">
        <v>20034</v>
      </c>
      <c r="G170">
        <v>0</v>
      </c>
      <c r="H170">
        <v>0</v>
      </c>
      <c r="I170">
        <v>0</v>
      </c>
    </row>
    <row r="171" spans="1:9" x14ac:dyDescent="0.25">
      <c r="A171" t="s">
        <v>81</v>
      </c>
      <c r="B171" t="s">
        <v>300</v>
      </c>
      <c r="C171">
        <v>0</v>
      </c>
      <c r="D171">
        <v>0</v>
      </c>
      <c r="E171">
        <v>86208</v>
      </c>
      <c r="F171">
        <v>0</v>
      </c>
      <c r="G171">
        <v>0</v>
      </c>
      <c r="H171">
        <v>0</v>
      </c>
      <c r="I171">
        <v>0</v>
      </c>
    </row>
    <row r="172" spans="1:9" x14ac:dyDescent="0.25">
      <c r="A172" t="s">
        <v>84</v>
      </c>
      <c r="B172" t="s">
        <v>295</v>
      </c>
      <c r="C172">
        <v>173800</v>
      </c>
      <c r="D172">
        <v>300</v>
      </c>
      <c r="E172">
        <v>5535950</v>
      </c>
      <c r="F172">
        <v>17167</v>
      </c>
      <c r="G172">
        <v>51600</v>
      </c>
      <c r="H172">
        <v>0</v>
      </c>
      <c r="I172">
        <v>0</v>
      </c>
    </row>
    <row r="173" spans="1:9" x14ac:dyDescent="0.25">
      <c r="A173" t="s">
        <v>84</v>
      </c>
      <c r="B173" t="s">
        <v>296</v>
      </c>
      <c r="C173">
        <v>7</v>
      </c>
      <c r="D173">
        <v>2999</v>
      </c>
      <c r="E173">
        <v>2360</v>
      </c>
      <c r="F173">
        <v>18749</v>
      </c>
      <c r="G173">
        <v>0</v>
      </c>
      <c r="H173">
        <v>1099</v>
      </c>
      <c r="I173">
        <v>4</v>
      </c>
    </row>
    <row r="174" spans="1:9" x14ac:dyDescent="0.25">
      <c r="A174" t="s">
        <v>84</v>
      </c>
      <c r="B174" t="s">
        <v>297</v>
      </c>
      <c r="C174">
        <v>0</v>
      </c>
      <c r="D174">
        <v>0</v>
      </c>
      <c r="E174">
        <v>0</v>
      </c>
      <c r="F174">
        <v>181</v>
      </c>
      <c r="G174">
        <v>0</v>
      </c>
      <c r="H174">
        <v>0</v>
      </c>
      <c r="I174">
        <v>0</v>
      </c>
    </row>
    <row r="175" spans="1:9" x14ac:dyDescent="0.25">
      <c r="A175" t="s">
        <v>84</v>
      </c>
      <c r="B175" t="s">
        <v>298</v>
      </c>
      <c r="C175">
        <v>170</v>
      </c>
      <c r="D175">
        <v>0</v>
      </c>
      <c r="E175">
        <v>0</v>
      </c>
      <c r="F175">
        <v>20</v>
      </c>
      <c r="G175">
        <v>0</v>
      </c>
      <c r="H175">
        <v>0</v>
      </c>
      <c r="I175">
        <v>0</v>
      </c>
    </row>
    <row r="176" spans="1:9" x14ac:dyDescent="0.25">
      <c r="A176" t="s">
        <v>84</v>
      </c>
      <c r="B176" t="s">
        <v>299</v>
      </c>
      <c r="C176">
        <v>0</v>
      </c>
      <c r="D176">
        <v>0</v>
      </c>
      <c r="E176">
        <v>139757</v>
      </c>
      <c r="F176">
        <v>34070</v>
      </c>
      <c r="G176">
        <v>0</v>
      </c>
      <c r="H176">
        <v>0</v>
      </c>
      <c r="I176">
        <v>0</v>
      </c>
    </row>
    <row r="177" spans="1:9" x14ac:dyDescent="0.25">
      <c r="A177" t="s">
        <v>84</v>
      </c>
      <c r="B177" t="s">
        <v>300</v>
      </c>
      <c r="C177">
        <v>0</v>
      </c>
      <c r="D177">
        <v>0</v>
      </c>
      <c r="E177">
        <v>146003</v>
      </c>
      <c r="F177">
        <v>0</v>
      </c>
      <c r="G177">
        <v>0</v>
      </c>
      <c r="H177">
        <v>0</v>
      </c>
      <c r="I177">
        <v>0</v>
      </c>
    </row>
    <row r="178" spans="1:9" x14ac:dyDescent="0.25">
      <c r="A178" t="s">
        <v>87</v>
      </c>
      <c r="B178" t="s">
        <v>295</v>
      </c>
      <c r="C178">
        <v>13000</v>
      </c>
      <c r="D178">
        <v>100</v>
      </c>
      <c r="E178">
        <v>1726320</v>
      </c>
      <c r="F178">
        <v>18955</v>
      </c>
      <c r="G178">
        <v>5800</v>
      </c>
      <c r="H178">
        <v>100</v>
      </c>
      <c r="I178">
        <v>0</v>
      </c>
    </row>
    <row r="179" spans="1:9" x14ac:dyDescent="0.25">
      <c r="A179" t="s">
        <v>87</v>
      </c>
      <c r="B179" t="s">
        <v>296</v>
      </c>
      <c r="C179">
        <v>2</v>
      </c>
      <c r="D179">
        <v>834</v>
      </c>
      <c r="E179">
        <v>656</v>
      </c>
      <c r="F179">
        <v>5214</v>
      </c>
      <c r="G179">
        <v>0</v>
      </c>
      <c r="H179">
        <v>305</v>
      </c>
      <c r="I179">
        <v>1</v>
      </c>
    </row>
    <row r="180" spans="1:9" x14ac:dyDescent="0.25">
      <c r="A180" t="s">
        <v>87</v>
      </c>
      <c r="B180" t="s">
        <v>297</v>
      </c>
      <c r="C180">
        <v>0</v>
      </c>
      <c r="D180">
        <v>0</v>
      </c>
      <c r="E180">
        <v>0</v>
      </c>
      <c r="F180">
        <v>24</v>
      </c>
      <c r="G180">
        <v>0</v>
      </c>
      <c r="H180">
        <v>0</v>
      </c>
      <c r="I180">
        <v>0</v>
      </c>
    </row>
    <row r="181" spans="1:9" x14ac:dyDescent="0.25">
      <c r="A181" t="s">
        <v>87</v>
      </c>
      <c r="B181" t="s">
        <v>298</v>
      </c>
      <c r="C181">
        <v>0</v>
      </c>
      <c r="D181">
        <v>0</v>
      </c>
      <c r="E181">
        <v>0</v>
      </c>
      <c r="F181">
        <v>6</v>
      </c>
      <c r="G181">
        <v>0</v>
      </c>
      <c r="H181">
        <v>0</v>
      </c>
      <c r="I181">
        <v>0</v>
      </c>
    </row>
    <row r="182" spans="1:9" x14ac:dyDescent="0.25">
      <c r="A182" t="s">
        <v>87</v>
      </c>
      <c r="B182" t="s">
        <v>299</v>
      </c>
      <c r="C182">
        <v>0</v>
      </c>
      <c r="D182">
        <v>0</v>
      </c>
      <c r="E182">
        <v>31388</v>
      </c>
      <c r="F182">
        <v>7652</v>
      </c>
      <c r="G182">
        <v>0</v>
      </c>
      <c r="H182">
        <v>0</v>
      </c>
      <c r="I182">
        <v>0</v>
      </c>
    </row>
    <row r="183" spans="1:9" x14ac:dyDescent="0.25">
      <c r="A183" t="s">
        <v>87</v>
      </c>
      <c r="B183" t="s">
        <v>300</v>
      </c>
      <c r="C183">
        <v>0</v>
      </c>
      <c r="D183">
        <v>0</v>
      </c>
      <c r="E183">
        <v>56497</v>
      </c>
      <c r="F183">
        <v>0</v>
      </c>
      <c r="G183">
        <v>0</v>
      </c>
      <c r="H183">
        <v>0</v>
      </c>
      <c r="I183">
        <v>0</v>
      </c>
    </row>
    <row r="184" spans="1:9" x14ac:dyDescent="0.25">
      <c r="A184" t="s">
        <v>90</v>
      </c>
      <c r="B184" t="s">
        <v>295</v>
      </c>
      <c r="C184">
        <v>65600</v>
      </c>
      <c r="D184">
        <v>200</v>
      </c>
      <c r="E184">
        <v>2079840</v>
      </c>
      <c r="F184">
        <v>17693</v>
      </c>
      <c r="G184">
        <v>13400</v>
      </c>
      <c r="H184">
        <v>100</v>
      </c>
      <c r="I184">
        <v>0</v>
      </c>
    </row>
    <row r="185" spans="1:9" x14ac:dyDescent="0.25">
      <c r="A185" t="s">
        <v>90</v>
      </c>
      <c r="B185" t="s">
        <v>296</v>
      </c>
      <c r="C185">
        <v>2</v>
      </c>
      <c r="D185">
        <v>937</v>
      </c>
      <c r="E185">
        <v>738</v>
      </c>
      <c r="F185">
        <v>5860</v>
      </c>
      <c r="G185">
        <v>0</v>
      </c>
      <c r="H185">
        <v>343</v>
      </c>
      <c r="I185">
        <v>1</v>
      </c>
    </row>
    <row r="186" spans="1:9" x14ac:dyDescent="0.25">
      <c r="A186" t="s">
        <v>90</v>
      </c>
      <c r="B186" t="s">
        <v>297</v>
      </c>
      <c r="C186">
        <v>0</v>
      </c>
      <c r="D186">
        <v>0</v>
      </c>
      <c r="E186">
        <v>0</v>
      </c>
      <c r="F186">
        <v>203</v>
      </c>
      <c r="G186">
        <v>0</v>
      </c>
      <c r="H186">
        <v>0</v>
      </c>
      <c r="I186">
        <v>0</v>
      </c>
    </row>
    <row r="187" spans="1:9" x14ac:dyDescent="0.25">
      <c r="A187" t="s">
        <v>90</v>
      </c>
      <c r="B187" t="s">
        <v>298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</row>
    <row r="188" spans="1:9" x14ac:dyDescent="0.25">
      <c r="A188" t="s">
        <v>90</v>
      </c>
      <c r="B188" t="s">
        <v>299</v>
      </c>
      <c r="C188">
        <v>0</v>
      </c>
      <c r="D188">
        <v>0</v>
      </c>
      <c r="E188">
        <v>41543</v>
      </c>
      <c r="F188">
        <v>10127</v>
      </c>
      <c r="G188">
        <v>0</v>
      </c>
      <c r="H188">
        <v>0</v>
      </c>
      <c r="I188">
        <v>0</v>
      </c>
    </row>
    <row r="189" spans="1:9" x14ac:dyDescent="0.25">
      <c r="A189" t="s">
        <v>90</v>
      </c>
      <c r="B189" t="s">
        <v>300</v>
      </c>
      <c r="C189">
        <v>0</v>
      </c>
      <c r="D189">
        <v>0</v>
      </c>
      <c r="E189">
        <v>87702</v>
      </c>
      <c r="F189">
        <v>0</v>
      </c>
      <c r="G189">
        <v>0</v>
      </c>
      <c r="H189">
        <v>0</v>
      </c>
      <c r="I189">
        <v>0</v>
      </c>
    </row>
    <row r="190" spans="1:9" x14ac:dyDescent="0.25">
      <c r="A190" t="s">
        <v>93</v>
      </c>
      <c r="B190" t="s">
        <v>295</v>
      </c>
      <c r="C190">
        <v>168100</v>
      </c>
      <c r="D190">
        <v>300</v>
      </c>
      <c r="E190">
        <v>10402200</v>
      </c>
      <c r="F190">
        <v>31743</v>
      </c>
      <c r="G190">
        <v>111400</v>
      </c>
      <c r="H190">
        <v>0</v>
      </c>
      <c r="I190">
        <v>0</v>
      </c>
    </row>
    <row r="191" spans="1:9" x14ac:dyDescent="0.25">
      <c r="A191" t="s">
        <v>93</v>
      </c>
      <c r="B191" t="s">
        <v>296</v>
      </c>
      <c r="C191">
        <v>54</v>
      </c>
      <c r="D191">
        <v>23268</v>
      </c>
      <c r="E191">
        <v>18312</v>
      </c>
      <c r="F191">
        <v>145485</v>
      </c>
      <c r="G191">
        <v>0</v>
      </c>
      <c r="H191">
        <v>8524</v>
      </c>
      <c r="I191">
        <v>32</v>
      </c>
    </row>
    <row r="192" spans="1:9" x14ac:dyDescent="0.25">
      <c r="A192" t="s">
        <v>93</v>
      </c>
      <c r="B192" t="s">
        <v>297</v>
      </c>
      <c r="C192">
        <v>0</v>
      </c>
      <c r="D192">
        <v>0</v>
      </c>
      <c r="E192">
        <v>0</v>
      </c>
      <c r="F192">
        <v>415</v>
      </c>
      <c r="G192">
        <v>0</v>
      </c>
      <c r="H192">
        <v>0</v>
      </c>
      <c r="I192">
        <v>0</v>
      </c>
    </row>
    <row r="193" spans="1:9" x14ac:dyDescent="0.25">
      <c r="A193" t="s">
        <v>93</v>
      </c>
      <c r="B193" t="s">
        <v>298</v>
      </c>
      <c r="C193">
        <v>748</v>
      </c>
      <c r="D193">
        <v>0</v>
      </c>
      <c r="E193">
        <v>0</v>
      </c>
      <c r="F193">
        <v>14</v>
      </c>
      <c r="G193">
        <v>0</v>
      </c>
      <c r="H193">
        <v>0</v>
      </c>
      <c r="I193">
        <v>0</v>
      </c>
    </row>
    <row r="194" spans="1:9" x14ac:dyDescent="0.25">
      <c r="A194" t="s">
        <v>93</v>
      </c>
      <c r="B194" t="s">
        <v>299</v>
      </c>
      <c r="C194">
        <v>0</v>
      </c>
      <c r="D194">
        <v>0</v>
      </c>
      <c r="E194">
        <v>423870</v>
      </c>
      <c r="F194">
        <v>103331</v>
      </c>
      <c r="G194">
        <v>0</v>
      </c>
      <c r="H194">
        <v>0</v>
      </c>
      <c r="I194">
        <v>0</v>
      </c>
    </row>
    <row r="195" spans="1:9" x14ac:dyDescent="0.25">
      <c r="A195" t="s">
        <v>93</v>
      </c>
      <c r="B195" t="s">
        <v>300</v>
      </c>
      <c r="C195">
        <v>0</v>
      </c>
      <c r="D195">
        <v>0</v>
      </c>
      <c r="E195">
        <v>794820</v>
      </c>
      <c r="F195">
        <v>0</v>
      </c>
      <c r="G195">
        <v>0</v>
      </c>
      <c r="H195">
        <v>0</v>
      </c>
      <c r="I195">
        <v>0</v>
      </c>
    </row>
    <row r="196" spans="1:9" x14ac:dyDescent="0.25">
      <c r="A196" t="s">
        <v>96</v>
      </c>
      <c r="B196" t="s">
        <v>295</v>
      </c>
      <c r="C196">
        <v>69400</v>
      </c>
      <c r="D196">
        <v>600</v>
      </c>
      <c r="E196">
        <v>10197000</v>
      </c>
      <c r="F196">
        <v>41588</v>
      </c>
      <c r="G196">
        <v>29700</v>
      </c>
      <c r="H196">
        <v>100</v>
      </c>
      <c r="I196">
        <v>0</v>
      </c>
    </row>
    <row r="197" spans="1:9" x14ac:dyDescent="0.25">
      <c r="A197" t="s">
        <v>96</v>
      </c>
      <c r="B197" t="s">
        <v>296</v>
      </c>
      <c r="C197">
        <v>10</v>
      </c>
      <c r="D197">
        <v>4192</v>
      </c>
      <c r="E197">
        <v>3299</v>
      </c>
      <c r="F197">
        <v>26209</v>
      </c>
      <c r="G197">
        <v>0</v>
      </c>
      <c r="H197">
        <v>1536</v>
      </c>
      <c r="I197">
        <v>6</v>
      </c>
    </row>
    <row r="198" spans="1:9" x14ac:dyDescent="0.25">
      <c r="A198" t="s">
        <v>96</v>
      </c>
      <c r="B198" t="s">
        <v>297</v>
      </c>
      <c r="C198">
        <v>0</v>
      </c>
      <c r="D198">
        <v>0</v>
      </c>
      <c r="E198">
        <v>0</v>
      </c>
      <c r="F198">
        <v>80</v>
      </c>
      <c r="G198">
        <v>0</v>
      </c>
      <c r="H198">
        <v>0</v>
      </c>
      <c r="I198">
        <v>0</v>
      </c>
    </row>
    <row r="199" spans="1:9" x14ac:dyDescent="0.25">
      <c r="A199" t="s">
        <v>96</v>
      </c>
      <c r="B199" t="s">
        <v>298</v>
      </c>
      <c r="C199">
        <v>21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</row>
    <row r="200" spans="1:9" x14ac:dyDescent="0.25">
      <c r="A200" t="s">
        <v>96</v>
      </c>
      <c r="B200" t="s">
        <v>299</v>
      </c>
      <c r="C200">
        <v>0</v>
      </c>
      <c r="D200">
        <v>0</v>
      </c>
      <c r="E200">
        <v>283476</v>
      </c>
      <c r="F200">
        <v>69106</v>
      </c>
      <c r="G200">
        <v>0</v>
      </c>
      <c r="H200">
        <v>0</v>
      </c>
      <c r="I200">
        <v>0</v>
      </c>
    </row>
    <row r="201" spans="1:9" x14ac:dyDescent="0.25">
      <c r="A201" t="s">
        <v>96</v>
      </c>
      <c r="B201" t="s">
        <v>300</v>
      </c>
      <c r="C201">
        <v>0</v>
      </c>
      <c r="D201">
        <v>0</v>
      </c>
      <c r="E201">
        <v>422404</v>
      </c>
      <c r="F201">
        <v>0</v>
      </c>
      <c r="G201">
        <v>0</v>
      </c>
      <c r="H201">
        <v>0</v>
      </c>
      <c r="I201">
        <v>0</v>
      </c>
    </row>
    <row r="202" spans="1:9" x14ac:dyDescent="0.25">
      <c r="A202" t="s">
        <v>98</v>
      </c>
      <c r="B202" t="s">
        <v>295</v>
      </c>
      <c r="C202">
        <v>22600</v>
      </c>
      <c r="D202">
        <v>1700</v>
      </c>
      <c r="E202">
        <v>3300240</v>
      </c>
      <c r="F202">
        <v>32652</v>
      </c>
      <c r="G202">
        <v>7632</v>
      </c>
      <c r="H202">
        <v>200</v>
      </c>
      <c r="I202">
        <v>0</v>
      </c>
    </row>
    <row r="203" spans="1:9" x14ac:dyDescent="0.25">
      <c r="A203" t="s">
        <v>98</v>
      </c>
      <c r="B203" t="s">
        <v>296</v>
      </c>
      <c r="C203">
        <v>1</v>
      </c>
      <c r="D203">
        <v>244</v>
      </c>
      <c r="E203">
        <v>192</v>
      </c>
      <c r="F203">
        <v>1526</v>
      </c>
      <c r="G203">
        <v>0</v>
      </c>
      <c r="H203">
        <v>89</v>
      </c>
      <c r="I203">
        <v>0</v>
      </c>
    </row>
    <row r="204" spans="1:9" x14ac:dyDescent="0.25">
      <c r="A204" t="s">
        <v>98</v>
      </c>
      <c r="B204" t="s">
        <v>297</v>
      </c>
      <c r="C204">
        <v>0</v>
      </c>
      <c r="D204">
        <v>0</v>
      </c>
      <c r="E204">
        <v>0</v>
      </c>
      <c r="F204">
        <v>28</v>
      </c>
      <c r="G204">
        <v>0</v>
      </c>
      <c r="H204">
        <v>0</v>
      </c>
      <c r="I204">
        <v>0</v>
      </c>
    </row>
    <row r="205" spans="1:9" x14ac:dyDescent="0.25">
      <c r="A205" t="s">
        <v>98</v>
      </c>
      <c r="B205" t="s">
        <v>298</v>
      </c>
      <c r="C205">
        <v>4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</row>
    <row r="206" spans="1:9" x14ac:dyDescent="0.25">
      <c r="A206" t="s">
        <v>98</v>
      </c>
      <c r="B206" t="s">
        <v>299</v>
      </c>
      <c r="C206">
        <v>0</v>
      </c>
      <c r="D206">
        <v>0</v>
      </c>
      <c r="E206">
        <v>180719</v>
      </c>
      <c r="F206">
        <v>44056</v>
      </c>
      <c r="G206">
        <v>0</v>
      </c>
      <c r="H206">
        <v>0</v>
      </c>
      <c r="I206">
        <v>0</v>
      </c>
    </row>
    <row r="207" spans="1:9" x14ac:dyDescent="0.25">
      <c r="A207" t="s">
        <v>98</v>
      </c>
      <c r="B207" t="s">
        <v>300</v>
      </c>
      <c r="C207">
        <v>0</v>
      </c>
      <c r="D207">
        <v>0</v>
      </c>
      <c r="E207">
        <v>139387</v>
      </c>
      <c r="F207">
        <v>0</v>
      </c>
      <c r="G207">
        <v>0</v>
      </c>
      <c r="H207">
        <v>0</v>
      </c>
      <c r="I207">
        <v>0</v>
      </c>
    </row>
    <row r="208" spans="1:9" x14ac:dyDescent="0.25">
      <c r="A208" t="s">
        <v>101</v>
      </c>
      <c r="B208" t="s">
        <v>295</v>
      </c>
      <c r="C208">
        <v>78400</v>
      </c>
      <c r="D208">
        <v>100</v>
      </c>
      <c r="E208">
        <v>3715280</v>
      </c>
      <c r="F208">
        <v>42482</v>
      </c>
      <c r="G208">
        <v>33200</v>
      </c>
      <c r="H208">
        <v>100</v>
      </c>
      <c r="I208">
        <v>0</v>
      </c>
    </row>
    <row r="209" spans="1:9" x14ac:dyDescent="0.25">
      <c r="A209" t="s">
        <v>101</v>
      </c>
      <c r="B209" t="s">
        <v>296</v>
      </c>
      <c r="C209">
        <v>5</v>
      </c>
      <c r="D209">
        <v>2162</v>
      </c>
      <c r="E209">
        <v>1702</v>
      </c>
      <c r="F209">
        <v>13519</v>
      </c>
      <c r="G209">
        <v>0</v>
      </c>
      <c r="H209">
        <v>792</v>
      </c>
      <c r="I209">
        <v>3</v>
      </c>
    </row>
    <row r="210" spans="1:9" x14ac:dyDescent="0.25">
      <c r="A210" t="s">
        <v>101</v>
      </c>
      <c r="B210" t="s">
        <v>297</v>
      </c>
      <c r="C210">
        <v>0</v>
      </c>
      <c r="D210">
        <v>0</v>
      </c>
      <c r="E210">
        <v>0</v>
      </c>
      <c r="F210">
        <v>85</v>
      </c>
      <c r="G210">
        <v>0</v>
      </c>
      <c r="H210">
        <v>0</v>
      </c>
      <c r="I210">
        <v>0</v>
      </c>
    </row>
    <row r="211" spans="1:9" x14ac:dyDescent="0.25">
      <c r="A211" t="s">
        <v>101</v>
      </c>
      <c r="B211" t="s">
        <v>298</v>
      </c>
      <c r="C211">
        <v>64</v>
      </c>
      <c r="D211">
        <v>0</v>
      </c>
      <c r="E211">
        <v>0</v>
      </c>
      <c r="F211">
        <v>1</v>
      </c>
      <c r="G211">
        <v>0</v>
      </c>
      <c r="H211">
        <v>0</v>
      </c>
      <c r="I211">
        <v>0</v>
      </c>
    </row>
    <row r="212" spans="1:9" x14ac:dyDescent="0.25">
      <c r="A212" t="s">
        <v>101</v>
      </c>
      <c r="B212" t="s">
        <v>299</v>
      </c>
      <c r="C212">
        <v>0</v>
      </c>
      <c r="D212">
        <v>0</v>
      </c>
      <c r="E212">
        <v>152687</v>
      </c>
      <c r="F212">
        <v>37222</v>
      </c>
      <c r="G212">
        <v>0</v>
      </c>
      <c r="H212">
        <v>0</v>
      </c>
      <c r="I212">
        <v>0</v>
      </c>
    </row>
    <row r="213" spans="1:9" x14ac:dyDescent="0.25">
      <c r="A213" t="s">
        <v>101</v>
      </c>
      <c r="B213" t="s">
        <v>300</v>
      </c>
      <c r="C213">
        <v>0</v>
      </c>
      <c r="D213">
        <v>0</v>
      </c>
      <c r="E213">
        <v>143067</v>
      </c>
      <c r="F213">
        <v>0</v>
      </c>
      <c r="G213">
        <v>0</v>
      </c>
      <c r="H213">
        <v>0</v>
      </c>
      <c r="I213">
        <v>0</v>
      </c>
    </row>
    <row r="214" spans="1:9" x14ac:dyDescent="0.25">
      <c r="A214" t="s">
        <v>104</v>
      </c>
      <c r="B214" t="s">
        <v>295</v>
      </c>
      <c r="C214">
        <v>89900</v>
      </c>
      <c r="D214">
        <v>500</v>
      </c>
      <c r="E214">
        <v>9487520</v>
      </c>
      <c r="F214">
        <v>40866</v>
      </c>
      <c r="G214">
        <v>47600</v>
      </c>
      <c r="H214">
        <v>0</v>
      </c>
      <c r="I214">
        <v>0</v>
      </c>
    </row>
    <row r="215" spans="1:9" x14ac:dyDescent="0.25">
      <c r="A215" t="s">
        <v>104</v>
      </c>
      <c r="B215" t="s">
        <v>296</v>
      </c>
      <c r="C215">
        <v>15</v>
      </c>
      <c r="D215">
        <v>6396</v>
      </c>
      <c r="E215">
        <v>5034</v>
      </c>
      <c r="F215">
        <v>39992</v>
      </c>
      <c r="G215">
        <v>0</v>
      </c>
      <c r="H215">
        <v>2343</v>
      </c>
      <c r="I215">
        <v>9</v>
      </c>
    </row>
    <row r="216" spans="1:9" x14ac:dyDescent="0.25">
      <c r="A216" t="s">
        <v>104</v>
      </c>
      <c r="B216" t="s">
        <v>297</v>
      </c>
      <c r="C216">
        <v>0</v>
      </c>
      <c r="D216">
        <v>0</v>
      </c>
      <c r="E216">
        <v>0</v>
      </c>
      <c r="F216">
        <v>170</v>
      </c>
      <c r="G216">
        <v>0</v>
      </c>
      <c r="H216">
        <v>0</v>
      </c>
      <c r="I216">
        <v>0</v>
      </c>
    </row>
    <row r="217" spans="1:9" x14ac:dyDescent="0.25">
      <c r="A217" t="s">
        <v>104</v>
      </c>
      <c r="B217" t="s">
        <v>298</v>
      </c>
      <c r="C217">
        <v>266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</row>
    <row r="218" spans="1:9" x14ac:dyDescent="0.25">
      <c r="A218" t="s">
        <v>104</v>
      </c>
      <c r="B218" t="s">
        <v>299</v>
      </c>
      <c r="C218">
        <v>0</v>
      </c>
      <c r="D218">
        <v>0</v>
      </c>
      <c r="E218">
        <v>269239</v>
      </c>
      <c r="F218">
        <v>65635</v>
      </c>
      <c r="G218">
        <v>0</v>
      </c>
      <c r="H218">
        <v>0</v>
      </c>
      <c r="I218">
        <v>0</v>
      </c>
    </row>
    <row r="219" spans="1:9" x14ac:dyDescent="0.25">
      <c r="A219" t="s">
        <v>104</v>
      </c>
      <c r="B219" t="s">
        <v>300</v>
      </c>
      <c r="C219">
        <v>0</v>
      </c>
      <c r="D219">
        <v>0</v>
      </c>
      <c r="E219">
        <v>342114</v>
      </c>
      <c r="F219">
        <v>0</v>
      </c>
      <c r="G219">
        <v>0</v>
      </c>
      <c r="H219">
        <v>0</v>
      </c>
      <c r="I219">
        <v>0</v>
      </c>
    </row>
    <row r="220" spans="1:9" x14ac:dyDescent="0.25">
      <c r="A220" t="s">
        <v>107</v>
      </c>
      <c r="B220" t="s">
        <v>295</v>
      </c>
      <c r="C220">
        <v>8300</v>
      </c>
      <c r="D220">
        <v>0</v>
      </c>
      <c r="E220">
        <v>754429</v>
      </c>
      <c r="F220">
        <v>2189</v>
      </c>
      <c r="G220">
        <v>6000</v>
      </c>
      <c r="H220">
        <v>0</v>
      </c>
      <c r="I220">
        <v>0</v>
      </c>
    </row>
    <row r="221" spans="1:9" x14ac:dyDescent="0.25">
      <c r="A221" t="s">
        <v>107</v>
      </c>
      <c r="B221" t="s">
        <v>296</v>
      </c>
      <c r="C221">
        <v>1</v>
      </c>
      <c r="D221">
        <v>261</v>
      </c>
      <c r="E221">
        <v>206</v>
      </c>
      <c r="F221">
        <v>1633</v>
      </c>
      <c r="G221">
        <v>0</v>
      </c>
      <c r="H221">
        <v>96</v>
      </c>
      <c r="I221">
        <v>0</v>
      </c>
    </row>
    <row r="222" spans="1:9" x14ac:dyDescent="0.25">
      <c r="A222" t="s">
        <v>107</v>
      </c>
      <c r="B222" t="s">
        <v>297</v>
      </c>
      <c r="C222">
        <v>0</v>
      </c>
      <c r="D222">
        <v>0</v>
      </c>
      <c r="E222">
        <v>0</v>
      </c>
      <c r="F222">
        <v>24</v>
      </c>
      <c r="G222">
        <v>0</v>
      </c>
      <c r="H222">
        <v>0</v>
      </c>
      <c r="I222">
        <v>0</v>
      </c>
    </row>
    <row r="223" spans="1:9" x14ac:dyDescent="0.25">
      <c r="A223" t="s">
        <v>107</v>
      </c>
      <c r="B223" t="s">
        <v>298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</row>
    <row r="224" spans="1:9" x14ac:dyDescent="0.25">
      <c r="A224" t="s">
        <v>107</v>
      </c>
      <c r="B224" t="s">
        <v>299</v>
      </c>
      <c r="C224">
        <v>0</v>
      </c>
      <c r="D224">
        <v>0</v>
      </c>
      <c r="E224">
        <v>35150</v>
      </c>
      <c r="F224">
        <v>8569</v>
      </c>
      <c r="G224">
        <v>0</v>
      </c>
      <c r="H224">
        <v>0</v>
      </c>
      <c r="I224">
        <v>0</v>
      </c>
    </row>
    <row r="225" spans="1:9" x14ac:dyDescent="0.25">
      <c r="A225" t="s">
        <v>107</v>
      </c>
      <c r="B225" t="s">
        <v>300</v>
      </c>
      <c r="C225">
        <v>0</v>
      </c>
      <c r="D225">
        <v>0</v>
      </c>
      <c r="E225">
        <v>25375</v>
      </c>
      <c r="F225">
        <v>0</v>
      </c>
      <c r="G225">
        <v>0</v>
      </c>
      <c r="H225">
        <v>0</v>
      </c>
      <c r="I225">
        <v>0</v>
      </c>
    </row>
    <row r="226" spans="1:9" x14ac:dyDescent="0.25">
      <c r="A226" t="s">
        <v>109</v>
      </c>
      <c r="B226" t="s">
        <v>295</v>
      </c>
      <c r="C226">
        <v>26800</v>
      </c>
      <c r="D226">
        <v>100</v>
      </c>
      <c r="E226">
        <v>4605030</v>
      </c>
      <c r="F226">
        <v>24660</v>
      </c>
      <c r="G226">
        <v>11100</v>
      </c>
      <c r="H226">
        <v>100</v>
      </c>
      <c r="I226">
        <v>0</v>
      </c>
    </row>
    <row r="227" spans="1:9" x14ac:dyDescent="0.25">
      <c r="A227" t="s">
        <v>109</v>
      </c>
      <c r="B227" t="s">
        <v>296</v>
      </c>
      <c r="C227">
        <v>4</v>
      </c>
      <c r="D227">
        <v>1709</v>
      </c>
      <c r="E227">
        <v>1345</v>
      </c>
      <c r="F227">
        <v>10686</v>
      </c>
      <c r="G227">
        <v>0</v>
      </c>
      <c r="H227">
        <v>626</v>
      </c>
      <c r="I227">
        <v>2</v>
      </c>
    </row>
    <row r="228" spans="1:9" x14ac:dyDescent="0.25">
      <c r="A228" t="s">
        <v>109</v>
      </c>
      <c r="B228" t="s">
        <v>297</v>
      </c>
      <c r="C228">
        <v>0</v>
      </c>
      <c r="D228">
        <v>0</v>
      </c>
      <c r="E228">
        <v>0</v>
      </c>
      <c r="F228">
        <v>43</v>
      </c>
      <c r="G228">
        <v>0</v>
      </c>
      <c r="H228">
        <v>0</v>
      </c>
      <c r="I228">
        <v>0</v>
      </c>
    </row>
    <row r="229" spans="1:9" x14ac:dyDescent="0.25">
      <c r="A229" t="s">
        <v>109</v>
      </c>
      <c r="B229" t="s">
        <v>298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</row>
    <row r="230" spans="1:9" x14ac:dyDescent="0.25">
      <c r="A230" t="s">
        <v>109</v>
      </c>
      <c r="B230" t="s">
        <v>299</v>
      </c>
      <c r="C230">
        <v>0</v>
      </c>
      <c r="D230">
        <v>0</v>
      </c>
      <c r="E230">
        <v>408979</v>
      </c>
      <c r="F230">
        <v>99701</v>
      </c>
      <c r="G230">
        <v>0</v>
      </c>
      <c r="H230">
        <v>0</v>
      </c>
      <c r="I230">
        <v>0</v>
      </c>
    </row>
    <row r="231" spans="1:9" x14ac:dyDescent="0.25">
      <c r="A231" t="s">
        <v>109</v>
      </c>
      <c r="B231" t="s">
        <v>300</v>
      </c>
      <c r="C231">
        <v>0</v>
      </c>
      <c r="D231">
        <v>0</v>
      </c>
      <c r="E231">
        <v>125526</v>
      </c>
      <c r="F231">
        <v>0</v>
      </c>
      <c r="G231">
        <v>0</v>
      </c>
      <c r="H231">
        <v>0</v>
      </c>
      <c r="I231">
        <v>0</v>
      </c>
    </row>
    <row r="232" spans="1:9" x14ac:dyDescent="0.25">
      <c r="A232" t="s">
        <v>112</v>
      </c>
      <c r="B232" t="s">
        <v>295</v>
      </c>
      <c r="C232">
        <v>2300</v>
      </c>
      <c r="D232">
        <v>0</v>
      </c>
      <c r="E232">
        <v>1143730</v>
      </c>
      <c r="F232">
        <v>12185</v>
      </c>
      <c r="G232">
        <v>1700</v>
      </c>
      <c r="H232">
        <v>0</v>
      </c>
      <c r="I232">
        <v>0</v>
      </c>
    </row>
    <row r="233" spans="1:9" x14ac:dyDescent="0.25">
      <c r="A233" t="s">
        <v>112</v>
      </c>
      <c r="B233" t="s">
        <v>296</v>
      </c>
      <c r="C233">
        <v>6</v>
      </c>
      <c r="D233">
        <v>2747</v>
      </c>
      <c r="E233">
        <v>2162</v>
      </c>
      <c r="F233">
        <v>17178</v>
      </c>
      <c r="G233">
        <v>0</v>
      </c>
      <c r="H233">
        <v>1006</v>
      </c>
      <c r="I233">
        <v>4</v>
      </c>
    </row>
    <row r="234" spans="1:9" x14ac:dyDescent="0.25">
      <c r="A234" t="s">
        <v>112</v>
      </c>
      <c r="B234" t="s">
        <v>297</v>
      </c>
      <c r="C234">
        <v>0</v>
      </c>
      <c r="D234">
        <v>0</v>
      </c>
      <c r="E234">
        <v>0</v>
      </c>
      <c r="F234">
        <v>24</v>
      </c>
      <c r="G234">
        <v>0</v>
      </c>
      <c r="H234">
        <v>0</v>
      </c>
      <c r="I234">
        <v>0</v>
      </c>
    </row>
    <row r="235" spans="1:9" x14ac:dyDescent="0.25">
      <c r="A235" t="s">
        <v>112</v>
      </c>
      <c r="B235" t="s">
        <v>298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</row>
    <row r="236" spans="1:9" x14ac:dyDescent="0.25">
      <c r="A236" t="s">
        <v>112</v>
      </c>
      <c r="B236" t="s">
        <v>299</v>
      </c>
      <c r="C236">
        <v>0</v>
      </c>
      <c r="D236">
        <v>0</v>
      </c>
      <c r="E236">
        <v>49171</v>
      </c>
      <c r="F236">
        <v>11987</v>
      </c>
      <c r="G236">
        <v>0</v>
      </c>
      <c r="H236">
        <v>0</v>
      </c>
      <c r="I236">
        <v>0</v>
      </c>
    </row>
    <row r="237" spans="1:9" x14ac:dyDescent="0.25">
      <c r="A237" t="s">
        <v>112</v>
      </c>
      <c r="B237" t="s">
        <v>300</v>
      </c>
      <c r="C237">
        <v>0</v>
      </c>
      <c r="D237">
        <v>0</v>
      </c>
      <c r="E237">
        <v>147254</v>
      </c>
      <c r="F237">
        <v>0</v>
      </c>
      <c r="G237">
        <v>0</v>
      </c>
      <c r="H237">
        <v>0</v>
      </c>
      <c r="I237">
        <v>0</v>
      </c>
    </row>
    <row r="238" spans="1:9" x14ac:dyDescent="0.25">
      <c r="A238" t="s">
        <v>115</v>
      </c>
      <c r="B238" t="s">
        <v>295</v>
      </c>
      <c r="C238">
        <v>42600</v>
      </c>
      <c r="D238">
        <v>100</v>
      </c>
      <c r="E238">
        <v>6482770</v>
      </c>
      <c r="F238">
        <v>33772</v>
      </c>
      <c r="G238">
        <v>12800</v>
      </c>
      <c r="H238">
        <v>100</v>
      </c>
      <c r="I238">
        <v>0</v>
      </c>
    </row>
    <row r="239" spans="1:9" x14ac:dyDescent="0.25">
      <c r="A239" t="s">
        <v>115</v>
      </c>
      <c r="B239" t="s">
        <v>296</v>
      </c>
      <c r="C239">
        <v>6</v>
      </c>
      <c r="D239">
        <v>2600</v>
      </c>
      <c r="E239">
        <v>2046</v>
      </c>
      <c r="F239">
        <v>16256</v>
      </c>
      <c r="G239">
        <v>0</v>
      </c>
      <c r="H239">
        <v>952</v>
      </c>
      <c r="I239">
        <v>4</v>
      </c>
    </row>
    <row r="240" spans="1:9" x14ac:dyDescent="0.25">
      <c r="A240" t="s">
        <v>115</v>
      </c>
      <c r="B240" t="s">
        <v>297</v>
      </c>
      <c r="C240">
        <v>0</v>
      </c>
      <c r="D240">
        <v>0</v>
      </c>
      <c r="E240">
        <v>0</v>
      </c>
      <c r="F240">
        <v>99</v>
      </c>
      <c r="G240">
        <v>0</v>
      </c>
      <c r="H240">
        <v>0</v>
      </c>
      <c r="I240">
        <v>0</v>
      </c>
    </row>
    <row r="241" spans="1:9" x14ac:dyDescent="0.25">
      <c r="A241" t="s">
        <v>115</v>
      </c>
      <c r="B241" t="s">
        <v>298</v>
      </c>
      <c r="C241">
        <v>2</v>
      </c>
      <c r="D241">
        <v>0</v>
      </c>
      <c r="E241">
        <v>0</v>
      </c>
      <c r="F241">
        <v>3</v>
      </c>
      <c r="G241">
        <v>0</v>
      </c>
      <c r="H241">
        <v>0</v>
      </c>
      <c r="I241">
        <v>0</v>
      </c>
    </row>
    <row r="242" spans="1:9" x14ac:dyDescent="0.25">
      <c r="A242" t="s">
        <v>115</v>
      </c>
      <c r="B242" t="s">
        <v>299</v>
      </c>
      <c r="C242">
        <v>0</v>
      </c>
      <c r="D242">
        <v>0</v>
      </c>
      <c r="E242">
        <v>238317</v>
      </c>
      <c r="F242">
        <v>58097</v>
      </c>
      <c r="G242">
        <v>0</v>
      </c>
      <c r="H242">
        <v>0</v>
      </c>
      <c r="I242">
        <v>0</v>
      </c>
    </row>
    <row r="243" spans="1:9" x14ac:dyDescent="0.25">
      <c r="A243" t="s">
        <v>115</v>
      </c>
      <c r="B243" t="s">
        <v>300</v>
      </c>
      <c r="C243">
        <v>0</v>
      </c>
      <c r="D243">
        <v>0</v>
      </c>
      <c r="E243">
        <v>204353</v>
      </c>
      <c r="F243">
        <v>0</v>
      </c>
      <c r="G243">
        <v>0</v>
      </c>
      <c r="H243">
        <v>0</v>
      </c>
      <c r="I243">
        <v>0</v>
      </c>
    </row>
    <row r="244" spans="1:9" x14ac:dyDescent="0.25">
      <c r="A244" t="s">
        <v>118</v>
      </c>
      <c r="B244" t="s">
        <v>295</v>
      </c>
      <c r="C244">
        <v>294700</v>
      </c>
      <c r="D244">
        <v>1300</v>
      </c>
      <c r="E244">
        <v>21379600</v>
      </c>
      <c r="F244">
        <v>193629</v>
      </c>
      <c r="G244">
        <v>64700</v>
      </c>
      <c r="H244">
        <v>1200</v>
      </c>
      <c r="I244">
        <v>0</v>
      </c>
    </row>
    <row r="245" spans="1:9" x14ac:dyDescent="0.25">
      <c r="A245" t="s">
        <v>118</v>
      </c>
      <c r="B245" t="s">
        <v>296</v>
      </c>
      <c r="C245">
        <v>18</v>
      </c>
      <c r="D245">
        <v>7739</v>
      </c>
      <c r="E245">
        <v>6091</v>
      </c>
      <c r="F245">
        <v>48391</v>
      </c>
      <c r="G245">
        <v>0</v>
      </c>
      <c r="H245">
        <v>2835</v>
      </c>
      <c r="I245">
        <v>10</v>
      </c>
    </row>
    <row r="246" spans="1:9" x14ac:dyDescent="0.25">
      <c r="A246" t="s">
        <v>118</v>
      </c>
      <c r="B246" t="s">
        <v>297</v>
      </c>
      <c r="C246">
        <v>0</v>
      </c>
      <c r="D246">
        <v>0</v>
      </c>
      <c r="E246">
        <v>0</v>
      </c>
      <c r="F246">
        <v>686</v>
      </c>
      <c r="G246">
        <v>0</v>
      </c>
      <c r="H246">
        <v>0</v>
      </c>
      <c r="I246">
        <v>0</v>
      </c>
    </row>
    <row r="247" spans="1:9" x14ac:dyDescent="0.25">
      <c r="A247" t="s">
        <v>118</v>
      </c>
      <c r="B247" t="s">
        <v>298</v>
      </c>
      <c r="C247">
        <v>84</v>
      </c>
      <c r="D247">
        <v>0</v>
      </c>
      <c r="E247">
        <v>0</v>
      </c>
      <c r="F247">
        <v>15</v>
      </c>
      <c r="G247">
        <v>0</v>
      </c>
      <c r="H247">
        <v>0</v>
      </c>
      <c r="I247">
        <v>0</v>
      </c>
    </row>
    <row r="248" spans="1:9" x14ac:dyDescent="0.25">
      <c r="A248" t="s">
        <v>118</v>
      </c>
      <c r="B248" t="s">
        <v>299</v>
      </c>
      <c r="C248">
        <v>0</v>
      </c>
      <c r="D248">
        <v>0</v>
      </c>
      <c r="E248">
        <v>524412</v>
      </c>
      <c r="F248">
        <v>127841</v>
      </c>
      <c r="G248">
        <v>0</v>
      </c>
      <c r="H248">
        <v>0</v>
      </c>
      <c r="I248">
        <v>0</v>
      </c>
    </row>
    <row r="249" spans="1:9" x14ac:dyDescent="0.25">
      <c r="A249" t="s">
        <v>118</v>
      </c>
      <c r="B249" t="s">
        <v>300</v>
      </c>
      <c r="C249">
        <v>0</v>
      </c>
      <c r="D249">
        <v>0</v>
      </c>
      <c r="E249">
        <v>326186</v>
      </c>
      <c r="F249">
        <v>0</v>
      </c>
      <c r="G249">
        <v>0</v>
      </c>
      <c r="H249">
        <v>0</v>
      </c>
      <c r="I249">
        <v>0</v>
      </c>
    </row>
    <row r="250" spans="1:9" x14ac:dyDescent="0.25">
      <c r="A250" t="s">
        <v>121</v>
      </c>
      <c r="B250" t="s">
        <v>295</v>
      </c>
      <c r="C250">
        <v>52200</v>
      </c>
      <c r="D250">
        <v>2000</v>
      </c>
      <c r="E250">
        <v>2677560</v>
      </c>
      <c r="F250">
        <v>36204</v>
      </c>
      <c r="G250">
        <v>15500</v>
      </c>
      <c r="H250">
        <v>500</v>
      </c>
      <c r="I250">
        <v>0</v>
      </c>
    </row>
    <row r="251" spans="1:9" x14ac:dyDescent="0.25">
      <c r="A251" t="s">
        <v>121</v>
      </c>
      <c r="B251" t="s">
        <v>296</v>
      </c>
      <c r="C251">
        <v>2</v>
      </c>
      <c r="D251">
        <v>954</v>
      </c>
      <c r="E251">
        <v>751</v>
      </c>
      <c r="F251">
        <v>5967</v>
      </c>
      <c r="G251">
        <v>0</v>
      </c>
      <c r="H251">
        <v>350</v>
      </c>
      <c r="I251">
        <v>1</v>
      </c>
    </row>
    <row r="252" spans="1:9" x14ac:dyDescent="0.25">
      <c r="A252" t="s">
        <v>121</v>
      </c>
      <c r="B252" t="s">
        <v>297</v>
      </c>
      <c r="C252">
        <v>0</v>
      </c>
      <c r="D252">
        <v>0</v>
      </c>
      <c r="E252">
        <v>0</v>
      </c>
      <c r="F252">
        <v>99</v>
      </c>
      <c r="G252">
        <v>0</v>
      </c>
      <c r="H252">
        <v>0</v>
      </c>
      <c r="I252">
        <v>0</v>
      </c>
    </row>
    <row r="253" spans="1:9" x14ac:dyDescent="0.25">
      <c r="A253" t="s">
        <v>121</v>
      </c>
      <c r="B253" t="s">
        <v>298</v>
      </c>
      <c r="C253">
        <v>33</v>
      </c>
      <c r="D253">
        <v>0</v>
      </c>
      <c r="E253">
        <v>0</v>
      </c>
      <c r="F253">
        <v>5</v>
      </c>
      <c r="G253">
        <v>0</v>
      </c>
      <c r="H253">
        <v>0</v>
      </c>
      <c r="I253">
        <v>0</v>
      </c>
    </row>
    <row r="254" spans="1:9" x14ac:dyDescent="0.25">
      <c r="A254" t="s">
        <v>121</v>
      </c>
      <c r="B254" t="s">
        <v>299</v>
      </c>
      <c r="C254">
        <v>0</v>
      </c>
      <c r="D254">
        <v>0</v>
      </c>
      <c r="E254">
        <v>60420</v>
      </c>
      <c r="F254">
        <v>14729</v>
      </c>
      <c r="G254">
        <v>0</v>
      </c>
      <c r="H254">
        <v>0</v>
      </c>
      <c r="I254">
        <v>0</v>
      </c>
    </row>
    <row r="255" spans="1:9" x14ac:dyDescent="0.25">
      <c r="A255" t="s">
        <v>121</v>
      </c>
      <c r="B255" t="s">
        <v>300</v>
      </c>
      <c r="C255">
        <v>0</v>
      </c>
      <c r="D255">
        <v>0</v>
      </c>
      <c r="E255">
        <v>256780</v>
      </c>
      <c r="F255">
        <v>0</v>
      </c>
      <c r="G255">
        <v>0</v>
      </c>
      <c r="H255">
        <v>0</v>
      </c>
      <c r="I255">
        <v>0</v>
      </c>
    </row>
    <row r="256" spans="1:9" x14ac:dyDescent="0.25">
      <c r="A256" t="s">
        <v>124</v>
      </c>
      <c r="B256" t="s">
        <v>295</v>
      </c>
      <c r="C256">
        <v>107400</v>
      </c>
      <c r="D256">
        <v>300</v>
      </c>
      <c r="E256">
        <v>7192280</v>
      </c>
      <c r="F256">
        <v>30645</v>
      </c>
      <c r="G256">
        <v>32100</v>
      </c>
      <c r="H256">
        <v>0</v>
      </c>
      <c r="I256">
        <v>0</v>
      </c>
    </row>
    <row r="257" spans="1:9" x14ac:dyDescent="0.25">
      <c r="A257" t="s">
        <v>124</v>
      </c>
      <c r="B257" t="s">
        <v>296</v>
      </c>
      <c r="C257">
        <v>10</v>
      </c>
      <c r="D257">
        <v>4350</v>
      </c>
      <c r="E257">
        <v>3423</v>
      </c>
      <c r="F257">
        <v>27197</v>
      </c>
      <c r="G257">
        <v>0</v>
      </c>
      <c r="H257">
        <v>1593</v>
      </c>
      <c r="I257">
        <v>6</v>
      </c>
    </row>
    <row r="258" spans="1:9" x14ac:dyDescent="0.25">
      <c r="A258" t="s">
        <v>124</v>
      </c>
      <c r="B258" t="s">
        <v>297</v>
      </c>
      <c r="C258">
        <v>0</v>
      </c>
      <c r="D258">
        <v>0</v>
      </c>
      <c r="E258">
        <v>0</v>
      </c>
      <c r="F258">
        <v>215</v>
      </c>
      <c r="G258">
        <v>0</v>
      </c>
      <c r="H258">
        <v>0</v>
      </c>
      <c r="I258">
        <v>0</v>
      </c>
    </row>
    <row r="259" spans="1:9" x14ac:dyDescent="0.25">
      <c r="A259" t="s">
        <v>124</v>
      </c>
      <c r="B259" t="s">
        <v>298</v>
      </c>
      <c r="C259">
        <v>17</v>
      </c>
      <c r="D259">
        <v>0</v>
      </c>
      <c r="E259">
        <v>0</v>
      </c>
      <c r="F259">
        <v>15</v>
      </c>
      <c r="G259">
        <v>0</v>
      </c>
      <c r="H259">
        <v>0</v>
      </c>
      <c r="I259">
        <v>0</v>
      </c>
    </row>
    <row r="260" spans="1:9" x14ac:dyDescent="0.25">
      <c r="A260" t="s">
        <v>124</v>
      </c>
      <c r="B260" t="s">
        <v>299</v>
      </c>
      <c r="C260">
        <v>0</v>
      </c>
      <c r="D260">
        <v>0</v>
      </c>
      <c r="E260">
        <v>216116</v>
      </c>
      <c r="F260">
        <v>52685</v>
      </c>
      <c r="G260">
        <v>0</v>
      </c>
      <c r="H260">
        <v>0</v>
      </c>
      <c r="I260">
        <v>0</v>
      </c>
    </row>
    <row r="261" spans="1:9" x14ac:dyDescent="0.25">
      <c r="A261" t="s">
        <v>124</v>
      </c>
      <c r="B261" t="s">
        <v>300</v>
      </c>
      <c r="C261">
        <v>0</v>
      </c>
      <c r="D261">
        <v>0</v>
      </c>
      <c r="E261">
        <v>190615</v>
      </c>
      <c r="F261">
        <v>0</v>
      </c>
      <c r="G261">
        <v>0</v>
      </c>
      <c r="H261">
        <v>0</v>
      </c>
      <c r="I261">
        <v>0</v>
      </c>
    </row>
    <row r="262" spans="1:9" x14ac:dyDescent="0.25">
      <c r="A262" t="s">
        <v>127</v>
      </c>
      <c r="B262" t="s">
        <v>295</v>
      </c>
      <c r="C262">
        <v>10200</v>
      </c>
      <c r="D262">
        <v>0</v>
      </c>
      <c r="E262">
        <v>579315</v>
      </c>
      <c r="F262">
        <v>3329</v>
      </c>
      <c r="G262">
        <v>6900</v>
      </c>
      <c r="H262">
        <v>0</v>
      </c>
      <c r="I262">
        <v>0</v>
      </c>
    </row>
    <row r="263" spans="1:9" x14ac:dyDescent="0.25">
      <c r="A263" t="s">
        <v>127</v>
      </c>
      <c r="B263" t="s">
        <v>296</v>
      </c>
      <c r="C263">
        <v>1</v>
      </c>
      <c r="D263">
        <v>257</v>
      </c>
      <c r="E263">
        <v>202</v>
      </c>
      <c r="F263">
        <v>1607</v>
      </c>
      <c r="G263">
        <v>0</v>
      </c>
      <c r="H263">
        <v>94</v>
      </c>
      <c r="I263">
        <v>0</v>
      </c>
    </row>
    <row r="264" spans="1:9" x14ac:dyDescent="0.25">
      <c r="A264" t="s">
        <v>127</v>
      </c>
      <c r="B264" t="s">
        <v>297</v>
      </c>
      <c r="C264">
        <v>0</v>
      </c>
      <c r="D264">
        <v>0</v>
      </c>
      <c r="E264">
        <v>0</v>
      </c>
      <c r="F264">
        <v>24</v>
      </c>
      <c r="G264">
        <v>0</v>
      </c>
      <c r="H264">
        <v>0</v>
      </c>
      <c r="I264">
        <v>0</v>
      </c>
    </row>
    <row r="265" spans="1:9" x14ac:dyDescent="0.25">
      <c r="A265" t="s">
        <v>127</v>
      </c>
      <c r="B265" t="s">
        <v>298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</row>
    <row r="266" spans="1:9" x14ac:dyDescent="0.25">
      <c r="A266" t="s">
        <v>127</v>
      </c>
      <c r="B266" t="s">
        <v>299</v>
      </c>
      <c r="C266">
        <v>0</v>
      </c>
      <c r="D266">
        <v>0</v>
      </c>
      <c r="E266">
        <v>27839</v>
      </c>
      <c r="F266">
        <v>6787</v>
      </c>
      <c r="G266">
        <v>0</v>
      </c>
      <c r="H266">
        <v>0</v>
      </c>
      <c r="I266">
        <v>0</v>
      </c>
    </row>
    <row r="267" spans="1:9" x14ac:dyDescent="0.25">
      <c r="A267" t="s">
        <v>127</v>
      </c>
      <c r="B267" t="s">
        <v>300</v>
      </c>
      <c r="C267">
        <v>0</v>
      </c>
      <c r="D267">
        <v>0</v>
      </c>
      <c r="E267">
        <v>31427</v>
      </c>
      <c r="F267">
        <v>0</v>
      </c>
      <c r="G267">
        <v>0</v>
      </c>
      <c r="H267">
        <v>0</v>
      </c>
      <c r="I267">
        <v>0</v>
      </c>
    </row>
    <row r="268" spans="1:9" x14ac:dyDescent="0.25">
      <c r="A268" t="s">
        <v>130</v>
      </c>
      <c r="B268" t="s">
        <v>295</v>
      </c>
      <c r="C268">
        <v>191400</v>
      </c>
      <c r="D268">
        <v>100</v>
      </c>
      <c r="E268">
        <v>6618340</v>
      </c>
      <c r="F268">
        <v>53781</v>
      </c>
      <c r="G268">
        <v>48500</v>
      </c>
      <c r="H268">
        <v>100</v>
      </c>
      <c r="I268">
        <v>0</v>
      </c>
    </row>
    <row r="269" spans="1:9" x14ac:dyDescent="0.25">
      <c r="A269" t="s">
        <v>130</v>
      </c>
      <c r="B269" t="s">
        <v>296</v>
      </c>
      <c r="C269">
        <v>7</v>
      </c>
      <c r="D269">
        <v>2884</v>
      </c>
      <c r="E269">
        <v>2270</v>
      </c>
      <c r="F269">
        <v>18033</v>
      </c>
      <c r="G269">
        <v>0</v>
      </c>
      <c r="H269">
        <v>1057</v>
      </c>
      <c r="I269">
        <v>4</v>
      </c>
    </row>
    <row r="270" spans="1:9" x14ac:dyDescent="0.25">
      <c r="A270" t="s">
        <v>130</v>
      </c>
      <c r="B270" t="s">
        <v>297</v>
      </c>
      <c r="C270">
        <v>0</v>
      </c>
      <c r="D270">
        <v>0</v>
      </c>
      <c r="E270">
        <v>0</v>
      </c>
      <c r="F270">
        <v>213</v>
      </c>
      <c r="G270">
        <v>0</v>
      </c>
      <c r="H270">
        <v>0</v>
      </c>
      <c r="I270">
        <v>0</v>
      </c>
    </row>
    <row r="271" spans="1:9" x14ac:dyDescent="0.25">
      <c r="A271" t="s">
        <v>130</v>
      </c>
      <c r="B271" t="s">
        <v>298</v>
      </c>
      <c r="C271">
        <v>36</v>
      </c>
      <c r="D271">
        <v>0</v>
      </c>
      <c r="E271">
        <v>0</v>
      </c>
      <c r="F271">
        <v>2</v>
      </c>
      <c r="G271">
        <v>0</v>
      </c>
      <c r="H271">
        <v>0</v>
      </c>
      <c r="I271">
        <v>0</v>
      </c>
    </row>
    <row r="272" spans="1:9" x14ac:dyDescent="0.25">
      <c r="A272" t="s">
        <v>130</v>
      </c>
      <c r="B272" t="s">
        <v>299</v>
      </c>
      <c r="C272">
        <v>0</v>
      </c>
      <c r="D272">
        <v>0</v>
      </c>
      <c r="E272">
        <v>212820</v>
      </c>
      <c r="F272">
        <v>51881</v>
      </c>
      <c r="G272">
        <v>0</v>
      </c>
      <c r="H272">
        <v>0</v>
      </c>
      <c r="I272">
        <v>0</v>
      </c>
    </row>
    <row r="273" spans="1:9" x14ac:dyDescent="0.25">
      <c r="A273" t="s">
        <v>130</v>
      </c>
      <c r="B273" t="s">
        <v>300</v>
      </c>
      <c r="C273">
        <v>0</v>
      </c>
      <c r="D273">
        <v>0</v>
      </c>
      <c r="E273">
        <v>200298</v>
      </c>
      <c r="F273">
        <v>0</v>
      </c>
      <c r="G273">
        <v>0</v>
      </c>
      <c r="H273">
        <v>0</v>
      </c>
      <c r="I273">
        <v>0</v>
      </c>
    </row>
    <row r="274" spans="1:9" x14ac:dyDescent="0.25">
      <c r="A274" t="s">
        <v>133</v>
      </c>
      <c r="B274" t="s">
        <v>295</v>
      </c>
      <c r="C274">
        <v>32300</v>
      </c>
      <c r="D274">
        <v>300</v>
      </c>
      <c r="E274">
        <v>5152120</v>
      </c>
      <c r="F274">
        <v>31286</v>
      </c>
      <c r="G274">
        <v>15100</v>
      </c>
      <c r="H274">
        <v>0</v>
      </c>
      <c r="I274">
        <v>0</v>
      </c>
    </row>
    <row r="275" spans="1:9" x14ac:dyDescent="0.25">
      <c r="A275" t="s">
        <v>133</v>
      </c>
      <c r="B275" t="s">
        <v>296</v>
      </c>
      <c r="C275">
        <v>3</v>
      </c>
      <c r="D275">
        <v>1372</v>
      </c>
      <c r="E275">
        <v>1080</v>
      </c>
      <c r="F275">
        <v>8577</v>
      </c>
      <c r="G275">
        <v>0</v>
      </c>
      <c r="H275">
        <v>503</v>
      </c>
      <c r="I275">
        <v>2</v>
      </c>
    </row>
    <row r="276" spans="1:9" x14ac:dyDescent="0.25">
      <c r="A276" t="s">
        <v>133</v>
      </c>
      <c r="B276" t="s">
        <v>297</v>
      </c>
      <c r="C276">
        <v>0</v>
      </c>
      <c r="D276">
        <v>0</v>
      </c>
      <c r="E276">
        <v>0</v>
      </c>
      <c r="F276">
        <v>42</v>
      </c>
      <c r="G276">
        <v>0</v>
      </c>
      <c r="H276">
        <v>0</v>
      </c>
      <c r="I276">
        <v>0</v>
      </c>
    </row>
    <row r="277" spans="1:9" x14ac:dyDescent="0.25">
      <c r="A277" t="s">
        <v>133</v>
      </c>
      <c r="B277" t="s">
        <v>298</v>
      </c>
      <c r="C277">
        <v>4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</row>
    <row r="278" spans="1:9" x14ac:dyDescent="0.25">
      <c r="A278" t="s">
        <v>133</v>
      </c>
      <c r="B278" t="s">
        <v>299</v>
      </c>
      <c r="C278">
        <v>0</v>
      </c>
      <c r="D278">
        <v>0</v>
      </c>
      <c r="E278">
        <v>545593</v>
      </c>
      <c r="F278">
        <v>133005</v>
      </c>
      <c r="G278">
        <v>0</v>
      </c>
      <c r="H278">
        <v>0</v>
      </c>
      <c r="I278">
        <v>0</v>
      </c>
    </row>
    <row r="279" spans="1:9" x14ac:dyDescent="0.25">
      <c r="A279" t="s">
        <v>133</v>
      </c>
      <c r="B279" t="s">
        <v>300</v>
      </c>
      <c r="C279">
        <v>0</v>
      </c>
      <c r="D279">
        <v>0</v>
      </c>
      <c r="E279">
        <v>279308</v>
      </c>
      <c r="F279">
        <v>0</v>
      </c>
      <c r="G279">
        <v>0</v>
      </c>
      <c r="H279">
        <v>0</v>
      </c>
      <c r="I279">
        <v>0</v>
      </c>
    </row>
    <row r="280" spans="1:9" x14ac:dyDescent="0.25">
      <c r="A280" t="s">
        <v>136</v>
      </c>
      <c r="B280" t="s">
        <v>295</v>
      </c>
      <c r="C280">
        <v>3800</v>
      </c>
      <c r="D280">
        <v>100</v>
      </c>
      <c r="E280">
        <v>1332220</v>
      </c>
      <c r="F280">
        <v>10028</v>
      </c>
      <c r="G280">
        <v>2200</v>
      </c>
      <c r="H280">
        <v>0</v>
      </c>
      <c r="I280">
        <v>0</v>
      </c>
    </row>
    <row r="281" spans="1:9" x14ac:dyDescent="0.25">
      <c r="A281" t="s">
        <v>136</v>
      </c>
      <c r="B281" t="s">
        <v>296</v>
      </c>
      <c r="C281">
        <v>0</v>
      </c>
      <c r="D281">
        <v>19</v>
      </c>
      <c r="E281">
        <v>15</v>
      </c>
      <c r="F281">
        <v>119</v>
      </c>
      <c r="G281">
        <v>0</v>
      </c>
      <c r="H281">
        <v>7</v>
      </c>
      <c r="I281">
        <v>0</v>
      </c>
    </row>
    <row r="282" spans="1:9" x14ac:dyDescent="0.25">
      <c r="A282" t="s">
        <v>136</v>
      </c>
      <c r="B282" t="s">
        <v>297</v>
      </c>
      <c r="C282">
        <v>0</v>
      </c>
      <c r="D282">
        <v>0</v>
      </c>
      <c r="E282">
        <v>0</v>
      </c>
      <c r="F282">
        <v>24</v>
      </c>
      <c r="G282">
        <v>0</v>
      </c>
      <c r="H282">
        <v>0</v>
      </c>
      <c r="I282">
        <v>0</v>
      </c>
    </row>
    <row r="283" spans="1:9" x14ac:dyDescent="0.25">
      <c r="A283" t="s">
        <v>136</v>
      </c>
      <c r="B283" t="s">
        <v>298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</row>
    <row r="284" spans="1:9" x14ac:dyDescent="0.25">
      <c r="A284" t="s">
        <v>136</v>
      </c>
      <c r="B284" t="s">
        <v>299</v>
      </c>
      <c r="C284">
        <v>0</v>
      </c>
      <c r="D284">
        <v>0</v>
      </c>
      <c r="E284">
        <v>57482</v>
      </c>
      <c r="F284">
        <v>14013</v>
      </c>
      <c r="G284">
        <v>0</v>
      </c>
      <c r="H284">
        <v>0</v>
      </c>
      <c r="I284">
        <v>0</v>
      </c>
    </row>
    <row r="285" spans="1:9" x14ac:dyDescent="0.25">
      <c r="A285" t="s">
        <v>136</v>
      </c>
      <c r="B285" t="s">
        <v>300</v>
      </c>
      <c r="C285">
        <v>0</v>
      </c>
      <c r="D285">
        <v>0</v>
      </c>
      <c r="E285">
        <v>47662</v>
      </c>
      <c r="F285">
        <v>0</v>
      </c>
      <c r="G285">
        <v>0</v>
      </c>
      <c r="H285">
        <v>0</v>
      </c>
      <c r="I285">
        <v>0</v>
      </c>
    </row>
    <row r="286" spans="1:9" x14ac:dyDescent="0.25">
      <c r="A286" t="s">
        <v>139</v>
      </c>
      <c r="B286" t="s">
        <v>295</v>
      </c>
      <c r="C286">
        <v>1500</v>
      </c>
      <c r="D286">
        <v>0</v>
      </c>
      <c r="E286">
        <v>776343</v>
      </c>
      <c r="F286">
        <v>13077</v>
      </c>
      <c r="G286">
        <v>1000</v>
      </c>
      <c r="H286">
        <v>0</v>
      </c>
      <c r="I286">
        <v>0</v>
      </c>
    </row>
    <row r="287" spans="1:9" x14ac:dyDescent="0.25">
      <c r="A287" t="s">
        <v>139</v>
      </c>
      <c r="B287" t="s">
        <v>296</v>
      </c>
      <c r="C287">
        <v>1</v>
      </c>
      <c r="D287">
        <v>232</v>
      </c>
      <c r="E287">
        <v>183</v>
      </c>
      <c r="F287">
        <v>1452</v>
      </c>
      <c r="G287">
        <v>0</v>
      </c>
      <c r="H287">
        <v>85</v>
      </c>
      <c r="I287">
        <v>0</v>
      </c>
    </row>
    <row r="288" spans="1:9" x14ac:dyDescent="0.25">
      <c r="A288" t="s">
        <v>139</v>
      </c>
      <c r="B288" t="s">
        <v>297</v>
      </c>
      <c r="C288">
        <v>0</v>
      </c>
      <c r="D288">
        <v>0</v>
      </c>
      <c r="E288">
        <v>0</v>
      </c>
      <c r="F288">
        <v>24</v>
      </c>
      <c r="G288">
        <v>0</v>
      </c>
      <c r="H288">
        <v>0</v>
      </c>
      <c r="I288">
        <v>0</v>
      </c>
    </row>
    <row r="289" spans="1:9" x14ac:dyDescent="0.25">
      <c r="A289" t="s">
        <v>139</v>
      </c>
      <c r="B289" t="s">
        <v>298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</row>
    <row r="290" spans="1:9" x14ac:dyDescent="0.25">
      <c r="A290" t="s">
        <v>139</v>
      </c>
      <c r="B290" t="s">
        <v>299</v>
      </c>
      <c r="C290">
        <v>0</v>
      </c>
      <c r="D290">
        <v>0</v>
      </c>
      <c r="E290">
        <v>24572</v>
      </c>
      <c r="F290">
        <v>5990</v>
      </c>
      <c r="G290">
        <v>0</v>
      </c>
      <c r="H290">
        <v>0</v>
      </c>
      <c r="I290">
        <v>0</v>
      </c>
    </row>
    <row r="291" spans="1:9" x14ac:dyDescent="0.25">
      <c r="A291" t="s">
        <v>139</v>
      </c>
      <c r="B291" t="s">
        <v>300</v>
      </c>
      <c r="C291">
        <v>0</v>
      </c>
      <c r="D291">
        <v>0</v>
      </c>
      <c r="E291">
        <v>28613</v>
      </c>
      <c r="F291">
        <v>0</v>
      </c>
      <c r="G291">
        <v>0</v>
      </c>
      <c r="H291">
        <v>0</v>
      </c>
      <c r="I291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9"/>
  <sheetViews>
    <sheetView workbookViewId="0"/>
  </sheetViews>
  <sheetFormatPr defaultRowHeight="15" x14ac:dyDescent="0.25"/>
  <cols>
    <col min="1" max="1" width="20" customWidth="1"/>
    <col min="2" max="8" width="15" customWidth="1"/>
  </cols>
  <sheetData>
    <row r="1" spans="1:8" x14ac:dyDescent="0.25">
      <c r="A1" s="4" t="s">
        <v>301</v>
      </c>
      <c r="B1" s="4" t="s">
        <v>177</v>
      </c>
      <c r="C1" s="4" t="s">
        <v>291</v>
      </c>
      <c r="D1" s="4" t="s">
        <v>292</v>
      </c>
      <c r="E1" s="4" t="s">
        <v>293</v>
      </c>
      <c r="F1" s="4" t="s">
        <v>180</v>
      </c>
      <c r="G1" s="4" t="s">
        <v>294</v>
      </c>
      <c r="H1" s="4" t="s">
        <v>182</v>
      </c>
    </row>
    <row r="2" spans="1:8" x14ac:dyDescent="0.25">
      <c r="A2" t="s">
        <v>295</v>
      </c>
      <c r="B2">
        <f>SUMIFS(SYVbT_all!$C$4:$C$291,SYVbT_all!$A$4:$A$291,About!$B$2,SYVbT_all!$B$4:$B$291,$A2)</f>
        <v>111200</v>
      </c>
      <c r="C2">
        <f>SUMIFS(SYVbT_all!$D$4:$D$291,SYVbT_all!$A$4:$A$291,About!$B$2,SYVbT_all!$B$4:$B$291,$A2)</f>
        <v>500</v>
      </c>
      <c r="D2">
        <f>SUMIFS(SYVbT_all!$E$4:$E$291,SYVbT_all!$A$4:$A$291,About!$B$2,SYVbT_all!$B$4:$B$291,$A2)</f>
        <v>5865640</v>
      </c>
      <c r="E2">
        <f>SUMIFS(SYVbT_all!$F$4:$F$291,SYVbT_all!$A$4:$A$291,About!$B$2,SYVbT_all!$B$4:$B$291,$A2)</f>
        <v>42056</v>
      </c>
      <c r="F2">
        <f>SUMIFS(SYVbT_all!$G$4:$G$291,SYVbT_all!$A$4:$A$291,About!$B$2,SYVbT_all!$B$4:$B$291,$A2)</f>
        <v>29300</v>
      </c>
      <c r="G2">
        <f>SUMIFS(SYVbT_all!$H$4:$H$291,SYVbT_all!$A$4:$A$291,About!$B$2,SYVbT_all!$B$4:$B$291,$A2)</f>
        <v>700</v>
      </c>
      <c r="H2">
        <f>SUMIFS(SYVbT_all!$I$4:$I$291,SYVbT_all!$A$4:$A$291,About!$B$2,SYVbT_all!$B$4:$B$291,$A2)</f>
        <v>0</v>
      </c>
    </row>
    <row r="3" spans="1:8" x14ac:dyDescent="0.25">
      <c r="A3" t="s">
        <v>296</v>
      </c>
      <c r="B3">
        <f>SUMIFS(SYVbT_all!$C$4:$C$291,SYVbT_all!$A$4:$A$291,About!$B$2,SYVbT_all!$B$4:$B$291,$A3)</f>
        <v>6</v>
      </c>
      <c r="C3">
        <f>SUMIFS(SYVbT_all!$D$4:$D$291,SYVbT_all!$A$4:$A$291,About!$B$2,SYVbT_all!$B$4:$B$291,$A3)</f>
        <v>2689</v>
      </c>
      <c r="D3">
        <f>SUMIFS(SYVbT_all!$E$4:$E$291,SYVbT_all!$A$4:$A$291,About!$B$2,SYVbT_all!$B$4:$B$291,$A3)</f>
        <v>2117</v>
      </c>
      <c r="E3">
        <f>SUMIFS(SYVbT_all!$F$4:$F$291,SYVbT_all!$A$4:$A$291,About!$B$2,SYVbT_all!$B$4:$B$291,$A3)</f>
        <v>16816</v>
      </c>
      <c r="F3">
        <f>SUMIFS(SYVbT_all!$G$4:$G$291,SYVbT_all!$A$4:$A$291,About!$B$2,SYVbT_all!$B$4:$B$291,$A3)</f>
        <v>0</v>
      </c>
      <c r="G3">
        <f>SUMIFS(SYVbT_all!$H$4:$H$291,SYVbT_all!$A$4:$A$291,About!$B$2,SYVbT_all!$B$4:$B$291,$A3)</f>
        <v>985</v>
      </c>
      <c r="H3">
        <f>SUMIFS(SYVbT_all!$I$4:$I$291,SYVbT_all!$A$4:$A$291,About!$B$2,SYVbT_all!$B$4:$B$291,$A3)</f>
        <v>4</v>
      </c>
    </row>
    <row r="4" spans="1:8" x14ac:dyDescent="0.25">
      <c r="A4" t="s">
        <v>297</v>
      </c>
      <c r="B4">
        <f>SUMIFS(SYVbT_all!$C$4:$C$291,SYVbT_all!$A$4:$A$291,About!$B$2,SYVbT_all!$B$4:$B$291,$A4)</f>
        <v>0</v>
      </c>
      <c r="C4">
        <f>SUMIFS(SYVbT_all!$D$4:$D$291,SYVbT_all!$A$4:$A$291,About!$B$2,SYVbT_all!$B$4:$B$291,$A4)</f>
        <v>0</v>
      </c>
      <c r="D4">
        <f>SUMIFS(SYVbT_all!$E$4:$E$291,SYVbT_all!$A$4:$A$291,About!$B$2,SYVbT_all!$B$4:$B$291,$A4)</f>
        <v>0</v>
      </c>
      <c r="E4">
        <f>SUMIFS(SYVbT_all!$F$4:$F$291,SYVbT_all!$A$4:$A$291,About!$B$2,SYVbT_all!$B$4:$B$291,$A4)</f>
        <v>194</v>
      </c>
      <c r="F4">
        <f>SUMIFS(SYVbT_all!$G$4:$G$291,SYVbT_all!$A$4:$A$291,About!$B$2,SYVbT_all!$B$4:$B$291,$A4)</f>
        <v>0</v>
      </c>
      <c r="G4">
        <f>SUMIFS(SYVbT_all!$H$4:$H$291,SYVbT_all!$A$4:$A$291,About!$B$2,SYVbT_all!$B$4:$B$291,$A4)</f>
        <v>0</v>
      </c>
      <c r="H4">
        <f>SUMIFS(SYVbT_all!$I$4:$I$291,SYVbT_all!$A$4:$A$291,About!$B$2,SYVbT_all!$B$4:$B$291,$A4)</f>
        <v>0</v>
      </c>
    </row>
    <row r="5" spans="1:8" x14ac:dyDescent="0.25">
      <c r="A5" t="s">
        <v>298</v>
      </c>
      <c r="B5">
        <f>SUMIFS(SYVbT_all!$C$4:$C$291,SYVbT_all!$A$4:$A$291,About!$B$2,SYVbT_all!$B$4:$B$291,$A5)</f>
        <v>21</v>
      </c>
      <c r="C5">
        <f>SUMIFS(SYVbT_all!$D$4:$D$291,SYVbT_all!$A$4:$A$291,About!$B$2,SYVbT_all!$B$4:$B$291,$A5)</f>
        <v>0</v>
      </c>
      <c r="D5">
        <f>SUMIFS(SYVbT_all!$E$4:$E$291,SYVbT_all!$A$4:$A$291,About!$B$2,SYVbT_all!$B$4:$B$291,$A5)</f>
        <v>0</v>
      </c>
      <c r="E5">
        <f>SUMIFS(SYVbT_all!$F$4:$F$291,SYVbT_all!$A$4:$A$291,About!$B$2,SYVbT_all!$B$4:$B$291,$A5)</f>
        <v>0</v>
      </c>
      <c r="F5">
        <f>SUMIFS(SYVbT_all!$G$4:$G$291,SYVbT_all!$A$4:$A$291,About!$B$2,SYVbT_all!$B$4:$B$291,$A5)</f>
        <v>0</v>
      </c>
      <c r="G5">
        <f>SUMIFS(SYVbT_all!$H$4:$H$291,SYVbT_all!$A$4:$A$291,About!$B$2,SYVbT_all!$B$4:$B$291,$A5)</f>
        <v>0</v>
      </c>
      <c r="H5">
        <f>SUMIFS(SYVbT_all!$I$4:$I$291,SYVbT_all!$A$4:$A$291,About!$B$2,SYVbT_all!$B$4:$B$291,$A5)</f>
        <v>0</v>
      </c>
    </row>
    <row r="6" spans="1:8" x14ac:dyDescent="0.25">
      <c r="A6" t="s">
        <v>299</v>
      </c>
      <c r="B6">
        <f>SUMIFS(SYVbT_all!$C$4:$C$291,SYVbT_all!$A$4:$A$291,About!$B$2,SYVbT_all!$B$4:$B$291,$A6)</f>
        <v>0</v>
      </c>
      <c r="C6">
        <f>SUMIFS(SYVbT_all!$D$4:$D$291,SYVbT_all!$A$4:$A$291,About!$B$2,SYVbT_all!$B$4:$B$291,$A6)</f>
        <v>0</v>
      </c>
      <c r="D6">
        <f>SUMIFS(SYVbT_all!$E$4:$E$291,SYVbT_all!$A$4:$A$291,About!$B$2,SYVbT_all!$B$4:$B$291,$A6)</f>
        <v>116540</v>
      </c>
      <c r="E6">
        <f>SUMIFS(SYVbT_all!$F$4:$F$291,SYVbT_all!$A$4:$A$291,About!$B$2,SYVbT_all!$B$4:$B$291,$A6)</f>
        <v>28410</v>
      </c>
      <c r="F6">
        <f>SUMIFS(SYVbT_all!$G$4:$G$291,SYVbT_all!$A$4:$A$291,About!$B$2,SYVbT_all!$B$4:$B$291,$A6)</f>
        <v>0</v>
      </c>
      <c r="G6">
        <f>SUMIFS(SYVbT_all!$H$4:$H$291,SYVbT_all!$A$4:$A$291,About!$B$2,SYVbT_all!$B$4:$B$291,$A6)</f>
        <v>0</v>
      </c>
      <c r="H6">
        <f>SUMIFS(SYVbT_all!$I$4:$I$291,SYVbT_all!$A$4:$A$291,About!$B$2,SYVbT_all!$B$4:$B$291,$A6)</f>
        <v>0</v>
      </c>
    </row>
    <row r="7" spans="1:8" x14ac:dyDescent="0.25">
      <c r="A7" t="s">
        <v>300</v>
      </c>
      <c r="B7">
        <f>SUMIFS(SYVbT_all!$C$4:$C$291,SYVbT_all!$A$4:$A$291,About!$B$2,SYVbT_all!$B$4:$B$291,$A7)</f>
        <v>0</v>
      </c>
      <c r="C7">
        <f>SUMIFS(SYVbT_all!$D$4:$D$291,SYVbT_all!$A$4:$A$291,About!$B$2,SYVbT_all!$B$4:$B$291,$A7)</f>
        <v>0</v>
      </c>
      <c r="D7">
        <f>SUMIFS(SYVbT_all!$E$4:$E$291,SYVbT_all!$A$4:$A$291,About!$B$2,SYVbT_all!$B$4:$B$291,$A7)</f>
        <v>292014</v>
      </c>
      <c r="E7">
        <f>SUMIFS(SYVbT_all!$F$4:$F$291,SYVbT_all!$A$4:$A$291,About!$B$2,SYVbT_all!$B$4:$B$291,$A7)</f>
        <v>0</v>
      </c>
      <c r="F7">
        <f>SUMIFS(SYVbT_all!$G$4:$G$291,SYVbT_all!$A$4:$A$291,About!$B$2,SYVbT_all!$B$4:$B$291,$A7)</f>
        <v>0</v>
      </c>
      <c r="G7">
        <f>SUMIFS(SYVbT_all!$H$4:$H$291,SYVbT_all!$A$4:$A$291,About!$B$2,SYVbT_all!$B$4:$B$291,$A7)</f>
        <v>0</v>
      </c>
      <c r="H7">
        <f>SUMIFS(SYVbT_all!$I$4:$I$291,SYVbT_all!$A$4:$A$291,About!$B$2,SYVbT_all!$B$4:$B$291,$A7)</f>
        <v>0</v>
      </c>
    </row>
    <row r="9" spans="1:8" x14ac:dyDescent="0.25">
      <c r="A9" s="3" t="s">
        <v>302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I101"/>
  <sheetViews>
    <sheetView workbookViewId="0"/>
  </sheetViews>
  <sheetFormatPr defaultRowHeight="15" x14ac:dyDescent="0.25"/>
  <cols>
    <col min="1" max="1" width="12" customWidth="1"/>
    <col min="2" max="2" width="10" customWidth="1"/>
    <col min="3" max="3" width="24" customWidth="1"/>
    <col min="4" max="7" width="15" customWidth="1"/>
  </cols>
  <sheetData>
    <row r="1" spans="1:35" x14ac:dyDescent="0.25">
      <c r="A1" t="s">
        <v>303</v>
      </c>
      <c r="H1" t="s">
        <v>304</v>
      </c>
      <c r="N1" t="s">
        <v>305</v>
      </c>
      <c r="Q1" t="s">
        <v>306</v>
      </c>
      <c r="T1" t="s">
        <v>307</v>
      </c>
      <c r="W1" t="s">
        <v>308</v>
      </c>
    </row>
    <row r="2" spans="1:35" x14ac:dyDescent="0.25">
      <c r="A2" t="s">
        <v>309</v>
      </c>
      <c r="H2" t="s">
        <v>310</v>
      </c>
      <c r="I2">
        <v>1</v>
      </c>
      <c r="N2" t="s">
        <v>310</v>
      </c>
      <c r="O2">
        <v>1</v>
      </c>
      <c r="Q2" t="s">
        <v>310</v>
      </c>
      <c r="R2">
        <v>1</v>
      </c>
      <c r="T2" t="s">
        <v>310</v>
      </c>
      <c r="U2">
        <v>1</v>
      </c>
      <c r="W2" t="s">
        <v>310</v>
      </c>
      <c r="X2">
        <v>1</v>
      </c>
    </row>
    <row r="3" spans="1:35" x14ac:dyDescent="0.25">
      <c r="A3" t="s">
        <v>311</v>
      </c>
      <c r="H3" t="s">
        <v>312</v>
      </c>
      <c r="I3">
        <v>-0.3</v>
      </c>
      <c r="N3" t="s">
        <v>312</v>
      </c>
      <c r="O3">
        <v>-0.3</v>
      </c>
      <c r="P3">
        <v>-0.35</v>
      </c>
      <c r="Q3" t="s">
        <v>312</v>
      </c>
      <c r="R3">
        <v>-0.3</v>
      </c>
      <c r="T3" t="s">
        <v>312</v>
      </c>
      <c r="U3">
        <v>-0.4</v>
      </c>
      <c r="W3" t="s">
        <v>312</v>
      </c>
      <c r="X3">
        <v>-0.3</v>
      </c>
    </row>
    <row r="4" spans="1:35" x14ac:dyDescent="0.25">
      <c r="A4" t="s">
        <v>313</v>
      </c>
      <c r="H4" t="s">
        <v>314</v>
      </c>
      <c r="I4">
        <v>-16</v>
      </c>
      <c r="N4" t="s">
        <v>314</v>
      </c>
      <c r="O4">
        <v>-11</v>
      </c>
      <c r="P4">
        <v>-10</v>
      </c>
      <c r="Q4" t="s">
        <v>314</v>
      </c>
      <c r="R4">
        <v>-12</v>
      </c>
      <c r="T4" t="s">
        <v>314</v>
      </c>
      <c r="U4">
        <v>-11</v>
      </c>
      <c r="W4" t="s">
        <v>314</v>
      </c>
      <c r="X4">
        <v>-14</v>
      </c>
    </row>
    <row r="5" spans="1:35" x14ac:dyDescent="0.25">
      <c r="A5" t="s">
        <v>315</v>
      </c>
    </row>
    <row r="6" spans="1:35" x14ac:dyDescent="0.25">
      <c r="E6" t="s">
        <v>316</v>
      </c>
      <c r="F6" t="s">
        <v>316</v>
      </c>
      <c r="G6" t="s">
        <v>317</v>
      </c>
    </row>
    <row r="7" spans="1:35" x14ac:dyDescent="0.25">
      <c r="C7" t="s">
        <v>318</v>
      </c>
      <c r="E7">
        <v>2020</v>
      </c>
      <c r="F7">
        <v>2050</v>
      </c>
    </row>
    <row r="8" spans="1:35" x14ac:dyDescent="0.25">
      <c r="D8" t="s">
        <v>319</v>
      </c>
      <c r="E8" s="3" t="s">
        <v>320</v>
      </c>
      <c r="G8" t="s">
        <v>321</v>
      </c>
    </row>
    <row r="9" spans="1:35" x14ac:dyDescent="0.25">
      <c r="A9" t="s">
        <v>322</v>
      </c>
      <c r="B9" t="s">
        <v>323</v>
      </c>
      <c r="C9" t="s">
        <v>324</v>
      </c>
      <c r="D9">
        <v>2024</v>
      </c>
      <c r="E9">
        <v>2025</v>
      </c>
      <c r="F9">
        <v>2050</v>
      </c>
      <c r="I9">
        <v>2024</v>
      </c>
      <c r="J9">
        <f>E9</f>
        <v>2025</v>
      </c>
      <c r="K9">
        <f t="shared" ref="K9:AI9" si="0">J9+1</f>
        <v>2026</v>
      </c>
      <c r="L9">
        <f t="shared" si="0"/>
        <v>2027</v>
      </c>
      <c r="M9">
        <f t="shared" si="0"/>
        <v>2028</v>
      </c>
      <c r="N9">
        <f t="shared" si="0"/>
        <v>2029</v>
      </c>
      <c r="O9">
        <f t="shared" si="0"/>
        <v>2030</v>
      </c>
      <c r="P9">
        <f t="shared" si="0"/>
        <v>2031</v>
      </c>
      <c r="Q9">
        <f t="shared" si="0"/>
        <v>2032</v>
      </c>
      <c r="R9">
        <f t="shared" si="0"/>
        <v>2033</v>
      </c>
      <c r="S9">
        <f t="shared" si="0"/>
        <v>2034</v>
      </c>
      <c r="T9">
        <f t="shared" si="0"/>
        <v>2035</v>
      </c>
      <c r="U9">
        <f t="shared" si="0"/>
        <v>2036</v>
      </c>
      <c r="V9">
        <f t="shared" si="0"/>
        <v>2037</v>
      </c>
      <c r="W9">
        <f t="shared" si="0"/>
        <v>2038</v>
      </c>
      <c r="X9">
        <f t="shared" si="0"/>
        <v>2039</v>
      </c>
      <c r="Y9">
        <f t="shared" si="0"/>
        <v>2040</v>
      </c>
      <c r="Z9">
        <f t="shared" si="0"/>
        <v>2041</v>
      </c>
      <c r="AA9">
        <f t="shared" si="0"/>
        <v>2042</v>
      </c>
      <c r="AB9">
        <f t="shared" si="0"/>
        <v>2043</v>
      </c>
      <c r="AC9">
        <f t="shared" si="0"/>
        <v>2044</v>
      </c>
      <c r="AD9">
        <f t="shared" si="0"/>
        <v>2045</v>
      </c>
      <c r="AE9">
        <f t="shared" si="0"/>
        <v>2046</v>
      </c>
      <c r="AF9">
        <f t="shared" si="0"/>
        <v>2047</v>
      </c>
      <c r="AG9">
        <f t="shared" si="0"/>
        <v>2048</v>
      </c>
      <c r="AH9">
        <f t="shared" si="0"/>
        <v>2049</v>
      </c>
      <c r="AI9">
        <f t="shared" si="0"/>
        <v>2050</v>
      </c>
    </row>
    <row r="10" spans="1:35" x14ac:dyDescent="0.25">
      <c r="A10" t="s">
        <v>295</v>
      </c>
      <c r="B10" t="s">
        <v>325</v>
      </c>
      <c r="C10" t="s">
        <v>177</v>
      </c>
      <c r="D10">
        <v>0.16449392895100001</v>
      </c>
      <c r="E10" s="18">
        <f>INDEX(Solve!$AN$6:$AN$53,MATCH(About!$B$2,Solve!$A$6:$A$53,0))</f>
        <v>0.23983771978951599</v>
      </c>
      <c r="F10">
        <v>1</v>
      </c>
      <c r="G10" t="str">
        <f>IF(E10=F10,"n/a",IF(OR(C10="battery electric vehicle",C10="natural gas vehicle",C10="plugin hybrid vehicle"),"s-curve","linear"))</f>
        <v>s-curve</v>
      </c>
      <c r="I10">
        <f>D10</f>
        <v>0.16449392895100001</v>
      </c>
      <c r="J10" s="2">
        <f>$E10</f>
        <v>0.23983771978951599</v>
      </c>
      <c r="K10" s="2">
        <f t="shared" ref="K10:AI10" si="1">IF($G10="s-curve",$E10+($F10-$E10)*K$98,TREND($E10:$F10,$E$9:$F$9,K$9))</f>
        <v>0.24932694023814289</v>
      </c>
      <c r="L10" s="2">
        <f t="shared" si="1"/>
        <v>0.26177210483698971</v>
      </c>
      <c r="M10" s="2">
        <f t="shared" si="1"/>
        <v>0.27794090325118714</v>
      </c>
      <c r="N10" s="2">
        <f t="shared" si="1"/>
        <v>0.29869217221836053</v>
      </c>
      <c r="O10" s="2">
        <f t="shared" si="1"/>
        <v>0.32491068986389093</v>
      </c>
      <c r="P10" s="2">
        <f t="shared" si="1"/>
        <v>0.35738899027487048</v>
      </c>
      <c r="Q10" s="2">
        <f t="shared" si="1"/>
        <v>0.39665139074453837</v>
      </c>
      <c r="R10" s="2">
        <f t="shared" si="1"/>
        <v>0.44273819803409364</v>
      </c>
      <c r="S10" s="2">
        <f t="shared" si="1"/>
        <v>0.49500290111655088</v>
      </c>
      <c r="T10" s="2">
        <f t="shared" si="1"/>
        <v>0.55200681215729752</v>
      </c>
      <c r="U10" s="2">
        <f t="shared" si="1"/>
        <v>0.61159519582416533</v>
      </c>
      <c r="V10" s="2">
        <f t="shared" si="1"/>
        <v>0.67118357949103313</v>
      </c>
      <c r="W10" s="2">
        <f t="shared" si="1"/>
        <v>0.72818749053177978</v>
      </c>
      <c r="X10" s="2">
        <f t="shared" si="1"/>
        <v>0.78045219361423701</v>
      </c>
      <c r="Y10" s="2">
        <f t="shared" si="1"/>
        <v>0.82653900090379218</v>
      </c>
      <c r="Z10" s="2">
        <f t="shared" si="1"/>
        <v>0.86580140137346018</v>
      </c>
      <c r="AA10" s="2">
        <f t="shared" si="1"/>
        <v>0.89827970178443972</v>
      </c>
      <c r="AB10" s="2">
        <f t="shared" si="1"/>
        <v>0.92449821942997013</v>
      </c>
      <c r="AC10" s="2">
        <f t="shared" si="1"/>
        <v>0.9452494883971434</v>
      </c>
      <c r="AD10" s="2">
        <f t="shared" si="1"/>
        <v>0.96141828681134089</v>
      </c>
      <c r="AE10" s="2">
        <f t="shared" si="1"/>
        <v>0.97386345141018782</v>
      </c>
      <c r="AF10" s="2">
        <f t="shared" si="1"/>
        <v>0.98335267185881459</v>
      </c>
      <c r="AG10" s="2">
        <f t="shared" si="1"/>
        <v>0.99053617181454634</v>
      </c>
      <c r="AH10" s="2">
        <f t="shared" si="1"/>
        <v>0.9959446416613138</v>
      </c>
      <c r="AI10" s="2">
        <f t="shared" si="1"/>
        <v>1</v>
      </c>
    </row>
    <row r="11" spans="1:35" x14ac:dyDescent="0.25">
      <c r="C11" t="s">
        <v>291</v>
      </c>
      <c r="D11">
        <v>1.0004432735E-4</v>
      </c>
      <c r="E11" s="18">
        <f>INDEX(Solve!$AS$6:$AS$53,MATCH(About!$B$2,Solve!$A$6:$A$53,0))</f>
        <v>1.00970167475E-4</v>
      </c>
      <c r="F11">
        <f>E11</f>
        <v>1.00970167475E-4</v>
      </c>
      <c r="G11" t="str">
        <f>IF(E11=F11,"n/a",IF(OR(C11="battery electric vehicle",C11="natural gas vehicle",C11="plugin hybrid vehicle"),"s-curve","linear"))</f>
        <v>n/a</v>
      </c>
      <c r="I11">
        <f>E11</f>
        <v>1.00970167475E-4</v>
      </c>
      <c r="J11">
        <f>IF($G11="s-curve",$E11+($F11-$E11)*$I$2/(1+EXP($I$3*(COUNT($I$9:J$9)+$I$4))),TREND($E11:$F11,$E$9:$F$9,J$9))</f>
        <v>1.00970167475E-4</v>
      </c>
      <c r="K11">
        <f>IF($G11="s-curve",$E11+($F11-$E11)*$I$2/(1+EXP($I$3*(COUNT($I$9:K$9)+$I$4))),TREND($E11:$F11,$E$9:$F$9,K$9))</f>
        <v>1.00970167475E-4</v>
      </c>
      <c r="L11">
        <f>IF($G11="s-curve",$E11+($F11-$E11)*$I$2/(1+EXP($I$3*(COUNT($I$9:L$9)+$I$4))),TREND($E11:$F11,$E$9:$F$9,L$9))</f>
        <v>1.00970167475E-4</v>
      </c>
      <c r="M11">
        <f>IF($G11="s-curve",$E11+($F11-$E11)*$I$2/(1+EXP($I$3*(COUNT($I$9:M$9)+$I$4))),TREND($E11:$F11,$E$9:$F$9,M$9))</f>
        <v>1.00970167475E-4</v>
      </c>
      <c r="N11">
        <f>IF($G11="s-curve",$E11+($F11-$E11)*$I$2/(1+EXP($I$3*(COUNT($I$9:N$9)+$I$4))),TREND($E11:$F11,$E$9:$F$9,N$9))</f>
        <v>1.00970167475E-4</v>
      </c>
      <c r="O11">
        <f>IF($G11="s-curve",$E11+($F11-$E11)*$I$2/(1+EXP($I$3*(COUNT($I$9:O$9)+$I$4))),TREND($E11:$F11,$E$9:$F$9,O$9))</f>
        <v>1.00970167475E-4</v>
      </c>
      <c r="P11">
        <f>IF($G11="s-curve",$E11+($F11-$E11)*$I$2/(1+EXP($I$3*(COUNT($I$9:P$9)+$I$4))),TREND($E11:$F11,$E$9:$F$9,P$9))</f>
        <v>1.00970167475E-4</v>
      </c>
      <c r="Q11">
        <f>IF($G11="s-curve",$E11+($F11-$E11)*$I$2/(1+EXP($I$3*(COUNT($I$9:Q$9)+$I$4))),TREND($E11:$F11,$E$9:$F$9,Q$9))</f>
        <v>1.00970167475E-4</v>
      </c>
      <c r="R11">
        <f>IF($G11="s-curve",$E11+($F11-$E11)*$I$2/(1+EXP($I$3*(COUNT($I$9:R$9)+$I$4))),TREND($E11:$F11,$E$9:$F$9,R$9))</f>
        <v>1.00970167475E-4</v>
      </c>
      <c r="S11">
        <f>IF($G11="s-curve",$E11+($F11-$E11)*$I$2/(1+EXP($I$3*(COUNT($I$9:S$9)+$I$4))),TREND($E11:$F11,$E$9:$F$9,S$9))</f>
        <v>1.00970167475E-4</v>
      </c>
      <c r="T11">
        <f>IF($G11="s-curve",$E11+($F11-$E11)*$I$2/(1+EXP($I$3*(COUNT($I$9:T$9)+$I$4))),TREND($E11:$F11,$E$9:$F$9,T$9))</f>
        <v>1.00970167475E-4</v>
      </c>
      <c r="U11">
        <f>IF($G11="s-curve",$E11+($F11-$E11)*$I$2/(1+EXP($I$3*(COUNT($I$9:U$9)+$I$4))),TREND($E11:$F11,$E$9:$F$9,U$9))</f>
        <v>1.00970167475E-4</v>
      </c>
      <c r="V11">
        <f>IF($G11="s-curve",$E11+($F11-$E11)*$I$2/(1+EXP($I$3*(COUNT($I$9:V$9)+$I$4))),TREND($E11:$F11,$E$9:$F$9,V$9))</f>
        <v>1.00970167475E-4</v>
      </c>
      <c r="W11">
        <f>IF($G11="s-curve",$E11+($F11-$E11)*$I$2/(1+EXP($I$3*(COUNT($I$9:W$9)+$I$4))),TREND($E11:$F11,$E$9:$F$9,W$9))</f>
        <v>1.00970167475E-4</v>
      </c>
      <c r="X11">
        <f>IF($G11="s-curve",$E11+($F11-$E11)*$I$2/(1+EXP($I$3*(COUNT($I$9:X$9)+$I$4))),TREND($E11:$F11,$E$9:$F$9,X$9))</f>
        <v>1.00970167475E-4</v>
      </c>
      <c r="Y11">
        <f>IF($G11="s-curve",$E11+($F11-$E11)*$I$2/(1+EXP($I$3*(COUNT($I$9:Y$9)+$I$4))),TREND($E11:$F11,$E$9:$F$9,Y$9))</f>
        <v>1.00970167475E-4</v>
      </c>
      <c r="Z11">
        <f>IF($G11="s-curve",$E11+($F11-$E11)*$I$2/(1+EXP($I$3*(COUNT($I$9:Z$9)+$I$4))),TREND($E11:$F11,$E$9:$F$9,Z$9))</f>
        <v>1.00970167475E-4</v>
      </c>
      <c r="AA11">
        <f>IF($G11="s-curve",$E11+($F11-$E11)*$I$2/(1+EXP($I$3*(COUNT($I$9:AA$9)+$I$4))),TREND($E11:$F11,$E$9:$F$9,AA$9))</f>
        <v>1.00970167475E-4</v>
      </c>
      <c r="AB11">
        <f>IF($G11="s-curve",$E11+($F11-$E11)*$I$2/(1+EXP($I$3*(COUNT($I$9:AB$9)+$I$4))),TREND($E11:$F11,$E$9:$F$9,AB$9))</f>
        <v>1.00970167475E-4</v>
      </c>
      <c r="AC11">
        <f>IF($G11="s-curve",$E11+($F11-$E11)*$I$2/(1+EXP($I$3*(COUNT($I$9:AC$9)+$I$4))),TREND($E11:$F11,$E$9:$F$9,AC$9))</f>
        <v>1.00970167475E-4</v>
      </c>
      <c r="AD11">
        <f>IF($G11="s-curve",$E11+($F11-$E11)*$I$2/(1+EXP($I$3*(COUNT($I$9:AD$9)+$I$4))),TREND($E11:$F11,$E$9:$F$9,AD$9))</f>
        <v>1.00970167475E-4</v>
      </c>
      <c r="AE11">
        <f>IF($G11="s-curve",$E11+($F11-$E11)*$I$2/(1+EXP($I$3*(COUNT($I$9:AE$9)+$I$4))),TREND($E11:$F11,$E$9:$F$9,AE$9))</f>
        <v>1.00970167475E-4</v>
      </c>
      <c r="AF11">
        <f>IF($G11="s-curve",$E11+($F11-$E11)*$I$2/(1+EXP($I$3*(COUNT($I$9:AF$9)+$I$4))),TREND($E11:$F11,$E$9:$F$9,AF$9))</f>
        <v>1.00970167475E-4</v>
      </c>
      <c r="AG11">
        <f>IF($G11="s-curve",$E11+($F11-$E11)*$I$2/(1+EXP($I$3*(COUNT($I$9:AG$9)+$I$4))),TREND($E11:$F11,$E$9:$F$9,AG$9))</f>
        <v>1.00970167475E-4</v>
      </c>
      <c r="AH11">
        <f>IF($G11="s-curve",$E11+($F11-$E11)*$I$2/(1+EXP($I$3*(COUNT($I$9:AH$9)+$I$4))),TREND($E11:$F11,$E$9:$F$9,AH$9))</f>
        <v>1.00970167475E-4</v>
      </c>
      <c r="AI11">
        <f>IF($G11="s-curve",$E11+($F11-$E11)*$I$2/(1+EXP($I$3*(COUNT($I$9:AI$9)+$I$4))),TREND($E11:$F11,$E$9:$F$9,AI$9))</f>
        <v>1.00970167475E-4</v>
      </c>
    </row>
    <row r="12" spans="1:35" x14ac:dyDescent="0.25">
      <c r="C12" t="s">
        <v>292</v>
      </c>
      <c r="D12">
        <v>1</v>
      </c>
      <c r="E12" s="18">
        <f>INDEX(Solve!$AQ$6:$AQ$53,MATCH(About!$B$2,Solve!$A$6:$A$53,0))</f>
        <v>1</v>
      </c>
      <c r="F12" s="2">
        <f>E12</f>
        <v>1</v>
      </c>
      <c r="G12" t="str">
        <f>IF(E12=F12,"n/a",IF(OR(C12="battery electric vehicle",C12="natural gas vehicle",C12="plugin hybrid vehicle"),"s-curve","linear"))</f>
        <v>n/a</v>
      </c>
      <c r="I12">
        <f>E12</f>
        <v>1</v>
      </c>
      <c r="J12">
        <f>IF($G12="s-curve",$E12+($F12-$E12)*$I$2/(1+EXP($I$3*(COUNT($I$9:J$9)+$I$4))),TREND($E12:$F12,$E$9:$F$9,J$9))</f>
        <v>1</v>
      </c>
      <c r="K12">
        <f>IF($G12="s-curve",$E12+($F12-$E12)*$I$2/(1+EXP($I$3*(COUNT($I$9:K$9)+$I$4))),TREND($E12:$F12,$E$9:$F$9,K$9))</f>
        <v>1</v>
      </c>
      <c r="L12">
        <f>IF($G12="s-curve",$E12+($F12-$E12)*$I$2/(1+EXP($I$3*(COUNT($I$9:L$9)+$I$4))),TREND($E12:$F12,$E$9:$F$9,L$9))</f>
        <v>1</v>
      </c>
      <c r="M12">
        <f>IF($G12="s-curve",$E12+($F12-$E12)*$I$2/(1+EXP($I$3*(COUNT($I$9:M$9)+$I$4))),TREND($E12:$F12,$E$9:$F$9,M$9))</f>
        <v>1</v>
      </c>
      <c r="N12">
        <f>IF($G12="s-curve",$E12+($F12-$E12)*$I$2/(1+EXP($I$3*(COUNT($I$9:N$9)+$I$4))),TREND($E12:$F12,$E$9:$F$9,N$9))</f>
        <v>1</v>
      </c>
      <c r="O12">
        <f>IF($G12="s-curve",$E12+($F12-$E12)*$I$2/(1+EXP($I$3*(COUNT($I$9:O$9)+$I$4))),TREND($E12:$F12,$E$9:$F$9,O$9))</f>
        <v>1</v>
      </c>
      <c r="P12">
        <f>IF($G12="s-curve",$E12+($F12-$E12)*$I$2/(1+EXP($I$3*(COUNT($I$9:P$9)+$I$4))),TREND($E12:$F12,$E$9:$F$9,P$9))</f>
        <v>1</v>
      </c>
      <c r="Q12">
        <f>IF($G12="s-curve",$E12+($F12-$E12)*$I$2/(1+EXP($I$3*(COUNT($I$9:Q$9)+$I$4))),TREND($E12:$F12,$E$9:$F$9,Q$9))</f>
        <v>1</v>
      </c>
      <c r="R12">
        <f>IF($G12="s-curve",$E12+($F12-$E12)*$I$2/(1+EXP($I$3*(COUNT($I$9:R$9)+$I$4))),TREND($E12:$F12,$E$9:$F$9,R$9))</f>
        <v>1</v>
      </c>
      <c r="S12">
        <f>IF($G12="s-curve",$E12+($F12-$E12)*$I$2/(1+EXP($I$3*(COUNT($I$9:S$9)+$I$4))),TREND($E12:$F12,$E$9:$F$9,S$9))</f>
        <v>1</v>
      </c>
      <c r="T12">
        <f>IF($G12="s-curve",$E12+($F12-$E12)*$I$2/(1+EXP($I$3*(COUNT($I$9:T$9)+$I$4))),TREND($E12:$F12,$E$9:$F$9,T$9))</f>
        <v>1</v>
      </c>
      <c r="U12">
        <f>IF($G12="s-curve",$E12+($F12-$E12)*$I$2/(1+EXP($I$3*(COUNT($I$9:U$9)+$I$4))),TREND($E12:$F12,$E$9:$F$9,U$9))</f>
        <v>1</v>
      </c>
      <c r="V12">
        <f>IF($G12="s-curve",$E12+($F12-$E12)*$I$2/(1+EXP($I$3*(COUNT($I$9:V$9)+$I$4))),TREND($E12:$F12,$E$9:$F$9,V$9))</f>
        <v>1</v>
      </c>
      <c r="W12">
        <f>IF($G12="s-curve",$E12+($F12-$E12)*$I$2/(1+EXP($I$3*(COUNT($I$9:W$9)+$I$4))),TREND($E12:$F12,$E$9:$F$9,W$9))</f>
        <v>1</v>
      </c>
      <c r="X12">
        <f>IF($G12="s-curve",$E12+($F12-$E12)*$I$2/(1+EXP($I$3*(COUNT($I$9:X$9)+$I$4))),TREND($E12:$F12,$E$9:$F$9,X$9))</f>
        <v>1</v>
      </c>
      <c r="Y12">
        <f>IF($G12="s-curve",$E12+($F12-$E12)*$I$2/(1+EXP($I$3*(COUNT($I$9:Y$9)+$I$4))),TREND($E12:$F12,$E$9:$F$9,Y$9))</f>
        <v>1</v>
      </c>
      <c r="Z12">
        <f>IF($G12="s-curve",$E12+($F12-$E12)*$I$2/(1+EXP($I$3*(COUNT($I$9:Z$9)+$I$4))),TREND($E12:$F12,$E$9:$F$9,Z$9))</f>
        <v>1</v>
      </c>
      <c r="AA12">
        <f>IF($G12="s-curve",$E12+($F12-$E12)*$I$2/(1+EXP($I$3*(COUNT($I$9:AA$9)+$I$4))),TREND($E12:$F12,$E$9:$F$9,AA$9))</f>
        <v>1</v>
      </c>
      <c r="AB12">
        <f>IF($G12="s-curve",$E12+($F12-$E12)*$I$2/(1+EXP($I$3*(COUNT($I$9:AB$9)+$I$4))),TREND($E12:$F12,$E$9:$F$9,AB$9))</f>
        <v>1</v>
      </c>
      <c r="AC12">
        <f>IF($G12="s-curve",$E12+($F12-$E12)*$I$2/(1+EXP($I$3*(COUNT($I$9:AC$9)+$I$4))),TREND($E12:$F12,$E$9:$F$9,AC$9))</f>
        <v>1</v>
      </c>
      <c r="AD12">
        <f>IF($G12="s-curve",$E12+($F12-$E12)*$I$2/(1+EXP($I$3*(COUNT($I$9:AD$9)+$I$4))),TREND($E12:$F12,$E$9:$F$9,AD$9))</f>
        <v>1</v>
      </c>
      <c r="AE12">
        <f>IF($G12="s-curve",$E12+($F12-$E12)*$I$2/(1+EXP($I$3*(COUNT($I$9:AE$9)+$I$4))),TREND($E12:$F12,$E$9:$F$9,AE$9))</f>
        <v>1</v>
      </c>
      <c r="AF12">
        <f>IF($G12="s-curve",$E12+($F12-$E12)*$I$2/(1+EXP($I$3*(COUNT($I$9:AF$9)+$I$4))),TREND($E12:$F12,$E$9:$F$9,AF$9))</f>
        <v>1</v>
      </c>
      <c r="AG12">
        <f>IF($G12="s-curve",$E12+($F12-$E12)*$I$2/(1+EXP($I$3*(COUNT($I$9:AG$9)+$I$4))),TREND($E12:$F12,$E$9:$F$9,AG$9))</f>
        <v>1</v>
      </c>
      <c r="AH12">
        <f>IF($G12="s-curve",$E12+($F12-$E12)*$I$2/(1+EXP($I$3*(COUNT($I$9:AH$9)+$I$4))),TREND($E12:$F12,$E$9:$F$9,AH$9))</f>
        <v>1</v>
      </c>
      <c r="AI12">
        <f>IF($G12="s-curve",$E12+($F12-$E12)*$I$2/(1+EXP($I$3*(COUNT($I$9:AI$9)+$I$4))),TREND($E12:$F12,$E$9:$F$9,AI$9))</f>
        <v>1</v>
      </c>
    </row>
    <row r="13" spans="1:35" x14ac:dyDescent="0.25">
      <c r="C13" t="s">
        <v>293</v>
      </c>
      <c r="D13">
        <v>6.6777915503600002E-2</v>
      </c>
      <c r="E13" s="18">
        <f>INDEX(Solve!$AR$6:$AR$53,MATCH(About!$B$2,Solve!$A$6:$A$53,0))</f>
        <v>6.7382959534800002E-2</v>
      </c>
      <c r="F13">
        <f>E13</f>
        <v>6.7382959534800002E-2</v>
      </c>
      <c r="G13" t="str">
        <f>IF(E13=F13,"n/a",IF(OR(C13="battery electric vehicle",C13="natural gas vehicle",C13="plugin hybrid vehicle"),"s-curve","linear"))</f>
        <v>n/a</v>
      </c>
      <c r="I13">
        <f>E13</f>
        <v>6.7382959534800002E-2</v>
      </c>
      <c r="J13">
        <f>IF($G13="s-curve",$E13+($F13-$E13)*$I$2/(1+EXP($I$3*(COUNT($I$9:J$9)+$I$4))),TREND($E13:$F13,$E$9:$F$9,J$9))</f>
        <v>6.7382959534800002E-2</v>
      </c>
      <c r="K13">
        <f>IF($G13="s-curve",$E13+($F13-$E13)*$I$2/(1+EXP($I$3*(COUNT($I$9:K$9)+$I$4))),TREND($E13:$F13,$E$9:$F$9,K$9))</f>
        <v>6.7382959534800002E-2</v>
      </c>
      <c r="L13">
        <f>IF($G13="s-curve",$E13+($F13-$E13)*$I$2/(1+EXP($I$3*(COUNT($I$9:L$9)+$I$4))),TREND($E13:$F13,$E$9:$F$9,L$9))</f>
        <v>6.7382959534800002E-2</v>
      </c>
      <c r="M13">
        <f>IF($G13="s-curve",$E13+($F13-$E13)*$I$2/(1+EXP($I$3*(COUNT($I$9:M$9)+$I$4))),TREND($E13:$F13,$E$9:$F$9,M$9))</f>
        <v>6.7382959534800002E-2</v>
      </c>
      <c r="N13">
        <f>IF($G13="s-curve",$E13+($F13-$E13)*$I$2/(1+EXP($I$3*(COUNT($I$9:N$9)+$I$4))),TREND($E13:$F13,$E$9:$F$9,N$9))</f>
        <v>6.7382959534800002E-2</v>
      </c>
      <c r="O13">
        <f>IF($G13="s-curve",$E13+($F13-$E13)*$I$2/(1+EXP($I$3*(COUNT($I$9:O$9)+$I$4))),TREND($E13:$F13,$E$9:$F$9,O$9))</f>
        <v>6.7382959534800002E-2</v>
      </c>
      <c r="P13">
        <f>IF($G13="s-curve",$E13+($F13-$E13)*$I$2/(1+EXP($I$3*(COUNT($I$9:P$9)+$I$4))),TREND($E13:$F13,$E$9:$F$9,P$9))</f>
        <v>6.7382959534800002E-2</v>
      </c>
      <c r="Q13">
        <f>IF($G13="s-curve",$E13+($F13-$E13)*$I$2/(1+EXP($I$3*(COUNT($I$9:Q$9)+$I$4))),TREND($E13:$F13,$E$9:$F$9,Q$9))</f>
        <v>6.7382959534800002E-2</v>
      </c>
      <c r="R13">
        <f>IF($G13="s-curve",$E13+($F13-$E13)*$I$2/(1+EXP($I$3*(COUNT($I$9:R$9)+$I$4))),TREND($E13:$F13,$E$9:$F$9,R$9))</f>
        <v>6.7382959534800002E-2</v>
      </c>
      <c r="S13">
        <f>IF($G13="s-curve",$E13+($F13-$E13)*$I$2/(1+EXP($I$3*(COUNT($I$9:S$9)+$I$4))),TREND($E13:$F13,$E$9:$F$9,S$9))</f>
        <v>6.7382959534800002E-2</v>
      </c>
      <c r="T13">
        <f>IF($G13="s-curve",$E13+($F13-$E13)*$I$2/(1+EXP($I$3*(COUNT($I$9:T$9)+$I$4))),TREND($E13:$F13,$E$9:$F$9,T$9))</f>
        <v>6.7382959534800002E-2</v>
      </c>
      <c r="U13">
        <f>IF($G13="s-curve",$E13+($F13-$E13)*$I$2/(1+EXP($I$3*(COUNT($I$9:U$9)+$I$4))),TREND($E13:$F13,$E$9:$F$9,U$9))</f>
        <v>6.7382959534800002E-2</v>
      </c>
      <c r="V13">
        <f>IF($G13="s-curve",$E13+($F13-$E13)*$I$2/(1+EXP($I$3*(COUNT($I$9:V$9)+$I$4))),TREND($E13:$F13,$E$9:$F$9,V$9))</f>
        <v>6.7382959534800002E-2</v>
      </c>
      <c r="W13">
        <f>IF($G13="s-curve",$E13+($F13-$E13)*$I$2/(1+EXP($I$3*(COUNT($I$9:W$9)+$I$4))),TREND($E13:$F13,$E$9:$F$9,W$9))</f>
        <v>6.7382959534800002E-2</v>
      </c>
      <c r="X13">
        <f>IF($G13="s-curve",$E13+($F13-$E13)*$I$2/(1+EXP($I$3*(COUNT($I$9:X$9)+$I$4))),TREND($E13:$F13,$E$9:$F$9,X$9))</f>
        <v>6.7382959534800002E-2</v>
      </c>
      <c r="Y13">
        <f>IF($G13="s-curve",$E13+($F13-$E13)*$I$2/(1+EXP($I$3*(COUNT($I$9:Y$9)+$I$4))),TREND($E13:$F13,$E$9:$F$9,Y$9))</f>
        <v>6.7382959534800002E-2</v>
      </c>
      <c r="Z13">
        <f>IF($G13="s-curve",$E13+($F13-$E13)*$I$2/(1+EXP($I$3*(COUNT($I$9:Z$9)+$I$4))),TREND($E13:$F13,$E$9:$F$9,Z$9))</f>
        <v>6.7382959534800002E-2</v>
      </c>
      <c r="AA13">
        <f>IF($G13="s-curve",$E13+($F13-$E13)*$I$2/(1+EXP($I$3*(COUNT($I$9:AA$9)+$I$4))),TREND($E13:$F13,$E$9:$F$9,AA$9))</f>
        <v>6.7382959534800002E-2</v>
      </c>
      <c r="AB13">
        <f>IF($G13="s-curve",$E13+($F13-$E13)*$I$2/(1+EXP($I$3*(COUNT($I$9:AB$9)+$I$4))),TREND($E13:$F13,$E$9:$F$9,AB$9))</f>
        <v>6.7382959534800002E-2</v>
      </c>
      <c r="AC13">
        <f>IF($G13="s-curve",$E13+($F13-$E13)*$I$2/(1+EXP($I$3*(COUNT($I$9:AC$9)+$I$4))),TREND($E13:$F13,$E$9:$F$9,AC$9))</f>
        <v>6.7382959534800002E-2</v>
      </c>
      <c r="AD13">
        <f>IF($G13="s-curve",$E13+($F13-$E13)*$I$2/(1+EXP($I$3*(COUNT($I$9:AD$9)+$I$4))),TREND($E13:$F13,$E$9:$F$9,AD$9))</f>
        <v>6.7382959534800002E-2</v>
      </c>
      <c r="AE13">
        <f>IF($G13="s-curve",$E13+($F13-$E13)*$I$2/(1+EXP($I$3*(COUNT($I$9:AE$9)+$I$4))),TREND($E13:$F13,$E$9:$F$9,AE$9))</f>
        <v>6.7382959534800002E-2</v>
      </c>
      <c r="AF13">
        <f>IF($G13="s-curve",$E13+($F13-$E13)*$I$2/(1+EXP($I$3*(COUNT($I$9:AF$9)+$I$4))),TREND($E13:$F13,$E$9:$F$9,AF$9))</f>
        <v>6.7382959534800002E-2</v>
      </c>
      <c r="AG13">
        <f>IF($G13="s-curve",$E13+($F13-$E13)*$I$2/(1+EXP($I$3*(COUNT($I$9:AG$9)+$I$4))),TREND($E13:$F13,$E$9:$F$9,AG$9))</f>
        <v>6.7382959534800002E-2</v>
      </c>
      <c r="AH13">
        <f>IF($G13="s-curve",$E13+($F13-$E13)*$I$2/(1+EXP($I$3*(COUNT($I$9:AH$9)+$I$4))),TREND($E13:$F13,$E$9:$F$9,AH$9))</f>
        <v>6.7382959534800002E-2</v>
      </c>
      <c r="AI13">
        <f>IF($G13="s-curve",$E13+($F13-$E13)*$I$2/(1+EXP($I$3*(COUNT($I$9:AI$9)+$I$4))),TREND($E13:$F13,$E$9:$F$9,AI$9))</f>
        <v>6.7382959534800002E-2</v>
      </c>
    </row>
    <row r="14" spans="1:35" x14ac:dyDescent="0.25">
      <c r="C14" t="s">
        <v>180</v>
      </c>
      <c r="D14">
        <v>1.68426429502E-2</v>
      </c>
      <c r="E14" s="18">
        <f>INDEX(Solve!$AO$6:$AO$53,MATCH(About!$B$2,Solve!$A$6:$A$53,0))</f>
        <v>2.2130378178094778E-2</v>
      </c>
      <c r="F14" s="2">
        <f>E14/E10*F10</f>
        <v>9.2272300610248548E-2</v>
      </c>
      <c r="G14" t="str">
        <f>IF(E14=F14,"n/a",IF(OR(C14="battery electric vehicle",C14="natural gas vehicle",C14="plugin hybrid vehicle",C14="hydrogen vehicle"),"s-curve","linear"))</f>
        <v>s-curve</v>
      </c>
      <c r="I14">
        <f>D14</f>
        <v>1.68426429502E-2</v>
      </c>
      <c r="J14" s="2">
        <f>$E14</f>
        <v>2.2130378178094778E-2</v>
      </c>
      <c r="K14" s="2">
        <f t="shared" ref="K14:AI14" si="2">IF($G14="s-curve",$E14+($F14-$E14)*K$99,TREND($E14:$F14,$E$9:$F$9,K$9))</f>
        <v>2.254785520470709E-2</v>
      </c>
      <c r="L14" s="2">
        <f t="shared" si="2"/>
        <v>2.3161536056892619E-2</v>
      </c>
      <c r="M14" s="2">
        <f t="shared" si="2"/>
        <v>2.405729523557204E-2</v>
      </c>
      <c r="N14" s="2">
        <f t="shared" si="2"/>
        <v>2.5351427741114325E-2</v>
      </c>
      <c r="O14" s="2">
        <f t="shared" si="2"/>
        <v>2.7193622697597793E-2</v>
      </c>
      <c r="P14" s="2">
        <f t="shared" si="2"/>
        <v>2.9761456299715213E-2</v>
      </c>
      <c r="Q14" s="2">
        <f t="shared" si="2"/>
        <v>3.3237858812213007E-2</v>
      </c>
      <c r="R14" s="2">
        <f t="shared" si="2"/>
        <v>3.7762976304746738E-2</v>
      </c>
      <c r="S14" s="2">
        <f t="shared" si="2"/>
        <v>4.3361167904406202E-2</v>
      </c>
      <c r="T14" s="2">
        <f t="shared" si="2"/>
        <v>4.9867076846046673E-2</v>
      </c>
      <c r="U14" s="2">
        <f t="shared" si="2"/>
        <v>5.6900435256550946E-2</v>
      </c>
      <c r="V14" s="2">
        <f t="shared" si="2"/>
        <v>6.3933793667055233E-2</v>
      </c>
      <c r="W14" s="2">
        <f t="shared" si="2"/>
        <v>7.0439702608695698E-2</v>
      </c>
      <c r="X14" s="2">
        <f t="shared" si="2"/>
        <v>7.6037894208355161E-2</v>
      </c>
      <c r="Y14" s="2">
        <f t="shared" si="2"/>
        <v>8.0563011700888892E-2</v>
      </c>
      <c r="Z14" s="2">
        <f t="shared" si="2"/>
        <v>8.4039414213386676E-2</v>
      </c>
      <c r="AA14" s="2">
        <f t="shared" si="2"/>
        <v>8.6607247815504107E-2</v>
      </c>
      <c r="AB14" s="2">
        <f t="shared" si="2"/>
        <v>8.8449442771987574E-2</v>
      </c>
      <c r="AC14" s="2">
        <f t="shared" si="2"/>
        <v>8.9743575277529866E-2</v>
      </c>
      <c r="AD14" s="2">
        <f t="shared" si="2"/>
        <v>9.0639334456209281E-2</v>
      </c>
      <c r="AE14" s="2">
        <f t="shared" si="2"/>
        <v>9.1253015308394816E-2</v>
      </c>
      <c r="AF14" s="2">
        <f t="shared" si="2"/>
        <v>9.1670492335007112E-2</v>
      </c>
      <c r="AG14" s="2">
        <f t="shared" si="2"/>
        <v>9.1953134984551141E-2</v>
      </c>
      <c r="AH14" s="2">
        <f t="shared" si="2"/>
        <v>9.2143869894498118E-2</v>
      </c>
      <c r="AI14" s="2">
        <f t="shared" si="2"/>
        <v>9.2272300610248548E-2</v>
      </c>
    </row>
    <row r="15" spans="1:35" x14ac:dyDescent="0.25">
      <c r="C15" t="s">
        <v>294</v>
      </c>
      <c r="D15">
        <v>0</v>
      </c>
      <c r="E15" s="18">
        <f>INDEX(Solve!$AT$6:$AT$53,MATCH(About!$B$2,Solve!$A$6:$A$53,0))</f>
        <v>0</v>
      </c>
      <c r="F15">
        <f>E15</f>
        <v>0</v>
      </c>
      <c r="G15" t="str">
        <f>IF(E15=F15,"n/a",IF(OR(C15="battery electric vehicle",C15="natural gas vehicle",C15="plugin hybrid vehicle",C15="hydrogen vehicle"),"s-curve","linear"))</f>
        <v>n/a</v>
      </c>
      <c r="I15">
        <f>E15</f>
        <v>0</v>
      </c>
      <c r="J15">
        <f>IF($G15="s-curve",$E15+($F15-$E15)*$I$2/(1+EXP($I$3*(COUNT($I$9:J$9)+$I$4))),TREND($E15:$F15,$E$9:$F$9,J$9))</f>
        <v>0</v>
      </c>
      <c r="K15">
        <f>IF($G15="s-curve",$E15+($F15-$E15)*$I$2/(1+EXP($I$3*(COUNT($I$9:K$9)+$I$4))),TREND($E15:$F15,$E$9:$F$9,K$9))</f>
        <v>0</v>
      </c>
      <c r="L15">
        <f>IF($G15="s-curve",$E15+($F15-$E15)*$I$2/(1+EXP($I$3*(COUNT($I$9:L$9)+$I$4))),TREND($E15:$F15,$E$9:$F$9,L$9))</f>
        <v>0</v>
      </c>
      <c r="M15">
        <f>IF($G15="s-curve",$E15+($F15-$E15)*$I$2/(1+EXP($I$3*(COUNT($I$9:M$9)+$I$4))),TREND($E15:$F15,$E$9:$F$9,M$9))</f>
        <v>0</v>
      </c>
      <c r="N15">
        <f>IF($G15="s-curve",$E15+($F15-$E15)*$I$2/(1+EXP($I$3*(COUNT($I$9:N$9)+$I$4))),TREND($E15:$F15,$E$9:$F$9,N$9))</f>
        <v>0</v>
      </c>
      <c r="O15">
        <f>IF($G15="s-curve",$E15+($F15-$E15)*$I$2/(1+EXP($I$3*(COUNT($I$9:O$9)+$I$4))),TREND($E15:$F15,$E$9:$F$9,O$9))</f>
        <v>0</v>
      </c>
      <c r="P15">
        <f>IF($G15="s-curve",$E15+($F15-$E15)*$I$2/(1+EXP($I$3*(COUNT($I$9:P$9)+$I$4))),TREND($E15:$F15,$E$9:$F$9,P$9))</f>
        <v>0</v>
      </c>
      <c r="Q15">
        <f>IF($G15="s-curve",$E15+($F15-$E15)*$I$2/(1+EXP($I$3*(COUNT($I$9:Q$9)+$I$4))),TREND($E15:$F15,$E$9:$F$9,Q$9))</f>
        <v>0</v>
      </c>
      <c r="R15">
        <f>IF($G15="s-curve",$E15+($F15-$E15)*$I$2/(1+EXP($I$3*(COUNT($I$9:R$9)+$I$4))),TREND($E15:$F15,$E$9:$F$9,R$9))</f>
        <v>0</v>
      </c>
      <c r="S15">
        <f>IF($G15="s-curve",$E15+($F15-$E15)*$I$2/(1+EXP($I$3*(COUNT($I$9:S$9)+$I$4))),TREND($E15:$F15,$E$9:$F$9,S$9))</f>
        <v>0</v>
      </c>
      <c r="T15">
        <f>IF($G15="s-curve",$E15+($F15-$E15)*$I$2/(1+EXP($I$3*(COUNT($I$9:T$9)+$I$4))),TREND($E15:$F15,$E$9:$F$9,T$9))</f>
        <v>0</v>
      </c>
      <c r="U15">
        <f>IF($G15="s-curve",$E15+($F15-$E15)*$I$2/(1+EXP($I$3*(COUNT($I$9:U$9)+$I$4))),TREND($E15:$F15,$E$9:$F$9,U$9))</f>
        <v>0</v>
      </c>
      <c r="V15">
        <f>IF($G15="s-curve",$E15+($F15-$E15)*$I$2/(1+EXP($I$3*(COUNT($I$9:V$9)+$I$4))),TREND($E15:$F15,$E$9:$F$9,V$9))</f>
        <v>0</v>
      </c>
      <c r="W15">
        <f>IF($G15="s-curve",$E15+($F15-$E15)*$I$2/(1+EXP($I$3*(COUNT($I$9:W$9)+$I$4))),TREND($E15:$F15,$E$9:$F$9,W$9))</f>
        <v>0</v>
      </c>
      <c r="X15">
        <f>IF($G15="s-curve",$E15+($F15-$E15)*$I$2/(1+EXP($I$3*(COUNT($I$9:X$9)+$I$4))),TREND($E15:$F15,$E$9:$F$9,X$9))</f>
        <v>0</v>
      </c>
      <c r="Y15">
        <f>IF($G15="s-curve",$E15+($F15-$E15)*$I$2/(1+EXP($I$3*(COUNT($I$9:Y$9)+$I$4))),TREND($E15:$F15,$E$9:$F$9,Y$9))</f>
        <v>0</v>
      </c>
      <c r="Z15">
        <f>IF($G15="s-curve",$E15+($F15-$E15)*$I$2/(1+EXP($I$3*(COUNT($I$9:Z$9)+$I$4))),TREND($E15:$F15,$E$9:$F$9,Z$9))</f>
        <v>0</v>
      </c>
      <c r="AA15">
        <f>IF($G15="s-curve",$E15+($F15-$E15)*$I$2/(1+EXP($I$3*(COUNT($I$9:AA$9)+$I$4))),TREND($E15:$F15,$E$9:$F$9,AA$9))</f>
        <v>0</v>
      </c>
      <c r="AB15">
        <f>IF($G15="s-curve",$E15+($F15-$E15)*$I$2/(1+EXP($I$3*(COUNT($I$9:AB$9)+$I$4))),TREND($E15:$F15,$E$9:$F$9,AB$9))</f>
        <v>0</v>
      </c>
      <c r="AC15">
        <f>IF($G15="s-curve",$E15+($F15-$E15)*$I$2/(1+EXP($I$3*(COUNT($I$9:AC$9)+$I$4))),TREND($E15:$F15,$E$9:$F$9,AC$9))</f>
        <v>0</v>
      </c>
      <c r="AD15">
        <f>IF($G15="s-curve",$E15+($F15-$E15)*$I$2/(1+EXP($I$3*(COUNT($I$9:AD$9)+$I$4))),TREND($E15:$F15,$E$9:$F$9,AD$9))</f>
        <v>0</v>
      </c>
      <c r="AE15">
        <f>IF($G15="s-curve",$E15+($F15-$E15)*$I$2/(1+EXP($I$3*(COUNT($I$9:AE$9)+$I$4))),TREND($E15:$F15,$E$9:$F$9,AE$9))</f>
        <v>0</v>
      </c>
      <c r="AF15">
        <f>IF($G15="s-curve",$E15+($F15-$E15)*$I$2/(1+EXP($I$3*(COUNT($I$9:AF$9)+$I$4))),TREND($E15:$F15,$E$9:$F$9,AF$9))</f>
        <v>0</v>
      </c>
      <c r="AG15">
        <f>IF($G15="s-curve",$E15+($F15-$E15)*$I$2/(1+EXP($I$3*(COUNT($I$9:AG$9)+$I$4))),TREND($E15:$F15,$E$9:$F$9,AG$9))</f>
        <v>0</v>
      </c>
      <c r="AH15">
        <f>IF($G15="s-curve",$E15+($F15-$E15)*$I$2/(1+EXP($I$3*(COUNT($I$9:AH$9)+$I$4))),TREND($E15:$F15,$E$9:$F$9,AH$9))</f>
        <v>0</v>
      </c>
      <c r="AI15">
        <f>IF($G15="s-curve",$E15+($F15-$E15)*$I$2/(1+EXP($I$3*(COUNT($I$9:AI$9)+$I$4))),TREND($E15:$F15,$E$9:$F$9,AI$9))</f>
        <v>0</v>
      </c>
    </row>
    <row r="16" spans="1:35" x14ac:dyDescent="0.25">
      <c r="C16" t="s">
        <v>182</v>
      </c>
      <c r="D16">
        <v>0</v>
      </c>
      <c r="E16" s="18">
        <f>INDEX(Solve!$AP$6:$AP$53,MATCH(About!$B$2,Solve!$A$6:$A$53,0))</f>
        <v>0</v>
      </c>
      <c r="F16">
        <f>E16</f>
        <v>0</v>
      </c>
      <c r="G16" t="str">
        <f>IF(E16=F16,"n/a",IF(OR(C16="battery electric vehicle",C16="natural gas vehicle",C16="plugin hybrid vehicle",C16="hydrogen vehicle"),"s-curve","linear"))</f>
        <v>n/a</v>
      </c>
      <c r="I16">
        <f>E16</f>
        <v>0</v>
      </c>
      <c r="J16">
        <f>IF($G16="s-curve",$E16+($F16-$E16)*$I$2/(1+EXP($I$3*(COUNT($I$9:J$9)+$I$4))),TREND($E16:$F16,$E$9:$F$9,J$9))</f>
        <v>0</v>
      </c>
      <c r="K16">
        <f>IF($G16="s-curve",$E16+($F16-$E16)*$I$2/(1+EXP($I$3*(COUNT($I$9:K$9)+$I$4))),TREND($E16:$F16,$E$9:$F$9,K$9))</f>
        <v>0</v>
      </c>
      <c r="L16">
        <f>IF($G16="s-curve",$E16+($F16-$E16)*$I$2/(1+EXP($I$3*(COUNT($I$9:L$9)+$I$4))),TREND($E16:$F16,$E$9:$F$9,L$9))</f>
        <v>0</v>
      </c>
      <c r="M16">
        <f>IF($G16="s-curve",$E16+($F16-$E16)*$I$2/(1+EXP($I$3*(COUNT($I$9:M$9)+$I$4))),TREND($E16:$F16,$E$9:$F$9,M$9))</f>
        <v>0</v>
      </c>
      <c r="N16">
        <f>IF($G16="s-curve",$E16+($F16-$E16)*$I$2/(1+EXP($I$3*(COUNT($I$9:N$9)+$I$4))),TREND($E16:$F16,$E$9:$F$9,N$9))</f>
        <v>0</v>
      </c>
      <c r="O16">
        <f>IF($G16="s-curve",$E16+($F16-$E16)*$I$2/(1+EXP($I$3*(COUNT($I$9:O$9)+$I$4))),TREND($E16:$F16,$E$9:$F$9,O$9))</f>
        <v>0</v>
      </c>
      <c r="P16">
        <f>IF($G16="s-curve",$E16+($F16-$E16)*$I$2/(1+EXP($I$3*(COUNT($I$9:P$9)+$I$4))),TREND($E16:$F16,$E$9:$F$9,P$9))</f>
        <v>0</v>
      </c>
      <c r="Q16">
        <f>IF($G16="s-curve",$E16+($F16-$E16)*$I$2/(1+EXP($I$3*(COUNT($I$9:Q$9)+$I$4))),TREND($E16:$F16,$E$9:$F$9,Q$9))</f>
        <v>0</v>
      </c>
      <c r="R16">
        <f>IF($G16="s-curve",$E16+($F16-$E16)*$I$2/(1+EXP($I$3*(COUNT($I$9:R$9)+$I$4))),TREND($E16:$F16,$E$9:$F$9,R$9))</f>
        <v>0</v>
      </c>
      <c r="S16">
        <f>IF($G16="s-curve",$E16+($F16-$E16)*$I$2/(1+EXP($I$3*(COUNT($I$9:S$9)+$I$4))),TREND($E16:$F16,$E$9:$F$9,S$9))</f>
        <v>0</v>
      </c>
      <c r="T16">
        <f>IF($G16="s-curve",$E16+($F16-$E16)*$I$2/(1+EXP($I$3*(COUNT($I$9:T$9)+$I$4))),TREND($E16:$F16,$E$9:$F$9,T$9))</f>
        <v>0</v>
      </c>
      <c r="U16">
        <f>IF($G16="s-curve",$E16+($F16-$E16)*$I$2/(1+EXP($I$3*(COUNT($I$9:U$9)+$I$4))),TREND($E16:$F16,$E$9:$F$9,U$9))</f>
        <v>0</v>
      </c>
      <c r="V16">
        <f>IF($G16="s-curve",$E16+($F16-$E16)*$I$2/(1+EXP($I$3*(COUNT($I$9:V$9)+$I$4))),TREND($E16:$F16,$E$9:$F$9,V$9))</f>
        <v>0</v>
      </c>
      <c r="W16">
        <f>IF($G16="s-curve",$E16+($F16-$E16)*$I$2/(1+EXP($I$3*(COUNT($I$9:W$9)+$I$4))),TREND($E16:$F16,$E$9:$F$9,W$9))</f>
        <v>0</v>
      </c>
      <c r="X16">
        <f>IF($G16="s-curve",$E16+($F16-$E16)*$I$2/(1+EXP($I$3*(COUNT($I$9:X$9)+$I$4))),TREND($E16:$F16,$E$9:$F$9,X$9))</f>
        <v>0</v>
      </c>
      <c r="Y16">
        <f>IF($G16="s-curve",$E16+($F16-$E16)*$I$2/(1+EXP($I$3*(COUNT($I$9:Y$9)+$I$4))),TREND($E16:$F16,$E$9:$F$9,Y$9))</f>
        <v>0</v>
      </c>
      <c r="Z16">
        <f>IF($G16="s-curve",$E16+($F16-$E16)*$I$2/(1+EXP($I$3*(COUNT($I$9:Z$9)+$I$4))),TREND($E16:$F16,$E$9:$F$9,Z$9))</f>
        <v>0</v>
      </c>
      <c r="AA16">
        <f>IF($G16="s-curve",$E16+($F16-$E16)*$I$2/(1+EXP($I$3*(COUNT($I$9:AA$9)+$I$4))),TREND($E16:$F16,$E$9:$F$9,AA$9))</f>
        <v>0</v>
      </c>
      <c r="AB16">
        <f>IF($G16="s-curve",$E16+($F16-$E16)*$I$2/(1+EXP($I$3*(COUNT($I$9:AB$9)+$I$4))),TREND($E16:$F16,$E$9:$F$9,AB$9))</f>
        <v>0</v>
      </c>
      <c r="AC16">
        <f>IF($G16="s-curve",$E16+($F16-$E16)*$I$2/(1+EXP($I$3*(COUNT($I$9:AC$9)+$I$4))),TREND($E16:$F16,$E$9:$F$9,AC$9))</f>
        <v>0</v>
      </c>
      <c r="AD16">
        <f>IF($G16="s-curve",$E16+($F16-$E16)*$I$2/(1+EXP($I$3*(COUNT($I$9:AD$9)+$I$4))),TREND($E16:$F16,$E$9:$F$9,AD$9))</f>
        <v>0</v>
      </c>
      <c r="AE16">
        <f>IF($G16="s-curve",$E16+($F16-$E16)*$I$2/(1+EXP($I$3*(COUNT($I$9:AE$9)+$I$4))),TREND($E16:$F16,$E$9:$F$9,AE$9))</f>
        <v>0</v>
      </c>
      <c r="AF16">
        <f>IF($G16="s-curve",$E16+($F16-$E16)*$I$2/(1+EXP($I$3*(COUNT($I$9:AF$9)+$I$4))),TREND($E16:$F16,$E$9:$F$9,AF$9))</f>
        <v>0</v>
      </c>
      <c r="AG16">
        <f>IF($G16="s-curve",$E16+($F16-$E16)*$I$2/(1+EXP($I$3*(COUNT($I$9:AG$9)+$I$4))),TREND($E16:$F16,$E$9:$F$9,AG$9))</f>
        <v>0</v>
      </c>
      <c r="AH16">
        <f>IF($G16="s-curve",$E16+($F16-$E16)*$I$2/(1+EXP($I$3*(COUNT($I$9:AH$9)+$I$4))),TREND($E16:$F16,$E$9:$F$9,AH$9))</f>
        <v>0</v>
      </c>
      <c r="AI16">
        <f>IF($G16="s-curve",$E16+($F16-$E16)*$I$2/(1+EXP($I$3*(COUNT($I$9:AI$9)+$I$4))),TREND($E16:$F16,$E$9:$F$9,AI$9))</f>
        <v>0</v>
      </c>
    </row>
    <row r="17" spans="1:35" x14ac:dyDescent="0.25">
      <c r="A17" t="s">
        <v>295</v>
      </c>
      <c r="B17" t="s">
        <v>326</v>
      </c>
      <c r="C17" t="s">
        <v>177</v>
      </c>
      <c r="D17">
        <v>0.464269858905</v>
      </c>
      <c r="E17">
        <v>0.21897752724899999</v>
      </c>
      <c r="F17">
        <v>0.3</v>
      </c>
      <c r="G17" t="str">
        <f>IF(E17=F17,"n/a",IF(OR(C17="battery electric vehicle",C17="natural gas vehicle",C17="plugin hybrid vehicle"),"s-curve","linear"))</f>
        <v>s-curve</v>
      </c>
      <c r="I17">
        <f t="shared" ref="I17:I37" si="3">D17</f>
        <v>0.464269858905</v>
      </c>
      <c r="J17" s="2">
        <f>$E17</f>
        <v>0.21897752724899999</v>
      </c>
      <c r="K17" s="2">
        <f t="shared" ref="K17:AI17" si="4">IF($G17="s-curve",$E17+($F17-$E17)*K$101,TREND($E17:$F17,$E$9:$F$9,K$9))</f>
        <v>0.21940977069101972</v>
      </c>
      <c r="L17" s="2">
        <f t="shared" si="4"/>
        <v>0.21998623654862973</v>
      </c>
      <c r="M17" s="2">
        <f t="shared" si="4"/>
        <v>0.22075189533567047</v>
      </c>
      <c r="N17" s="2">
        <f t="shared" si="4"/>
        <v>0.22176331108891492</v>
      </c>
      <c r="O17" s="2">
        <f t="shared" si="4"/>
        <v>0.22308978838967308</v>
      </c>
      <c r="P17" s="2">
        <f t="shared" si="4"/>
        <v>0.22481315202272259</v>
      </c>
      <c r="Q17" s="2">
        <f t="shared" si="4"/>
        <v>0.22702494175264173</v>
      </c>
      <c r="R17" s="2">
        <f t="shared" si="4"/>
        <v>0.22981946232648343</v>
      </c>
      <c r="S17" s="2">
        <f t="shared" si="4"/>
        <v>0.23328118659056918</v>
      </c>
      <c r="T17" s="2">
        <f t="shared" si="4"/>
        <v>0.23746599930097054</v>
      </c>
      <c r="U17" s="2">
        <f t="shared" si="4"/>
        <v>0.24237819658437776</v>
      </c>
      <c r="V17" s="2">
        <f t="shared" si="4"/>
        <v>0.24794886957299928</v>
      </c>
      <c r="W17" s="2">
        <f t="shared" si="4"/>
        <v>0.25402467463362455</v>
      </c>
      <c r="X17" s="2">
        <f t="shared" si="4"/>
        <v>0.26037594766783523</v>
      </c>
      <c r="Y17" s="2">
        <f t="shared" si="4"/>
        <v>0.26672722070204591</v>
      </c>
      <c r="Z17" s="2">
        <f t="shared" si="4"/>
        <v>0.27280302576267118</v>
      </c>
      <c r="AA17" s="2">
        <f t="shared" si="4"/>
        <v>0.2783736987512927</v>
      </c>
      <c r="AB17" s="2">
        <f t="shared" si="4"/>
        <v>0.28328589603469995</v>
      </c>
      <c r="AC17" s="2">
        <f t="shared" si="4"/>
        <v>0.28747070874510128</v>
      </c>
      <c r="AD17" s="2">
        <f t="shared" si="4"/>
        <v>0.29093243300918703</v>
      </c>
      <c r="AE17" s="2">
        <f t="shared" si="4"/>
        <v>0.29372695358302869</v>
      </c>
      <c r="AF17" s="2">
        <f t="shared" si="4"/>
        <v>0.29593874331294789</v>
      </c>
      <c r="AG17" s="2">
        <f t="shared" si="4"/>
        <v>0.29766210694599737</v>
      </c>
      <c r="AH17" s="2">
        <f t="shared" si="4"/>
        <v>0.29898858424675556</v>
      </c>
      <c r="AI17" s="2">
        <f t="shared" si="4"/>
        <v>0.3</v>
      </c>
    </row>
    <row r="18" spans="1:35" x14ac:dyDescent="0.25">
      <c r="C18" t="s">
        <v>291</v>
      </c>
      <c r="D18">
        <v>0</v>
      </c>
      <c r="E18">
        <v>0</v>
      </c>
      <c r="F18">
        <f>E18</f>
        <v>0</v>
      </c>
      <c r="G18" t="s">
        <v>327</v>
      </c>
      <c r="I18">
        <f t="shared" si="3"/>
        <v>0</v>
      </c>
      <c r="J18">
        <f>E18</f>
        <v>0</v>
      </c>
      <c r="K18">
        <f>IF($G18="s-curve",$E18+($F18-$E18)*$I$2/(1+EXP($I$3*(COUNT($I$9:K$9)+$I$4))),TREND($E18:$F18,$E$9:$F$9,K$9))</f>
        <v>0</v>
      </c>
      <c r="L18">
        <f>IF($G18="s-curve",$E18+($F18-$E18)*$I$2/(1+EXP($I$3*(COUNT($I$9:L$9)+$I$4))),TREND($E18:$F18,$E$9:$F$9,L$9))</f>
        <v>0</v>
      </c>
      <c r="M18">
        <f>IF($G18="s-curve",$E18+($F18-$E18)*$I$2/(1+EXP($I$3*(COUNT($I$9:M$9)+$I$4))),TREND($E18:$F18,$E$9:$F$9,M$9))</f>
        <v>0</v>
      </c>
      <c r="N18">
        <f>IF($G18="s-curve",$E18+($F18-$E18)*$I$2/(1+EXP($I$3*(COUNT($I$9:N$9)+$I$4))),TREND($E18:$F18,$E$9:$F$9,N$9))</f>
        <v>0</v>
      </c>
      <c r="O18">
        <f>IF($G18="s-curve",$E18+($F18-$E18)*$I$2/(1+EXP($I$3*(COUNT($I$9:O$9)+$I$4))),TREND($E18:$F18,$E$9:$F$9,O$9))</f>
        <v>0</v>
      </c>
      <c r="P18">
        <f>IF($G18="s-curve",$E18+($F18-$E18)*$I$2/(1+EXP($I$3*(COUNT($I$9:P$9)+$I$4))),TREND($E18:$F18,$E$9:$F$9,P$9))</f>
        <v>0</v>
      </c>
      <c r="Q18">
        <f>IF($G18="s-curve",$E18+($F18-$E18)*$I$2/(1+EXP($I$3*(COUNT($I$9:Q$9)+$I$4))),TREND($E18:$F18,$E$9:$F$9,Q$9))</f>
        <v>0</v>
      </c>
      <c r="R18">
        <f>IF($G18="s-curve",$E18+($F18-$E18)*$I$2/(1+EXP($I$3*(COUNT($I$9:R$9)+$I$4))),TREND($E18:$F18,$E$9:$F$9,R$9))</f>
        <v>0</v>
      </c>
      <c r="S18">
        <f>IF($G18="s-curve",$E18+($F18-$E18)*$I$2/(1+EXP($I$3*(COUNT($I$9:S$9)+$I$4))),TREND($E18:$F18,$E$9:$F$9,S$9))</f>
        <v>0</v>
      </c>
      <c r="T18">
        <f>IF($G18="s-curve",$E18+($F18-$E18)*$I$2/(1+EXP($I$3*(COUNT($I$9:T$9)+$I$4))),TREND($E18:$F18,$E$9:$F$9,T$9))</f>
        <v>0</v>
      </c>
      <c r="U18">
        <f>IF($G18="s-curve",$E18+($F18-$E18)*$I$2/(1+EXP($I$3*(COUNT($I$9:U$9)+$I$4))),TREND($E18:$F18,$E$9:$F$9,U$9))</f>
        <v>0</v>
      </c>
      <c r="V18">
        <f>IF($G18="s-curve",$E18+($F18-$E18)*$I$2/(1+EXP($I$3*(COUNT($I$9:V$9)+$I$4))),TREND($E18:$F18,$E$9:$F$9,V$9))</f>
        <v>0</v>
      </c>
      <c r="W18">
        <f>IF($G18="s-curve",$E18+($F18-$E18)*$I$2/(1+EXP($I$3*(COUNT($I$9:W$9)+$I$4))),TREND($E18:$F18,$E$9:$F$9,W$9))</f>
        <v>0</v>
      </c>
      <c r="X18">
        <f>IF($G18="s-curve",$E18+($F18-$E18)*$I$2/(1+EXP($I$3*(COUNT($I$9:X$9)+$I$4))),TREND($E18:$F18,$E$9:$F$9,X$9))</f>
        <v>0</v>
      </c>
      <c r="Y18">
        <f>IF($G18="s-curve",$E18+($F18-$E18)*$I$2/(1+EXP($I$3*(COUNT($I$9:Y$9)+$I$4))),TREND($E18:$F18,$E$9:$F$9,Y$9))</f>
        <v>0</v>
      </c>
      <c r="Z18">
        <f>IF($G18="s-curve",$E18+($F18-$E18)*$I$2/(1+EXP($I$3*(COUNT($I$9:Z$9)+$I$4))),TREND($E18:$F18,$E$9:$F$9,Z$9))</f>
        <v>0</v>
      </c>
      <c r="AA18">
        <f>IF($G18="s-curve",$E18+($F18-$E18)*$I$2/(1+EXP($I$3*(COUNT($I$9:AA$9)+$I$4))),TREND($E18:$F18,$E$9:$F$9,AA$9))</f>
        <v>0</v>
      </c>
      <c r="AB18">
        <f>IF($G18="s-curve",$E18+($F18-$E18)*$I$2/(1+EXP($I$3*(COUNT($I$9:AB$9)+$I$4))),TREND($E18:$F18,$E$9:$F$9,AB$9))</f>
        <v>0</v>
      </c>
      <c r="AC18">
        <f>IF($G18="s-curve",$E18+($F18-$E18)*$I$2/(1+EXP($I$3*(COUNT($I$9:AC$9)+$I$4))),TREND($E18:$F18,$E$9:$F$9,AC$9))</f>
        <v>0</v>
      </c>
      <c r="AD18">
        <f>IF($G18="s-curve",$E18+($F18-$E18)*$I$2/(1+EXP($I$3*(COUNT($I$9:AD$9)+$I$4))),TREND($E18:$F18,$E$9:$F$9,AD$9))</f>
        <v>0</v>
      </c>
      <c r="AE18">
        <f>IF($G18="s-curve",$E18+($F18-$E18)*$I$2/(1+EXP($I$3*(COUNT($I$9:AE$9)+$I$4))),TREND($E18:$F18,$E$9:$F$9,AE$9))</f>
        <v>0</v>
      </c>
      <c r="AF18">
        <f>IF($G18="s-curve",$E18+($F18-$E18)*$I$2/(1+EXP($I$3*(COUNT($I$9:AF$9)+$I$4))),TREND($E18:$F18,$E$9:$F$9,AF$9))</f>
        <v>0</v>
      </c>
      <c r="AG18">
        <f>IF($G18="s-curve",$E18+($F18-$E18)*$I$2/(1+EXP($I$3*(COUNT($I$9:AG$9)+$I$4))),TREND($E18:$F18,$E$9:$F$9,AG$9))</f>
        <v>0</v>
      </c>
      <c r="AH18">
        <f>IF($G18="s-curve",$E18+($F18-$E18)*$I$2/(1+EXP($I$3*(COUNT($I$9:AH$9)+$I$4))),TREND($E18:$F18,$E$9:$F$9,AH$9))</f>
        <v>0</v>
      </c>
      <c r="AI18">
        <f>IF($G18="s-curve",$E18+($F18-$E18)*$I$2/(1+EXP($I$3*(COUNT($I$9:AI$9)+$I$4))),TREND($E18:$F18,$E$9:$F$9,AI$9))</f>
        <v>0</v>
      </c>
    </row>
    <row r="19" spans="1:35" x14ac:dyDescent="0.25">
      <c r="C19" t="s">
        <v>292</v>
      </c>
      <c r="D19">
        <v>1</v>
      </c>
      <c r="E19">
        <v>0.95569574619999997</v>
      </c>
      <c r="F19">
        <f>E19</f>
        <v>0.95569574619999997</v>
      </c>
      <c r="G19" t="str">
        <f>IF(E19=F19,"n/a",IF(OR(C19="battery electric vehicle",C19="natural gas vehicle",C19="plugin hybrid vehicle"),"s-curve","linear"))</f>
        <v>n/a</v>
      </c>
      <c r="I19">
        <f t="shared" si="3"/>
        <v>1</v>
      </c>
      <c r="J19">
        <f>E19</f>
        <v>0.95569574619999997</v>
      </c>
      <c r="K19">
        <f>IF($G19="s-curve",$E19+($F19-$E19)*$I$2/(1+EXP($I$3*(COUNT($I$9:K$9)+$I$4))),TREND($E19:$F19,$E$9:$F$9,K$9))</f>
        <v>0.95569574619999997</v>
      </c>
      <c r="L19">
        <f>IF($G19="s-curve",$E19+($F19-$E19)*$I$2/(1+EXP($I$3*(COUNT($I$9:L$9)+$I$4))),TREND($E19:$F19,$E$9:$F$9,L$9))</f>
        <v>0.95569574619999997</v>
      </c>
      <c r="M19">
        <f>IF($G19="s-curve",$E19+($F19-$E19)*$I$2/(1+EXP($I$3*(COUNT($I$9:M$9)+$I$4))),TREND($E19:$F19,$E$9:$F$9,M$9))</f>
        <v>0.95569574619999997</v>
      </c>
      <c r="N19">
        <f>IF($G19="s-curve",$E19+($F19-$E19)*$I$2/(1+EXP($I$3*(COUNT($I$9:N$9)+$I$4))),TREND($E19:$F19,$E$9:$F$9,N$9))</f>
        <v>0.95569574619999997</v>
      </c>
      <c r="O19">
        <f>IF($G19="s-curve",$E19+($F19-$E19)*$I$2/(1+EXP($I$3*(COUNT($I$9:O$9)+$I$4))),TREND($E19:$F19,$E$9:$F$9,O$9))</f>
        <v>0.95569574619999997</v>
      </c>
      <c r="P19">
        <f>IF($G19="s-curve",$E19+($F19-$E19)*$I$2/(1+EXP($I$3*(COUNT($I$9:P$9)+$I$4))),TREND($E19:$F19,$E$9:$F$9,P$9))</f>
        <v>0.95569574619999997</v>
      </c>
      <c r="Q19">
        <f>IF($G19="s-curve",$E19+($F19-$E19)*$I$2/(1+EXP($I$3*(COUNT($I$9:Q$9)+$I$4))),TREND($E19:$F19,$E$9:$F$9,Q$9))</f>
        <v>0.95569574619999997</v>
      </c>
      <c r="R19">
        <f>IF($G19="s-curve",$E19+($F19-$E19)*$I$2/(1+EXP($I$3*(COUNT($I$9:R$9)+$I$4))),TREND($E19:$F19,$E$9:$F$9,R$9))</f>
        <v>0.95569574619999997</v>
      </c>
      <c r="S19">
        <f>IF($G19="s-curve",$E19+($F19-$E19)*$I$2/(1+EXP($I$3*(COUNT($I$9:S$9)+$I$4))),TREND($E19:$F19,$E$9:$F$9,S$9))</f>
        <v>0.95569574619999997</v>
      </c>
      <c r="T19">
        <f>IF($G19="s-curve",$E19+($F19-$E19)*$I$2/(1+EXP($I$3*(COUNT($I$9:T$9)+$I$4))),TREND($E19:$F19,$E$9:$F$9,T$9))</f>
        <v>0.95569574619999997</v>
      </c>
      <c r="U19">
        <f>IF($G19="s-curve",$E19+($F19-$E19)*$I$2/(1+EXP($I$3*(COUNT($I$9:U$9)+$I$4))),TREND($E19:$F19,$E$9:$F$9,U$9))</f>
        <v>0.95569574619999997</v>
      </c>
      <c r="V19">
        <f>IF($G19="s-curve",$E19+($F19-$E19)*$I$2/(1+EXP($I$3*(COUNT($I$9:V$9)+$I$4))),TREND($E19:$F19,$E$9:$F$9,V$9))</f>
        <v>0.95569574619999997</v>
      </c>
      <c r="W19">
        <f>IF($G19="s-curve",$E19+($F19-$E19)*$I$2/(1+EXP($I$3*(COUNT($I$9:W$9)+$I$4))),TREND($E19:$F19,$E$9:$F$9,W$9))</f>
        <v>0.95569574619999997</v>
      </c>
      <c r="X19">
        <f>IF($G19="s-curve",$E19+($F19-$E19)*$I$2/(1+EXP($I$3*(COUNT($I$9:X$9)+$I$4))),TREND($E19:$F19,$E$9:$F$9,X$9))</f>
        <v>0.95569574619999997</v>
      </c>
      <c r="Y19">
        <f>IF($G19="s-curve",$E19+($F19-$E19)*$I$2/(1+EXP($I$3*(COUNT($I$9:Y$9)+$I$4))),TREND($E19:$F19,$E$9:$F$9,Y$9))</f>
        <v>0.95569574619999997</v>
      </c>
      <c r="Z19">
        <f>IF($G19="s-curve",$E19+($F19-$E19)*$I$2/(1+EXP($I$3*(COUNT($I$9:Z$9)+$I$4))),TREND($E19:$F19,$E$9:$F$9,Z$9))</f>
        <v>0.95569574619999997</v>
      </c>
      <c r="AA19">
        <f>IF($G19="s-curve",$E19+($F19-$E19)*$I$2/(1+EXP($I$3*(COUNT($I$9:AA$9)+$I$4))),TREND($E19:$F19,$E$9:$F$9,AA$9))</f>
        <v>0.95569574619999997</v>
      </c>
      <c r="AB19">
        <f>IF($G19="s-curve",$E19+($F19-$E19)*$I$2/(1+EXP($I$3*(COUNT($I$9:AB$9)+$I$4))),TREND($E19:$F19,$E$9:$F$9,AB$9))</f>
        <v>0.95569574619999997</v>
      </c>
      <c r="AC19">
        <f>IF($G19="s-curve",$E19+($F19-$E19)*$I$2/(1+EXP($I$3*(COUNT($I$9:AC$9)+$I$4))),TREND($E19:$F19,$E$9:$F$9,AC$9))</f>
        <v>0.95569574619999997</v>
      </c>
      <c r="AD19">
        <f>IF($G19="s-curve",$E19+($F19-$E19)*$I$2/(1+EXP($I$3*(COUNT($I$9:AD$9)+$I$4))),TREND($E19:$F19,$E$9:$F$9,AD$9))</f>
        <v>0.95569574619999997</v>
      </c>
      <c r="AE19">
        <f>IF($G19="s-curve",$E19+($F19-$E19)*$I$2/(1+EXP($I$3*(COUNT($I$9:AE$9)+$I$4))),TREND($E19:$F19,$E$9:$F$9,AE$9))</f>
        <v>0.95569574619999997</v>
      </c>
      <c r="AF19">
        <f>IF($G19="s-curve",$E19+($F19-$E19)*$I$2/(1+EXP($I$3*(COUNT($I$9:AF$9)+$I$4))),TREND($E19:$F19,$E$9:$F$9,AF$9))</f>
        <v>0.95569574619999997</v>
      </c>
      <c r="AG19">
        <f>IF($G19="s-curve",$E19+($F19-$E19)*$I$2/(1+EXP($I$3*(COUNT($I$9:AG$9)+$I$4))),TREND($E19:$F19,$E$9:$F$9,AG$9))</f>
        <v>0.95569574619999997</v>
      </c>
      <c r="AH19">
        <f>IF($G19="s-curve",$E19+($F19-$E19)*$I$2/(1+EXP($I$3*(COUNT($I$9:AH$9)+$I$4))),TREND($E19:$F19,$E$9:$F$9,AH$9))</f>
        <v>0.95569574619999997</v>
      </c>
      <c r="AI19">
        <f>IF($G19="s-curve",$E19+($F19-$E19)*$I$2/(1+EXP($I$3*(COUNT($I$9:AI$9)+$I$4))),TREND($E19:$F19,$E$9:$F$9,AI$9))</f>
        <v>0.95569574619999997</v>
      </c>
    </row>
    <row r="20" spans="1:35" x14ac:dyDescent="0.25">
      <c r="C20" t="s">
        <v>293</v>
      </c>
      <c r="D20">
        <v>0.97299803336400004</v>
      </c>
      <c r="E20">
        <v>1</v>
      </c>
      <c r="F20">
        <v>1</v>
      </c>
      <c r="G20" t="str">
        <f>IF(E20=F20,"n/a",IF(OR(C20="battery electric vehicle",C20="natural gas vehicle",C20="plugin hybrid vehicle"),"s-curve","linear"))</f>
        <v>n/a</v>
      </c>
      <c r="I20">
        <f t="shared" si="3"/>
        <v>0.97299803336400004</v>
      </c>
      <c r="J20">
        <f>E20</f>
        <v>1</v>
      </c>
      <c r="K20">
        <f>IF($G20="s-curve",$E20+($F20-$E20)*$I$2/(1+EXP($I$3*(COUNT($I$9:K$9)+$I$4))),TREND($E20:$F20,$E$9:$F$9,K$9))</f>
        <v>1</v>
      </c>
      <c r="L20">
        <f>IF($G20="s-curve",$E20+($F20-$E20)*$I$2/(1+EXP($I$3*(COUNT($I$9:L$9)+$I$4))),TREND($E20:$F20,$E$9:$F$9,L$9))</f>
        <v>1</v>
      </c>
      <c r="M20">
        <f>IF($G20="s-curve",$E20+($F20-$E20)*$I$2/(1+EXP($I$3*(COUNT($I$9:M$9)+$I$4))),TREND($E20:$F20,$E$9:$F$9,M$9))</f>
        <v>1</v>
      </c>
      <c r="N20">
        <f>IF($G20="s-curve",$E20+($F20-$E20)*$I$2/(1+EXP($I$3*(COUNT($I$9:N$9)+$I$4))),TREND($E20:$F20,$E$9:$F$9,N$9))</f>
        <v>1</v>
      </c>
      <c r="O20">
        <f>IF($G20="s-curve",$E20+($F20-$E20)*$I$2/(1+EXP($I$3*(COUNT($I$9:O$9)+$I$4))),TREND($E20:$F20,$E$9:$F$9,O$9))</f>
        <v>1</v>
      </c>
      <c r="P20">
        <f>IF($G20="s-curve",$E20+($F20-$E20)*$I$2/(1+EXP($I$3*(COUNT($I$9:P$9)+$I$4))),TREND($E20:$F20,$E$9:$F$9,P$9))</f>
        <v>1</v>
      </c>
      <c r="Q20">
        <f>IF($G20="s-curve",$E20+($F20-$E20)*$I$2/(1+EXP($I$3*(COUNT($I$9:Q$9)+$I$4))),TREND($E20:$F20,$E$9:$F$9,Q$9))</f>
        <v>1</v>
      </c>
      <c r="R20">
        <f>IF($G20="s-curve",$E20+($F20-$E20)*$I$2/(1+EXP($I$3*(COUNT($I$9:R$9)+$I$4))),TREND($E20:$F20,$E$9:$F$9,R$9))</f>
        <v>1</v>
      </c>
      <c r="S20">
        <f>IF($G20="s-curve",$E20+($F20-$E20)*$I$2/(1+EXP($I$3*(COUNT($I$9:S$9)+$I$4))),TREND($E20:$F20,$E$9:$F$9,S$9))</f>
        <v>1</v>
      </c>
      <c r="T20">
        <f>IF($G20="s-curve",$E20+($F20-$E20)*$I$2/(1+EXP($I$3*(COUNT($I$9:T$9)+$I$4))),TREND($E20:$F20,$E$9:$F$9,T$9))</f>
        <v>1</v>
      </c>
      <c r="U20">
        <f>IF($G20="s-curve",$E20+($F20-$E20)*$I$2/(1+EXP($I$3*(COUNT($I$9:U$9)+$I$4))),TREND($E20:$F20,$E$9:$F$9,U$9))</f>
        <v>1</v>
      </c>
      <c r="V20">
        <f>IF($G20="s-curve",$E20+($F20-$E20)*$I$2/(1+EXP($I$3*(COUNT($I$9:V$9)+$I$4))),TREND($E20:$F20,$E$9:$F$9,V$9))</f>
        <v>1</v>
      </c>
      <c r="W20">
        <f>IF($G20="s-curve",$E20+($F20-$E20)*$I$2/(1+EXP($I$3*(COUNT($I$9:W$9)+$I$4))),TREND($E20:$F20,$E$9:$F$9,W$9))</f>
        <v>1</v>
      </c>
      <c r="X20">
        <f>IF($G20="s-curve",$E20+($F20-$E20)*$I$2/(1+EXP($I$3*(COUNT($I$9:X$9)+$I$4))),TREND($E20:$F20,$E$9:$F$9,X$9))</f>
        <v>1</v>
      </c>
      <c r="Y20">
        <f>IF($G20="s-curve",$E20+($F20-$E20)*$I$2/(1+EXP($I$3*(COUNT($I$9:Y$9)+$I$4))),TREND($E20:$F20,$E$9:$F$9,Y$9))</f>
        <v>1</v>
      </c>
      <c r="Z20">
        <f>IF($G20="s-curve",$E20+($F20-$E20)*$I$2/(1+EXP($I$3*(COUNT($I$9:Z$9)+$I$4))),TREND($E20:$F20,$E$9:$F$9,Z$9))</f>
        <v>1</v>
      </c>
      <c r="AA20">
        <f>IF($G20="s-curve",$E20+($F20-$E20)*$I$2/(1+EXP($I$3*(COUNT($I$9:AA$9)+$I$4))),TREND($E20:$F20,$E$9:$F$9,AA$9))</f>
        <v>1</v>
      </c>
      <c r="AB20">
        <f>IF($G20="s-curve",$E20+($F20-$E20)*$I$2/(1+EXP($I$3*(COUNT($I$9:AB$9)+$I$4))),TREND($E20:$F20,$E$9:$F$9,AB$9))</f>
        <v>1</v>
      </c>
      <c r="AC20">
        <f>IF($G20="s-curve",$E20+($F20-$E20)*$I$2/(1+EXP($I$3*(COUNT($I$9:AC$9)+$I$4))),TREND($E20:$F20,$E$9:$F$9,AC$9))</f>
        <v>1</v>
      </c>
      <c r="AD20">
        <f>IF($G20="s-curve",$E20+($F20-$E20)*$I$2/(1+EXP($I$3*(COUNT($I$9:AD$9)+$I$4))),TREND($E20:$F20,$E$9:$F$9,AD$9))</f>
        <v>1</v>
      </c>
      <c r="AE20">
        <f>IF($G20="s-curve",$E20+($F20-$E20)*$I$2/(1+EXP($I$3*(COUNT($I$9:AE$9)+$I$4))),TREND($E20:$F20,$E$9:$F$9,AE$9))</f>
        <v>1</v>
      </c>
      <c r="AF20">
        <f>IF($G20="s-curve",$E20+($F20-$E20)*$I$2/(1+EXP($I$3*(COUNT($I$9:AF$9)+$I$4))),TREND($E20:$F20,$E$9:$F$9,AF$9))</f>
        <v>1</v>
      </c>
      <c r="AG20">
        <f>IF($G20="s-curve",$E20+($F20-$E20)*$I$2/(1+EXP($I$3*(COUNT($I$9:AG$9)+$I$4))),TREND($E20:$F20,$E$9:$F$9,AG$9))</f>
        <v>1</v>
      </c>
      <c r="AH20">
        <f>IF($G20="s-curve",$E20+($F20-$E20)*$I$2/(1+EXP($I$3*(COUNT($I$9:AH$9)+$I$4))),TREND($E20:$F20,$E$9:$F$9,AH$9))</f>
        <v>1</v>
      </c>
      <c r="AI20">
        <f>IF($G20="s-curve",$E20+($F20-$E20)*$I$2/(1+EXP($I$3*(COUNT($I$9:AI$9)+$I$4))),TREND($E20:$F20,$E$9:$F$9,AI$9))</f>
        <v>1</v>
      </c>
    </row>
    <row r="21" spans="1:35" x14ac:dyDescent="0.25">
      <c r="C21" t="s">
        <v>180</v>
      </c>
      <c r="D21">
        <v>0</v>
      </c>
      <c r="E21">
        <v>9.0197447039299999E-4</v>
      </c>
      <c r="F21">
        <f>E21/E17*F17</f>
        <v>1.235708268868196E-3</v>
      </c>
      <c r="G21" t="s">
        <v>328</v>
      </c>
      <c r="I21">
        <f t="shared" si="3"/>
        <v>0</v>
      </c>
      <c r="J21" s="2">
        <f>$E21</f>
        <v>9.0197447039299999E-4</v>
      </c>
      <c r="K21" s="2">
        <f t="shared" ref="K21:AI21" si="5">IF($G21="s-curve",$E21+($F21-$E21)*K$101,TREND($E21:$F21,$E$9:$F$9,K$9))</f>
        <v>9.0375489304455941E-4</v>
      </c>
      <c r="L21" s="2">
        <f t="shared" si="5"/>
        <v>9.0612937180112232E-4</v>
      </c>
      <c r="M21" s="2">
        <f t="shared" si="5"/>
        <v>9.0928314144871514E-4</v>
      </c>
      <c r="N21" s="2">
        <f t="shared" si="5"/>
        <v>9.1344919081387424E-4</v>
      </c>
      <c r="O21" s="2">
        <f t="shared" si="5"/>
        <v>9.1891298737725041E-4</v>
      </c>
      <c r="P21" s="2">
        <f t="shared" si="5"/>
        <v>9.2601156968267031E-4</v>
      </c>
      <c r="Q21" s="2">
        <f t="shared" si="5"/>
        <v>9.3512199254353317E-4</v>
      </c>
      <c r="R21" s="2">
        <f t="shared" si="5"/>
        <v>9.466326998122614E-4</v>
      </c>
      <c r="S21" s="2">
        <f t="shared" si="5"/>
        <v>9.6089163747116945E-4</v>
      </c>
      <c r="T21" s="2">
        <f t="shared" si="5"/>
        <v>9.7812899637086189E-4</v>
      </c>
      <c r="U21" s="2">
        <f t="shared" si="5"/>
        <v>9.9836247237558898E-4</v>
      </c>
      <c r="V21" s="2">
        <f t="shared" si="5"/>
        <v>1.0213082279595903E-3</v>
      </c>
      <c r="W21" s="2">
        <f t="shared" si="5"/>
        <v>1.0463346364710767E-3</v>
      </c>
      <c r="X21" s="2">
        <f t="shared" si="5"/>
        <v>1.0724957051584556E-3</v>
      </c>
      <c r="Y21" s="2">
        <f t="shared" si="5"/>
        <v>1.0986567738458346E-3</v>
      </c>
      <c r="Z21" s="2">
        <f t="shared" si="5"/>
        <v>1.123683182357321E-3</v>
      </c>
      <c r="AA21" s="2">
        <f t="shared" si="5"/>
        <v>1.1466289379413221E-3</v>
      </c>
      <c r="AB21" s="2">
        <f t="shared" si="5"/>
        <v>1.1668624139460494E-3</v>
      </c>
      <c r="AC21" s="2">
        <f t="shared" si="5"/>
        <v>1.1840997728457417E-3</v>
      </c>
      <c r="AD21" s="2">
        <f t="shared" si="5"/>
        <v>1.19835871050465E-3</v>
      </c>
      <c r="AE21" s="2">
        <f t="shared" si="5"/>
        <v>1.2098694177733781E-3</v>
      </c>
      <c r="AF21" s="2">
        <f t="shared" si="5"/>
        <v>1.2189798406342408E-3</v>
      </c>
      <c r="AG21" s="2">
        <f t="shared" si="5"/>
        <v>1.2260784229396607E-3</v>
      </c>
      <c r="AH21" s="2">
        <f t="shared" si="5"/>
        <v>1.231542219503037E-3</v>
      </c>
      <c r="AI21" s="2">
        <f t="shared" si="5"/>
        <v>1.235708268868196E-3</v>
      </c>
    </row>
    <row r="22" spans="1:35" x14ac:dyDescent="0.25">
      <c r="C22" t="s">
        <v>294</v>
      </c>
      <c r="D22">
        <v>0</v>
      </c>
      <c r="E22">
        <v>0</v>
      </c>
      <c r="F22">
        <f>E22</f>
        <v>0</v>
      </c>
      <c r="G22" t="str">
        <f>IF(E22=F22,"n/a",IF(OR(C22="battery electric vehicle",C22="natural gas vehicle",C22="plugin hybrid vehicle",C22="hydrogen vehicle"),"s-curve","linear"))</f>
        <v>n/a</v>
      </c>
      <c r="I22">
        <f t="shared" si="3"/>
        <v>0</v>
      </c>
      <c r="J22">
        <f>E22</f>
        <v>0</v>
      </c>
      <c r="K22">
        <f>IF($G22="s-curve",$E22+($F22-$E22)*$I$2/(1+EXP($I$3*(COUNT($I$9:K$9)+$I$4))),TREND($E22:$F22,$E$9:$F$9,K$9))</f>
        <v>0</v>
      </c>
      <c r="L22">
        <f>IF($G22="s-curve",$E22+($F22-$E22)*$I$2/(1+EXP($I$3*(COUNT($I$9:L$9)+$I$4))),TREND($E22:$F22,$E$9:$F$9,L$9))</f>
        <v>0</v>
      </c>
      <c r="M22">
        <f>IF($G22="s-curve",$E22+($F22-$E22)*$I$2/(1+EXP($I$3*(COUNT($I$9:M$9)+$I$4))),TREND($E22:$F22,$E$9:$F$9,M$9))</f>
        <v>0</v>
      </c>
      <c r="N22">
        <f>IF($G22="s-curve",$E22+($F22-$E22)*$I$2/(1+EXP($I$3*(COUNT($I$9:N$9)+$I$4))),TREND($E22:$F22,$E$9:$F$9,N$9))</f>
        <v>0</v>
      </c>
      <c r="O22">
        <f>IF($G22="s-curve",$E22+($F22-$E22)*$I$2/(1+EXP($I$3*(COUNT($I$9:O$9)+$I$4))),TREND($E22:$F22,$E$9:$F$9,O$9))</f>
        <v>0</v>
      </c>
      <c r="P22">
        <f>IF($G22="s-curve",$E22+($F22-$E22)*$I$2/(1+EXP($I$3*(COUNT($I$9:P$9)+$I$4))),TREND($E22:$F22,$E$9:$F$9,P$9))</f>
        <v>0</v>
      </c>
      <c r="Q22">
        <f>IF($G22="s-curve",$E22+($F22-$E22)*$I$2/(1+EXP($I$3*(COUNT($I$9:Q$9)+$I$4))),TREND($E22:$F22,$E$9:$F$9,Q$9))</f>
        <v>0</v>
      </c>
      <c r="R22">
        <f>IF($G22="s-curve",$E22+($F22-$E22)*$I$2/(1+EXP($I$3*(COUNT($I$9:R$9)+$I$4))),TREND($E22:$F22,$E$9:$F$9,R$9))</f>
        <v>0</v>
      </c>
      <c r="S22">
        <f>IF($G22="s-curve",$E22+($F22-$E22)*$I$2/(1+EXP($I$3*(COUNT($I$9:S$9)+$I$4))),TREND($E22:$F22,$E$9:$F$9,S$9))</f>
        <v>0</v>
      </c>
      <c r="T22">
        <f>IF($G22="s-curve",$E22+($F22-$E22)*$I$2/(1+EXP($I$3*(COUNT($I$9:T$9)+$I$4))),TREND($E22:$F22,$E$9:$F$9,T$9))</f>
        <v>0</v>
      </c>
      <c r="U22">
        <f>IF($G22="s-curve",$E22+($F22-$E22)*$I$2/(1+EXP($I$3*(COUNT($I$9:U$9)+$I$4))),TREND($E22:$F22,$E$9:$F$9,U$9))</f>
        <v>0</v>
      </c>
      <c r="V22">
        <f>IF($G22="s-curve",$E22+($F22-$E22)*$I$2/(1+EXP($I$3*(COUNT($I$9:V$9)+$I$4))),TREND($E22:$F22,$E$9:$F$9,V$9))</f>
        <v>0</v>
      </c>
      <c r="W22">
        <f>IF($G22="s-curve",$E22+($F22-$E22)*$I$2/(1+EXP($I$3*(COUNT($I$9:W$9)+$I$4))),TREND($E22:$F22,$E$9:$F$9,W$9))</f>
        <v>0</v>
      </c>
      <c r="X22">
        <f>IF($G22="s-curve",$E22+($F22-$E22)*$I$2/(1+EXP($I$3*(COUNT($I$9:X$9)+$I$4))),TREND($E22:$F22,$E$9:$F$9,X$9))</f>
        <v>0</v>
      </c>
      <c r="Y22">
        <f>IF($G22="s-curve",$E22+($F22-$E22)*$I$2/(1+EXP($I$3*(COUNT($I$9:Y$9)+$I$4))),TREND($E22:$F22,$E$9:$F$9,Y$9))</f>
        <v>0</v>
      </c>
      <c r="Z22">
        <f>IF($G22="s-curve",$E22+($F22-$E22)*$I$2/(1+EXP($I$3*(COUNT($I$9:Z$9)+$I$4))),TREND($E22:$F22,$E$9:$F$9,Z$9))</f>
        <v>0</v>
      </c>
      <c r="AA22">
        <f>IF($G22="s-curve",$E22+($F22-$E22)*$I$2/(1+EXP($I$3*(COUNT($I$9:AA$9)+$I$4))),TREND($E22:$F22,$E$9:$F$9,AA$9))</f>
        <v>0</v>
      </c>
      <c r="AB22">
        <f>IF($G22="s-curve",$E22+($F22-$E22)*$I$2/(1+EXP($I$3*(COUNT($I$9:AB$9)+$I$4))),TREND($E22:$F22,$E$9:$F$9,AB$9))</f>
        <v>0</v>
      </c>
      <c r="AC22">
        <f>IF($G22="s-curve",$E22+($F22-$E22)*$I$2/(1+EXP($I$3*(COUNT($I$9:AC$9)+$I$4))),TREND($E22:$F22,$E$9:$F$9,AC$9))</f>
        <v>0</v>
      </c>
      <c r="AD22">
        <f>IF($G22="s-curve",$E22+($F22-$E22)*$I$2/(1+EXP($I$3*(COUNT($I$9:AD$9)+$I$4))),TREND($E22:$F22,$E$9:$F$9,AD$9))</f>
        <v>0</v>
      </c>
      <c r="AE22">
        <f>IF($G22="s-curve",$E22+($F22-$E22)*$I$2/(1+EXP($I$3*(COUNT($I$9:AE$9)+$I$4))),TREND($E22:$F22,$E$9:$F$9,AE$9))</f>
        <v>0</v>
      </c>
      <c r="AF22">
        <f>IF($G22="s-curve",$E22+($F22-$E22)*$I$2/(1+EXP($I$3*(COUNT($I$9:AF$9)+$I$4))),TREND($E22:$F22,$E$9:$F$9,AF$9))</f>
        <v>0</v>
      </c>
      <c r="AG22">
        <f>IF($G22="s-curve",$E22+($F22-$E22)*$I$2/(1+EXP($I$3*(COUNT($I$9:AG$9)+$I$4))),TREND($E22:$F22,$E$9:$F$9,AG$9))</f>
        <v>0</v>
      </c>
      <c r="AH22">
        <f>IF($G22="s-curve",$E22+($F22-$E22)*$I$2/(1+EXP($I$3*(COUNT($I$9:AH$9)+$I$4))),TREND($E22:$F22,$E$9:$F$9,AH$9))</f>
        <v>0</v>
      </c>
      <c r="AI22">
        <f>IF($G22="s-curve",$E22+($F22-$E22)*$I$2/(1+EXP($I$3*(COUNT($I$9:AI$9)+$I$4))),TREND($E22:$F22,$E$9:$F$9,AI$9))</f>
        <v>0</v>
      </c>
    </row>
    <row r="23" spans="1:35" x14ac:dyDescent="0.25">
      <c r="C23" t="s">
        <v>182</v>
      </c>
      <c r="D23">
        <v>0</v>
      </c>
      <c r="E23">
        <v>0.87530894177700003</v>
      </c>
      <c r="F23">
        <f>E23</f>
        <v>0.87530894177700003</v>
      </c>
      <c r="G23" t="str">
        <f>IF(E23=F23,"n/a",IF(OR(C23="battery electric vehicle",C23="natural gas vehicle",C23="plugin hybrid vehicle",C23="hydrogen vehicle"),"s-curve","linear"))</f>
        <v>n/a</v>
      </c>
      <c r="I23">
        <f t="shared" si="3"/>
        <v>0</v>
      </c>
      <c r="J23">
        <f>E23</f>
        <v>0.87530894177700003</v>
      </c>
      <c r="K23">
        <f>IF($G23="s-curve",$E23+($F23-$E23)*$I$2/(1+EXP($I$3*(COUNT($I$9:K$9)+$I$4))),TREND($E23:$F23,$E$9:$F$9,K$9))</f>
        <v>0.87530894177700003</v>
      </c>
      <c r="L23">
        <f>IF($G23="s-curve",$E23+($F23-$E23)*$I$2/(1+EXP($I$3*(COUNT($I$9:L$9)+$I$4))),TREND($E23:$F23,$E$9:$F$9,L$9))</f>
        <v>0.87530894177700003</v>
      </c>
      <c r="M23">
        <f>IF($G23="s-curve",$E23+($F23-$E23)*$I$2/(1+EXP($I$3*(COUNT($I$9:M$9)+$I$4))),TREND($E23:$F23,$E$9:$F$9,M$9))</f>
        <v>0.87530894177700003</v>
      </c>
      <c r="N23">
        <f>IF($G23="s-curve",$E23+($F23-$E23)*$I$2/(1+EXP($I$3*(COUNT($I$9:N$9)+$I$4))),TREND($E23:$F23,$E$9:$F$9,N$9))</f>
        <v>0.87530894177700003</v>
      </c>
      <c r="O23">
        <f>IF($G23="s-curve",$E23+($F23-$E23)*$I$2/(1+EXP($I$3*(COUNT($I$9:O$9)+$I$4))),TREND($E23:$F23,$E$9:$F$9,O$9))</f>
        <v>0.87530894177700003</v>
      </c>
      <c r="P23">
        <f>IF($G23="s-curve",$E23+($F23-$E23)*$I$2/(1+EXP($I$3*(COUNT($I$9:P$9)+$I$4))),TREND($E23:$F23,$E$9:$F$9,P$9))</f>
        <v>0.87530894177700003</v>
      </c>
      <c r="Q23">
        <f>IF($G23="s-curve",$E23+($F23-$E23)*$I$2/(1+EXP($I$3*(COUNT($I$9:Q$9)+$I$4))),TREND($E23:$F23,$E$9:$F$9,Q$9))</f>
        <v>0.87530894177700003</v>
      </c>
      <c r="R23">
        <f>IF($G23="s-curve",$E23+($F23-$E23)*$I$2/(1+EXP($I$3*(COUNT($I$9:R$9)+$I$4))),TREND($E23:$F23,$E$9:$F$9,R$9))</f>
        <v>0.87530894177700003</v>
      </c>
      <c r="S23">
        <f>IF($G23="s-curve",$E23+($F23-$E23)*$I$2/(1+EXP($I$3*(COUNT($I$9:S$9)+$I$4))),TREND($E23:$F23,$E$9:$F$9,S$9))</f>
        <v>0.87530894177700003</v>
      </c>
      <c r="T23">
        <f>IF($G23="s-curve",$E23+($F23-$E23)*$I$2/(1+EXP($I$3*(COUNT($I$9:T$9)+$I$4))),TREND($E23:$F23,$E$9:$F$9,T$9))</f>
        <v>0.87530894177700003</v>
      </c>
      <c r="U23">
        <f>IF($G23="s-curve",$E23+($F23-$E23)*$I$2/(1+EXP($I$3*(COUNT($I$9:U$9)+$I$4))),TREND($E23:$F23,$E$9:$F$9,U$9))</f>
        <v>0.87530894177700003</v>
      </c>
      <c r="V23">
        <f>IF($G23="s-curve",$E23+($F23-$E23)*$I$2/(1+EXP($I$3*(COUNT($I$9:V$9)+$I$4))),TREND($E23:$F23,$E$9:$F$9,V$9))</f>
        <v>0.87530894177700003</v>
      </c>
      <c r="W23">
        <f>IF($G23="s-curve",$E23+($F23-$E23)*$I$2/(1+EXP($I$3*(COUNT($I$9:W$9)+$I$4))),TREND($E23:$F23,$E$9:$F$9,W$9))</f>
        <v>0.87530894177700003</v>
      </c>
      <c r="X23">
        <f>IF($G23="s-curve",$E23+($F23-$E23)*$I$2/(1+EXP($I$3*(COUNT($I$9:X$9)+$I$4))),TREND($E23:$F23,$E$9:$F$9,X$9))</f>
        <v>0.87530894177700003</v>
      </c>
      <c r="Y23">
        <f>IF($G23="s-curve",$E23+($F23-$E23)*$I$2/(1+EXP($I$3*(COUNT($I$9:Y$9)+$I$4))),TREND($E23:$F23,$E$9:$F$9,Y$9))</f>
        <v>0.87530894177700003</v>
      </c>
      <c r="Z23">
        <f>IF($G23="s-curve",$E23+($F23-$E23)*$I$2/(1+EXP($I$3*(COUNT($I$9:Z$9)+$I$4))),TREND($E23:$F23,$E$9:$F$9,Z$9))</f>
        <v>0.87530894177700003</v>
      </c>
      <c r="AA23">
        <f>IF($G23="s-curve",$E23+($F23-$E23)*$I$2/(1+EXP($I$3*(COUNT($I$9:AA$9)+$I$4))),TREND($E23:$F23,$E$9:$F$9,AA$9))</f>
        <v>0.87530894177700003</v>
      </c>
      <c r="AB23">
        <f>IF($G23="s-curve",$E23+($F23-$E23)*$I$2/(1+EXP($I$3*(COUNT($I$9:AB$9)+$I$4))),TREND($E23:$F23,$E$9:$F$9,AB$9))</f>
        <v>0.87530894177700003</v>
      </c>
      <c r="AC23">
        <f>IF($G23="s-curve",$E23+($F23-$E23)*$I$2/(1+EXP($I$3*(COUNT($I$9:AC$9)+$I$4))),TREND($E23:$F23,$E$9:$F$9,AC$9))</f>
        <v>0.87530894177700003</v>
      </c>
      <c r="AD23">
        <f>IF($G23="s-curve",$E23+($F23-$E23)*$I$2/(1+EXP($I$3*(COUNT($I$9:AD$9)+$I$4))),TREND($E23:$F23,$E$9:$F$9,AD$9))</f>
        <v>0.87530894177700003</v>
      </c>
      <c r="AE23">
        <f>IF($G23="s-curve",$E23+($F23-$E23)*$I$2/(1+EXP($I$3*(COUNT($I$9:AE$9)+$I$4))),TREND($E23:$F23,$E$9:$F$9,AE$9))</f>
        <v>0.87530894177700003</v>
      </c>
      <c r="AF23">
        <f>IF($G23="s-curve",$E23+($F23-$E23)*$I$2/(1+EXP($I$3*(COUNT($I$9:AF$9)+$I$4))),TREND($E23:$F23,$E$9:$F$9,AF$9))</f>
        <v>0.87530894177700003</v>
      </c>
      <c r="AG23">
        <f>IF($G23="s-curve",$E23+($F23-$E23)*$I$2/(1+EXP($I$3*(COUNT($I$9:AG$9)+$I$4))),TREND($E23:$F23,$E$9:$F$9,AG$9))</f>
        <v>0.87530894177700003</v>
      </c>
      <c r="AH23">
        <f>IF($G23="s-curve",$E23+($F23-$E23)*$I$2/(1+EXP($I$3*(COUNT($I$9:AH$9)+$I$4))),TREND($E23:$F23,$E$9:$F$9,AH$9))</f>
        <v>0.87530894177700003</v>
      </c>
      <c r="AI23">
        <f>IF($G23="s-curve",$E23+($F23-$E23)*$I$2/(1+EXP($I$3*(COUNT($I$9:AI$9)+$I$4))),TREND($E23:$F23,$E$9:$F$9,AI$9))</f>
        <v>0.87530894177700003</v>
      </c>
    </row>
    <row r="24" spans="1:35" x14ac:dyDescent="0.25">
      <c r="A24" t="s">
        <v>296</v>
      </c>
      <c r="B24" t="s">
        <v>325</v>
      </c>
      <c r="C24" t="s">
        <v>177</v>
      </c>
      <c r="D24">
        <v>3.1162890650799999E-2</v>
      </c>
      <c r="E24">
        <v>3.0635270769200001E-2</v>
      </c>
      <c r="F24">
        <v>0.75</v>
      </c>
      <c r="G24" t="str">
        <f>IF(E24=F24,"n/a",IF(OR(C24="battery electric vehicle",C24="natural gas vehicle",C24="plugin hybrid vehicle"),"s-curve","linear"))</f>
        <v>s-curve</v>
      </c>
      <c r="I24">
        <f t="shared" si="3"/>
        <v>3.1162890650799999E-2</v>
      </c>
      <c r="J24" s="2">
        <f>$E24</f>
        <v>3.0635270769200001E-2</v>
      </c>
      <c r="K24" s="2">
        <f t="shared" ref="K24:AI24" si="6">IF($G24="s-curve",$E24+($F24-$E24)*K$101,TREND($E24:$F24,$E$9:$F$9,K$9))</f>
        <v>3.4472979938925029E-2</v>
      </c>
      <c r="L24" s="2">
        <f t="shared" si="6"/>
        <v>3.9591179760409843E-2</v>
      </c>
      <c r="M24" s="2">
        <f t="shared" si="6"/>
        <v>4.6389144662264223E-2</v>
      </c>
      <c r="N24" s="2">
        <f t="shared" si="6"/>
        <v>5.5369083125861411E-2</v>
      </c>
      <c r="O24" s="2">
        <f t="shared" si="6"/>
        <v>6.71463216115743E-2</v>
      </c>
      <c r="P24" s="2">
        <f t="shared" si="6"/>
        <v>8.2447348242356194E-2</v>
      </c>
      <c r="Q24" s="2">
        <f t="shared" si="6"/>
        <v>0.10208490639327207</v>
      </c>
      <c r="R24" s="2">
        <f t="shared" si="6"/>
        <v>0.1268962885650993</v>
      </c>
      <c r="S24" s="2">
        <f t="shared" si="6"/>
        <v>0.15763149391434605</v>
      </c>
      <c r="T24" s="2">
        <f t="shared" si="6"/>
        <v>0.19478669987246502</v>
      </c>
      <c r="U24" s="2">
        <f t="shared" si="6"/>
        <v>0.23840004995579595</v>
      </c>
      <c r="V24" s="2">
        <f t="shared" si="6"/>
        <v>0.2878597310791865</v>
      </c>
      <c r="W24" s="2">
        <f t="shared" si="6"/>
        <v>0.34180426910542061</v>
      </c>
      <c r="X24" s="2">
        <f t="shared" si="6"/>
        <v>0.39819457233113209</v>
      </c>
      <c r="Y24" s="2">
        <f t="shared" si="6"/>
        <v>0.45458487555684346</v>
      </c>
      <c r="Z24" s="2">
        <f t="shared" si="6"/>
        <v>0.50852941358307757</v>
      </c>
      <c r="AA24" s="2">
        <f t="shared" si="6"/>
        <v>0.55798909470646818</v>
      </c>
      <c r="AB24" s="2">
        <f t="shared" si="6"/>
        <v>0.60160244478979907</v>
      </c>
      <c r="AC24" s="2">
        <f t="shared" si="6"/>
        <v>0.63875765074791813</v>
      </c>
      <c r="AD24" s="2">
        <f t="shared" si="6"/>
        <v>0.66949285609716491</v>
      </c>
      <c r="AE24" s="2">
        <f t="shared" si="6"/>
        <v>0.69430423826899212</v>
      </c>
      <c r="AF24" s="2">
        <f t="shared" si="6"/>
        <v>0.71394179641990796</v>
      </c>
      <c r="AG24" s="2">
        <f t="shared" si="6"/>
        <v>0.72924282305068988</v>
      </c>
      <c r="AH24" s="2">
        <f t="shared" si="6"/>
        <v>0.74102006153640287</v>
      </c>
      <c r="AI24" s="2">
        <f t="shared" si="6"/>
        <v>0.75</v>
      </c>
    </row>
    <row r="25" spans="1:35" x14ac:dyDescent="0.25">
      <c r="C25" t="s">
        <v>291</v>
      </c>
      <c r="D25">
        <v>0</v>
      </c>
      <c r="E25">
        <v>0</v>
      </c>
      <c r="F25">
        <f>E25</f>
        <v>0</v>
      </c>
      <c r="G25" t="str">
        <f>IF(E25=F25,"n/a",IF(OR(C25="battery electric vehicle",C25="natural gas vehicle",C25="plugin hybrid vehicle"),"s-curve","linear"))</f>
        <v>n/a</v>
      </c>
      <c r="I25">
        <f t="shared" si="3"/>
        <v>0</v>
      </c>
      <c r="J25">
        <f t="shared" ref="J25:J30" si="7">E25</f>
        <v>0</v>
      </c>
      <c r="K25">
        <f>IF($G25="s-curve",$E25+($F25-$E25)*$I$2/(1+EXP($I$3*(COUNT($I$9:K$9)+$I$4))),TREND($E25:$F25,$E$9:$F$9,K$9))</f>
        <v>0</v>
      </c>
      <c r="L25">
        <f>IF($G25="s-curve",$E25+($F25-$E25)*$I$2/(1+EXP($I$3*(COUNT($I$9:L$9)+$I$4))),TREND($E25:$F25,$E$9:$F$9,L$9))</f>
        <v>0</v>
      </c>
      <c r="M25">
        <f>IF($G25="s-curve",$E25+($F25-$E25)*$I$2/(1+EXP($I$3*(COUNT($I$9:M$9)+$I$4))),TREND($E25:$F25,$E$9:$F$9,M$9))</f>
        <v>0</v>
      </c>
      <c r="N25">
        <f>IF($G25="s-curve",$E25+($F25-$E25)*$I$2/(1+EXP($I$3*(COUNT($I$9:N$9)+$I$4))),TREND($E25:$F25,$E$9:$F$9,N$9))</f>
        <v>0</v>
      </c>
      <c r="O25">
        <f>IF($G25="s-curve",$E25+($F25-$E25)*$I$2/(1+EXP($I$3*(COUNT($I$9:O$9)+$I$4))),TREND($E25:$F25,$E$9:$F$9,O$9))</f>
        <v>0</v>
      </c>
      <c r="P25">
        <f>IF($G25="s-curve",$E25+($F25-$E25)*$I$2/(1+EXP($I$3*(COUNT($I$9:P$9)+$I$4))),TREND($E25:$F25,$E$9:$F$9,P$9))</f>
        <v>0</v>
      </c>
      <c r="Q25">
        <f>IF($G25="s-curve",$E25+($F25-$E25)*$I$2/(1+EXP($I$3*(COUNT($I$9:Q$9)+$I$4))),TREND($E25:$F25,$E$9:$F$9,Q$9))</f>
        <v>0</v>
      </c>
      <c r="R25">
        <f>IF($G25="s-curve",$E25+($F25-$E25)*$I$2/(1+EXP($I$3*(COUNT($I$9:R$9)+$I$4))),TREND($E25:$F25,$E$9:$F$9,R$9))</f>
        <v>0</v>
      </c>
      <c r="S25">
        <f>IF($G25="s-curve",$E25+($F25-$E25)*$I$2/(1+EXP($I$3*(COUNT($I$9:S$9)+$I$4))),TREND($E25:$F25,$E$9:$F$9,S$9))</f>
        <v>0</v>
      </c>
      <c r="T25">
        <f>IF($G25="s-curve",$E25+($F25-$E25)*$I$2/(1+EXP($I$3*(COUNT($I$9:T$9)+$I$4))),TREND($E25:$F25,$E$9:$F$9,T$9))</f>
        <v>0</v>
      </c>
      <c r="U25">
        <f>IF($G25="s-curve",$E25+($F25-$E25)*$I$2/(1+EXP($I$3*(COUNT($I$9:U$9)+$I$4))),TREND($E25:$F25,$E$9:$F$9,U$9))</f>
        <v>0</v>
      </c>
      <c r="V25">
        <f>IF($G25="s-curve",$E25+($F25-$E25)*$I$2/(1+EXP($I$3*(COUNT($I$9:V$9)+$I$4))),TREND($E25:$F25,$E$9:$F$9,V$9))</f>
        <v>0</v>
      </c>
      <c r="W25">
        <f>IF($G25="s-curve",$E25+($F25-$E25)*$I$2/(1+EXP($I$3*(COUNT($I$9:W$9)+$I$4))),TREND($E25:$F25,$E$9:$F$9,W$9))</f>
        <v>0</v>
      </c>
      <c r="X25">
        <f>IF($G25="s-curve",$E25+($F25-$E25)*$I$2/(1+EXP($I$3*(COUNT($I$9:X$9)+$I$4))),TREND($E25:$F25,$E$9:$F$9,X$9))</f>
        <v>0</v>
      </c>
      <c r="Y25">
        <f>IF($G25="s-curve",$E25+($F25-$E25)*$I$2/(1+EXP($I$3*(COUNT($I$9:Y$9)+$I$4))),TREND($E25:$F25,$E$9:$F$9,Y$9))</f>
        <v>0</v>
      </c>
      <c r="Z25">
        <f>IF($G25="s-curve",$E25+($F25-$E25)*$I$2/(1+EXP($I$3*(COUNT($I$9:Z$9)+$I$4))),TREND($E25:$F25,$E$9:$F$9,Z$9))</f>
        <v>0</v>
      </c>
      <c r="AA25">
        <f>IF($G25="s-curve",$E25+($F25-$E25)*$I$2/(1+EXP($I$3*(COUNT($I$9:AA$9)+$I$4))),TREND($E25:$F25,$E$9:$F$9,AA$9))</f>
        <v>0</v>
      </c>
      <c r="AB25">
        <f>IF($G25="s-curve",$E25+($F25-$E25)*$I$2/(1+EXP($I$3*(COUNT($I$9:AB$9)+$I$4))),TREND($E25:$F25,$E$9:$F$9,AB$9))</f>
        <v>0</v>
      </c>
      <c r="AC25">
        <f>IF($G25="s-curve",$E25+($F25-$E25)*$I$2/(1+EXP($I$3*(COUNT($I$9:AC$9)+$I$4))),TREND($E25:$F25,$E$9:$F$9,AC$9))</f>
        <v>0</v>
      </c>
      <c r="AD25">
        <f>IF($G25="s-curve",$E25+($F25-$E25)*$I$2/(1+EXP($I$3*(COUNT($I$9:AD$9)+$I$4))),TREND($E25:$F25,$E$9:$F$9,AD$9))</f>
        <v>0</v>
      </c>
      <c r="AE25">
        <f>IF($G25="s-curve",$E25+($F25-$E25)*$I$2/(1+EXP($I$3*(COUNT($I$9:AE$9)+$I$4))),TREND($E25:$F25,$E$9:$F$9,AE$9))</f>
        <v>0</v>
      </c>
      <c r="AF25">
        <f>IF($G25="s-curve",$E25+($F25-$E25)*$I$2/(1+EXP($I$3*(COUNT($I$9:AF$9)+$I$4))),TREND($E25:$F25,$E$9:$F$9,AF$9))</f>
        <v>0</v>
      </c>
      <c r="AG25">
        <f>IF($G25="s-curve",$E25+($F25-$E25)*$I$2/(1+EXP($I$3*(COUNT($I$9:AG$9)+$I$4))),TREND($E25:$F25,$E$9:$F$9,AG$9))</f>
        <v>0</v>
      </c>
      <c r="AH25">
        <f>IF($G25="s-curve",$E25+($F25-$E25)*$I$2/(1+EXP($I$3*(COUNT($I$9:AH$9)+$I$4))),TREND($E25:$F25,$E$9:$F$9,AH$9))</f>
        <v>0</v>
      </c>
      <c r="AI25">
        <f>IF($G25="s-curve",$E25+($F25-$E25)*$I$2/(1+EXP($I$3*(COUNT($I$9:AI$9)+$I$4))),TREND($E25:$F25,$E$9:$F$9,AI$9))</f>
        <v>0</v>
      </c>
    </row>
    <row r="26" spans="1:35" x14ac:dyDescent="0.25">
      <c r="C26" t="s">
        <v>292</v>
      </c>
      <c r="D26">
        <v>0</v>
      </c>
      <c r="E26">
        <v>0</v>
      </c>
      <c r="F26">
        <f>E26</f>
        <v>0</v>
      </c>
      <c r="G26" t="str">
        <f>IF(E26=F26,"n/a",IF(OR(C26="battery electric vehicle",C26="natural gas vehicle",C26="plugin hybrid vehicle"),"s-curve","linear"))</f>
        <v>n/a</v>
      </c>
      <c r="I26">
        <f t="shared" si="3"/>
        <v>0</v>
      </c>
      <c r="J26">
        <f t="shared" si="7"/>
        <v>0</v>
      </c>
      <c r="K26">
        <f>IF($G26="s-curve",$E26+($F26-$E26)*$I$2/(1+EXP($I$3*(COUNT($I$9:K$9)+$I$4))),TREND($E26:$F26,$E$9:$F$9,K$9))</f>
        <v>0</v>
      </c>
      <c r="L26">
        <f>IF($G26="s-curve",$E26+($F26-$E26)*$I$2/(1+EXP($I$3*(COUNT($I$9:L$9)+$I$4))),TREND($E26:$F26,$E$9:$F$9,L$9))</f>
        <v>0</v>
      </c>
      <c r="M26">
        <f>IF($G26="s-curve",$E26+($F26-$E26)*$I$2/(1+EXP($I$3*(COUNT($I$9:M$9)+$I$4))),TREND($E26:$F26,$E$9:$F$9,M$9))</f>
        <v>0</v>
      </c>
      <c r="N26">
        <f>IF($G26="s-curve",$E26+($F26-$E26)*$I$2/(1+EXP($I$3*(COUNT($I$9:N$9)+$I$4))),TREND($E26:$F26,$E$9:$F$9,N$9))</f>
        <v>0</v>
      </c>
      <c r="O26">
        <f>IF($G26="s-curve",$E26+($F26-$E26)*$I$2/(1+EXP($I$3*(COUNT($I$9:O$9)+$I$4))),TREND($E26:$F26,$E$9:$F$9,O$9))</f>
        <v>0</v>
      </c>
      <c r="P26">
        <f>IF($G26="s-curve",$E26+($F26-$E26)*$I$2/(1+EXP($I$3*(COUNT($I$9:P$9)+$I$4))),TREND($E26:$F26,$E$9:$F$9,P$9))</f>
        <v>0</v>
      </c>
      <c r="Q26">
        <f>IF($G26="s-curve",$E26+($F26-$E26)*$I$2/(1+EXP($I$3*(COUNT($I$9:Q$9)+$I$4))),TREND($E26:$F26,$E$9:$F$9,Q$9))</f>
        <v>0</v>
      </c>
      <c r="R26">
        <f>IF($G26="s-curve",$E26+($F26-$E26)*$I$2/(1+EXP($I$3*(COUNT($I$9:R$9)+$I$4))),TREND($E26:$F26,$E$9:$F$9,R$9))</f>
        <v>0</v>
      </c>
      <c r="S26">
        <f>IF($G26="s-curve",$E26+($F26-$E26)*$I$2/(1+EXP($I$3*(COUNT($I$9:S$9)+$I$4))),TREND($E26:$F26,$E$9:$F$9,S$9))</f>
        <v>0</v>
      </c>
      <c r="T26">
        <f>IF($G26="s-curve",$E26+($F26-$E26)*$I$2/(1+EXP($I$3*(COUNT($I$9:T$9)+$I$4))),TREND($E26:$F26,$E$9:$F$9,T$9))</f>
        <v>0</v>
      </c>
      <c r="U26">
        <f>IF($G26="s-curve",$E26+($F26-$E26)*$I$2/(1+EXP($I$3*(COUNT($I$9:U$9)+$I$4))),TREND($E26:$F26,$E$9:$F$9,U$9))</f>
        <v>0</v>
      </c>
      <c r="V26">
        <f>IF($G26="s-curve",$E26+($F26-$E26)*$I$2/(1+EXP($I$3*(COUNT($I$9:V$9)+$I$4))),TREND($E26:$F26,$E$9:$F$9,V$9))</f>
        <v>0</v>
      </c>
      <c r="W26">
        <f>IF($G26="s-curve",$E26+($F26-$E26)*$I$2/(1+EXP($I$3*(COUNT($I$9:W$9)+$I$4))),TREND($E26:$F26,$E$9:$F$9,W$9))</f>
        <v>0</v>
      </c>
      <c r="X26">
        <f>IF($G26="s-curve",$E26+($F26-$E26)*$I$2/(1+EXP($I$3*(COUNT($I$9:X$9)+$I$4))),TREND($E26:$F26,$E$9:$F$9,X$9))</f>
        <v>0</v>
      </c>
      <c r="Y26">
        <f>IF($G26="s-curve",$E26+($F26-$E26)*$I$2/(1+EXP($I$3*(COUNT($I$9:Y$9)+$I$4))),TREND($E26:$F26,$E$9:$F$9,Y$9))</f>
        <v>0</v>
      </c>
      <c r="Z26">
        <f>IF($G26="s-curve",$E26+($F26-$E26)*$I$2/(1+EXP($I$3*(COUNT($I$9:Z$9)+$I$4))),TREND($E26:$F26,$E$9:$F$9,Z$9))</f>
        <v>0</v>
      </c>
      <c r="AA26">
        <f>IF($G26="s-curve",$E26+($F26-$E26)*$I$2/(1+EXP($I$3*(COUNT($I$9:AA$9)+$I$4))),TREND($E26:$F26,$E$9:$F$9,AA$9))</f>
        <v>0</v>
      </c>
      <c r="AB26">
        <f>IF($G26="s-curve",$E26+($F26-$E26)*$I$2/(1+EXP($I$3*(COUNT($I$9:AB$9)+$I$4))),TREND($E26:$F26,$E$9:$F$9,AB$9))</f>
        <v>0</v>
      </c>
      <c r="AC26">
        <f>IF($G26="s-curve",$E26+($F26-$E26)*$I$2/(1+EXP($I$3*(COUNT($I$9:AC$9)+$I$4))),TREND($E26:$F26,$E$9:$F$9,AC$9))</f>
        <v>0</v>
      </c>
      <c r="AD26">
        <f>IF($G26="s-curve",$E26+($F26-$E26)*$I$2/(1+EXP($I$3*(COUNT($I$9:AD$9)+$I$4))),TREND($E26:$F26,$E$9:$F$9,AD$9))</f>
        <v>0</v>
      </c>
      <c r="AE26">
        <f>IF($G26="s-curve",$E26+($F26-$E26)*$I$2/(1+EXP($I$3*(COUNT($I$9:AE$9)+$I$4))),TREND($E26:$F26,$E$9:$F$9,AE$9))</f>
        <v>0</v>
      </c>
      <c r="AF26">
        <f>IF($G26="s-curve",$E26+($F26-$E26)*$I$2/(1+EXP($I$3*(COUNT($I$9:AF$9)+$I$4))),TREND($E26:$F26,$E$9:$F$9,AF$9))</f>
        <v>0</v>
      </c>
      <c r="AG26">
        <f>IF($G26="s-curve",$E26+($F26-$E26)*$I$2/(1+EXP($I$3*(COUNT($I$9:AG$9)+$I$4))),TREND($E26:$F26,$E$9:$F$9,AG$9))</f>
        <v>0</v>
      </c>
      <c r="AH26">
        <f>IF($G26="s-curve",$E26+($F26-$E26)*$I$2/(1+EXP($I$3*(COUNT($I$9:AH$9)+$I$4))),TREND($E26:$F26,$E$9:$F$9,AH$9))</f>
        <v>0</v>
      </c>
      <c r="AI26">
        <f>IF($G26="s-curve",$E26+($F26-$E26)*$I$2/(1+EXP($I$3*(COUNT($I$9:AI$9)+$I$4))),TREND($E26:$F26,$E$9:$F$9,AI$9))</f>
        <v>0</v>
      </c>
    </row>
    <row r="27" spans="1:35" x14ac:dyDescent="0.25">
      <c r="C27" t="s">
        <v>293</v>
      </c>
      <c r="D27">
        <v>1</v>
      </c>
      <c r="E27">
        <v>1</v>
      </c>
      <c r="F27">
        <v>1</v>
      </c>
      <c r="G27" t="str">
        <f>IF(E27=F27,"n/a",IF(OR(C27="battery electric vehicle",C27="natural gas vehicle",C27="plugin hybrid vehicle"),"s-curve","linear"))</f>
        <v>n/a</v>
      </c>
      <c r="I27">
        <f t="shared" si="3"/>
        <v>1</v>
      </c>
      <c r="J27">
        <f t="shared" si="7"/>
        <v>1</v>
      </c>
      <c r="K27">
        <f>IF($G27="s-curve",$E27+($F27-$E27)*$I$2/(1+EXP($I$3*(COUNT($I$9:K$9)+$I$4))),TREND($E27:$F27,$E$9:$F$9,K$9))</f>
        <v>1</v>
      </c>
      <c r="L27">
        <f>IF($G27="s-curve",$E27+($F27-$E27)*$I$2/(1+EXP($I$3*(COUNT($I$9:L$9)+$I$4))),TREND($E27:$F27,$E$9:$F$9,L$9))</f>
        <v>1</v>
      </c>
      <c r="M27">
        <f>IF($G27="s-curve",$E27+($F27-$E27)*$I$2/(1+EXP($I$3*(COUNT($I$9:M$9)+$I$4))),TREND($E27:$F27,$E$9:$F$9,M$9))</f>
        <v>1</v>
      </c>
      <c r="N27">
        <f>IF($G27="s-curve",$E27+($F27-$E27)*$I$2/(1+EXP($I$3*(COUNT($I$9:N$9)+$I$4))),TREND($E27:$F27,$E$9:$F$9,N$9))</f>
        <v>1</v>
      </c>
      <c r="O27">
        <f>IF($G27="s-curve",$E27+($F27-$E27)*$I$2/(1+EXP($I$3*(COUNT($I$9:O$9)+$I$4))),TREND($E27:$F27,$E$9:$F$9,O$9))</f>
        <v>1</v>
      </c>
      <c r="P27">
        <f>IF($G27="s-curve",$E27+($F27-$E27)*$I$2/(1+EXP($I$3*(COUNT($I$9:P$9)+$I$4))),TREND($E27:$F27,$E$9:$F$9,P$9))</f>
        <v>1</v>
      </c>
      <c r="Q27">
        <f>IF($G27="s-curve",$E27+($F27-$E27)*$I$2/(1+EXP($I$3*(COUNT($I$9:Q$9)+$I$4))),TREND($E27:$F27,$E$9:$F$9,Q$9))</f>
        <v>1</v>
      </c>
      <c r="R27">
        <f>IF($G27="s-curve",$E27+($F27-$E27)*$I$2/(1+EXP($I$3*(COUNT($I$9:R$9)+$I$4))),TREND($E27:$F27,$E$9:$F$9,R$9))</f>
        <v>1</v>
      </c>
      <c r="S27">
        <f>IF($G27="s-curve",$E27+($F27-$E27)*$I$2/(1+EXP($I$3*(COUNT($I$9:S$9)+$I$4))),TREND($E27:$F27,$E$9:$F$9,S$9))</f>
        <v>1</v>
      </c>
      <c r="T27">
        <f>IF($G27="s-curve",$E27+($F27-$E27)*$I$2/(1+EXP($I$3*(COUNT($I$9:T$9)+$I$4))),TREND($E27:$F27,$E$9:$F$9,T$9))</f>
        <v>1</v>
      </c>
      <c r="U27">
        <f>IF($G27="s-curve",$E27+($F27-$E27)*$I$2/(1+EXP($I$3*(COUNT($I$9:U$9)+$I$4))),TREND($E27:$F27,$E$9:$F$9,U$9))</f>
        <v>1</v>
      </c>
      <c r="V27">
        <f>IF($G27="s-curve",$E27+($F27-$E27)*$I$2/(1+EXP($I$3*(COUNT($I$9:V$9)+$I$4))),TREND($E27:$F27,$E$9:$F$9,V$9))</f>
        <v>1</v>
      </c>
      <c r="W27">
        <f>IF($G27="s-curve",$E27+($F27-$E27)*$I$2/(1+EXP($I$3*(COUNT($I$9:W$9)+$I$4))),TREND($E27:$F27,$E$9:$F$9,W$9))</f>
        <v>1</v>
      </c>
      <c r="X27">
        <f>IF($G27="s-curve",$E27+($F27-$E27)*$I$2/(1+EXP($I$3*(COUNT($I$9:X$9)+$I$4))),TREND($E27:$F27,$E$9:$F$9,X$9))</f>
        <v>1</v>
      </c>
      <c r="Y27">
        <f>IF($G27="s-curve",$E27+($F27-$E27)*$I$2/(1+EXP($I$3*(COUNT($I$9:Y$9)+$I$4))),TREND($E27:$F27,$E$9:$F$9,Y$9))</f>
        <v>1</v>
      </c>
      <c r="Z27">
        <f>IF($G27="s-curve",$E27+($F27-$E27)*$I$2/(1+EXP($I$3*(COUNT($I$9:Z$9)+$I$4))),TREND($E27:$F27,$E$9:$F$9,Z$9))</f>
        <v>1</v>
      </c>
      <c r="AA27">
        <f>IF($G27="s-curve",$E27+($F27-$E27)*$I$2/(1+EXP($I$3*(COUNT($I$9:AA$9)+$I$4))),TREND($E27:$F27,$E$9:$F$9,AA$9))</f>
        <v>1</v>
      </c>
      <c r="AB27">
        <f>IF($G27="s-curve",$E27+($F27-$E27)*$I$2/(1+EXP($I$3*(COUNT($I$9:AB$9)+$I$4))),TREND($E27:$F27,$E$9:$F$9,AB$9))</f>
        <v>1</v>
      </c>
      <c r="AC27">
        <f>IF($G27="s-curve",$E27+($F27-$E27)*$I$2/(1+EXP($I$3*(COUNT($I$9:AC$9)+$I$4))),TREND($E27:$F27,$E$9:$F$9,AC$9))</f>
        <v>1</v>
      </c>
      <c r="AD27">
        <f>IF($G27="s-curve",$E27+($F27-$E27)*$I$2/(1+EXP($I$3*(COUNT($I$9:AD$9)+$I$4))),TREND($E27:$F27,$E$9:$F$9,AD$9))</f>
        <v>1</v>
      </c>
      <c r="AE27">
        <f>IF($G27="s-curve",$E27+($F27-$E27)*$I$2/(1+EXP($I$3*(COUNT($I$9:AE$9)+$I$4))),TREND($E27:$F27,$E$9:$F$9,AE$9))</f>
        <v>1</v>
      </c>
      <c r="AF27">
        <f>IF($G27="s-curve",$E27+($F27-$E27)*$I$2/(1+EXP($I$3*(COUNT($I$9:AF$9)+$I$4))),TREND($E27:$F27,$E$9:$F$9,AF$9))</f>
        <v>1</v>
      </c>
      <c r="AG27">
        <f>IF($G27="s-curve",$E27+($F27-$E27)*$I$2/(1+EXP($I$3*(COUNT($I$9:AG$9)+$I$4))),TREND($E27:$F27,$E$9:$F$9,AG$9))</f>
        <v>1</v>
      </c>
      <c r="AH27">
        <f>IF($G27="s-curve",$E27+($F27-$E27)*$I$2/(1+EXP($I$3*(COUNT($I$9:AH$9)+$I$4))),TREND($E27:$F27,$E$9:$F$9,AH$9))</f>
        <v>1</v>
      </c>
      <c r="AI27">
        <f>IF($G27="s-curve",$E27+($F27-$E27)*$I$2/(1+EXP($I$3*(COUNT($I$9:AI$9)+$I$4))),TREND($E27:$F27,$E$9:$F$9,AI$9))</f>
        <v>1</v>
      </c>
    </row>
    <row r="28" spans="1:35" x14ac:dyDescent="0.25">
      <c r="C28" t="s">
        <v>180</v>
      </c>
      <c r="D28">
        <v>0</v>
      </c>
      <c r="E28">
        <v>0</v>
      </c>
      <c r="F28">
        <f>E28</f>
        <v>0</v>
      </c>
      <c r="G28" t="str">
        <f>IF(E28=F28,"n/a",IF(OR(C28="battery electric vehicle",C28="natural gas vehicle",C28="plugin hybrid vehicle"),"s-curve","linear"))</f>
        <v>n/a</v>
      </c>
      <c r="I28">
        <f t="shared" si="3"/>
        <v>0</v>
      </c>
      <c r="J28">
        <f t="shared" si="7"/>
        <v>0</v>
      </c>
      <c r="K28">
        <f>IF($G28="s-curve",$E28+($F28-$E28)*$I$2/(1+EXP($I$3*(COUNT($I$9:K$9)+$I$4))),TREND($E28:$F28,$E$9:$F$9,K$9))</f>
        <v>0</v>
      </c>
      <c r="L28">
        <f>IF($G28="s-curve",$E28+($F28-$E28)*$I$2/(1+EXP($I$3*(COUNT($I$9:L$9)+$I$4))),TREND($E28:$F28,$E$9:$F$9,L$9))</f>
        <v>0</v>
      </c>
      <c r="M28">
        <f>IF($G28="s-curve",$E28+($F28-$E28)*$I$2/(1+EXP($I$3*(COUNT($I$9:M$9)+$I$4))),TREND($E28:$F28,$E$9:$F$9,M$9))</f>
        <v>0</v>
      </c>
      <c r="N28">
        <f>IF($G28="s-curve",$E28+($F28-$E28)*$I$2/(1+EXP($I$3*(COUNT($I$9:N$9)+$I$4))),TREND($E28:$F28,$E$9:$F$9,N$9))</f>
        <v>0</v>
      </c>
      <c r="O28">
        <f>IF($G28="s-curve",$E28+($F28-$E28)*$I$2/(1+EXP($I$3*(COUNT($I$9:O$9)+$I$4))),TREND($E28:$F28,$E$9:$F$9,O$9))</f>
        <v>0</v>
      </c>
      <c r="P28">
        <f>IF($G28="s-curve",$E28+($F28-$E28)*$I$2/(1+EXP($I$3*(COUNT($I$9:P$9)+$I$4))),TREND($E28:$F28,$E$9:$F$9,P$9))</f>
        <v>0</v>
      </c>
      <c r="Q28">
        <f>IF($G28="s-curve",$E28+($F28-$E28)*$I$2/(1+EXP($I$3*(COUNT($I$9:Q$9)+$I$4))),TREND($E28:$F28,$E$9:$F$9,Q$9))</f>
        <v>0</v>
      </c>
      <c r="R28">
        <f>IF($G28="s-curve",$E28+($F28-$E28)*$I$2/(1+EXP($I$3*(COUNT($I$9:R$9)+$I$4))),TREND($E28:$F28,$E$9:$F$9,R$9))</f>
        <v>0</v>
      </c>
      <c r="S28">
        <f>IF($G28="s-curve",$E28+($F28-$E28)*$I$2/(1+EXP($I$3*(COUNT($I$9:S$9)+$I$4))),TREND($E28:$F28,$E$9:$F$9,S$9))</f>
        <v>0</v>
      </c>
      <c r="T28">
        <f>IF($G28="s-curve",$E28+($F28-$E28)*$I$2/(1+EXP($I$3*(COUNT($I$9:T$9)+$I$4))),TREND($E28:$F28,$E$9:$F$9,T$9))</f>
        <v>0</v>
      </c>
      <c r="U28">
        <f>IF($G28="s-curve",$E28+($F28-$E28)*$I$2/(1+EXP($I$3*(COUNT($I$9:U$9)+$I$4))),TREND($E28:$F28,$E$9:$F$9,U$9))</f>
        <v>0</v>
      </c>
      <c r="V28">
        <f>IF($G28="s-curve",$E28+($F28-$E28)*$I$2/(1+EXP($I$3*(COUNT($I$9:V$9)+$I$4))),TREND($E28:$F28,$E$9:$F$9,V$9))</f>
        <v>0</v>
      </c>
      <c r="W28">
        <f>IF($G28="s-curve",$E28+($F28-$E28)*$I$2/(1+EXP($I$3*(COUNT($I$9:W$9)+$I$4))),TREND($E28:$F28,$E$9:$F$9,W$9))</f>
        <v>0</v>
      </c>
      <c r="X28">
        <f>IF($G28="s-curve",$E28+($F28-$E28)*$I$2/(1+EXP($I$3*(COUNT($I$9:X$9)+$I$4))),TREND($E28:$F28,$E$9:$F$9,X$9))</f>
        <v>0</v>
      </c>
      <c r="Y28">
        <f>IF($G28="s-curve",$E28+($F28-$E28)*$I$2/(1+EXP($I$3*(COUNT($I$9:Y$9)+$I$4))),TREND($E28:$F28,$E$9:$F$9,Y$9))</f>
        <v>0</v>
      </c>
      <c r="Z28">
        <f>IF($G28="s-curve",$E28+($F28-$E28)*$I$2/(1+EXP($I$3*(COUNT($I$9:Z$9)+$I$4))),TREND($E28:$F28,$E$9:$F$9,Z$9))</f>
        <v>0</v>
      </c>
      <c r="AA28">
        <f>IF($G28="s-curve",$E28+($F28-$E28)*$I$2/(1+EXP($I$3*(COUNT($I$9:AA$9)+$I$4))),TREND($E28:$F28,$E$9:$F$9,AA$9))</f>
        <v>0</v>
      </c>
      <c r="AB28">
        <f>IF($G28="s-curve",$E28+($F28-$E28)*$I$2/(1+EXP($I$3*(COUNT($I$9:AB$9)+$I$4))),TREND($E28:$F28,$E$9:$F$9,AB$9))</f>
        <v>0</v>
      </c>
      <c r="AC28">
        <f>IF($G28="s-curve",$E28+($F28-$E28)*$I$2/(1+EXP($I$3*(COUNT($I$9:AC$9)+$I$4))),TREND($E28:$F28,$E$9:$F$9,AC$9))</f>
        <v>0</v>
      </c>
      <c r="AD28">
        <f>IF($G28="s-curve",$E28+($F28-$E28)*$I$2/(1+EXP($I$3*(COUNT($I$9:AD$9)+$I$4))),TREND($E28:$F28,$E$9:$F$9,AD$9))</f>
        <v>0</v>
      </c>
      <c r="AE28">
        <f>IF($G28="s-curve",$E28+($F28-$E28)*$I$2/(1+EXP($I$3*(COUNT($I$9:AE$9)+$I$4))),TREND($E28:$F28,$E$9:$F$9,AE$9))</f>
        <v>0</v>
      </c>
      <c r="AF28">
        <f>IF($G28="s-curve",$E28+($F28-$E28)*$I$2/(1+EXP($I$3*(COUNT($I$9:AF$9)+$I$4))),TREND($E28:$F28,$E$9:$F$9,AF$9))</f>
        <v>0</v>
      </c>
      <c r="AG28">
        <f>IF($G28="s-curve",$E28+($F28-$E28)*$I$2/(1+EXP($I$3*(COUNT($I$9:AG$9)+$I$4))),TREND($E28:$F28,$E$9:$F$9,AG$9))</f>
        <v>0</v>
      </c>
      <c r="AH28">
        <f>IF($G28="s-curve",$E28+($F28-$E28)*$I$2/(1+EXP($I$3*(COUNT($I$9:AH$9)+$I$4))),TREND($E28:$F28,$E$9:$F$9,AH$9))</f>
        <v>0</v>
      </c>
      <c r="AI28">
        <f>IF($G28="s-curve",$E28+($F28-$E28)*$I$2/(1+EXP($I$3*(COUNT($I$9:AI$9)+$I$4))),TREND($E28:$F28,$E$9:$F$9,AI$9))</f>
        <v>0</v>
      </c>
    </row>
    <row r="29" spans="1:35" x14ac:dyDescent="0.25">
      <c r="C29" t="s">
        <v>294</v>
      </c>
      <c r="D29">
        <v>0</v>
      </c>
      <c r="E29">
        <v>0</v>
      </c>
      <c r="F29">
        <f>E29</f>
        <v>0</v>
      </c>
      <c r="G29" t="str">
        <f>IF(E29=F29,"n/a",IF(OR(C29="battery electric vehicle",C29="natural gas vehicle",C29="plugin hybrid vehicle",C29="hydrogen vehicle"),"s-curve","linear"))</f>
        <v>n/a</v>
      </c>
      <c r="I29">
        <f t="shared" si="3"/>
        <v>0</v>
      </c>
      <c r="J29">
        <f t="shared" si="7"/>
        <v>0</v>
      </c>
      <c r="K29">
        <f>IF($G29="s-curve",$E29+($F29-$E29)*$I$2/(1+EXP($I$3*(COUNT($I$9:K$9)+$I$4))),TREND($E29:$F29,$E$9:$F$9,K$9))</f>
        <v>0</v>
      </c>
      <c r="L29">
        <f>IF($G29="s-curve",$E29+($F29-$E29)*$I$2/(1+EXP($I$3*(COUNT($I$9:L$9)+$I$4))),TREND($E29:$F29,$E$9:$F$9,L$9))</f>
        <v>0</v>
      </c>
      <c r="M29">
        <f>IF($G29="s-curve",$E29+($F29-$E29)*$I$2/(1+EXP($I$3*(COUNT($I$9:M$9)+$I$4))),TREND($E29:$F29,$E$9:$F$9,M$9))</f>
        <v>0</v>
      </c>
      <c r="N29">
        <f>IF($G29="s-curve",$E29+($F29-$E29)*$I$2/(1+EXP($I$3*(COUNT($I$9:N$9)+$I$4))),TREND($E29:$F29,$E$9:$F$9,N$9))</f>
        <v>0</v>
      </c>
      <c r="O29">
        <f>IF($G29="s-curve",$E29+($F29-$E29)*$I$2/(1+EXP($I$3*(COUNT($I$9:O$9)+$I$4))),TREND($E29:$F29,$E$9:$F$9,O$9))</f>
        <v>0</v>
      </c>
      <c r="P29">
        <f>IF($G29="s-curve",$E29+($F29-$E29)*$I$2/(1+EXP($I$3*(COUNT($I$9:P$9)+$I$4))),TREND($E29:$F29,$E$9:$F$9,P$9))</f>
        <v>0</v>
      </c>
      <c r="Q29">
        <f>IF($G29="s-curve",$E29+($F29-$E29)*$I$2/(1+EXP($I$3*(COUNT($I$9:Q$9)+$I$4))),TREND($E29:$F29,$E$9:$F$9,Q$9))</f>
        <v>0</v>
      </c>
      <c r="R29">
        <f>IF($G29="s-curve",$E29+($F29-$E29)*$I$2/(1+EXP($I$3*(COUNT($I$9:R$9)+$I$4))),TREND($E29:$F29,$E$9:$F$9,R$9))</f>
        <v>0</v>
      </c>
      <c r="S29">
        <f>IF($G29="s-curve",$E29+($F29-$E29)*$I$2/(1+EXP($I$3*(COUNT($I$9:S$9)+$I$4))),TREND($E29:$F29,$E$9:$F$9,S$9))</f>
        <v>0</v>
      </c>
      <c r="T29">
        <f>IF($G29="s-curve",$E29+($F29-$E29)*$I$2/(1+EXP($I$3*(COUNT($I$9:T$9)+$I$4))),TREND($E29:$F29,$E$9:$F$9,T$9))</f>
        <v>0</v>
      </c>
      <c r="U29">
        <f>IF($G29="s-curve",$E29+($F29-$E29)*$I$2/(1+EXP($I$3*(COUNT($I$9:U$9)+$I$4))),TREND($E29:$F29,$E$9:$F$9,U$9))</f>
        <v>0</v>
      </c>
      <c r="V29">
        <f>IF($G29="s-curve",$E29+($F29-$E29)*$I$2/(1+EXP($I$3*(COUNT($I$9:V$9)+$I$4))),TREND($E29:$F29,$E$9:$F$9,V$9))</f>
        <v>0</v>
      </c>
      <c r="W29">
        <f>IF($G29="s-curve",$E29+($F29-$E29)*$I$2/(1+EXP($I$3*(COUNT($I$9:W$9)+$I$4))),TREND($E29:$F29,$E$9:$F$9,W$9))</f>
        <v>0</v>
      </c>
      <c r="X29">
        <f>IF($G29="s-curve",$E29+($F29-$E29)*$I$2/(1+EXP($I$3*(COUNT($I$9:X$9)+$I$4))),TREND($E29:$F29,$E$9:$F$9,X$9))</f>
        <v>0</v>
      </c>
      <c r="Y29">
        <f>IF($G29="s-curve",$E29+($F29-$E29)*$I$2/(1+EXP($I$3*(COUNT($I$9:Y$9)+$I$4))),TREND($E29:$F29,$E$9:$F$9,Y$9))</f>
        <v>0</v>
      </c>
      <c r="Z29">
        <f>IF($G29="s-curve",$E29+($F29-$E29)*$I$2/(1+EXP($I$3*(COUNT($I$9:Z$9)+$I$4))),TREND($E29:$F29,$E$9:$F$9,Z$9))</f>
        <v>0</v>
      </c>
      <c r="AA29">
        <f>IF($G29="s-curve",$E29+($F29-$E29)*$I$2/(1+EXP($I$3*(COUNT($I$9:AA$9)+$I$4))),TREND($E29:$F29,$E$9:$F$9,AA$9))</f>
        <v>0</v>
      </c>
      <c r="AB29">
        <f>IF($G29="s-curve",$E29+($F29-$E29)*$I$2/(1+EXP($I$3*(COUNT($I$9:AB$9)+$I$4))),TREND($E29:$F29,$E$9:$F$9,AB$9))</f>
        <v>0</v>
      </c>
      <c r="AC29">
        <f>IF($G29="s-curve",$E29+($F29-$E29)*$I$2/(1+EXP($I$3*(COUNT($I$9:AC$9)+$I$4))),TREND($E29:$F29,$E$9:$F$9,AC$9))</f>
        <v>0</v>
      </c>
      <c r="AD29">
        <f>IF($G29="s-curve",$E29+($F29-$E29)*$I$2/(1+EXP($I$3*(COUNT($I$9:AD$9)+$I$4))),TREND($E29:$F29,$E$9:$F$9,AD$9))</f>
        <v>0</v>
      </c>
      <c r="AE29">
        <f>IF($G29="s-curve",$E29+($F29-$E29)*$I$2/(1+EXP($I$3*(COUNT($I$9:AE$9)+$I$4))),TREND($E29:$F29,$E$9:$F$9,AE$9))</f>
        <v>0</v>
      </c>
      <c r="AF29">
        <f>IF($G29="s-curve",$E29+($F29-$E29)*$I$2/(1+EXP($I$3*(COUNT($I$9:AF$9)+$I$4))),TREND($E29:$F29,$E$9:$F$9,AF$9))</f>
        <v>0</v>
      </c>
      <c r="AG29">
        <f>IF($G29="s-curve",$E29+($F29-$E29)*$I$2/(1+EXP($I$3*(COUNT($I$9:AG$9)+$I$4))),TREND($E29:$F29,$E$9:$F$9,AG$9))</f>
        <v>0</v>
      </c>
      <c r="AH29">
        <f>IF($G29="s-curve",$E29+($F29-$E29)*$I$2/(1+EXP($I$3*(COUNT($I$9:AH$9)+$I$4))),TREND($E29:$F29,$E$9:$F$9,AH$9))</f>
        <v>0</v>
      </c>
      <c r="AI29">
        <f>IF($G29="s-curve",$E29+($F29-$E29)*$I$2/(1+EXP($I$3*(COUNT($I$9:AI$9)+$I$4))),TREND($E29:$F29,$E$9:$F$9,AI$9))</f>
        <v>0</v>
      </c>
    </row>
    <row r="30" spans="1:35" x14ac:dyDescent="0.25">
      <c r="C30" t="s">
        <v>182</v>
      </c>
      <c r="D30">
        <v>0</v>
      </c>
      <c r="E30">
        <v>0</v>
      </c>
      <c r="F30">
        <f>E30</f>
        <v>0</v>
      </c>
      <c r="G30" t="str">
        <f>IF(E30=F30,"n/a",IF(OR(C30="battery electric vehicle",C30="natural gas vehicle",C30="plugin hybrid vehicle",C30="hydrogen vehicle"),"s-curve","linear"))</f>
        <v>n/a</v>
      </c>
      <c r="I30">
        <f t="shared" si="3"/>
        <v>0</v>
      </c>
      <c r="J30">
        <f t="shared" si="7"/>
        <v>0</v>
      </c>
      <c r="K30">
        <f>IF($G30="s-curve",$E30+($F30-$E30)*$I$2/(1+EXP($I$3*(COUNT($I$9:K$9)+$I$4))),TREND($E30:$F30,$E$9:$F$9,K$9))</f>
        <v>0</v>
      </c>
      <c r="L30">
        <f>IF($G30="s-curve",$E30+($F30-$E30)*$I$2/(1+EXP($I$3*(COUNT($I$9:L$9)+$I$4))),TREND($E30:$F30,$E$9:$F$9,L$9))</f>
        <v>0</v>
      </c>
      <c r="M30">
        <f>IF($G30="s-curve",$E30+($F30-$E30)*$I$2/(1+EXP($I$3*(COUNT($I$9:M$9)+$I$4))),TREND($E30:$F30,$E$9:$F$9,M$9))</f>
        <v>0</v>
      </c>
      <c r="N30">
        <f>IF($G30="s-curve",$E30+($F30-$E30)*$I$2/(1+EXP($I$3*(COUNT($I$9:N$9)+$I$4))),TREND($E30:$F30,$E$9:$F$9,N$9))</f>
        <v>0</v>
      </c>
      <c r="O30">
        <f>IF($G30="s-curve",$E30+($F30-$E30)*$I$2/(1+EXP($I$3*(COUNT($I$9:O$9)+$I$4))),TREND($E30:$F30,$E$9:$F$9,O$9))</f>
        <v>0</v>
      </c>
      <c r="P30">
        <f>IF($G30="s-curve",$E30+($F30-$E30)*$I$2/(1+EXP($I$3*(COUNT($I$9:P$9)+$I$4))),TREND($E30:$F30,$E$9:$F$9,P$9))</f>
        <v>0</v>
      </c>
      <c r="Q30">
        <f>IF($G30="s-curve",$E30+($F30-$E30)*$I$2/(1+EXP($I$3*(COUNT($I$9:Q$9)+$I$4))),TREND($E30:$F30,$E$9:$F$9,Q$9))</f>
        <v>0</v>
      </c>
      <c r="R30">
        <f>IF($G30="s-curve",$E30+($F30-$E30)*$I$2/(1+EXP($I$3*(COUNT($I$9:R$9)+$I$4))),TREND($E30:$F30,$E$9:$F$9,R$9))</f>
        <v>0</v>
      </c>
      <c r="S30">
        <f>IF($G30="s-curve",$E30+($F30-$E30)*$I$2/(1+EXP($I$3*(COUNT($I$9:S$9)+$I$4))),TREND($E30:$F30,$E$9:$F$9,S$9))</f>
        <v>0</v>
      </c>
      <c r="T30">
        <f>IF($G30="s-curve",$E30+($F30-$E30)*$I$2/(1+EXP($I$3*(COUNT($I$9:T$9)+$I$4))),TREND($E30:$F30,$E$9:$F$9,T$9))</f>
        <v>0</v>
      </c>
      <c r="U30">
        <f>IF($G30="s-curve",$E30+($F30-$E30)*$I$2/(1+EXP($I$3*(COUNT($I$9:U$9)+$I$4))),TREND($E30:$F30,$E$9:$F$9,U$9))</f>
        <v>0</v>
      </c>
      <c r="V30">
        <f>IF($G30="s-curve",$E30+($F30-$E30)*$I$2/(1+EXP($I$3*(COUNT($I$9:V$9)+$I$4))),TREND($E30:$F30,$E$9:$F$9,V$9))</f>
        <v>0</v>
      </c>
      <c r="W30">
        <f>IF($G30="s-curve",$E30+($F30-$E30)*$I$2/(1+EXP($I$3*(COUNT($I$9:W$9)+$I$4))),TREND($E30:$F30,$E$9:$F$9,W$9))</f>
        <v>0</v>
      </c>
      <c r="X30">
        <f>IF($G30="s-curve",$E30+($F30-$E30)*$I$2/(1+EXP($I$3*(COUNT($I$9:X$9)+$I$4))),TREND($E30:$F30,$E$9:$F$9,X$9))</f>
        <v>0</v>
      </c>
      <c r="Y30">
        <f>IF($G30="s-curve",$E30+($F30-$E30)*$I$2/(1+EXP($I$3*(COUNT($I$9:Y$9)+$I$4))),TREND($E30:$F30,$E$9:$F$9,Y$9))</f>
        <v>0</v>
      </c>
      <c r="Z30">
        <f>IF($G30="s-curve",$E30+($F30-$E30)*$I$2/(1+EXP($I$3*(COUNT($I$9:Z$9)+$I$4))),TREND($E30:$F30,$E$9:$F$9,Z$9))</f>
        <v>0</v>
      </c>
      <c r="AA30">
        <f>IF($G30="s-curve",$E30+($F30-$E30)*$I$2/(1+EXP($I$3*(COUNT($I$9:AA$9)+$I$4))),TREND($E30:$F30,$E$9:$F$9,AA$9))</f>
        <v>0</v>
      </c>
      <c r="AB30">
        <f>IF($G30="s-curve",$E30+($F30-$E30)*$I$2/(1+EXP($I$3*(COUNT($I$9:AB$9)+$I$4))),TREND($E30:$F30,$E$9:$F$9,AB$9))</f>
        <v>0</v>
      </c>
      <c r="AC30">
        <f>IF($G30="s-curve",$E30+($F30-$E30)*$I$2/(1+EXP($I$3*(COUNT($I$9:AC$9)+$I$4))),TREND($E30:$F30,$E$9:$F$9,AC$9))</f>
        <v>0</v>
      </c>
      <c r="AD30">
        <f>IF($G30="s-curve",$E30+($F30-$E30)*$I$2/(1+EXP($I$3*(COUNT($I$9:AD$9)+$I$4))),TREND($E30:$F30,$E$9:$F$9,AD$9))</f>
        <v>0</v>
      </c>
      <c r="AE30">
        <f>IF($G30="s-curve",$E30+($F30-$E30)*$I$2/(1+EXP($I$3*(COUNT($I$9:AE$9)+$I$4))),TREND($E30:$F30,$E$9:$F$9,AE$9))</f>
        <v>0</v>
      </c>
      <c r="AF30">
        <f>IF($G30="s-curve",$E30+($F30-$E30)*$I$2/(1+EXP($I$3*(COUNT($I$9:AF$9)+$I$4))),TREND($E30:$F30,$E$9:$F$9,AF$9))</f>
        <v>0</v>
      </c>
      <c r="AG30">
        <f>IF($G30="s-curve",$E30+($F30-$E30)*$I$2/(1+EXP($I$3*(COUNT($I$9:AG$9)+$I$4))),TREND($E30:$F30,$E$9:$F$9,AG$9))</f>
        <v>0</v>
      </c>
      <c r="AH30">
        <f>IF($G30="s-curve",$E30+($F30-$E30)*$I$2/(1+EXP($I$3*(COUNT($I$9:AH$9)+$I$4))),TREND($E30:$F30,$E$9:$F$9,AH$9))</f>
        <v>0</v>
      </c>
      <c r="AI30">
        <f>IF($G30="s-curve",$E30+($F30-$E30)*$I$2/(1+EXP($I$3*(COUNT($I$9:AI$9)+$I$4))),TREND($E30:$F30,$E$9:$F$9,AI$9))</f>
        <v>0</v>
      </c>
    </row>
    <row r="31" spans="1:35" x14ac:dyDescent="0.25">
      <c r="A31" t="s">
        <v>296</v>
      </c>
      <c r="B31" t="s">
        <v>326</v>
      </c>
      <c r="C31" t="s">
        <v>177</v>
      </c>
      <c r="D31">
        <v>4.7973229575300003E-3</v>
      </c>
      <c r="E31">
        <v>6.1405058414400002E-3</v>
      </c>
      <c r="F31">
        <v>0.25</v>
      </c>
      <c r="G31" t="str">
        <f>IF(E31=F31,"n/a",IF(OR(C31="battery electric vehicle",C31="natural gas vehicle",C31="plugin hybrid vehicle"),"s-curve","linear"))</f>
        <v>s-curve</v>
      </c>
      <c r="I31">
        <f t="shared" si="3"/>
        <v>4.7973229575300003E-3</v>
      </c>
      <c r="J31" s="2">
        <f>$E31</f>
        <v>6.1405058414400002E-3</v>
      </c>
      <c r="K31" s="2">
        <f t="shared" ref="K31:AI31" si="8">IF($G31="s-curve",$E31+($F31-$E31)*K$100,TREND($E31:$F31,$E$9:$F$9,K$9))</f>
        <v>8.4355230660746044E-3</v>
      </c>
      <c r="L31" s="2">
        <f t="shared" si="8"/>
        <v>1.1467182356414939E-2</v>
      </c>
      <c r="M31" s="2">
        <f t="shared" si="8"/>
        <v>1.5443220122654004E-2</v>
      </c>
      <c r="N31" s="2">
        <f t="shared" si="8"/>
        <v>2.0608901349201396E-2</v>
      </c>
      <c r="O31" s="2">
        <f t="shared" si="8"/>
        <v>2.7238611101574717E-2</v>
      </c>
      <c r="P31" s="2">
        <f t="shared" si="8"/>
        <v>3.5615022317790672E-2</v>
      </c>
      <c r="Q31" s="2">
        <f t="shared" si="8"/>
        <v>4.5991337391138767E-2</v>
      </c>
      <c r="R31" s="2">
        <f t="shared" si="8"/>
        <v>5.8535067594198277E-2</v>
      </c>
      <c r="S31" s="2">
        <f t="shared" si="8"/>
        <v>7.3259090314286138E-2</v>
      </c>
      <c r="T31" s="2">
        <f t="shared" si="8"/>
        <v>8.9956855269229086E-2</v>
      </c>
      <c r="U31" s="2">
        <f t="shared" si="8"/>
        <v>0.10816872392883221</v>
      </c>
      <c r="V31" s="2">
        <f t="shared" si="8"/>
        <v>0.12720629165297168</v>
      </c>
      <c r="W31" s="2">
        <f t="shared" si="8"/>
        <v>0.14624385937711118</v>
      </c>
      <c r="X31" s="2">
        <f t="shared" si="8"/>
        <v>0.16445572803671427</v>
      </c>
      <c r="Y31" s="2">
        <f t="shared" si="8"/>
        <v>0.18115349299165723</v>
      </c>
      <c r="Z31" s="2">
        <f t="shared" si="8"/>
        <v>0.19587751571174505</v>
      </c>
      <c r="AA31" s="2">
        <f t="shared" si="8"/>
        <v>0.2084212459148046</v>
      </c>
      <c r="AB31" s="2">
        <f t="shared" si="8"/>
        <v>0.2187975609881527</v>
      </c>
      <c r="AC31" s="2">
        <f t="shared" si="8"/>
        <v>0.22717397220436863</v>
      </c>
      <c r="AD31" s="2">
        <f t="shared" si="8"/>
        <v>0.23380368195674195</v>
      </c>
      <c r="AE31" s="2">
        <f t="shared" si="8"/>
        <v>0.23896936318328935</v>
      </c>
      <c r="AF31" s="2">
        <f t="shared" si="8"/>
        <v>0.24294540094952843</v>
      </c>
      <c r="AG31" s="2">
        <f t="shared" si="8"/>
        <v>0.24597706023986873</v>
      </c>
      <c r="AH31" s="2">
        <f t="shared" si="8"/>
        <v>0.24827207746450333</v>
      </c>
      <c r="AI31" s="2">
        <f t="shared" si="8"/>
        <v>0.25</v>
      </c>
    </row>
    <row r="32" spans="1:35" x14ac:dyDescent="0.25">
      <c r="C32" t="s">
        <v>291</v>
      </c>
      <c r="D32">
        <v>0</v>
      </c>
      <c r="E32">
        <v>0</v>
      </c>
      <c r="F32">
        <f>E32</f>
        <v>0</v>
      </c>
      <c r="G32" t="str">
        <f>IF(E32=F32,"n/a",IF(OR(C32="battery electric vehicle",C32="natural gas vehicle",C32="plugin hybrid vehicle"),"s-curve","linear"))</f>
        <v>n/a</v>
      </c>
      <c r="I32">
        <f t="shared" si="3"/>
        <v>0</v>
      </c>
      <c r="J32">
        <f t="shared" ref="J32:J37" si="9">E32</f>
        <v>0</v>
      </c>
      <c r="K32">
        <f>IF($G32="s-curve",$E32+($F32-$E32)*$I$2/(1+EXP($I$3*(COUNT($I$9:K$9)+$I$4))),TREND($E32:$F32,$E$9:$F$9,K$9))</f>
        <v>0</v>
      </c>
      <c r="L32">
        <f>IF($G32="s-curve",$E32+($F32-$E32)*$I$2/(1+EXP($I$3*(COUNT($I$9:L$9)+$I$4))),TREND($E32:$F32,$E$9:$F$9,L$9))</f>
        <v>0</v>
      </c>
      <c r="M32">
        <f>IF($G32="s-curve",$E32+($F32-$E32)*$I$2/(1+EXP($I$3*(COUNT($I$9:M$9)+$I$4))),TREND($E32:$F32,$E$9:$F$9,M$9))</f>
        <v>0</v>
      </c>
      <c r="N32">
        <f>IF($G32="s-curve",$E32+($F32-$E32)*$I$2/(1+EXP($I$3*(COUNT($I$9:N$9)+$I$4))),TREND($E32:$F32,$E$9:$F$9,N$9))</f>
        <v>0</v>
      </c>
      <c r="O32">
        <f>IF($G32="s-curve",$E32+($F32-$E32)*$I$2/(1+EXP($I$3*(COUNT($I$9:O$9)+$I$4))),TREND($E32:$F32,$E$9:$F$9,O$9))</f>
        <v>0</v>
      </c>
      <c r="P32">
        <f>IF($G32="s-curve",$E32+($F32-$E32)*$I$2/(1+EXP($I$3*(COUNT($I$9:P$9)+$I$4))),TREND($E32:$F32,$E$9:$F$9,P$9))</f>
        <v>0</v>
      </c>
      <c r="Q32">
        <f>IF($G32="s-curve",$E32+($F32-$E32)*$I$2/(1+EXP($I$3*(COUNT($I$9:Q$9)+$I$4))),TREND($E32:$F32,$E$9:$F$9,Q$9))</f>
        <v>0</v>
      </c>
      <c r="R32">
        <f>IF($G32="s-curve",$E32+($F32-$E32)*$I$2/(1+EXP($I$3*(COUNT($I$9:R$9)+$I$4))),TREND($E32:$F32,$E$9:$F$9,R$9))</f>
        <v>0</v>
      </c>
      <c r="S32">
        <f>IF($G32="s-curve",$E32+($F32-$E32)*$I$2/(1+EXP($I$3*(COUNT($I$9:S$9)+$I$4))),TREND($E32:$F32,$E$9:$F$9,S$9))</f>
        <v>0</v>
      </c>
      <c r="T32">
        <f>IF($G32="s-curve",$E32+($F32-$E32)*$I$2/(1+EXP($I$3*(COUNT($I$9:T$9)+$I$4))),TREND($E32:$F32,$E$9:$F$9,T$9))</f>
        <v>0</v>
      </c>
      <c r="U32">
        <f>IF($G32="s-curve",$E32+($F32-$E32)*$I$2/(1+EXP($I$3*(COUNT($I$9:U$9)+$I$4))),TREND($E32:$F32,$E$9:$F$9,U$9))</f>
        <v>0</v>
      </c>
      <c r="V32">
        <f>IF($G32="s-curve",$E32+($F32-$E32)*$I$2/(1+EXP($I$3*(COUNT($I$9:V$9)+$I$4))),TREND($E32:$F32,$E$9:$F$9,V$9))</f>
        <v>0</v>
      </c>
      <c r="W32">
        <f>IF($G32="s-curve",$E32+($F32-$E32)*$I$2/(1+EXP($I$3*(COUNT($I$9:W$9)+$I$4))),TREND($E32:$F32,$E$9:$F$9,W$9))</f>
        <v>0</v>
      </c>
      <c r="X32">
        <f>IF($G32="s-curve",$E32+($F32-$E32)*$I$2/(1+EXP($I$3*(COUNT($I$9:X$9)+$I$4))),TREND($E32:$F32,$E$9:$F$9,X$9))</f>
        <v>0</v>
      </c>
      <c r="Y32">
        <f>IF($G32="s-curve",$E32+($F32-$E32)*$I$2/(1+EXP($I$3*(COUNT($I$9:Y$9)+$I$4))),TREND($E32:$F32,$E$9:$F$9,Y$9))</f>
        <v>0</v>
      </c>
      <c r="Z32">
        <f>IF($G32="s-curve",$E32+($F32-$E32)*$I$2/(1+EXP($I$3*(COUNT($I$9:Z$9)+$I$4))),TREND($E32:$F32,$E$9:$F$9,Z$9))</f>
        <v>0</v>
      </c>
      <c r="AA32">
        <f>IF($G32="s-curve",$E32+($F32-$E32)*$I$2/(1+EXP($I$3*(COUNT($I$9:AA$9)+$I$4))),TREND($E32:$F32,$E$9:$F$9,AA$9))</f>
        <v>0</v>
      </c>
      <c r="AB32">
        <f>IF($G32="s-curve",$E32+($F32-$E32)*$I$2/(1+EXP($I$3*(COUNT($I$9:AB$9)+$I$4))),TREND($E32:$F32,$E$9:$F$9,AB$9))</f>
        <v>0</v>
      </c>
      <c r="AC32">
        <f>IF($G32="s-curve",$E32+($F32-$E32)*$I$2/(1+EXP($I$3*(COUNT($I$9:AC$9)+$I$4))),TREND($E32:$F32,$E$9:$F$9,AC$9))</f>
        <v>0</v>
      </c>
      <c r="AD32">
        <f>IF($G32="s-curve",$E32+($F32-$E32)*$I$2/(1+EXP($I$3*(COUNT($I$9:AD$9)+$I$4))),TREND($E32:$F32,$E$9:$F$9,AD$9))</f>
        <v>0</v>
      </c>
      <c r="AE32">
        <f>IF($G32="s-curve",$E32+($F32-$E32)*$I$2/(1+EXP($I$3*(COUNT($I$9:AE$9)+$I$4))),TREND($E32:$F32,$E$9:$F$9,AE$9))</f>
        <v>0</v>
      </c>
      <c r="AF32">
        <f>IF($G32="s-curve",$E32+($F32-$E32)*$I$2/(1+EXP($I$3*(COUNT($I$9:AF$9)+$I$4))),TREND($E32:$F32,$E$9:$F$9,AF$9))</f>
        <v>0</v>
      </c>
      <c r="AG32">
        <f>IF($G32="s-curve",$E32+($F32-$E32)*$I$2/(1+EXP($I$3*(COUNT($I$9:AG$9)+$I$4))),TREND($E32:$F32,$E$9:$F$9,AG$9))</f>
        <v>0</v>
      </c>
      <c r="AH32">
        <f>IF($G32="s-curve",$E32+($F32-$E32)*$I$2/(1+EXP($I$3*(COUNT($I$9:AH$9)+$I$4))),TREND($E32:$F32,$E$9:$F$9,AH$9))</f>
        <v>0</v>
      </c>
      <c r="AI32">
        <f>IF($G32="s-curve",$E32+($F32-$E32)*$I$2/(1+EXP($I$3*(COUNT($I$9:AI$9)+$I$4))),TREND($E32:$F32,$E$9:$F$9,AI$9))</f>
        <v>0</v>
      </c>
    </row>
    <row r="33" spans="1:35" x14ac:dyDescent="0.25">
      <c r="C33" t="s">
        <v>292</v>
      </c>
      <c r="D33">
        <v>0</v>
      </c>
      <c r="E33">
        <v>0</v>
      </c>
      <c r="F33">
        <f>E33</f>
        <v>0</v>
      </c>
      <c r="G33" t="str">
        <f>IF(E33=F33,"n/a",IF(OR(C33="battery electric vehicle",C33="natural gas vehicle",C33="plugin hybrid vehicle"),"s-curve","linear"))</f>
        <v>n/a</v>
      </c>
      <c r="I33">
        <f t="shared" si="3"/>
        <v>0</v>
      </c>
      <c r="J33">
        <f t="shared" si="9"/>
        <v>0</v>
      </c>
      <c r="K33">
        <f>IF($G33="s-curve",$E33+($F33-$E33)*$I$2/(1+EXP($I$3*(COUNT($I$9:K$9)+$I$4))),TREND($E33:$F33,$E$9:$F$9,K$9))</f>
        <v>0</v>
      </c>
      <c r="L33">
        <f>IF($G33="s-curve",$E33+($F33-$E33)*$I$2/(1+EXP($I$3*(COUNT($I$9:L$9)+$I$4))),TREND($E33:$F33,$E$9:$F$9,L$9))</f>
        <v>0</v>
      </c>
      <c r="M33">
        <f>IF($G33="s-curve",$E33+($F33-$E33)*$I$2/(1+EXP($I$3*(COUNT($I$9:M$9)+$I$4))),TREND($E33:$F33,$E$9:$F$9,M$9))</f>
        <v>0</v>
      </c>
      <c r="N33">
        <f>IF($G33="s-curve",$E33+($F33-$E33)*$I$2/(1+EXP($I$3*(COUNT($I$9:N$9)+$I$4))),TREND($E33:$F33,$E$9:$F$9,N$9))</f>
        <v>0</v>
      </c>
      <c r="O33">
        <f>IF($G33="s-curve",$E33+($F33-$E33)*$I$2/(1+EXP($I$3*(COUNT($I$9:O$9)+$I$4))),TREND($E33:$F33,$E$9:$F$9,O$9))</f>
        <v>0</v>
      </c>
      <c r="P33">
        <f>IF($G33="s-curve",$E33+($F33-$E33)*$I$2/(1+EXP($I$3*(COUNT($I$9:P$9)+$I$4))),TREND($E33:$F33,$E$9:$F$9,P$9))</f>
        <v>0</v>
      </c>
      <c r="Q33">
        <f>IF($G33="s-curve",$E33+($F33-$E33)*$I$2/(1+EXP($I$3*(COUNT($I$9:Q$9)+$I$4))),TREND($E33:$F33,$E$9:$F$9,Q$9))</f>
        <v>0</v>
      </c>
      <c r="R33">
        <f>IF($G33="s-curve",$E33+($F33-$E33)*$I$2/(1+EXP($I$3*(COUNT($I$9:R$9)+$I$4))),TREND($E33:$F33,$E$9:$F$9,R$9))</f>
        <v>0</v>
      </c>
      <c r="S33">
        <f>IF($G33="s-curve",$E33+($F33-$E33)*$I$2/(1+EXP($I$3*(COUNT($I$9:S$9)+$I$4))),TREND($E33:$F33,$E$9:$F$9,S$9))</f>
        <v>0</v>
      </c>
      <c r="T33">
        <f>IF($G33="s-curve",$E33+($F33-$E33)*$I$2/(1+EXP($I$3*(COUNT($I$9:T$9)+$I$4))),TREND($E33:$F33,$E$9:$F$9,T$9))</f>
        <v>0</v>
      </c>
      <c r="U33">
        <f>IF($G33="s-curve",$E33+($F33-$E33)*$I$2/(1+EXP($I$3*(COUNT($I$9:U$9)+$I$4))),TREND($E33:$F33,$E$9:$F$9,U$9))</f>
        <v>0</v>
      </c>
      <c r="V33">
        <f>IF($G33="s-curve",$E33+($F33-$E33)*$I$2/(1+EXP($I$3*(COUNT($I$9:V$9)+$I$4))),TREND($E33:$F33,$E$9:$F$9,V$9))</f>
        <v>0</v>
      </c>
      <c r="W33">
        <f>IF($G33="s-curve",$E33+($F33-$E33)*$I$2/(1+EXP($I$3*(COUNT($I$9:W$9)+$I$4))),TREND($E33:$F33,$E$9:$F$9,W$9))</f>
        <v>0</v>
      </c>
      <c r="X33">
        <f>IF($G33="s-curve",$E33+($F33-$E33)*$I$2/(1+EXP($I$3*(COUNT($I$9:X$9)+$I$4))),TREND($E33:$F33,$E$9:$F$9,X$9))</f>
        <v>0</v>
      </c>
      <c r="Y33">
        <f>IF($G33="s-curve",$E33+($F33-$E33)*$I$2/(1+EXP($I$3*(COUNT($I$9:Y$9)+$I$4))),TREND($E33:$F33,$E$9:$F$9,Y$9))</f>
        <v>0</v>
      </c>
      <c r="Z33">
        <f>IF($G33="s-curve",$E33+($F33-$E33)*$I$2/(1+EXP($I$3*(COUNT($I$9:Z$9)+$I$4))),TREND($E33:$F33,$E$9:$F$9,Z$9))</f>
        <v>0</v>
      </c>
      <c r="AA33">
        <f>IF($G33="s-curve",$E33+($F33-$E33)*$I$2/(1+EXP($I$3*(COUNT($I$9:AA$9)+$I$4))),TREND($E33:$F33,$E$9:$F$9,AA$9))</f>
        <v>0</v>
      </c>
      <c r="AB33">
        <f>IF($G33="s-curve",$E33+($F33-$E33)*$I$2/(1+EXP($I$3*(COUNT($I$9:AB$9)+$I$4))),TREND($E33:$F33,$E$9:$F$9,AB$9))</f>
        <v>0</v>
      </c>
      <c r="AC33">
        <f>IF($G33="s-curve",$E33+($F33-$E33)*$I$2/(1+EXP($I$3*(COUNT($I$9:AC$9)+$I$4))),TREND($E33:$F33,$E$9:$F$9,AC$9))</f>
        <v>0</v>
      </c>
      <c r="AD33">
        <f>IF($G33="s-curve",$E33+($F33-$E33)*$I$2/(1+EXP($I$3*(COUNT($I$9:AD$9)+$I$4))),TREND($E33:$F33,$E$9:$F$9,AD$9))</f>
        <v>0</v>
      </c>
      <c r="AE33">
        <f>IF($G33="s-curve",$E33+($F33-$E33)*$I$2/(1+EXP($I$3*(COUNT($I$9:AE$9)+$I$4))),TREND($E33:$F33,$E$9:$F$9,AE$9))</f>
        <v>0</v>
      </c>
      <c r="AF33">
        <f>IF($G33="s-curve",$E33+($F33-$E33)*$I$2/(1+EXP($I$3*(COUNT($I$9:AF$9)+$I$4))),TREND($E33:$F33,$E$9:$F$9,AF$9))</f>
        <v>0</v>
      </c>
      <c r="AG33">
        <f>IF($G33="s-curve",$E33+($F33-$E33)*$I$2/(1+EXP($I$3*(COUNT($I$9:AG$9)+$I$4))),TREND($E33:$F33,$E$9:$F$9,AG$9))</f>
        <v>0</v>
      </c>
      <c r="AH33">
        <f>IF($G33="s-curve",$E33+($F33-$E33)*$I$2/(1+EXP($I$3*(COUNT($I$9:AH$9)+$I$4))),TREND($E33:$F33,$E$9:$F$9,AH$9))</f>
        <v>0</v>
      </c>
      <c r="AI33">
        <f>IF($G33="s-curve",$E33+($F33-$E33)*$I$2/(1+EXP($I$3*(COUNT($I$9:AI$9)+$I$4))),TREND($E33:$F33,$E$9:$F$9,AI$9))</f>
        <v>0</v>
      </c>
    </row>
    <row r="34" spans="1:35" x14ac:dyDescent="0.25">
      <c r="C34" t="s">
        <v>293</v>
      </c>
      <c r="D34">
        <v>1</v>
      </c>
      <c r="E34">
        <v>1</v>
      </c>
      <c r="F34">
        <v>1</v>
      </c>
      <c r="G34" t="str">
        <f>IF(E34=F34,"n/a",IF(OR(C34="battery electric vehicle",C34="natural gas vehicle",C34="plugin hybrid vehicle"),"s-curve","linear"))</f>
        <v>n/a</v>
      </c>
      <c r="I34">
        <f t="shared" si="3"/>
        <v>1</v>
      </c>
      <c r="J34">
        <f t="shared" si="9"/>
        <v>1</v>
      </c>
      <c r="K34">
        <f>IF($G34="s-curve",$E34+($F34-$E34)*$I$2/(1+EXP($I$3*(COUNT($I$9:K$9)+$I$4))),TREND($E34:$F34,$E$9:$F$9,K$9))</f>
        <v>1</v>
      </c>
      <c r="L34">
        <f>IF($G34="s-curve",$E34+($F34-$E34)*$I$2/(1+EXP($I$3*(COUNT($I$9:L$9)+$I$4))),TREND($E34:$F34,$E$9:$F$9,L$9))</f>
        <v>1</v>
      </c>
      <c r="M34">
        <f>IF($G34="s-curve",$E34+($F34-$E34)*$I$2/(1+EXP($I$3*(COUNT($I$9:M$9)+$I$4))),TREND($E34:$F34,$E$9:$F$9,M$9))</f>
        <v>1</v>
      </c>
      <c r="N34">
        <f>IF($G34="s-curve",$E34+($F34-$E34)*$I$2/(1+EXP($I$3*(COUNT($I$9:N$9)+$I$4))),TREND($E34:$F34,$E$9:$F$9,N$9))</f>
        <v>1</v>
      </c>
      <c r="O34">
        <f>IF($G34="s-curve",$E34+($F34-$E34)*$I$2/(1+EXP($I$3*(COUNT($I$9:O$9)+$I$4))),TREND($E34:$F34,$E$9:$F$9,O$9))</f>
        <v>1</v>
      </c>
      <c r="P34">
        <f>IF($G34="s-curve",$E34+($F34-$E34)*$I$2/(1+EXP($I$3*(COUNT($I$9:P$9)+$I$4))),TREND($E34:$F34,$E$9:$F$9,P$9))</f>
        <v>1</v>
      </c>
      <c r="Q34">
        <f>IF($G34="s-curve",$E34+($F34-$E34)*$I$2/(1+EXP($I$3*(COUNT($I$9:Q$9)+$I$4))),TREND($E34:$F34,$E$9:$F$9,Q$9))</f>
        <v>1</v>
      </c>
      <c r="R34">
        <f>IF($G34="s-curve",$E34+($F34-$E34)*$I$2/(1+EXP($I$3*(COUNT($I$9:R$9)+$I$4))),TREND($E34:$F34,$E$9:$F$9,R$9))</f>
        <v>1</v>
      </c>
      <c r="S34">
        <f>IF($G34="s-curve",$E34+($F34-$E34)*$I$2/(1+EXP($I$3*(COUNT($I$9:S$9)+$I$4))),TREND($E34:$F34,$E$9:$F$9,S$9))</f>
        <v>1</v>
      </c>
      <c r="T34">
        <f>IF($G34="s-curve",$E34+($F34-$E34)*$I$2/(1+EXP($I$3*(COUNT($I$9:T$9)+$I$4))),TREND($E34:$F34,$E$9:$F$9,T$9))</f>
        <v>1</v>
      </c>
      <c r="U34">
        <f>IF($G34="s-curve",$E34+($F34-$E34)*$I$2/(1+EXP($I$3*(COUNT($I$9:U$9)+$I$4))),TREND($E34:$F34,$E$9:$F$9,U$9))</f>
        <v>1</v>
      </c>
      <c r="V34">
        <f>IF($G34="s-curve",$E34+($F34-$E34)*$I$2/(1+EXP($I$3*(COUNT($I$9:V$9)+$I$4))),TREND($E34:$F34,$E$9:$F$9,V$9))</f>
        <v>1</v>
      </c>
      <c r="W34">
        <f>IF($G34="s-curve",$E34+($F34-$E34)*$I$2/(1+EXP($I$3*(COUNT($I$9:W$9)+$I$4))),TREND($E34:$F34,$E$9:$F$9,W$9))</f>
        <v>1</v>
      </c>
      <c r="X34">
        <f>IF($G34="s-curve",$E34+($F34-$E34)*$I$2/(1+EXP($I$3*(COUNT($I$9:X$9)+$I$4))),TREND($E34:$F34,$E$9:$F$9,X$9))</f>
        <v>1</v>
      </c>
      <c r="Y34">
        <f>IF($G34="s-curve",$E34+($F34-$E34)*$I$2/(1+EXP($I$3*(COUNT($I$9:Y$9)+$I$4))),TREND($E34:$F34,$E$9:$F$9,Y$9))</f>
        <v>1</v>
      </c>
      <c r="Z34">
        <f>IF($G34="s-curve",$E34+($F34-$E34)*$I$2/(1+EXP($I$3*(COUNT($I$9:Z$9)+$I$4))),TREND($E34:$F34,$E$9:$F$9,Z$9))</f>
        <v>1</v>
      </c>
      <c r="AA34">
        <f>IF($G34="s-curve",$E34+($F34-$E34)*$I$2/(1+EXP($I$3*(COUNT($I$9:AA$9)+$I$4))),TREND($E34:$F34,$E$9:$F$9,AA$9))</f>
        <v>1</v>
      </c>
      <c r="AB34">
        <f>IF($G34="s-curve",$E34+($F34-$E34)*$I$2/(1+EXP($I$3*(COUNT($I$9:AB$9)+$I$4))),TREND($E34:$F34,$E$9:$F$9,AB$9))</f>
        <v>1</v>
      </c>
      <c r="AC34">
        <f>IF($G34="s-curve",$E34+($F34-$E34)*$I$2/(1+EXP($I$3*(COUNT($I$9:AC$9)+$I$4))),TREND($E34:$F34,$E$9:$F$9,AC$9))</f>
        <v>1</v>
      </c>
      <c r="AD34">
        <f>IF($G34="s-curve",$E34+($F34-$E34)*$I$2/(1+EXP($I$3*(COUNT($I$9:AD$9)+$I$4))),TREND($E34:$F34,$E$9:$F$9,AD$9))</f>
        <v>1</v>
      </c>
      <c r="AE34">
        <f>IF($G34="s-curve",$E34+($F34-$E34)*$I$2/(1+EXP($I$3*(COUNT($I$9:AE$9)+$I$4))),TREND($E34:$F34,$E$9:$F$9,AE$9))</f>
        <v>1</v>
      </c>
      <c r="AF34">
        <f>IF($G34="s-curve",$E34+($F34-$E34)*$I$2/(1+EXP($I$3*(COUNT($I$9:AF$9)+$I$4))),TREND($E34:$F34,$E$9:$F$9,AF$9))</f>
        <v>1</v>
      </c>
      <c r="AG34">
        <f>IF($G34="s-curve",$E34+($F34-$E34)*$I$2/(1+EXP($I$3*(COUNT($I$9:AG$9)+$I$4))),TREND($E34:$F34,$E$9:$F$9,AG$9))</f>
        <v>1</v>
      </c>
      <c r="AH34">
        <f>IF($G34="s-curve",$E34+($F34-$E34)*$I$2/(1+EXP($I$3*(COUNT($I$9:AH$9)+$I$4))),TREND($E34:$F34,$E$9:$F$9,AH$9))</f>
        <v>1</v>
      </c>
      <c r="AI34">
        <f>IF($G34="s-curve",$E34+($F34-$E34)*$I$2/(1+EXP($I$3*(COUNT($I$9:AI$9)+$I$4))),TREND($E34:$F34,$E$9:$F$9,AI$9))</f>
        <v>1</v>
      </c>
    </row>
    <row r="35" spans="1:35" x14ac:dyDescent="0.25">
      <c r="C35" t="s">
        <v>180</v>
      </c>
      <c r="D35">
        <v>0</v>
      </c>
      <c r="E35">
        <v>0</v>
      </c>
      <c r="F35">
        <f>E35</f>
        <v>0</v>
      </c>
      <c r="G35" t="str">
        <f>IF(E35=F35,"n/a",IF(OR(C35="battery electric vehicle",C35="natural gas vehicle",C35="plugin hybrid vehicle"),"s-curve","linear"))</f>
        <v>n/a</v>
      </c>
      <c r="I35">
        <f t="shared" si="3"/>
        <v>0</v>
      </c>
      <c r="J35">
        <f t="shared" si="9"/>
        <v>0</v>
      </c>
      <c r="K35">
        <f>IF($G35="s-curve",$E35+($F35-$E35)*$I$2/(1+EXP($I$3*(COUNT($I$9:K$9)+$I$4))),TREND($E35:$F35,$E$9:$F$9,K$9))</f>
        <v>0</v>
      </c>
      <c r="L35">
        <f>IF($G35="s-curve",$E35+($F35-$E35)*$I$2/(1+EXP($I$3*(COUNT($I$9:L$9)+$I$4))),TREND($E35:$F35,$E$9:$F$9,L$9))</f>
        <v>0</v>
      </c>
      <c r="M35">
        <f>IF($G35="s-curve",$E35+($F35-$E35)*$I$2/(1+EXP($I$3*(COUNT($I$9:M$9)+$I$4))),TREND($E35:$F35,$E$9:$F$9,M$9))</f>
        <v>0</v>
      </c>
      <c r="N35">
        <f>IF($G35="s-curve",$E35+($F35-$E35)*$I$2/(1+EXP($I$3*(COUNT($I$9:N$9)+$I$4))),TREND($E35:$F35,$E$9:$F$9,N$9))</f>
        <v>0</v>
      </c>
      <c r="O35">
        <f>IF($G35="s-curve",$E35+($F35-$E35)*$I$2/(1+EXP($I$3*(COUNT($I$9:O$9)+$I$4))),TREND($E35:$F35,$E$9:$F$9,O$9))</f>
        <v>0</v>
      </c>
      <c r="P35">
        <f>IF($G35="s-curve",$E35+($F35-$E35)*$I$2/(1+EXP($I$3*(COUNT($I$9:P$9)+$I$4))),TREND($E35:$F35,$E$9:$F$9,P$9))</f>
        <v>0</v>
      </c>
      <c r="Q35">
        <f>IF($G35="s-curve",$E35+($F35-$E35)*$I$2/(1+EXP($I$3*(COUNT($I$9:Q$9)+$I$4))),TREND($E35:$F35,$E$9:$F$9,Q$9))</f>
        <v>0</v>
      </c>
      <c r="R35">
        <f>IF($G35="s-curve",$E35+($F35-$E35)*$I$2/(1+EXP($I$3*(COUNT($I$9:R$9)+$I$4))),TREND($E35:$F35,$E$9:$F$9,R$9))</f>
        <v>0</v>
      </c>
      <c r="S35">
        <f>IF($G35="s-curve",$E35+($F35-$E35)*$I$2/(1+EXP($I$3*(COUNT($I$9:S$9)+$I$4))),TREND($E35:$F35,$E$9:$F$9,S$9))</f>
        <v>0</v>
      </c>
      <c r="T35">
        <f>IF($G35="s-curve",$E35+($F35-$E35)*$I$2/(1+EXP($I$3*(COUNT($I$9:T$9)+$I$4))),TREND($E35:$F35,$E$9:$F$9,T$9))</f>
        <v>0</v>
      </c>
      <c r="U35">
        <f>IF($G35="s-curve",$E35+($F35-$E35)*$I$2/(1+EXP($I$3*(COUNT($I$9:U$9)+$I$4))),TREND($E35:$F35,$E$9:$F$9,U$9))</f>
        <v>0</v>
      </c>
      <c r="V35">
        <f>IF($G35="s-curve",$E35+($F35-$E35)*$I$2/(1+EXP($I$3*(COUNT($I$9:V$9)+$I$4))),TREND($E35:$F35,$E$9:$F$9,V$9))</f>
        <v>0</v>
      </c>
      <c r="W35">
        <f>IF($G35="s-curve",$E35+($F35-$E35)*$I$2/(1+EXP($I$3*(COUNT($I$9:W$9)+$I$4))),TREND($E35:$F35,$E$9:$F$9,W$9))</f>
        <v>0</v>
      </c>
      <c r="X35">
        <f>IF($G35="s-curve",$E35+($F35-$E35)*$I$2/(1+EXP($I$3*(COUNT($I$9:X$9)+$I$4))),TREND($E35:$F35,$E$9:$F$9,X$9))</f>
        <v>0</v>
      </c>
      <c r="Y35">
        <f>IF($G35="s-curve",$E35+($F35-$E35)*$I$2/(1+EXP($I$3*(COUNT($I$9:Y$9)+$I$4))),TREND($E35:$F35,$E$9:$F$9,Y$9))</f>
        <v>0</v>
      </c>
      <c r="Z35">
        <f>IF($G35="s-curve",$E35+($F35-$E35)*$I$2/(1+EXP($I$3*(COUNT($I$9:Z$9)+$I$4))),TREND($E35:$F35,$E$9:$F$9,Z$9))</f>
        <v>0</v>
      </c>
      <c r="AA35">
        <f>IF($G35="s-curve",$E35+($F35-$E35)*$I$2/(1+EXP($I$3*(COUNT($I$9:AA$9)+$I$4))),TREND($E35:$F35,$E$9:$F$9,AA$9))</f>
        <v>0</v>
      </c>
      <c r="AB35">
        <f>IF($G35="s-curve",$E35+($F35-$E35)*$I$2/(1+EXP($I$3*(COUNT($I$9:AB$9)+$I$4))),TREND($E35:$F35,$E$9:$F$9,AB$9))</f>
        <v>0</v>
      </c>
      <c r="AC35">
        <f>IF($G35="s-curve",$E35+($F35-$E35)*$I$2/(1+EXP($I$3*(COUNT($I$9:AC$9)+$I$4))),TREND($E35:$F35,$E$9:$F$9,AC$9))</f>
        <v>0</v>
      </c>
      <c r="AD35">
        <f>IF($G35="s-curve",$E35+($F35-$E35)*$I$2/(1+EXP($I$3*(COUNT($I$9:AD$9)+$I$4))),TREND($E35:$F35,$E$9:$F$9,AD$9))</f>
        <v>0</v>
      </c>
      <c r="AE35">
        <f>IF($G35="s-curve",$E35+($F35-$E35)*$I$2/(1+EXP($I$3*(COUNT($I$9:AE$9)+$I$4))),TREND($E35:$F35,$E$9:$F$9,AE$9))</f>
        <v>0</v>
      </c>
      <c r="AF35">
        <f>IF($G35="s-curve",$E35+($F35-$E35)*$I$2/(1+EXP($I$3*(COUNT($I$9:AF$9)+$I$4))),TREND($E35:$F35,$E$9:$F$9,AF$9))</f>
        <v>0</v>
      </c>
      <c r="AG35">
        <f>IF($G35="s-curve",$E35+($F35-$E35)*$I$2/(1+EXP($I$3*(COUNT($I$9:AG$9)+$I$4))),TREND($E35:$F35,$E$9:$F$9,AG$9))</f>
        <v>0</v>
      </c>
      <c r="AH35">
        <f>IF($G35="s-curve",$E35+($F35-$E35)*$I$2/(1+EXP($I$3*(COUNT($I$9:AH$9)+$I$4))),TREND($E35:$F35,$E$9:$F$9,AH$9))</f>
        <v>0</v>
      </c>
      <c r="AI35">
        <f>IF($G35="s-curve",$E35+($F35-$E35)*$I$2/(1+EXP($I$3*(COUNT($I$9:AI$9)+$I$4))),TREND($E35:$F35,$E$9:$F$9,AI$9))</f>
        <v>0</v>
      </c>
    </row>
    <row r="36" spans="1:35" x14ac:dyDescent="0.25">
      <c r="C36" t="s">
        <v>294</v>
      </c>
      <c r="D36">
        <v>0</v>
      </c>
      <c r="E36">
        <v>0</v>
      </c>
      <c r="F36">
        <f>E36</f>
        <v>0</v>
      </c>
      <c r="G36" t="str">
        <f>IF(E36=F36,"n/a",IF(OR(C36="battery electric vehicle",C36="natural gas vehicle",C36="plugin hybrid vehicle",C36="hydrogen vehicle"),"s-curve","linear"))</f>
        <v>n/a</v>
      </c>
      <c r="I36">
        <f t="shared" si="3"/>
        <v>0</v>
      </c>
      <c r="J36">
        <f t="shared" si="9"/>
        <v>0</v>
      </c>
      <c r="K36">
        <f>IF($G36="s-curve",$E36+($F36-$E36)*$I$2/(1+EXP($I$3*(COUNT($I$9:K$9)+$I$4))),TREND($E36:$F36,$E$9:$F$9,K$9))</f>
        <v>0</v>
      </c>
      <c r="L36">
        <f>IF($G36="s-curve",$E36+($F36-$E36)*$I$2/(1+EXP($I$3*(COUNT($I$9:L$9)+$I$4))),TREND($E36:$F36,$E$9:$F$9,L$9))</f>
        <v>0</v>
      </c>
      <c r="M36">
        <f>IF($G36="s-curve",$E36+($F36-$E36)*$I$2/(1+EXP($I$3*(COUNT($I$9:M$9)+$I$4))),TREND($E36:$F36,$E$9:$F$9,M$9))</f>
        <v>0</v>
      </c>
      <c r="N36">
        <f>IF($G36="s-curve",$E36+($F36-$E36)*$I$2/(1+EXP($I$3*(COUNT($I$9:N$9)+$I$4))),TREND($E36:$F36,$E$9:$F$9,N$9))</f>
        <v>0</v>
      </c>
      <c r="O36">
        <f>IF($G36="s-curve",$E36+($F36-$E36)*$I$2/(1+EXP($I$3*(COUNT($I$9:O$9)+$I$4))),TREND($E36:$F36,$E$9:$F$9,O$9))</f>
        <v>0</v>
      </c>
      <c r="P36">
        <f>IF($G36="s-curve",$E36+($F36-$E36)*$I$2/(1+EXP($I$3*(COUNT($I$9:P$9)+$I$4))),TREND($E36:$F36,$E$9:$F$9,P$9))</f>
        <v>0</v>
      </c>
      <c r="Q36">
        <f>IF($G36="s-curve",$E36+($F36-$E36)*$I$2/(1+EXP($I$3*(COUNT($I$9:Q$9)+$I$4))),TREND($E36:$F36,$E$9:$F$9,Q$9))</f>
        <v>0</v>
      </c>
      <c r="R36">
        <f>IF($G36="s-curve",$E36+($F36-$E36)*$I$2/(1+EXP($I$3*(COUNT($I$9:R$9)+$I$4))),TREND($E36:$F36,$E$9:$F$9,R$9))</f>
        <v>0</v>
      </c>
      <c r="S36">
        <f>IF($G36="s-curve",$E36+($F36-$E36)*$I$2/(1+EXP($I$3*(COUNT($I$9:S$9)+$I$4))),TREND($E36:$F36,$E$9:$F$9,S$9))</f>
        <v>0</v>
      </c>
      <c r="T36">
        <f>IF($G36="s-curve",$E36+($F36-$E36)*$I$2/(1+EXP($I$3*(COUNT($I$9:T$9)+$I$4))),TREND($E36:$F36,$E$9:$F$9,T$9))</f>
        <v>0</v>
      </c>
      <c r="U36">
        <f>IF($G36="s-curve",$E36+($F36-$E36)*$I$2/(1+EXP($I$3*(COUNT($I$9:U$9)+$I$4))),TREND($E36:$F36,$E$9:$F$9,U$9))</f>
        <v>0</v>
      </c>
      <c r="V36">
        <f>IF($G36="s-curve",$E36+($F36-$E36)*$I$2/(1+EXP($I$3*(COUNT($I$9:V$9)+$I$4))),TREND($E36:$F36,$E$9:$F$9,V$9))</f>
        <v>0</v>
      </c>
      <c r="W36">
        <f>IF($G36="s-curve",$E36+($F36-$E36)*$I$2/(1+EXP($I$3*(COUNT($I$9:W$9)+$I$4))),TREND($E36:$F36,$E$9:$F$9,W$9))</f>
        <v>0</v>
      </c>
      <c r="X36">
        <f>IF($G36="s-curve",$E36+($F36-$E36)*$I$2/(1+EXP($I$3*(COUNT($I$9:X$9)+$I$4))),TREND($E36:$F36,$E$9:$F$9,X$9))</f>
        <v>0</v>
      </c>
      <c r="Y36">
        <f>IF($G36="s-curve",$E36+($F36-$E36)*$I$2/(1+EXP($I$3*(COUNT($I$9:Y$9)+$I$4))),TREND($E36:$F36,$E$9:$F$9,Y$9))</f>
        <v>0</v>
      </c>
      <c r="Z36">
        <f>IF($G36="s-curve",$E36+($F36-$E36)*$I$2/(1+EXP($I$3*(COUNT($I$9:Z$9)+$I$4))),TREND($E36:$F36,$E$9:$F$9,Z$9))</f>
        <v>0</v>
      </c>
      <c r="AA36">
        <f>IF($G36="s-curve",$E36+($F36-$E36)*$I$2/(1+EXP($I$3*(COUNT($I$9:AA$9)+$I$4))),TREND($E36:$F36,$E$9:$F$9,AA$9))</f>
        <v>0</v>
      </c>
      <c r="AB36">
        <f>IF($G36="s-curve",$E36+($F36-$E36)*$I$2/(1+EXP($I$3*(COUNT($I$9:AB$9)+$I$4))),TREND($E36:$F36,$E$9:$F$9,AB$9))</f>
        <v>0</v>
      </c>
      <c r="AC36">
        <f>IF($G36="s-curve",$E36+($F36-$E36)*$I$2/(1+EXP($I$3*(COUNT($I$9:AC$9)+$I$4))),TREND($E36:$F36,$E$9:$F$9,AC$9))</f>
        <v>0</v>
      </c>
      <c r="AD36">
        <f>IF($G36="s-curve",$E36+($F36-$E36)*$I$2/(1+EXP($I$3*(COUNT($I$9:AD$9)+$I$4))),TREND($E36:$F36,$E$9:$F$9,AD$9))</f>
        <v>0</v>
      </c>
      <c r="AE36">
        <f>IF($G36="s-curve",$E36+($F36-$E36)*$I$2/(1+EXP($I$3*(COUNT($I$9:AE$9)+$I$4))),TREND($E36:$F36,$E$9:$F$9,AE$9))</f>
        <v>0</v>
      </c>
      <c r="AF36">
        <f>IF($G36="s-curve",$E36+($F36-$E36)*$I$2/(1+EXP($I$3*(COUNT($I$9:AF$9)+$I$4))),TREND($E36:$F36,$E$9:$F$9,AF$9))</f>
        <v>0</v>
      </c>
      <c r="AG36">
        <f>IF($G36="s-curve",$E36+($F36-$E36)*$I$2/(1+EXP($I$3*(COUNT($I$9:AG$9)+$I$4))),TREND($E36:$F36,$E$9:$F$9,AG$9))</f>
        <v>0</v>
      </c>
      <c r="AH36">
        <f>IF($G36="s-curve",$E36+($F36-$E36)*$I$2/(1+EXP($I$3*(COUNT($I$9:AH$9)+$I$4))),TREND($E36:$F36,$E$9:$F$9,AH$9))</f>
        <v>0</v>
      </c>
      <c r="AI36">
        <f>IF($G36="s-curve",$E36+($F36-$E36)*$I$2/(1+EXP($I$3*(COUNT($I$9:AI$9)+$I$4))),TREND($E36:$F36,$E$9:$F$9,AI$9))</f>
        <v>0</v>
      </c>
    </row>
    <row r="37" spans="1:35" x14ac:dyDescent="0.25">
      <c r="C37" t="s">
        <v>182</v>
      </c>
      <c r="D37">
        <v>6.2247642917999998E-4</v>
      </c>
      <c r="E37">
        <v>3.70282921188E-3</v>
      </c>
      <c r="F37">
        <f>E37</f>
        <v>3.70282921188E-3</v>
      </c>
      <c r="G37" t="str">
        <f>IF(E37=F37,"n/a",IF(OR(C37="battery electric vehicle",C37="natural gas vehicle",C37="plugin hybrid vehicle",C37="hydrogen vehicle"),"s-curve","linear"))</f>
        <v>n/a</v>
      </c>
      <c r="I37">
        <f t="shared" si="3"/>
        <v>6.2247642917999998E-4</v>
      </c>
      <c r="J37">
        <f t="shared" si="9"/>
        <v>3.70282921188E-3</v>
      </c>
      <c r="K37">
        <f>IF($G37="s-curve",$E37+($F37-$E37)*$I$2/(1+EXP($I$3*(COUNT($I$9:K$9)+$I$4))),TREND($E37:$F37,$E$9:$F$9,K$9))</f>
        <v>3.70282921188E-3</v>
      </c>
      <c r="L37">
        <f>IF($G37="s-curve",$E37+($F37-$E37)*$I$2/(1+EXP($I$3*(COUNT($I$9:L$9)+$I$4))),TREND($E37:$F37,$E$9:$F$9,L$9))</f>
        <v>3.70282921188E-3</v>
      </c>
      <c r="M37">
        <f>IF($G37="s-curve",$E37+($F37-$E37)*$I$2/(1+EXP($I$3*(COUNT($I$9:M$9)+$I$4))),TREND($E37:$F37,$E$9:$F$9,M$9))</f>
        <v>3.70282921188E-3</v>
      </c>
      <c r="N37">
        <f>IF($G37="s-curve",$E37+($F37-$E37)*$I$2/(1+EXP($I$3*(COUNT($I$9:N$9)+$I$4))),TREND($E37:$F37,$E$9:$F$9,N$9))</f>
        <v>3.70282921188E-3</v>
      </c>
      <c r="O37">
        <f>IF($G37="s-curve",$E37+($F37-$E37)*$I$2/(1+EXP($I$3*(COUNT($I$9:O$9)+$I$4))),TREND($E37:$F37,$E$9:$F$9,O$9))</f>
        <v>3.70282921188E-3</v>
      </c>
      <c r="P37">
        <f>IF($G37="s-curve",$E37+($F37-$E37)*$I$2/(1+EXP($I$3*(COUNT($I$9:P$9)+$I$4))),TREND($E37:$F37,$E$9:$F$9,P$9))</f>
        <v>3.70282921188E-3</v>
      </c>
      <c r="Q37">
        <f>IF($G37="s-curve",$E37+($F37-$E37)*$I$2/(1+EXP($I$3*(COUNT($I$9:Q$9)+$I$4))),TREND($E37:$F37,$E$9:$F$9,Q$9))</f>
        <v>3.70282921188E-3</v>
      </c>
      <c r="R37">
        <f>IF($G37="s-curve",$E37+($F37-$E37)*$I$2/(1+EXP($I$3*(COUNT($I$9:R$9)+$I$4))),TREND($E37:$F37,$E$9:$F$9,R$9))</f>
        <v>3.70282921188E-3</v>
      </c>
      <c r="S37">
        <f>IF($G37="s-curve",$E37+($F37-$E37)*$I$2/(1+EXP($I$3*(COUNT($I$9:S$9)+$I$4))),TREND($E37:$F37,$E$9:$F$9,S$9))</f>
        <v>3.70282921188E-3</v>
      </c>
      <c r="T37">
        <f>IF($G37="s-curve",$E37+($F37-$E37)*$I$2/(1+EXP($I$3*(COUNT($I$9:T$9)+$I$4))),TREND($E37:$F37,$E$9:$F$9,T$9))</f>
        <v>3.70282921188E-3</v>
      </c>
      <c r="U37">
        <f>IF($G37="s-curve",$E37+($F37-$E37)*$I$2/(1+EXP($I$3*(COUNT($I$9:U$9)+$I$4))),TREND($E37:$F37,$E$9:$F$9,U$9))</f>
        <v>3.70282921188E-3</v>
      </c>
      <c r="V37">
        <f>IF($G37="s-curve",$E37+($F37-$E37)*$I$2/(1+EXP($I$3*(COUNT($I$9:V$9)+$I$4))),TREND($E37:$F37,$E$9:$F$9,V$9))</f>
        <v>3.70282921188E-3</v>
      </c>
      <c r="W37">
        <f>IF($G37="s-curve",$E37+($F37-$E37)*$I$2/(1+EXP($I$3*(COUNT($I$9:W$9)+$I$4))),TREND($E37:$F37,$E$9:$F$9,W$9))</f>
        <v>3.70282921188E-3</v>
      </c>
      <c r="X37">
        <f>IF($G37="s-curve",$E37+($F37-$E37)*$I$2/(1+EXP($I$3*(COUNT($I$9:X$9)+$I$4))),TREND($E37:$F37,$E$9:$F$9,X$9))</f>
        <v>3.70282921188E-3</v>
      </c>
      <c r="Y37">
        <f>IF($G37="s-curve",$E37+($F37-$E37)*$I$2/(1+EXP($I$3*(COUNT($I$9:Y$9)+$I$4))),TREND($E37:$F37,$E$9:$F$9,Y$9))</f>
        <v>3.70282921188E-3</v>
      </c>
      <c r="Z37">
        <f>IF($G37="s-curve",$E37+($F37-$E37)*$I$2/(1+EXP($I$3*(COUNT($I$9:Z$9)+$I$4))),TREND($E37:$F37,$E$9:$F$9,Z$9))</f>
        <v>3.70282921188E-3</v>
      </c>
      <c r="AA37">
        <f>IF($G37="s-curve",$E37+($F37-$E37)*$I$2/(1+EXP($I$3*(COUNT($I$9:AA$9)+$I$4))),TREND($E37:$F37,$E$9:$F$9,AA$9))</f>
        <v>3.70282921188E-3</v>
      </c>
      <c r="AB37">
        <f>IF($G37="s-curve",$E37+($F37-$E37)*$I$2/(1+EXP($I$3*(COUNT($I$9:AB$9)+$I$4))),TREND($E37:$F37,$E$9:$F$9,AB$9))</f>
        <v>3.70282921188E-3</v>
      </c>
      <c r="AC37">
        <f>IF($G37="s-curve",$E37+($F37-$E37)*$I$2/(1+EXP($I$3*(COUNT($I$9:AC$9)+$I$4))),TREND($E37:$F37,$E$9:$F$9,AC$9))</f>
        <v>3.70282921188E-3</v>
      </c>
      <c r="AD37">
        <f>IF($G37="s-curve",$E37+($F37-$E37)*$I$2/(1+EXP($I$3*(COUNT($I$9:AD$9)+$I$4))),TREND($E37:$F37,$E$9:$F$9,AD$9))</f>
        <v>3.70282921188E-3</v>
      </c>
      <c r="AE37">
        <f>IF($G37="s-curve",$E37+($F37-$E37)*$I$2/(1+EXP($I$3*(COUNT($I$9:AE$9)+$I$4))),TREND($E37:$F37,$E$9:$F$9,AE$9))</f>
        <v>3.70282921188E-3</v>
      </c>
      <c r="AF37">
        <f>IF($G37="s-curve",$E37+($F37-$E37)*$I$2/(1+EXP($I$3*(COUNT($I$9:AF$9)+$I$4))),TREND($E37:$F37,$E$9:$F$9,AF$9))</f>
        <v>3.70282921188E-3</v>
      </c>
      <c r="AG37">
        <f>IF($G37="s-curve",$E37+($F37-$E37)*$I$2/(1+EXP($I$3*(COUNT($I$9:AG$9)+$I$4))),TREND($E37:$F37,$E$9:$F$9,AG$9))</f>
        <v>3.70282921188E-3</v>
      </c>
      <c r="AH37">
        <f>IF($G37="s-curve",$E37+($F37-$E37)*$I$2/(1+EXP($I$3*(COUNT($I$9:AH$9)+$I$4))),TREND($E37:$F37,$E$9:$F$9,AH$9))</f>
        <v>3.70282921188E-3</v>
      </c>
      <c r="AI37">
        <f>IF($G37="s-curve",$E37+($F37-$E37)*$I$2/(1+EXP($I$3*(COUNT($I$9:AI$9)+$I$4))),TREND($E37:$F37,$E$9:$F$9,AI$9))</f>
        <v>3.70282921188E-3</v>
      </c>
    </row>
    <row r="38" spans="1:35" x14ac:dyDescent="0.25">
      <c r="A38" t="s">
        <v>297</v>
      </c>
      <c r="B38" t="s">
        <v>325</v>
      </c>
      <c r="C38" t="s">
        <v>177</v>
      </c>
      <c r="E38">
        <v>0</v>
      </c>
      <c r="F38">
        <v>0</v>
      </c>
      <c r="G38" t="str">
        <f>IF(E38=F38,"n/a",IF(OR(C38="battery electric vehicle",C38="natural gas vehicle",C38="plugin hybrid vehicle"),"s-curve","linear"))</f>
        <v>n/a</v>
      </c>
      <c r="I38">
        <f t="shared" ref="I38:I69" si="10">E38</f>
        <v>0</v>
      </c>
      <c r="J38">
        <f>IF($G38="s-curve",$E38+($F38-$E38)*$I$2/(1+EXP($I$3*(COUNT($I$9:J$9)+$I$4))),TREND($E38:$F38,$E$9:$F$9,J$9))</f>
        <v>0</v>
      </c>
      <c r="K38">
        <f>IF($G38="s-curve",$E38+($F38-$E38)*$I$2/(1+EXP($I$3*(COUNT($I$9:K$9)+$I$4))),TREND($E38:$F38,$E$9:$F$9,K$9))</f>
        <v>0</v>
      </c>
      <c r="L38">
        <f>IF($G38="s-curve",$E38+($F38-$E38)*$I$2/(1+EXP($I$3*(COUNT($I$9:L$9)+$I$4))),TREND($E38:$F38,$E$9:$F$9,L$9))</f>
        <v>0</v>
      </c>
      <c r="M38">
        <f>IF($G38="s-curve",$E38+($F38-$E38)*$I$2/(1+EXP($I$3*(COUNT($I$9:M$9)+$I$4))),TREND($E38:$F38,$E$9:$F$9,M$9))</f>
        <v>0</v>
      </c>
      <c r="N38">
        <f>IF($G38="s-curve",$E38+($F38-$E38)*$I$2/(1+EXP($I$3*(COUNT($I$9:N$9)+$I$4))),TREND($E38:$F38,$E$9:$F$9,N$9))</f>
        <v>0</v>
      </c>
      <c r="O38">
        <f>IF($G38="s-curve",$E38+($F38-$E38)*$I$2/(1+EXP($I$3*(COUNT($I$9:O$9)+$I$4))),TREND($E38:$F38,$E$9:$F$9,O$9))</f>
        <v>0</v>
      </c>
      <c r="P38">
        <f>IF($G38="s-curve",$E38+($F38-$E38)*$I$2/(1+EXP($I$3*(COUNT($I$9:P$9)+$I$4))),TREND($E38:$F38,$E$9:$F$9,P$9))</f>
        <v>0</v>
      </c>
      <c r="Q38">
        <f>IF($G38="s-curve",$E38+($F38-$E38)*$I$2/(1+EXP($I$3*(COUNT($I$9:Q$9)+$I$4))),TREND($E38:$F38,$E$9:$F$9,Q$9))</f>
        <v>0</v>
      </c>
      <c r="R38">
        <f>IF($G38="s-curve",$E38+($F38-$E38)*$I$2/(1+EXP($I$3*(COUNT($I$9:R$9)+$I$4))),TREND($E38:$F38,$E$9:$F$9,R$9))</f>
        <v>0</v>
      </c>
      <c r="S38">
        <f>IF($G38="s-curve",$E38+($F38-$E38)*$I$2/(1+EXP($I$3*(COUNT($I$9:S$9)+$I$4))),TREND($E38:$F38,$E$9:$F$9,S$9))</f>
        <v>0</v>
      </c>
      <c r="T38">
        <f>IF($G38="s-curve",$E38+($F38-$E38)*$I$2/(1+EXP($I$3*(COUNT($I$9:T$9)+$I$4))),TREND($E38:$F38,$E$9:$F$9,T$9))</f>
        <v>0</v>
      </c>
      <c r="U38">
        <f>IF($G38="s-curve",$E38+($F38-$E38)*$I$2/(1+EXP($I$3*(COUNT($I$9:U$9)+$I$4))),TREND($E38:$F38,$E$9:$F$9,U$9))</f>
        <v>0</v>
      </c>
      <c r="V38">
        <f>IF($G38="s-curve",$E38+($F38-$E38)*$I$2/(1+EXP($I$3*(COUNT($I$9:V$9)+$I$4))),TREND($E38:$F38,$E$9:$F$9,V$9))</f>
        <v>0</v>
      </c>
      <c r="W38">
        <f>IF($G38="s-curve",$E38+($F38-$E38)*$I$2/(1+EXP($I$3*(COUNT($I$9:W$9)+$I$4))),TREND($E38:$F38,$E$9:$F$9,W$9))</f>
        <v>0</v>
      </c>
      <c r="X38">
        <f>IF($G38="s-curve",$E38+($F38-$E38)*$I$2/(1+EXP($I$3*(COUNT($I$9:X$9)+$I$4))),TREND($E38:$F38,$E$9:$F$9,X$9))</f>
        <v>0</v>
      </c>
      <c r="Y38">
        <f>IF($G38="s-curve",$E38+($F38-$E38)*$I$2/(1+EXP($I$3*(COUNT($I$9:Y$9)+$I$4))),TREND($E38:$F38,$E$9:$F$9,Y$9))</f>
        <v>0</v>
      </c>
      <c r="Z38">
        <f>IF($G38="s-curve",$E38+($F38-$E38)*$I$2/(1+EXP($I$3*(COUNT($I$9:Z$9)+$I$4))),TREND($E38:$F38,$E$9:$F$9,Z$9))</f>
        <v>0</v>
      </c>
      <c r="AA38">
        <f>IF($G38="s-curve",$E38+($F38-$E38)*$I$2/(1+EXP($I$3*(COUNT($I$9:AA$9)+$I$4))),TREND($E38:$F38,$E$9:$F$9,AA$9))</f>
        <v>0</v>
      </c>
      <c r="AB38">
        <f>IF($G38="s-curve",$E38+($F38-$E38)*$I$2/(1+EXP($I$3*(COUNT($I$9:AB$9)+$I$4))),TREND($E38:$F38,$E$9:$F$9,AB$9))</f>
        <v>0</v>
      </c>
      <c r="AC38">
        <f>IF($G38="s-curve",$E38+($F38-$E38)*$I$2/(1+EXP($I$3*(COUNT($I$9:AC$9)+$I$4))),TREND($E38:$F38,$E$9:$F$9,AC$9))</f>
        <v>0</v>
      </c>
      <c r="AD38">
        <f>IF($G38="s-curve",$E38+($F38-$E38)*$I$2/(1+EXP($I$3*(COUNT($I$9:AD$9)+$I$4))),TREND($E38:$F38,$E$9:$F$9,AD$9))</f>
        <v>0</v>
      </c>
      <c r="AE38">
        <f>IF($G38="s-curve",$E38+($F38-$E38)*$I$2/(1+EXP($I$3*(COUNT($I$9:AE$9)+$I$4))),TREND($E38:$F38,$E$9:$F$9,AE$9))</f>
        <v>0</v>
      </c>
      <c r="AF38">
        <f>IF($G38="s-curve",$E38+($F38-$E38)*$I$2/(1+EXP($I$3*(COUNT($I$9:AF$9)+$I$4))),TREND($E38:$F38,$E$9:$F$9,AF$9))</f>
        <v>0</v>
      </c>
      <c r="AG38">
        <f>IF($G38="s-curve",$E38+($F38-$E38)*$I$2/(1+EXP($I$3*(COUNT($I$9:AG$9)+$I$4))),TREND($E38:$F38,$E$9:$F$9,AG$9))</f>
        <v>0</v>
      </c>
      <c r="AH38">
        <f>IF($G38="s-curve",$E38+($F38-$E38)*$I$2/(1+EXP($I$3*(COUNT($I$9:AH$9)+$I$4))),TREND($E38:$F38,$E$9:$F$9,AH$9))</f>
        <v>0</v>
      </c>
      <c r="AI38">
        <f>IF($G38="s-curve",$E38+($F38-$E38)*$I$2/(1+EXP($I$3*(COUNT($I$9:AI$9)+$I$4))),TREND($E38:$F38,$E$9:$F$9,AI$9))</f>
        <v>0</v>
      </c>
    </row>
    <row r="39" spans="1:35" x14ac:dyDescent="0.25">
      <c r="C39" t="s">
        <v>291</v>
      </c>
      <c r="E39">
        <v>0</v>
      </c>
      <c r="F39">
        <v>0</v>
      </c>
      <c r="G39" t="str">
        <f>IF(E39=F39,"n/a",IF(OR(C39="battery electric vehicle",C39="natural gas vehicle",C39="plugin hybrid vehicle"),"s-curve","linear"))</f>
        <v>n/a</v>
      </c>
      <c r="I39">
        <f t="shared" si="10"/>
        <v>0</v>
      </c>
      <c r="J39">
        <f>IF($G39="s-curve",$E39+($F39-$E39)*$I$2/(1+EXP($I$3*(COUNT($I$9:J$9)+$I$4))),TREND($E39:$F39,$E$9:$F$9,J$9))</f>
        <v>0</v>
      </c>
      <c r="K39">
        <f>IF($G39="s-curve",$E39+($F39-$E39)*$I$2/(1+EXP($I$3*(COUNT($I$9:K$9)+$I$4))),TREND($E39:$F39,$E$9:$F$9,K$9))</f>
        <v>0</v>
      </c>
      <c r="L39">
        <f>IF($G39="s-curve",$E39+($F39-$E39)*$I$2/(1+EXP($I$3*(COUNT($I$9:L$9)+$I$4))),TREND($E39:$F39,$E$9:$F$9,L$9))</f>
        <v>0</v>
      </c>
      <c r="M39">
        <f>IF($G39="s-curve",$E39+($F39-$E39)*$I$2/(1+EXP($I$3*(COUNT($I$9:M$9)+$I$4))),TREND($E39:$F39,$E$9:$F$9,M$9))</f>
        <v>0</v>
      </c>
      <c r="N39">
        <f>IF($G39="s-curve",$E39+($F39-$E39)*$I$2/(1+EXP($I$3*(COUNT($I$9:N$9)+$I$4))),TREND($E39:$F39,$E$9:$F$9,N$9))</f>
        <v>0</v>
      </c>
      <c r="O39">
        <f>IF($G39="s-curve",$E39+($F39-$E39)*$I$2/(1+EXP($I$3*(COUNT($I$9:O$9)+$I$4))),TREND($E39:$F39,$E$9:$F$9,O$9))</f>
        <v>0</v>
      </c>
      <c r="P39">
        <f>IF($G39="s-curve",$E39+($F39-$E39)*$I$2/(1+EXP($I$3*(COUNT($I$9:P$9)+$I$4))),TREND($E39:$F39,$E$9:$F$9,P$9))</f>
        <v>0</v>
      </c>
      <c r="Q39">
        <f>IF($G39="s-curve",$E39+($F39-$E39)*$I$2/(1+EXP($I$3*(COUNT($I$9:Q$9)+$I$4))),TREND($E39:$F39,$E$9:$F$9,Q$9))</f>
        <v>0</v>
      </c>
      <c r="R39">
        <f>IF($G39="s-curve",$E39+($F39-$E39)*$I$2/(1+EXP($I$3*(COUNT($I$9:R$9)+$I$4))),TREND($E39:$F39,$E$9:$F$9,R$9))</f>
        <v>0</v>
      </c>
      <c r="S39">
        <f>IF($G39="s-curve",$E39+($F39-$E39)*$I$2/(1+EXP($I$3*(COUNT($I$9:S$9)+$I$4))),TREND($E39:$F39,$E$9:$F$9,S$9))</f>
        <v>0</v>
      </c>
      <c r="T39">
        <f>IF($G39="s-curve",$E39+($F39-$E39)*$I$2/(1+EXP($I$3*(COUNT($I$9:T$9)+$I$4))),TREND($E39:$F39,$E$9:$F$9,T$9))</f>
        <v>0</v>
      </c>
      <c r="U39">
        <f>IF($G39="s-curve",$E39+($F39-$E39)*$I$2/(1+EXP($I$3*(COUNT($I$9:U$9)+$I$4))),TREND($E39:$F39,$E$9:$F$9,U$9))</f>
        <v>0</v>
      </c>
      <c r="V39">
        <f>IF($G39="s-curve",$E39+($F39-$E39)*$I$2/(1+EXP($I$3*(COUNT($I$9:V$9)+$I$4))),TREND($E39:$F39,$E$9:$F$9,V$9))</f>
        <v>0</v>
      </c>
      <c r="W39">
        <f>IF($G39="s-curve",$E39+($F39-$E39)*$I$2/(1+EXP($I$3*(COUNT($I$9:W$9)+$I$4))),TREND($E39:$F39,$E$9:$F$9,W$9))</f>
        <v>0</v>
      </c>
      <c r="X39">
        <f>IF($G39="s-curve",$E39+($F39-$E39)*$I$2/(1+EXP($I$3*(COUNT($I$9:X$9)+$I$4))),TREND($E39:$F39,$E$9:$F$9,X$9))</f>
        <v>0</v>
      </c>
      <c r="Y39">
        <f>IF($G39="s-curve",$E39+($F39-$E39)*$I$2/(1+EXP($I$3*(COUNT($I$9:Y$9)+$I$4))),TREND($E39:$F39,$E$9:$F$9,Y$9))</f>
        <v>0</v>
      </c>
      <c r="Z39">
        <f>IF($G39="s-curve",$E39+($F39-$E39)*$I$2/(1+EXP($I$3*(COUNT($I$9:Z$9)+$I$4))),TREND($E39:$F39,$E$9:$F$9,Z$9))</f>
        <v>0</v>
      </c>
      <c r="AA39">
        <f>IF($G39="s-curve",$E39+($F39-$E39)*$I$2/(1+EXP($I$3*(COUNT($I$9:AA$9)+$I$4))),TREND($E39:$F39,$E$9:$F$9,AA$9))</f>
        <v>0</v>
      </c>
      <c r="AB39">
        <f>IF($G39="s-curve",$E39+($F39-$E39)*$I$2/(1+EXP($I$3*(COUNT($I$9:AB$9)+$I$4))),TREND($E39:$F39,$E$9:$F$9,AB$9))</f>
        <v>0</v>
      </c>
      <c r="AC39">
        <f>IF($G39="s-curve",$E39+($F39-$E39)*$I$2/(1+EXP($I$3*(COUNT($I$9:AC$9)+$I$4))),TREND($E39:$F39,$E$9:$F$9,AC$9))</f>
        <v>0</v>
      </c>
      <c r="AD39">
        <f>IF($G39="s-curve",$E39+($F39-$E39)*$I$2/(1+EXP($I$3*(COUNT($I$9:AD$9)+$I$4))),TREND($E39:$F39,$E$9:$F$9,AD$9))</f>
        <v>0</v>
      </c>
      <c r="AE39">
        <f>IF($G39="s-curve",$E39+($F39-$E39)*$I$2/(1+EXP($I$3*(COUNT($I$9:AE$9)+$I$4))),TREND($E39:$F39,$E$9:$F$9,AE$9))</f>
        <v>0</v>
      </c>
      <c r="AF39">
        <f>IF($G39="s-curve",$E39+($F39-$E39)*$I$2/(1+EXP($I$3*(COUNT($I$9:AF$9)+$I$4))),TREND($E39:$F39,$E$9:$F$9,AF$9))</f>
        <v>0</v>
      </c>
      <c r="AG39">
        <f>IF($G39="s-curve",$E39+($F39-$E39)*$I$2/(1+EXP($I$3*(COUNT($I$9:AG$9)+$I$4))),TREND($E39:$F39,$E$9:$F$9,AG$9))</f>
        <v>0</v>
      </c>
      <c r="AH39">
        <f>IF($G39="s-curve",$E39+($F39-$E39)*$I$2/(1+EXP($I$3*(COUNT($I$9:AH$9)+$I$4))),TREND($E39:$F39,$E$9:$F$9,AH$9))</f>
        <v>0</v>
      </c>
      <c r="AI39">
        <f>IF($G39="s-curve",$E39+($F39-$E39)*$I$2/(1+EXP($I$3*(COUNT($I$9:AI$9)+$I$4))),TREND($E39:$F39,$E$9:$F$9,AI$9))</f>
        <v>0</v>
      </c>
    </row>
    <row r="40" spans="1:35" x14ac:dyDescent="0.25">
      <c r="C40" t="s">
        <v>292</v>
      </c>
      <c r="E40">
        <v>0</v>
      </c>
      <c r="F40">
        <v>0</v>
      </c>
      <c r="G40" t="str">
        <f>IF(E40=F40,"n/a",IF(OR(C40="battery electric vehicle",C40="natural gas vehicle",C40="plugin hybrid vehicle"),"s-curve","linear"))</f>
        <v>n/a</v>
      </c>
      <c r="I40">
        <f t="shared" si="10"/>
        <v>0</v>
      </c>
      <c r="J40">
        <f>IF($G40="s-curve",$E40+($F40-$E40)*$I$2/(1+EXP($I$3*(COUNT($I$9:J$9)+$I$4))),TREND($E40:$F40,$E$9:$F$9,J$9))</f>
        <v>0</v>
      </c>
      <c r="K40">
        <f>IF($G40="s-curve",$E40+($F40-$E40)*$I$2/(1+EXP($I$3*(COUNT($I$9:K$9)+$I$4))),TREND($E40:$F40,$E$9:$F$9,K$9))</f>
        <v>0</v>
      </c>
      <c r="L40">
        <f>IF($G40="s-curve",$E40+($F40-$E40)*$I$2/(1+EXP($I$3*(COUNT($I$9:L$9)+$I$4))),TREND($E40:$F40,$E$9:$F$9,L$9))</f>
        <v>0</v>
      </c>
      <c r="M40">
        <f>IF($G40="s-curve",$E40+($F40-$E40)*$I$2/(1+EXP($I$3*(COUNT($I$9:M$9)+$I$4))),TREND($E40:$F40,$E$9:$F$9,M$9))</f>
        <v>0</v>
      </c>
      <c r="N40">
        <f>IF($G40="s-curve",$E40+($F40-$E40)*$I$2/(1+EXP($I$3*(COUNT($I$9:N$9)+$I$4))),TREND($E40:$F40,$E$9:$F$9,N$9))</f>
        <v>0</v>
      </c>
      <c r="O40">
        <f>IF($G40="s-curve",$E40+($F40-$E40)*$I$2/(1+EXP($I$3*(COUNT($I$9:O$9)+$I$4))),TREND($E40:$F40,$E$9:$F$9,O$9))</f>
        <v>0</v>
      </c>
      <c r="P40">
        <f>IF($G40="s-curve",$E40+($F40-$E40)*$I$2/(1+EXP($I$3*(COUNT($I$9:P$9)+$I$4))),TREND($E40:$F40,$E$9:$F$9,P$9))</f>
        <v>0</v>
      </c>
      <c r="Q40">
        <f>IF($G40="s-curve",$E40+($F40-$E40)*$I$2/(1+EXP($I$3*(COUNT($I$9:Q$9)+$I$4))),TREND($E40:$F40,$E$9:$F$9,Q$9))</f>
        <v>0</v>
      </c>
      <c r="R40">
        <f>IF($G40="s-curve",$E40+($F40-$E40)*$I$2/(1+EXP($I$3*(COUNT($I$9:R$9)+$I$4))),TREND($E40:$F40,$E$9:$F$9,R$9))</f>
        <v>0</v>
      </c>
      <c r="S40">
        <f>IF($G40="s-curve",$E40+($F40-$E40)*$I$2/(1+EXP($I$3*(COUNT($I$9:S$9)+$I$4))),TREND($E40:$F40,$E$9:$F$9,S$9))</f>
        <v>0</v>
      </c>
      <c r="T40">
        <f>IF($G40="s-curve",$E40+($F40-$E40)*$I$2/(1+EXP($I$3*(COUNT($I$9:T$9)+$I$4))),TREND($E40:$F40,$E$9:$F$9,T$9))</f>
        <v>0</v>
      </c>
      <c r="U40">
        <f>IF($G40="s-curve",$E40+($F40-$E40)*$I$2/(1+EXP($I$3*(COUNT($I$9:U$9)+$I$4))),TREND($E40:$F40,$E$9:$F$9,U$9))</f>
        <v>0</v>
      </c>
      <c r="V40">
        <f>IF($G40="s-curve",$E40+($F40-$E40)*$I$2/(1+EXP($I$3*(COUNT($I$9:V$9)+$I$4))),TREND($E40:$F40,$E$9:$F$9,V$9))</f>
        <v>0</v>
      </c>
      <c r="W40">
        <f>IF($G40="s-curve",$E40+($F40-$E40)*$I$2/(1+EXP($I$3*(COUNT($I$9:W$9)+$I$4))),TREND($E40:$F40,$E$9:$F$9,W$9))</f>
        <v>0</v>
      </c>
      <c r="X40">
        <f>IF($G40="s-curve",$E40+($F40-$E40)*$I$2/(1+EXP($I$3*(COUNT($I$9:X$9)+$I$4))),TREND($E40:$F40,$E$9:$F$9,X$9))</f>
        <v>0</v>
      </c>
      <c r="Y40">
        <f>IF($G40="s-curve",$E40+($F40-$E40)*$I$2/(1+EXP($I$3*(COUNT($I$9:Y$9)+$I$4))),TREND($E40:$F40,$E$9:$F$9,Y$9))</f>
        <v>0</v>
      </c>
      <c r="Z40">
        <f>IF($G40="s-curve",$E40+($F40-$E40)*$I$2/(1+EXP($I$3*(COUNT($I$9:Z$9)+$I$4))),TREND($E40:$F40,$E$9:$F$9,Z$9))</f>
        <v>0</v>
      </c>
      <c r="AA40">
        <f>IF($G40="s-curve",$E40+($F40-$E40)*$I$2/(1+EXP($I$3*(COUNT($I$9:AA$9)+$I$4))),TREND($E40:$F40,$E$9:$F$9,AA$9))</f>
        <v>0</v>
      </c>
      <c r="AB40">
        <f>IF($G40="s-curve",$E40+($F40-$E40)*$I$2/(1+EXP($I$3*(COUNT($I$9:AB$9)+$I$4))),TREND($E40:$F40,$E$9:$F$9,AB$9))</f>
        <v>0</v>
      </c>
      <c r="AC40">
        <f>IF($G40="s-curve",$E40+($F40-$E40)*$I$2/(1+EXP($I$3*(COUNT($I$9:AC$9)+$I$4))),TREND($E40:$F40,$E$9:$F$9,AC$9))</f>
        <v>0</v>
      </c>
      <c r="AD40">
        <f>IF($G40="s-curve",$E40+($F40-$E40)*$I$2/(1+EXP($I$3*(COUNT($I$9:AD$9)+$I$4))),TREND($E40:$F40,$E$9:$F$9,AD$9))</f>
        <v>0</v>
      </c>
      <c r="AE40">
        <f>IF($G40="s-curve",$E40+($F40-$E40)*$I$2/(1+EXP($I$3*(COUNT($I$9:AE$9)+$I$4))),TREND($E40:$F40,$E$9:$F$9,AE$9))</f>
        <v>0</v>
      </c>
      <c r="AF40">
        <f>IF($G40="s-curve",$E40+($F40-$E40)*$I$2/(1+EXP($I$3*(COUNT($I$9:AF$9)+$I$4))),TREND($E40:$F40,$E$9:$F$9,AF$9))</f>
        <v>0</v>
      </c>
      <c r="AG40">
        <f>IF($G40="s-curve",$E40+($F40-$E40)*$I$2/(1+EXP($I$3*(COUNT($I$9:AG$9)+$I$4))),TREND($E40:$F40,$E$9:$F$9,AG$9))</f>
        <v>0</v>
      </c>
      <c r="AH40">
        <f>IF($G40="s-curve",$E40+($F40-$E40)*$I$2/(1+EXP($I$3*(COUNT($I$9:AH$9)+$I$4))),TREND($E40:$F40,$E$9:$F$9,AH$9))</f>
        <v>0</v>
      </c>
      <c r="AI40">
        <f>IF($G40="s-curve",$E40+($F40-$E40)*$I$2/(1+EXP($I$3*(COUNT($I$9:AI$9)+$I$4))),TREND($E40:$F40,$E$9:$F$9,AI$9))</f>
        <v>0</v>
      </c>
    </row>
    <row r="41" spans="1:35" x14ac:dyDescent="0.25">
      <c r="C41" t="s">
        <v>293</v>
      </c>
      <c r="E41">
        <v>1</v>
      </c>
      <c r="F41">
        <v>1</v>
      </c>
      <c r="G41" t="str">
        <f>IF(E41=F41,"n/a",IF(OR(C41="battery electric vehicle",C41="natural gas vehicle",C41="plugin hybrid vehicle"),"s-curve","linear"))</f>
        <v>n/a</v>
      </c>
      <c r="I41">
        <f t="shared" si="10"/>
        <v>1</v>
      </c>
      <c r="J41">
        <f>IF($G41="s-curve",$E41+($F41-$E41)*$I$2/(1+EXP($I$3*(COUNT($I$9:J$9)+$I$4))),TREND($E41:$F41,$E$9:$F$9,J$9))</f>
        <v>1</v>
      </c>
      <c r="K41">
        <f>IF($G41="s-curve",$E41+($F41-$E41)*$I$2/(1+EXP($I$3*(COUNT($I$9:K$9)+$I$4))),TREND($E41:$F41,$E$9:$F$9,K$9))</f>
        <v>1</v>
      </c>
      <c r="L41">
        <f>IF($G41="s-curve",$E41+($F41-$E41)*$I$2/(1+EXP($I$3*(COUNT($I$9:L$9)+$I$4))),TREND($E41:$F41,$E$9:$F$9,L$9))</f>
        <v>1</v>
      </c>
      <c r="M41">
        <f>IF($G41="s-curve",$E41+($F41-$E41)*$I$2/(1+EXP($I$3*(COUNT($I$9:M$9)+$I$4))),TREND($E41:$F41,$E$9:$F$9,M$9))</f>
        <v>1</v>
      </c>
      <c r="N41">
        <f>IF($G41="s-curve",$E41+($F41-$E41)*$I$2/(1+EXP($I$3*(COUNT($I$9:N$9)+$I$4))),TREND($E41:$F41,$E$9:$F$9,N$9))</f>
        <v>1</v>
      </c>
      <c r="O41">
        <f>IF($G41="s-curve",$E41+($F41-$E41)*$I$2/(1+EXP($I$3*(COUNT($I$9:O$9)+$I$4))),TREND($E41:$F41,$E$9:$F$9,O$9))</f>
        <v>1</v>
      </c>
      <c r="P41">
        <f>IF($G41="s-curve",$E41+($F41-$E41)*$I$2/(1+EXP($I$3*(COUNT($I$9:P$9)+$I$4))),TREND($E41:$F41,$E$9:$F$9,P$9))</f>
        <v>1</v>
      </c>
      <c r="Q41">
        <f>IF($G41="s-curve",$E41+($F41-$E41)*$I$2/(1+EXP($I$3*(COUNT($I$9:Q$9)+$I$4))),TREND($E41:$F41,$E$9:$F$9,Q$9))</f>
        <v>1</v>
      </c>
      <c r="R41">
        <f>IF($G41="s-curve",$E41+($F41-$E41)*$I$2/(1+EXP($I$3*(COUNT($I$9:R$9)+$I$4))),TREND($E41:$F41,$E$9:$F$9,R$9))</f>
        <v>1</v>
      </c>
      <c r="S41">
        <f>IF($G41="s-curve",$E41+($F41-$E41)*$I$2/(1+EXP($I$3*(COUNT($I$9:S$9)+$I$4))),TREND($E41:$F41,$E$9:$F$9,S$9))</f>
        <v>1</v>
      </c>
      <c r="T41">
        <f>IF($G41="s-curve",$E41+($F41-$E41)*$I$2/(1+EXP($I$3*(COUNT($I$9:T$9)+$I$4))),TREND($E41:$F41,$E$9:$F$9,T$9))</f>
        <v>1</v>
      </c>
      <c r="U41">
        <f>IF($G41="s-curve",$E41+($F41-$E41)*$I$2/(1+EXP($I$3*(COUNT($I$9:U$9)+$I$4))),TREND($E41:$F41,$E$9:$F$9,U$9))</f>
        <v>1</v>
      </c>
      <c r="V41">
        <f>IF($G41="s-curve",$E41+($F41-$E41)*$I$2/(1+EXP($I$3*(COUNT($I$9:V$9)+$I$4))),TREND($E41:$F41,$E$9:$F$9,V$9))</f>
        <v>1</v>
      </c>
      <c r="W41">
        <f>IF($G41="s-curve",$E41+($F41-$E41)*$I$2/(1+EXP($I$3*(COUNT($I$9:W$9)+$I$4))),TREND($E41:$F41,$E$9:$F$9,W$9))</f>
        <v>1</v>
      </c>
      <c r="X41">
        <f>IF($G41="s-curve",$E41+($F41-$E41)*$I$2/(1+EXP($I$3*(COUNT($I$9:X$9)+$I$4))),TREND($E41:$F41,$E$9:$F$9,X$9))</f>
        <v>1</v>
      </c>
      <c r="Y41">
        <f>IF($G41="s-curve",$E41+($F41-$E41)*$I$2/(1+EXP($I$3*(COUNT($I$9:Y$9)+$I$4))),TREND($E41:$F41,$E$9:$F$9,Y$9))</f>
        <v>1</v>
      </c>
      <c r="Z41">
        <f>IF($G41="s-curve",$E41+($F41-$E41)*$I$2/(1+EXP($I$3*(COUNT($I$9:Z$9)+$I$4))),TREND($E41:$F41,$E$9:$F$9,Z$9))</f>
        <v>1</v>
      </c>
      <c r="AA41">
        <f>IF($G41="s-curve",$E41+($F41-$E41)*$I$2/(1+EXP($I$3*(COUNT($I$9:AA$9)+$I$4))),TREND($E41:$F41,$E$9:$F$9,AA$9))</f>
        <v>1</v>
      </c>
      <c r="AB41">
        <f>IF($G41="s-curve",$E41+($F41-$E41)*$I$2/(1+EXP($I$3*(COUNT($I$9:AB$9)+$I$4))),TREND($E41:$F41,$E$9:$F$9,AB$9))</f>
        <v>1</v>
      </c>
      <c r="AC41">
        <f>IF($G41="s-curve",$E41+($F41-$E41)*$I$2/(1+EXP($I$3*(COUNT($I$9:AC$9)+$I$4))),TREND($E41:$F41,$E$9:$F$9,AC$9))</f>
        <v>1</v>
      </c>
      <c r="AD41">
        <f>IF($G41="s-curve",$E41+($F41-$E41)*$I$2/(1+EXP($I$3*(COUNT($I$9:AD$9)+$I$4))),TREND($E41:$F41,$E$9:$F$9,AD$9))</f>
        <v>1</v>
      </c>
      <c r="AE41">
        <f>IF($G41="s-curve",$E41+($F41-$E41)*$I$2/(1+EXP($I$3*(COUNT($I$9:AE$9)+$I$4))),TREND($E41:$F41,$E$9:$F$9,AE$9))</f>
        <v>1</v>
      </c>
      <c r="AF41">
        <f>IF($G41="s-curve",$E41+($F41-$E41)*$I$2/(1+EXP($I$3*(COUNT($I$9:AF$9)+$I$4))),TREND($E41:$F41,$E$9:$F$9,AF$9))</f>
        <v>1</v>
      </c>
      <c r="AG41">
        <f>IF($G41="s-curve",$E41+($F41-$E41)*$I$2/(1+EXP($I$3*(COUNT($I$9:AG$9)+$I$4))),TREND($E41:$F41,$E$9:$F$9,AG$9))</f>
        <v>1</v>
      </c>
      <c r="AH41">
        <f>IF($G41="s-curve",$E41+($F41-$E41)*$I$2/(1+EXP($I$3*(COUNT($I$9:AH$9)+$I$4))),TREND($E41:$F41,$E$9:$F$9,AH$9))</f>
        <v>1</v>
      </c>
      <c r="AI41">
        <f>IF($G41="s-curve",$E41+($F41-$E41)*$I$2/(1+EXP($I$3*(COUNT($I$9:AI$9)+$I$4))),TREND($E41:$F41,$E$9:$F$9,AI$9))</f>
        <v>1</v>
      </c>
    </row>
    <row r="42" spans="1:35" x14ac:dyDescent="0.25">
      <c r="C42" t="s">
        <v>180</v>
      </c>
      <c r="E42">
        <v>0</v>
      </c>
      <c r="F42">
        <v>0</v>
      </c>
      <c r="G42" t="str">
        <f>IF(E42=F42,"n/a",IF(OR(C42="battery electric vehicle",C42="natural gas vehicle",C42="plugin hybrid vehicle"),"s-curve","linear"))</f>
        <v>n/a</v>
      </c>
      <c r="I42">
        <f t="shared" si="10"/>
        <v>0</v>
      </c>
      <c r="J42">
        <f>IF($G42="s-curve",$E42+($F42-$E42)*$I$2/(1+EXP($I$3*(COUNT($I$9:J$9)+$I$4))),TREND($E42:$F42,$E$9:$F$9,J$9))</f>
        <v>0</v>
      </c>
      <c r="K42">
        <f>IF($G42="s-curve",$E42+($F42-$E42)*$I$2/(1+EXP($I$3*(COUNT($I$9:K$9)+$I$4))),TREND($E42:$F42,$E$9:$F$9,K$9))</f>
        <v>0</v>
      </c>
      <c r="L42">
        <f>IF($G42="s-curve",$E42+($F42-$E42)*$I$2/(1+EXP($I$3*(COUNT($I$9:L$9)+$I$4))),TREND($E42:$F42,$E$9:$F$9,L$9))</f>
        <v>0</v>
      </c>
      <c r="M42">
        <f>IF($G42="s-curve",$E42+($F42-$E42)*$I$2/(1+EXP($I$3*(COUNT($I$9:M$9)+$I$4))),TREND($E42:$F42,$E$9:$F$9,M$9))</f>
        <v>0</v>
      </c>
      <c r="N42">
        <f>IF($G42="s-curve",$E42+($F42-$E42)*$I$2/(1+EXP($I$3*(COUNT($I$9:N$9)+$I$4))),TREND($E42:$F42,$E$9:$F$9,N$9))</f>
        <v>0</v>
      </c>
      <c r="O42">
        <f>IF($G42="s-curve",$E42+($F42-$E42)*$I$2/(1+EXP($I$3*(COUNT($I$9:O$9)+$I$4))),TREND($E42:$F42,$E$9:$F$9,O$9))</f>
        <v>0</v>
      </c>
      <c r="P42">
        <f>IF($G42="s-curve",$E42+($F42-$E42)*$I$2/(1+EXP($I$3*(COUNT($I$9:P$9)+$I$4))),TREND($E42:$F42,$E$9:$F$9,P$9))</f>
        <v>0</v>
      </c>
      <c r="Q42">
        <f>IF($G42="s-curve",$E42+($F42-$E42)*$I$2/(1+EXP($I$3*(COUNT($I$9:Q$9)+$I$4))),TREND($E42:$F42,$E$9:$F$9,Q$9))</f>
        <v>0</v>
      </c>
      <c r="R42">
        <f>IF($G42="s-curve",$E42+($F42-$E42)*$I$2/(1+EXP($I$3*(COUNT($I$9:R$9)+$I$4))),TREND($E42:$F42,$E$9:$F$9,R$9))</f>
        <v>0</v>
      </c>
      <c r="S42">
        <f>IF($G42="s-curve",$E42+($F42-$E42)*$I$2/(1+EXP($I$3*(COUNT($I$9:S$9)+$I$4))),TREND($E42:$F42,$E$9:$F$9,S$9))</f>
        <v>0</v>
      </c>
      <c r="T42">
        <f>IF($G42="s-curve",$E42+($F42-$E42)*$I$2/(1+EXP($I$3*(COUNT($I$9:T$9)+$I$4))),TREND($E42:$F42,$E$9:$F$9,T$9))</f>
        <v>0</v>
      </c>
      <c r="U42">
        <f>IF($G42="s-curve",$E42+($F42-$E42)*$I$2/(1+EXP($I$3*(COUNT($I$9:U$9)+$I$4))),TREND($E42:$F42,$E$9:$F$9,U$9))</f>
        <v>0</v>
      </c>
      <c r="V42">
        <f>IF($G42="s-curve",$E42+($F42-$E42)*$I$2/(1+EXP($I$3*(COUNT($I$9:V$9)+$I$4))),TREND($E42:$F42,$E$9:$F$9,V$9))</f>
        <v>0</v>
      </c>
      <c r="W42">
        <f>IF($G42="s-curve",$E42+($F42-$E42)*$I$2/(1+EXP($I$3*(COUNT($I$9:W$9)+$I$4))),TREND($E42:$F42,$E$9:$F$9,W$9))</f>
        <v>0</v>
      </c>
      <c r="X42">
        <f>IF($G42="s-curve",$E42+($F42-$E42)*$I$2/(1+EXP($I$3*(COUNT($I$9:X$9)+$I$4))),TREND($E42:$F42,$E$9:$F$9,X$9))</f>
        <v>0</v>
      </c>
      <c r="Y42">
        <f>IF($G42="s-curve",$E42+($F42-$E42)*$I$2/(1+EXP($I$3*(COUNT($I$9:Y$9)+$I$4))),TREND($E42:$F42,$E$9:$F$9,Y$9))</f>
        <v>0</v>
      </c>
      <c r="Z42">
        <f>IF($G42="s-curve",$E42+($F42-$E42)*$I$2/(1+EXP($I$3*(COUNT($I$9:Z$9)+$I$4))),TREND($E42:$F42,$E$9:$F$9,Z$9))</f>
        <v>0</v>
      </c>
      <c r="AA42">
        <f>IF($G42="s-curve",$E42+($F42-$E42)*$I$2/(1+EXP($I$3*(COUNT($I$9:AA$9)+$I$4))),TREND($E42:$F42,$E$9:$F$9,AA$9))</f>
        <v>0</v>
      </c>
      <c r="AB42">
        <f>IF($G42="s-curve",$E42+($F42-$E42)*$I$2/(1+EXP($I$3*(COUNT($I$9:AB$9)+$I$4))),TREND($E42:$F42,$E$9:$F$9,AB$9))</f>
        <v>0</v>
      </c>
      <c r="AC42">
        <f>IF($G42="s-curve",$E42+($F42-$E42)*$I$2/(1+EXP($I$3*(COUNT($I$9:AC$9)+$I$4))),TREND($E42:$F42,$E$9:$F$9,AC$9))</f>
        <v>0</v>
      </c>
      <c r="AD42">
        <f>IF($G42="s-curve",$E42+($F42-$E42)*$I$2/(1+EXP($I$3*(COUNT($I$9:AD$9)+$I$4))),TREND($E42:$F42,$E$9:$F$9,AD$9))</f>
        <v>0</v>
      </c>
      <c r="AE42">
        <f>IF($G42="s-curve",$E42+($F42-$E42)*$I$2/(1+EXP($I$3*(COUNT($I$9:AE$9)+$I$4))),TREND($E42:$F42,$E$9:$F$9,AE$9))</f>
        <v>0</v>
      </c>
      <c r="AF42">
        <f>IF($G42="s-curve",$E42+($F42-$E42)*$I$2/(1+EXP($I$3*(COUNT($I$9:AF$9)+$I$4))),TREND($E42:$F42,$E$9:$F$9,AF$9))</f>
        <v>0</v>
      </c>
      <c r="AG42">
        <f>IF($G42="s-curve",$E42+($F42-$E42)*$I$2/(1+EXP($I$3*(COUNT($I$9:AG$9)+$I$4))),TREND($E42:$F42,$E$9:$F$9,AG$9))</f>
        <v>0</v>
      </c>
      <c r="AH42">
        <f>IF($G42="s-curve",$E42+($F42-$E42)*$I$2/(1+EXP($I$3*(COUNT($I$9:AH$9)+$I$4))),TREND($E42:$F42,$E$9:$F$9,AH$9))</f>
        <v>0</v>
      </c>
      <c r="AI42">
        <f>IF($G42="s-curve",$E42+($F42-$E42)*$I$2/(1+EXP($I$3*(COUNT($I$9:AI$9)+$I$4))),TREND($E42:$F42,$E$9:$F$9,AI$9))</f>
        <v>0</v>
      </c>
    </row>
    <row r="43" spans="1:35" x14ac:dyDescent="0.25">
      <c r="C43" t="s">
        <v>294</v>
      </c>
      <c r="E43">
        <v>0</v>
      </c>
      <c r="F43">
        <v>0</v>
      </c>
      <c r="G43" t="str">
        <f>IF(E43=F43,"n/a",IF(OR(C43="battery electric vehicle",C43="natural gas vehicle",C43="plugin hybrid vehicle",C43="hydrogen vehicle"),"s-curve","linear"))</f>
        <v>n/a</v>
      </c>
      <c r="I43">
        <f t="shared" si="10"/>
        <v>0</v>
      </c>
      <c r="J43">
        <f>IF($G43="s-curve",$E43+($F43-$E43)*$I$2/(1+EXP($I$3*(COUNT($I$9:J$9)+$I$4))),TREND($E43:$F43,$E$9:$F$9,J$9))</f>
        <v>0</v>
      </c>
      <c r="K43">
        <f>IF($G43="s-curve",$E43+($F43-$E43)*$I$2/(1+EXP($I$3*(COUNT($I$9:K$9)+$I$4))),TREND($E43:$F43,$E$9:$F$9,K$9))</f>
        <v>0</v>
      </c>
      <c r="L43">
        <f>IF($G43="s-curve",$E43+($F43-$E43)*$I$2/(1+EXP($I$3*(COUNT($I$9:L$9)+$I$4))),TREND($E43:$F43,$E$9:$F$9,L$9))</f>
        <v>0</v>
      </c>
      <c r="M43">
        <f>IF($G43="s-curve",$E43+($F43-$E43)*$I$2/(1+EXP($I$3*(COUNT($I$9:M$9)+$I$4))),TREND($E43:$F43,$E$9:$F$9,M$9))</f>
        <v>0</v>
      </c>
      <c r="N43">
        <f>IF($G43="s-curve",$E43+($F43-$E43)*$I$2/(1+EXP($I$3*(COUNT($I$9:N$9)+$I$4))),TREND($E43:$F43,$E$9:$F$9,N$9))</f>
        <v>0</v>
      </c>
      <c r="O43">
        <f>IF($G43="s-curve",$E43+($F43-$E43)*$I$2/(1+EXP($I$3*(COUNT($I$9:O$9)+$I$4))),TREND($E43:$F43,$E$9:$F$9,O$9))</f>
        <v>0</v>
      </c>
      <c r="P43">
        <f>IF($G43="s-curve",$E43+($F43-$E43)*$I$2/(1+EXP($I$3*(COUNT($I$9:P$9)+$I$4))),TREND($E43:$F43,$E$9:$F$9,P$9))</f>
        <v>0</v>
      </c>
      <c r="Q43">
        <f>IF($G43="s-curve",$E43+($F43-$E43)*$I$2/(1+EXP($I$3*(COUNT($I$9:Q$9)+$I$4))),TREND($E43:$F43,$E$9:$F$9,Q$9))</f>
        <v>0</v>
      </c>
      <c r="R43">
        <f>IF($G43="s-curve",$E43+($F43-$E43)*$I$2/(1+EXP($I$3*(COUNT($I$9:R$9)+$I$4))),TREND($E43:$F43,$E$9:$F$9,R$9))</f>
        <v>0</v>
      </c>
      <c r="S43">
        <f>IF($G43="s-curve",$E43+($F43-$E43)*$I$2/(1+EXP($I$3*(COUNT($I$9:S$9)+$I$4))),TREND($E43:$F43,$E$9:$F$9,S$9))</f>
        <v>0</v>
      </c>
      <c r="T43">
        <f>IF($G43="s-curve",$E43+($F43-$E43)*$I$2/(1+EXP($I$3*(COUNT($I$9:T$9)+$I$4))),TREND($E43:$F43,$E$9:$F$9,T$9))</f>
        <v>0</v>
      </c>
      <c r="U43">
        <f>IF($G43="s-curve",$E43+($F43-$E43)*$I$2/(1+EXP($I$3*(COUNT($I$9:U$9)+$I$4))),TREND($E43:$F43,$E$9:$F$9,U$9))</f>
        <v>0</v>
      </c>
      <c r="V43">
        <f>IF($G43="s-curve",$E43+($F43-$E43)*$I$2/(1+EXP($I$3*(COUNT($I$9:V$9)+$I$4))),TREND($E43:$F43,$E$9:$F$9,V$9))</f>
        <v>0</v>
      </c>
      <c r="W43">
        <f>IF($G43="s-curve",$E43+($F43-$E43)*$I$2/(1+EXP($I$3*(COUNT($I$9:W$9)+$I$4))),TREND($E43:$F43,$E$9:$F$9,W$9))</f>
        <v>0</v>
      </c>
      <c r="X43">
        <f>IF($G43="s-curve",$E43+($F43-$E43)*$I$2/(1+EXP($I$3*(COUNT($I$9:X$9)+$I$4))),TREND($E43:$F43,$E$9:$F$9,X$9))</f>
        <v>0</v>
      </c>
      <c r="Y43">
        <f>IF($G43="s-curve",$E43+($F43-$E43)*$I$2/(1+EXP($I$3*(COUNT($I$9:Y$9)+$I$4))),TREND($E43:$F43,$E$9:$F$9,Y$9))</f>
        <v>0</v>
      </c>
      <c r="Z43">
        <f>IF($G43="s-curve",$E43+($F43-$E43)*$I$2/(1+EXP($I$3*(COUNT($I$9:Z$9)+$I$4))),TREND($E43:$F43,$E$9:$F$9,Z$9))</f>
        <v>0</v>
      </c>
      <c r="AA43">
        <f>IF($G43="s-curve",$E43+($F43-$E43)*$I$2/(1+EXP($I$3*(COUNT($I$9:AA$9)+$I$4))),TREND($E43:$F43,$E$9:$F$9,AA$9))</f>
        <v>0</v>
      </c>
      <c r="AB43">
        <f>IF($G43="s-curve",$E43+($F43-$E43)*$I$2/(1+EXP($I$3*(COUNT($I$9:AB$9)+$I$4))),TREND($E43:$F43,$E$9:$F$9,AB$9))</f>
        <v>0</v>
      </c>
      <c r="AC43">
        <f>IF($G43="s-curve",$E43+($F43-$E43)*$I$2/(1+EXP($I$3*(COUNT($I$9:AC$9)+$I$4))),TREND($E43:$F43,$E$9:$F$9,AC$9))</f>
        <v>0</v>
      </c>
      <c r="AD43">
        <f>IF($G43="s-curve",$E43+($F43-$E43)*$I$2/(1+EXP($I$3*(COUNT($I$9:AD$9)+$I$4))),TREND($E43:$F43,$E$9:$F$9,AD$9))</f>
        <v>0</v>
      </c>
      <c r="AE43">
        <f>IF($G43="s-curve",$E43+($F43-$E43)*$I$2/(1+EXP($I$3*(COUNT($I$9:AE$9)+$I$4))),TREND($E43:$F43,$E$9:$F$9,AE$9))</f>
        <v>0</v>
      </c>
      <c r="AF43">
        <f>IF($G43="s-curve",$E43+($F43-$E43)*$I$2/(1+EXP($I$3*(COUNT($I$9:AF$9)+$I$4))),TREND($E43:$F43,$E$9:$F$9,AF$9))</f>
        <v>0</v>
      </c>
      <c r="AG43">
        <f>IF($G43="s-curve",$E43+($F43-$E43)*$I$2/(1+EXP($I$3*(COUNT($I$9:AG$9)+$I$4))),TREND($E43:$F43,$E$9:$F$9,AG$9))</f>
        <v>0</v>
      </c>
      <c r="AH43">
        <f>IF($G43="s-curve",$E43+($F43-$E43)*$I$2/(1+EXP($I$3*(COUNT($I$9:AH$9)+$I$4))),TREND($E43:$F43,$E$9:$F$9,AH$9))</f>
        <v>0</v>
      </c>
      <c r="AI43">
        <f>IF($G43="s-curve",$E43+($F43-$E43)*$I$2/(1+EXP($I$3*(COUNT($I$9:AI$9)+$I$4))),TREND($E43:$F43,$E$9:$F$9,AI$9))</f>
        <v>0</v>
      </c>
    </row>
    <row r="44" spans="1:35" x14ac:dyDescent="0.25">
      <c r="C44" t="s">
        <v>182</v>
      </c>
      <c r="E44">
        <v>0</v>
      </c>
      <c r="F44">
        <v>0</v>
      </c>
      <c r="G44" t="str">
        <f>IF(E44=F44,"n/a",IF(OR(C44="battery electric vehicle",C44="natural gas vehicle",C44="plugin hybrid vehicle",C44="hydrogen vehicle"),"s-curve","linear"))</f>
        <v>n/a</v>
      </c>
      <c r="I44">
        <f t="shared" si="10"/>
        <v>0</v>
      </c>
      <c r="J44">
        <f>IF($G44="s-curve",$E44+($F44-$E44)*$I$2/(1+EXP($I$3*(COUNT($I$9:J$9)+$I$4))),TREND($E44:$F44,$E$9:$F$9,J$9))</f>
        <v>0</v>
      </c>
      <c r="K44">
        <f>IF($G44="s-curve",$E44+($F44-$E44)*$I$2/(1+EXP($I$3*(COUNT($I$9:K$9)+$I$4))),TREND($E44:$F44,$E$9:$F$9,K$9))</f>
        <v>0</v>
      </c>
      <c r="L44">
        <f>IF($G44="s-curve",$E44+($F44-$E44)*$I$2/(1+EXP($I$3*(COUNT($I$9:L$9)+$I$4))),TREND($E44:$F44,$E$9:$F$9,L$9))</f>
        <v>0</v>
      </c>
      <c r="M44">
        <f>IF($G44="s-curve",$E44+($F44-$E44)*$I$2/(1+EXP($I$3*(COUNT($I$9:M$9)+$I$4))),TREND($E44:$F44,$E$9:$F$9,M$9))</f>
        <v>0</v>
      </c>
      <c r="N44">
        <f>IF($G44="s-curve",$E44+($F44-$E44)*$I$2/(1+EXP($I$3*(COUNT($I$9:N$9)+$I$4))),TREND($E44:$F44,$E$9:$F$9,N$9))</f>
        <v>0</v>
      </c>
      <c r="O44">
        <f>IF($G44="s-curve",$E44+($F44-$E44)*$I$2/(1+EXP($I$3*(COUNT($I$9:O$9)+$I$4))),TREND($E44:$F44,$E$9:$F$9,O$9))</f>
        <v>0</v>
      </c>
      <c r="P44">
        <f>IF($G44="s-curve",$E44+($F44-$E44)*$I$2/(1+EXP($I$3*(COUNT($I$9:P$9)+$I$4))),TREND($E44:$F44,$E$9:$F$9,P$9))</f>
        <v>0</v>
      </c>
      <c r="Q44">
        <f>IF($G44="s-curve",$E44+($F44-$E44)*$I$2/(1+EXP($I$3*(COUNT($I$9:Q$9)+$I$4))),TREND($E44:$F44,$E$9:$F$9,Q$9))</f>
        <v>0</v>
      </c>
      <c r="R44">
        <f>IF($G44="s-curve",$E44+($F44-$E44)*$I$2/(1+EXP($I$3*(COUNT($I$9:R$9)+$I$4))),TREND($E44:$F44,$E$9:$F$9,R$9))</f>
        <v>0</v>
      </c>
      <c r="S44">
        <f>IF($G44="s-curve",$E44+($F44-$E44)*$I$2/(1+EXP($I$3*(COUNT($I$9:S$9)+$I$4))),TREND($E44:$F44,$E$9:$F$9,S$9))</f>
        <v>0</v>
      </c>
      <c r="T44">
        <f>IF($G44="s-curve",$E44+($F44-$E44)*$I$2/(1+EXP($I$3*(COUNT($I$9:T$9)+$I$4))),TREND($E44:$F44,$E$9:$F$9,T$9))</f>
        <v>0</v>
      </c>
      <c r="U44">
        <f>IF($G44="s-curve",$E44+($F44-$E44)*$I$2/(1+EXP($I$3*(COUNT($I$9:U$9)+$I$4))),TREND($E44:$F44,$E$9:$F$9,U$9))</f>
        <v>0</v>
      </c>
      <c r="V44">
        <f>IF($G44="s-curve",$E44+($F44-$E44)*$I$2/(1+EXP($I$3*(COUNT($I$9:V$9)+$I$4))),TREND($E44:$F44,$E$9:$F$9,V$9))</f>
        <v>0</v>
      </c>
      <c r="W44">
        <f>IF($G44="s-curve",$E44+($F44-$E44)*$I$2/(1+EXP($I$3*(COUNT($I$9:W$9)+$I$4))),TREND($E44:$F44,$E$9:$F$9,W$9))</f>
        <v>0</v>
      </c>
      <c r="X44">
        <f>IF($G44="s-curve",$E44+($F44-$E44)*$I$2/(1+EXP($I$3*(COUNT($I$9:X$9)+$I$4))),TREND($E44:$F44,$E$9:$F$9,X$9))</f>
        <v>0</v>
      </c>
      <c r="Y44">
        <f>IF($G44="s-curve",$E44+($F44-$E44)*$I$2/(1+EXP($I$3*(COUNT($I$9:Y$9)+$I$4))),TREND($E44:$F44,$E$9:$F$9,Y$9))</f>
        <v>0</v>
      </c>
      <c r="Z44">
        <f>IF($G44="s-curve",$E44+($F44-$E44)*$I$2/(1+EXP($I$3*(COUNT($I$9:Z$9)+$I$4))),TREND($E44:$F44,$E$9:$F$9,Z$9))</f>
        <v>0</v>
      </c>
      <c r="AA44">
        <f>IF($G44="s-curve",$E44+($F44-$E44)*$I$2/(1+EXP($I$3*(COUNT($I$9:AA$9)+$I$4))),TREND($E44:$F44,$E$9:$F$9,AA$9))</f>
        <v>0</v>
      </c>
      <c r="AB44">
        <f>IF($G44="s-curve",$E44+($F44-$E44)*$I$2/(1+EXP($I$3*(COUNT($I$9:AB$9)+$I$4))),TREND($E44:$F44,$E$9:$F$9,AB$9))</f>
        <v>0</v>
      </c>
      <c r="AC44">
        <f>IF($G44="s-curve",$E44+($F44-$E44)*$I$2/(1+EXP($I$3*(COUNT($I$9:AC$9)+$I$4))),TREND($E44:$F44,$E$9:$F$9,AC$9))</f>
        <v>0</v>
      </c>
      <c r="AD44">
        <f>IF($G44="s-curve",$E44+($F44-$E44)*$I$2/(1+EXP($I$3*(COUNT($I$9:AD$9)+$I$4))),TREND($E44:$F44,$E$9:$F$9,AD$9))</f>
        <v>0</v>
      </c>
      <c r="AE44">
        <f>IF($G44="s-curve",$E44+($F44-$E44)*$I$2/(1+EXP($I$3*(COUNT($I$9:AE$9)+$I$4))),TREND($E44:$F44,$E$9:$F$9,AE$9))</f>
        <v>0</v>
      </c>
      <c r="AF44">
        <f>IF($G44="s-curve",$E44+($F44-$E44)*$I$2/(1+EXP($I$3*(COUNT($I$9:AF$9)+$I$4))),TREND($E44:$F44,$E$9:$F$9,AF$9))</f>
        <v>0</v>
      </c>
      <c r="AG44">
        <f>IF($G44="s-curve",$E44+($F44-$E44)*$I$2/(1+EXP($I$3*(COUNT($I$9:AG$9)+$I$4))),TREND($E44:$F44,$E$9:$F$9,AG$9))</f>
        <v>0</v>
      </c>
      <c r="AH44">
        <f>IF($G44="s-curve",$E44+($F44-$E44)*$I$2/(1+EXP($I$3*(COUNT($I$9:AH$9)+$I$4))),TREND($E44:$F44,$E$9:$F$9,AH$9))</f>
        <v>0</v>
      </c>
      <c r="AI44">
        <f>IF($G44="s-curve",$E44+($F44-$E44)*$I$2/(1+EXP($I$3*(COUNT($I$9:AI$9)+$I$4))),TREND($E44:$F44,$E$9:$F$9,AI$9))</f>
        <v>0</v>
      </c>
    </row>
    <row r="45" spans="1:35" x14ac:dyDescent="0.25">
      <c r="A45" t="s">
        <v>297</v>
      </c>
      <c r="B45" t="s">
        <v>326</v>
      </c>
      <c r="C45" t="s">
        <v>177</v>
      </c>
      <c r="E45">
        <v>0</v>
      </c>
      <c r="F45">
        <v>0</v>
      </c>
      <c r="G45" t="str">
        <f>IF(E45=F45,"n/a",IF(OR(C45="battery electric vehicle",C45="natural gas vehicle",C45="plugin hybrid vehicle"),"s-curve","linear"))</f>
        <v>n/a</v>
      </c>
      <c r="I45">
        <f t="shared" si="10"/>
        <v>0</v>
      </c>
      <c r="J45">
        <f>IF($G45="s-curve",$E45+($F45-$E45)*$I$2/(1+EXP($I$3*(COUNT($I$9:J$9)+$I$4))),TREND($E45:$F45,$E$9:$F$9,J$9))</f>
        <v>0</v>
      </c>
      <c r="K45">
        <f>IF($G45="s-curve",$E45+($F45-$E45)*$I$2/(1+EXP($I$3*(COUNT($I$9:K$9)+$I$4))),TREND($E45:$F45,$E$9:$F$9,K$9))</f>
        <v>0</v>
      </c>
      <c r="L45">
        <f>IF($G45="s-curve",$E45+($F45-$E45)*$I$2/(1+EXP($I$3*(COUNT($I$9:L$9)+$I$4))),TREND($E45:$F45,$E$9:$F$9,L$9))</f>
        <v>0</v>
      </c>
      <c r="M45">
        <f>IF($G45="s-curve",$E45+($F45-$E45)*$I$2/(1+EXP($I$3*(COUNT($I$9:M$9)+$I$4))),TREND($E45:$F45,$E$9:$F$9,M$9))</f>
        <v>0</v>
      </c>
      <c r="N45">
        <f>IF($G45="s-curve",$E45+($F45-$E45)*$I$2/(1+EXP($I$3*(COUNT($I$9:N$9)+$I$4))),TREND($E45:$F45,$E$9:$F$9,N$9))</f>
        <v>0</v>
      </c>
      <c r="O45">
        <f>IF($G45="s-curve",$E45+($F45-$E45)*$I$2/(1+EXP($I$3*(COUNT($I$9:O$9)+$I$4))),TREND($E45:$F45,$E$9:$F$9,O$9))</f>
        <v>0</v>
      </c>
      <c r="P45">
        <f>IF($G45="s-curve",$E45+($F45-$E45)*$I$2/(1+EXP($I$3*(COUNT($I$9:P$9)+$I$4))),TREND($E45:$F45,$E$9:$F$9,P$9))</f>
        <v>0</v>
      </c>
      <c r="Q45">
        <f>IF($G45="s-curve",$E45+($F45-$E45)*$I$2/(1+EXP($I$3*(COUNT($I$9:Q$9)+$I$4))),TREND($E45:$F45,$E$9:$F$9,Q$9))</f>
        <v>0</v>
      </c>
      <c r="R45">
        <f>IF($G45="s-curve",$E45+($F45-$E45)*$I$2/(1+EXP($I$3*(COUNT($I$9:R$9)+$I$4))),TREND($E45:$F45,$E$9:$F$9,R$9))</f>
        <v>0</v>
      </c>
      <c r="S45">
        <f>IF($G45="s-curve",$E45+($F45-$E45)*$I$2/(1+EXP($I$3*(COUNT($I$9:S$9)+$I$4))),TREND($E45:$F45,$E$9:$F$9,S$9))</f>
        <v>0</v>
      </c>
      <c r="T45">
        <f>IF($G45="s-curve",$E45+($F45-$E45)*$I$2/(1+EXP($I$3*(COUNT($I$9:T$9)+$I$4))),TREND($E45:$F45,$E$9:$F$9,T$9))</f>
        <v>0</v>
      </c>
      <c r="U45">
        <f>IF($G45="s-curve",$E45+($F45-$E45)*$I$2/(1+EXP($I$3*(COUNT($I$9:U$9)+$I$4))),TREND($E45:$F45,$E$9:$F$9,U$9))</f>
        <v>0</v>
      </c>
      <c r="V45">
        <f>IF($G45="s-curve",$E45+($F45-$E45)*$I$2/(1+EXP($I$3*(COUNT($I$9:V$9)+$I$4))),TREND($E45:$F45,$E$9:$F$9,V$9))</f>
        <v>0</v>
      </c>
      <c r="W45">
        <f>IF($G45="s-curve",$E45+($F45-$E45)*$I$2/(1+EXP($I$3*(COUNT($I$9:W$9)+$I$4))),TREND($E45:$F45,$E$9:$F$9,W$9))</f>
        <v>0</v>
      </c>
      <c r="X45">
        <f>IF($G45="s-curve",$E45+($F45-$E45)*$I$2/(1+EXP($I$3*(COUNT($I$9:X$9)+$I$4))),TREND($E45:$F45,$E$9:$F$9,X$9))</f>
        <v>0</v>
      </c>
      <c r="Y45">
        <f>IF($G45="s-curve",$E45+($F45-$E45)*$I$2/(1+EXP($I$3*(COUNT($I$9:Y$9)+$I$4))),TREND($E45:$F45,$E$9:$F$9,Y$9))</f>
        <v>0</v>
      </c>
      <c r="Z45">
        <f>IF($G45="s-curve",$E45+($F45-$E45)*$I$2/(1+EXP($I$3*(COUNT($I$9:Z$9)+$I$4))),TREND($E45:$F45,$E$9:$F$9,Z$9))</f>
        <v>0</v>
      </c>
      <c r="AA45">
        <f>IF($G45="s-curve",$E45+($F45-$E45)*$I$2/(1+EXP($I$3*(COUNT($I$9:AA$9)+$I$4))),TREND($E45:$F45,$E$9:$F$9,AA$9))</f>
        <v>0</v>
      </c>
      <c r="AB45">
        <f>IF($G45="s-curve",$E45+($F45-$E45)*$I$2/(1+EXP($I$3*(COUNT($I$9:AB$9)+$I$4))),TREND($E45:$F45,$E$9:$F$9,AB$9))</f>
        <v>0</v>
      </c>
      <c r="AC45">
        <f>IF($G45="s-curve",$E45+($F45-$E45)*$I$2/(1+EXP($I$3*(COUNT($I$9:AC$9)+$I$4))),TREND($E45:$F45,$E$9:$F$9,AC$9))</f>
        <v>0</v>
      </c>
      <c r="AD45">
        <f>IF($G45="s-curve",$E45+($F45-$E45)*$I$2/(1+EXP($I$3*(COUNT($I$9:AD$9)+$I$4))),TREND($E45:$F45,$E$9:$F$9,AD$9))</f>
        <v>0</v>
      </c>
      <c r="AE45">
        <f>IF($G45="s-curve",$E45+($F45-$E45)*$I$2/(1+EXP($I$3*(COUNT($I$9:AE$9)+$I$4))),TREND($E45:$F45,$E$9:$F$9,AE$9))</f>
        <v>0</v>
      </c>
      <c r="AF45">
        <f>IF($G45="s-curve",$E45+($F45-$E45)*$I$2/(1+EXP($I$3*(COUNT($I$9:AF$9)+$I$4))),TREND($E45:$F45,$E$9:$F$9,AF$9))</f>
        <v>0</v>
      </c>
      <c r="AG45">
        <f>IF($G45="s-curve",$E45+($F45-$E45)*$I$2/(1+EXP($I$3*(COUNT($I$9:AG$9)+$I$4))),TREND($E45:$F45,$E$9:$F$9,AG$9))</f>
        <v>0</v>
      </c>
      <c r="AH45">
        <f>IF($G45="s-curve",$E45+($F45-$E45)*$I$2/(1+EXP($I$3*(COUNT($I$9:AH$9)+$I$4))),TREND($E45:$F45,$E$9:$F$9,AH$9))</f>
        <v>0</v>
      </c>
      <c r="AI45">
        <f>IF($G45="s-curve",$E45+($F45-$E45)*$I$2/(1+EXP($I$3*(COUNT($I$9:AI$9)+$I$4))),TREND($E45:$F45,$E$9:$F$9,AI$9))</f>
        <v>0</v>
      </c>
    </row>
    <row r="46" spans="1:35" x14ac:dyDescent="0.25">
      <c r="C46" t="s">
        <v>291</v>
      </c>
      <c r="E46">
        <v>0</v>
      </c>
      <c r="F46">
        <v>0</v>
      </c>
      <c r="G46" t="str">
        <f>IF(E46=F46,"n/a",IF(OR(C46="battery electric vehicle",C46="natural gas vehicle",C46="plugin hybrid vehicle"),"s-curve","linear"))</f>
        <v>n/a</v>
      </c>
      <c r="I46">
        <f t="shared" si="10"/>
        <v>0</v>
      </c>
      <c r="J46">
        <f>IF($G46="s-curve",$E46+($F46-$E46)*$I$2/(1+EXP($I$3*(COUNT($I$9:J$9)+$I$4))),TREND($E46:$F46,$E$9:$F$9,J$9))</f>
        <v>0</v>
      </c>
      <c r="K46">
        <f>IF($G46="s-curve",$E46+($F46-$E46)*$I$2/(1+EXP($I$3*(COUNT($I$9:K$9)+$I$4))),TREND($E46:$F46,$E$9:$F$9,K$9))</f>
        <v>0</v>
      </c>
      <c r="L46">
        <f>IF($G46="s-curve",$E46+($F46-$E46)*$I$2/(1+EXP($I$3*(COUNT($I$9:L$9)+$I$4))),TREND($E46:$F46,$E$9:$F$9,L$9))</f>
        <v>0</v>
      </c>
      <c r="M46">
        <f>IF($G46="s-curve",$E46+($F46-$E46)*$I$2/(1+EXP($I$3*(COUNT($I$9:M$9)+$I$4))),TREND($E46:$F46,$E$9:$F$9,M$9))</f>
        <v>0</v>
      </c>
      <c r="N46">
        <f>IF($G46="s-curve",$E46+($F46-$E46)*$I$2/(1+EXP($I$3*(COUNT($I$9:N$9)+$I$4))),TREND($E46:$F46,$E$9:$F$9,N$9))</f>
        <v>0</v>
      </c>
      <c r="O46">
        <f>IF($G46="s-curve",$E46+($F46-$E46)*$I$2/(1+EXP($I$3*(COUNT($I$9:O$9)+$I$4))),TREND($E46:$F46,$E$9:$F$9,O$9))</f>
        <v>0</v>
      </c>
      <c r="P46">
        <f>IF($G46="s-curve",$E46+($F46-$E46)*$I$2/(1+EXP($I$3*(COUNT($I$9:P$9)+$I$4))),TREND($E46:$F46,$E$9:$F$9,P$9))</f>
        <v>0</v>
      </c>
      <c r="Q46">
        <f>IF($G46="s-curve",$E46+($F46-$E46)*$I$2/(1+EXP($I$3*(COUNT($I$9:Q$9)+$I$4))),TREND($E46:$F46,$E$9:$F$9,Q$9))</f>
        <v>0</v>
      </c>
      <c r="R46">
        <f>IF($G46="s-curve",$E46+($F46-$E46)*$I$2/(1+EXP($I$3*(COUNT($I$9:R$9)+$I$4))),TREND($E46:$F46,$E$9:$F$9,R$9))</f>
        <v>0</v>
      </c>
      <c r="S46">
        <f>IF($G46="s-curve",$E46+($F46-$E46)*$I$2/(1+EXP($I$3*(COUNT($I$9:S$9)+$I$4))),TREND($E46:$F46,$E$9:$F$9,S$9))</f>
        <v>0</v>
      </c>
      <c r="T46">
        <f>IF($G46="s-curve",$E46+($F46-$E46)*$I$2/(1+EXP($I$3*(COUNT($I$9:T$9)+$I$4))),TREND($E46:$F46,$E$9:$F$9,T$9))</f>
        <v>0</v>
      </c>
      <c r="U46">
        <f>IF($G46="s-curve",$E46+($F46-$E46)*$I$2/(1+EXP($I$3*(COUNT($I$9:U$9)+$I$4))),TREND($E46:$F46,$E$9:$F$9,U$9))</f>
        <v>0</v>
      </c>
      <c r="V46">
        <f>IF($G46="s-curve",$E46+($F46-$E46)*$I$2/(1+EXP($I$3*(COUNT($I$9:V$9)+$I$4))),TREND($E46:$F46,$E$9:$F$9,V$9))</f>
        <v>0</v>
      </c>
      <c r="W46">
        <f>IF($G46="s-curve",$E46+($F46-$E46)*$I$2/(1+EXP($I$3*(COUNT($I$9:W$9)+$I$4))),TREND($E46:$F46,$E$9:$F$9,W$9))</f>
        <v>0</v>
      </c>
      <c r="X46">
        <f>IF($G46="s-curve",$E46+($F46-$E46)*$I$2/(1+EXP($I$3*(COUNT($I$9:X$9)+$I$4))),TREND($E46:$F46,$E$9:$F$9,X$9))</f>
        <v>0</v>
      </c>
      <c r="Y46">
        <f>IF($G46="s-curve",$E46+($F46-$E46)*$I$2/(1+EXP($I$3*(COUNT($I$9:Y$9)+$I$4))),TREND($E46:$F46,$E$9:$F$9,Y$9))</f>
        <v>0</v>
      </c>
      <c r="Z46">
        <f>IF($G46="s-curve",$E46+($F46-$E46)*$I$2/(1+EXP($I$3*(COUNT($I$9:Z$9)+$I$4))),TREND($E46:$F46,$E$9:$F$9,Z$9))</f>
        <v>0</v>
      </c>
      <c r="AA46">
        <f>IF($G46="s-curve",$E46+($F46-$E46)*$I$2/(1+EXP($I$3*(COUNT($I$9:AA$9)+$I$4))),TREND($E46:$F46,$E$9:$F$9,AA$9))</f>
        <v>0</v>
      </c>
      <c r="AB46">
        <f>IF($G46="s-curve",$E46+($F46-$E46)*$I$2/(1+EXP($I$3*(COUNT($I$9:AB$9)+$I$4))),TREND($E46:$F46,$E$9:$F$9,AB$9))</f>
        <v>0</v>
      </c>
      <c r="AC46">
        <f>IF($G46="s-curve",$E46+($F46-$E46)*$I$2/(1+EXP($I$3*(COUNT($I$9:AC$9)+$I$4))),TREND($E46:$F46,$E$9:$F$9,AC$9))</f>
        <v>0</v>
      </c>
      <c r="AD46">
        <f>IF($G46="s-curve",$E46+($F46-$E46)*$I$2/(1+EXP($I$3*(COUNT($I$9:AD$9)+$I$4))),TREND($E46:$F46,$E$9:$F$9,AD$9))</f>
        <v>0</v>
      </c>
      <c r="AE46">
        <f>IF($G46="s-curve",$E46+($F46-$E46)*$I$2/(1+EXP($I$3*(COUNT($I$9:AE$9)+$I$4))),TREND($E46:$F46,$E$9:$F$9,AE$9))</f>
        <v>0</v>
      </c>
      <c r="AF46">
        <f>IF($G46="s-curve",$E46+($F46-$E46)*$I$2/(1+EXP($I$3*(COUNT($I$9:AF$9)+$I$4))),TREND($E46:$F46,$E$9:$F$9,AF$9))</f>
        <v>0</v>
      </c>
      <c r="AG46">
        <f>IF($G46="s-curve",$E46+($F46-$E46)*$I$2/(1+EXP($I$3*(COUNT($I$9:AG$9)+$I$4))),TREND($E46:$F46,$E$9:$F$9,AG$9))</f>
        <v>0</v>
      </c>
      <c r="AH46">
        <f>IF($G46="s-curve",$E46+($F46-$E46)*$I$2/(1+EXP($I$3*(COUNT($I$9:AH$9)+$I$4))),TREND($E46:$F46,$E$9:$F$9,AH$9))</f>
        <v>0</v>
      </c>
      <c r="AI46">
        <f>IF($G46="s-curve",$E46+($F46-$E46)*$I$2/(1+EXP($I$3*(COUNT($I$9:AI$9)+$I$4))),TREND($E46:$F46,$E$9:$F$9,AI$9))</f>
        <v>0</v>
      </c>
    </row>
    <row r="47" spans="1:35" x14ac:dyDescent="0.25">
      <c r="C47" t="s">
        <v>292</v>
      </c>
      <c r="E47">
        <v>0</v>
      </c>
      <c r="F47">
        <v>0</v>
      </c>
      <c r="G47" t="str">
        <f>IF(E47=F47,"n/a",IF(OR(C47="battery electric vehicle",C47="natural gas vehicle",C47="plugin hybrid vehicle"),"s-curve","linear"))</f>
        <v>n/a</v>
      </c>
      <c r="I47">
        <f t="shared" si="10"/>
        <v>0</v>
      </c>
      <c r="J47">
        <f>IF($G47="s-curve",$E47+($F47-$E47)*$I$2/(1+EXP($I$3*(COUNT($I$9:J$9)+$I$4))),TREND($E47:$F47,$E$9:$F$9,J$9))</f>
        <v>0</v>
      </c>
      <c r="K47">
        <f>IF($G47="s-curve",$E47+($F47-$E47)*$I$2/(1+EXP($I$3*(COUNT($I$9:K$9)+$I$4))),TREND($E47:$F47,$E$9:$F$9,K$9))</f>
        <v>0</v>
      </c>
      <c r="L47">
        <f>IF($G47="s-curve",$E47+($F47-$E47)*$I$2/(1+EXP($I$3*(COUNT($I$9:L$9)+$I$4))),TREND($E47:$F47,$E$9:$F$9,L$9))</f>
        <v>0</v>
      </c>
      <c r="M47">
        <f>IF($G47="s-curve",$E47+($F47-$E47)*$I$2/(1+EXP($I$3*(COUNT($I$9:M$9)+$I$4))),TREND($E47:$F47,$E$9:$F$9,M$9))</f>
        <v>0</v>
      </c>
      <c r="N47">
        <f>IF($G47="s-curve",$E47+($F47-$E47)*$I$2/(1+EXP($I$3*(COUNT($I$9:N$9)+$I$4))),TREND($E47:$F47,$E$9:$F$9,N$9))</f>
        <v>0</v>
      </c>
      <c r="O47">
        <f>IF($G47="s-curve",$E47+($F47-$E47)*$I$2/(1+EXP($I$3*(COUNT($I$9:O$9)+$I$4))),TREND($E47:$F47,$E$9:$F$9,O$9))</f>
        <v>0</v>
      </c>
      <c r="P47">
        <f>IF($G47="s-curve",$E47+($F47-$E47)*$I$2/(1+EXP($I$3*(COUNT($I$9:P$9)+$I$4))),TREND($E47:$F47,$E$9:$F$9,P$9))</f>
        <v>0</v>
      </c>
      <c r="Q47">
        <f>IF($G47="s-curve",$E47+($F47-$E47)*$I$2/(1+EXP($I$3*(COUNT($I$9:Q$9)+$I$4))),TREND($E47:$F47,$E$9:$F$9,Q$9))</f>
        <v>0</v>
      </c>
      <c r="R47">
        <f>IF($G47="s-curve",$E47+($F47-$E47)*$I$2/(1+EXP($I$3*(COUNT($I$9:R$9)+$I$4))),TREND($E47:$F47,$E$9:$F$9,R$9))</f>
        <v>0</v>
      </c>
      <c r="S47">
        <f>IF($G47="s-curve",$E47+($F47-$E47)*$I$2/(1+EXP($I$3*(COUNT($I$9:S$9)+$I$4))),TREND($E47:$F47,$E$9:$F$9,S$9))</f>
        <v>0</v>
      </c>
      <c r="T47">
        <f>IF($G47="s-curve",$E47+($F47-$E47)*$I$2/(1+EXP($I$3*(COUNT($I$9:T$9)+$I$4))),TREND($E47:$F47,$E$9:$F$9,T$9))</f>
        <v>0</v>
      </c>
      <c r="U47">
        <f>IF($G47="s-curve",$E47+($F47-$E47)*$I$2/(1+EXP($I$3*(COUNT($I$9:U$9)+$I$4))),TREND($E47:$F47,$E$9:$F$9,U$9))</f>
        <v>0</v>
      </c>
      <c r="V47">
        <f>IF($G47="s-curve",$E47+($F47-$E47)*$I$2/(1+EXP($I$3*(COUNT($I$9:V$9)+$I$4))),TREND($E47:$F47,$E$9:$F$9,V$9))</f>
        <v>0</v>
      </c>
      <c r="W47">
        <f>IF($G47="s-curve",$E47+($F47-$E47)*$I$2/(1+EXP($I$3*(COUNT($I$9:W$9)+$I$4))),TREND($E47:$F47,$E$9:$F$9,W$9))</f>
        <v>0</v>
      </c>
      <c r="X47">
        <f>IF($G47="s-curve",$E47+($F47-$E47)*$I$2/(1+EXP($I$3*(COUNT($I$9:X$9)+$I$4))),TREND($E47:$F47,$E$9:$F$9,X$9))</f>
        <v>0</v>
      </c>
      <c r="Y47">
        <f>IF($G47="s-curve",$E47+($F47-$E47)*$I$2/(1+EXP($I$3*(COUNT($I$9:Y$9)+$I$4))),TREND($E47:$F47,$E$9:$F$9,Y$9))</f>
        <v>0</v>
      </c>
      <c r="Z47">
        <f>IF($G47="s-curve",$E47+($F47-$E47)*$I$2/(1+EXP($I$3*(COUNT($I$9:Z$9)+$I$4))),TREND($E47:$F47,$E$9:$F$9,Z$9))</f>
        <v>0</v>
      </c>
      <c r="AA47">
        <f>IF($G47="s-curve",$E47+($F47-$E47)*$I$2/(1+EXP($I$3*(COUNT($I$9:AA$9)+$I$4))),TREND($E47:$F47,$E$9:$F$9,AA$9))</f>
        <v>0</v>
      </c>
      <c r="AB47">
        <f>IF($G47="s-curve",$E47+($F47-$E47)*$I$2/(1+EXP($I$3*(COUNT($I$9:AB$9)+$I$4))),TREND($E47:$F47,$E$9:$F$9,AB$9))</f>
        <v>0</v>
      </c>
      <c r="AC47">
        <f>IF($G47="s-curve",$E47+($F47-$E47)*$I$2/(1+EXP($I$3*(COUNT($I$9:AC$9)+$I$4))),TREND($E47:$F47,$E$9:$F$9,AC$9))</f>
        <v>0</v>
      </c>
      <c r="AD47">
        <f>IF($G47="s-curve",$E47+($F47-$E47)*$I$2/(1+EXP($I$3*(COUNT($I$9:AD$9)+$I$4))),TREND($E47:$F47,$E$9:$F$9,AD$9))</f>
        <v>0</v>
      </c>
      <c r="AE47">
        <f>IF($G47="s-curve",$E47+($F47-$E47)*$I$2/(1+EXP($I$3*(COUNT($I$9:AE$9)+$I$4))),TREND($E47:$F47,$E$9:$F$9,AE$9))</f>
        <v>0</v>
      </c>
      <c r="AF47">
        <f>IF($G47="s-curve",$E47+($F47-$E47)*$I$2/(1+EXP($I$3*(COUNT($I$9:AF$9)+$I$4))),TREND($E47:$F47,$E$9:$F$9,AF$9))</f>
        <v>0</v>
      </c>
      <c r="AG47">
        <f>IF($G47="s-curve",$E47+($F47-$E47)*$I$2/(1+EXP($I$3*(COUNT($I$9:AG$9)+$I$4))),TREND($E47:$F47,$E$9:$F$9,AG$9))</f>
        <v>0</v>
      </c>
      <c r="AH47">
        <f>IF($G47="s-curve",$E47+($F47-$E47)*$I$2/(1+EXP($I$3*(COUNT($I$9:AH$9)+$I$4))),TREND($E47:$F47,$E$9:$F$9,AH$9))</f>
        <v>0</v>
      </c>
      <c r="AI47">
        <f>IF($G47="s-curve",$E47+($F47-$E47)*$I$2/(1+EXP($I$3*(COUNT($I$9:AI$9)+$I$4))),TREND($E47:$F47,$E$9:$F$9,AI$9))</f>
        <v>0</v>
      </c>
    </row>
    <row r="48" spans="1:35" x14ac:dyDescent="0.25">
      <c r="C48" t="s">
        <v>293</v>
      </c>
      <c r="E48">
        <v>1</v>
      </c>
      <c r="F48">
        <v>1</v>
      </c>
      <c r="G48" t="str">
        <f>IF(E48=F48,"n/a",IF(OR(C48="battery electric vehicle",C48="natural gas vehicle",C48="plugin hybrid vehicle"),"s-curve","linear"))</f>
        <v>n/a</v>
      </c>
      <c r="I48">
        <f t="shared" si="10"/>
        <v>1</v>
      </c>
      <c r="J48">
        <f>IF($G48="s-curve",$E48+($F48-$E48)*$I$2/(1+EXP($I$3*(COUNT($I$9:J$9)+$I$4))),TREND($E48:$F48,$E$9:$F$9,J$9))</f>
        <v>1</v>
      </c>
      <c r="K48">
        <f>IF($G48="s-curve",$E48+($F48-$E48)*$I$2/(1+EXP($I$3*(COUNT($I$9:K$9)+$I$4))),TREND($E48:$F48,$E$9:$F$9,K$9))</f>
        <v>1</v>
      </c>
      <c r="L48">
        <f>IF($G48="s-curve",$E48+($F48-$E48)*$I$2/(1+EXP($I$3*(COUNT($I$9:L$9)+$I$4))),TREND($E48:$F48,$E$9:$F$9,L$9))</f>
        <v>1</v>
      </c>
      <c r="M48">
        <f>IF($G48="s-curve",$E48+($F48-$E48)*$I$2/(1+EXP($I$3*(COUNT($I$9:M$9)+$I$4))),TREND($E48:$F48,$E$9:$F$9,M$9))</f>
        <v>1</v>
      </c>
      <c r="N48">
        <f>IF($G48="s-curve",$E48+($F48-$E48)*$I$2/(1+EXP($I$3*(COUNT($I$9:N$9)+$I$4))),TREND($E48:$F48,$E$9:$F$9,N$9))</f>
        <v>1</v>
      </c>
      <c r="O48">
        <f>IF($G48="s-curve",$E48+($F48-$E48)*$I$2/(1+EXP($I$3*(COUNT($I$9:O$9)+$I$4))),TREND($E48:$F48,$E$9:$F$9,O$9))</f>
        <v>1</v>
      </c>
      <c r="P48">
        <f>IF($G48="s-curve",$E48+($F48-$E48)*$I$2/(1+EXP($I$3*(COUNT($I$9:P$9)+$I$4))),TREND($E48:$F48,$E$9:$F$9,P$9))</f>
        <v>1</v>
      </c>
      <c r="Q48">
        <f>IF($G48="s-curve",$E48+($F48-$E48)*$I$2/(1+EXP($I$3*(COUNT($I$9:Q$9)+$I$4))),TREND($E48:$F48,$E$9:$F$9,Q$9))</f>
        <v>1</v>
      </c>
      <c r="R48">
        <f>IF($G48="s-curve",$E48+($F48-$E48)*$I$2/(1+EXP($I$3*(COUNT($I$9:R$9)+$I$4))),TREND($E48:$F48,$E$9:$F$9,R$9))</f>
        <v>1</v>
      </c>
      <c r="S48">
        <f>IF($G48="s-curve",$E48+($F48-$E48)*$I$2/(1+EXP($I$3*(COUNT($I$9:S$9)+$I$4))),TREND($E48:$F48,$E$9:$F$9,S$9))</f>
        <v>1</v>
      </c>
      <c r="T48">
        <f>IF($G48="s-curve",$E48+($F48-$E48)*$I$2/(1+EXP($I$3*(COUNT($I$9:T$9)+$I$4))),TREND($E48:$F48,$E$9:$F$9,T$9))</f>
        <v>1</v>
      </c>
      <c r="U48">
        <f>IF($G48="s-curve",$E48+($F48-$E48)*$I$2/(1+EXP($I$3*(COUNT($I$9:U$9)+$I$4))),TREND($E48:$F48,$E$9:$F$9,U$9))</f>
        <v>1</v>
      </c>
      <c r="V48">
        <f>IF($G48="s-curve",$E48+($F48-$E48)*$I$2/(1+EXP($I$3*(COUNT($I$9:V$9)+$I$4))),TREND($E48:$F48,$E$9:$F$9,V$9))</f>
        <v>1</v>
      </c>
      <c r="W48">
        <f>IF($G48="s-curve",$E48+($F48-$E48)*$I$2/(1+EXP($I$3*(COUNT($I$9:W$9)+$I$4))),TREND($E48:$F48,$E$9:$F$9,W$9))</f>
        <v>1</v>
      </c>
      <c r="X48">
        <f>IF($G48="s-curve",$E48+($F48-$E48)*$I$2/(1+EXP($I$3*(COUNT($I$9:X$9)+$I$4))),TREND($E48:$F48,$E$9:$F$9,X$9))</f>
        <v>1</v>
      </c>
      <c r="Y48">
        <f>IF($G48="s-curve",$E48+($F48-$E48)*$I$2/(1+EXP($I$3*(COUNT($I$9:Y$9)+$I$4))),TREND($E48:$F48,$E$9:$F$9,Y$9))</f>
        <v>1</v>
      </c>
      <c r="Z48">
        <f>IF($G48="s-curve",$E48+($F48-$E48)*$I$2/(1+EXP($I$3*(COUNT($I$9:Z$9)+$I$4))),TREND($E48:$F48,$E$9:$F$9,Z$9))</f>
        <v>1</v>
      </c>
      <c r="AA48">
        <f>IF($G48="s-curve",$E48+($F48-$E48)*$I$2/(1+EXP($I$3*(COUNT($I$9:AA$9)+$I$4))),TREND($E48:$F48,$E$9:$F$9,AA$9))</f>
        <v>1</v>
      </c>
      <c r="AB48">
        <f>IF($G48="s-curve",$E48+($F48-$E48)*$I$2/(1+EXP($I$3*(COUNT($I$9:AB$9)+$I$4))),TREND($E48:$F48,$E$9:$F$9,AB$9))</f>
        <v>1</v>
      </c>
      <c r="AC48">
        <f>IF($G48="s-curve",$E48+($F48-$E48)*$I$2/(1+EXP($I$3*(COUNT($I$9:AC$9)+$I$4))),TREND($E48:$F48,$E$9:$F$9,AC$9))</f>
        <v>1</v>
      </c>
      <c r="AD48">
        <f>IF($G48="s-curve",$E48+($F48-$E48)*$I$2/(1+EXP($I$3*(COUNT($I$9:AD$9)+$I$4))),TREND($E48:$F48,$E$9:$F$9,AD$9))</f>
        <v>1</v>
      </c>
      <c r="AE48">
        <f>IF($G48="s-curve",$E48+($F48-$E48)*$I$2/(1+EXP($I$3*(COUNT($I$9:AE$9)+$I$4))),TREND($E48:$F48,$E$9:$F$9,AE$9))</f>
        <v>1</v>
      </c>
      <c r="AF48">
        <f>IF($G48="s-curve",$E48+($F48-$E48)*$I$2/(1+EXP($I$3*(COUNT($I$9:AF$9)+$I$4))),TREND($E48:$F48,$E$9:$F$9,AF$9))</f>
        <v>1</v>
      </c>
      <c r="AG48">
        <f>IF($G48="s-curve",$E48+($F48-$E48)*$I$2/(1+EXP($I$3*(COUNT($I$9:AG$9)+$I$4))),TREND($E48:$F48,$E$9:$F$9,AG$9))</f>
        <v>1</v>
      </c>
      <c r="AH48">
        <f>IF($G48="s-curve",$E48+($F48-$E48)*$I$2/(1+EXP($I$3*(COUNT($I$9:AH$9)+$I$4))),TREND($E48:$F48,$E$9:$F$9,AH$9))</f>
        <v>1</v>
      </c>
      <c r="AI48">
        <f>IF($G48="s-curve",$E48+($F48-$E48)*$I$2/(1+EXP($I$3*(COUNT($I$9:AI$9)+$I$4))),TREND($E48:$F48,$E$9:$F$9,AI$9))</f>
        <v>1</v>
      </c>
    </row>
    <row r="49" spans="1:35" x14ac:dyDescent="0.25">
      <c r="C49" t="s">
        <v>180</v>
      </c>
      <c r="E49">
        <v>0</v>
      </c>
      <c r="F49">
        <v>0</v>
      </c>
      <c r="G49" t="str">
        <f>IF(E49=F49,"n/a",IF(OR(C49="battery electric vehicle",C49="natural gas vehicle",C49="plugin hybrid vehicle"),"s-curve","linear"))</f>
        <v>n/a</v>
      </c>
      <c r="I49">
        <f t="shared" si="10"/>
        <v>0</v>
      </c>
      <c r="J49">
        <f>IF($G49="s-curve",$E49+($F49-$E49)*$I$2/(1+EXP($I$3*(COUNT($I$9:J$9)+$I$4))),TREND($E49:$F49,$E$9:$F$9,J$9))</f>
        <v>0</v>
      </c>
      <c r="K49">
        <f>IF($G49="s-curve",$E49+($F49-$E49)*$I$2/(1+EXP($I$3*(COUNT($I$9:K$9)+$I$4))),TREND($E49:$F49,$E$9:$F$9,K$9))</f>
        <v>0</v>
      </c>
      <c r="L49">
        <f>IF($G49="s-curve",$E49+($F49-$E49)*$I$2/(1+EXP($I$3*(COUNT($I$9:L$9)+$I$4))),TREND($E49:$F49,$E$9:$F$9,L$9))</f>
        <v>0</v>
      </c>
      <c r="M49">
        <f>IF($G49="s-curve",$E49+($F49-$E49)*$I$2/(1+EXP($I$3*(COUNT($I$9:M$9)+$I$4))),TREND($E49:$F49,$E$9:$F$9,M$9))</f>
        <v>0</v>
      </c>
      <c r="N49">
        <f>IF($G49="s-curve",$E49+($F49-$E49)*$I$2/(1+EXP($I$3*(COUNT($I$9:N$9)+$I$4))),TREND($E49:$F49,$E$9:$F$9,N$9))</f>
        <v>0</v>
      </c>
      <c r="O49">
        <f>IF($G49="s-curve",$E49+($F49-$E49)*$I$2/(1+EXP($I$3*(COUNT($I$9:O$9)+$I$4))),TREND($E49:$F49,$E$9:$F$9,O$9))</f>
        <v>0</v>
      </c>
      <c r="P49">
        <f>IF($G49="s-curve",$E49+($F49-$E49)*$I$2/(1+EXP($I$3*(COUNT($I$9:P$9)+$I$4))),TREND($E49:$F49,$E$9:$F$9,P$9))</f>
        <v>0</v>
      </c>
      <c r="Q49">
        <f>IF($G49="s-curve",$E49+($F49-$E49)*$I$2/(1+EXP($I$3*(COUNT($I$9:Q$9)+$I$4))),TREND($E49:$F49,$E$9:$F$9,Q$9))</f>
        <v>0</v>
      </c>
      <c r="R49">
        <f>IF($G49="s-curve",$E49+($F49-$E49)*$I$2/(1+EXP($I$3*(COUNT($I$9:R$9)+$I$4))),TREND($E49:$F49,$E$9:$F$9,R$9))</f>
        <v>0</v>
      </c>
      <c r="S49">
        <f>IF($G49="s-curve",$E49+($F49-$E49)*$I$2/(1+EXP($I$3*(COUNT($I$9:S$9)+$I$4))),TREND($E49:$F49,$E$9:$F$9,S$9))</f>
        <v>0</v>
      </c>
      <c r="T49">
        <f>IF($G49="s-curve",$E49+($F49-$E49)*$I$2/(1+EXP($I$3*(COUNT($I$9:T$9)+$I$4))),TREND($E49:$F49,$E$9:$F$9,T$9))</f>
        <v>0</v>
      </c>
      <c r="U49">
        <f>IF($G49="s-curve",$E49+($F49-$E49)*$I$2/(1+EXP($I$3*(COUNT($I$9:U$9)+$I$4))),TREND($E49:$F49,$E$9:$F$9,U$9))</f>
        <v>0</v>
      </c>
      <c r="V49">
        <f>IF($G49="s-curve",$E49+($F49-$E49)*$I$2/(1+EXP($I$3*(COUNT($I$9:V$9)+$I$4))),TREND($E49:$F49,$E$9:$F$9,V$9))</f>
        <v>0</v>
      </c>
      <c r="W49">
        <f>IF($G49="s-curve",$E49+($F49-$E49)*$I$2/(1+EXP($I$3*(COUNT($I$9:W$9)+$I$4))),TREND($E49:$F49,$E$9:$F$9,W$9))</f>
        <v>0</v>
      </c>
      <c r="X49">
        <f>IF($G49="s-curve",$E49+($F49-$E49)*$I$2/(1+EXP($I$3*(COUNT($I$9:X$9)+$I$4))),TREND($E49:$F49,$E$9:$F$9,X$9))</f>
        <v>0</v>
      </c>
      <c r="Y49">
        <f>IF($G49="s-curve",$E49+($F49-$E49)*$I$2/(1+EXP($I$3*(COUNT($I$9:Y$9)+$I$4))),TREND($E49:$F49,$E$9:$F$9,Y$9))</f>
        <v>0</v>
      </c>
      <c r="Z49">
        <f>IF($G49="s-curve",$E49+($F49-$E49)*$I$2/(1+EXP($I$3*(COUNT($I$9:Z$9)+$I$4))),TREND($E49:$F49,$E$9:$F$9,Z$9))</f>
        <v>0</v>
      </c>
      <c r="AA49">
        <f>IF($G49="s-curve",$E49+($F49-$E49)*$I$2/(1+EXP($I$3*(COUNT($I$9:AA$9)+$I$4))),TREND($E49:$F49,$E$9:$F$9,AA$9))</f>
        <v>0</v>
      </c>
      <c r="AB49">
        <f>IF($G49="s-curve",$E49+($F49-$E49)*$I$2/(1+EXP($I$3*(COUNT($I$9:AB$9)+$I$4))),TREND($E49:$F49,$E$9:$F$9,AB$9))</f>
        <v>0</v>
      </c>
      <c r="AC49">
        <f>IF($G49="s-curve",$E49+($F49-$E49)*$I$2/(1+EXP($I$3*(COUNT($I$9:AC$9)+$I$4))),TREND($E49:$F49,$E$9:$F$9,AC$9))</f>
        <v>0</v>
      </c>
      <c r="AD49">
        <f>IF($G49="s-curve",$E49+($F49-$E49)*$I$2/(1+EXP($I$3*(COUNT($I$9:AD$9)+$I$4))),TREND($E49:$F49,$E$9:$F$9,AD$9))</f>
        <v>0</v>
      </c>
      <c r="AE49">
        <f>IF($G49="s-curve",$E49+($F49-$E49)*$I$2/(1+EXP($I$3*(COUNT($I$9:AE$9)+$I$4))),TREND($E49:$F49,$E$9:$F$9,AE$9))</f>
        <v>0</v>
      </c>
      <c r="AF49">
        <f>IF($G49="s-curve",$E49+($F49-$E49)*$I$2/(1+EXP($I$3*(COUNT($I$9:AF$9)+$I$4))),TREND($E49:$F49,$E$9:$F$9,AF$9))</f>
        <v>0</v>
      </c>
      <c r="AG49">
        <f>IF($G49="s-curve",$E49+($F49-$E49)*$I$2/(1+EXP($I$3*(COUNT($I$9:AG$9)+$I$4))),TREND($E49:$F49,$E$9:$F$9,AG$9))</f>
        <v>0</v>
      </c>
      <c r="AH49">
        <f>IF($G49="s-curve",$E49+($F49-$E49)*$I$2/(1+EXP($I$3*(COUNT($I$9:AH$9)+$I$4))),TREND($E49:$F49,$E$9:$F$9,AH$9))</f>
        <v>0</v>
      </c>
      <c r="AI49">
        <f>IF($G49="s-curve",$E49+($F49-$E49)*$I$2/(1+EXP($I$3*(COUNT($I$9:AI$9)+$I$4))),TREND($E49:$F49,$E$9:$F$9,AI$9))</f>
        <v>0</v>
      </c>
    </row>
    <row r="50" spans="1:35" x14ac:dyDescent="0.25">
      <c r="C50" t="s">
        <v>294</v>
      </c>
      <c r="E50">
        <v>0</v>
      </c>
      <c r="F50">
        <v>0</v>
      </c>
      <c r="G50" t="str">
        <f>IF(E50=F50,"n/a",IF(OR(C50="battery electric vehicle",C50="natural gas vehicle",C50="plugin hybrid vehicle",C50="hydrogen vehicle"),"s-curve","linear"))</f>
        <v>n/a</v>
      </c>
      <c r="I50">
        <f t="shared" si="10"/>
        <v>0</v>
      </c>
      <c r="J50">
        <f>IF($G50="s-curve",$E50+($F50-$E50)*$I$2/(1+EXP($I$3*(COUNT($I$9:J$9)+$I$4))),TREND($E50:$F50,$E$9:$F$9,J$9))</f>
        <v>0</v>
      </c>
      <c r="K50">
        <f>IF($G50="s-curve",$E50+($F50-$E50)*$I$2/(1+EXP($I$3*(COUNT($I$9:K$9)+$I$4))),TREND($E50:$F50,$E$9:$F$9,K$9))</f>
        <v>0</v>
      </c>
      <c r="L50">
        <f>IF($G50="s-curve",$E50+($F50-$E50)*$I$2/(1+EXP($I$3*(COUNT($I$9:L$9)+$I$4))),TREND($E50:$F50,$E$9:$F$9,L$9))</f>
        <v>0</v>
      </c>
      <c r="M50">
        <f>IF($G50="s-curve",$E50+($F50-$E50)*$I$2/(1+EXP($I$3*(COUNT($I$9:M$9)+$I$4))),TREND($E50:$F50,$E$9:$F$9,M$9))</f>
        <v>0</v>
      </c>
      <c r="N50">
        <f>IF($G50="s-curve",$E50+($F50-$E50)*$I$2/(1+EXP($I$3*(COUNT($I$9:N$9)+$I$4))),TREND($E50:$F50,$E$9:$F$9,N$9))</f>
        <v>0</v>
      </c>
      <c r="O50">
        <f>IF($G50="s-curve",$E50+($F50-$E50)*$I$2/(1+EXP($I$3*(COUNT($I$9:O$9)+$I$4))),TREND($E50:$F50,$E$9:$F$9,O$9))</f>
        <v>0</v>
      </c>
      <c r="P50">
        <f>IF($G50="s-curve",$E50+($F50-$E50)*$I$2/(1+EXP($I$3*(COUNT($I$9:P$9)+$I$4))),TREND($E50:$F50,$E$9:$F$9,P$9))</f>
        <v>0</v>
      </c>
      <c r="Q50">
        <f>IF($G50="s-curve",$E50+($F50-$E50)*$I$2/(1+EXP($I$3*(COUNT($I$9:Q$9)+$I$4))),TREND($E50:$F50,$E$9:$F$9,Q$9))</f>
        <v>0</v>
      </c>
      <c r="R50">
        <f>IF($G50="s-curve",$E50+($F50-$E50)*$I$2/(1+EXP($I$3*(COUNT($I$9:R$9)+$I$4))),TREND($E50:$F50,$E$9:$F$9,R$9))</f>
        <v>0</v>
      </c>
      <c r="S50">
        <f>IF($G50="s-curve",$E50+($F50-$E50)*$I$2/(1+EXP($I$3*(COUNT($I$9:S$9)+$I$4))),TREND($E50:$F50,$E$9:$F$9,S$9))</f>
        <v>0</v>
      </c>
      <c r="T50">
        <f>IF($G50="s-curve",$E50+($F50-$E50)*$I$2/(1+EXP($I$3*(COUNT($I$9:T$9)+$I$4))),TREND($E50:$F50,$E$9:$F$9,T$9))</f>
        <v>0</v>
      </c>
      <c r="U50">
        <f>IF($G50="s-curve",$E50+($F50-$E50)*$I$2/(1+EXP($I$3*(COUNT($I$9:U$9)+$I$4))),TREND($E50:$F50,$E$9:$F$9,U$9))</f>
        <v>0</v>
      </c>
      <c r="V50">
        <f>IF($G50="s-curve",$E50+($F50-$E50)*$I$2/(1+EXP($I$3*(COUNT($I$9:V$9)+$I$4))),TREND($E50:$F50,$E$9:$F$9,V$9))</f>
        <v>0</v>
      </c>
      <c r="W50">
        <f>IF($G50="s-curve",$E50+($F50-$E50)*$I$2/(1+EXP($I$3*(COUNT($I$9:W$9)+$I$4))),TREND($E50:$F50,$E$9:$F$9,W$9))</f>
        <v>0</v>
      </c>
      <c r="X50">
        <f>IF($G50="s-curve",$E50+($F50-$E50)*$I$2/(1+EXP($I$3*(COUNT($I$9:X$9)+$I$4))),TREND($E50:$F50,$E$9:$F$9,X$9))</f>
        <v>0</v>
      </c>
      <c r="Y50">
        <f>IF($G50="s-curve",$E50+($F50-$E50)*$I$2/(1+EXP($I$3*(COUNT($I$9:Y$9)+$I$4))),TREND($E50:$F50,$E$9:$F$9,Y$9))</f>
        <v>0</v>
      </c>
      <c r="Z50">
        <f>IF($G50="s-curve",$E50+($F50-$E50)*$I$2/(1+EXP($I$3*(COUNT($I$9:Z$9)+$I$4))),TREND($E50:$F50,$E$9:$F$9,Z$9))</f>
        <v>0</v>
      </c>
      <c r="AA50">
        <f>IF($G50="s-curve",$E50+($F50-$E50)*$I$2/(1+EXP($I$3*(COUNT($I$9:AA$9)+$I$4))),TREND($E50:$F50,$E$9:$F$9,AA$9))</f>
        <v>0</v>
      </c>
      <c r="AB50">
        <f>IF($G50="s-curve",$E50+($F50-$E50)*$I$2/(1+EXP($I$3*(COUNT($I$9:AB$9)+$I$4))),TREND($E50:$F50,$E$9:$F$9,AB$9))</f>
        <v>0</v>
      </c>
      <c r="AC50">
        <f>IF($G50="s-curve",$E50+($F50-$E50)*$I$2/(1+EXP($I$3*(COUNT($I$9:AC$9)+$I$4))),TREND($E50:$F50,$E$9:$F$9,AC$9))</f>
        <v>0</v>
      </c>
      <c r="AD50">
        <f>IF($G50="s-curve",$E50+($F50-$E50)*$I$2/(1+EXP($I$3*(COUNT($I$9:AD$9)+$I$4))),TREND($E50:$F50,$E$9:$F$9,AD$9))</f>
        <v>0</v>
      </c>
      <c r="AE50">
        <f>IF($G50="s-curve",$E50+($F50-$E50)*$I$2/(1+EXP($I$3*(COUNT($I$9:AE$9)+$I$4))),TREND($E50:$F50,$E$9:$F$9,AE$9))</f>
        <v>0</v>
      </c>
      <c r="AF50">
        <f>IF($G50="s-curve",$E50+($F50-$E50)*$I$2/(1+EXP($I$3*(COUNT($I$9:AF$9)+$I$4))),TREND($E50:$F50,$E$9:$F$9,AF$9))</f>
        <v>0</v>
      </c>
      <c r="AG50">
        <f>IF($G50="s-curve",$E50+($F50-$E50)*$I$2/(1+EXP($I$3*(COUNT($I$9:AG$9)+$I$4))),TREND($E50:$F50,$E$9:$F$9,AG$9))</f>
        <v>0</v>
      </c>
      <c r="AH50">
        <f>IF($G50="s-curve",$E50+($F50-$E50)*$I$2/(1+EXP($I$3*(COUNT($I$9:AH$9)+$I$4))),TREND($E50:$F50,$E$9:$F$9,AH$9))</f>
        <v>0</v>
      </c>
      <c r="AI50">
        <f>IF($G50="s-curve",$E50+($F50-$E50)*$I$2/(1+EXP($I$3*(COUNT($I$9:AI$9)+$I$4))),TREND($E50:$F50,$E$9:$F$9,AI$9))</f>
        <v>0</v>
      </c>
    </row>
    <row r="51" spans="1:35" x14ac:dyDescent="0.25">
      <c r="C51" t="s">
        <v>182</v>
      </c>
      <c r="E51">
        <v>0</v>
      </c>
      <c r="F51">
        <v>0</v>
      </c>
      <c r="G51" t="str">
        <f>IF(E51=F51,"n/a",IF(OR(C51="battery electric vehicle",C51="natural gas vehicle",C51="plugin hybrid vehicle",C51="hydrogen vehicle"),"s-curve","linear"))</f>
        <v>n/a</v>
      </c>
      <c r="I51">
        <f t="shared" si="10"/>
        <v>0</v>
      </c>
      <c r="J51">
        <f>IF($G51="s-curve",$E51+($F51-$E51)*$I$2/(1+EXP($I$3*(COUNT($I$9:J$9)+$I$4))),TREND($E51:$F51,$E$9:$F$9,J$9))</f>
        <v>0</v>
      </c>
      <c r="K51">
        <f>IF($G51="s-curve",$E51+($F51-$E51)*$I$2/(1+EXP($I$3*(COUNT($I$9:K$9)+$I$4))),TREND($E51:$F51,$E$9:$F$9,K$9))</f>
        <v>0</v>
      </c>
      <c r="L51">
        <f>IF($G51="s-curve",$E51+($F51-$E51)*$I$2/(1+EXP($I$3*(COUNT($I$9:L$9)+$I$4))),TREND($E51:$F51,$E$9:$F$9,L$9))</f>
        <v>0</v>
      </c>
      <c r="M51">
        <f>IF($G51="s-curve",$E51+($F51-$E51)*$I$2/(1+EXP($I$3*(COUNT($I$9:M$9)+$I$4))),TREND($E51:$F51,$E$9:$F$9,M$9))</f>
        <v>0</v>
      </c>
      <c r="N51">
        <f>IF($G51="s-curve",$E51+($F51-$E51)*$I$2/(1+EXP($I$3*(COUNT($I$9:N$9)+$I$4))),TREND($E51:$F51,$E$9:$F$9,N$9))</f>
        <v>0</v>
      </c>
      <c r="O51">
        <f>IF($G51="s-curve",$E51+($F51-$E51)*$I$2/(1+EXP($I$3*(COUNT($I$9:O$9)+$I$4))),TREND($E51:$F51,$E$9:$F$9,O$9))</f>
        <v>0</v>
      </c>
      <c r="P51">
        <f>IF($G51="s-curve",$E51+($F51-$E51)*$I$2/(1+EXP($I$3*(COUNT($I$9:P$9)+$I$4))),TREND($E51:$F51,$E$9:$F$9,P$9))</f>
        <v>0</v>
      </c>
      <c r="Q51">
        <f>IF($G51="s-curve",$E51+($F51-$E51)*$I$2/(1+EXP($I$3*(COUNT($I$9:Q$9)+$I$4))),TREND($E51:$F51,$E$9:$F$9,Q$9))</f>
        <v>0</v>
      </c>
      <c r="R51">
        <f>IF($G51="s-curve",$E51+($F51-$E51)*$I$2/(1+EXP($I$3*(COUNT($I$9:R$9)+$I$4))),TREND($E51:$F51,$E$9:$F$9,R$9))</f>
        <v>0</v>
      </c>
      <c r="S51">
        <f>IF($G51="s-curve",$E51+($F51-$E51)*$I$2/(1+EXP($I$3*(COUNT($I$9:S$9)+$I$4))),TREND($E51:$F51,$E$9:$F$9,S$9))</f>
        <v>0</v>
      </c>
      <c r="T51">
        <f>IF($G51="s-curve",$E51+($F51-$E51)*$I$2/(1+EXP($I$3*(COUNT($I$9:T$9)+$I$4))),TREND($E51:$F51,$E$9:$F$9,T$9))</f>
        <v>0</v>
      </c>
      <c r="U51">
        <f>IF($G51="s-curve",$E51+($F51-$E51)*$I$2/(1+EXP($I$3*(COUNT($I$9:U$9)+$I$4))),TREND($E51:$F51,$E$9:$F$9,U$9))</f>
        <v>0</v>
      </c>
      <c r="V51">
        <f>IF($G51="s-curve",$E51+($F51-$E51)*$I$2/(1+EXP($I$3*(COUNT($I$9:V$9)+$I$4))),TREND($E51:$F51,$E$9:$F$9,V$9))</f>
        <v>0</v>
      </c>
      <c r="W51">
        <f>IF($G51="s-curve",$E51+($F51-$E51)*$I$2/(1+EXP($I$3*(COUNT($I$9:W$9)+$I$4))),TREND($E51:$F51,$E$9:$F$9,W$9))</f>
        <v>0</v>
      </c>
      <c r="X51">
        <f>IF($G51="s-curve",$E51+($F51-$E51)*$I$2/(1+EXP($I$3*(COUNT($I$9:X$9)+$I$4))),TREND($E51:$F51,$E$9:$F$9,X$9))</f>
        <v>0</v>
      </c>
      <c r="Y51">
        <f>IF($G51="s-curve",$E51+($F51-$E51)*$I$2/(1+EXP($I$3*(COUNT($I$9:Y$9)+$I$4))),TREND($E51:$F51,$E$9:$F$9,Y$9))</f>
        <v>0</v>
      </c>
      <c r="Z51">
        <f>IF($G51="s-curve",$E51+($F51-$E51)*$I$2/(1+EXP($I$3*(COUNT($I$9:Z$9)+$I$4))),TREND($E51:$F51,$E$9:$F$9,Z$9))</f>
        <v>0</v>
      </c>
      <c r="AA51">
        <f>IF($G51="s-curve",$E51+($F51-$E51)*$I$2/(1+EXP($I$3*(COUNT($I$9:AA$9)+$I$4))),TREND($E51:$F51,$E$9:$F$9,AA$9))</f>
        <v>0</v>
      </c>
      <c r="AB51">
        <f>IF($G51="s-curve",$E51+($F51-$E51)*$I$2/(1+EXP($I$3*(COUNT($I$9:AB$9)+$I$4))),TREND($E51:$F51,$E$9:$F$9,AB$9))</f>
        <v>0</v>
      </c>
      <c r="AC51">
        <f>IF($G51="s-curve",$E51+($F51-$E51)*$I$2/(1+EXP($I$3*(COUNT($I$9:AC$9)+$I$4))),TREND($E51:$F51,$E$9:$F$9,AC$9))</f>
        <v>0</v>
      </c>
      <c r="AD51">
        <f>IF($G51="s-curve",$E51+($F51-$E51)*$I$2/(1+EXP($I$3*(COUNT($I$9:AD$9)+$I$4))),TREND($E51:$F51,$E$9:$F$9,AD$9))</f>
        <v>0</v>
      </c>
      <c r="AE51">
        <f>IF($G51="s-curve",$E51+($F51-$E51)*$I$2/(1+EXP($I$3*(COUNT($I$9:AE$9)+$I$4))),TREND($E51:$F51,$E$9:$F$9,AE$9))</f>
        <v>0</v>
      </c>
      <c r="AF51">
        <f>IF($G51="s-curve",$E51+($F51-$E51)*$I$2/(1+EXP($I$3*(COUNT($I$9:AF$9)+$I$4))),TREND($E51:$F51,$E$9:$F$9,AF$9))</f>
        <v>0</v>
      </c>
      <c r="AG51">
        <f>IF($G51="s-curve",$E51+($F51-$E51)*$I$2/(1+EXP($I$3*(COUNT($I$9:AG$9)+$I$4))),TREND($E51:$F51,$E$9:$F$9,AG$9))</f>
        <v>0</v>
      </c>
      <c r="AH51">
        <f>IF($G51="s-curve",$E51+($F51-$E51)*$I$2/(1+EXP($I$3*(COUNT($I$9:AH$9)+$I$4))),TREND($E51:$F51,$E$9:$F$9,AH$9))</f>
        <v>0</v>
      </c>
      <c r="AI51">
        <f>IF($G51="s-curve",$E51+($F51-$E51)*$I$2/(1+EXP($I$3*(COUNT($I$9:AI$9)+$I$4))),TREND($E51:$F51,$E$9:$F$9,AI$9))</f>
        <v>0</v>
      </c>
    </row>
    <row r="52" spans="1:35" x14ac:dyDescent="0.25">
      <c r="A52" t="s">
        <v>298</v>
      </c>
      <c r="B52" t="s">
        <v>325</v>
      </c>
      <c r="C52" t="s">
        <v>177</v>
      </c>
      <c r="E52" s="18">
        <f>IFERROR('SYVbT-passenger'!B5/SUM('SYVbT-passenger'!B5:H5),0)</f>
        <v>1</v>
      </c>
      <c r="F52">
        <f>E52</f>
        <v>1</v>
      </c>
      <c r="G52" t="s">
        <v>327</v>
      </c>
      <c r="I52">
        <f t="shared" si="10"/>
        <v>1</v>
      </c>
      <c r="J52">
        <f>IF($G52="s-curve",$E52+($F52-$E52)*$I$2/(1+EXP($I$3*(COUNT($I$9:J$9)+$I$4))),TREND($E52:$F52,$E$9:$F$9,J$9))</f>
        <v>1</v>
      </c>
      <c r="K52">
        <f>IF($G52="s-curve",$E52+($F52-$E52)*$I$2/(1+EXP($I$3*(COUNT($I$9:K$9)+$I$4))),TREND($E52:$F52,$E$9:$F$9,K$9))</f>
        <v>1</v>
      </c>
      <c r="L52">
        <f>IF($G52="s-curve",$E52+($F52-$E52)*$I$2/(1+EXP($I$3*(COUNT($I$9:L$9)+$I$4))),TREND($E52:$F52,$E$9:$F$9,L$9))</f>
        <v>1</v>
      </c>
      <c r="M52">
        <f>IF($G52="s-curve",$E52+($F52-$E52)*$I$2/(1+EXP($I$3*(COUNT($I$9:M$9)+$I$4))),TREND($E52:$F52,$E$9:$F$9,M$9))</f>
        <v>1</v>
      </c>
      <c r="N52">
        <f>IF($G52="s-curve",$E52+($F52-$E52)*$I$2/(1+EXP($I$3*(COUNT($I$9:N$9)+$I$4))),TREND($E52:$F52,$E$9:$F$9,N$9))</f>
        <v>1</v>
      </c>
      <c r="O52">
        <f>IF($G52="s-curve",$E52+($F52-$E52)*$I$2/(1+EXP($I$3*(COUNT($I$9:O$9)+$I$4))),TREND($E52:$F52,$E$9:$F$9,O$9))</f>
        <v>1</v>
      </c>
      <c r="P52">
        <f>IF($G52="s-curve",$E52+($F52-$E52)*$I$2/(1+EXP($I$3*(COUNT($I$9:P$9)+$I$4))),TREND($E52:$F52,$E$9:$F$9,P$9))</f>
        <v>1</v>
      </c>
      <c r="Q52">
        <f>IF($G52="s-curve",$E52+($F52-$E52)*$I$2/(1+EXP($I$3*(COUNT($I$9:Q$9)+$I$4))),TREND($E52:$F52,$E$9:$F$9,Q$9))</f>
        <v>1</v>
      </c>
      <c r="R52">
        <f>IF($G52="s-curve",$E52+($F52-$E52)*$I$2/(1+EXP($I$3*(COUNT($I$9:R$9)+$I$4))),TREND($E52:$F52,$E$9:$F$9,R$9))</f>
        <v>1</v>
      </c>
      <c r="S52">
        <f>IF($G52="s-curve",$E52+($F52-$E52)*$I$2/(1+EXP($I$3*(COUNT($I$9:S$9)+$I$4))),TREND($E52:$F52,$E$9:$F$9,S$9))</f>
        <v>1</v>
      </c>
      <c r="T52">
        <f>IF($G52="s-curve",$E52+($F52-$E52)*$I$2/(1+EXP($I$3*(COUNT($I$9:T$9)+$I$4))),TREND($E52:$F52,$E$9:$F$9,T$9))</f>
        <v>1</v>
      </c>
      <c r="U52">
        <f>IF($G52="s-curve",$E52+($F52-$E52)*$I$2/(1+EXP($I$3*(COUNT($I$9:U$9)+$I$4))),TREND($E52:$F52,$E$9:$F$9,U$9))</f>
        <v>1</v>
      </c>
      <c r="V52">
        <f>IF($G52="s-curve",$E52+($F52-$E52)*$I$2/(1+EXP($I$3*(COUNT($I$9:V$9)+$I$4))),TREND($E52:$F52,$E$9:$F$9,V$9))</f>
        <v>1</v>
      </c>
      <c r="W52">
        <f>IF($G52="s-curve",$E52+($F52-$E52)*$I$2/(1+EXP($I$3*(COUNT($I$9:W$9)+$I$4))),TREND($E52:$F52,$E$9:$F$9,W$9))</f>
        <v>1</v>
      </c>
      <c r="X52">
        <f>IF($G52="s-curve",$E52+($F52-$E52)*$I$2/(1+EXP($I$3*(COUNT($I$9:X$9)+$I$4))),TREND($E52:$F52,$E$9:$F$9,X$9))</f>
        <v>1</v>
      </c>
      <c r="Y52">
        <f>IF($G52="s-curve",$E52+($F52-$E52)*$I$2/(1+EXP($I$3*(COUNT($I$9:Y$9)+$I$4))),TREND($E52:$F52,$E$9:$F$9,Y$9))</f>
        <v>1</v>
      </c>
      <c r="Z52">
        <f>IF($G52="s-curve",$E52+($F52-$E52)*$I$2/(1+EXP($I$3*(COUNT($I$9:Z$9)+$I$4))),TREND($E52:$F52,$E$9:$F$9,Z$9))</f>
        <v>1</v>
      </c>
      <c r="AA52">
        <f>IF($G52="s-curve",$E52+($F52-$E52)*$I$2/(1+EXP($I$3*(COUNT($I$9:AA$9)+$I$4))),TREND($E52:$F52,$E$9:$F$9,AA$9))</f>
        <v>1</v>
      </c>
      <c r="AB52">
        <f>IF($G52="s-curve",$E52+($F52-$E52)*$I$2/(1+EXP($I$3*(COUNT($I$9:AB$9)+$I$4))),TREND($E52:$F52,$E$9:$F$9,AB$9))</f>
        <v>1</v>
      </c>
      <c r="AC52">
        <f>IF($G52="s-curve",$E52+($F52-$E52)*$I$2/(1+EXP($I$3*(COUNT($I$9:AC$9)+$I$4))),TREND($E52:$F52,$E$9:$F$9,AC$9))</f>
        <v>1</v>
      </c>
      <c r="AD52">
        <f>IF($G52="s-curve",$E52+($F52-$E52)*$I$2/(1+EXP($I$3*(COUNT($I$9:AD$9)+$I$4))),TREND($E52:$F52,$E$9:$F$9,AD$9))</f>
        <v>1</v>
      </c>
      <c r="AE52">
        <f>IF($G52="s-curve",$E52+($F52-$E52)*$I$2/(1+EXP($I$3*(COUNT($I$9:AE$9)+$I$4))),TREND($E52:$F52,$E$9:$F$9,AE$9))</f>
        <v>1</v>
      </c>
      <c r="AF52">
        <f>IF($G52="s-curve",$E52+($F52-$E52)*$I$2/(1+EXP($I$3*(COUNT($I$9:AF$9)+$I$4))),TREND($E52:$F52,$E$9:$F$9,AF$9))</f>
        <v>1</v>
      </c>
      <c r="AG52">
        <f>IF($G52="s-curve",$E52+($F52-$E52)*$I$2/(1+EXP($I$3*(COUNT($I$9:AG$9)+$I$4))),TREND($E52:$F52,$E$9:$F$9,AG$9))</f>
        <v>1</v>
      </c>
      <c r="AH52">
        <f>IF($G52="s-curve",$E52+($F52-$E52)*$I$2/(1+EXP($I$3*(COUNT($I$9:AH$9)+$I$4))),TREND($E52:$F52,$E$9:$F$9,AH$9))</f>
        <v>1</v>
      </c>
      <c r="AI52">
        <f>IF($G52="s-curve",$E52+($F52-$E52)*$I$2/(1+EXP($I$3*(COUNT($I$9:AI$9)+$I$4))),TREND($E52:$F52,$E$9:$F$9,AI$9))</f>
        <v>1</v>
      </c>
    </row>
    <row r="53" spans="1:35" x14ac:dyDescent="0.25">
      <c r="C53" t="s">
        <v>291</v>
      </c>
      <c r="E53">
        <v>0</v>
      </c>
      <c r="F53">
        <v>0</v>
      </c>
      <c r="G53" t="str">
        <f>IF(E53=F53,"n/a",IF(OR(C53="battery electric vehicle",C53="natural gas vehicle",C53="plugin hybrid vehicle"),"s-curve","linear"))</f>
        <v>n/a</v>
      </c>
      <c r="I53">
        <f t="shared" si="10"/>
        <v>0</v>
      </c>
      <c r="J53">
        <f>IF($G53="s-curve",$E53+($F53-$E53)*$I$2/(1+EXP($I$3*(COUNT($I$9:J$9)+$I$4))),TREND($E53:$F53,$E$9:$F$9,J$9))</f>
        <v>0</v>
      </c>
      <c r="K53">
        <f>IF($G53="s-curve",$E53+($F53-$E53)*$I$2/(1+EXP($I$3*(COUNT($I$9:K$9)+$I$4))),TREND($E53:$F53,$E$9:$F$9,K$9))</f>
        <v>0</v>
      </c>
      <c r="L53">
        <f>IF($G53="s-curve",$E53+($F53-$E53)*$I$2/(1+EXP($I$3*(COUNT($I$9:L$9)+$I$4))),TREND($E53:$F53,$E$9:$F$9,L$9))</f>
        <v>0</v>
      </c>
      <c r="M53">
        <f>IF($G53="s-curve",$E53+($F53-$E53)*$I$2/(1+EXP($I$3*(COUNT($I$9:M$9)+$I$4))),TREND($E53:$F53,$E$9:$F$9,M$9))</f>
        <v>0</v>
      </c>
      <c r="N53">
        <f>IF($G53="s-curve",$E53+($F53-$E53)*$I$2/(1+EXP($I$3*(COUNT($I$9:N$9)+$I$4))),TREND($E53:$F53,$E$9:$F$9,N$9))</f>
        <v>0</v>
      </c>
      <c r="O53">
        <f>IF($G53="s-curve",$E53+($F53-$E53)*$I$2/(1+EXP($I$3*(COUNT($I$9:O$9)+$I$4))),TREND($E53:$F53,$E$9:$F$9,O$9))</f>
        <v>0</v>
      </c>
      <c r="P53">
        <f>IF($G53="s-curve",$E53+($F53-$E53)*$I$2/(1+EXP($I$3*(COUNT($I$9:P$9)+$I$4))),TREND($E53:$F53,$E$9:$F$9,P$9))</f>
        <v>0</v>
      </c>
      <c r="Q53">
        <f>IF($G53="s-curve",$E53+($F53-$E53)*$I$2/(1+EXP($I$3*(COUNT($I$9:Q$9)+$I$4))),TREND($E53:$F53,$E$9:$F$9,Q$9))</f>
        <v>0</v>
      </c>
      <c r="R53">
        <f>IF($G53="s-curve",$E53+($F53-$E53)*$I$2/(1+EXP($I$3*(COUNT($I$9:R$9)+$I$4))),TREND($E53:$F53,$E$9:$F$9,R$9))</f>
        <v>0</v>
      </c>
      <c r="S53">
        <f>IF($G53="s-curve",$E53+($F53-$E53)*$I$2/(1+EXP($I$3*(COUNT($I$9:S$9)+$I$4))),TREND($E53:$F53,$E$9:$F$9,S$9))</f>
        <v>0</v>
      </c>
      <c r="T53">
        <f>IF($G53="s-curve",$E53+($F53-$E53)*$I$2/(1+EXP($I$3*(COUNT($I$9:T$9)+$I$4))),TREND($E53:$F53,$E$9:$F$9,T$9))</f>
        <v>0</v>
      </c>
      <c r="U53">
        <f>IF($G53="s-curve",$E53+($F53-$E53)*$I$2/(1+EXP($I$3*(COUNT($I$9:U$9)+$I$4))),TREND($E53:$F53,$E$9:$F$9,U$9))</f>
        <v>0</v>
      </c>
      <c r="V53">
        <f>IF($G53="s-curve",$E53+($F53-$E53)*$I$2/(1+EXP($I$3*(COUNT($I$9:V$9)+$I$4))),TREND($E53:$F53,$E$9:$F$9,V$9))</f>
        <v>0</v>
      </c>
      <c r="W53">
        <f>IF($G53="s-curve",$E53+($F53-$E53)*$I$2/(1+EXP($I$3*(COUNT($I$9:W$9)+$I$4))),TREND($E53:$F53,$E$9:$F$9,W$9))</f>
        <v>0</v>
      </c>
      <c r="X53">
        <f>IF($G53="s-curve",$E53+($F53-$E53)*$I$2/(1+EXP($I$3*(COUNT($I$9:X$9)+$I$4))),TREND($E53:$F53,$E$9:$F$9,X$9))</f>
        <v>0</v>
      </c>
      <c r="Y53">
        <f>IF($G53="s-curve",$E53+($F53-$E53)*$I$2/(1+EXP($I$3*(COUNT($I$9:Y$9)+$I$4))),TREND($E53:$F53,$E$9:$F$9,Y$9))</f>
        <v>0</v>
      </c>
      <c r="Z53">
        <f>IF($G53="s-curve",$E53+($F53-$E53)*$I$2/(1+EXP($I$3*(COUNT($I$9:Z$9)+$I$4))),TREND($E53:$F53,$E$9:$F$9,Z$9))</f>
        <v>0</v>
      </c>
      <c r="AA53">
        <f>IF($G53="s-curve",$E53+($F53-$E53)*$I$2/(1+EXP($I$3*(COUNT($I$9:AA$9)+$I$4))),TREND($E53:$F53,$E$9:$F$9,AA$9))</f>
        <v>0</v>
      </c>
      <c r="AB53">
        <f>IF($G53="s-curve",$E53+($F53-$E53)*$I$2/(1+EXP($I$3*(COUNT($I$9:AB$9)+$I$4))),TREND($E53:$F53,$E$9:$F$9,AB$9))</f>
        <v>0</v>
      </c>
      <c r="AC53">
        <f>IF($G53="s-curve",$E53+($F53-$E53)*$I$2/(1+EXP($I$3*(COUNT($I$9:AC$9)+$I$4))),TREND($E53:$F53,$E$9:$F$9,AC$9))</f>
        <v>0</v>
      </c>
      <c r="AD53">
        <f>IF($G53="s-curve",$E53+($F53-$E53)*$I$2/(1+EXP($I$3*(COUNT($I$9:AD$9)+$I$4))),TREND($E53:$F53,$E$9:$F$9,AD$9))</f>
        <v>0</v>
      </c>
      <c r="AE53">
        <f>IF($G53="s-curve",$E53+($F53-$E53)*$I$2/(1+EXP($I$3*(COUNT($I$9:AE$9)+$I$4))),TREND($E53:$F53,$E$9:$F$9,AE$9))</f>
        <v>0</v>
      </c>
      <c r="AF53">
        <f>IF($G53="s-curve",$E53+($F53-$E53)*$I$2/(1+EXP($I$3*(COUNT($I$9:AF$9)+$I$4))),TREND($E53:$F53,$E$9:$F$9,AF$9))</f>
        <v>0</v>
      </c>
      <c r="AG53">
        <f>IF($G53="s-curve",$E53+($F53-$E53)*$I$2/(1+EXP($I$3*(COUNT($I$9:AG$9)+$I$4))),TREND($E53:$F53,$E$9:$F$9,AG$9))</f>
        <v>0</v>
      </c>
      <c r="AH53">
        <f>IF($G53="s-curve",$E53+($F53-$E53)*$I$2/(1+EXP($I$3*(COUNT($I$9:AH$9)+$I$4))),TREND($E53:$F53,$E$9:$F$9,AH$9))</f>
        <v>0</v>
      </c>
      <c r="AI53">
        <f>IF($G53="s-curve",$E53+($F53-$E53)*$I$2/(1+EXP($I$3*(COUNT($I$9:AI$9)+$I$4))),TREND($E53:$F53,$E$9:$F$9,AI$9))</f>
        <v>0</v>
      </c>
    </row>
    <row r="54" spans="1:35" x14ac:dyDescent="0.25">
      <c r="C54" t="s">
        <v>292</v>
      </c>
      <c r="E54">
        <v>0</v>
      </c>
      <c r="F54">
        <v>0</v>
      </c>
      <c r="G54" t="str">
        <f>IF(E54=F54,"n/a",IF(OR(C54="battery electric vehicle",C54="natural gas vehicle",C54="plugin hybrid vehicle"),"s-curve","linear"))</f>
        <v>n/a</v>
      </c>
      <c r="I54">
        <f t="shared" si="10"/>
        <v>0</v>
      </c>
      <c r="J54">
        <f>IF($G54="s-curve",$E54+($F54-$E54)*$I$2/(1+EXP($I$3*(COUNT($I$9:J$9)+$I$4))),TREND($E54:$F54,$E$9:$F$9,J$9))</f>
        <v>0</v>
      </c>
      <c r="K54">
        <f>IF($G54="s-curve",$E54+($F54-$E54)*$I$2/(1+EXP($I$3*(COUNT($I$9:K$9)+$I$4))),TREND($E54:$F54,$E$9:$F$9,K$9))</f>
        <v>0</v>
      </c>
      <c r="L54">
        <f>IF($G54="s-curve",$E54+($F54-$E54)*$I$2/(1+EXP($I$3*(COUNT($I$9:L$9)+$I$4))),TREND($E54:$F54,$E$9:$F$9,L$9))</f>
        <v>0</v>
      </c>
      <c r="M54">
        <f>IF($G54="s-curve",$E54+($F54-$E54)*$I$2/(1+EXP($I$3*(COUNT($I$9:M$9)+$I$4))),TREND($E54:$F54,$E$9:$F$9,M$9))</f>
        <v>0</v>
      </c>
      <c r="N54">
        <f>IF($G54="s-curve",$E54+($F54-$E54)*$I$2/(1+EXP($I$3*(COUNT($I$9:N$9)+$I$4))),TREND($E54:$F54,$E$9:$F$9,N$9))</f>
        <v>0</v>
      </c>
      <c r="O54">
        <f>IF($G54="s-curve",$E54+($F54-$E54)*$I$2/(1+EXP($I$3*(COUNT($I$9:O$9)+$I$4))),TREND($E54:$F54,$E$9:$F$9,O$9))</f>
        <v>0</v>
      </c>
      <c r="P54">
        <f>IF($G54="s-curve",$E54+($F54-$E54)*$I$2/(1+EXP($I$3*(COUNT($I$9:P$9)+$I$4))),TREND($E54:$F54,$E$9:$F$9,P$9))</f>
        <v>0</v>
      </c>
      <c r="Q54">
        <f>IF($G54="s-curve",$E54+($F54-$E54)*$I$2/(1+EXP($I$3*(COUNT($I$9:Q$9)+$I$4))),TREND($E54:$F54,$E$9:$F$9,Q$9))</f>
        <v>0</v>
      </c>
      <c r="R54">
        <f>IF($G54="s-curve",$E54+($F54-$E54)*$I$2/(1+EXP($I$3*(COUNT($I$9:R$9)+$I$4))),TREND($E54:$F54,$E$9:$F$9,R$9))</f>
        <v>0</v>
      </c>
      <c r="S54">
        <f>IF($G54="s-curve",$E54+($F54-$E54)*$I$2/(1+EXP($I$3*(COUNT($I$9:S$9)+$I$4))),TREND($E54:$F54,$E$9:$F$9,S$9))</f>
        <v>0</v>
      </c>
      <c r="T54">
        <f>IF($G54="s-curve",$E54+($F54-$E54)*$I$2/(1+EXP($I$3*(COUNT($I$9:T$9)+$I$4))),TREND($E54:$F54,$E$9:$F$9,T$9))</f>
        <v>0</v>
      </c>
      <c r="U54">
        <f>IF($G54="s-curve",$E54+($F54-$E54)*$I$2/(1+EXP($I$3*(COUNT($I$9:U$9)+$I$4))),TREND($E54:$F54,$E$9:$F$9,U$9))</f>
        <v>0</v>
      </c>
      <c r="V54">
        <f>IF($G54="s-curve",$E54+($F54-$E54)*$I$2/(1+EXP($I$3*(COUNT($I$9:V$9)+$I$4))),TREND($E54:$F54,$E$9:$F$9,V$9))</f>
        <v>0</v>
      </c>
      <c r="W54">
        <f>IF($G54="s-curve",$E54+($F54-$E54)*$I$2/(1+EXP($I$3*(COUNT($I$9:W$9)+$I$4))),TREND($E54:$F54,$E$9:$F$9,W$9))</f>
        <v>0</v>
      </c>
      <c r="X54">
        <f>IF($G54="s-curve",$E54+($F54-$E54)*$I$2/(1+EXP($I$3*(COUNT($I$9:X$9)+$I$4))),TREND($E54:$F54,$E$9:$F$9,X$9))</f>
        <v>0</v>
      </c>
      <c r="Y54">
        <f>IF($G54="s-curve",$E54+($F54-$E54)*$I$2/(1+EXP($I$3*(COUNT($I$9:Y$9)+$I$4))),TREND($E54:$F54,$E$9:$F$9,Y$9))</f>
        <v>0</v>
      </c>
      <c r="Z54">
        <f>IF($G54="s-curve",$E54+($F54-$E54)*$I$2/(1+EXP($I$3*(COUNT($I$9:Z$9)+$I$4))),TREND($E54:$F54,$E$9:$F$9,Z$9))</f>
        <v>0</v>
      </c>
      <c r="AA54">
        <f>IF($G54="s-curve",$E54+($F54-$E54)*$I$2/(1+EXP($I$3*(COUNT($I$9:AA$9)+$I$4))),TREND($E54:$F54,$E$9:$F$9,AA$9))</f>
        <v>0</v>
      </c>
      <c r="AB54">
        <f>IF($G54="s-curve",$E54+($F54-$E54)*$I$2/(1+EXP($I$3*(COUNT($I$9:AB$9)+$I$4))),TREND($E54:$F54,$E$9:$F$9,AB$9))</f>
        <v>0</v>
      </c>
      <c r="AC54">
        <f>IF($G54="s-curve",$E54+($F54-$E54)*$I$2/(1+EXP($I$3*(COUNT($I$9:AC$9)+$I$4))),TREND($E54:$F54,$E$9:$F$9,AC$9))</f>
        <v>0</v>
      </c>
      <c r="AD54">
        <f>IF($G54="s-curve",$E54+($F54-$E54)*$I$2/(1+EXP($I$3*(COUNT($I$9:AD$9)+$I$4))),TREND($E54:$F54,$E$9:$F$9,AD$9))</f>
        <v>0</v>
      </c>
      <c r="AE54">
        <f>IF($G54="s-curve",$E54+($F54-$E54)*$I$2/(1+EXP($I$3*(COUNT($I$9:AE$9)+$I$4))),TREND($E54:$F54,$E$9:$F$9,AE$9))</f>
        <v>0</v>
      </c>
      <c r="AF54">
        <f>IF($G54="s-curve",$E54+($F54-$E54)*$I$2/(1+EXP($I$3*(COUNT($I$9:AF$9)+$I$4))),TREND($E54:$F54,$E$9:$F$9,AF$9))</f>
        <v>0</v>
      </c>
      <c r="AG54">
        <f>IF($G54="s-curve",$E54+($F54-$E54)*$I$2/(1+EXP($I$3*(COUNT($I$9:AG$9)+$I$4))),TREND($E54:$F54,$E$9:$F$9,AG$9))</f>
        <v>0</v>
      </c>
      <c r="AH54">
        <f>IF($G54="s-curve",$E54+($F54-$E54)*$I$2/(1+EXP($I$3*(COUNT($I$9:AH$9)+$I$4))),TREND($E54:$F54,$E$9:$F$9,AH$9))</f>
        <v>0</v>
      </c>
      <c r="AI54">
        <f>IF($G54="s-curve",$E54+($F54-$E54)*$I$2/(1+EXP($I$3*(COUNT($I$9:AI$9)+$I$4))),TREND($E54:$F54,$E$9:$F$9,AI$9))</f>
        <v>0</v>
      </c>
    </row>
    <row r="55" spans="1:35" x14ac:dyDescent="0.25">
      <c r="C55" t="s">
        <v>293</v>
      </c>
      <c r="E55">
        <f>1-E52</f>
        <v>0</v>
      </c>
      <c r="F55">
        <f>E55</f>
        <v>0</v>
      </c>
      <c r="G55" t="str">
        <f>IF(E55=F55,"n/a",IF(OR(C55="battery electric vehicle",C55="natural gas vehicle",C55="plugin hybrid vehicle"),"s-curve","linear"))</f>
        <v>n/a</v>
      </c>
      <c r="I55">
        <f t="shared" si="10"/>
        <v>0</v>
      </c>
      <c r="J55">
        <f>IF($G55="s-curve",$E55+($F55-$E55)*$I$2/(1+EXP($I$3*(COUNT($I$9:J$9)+$I$4))),TREND($E55:$F55,$E$9:$F$9,J$9))</f>
        <v>0</v>
      </c>
      <c r="K55">
        <f>IF($G55="s-curve",$E55+($F55-$E55)*$I$2/(1+EXP($I$3*(COUNT($I$9:K$9)+$I$4))),TREND($E55:$F55,$E$9:$F$9,K$9))</f>
        <v>0</v>
      </c>
      <c r="L55">
        <f>IF($G55="s-curve",$E55+($F55-$E55)*$I$2/(1+EXP($I$3*(COUNT($I$9:L$9)+$I$4))),TREND($E55:$F55,$E$9:$F$9,L$9))</f>
        <v>0</v>
      </c>
      <c r="M55">
        <f>IF($G55="s-curve",$E55+($F55-$E55)*$I$2/(1+EXP($I$3*(COUNT($I$9:M$9)+$I$4))),TREND($E55:$F55,$E$9:$F$9,M$9))</f>
        <v>0</v>
      </c>
      <c r="N55">
        <f>IF($G55="s-curve",$E55+($F55-$E55)*$I$2/(1+EXP($I$3*(COUNT($I$9:N$9)+$I$4))),TREND($E55:$F55,$E$9:$F$9,N$9))</f>
        <v>0</v>
      </c>
      <c r="O55">
        <f>IF($G55="s-curve",$E55+($F55-$E55)*$I$2/(1+EXP($I$3*(COUNT($I$9:O$9)+$I$4))),TREND($E55:$F55,$E$9:$F$9,O$9))</f>
        <v>0</v>
      </c>
      <c r="P55">
        <f>IF($G55="s-curve",$E55+($F55-$E55)*$I$2/(1+EXP($I$3*(COUNT($I$9:P$9)+$I$4))),TREND($E55:$F55,$E$9:$F$9,P$9))</f>
        <v>0</v>
      </c>
      <c r="Q55">
        <f>IF($G55="s-curve",$E55+($F55-$E55)*$I$2/(1+EXP($I$3*(COUNT($I$9:Q$9)+$I$4))),TREND($E55:$F55,$E$9:$F$9,Q$9))</f>
        <v>0</v>
      </c>
      <c r="R55">
        <f>IF($G55="s-curve",$E55+($F55-$E55)*$I$2/(1+EXP($I$3*(COUNT($I$9:R$9)+$I$4))),TREND($E55:$F55,$E$9:$F$9,R$9))</f>
        <v>0</v>
      </c>
      <c r="S55">
        <f>IF($G55="s-curve",$E55+($F55-$E55)*$I$2/(1+EXP($I$3*(COUNT($I$9:S$9)+$I$4))),TREND($E55:$F55,$E$9:$F$9,S$9))</f>
        <v>0</v>
      </c>
      <c r="T55">
        <f>IF($G55="s-curve",$E55+($F55-$E55)*$I$2/(1+EXP($I$3*(COUNT($I$9:T$9)+$I$4))),TREND($E55:$F55,$E$9:$F$9,T$9))</f>
        <v>0</v>
      </c>
      <c r="U55">
        <f>IF($G55="s-curve",$E55+($F55-$E55)*$I$2/(1+EXP($I$3*(COUNT($I$9:U$9)+$I$4))),TREND($E55:$F55,$E$9:$F$9,U$9))</f>
        <v>0</v>
      </c>
      <c r="V55">
        <f>IF($G55="s-curve",$E55+($F55-$E55)*$I$2/(1+EXP($I$3*(COUNT($I$9:V$9)+$I$4))),TREND($E55:$F55,$E$9:$F$9,V$9))</f>
        <v>0</v>
      </c>
      <c r="W55">
        <f>IF($G55="s-curve",$E55+($F55-$E55)*$I$2/(1+EXP($I$3*(COUNT($I$9:W$9)+$I$4))),TREND($E55:$F55,$E$9:$F$9,W$9))</f>
        <v>0</v>
      </c>
      <c r="X55">
        <f>IF($G55="s-curve",$E55+($F55-$E55)*$I$2/(1+EXP($I$3*(COUNT($I$9:X$9)+$I$4))),TREND($E55:$F55,$E$9:$F$9,X$9))</f>
        <v>0</v>
      </c>
      <c r="Y55">
        <f>IF($G55="s-curve",$E55+($F55-$E55)*$I$2/(1+EXP($I$3*(COUNT($I$9:Y$9)+$I$4))),TREND($E55:$F55,$E$9:$F$9,Y$9))</f>
        <v>0</v>
      </c>
      <c r="Z55">
        <f>IF($G55="s-curve",$E55+($F55-$E55)*$I$2/(1+EXP($I$3*(COUNT($I$9:Z$9)+$I$4))),TREND($E55:$F55,$E$9:$F$9,Z$9))</f>
        <v>0</v>
      </c>
      <c r="AA55">
        <f>IF($G55="s-curve",$E55+($F55-$E55)*$I$2/(1+EXP($I$3*(COUNT($I$9:AA$9)+$I$4))),TREND($E55:$F55,$E$9:$F$9,AA$9))</f>
        <v>0</v>
      </c>
      <c r="AB55">
        <f>IF($G55="s-curve",$E55+($F55-$E55)*$I$2/(1+EXP($I$3*(COUNT($I$9:AB$9)+$I$4))),TREND($E55:$F55,$E$9:$F$9,AB$9))</f>
        <v>0</v>
      </c>
      <c r="AC55">
        <f>IF($G55="s-curve",$E55+($F55-$E55)*$I$2/(1+EXP($I$3*(COUNT($I$9:AC$9)+$I$4))),TREND($E55:$F55,$E$9:$F$9,AC$9))</f>
        <v>0</v>
      </c>
      <c r="AD55">
        <f>IF($G55="s-curve",$E55+($F55-$E55)*$I$2/(1+EXP($I$3*(COUNT($I$9:AD$9)+$I$4))),TREND($E55:$F55,$E$9:$F$9,AD$9))</f>
        <v>0</v>
      </c>
      <c r="AE55">
        <f>IF($G55="s-curve",$E55+($F55-$E55)*$I$2/(1+EXP($I$3*(COUNT($I$9:AE$9)+$I$4))),TREND($E55:$F55,$E$9:$F$9,AE$9))</f>
        <v>0</v>
      </c>
      <c r="AF55">
        <f>IF($G55="s-curve",$E55+($F55-$E55)*$I$2/(1+EXP($I$3*(COUNT($I$9:AF$9)+$I$4))),TREND($E55:$F55,$E$9:$F$9,AF$9))</f>
        <v>0</v>
      </c>
      <c r="AG55">
        <f>IF($G55="s-curve",$E55+($F55-$E55)*$I$2/(1+EXP($I$3*(COUNT($I$9:AG$9)+$I$4))),TREND($E55:$F55,$E$9:$F$9,AG$9))</f>
        <v>0</v>
      </c>
      <c r="AH55">
        <f>IF($G55="s-curve",$E55+($F55-$E55)*$I$2/(1+EXP($I$3*(COUNT($I$9:AH$9)+$I$4))),TREND($E55:$F55,$E$9:$F$9,AH$9))</f>
        <v>0</v>
      </c>
      <c r="AI55">
        <f>IF($G55="s-curve",$E55+($F55-$E55)*$I$2/(1+EXP($I$3*(COUNT($I$9:AI$9)+$I$4))),TREND($E55:$F55,$E$9:$F$9,AI$9))</f>
        <v>0</v>
      </c>
    </row>
    <row r="56" spans="1:35" x14ac:dyDescent="0.25">
      <c r="C56" t="s">
        <v>180</v>
      </c>
      <c r="E56">
        <v>0</v>
      </c>
      <c r="F56">
        <v>0</v>
      </c>
      <c r="G56" t="str">
        <f>IF(E56=F56,"n/a",IF(OR(C56="battery electric vehicle",C56="natural gas vehicle",C56="plugin hybrid vehicle"),"s-curve","linear"))</f>
        <v>n/a</v>
      </c>
      <c r="I56">
        <f t="shared" si="10"/>
        <v>0</v>
      </c>
      <c r="J56">
        <f>IF($G56="s-curve",$E56+($F56-$E56)*$I$2/(1+EXP($I$3*(COUNT($I$9:J$9)+$I$4))),TREND($E56:$F56,$E$9:$F$9,J$9))</f>
        <v>0</v>
      </c>
      <c r="K56">
        <f>IF($G56="s-curve",$E56+($F56-$E56)*$I$2/(1+EXP($I$3*(COUNT($I$9:K$9)+$I$4))),TREND($E56:$F56,$E$9:$F$9,K$9))</f>
        <v>0</v>
      </c>
      <c r="L56">
        <f>IF($G56="s-curve",$E56+($F56-$E56)*$I$2/(1+EXP($I$3*(COUNT($I$9:L$9)+$I$4))),TREND($E56:$F56,$E$9:$F$9,L$9))</f>
        <v>0</v>
      </c>
      <c r="M56">
        <f>IF($G56="s-curve",$E56+($F56-$E56)*$I$2/(1+EXP($I$3*(COUNT($I$9:M$9)+$I$4))),TREND($E56:$F56,$E$9:$F$9,M$9))</f>
        <v>0</v>
      </c>
      <c r="N56">
        <f>IF($G56="s-curve",$E56+($F56-$E56)*$I$2/(1+EXP($I$3*(COUNT($I$9:N$9)+$I$4))),TREND($E56:$F56,$E$9:$F$9,N$9))</f>
        <v>0</v>
      </c>
      <c r="O56">
        <f>IF($G56="s-curve",$E56+($F56-$E56)*$I$2/(1+EXP($I$3*(COUNT($I$9:O$9)+$I$4))),TREND($E56:$F56,$E$9:$F$9,O$9))</f>
        <v>0</v>
      </c>
      <c r="P56">
        <f>IF($G56="s-curve",$E56+($F56-$E56)*$I$2/(1+EXP($I$3*(COUNT($I$9:P$9)+$I$4))),TREND($E56:$F56,$E$9:$F$9,P$9))</f>
        <v>0</v>
      </c>
      <c r="Q56">
        <f>IF($G56="s-curve",$E56+($F56-$E56)*$I$2/(1+EXP($I$3*(COUNT($I$9:Q$9)+$I$4))),TREND($E56:$F56,$E$9:$F$9,Q$9))</f>
        <v>0</v>
      </c>
      <c r="R56">
        <f>IF($G56="s-curve",$E56+($F56-$E56)*$I$2/(1+EXP($I$3*(COUNT($I$9:R$9)+$I$4))),TREND($E56:$F56,$E$9:$F$9,R$9))</f>
        <v>0</v>
      </c>
      <c r="S56">
        <f>IF($G56="s-curve",$E56+($F56-$E56)*$I$2/(1+EXP($I$3*(COUNT($I$9:S$9)+$I$4))),TREND($E56:$F56,$E$9:$F$9,S$9))</f>
        <v>0</v>
      </c>
      <c r="T56">
        <f>IF($G56="s-curve",$E56+($F56-$E56)*$I$2/(1+EXP($I$3*(COUNT($I$9:T$9)+$I$4))),TREND($E56:$F56,$E$9:$F$9,T$9))</f>
        <v>0</v>
      </c>
      <c r="U56">
        <f>IF($G56="s-curve",$E56+($F56-$E56)*$I$2/(1+EXP($I$3*(COUNT($I$9:U$9)+$I$4))),TREND($E56:$F56,$E$9:$F$9,U$9))</f>
        <v>0</v>
      </c>
      <c r="V56">
        <f>IF($G56="s-curve",$E56+($F56-$E56)*$I$2/(1+EXP($I$3*(COUNT($I$9:V$9)+$I$4))),TREND($E56:$F56,$E$9:$F$9,V$9))</f>
        <v>0</v>
      </c>
      <c r="W56">
        <f>IF($G56="s-curve",$E56+($F56-$E56)*$I$2/(1+EXP($I$3*(COUNT($I$9:W$9)+$I$4))),TREND($E56:$F56,$E$9:$F$9,W$9))</f>
        <v>0</v>
      </c>
      <c r="X56">
        <f>IF($G56="s-curve",$E56+($F56-$E56)*$I$2/(1+EXP($I$3*(COUNT($I$9:X$9)+$I$4))),TREND($E56:$F56,$E$9:$F$9,X$9))</f>
        <v>0</v>
      </c>
      <c r="Y56">
        <f>IF($G56="s-curve",$E56+($F56-$E56)*$I$2/(1+EXP($I$3*(COUNT($I$9:Y$9)+$I$4))),TREND($E56:$F56,$E$9:$F$9,Y$9))</f>
        <v>0</v>
      </c>
      <c r="Z56">
        <f>IF($G56="s-curve",$E56+($F56-$E56)*$I$2/(1+EXP($I$3*(COUNT($I$9:Z$9)+$I$4))),TREND($E56:$F56,$E$9:$F$9,Z$9))</f>
        <v>0</v>
      </c>
      <c r="AA56">
        <f>IF($G56="s-curve",$E56+($F56-$E56)*$I$2/(1+EXP($I$3*(COUNT($I$9:AA$9)+$I$4))),TREND($E56:$F56,$E$9:$F$9,AA$9))</f>
        <v>0</v>
      </c>
      <c r="AB56">
        <f>IF($G56="s-curve",$E56+($F56-$E56)*$I$2/(1+EXP($I$3*(COUNT($I$9:AB$9)+$I$4))),TREND($E56:$F56,$E$9:$F$9,AB$9))</f>
        <v>0</v>
      </c>
      <c r="AC56">
        <f>IF($G56="s-curve",$E56+($F56-$E56)*$I$2/(1+EXP($I$3*(COUNT($I$9:AC$9)+$I$4))),TREND($E56:$F56,$E$9:$F$9,AC$9))</f>
        <v>0</v>
      </c>
      <c r="AD56">
        <f>IF($G56="s-curve",$E56+($F56-$E56)*$I$2/(1+EXP($I$3*(COUNT($I$9:AD$9)+$I$4))),TREND($E56:$F56,$E$9:$F$9,AD$9))</f>
        <v>0</v>
      </c>
      <c r="AE56">
        <f>IF($G56="s-curve",$E56+($F56-$E56)*$I$2/(1+EXP($I$3*(COUNT($I$9:AE$9)+$I$4))),TREND($E56:$F56,$E$9:$F$9,AE$9))</f>
        <v>0</v>
      </c>
      <c r="AF56">
        <f>IF($G56="s-curve",$E56+($F56-$E56)*$I$2/(1+EXP($I$3*(COUNT($I$9:AF$9)+$I$4))),TREND($E56:$F56,$E$9:$F$9,AF$9))</f>
        <v>0</v>
      </c>
      <c r="AG56">
        <f>IF($G56="s-curve",$E56+($F56-$E56)*$I$2/(1+EXP($I$3*(COUNT($I$9:AG$9)+$I$4))),TREND($E56:$F56,$E$9:$F$9,AG$9))</f>
        <v>0</v>
      </c>
      <c r="AH56">
        <f>IF($G56="s-curve",$E56+($F56-$E56)*$I$2/(1+EXP($I$3*(COUNT($I$9:AH$9)+$I$4))),TREND($E56:$F56,$E$9:$F$9,AH$9))</f>
        <v>0</v>
      </c>
      <c r="AI56">
        <f>IF($G56="s-curve",$E56+($F56-$E56)*$I$2/(1+EXP($I$3*(COUNT($I$9:AI$9)+$I$4))),TREND($E56:$F56,$E$9:$F$9,AI$9))</f>
        <v>0</v>
      </c>
    </row>
    <row r="57" spans="1:35" x14ac:dyDescent="0.25">
      <c r="C57" t="s">
        <v>294</v>
      </c>
      <c r="E57">
        <v>0</v>
      </c>
      <c r="F57">
        <v>0</v>
      </c>
      <c r="G57" t="str">
        <f>IF(E57=F57,"n/a",IF(OR(C57="battery electric vehicle",C57="natural gas vehicle",C57="plugin hybrid vehicle",C57="hydrogen vehicle"),"s-curve","linear"))</f>
        <v>n/a</v>
      </c>
      <c r="I57">
        <f t="shared" si="10"/>
        <v>0</v>
      </c>
      <c r="J57">
        <f>IF($G57="s-curve",$E57+($F57-$E57)*$I$2/(1+EXP($I$3*(COUNT($I$9:J$9)+$I$4))),TREND($E57:$F57,$E$9:$F$9,J$9))</f>
        <v>0</v>
      </c>
      <c r="K57">
        <f>IF($G57="s-curve",$E57+($F57-$E57)*$I$2/(1+EXP($I$3*(COUNT($I$9:K$9)+$I$4))),TREND($E57:$F57,$E$9:$F$9,K$9))</f>
        <v>0</v>
      </c>
      <c r="L57">
        <f>IF($G57="s-curve",$E57+($F57-$E57)*$I$2/(1+EXP($I$3*(COUNT($I$9:L$9)+$I$4))),TREND($E57:$F57,$E$9:$F$9,L$9))</f>
        <v>0</v>
      </c>
      <c r="M57">
        <f>IF($G57="s-curve",$E57+($F57-$E57)*$I$2/(1+EXP($I$3*(COUNT($I$9:M$9)+$I$4))),TREND($E57:$F57,$E$9:$F$9,M$9))</f>
        <v>0</v>
      </c>
      <c r="N57">
        <f>IF($G57="s-curve",$E57+($F57-$E57)*$I$2/(1+EXP($I$3*(COUNT($I$9:N$9)+$I$4))),TREND($E57:$F57,$E$9:$F$9,N$9))</f>
        <v>0</v>
      </c>
      <c r="O57">
        <f>IF($G57="s-curve",$E57+($F57-$E57)*$I$2/(1+EXP($I$3*(COUNT($I$9:O$9)+$I$4))),TREND($E57:$F57,$E$9:$F$9,O$9))</f>
        <v>0</v>
      </c>
      <c r="P57">
        <f>IF($G57="s-curve",$E57+($F57-$E57)*$I$2/(1+EXP($I$3*(COUNT($I$9:P$9)+$I$4))),TREND($E57:$F57,$E$9:$F$9,P$9))</f>
        <v>0</v>
      </c>
      <c r="Q57">
        <f>IF($G57="s-curve",$E57+($F57-$E57)*$I$2/(1+EXP($I$3*(COUNT($I$9:Q$9)+$I$4))),TREND($E57:$F57,$E$9:$F$9,Q$9))</f>
        <v>0</v>
      </c>
      <c r="R57">
        <f>IF($G57="s-curve",$E57+($F57-$E57)*$I$2/(1+EXP($I$3*(COUNT($I$9:R$9)+$I$4))),TREND($E57:$F57,$E$9:$F$9,R$9))</f>
        <v>0</v>
      </c>
      <c r="S57">
        <f>IF($G57="s-curve",$E57+($F57-$E57)*$I$2/(1+EXP($I$3*(COUNT($I$9:S$9)+$I$4))),TREND($E57:$F57,$E$9:$F$9,S$9))</f>
        <v>0</v>
      </c>
      <c r="T57">
        <f>IF($G57="s-curve",$E57+($F57-$E57)*$I$2/(1+EXP($I$3*(COUNT($I$9:T$9)+$I$4))),TREND($E57:$F57,$E$9:$F$9,T$9))</f>
        <v>0</v>
      </c>
      <c r="U57">
        <f>IF($G57="s-curve",$E57+($F57-$E57)*$I$2/(1+EXP($I$3*(COUNT($I$9:U$9)+$I$4))),TREND($E57:$F57,$E$9:$F$9,U$9))</f>
        <v>0</v>
      </c>
      <c r="V57">
        <f>IF($G57="s-curve",$E57+($F57-$E57)*$I$2/(1+EXP($I$3*(COUNT($I$9:V$9)+$I$4))),TREND($E57:$F57,$E$9:$F$9,V$9))</f>
        <v>0</v>
      </c>
      <c r="W57">
        <f>IF($G57="s-curve",$E57+($F57-$E57)*$I$2/(1+EXP($I$3*(COUNT($I$9:W$9)+$I$4))),TREND($E57:$F57,$E$9:$F$9,W$9))</f>
        <v>0</v>
      </c>
      <c r="X57">
        <f>IF($G57="s-curve",$E57+($F57-$E57)*$I$2/(1+EXP($I$3*(COUNT($I$9:X$9)+$I$4))),TREND($E57:$F57,$E$9:$F$9,X$9))</f>
        <v>0</v>
      </c>
      <c r="Y57">
        <f>IF($G57="s-curve",$E57+($F57-$E57)*$I$2/(1+EXP($I$3*(COUNT($I$9:Y$9)+$I$4))),TREND($E57:$F57,$E$9:$F$9,Y$9))</f>
        <v>0</v>
      </c>
      <c r="Z57">
        <f>IF($G57="s-curve",$E57+($F57-$E57)*$I$2/(1+EXP($I$3*(COUNT($I$9:Z$9)+$I$4))),TREND($E57:$F57,$E$9:$F$9,Z$9))</f>
        <v>0</v>
      </c>
      <c r="AA57">
        <f>IF($G57="s-curve",$E57+($F57-$E57)*$I$2/(1+EXP($I$3*(COUNT($I$9:AA$9)+$I$4))),TREND($E57:$F57,$E$9:$F$9,AA$9))</f>
        <v>0</v>
      </c>
      <c r="AB57">
        <f>IF($G57="s-curve",$E57+($F57-$E57)*$I$2/(1+EXP($I$3*(COUNT($I$9:AB$9)+$I$4))),TREND($E57:$F57,$E$9:$F$9,AB$9))</f>
        <v>0</v>
      </c>
      <c r="AC57">
        <f>IF($G57="s-curve",$E57+($F57-$E57)*$I$2/(1+EXP($I$3*(COUNT($I$9:AC$9)+$I$4))),TREND($E57:$F57,$E$9:$F$9,AC$9))</f>
        <v>0</v>
      </c>
      <c r="AD57">
        <f>IF($G57="s-curve",$E57+($F57-$E57)*$I$2/(1+EXP($I$3*(COUNT($I$9:AD$9)+$I$4))),TREND($E57:$F57,$E$9:$F$9,AD$9))</f>
        <v>0</v>
      </c>
      <c r="AE57">
        <f>IF($G57="s-curve",$E57+($F57-$E57)*$I$2/(1+EXP($I$3*(COUNT($I$9:AE$9)+$I$4))),TREND($E57:$F57,$E$9:$F$9,AE$9))</f>
        <v>0</v>
      </c>
      <c r="AF57">
        <f>IF($G57="s-curve",$E57+($F57-$E57)*$I$2/(1+EXP($I$3*(COUNT($I$9:AF$9)+$I$4))),TREND($E57:$F57,$E$9:$F$9,AF$9))</f>
        <v>0</v>
      </c>
      <c r="AG57">
        <f>IF($G57="s-curve",$E57+($F57-$E57)*$I$2/(1+EXP($I$3*(COUNT($I$9:AG$9)+$I$4))),TREND($E57:$F57,$E$9:$F$9,AG$9))</f>
        <v>0</v>
      </c>
      <c r="AH57">
        <f>IF($G57="s-curve",$E57+($F57-$E57)*$I$2/(1+EXP($I$3*(COUNT($I$9:AH$9)+$I$4))),TREND($E57:$F57,$E$9:$F$9,AH$9))</f>
        <v>0</v>
      </c>
      <c r="AI57">
        <f>IF($G57="s-curve",$E57+($F57-$E57)*$I$2/(1+EXP($I$3*(COUNT($I$9:AI$9)+$I$4))),TREND($E57:$F57,$E$9:$F$9,AI$9))</f>
        <v>0</v>
      </c>
    </row>
    <row r="58" spans="1:35" x14ac:dyDescent="0.25">
      <c r="C58" t="s">
        <v>182</v>
      </c>
      <c r="E58">
        <v>0</v>
      </c>
      <c r="F58">
        <v>0</v>
      </c>
      <c r="G58" t="str">
        <f>IF(E58=F58,"n/a",IF(OR(C58="battery electric vehicle",C58="natural gas vehicle",C58="plugin hybrid vehicle",C58="hydrogen vehicle"),"s-curve","linear"))</f>
        <v>n/a</v>
      </c>
      <c r="I58">
        <f t="shared" si="10"/>
        <v>0</v>
      </c>
      <c r="J58">
        <f>IF($G58="s-curve",$E58+($F58-$E58)*$I$2/(1+EXP($I$3*(COUNT($I$9:J$9)+$I$4))),TREND($E58:$F58,$E$9:$F$9,J$9))</f>
        <v>0</v>
      </c>
      <c r="K58">
        <f>IF($G58="s-curve",$E58+($F58-$E58)*$I$2/(1+EXP($I$3*(COUNT($I$9:K$9)+$I$4))),TREND($E58:$F58,$E$9:$F$9,K$9))</f>
        <v>0</v>
      </c>
      <c r="L58">
        <f>IF($G58="s-curve",$E58+($F58-$E58)*$I$2/(1+EXP($I$3*(COUNT($I$9:L$9)+$I$4))),TREND($E58:$F58,$E$9:$F$9,L$9))</f>
        <v>0</v>
      </c>
      <c r="M58">
        <f>IF($G58="s-curve",$E58+($F58-$E58)*$I$2/(1+EXP($I$3*(COUNT($I$9:M$9)+$I$4))),TREND($E58:$F58,$E$9:$F$9,M$9))</f>
        <v>0</v>
      </c>
      <c r="N58">
        <f>IF($G58="s-curve",$E58+($F58-$E58)*$I$2/(1+EXP($I$3*(COUNT($I$9:N$9)+$I$4))),TREND($E58:$F58,$E$9:$F$9,N$9))</f>
        <v>0</v>
      </c>
      <c r="O58">
        <f>IF($G58="s-curve",$E58+($F58-$E58)*$I$2/(1+EXP($I$3*(COUNT($I$9:O$9)+$I$4))),TREND($E58:$F58,$E$9:$F$9,O$9))</f>
        <v>0</v>
      </c>
      <c r="P58">
        <f>IF($G58="s-curve",$E58+($F58-$E58)*$I$2/(1+EXP($I$3*(COUNT($I$9:P$9)+$I$4))),TREND($E58:$F58,$E$9:$F$9,P$9))</f>
        <v>0</v>
      </c>
      <c r="Q58">
        <f>IF($G58="s-curve",$E58+($F58-$E58)*$I$2/(1+EXP($I$3*(COUNT($I$9:Q$9)+$I$4))),TREND($E58:$F58,$E$9:$F$9,Q$9))</f>
        <v>0</v>
      </c>
      <c r="R58">
        <f>IF($G58="s-curve",$E58+($F58-$E58)*$I$2/(1+EXP($I$3*(COUNT($I$9:R$9)+$I$4))),TREND($E58:$F58,$E$9:$F$9,R$9))</f>
        <v>0</v>
      </c>
      <c r="S58">
        <f>IF($G58="s-curve",$E58+($F58-$E58)*$I$2/(1+EXP($I$3*(COUNT($I$9:S$9)+$I$4))),TREND($E58:$F58,$E$9:$F$9,S$9))</f>
        <v>0</v>
      </c>
      <c r="T58">
        <f>IF($G58="s-curve",$E58+($F58-$E58)*$I$2/(1+EXP($I$3*(COUNT($I$9:T$9)+$I$4))),TREND($E58:$F58,$E$9:$F$9,T$9))</f>
        <v>0</v>
      </c>
      <c r="U58">
        <f>IF($G58="s-curve",$E58+($F58-$E58)*$I$2/(1+EXP($I$3*(COUNT($I$9:U$9)+$I$4))),TREND($E58:$F58,$E$9:$F$9,U$9))</f>
        <v>0</v>
      </c>
      <c r="V58">
        <f>IF($G58="s-curve",$E58+($F58-$E58)*$I$2/(1+EXP($I$3*(COUNT($I$9:V$9)+$I$4))),TREND($E58:$F58,$E$9:$F$9,V$9))</f>
        <v>0</v>
      </c>
      <c r="W58">
        <f>IF($G58="s-curve",$E58+($F58-$E58)*$I$2/(1+EXP($I$3*(COUNT($I$9:W$9)+$I$4))),TREND($E58:$F58,$E$9:$F$9,W$9))</f>
        <v>0</v>
      </c>
      <c r="X58">
        <f>IF($G58="s-curve",$E58+($F58-$E58)*$I$2/(1+EXP($I$3*(COUNT($I$9:X$9)+$I$4))),TREND($E58:$F58,$E$9:$F$9,X$9))</f>
        <v>0</v>
      </c>
      <c r="Y58">
        <f>IF($G58="s-curve",$E58+($F58-$E58)*$I$2/(1+EXP($I$3*(COUNT($I$9:Y$9)+$I$4))),TREND($E58:$F58,$E$9:$F$9,Y$9))</f>
        <v>0</v>
      </c>
      <c r="Z58">
        <f>IF($G58="s-curve",$E58+($F58-$E58)*$I$2/(1+EXP($I$3*(COUNT($I$9:Z$9)+$I$4))),TREND($E58:$F58,$E$9:$F$9,Z$9))</f>
        <v>0</v>
      </c>
      <c r="AA58">
        <f>IF($G58="s-curve",$E58+($F58-$E58)*$I$2/(1+EXP($I$3*(COUNT($I$9:AA$9)+$I$4))),TREND($E58:$F58,$E$9:$F$9,AA$9))</f>
        <v>0</v>
      </c>
      <c r="AB58">
        <f>IF($G58="s-curve",$E58+($F58-$E58)*$I$2/(1+EXP($I$3*(COUNT($I$9:AB$9)+$I$4))),TREND($E58:$F58,$E$9:$F$9,AB$9))</f>
        <v>0</v>
      </c>
      <c r="AC58">
        <f>IF($G58="s-curve",$E58+($F58-$E58)*$I$2/(1+EXP($I$3*(COUNT($I$9:AC$9)+$I$4))),TREND($E58:$F58,$E$9:$F$9,AC$9))</f>
        <v>0</v>
      </c>
      <c r="AD58">
        <f>IF($G58="s-curve",$E58+($F58-$E58)*$I$2/(1+EXP($I$3*(COUNT($I$9:AD$9)+$I$4))),TREND($E58:$F58,$E$9:$F$9,AD$9))</f>
        <v>0</v>
      </c>
      <c r="AE58">
        <f>IF($G58="s-curve",$E58+($F58-$E58)*$I$2/(1+EXP($I$3*(COUNT($I$9:AE$9)+$I$4))),TREND($E58:$F58,$E$9:$F$9,AE$9))</f>
        <v>0</v>
      </c>
      <c r="AF58">
        <f>IF($G58="s-curve",$E58+($F58-$E58)*$I$2/(1+EXP($I$3*(COUNT($I$9:AF$9)+$I$4))),TREND($E58:$F58,$E$9:$F$9,AF$9))</f>
        <v>0</v>
      </c>
      <c r="AG58">
        <f>IF($G58="s-curve",$E58+($F58-$E58)*$I$2/(1+EXP($I$3*(COUNT($I$9:AG$9)+$I$4))),TREND($E58:$F58,$E$9:$F$9,AG$9))</f>
        <v>0</v>
      </c>
      <c r="AH58">
        <f>IF($G58="s-curve",$E58+($F58-$E58)*$I$2/(1+EXP($I$3*(COUNT($I$9:AH$9)+$I$4))),TREND($E58:$F58,$E$9:$F$9,AH$9))</f>
        <v>0</v>
      </c>
      <c r="AI58">
        <f>IF($G58="s-curve",$E58+($F58-$E58)*$I$2/(1+EXP($I$3*(COUNT($I$9:AI$9)+$I$4))),TREND($E58:$F58,$E$9:$F$9,AI$9))</f>
        <v>0</v>
      </c>
    </row>
    <row r="59" spans="1:35" x14ac:dyDescent="0.25">
      <c r="A59" t="s">
        <v>298</v>
      </c>
      <c r="B59" t="s">
        <v>326</v>
      </c>
      <c r="C59" t="s">
        <v>177</v>
      </c>
      <c r="E59">
        <v>0</v>
      </c>
      <c r="F59">
        <v>0</v>
      </c>
      <c r="G59" t="str">
        <f>IF(E59=F59,"n/a",IF(OR(C59="battery electric vehicle",C59="natural gas vehicle",C59="plugin hybrid vehicle"),"s-curve","linear"))</f>
        <v>n/a</v>
      </c>
      <c r="I59">
        <f t="shared" si="10"/>
        <v>0</v>
      </c>
      <c r="J59">
        <f>IF($G59="s-curve",$E59+($F59-$E59)*$I$2/(1+EXP($I$3*(COUNT($I$9:J$9)+$I$4))),TREND($E59:$F59,$E$9:$F$9,J$9))</f>
        <v>0</v>
      </c>
      <c r="K59">
        <f>IF($G59="s-curve",$E59+($F59-$E59)*$I$2/(1+EXP($I$3*(COUNT($I$9:K$9)+$I$4))),TREND($E59:$F59,$E$9:$F$9,K$9))</f>
        <v>0</v>
      </c>
      <c r="L59">
        <f>IF($G59="s-curve",$E59+($F59-$E59)*$I$2/(1+EXP($I$3*(COUNT($I$9:L$9)+$I$4))),TREND($E59:$F59,$E$9:$F$9,L$9))</f>
        <v>0</v>
      </c>
      <c r="M59">
        <f>IF($G59="s-curve",$E59+($F59-$E59)*$I$2/(1+EXP($I$3*(COUNT($I$9:M$9)+$I$4))),TREND($E59:$F59,$E$9:$F$9,M$9))</f>
        <v>0</v>
      </c>
      <c r="N59">
        <f>IF($G59="s-curve",$E59+($F59-$E59)*$I$2/(1+EXP($I$3*(COUNT($I$9:N$9)+$I$4))),TREND($E59:$F59,$E$9:$F$9,N$9))</f>
        <v>0</v>
      </c>
      <c r="O59">
        <f>IF($G59="s-curve",$E59+($F59-$E59)*$I$2/(1+EXP($I$3*(COUNT($I$9:O$9)+$I$4))),TREND($E59:$F59,$E$9:$F$9,O$9))</f>
        <v>0</v>
      </c>
      <c r="P59">
        <f>IF($G59="s-curve",$E59+($F59-$E59)*$I$2/(1+EXP($I$3*(COUNT($I$9:P$9)+$I$4))),TREND($E59:$F59,$E$9:$F$9,P$9))</f>
        <v>0</v>
      </c>
      <c r="Q59">
        <f>IF($G59="s-curve",$E59+($F59-$E59)*$I$2/(1+EXP($I$3*(COUNT($I$9:Q$9)+$I$4))),TREND($E59:$F59,$E$9:$F$9,Q$9))</f>
        <v>0</v>
      </c>
      <c r="R59">
        <f>IF($G59="s-curve",$E59+($F59-$E59)*$I$2/(1+EXP($I$3*(COUNT($I$9:R$9)+$I$4))),TREND($E59:$F59,$E$9:$F$9,R$9))</f>
        <v>0</v>
      </c>
      <c r="S59">
        <f>IF($G59="s-curve",$E59+($F59-$E59)*$I$2/(1+EXP($I$3*(COUNT($I$9:S$9)+$I$4))),TREND($E59:$F59,$E$9:$F$9,S$9))</f>
        <v>0</v>
      </c>
      <c r="T59">
        <f>IF($G59="s-curve",$E59+($F59-$E59)*$I$2/(1+EXP($I$3*(COUNT($I$9:T$9)+$I$4))),TREND($E59:$F59,$E$9:$F$9,T$9))</f>
        <v>0</v>
      </c>
      <c r="U59">
        <f>IF($G59="s-curve",$E59+($F59-$E59)*$I$2/(1+EXP($I$3*(COUNT($I$9:U$9)+$I$4))),TREND($E59:$F59,$E$9:$F$9,U$9))</f>
        <v>0</v>
      </c>
      <c r="V59">
        <f>IF($G59="s-curve",$E59+($F59-$E59)*$I$2/(1+EXP($I$3*(COUNT($I$9:V$9)+$I$4))),TREND($E59:$F59,$E$9:$F$9,V$9))</f>
        <v>0</v>
      </c>
      <c r="W59">
        <f>IF($G59="s-curve",$E59+($F59-$E59)*$I$2/(1+EXP($I$3*(COUNT($I$9:W$9)+$I$4))),TREND($E59:$F59,$E$9:$F$9,W$9))</f>
        <v>0</v>
      </c>
      <c r="X59">
        <f>IF($G59="s-curve",$E59+($F59-$E59)*$I$2/(1+EXP($I$3*(COUNT($I$9:X$9)+$I$4))),TREND($E59:$F59,$E$9:$F$9,X$9))</f>
        <v>0</v>
      </c>
      <c r="Y59">
        <f>IF($G59="s-curve",$E59+($F59-$E59)*$I$2/(1+EXP($I$3*(COUNT($I$9:Y$9)+$I$4))),TREND($E59:$F59,$E$9:$F$9,Y$9))</f>
        <v>0</v>
      </c>
      <c r="Z59">
        <f>IF($G59="s-curve",$E59+($F59-$E59)*$I$2/(1+EXP($I$3*(COUNT($I$9:Z$9)+$I$4))),TREND($E59:$F59,$E$9:$F$9,Z$9))</f>
        <v>0</v>
      </c>
      <c r="AA59">
        <f>IF($G59="s-curve",$E59+($F59-$E59)*$I$2/(1+EXP($I$3*(COUNT($I$9:AA$9)+$I$4))),TREND($E59:$F59,$E$9:$F$9,AA$9))</f>
        <v>0</v>
      </c>
      <c r="AB59">
        <f>IF($G59="s-curve",$E59+($F59-$E59)*$I$2/(1+EXP($I$3*(COUNT($I$9:AB$9)+$I$4))),TREND($E59:$F59,$E$9:$F$9,AB$9))</f>
        <v>0</v>
      </c>
      <c r="AC59">
        <f>IF($G59="s-curve",$E59+($F59-$E59)*$I$2/(1+EXP($I$3*(COUNT($I$9:AC$9)+$I$4))),TREND($E59:$F59,$E$9:$F$9,AC$9))</f>
        <v>0</v>
      </c>
      <c r="AD59">
        <f>IF($G59="s-curve",$E59+($F59-$E59)*$I$2/(1+EXP($I$3*(COUNT($I$9:AD$9)+$I$4))),TREND($E59:$F59,$E$9:$F$9,AD$9))</f>
        <v>0</v>
      </c>
      <c r="AE59">
        <f>IF($G59="s-curve",$E59+($F59-$E59)*$I$2/(1+EXP($I$3*(COUNT($I$9:AE$9)+$I$4))),TREND($E59:$F59,$E$9:$F$9,AE$9))</f>
        <v>0</v>
      </c>
      <c r="AF59">
        <f>IF($G59="s-curve",$E59+($F59-$E59)*$I$2/(1+EXP($I$3*(COUNT($I$9:AF$9)+$I$4))),TREND($E59:$F59,$E$9:$F$9,AF$9))</f>
        <v>0</v>
      </c>
      <c r="AG59">
        <f>IF($G59="s-curve",$E59+($F59-$E59)*$I$2/(1+EXP($I$3*(COUNT($I$9:AG$9)+$I$4))),TREND($E59:$F59,$E$9:$F$9,AG$9))</f>
        <v>0</v>
      </c>
      <c r="AH59">
        <f>IF($G59="s-curve",$E59+($F59-$E59)*$I$2/(1+EXP($I$3*(COUNT($I$9:AH$9)+$I$4))),TREND($E59:$F59,$E$9:$F$9,AH$9))</f>
        <v>0</v>
      </c>
      <c r="AI59">
        <f>IF($G59="s-curve",$E59+($F59-$E59)*$I$2/(1+EXP($I$3*(COUNT($I$9:AI$9)+$I$4))),TREND($E59:$F59,$E$9:$F$9,AI$9))</f>
        <v>0</v>
      </c>
    </row>
    <row r="60" spans="1:35" x14ac:dyDescent="0.25">
      <c r="C60" t="s">
        <v>291</v>
      </c>
      <c r="E60">
        <v>0</v>
      </c>
      <c r="F60">
        <v>0</v>
      </c>
      <c r="G60" t="str">
        <f>IF(E60=F60,"n/a",IF(OR(C60="battery electric vehicle",C60="natural gas vehicle",C60="plugin hybrid vehicle"),"s-curve","linear"))</f>
        <v>n/a</v>
      </c>
      <c r="I60">
        <f t="shared" si="10"/>
        <v>0</v>
      </c>
      <c r="J60">
        <f>IF($G60="s-curve",$E60+($F60-$E60)*$I$2/(1+EXP($I$3*(COUNT($I$9:J$9)+$I$4))),TREND($E60:$F60,$E$9:$F$9,J$9))</f>
        <v>0</v>
      </c>
      <c r="K60">
        <f>IF($G60="s-curve",$E60+($F60-$E60)*$I$2/(1+EXP($I$3*(COUNT($I$9:K$9)+$I$4))),TREND($E60:$F60,$E$9:$F$9,K$9))</f>
        <v>0</v>
      </c>
      <c r="L60">
        <f>IF($G60="s-curve",$E60+($F60-$E60)*$I$2/(1+EXP($I$3*(COUNT($I$9:L$9)+$I$4))),TREND($E60:$F60,$E$9:$F$9,L$9))</f>
        <v>0</v>
      </c>
      <c r="M60">
        <f>IF($G60="s-curve",$E60+($F60-$E60)*$I$2/(1+EXP($I$3*(COUNT($I$9:M$9)+$I$4))),TREND($E60:$F60,$E$9:$F$9,M$9))</f>
        <v>0</v>
      </c>
      <c r="N60">
        <f>IF($G60="s-curve",$E60+($F60-$E60)*$I$2/(1+EXP($I$3*(COUNT($I$9:N$9)+$I$4))),TREND($E60:$F60,$E$9:$F$9,N$9))</f>
        <v>0</v>
      </c>
      <c r="O60">
        <f>IF($G60="s-curve",$E60+($F60-$E60)*$I$2/(1+EXP($I$3*(COUNT($I$9:O$9)+$I$4))),TREND($E60:$F60,$E$9:$F$9,O$9))</f>
        <v>0</v>
      </c>
      <c r="P60">
        <f>IF($G60="s-curve",$E60+($F60-$E60)*$I$2/(1+EXP($I$3*(COUNT($I$9:P$9)+$I$4))),TREND($E60:$F60,$E$9:$F$9,P$9))</f>
        <v>0</v>
      </c>
      <c r="Q60">
        <f>IF($G60="s-curve",$E60+($F60-$E60)*$I$2/(1+EXP($I$3*(COUNT($I$9:Q$9)+$I$4))),TREND($E60:$F60,$E$9:$F$9,Q$9))</f>
        <v>0</v>
      </c>
      <c r="R60">
        <f>IF($G60="s-curve",$E60+($F60-$E60)*$I$2/(1+EXP($I$3*(COUNT($I$9:R$9)+$I$4))),TREND($E60:$F60,$E$9:$F$9,R$9))</f>
        <v>0</v>
      </c>
      <c r="S60">
        <f>IF($G60="s-curve",$E60+($F60-$E60)*$I$2/(1+EXP($I$3*(COUNT($I$9:S$9)+$I$4))),TREND($E60:$F60,$E$9:$F$9,S$9))</f>
        <v>0</v>
      </c>
      <c r="T60">
        <f>IF($G60="s-curve",$E60+($F60-$E60)*$I$2/(1+EXP($I$3*(COUNT($I$9:T$9)+$I$4))),TREND($E60:$F60,$E$9:$F$9,T$9))</f>
        <v>0</v>
      </c>
      <c r="U60">
        <f>IF($G60="s-curve",$E60+($F60-$E60)*$I$2/(1+EXP($I$3*(COUNT($I$9:U$9)+$I$4))),TREND($E60:$F60,$E$9:$F$9,U$9))</f>
        <v>0</v>
      </c>
      <c r="V60">
        <f>IF($G60="s-curve",$E60+($F60-$E60)*$I$2/(1+EXP($I$3*(COUNT($I$9:V$9)+$I$4))),TREND($E60:$F60,$E$9:$F$9,V$9))</f>
        <v>0</v>
      </c>
      <c r="W60">
        <f>IF($G60="s-curve",$E60+($F60-$E60)*$I$2/(1+EXP($I$3*(COUNT($I$9:W$9)+$I$4))),TREND($E60:$F60,$E$9:$F$9,W$9))</f>
        <v>0</v>
      </c>
      <c r="X60">
        <f>IF($G60="s-curve",$E60+($F60-$E60)*$I$2/(1+EXP($I$3*(COUNT($I$9:X$9)+$I$4))),TREND($E60:$F60,$E$9:$F$9,X$9))</f>
        <v>0</v>
      </c>
      <c r="Y60">
        <f>IF($G60="s-curve",$E60+($F60-$E60)*$I$2/(1+EXP($I$3*(COUNT($I$9:Y$9)+$I$4))),TREND($E60:$F60,$E$9:$F$9,Y$9))</f>
        <v>0</v>
      </c>
      <c r="Z60">
        <f>IF($G60="s-curve",$E60+($F60-$E60)*$I$2/(1+EXP($I$3*(COUNT($I$9:Z$9)+$I$4))),TREND($E60:$F60,$E$9:$F$9,Z$9))</f>
        <v>0</v>
      </c>
      <c r="AA60">
        <f>IF($G60="s-curve",$E60+($F60-$E60)*$I$2/(1+EXP($I$3*(COUNT($I$9:AA$9)+$I$4))),TREND($E60:$F60,$E$9:$F$9,AA$9))</f>
        <v>0</v>
      </c>
      <c r="AB60">
        <f>IF($G60="s-curve",$E60+($F60-$E60)*$I$2/(1+EXP($I$3*(COUNT($I$9:AB$9)+$I$4))),TREND($E60:$F60,$E$9:$F$9,AB$9))</f>
        <v>0</v>
      </c>
      <c r="AC60">
        <f>IF($G60="s-curve",$E60+($F60-$E60)*$I$2/(1+EXP($I$3*(COUNT($I$9:AC$9)+$I$4))),TREND($E60:$F60,$E$9:$F$9,AC$9))</f>
        <v>0</v>
      </c>
      <c r="AD60">
        <f>IF($G60="s-curve",$E60+($F60-$E60)*$I$2/(1+EXP($I$3*(COUNT($I$9:AD$9)+$I$4))),TREND($E60:$F60,$E$9:$F$9,AD$9))</f>
        <v>0</v>
      </c>
      <c r="AE60">
        <f>IF($G60="s-curve",$E60+($F60-$E60)*$I$2/(1+EXP($I$3*(COUNT($I$9:AE$9)+$I$4))),TREND($E60:$F60,$E$9:$F$9,AE$9))</f>
        <v>0</v>
      </c>
      <c r="AF60">
        <f>IF($G60="s-curve",$E60+($F60-$E60)*$I$2/(1+EXP($I$3*(COUNT($I$9:AF$9)+$I$4))),TREND($E60:$F60,$E$9:$F$9,AF$9))</f>
        <v>0</v>
      </c>
      <c r="AG60">
        <f>IF($G60="s-curve",$E60+($F60-$E60)*$I$2/(1+EXP($I$3*(COUNT($I$9:AG$9)+$I$4))),TREND($E60:$F60,$E$9:$F$9,AG$9))</f>
        <v>0</v>
      </c>
      <c r="AH60">
        <f>IF($G60="s-curve",$E60+($F60-$E60)*$I$2/(1+EXP($I$3*(COUNT($I$9:AH$9)+$I$4))),TREND($E60:$F60,$E$9:$F$9,AH$9))</f>
        <v>0</v>
      </c>
      <c r="AI60">
        <f>IF($G60="s-curve",$E60+($F60-$E60)*$I$2/(1+EXP($I$3*(COUNT($I$9:AI$9)+$I$4))),TREND($E60:$F60,$E$9:$F$9,AI$9))</f>
        <v>0</v>
      </c>
    </row>
    <row r="61" spans="1:35" x14ac:dyDescent="0.25">
      <c r="C61" t="s">
        <v>292</v>
      </c>
      <c r="E61">
        <v>0</v>
      </c>
      <c r="F61">
        <v>0</v>
      </c>
      <c r="G61" t="str">
        <f>IF(E61=F61,"n/a",IF(OR(C61="battery electric vehicle",C61="natural gas vehicle",C61="plugin hybrid vehicle"),"s-curve","linear"))</f>
        <v>n/a</v>
      </c>
      <c r="I61">
        <f t="shared" si="10"/>
        <v>0</v>
      </c>
      <c r="J61">
        <f>IF($G61="s-curve",$E61+($F61-$E61)*$I$2/(1+EXP($I$3*(COUNT($I$9:J$9)+$I$4))),TREND($E61:$F61,$E$9:$F$9,J$9))</f>
        <v>0</v>
      </c>
      <c r="K61">
        <f>IF($G61="s-curve",$E61+($F61-$E61)*$I$2/(1+EXP($I$3*(COUNT($I$9:K$9)+$I$4))),TREND($E61:$F61,$E$9:$F$9,K$9))</f>
        <v>0</v>
      </c>
      <c r="L61">
        <f>IF($G61="s-curve",$E61+($F61-$E61)*$I$2/(1+EXP($I$3*(COUNT($I$9:L$9)+$I$4))),TREND($E61:$F61,$E$9:$F$9,L$9))</f>
        <v>0</v>
      </c>
      <c r="M61">
        <f>IF($G61="s-curve",$E61+($F61-$E61)*$I$2/(1+EXP($I$3*(COUNT($I$9:M$9)+$I$4))),TREND($E61:$F61,$E$9:$F$9,M$9))</f>
        <v>0</v>
      </c>
      <c r="N61">
        <f>IF($G61="s-curve",$E61+($F61-$E61)*$I$2/(1+EXP($I$3*(COUNT($I$9:N$9)+$I$4))),TREND($E61:$F61,$E$9:$F$9,N$9))</f>
        <v>0</v>
      </c>
      <c r="O61">
        <f>IF($G61="s-curve",$E61+($F61-$E61)*$I$2/(1+EXP($I$3*(COUNT($I$9:O$9)+$I$4))),TREND($E61:$F61,$E$9:$F$9,O$9))</f>
        <v>0</v>
      </c>
      <c r="P61">
        <f>IF($G61="s-curve",$E61+($F61-$E61)*$I$2/(1+EXP($I$3*(COUNT($I$9:P$9)+$I$4))),TREND($E61:$F61,$E$9:$F$9,P$9))</f>
        <v>0</v>
      </c>
      <c r="Q61">
        <f>IF($G61="s-curve",$E61+($F61-$E61)*$I$2/(1+EXP($I$3*(COUNT($I$9:Q$9)+$I$4))),TREND($E61:$F61,$E$9:$F$9,Q$9))</f>
        <v>0</v>
      </c>
      <c r="R61">
        <f>IF($G61="s-curve",$E61+($F61-$E61)*$I$2/(1+EXP($I$3*(COUNT($I$9:R$9)+$I$4))),TREND($E61:$F61,$E$9:$F$9,R$9))</f>
        <v>0</v>
      </c>
      <c r="S61">
        <f>IF($G61="s-curve",$E61+($F61-$E61)*$I$2/(1+EXP($I$3*(COUNT($I$9:S$9)+$I$4))),TREND($E61:$F61,$E$9:$F$9,S$9))</f>
        <v>0</v>
      </c>
      <c r="T61">
        <f>IF($G61="s-curve",$E61+($F61-$E61)*$I$2/(1+EXP($I$3*(COUNT($I$9:T$9)+$I$4))),TREND($E61:$F61,$E$9:$F$9,T$9))</f>
        <v>0</v>
      </c>
      <c r="U61">
        <f>IF($G61="s-curve",$E61+($F61-$E61)*$I$2/(1+EXP($I$3*(COUNT($I$9:U$9)+$I$4))),TREND($E61:$F61,$E$9:$F$9,U$9))</f>
        <v>0</v>
      </c>
      <c r="V61">
        <f>IF($G61="s-curve",$E61+($F61-$E61)*$I$2/(1+EXP($I$3*(COUNT($I$9:V$9)+$I$4))),TREND($E61:$F61,$E$9:$F$9,V$9))</f>
        <v>0</v>
      </c>
      <c r="W61">
        <f>IF($G61="s-curve",$E61+($F61-$E61)*$I$2/(1+EXP($I$3*(COUNT($I$9:W$9)+$I$4))),TREND($E61:$F61,$E$9:$F$9,W$9))</f>
        <v>0</v>
      </c>
      <c r="X61">
        <f>IF($G61="s-curve",$E61+($F61-$E61)*$I$2/(1+EXP($I$3*(COUNT($I$9:X$9)+$I$4))),TREND($E61:$F61,$E$9:$F$9,X$9))</f>
        <v>0</v>
      </c>
      <c r="Y61">
        <f>IF($G61="s-curve",$E61+($F61-$E61)*$I$2/(1+EXP($I$3*(COUNT($I$9:Y$9)+$I$4))),TREND($E61:$F61,$E$9:$F$9,Y$9))</f>
        <v>0</v>
      </c>
      <c r="Z61">
        <f>IF($G61="s-curve",$E61+($F61-$E61)*$I$2/(1+EXP($I$3*(COUNT($I$9:Z$9)+$I$4))),TREND($E61:$F61,$E$9:$F$9,Z$9))</f>
        <v>0</v>
      </c>
      <c r="AA61">
        <f>IF($G61="s-curve",$E61+($F61-$E61)*$I$2/(1+EXP($I$3*(COUNT($I$9:AA$9)+$I$4))),TREND($E61:$F61,$E$9:$F$9,AA$9))</f>
        <v>0</v>
      </c>
      <c r="AB61">
        <f>IF($G61="s-curve",$E61+($F61-$E61)*$I$2/(1+EXP($I$3*(COUNT($I$9:AB$9)+$I$4))),TREND($E61:$F61,$E$9:$F$9,AB$9))</f>
        <v>0</v>
      </c>
      <c r="AC61">
        <f>IF($G61="s-curve",$E61+($F61-$E61)*$I$2/(1+EXP($I$3*(COUNT($I$9:AC$9)+$I$4))),TREND($E61:$F61,$E$9:$F$9,AC$9))</f>
        <v>0</v>
      </c>
      <c r="AD61">
        <f>IF($G61="s-curve",$E61+($F61-$E61)*$I$2/(1+EXP($I$3*(COUNT($I$9:AD$9)+$I$4))),TREND($E61:$F61,$E$9:$F$9,AD$9))</f>
        <v>0</v>
      </c>
      <c r="AE61">
        <f>IF($G61="s-curve",$E61+($F61-$E61)*$I$2/(1+EXP($I$3*(COUNT($I$9:AE$9)+$I$4))),TREND($E61:$F61,$E$9:$F$9,AE$9))</f>
        <v>0</v>
      </c>
      <c r="AF61">
        <f>IF($G61="s-curve",$E61+($F61-$E61)*$I$2/(1+EXP($I$3*(COUNT($I$9:AF$9)+$I$4))),TREND($E61:$F61,$E$9:$F$9,AF$9))</f>
        <v>0</v>
      </c>
      <c r="AG61">
        <f>IF($G61="s-curve",$E61+($F61-$E61)*$I$2/(1+EXP($I$3*(COUNT($I$9:AG$9)+$I$4))),TREND($E61:$F61,$E$9:$F$9,AG$9))</f>
        <v>0</v>
      </c>
      <c r="AH61">
        <f>IF($G61="s-curve",$E61+($F61-$E61)*$I$2/(1+EXP($I$3*(COUNT($I$9:AH$9)+$I$4))),TREND($E61:$F61,$E$9:$F$9,AH$9))</f>
        <v>0</v>
      </c>
      <c r="AI61">
        <f>IF($G61="s-curve",$E61+($F61-$E61)*$I$2/(1+EXP($I$3*(COUNT($I$9:AI$9)+$I$4))),TREND($E61:$F61,$E$9:$F$9,AI$9))</f>
        <v>0</v>
      </c>
    </row>
    <row r="62" spans="1:35" x14ac:dyDescent="0.25">
      <c r="C62" t="s">
        <v>293</v>
      </c>
      <c r="E62">
        <v>1</v>
      </c>
      <c r="F62">
        <v>1</v>
      </c>
      <c r="G62" t="str">
        <f>IF(E62=F62,"n/a",IF(OR(C62="battery electric vehicle",C62="natural gas vehicle",C62="plugin hybrid vehicle"),"s-curve","linear"))</f>
        <v>n/a</v>
      </c>
      <c r="I62">
        <f t="shared" si="10"/>
        <v>1</v>
      </c>
      <c r="J62">
        <f>IF($G62="s-curve",$E62+($F62-$E62)*$I$2/(1+EXP($I$3*(COUNT($I$9:J$9)+$I$4))),TREND($E62:$F62,$E$9:$F$9,J$9))</f>
        <v>1</v>
      </c>
      <c r="K62">
        <f>IF($G62="s-curve",$E62+($F62-$E62)*$I$2/(1+EXP($I$3*(COUNT($I$9:K$9)+$I$4))),TREND($E62:$F62,$E$9:$F$9,K$9))</f>
        <v>1</v>
      </c>
      <c r="L62">
        <f>IF($G62="s-curve",$E62+($F62-$E62)*$I$2/(1+EXP($I$3*(COUNT($I$9:L$9)+$I$4))),TREND($E62:$F62,$E$9:$F$9,L$9))</f>
        <v>1</v>
      </c>
      <c r="M62">
        <f>IF($G62="s-curve",$E62+($F62-$E62)*$I$2/(1+EXP($I$3*(COUNT($I$9:M$9)+$I$4))),TREND($E62:$F62,$E$9:$F$9,M$9))</f>
        <v>1</v>
      </c>
      <c r="N62">
        <f>IF($G62="s-curve",$E62+($F62-$E62)*$I$2/(1+EXP($I$3*(COUNT($I$9:N$9)+$I$4))),TREND($E62:$F62,$E$9:$F$9,N$9))</f>
        <v>1</v>
      </c>
      <c r="O62">
        <f>IF($G62="s-curve",$E62+($F62-$E62)*$I$2/(1+EXP($I$3*(COUNT($I$9:O$9)+$I$4))),TREND($E62:$F62,$E$9:$F$9,O$9))</f>
        <v>1</v>
      </c>
      <c r="P62">
        <f>IF($G62="s-curve",$E62+($F62-$E62)*$I$2/(1+EXP($I$3*(COUNT($I$9:P$9)+$I$4))),TREND($E62:$F62,$E$9:$F$9,P$9))</f>
        <v>1</v>
      </c>
      <c r="Q62">
        <f>IF($G62="s-curve",$E62+($F62-$E62)*$I$2/(1+EXP($I$3*(COUNT($I$9:Q$9)+$I$4))),TREND($E62:$F62,$E$9:$F$9,Q$9))</f>
        <v>1</v>
      </c>
      <c r="R62">
        <f>IF($G62="s-curve",$E62+($F62-$E62)*$I$2/(1+EXP($I$3*(COUNT($I$9:R$9)+$I$4))),TREND($E62:$F62,$E$9:$F$9,R$9))</f>
        <v>1</v>
      </c>
      <c r="S62">
        <f>IF($G62="s-curve",$E62+($F62-$E62)*$I$2/(1+EXP($I$3*(COUNT($I$9:S$9)+$I$4))),TREND($E62:$F62,$E$9:$F$9,S$9))</f>
        <v>1</v>
      </c>
      <c r="T62">
        <f>IF($G62="s-curve",$E62+($F62-$E62)*$I$2/(1+EXP($I$3*(COUNT($I$9:T$9)+$I$4))),TREND($E62:$F62,$E$9:$F$9,T$9))</f>
        <v>1</v>
      </c>
      <c r="U62">
        <f>IF($G62="s-curve",$E62+($F62-$E62)*$I$2/(1+EXP($I$3*(COUNT($I$9:U$9)+$I$4))),TREND($E62:$F62,$E$9:$F$9,U$9))</f>
        <v>1</v>
      </c>
      <c r="V62">
        <f>IF($G62="s-curve",$E62+($F62-$E62)*$I$2/(1+EXP($I$3*(COUNT($I$9:V$9)+$I$4))),TREND($E62:$F62,$E$9:$F$9,V$9))</f>
        <v>1</v>
      </c>
      <c r="W62">
        <f>IF($G62="s-curve",$E62+($F62-$E62)*$I$2/(1+EXP($I$3*(COUNT($I$9:W$9)+$I$4))),TREND($E62:$F62,$E$9:$F$9,W$9))</f>
        <v>1</v>
      </c>
      <c r="X62">
        <f>IF($G62="s-curve",$E62+($F62-$E62)*$I$2/(1+EXP($I$3*(COUNT($I$9:X$9)+$I$4))),TREND($E62:$F62,$E$9:$F$9,X$9))</f>
        <v>1</v>
      </c>
      <c r="Y62">
        <f>IF($G62="s-curve",$E62+($F62-$E62)*$I$2/(1+EXP($I$3*(COUNT($I$9:Y$9)+$I$4))),TREND($E62:$F62,$E$9:$F$9,Y$9))</f>
        <v>1</v>
      </c>
      <c r="Z62">
        <f>IF($G62="s-curve",$E62+($F62-$E62)*$I$2/(1+EXP($I$3*(COUNT($I$9:Z$9)+$I$4))),TREND($E62:$F62,$E$9:$F$9,Z$9))</f>
        <v>1</v>
      </c>
      <c r="AA62">
        <f>IF($G62="s-curve",$E62+($F62-$E62)*$I$2/(1+EXP($I$3*(COUNT($I$9:AA$9)+$I$4))),TREND($E62:$F62,$E$9:$F$9,AA$9))</f>
        <v>1</v>
      </c>
      <c r="AB62">
        <f>IF($G62="s-curve",$E62+($F62-$E62)*$I$2/(1+EXP($I$3*(COUNT($I$9:AB$9)+$I$4))),TREND($E62:$F62,$E$9:$F$9,AB$9))</f>
        <v>1</v>
      </c>
      <c r="AC62">
        <f>IF($G62="s-curve",$E62+($F62-$E62)*$I$2/(1+EXP($I$3*(COUNT($I$9:AC$9)+$I$4))),TREND($E62:$F62,$E$9:$F$9,AC$9))</f>
        <v>1</v>
      </c>
      <c r="AD62">
        <f>IF($G62="s-curve",$E62+($F62-$E62)*$I$2/(1+EXP($I$3*(COUNT($I$9:AD$9)+$I$4))),TREND($E62:$F62,$E$9:$F$9,AD$9))</f>
        <v>1</v>
      </c>
      <c r="AE62">
        <f>IF($G62="s-curve",$E62+($F62-$E62)*$I$2/(1+EXP($I$3*(COUNT($I$9:AE$9)+$I$4))),TREND($E62:$F62,$E$9:$F$9,AE$9))</f>
        <v>1</v>
      </c>
      <c r="AF62">
        <f>IF($G62="s-curve",$E62+($F62-$E62)*$I$2/(1+EXP($I$3*(COUNT($I$9:AF$9)+$I$4))),TREND($E62:$F62,$E$9:$F$9,AF$9))</f>
        <v>1</v>
      </c>
      <c r="AG62">
        <f>IF($G62="s-curve",$E62+($F62-$E62)*$I$2/(1+EXP($I$3*(COUNT($I$9:AG$9)+$I$4))),TREND($E62:$F62,$E$9:$F$9,AG$9))</f>
        <v>1</v>
      </c>
      <c r="AH62">
        <f>IF($G62="s-curve",$E62+($F62-$E62)*$I$2/(1+EXP($I$3*(COUNT($I$9:AH$9)+$I$4))),TREND($E62:$F62,$E$9:$F$9,AH$9))</f>
        <v>1</v>
      </c>
      <c r="AI62">
        <f>IF($G62="s-curve",$E62+($F62-$E62)*$I$2/(1+EXP($I$3*(COUNT($I$9:AI$9)+$I$4))),TREND($E62:$F62,$E$9:$F$9,AI$9))</f>
        <v>1</v>
      </c>
    </row>
    <row r="63" spans="1:35" x14ac:dyDescent="0.25">
      <c r="C63" t="s">
        <v>180</v>
      </c>
      <c r="E63">
        <v>0</v>
      </c>
      <c r="F63">
        <v>0</v>
      </c>
      <c r="G63" t="str">
        <f>IF(E63=F63,"n/a",IF(OR(C63="battery electric vehicle",C63="natural gas vehicle",C63="plugin hybrid vehicle"),"s-curve","linear"))</f>
        <v>n/a</v>
      </c>
      <c r="I63">
        <f t="shared" si="10"/>
        <v>0</v>
      </c>
      <c r="J63">
        <f>IF($G63="s-curve",$E63+($F63-$E63)*$I$2/(1+EXP($I$3*(COUNT($I$9:J$9)+$I$4))),TREND($E63:$F63,$E$9:$F$9,J$9))</f>
        <v>0</v>
      </c>
      <c r="K63">
        <f>IF($G63="s-curve",$E63+($F63-$E63)*$I$2/(1+EXP($I$3*(COUNT($I$9:K$9)+$I$4))),TREND($E63:$F63,$E$9:$F$9,K$9))</f>
        <v>0</v>
      </c>
      <c r="L63">
        <f>IF($G63="s-curve",$E63+($F63-$E63)*$I$2/(1+EXP($I$3*(COUNT($I$9:L$9)+$I$4))),TREND($E63:$F63,$E$9:$F$9,L$9))</f>
        <v>0</v>
      </c>
      <c r="M63">
        <f>IF($G63="s-curve",$E63+($F63-$E63)*$I$2/(1+EXP($I$3*(COUNT($I$9:M$9)+$I$4))),TREND($E63:$F63,$E$9:$F$9,M$9))</f>
        <v>0</v>
      </c>
      <c r="N63">
        <f>IF($G63="s-curve",$E63+($F63-$E63)*$I$2/(1+EXP($I$3*(COUNT($I$9:N$9)+$I$4))),TREND($E63:$F63,$E$9:$F$9,N$9))</f>
        <v>0</v>
      </c>
      <c r="O63">
        <f>IF($G63="s-curve",$E63+($F63-$E63)*$I$2/(1+EXP($I$3*(COUNT($I$9:O$9)+$I$4))),TREND($E63:$F63,$E$9:$F$9,O$9))</f>
        <v>0</v>
      </c>
      <c r="P63">
        <f>IF($G63="s-curve",$E63+($F63-$E63)*$I$2/(1+EXP($I$3*(COUNT($I$9:P$9)+$I$4))),TREND($E63:$F63,$E$9:$F$9,P$9))</f>
        <v>0</v>
      </c>
      <c r="Q63">
        <f>IF($G63="s-curve",$E63+($F63-$E63)*$I$2/(1+EXP($I$3*(COUNT($I$9:Q$9)+$I$4))),TREND($E63:$F63,$E$9:$F$9,Q$9))</f>
        <v>0</v>
      </c>
      <c r="R63">
        <f>IF($G63="s-curve",$E63+($F63-$E63)*$I$2/(1+EXP($I$3*(COUNT($I$9:R$9)+$I$4))),TREND($E63:$F63,$E$9:$F$9,R$9))</f>
        <v>0</v>
      </c>
      <c r="S63">
        <f>IF($G63="s-curve",$E63+($F63-$E63)*$I$2/(1+EXP($I$3*(COUNT($I$9:S$9)+$I$4))),TREND($E63:$F63,$E$9:$F$9,S$9))</f>
        <v>0</v>
      </c>
      <c r="T63">
        <f>IF($G63="s-curve",$E63+($F63-$E63)*$I$2/(1+EXP($I$3*(COUNT($I$9:T$9)+$I$4))),TREND($E63:$F63,$E$9:$F$9,T$9))</f>
        <v>0</v>
      </c>
      <c r="U63">
        <f>IF($G63="s-curve",$E63+($F63-$E63)*$I$2/(1+EXP($I$3*(COUNT($I$9:U$9)+$I$4))),TREND($E63:$F63,$E$9:$F$9,U$9))</f>
        <v>0</v>
      </c>
      <c r="V63">
        <f>IF($G63="s-curve",$E63+($F63-$E63)*$I$2/(1+EXP($I$3*(COUNT($I$9:V$9)+$I$4))),TREND($E63:$F63,$E$9:$F$9,V$9))</f>
        <v>0</v>
      </c>
      <c r="W63">
        <f>IF($G63="s-curve",$E63+($F63-$E63)*$I$2/(1+EXP($I$3*(COUNT($I$9:W$9)+$I$4))),TREND($E63:$F63,$E$9:$F$9,W$9))</f>
        <v>0</v>
      </c>
      <c r="X63">
        <f>IF($G63="s-curve",$E63+($F63-$E63)*$I$2/(1+EXP($I$3*(COUNT($I$9:X$9)+$I$4))),TREND($E63:$F63,$E$9:$F$9,X$9))</f>
        <v>0</v>
      </c>
      <c r="Y63">
        <f>IF($G63="s-curve",$E63+($F63-$E63)*$I$2/(1+EXP($I$3*(COUNT($I$9:Y$9)+$I$4))),TREND($E63:$F63,$E$9:$F$9,Y$9))</f>
        <v>0</v>
      </c>
      <c r="Z63">
        <f>IF($G63="s-curve",$E63+($F63-$E63)*$I$2/(1+EXP($I$3*(COUNT($I$9:Z$9)+$I$4))),TREND($E63:$F63,$E$9:$F$9,Z$9))</f>
        <v>0</v>
      </c>
      <c r="AA63">
        <f>IF($G63="s-curve",$E63+($F63-$E63)*$I$2/(1+EXP($I$3*(COUNT($I$9:AA$9)+$I$4))),TREND($E63:$F63,$E$9:$F$9,AA$9))</f>
        <v>0</v>
      </c>
      <c r="AB63">
        <f>IF($G63="s-curve",$E63+($F63-$E63)*$I$2/(1+EXP($I$3*(COUNT($I$9:AB$9)+$I$4))),TREND($E63:$F63,$E$9:$F$9,AB$9))</f>
        <v>0</v>
      </c>
      <c r="AC63">
        <f>IF($G63="s-curve",$E63+($F63-$E63)*$I$2/(1+EXP($I$3*(COUNT($I$9:AC$9)+$I$4))),TREND($E63:$F63,$E$9:$F$9,AC$9))</f>
        <v>0</v>
      </c>
      <c r="AD63">
        <f>IF($G63="s-curve",$E63+($F63-$E63)*$I$2/(1+EXP($I$3*(COUNT($I$9:AD$9)+$I$4))),TREND($E63:$F63,$E$9:$F$9,AD$9))</f>
        <v>0</v>
      </c>
      <c r="AE63">
        <f>IF($G63="s-curve",$E63+($F63-$E63)*$I$2/(1+EXP($I$3*(COUNT($I$9:AE$9)+$I$4))),TREND($E63:$F63,$E$9:$F$9,AE$9))</f>
        <v>0</v>
      </c>
      <c r="AF63">
        <f>IF($G63="s-curve",$E63+($F63-$E63)*$I$2/(1+EXP($I$3*(COUNT($I$9:AF$9)+$I$4))),TREND($E63:$F63,$E$9:$F$9,AF$9))</f>
        <v>0</v>
      </c>
      <c r="AG63">
        <f>IF($G63="s-curve",$E63+($F63-$E63)*$I$2/(1+EXP($I$3*(COUNT($I$9:AG$9)+$I$4))),TREND($E63:$F63,$E$9:$F$9,AG$9))</f>
        <v>0</v>
      </c>
      <c r="AH63">
        <f>IF($G63="s-curve",$E63+($F63-$E63)*$I$2/(1+EXP($I$3*(COUNT($I$9:AH$9)+$I$4))),TREND($E63:$F63,$E$9:$F$9,AH$9))</f>
        <v>0</v>
      </c>
      <c r="AI63">
        <f>IF($G63="s-curve",$E63+($F63-$E63)*$I$2/(1+EXP($I$3*(COUNT($I$9:AI$9)+$I$4))),TREND($E63:$F63,$E$9:$F$9,AI$9))</f>
        <v>0</v>
      </c>
    </row>
    <row r="64" spans="1:35" x14ac:dyDescent="0.25">
      <c r="C64" t="s">
        <v>294</v>
      </c>
      <c r="E64">
        <v>0</v>
      </c>
      <c r="F64">
        <v>0</v>
      </c>
      <c r="G64" t="str">
        <f>IF(E64=F64,"n/a",IF(OR(C64="battery electric vehicle",C64="natural gas vehicle",C64="plugin hybrid vehicle",C64="hydrogen vehicle"),"s-curve","linear"))</f>
        <v>n/a</v>
      </c>
      <c r="I64">
        <f t="shared" si="10"/>
        <v>0</v>
      </c>
      <c r="J64">
        <f>IF($G64="s-curve",$E64+($F64-$E64)*$I$2/(1+EXP($I$3*(COUNT($I$9:J$9)+$I$4))),TREND($E64:$F64,$E$9:$F$9,J$9))</f>
        <v>0</v>
      </c>
      <c r="K64">
        <f>IF($G64="s-curve",$E64+($F64-$E64)*$I$2/(1+EXP($I$3*(COUNT($I$9:K$9)+$I$4))),TREND($E64:$F64,$E$9:$F$9,K$9))</f>
        <v>0</v>
      </c>
      <c r="L64">
        <f>IF($G64="s-curve",$E64+($F64-$E64)*$I$2/(1+EXP($I$3*(COUNT($I$9:L$9)+$I$4))),TREND($E64:$F64,$E$9:$F$9,L$9))</f>
        <v>0</v>
      </c>
      <c r="M64">
        <f>IF($G64="s-curve",$E64+($F64-$E64)*$I$2/(1+EXP($I$3*(COUNT($I$9:M$9)+$I$4))),TREND($E64:$F64,$E$9:$F$9,M$9))</f>
        <v>0</v>
      </c>
      <c r="N64">
        <f>IF($G64="s-curve",$E64+($F64-$E64)*$I$2/(1+EXP($I$3*(COUNT($I$9:N$9)+$I$4))),TREND($E64:$F64,$E$9:$F$9,N$9))</f>
        <v>0</v>
      </c>
      <c r="O64">
        <f>IF($G64="s-curve",$E64+($F64-$E64)*$I$2/(1+EXP($I$3*(COUNT($I$9:O$9)+$I$4))),TREND($E64:$F64,$E$9:$F$9,O$9))</f>
        <v>0</v>
      </c>
      <c r="P64">
        <f>IF($G64="s-curve",$E64+($F64-$E64)*$I$2/(1+EXP($I$3*(COUNT($I$9:P$9)+$I$4))),TREND($E64:$F64,$E$9:$F$9,P$9))</f>
        <v>0</v>
      </c>
      <c r="Q64">
        <f>IF($G64="s-curve",$E64+($F64-$E64)*$I$2/(1+EXP($I$3*(COUNT($I$9:Q$9)+$I$4))),TREND($E64:$F64,$E$9:$F$9,Q$9))</f>
        <v>0</v>
      </c>
      <c r="R64">
        <f>IF($G64="s-curve",$E64+($F64-$E64)*$I$2/(1+EXP($I$3*(COUNT($I$9:R$9)+$I$4))),TREND($E64:$F64,$E$9:$F$9,R$9))</f>
        <v>0</v>
      </c>
      <c r="S64">
        <f>IF($G64="s-curve",$E64+($F64-$E64)*$I$2/(1+EXP($I$3*(COUNT($I$9:S$9)+$I$4))),TREND($E64:$F64,$E$9:$F$9,S$9))</f>
        <v>0</v>
      </c>
      <c r="T64">
        <f>IF($G64="s-curve",$E64+($F64-$E64)*$I$2/(1+EXP($I$3*(COUNT($I$9:T$9)+$I$4))),TREND($E64:$F64,$E$9:$F$9,T$9))</f>
        <v>0</v>
      </c>
      <c r="U64">
        <f>IF($G64="s-curve",$E64+($F64-$E64)*$I$2/(1+EXP($I$3*(COUNT($I$9:U$9)+$I$4))),TREND($E64:$F64,$E$9:$F$9,U$9))</f>
        <v>0</v>
      </c>
      <c r="V64">
        <f>IF($G64="s-curve",$E64+($F64-$E64)*$I$2/(1+EXP($I$3*(COUNT($I$9:V$9)+$I$4))),TREND($E64:$F64,$E$9:$F$9,V$9))</f>
        <v>0</v>
      </c>
      <c r="W64">
        <f>IF($G64="s-curve",$E64+($F64-$E64)*$I$2/(1+EXP($I$3*(COUNT($I$9:W$9)+$I$4))),TREND($E64:$F64,$E$9:$F$9,W$9))</f>
        <v>0</v>
      </c>
      <c r="X64">
        <f>IF($G64="s-curve",$E64+($F64-$E64)*$I$2/(1+EXP($I$3*(COUNT($I$9:X$9)+$I$4))),TREND($E64:$F64,$E$9:$F$9,X$9))</f>
        <v>0</v>
      </c>
      <c r="Y64">
        <f>IF($G64="s-curve",$E64+($F64-$E64)*$I$2/(1+EXP($I$3*(COUNT($I$9:Y$9)+$I$4))),TREND($E64:$F64,$E$9:$F$9,Y$9))</f>
        <v>0</v>
      </c>
      <c r="Z64">
        <f>IF($G64="s-curve",$E64+($F64-$E64)*$I$2/(1+EXP($I$3*(COUNT($I$9:Z$9)+$I$4))),TREND($E64:$F64,$E$9:$F$9,Z$9))</f>
        <v>0</v>
      </c>
      <c r="AA64">
        <f>IF($G64="s-curve",$E64+($F64-$E64)*$I$2/(1+EXP($I$3*(COUNT($I$9:AA$9)+$I$4))),TREND($E64:$F64,$E$9:$F$9,AA$9))</f>
        <v>0</v>
      </c>
      <c r="AB64">
        <f>IF($G64="s-curve",$E64+($F64-$E64)*$I$2/(1+EXP($I$3*(COUNT($I$9:AB$9)+$I$4))),TREND($E64:$F64,$E$9:$F$9,AB$9))</f>
        <v>0</v>
      </c>
      <c r="AC64">
        <f>IF($G64="s-curve",$E64+($F64-$E64)*$I$2/(1+EXP($I$3*(COUNT($I$9:AC$9)+$I$4))),TREND($E64:$F64,$E$9:$F$9,AC$9))</f>
        <v>0</v>
      </c>
      <c r="AD64">
        <f>IF($G64="s-curve",$E64+($F64-$E64)*$I$2/(1+EXP($I$3*(COUNT($I$9:AD$9)+$I$4))),TREND($E64:$F64,$E$9:$F$9,AD$9))</f>
        <v>0</v>
      </c>
      <c r="AE64">
        <f>IF($G64="s-curve",$E64+($F64-$E64)*$I$2/(1+EXP($I$3*(COUNT($I$9:AE$9)+$I$4))),TREND($E64:$F64,$E$9:$F$9,AE$9))</f>
        <v>0</v>
      </c>
      <c r="AF64">
        <f>IF($G64="s-curve",$E64+($F64-$E64)*$I$2/(1+EXP($I$3*(COUNT($I$9:AF$9)+$I$4))),TREND($E64:$F64,$E$9:$F$9,AF$9))</f>
        <v>0</v>
      </c>
      <c r="AG64">
        <f>IF($G64="s-curve",$E64+($F64-$E64)*$I$2/(1+EXP($I$3*(COUNT($I$9:AG$9)+$I$4))),TREND($E64:$F64,$E$9:$F$9,AG$9))</f>
        <v>0</v>
      </c>
      <c r="AH64">
        <f>IF($G64="s-curve",$E64+($F64-$E64)*$I$2/(1+EXP($I$3*(COUNT($I$9:AH$9)+$I$4))),TREND($E64:$F64,$E$9:$F$9,AH$9))</f>
        <v>0</v>
      </c>
      <c r="AI64">
        <f>IF($G64="s-curve",$E64+($F64-$E64)*$I$2/(1+EXP($I$3*(COUNT($I$9:AI$9)+$I$4))),TREND($E64:$F64,$E$9:$F$9,AI$9))</f>
        <v>0</v>
      </c>
    </row>
    <row r="65" spans="1:35" x14ac:dyDescent="0.25">
      <c r="C65" t="s">
        <v>182</v>
      </c>
      <c r="E65">
        <v>0</v>
      </c>
      <c r="F65">
        <v>0</v>
      </c>
      <c r="G65" t="str">
        <f>IF(E65=F65,"n/a",IF(OR(C65="battery electric vehicle",C65="natural gas vehicle",C65="plugin hybrid vehicle",C65="hydrogen vehicle"),"s-curve","linear"))</f>
        <v>n/a</v>
      </c>
      <c r="I65">
        <f t="shared" si="10"/>
        <v>0</v>
      </c>
      <c r="J65">
        <f>IF($G65="s-curve",$E65+($F65-$E65)*$I$2/(1+EXP($I$3*(COUNT($I$9:J$9)+$I$4))),TREND($E65:$F65,$E$9:$F$9,J$9))</f>
        <v>0</v>
      </c>
      <c r="K65">
        <f>IF($G65="s-curve",$E65+($F65-$E65)*$I$2/(1+EXP($I$3*(COUNT($I$9:K$9)+$I$4))),TREND($E65:$F65,$E$9:$F$9,K$9))</f>
        <v>0</v>
      </c>
      <c r="L65">
        <f>IF($G65="s-curve",$E65+($F65-$E65)*$I$2/(1+EXP($I$3*(COUNT($I$9:L$9)+$I$4))),TREND($E65:$F65,$E$9:$F$9,L$9))</f>
        <v>0</v>
      </c>
      <c r="M65">
        <f>IF($G65="s-curve",$E65+($F65-$E65)*$I$2/(1+EXP($I$3*(COUNT($I$9:M$9)+$I$4))),TREND($E65:$F65,$E$9:$F$9,M$9))</f>
        <v>0</v>
      </c>
      <c r="N65">
        <f>IF($G65="s-curve",$E65+($F65-$E65)*$I$2/(1+EXP($I$3*(COUNT($I$9:N$9)+$I$4))),TREND($E65:$F65,$E$9:$F$9,N$9))</f>
        <v>0</v>
      </c>
      <c r="O65">
        <f>IF($G65="s-curve",$E65+($F65-$E65)*$I$2/(1+EXP($I$3*(COUNT($I$9:O$9)+$I$4))),TREND($E65:$F65,$E$9:$F$9,O$9))</f>
        <v>0</v>
      </c>
      <c r="P65">
        <f>IF($G65="s-curve",$E65+($F65-$E65)*$I$2/(1+EXP($I$3*(COUNT($I$9:P$9)+$I$4))),TREND($E65:$F65,$E$9:$F$9,P$9))</f>
        <v>0</v>
      </c>
      <c r="Q65">
        <f>IF($G65="s-curve",$E65+($F65-$E65)*$I$2/(1+EXP($I$3*(COUNT($I$9:Q$9)+$I$4))),TREND($E65:$F65,$E$9:$F$9,Q$9))</f>
        <v>0</v>
      </c>
      <c r="R65">
        <f>IF($G65="s-curve",$E65+($F65-$E65)*$I$2/(1+EXP($I$3*(COUNT($I$9:R$9)+$I$4))),TREND($E65:$F65,$E$9:$F$9,R$9))</f>
        <v>0</v>
      </c>
      <c r="S65">
        <f>IF($G65="s-curve",$E65+($F65-$E65)*$I$2/(1+EXP($I$3*(COUNT($I$9:S$9)+$I$4))),TREND($E65:$F65,$E$9:$F$9,S$9))</f>
        <v>0</v>
      </c>
      <c r="T65">
        <f>IF($G65="s-curve",$E65+($F65-$E65)*$I$2/(1+EXP($I$3*(COUNT($I$9:T$9)+$I$4))),TREND($E65:$F65,$E$9:$F$9,T$9))</f>
        <v>0</v>
      </c>
      <c r="U65">
        <f>IF($G65="s-curve",$E65+($F65-$E65)*$I$2/(1+EXP($I$3*(COUNT($I$9:U$9)+$I$4))),TREND($E65:$F65,$E$9:$F$9,U$9))</f>
        <v>0</v>
      </c>
      <c r="V65">
        <f>IF($G65="s-curve",$E65+($F65-$E65)*$I$2/(1+EXP($I$3*(COUNT($I$9:V$9)+$I$4))),TREND($E65:$F65,$E$9:$F$9,V$9))</f>
        <v>0</v>
      </c>
      <c r="W65">
        <f>IF($G65="s-curve",$E65+($F65-$E65)*$I$2/(1+EXP($I$3*(COUNT($I$9:W$9)+$I$4))),TREND($E65:$F65,$E$9:$F$9,W$9))</f>
        <v>0</v>
      </c>
      <c r="X65">
        <f>IF($G65="s-curve",$E65+($F65-$E65)*$I$2/(1+EXP($I$3*(COUNT($I$9:X$9)+$I$4))),TREND($E65:$F65,$E$9:$F$9,X$9))</f>
        <v>0</v>
      </c>
      <c r="Y65">
        <f>IF($G65="s-curve",$E65+($F65-$E65)*$I$2/(1+EXP($I$3*(COUNT($I$9:Y$9)+$I$4))),TREND($E65:$F65,$E$9:$F$9,Y$9))</f>
        <v>0</v>
      </c>
      <c r="Z65">
        <f>IF($G65="s-curve",$E65+($F65-$E65)*$I$2/(1+EXP($I$3*(COUNT($I$9:Z$9)+$I$4))),TREND($E65:$F65,$E$9:$F$9,Z$9))</f>
        <v>0</v>
      </c>
      <c r="AA65">
        <f>IF($G65="s-curve",$E65+($F65-$E65)*$I$2/(1+EXP($I$3*(COUNT($I$9:AA$9)+$I$4))),TREND($E65:$F65,$E$9:$F$9,AA$9))</f>
        <v>0</v>
      </c>
      <c r="AB65">
        <f>IF($G65="s-curve",$E65+($F65-$E65)*$I$2/(1+EXP($I$3*(COUNT($I$9:AB$9)+$I$4))),TREND($E65:$F65,$E$9:$F$9,AB$9))</f>
        <v>0</v>
      </c>
      <c r="AC65">
        <f>IF($G65="s-curve",$E65+($F65-$E65)*$I$2/(1+EXP($I$3*(COUNT($I$9:AC$9)+$I$4))),TREND($E65:$F65,$E$9:$F$9,AC$9))</f>
        <v>0</v>
      </c>
      <c r="AD65">
        <f>IF($G65="s-curve",$E65+($F65-$E65)*$I$2/(1+EXP($I$3*(COUNT($I$9:AD$9)+$I$4))),TREND($E65:$F65,$E$9:$F$9,AD$9))</f>
        <v>0</v>
      </c>
      <c r="AE65">
        <f>IF($G65="s-curve",$E65+($F65-$E65)*$I$2/(1+EXP($I$3*(COUNT($I$9:AE$9)+$I$4))),TREND($E65:$F65,$E$9:$F$9,AE$9))</f>
        <v>0</v>
      </c>
      <c r="AF65">
        <f>IF($G65="s-curve",$E65+($F65-$E65)*$I$2/(1+EXP($I$3*(COUNT($I$9:AF$9)+$I$4))),TREND($E65:$F65,$E$9:$F$9,AF$9))</f>
        <v>0</v>
      </c>
      <c r="AG65">
        <f>IF($G65="s-curve",$E65+($F65-$E65)*$I$2/(1+EXP($I$3*(COUNT($I$9:AG$9)+$I$4))),TREND($E65:$F65,$E$9:$F$9,AG$9))</f>
        <v>0</v>
      </c>
      <c r="AH65">
        <f>IF($G65="s-curve",$E65+($F65-$E65)*$I$2/(1+EXP($I$3*(COUNT($I$9:AH$9)+$I$4))),TREND($E65:$F65,$E$9:$F$9,AH$9))</f>
        <v>0</v>
      </c>
      <c r="AI65">
        <f>IF($G65="s-curve",$E65+($F65-$E65)*$I$2/(1+EXP($I$3*(COUNT($I$9:AI$9)+$I$4))),TREND($E65:$F65,$E$9:$F$9,AI$9))</f>
        <v>0</v>
      </c>
    </row>
    <row r="66" spans="1:35" x14ac:dyDescent="0.25">
      <c r="A66" t="s">
        <v>299</v>
      </c>
      <c r="B66" t="s">
        <v>325</v>
      </c>
      <c r="C66" t="s">
        <v>177</v>
      </c>
      <c r="E66">
        <v>0</v>
      </c>
      <c r="F66">
        <v>0</v>
      </c>
      <c r="G66" t="str">
        <f>IF(E66=F66,"n/a",IF(OR(C66="battery electric vehicle",C66="natural gas vehicle",C66="plugin hybrid vehicle"),"s-curve","linear"))</f>
        <v>n/a</v>
      </c>
      <c r="I66">
        <f t="shared" si="10"/>
        <v>0</v>
      </c>
      <c r="J66">
        <f>IF($G66="s-curve",$E66+($F66-$E66)*$I$2/(1+EXP($I$3*(COUNT($I$9:J$9)+$I$4))),TREND($E66:$F66,$E$9:$F$9,J$9))</f>
        <v>0</v>
      </c>
      <c r="K66">
        <f>IF($G66="s-curve",$E66+($F66-$E66)*$I$2/(1+EXP($I$3*(COUNT($I$9:K$9)+$I$4))),TREND($E66:$F66,$E$9:$F$9,K$9))</f>
        <v>0</v>
      </c>
      <c r="L66">
        <f>IF($G66="s-curve",$E66+($F66-$E66)*$I$2/(1+EXP($I$3*(COUNT($I$9:L$9)+$I$4))),TREND($E66:$F66,$E$9:$F$9,L$9))</f>
        <v>0</v>
      </c>
      <c r="M66">
        <f>IF($G66="s-curve",$E66+($F66-$E66)*$I$2/(1+EXP($I$3*(COUNT($I$9:M$9)+$I$4))),TREND($E66:$F66,$E$9:$F$9,M$9))</f>
        <v>0</v>
      </c>
      <c r="N66">
        <f>IF($G66="s-curve",$E66+($F66-$E66)*$I$2/(1+EXP($I$3*(COUNT($I$9:N$9)+$I$4))),TREND($E66:$F66,$E$9:$F$9,N$9))</f>
        <v>0</v>
      </c>
      <c r="O66">
        <f>IF($G66="s-curve",$E66+($F66-$E66)*$I$2/(1+EXP($I$3*(COUNT($I$9:O$9)+$I$4))),TREND($E66:$F66,$E$9:$F$9,O$9))</f>
        <v>0</v>
      </c>
      <c r="P66">
        <f>IF($G66="s-curve",$E66+($F66-$E66)*$I$2/(1+EXP($I$3*(COUNT($I$9:P$9)+$I$4))),TREND($E66:$F66,$E$9:$F$9,P$9))</f>
        <v>0</v>
      </c>
      <c r="Q66">
        <f>IF($G66="s-curve",$E66+($F66-$E66)*$I$2/(1+EXP($I$3*(COUNT($I$9:Q$9)+$I$4))),TREND($E66:$F66,$E$9:$F$9,Q$9))</f>
        <v>0</v>
      </c>
      <c r="R66">
        <f>IF($G66="s-curve",$E66+($F66-$E66)*$I$2/(1+EXP($I$3*(COUNT($I$9:R$9)+$I$4))),TREND($E66:$F66,$E$9:$F$9,R$9))</f>
        <v>0</v>
      </c>
      <c r="S66">
        <f>IF($G66="s-curve",$E66+($F66-$E66)*$I$2/(1+EXP($I$3*(COUNT($I$9:S$9)+$I$4))),TREND($E66:$F66,$E$9:$F$9,S$9))</f>
        <v>0</v>
      </c>
      <c r="T66">
        <f>IF($G66="s-curve",$E66+($F66-$E66)*$I$2/(1+EXP($I$3*(COUNT($I$9:T$9)+$I$4))),TREND($E66:$F66,$E$9:$F$9,T$9))</f>
        <v>0</v>
      </c>
      <c r="U66">
        <f>IF($G66="s-curve",$E66+($F66-$E66)*$I$2/(1+EXP($I$3*(COUNT($I$9:U$9)+$I$4))),TREND($E66:$F66,$E$9:$F$9,U$9))</f>
        <v>0</v>
      </c>
      <c r="V66">
        <f>IF($G66="s-curve",$E66+($F66-$E66)*$I$2/(1+EXP($I$3*(COUNT($I$9:V$9)+$I$4))),TREND($E66:$F66,$E$9:$F$9,V$9))</f>
        <v>0</v>
      </c>
      <c r="W66">
        <f>IF($G66="s-curve",$E66+($F66-$E66)*$I$2/(1+EXP($I$3*(COUNT($I$9:W$9)+$I$4))),TREND($E66:$F66,$E$9:$F$9,W$9))</f>
        <v>0</v>
      </c>
      <c r="X66">
        <f>IF($G66="s-curve",$E66+($F66-$E66)*$I$2/(1+EXP($I$3*(COUNT($I$9:X$9)+$I$4))),TREND($E66:$F66,$E$9:$F$9,X$9))</f>
        <v>0</v>
      </c>
      <c r="Y66">
        <f>IF($G66="s-curve",$E66+($F66-$E66)*$I$2/(1+EXP($I$3*(COUNT($I$9:Y$9)+$I$4))),TREND($E66:$F66,$E$9:$F$9,Y$9))</f>
        <v>0</v>
      </c>
      <c r="Z66">
        <f>IF($G66="s-curve",$E66+($F66-$E66)*$I$2/(1+EXP($I$3*(COUNT($I$9:Z$9)+$I$4))),TREND($E66:$F66,$E$9:$F$9,Z$9))</f>
        <v>0</v>
      </c>
      <c r="AA66">
        <f>IF($G66="s-curve",$E66+($F66-$E66)*$I$2/(1+EXP($I$3*(COUNT($I$9:AA$9)+$I$4))),TREND($E66:$F66,$E$9:$F$9,AA$9))</f>
        <v>0</v>
      </c>
      <c r="AB66">
        <f>IF($G66="s-curve",$E66+($F66-$E66)*$I$2/(1+EXP($I$3*(COUNT($I$9:AB$9)+$I$4))),TREND($E66:$F66,$E$9:$F$9,AB$9))</f>
        <v>0</v>
      </c>
      <c r="AC66">
        <f>IF($G66="s-curve",$E66+($F66-$E66)*$I$2/(1+EXP($I$3*(COUNT($I$9:AC$9)+$I$4))),TREND($E66:$F66,$E$9:$F$9,AC$9))</f>
        <v>0</v>
      </c>
      <c r="AD66">
        <f>IF($G66="s-curve",$E66+($F66-$E66)*$I$2/(1+EXP($I$3*(COUNT($I$9:AD$9)+$I$4))),TREND($E66:$F66,$E$9:$F$9,AD$9))</f>
        <v>0</v>
      </c>
      <c r="AE66">
        <f>IF($G66="s-curve",$E66+($F66-$E66)*$I$2/(1+EXP($I$3*(COUNT($I$9:AE$9)+$I$4))),TREND($E66:$F66,$E$9:$F$9,AE$9))</f>
        <v>0</v>
      </c>
      <c r="AF66">
        <f>IF($G66="s-curve",$E66+($F66-$E66)*$I$2/(1+EXP($I$3*(COUNT($I$9:AF$9)+$I$4))),TREND($E66:$F66,$E$9:$F$9,AF$9))</f>
        <v>0</v>
      </c>
      <c r="AG66">
        <f>IF($G66="s-curve",$E66+($F66-$E66)*$I$2/(1+EXP($I$3*(COUNT($I$9:AG$9)+$I$4))),TREND($E66:$F66,$E$9:$F$9,AG$9))</f>
        <v>0</v>
      </c>
      <c r="AH66">
        <f>IF($G66="s-curve",$E66+($F66-$E66)*$I$2/(1+EXP($I$3*(COUNT($I$9:AH$9)+$I$4))),TREND($E66:$F66,$E$9:$F$9,AH$9))</f>
        <v>0</v>
      </c>
      <c r="AI66">
        <f>IF($G66="s-curve",$E66+($F66-$E66)*$I$2/(1+EXP($I$3*(COUNT($I$9:AI$9)+$I$4))),TREND($E66:$F66,$E$9:$F$9,AI$9))</f>
        <v>0</v>
      </c>
    </row>
    <row r="67" spans="1:35" x14ac:dyDescent="0.25">
      <c r="C67" t="s">
        <v>291</v>
      </c>
      <c r="E67">
        <v>0</v>
      </c>
      <c r="F67">
        <v>0</v>
      </c>
      <c r="G67" t="str">
        <f>IF(E67=F67,"n/a",IF(OR(C67="battery electric vehicle",C67="natural gas vehicle",C67="plugin hybrid vehicle"),"s-curve","linear"))</f>
        <v>n/a</v>
      </c>
      <c r="I67">
        <f t="shared" si="10"/>
        <v>0</v>
      </c>
      <c r="J67">
        <f>IF($G67="s-curve",$E67+($F67-$E67)*$I$2/(1+EXP($I$3*(COUNT($I$9:J$9)+$I$4))),TREND($E67:$F67,$E$9:$F$9,J$9))</f>
        <v>0</v>
      </c>
      <c r="K67">
        <f>IF($G67="s-curve",$E67+($F67-$E67)*$I$2/(1+EXP($I$3*(COUNT($I$9:K$9)+$I$4))),TREND($E67:$F67,$E$9:$F$9,K$9))</f>
        <v>0</v>
      </c>
      <c r="L67">
        <f>IF($G67="s-curve",$E67+($F67-$E67)*$I$2/(1+EXP($I$3*(COUNT($I$9:L$9)+$I$4))),TREND($E67:$F67,$E$9:$F$9,L$9))</f>
        <v>0</v>
      </c>
      <c r="M67">
        <f>IF($G67="s-curve",$E67+($F67-$E67)*$I$2/(1+EXP($I$3*(COUNT($I$9:M$9)+$I$4))),TREND($E67:$F67,$E$9:$F$9,M$9))</f>
        <v>0</v>
      </c>
      <c r="N67">
        <f>IF($G67="s-curve",$E67+($F67-$E67)*$I$2/(1+EXP($I$3*(COUNT($I$9:N$9)+$I$4))),TREND($E67:$F67,$E$9:$F$9,N$9))</f>
        <v>0</v>
      </c>
      <c r="O67">
        <f>IF($G67="s-curve",$E67+($F67-$E67)*$I$2/(1+EXP($I$3*(COUNT($I$9:O$9)+$I$4))),TREND($E67:$F67,$E$9:$F$9,O$9))</f>
        <v>0</v>
      </c>
      <c r="P67">
        <f>IF($G67="s-curve",$E67+($F67-$E67)*$I$2/(1+EXP($I$3*(COUNT($I$9:P$9)+$I$4))),TREND($E67:$F67,$E$9:$F$9,P$9))</f>
        <v>0</v>
      </c>
      <c r="Q67">
        <f>IF($G67="s-curve",$E67+($F67-$E67)*$I$2/(1+EXP($I$3*(COUNT($I$9:Q$9)+$I$4))),TREND($E67:$F67,$E$9:$F$9,Q$9))</f>
        <v>0</v>
      </c>
      <c r="R67">
        <f>IF($G67="s-curve",$E67+($F67-$E67)*$I$2/(1+EXP($I$3*(COUNT($I$9:R$9)+$I$4))),TREND($E67:$F67,$E$9:$F$9,R$9))</f>
        <v>0</v>
      </c>
      <c r="S67">
        <f>IF($G67="s-curve",$E67+($F67-$E67)*$I$2/(1+EXP($I$3*(COUNT($I$9:S$9)+$I$4))),TREND($E67:$F67,$E$9:$F$9,S$9))</f>
        <v>0</v>
      </c>
      <c r="T67">
        <f>IF($G67="s-curve",$E67+($F67-$E67)*$I$2/(1+EXP($I$3*(COUNT($I$9:T$9)+$I$4))),TREND($E67:$F67,$E$9:$F$9,T$9))</f>
        <v>0</v>
      </c>
      <c r="U67">
        <f>IF($G67="s-curve",$E67+($F67-$E67)*$I$2/(1+EXP($I$3*(COUNT($I$9:U$9)+$I$4))),TREND($E67:$F67,$E$9:$F$9,U$9))</f>
        <v>0</v>
      </c>
      <c r="V67">
        <f>IF($G67="s-curve",$E67+($F67-$E67)*$I$2/(1+EXP($I$3*(COUNT($I$9:V$9)+$I$4))),TREND($E67:$F67,$E$9:$F$9,V$9))</f>
        <v>0</v>
      </c>
      <c r="W67">
        <f>IF($G67="s-curve",$E67+($F67-$E67)*$I$2/(1+EXP($I$3*(COUNT($I$9:W$9)+$I$4))),TREND($E67:$F67,$E$9:$F$9,W$9))</f>
        <v>0</v>
      </c>
      <c r="X67">
        <f>IF($G67="s-curve",$E67+($F67-$E67)*$I$2/(1+EXP($I$3*(COUNT($I$9:X$9)+$I$4))),TREND($E67:$F67,$E$9:$F$9,X$9))</f>
        <v>0</v>
      </c>
      <c r="Y67">
        <f>IF($G67="s-curve",$E67+($F67-$E67)*$I$2/(1+EXP($I$3*(COUNT($I$9:Y$9)+$I$4))),TREND($E67:$F67,$E$9:$F$9,Y$9))</f>
        <v>0</v>
      </c>
      <c r="Z67">
        <f>IF($G67="s-curve",$E67+($F67-$E67)*$I$2/(1+EXP($I$3*(COUNT($I$9:Z$9)+$I$4))),TREND($E67:$F67,$E$9:$F$9,Z$9))</f>
        <v>0</v>
      </c>
      <c r="AA67">
        <f>IF($G67="s-curve",$E67+($F67-$E67)*$I$2/(1+EXP($I$3*(COUNT($I$9:AA$9)+$I$4))),TREND($E67:$F67,$E$9:$F$9,AA$9))</f>
        <v>0</v>
      </c>
      <c r="AB67">
        <f>IF($G67="s-curve",$E67+($F67-$E67)*$I$2/(1+EXP($I$3*(COUNT($I$9:AB$9)+$I$4))),TREND($E67:$F67,$E$9:$F$9,AB$9))</f>
        <v>0</v>
      </c>
      <c r="AC67">
        <f>IF($G67="s-curve",$E67+($F67-$E67)*$I$2/(1+EXP($I$3*(COUNT($I$9:AC$9)+$I$4))),TREND($E67:$F67,$E$9:$F$9,AC$9))</f>
        <v>0</v>
      </c>
      <c r="AD67">
        <f>IF($G67="s-curve",$E67+($F67-$E67)*$I$2/(1+EXP($I$3*(COUNT($I$9:AD$9)+$I$4))),TREND($E67:$F67,$E$9:$F$9,AD$9))</f>
        <v>0</v>
      </c>
      <c r="AE67">
        <f>IF($G67="s-curve",$E67+($F67-$E67)*$I$2/(1+EXP($I$3*(COUNT($I$9:AE$9)+$I$4))),TREND($E67:$F67,$E$9:$F$9,AE$9))</f>
        <v>0</v>
      </c>
      <c r="AF67">
        <f>IF($G67="s-curve",$E67+($F67-$E67)*$I$2/(1+EXP($I$3*(COUNT($I$9:AF$9)+$I$4))),TREND($E67:$F67,$E$9:$F$9,AF$9))</f>
        <v>0</v>
      </c>
      <c r="AG67">
        <f>IF($G67="s-curve",$E67+($F67-$E67)*$I$2/(1+EXP($I$3*(COUNT($I$9:AG$9)+$I$4))),TREND($E67:$F67,$E$9:$F$9,AG$9))</f>
        <v>0</v>
      </c>
      <c r="AH67">
        <f>IF($G67="s-curve",$E67+($F67-$E67)*$I$2/(1+EXP($I$3*(COUNT($I$9:AH$9)+$I$4))),TREND($E67:$F67,$E$9:$F$9,AH$9))</f>
        <v>0</v>
      </c>
      <c r="AI67">
        <f>IF($G67="s-curve",$E67+($F67-$E67)*$I$2/(1+EXP($I$3*(COUNT($I$9:AI$9)+$I$4))),TREND($E67:$F67,$E$9:$F$9,AI$9))</f>
        <v>0</v>
      </c>
    </row>
    <row r="68" spans="1:35" x14ac:dyDescent="0.25">
      <c r="C68" t="s">
        <v>292</v>
      </c>
      <c r="E68">
        <v>0</v>
      </c>
      <c r="F68">
        <v>0</v>
      </c>
      <c r="G68" t="str">
        <f>IF(E68=F68,"n/a",IF(OR(C68="battery electric vehicle",C68="natural gas vehicle",C68="plugin hybrid vehicle"),"s-curve","linear"))</f>
        <v>n/a</v>
      </c>
      <c r="I68">
        <f t="shared" si="10"/>
        <v>0</v>
      </c>
      <c r="J68">
        <f>IF($G68="s-curve",$E68+($F68-$E68)*$I$2/(1+EXP($I$3*(COUNT($I$9:J$9)+$I$4))),TREND($E68:$F68,$E$9:$F$9,J$9))</f>
        <v>0</v>
      </c>
      <c r="K68">
        <f>IF($G68="s-curve",$E68+($F68-$E68)*$I$2/(1+EXP($I$3*(COUNT($I$9:K$9)+$I$4))),TREND($E68:$F68,$E$9:$F$9,K$9))</f>
        <v>0</v>
      </c>
      <c r="L68">
        <f>IF($G68="s-curve",$E68+($F68-$E68)*$I$2/(1+EXP($I$3*(COUNT($I$9:L$9)+$I$4))),TREND($E68:$F68,$E$9:$F$9,L$9))</f>
        <v>0</v>
      </c>
      <c r="M68">
        <f>IF($G68="s-curve",$E68+($F68-$E68)*$I$2/(1+EXP($I$3*(COUNT($I$9:M$9)+$I$4))),TREND($E68:$F68,$E$9:$F$9,M$9))</f>
        <v>0</v>
      </c>
      <c r="N68">
        <f>IF($G68="s-curve",$E68+($F68-$E68)*$I$2/(1+EXP($I$3*(COUNT($I$9:N$9)+$I$4))),TREND($E68:$F68,$E$9:$F$9,N$9))</f>
        <v>0</v>
      </c>
      <c r="O68">
        <f>IF($G68="s-curve",$E68+($F68-$E68)*$I$2/(1+EXP($I$3*(COUNT($I$9:O$9)+$I$4))),TREND($E68:$F68,$E$9:$F$9,O$9))</f>
        <v>0</v>
      </c>
      <c r="P68">
        <f>IF($G68="s-curve",$E68+($F68-$E68)*$I$2/(1+EXP($I$3*(COUNT($I$9:P$9)+$I$4))),TREND($E68:$F68,$E$9:$F$9,P$9))</f>
        <v>0</v>
      </c>
      <c r="Q68">
        <f>IF($G68="s-curve",$E68+($F68-$E68)*$I$2/(1+EXP($I$3*(COUNT($I$9:Q$9)+$I$4))),TREND($E68:$F68,$E$9:$F$9,Q$9))</f>
        <v>0</v>
      </c>
      <c r="R68">
        <f>IF($G68="s-curve",$E68+($F68-$E68)*$I$2/(1+EXP($I$3*(COUNT($I$9:R$9)+$I$4))),TREND($E68:$F68,$E$9:$F$9,R$9))</f>
        <v>0</v>
      </c>
      <c r="S68">
        <f>IF($G68="s-curve",$E68+($F68-$E68)*$I$2/(1+EXP($I$3*(COUNT($I$9:S$9)+$I$4))),TREND($E68:$F68,$E$9:$F$9,S$9))</f>
        <v>0</v>
      </c>
      <c r="T68">
        <f>IF($G68="s-curve",$E68+($F68-$E68)*$I$2/(1+EXP($I$3*(COUNT($I$9:T$9)+$I$4))),TREND($E68:$F68,$E$9:$F$9,T$9))</f>
        <v>0</v>
      </c>
      <c r="U68">
        <f>IF($G68="s-curve",$E68+($F68-$E68)*$I$2/(1+EXP($I$3*(COUNT($I$9:U$9)+$I$4))),TREND($E68:$F68,$E$9:$F$9,U$9))</f>
        <v>0</v>
      </c>
      <c r="V68">
        <f>IF($G68="s-curve",$E68+($F68-$E68)*$I$2/(1+EXP($I$3*(COUNT($I$9:V$9)+$I$4))),TREND($E68:$F68,$E$9:$F$9,V$9))</f>
        <v>0</v>
      </c>
      <c r="W68">
        <f>IF($G68="s-curve",$E68+($F68-$E68)*$I$2/(1+EXP($I$3*(COUNT($I$9:W$9)+$I$4))),TREND($E68:$F68,$E$9:$F$9,W$9))</f>
        <v>0</v>
      </c>
      <c r="X68">
        <f>IF($G68="s-curve",$E68+($F68-$E68)*$I$2/(1+EXP($I$3*(COUNT($I$9:X$9)+$I$4))),TREND($E68:$F68,$E$9:$F$9,X$9))</f>
        <v>0</v>
      </c>
      <c r="Y68">
        <f>IF($G68="s-curve",$E68+($F68-$E68)*$I$2/(1+EXP($I$3*(COUNT($I$9:Y$9)+$I$4))),TREND($E68:$F68,$E$9:$F$9,Y$9))</f>
        <v>0</v>
      </c>
      <c r="Z68">
        <f>IF($G68="s-curve",$E68+($F68-$E68)*$I$2/(1+EXP($I$3*(COUNT($I$9:Z$9)+$I$4))),TREND($E68:$F68,$E$9:$F$9,Z$9))</f>
        <v>0</v>
      </c>
      <c r="AA68">
        <f>IF($G68="s-curve",$E68+($F68-$E68)*$I$2/(1+EXP($I$3*(COUNT($I$9:AA$9)+$I$4))),TREND($E68:$F68,$E$9:$F$9,AA$9))</f>
        <v>0</v>
      </c>
      <c r="AB68">
        <f>IF($G68="s-curve",$E68+($F68-$E68)*$I$2/(1+EXP($I$3*(COUNT($I$9:AB$9)+$I$4))),TREND($E68:$F68,$E$9:$F$9,AB$9))</f>
        <v>0</v>
      </c>
      <c r="AC68">
        <f>IF($G68="s-curve",$E68+($F68-$E68)*$I$2/(1+EXP($I$3*(COUNT($I$9:AC$9)+$I$4))),TREND($E68:$F68,$E$9:$F$9,AC$9))</f>
        <v>0</v>
      </c>
      <c r="AD68">
        <f>IF($G68="s-curve",$E68+($F68-$E68)*$I$2/(1+EXP($I$3*(COUNT($I$9:AD$9)+$I$4))),TREND($E68:$F68,$E$9:$F$9,AD$9))</f>
        <v>0</v>
      </c>
      <c r="AE68">
        <f>IF($G68="s-curve",$E68+($F68-$E68)*$I$2/(1+EXP($I$3*(COUNT($I$9:AE$9)+$I$4))),TREND($E68:$F68,$E$9:$F$9,AE$9))</f>
        <v>0</v>
      </c>
      <c r="AF68">
        <f>IF($G68="s-curve",$E68+($F68-$E68)*$I$2/(1+EXP($I$3*(COUNT($I$9:AF$9)+$I$4))),TREND($E68:$F68,$E$9:$F$9,AF$9))</f>
        <v>0</v>
      </c>
      <c r="AG68">
        <f>IF($G68="s-curve",$E68+($F68-$E68)*$I$2/(1+EXP($I$3*(COUNT($I$9:AG$9)+$I$4))),TREND($E68:$F68,$E$9:$F$9,AG$9))</f>
        <v>0</v>
      </c>
      <c r="AH68">
        <f>IF($G68="s-curve",$E68+($F68-$E68)*$I$2/(1+EXP($I$3*(COUNT($I$9:AH$9)+$I$4))),TREND($E68:$F68,$E$9:$F$9,AH$9))</f>
        <v>0</v>
      </c>
      <c r="AI68">
        <f>IF($G68="s-curve",$E68+($F68-$E68)*$I$2/(1+EXP($I$3*(COUNT($I$9:AI$9)+$I$4))),TREND($E68:$F68,$E$9:$F$9,AI$9))</f>
        <v>0</v>
      </c>
    </row>
    <row r="69" spans="1:35" x14ac:dyDescent="0.25">
      <c r="C69" t="s">
        <v>293</v>
      </c>
      <c r="E69">
        <v>1</v>
      </c>
      <c r="F69">
        <v>1</v>
      </c>
      <c r="G69" t="str">
        <f>IF(E69=F69,"n/a",IF(OR(C69="battery electric vehicle",C69="natural gas vehicle",C69="plugin hybrid vehicle"),"s-curve","linear"))</f>
        <v>n/a</v>
      </c>
      <c r="I69">
        <f t="shared" si="10"/>
        <v>1</v>
      </c>
      <c r="J69">
        <f>IF($G69="s-curve",$E69+($F69-$E69)*$I$2/(1+EXP($I$3*(COUNT($I$9:J$9)+$I$4))),TREND($E69:$F69,$E$9:$F$9,J$9))</f>
        <v>1</v>
      </c>
      <c r="K69">
        <f>IF($G69="s-curve",$E69+($F69-$E69)*$I$2/(1+EXP($I$3*(COUNT($I$9:K$9)+$I$4))),TREND($E69:$F69,$E$9:$F$9,K$9))</f>
        <v>1</v>
      </c>
      <c r="L69">
        <f>IF($G69="s-curve",$E69+($F69-$E69)*$I$2/(1+EXP($I$3*(COUNT($I$9:L$9)+$I$4))),TREND($E69:$F69,$E$9:$F$9,L$9))</f>
        <v>1</v>
      </c>
      <c r="M69">
        <f>IF($G69="s-curve",$E69+($F69-$E69)*$I$2/(1+EXP($I$3*(COUNT($I$9:M$9)+$I$4))),TREND($E69:$F69,$E$9:$F$9,M$9))</f>
        <v>1</v>
      </c>
      <c r="N69">
        <f>IF($G69="s-curve",$E69+($F69-$E69)*$I$2/(1+EXP($I$3*(COUNT($I$9:N$9)+$I$4))),TREND($E69:$F69,$E$9:$F$9,N$9))</f>
        <v>1</v>
      </c>
      <c r="O69">
        <f>IF($G69="s-curve",$E69+($F69-$E69)*$I$2/(1+EXP($I$3*(COUNT($I$9:O$9)+$I$4))),TREND($E69:$F69,$E$9:$F$9,O$9))</f>
        <v>1</v>
      </c>
      <c r="P69">
        <f>IF($G69="s-curve",$E69+($F69-$E69)*$I$2/(1+EXP($I$3*(COUNT($I$9:P$9)+$I$4))),TREND($E69:$F69,$E$9:$F$9,P$9))</f>
        <v>1</v>
      </c>
      <c r="Q69">
        <f>IF($G69="s-curve",$E69+($F69-$E69)*$I$2/(1+EXP($I$3*(COUNT($I$9:Q$9)+$I$4))),TREND($E69:$F69,$E$9:$F$9,Q$9))</f>
        <v>1</v>
      </c>
      <c r="R69">
        <f>IF($G69="s-curve",$E69+($F69-$E69)*$I$2/(1+EXP($I$3*(COUNT($I$9:R$9)+$I$4))),TREND($E69:$F69,$E$9:$F$9,R$9))</f>
        <v>1</v>
      </c>
      <c r="S69">
        <f>IF($G69="s-curve",$E69+($F69-$E69)*$I$2/(1+EXP($I$3*(COUNT($I$9:S$9)+$I$4))),TREND($E69:$F69,$E$9:$F$9,S$9))</f>
        <v>1</v>
      </c>
      <c r="T69">
        <f>IF($G69="s-curve",$E69+($F69-$E69)*$I$2/(1+EXP($I$3*(COUNT($I$9:T$9)+$I$4))),TREND($E69:$F69,$E$9:$F$9,T$9))</f>
        <v>1</v>
      </c>
      <c r="U69">
        <f>IF($G69="s-curve",$E69+($F69-$E69)*$I$2/(1+EXP($I$3*(COUNT($I$9:U$9)+$I$4))),TREND($E69:$F69,$E$9:$F$9,U$9))</f>
        <v>1</v>
      </c>
      <c r="V69">
        <f>IF($G69="s-curve",$E69+($F69-$E69)*$I$2/(1+EXP($I$3*(COUNT($I$9:V$9)+$I$4))),TREND($E69:$F69,$E$9:$F$9,V$9))</f>
        <v>1</v>
      </c>
      <c r="W69">
        <f>IF($G69="s-curve",$E69+($F69-$E69)*$I$2/(1+EXP($I$3*(COUNT($I$9:W$9)+$I$4))),TREND($E69:$F69,$E$9:$F$9,W$9))</f>
        <v>1</v>
      </c>
      <c r="X69">
        <f>IF($G69="s-curve",$E69+($F69-$E69)*$I$2/(1+EXP($I$3*(COUNT($I$9:X$9)+$I$4))),TREND($E69:$F69,$E$9:$F$9,X$9))</f>
        <v>1</v>
      </c>
      <c r="Y69">
        <f>IF($G69="s-curve",$E69+($F69-$E69)*$I$2/(1+EXP($I$3*(COUNT($I$9:Y$9)+$I$4))),TREND($E69:$F69,$E$9:$F$9,Y$9))</f>
        <v>1</v>
      </c>
      <c r="Z69">
        <f>IF($G69="s-curve",$E69+($F69-$E69)*$I$2/(1+EXP($I$3*(COUNT($I$9:Z$9)+$I$4))),TREND($E69:$F69,$E$9:$F$9,Z$9))</f>
        <v>1</v>
      </c>
      <c r="AA69">
        <f>IF($G69="s-curve",$E69+($F69-$E69)*$I$2/(1+EXP($I$3*(COUNT($I$9:AA$9)+$I$4))),TREND($E69:$F69,$E$9:$F$9,AA$9))</f>
        <v>1</v>
      </c>
      <c r="AB69">
        <f>IF($G69="s-curve",$E69+($F69-$E69)*$I$2/(1+EXP($I$3*(COUNT($I$9:AB$9)+$I$4))),TREND($E69:$F69,$E$9:$F$9,AB$9))</f>
        <v>1</v>
      </c>
      <c r="AC69">
        <f>IF($G69="s-curve",$E69+($F69-$E69)*$I$2/(1+EXP($I$3*(COUNT($I$9:AC$9)+$I$4))),TREND($E69:$F69,$E$9:$F$9,AC$9))</f>
        <v>1</v>
      </c>
      <c r="AD69">
        <f>IF($G69="s-curve",$E69+($F69-$E69)*$I$2/(1+EXP($I$3*(COUNT($I$9:AD$9)+$I$4))),TREND($E69:$F69,$E$9:$F$9,AD$9))</f>
        <v>1</v>
      </c>
      <c r="AE69">
        <f>IF($G69="s-curve",$E69+($F69-$E69)*$I$2/(1+EXP($I$3*(COUNT($I$9:AE$9)+$I$4))),TREND($E69:$F69,$E$9:$F$9,AE$9))</f>
        <v>1</v>
      </c>
      <c r="AF69">
        <f>IF($G69="s-curve",$E69+($F69-$E69)*$I$2/(1+EXP($I$3*(COUNT($I$9:AF$9)+$I$4))),TREND($E69:$F69,$E$9:$F$9,AF$9))</f>
        <v>1</v>
      </c>
      <c r="AG69">
        <f>IF($G69="s-curve",$E69+($F69-$E69)*$I$2/(1+EXP($I$3*(COUNT($I$9:AG$9)+$I$4))),TREND($E69:$F69,$E$9:$F$9,AG$9))</f>
        <v>1</v>
      </c>
      <c r="AH69">
        <f>IF($G69="s-curve",$E69+($F69-$E69)*$I$2/(1+EXP($I$3*(COUNT($I$9:AH$9)+$I$4))),TREND($E69:$F69,$E$9:$F$9,AH$9))</f>
        <v>1</v>
      </c>
      <c r="AI69">
        <f>IF($G69="s-curve",$E69+($F69-$E69)*$I$2/(1+EXP($I$3*(COUNT($I$9:AI$9)+$I$4))),TREND($E69:$F69,$E$9:$F$9,AI$9))</f>
        <v>1</v>
      </c>
    </row>
    <row r="70" spans="1:35" x14ac:dyDescent="0.25">
      <c r="C70" t="s">
        <v>180</v>
      </c>
      <c r="E70">
        <v>0</v>
      </c>
      <c r="F70">
        <v>0</v>
      </c>
      <c r="G70" t="str">
        <f>IF(E70=F70,"n/a",IF(OR(C70="battery electric vehicle",C70="natural gas vehicle",C70="plugin hybrid vehicle"),"s-curve","linear"))</f>
        <v>n/a</v>
      </c>
      <c r="I70">
        <f t="shared" ref="I70:I93" si="11">E70</f>
        <v>0</v>
      </c>
      <c r="J70">
        <f>IF($G70="s-curve",$E70+($F70-$E70)*$I$2/(1+EXP($I$3*(COUNT($I$9:J$9)+$I$4))),TREND($E70:$F70,$E$9:$F$9,J$9))</f>
        <v>0</v>
      </c>
      <c r="K70">
        <f>IF($G70="s-curve",$E70+($F70-$E70)*$I$2/(1+EXP($I$3*(COUNT($I$9:K$9)+$I$4))),TREND($E70:$F70,$E$9:$F$9,K$9))</f>
        <v>0</v>
      </c>
      <c r="L70">
        <f>IF($G70="s-curve",$E70+($F70-$E70)*$I$2/(1+EXP($I$3*(COUNT($I$9:L$9)+$I$4))),TREND($E70:$F70,$E$9:$F$9,L$9))</f>
        <v>0</v>
      </c>
      <c r="M70">
        <f>IF($G70="s-curve",$E70+($F70-$E70)*$I$2/(1+EXP($I$3*(COUNT($I$9:M$9)+$I$4))),TREND($E70:$F70,$E$9:$F$9,M$9))</f>
        <v>0</v>
      </c>
      <c r="N70">
        <f>IF($G70="s-curve",$E70+($F70-$E70)*$I$2/(1+EXP($I$3*(COUNT($I$9:N$9)+$I$4))),TREND($E70:$F70,$E$9:$F$9,N$9))</f>
        <v>0</v>
      </c>
      <c r="O70">
        <f>IF($G70="s-curve",$E70+($F70-$E70)*$I$2/(1+EXP($I$3*(COUNT($I$9:O$9)+$I$4))),TREND($E70:$F70,$E$9:$F$9,O$9))</f>
        <v>0</v>
      </c>
      <c r="P70">
        <f>IF($G70="s-curve",$E70+($F70-$E70)*$I$2/(1+EXP($I$3*(COUNT($I$9:P$9)+$I$4))),TREND($E70:$F70,$E$9:$F$9,P$9))</f>
        <v>0</v>
      </c>
      <c r="Q70">
        <f>IF($G70="s-curve",$E70+($F70-$E70)*$I$2/(1+EXP($I$3*(COUNT($I$9:Q$9)+$I$4))),TREND($E70:$F70,$E$9:$F$9,Q$9))</f>
        <v>0</v>
      </c>
      <c r="R70">
        <f>IF($G70="s-curve",$E70+($F70-$E70)*$I$2/(1+EXP($I$3*(COUNT($I$9:R$9)+$I$4))),TREND($E70:$F70,$E$9:$F$9,R$9))</f>
        <v>0</v>
      </c>
      <c r="S70">
        <f>IF($G70="s-curve",$E70+($F70-$E70)*$I$2/(1+EXP($I$3*(COUNT($I$9:S$9)+$I$4))),TREND($E70:$F70,$E$9:$F$9,S$9))</f>
        <v>0</v>
      </c>
      <c r="T70">
        <f>IF($G70="s-curve",$E70+($F70-$E70)*$I$2/(1+EXP($I$3*(COUNT($I$9:T$9)+$I$4))),TREND($E70:$F70,$E$9:$F$9,T$9))</f>
        <v>0</v>
      </c>
      <c r="U70">
        <f>IF($G70="s-curve",$E70+($F70-$E70)*$I$2/(1+EXP($I$3*(COUNT($I$9:U$9)+$I$4))),TREND($E70:$F70,$E$9:$F$9,U$9))</f>
        <v>0</v>
      </c>
      <c r="V70">
        <f>IF($G70="s-curve",$E70+($F70-$E70)*$I$2/(1+EXP($I$3*(COUNT($I$9:V$9)+$I$4))),TREND($E70:$F70,$E$9:$F$9,V$9))</f>
        <v>0</v>
      </c>
      <c r="W70">
        <f>IF($G70="s-curve",$E70+($F70-$E70)*$I$2/(1+EXP($I$3*(COUNT($I$9:W$9)+$I$4))),TREND($E70:$F70,$E$9:$F$9,W$9))</f>
        <v>0</v>
      </c>
      <c r="X70">
        <f>IF($G70="s-curve",$E70+($F70-$E70)*$I$2/(1+EXP($I$3*(COUNT($I$9:X$9)+$I$4))),TREND($E70:$F70,$E$9:$F$9,X$9))</f>
        <v>0</v>
      </c>
      <c r="Y70">
        <f>IF($G70="s-curve",$E70+($F70-$E70)*$I$2/(1+EXP($I$3*(COUNT($I$9:Y$9)+$I$4))),TREND($E70:$F70,$E$9:$F$9,Y$9))</f>
        <v>0</v>
      </c>
      <c r="Z70">
        <f>IF($G70="s-curve",$E70+($F70-$E70)*$I$2/(1+EXP($I$3*(COUNT($I$9:Z$9)+$I$4))),TREND($E70:$F70,$E$9:$F$9,Z$9))</f>
        <v>0</v>
      </c>
      <c r="AA70">
        <f>IF($G70="s-curve",$E70+($F70-$E70)*$I$2/(1+EXP($I$3*(COUNT($I$9:AA$9)+$I$4))),TREND($E70:$F70,$E$9:$F$9,AA$9))</f>
        <v>0</v>
      </c>
      <c r="AB70">
        <f>IF($G70="s-curve",$E70+($F70-$E70)*$I$2/(1+EXP($I$3*(COUNT($I$9:AB$9)+$I$4))),TREND($E70:$F70,$E$9:$F$9,AB$9))</f>
        <v>0</v>
      </c>
      <c r="AC70">
        <f>IF($G70="s-curve",$E70+($F70-$E70)*$I$2/(1+EXP($I$3*(COUNT($I$9:AC$9)+$I$4))),TREND($E70:$F70,$E$9:$F$9,AC$9))</f>
        <v>0</v>
      </c>
      <c r="AD70">
        <f>IF($G70="s-curve",$E70+($F70-$E70)*$I$2/(1+EXP($I$3*(COUNT($I$9:AD$9)+$I$4))),TREND($E70:$F70,$E$9:$F$9,AD$9))</f>
        <v>0</v>
      </c>
      <c r="AE70">
        <f>IF($G70="s-curve",$E70+($F70-$E70)*$I$2/(1+EXP($I$3*(COUNT($I$9:AE$9)+$I$4))),TREND($E70:$F70,$E$9:$F$9,AE$9))</f>
        <v>0</v>
      </c>
      <c r="AF70">
        <f>IF($G70="s-curve",$E70+($F70-$E70)*$I$2/(1+EXP($I$3*(COUNT($I$9:AF$9)+$I$4))),TREND($E70:$F70,$E$9:$F$9,AF$9))</f>
        <v>0</v>
      </c>
      <c r="AG70">
        <f>IF($G70="s-curve",$E70+($F70-$E70)*$I$2/(1+EXP($I$3*(COUNT($I$9:AG$9)+$I$4))),TREND($E70:$F70,$E$9:$F$9,AG$9))</f>
        <v>0</v>
      </c>
      <c r="AH70">
        <f>IF($G70="s-curve",$E70+($F70-$E70)*$I$2/(1+EXP($I$3*(COUNT($I$9:AH$9)+$I$4))),TREND($E70:$F70,$E$9:$F$9,AH$9))</f>
        <v>0</v>
      </c>
      <c r="AI70">
        <f>IF($G70="s-curve",$E70+($F70-$E70)*$I$2/(1+EXP($I$3*(COUNT($I$9:AI$9)+$I$4))),TREND($E70:$F70,$E$9:$F$9,AI$9))</f>
        <v>0</v>
      </c>
    </row>
    <row r="71" spans="1:35" x14ac:dyDescent="0.25">
      <c r="C71" t="s">
        <v>294</v>
      </c>
      <c r="E71">
        <v>0</v>
      </c>
      <c r="F71">
        <v>0</v>
      </c>
      <c r="G71" t="str">
        <f>IF(E71=F71,"n/a",IF(OR(C71="battery electric vehicle",C71="natural gas vehicle",C71="plugin hybrid vehicle",C71="hydrogen vehicle"),"s-curve","linear"))</f>
        <v>n/a</v>
      </c>
      <c r="I71">
        <f t="shared" si="11"/>
        <v>0</v>
      </c>
      <c r="J71">
        <f>IF($G71="s-curve",$E71+($F71-$E71)*$I$2/(1+EXP($I$3*(COUNT($I$9:J$9)+$I$4))),TREND($E71:$F71,$E$9:$F$9,J$9))</f>
        <v>0</v>
      </c>
      <c r="K71">
        <f>IF($G71="s-curve",$E71+($F71-$E71)*$I$2/(1+EXP($I$3*(COUNT($I$9:K$9)+$I$4))),TREND($E71:$F71,$E$9:$F$9,K$9))</f>
        <v>0</v>
      </c>
      <c r="L71">
        <f>IF($G71="s-curve",$E71+($F71-$E71)*$I$2/(1+EXP($I$3*(COUNT($I$9:L$9)+$I$4))),TREND($E71:$F71,$E$9:$F$9,L$9))</f>
        <v>0</v>
      </c>
      <c r="M71">
        <f>IF($G71="s-curve",$E71+($F71-$E71)*$I$2/(1+EXP($I$3*(COUNT($I$9:M$9)+$I$4))),TREND($E71:$F71,$E$9:$F$9,M$9))</f>
        <v>0</v>
      </c>
      <c r="N71">
        <f>IF($G71="s-curve",$E71+($F71-$E71)*$I$2/(1+EXP($I$3*(COUNT($I$9:N$9)+$I$4))),TREND($E71:$F71,$E$9:$F$9,N$9))</f>
        <v>0</v>
      </c>
      <c r="O71">
        <f>IF($G71="s-curve",$E71+($F71-$E71)*$I$2/(1+EXP($I$3*(COUNT($I$9:O$9)+$I$4))),TREND($E71:$F71,$E$9:$F$9,O$9))</f>
        <v>0</v>
      </c>
      <c r="P71">
        <f>IF($G71="s-curve",$E71+($F71-$E71)*$I$2/(1+EXP($I$3*(COUNT($I$9:P$9)+$I$4))),TREND($E71:$F71,$E$9:$F$9,P$9))</f>
        <v>0</v>
      </c>
      <c r="Q71">
        <f>IF($G71="s-curve",$E71+($F71-$E71)*$I$2/(1+EXP($I$3*(COUNT($I$9:Q$9)+$I$4))),TREND($E71:$F71,$E$9:$F$9,Q$9))</f>
        <v>0</v>
      </c>
      <c r="R71">
        <f>IF($G71="s-curve",$E71+($F71-$E71)*$I$2/(1+EXP($I$3*(COUNT($I$9:R$9)+$I$4))),TREND($E71:$F71,$E$9:$F$9,R$9))</f>
        <v>0</v>
      </c>
      <c r="S71">
        <f>IF($G71="s-curve",$E71+($F71-$E71)*$I$2/(1+EXP($I$3*(COUNT($I$9:S$9)+$I$4))),TREND($E71:$F71,$E$9:$F$9,S$9))</f>
        <v>0</v>
      </c>
      <c r="T71">
        <f>IF($G71="s-curve",$E71+($F71-$E71)*$I$2/(1+EXP($I$3*(COUNT($I$9:T$9)+$I$4))),TREND($E71:$F71,$E$9:$F$9,T$9))</f>
        <v>0</v>
      </c>
      <c r="U71">
        <f>IF($G71="s-curve",$E71+($F71-$E71)*$I$2/(1+EXP($I$3*(COUNT($I$9:U$9)+$I$4))),TREND($E71:$F71,$E$9:$F$9,U$9))</f>
        <v>0</v>
      </c>
      <c r="V71">
        <f>IF($G71="s-curve",$E71+($F71-$E71)*$I$2/(1+EXP($I$3*(COUNT($I$9:V$9)+$I$4))),TREND($E71:$F71,$E$9:$F$9,V$9))</f>
        <v>0</v>
      </c>
      <c r="W71">
        <f>IF($G71="s-curve",$E71+($F71-$E71)*$I$2/(1+EXP($I$3*(COUNT($I$9:W$9)+$I$4))),TREND($E71:$F71,$E$9:$F$9,W$9))</f>
        <v>0</v>
      </c>
      <c r="X71">
        <f>IF($G71="s-curve",$E71+($F71-$E71)*$I$2/(1+EXP($I$3*(COUNT($I$9:X$9)+$I$4))),TREND($E71:$F71,$E$9:$F$9,X$9))</f>
        <v>0</v>
      </c>
      <c r="Y71">
        <f>IF($G71="s-curve",$E71+($F71-$E71)*$I$2/(1+EXP($I$3*(COUNT($I$9:Y$9)+$I$4))),TREND($E71:$F71,$E$9:$F$9,Y$9))</f>
        <v>0</v>
      </c>
      <c r="Z71">
        <f>IF($G71="s-curve",$E71+($F71-$E71)*$I$2/(1+EXP($I$3*(COUNT($I$9:Z$9)+$I$4))),TREND($E71:$F71,$E$9:$F$9,Z$9))</f>
        <v>0</v>
      </c>
      <c r="AA71">
        <f>IF($G71="s-curve",$E71+($F71-$E71)*$I$2/(1+EXP($I$3*(COUNT($I$9:AA$9)+$I$4))),TREND($E71:$F71,$E$9:$F$9,AA$9))</f>
        <v>0</v>
      </c>
      <c r="AB71">
        <f>IF($G71="s-curve",$E71+($F71-$E71)*$I$2/(1+EXP($I$3*(COUNT($I$9:AB$9)+$I$4))),TREND($E71:$F71,$E$9:$F$9,AB$9))</f>
        <v>0</v>
      </c>
      <c r="AC71">
        <f>IF($G71="s-curve",$E71+($F71-$E71)*$I$2/(1+EXP($I$3*(COUNT($I$9:AC$9)+$I$4))),TREND($E71:$F71,$E$9:$F$9,AC$9))</f>
        <v>0</v>
      </c>
      <c r="AD71">
        <f>IF($G71="s-curve",$E71+($F71-$E71)*$I$2/(1+EXP($I$3*(COUNT($I$9:AD$9)+$I$4))),TREND($E71:$F71,$E$9:$F$9,AD$9))</f>
        <v>0</v>
      </c>
      <c r="AE71">
        <f>IF($G71="s-curve",$E71+($F71-$E71)*$I$2/(1+EXP($I$3*(COUNT($I$9:AE$9)+$I$4))),TREND($E71:$F71,$E$9:$F$9,AE$9))</f>
        <v>0</v>
      </c>
      <c r="AF71">
        <f>IF($G71="s-curve",$E71+($F71-$E71)*$I$2/(1+EXP($I$3*(COUNT($I$9:AF$9)+$I$4))),TREND($E71:$F71,$E$9:$F$9,AF$9))</f>
        <v>0</v>
      </c>
      <c r="AG71">
        <f>IF($G71="s-curve",$E71+($F71-$E71)*$I$2/(1+EXP($I$3*(COUNT($I$9:AG$9)+$I$4))),TREND($E71:$F71,$E$9:$F$9,AG$9))</f>
        <v>0</v>
      </c>
      <c r="AH71">
        <f>IF($G71="s-curve",$E71+($F71-$E71)*$I$2/(1+EXP($I$3*(COUNT($I$9:AH$9)+$I$4))),TREND($E71:$F71,$E$9:$F$9,AH$9))</f>
        <v>0</v>
      </c>
      <c r="AI71">
        <f>IF($G71="s-curve",$E71+($F71-$E71)*$I$2/(1+EXP($I$3*(COUNT($I$9:AI$9)+$I$4))),TREND($E71:$F71,$E$9:$F$9,AI$9))</f>
        <v>0</v>
      </c>
    </row>
    <row r="72" spans="1:35" x14ac:dyDescent="0.25">
      <c r="C72" t="s">
        <v>182</v>
      </c>
      <c r="E72">
        <v>0</v>
      </c>
      <c r="F72">
        <v>0</v>
      </c>
      <c r="G72" t="str">
        <f>IF(E72=F72,"n/a",IF(OR(C72="battery electric vehicle",C72="natural gas vehicle",C72="plugin hybrid vehicle",C72="hydrogen vehicle"),"s-curve","linear"))</f>
        <v>n/a</v>
      </c>
      <c r="I72">
        <f t="shared" si="11"/>
        <v>0</v>
      </c>
      <c r="J72">
        <f>IF($G72="s-curve",$E72+($F72-$E72)*$I$2/(1+EXP($I$3*(COUNT($I$9:J$9)+$I$4))),TREND($E72:$F72,$E$9:$F$9,J$9))</f>
        <v>0</v>
      </c>
      <c r="K72">
        <f>IF($G72="s-curve",$E72+($F72-$E72)*$I$2/(1+EXP($I$3*(COUNT($I$9:K$9)+$I$4))),TREND($E72:$F72,$E$9:$F$9,K$9))</f>
        <v>0</v>
      </c>
      <c r="L72">
        <f>IF($G72="s-curve",$E72+($F72-$E72)*$I$2/(1+EXP($I$3*(COUNT($I$9:L$9)+$I$4))),TREND($E72:$F72,$E$9:$F$9,L$9))</f>
        <v>0</v>
      </c>
      <c r="M72">
        <f>IF($G72="s-curve",$E72+($F72-$E72)*$I$2/(1+EXP($I$3*(COUNT($I$9:M$9)+$I$4))),TREND($E72:$F72,$E$9:$F$9,M$9))</f>
        <v>0</v>
      </c>
      <c r="N72">
        <f>IF($G72="s-curve",$E72+($F72-$E72)*$I$2/(1+EXP($I$3*(COUNT($I$9:N$9)+$I$4))),TREND($E72:$F72,$E$9:$F$9,N$9))</f>
        <v>0</v>
      </c>
      <c r="O72">
        <f>IF($G72="s-curve",$E72+($F72-$E72)*$I$2/(1+EXP($I$3*(COUNT($I$9:O$9)+$I$4))),TREND($E72:$F72,$E$9:$F$9,O$9))</f>
        <v>0</v>
      </c>
      <c r="P72">
        <f>IF($G72="s-curve",$E72+($F72-$E72)*$I$2/(1+EXP($I$3*(COUNT($I$9:P$9)+$I$4))),TREND($E72:$F72,$E$9:$F$9,P$9))</f>
        <v>0</v>
      </c>
      <c r="Q72">
        <f>IF($G72="s-curve",$E72+($F72-$E72)*$I$2/(1+EXP($I$3*(COUNT($I$9:Q$9)+$I$4))),TREND($E72:$F72,$E$9:$F$9,Q$9))</f>
        <v>0</v>
      </c>
      <c r="R72">
        <f>IF($G72="s-curve",$E72+($F72-$E72)*$I$2/(1+EXP($I$3*(COUNT($I$9:R$9)+$I$4))),TREND($E72:$F72,$E$9:$F$9,R$9))</f>
        <v>0</v>
      </c>
      <c r="S72">
        <f>IF($G72="s-curve",$E72+($F72-$E72)*$I$2/(1+EXP($I$3*(COUNT($I$9:S$9)+$I$4))),TREND($E72:$F72,$E$9:$F$9,S$9))</f>
        <v>0</v>
      </c>
      <c r="T72">
        <f>IF($G72="s-curve",$E72+($F72-$E72)*$I$2/(1+EXP($I$3*(COUNT($I$9:T$9)+$I$4))),TREND($E72:$F72,$E$9:$F$9,T$9))</f>
        <v>0</v>
      </c>
      <c r="U72">
        <f>IF($G72="s-curve",$E72+($F72-$E72)*$I$2/(1+EXP($I$3*(COUNT($I$9:U$9)+$I$4))),TREND($E72:$F72,$E$9:$F$9,U$9))</f>
        <v>0</v>
      </c>
      <c r="V72">
        <f>IF($G72="s-curve",$E72+($F72-$E72)*$I$2/(1+EXP($I$3*(COUNT($I$9:V$9)+$I$4))),TREND($E72:$F72,$E$9:$F$9,V$9))</f>
        <v>0</v>
      </c>
      <c r="W72">
        <f>IF($G72="s-curve",$E72+($F72-$E72)*$I$2/(1+EXP($I$3*(COUNT($I$9:W$9)+$I$4))),TREND($E72:$F72,$E$9:$F$9,W$9))</f>
        <v>0</v>
      </c>
      <c r="X72">
        <f>IF($G72="s-curve",$E72+($F72-$E72)*$I$2/(1+EXP($I$3*(COUNT($I$9:X$9)+$I$4))),TREND($E72:$F72,$E$9:$F$9,X$9))</f>
        <v>0</v>
      </c>
      <c r="Y72">
        <f>IF($G72="s-curve",$E72+($F72-$E72)*$I$2/(1+EXP($I$3*(COUNT($I$9:Y$9)+$I$4))),TREND($E72:$F72,$E$9:$F$9,Y$9))</f>
        <v>0</v>
      </c>
      <c r="Z72">
        <f>IF($G72="s-curve",$E72+($F72-$E72)*$I$2/(1+EXP($I$3*(COUNT($I$9:Z$9)+$I$4))),TREND($E72:$F72,$E$9:$F$9,Z$9))</f>
        <v>0</v>
      </c>
      <c r="AA72">
        <f>IF($G72="s-curve",$E72+($F72-$E72)*$I$2/(1+EXP($I$3*(COUNT($I$9:AA$9)+$I$4))),TREND($E72:$F72,$E$9:$F$9,AA$9))</f>
        <v>0</v>
      </c>
      <c r="AB72">
        <f>IF($G72="s-curve",$E72+($F72-$E72)*$I$2/(1+EXP($I$3*(COUNT($I$9:AB$9)+$I$4))),TREND($E72:$F72,$E$9:$F$9,AB$9))</f>
        <v>0</v>
      </c>
      <c r="AC72">
        <f>IF($G72="s-curve",$E72+($F72-$E72)*$I$2/(1+EXP($I$3*(COUNT($I$9:AC$9)+$I$4))),TREND($E72:$F72,$E$9:$F$9,AC$9))</f>
        <v>0</v>
      </c>
      <c r="AD72">
        <f>IF($G72="s-curve",$E72+($F72-$E72)*$I$2/(1+EXP($I$3*(COUNT($I$9:AD$9)+$I$4))),TREND($E72:$F72,$E$9:$F$9,AD$9))</f>
        <v>0</v>
      </c>
      <c r="AE72">
        <f>IF($G72="s-curve",$E72+($F72-$E72)*$I$2/(1+EXP($I$3*(COUNT($I$9:AE$9)+$I$4))),TREND($E72:$F72,$E$9:$F$9,AE$9))</f>
        <v>0</v>
      </c>
      <c r="AF72">
        <f>IF($G72="s-curve",$E72+($F72-$E72)*$I$2/(1+EXP($I$3*(COUNT($I$9:AF$9)+$I$4))),TREND($E72:$F72,$E$9:$F$9,AF$9))</f>
        <v>0</v>
      </c>
      <c r="AG72">
        <f>IF($G72="s-curve",$E72+($F72-$E72)*$I$2/(1+EXP($I$3*(COUNT($I$9:AG$9)+$I$4))),TREND($E72:$F72,$E$9:$F$9,AG$9))</f>
        <v>0</v>
      </c>
      <c r="AH72">
        <f>IF($G72="s-curve",$E72+($F72-$E72)*$I$2/(1+EXP($I$3*(COUNT($I$9:AH$9)+$I$4))),TREND($E72:$F72,$E$9:$F$9,AH$9))</f>
        <v>0</v>
      </c>
      <c r="AI72">
        <f>IF($G72="s-curve",$E72+($F72-$E72)*$I$2/(1+EXP($I$3*(COUNT($I$9:AI$9)+$I$4))),TREND($E72:$F72,$E$9:$F$9,AI$9))</f>
        <v>0</v>
      </c>
    </row>
    <row r="73" spans="1:35" x14ac:dyDescent="0.25">
      <c r="A73" t="s">
        <v>299</v>
      </c>
      <c r="B73" t="s">
        <v>326</v>
      </c>
      <c r="C73" t="s">
        <v>177</v>
      </c>
      <c r="E73">
        <v>0</v>
      </c>
      <c r="F73">
        <v>0</v>
      </c>
      <c r="G73" t="str">
        <f>IF(E73=F73,"n/a",IF(OR(C73="battery electric vehicle",C73="natural gas vehicle",C73="plugin hybrid vehicle"),"s-curve","linear"))</f>
        <v>n/a</v>
      </c>
      <c r="I73">
        <f t="shared" si="11"/>
        <v>0</v>
      </c>
      <c r="J73">
        <f>IF($G73="s-curve",$E73+($F73-$E73)*$I$2/(1+EXP($I$3*(COUNT($I$9:J$9)+$I$4))),TREND($E73:$F73,$E$9:$F$9,J$9))</f>
        <v>0</v>
      </c>
      <c r="K73">
        <f>IF($G73="s-curve",$E73+($F73-$E73)*$I$2/(1+EXP($I$3*(COUNT($I$9:K$9)+$I$4))),TREND($E73:$F73,$E$9:$F$9,K$9))</f>
        <v>0</v>
      </c>
      <c r="L73">
        <f>IF($G73="s-curve",$E73+($F73-$E73)*$I$2/(1+EXP($I$3*(COUNT($I$9:L$9)+$I$4))),TREND($E73:$F73,$E$9:$F$9,L$9))</f>
        <v>0</v>
      </c>
      <c r="M73">
        <f>IF($G73="s-curve",$E73+($F73-$E73)*$I$2/(1+EXP($I$3*(COUNT($I$9:M$9)+$I$4))),TREND($E73:$F73,$E$9:$F$9,M$9))</f>
        <v>0</v>
      </c>
      <c r="N73">
        <f>IF($G73="s-curve",$E73+($F73-$E73)*$I$2/(1+EXP($I$3*(COUNT($I$9:N$9)+$I$4))),TREND($E73:$F73,$E$9:$F$9,N$9))</f>
        <v>0</v>
      </c>
      <c r="O73">
        <f>IF($G73="s-curve",$E73+($F73-$E73)*$I$2/(1+EXP($I$3*(COUNT($I$9:O$9)+$I$4))),TREND($E73:$F73,$E$9:$F$9,O$9))</f>
        <v>0</v>
      </c>
      <c r="P73">
        <f>IF($G73="s-curve",$E73+($F73-$E73)*$I$2/(1+EXP($I$3*(COUNT($I$9:P$9)+$I$4))),TREND($E73:$F73,$E$9:$F$9,P$9))</f>
        <v>0</v>
      </c>
      <c r="Q73">
        <f>IF($G73="s-curve",$E73+($F73-$E73)*$I$2/(1+EXP($I$3*(COUNT($I$9:Q$9)+$I$4))),TREND($E73:$F73,$E$9:$F$9,Q$9))</f>
        <v>0</v>
      </c>
      <c r="R73">
        <f>IF($G73="s-curve",$E73+($F73-$E73)*$I$2/(1+EXP($I$3*(COUNT($I$9:R$9)+$I$4))),TREND($E73:$F73,$E$9:$F$9,R$9))</f>
        <v>0</v>
      </c>
      <c r="S73">
        <f>IF($G73="s-curve",$E73+($F73-$E73)*$I$2/(1+EXP($I$3*(COUNT($I$9:S$9)+$I$4))),TREND($E73:$F73,$E$9:$F$9,S$9))</f>
        <v>0</v>
      </c>
      <c r="T73">
        <f>IF($G73="s-curve",$E73+($F73-$E73)*$I$2/(1+EXP($I$3*(COUNT($I$9:T$9)+$I$4))),TREND($E73:$F73,$E$9:$F$9,T$9))</f>
        <v>0</v>
      </c>
      <c r="U73">
        <f>IF($G73="s-curve",$E73+($F73-$E73)*$I$2/(1+EXP($I$3*(COUNT($I$9:U$9)+$I$4))),TREND($E73:$F73,$E$9:$F$9,U$9))</f>
        <v>0</v>
      </c>
      <c r="V73">
        <f>IF($G73="s-curve",$E73+($F73-$E73)*$I$2/(1+EXP($I$3*(COUNT($I$9:V$9)+$I$4))),TREND($E73:$F73,$E$9:$F$9,V$9))</f>
        <v>0</v>
      </c>
      <c r="W73">
        <f>IF($G73="s-curve",$E73+($F73-$E73)*$I$2/(1+EXP($I$3*(COUNT($I$9:W$9)+$I$4))),TREND($E73:$F73,$E$9:$F$9,W$9))</f>
        <v>0</v>
      </c>
      <c r="X73">
        <f>IF($G73="s-curve",$E73+($F73-$E73)*$I$2/(1+EXP($I$3*(COUNT($I$9:X$9)+$I$4))),TREND($E73:$F73,$E$9:$F$9,X$9))</f>
        <v>0</v>
      </c>
      <c r="Y73">
        <f>IF($G73="s-curve",$E73+($F73-$E73)*$I$2/(1+EXP($I$3*(COUNT($I$9:Y$9)+$I$4))),TREND($E73:$F73,$E$9:$F$9,Y$9))</f>
        <v>0</v>
      </c>
      <c r="Z73">
        <f>IF($G73="s-curve",$E73+($F73-$E73)*$I$2/(1+EXP($I$3*(COUNT($I$9:Z$9)+$I$4))),TREND($E73:$F73,$E$9:$F$9,Z$9))</f>
        <v>0</v>
      </c>
      <c r="AA73">
        <f>IF($G73="s-curve",$E73+($F73-$E73)*$I$2/(1+EXP($I$3*(COUNT($I$9:AA$9)+$I$4))),TREND($E73:$F73,$E$9:$F$9,AA$9))</f>
        <v>0</v>
      </c>
      <c r="AB73">
        <f>IF($G73="s-curve",$E73+($F73-$E73)*$I$2/(1+EXP($I$3*(COUNT($I$9:AB$9)+$I$4))),TREND($E73:$F73,$E$9:$F$9,AB$9))</f>
        <v>0</v>
      </c>
      <c r="AC73">
        <f>IF($G73="s-curve",$E73+($F73-$E73)*$I$2/(1+EXP($I$3*(COUNT($I$9:AC$9)+$I$4))),TREND($E73:$F73,$E$9:$F$9,AC$9))</f>
        <v>0</v>
      </c>
      <c r="AD73">
        <f>IF($G73="s-curve",$E73+($F73-$E73)*$I$2/(1+EXP($I$3*(COUNT($I$9:AD$9)+$I$4))),TREND($E73:$F73,$E$9:$F$9,AD$9))</f>
        <v>0</v>
      </c>
      <c r="AE73">
        <f>IF($G73="s-curve",$E73+($F73-$E73)*$I$2/(1+EXP($I$3*(COUNT($I$9:AE$9)+$I$4))),TREND($E73:$F73,$E$9:$F$9,AE$9))</f>
        <v>0</v>
      </c>
      <c r="AF73">
        <f>IF($G73="s-curve",$E73+($F73-$E73)*$I$2/(1+EXP($I$3*(COUNT($I$9:AF$9)+$I$4))),TREND($E73:$F73,$E$9:$F$9,AF$9))</f>
        <v>0</v>
      </c>
      <c r="AG73">
        <f>IF($G73="s-curve",$E73+($F73-$E73)*$I$2/(1+EXP($I$3*(COUNT($I$9:AG$9)+$I$4))),TREND($E73:$F73,$E$9:$F$9,AG$9))</f>
        <v>0</v>
      </c>
      <c r="AH73">
        <f>IF($G73="s-curve",$E73+($F73-$E73)*$I$2/(1+EXP($I$3*(COUNT($I$9:AH$9)+$I$4))),TREND($E73:$F73,$E$9:$F$9,AH$9))</f>
        <v>0</v>
      </c>
      <c r="AI73">
        <f>IF($G73="s-curve",$E73+($F73-$E73)*$I$2/(1+EXP($I$3*(COUNT($I$9:AI$9)+$I$4))),TREND($E73:$F73,$E$9:$F$9,AI$9))</f>
        <v>0</v>
      </c>
    </row>
    <row r="74" spans="1:35" x14ac:dyDescent="0.25">
      <c r="C74" t="s">
        <v>291</v>
      </c>
      <c r="E74">
        <v>0</v>
      </c>
      <c r="F74">
        <v>0</v>
      </c>
      <c r="G74" t="str">
        <f>IF(E74=F74,"n/a",IF(OR(C74="battery electric vehicle",C74="natural gas vehicle",C74="plugin hybrid vehicle"),"s-curve","linear"))</f>
        <v>n/a</v>
      </c>
      <c r="I74">
        <f t="shared" si="11"/>
        <v>0</v>
      </c>
      <c r="J74">
        <f>IF($G74="s-curve",$E74+($F74-$E74)*$I$2/(1+EXP($I$3*(COUNT($I$9:J$9)+$I$4))),TREND($E74:$F74,$E$9:$F$9,J$9))</f>
        <v>0</v>
      </c>
      <c r="K74">
        <f>IF($G74="s-curve",$E74+($F74-$E74)*$I$2/(1+EXP($I$3*(COUNT($I$9:K$9)+$I$4))),TREND($E74:$F74,$E$9:$F$9,K$9))</f>
        <v>0</v>
      </c>
      <c r="L74">
        <f>IF($G74="s-curve",$E74+($F74-$E74)*$I$2/(1+EXP($I$3*(COUNT($I$9:L$9)+$I$4))),TREND($E74:$F74,$E$9:$F$9,L$9))</f>
        <v>0</v>
      </c>
      <c r="M74">
        <f>IF($G74="s-curve",$E74+($F74-$E74)*$I$2/(1+EXP($I$3*(COUNT($I$9:M$9)+$I$4))),TREND($E74:$F74,$E$9:$F$9,M$9))</f>
        <v>0</v>
      </c>
      <c r="N74">
        <f>IF($G74="s-curve",$E74+($F74-$E74)*$I$2/(1+EXP($I$3*(COUNT($I$9:N$9)+$I$4))),TREND($E74:$F74,$E$9:$F$9,N$9))</f>
        <v>0</v>
      </c>
      <c r="O74">
        <f>IF($G74="s-curve",$E74+($F74-$E74)*$I$2/(1+EXP($I$3*(COUNT($I$9:O$9)+$I$4))),TREND($E74:$F74,$E$9:$F$9,O$9))</f>
        <v>0</v>
      </c>
      <c r="P74">
        <f>IF($G74="s-curve",$E74+($F74-$E74)*$I$2/(1+EXP($I$3*(COUNT($I$9:P$9)+$I$4))),TREND($E74:$F74,$E$9:$F$9,P$9))</f>
        <v>0</v>
      </c>
      <c r="Q74">
        <f>IF($G74="s-curve",$E74+($F74-$E74)*$I$2/(1+EXP($I$3*(COUNT($I$9:Q$9)+$I$4))),TREND($E74:$F74,$E$9:$F$9,Q$9))</f>
        <v>0</v>
      </c>
      <c r="R74">
        <f>IF($G74="s-curve",$E74+($F74-$E74)*$I$2/(1+EXP($I$3*(COUNT($I$9:R$9)+$I$4))),TREND($E74:$F74,$E$9:$F$9,R$9))</f>
        <v>0</v>
      </c>
      <c r="S74">
        <f>IF($G74="s-curve",$E74+($F74-$E74)*$I$2/(1+EXP($I$3*(COUNT($I$9:S$9)+$I$4))),TREND($E74:$F74,$E$9:$F$9,S$9))</f>
        <v>0</v>
      </c>
      <c r="T74">
        <f>IF($G74="s-curve",$E74+($F74-$E74)*$I$2/(1+EXP($I$3*(COUNT($I$9:T$9)+$I$4))),TREND($E74:$F74,$E$9:$F$9,T$9))</f>
        <v>0</v>
      </c>
      <c r="U74">
        <f>IF($G74="s-curve",$E74+($F74-$E74)*$I$2/(1+EXP($I$3*(COUNT($I$9:U$9)+$I$4))),TREND($E74:$F74,$E$9:$F$9,U$9))</f>
        <v>0</v>
      </c>
      <c r="V74">
        <f>IF($G74="s-curve",$E74+($F74-$E74)*$I$2/(1+EXP($I$3*(COUNT($I$9:V$9)+$I$4))),TREND($E74:$F74,$E$9:$F$9,V$9))</f>
        <v>0</v>
      </c>
      <c r="W74">
        <f>IF($G74="s-curve",$E74+($F74-$E74)*$I$2/(1+EXP($I$3*(COUNT($I$9:W$9)+$I$4))),TREND($E74:$F74,$E$9:$F$9,W$9))</f>
        <v>0</v>
      </c>
      <c r="X74">
        <f>IF($G74="s-curve",$E74+($F74-$E74)*$I$2/(1+EXP($I$3*(COUNT($I$9:X$9)+$I$4))),TREND($E74:$F74,$E$9:$F$9,X$9))</f>
        <v>0</v>
      </c>
      <c r="Y74">
        <f>IF($G74="s-curve",$E74+($F74-$E74)*$I$2/(1+EXP($I$3*(COUNT($I$9:Y$9)+$I$4))),TREND($E74:$F74,$E$9:$F$9,Y$9))</f>
        <v>0</v>
      </c>
      <c r="Z74">
        <f>IF($G74="s-curve",$E74+($F74-$E74)*$I$2/(1+EXP($I$3*(COUNT($I$9:Z$9)+$I$4))),TREND($E74:$F74,$E$9:$F$9,Z$9))</f>
        <v>0</v>
      </c>
      <c r="AA74">
        <f>IF($G74="s-curve",$E74+($F74-$E74)*$I$2/(1+EXP($I$3*(COUNT($I$9:AA$9)+$I$4))),TREND($E74:$F74,$E$9:$F$9,AA$9))</f>
        <v>0</v>
      </c>
      <c r="AB74">
        <f>IF($G74="s-curve",$E74+($F74-$E74)*$I$2/(1+EXP($I$3*(COUNT($I$9:AB$9)+$I$4))),TREND($E74:$F74,$E$9:$F$9,AB$9))</f>
        <v>0</v>
      </c>
      <c r="AC74">
        <f>IF($G74="s-curve",$E74+($F74-$E74)*$I$2/(1+EXP($I$3*(COUNT($I$9:AC$9)+$I$4))),TREND($E74:$F74,$E$9:$F$9,AC$9))</f>
        <v>0</v>
      </c>
      <c r="AD74">
        <f>IF($G74="s-curve",$E74+($F74-$E74)*$I$2/(1+EXP($I$3*(COUNT($I$9:AD$9)+$I$4))),TREND($E74:$F74,$E$9:$F$9,AD$9))</f>
        <v>0</v>
      </c>
      <c r="AE74">
        <f>IF($G74="s-curve",$E74+($F74-$E74)*$I$2/(1+EXP($I$3*(COUNT($I$9:AE$9)+$I$4))),TREND($E74:$F74,$E$9:$F$9,AE$9))</f>
        <v>0</v>
      </c>
      <c r="AF74">
        <f>IF($G74="s-curve",$E74+($F74-$E74)*$I$2/(1+EXP($I$3*(COUNT($I$9:AF$9)+$I$4))),TREND($E74:$F74,$E$9:$F$9,AF$9))</f>
        <v>0</v>
      </c>
      <c r="AG74">
        <f>IF($G74="s-curve",$E74+($F74-$E74)*$I$2/(1+EXP($I$3*(COUNT($I$9:AG$9)+$I$4))),TREND($E74:$F74,$E$9:$F$9,AG$9))</f>
        <v>0</v>
      </c>
      <c r="AH74">
        <f>IF($G74="s-curve",$E74+($F74-$E74)*$I$2/(1+EXP($I$3*(COUNT($I$9:AH$9)+$I$4))),TREND($E74:$F74,$E$9:$F$9,AH$9))</f>
        <v>0</v>
      </c>
      <c r="AI74">
        <f>IF($G74="s-curve",$E74+($F74-$E74)*$I$2/(1+EXP($I$3*(COUNT($I$9:AI$9)+$I$4))),TREND($E74:$F74,$E$9:$F$9,AI$9))</f>
        <v>0</v>
      </c>
    </row>
    <row r="75" spans="1:35" x14ac:dyDescent="0.25">
      <c r="C75" t="s">
        <v>292</v>
      </c>
      <c r="E75">
        <v>0</v>
      </c>
      <c r="F75">
        <v>0</v>
      </c>
      <c r="G75" t="str">
        <f>IF(E75=F75,"n/a",IF(OR(C75="battery electric vehicle",C75="natural gas vehicle",C75="plugin hybrid vehicle"),"s-curve","linear"))</f>
        <v>n/a</v>
      </c>
      <c r="I75">
        <f t="shared" si="11"/>
        <v>0</v>
      </c>
      <c r="J75">
        <f>IF($G75="s-curve",$E75+($F75-$E75)*$I$2/(1+EXP($I$3*(COUNT($I$9:J$9)+$I$4))),TREND($E75:$F75,$E$9:$F$9,J$9))</f>
        <v>0</v>
      </c>
      <c r="K75">
        <f>IF($G75="s-curve",$E75+($F75-$E75)*$I$2/(1+EXP($I$3*(COUNT($I$9:K$9)+$I$4))),TREND($E75:$F75,$E$9:$F$9,K$9))</f>
        <v>0</v>
      </c>
      <c r="L75">
        <f>IF($G75="s-curve",$E75+($F75-$E75)*$I$2/(1+EXP($I$3*(COUNT($I$9:L$9)+$I$4))),TREND($E75:$F75,$E$9:$F$9,L$9))</f>
        <v>0</v>
      </c>
      <c r="M75">
        <f>IF($G75="s-curve",$E75+($F75-$E75)*$I$2/(1+EXP($I$3*(COUNT($I$9:M$9)+$I$4))),TREND($E75:$F75,$E$9:$F$9,M$9))</f>
        <v>0</v>
      </c>
      <c r="N75">
        <f>IF($G75="s-curve",$E75+($F75-$E75)*$I$2/(1+EXP($I$3*(COUNT($I$9:N$9)+$I$4))),TREND($E75:$F75,$E$9:$F$9,N$9))</f>
        <v>0</v>
      </c>
      <c r="O75">
        <f>IF($G75="s-curve",$E75+($F75-$E75)*$I$2/(1+EXP($I$3*(COUNT($I$9:O$9)+$I$4))),TREND($E75:$F75,$E$9:$F$9,O$9))</f>
        <v>0</v>
      </c>
      <c r="P75">
        <f>IF($G75="s-curve",$E75+($F75-$E75)*$I$2/(1+EXP($I$3*(COUNT($I$9:P$9)+$I$4))),TREND($E75:$F75,$E$9:$F$9,P$9))</f>
        <v>0</v>
      </c>
      <c r="Q75">
        <f>IF($G75="s-curve",$E75+($F75-$E75)*$I$2/(1+EXP($I$3*(COUNT($I$9:Q$9)+$I$4))),TREND($E75:$F75,$E$9:$F$9,Q$9))</f>
        <v>0</v>
      </c>
      <c r="R75">
        <f>IF($G75="s-curve",$E75+($F75-$E75)*$I$2/(1+EXP($I$3*(COUNT($I$9:R$9)+$I$4))),TREND($E75:$F75,$E$9:$F$9,R$9))</f>
        <v>0</v>
      </c>
      <c r="S75">
        <f>IF($G75="s-curve",$E75+($F75-$E75)*$I$2/(1+EXP($I$3*(COUNT($I$9:S$9)+$I$4))),TREND($E75:$F75,$E$9:$F$9,S$9))</f>
        <v>0</v>
      </c>
      <c r="T75">
        <f>IF($G75="s-curve",$E75+($F75-$E75)*$I$2/(1+EXP($I$3*(COUNT($I$9:T$9)+$I$4))),TREND($E75:$F75,$E$9:$F$9,T$9))</f>
        <v>0</v>
      </c>
      <c r="U75">
        <f>IF($G75="s-curve",$E75+($F75-$E75)*$I$2/(1+EXP($I$3*(COUNT($I$9:U$9)+$I$4))),TREND($E75:$F75,$E$9:$F$9,U$9))</f>
        <v>0</v>
      </c>
      <c r="V75">
        <f>IF($G75="s-curve",$E75+($F75-$E75)*$I$2/(1+EXP($I$3*(COUNT($I$9:V$9)+$I$4))),TREND($E75:$F75,$E$9:$F$9,V$9))</f>
        <v>0</v>
      </c>
      <c r="W75">
        <f>IF($G75="s-curve",$E75+($F75-$E75)*$I$2/(1+EXP($I$3*(COUNT($I$9:W$9)+$I$4))),TREND($E75:$F75,$E$9:$F$9,W$9))</f>
        <v>0</v>
      </c>
      <c r="X75">
        <f>IF($G75="s-curve",$E75+($F75-$E75)*$I$2/(1+EXP($I$3*(COUNT($I$9:X$9)+$I$4))),TREND($E75:$F75,$E$9:$F$9,X$9))</f>
        <v>0</v>
      </c>
      <c r="Y75">
        <f>IF($G75="s-curve",$E75+($F75-$E75)*$I$2/(1+EXP($I$3*(COUNT($I$9:Y$9)+$I$4))),TREND($E75:$F75,$E$9:$F$9,Y$9))</f>
        <v>0</v>
      </c>
      <c r="Z75">
        <f>IF($G75="s-curve",$E75+($F75-$E75)*$I$2/(1+EXP($I$3*(COUNT($I$9:Z$9)+$I$4))),TREND($E75:$F75,$E$9:$F$9,Z$9))</f>
        <v>0</v>
      </c>
      <c r="AA75">
        <f>IF($G75="s-curve",$E75+($F75-$E75)*$I$2/(1+EXP($I$3*(COUNT($I$9:AA$9)+$I$4))),TREND($E75:$F75,$E$9:$F$9,AA$9))</f>
        <v>0</v>
      </c>
      <c r="AB75">
        <f>IF($G75="s-curve",$E75+($F75-$E75)*$I$2/(1+EXP($I$3*(COUNT($I$9:AB$9)+$I$4))),TREND($E75:$F75,$E$9:$F$9,AB$9))</f>
        <v>0</v>
      </c>
      <c r="AC75">
        <f>IF($G75="s-curve",$E75+($F75-$E75)*$I$2/(1+EXP($I$3*(COUNT($I$9:AC$9)+$I$4))),TREND($E75:$F75,$E$9:$F$9,AC$9))</f>
        <v>0</v>
      </c>
      <c r="AD75">
        <f>IF($G75="s-curve",$E75+($F75-$E75)*$I$2/(1+EXP($I$3*(COUNT($I$9:AD$9)+$I$4))),TREND($E75:$F75,$E$9:$F$9,AD$9))</f>
        <v>0</v>
      </c>
      <c r="AE75">
        <f>IF($G75="s-curve",$E75+($F75-$E75)*$I$2/(1+EXP($I$3*(COUNT($I$9:AE$9)+$I$4))),TREND($E75:$F75,$E$9:$F$9,AE$9))</f>
        <v>0</v>
      </c>
      <c r="AF75">
        <f>IF($G75="s-curve",$E75+($F75-$E75)*$I$2/(1+EXP($I$3*(COUNT($I$9:AF$9)+$I$4))),TREND($E75:$F75,$E$9:$F$9,AF$9))</f>
        <v>0</v>
      </c>
      <c r="AG75">
        <f>IF($G75="s-curve",$E75+($F75-$E75)*$I$2/(1+EXP($I$3*(COUNT($I$9:AG$9)+$I$4))),TREND($E75:$F75,$E$9:$F$9,AG$9))</f>
        <v>0</v>
      </c>
      <c r="AH75">
        <f>IF($G75="s-curve",$E75+($F75-$E75)*$I$2/(1+EXP($I$3*(COUNT($I$9:AH$9)+$I$4))),TREND($E75:$F75,$E$9:$F$9,AH$9))</f>
        <v>0</v>
      </c>
      <c r="AI75">
        <f>IF($G75="s-curve",$E75+($F75-$E75)*$I$2/(1+EXP($I$3*(COUNT($I$9:AI$9)+$I$4))),TREND($E75:$F75,$E$9:$F$9,AI$9))</f>
        <v>0</v>
      </c>
    </row>
    <row r="76" spans="1:35" x14ac:dyDescent="0.25">
      <c r="C76" t="s">
        <v>293</v>
      </c>
      <c r="E76">
        <v>1</v>
      </c>
      <c r="F76">
        <v>1</v>
      </c>
      <c r="G76" t="str">
        <f>IF(E76=F76,"n/a",IF(OR(C76="battery electric vehicle",C76="natural gas vehicle",C76="plugin hybrid vehicle"),"s-curve","linear"))</f>
        <v>n/a</v>
      </c>
      <c r="I76">
        <f t="shared" si="11"/>
        <v>1</v>
      </c>
      <c r="J76">
        <f>IF($G76="s-curve",$E76+($F76-$E76)*$I$2/(1+EXP($I$3*(COUNT($I$9:J$9)+$I$4))),TREND($E76:$F76,$E$9:$F$9,J$9))</f>
        <v>1</v>
      </c>
      <c r="K76">
        <f>IF($G76="s-curve",$E76+($F76-$E76)*$I$2/(1+EXP($I$3*(COUNT($I$9:K$9)+$I$4))),TREND($E76:$F76,$E$9:$F$9,K$9))</f>
        <v>1</v>
      </c>
      <c r="L76">
        <f>IF($G76="s-curve",$E76+($F76-$E76)*$I$2/(1+EXP($I$3*(COUNT($I$9:L$9)+$I$4))),TREND($E76:$F76,$E$9:$F$9,L$9))</f>
        <v>1</v>
      </c>
      <c r="M76">
        <f>IF($G76="s-curve",$E76+($F76-$E76)*$I$2/(1+EXP($I$3*(COUNT($I$9:M$9)+$I$4))),TREND($E76:$F76,$E$9:$F$9,M$9))</f>
        <v>1</v>
      </c>
      <c r="N76">
        <f>IF($G76="s-curve",$E76+($F76-$E76)*$I$2/(1+EXP($I$3*(COUNT($I$9:N$9)+$I$4))),TREND($E76:$F76,$E$9:$F$9,N$9))</f>
        <v>1</v>
      </c>
      <c r="O76">
        <f>IF($G76="s-curve",$E76+($F76-$E76)*$I$2/(1+EXP($I$3*(COUNT($I$9:O$9)+$I$4))),TREND($E76:$F76,$E$9:$F$9,O$9))</f>
        <v>1</v>
      </c>
      <c r="P76">
        <f>IF($G76="s-curve",$E76+($F76-$E76)*$I$2/(1+EXP($I$3*(COUNT($I$9:P$9)+$I$4))),TREND($E76:$F76,$E$9:$F$9,P$9))</f>
        <v>1</v>
      </c>
      <c r="Q76">
        <f>IF($G76="s-curve",$E76+($F76-$E76)*$I$2/(1+EXP($I$3*(COUNT($I$9:Q$9)+$I$4))),TREND($E76:$F76,$E$9:$F$9,Q$9))</f>
        <v>1</v>
      </c>
      <c r="R76">
        <f>IF($G76="s-curve",$E76+($F76-$E76)*$I$2/(1+EXP($I$3*(COUNT($I$9:R$9)+$I$4))),TREND($E76:$F76,$E$9:$F$9,R$9))</f>
        <v>1</v>
      </c>
      <c r="S76">
        <f>IF($G76="s-curve",$E76+($F76-$E76)*$I$2/(1+EXP($I$3*(COUNT($I$9:S$9)+$I$4))),TREND($E76:$F76,$E$9:$F$9,S$9))</f>
        <v>1</v>
      </c>
      <c r="T76">
        <f>IF($G76="s-curve",$E76+($F76-$E76)*$I$2/(1+EXP($I$3*(COUNT($I$9:T$9)+$I$4))),TREND($E76:$F76,$E$9:$F$9,T$9))</f>
        <v>1</v>
      </c>
      <c r="U76">
        <f>IF($G76="s-curve",$E76+($F76-$E76)*$I$2/(1+EXP($I$3*(COUNT($I$9:U$9)+$I$4))),TREND($E76:$F76,$E$9:$F$9,U$9))</f>
        <v>1</v>
      </c>
      <c r="V76">
        <f>IF($G76="s-curve",$E76+($F76-$E76)*$I$2/(1+EXP($I$3*(COUNT($I$9:V$9)+$I$4))),TREND($E76:$F76,$E$9:$F$9,V$9))</f>
        <v>1</v>
      </c>
      <c r="W76">
        <f>IF($G76="s-curve",$E76+($F76-$E76)*$I$2/(1+EXP($I$3*(COUNT($I$9:W$9)+$I$4))),TREND($E76:$F76,$E$9:$F$9,W$9))</f>
        <v>1</v>
      </c>
      <c r="X76">
        <f>IF($G76="s-curve",$E76+($F76-$E76)*$I$2/(1+EXP($I$3*(COUNT($I$9:X$9)+$I$4))),TREND($E76:$F76,$E$9:$F$9,X$9))</f>
        <v>1</v>
      </c>
      <c r="Y76">
        <f>IF($G76="s-curve",$E76+($F76-$E76)*$I$2/(1+EXP($I$3*(COUNT($I$9:Y$9)+$I$4))),TREND($E76:$F76,$E$9:$F$9,Y$9))</f>
        <v>1</v>
      </c>
      <c r="Z76">
        <f>IF($G76="s-curve",$E76+($F76-$E76)*$I$2/(1+EXP($I$3*(COUNT($I$9:Z$9)+$I$4))),TREND($E76:$F76,$E$9:$F$9,Z$9))</f>
        <v>1</v>
      </c>
      <c r="AA76">
        <f>IF($G76="s-curve",$E76+($F76-$E76)*$I$2/(1+EXP($I$3*(COUNT($I$9:AA$9)+$I$4))),TREND($E76:$F76,$E$9:$F$9,AA$9))</f>
        <v>1</v>
      </c>
      <c r="AB76">
        <f>IF($G76="s-curve",$E76+($F76-$E76)*$I$2/(1+EXP($I$3*(COUNT($I$9:AB$9)+$I$4))),TREND($E76:$F76,$E$9:$F$9,AB$9))</f>
        <v>1</v>
      </c>
      <c r="AC76">
        <f>IF($G76="s-curve",$E76+($F76-$E76)*$I$2/(1+EXP($I$3*(COUNT($I$9:AC$9)+$I$4))),TREND($E76:$F76,$E$9:$F$9,AC$9))</f>
        <v>1</v>
      </c>
      <c r="AD76">
        <f>IF($G76="s-curve",$E76+($F76-$E76)*$I$2/(1+EXP($I$3*(COUNT($I$9:AD$9)+$I$4))),TREND($E76:$F76,$E$9:$F$9,AD$9))</f>
        <v>1</v>
      </c>
      <c r="AE76">
        <f>IF($G76="s-curve",$E76+($F76-$E76)*$I$2/(1+EXP($I$3*(COUNT($I$9:AE$9)+$I$4))),TREND($E76:$F76,$E$9:$F$9,AE$9))</f>
        <v>1</v>
      </c>
      <c r="AF76">
        <f>IF($G76="s-curve",$E76+($F76-$E76)*$I$2/(1+EXP($I$3*(COUNT($I$9:AF$9)+$I$4))),TREND($E76:$F76,$E$9:$F$9,AF$9))</f>
        <v>1</v>
      </c>
      <c r="AG76">
        <f>IF($G76="s-curve",$E76+($F76-$E76)*$I$2/(1+EXP($I$3*(COUNT($I$9:AG$9)+$I$4))),TREND($E76:$F76,$E$9:$F$9,AG$9))</f>
        <v>1</v>
      </c>
      <c r="AH76">
        <f>IF($G76="s-curve",$E76+($F76-$E76)*$I$2/(1+EXP($I$3*(COUNT($I$9:AH$9)+$I$4))),TREND($E76:$F76,$E$9:$F$9,AH$9))</f>
        <v>1</v>
      </c>
      <c r="AI76">
        <f>IF($G76="s-curve",$E76+($F76-$E76)*$I$2/(1+EXP($I$3*(COUNT($I$9:AI$9)+$I$4))),TREND($E76:$F76,$E$9:$F$9,AI$9))</f>
        <v>1</v>
      </c>
    </row>
    <row r="77" spans="1:35" x14ac:dyDescent="0.25">
      <c r="C77" t="s">
        <v>180</v>
      </c>
      <c r="E77">
        <v>0</v>
      </c>
      <c r="F77">
        <v>0</v>
      </c>
      <c r="G77" t="str">
        <f>IF(E77=F77,"n/a",IF(OR(C77="battery electric vehicle",C77="natural gas vehicle",C77="plugin hybrid vehicle"),"s-curve","linear"))</f>
        <v>n/a</v>
      </c>
      <c r="I77">
        <f t="shared" si="11"/>
        <v>0</v>
      </c>
      <c r="J77">
        <f>IF($G77="s-curve",$E77+($F77-$E77)*$I$2/(1+EXP($I$3*(COUNT($I$9:J$9)+$I$4))),TREND($E77:$F77,$E$9:$F$9,J$9))</f>
        <v>0</v>
      </c>
      <c r="K77">
        <f>IF($G77="s-curve",$E77+($F77-$E77)*$I$2/(1+EXP($I$3*(COUNT($I$9:K$9)+$I$4))),TREND($E77:$F77,$E$9:$F$9,K$9))</f>
        <v>0</v>
      </c>
      <c r="L77">
        <f>IF($G77="s-curve",$E77+($F77-$E77)*$I$2/(1+EXP($I$3*(COUNT($I$9:L$9)+$I$4))),TREND($E77:$F77,$E$9:$F$9,L$9))</f>
        <v>0</v>
      </c>
      <c r="M77">
        <f>IF($G77="s-curve",$E77+($F77-$E77)*$I$2/(1+EXP($I$3*(COUNT($I$9:M$9)+$I$4))),TREND($E77:$F77,$E$9:$F$9,M$9))</f>
        <v>0</v>
      </c>
      <c r="N77">
        <f>IF($G77="s-curve",$E77+($F77-$E77)*$I$2/(1+EXP($I$3*(COUNT($I$9:N$9)+$I$4))),TREND($E77:$F77,$E$9:$F$9,N$9))</f>
        <v>0</v>
      </c>
      <c r="O77">
        <f>IF($G77="s-curve",$E77+($F77-$E77)*$I$2/(1+EXP($I$3*(COUNT($I$9:O$9)+$I$4))),TREND($E77:$F77,$E$9:$F$9,O$9))</f>
        <v>0</v>
      </c>
      <c r="P77">
        <f>IF($G77="s-curve",$E77+($F77-$E77)*$I$2/(1+EXP($I$3*(COUNT($I$9:P$9)+$I$4))),TREND($E77:$F77,$E$9:$F$9,P$9))</f>
        <v>0</v>
      </c>
      <c r="Q77">
        <f>IF($G77="s-curve",$E77+($F77-$E77)*$I$2/(1+EXP($I$3*(COUNT($I$9:Q$9)+$I$4))),TREND($E77:$F77,$E$9:$F$9,Q$9))</f>
        <v>0</v>
      </c>
      <c r="R77">
        <f>IF($G77="s-curve",$E77+($F77-$E77)*$I$2/(1+EXP($I$3*(COUNT($I$9:R$9)+$I$4))),TREND($E77:$F77,$E$9:$F$9,R$9))</f>
        <v>0</v>
      </c>
      <c r="S77">
        <f>IF($G77="s-curve",$E77+($F77-$E77)*$I$2/(1+EXP($I$3*(COUNT($I$9:S$9)+$I$4))),TREND($E77:$F77,$E$9:$F$9,S$9))</f>
        <v>0</v>
      </c>
      <c r="T77">
        <f>IF($G77="s-curve",$E77+($F77-$E77)*$I$2/(1+EXP($I$3*(COUNT($I$9:T$9)+$I$4))),TREND($E77:$F77,$E$9:$F$9,T$9))</f>
        <v>0</v>
      </c>
      <c r="U77">
        <f>IF($G77="s-curve",$E77+($F77-$E77)*$I$2/(1+EXP($I$3*(COUNT($I$9:U$9)+$I$4))),TREND($E77:$F77,$E$9:$F$9,U$9))</f>
        <v>0</v>
      </c>
      <c r="V77">
        <f>IF($G77="s-curve",$E77+($F77-$E77)*$I$2/(1+EXP($I$3*(COUNT($I$9:V$9)+$I$4))),TREND($E77:$F77,$E$9:$F$9,V$9))</f>
        <v>0</v>
      </c>
      <c r="W77">
        <f>IF($G77="s-curve",$E77+($F77-$E77)*$I$2/(1+EXP($I$3*(COUNT($I$9:W$9)+$I$4))),TREND($E77:$F77,$E$9:$F$9,W$9))</f>
        <v>0</v>
      </c>
      <c r="X77">
        <f>IF($G77="s-curve",$E77+($F77-$E77)*$I$2/(1+EXP($I$3*(COUNT($I$9:X$9)+$I$4))),TREND($E77:$F77,$E$9:$F$9,X$9))</f>
        <v>0</v>
      </c>
      <c r="Y77">
        <f>IF($G77="s-curve",$E77+($F77-$E77)*$I$2/(1+EXP($I$3*(COUNT($I$9:Y$9)+$I$4))),TREND($E77:$F77,$E$9:$F$9,Y$9))</f>
        <v>0</v>
      </c>
      <c r="Z77">
        <f>IF($G77="s-curve",$E77+($F77-$E77)*$I$2/(1+EXP($I$3*(COUNT($I$9:Z$9)+$I$4))),TREND($E77:$F77,$E$9:$F$9,Z$9))</f>
        <v>0</v>
      </c>
      <c r="AA77">
        <f>IF($G77="s-curve",$E77+($F77-$E77)*$I$2/(1+EXP($I$3*(COUNT($I$9:AA$9)+$I$4))),TREND($E77:$F77,$E$9:$F$9,AA$9))</f>
        <v>0</v>
      </c>
      <c r="AB77">
        <f>IF($G77="s-curve",$E77+($F77-$E77)*$I$2/(1+EXP($I$3*(COUNT($I$9:AB$9)+$I$4))),TREND($E77:$F77,$E$9:$F$9,AB$9))</f>
        <v>0</v>
      </c>
      <c r="AC77">
        <f>IF($G77="s-curve",$E77+($F77-$E77)*$I$2/(1+EXP($I$3*(COUNT($I$9:AC$9)+$I$4))),TREND($E77:$F77,$E$9:$F$9,AC$9))</f>
        <v>0</v>
      </c>
      <c r="AD77">
        <f>IF($G77="s-curve",$E77+($F77-$E77)*$I$2/(1+EXP($I$3*(COUNT($I$9:AD$9)+$I$4))),TREND($E77:$F77,$E$9:$F$9,AD$9))</f>
        <v>0</v>
      </c>
      <c r="AE77">
        <f>IF($G77="s-curve",$E77+($F77-$E77)*$I$2/(1+EXP($I$3*(COUNT($I$9:AE$9)+$I$4))),TREND($E77:$F77,$E$9:$F$9,AE$9))</f>
        <v>0</v>
      </c>
      <c r="AF77">
        <f>IF($G77="s-curve",$E77+($F77-$E77)*$I$2/(1+EXP($I$3*(COUNT($I$9:AF$9)+$I$4))),TREND($E77:$F77,$E$9:$F$9,AF$9))</f>
        <v>0</v>
      </c>
      <c r="AG77">
        <f>IF($G77="s-curve",$E77+($F77-$E77)*$I$2/(1+EXP($I$3*(COUNT($I$9:AG$9)+$I$4))),TREND($E77:$F77,$E$9:$F$9,AG$9))</f>
        <v>0</v>
      </c>
      <c r="AH77">
        <f>IF($G77="s-curve",$E77+($F77-$E77)*$I$2/(1+EXP($I$3*(COUNT($I$9:AH$9)+$I$4))),TREND($E77:$F77,$E$9:$F$9,AH$9))</f>
        <v>0</v>
      </c>
      <c r="AI77">
        <f>IF($G77="s-curve",$E77+($F77-$E77)*$I$2/(1+EXP($I$3*(COUNT($I$9:AI$9)+$I$4))),TREND($E77:$F77,$E$9:$F$9,AI$9))</f>
        <v>0</v>
      </c>
    </row>
    <row r="78" spans="1:35" x14ac:dyDescent="0.25">
      <c r="C78" t="s">
        <v>294</v>
      </c>
      <c r="E78">
        <v>0</v>
      </c>
      <c r="F78">
        <v>0</v>
      </c>
      <c r="G78" t="str">
        <f>IF(E78=F78,"n/a",IF(OR(C78="battery electric vehicle",C78="natural gas vehicle",C78="plugin hybrid vehicle",C78="hydrogen vehicle"),"s-curve","linear"))</f>
        <v>n/a</v>
      </c>
      <c r="I78">
        <f t="shared" si="11"/>
        <v>0</v>
      </c>
      <c r="J78">
        <f>IF($G78="s-curve",$E78+($F78-$E78)*$I$2/(1+EXP($I$3*(COUNT($I$9:J$9)+$I$4))),TREND($E78:$F78,$E$9:$F$9,J$9))</f>
        <v>0</v>
      </c>
      <c r="K78">
        <f>IF($G78="s-curve",$E78+($F78-$E78)*$I$2/(1+EXP($I$3*(COUNT($I$9:K$9)+$I$4))),TREND($E78:$F78,$E$9:$F$9,K$9))</f>
        <v>0</v>
      </c>
      <c r="L78">
        <f>IF($G78="s-curve",$E78+($F78-$E78)*$I$2/(1+EXP($I$3*(COUNT($I$9:L$9)+$I$4))),TREND($E78:$F78,$E$9:$F$9,L$9))</f>
        <v>0</v>
      </c>
      <c r="M78">
        <f>IF($G78="s-curve",$E78+($F78-$E78)*$I$2/(1+EXP($I$3*(COUNT($I$9:M$9)+$I$4))),TREND($E78:$F78,$E$9:$F$9,M$9))</f>
        <v>0</v>
      </c>
      <c r="N78">
        <f>IF($G78="s-curve",$E78+($F78-$E78)*$I$2/(1+EXP($I$3*(COUNT($I$9:N$9)+$I$4))),TREND($E78:$F78,$E$9:$F$9,N$9))</f>
        <v>0</v>
      </c>
      <c r="O78">
        <f>IF($G78="s-curve",$E78+($F78-$E78)*$I$2/(1+EXP($I$3*(COUNT($I$9:O$9)+$I$4))),TREND($E78:$F78,$E$9:$F$9,O$9))</f>
        <v>0</v>
      </c>
      <c r="P78">
        <f>IF($G78="s-curve",$E78+($F78-$E78)*$I$2/(1+EXP($I$3*(COUNT($I$9:P$9)+$I$4))),TREND($E78:$F78,$E$9:$F$9,P$9))</f>
        <v>0</v>
      </c>
      <c r="Q78">
        <f>IF($G78="s-curve",$E78+($F78-$E78)*$I$2/(1+EXP($I$3*(COUNT($I$9:Q$9)+$I$4))),TREND($E78:$F78,$E$9:$F$9,Q$9))</f>
        <v>0</v>
      </c>
      <c r="R78">
        <f>IF($G78="s-curve",$E78+($F78-$E78)*$I$2/(1+EXP($I$3*(COUNT($I$9:R$9)+$I$4))),TREND($E78:$F78,$E$9:$F$9,R$9))</f>
        <v>0</v>
      </c>
      <c r="S78">
        <f>IF($G78="s-curve",$E78+($F78-$E78)*$I$2/(1+EXP($I$3*(COUNT($I$9:S$9)+$I$4))),TREND($E78:$F78,$E$9:$F$9,S$9))</f>
        <v>0</v>
      </c>
      <c r="T78">
        <f>IF($G78="s-curve",$E78+($F78-$E78)*$I$2/(1+EXP($I$3*(COUNT($I$9:T$9)+$I$4))),TREND($E78:$F78,$E$9:$F$9,T$9))</f>
        <v>0</v>
      </c>
      <c r="U78">
        <f>IF($G78="s-curve",$E78+($F78-$E78)*$I$2/(1+EXP($I$3*(COUNT($I$9:U$9)+$I$4))),TREND($E78:$F78,$E$9:$F$9,U$9))</f>
        <v>0</v>
      </c>
      <c r="V78">
        <f>IF($G78="s-curve",$E78+($F78-$E78)*$I$2/(1+EXP($I$3*(COUNT($I$9:V$9)+$I$4))),TREND($E78:$F78,$E$9:$F$9,V$9))</f>
        <v>0</v>
      </c>
      <c r="W78">
        <f>IF($G78="s-curve",$E78+($F78-$E78)*$I$2/(1+EXP($I$3*(COUNT($I$9:W$9)+$I$4))),TREND($E78:$F78,$E$9:$F$9,W$9))</f>
        <v>0</v>
      </c>
      <c r="X78">
        <f>IF($G78="s-curve",$E78+($F78-$E78)*$I$2/(1+EXP($I$3*(COUNT($I$9:X$9)+$I$4))),TREND($E78:$F78,$E$9:$F$9,X$9))</f>
        <v>0</v>
      </c>
      <c r="Y78">
        <f>IF($G78="s-curve",$E78+($F78-$E78)*$I$2/(1+EXP($I$3*(COUNT($I$9:Y$9)+$I$4))),TREND($E78:$F78,$E$9:$F$9,Y$9))</f>
        <v>0</v>
      </c>
      <c r="Z78">
        <f>IF($G78="s-curve",$E78+($F78-$E78)*$I$2/(1+EXP($I$3*(COUNT($I$9:Z$9)+$I$4))),TREND($E78:$F78,$E$9:$F$9,Z$9))</f>
        <v>0</v>
      </c>
      <c r="AA78">
        <f>IF($G78="s-curve",$E78+($F78-$E78)*$I$2/(1+EXP($I$3*(COUNT($I$9:AA$9)+$I$4))),TREND($E78:$F78,$E$9:$F$9,AA$9))</f>
        <v>0</v>
      </c>
      <c r="AB78">
        <f>IF($G78="s-curve",$E78+($F78-$E78)*$I$2/(1+EXP($I$3*(COUNT($I$9:AB$9)+$I$4))),TREND($E78:$F78,$E$9:$F$9,AB$9))</f>
        <v>0</v>
      </c>
      <c r="AC78">
        <f>IF($G78="s-curve",$E78+($F78-$E78)*$I$2/(1+EXP($I$3*(COUNT($I$9:AC$9)+$I$4))),TREND($E78:$F78,$E$9:$F$9,AC$9))</f>
        <v>0</v>
      </c>
      <c r="AD78">
        <f>IF($G78="s-curve",$E78+($F78-$E78)*$I$2/(1+EXP($I$3*(COUNT($I$9:AD$9)+$I$4))),TREND($E78:$F78,$E$9:$F$9,AD$9))</f>
        <v>0</v>
      </c>
      <c r="AE78">
        <f>IF($G78="s-curve",$E78+($F78-$E78)*$I$2/(1+EXP($I$3*(COUNT($I$9:AE$9)+$I$4))),TREND($E78:$F78,$E$9:$F$9,AE$9))</f>
        <v>0</v>
      </c>
      <c r="AF78">
        <f>IF($G78="s-curve",$E78+($F78-$E78)*$I$2/(1+EXP($I$3*(COUNT($I$9:AF$9)+$I$4))),TREND($E78:$F78,$E$9:$F$9,AF$9))</f>
        <v>0</v>
      </c>
      <c r="AG78">
        <f>IF($G78="s-curve",$E78+($F78-$E78)*$I$2/(1+EXP($I$3*(COUNT($I$9:AG$9)+$I$4))),TREND($E78:$F78,$E$9:$F$9,AG$9))</f>
        <v>0</v>
      </c>
      <c r="AH78">
        <f>IF($G78="s-curve",$E78+($F78-$E78)*$I$2/(1+EXP($I$3*(COUNT($I$9:AH$9)+$I$4))),TREND($E78:$F78,$E$9:$F$9,AH$9))</f>
        <v>0</v>
      </c>
      <c r="AI78">
        <f>IF($G78="s-curve",$E78+($F78-$E78)*$I$2/(1+EXP($I$3*(COUNT($I$9:AI$9)+$I$4))),TREND($E78:$F78,$E$9:$F$9,AI$9))</f>
        <v>0</v>
      </c>
    </row>
    <row r="79" spans="1:35" x14ac:dyDescent="0.25">
      <c r="C79" t="s">
        <v>182</v>
      </c>
      <c r="E79">
        <v>0</v>
      </c>
      <c r="F79">
        <v>0</v>
      </c>
      <c r="G79" t="str">
        <f>IF(E79=F79,"n/a",IF(OR(C79="battery electric vehicle",C79="natural gas vehicle",C79="plugin hybrid vehicle",C79="hydrogen vehicle"),"s-curve","linear"))</f>
        <v>n/a</v>
      </c>
      <c r="I79">
        <f t="shared" si="11"/>
        <v>0</v>
      </c>
      <c r="J79">
        <f>IF($G79="s-curve",$E79+($F79-$E79)*$I$2/(1+EXP($I$3*(COUNT($I$9:J$9)+$I$4))),TREND($E79:$F79,$E$9:$F$9,J$9))</f>
        <v>0</v>
      </c>
      <c r="K79">
        <f>IF($G79="s-curve",$E79+($F79-$E79)*$I$2/(1+EXP($I$3*(COUNT($I$9:K$9)+$I$4))),TREND($E79:$F79,$E$9:$F$9,K$9))</f>
        <v>0</v>
      </c>
      <c r="L79">
        <f>IF($G79="s-curve",$E79+($F79-$E79)*$I$2/(1+EXP($I$3*(COUNT($I$9:L$9)+$I$4))),TREND($E79:$F79,$E$9:$F$9,L$9))</f>
        <v>0</v>
      </c>
      <c r="M79">
        <f>IF($G79="s-curve",$E79+($F79-$E79)*$I$2/(1+EXP($I$3*(COUNT($I$9:M$9)+$I$4))),TREND($E79:$F79,$E$9:$F$9,M$9))</f>
        <v>0</v>
      </c>
      <c r="N79">
        <f>IF($G79="s-curve",$E79+($F79-$E79)*$I$2/(1+EXP($I$3*(COUNT($I$9:N$9)+$I$4))),TREND($E79:$F79,$E$9:$F$9,N$9))</f>
        <v>0</v>
      </c>
      <c r="O79">
        <f>IF($G79="s-curve",$E79+($F79-$E79)*$I$2/(1+EXP($I$3*(COUNT($I$9:O$9)+$I$4))),TREND($E79:$F79,$E$9:$F$9,O$9))</f>
        <v>0</v>
      </c>
      <c r="P79">
        <f>IF($G79="s-curve",$E79+($F79-$E79)*$I$2/(1+EXP($I$3*(COUNT($I$9:P$9)+$I$4))),TREND($E79:$F79,$E$9:$F$9,P$9))</f>
        <v>0</v>
      </c>
      <c r="Q79">
        <f>IF($G79="s-curve",$E79+($F79-$E79)*$I$2/(1+EXP($I$3*(COUNT($I$9:Q$9)+$I$4))),TREND($E79:$F79,$E$9:$F$9,Q$9))</f>
        <v>0</v>
      </c>
      <c r="R79">
        <f>IF($G79="s-curve",$E79+($F79-$E79)*$I$2/(1+EXP($I$3*(COUNT($I$9:R$9)+$I$4))),TREND($E79:$F79,$E$9:$F$9,R$9))</f>
        <v>0</v>
      </c>
      <c r="S79">
        <f>IF($G79="s-curve",$E79+($F79-$E79)*$I$2/(1+EXP($I$3*(COUNT($I$9:S$9)+$I$4))),TREND($E79:$F79,$E$9:$F$9,S$9))</f>
        <v>0</v>
      </c>
      <c r="T79">
        <f>IF($G79="s-curve",$E79+($F79-$E79)*$I$2/(1+EXP($I$3*(COUNT($I$9:T$9)+$I$4))),TREND($E79:$F79,$E$9:$F$9,T$9))</f>
        <v>0</v>
      </c>
      <c r="U79">
        <f>IF($G79="s-curve",$E79+($F79-$E79)*$I$2/(1+EXP($I$3*(COUNT($I$9:U$9)+$I$4))),TREND($E79:$F79,$E$9:$F$9,U$9))</f>
        <v>0</v>
      </c>
      <c r="V79">
        <f>IF($G79="s-curve",$E79+($F79-$E79)*$I$2/(1+EXP($I$3*(COUNT($I$9:V$9)+$I$4))),TREND($E79:$F79,$E$9:$F$9,V$9))</f>
        <v>0</v>
      </c>
      <c r="W79">
        <f>IF($G79="s-curve",$E79+($F79-$E79)*$I$2/(1+EXP($I$3*(COUNT($I$9:W$9)+$I$4))),TREND($E79:$F79,$E$9:$F$9,W$9))</f>
        <v>0</v>
      </c>
      <c r="X79">
        <f>IF($G79="s-curve",$E79+($F79-$E79)*$I$2/(1+EXP($I$3*(COUNT($I$9:X$9)+$I$4))),TREND($E79:$F79,$E$9:$F$9,X$9))</f>
        <v>0</v>
      </c>
      <c r="Y79">
        <f>IF($G79="s-curve",$E79+($F79-$E79)*$I$2/(1+EXP($I$3*(COUNT($I$9:Y$9)+$I$4))),TREND($E79:$F79,$E$9:$F$9,Y$9))</f>
        <v>0</v>
      </c>
      <c r="Z79">
        <f>IF($G79="s-curve",$E79+($F79-$E79)*$I$2/(1+EXP($I$3*(COUNT($I$9:Z$9)+$I$4))),TREND($E79:$F79,$E$9:$F$9,Z$9))</f>
        <v>0</v>
      </c>
      <c r="AA79">
        <f>IF($G79="s-curve",$E79+($F79-$E79)*$I$2/(1+EXP($I$3*(COUNT($I$9:AA$9)+$I$4))),TREND($E79:$F79,$E$9:$F$9,AA$9))</f>
        <v>0</v>
      </c>
      <c r="AB79">
        <f>IF($G79="s-curve",$E79+($F79-$E79)*$I$2/(1+EXP($I$3*(COUNT($I$9:AB$9)+$I$4))),TREND($E79:$F79,$E$9:$F$9,AB$9))</f>
        <v>0</v>
      </c>
      <c r="AC79">
        <f>IF($G79="s-curve",$E79+($F79-$E79)*$I$2/(1+EXP($I$3*(COUNT($I$9:AC$9)+$I$4))),TREND($E79:$F79,$E$9:$F$9,AC$9))</f>
        <v>0</v>
      </c>
      <c r="AD79">
        <f>IF($G79="s-curve",$E79+($F79-$E79)*$I$2/(1+EXP($I$3*(COUNT($I$9:AD$9)+$I$4))),TREND($E79:$F79,$E$9:$F$9,AD$9))</f>
        <v>0</v>
      </c>
      <c r="AE79">
        <f>IF($G79="s-curve",$E79+($F79-$E79)*$I$2/(1+EXP($I$3*(COUNT($I$9:AE$9)+$I$4))),TREND($E79:$F79,$E$9:$F$9,AE$9))</f>
        <v>0</v>
      </c>
      <c r="AF79">
        <f>IF($G79="s-curve",$E79+($F79-$E79)*$I$2/(1+EXP($I$3*(COUNT($I$9:AF$9)+$I$4))),TREND($E79:$F79,$E$9:$F$9,AF$9))</f>
        <v>0</v>
      </c>
      <c r="AG79">
        <f>IF($G79="s-curve",$E79+($F79-$E79)*$I$2/(1+EXP($I$3*(COUNT($I$9:AG$9)+$I$4))),TREND($E79:$F79,$E$9:$F$9,AG$9))</f>
        <v>0</v>
      </c>
      <c r="AH79">
        <f>IF($G79="s-curve",$E79+($F79-$E79)*$I$2/(1+EXP($I$3*(COUNT($I$9:AH$9)+$I$4))),TREND($E79:$F79,$E$9:$F$9,AH$9))</f>
        <v>0</v>
      </c>
      <c r="AI79">
        <f>IF($G79="s-curve",$E79+($F79-$E79)*$I$2/(1+EXP($I$3*(COUNT($I$9:AI$9)+$I$4))),TREND($E79:$F79,$E$9:$F$9,AI$9))</f>
        <v>0</v>
      </c>
    </row>
    <row r="80" spans="1:35" x14ac:dyDescent="0.25">
      <c r="A80" t="s">
        <v>300</v>
      </c>
      <c r="B80" t="s">
        <v>325</v>
      </c>
      <c r="C80" t="s">
        <v>177</v>
      </c>
      <c r="D80">
        <f t="shared" ref="D80:F86" si="12">D10</f>
        <v>0.16449392895100001</v>
      </c>
      <c r="E80">
        <f t="shared" si="12"/>
        <v>0.23983771978951599</v>
      </c>
      <c r="F80">
        <f t="shared" si="12"/>
        <v>1</v>
      </c>
      <c r="G80" t="str">
        <f>IF(E80=F80,"n/a",IF(OR(C80="battery electric vehicle",C80="natural gas vehicle",C80="plugin hybrid vehicle"),"s-curve","linear"))</f>
        <v>s-curve</v>
      </c>
      <c r="I80">
        <f t="shared" si="11"/>
        <v>0.23983771978951599</v>
      </c>
      <c r="J80" s="2">
        <f>$E80</f>
        <v>0.23983771978951599</v>
      </c>
      <c r="K80" s="2">
        <f t="shared" ref="K80:AI80" si="13">IF($G80="s-curve",$E80+($F80-$E80)*K$98,TREND($E80:$F80,$E$9:$F$9,K$9))</f>
        <v>0.24932694023814289</v>
      </c>
      <c r="L80" s="2">
        <f t="shared" si="13"/>
        <v>0.26177210483698971</v>
      </c>
      <c r="M80" s="2">
        <f t="shared" si="13"/>
        <v>0.27794090325118714</v>
      </c>
      <c r="N80" s="2">
        <f t="shared" si="13"/>
        <v>0.29869217221836053</v>
      </c>
      <c r="O80" s="2">
        <f t="shared" si="13"/>
        <v>0.32491068986389093</v>
      </c>
      <c r="P80" s="2">
        <f t="shared" si="13"/>
        <v>0.35738899027487048</v>
      </c>
      <c r="Q80" s="2">
        <f t="shared" si="13"/>
        <v>0.39665139074453837</v>
      </c>
      <c r="R80" s="2">
        <f t="shared" si="13"/>
        <v>0.44273819803409364</v>
      </c>
      <c r="S80" s="2">
        <f t="shared" si="13"/>
        <v>0.49500290111655088</v>
      </c>
      <c r="T80" s="2">
        <f t="shared" si="13"/>
        <v>0.55200681215729752</v>
      </c>
      <c r="U80" s="2">
        <f t="shared" si="13"/>
        <v>0.61159519582416533</v>
      </c>
      <c r="V80" s="2">
        <f t="shared" si="13"/>
        <v>0.67118357949103313</v>
      </c>
      <c r="W80" s="2">
        <f t="shared" si="13"/>
        <v>0.72818749053177978</v>
      </c>
      <c r="X80" s="2">
        <f t="shared" si="13"/>
        <v>0.78045219361423701</v>
      </c>
      <c r="Y80" s="2">
        <f t="shared" si="13"/>
        <v>0.82653900090379218</v>
      </c>
      <c r="Z80" s="2">
        <f t="shared" si="13"/>
        <v>0.86580140137346018</v>
      </c>
      <c r="AA80" s="2">
        <f t="shared" si="13"/>
        <v>0.89827970178443972</v>
      </c>
      <c r="AB80" s="2">
        <f t="shared" si="13"/>
        <v>0.92449821942997013</v>
      </c>
      <c r="AC80" s="2">
        <f t="shared" si="13"/>
        <v>0.9452494883971434</v>
      </c>
      <c r="AD80" s="2">
        <f t="shared" si="13"/>
        <v>0.96141828681134089</v>
      </c>
      <c r="AE80" s="2">
        <f t="shared" si="13"/>
        <v>0.97386345141018782</v>
      </c>
      <c r="AF80" s="2">
        <f t="shared" si="13"/>
        <v>0.98335267185881459</v>
      </c>
      <c r="AG80" s="2">
        <f t="shared" si="13"/>
        <v>0.99053617181454634</v>
      </c>
      <c r="AH80" s="2">
        <f t="shared" si="13"/>
        <v>0.9959446416613138</v>
      </c>
      <c r="AI80" s="2">
        <f t="shared" si="13"/>
        <v>1</v>
      </c>
    </row>
    <row r="81" spans="1:35" x14ac:dyDescent="0.25">
      <c r="C81" t="s">
        <v>291</v>
      </c>
      <c r="D81">
        <f t="shared" si="12"/>
        <v>1.0004432735E-4</v>
      </c>
      <c r="E81">
        <f t="shared" si="12"/>
        <v>1.00970167475E-4</v>
      </c>
      <c r="F81">
        <f t="shared" si="12"/>
        <v>1.00970167475E-4</v>
      </c>
      <c r="G81" t="str">
        <f>IF(E81=F81,"n/a",IF(OR(C81="battery electric vehicle",C81="natural gas vehicle",C81="plugin hybrid vehicle"),"s-curve","linear"))</f>
        <v>n/a</v>
      </c>
      <c r="I81">
        <f t="shared" si="11"/>
        <v>1.00970167475E-4</v>
      </c>
      <c r="J81">
        <f>IF($G81="s-curve",$E81+($F81-$E81)*$I$2/(1+EXP($I$3*(COUNT($I$9:J$9)+$I$4))),TREND($E81:$F81,$E$9:$F$9,J$9))</f>
        <v>1.00970167475E-4</v>
      </c>
      <c r="K81">
        <f>IF($G81="s-curve",$E81+($F81-$E81)*$I$2/(1+EXP($I$3*(COUNT($I$9:K$9)+$I$4))),TREND($E81:$F81,$E$9:$F$9,K$9))</f>
        <v>1.00970167475E-4</v>
      </c>
      <c r="L81">
        <f>IF($G81="s-curve",$E81+($F81-$E81)*$I$2/(1+EXP($I$3*(COUNT($I$9:L$9)+$I$4))),TREND($E81:$F81,$E$9:$F$9,L$9))</f>
        <v>1.00970167475E-4</v>
      </c>
      <c r="M81">
        <f>IF($G81="s-curve",$E81+($F81-$E81)*$I$2/(1+EXP($I$3*(COUNT($I$9:M$9)+$I$4))),TREND($E81:$F81,$E$9:$F$9,M$9))</f>
        <v>1.00970167475E-4</v>
      </c>
      <c r="N81">
        <f>IF($G81="s-curve",$E81+($F81-$E81)*$I$2/(1+EXP($I$3*(COUNT($I$9:N$9)+$I$4))),TREND($E81:$F81,$E$9:$F$9,N$9))</f>
        <v>1.00970167475E-4</v>
      </c>
      <c r="O81">
        <f>IF($G81="s-curve",$E81+($F81-$E81)*$I$2/(1+EXP($I$3*(COUNT($I$9:O$9)+$I$4))),TREND($E81:$F81,$E$9:$F$9,O$9))</f>
        <v>1.00970167475E-4</v>
      </c>
      <c r="P81">
        <f>IF($G81="s-curve",$E81+($F81-$E81)*$I$2/(1+EXP($I$3*(COUNT($I$9:P$9)+$I$4))),TREND($E81:$F81,$E$9:$F$9,P$9))</f>
        <v>1.00970167475E-4</v>
      </c>
      <c r="Q81">
        <f>IF($G81="s-curve",$E81+($F81-$E81)*$I$2/(1+EXP($I$3*(COUNT($I$9:Q$9)+$I$4))),TREND($E81:$F81,$E$9:$F$9,Q$9))</f>
        <v>1.00970167475E-4</v>
      </c>
      <c r="R81">
        <f>IF($G81="s-curve",$E81+($F81-$E81)*$I$2/(1+EXP($I$3*(COUNT($I$9:R$9)+$I$4))),TREND($E81:$F81,$E$9:$F$9,R$9))</f>
        <v>1.00970167475E-4</v>
      </c>
      <c r="S81">
        <f>IF($G81="s-curve",$E81+($F81-$E81)*$I$2/(1+EXP($I$3*(COUNT($I$9:S$9)+$I$4))),TREND($E81:$F81,$E$9:$F$9,S$9))</f>
        <v>1.00970167475E-4</v>
      </c>
      <c r="T81">
        <f>IF($G81="s-curve",$E81+($F81-$E81)*$I$2/(1+EXP($I$3*(COUNT($I$9:T$9)+$I$4))),TREND($E81:$F81,$E$9:$F$9,T$9))</f>
        <v>1.00970167475E-4</v>
      </c>
      <c r="U81">
        <f>IF($G81="s-curve",$E81+($F81-$E81)*$I$2/(1+EXP($I$3*(COUNT($I$9:U$9)+$I$4))),TREND($E81:$F81,$E$9:$F$9,U$9))</f>
        <v>1.00970167475E-4</v>
      </c>
      <c r="V81">
        <f>IF($G81="s-curve",$E81+($F81-$E81)*$I$2/(1+EXP($I$3*(COUNT($I$9:V$9)+$I$4))),TREND($E81:$F81,$E$9:$F$9,V$9))</f>
        <v>1.00970167475E-4</v>
      </c>
      <c r="W81">
        <f>IF($G81="s-curve",$E81+($F81-$E81)*$I$2/(1+EXP($I$3*(COUNT($I$9:W$9)+$I$4))),TREND($E81:$F81,$E$9:$F$9,W$9))</f>
        <v>1.00970167475E-4</v>
      </c>
      <c r="X81">
        <f>IF($G81="s-curve",$E81+($F81-$E81)*$I$2/(1+EXP($I$3*(COUNT($I$9:X$9)+$I$4))),TREND($E81:$F81,$E$9:$F$9,X$9))</f>
        <v>1.00970167475E-4</v>
      </c>
      <c r="Y81">
        <f>IF($G81="s-curve",$E81+($F81-$E81)*$I$2/(1+EXP($I$3*(COUNT($I$9:Y$9)+$I$4))),TREND($E81:$F81,$E$9:$F$9,Y$9))</f>
        <v>1.00970167475E-4</v>
      </c>
      <c r="Z81">
        <f>IF($G81="s-curve",$E81+($F81-$E81)*$I$2/(1+EXP($I$3*(COUNT($I$9:Z$9)+$I$4))),TREND($E81:$F81,$E$9:$F$9,Z$9))</f>
        <v>1.00970167475E-4</v>
      </c>
      <c r="AA81">
        <f>IF($G81="s-curve",$E81+($F81-$E81)*$I$2/(1+EXP($I$3*(COUNT($I$9:AA$9)+$I$4))),TREND($E81:$F81,$E$9:$F$9,AA$9))</f>
        <v>1.00970167475E-4</v>
      </c>
      <c r="AB81">
        <f>IF($G81="s-curve",$E81+($F81-$E81)*$I$2/(1+EXP($I$3*(COUNT($I$9:AB$9)+$I$4))),TREND($E81:$F81,$E$9:$F$9,AB$9))</f>
        <v>1.00970167475E-4</v>
      </c>
      <c r="AC81">
        <f>IF($G81="s-curve",$E81+($F81-$E81)*$I$2/(1+EXP($I$3*(COUNT($I$9:AC$9)+$I$4))),TREND($E81:$F81,$E$9:$F$9,AC$9))</f>
        <v>1.00970167475E-4</v>
      </c>
      <c r="AD81">
        <f>IF($G81="s-curve",$E81+($F81-$E81)*$I$2/(1+EXP($I$3*(COUNT($I$9:AD$9)+$I$4))),TREND($E81:$F81,$E$9:$F$9,AD$9))</f>
        <v>1.00970167475E-4</v>
      </c>
      <c r="AE81">
        <f>IF($G81="s-curve",$E81+($F81-$E81)*$I$2/(1+EXP($I$3*(COUNT($I$9:AE$9)+$I$4))),TREND($E81:$F81,$E$9:$F$9,AE$9))</f>
        <v>1.00970167475E-4</v>
      </c>
      <c r="AF81">
        <f>IF($G81="s-curve",$E81+($F81-$E81)*$I$2/(1+EXP($I$3*(COUNT($I$9:AF$9)+$I$4))),TREND($E81:$F81,$E$9:$F$9,AF$9))</f>
        <v>1.00970167475E-4</v>
      </c>
      <c r="AG81">
        <f>IF($G81="s-curve",$E81+($F81-$E81)*$I$2/(1+EXP($I$3*(COUNT($I$9:AG$9)+$I$4))),TREND($E81:$F81,$E$9:$F$9,AG$9))</f>
        <v>1.00970167475E-4</v>
      </c>
      <c r="AH81">
        <f>IF($G81="s-curve",$E81+($F81-$E81)*$I$2/(1+EXP($I$3*(COUNT($I$9:AH$9)+$I$4))),TREND($E81:$F81,$E$9:$F$9,AH$9))</f>
        <v>1.00970167475E-4</v>
      </c>
      <c r="AI81">
        <f>IF($G81="s-curve",$E81+($F81-$E81)*$I$2/(1+EXP($I$3*(COUNT($I$9:AI$9)+$I$4))),TREND($E81:$F81,$E$9:$F$9,AI$9))</f>
        <v>1.00970167475E-4</v>
      </c>
    </row>
    <row r="82" spans="1:35" x14ac:dyDescent="0.25">
      <c r="C82" t="s">
        <v>292</v>
      </c>
      <c r="D82">
        <f t="shared" si="12"/>
        <v>1</v>
      </c>
      <c r="E82">
        <f t="shared" si="12"/>
        <v>1</v>
      </c>
      <c r="F82">
        <f t="shared" si="12"/>
        <v>1</v>
      </c>
      <c r="G82" t="str">
        <f>IF(E82=F82,"n/a",IF(OR(C82="battery electric vehicle",C82="natural gas vehicle",C82="plugin hybrid vehicle"),"s-curve","linear"))</f>
        <v>n/a</v>
      </c>
      <c r="I82">
        <f t="shared" si="11"/>
        <v>1</v>
      </c>
      <c r="J82">
        <f>IF($G82="s-curve",$E82+($F82-$E82)*$I$2/(1+EXP($I$3*(COUNT($I$9:J$9)+$I$4))),TREND($E82:$F82,$E$9:$F$9,J$9))</f>
        <v>1</v>
      </c>
      <c r="K82">
        <f>IF($G82="s-curve",$E82+($F82-$E82)*$I$2/(1+EXP($I$3*(COUNT($I$9:K$9)+$I$4))),TREND($E82:$F82,$E$9:$F$9,K$9))</f>
        <v>1</v>
      </c>
      <c r="L82">
        <f>IF($G82="s-curve",$E82+($F82-$E82)*$I$2/(1+EXP($I$3*(COUNT($I$9:L$9)+$I$4))),TREND($E82:$F82,$E$9:$F$9,L$9))</f>
        <v>1</v>
      </c>
      <c r="M82">
        <f>IF($G82="s-curve",$E82+($F82-$E82)*$I$2/(1+EXP($I$3*(COUNT($I$9:M$9)+$I$4))),TREND($E82:$F82,$E$9:$F$9,M$9))</f>
        <v>1</v>
      </c>
      <c r="N82">
        <f>IF($G82="s-curve",$E82+($F82-$E82)*$I$2/(1+EXP($I$3*(COUNT($I$9:N$9)+$I$4))),TREND($E82:$F82,$E$9:$F$9,N$9))</f>
        <v>1</v>
      </c>
      <c r="O82">
        <f>IF($G82="s-curve",$E82+($F82-$E82)*$I$2/(1+EXP($I$3*(COUNT($I$9:O$9)+$I$4))),TREND($E82:$F82,$E$9:$F$9,O$9))</f>
        <v>1</v>
      </c>
      <c r="P82">
        <f>IF($G82="s-curve",$E82+($F82-$E82)*$I$2/(1+EXP($I$3*(COUNT($I$9:P$9)+$I$4))),TREND($E82:$F82,$E$9:$F$9,P$9))</f>
        <v>1</v>
      </c>
      <c r="Q82">
        <f>IF($G82="s-curve",$E82+($F82-$E82)*$I$2/(1+EXP($I$3*(COUNT($I$9:Q$9)+$I$4))),TREND($E82:$F82,$E$9:$F$9,Q$9))</f>
        <v>1</v>
      </c>
      <c r="R82">
        <f>IF($G82="s-curve",$E82+($F82-$E82)*$I$2/(1+EXP($I$3*(COUNT($I$9:R$9)+$I$4))),TREND($E82:$F82,$E$9:$F$9,R$9))</f>
        <v>1</v>
      </c>
      <c r="S82">
        <f>IF($G82="s-curve",$E82+($F82-$E82)*$I$2/(1+EXP($I$3*(COUNT($I$9:S$9)+$I$4))),TREND($E82:$F82,$E$9:$F$9,S$9))</f>
        <v>1</v>
      </c>
      <c r="T82">
        <f>IF($G82="s-curve",$E82+($F82-$E82)*$I$2/(1+EXP($I$3*(COUNT($I$9:T$9)+$I$4))),TREND($E82:$F82,$E$9:$F$9,T$9))</f>
        <v>1</v>
      </c>
      <c r="U82">
        <f>IF($G82="s-curve",$E82+($F82-$E82)*$I$2/(1+EXP($I$3*(COUNT($I$9:U$9)+$I$4))),TREND($E82:$F82,$E$9:$F$9,U$9))</f>
        <v>1</v>
      </c>
      <c r="V82">
        <f>IF($G82="s-curve",$E82+($F82-$E82)*$I$2/(1+EXP($I$3*(COUNT($I$9:V$9)+$I$4))),TREND($E82:$F82,$E$9:$F$9,V$9))</f>
        <v>1</v>
      </c>
      <c r="W82">
        <f>IF($G82="s-curve",$E82+($F82-$E82)*$I$2/(1+EXP($I$3*(COUNT($I$9:W$9)+$I$4))),TREND($E82:$F82,$E$9:$F$9,W$9))</f>
        <v>1</v>
      </c>
      <c r="X82">
        <f>IF($G82="s-curve",$E82+($F82-$E82)*$I$2/(1+EXP($I$3*(COUNT($I$9:X$9)+$I$4))),TREND($E82:$F82,$E$9:$F$9,X$9))</f>
        <v>1</v>
      </c>
      <c r="Y82">
        <f>IF($G82="s-curve",$E82+($F82-$E82)*$I$2/(1+EXP($I$3*(COUNT($I$9:Y$9)+$I$4))),TREND($E82:$F82,$E$9:$F$9,Y$9))</f>
        <v>1</v>
      </c>
      <c r="Z82">
        <f>IF($G82="s-curve",$E82+($F82-$E82)*$I$2/(1+EXP($I$3*(COUNT($I$9:Z$9)+$I$4))),TREND($E82:$F82,$E$9:$F$9,Z$9))</f>
        <v>1</v>
      </c>
      <c r="AA82">
        <f>IF($G82="s-curve",$E82+($F82-$E82)*$I$2/(1+EXP($I$3*(COUNT($I$9:AA$9)+$I$4))),TREND($E82:$F82,$E$9:$F$9,AA$9))</f>
        <v>1</v>
      </c>
      <c r="AB82">
        <f>IF($G82="s-curve",$E82+($F82-$E82)*$I$2/(1+EXP($I$3*(COUNT($I$9:AB$9)+$I$4))),TREND($E82:$F82,$E$9:$F$9,AB$9))</f>
        <v>1</v>
      </c>
      <c r="AC82">
        <f>IF($G82="s-curve",$E82+($F82-$E82)*$I$2/(1+EXP($I$3*(COUNT($I$9:AC$9)+$I$4))),TREND($E82:$F82,$E$9:$F$9,AC$9))</f>
        <v>1</v>
      </c>
      <c r="AD82">
        <f>IF($G82="s-curve",$E82+($F82-$E82)*$I$2/(1+EXP($I$3*(COUNT($I$9:AD$9)+$I$4))),TREND($E82:$F82,$E$9:$F$9,AD$9))</f>
        <v>1</v>
      </c>
      <c r="AE82">
        <f>IF($G82="s-curve",$E82+($F82-$E82)*$I$2/(1+EXP($I$3*(COUNT($I$9:AE$9)+$I$4))),TREND($E82:$F82,$E$9:$F$9,AE$9))</f>
        <v>1</v>
      </c>
      <c r="AF82">
        <f>IF($G82="s-curve",$E82+($F82-$E82)*$I$2/(1+EXP($I$3*(COUNT($I$9:AF$9)+$I$4))),TREND($E82:$F82,$E$9:$F$9,AF$9))</f>
        <v>1</v>
      </c>
      <c r="AG82">
        <f>IF($G82="s-curve",$E82+($F82-$E82)*$I$2/(1+EXP($I$3*(COUNT($I$9:AG$9)+$I$4))),TREND($E82:$F82,$E$9:$F$9,AG$9))</f>
        <v>1</v>
      </c>
      <c r="AH82">
        <f>IF($G82="s-curve",$E82+($F82-$E82)*$I$2/(1+EXP($I$3*(COUNT($I$9:AH$9)+$I$4))),TREND($E82:$F82,$E$9:$F$9,AH$9))</f>
        <v>1</v>
      </c>
      <c r="AI82">
        <f>IF($G82="s-curve",$E82+($F82-$E82)*$I$2/(1+EXP($I$3*(COUNT($I$9:AI$9)+$I$4))),TREND($E82:$F82,$E$9:$F$9,AI$9))</f>
        <v>1</v>
      </c>
    </row>
    <row r="83" spans="1:35" x14ac:dyDescent="0.25">
      <c r="C83" t="s">
        <v>293</v>
      </c>
      <c r="D83">
        <f t="shared" si="12"/>
        <v>6.6777915503600002E-2</v>
      </c>
      <c r="E83">
        <f t="shared" si="12"/>
        <v>6.7382959534800002E-2</v>
      </c>
      <c r="F83">
        <f t="shared" si="12"/>
        <v>6.7382959534800002E-2</v>
      </c>
      <c r="G83" t="str">
        <f>IF(E83=F83,"n/a",IF(OR(C83="battery electric vehicle",C83="natural gas vehicle",C83="plugin hybrid vehicle"),"s-curve","linear"))</f>
        <v>n/a</v>
      </c>
      <c r="I83">
        <f t="shared" si="11"/>
        <v>6.7382959534800002E-2</v>
      </c>
      <c r="J83">
        <f>IF($G83="s-curve",$E83+($F83-$E83)*$I$2/(1+EXP($I$3*(COUNT($I$9:J$9)+$I$4))),TREND($E83:$F83,$E$9:$F$9,J$9))</f>
        <v>6.7382959534800002E-2</v>
      </c>
      <c r="K83">
        <f>IF($G83="s-curve",$E83+($F83-$E83)*$I$2/(1+EXP($I$3*(COUNT($I$9:K$9)+$I$4))),TREND($E83:$F83,$E$9:$F$9,K$9))</f>
        <v>6.7382959534800002E-2</v>
      </c>
      <c r="L83">
        <f>IF($G83="s-curve",$E83+($F83-$E83)*$I$2/(1+EXP($I$3*(COUNT($I$9:L$9)+$I$4))),TREND($E83:$F83,$E$9:$F$9,L$9))</f>
        <v>6.7382959534800002E-2</v>
      </c>
      <c r="M83">
        <f>IF($G83="s-curve",$E83+($F83-$E83)*$I$2/(1+EXP($I$3*(COUNT($I$9:M$9)+$I$4))),TREND($E83:$F83,$E$9:$F$9,M$9))</f>
        <v>6.7382959534800002E-2</v>
      </c>
      <c r="N83">
        <f>IF($G83="s-curve",$E83+($F83-$E83)*$I$2/(1+EXP($I$3*(COUNT($I$9:N$9)+$I$4))),TREND($E83:$F83,$E$9:$F$9,N$9))</f>
        <v>6.7382959534800002E-2</v>
      </c>
      <c r="O83">
        <f>IF($G83="s-curve",$E83+($F83-$E83)*$I$2/(1+EXP($I$3*(COUNT($I$9:O$9)+$I$4))),TREND($E83:$F83,$E$9:$F$9,O$9))</f>
        <v>6.7382959534800002E-2</v>
      </c>
      <c r="P83">
        <f>IF($G83="s-curve",$E83+($F83-$E83)*$I$2/(1+EXP($I$3*(COUNT($I$9:P$9)+$I$4))),TREND($E83:$F83,$E$9:$F$9,P$9))</f>
        <v>6.7382959534800002E-2</v>
      </c>
      <c r="Q83">
        <f>IF($G83="s-curve",$E83+($F83-$E83)*$I$2/(1+EXP($I$3*(COUNT($I$9:Q$9)+$I$4))),TREND($E83:$F83,$E$9:$F$9,Q$9))</f>
        <v>6.7382959534800002E-2</v>
      </c>
      <c r="R83">
        <f>IF($G83="s-curve",$E83+($F83-$E83)*$I$2/(1+EXP($I$3*(COUNT($I$9:R$9)+$I$4))),TREND($E83:$F83,$E$9:$F$9,R$9))</f>
        <v>6.7382959534800002E-2</v>
      </c>
      <c r="S83">
        <f>IF($G83="s-curve",$E83+($F83-$E83)*$I$2/(1+EXP($I$3*(COUNT($I$9:S$9)+$I$4))),TREND($E83:$F83,$E$9:$F$9,S$9))</f>
        <v>6.7382959534800002E-2</v>
      </c>
      <c r="T83">
        <f>IF($G83="s-curve",$E83+($F83-$E83)*$I$2/(1+EXP($I$3*(COUNT($I$9:T$9)+$I$4))),TREND($E83:$F83,$E$9:$F$9,T$9))</f>
        <v>6.7382959534800002E-2</v>
      </c>
      <c r="U83">
        <f>IF($G83="s-curve",$E83+($F83-$E83)*$I$2/(1+EXP($I$3*(COUNT($I$9:U$9)+$I$4))),TREND($E83:$F83,$E$9:$F$9,U$9))</f>
        <v>6.7382959534800002E-2</v>
      </c>
      <c r="V83">
        <f>IF($G83="s-curve",$E83+($F83-$E83)*$I$2/(1+EXP($I$3*(COUNT($I$9:V$9)+$I$4))),TREND($E83:$F83,$E$9:$F$9,V$9))</f>
        <v>6.7382959534800002E-2</v>
      </c>
      <c r="W83">
        <f>IF($G83="s-curve",$E83+($F83-$E83)*$I$2/(1+EXP($I$3*(COUNT($I$9:W$9)+$I$4))),TREND($E83:$F83,$E$9:$F$9,W$9))</f>
        <v>6.7382959534800002E-2</v>
      </c>
      <c r="X83">
        <f>IF($G83="s-curve",$E83+($F83-$E83)*$I$2/(1+EXP($I$3*(COUNT($I$9:X$9)+$I$4))),TREND($E83:$F83,$E$9:$F$9,X$9))</f>
        <v>6.7382959534800002E-2</v>
      </c>
      <c r="Y83">
        <f>IF($G83="s-curve",$E83+($F83-$E83)*$I$2/(1+EXP($I$3*(COUNT($I$9:Y$9)+$I$4))),TREND($E83:$F83,$E$9:$F$9,Y$9))</f>
        <v>6.7382959534800002E-2</v>
      </c>
      <c r="Z83">
        <f>IF($G83="s-curve",$E83+($F83-$E83)*$I$2/(1+EXP($I$3*(COUNT($I$9:Z$9)+$I$4))),TREND($E83:$F83,$E$9:$F$9,Z$9))</f>
        <v>6.7382959534800002E-2</v>
      </c>
      <c r="AA83">
        <f>IF($G83="s-curve",$E83+($F83-$E83)*$I$2/(1+EXP($I$3*(COUNT($I$9:AA$9)+$I$4))),TREND($E83:$F83,$E$9:$F$9,AA$9))</f>
        <v>6.7382959534800002E-2</v>
      </c>
      <c r="AB83">
        <f>IF($G83="s-curve",$E83+($F83-$E83)*$I$2/(1+EXP($I$3*(COUNT($I$9:AB$9)+$I$4))),TREND($E83:$F83,$E$9:$F$9,AB$9))</f>
        <v>6.7382959534800002E-2</v>
      </c>
      <c r="AC83">
        <f>IF($G83="s-curve",$E83+($F83-$E83)*$I$2/(1+EXP($I$3*(COUNT($I$9:AC$9)+$I$4))),TREND($E83:$F83,$E$9:$F$9,AC$9))</f>
        <v>6.7382959534800002E-2</v>
      </c>
      <c r="AD83">
        <f>IF($G83="s-curve",$E83+($F83-$E83)*$I$2/(1+EXP($I$3*(COUNT($I$9:AD$9)+$I$4))),TREND($E83:$F83,$E$9:$F$9,AD$9))</f>
        <v>6.7382959534800002E-2</v>
      </c>
      <c r="AE83">
        <f>IF($G83="s-curve",$E83+($F83-$E83)*$I$2/(1+EXP($I$3*(COUNT($I$9:AE$9)+$I$4))),TREND($E83:$F83,$E$9:$F$9,AE$9))</f>
        <v>6.7382959534800002E-2</v>
      </c>
      <c r="AF83">
        <f>IF($G83="s-curve",$E83+($F83-$E83)*$I$2/(1+EXP($I$3*(COUNT($I$9:AF$9)+$I$4))),TREND($E83:$F83,$E$9:$F$9,AF$9))</f>
        <v>6.7382959534800002E-2</v>
      </c>
      <c r="AG83">
        <f>IF($G83="s-curve",$E83+($F83-$E83)*$I$2/(1+EXP($I$3*(COUNT($I$9:AG$9)+$I$4))),TREND($E83:$F83,$E$9:$F$9,AG$9))</f>
        <v>6.7382959534800002E-2</v>
      </c>
      <c r="AH83">
        <f>IF($G83="s-curve",$E83+($F83-$E83)*$I$2/(1+EXP($I$3*(COUNT($I$9:AH$9)+$I$4))),TREND($E83:$F83,$E$9:$F$9,AH$9))</f>
        <v>6.7382959534800002E-2</v>
      </c>
      <c r="AI83">
        <f>IF($G83="s-curve",$E83+($F83-$E83)*$I$2/(1+EXP($I$3*(COUNT($I$9:AI$9)+$I$4))),TREND($E83:$F83,$E$9:$F$9,AI$9))</f>
        <v>6.7382959534800002E-2</v>
      </c>
    </row>
    <row r="84" spans="1:35" x14ac:dyDescent="0.25">
      <c r="C84" t="s">
        <v>180</v>
      </c>
      <c r="D84">
        <f t="shared" si="12"/>
        <v>1.68426429502E-2</v>
      </c>
      <c r="E84">
        <f t="shared" si="12"/>
        <v>2.2130378178094778E-2</v>
      </c>
      <c r="F84">
        <f t="shared" si="12"/>
        <v>9.2272300610248548E-2</v>
      </c>
      <c r="G84" t="str">
        <f>IF(E84=F84,"n/a",IF(OR(C84="battery electric vehicle",C84="natural gas vehicle",C84="plugin hybrid vehicle"),"s-curve","linear"))</f>
        <v>s-curve</v>
      </c>
      <c r="I84">
        <f t="shared" si="11"/>
        <v>2.2130378178094778E-2</v>
      </c>
      <c r="J84" s="2">
        <f>$E84</f>
        <v>2.2130378178094778E-2</v>
      </c>
      <c r="K84" s="2">
        <f t="shared" ref="K84:AI84" si="14">IF($G84="s-curve",$E84+($F84-$E84)*K$97,TREND($E84:$F84,$E$9:$F$9,K$9))</f>
        <v>2.2343656795379113E-2</v>
      </c>
      <c r="L84" s="2">
        <f t="shared" si="14"/>
        <v>2.2629633737603089E-2</v>
      </c>
      <c r="M84" s="2">
        <f t="shared" si="14"/>
        <v>2.3012206614733348E-2</v>
      </c>
      <c r="N84" s="2">
        <f t="shared" si="14"/>
        <v>2.3522428818875334E-2</v>
      </c>
      <c r="O84" s="2">
        <f t="shared" si="14"/>
        <v>2.4200103149085012E-2</v>
      </c>
      <c r="P84" s="2">
        <f t="shared" si="14"/>
        <v>2.5095293676176779E-2</v>
      </c>
      <c r="Q84" s="2">
        <f t="shared" si="14"/>
        <v>2.6269340956171998E-2</v>
      </c>
      <c r="R84" s="2">
        <f t="shared" si="14"/>
        <v>2.7794667009371686E-2</v>
      </c>
      <c r="S84" s="2">
        <f t="shared" si="14"/>
        <v>2.9752292454487669E-2</v>
      </c>
      <c r="T84" s="2">
        <f t="shared" si="14"/>
        <v>3.2225685159160605E-2</v>
      </c>
      <c r="U84" s="2">
        <f t="shared" si="14"/>
        <v>3.528961090747184E-2</v>
      </c>
      <c r="V84" s="2">
        <f t="shared" si="14"/>
        <v>3.89935325479914E-2</v>
      </c>
      <c r="W84" s="2">
        <f t="shared" si="14"/>
        <v>4.3341252524871421E-2</v>
      </c>
      <c r="X84" s="2">
        <f t="shared" si="14"/>
        <v>4.8271780522821925E-2</v>
      </c>
      <c r="Y84" s="2">
        <f t="shared" si="14"/>
        <v>5.3649394147368079E-2</v>
      </c>
      <c r="Z84" s="2">
        <f t="shared" si="14"/>
        <v>5.9270820783210276E-2</v>
      </c>
      <c r="AA84" s="2">
        <f t="shared" si="14"/>
        <v>6.489224741905246E-2</v>
      </c>
      <c r="AB84" s="2">
        <f t="shared" si="14"/>
        <v>7.0269861043598614E-2</v>
      </c>
      <c r="AC84" s="2">
        <f t="shared" si="14"/>
        <v>7.5200389041549118E-2</v>
      </c>
      <c r="AD84" s="2">
        <f t="shared" si="14"/>
        <v>7.9548109018429139E-2</v>
      </c>
      <c r="AE84" s="2">
        <f t="shared" si="14"/>
        <v>8.3252030658948692E-2</v>
      </c>
      <c r="AF84" s="2">
        <f t="shared" si="14"/>
        <v>8.6315956407259947E-2</v>
      </c>
      <c r="AG84" s="2">
        <f t="shared" si="14"/>
        <v>8.8789349111932869E-2</v>
      </c>
      <c r="AH84" s="2">
        <f t="shared" si="14"/>
        <v>9.074697455704886E-2</v>
      </c>
      <c r="AI84" s="2">
        <f t="shared" si="14"/>
        <v>9.2272300610248548E-2</v>
      </c>
    </row>
    <row r="85" spans="1:35" x14ac:dyDescent="0.25">
      <c r="C85" t="s">
        <v>294</v>
      </c>
      <c r="D85">
        <f t="shared" si="12"/>
        <v>0</v>
      </c>
      <c r="E85">
        <f t="shared" si="12"/>
        <v>0</v>
      </c>
      <c r="F85">
        <f t="shared" si="12"/>
        <v>0</v>
      </c>
      <c r="G85" t="str">
        <f>IF(E85=F85,"n/a",IF(OR(C85="battery electric vehicle",C85="natural gas vehicle",C85="plugin hybrid vehicle",C85="hydrogen vehicle"),"s-curve","linear"))</f>
        <v>n/a</v>
      </c>
      <c r="I85">
        <f t="shared" si="11"/>
        <v>0</v>
      </c>
      <c r="J85">
        <f>IF($G85="s-curve",$E85+($F85-$E85)*$I$2/(1+EXP($I$3*(COUNT($I$9:J$9)+$I$4))),TREND($E85:$F85,$E$9:$F$9,J$9))</f>
        <v>0</v>
      </c>
      <c r="K85">
        <f>IF($G85="s-curve",$E85+($F85-$E85)*$I$2/(1+EXP($I$3*(COUNT($I$9:K$9)+$I$4))),TREND($E85:$F85,$E$9:$F$9,K$9))</f>
        <v>0</v>
      </c>
      <c r="L85">
        <f>IF($G85="s-curve",$E85+($F85-$E85)*$I$2/(1+EXP($I$3*(COUNT($I$9:L$9)+$I$4))),TREND($E85:$F85,$E$9:$F$9,L$9))</f>
        <v>0</v>
      </c>
      <c r="M85">
        <f>IF($G85="s-curve",$E85+($F85-$E85)*$I$2/(1+EXP($I$3*(COUNT($I$9:M$9)+$I$4))),TREND($E85:$F85,$E$9:$F$9,M$9))</f>
        <v>0</v>
      </c>
      <c r="N85">
        <f>IF($G85="s-curve",$E85+($F85-$E85)*$I$2/(1+EXP($I$3*(COUNT($I$9:N$9)+$I$4))),TREND($E85:$F85,$E$9:$F$9,N$9))</f>
        <v>0</v>
      </c>
      <c r="O85">
        <f>IF($G85="s-curve",$E85+($F85-$E85)*$I$2/(1+EXP($I$3*(COUNT($I$9:O$9)+$I$4))),TREND($E85:$F85,$E$9:$F$9,O$9))</f>
        <v>0</v>
      </c>
      <c r="P85">
        <f>IF($G85="s-curve",$E85+($F85-$E85)*$I$2/(1+EXP($I$3*(COUNT($I$9:P$9)+$I$4))),TREND($E85:$F85,$E$9:$F$9,P$9))</f>
        <v>0</v>
      </c>
      <c r="Q85">
        <f>IF($G85="s-curve",$E85+($F85-$E85)*$I$2/(1+EXP($I$3*(COUNT($I$9:Q$9)+$I$4))),TREND($E85:$F85,$E$9:$F$9,Q$9))</f>
        <v>0</v>
      </c>
      <c r="R85">
        <f>IF($G85="s-curve",$E85+($F85-$E85)*$I$2/(1+EXP($I$3*(COUNT($I$9:R$9)+$I$4))),TREND($E85:$F85,$E$9:$F$9,R$9))</f>
        <v>0</v>
      </c>
      <c r="S85">
        <f>IF($G85="s-curve",$E85+($F85-$E85)*$I$2/(1+EXP($I$3*(COUNT($I$9:S$9)+$I$4))),TREND($E85:$F85,$E$9:$F$9,S$9))</f>
        <v>0</v>
      </c>
      <c r="T85">
        <f>IF($G85="s-curve",$E85+($F85-$E85)*$I$2/(1+EXP($I$3*(COUNT($I$9:T$9)+$I$4))),TREND($E85:$F85,$E$9:$F$9,T$9))</f>
        <v>0</v>
      </c>
      <c r="U85">
        <f>IF($G85="s-curve",$E85+($F85-$E85)*$I$2/(1+EXP($I$3*(COUNT($I$9:U$9)+$I$4))),TREND($E85:$F85,$E$9:$F$9,U$9))</f>
        <v>0</v>
      </c>
      <c r="V85">
        <f>IF($G85="s-curve",$E85+($F85-$E85)*$I$2/(1+EXP($I$3*(COUNT($I$9:V$9)+$I$4))),TREND($E85:$F85,$E$9:$F$9,V$9))</f>
        <v>0</v>
      </c>
      <c r="W85">
        <f>IF($G85="s-curve",$E85+($F85-$E85)*$I$2/(1+EXP($I$3*(COUNT($I$9:W$9)+$I$4))),TREND($E85:$F85,$E$9:$F$9,W$9))</f>
        <v>0</v>
      </c>
      <c r="X85">
        <f>IF($G85="s-curve",$E85+($F85-$E85)*$I$2/(1+EXP($I$3*(COUNT($I$9:X$9)+$I$4))),TREND($E85:$F85,$E$9:$F$9,X$9))</f>
        <v>0</v>
      </c>
      <c r="Y85">
        <f>IF($G85="s-curve",$E85+($F85-$E85)*$I$2/(1+EXP($I$3*(COUNT($I$9:Y$9)+$I$4))),TREND($E85:$F85,$E$9:$F$9,Y$9))</f>
        <v>0</v>
      </c>
      <c r="Z85">
        <f>IF($G85="s-curve",$E85+($F85-$E85)*$I$2/(1+EXP($I$3*(COUNT($I$9:Z$9)+$I$4))),TREND($E85:$F85,$E$9:$F$9,Z$9))</f>
        <v>0</v>
      </c>
      <c r="AA85">
        <f>IF($G85="s-curve",$E85+($F85-$E85)*$I$2/(1+EXP($I$3*(COUNT($I$9:AA$9)+$I$4))),TREND($E85:$F85,$E$9:$F$9,AA$9))</f>
        <v>0</v>
      </c>
      <c r="AB85">
        <f>IF($G85="s-curve",$E85+($F85-$E85)*$I$2/(1+EXP($I$3*(COUNT($I$9:AB$9)+$I$4))),TREND($E85:$F85,$E$9:$F$9,AB$9))</f>
        <v>0</v>
      </c>
      <c r="AC85">
        <f>IF($G85="s-curve",$E85+($F85-$E85)*$I$2/(1+EXP($I$3*(COUNT($I$9:AC$9)+$I$4))),TREND($E85:$F85,$E$9:$F$9,AC$9))</f>
        <v>0</v>
      </c>
      <c r="AD85">
        <f>IF($G85="s-curve",$E85+($F85-$E85)*$I$2/(1+EXP($I$3*(COUNT($I$9:AD$9)+$I$4))),TREND($E85:$F85,$E$9:$F$9,AD$9))</f>
        <v>0</v>
      </c>
      <c r="AE85">
        <f>IF($G85="s-curve",$E85+($F85-$E85)*$I$2/(1+EXP($I$3*(COUNT($I$9:AE$9)+$I$4))),TREND($E85:$F85,$E$9:$F$9,AE$9))</f>
        <v>0</v>
      </c>
      <c r="AF85">
        <f>IF($G85="s-curve",$E85+($F85-$E85)*$I$2/(1+EXP($I$3*(COUNT($I$9:AF$9)+$I$4))),TREND($E85:$F85,$E$9:$F$9,AF$9))</f>
        <v>0</v>
      </c>
      <c r="AG85">
        <f>IF($G85="s-curve",$E85+($F85-$E85)*$I$2/(1+EXP($I$3*(COUNT($I$9:AG$9)+$I$4))),TREND($E85:$F85,$E$9:$F$9,AG$9))</f>
        <v>0</v>
      </c>
      <c r="AH85">
        <f>IF($G85="s-curve",$E85+($F85-$E85)*$I$2/(1+EXP($I$3*(COUNT($I$9:AH$9)+$I$4))),TREND($E85:$F85,$E$9:$F$9,AH$9))</f>
        <v>0</v>
      </c>
      <c r="AI85">
        <f>IF($G85="s-curve",$E85+($F85-$E85)*$I$2/(1+EXP($I$3*(COUNT($I$9:AI$9)+$I$4))),TREND($E85:$F85,$E$9:$F$9,AI$9))</f>
        <v>0</v>
      </c>
    </row>
    <row r="86" spans="1:35" x14ac:dyDescent="0.25">
      <c r="C86" t="s">
        <v>182</v>
      </c>
      <c r="D86">
        <f t="shared" si="12"/>
        <v>0</v>
      </c>
      <c r="E86">
        <f t="shared" si="12"/>
        <v>0</v>
      </c>
      <c r="F86">
        <f t="shared" si="12"/>
        <v>0</v>
      </c>
      <c r="G86" t="str">
        <f>IF(E86=F86,"n/a",IF(OR(C86="battery electric vehicle",C86="natural gas vehicle",C86="plugin hybrid vehicle",C86="hydrogen vehicle"),"s-curve","linear"))</f>
        <v>n/a</v>
      </c>
      <c r="I86">
        <f t="shared" si="11"/>
        <v>0</v>
      </c>
      <c r="J86">
        <f>IF($G86="s-curve",$E86+($F86-$E86)*$I$2/(1+EXP($I$3*(COUNT($I$9:J$9)+$I$4))),TREND($E86:$F86,$E$9:$F$9,J$9))</f>
        <v>0</v>
      </c>
      <c r="K86">
        <f>IF($G86="s-curve",$E86+($F86-$E86)*$I$2/(1+EXP($I$3*(COUNT($I$9:K$9)+$I$4))),TREND($E86:$F86,$E$9:$F$9,K$9))</f>
        <v>0</v>
      </c>
      <c r="L86">
        <f>IF($G86="s-curve",$E86+($F86-$E86)*$I$2/(1+EXP($I$3*(COUNT($I$9:L$9)+$I$4))),TREND($E86:$F86,$E$9:$F$9,L$9))</f>
        <v>0</v>
      </c>
      <c r="M86">
        <f>IF($G86="s-curve",$E86+($F86-$E86)*$I$2/(1+EXP($I$3*(COUNT($I$9:M$9)+$I$4))),TREND($E86:$F86,$E$9:$F$9,M$9))</f>
        <v>0</v>
      </c>
      <c r="N86">
        <f>IF($G86="s-curve",$E86+($F86-$E86)*$I$2/(1+EXP($I$3*(COUNT($I$9:N$9)+$I$4))),TREND($E86:$F86,$E$9:$F$9,N$9))</f>
        <v>0</v>
      </c>
      <c r="O86">
        <f>IF($G86="s-curve",$E86+($F86-$E86)*$I$2/(1+EXP($I$3*(COUNT($I$9:O$9)+$I$4))),TREND($E86:$F86,$E$9:$F$9,O$9))</f>
        <v>0</v>
      </c>
      <c r="P86">
        <f>IF($G86="s-curve",$E86+($F86-$E86)*$I$2/(1+EXP($I$3*(COUNT($I$9:P$9)+$I$4))),TREND($E86:$F86,$E$9:$F$9,P$9))</f>
        <v>0</v>
      </c>
      <c r="Q86">
        <f>IF($G86="s-curve",$E86+($F86-$E86)*$I$2/(1+EXP($I$3*(COUNT($I$9:Q$9)+$I$4))),TREND($E86:$F86,$E$9:$F$9,Q$9))</f>
        <v>0</v>
      </c>
      <c r="R86">
        <f>IF($G86="s-curve",$E86+($F86-$E86)*$I$2/(1+EXP($I$3*(COUNT($I$9:R$9)+$I$4))),TREND($E86:$F86,$E$9:$F$9,R$9))</f>
        <v>0</v>
      </c>
      <c r="S86">
        <f>IF($G86="s-curve",$E86+($F86-$E86)*$I$2/(1+EXP($I$3*(COUNT($I$9:S$9)+$I$4))),TREND($E86:$F86,$E$9:$F$9,S$9))</f>
        <v>0</v>
      </c>
      <c r="T86">
        <f>IF($G86="s-curve",$E86+($F86-$E86)*$I$2/(1+EXP($I$3*(COUNT($I$9:T$9)+$I$4))),TREND($E86:$F86,$E$9:$F$9,T$9))</f>
        <v>0</v>
      </c>
      <c r="U86">
        <f>IF($G86="s-curve",$E86+($F86-$E86)*$I$2/(1+EXP($I$3*(COUNT($I$9:U$9)+$I$4))),TREND($E86:$F86,$E$9:$F$9,U$9))</f>
        <v>0</v>
      </c>
      <c r="V86">
        <f>IF($G86="s-curve",$E86+($F86-$E86)*$I$2/(1+EXP($I$3*(COUNT($I$9:V$9)+$I$4))),TREND($E86:$F86,$E$9:$F$9,V$9))</f>
        <v>0</v>
      </c>
      <c r="W86">
        <f>IF($G86="s-curve",$E86+($F86-$E86)*$I$2/(1+EXP($I$3*(COUNT($I$9:W$9)+$I$4))),TREND($E86:$F86,$E$9:$F$9,W$9))</f>
        <v>0</v>
      </c>
      <c r="X86">
        <f>IF($G86="s-curve",$E86+($F86-$E86)*$I$2/(1+EXP($I$3*(COUNT($I$9:X$9)+$I$4))),TREND($E86:$F86,$E$9:$F$9,X$9))</f>
        <v>0</v>
      </c>
      <c r="Y86">
        <f>IF($G86="s-curve",$E86+($F86-$E86)*$I$2/(1+EXP($I$3*(COUNT($I$9:Y$9)+$I$4))),TREND($E86:$F86,$E$9:$F$9,Y$9))</f>
        <v>0</v>
      </c>
      <c r="Z86">
        <f>IF($G86="s-curve",$E86+($F86-$E86)*$I$2/(1+EXP($I$3*(COUNT($I$9:Z$9)+$I$4))),TREND($E86:$F86,$E$9:$F$9,Z$9))</f>
        <v>0</v>
      </c>
      <c r="AA86">
        <f>IF($G86="s-curve",$E86+($F86-$E86)*$I$2/(1+EXP($I$3*(COUNT($I$9:AA$9)+$I$4))),TREND($E86:$F86,$E$9:$F$9,AA$9))</f>
        <v>0</v>
      </c>
      <c r="AB86">
        <f>IF($G86="s-curve",$E86+($F86-$E86)*$I$2/(1+EXP($I$3*(COUNT($I$9:AB$9)+$I$4))),TREND($E86:$F86,$E$9:$F$9,AB$9))</f>
        <v>0</v>
      </c>
      <c r="AC86">
        <f>IF($G86="s-curve",$E86+($F86-$E86)*$I$2/(1+EXP($I$3*(COUNT($I$9:AC$9)+$I$4))),TREND($E86:$F86,$E$9:$F$9,AC$9))</f>
        <v>0</v>
      </c>
      <c r="AD86">
        <f>IF($G86="s-curve",$E86+($F86-$E86)*$I$2/(1+EXP($I$3*(COUNT($I$9:AD$9)+$I$4))),TREND($E86:$F86,$E$9:$F$9,AD$9))</f>
        <v>0</v>
      </c>
      <c r="AE86">
        <f>IF($G86="s-curve",$E86+($F86-$E86)*$I$2/(1+EXP($I$3*(COUNT($I$9:AE$9)+$I$4))),TREND($E86:$F86,$E$9:$F$9,AE$9))</f>
        <v>0</v>
      </c>
      <c r="AF86">
        <f>IF($G86="s-curve",$E86+($F86-$E86)*$I$2/(1+EXP($I$3*(COUNT($I$9:AF$9)+$I$4))),TREND($E86:$F86,$E$9:$F$9,AF$9))</f>
        <v>0</v>
      </c>
      <c r="AG86">
        <f>IF($G86="s-curve",$E86+($F86-$E86)*$I$2/(1+EXP($I$3*(COUNT($I$9:AG$9)+$I$4))),TREND($E86:$F86,$E$9:$F$9,AG$9))</f>
        <v>0</v>
      </c>
      <c r="AH86">
        <f>IF($G86="s-curve",$E86+($F86-$E86)*$I$2/(1+EXP($I$3*(COUNT($I$9:AH$9)+$I$4))),TREND($E86:$F86,$E$9:$F$9,AH$9))</f>
        <v>0</v>
      </c>
      <c r="AI86">
        <f>IF($G86="s-curve",$E86+($F86-$E86)*$I$2/(1+EXP($I$3*(COUNT($I$9:AI$9)+$I$4))),TREND($E86:$F86,$E$9:$F$9,AI$9))</f>
        <v>0</v>
      </c>
    </row>
    <row r="87" spans="1:35" x14ac:dyDescent="0.25">
      <c r="A87" t="s">
        <v>300</v>
      </c>
      <c r="B87" t="s">
        <v>326</v>
      </c>
      <c r="C87" t="s">
        <v>177</v>
      </c>
      <c r="E87">
        <v>0</v>
      </c>
      <c r="F87">
        <v>0</v>
      </c>
      <c r="G87" t="str">
        <f>IF(E87=F87,"n/a",IF(OR(C87="battery electric vehicle",C87="natural gas vehicle",C87="plugin hybrid vehicle"),"s-curve","linear"))</f>
        <v>n/a</v>
      </c>
      <c r="I87">
        <f t="shared" si="11"/>
        <v>0</v>
      </c>
      <c r="J87">
        <f>IF($G87="s-curve",$E87+($F87-$E87)*$I$2/(1+EXP($I$3*(COUNT($I$9:J$9)+$I$4))),TREND($E87:$F87,$E$9:$F$9,J$9))</f>
        <v>0</v>
      </c>
      <c r="K87">
        <f>IF($G87="s-curve",$E87+($F87-$E87)*$I$2/(1+EXP($I$3*(COUNT($I$9:K$9)+$I$4))),TREND($E87:$F87,$E$9:$F$9,K$9))</f>
        <v>0</v>
      </c>
      <c r="L87">
        <f>IF($G87="s-curve",$E87+($F87-$E87)*$I$2/(1+EXP($I$3*(COUNT($I$9:L$9)+$I$4))),TREND($E87:$F87,$E$9:$F$9,L$9))</f>
        <v>0</v>
      </c>
      <c r="M87">
        <f>IF($G87="s-curve",$E87+($F87-$E87)*$I$2/(1+EXP($I$3*(COUNT($I$9:M$9)+$I$4))),TREND($E87:$F87,$E$9:$F$9,M$9))</f>
        <v>0</v>
      </c>
      <c r="N87">
        <f>IF($G87="s-curve",$E87+($F87-$E87)*$I$2/(1+EXP($I$3*(COUNT($I$9:N$9)+$I$4))),TREND($E87:$F87,$E$9:$F$9,N$9))</f>
        <v>0</v>
      </c>
      <c r="O87">
        <f>IF($G87="s-curve",$E87+($F87-$E87)*$I$2/(1+EXP($I$3*(COUNT($I$9:O$9)+$I$4))),TREND($E87:$F87,$E$9:$F$9,O$9))</f>
        <v>0</v>
      </c>
      <c r="P87">
        <f>IF($G87="s-curve",$E87+($F87-$E87)*$I$2/(1+EXP($I$3*(COUNT($I$9:P$9)+$I$4))),TREND($E87:$F87,$E$9:$F$9,P$9))</f>
        <v>0</v>
      </c>
      <c r="Q87">
        <f>IF($G87="s-curve",$E87+($F87-$E87)*$I$2/(1+EXP($I$3*(COUNT($I$9:Q$9)+$I$4))),TREND($E87:$F87,$E$9:$F$9,Q$9))</f>
        <v>0</v>
      </c>
      <c r="R87">
        <f>IF($G87="s-curve",$E87+($F87-$E87)*$I$2/(1+EXP($I$3*(COUNT($I$9:R$9)+$I$4))),TREND($E87:$F87,$E$9:$F$9,R$9))</f>
        <v>0</v>
      </c>
      <c r="S87">
        <f>IF($G87="s-curve",$E87+($F87-$E87)*$I$2/(1+EXP($I$3*(COUNT($I$9:S$9)+$I$4))),TREND($E87:$F87,$E$9:$F$9,S$9))</f>
        <v>0</v>
      </c>
      <c r="T87">
        <f>IF($G87="s-curve",$E87+($F87-$E87)*$I$2/(1+EXP($I$3*(COUNT($I$9:T$9)+$I$4))),TREND($E87:$F87,$E$9:$F$9,T$9))</f>
        <v>0</v>
      </c>
      <c r="U87">
        <f>IF($G87="s-curve",$E87+($F87-$E87)*$I$2/(1+EXP($I$3*(COUNT($I$9:U$9)+$I$4))),TREND($E87:$F87,$E$9:$F$9,U$9))</f>
        <v>0</v>
      </c>
      <c r="V87">
        <f>IF($G87="s-curve",$E87+($F87-$E87)*$I$2/(1+EXP($I$3*(COUNT($I$9:V$9)+$I$4))),TREND($E87:$F87,$E$9:$F$9,V$9))</f>
        <v>0</v>
      </c>
      <c r="W87">
        <f>IF($G87="s-curve",$E87+($F87-$E87)*$I$2/(1+EXP($I$3*(COUNT($I$9:W$9)+$I$4))),TREND($E87:$F87,$E$9:$F$9,W$9))</f>
        <v>0</v>
      </c>
      <c r="X87">
        <f>IF($G87="s-curve",$E87+($F87-$E87)*$I$2/(1+EXP($I$3*(COUNT($I$9:X$9)+$I$4))),TREND($E87:$F87,$E$9:$F$9,X$9))</f>
        <v>0</v>
      </c>
      <c r="Y87">
        <f>IF($G87="s-curve",$E87+($F87-$E87)*$I$2/(1+EXP($I$3*(COUNT($I$9:Y$9)+$I$4))),TREND($E87:$F87,$E$9:$F$9,Y$9))</f>
        <v>0</v>
      </c>
      <c r="Z87">
        <f>IF($G87="s-curve",$E87+($F87-$E87)*$I$2/(1+EXP($I$3*(COUNT($I$9:Z$9)+$I$4))),TREND($E87:$F87,$E$9:$F$9,Z$9))</f>
        <v>0</v>
      </c>
      <c r="AA87">
        <f>IF($G87="s-curve",$E87+($F87-$E87)*$I$2/(1+EXP($I$3*(COUNT($I$9:AA$9)+$I$4))),TREND($E87:$F87,$E$9:$F$9,AA$9))</f>
        <v>0</v>
      </c>
      <c r="AB87">
        <f>IF($G87="s-curve",$E87+($F87-$E87)*$I$2/(1+EXP($I$3*(COUNT($I$9:AB$9)+$I$4))),TREND($E87:$F87,$E$9:$F$9,AB$9))</f>
        <v>0</v>
      </c>
      <c r="AC87">
        <f>IF($G87="s-curve",$E87+($F87-$E87)*$I$2/(1+EXP($I$3*(COUNT($I$9:AC$9)+$I$4))),TREND($E87:$F87,$E$9:$F$9,AC$9))</f>
        <v>0</v>
      </c>
      <c r="AD87">
        <f>IF($G87="s-curve",$E87+($F87-$E87)*$I$2/(1+EXP($I$3*(COUNT($I$9:AD$9)+$I$4))),TREND($E87:$F87,$E$9:$F$9,AD$9))</f>
        <v>0</v>
      </c>
      <c r="AE87">
        <f>IF($G87="s-curve",$E87+($F87-$E87)*$I$2/(1+EXP($I$3*(COUNT($I$9:AE$9)+$I$4))),TREND($E87:$F87,$E$9:$F$9,AE$9))</f>
        <v>0</v>
      </c>
      <c r="AF87">
        <f>IF($G87="s-curve",$E87+($F87-$E87)*$I$2/(1+EXP($I$3*(COUNT($I$9:AF$9)+$I$4))),TREND($E87:$F87,$E$9:$F$9,AF$9))</f>
        <v>0</v>
      </c>
      <c r="AG87">
        <f>IF($G87="s-curve",$E87+($F87-$E87)*$I$2/(1+EXP($I$3*(COUNT($I$9:AG$9)+$I$4))),TREND($E87:$F87,$E$9:$F$9,AG$9))</f>
        <v>0</v>
      </c>
      <c r="AH87">
        <f>IF($G87="s-curve",$E87+($F87-$E87)*$I$2/(1+EXP($I$3*(COUNT($I$9:AH$9)+$I$4))),TREND($E87:$F87,$E$9:$F$9,AH$9))</f>
        <v>0</v>
      </c>
      <c r="AI87">
        <f>IF($G87="s-curve",$E87+($F87-$E87)*$I$2/(1+EXP($I$3*(COUNT($I$9:AI$9)+$I$4))),TREND($E87:$F87,$E$9:$F$9,AI$9))</f>
        <v>0</v>
      </c>
    </row>
    <row r="88" spans="1:35" x14ac:dyDescent="0.25">
      <c r="C88" t="s">
        <v>291</v>
      </c>
      <c r="E88">
        <v>0</v>
      </c>
      <c r="F88">
        <v>0</v>
      </c>
      <c r="G88" t="str">
        <f>IF(E88=F88,"n/a",IF(OR(C88="battery electric vehicle",C88="natural gas vehicle",C88="plugin hybrid vehicle"),"s-curve","linear"))</f>
        <v>n/a</v>
      </c>
      <c r="I88">
        <f t="shared" si="11"/>
        <v>0</v>
      </c>
      <c r="J88">
        <f>IF($G88="s-curve",$E88+($F88-$E88)*$I$2/(1+EXP($I$3*(COUNT($I$9:J$9)+$I$4))),TREND($E88:$F88,$E$9:$F$9,J$9))</f>
        <v>0</v>
      </c>
      <c r="K88">
        <f>IF($G88="s-curve",$E88+($F88-$E88)*$I$2/(1+EXP($I$3*(COUNT($I$9:K$9)+$I$4))),TREND($E88:$F88,$E$9:$F$9,K$9))</f>
        <v>0</v>
      </c>
      <c r="L88">
        <f>IF($G88="s-curve",$E88+($F88-$E88)*$I$2/(1+EXP($I$3*(COUNT($I$9:L$9)+$I$4))),TREND($E88:$F88,$E$9:$F$9,L$9))</f>
        <v>0</v>
      </c>
      <c r="M88">
        <f>IF($G88="s-curve",$E88+($F88-$E88)*$I$2/(1+EXP($I$3*(COUNT($I$9:M$9)+$I$4))),TREND($E88:$F88,$E$9:$F$9,M$9))</f>
        <v>0</v>
      </c>
      <c r="N88">
        <f>IF($G88="s-curve",$E88+($F88-$E88)*$I$2/(1+EXP($I$3*(COUNT($I$9:N$9)+$I$4))),TREND($E88:$F88,$E$9:$F$9,N$9))</f>
        <v>0</v>
      </c>
      <c r="O88">
        <f>IF($G88="s-curve",$E88+($F88-$E88)*$I$2/(1+EXP($I$3*(COUNT($I$9:O$9)+$I$4))),TREND($E88:$F88,$E$9:$F$9,O$9))</f>
        <v>0</v>
      </c>
      <c r="P88">
        <f>IF($G88="s-curve",$E88+($F88-$E88)*$I$2/(1+EXP($I$3*(COUNT($I$9:P$9)+$I$4))),TREND($E88:$F88,$E$9:$F$9,P$9))</f>
        <v>0</v>
      </c>
      <c r="Q88">
        <f>IF($G88="s-curve",$E88+($F88-$E88)*$I$2/(1+EXP($I$3*(COUNT($I$9:Q$9)+$I$4))),TREND($E88:$F88,$E$9:$F$9,Q$9))</f>
        <v>0</v>
      </c>
      <c r="R88">
        <f>IF($G88="s-curve",$E88+($F88-$E88)*$I$2/(1+EXP($I$3*(COUNT($I$9:R$9)+$I$4))),TREND($E88:$F88,$E$9:$F$9,R$9))</f>
        <v>0</v>
      </c>
      <c r="S88">
        <f>IF($G88="s-curve",$E88+($F88-$E88)*$I$2/(1+EXP($I$3*(COUNT($I$9:S$9)+$I$4))),TREND($E88:$F88,$E$9:$F$9,S$9))</f>
        <v>0</v>
      </c>
      <c r="T88">
        <f>IF($G88="s-curve",$E88+($F88-$E88)*$I$2/(1+EXP($I$3*(COUNT($I$9:T$9)+$I$4))),TREND($E88:$F88,$E$9:$F$9,T$9))</f>
        <v>0</v>
      </c>
      <c r="U88">
        <f>IF($G88="s-curve",$E88+($F88-$E88)*$I$2/(1+EXP($I$3*(COUNT($I$9:U$9)+$I$4))),TREND($E88:$F88,$E$9:$F$9,U$9))</f>
        <v>0</v>
      </c>
      <c r="V88">
        <f>IF($G88="s-curve",$E88+($F88-$E88)*$I$2/(1+EXP($I$3*(COUNT($I$9:V$9)+$I$4))),TREND($E88:$F88,$E$9:$F$9,V$9))</f>
        <v>0</v>
      </c>
      <c r="W88">
        <f>IF($G88="s-curve",$E88+($F88-$E88)*$I$2/(1+EXP($I$3*(COUNT($I$9:W$9)+$I$4))),TREND($E88:$F88,$E$9:$F$9,W$9))</f>
        <v>0</v>
      </c>
      <c r="X88">
        <f>IF($G88="s-curve",$E88+($F88-$E88)*$I$2/(1+EXP($I$3*(COUNT($I$9:X$9)+$I$4))),TREND($E88:$F88,$E$9:$F$9,X$9))</f>
        <v>0</v>
      </c>
      <c r="Y88">
        <f>IF($G88="s-curve",$E88+($F88-$E88)*$I$2/(1+EXP($I$3*(COUNT($I$9:Y$9)+$I$4))),TREND($E88:$F88,$E$9:$F$9,Y$9))</f>
        <v>0</v>
      </c>
      <c r="Z88">
        <f>IF($G88="s-curve",$E88+($F88-$E88)*$I$2/(1+EXP($I$3*(COUNT($I$9:Z$9)+$I$4))),TREND($E88:$F88,$E$9:$F$9,Z$9))</f>
        <v>0</v>
      </c>
      <c r="AA88">
        <f>IF($G88="s-curve",$E88+($F88-$E88)*$I$2/(1+EXP($I$3*(COUNT($I$9:AA$9)+$I$4))),TREND($E88:$F88,$E$9:$F$9,AA$9))</f>
        <v>0</v>
      </c>
      <c r="AB88">
        <f>IF($G88="s-curve",$E88+($F88-$E88)*$I$2/(1+EXP($I$3*(COUNT($I$9:AB$9)+$I$4))),TREND($E88:$F88,$E$9:$F$9,AB$9))</f>
        <v>0</v>
      </c>
      <c r="AC88">
        <f>IF($G88="s-curve",$E88+($F88-$E88)*$I$2/(1+EXP($I$3*(COUNT($I$9:AC$9)+$I$4))),TREND($E88:$F88,$E$9:$F$9,AC$9))</f>
        <v>0</v>
      </c>
      <c r="AD88">
        <f>IF($G88="s-curve",$E88+($F88-$E88)*$I$2/(1+EXP($I$3*(COUNT($I$9:AD$9)+$I$4))),TREND($E88:$F88,$E$9:$F$9,AD$9))</f>
        <v>0</v>
      </c>
      <c r="AE88">
        <f>IF($G88="s-curve",$E88+($F88-$E88)*$I$2/(1+EXP($I$3*(COUNT($I$9:AE$9)+$I$4))),TREND($E88:$F88,$E$9:$F$9,AE$9))</f>
        <v>0</v>
      </c>
      <c r="AF88">
        <f>IF($G88="s-curve",$E88+($F88-$E88)*$I$2/(1+EXP($I$3*(COUNT($I$9:AF$9)+$I$4))),TREND($E88:$F88,$E$9:$F$9,AF$9))</f>
        <v>0</v>
      </c>
      <c r="AG88">
        <f>IF($G88="s-curve",$E88+($F88-$E88)*$I$2/(1+EXP($I$3*(COUNT($I$9:AG$9)+$I$4))),TREND($E88:$F88,$E$9:$F$9,AG$9))</f>
        <v>0</v>
      </c>
      <c r="AH88">
        <f>IF($G88="s-curve",$E88+($F88-$E88)*$I$2/(1+EXP($I$3*(COUNT($I$9:AH$9)+$I$4))),TREND($E88:$F88,$E$9:$F$9,AH$9))</f>
        <v>0</v>
      </c>
      <c r="AI88">
        <f>IF($G88="s-curve",$E88+($F88-$E88)*$I$2/(1+EXP($I$3*(COUNT($I$9:AI$9)+$I$4))),TREND($E88:$F88,$E$9:$F$9,AI$9))</f>
        <v>0</v>
      </c>
    </row>
    <row r="89" spans="1:35" x14ac:dyDescent="0.25">
      <c r="C89" t="s">
        <v>292</v>
      </c>
      <c r="E89">
        <v>0</v>
      </c>
      <c r="F89">
        <v>0</v>
      </c>
      <c r="G89" t="str">
        <f>IF(E89=F89,"n/a",IF(OR(C89="battery electric vehicle",C89="natural gas vehicle",C89="plugin hybrid vehicle"),"s-curve","linear"))</f>
        <v>n/a</v>
      </c>
      <c r="I89">
        <f t="shared" si="11"/>
        <v>0</v>
      </c>
      <c r="J89">
        <f>IF($G89="s-curve",$E89+($F89-$E89)*$I$2/(1+EXP($I$3*(COUNT($I$9:J$9)+$I$4))),TREND($E89:$F89,$E$9:$F$9,J$9))</f>
        <v>0</v>
      </c>
      <c r="K89">
        <f>IF($G89="s-curve",$E89+($F89-$E89)*$I$2/(1+EXP($I$3*(COUNT($I$9:K$9)+$I$4))),TREND($E89:$F89,$E$9:$F$9,K$9))</f>
        <v>0</v>
      </c>
      <c r="L89">
        <f>IF($G89="s-curve",$E89+($F89-$E89)*$I$2/(1+EXP($I$3*(COUNT($I$9:L$9)+$I$4))),TREND($E89:$F89,$E$9:$F$9,L$9))</f>
        <v>0</v>
      </c>
      <c r="M89">
        <f>IF($G89="s-curve",$E89+($F89-$E89)*$I$2/(1+EXP($I$3*(COUNT($I$9:M$9)+$I$4))),TREND($E89:$F89,$E$9:$F$9,M$9))</f>
        <v>0</v>
      </c>
      <c r="N89">
        <f>IF($G89="s-curve",$E89+($F89-$E89)*$I$2/(1+EXP($I$3*(COUNT($I$9:N$9)+$I$4))),TREND($E89:$F89,$E$9:$F$9,N$9))</f>
        <v>0</v>
      </c>
      <c r="O89">
        <f>IF($G89="s-curve",$E89+($F89-$E89)*$I$2/(1+EXP($I$3*(COUNT($I$9:O$9)+$I$4))),TREND($E89:$F89,$E$9:$F$9,O$9))</f>
        <v>0</v>
      </c>
      <c r="P89">
        <f>IF($G89="s-curve",$E89+($F89-$E89)*$I$2/(1+EXP($I$3*(COUNT($I$9:P$9)+$I$4))),TREND($E89:$F89,$E$9:$F$9,P$9))</f>
        <v>0</v>
      </c>
      <c r="Q89">
        <f>IF($G89="s-curve",$E89+($F89-$E89)*$I$2/(1+EXP($I$3*(COUNT($I$9:Q$9)+$I$4))),TREND($E89:$F89,$E$9:$F$9,Q$9))</f>
        <v>0</v>
      </c>
      <c r="R89">
        <f>IF($G89="s-curve",$E89+($F89-$E89)*$I$2/(1+EXP($I$3*(COUNT($I$9:R$9)+$I$4))),TREND($E89:$F89,$E$9:$F$9,R$9))</f>
        <v>0</v>
      </c>
      <c r="S89">
        <f>IF($G89="s-curve",$E89+($F89-$E89)*$I$2/(1+EXP($I$3*(COUNT($I$9:S$9)+$I$4))),TREND($E89:$F89,$E$9:$F$9,S$9))</f>
        <v>0</v>
      </c>
      <c r="T89">
        <f>IF($G89="s-curve",$E89+($F89-$E89)*$I$2/(1+EXP($I$3*(COUNT($I$9:T$9)+$I$4))),TREND($E89:$F89,$E$9:$F$9,T$9))</f>
        <v>0</v>
      </c>
      <c r="U89">
        <f>IF($G89="s-curve",$E89+($F89-$E89)*$I$2/(1+EXP($I$3*(COUNT($I$9:U$9)+$I$4))),TREND($E89:$F89,$E$9:$F$9,U$9))</f>
        <v>0</v>
      </c>
      <c r="V89">
        <f>IF($G89="s-curve",$E89+($F89-$E89)*$I$2/(1+EXP($I$3*(COUNT($I$9:V$9)+$I$4))),TREND($E89:$F89,$E$9:$F$9,V$9))</f>
        <v>0</v>
      </c>
      <c r="W89">
        <f>IF($G89="s-curve",$E89+($F89-$E89)*$I$2/(1+EXP($I$3*(COUNT($I$9:W$9)+$I$4))),TREND($E89:$F89,$E$9:$F$9,W$9))</f>
        <v>0</v>
      </c>
      <c r="X89">
        <f>IF($G89="s-curve",$E89+($F89-$E89)*$I$2/(1+EXP($I$3*(COUNT($I$9:X$9)+$I$4))),TREND($E89:$F89,$E$9:$F$9,X$9))</f>
        <v>0</v>
      </c>
      <c r="Y89">
        <f>IF($G89="s-curve",$E89+($F89-$E89)*$I$2/(1+EXP($I$3*(COUNT($I$9:Y$9)+$I$4))),TREND($E89:$F89,$E$9:$F$9,Y$9))</f>
        <v>0</v>
      </c>
      <c r="Z89">
        <f>IF($G89="s-curve",$E89+($F89-$E89)*$I$2/(1+EXP($I$3*(COUNT($I$9:Z$9)+$I$4))),TREND($E89:$F89,$E$9:$F$9,Z$9))</f>
        <v>0</v>
      </c>
      <c r="AA89">
        <f>IF($G89="s-curve",$E89+($F89-$E89)*$I$2/(1+EXP($I$3*(COUNT($I$9:AA$9)+$I$4))),TREND($E89:$F89,$E$9:$F$9,AA$9))</f>
        <v>0</v>
      </c>
      <c r="AB89">
        <f>IF($G89="s-curve",$E89+($F89-$E89)*$I$2/(1+EXP($I$3*(COUNT($I$9:AB$9)+$I$4))),TREND($E89:$F89,$E$9:$F$9,AB$9))</f>
        <v>0</v>
      </c>
      <c r="AC89">
        <f>IF($G89="s-curve",$E89+($F89-$E89)*$I$2/(1+EXP($I$3*(COUNT($I$9:AC$9)+$I$4))),TREND($E89:$F89,$E$9:$F$9,AC$9))</f>
        <v>0</v>
      </c>
      <c r="AD89">
        <f>IF($G89="s-curve",$E89+($F89-$E89)*$I$2/(1+EXP($I$3*(COUNT($I$9:AD$9)+$I$4))),TREND($E89:$F89,$E$9:$F$9,AD$9))</f>
        <v>0</v>
      </c>
      <c r="AE89">
        <f>IF($G89="s-curve",$E89+($F89-$E89)*$I$2/(1+EXP($I$3*(COUNT($I$9:AE$9)+$I$4))),TREND($E89:$F89,$E$9:$F$9,AE$9))</f>
        <v>0</v>
      </c>
      <c r="AF89">
        <f>IF($G89="s-curve",$E89+($F89-$E89)*$I$2/(1+EXP($I$3*(COUNT($I$9:AF$9)+$I$4))),TREND($E89:$F89,$E$9:$F$9,AF$9))</f>
        <v>0</v>
      </c>
      <c r="AG89">
        <f>IF($G89="s-curve",$E89+($F89-$E89)*$I$2/(1+EXP($I$3*(COUNT($I$9:AG$9)+$I$4))),TREND($E89:$F89,$E$9:$F$9,AG$9))</f>
        <v>0</v>
      </c>
      <c r="AH89">
        <f>IF($G89="s-curve",$E89+($F89-$E89)*$I$2/(1+EXP($I$3*(COUNT($I$9:AH$9)+$I$4))),TREND($E89:$F89,$E$9:$F$9,AH$9))</f>
        <v>0</v>
      </c>
      <c r="AI89">
        <f>IF($G89="s-curve",$E89+($F89-$E89)*$I$2/(1+EXP($I$3*(COUNT($I$9:AI$9)+$I$4))),TREND($E89:$F89,$E$9:$F$9,AI$9))</f>
        <v>0</v>
      </c>
    </row>
    <row r="90" spans="1:35" x14ac:dyDescent="0.25">
      <c r="C90" t="s">
        <v>293</v>
      </c>
      <c r="E90">
        <v>0</v>
      </c>
      <c r="F90">
        <v>0</v>
      </c>
      <c r="G90" t="str">
        <f>IF(E90=F90,"n/a",IF(OR(C90="battery electric vehicle",C90="natural gas vehicle",C90="plugin hybrid vehicle"),"s-curve","linear"))</f>
        <v>n/a</v>
      </c>
      <c r="I90">
        <f t="shared" si="11"/>
        <v>0</v>
      </c>
      <c r="J90">
        <f>IF($G90="s-curve",$E90+($F90-$E90)*$I$2/(1+EXP($I$3*(COUNT($I$9:J$9)+$I$4))),TREND($E90:$F90,$E$9:$F$9,J$9))</f>
        <v>0</v>
      </c>
      <c r="K90">
        <f>IF($G90="s-curve",$E90+($F90-$E90)*$I$2/(1+EXP($I$3*(COUNT($I$9:K$9)+$I$4))),TREND($E90:$F90,$E$9:$F$9,K$9))</f>
        <v>0</v>
      </c>
      <c r="L90">
        <f>IF($G90="s-curve",$E90+($F90-$E90)*$I$2/(1+EXP($I$3*(COUNT($I$9:L$9)+$I$4))),TREND($E90:$F90,$E$9:$F$9,L$9))</f>
        <v>0</v>
      </c>
      <c r="M90">
        <f>IF($G90="s-curve",$E90+($F90-$E90)*$I$2/(1+EXP($I$3*(COUNT($I$9:M$9)+$I$4))),TREND($E90:$F90,$E$9:$F$9,M$9))</f>
        <v>0</v>
      </c>
      <c r="N90">
        <f>IF($G90="s-curve",$E90+($F90-$E90)*$I$2/(1+EXP($I$3*(COUNT($I$9:N$9)+$I$4))),TREND($E90:$F90,$E$9:$F$9,N$9))</f>
        <v>0</v>
      </c>
      <c r="O90">
        <f>IF($G90="s-curve",$E90+($F90-$E90)*$I$2/(1+EXP($I$3*(COUNT($I$9:O$9)+$I$4))),TREND($E90:$F90,$E$9:$F$9,O$9))</f>
        <v>0</v>
      </c>
      <c r="P90">
        <f>IF($G90="s-curve",$E90+($F90-$E90)*$I$2/(1+EXP($I$3*(COUNT($I$9:P$9)+$I$4))),TREND($E90:$F90,$E$9:$F$9,P$9))</f>
        <v>0</v>
      </c>
      <c r="Q90">
        <f>IF($G90="s-curve",$E90+($F90-$E90)*$I$2/(1+EXP($I$3*(COUNT($I$9:Q$9)+$I$4))),TREND($E90:$F90,$E$9:$F$9,Q$9))</f>
        <v>0</v>
      </c>
      <c r="R90">
        <f>IF($G90="s-curve",$E90+($F90-$E90)*$I$2/(1+EXP($I$3*(COUNT($I$9:R$9)+$I$4))),TREND($E90:$F90,$E$9:$F$9,R$9))</f>
        <v>0</v>
      </c>
      <c r="S90">
        <f>IF($G90="s-curve",$E90+($F90-$E90)*$I$2/(1+EXP($I$3*(COUNT($I$9:S$9)+$I$4))),TREND($E90:$F90,$E$9:$F$9,S$9))</f>
        <v>0</v>
      </c>
      <c r="T90">
        <f>IF($G90="s-curve",$E90+($F90-$E90)*$I$2/(1+EXP($I$3*(COUNT($I$9:T$9)+$I$4))),TREND($E90:$F90,$E$9:$F$9,T$9))</f>
        <v>0</v>
      </c>
      <c r="U90">
        <f>IF($G90="s-curve",$E90+($F90-$E90)*$I$2/(1+EXP($I$3*(COUNT($I$9:U$9)+$I$4))),TREND($E90:$F90,$E$9:$F$9,U$9))</f>
        <v>0</v>
      </c>
      <c r="V90">
        <f>IF($G90="s-curve",$E90+($F90-$E90)*$I$2/(1+EXP($I$3*(COUNT($I$9:V$9)+$I$4))),TREND($E90:$F90,$E$9:$F$9,V$9))</f>
        <v>0</v>
      </c>
      <c r="W90">
        <f>IF($G90="s-curve",$E90+($F90-$E90)*$I$2/(1+EXP($I$3*(COUNT($I$9:W$9)+$I$4))),TREND($E90:$F90,$E$9:$F$9,W$9))</f>
        <v>0</v>
      </c>
      <c r="X90">
        <f>IF($G90="s-curve",$E90+($F90-$E90)*$I$2/(1+EXP($I$3*(COUNT($I$9:X$9)+$I$4))),TREND($E90:$F90,$E$9:$F$9,X$9))</f>
        <v>0</v>
      </c>
      <c r="Y90">
        <f>IF($G90="s-curve",$E90+($F90-$E90)*$I$2/(1+EXP($I$3*(COUNT($I$9:Y$9)+$I$4))),TREND($E90:$F90,$E$9:$F$9,Y$9))</f>
        <v>0</v>
      </c>
      <c r="Z90">
        <f>IF($G90="s-curve",$E90+($F90-$E90)*$I$2/(1+EXP($I$3*(COUNT($I$9:Z$9)+$I$4))),TREND($E90:$F90,$E$9:$F$9,Z$9))</f>
        <v>0</v>
      </c>
      <c r="AA90">
        <f>IF($G90="s-curve",$E90+($F90-$E90)*$I$2/(1+EXP($I$3*(COUNT($I$9:AA$9)+$I$4))),TREND($E90:$F90,$E$9:$F$9,AA$9))</f>
        <v>0</v>
      </c>
      <c r="AB90">
        <f>IF($G90="s-curve",$E90+($F90-$E90)*$I$2/(1+EXP($I$3*(COUNT($I$9:AB$9)+$I$4))),TREND($E90:$F90,$E$9:$F$9,AB$9))</f>
        <v>0</v>
      </c>
      <c r="AC90">
        <f>IF($G90="s-curve",$E90+($F90-$E90)*$I$2/(1+EXP($I$3*(COUNT($I$9:AC$9)+$I$4))),TREND($E90:$F90,$E$9:$F$9,AC$9))</f>
        <v>0</v>
      </c>
      <c r="AD90">
        <f>IF($G90="s-curve",$E90+($F90-$E90)*$I$2/(1+EXP($I$3*(COUNT($I$9:AD$9)+$I$4))),TREND($E90:$F90,$E$9:$F$9,AD$9))</f>
        <v>0</v>
      </c>
      <c r="AE90">
        <f>IF($G90="s-curve",$E90+($F90-$E90)*$I$2/(1+EXP($I$3*(COUNT($I$9:AE$9)+$I$4))),TREND($E90:$F90,$E$9:$F$9,AE$9))</f>
        <v>0</v>
      </c>
      <c r="AF90">
        <f>IF($G90="s-curve",$E90+($F90-$E90)*$I$2/(1+EXP($I$3*(COUNT($I$9:AF$9)+$I$4))),TREND($E90:$F90,$E$9:$F$9,AF$9))</f>
        <v>0</v>
      </c>
      <c r="AG90">
        <f>IF($G90="s-curve",$E90+($F90-$E90)*$I$2/(1+EXP($I$3*(COUNT($I$9:AG$9)+$I$4))),TREND($E90:$F90,$E$9:$F$9,AG$9))</f>
        <v>0</v>
      </c>
      <c r="AH90">
        <f>IF($G90="s-curve",$E90+($F90-$E90)*$I$2/(1+EXP($I$3*(COUNT($I$9:AH$9)+$I$4))),TREND($E90:$F90,$E$9:$F$9,AH$9))</f>
        <v>0</v>
      </c>
      <c r="AI90">
        <f>IF($G90="s-curve",$E90+($F90-$E90)*$I$2/(1+EXP($I$3*(COUNT($I$9:AI$9)+$I$4))),TREND($E90:$F90,$E$9:$F$9,AI$9))</f>
        <v>0</v>
      </c>
    </row>
    <row r="91" spans="1:35" x14ac:dyDescent="0.25">
      <c r="C91" t="s">
        <v>180</v>
      </c>
      <c r="E91">
        <v>0</v>
      </c>
      <c r="F91">
        <v>0</v>
      </c>
      <c r="G91" t="str">
        <f>IF(E91=F91,"n/a",IF(OR(C91="battery electric vehicle",C91="natural gas vehicle",C91="plugin hybrid vehicle"),"s-curve","linear"))</f>
        <v>n/a</v>
      </c>
      <c r="I91">
        <f t="shared" si="11"/>
        <v>0</v>
      </c>
      <c r="J91">
        <f>IF($G91="s-curve",$E91+($F91-$E91)*$I$2/(1+EXP($I$3*(COUNT($I$9:J$9)+$I$4))),TREND($E91:$F91,$E$9:$F$9,J$9))</f>
        <v>0</v>
      </c>
      <c r="K91">
        <f>IF($G91="s-curve",$E91+($F91-$E91)*$I$2/(1+EXP($I$3*(COUNT($I$9:K$9)+$I$4))),TREND($E91:$F91,$E$9:$F$9,K$9))</f>
        <v>0</v>
      </c>
      <c r="L91">
        <f>IF($G91="s-curve",$E91+($F91-$E91)*$I$2/(1+EXP($I$3*(COUNT($I$9:L$9)+$I$4))),TREND($E91:$F91,$E$9:$F$9,L$9))</f>
        <v>0</v>
      </c>
      <c r="M91">
        <f>IF($G91="s-curve",$E91+($F91-$E91)*$I$2/(1+EXP($I$3*(COUNT($I$9:M$9)+$I$4))),TREND($E91:$F91,$E$9:$F$9,M$9))</f>
        <v>0</v>
      </c>
      <c r="N91">
        <f>IF($G91="s-curve",$E91+($F91-$E91)*$I$2/(1+EXP($I$3*(COUNT($I$9:N$9)+$I$4))),TREND($E91:$F91,$E$9:$F$9,N$9))</f>
        <v>0</v>
      </c>
      <c r="O91">
        <f>IF($G91="s-curve",$E91+($F91-$E91)*$I$2/(1+EXP($I$3*(COUNT($I$9:O$9)+$I$4))),TREND($E91:$F91,$E$9:$F$9,O$9))</f>
        <v>0</v>
      </c>
      <c r="P91">
        <f>IF($G91="s-curve",$E91+($F91-$E91)*$I$2/(1+EXP($I$3*(COUNT($I$9:P$9)+$I$4))),TREND($E91:$F91,$E$9:$F$9,P$9))</f>
        <v>0</v>
      </c>
      <c r="Q91">
        <f>IF($G91="s-curve",$E91+($F91-$E91)*$I$2/(1+EXP($I$3*(COUNT($I$9:Q$9)+$I$4))),TREND($E91:$F91,$E$9:$F$9,Q$9))</f>
        <v>0</v>
      </c>
      <c r="R91">
        <f>IF($G91="s-curve",$E91+($F91-$E91)*$I$2/(1+EXP($I$3*(COUNT($I$9:R$9)+$I$4))),TREND($E91:$F91,$E$9:$F$9,R$9))</f>
        <v>0</v>
      </c>
      <c r="S91">
        <f>IF($G91="s-curve",$E91+($F91-$E91)*$I$2/(1+EXP($I$3*(COUNT($I$9:S$9)+$I$4))),TREND($E91:$F91,$E$9:$F$9,S$9))</f>
        <v>0</v>
      </c>
      <c r="T91">
        <f>IF($G91="s-curve",$E91+($F91-$E91)*$I$2/(1+EXP($I$3*(COUNT($I$9:T$9)+$I$4))),TREND($E91:$F91,$E$9:$F$9,T$9))</f>
        <v>0</v>
      </c>
      <c r="U91">
        <f>IF($G91="s-curve",$E91+($F91-$E91)*$I$2/(1+EXP($I$3*(COUNT($I$9:U$9)+$I$4))),TREND($E91:$F91,$E$9:$F$9,U$9))</f>
        <v>0</v>
      </c>
      <c r="V91">
        <f>IF($G91="s-curve",$E91+($F91-$E91)*$I$2/(1+EXP($I$3*(COUNT($I$9:V$9)+$I$4))),TREND($E91:$F91,$E$9:$F$9,V$9))</f>
        <v>0</v>
      </c>
      <c r="W91">
        <f>IF($G91="s-curve",$E91+($F91-$E91)*$I$2/(1+EXP($I$3*(COUNT($I$9:W$9)+$I$4))),TREND($E91:$F91,$E$9:$F$9,W$9))</f>
        <v>0</v>
      </c>
      <c r="X91">
        <f>IF($G91="s-curve",$E91+($F91-$E91)*$I$2/(1+EXP($I$3*(COUNT($I$9:X$9)+$I$4))),TREND($E91:$F91,$E$9:$F$9,X$9))</f>
        <v>0</v>
      </c>
      <c r="Y91">
        <f>IF($G91="s-curve",$E91+($F91-$E91)*$I$2/(1+EXP($I$3*(COUNT($I$9:Y$9)+$I$4))),TREND($E91:$F91,$E$9:$F$9,Y$9))</f>
        <v>0</v>
      </c>
      <c r="Z91">
        <f>IF($G91="s-curve",$E91+($F91-$E91)*$I$2/(1+EXP($I$3*(COUNT($I$9:Z$9)+$I$4))),TREND($E91:$F91,$E$9:$F$9,Z$9))</f>
        <v>0</v>
      </c>
      <c r="AA91">
        <f>IF($G91="s-curve",$E91+($F91-$E91)*$I$2/(1+EXP($I$3*(COUNT($I$9:AA$9)+$I$4))),TREND($E91:$F91,$E$9:$F$9,AA$9))</f>
        <v>0</v>
      </c>
      <c r="AB91">
        <f>IF($G91="s-curve",$E91+($F91-$E91)*$I$2/(1+EXP($I$3*(COUNT($I$9:AB$9)+$I$4))),TREND($E91:$F91,$E$9:$F$9,AB$9))</f>
        <v>0</v>
      </c>
      <c r="AC91">
        <f>IF($G91="s-curve",$E91+($F91-$E91)*$I$2/(1+EXP($I$3*(COUNT($I$9:AC$9)+$I$4))),TREND($E91:$F91,$E$9:$F$9,AC$9))</f>
        <v>0</v>
      </c>
      <c r="AD91">
        <f>IF($G91="s-curve",$E91+($F91-$E91)*$I$2/(1+EXP($I$3*(COUNT($I$9:AD$9)+$I$4))),TREND($E91:$F91,$E$9:$F$9,AD$9))</f>
        <v>0</v>
      </c>
      <c r="AE91">
        <f>IF($G91="s-curve",$E91+($F91-$E91)*$I$2/(1+EXP($I$3*(COUNT($I$9:AE$9)+$I$4))),TREND($E91:$F91,$E$9:$F$9,AE$9))</f>
        <v>0</v>
      </c>
      <c r="AF91">
        <f>IF($G91="s-curve",$E91+($F91-$E91)*$I$2/(1+EXP($I$3*(COUNT($I$9:AF$9)+$I$4))),TREND($E91:$F91,$E$9:$F$9,AF$9))</f>
        <v>0</v>
      </c>
      <c r="AG91">
        <f>IF($G91="s-curve",$E91+($F91-$E91)*$I$2/(1+EXP($I$3*(COUNT($I$9:AG$9)+$I$4))),TREND($E91:$F91,$E$9:$F$9,AG$9))</f>
        <v>0</v>
      </c>
      <c r="AH91">
        <f>IF($G91="s-curve",$E91+($F91-$E91)*$I$2/(1+EXP($I$3*(COUNT($I$9:AH$9)+$I$4))),TREND($E91:$F91,$E$9:$F$9,AH$9))</f>
        <v>0</v>
      </c>
      <c r="AI91">
        <f>IF($G91="s-curve",$E91+($F91-$E91)*$I$2/(1+EXP($I$3*(COUNT($I$9:AI$9)+$I$4))),TREND($E91:$F91,$E$9:$F$9,AI$9))</f>
        <v>0</v>
      </c>
    </row>
    <row r="92" spans="1:35" x14ac:dyDescent="0.25">
      <c r="C92" t="s">
        <v>294</v>
      </c>
      <c r="E92">
        <v>0</v>
      </c>
      <c r="F92">
        <v>0</v>
      </c>
      <c r="G92" t="str">
        <f>IF(E92=F92,"n/a",IF(OR(C92="battery electric vehicle",C92="natural gas vehicle",C92="plugin hybrid vehicle",C92="hydrogen vehicle"),"s-curve","linear"))</f>
        <v>n/a</v>
      </c>
      <c r="I92">
        <f t="shared" si="11"/>
        <v>0</v>
      </c>
      <c r="J92">
        <f>IF($G92="s-curve",$E92+($F92-$E92)*$I$2/(1+EXP($I$3*(COUNT($I$9:J$9)+$I$4))),TREND($E92:$F92,$E$9:$F$9,J$9))</f>
        <v>0</v>
      </c>
      <c r="K92">
        <f>IF($G92="s-curve",$E92+($F92-$E92)*$I$2/(1+EXP($I$3*(COUNT($I$9:K$9)+$I$4))),TREND($E92:$F92,$E$9:$F$9,K$9))</f>
        <v>0</v>
      </c>
      <c r="L92">
        <f>IF($G92="s-curve",$E92+($F92-$E92)*$I$2/(1+EXP($I$3*(COUNT($I$9:L$9)+$I$4))),TREND($E92:$F92,$E$9:$F$9,L$9))</f>
        <v>0</v>
      </c>
      <c r="M92">
        <f>IF($G92="s-curve",$E92+($F92-$E92)*$I$2/(1+EXP($I$3*(COUNT($I$9:M$9)+$I$4))),TREND($E92:$F92,$E$9:$F$9,M$9))</f>
        <v>0</v>
      </c>
      <c r="N92">
        <f>IF($G92="s-curve",$E92+($F92-$E92)*$I$2/(1+EXP($I$3*(COUNT($I$9:N$9)+$I$4))),TREND($E92:$F92,$E$9:$F$9,N$9))</f>
        <v>0</v>
      </c>
      <c r="O92">
        <f>IF($G92="s-curve",$E92+($F92-$E92)*$I$2/(1+EXP($I$3*(COUNT($I$9:O$9)+$I$4))),TREND($E92:$F92,$E$9:$F$9,O$9))</f>
        <v>0</v>
      </c>
      <c r="P92">
        <f>IF($G92="s-curve",$E92+($F92-$E92)*$I$2/(1+EXP($I$3*(COUNT($I$9:P$9)+$I$4))),TREND($E92:$F92,$E$9:$F$9,P$9))</f>
        <v>0</v>
      </c>
      <c r="Q92">
        <f>IF($G92="s-curve",$E92+($F92-$E92)*$I$2/(1+EXP($I$3*(COUNT($I$9:Q$9)+$I$4))),TREND($E92:$F92,$E$9:$F$9,Q$9))</f>
        <v>0</v>
      </c>
      <c r="R92">
        <f>IF($G92="s-curve",$E92+($F92-$E92)*$I$2/(1+EXP($I$3*(COUNT($I$9:R$9)+$I$4))),TREND($E92:$F92,$E$9:$F$9,R$9))</f>
        <v>0</v>
      </c>
      <c r="S92">
        <f>IF($G92="s-curve",$E92+($F92-$E92)*$I$2/(1+EXP($I$3*(COUNT($I$9:S$9)+$I$4))),TREND($E92:$F92,$E$9:$F$9,S$9))</f>
        <v>0</v>
      </c>
      <c r="T92">
        <f>IF($G92="s-curve",$E92+($F92-$E92)*$I$2/(1+EXP($I$3*(COUNT($I$9:T$9)+$I$4))),TREND($E92:$F92,$E$9:$F$9,T$9))</f>
        <v>0</v>
      </c>
      <c r="U92">
        <f>IF($G92="s-curve",$E92+($F92-$E92)*$I$2/(1+EXP($I$3*(COUNT($I$9:U$9)+$I$4))),TREND($E92:$F92,$E$9:$F$9,U$9))</f>
        <v>0</v>
      </c>
      <c r="V92">
        <f>IF($G92="s-curve",$E92+($F92-$E92)*$I$2/(1+EXP($I$3*(COUNT($I$9:V$9)+$I$4))),TREND($E92:$F92,$E$9:$F$9,V$9))</f>
        <v>0</v>
      </c>
      <c r="W92">
        <f>IF($G92="s-curve",$E92+($F92-$E92)*$I$2/(1+EXP($I$3*(COUNT($I$9:W$9)+$I$4))),TREND($E92:$F92,$E$9:$F$9,W$9))</f>
        <v>0</v>
      </c>
      <c r="X92">
        <f>IF($G92="s-curve",$E92+($F92-$E92)*$I$2/(1+EXP($I$3*(COUNT($I$9:X$9)+$I$4))),TREND($E92:$F92,$E$9:$F$9,X$9))</f>
        <v>0</v>
      </c>
      <c r="Y92">
        <f>IF($G92="s-curve",$E92+($F92-$E92)*$I$2/(1+EXP($I$3*(COUNT($I$9:Y$9)+$I$4))),TREND($E92:$F92,$E$9:$F$9,Y$9))</f>
        <v>0</v>
      </c>
      <c r="Z92">
        <f>IF($G92="s-curve",$E92+($F92-$E92)*$I$2/(1+EXP($I$3*(COUNT($I$9:Z$9)+$I$4))),TREND($E92:$F92,$E$9:$F$9,Z$9))</f>
        <v>0</v>
      </c>
      <c r="AA92">
        <f>IF($G92="s-curve",$E92+($F92-$E92)*$I$2/(1+EXP($I$3*(COUNT($I$9:AA$9)+$I$4))),TREND($E92:$F92,$E$9:$F$9,AA$9))</f>
        <v>0</v>
      </c>
      <c r="AB92">
        <f>IF($G92="s-curve",$E92+($F92-$E92)*$I$2/(1+EXP($I$3*(COUNT($I$9:AB$9)+$I$4))),TREND($E92:$F92,$E$9:$F$9,AB$9))</f>
        <v>0</v>
      </c>
      <c r="AC92">
        <f>IF($G92="s-curve",$E92+($F92-$E92)*$I$2/(1+EXP($I$3*(COUNT($I$9:AC$9)+$I$4))),TREND($E92:$F92,$E$9:$F$9,AC$9))</f>
        <v>0</v>
      </c>
      <c r="AD92">
        <f>IF($G92="s-curve",$E92+($F92-$E92)*$I$2/(1+EXP($I$3*(COUNT($I$9:AD$9)+$I$4))),TREND($E92:$F92,$E$9:$F$9,AD$9))</f>
        <v>0</v>
      </c>
      <c r="AE92">
        <f>IF($G92="s-curve",$E92+($F92-$E92)*$I$2/(1+EXP($I$3*(COUNT($I$9:AE$9)+$I$4))),TREND($E92:$F92,$E$9:$F$9,AE$9))</f>
        <v>0</v>
      </c>
      <c r="AF92">
        <f>IF($G92="s-curve",$E92+($F92-$E92)*$I$2/(1+EXP($I$3*(COUNT($I$9:AF$9)+$I$4))),TREND($E92:$F92,$E$9:$F$9,AF$9))</f>
        <v>0</v>
      </c>
      <c r="AG92">
        <f>IF($G92="s-curve",$E92+($F92-$E92)*$I$2/(1+EXP($I$3*(COUNT($I$9:AG$9)+$I$4))),TREND($E92:$F92,$E$9:$F$9,AG$9))</f>
        <v>0</v>
      </c>
      <c r="AH92">
        <f>IF($G92="s-curve",$E92+($F92-$E92)*$I$2/(1+EXP($I$3*(COUNT($I$9:AH$9)+$I$4))),TREND($E92:$F92,$E$9:$F$9,AH$9))</f>
        <v>0</v>
      </c>
      <c r="AI92">
        <f>IF($G92="s-curve",$E92+($F92-$E92)*$I$2/(1+EXP($I$3*(COUNT($I$9:AI$9)+$I$4))),TREND($E92:$F92,$E$9:$F$9,AI$9))</f>
        <v>0</v>
      </c>
    </row>
    <row r="93" spans="1:35" x14ac:dyDescent="0.25">
      <c r="C93" t="s">
        <v>182</v>
      </c>
      <c r="E93">
        <v>0</v>
      </c>
      <c r="F93">
        <v>0</v>
      </c>
      <c r="G93" t="str">
        <f>IF(E93=F93,"n/a",IF(OR(C93="battery electric vehicle",C93="natural gas vehicle",C93="plugin hybrid vehicle",C93="hydrogen vehicle"),"s-curve","linear"))</f>
        <v>n/a</v>
      </c>
      <c r="I93">
        <f t="shared" si="11"/>
        <v>0</v>
      </c>
      <c r="J93">
        <f>IF($G93="s-curve",$E93+($F93-$E93)*$I$2/(1+EXP($I$3*(COUNT($I$9:J$9)+$I$4))),TREND($E93:$F93,$E$9:$F$9,J$9))</f>
        <v>0</v>
      </c>
      <c r="K93">
        <f>IF($G93="s-curve",$E93+($F93-$E93)*$I$2/(1+EXP($I$3*(COUNT($I$9:K$9)+$I$4))),TREND($E93:$F93,$E$9:$F$9,K$9))</f>
        <v>0</v>
      </c>
      <c r="L93">
        <f>IF($G93="s-curve",$E93+($F93-$E93)*$I$2/(1+EXP($I$3*(COUNT($I$9:L$9)+$I$4))),TREND($E93:$F93,$E$9:$F$9,L$9))</f>
        <v>0</v>
      </c>
      <c r="M93">
        <f>IF($G93="s-curve",$E93+($F93-$E93)*$I$2/(1+EXP($I$3*(COUNT($I$9:M$9)+$I$4))),TREND($E93:$F93,$E$9:$F$9,M$9))</f>
        <v>0</v>
      </c>
      <c r="N93">
        <f>IF($G93="s-curve",$E93+($F93-$E93)*$I$2/(1+EXP($I$3*(COUNT($I$9:N$9)+$I$4))),TREND($E93:$F93,$E$9:$F$9,N$9))</f>
        <v>0</v>
      </c>
      <c r="O93">
        <f>IF($G93="s-curve",$E93+($F93-$E93)*$I$2/(1+EXP($I$3*(COUNT($I$9:O$9)+$I$4))),TREND($E93:$F93,$E$9:$F$9,O$9))</f>
        <v>0</v>
      </c>
      <c r="P93">
        <f>IF($G93="s-curve",$E93+($F93-$E93)*$I$2/(1+EXP($I$3*(COUNT($I$9:P$9)+$I$4))),TREND($E93:$F93,$E$9:$F$9,P$9))</f>
        <v>0</v>
      </c>
      <c r="Q93">
        <f>IF($G93="s-curve",$E93+($F93-$E93)*$I$2/(1+EXP($I$3*(COUNT($I$9:Q$9)+$I$4))),TREND($E93:$F93,$E$9:$F$9,Q$9))</f>
        <v>0</v>
      </c>
      <c r="R93">
        <f>IF($G93="s-curve",$E93+($F93-$E93)*$I$2/(1+EXP($I$3*(COUNT($I$9:R$9)+$I$4))),TREND($E93:$F93,$E$9:$F$9,R$9))</f>
        <v>0</v>
      </c>
      <c r="S93">
        <f>IF($G93="s-curve",$E93+($F93-$E93)*$I$2/(1+EXP($I$3*(COUNT($I$9:S$9)+$I$4))),TREND($E93:$F93,$E$9:$F$9,S$9))</f>
        <v>0</v>
      </c>
      <c r="T93">
        <f>IF($G93="s-curve",$E93+($F93-$E93)*$I$2/(1+EXP($I$3*(COUNT($I$9:T$9)+$I$4))),TREND($E93:$F93,$E$9:$F$9,T$9))</f>
        <v>0</v>
      </c>
      <c r="U93">
        <f>IF($G93="s-curve",$E93+($F93-$E93)*$I$2/(1+EXP($I$3*(COUNT($I$9:U$9)+$I$4))),TREND($E93:$F93,$E$9:$F$9,U$9))</f>
        <v>0</v>
      </c>
      <c r="V93">
        <f>IF($G93="s-curve",$E93+($F93-$E93)*$I$2/(1+EXP($I$3*(COUNT($I$9:V$9)+$I$4))),TREND($E93:$F93,$E$9:$F$9,V$9))</f>
        <v>0</v>
      </c>
      <c r="W93">
        <f>IF($G93="s-curve",$E93+($F93-$E93)*$I$2/(1+EXP($I$3*(COUNT($I$9:W$9)+$I$4))),TREND($E93:$F93,$E$9:$F$9,W$9))</f>
        <v>0</v>
      </c>
      <c r="X93">
        <f>IF($G93="s-curve",$E93+($F93-$E93)*$I$2/(1+EXP($I$3*(COUNT($I$9:X$9)+$I$4))),TREND($E93:$F93,$E$9:$F$9,X$9))</f>
        <v>0</v>
      </c>
      <c r="Y93">
        <f>IF($G93="s-curve",$E93+($F93-$E93)*$I$2/(1+EXP($I$3*(COUNT($I$9:Y$9)+$I$4))),TREND($E93:$F93,$E$9:$F$9,Y$9))</f>
        <v>0</v>
      </c>
      <c r="Z93">
        <f>IF($G93="s-curve",$E93+($F93-$E93)*$I$2/(1+EXP($I$3*(COUNT($I$9:Z$9)+$I$4))),TREND($E93:$F93,$E$9:$F$9,Z$9))</f>
        <v>0</v>
      </c>
      <c r="AA93">
        <f>IF($G93="s-curve",$E93+($F93-$E93)*$I$2/(1+EXP($I$3*(COUNT($I$9:AA$9)+$I$4))),TREND($E93:$F93,$E$9:$F$9,AA$9))</f>
        <v>0</v>
      </c>
      <c r="AB93">
        <f>IF($G93="s-curve",$E93+($F93-$E93)*$I$2/(1+EXP($I$3*(COUNT($I$9:AB$9)+$I$4))),TREND($E93:$F93,$E$9:$F$9,AB$9))</f>
        <v>0</v>
      </c>
      <c r="AC93">
        <f>IF($G93="s-curve",$E93+($F93-$E93)*$I$2/(1+EXP($I$3*(COUNT($I$9:AC$9)+$I$4))),TREND($E93:$F93,$E$9:$F$9,AC$9))</f>
        <v>0</v>
      </c>
      <c r="AD93">
        <f>IF($G93="s-curve",$E93+($F93-$E93)*$I$2/(1+EXP($I$3*(COUNT($I$9:AD$9)+$I$4))),TREND($E93:$F93,$E$9:$F$9,AD$9))</f>
        <v>0</v>
      </c>
      <c r="AE93">
        <f>IF($G93="s-curve",$E93+($F93-$E93)*$I$2/(1+EXP($I$3*(COUNT($I$9:AE$9)+$I$4))),TREND($E93:$F93,$E$9:$F$9,AE$9))</f>
        <v>0</v>
      </c>
      <c r="AF93">
        <f>IF($G93="s-curve",$E93+($F93-$E93)*$I$2/(1+EXP($I$3*(COUNT($I$9:AF$9)+$I$4))),TREND($E93:$F93,$E$9:$F$9,AF$9))</f>
        <v>0</v>
      </c>
      <c r="AG93">
        <f>IF($G93="s-curve",$E93+($F93-$E93)*$I$2/(1+EXP($I$3*(COUNT($I$9:AG$9)+$I$4))),TREND($E93:$F93,$E$9:$F$9,AG$9))</f>
        <v>0</v>
      </c>
      <c r="AH93">
        <f>IF($G93="s-curve",$E93+($F93-$E93)*$I$2/(1+EXP($I$3*(COUNT($I$9:AH$9)+$I$4))),TREND($E93:$F93,$E$9:$F$9,AH$9))</f>
        <v>0</v>
      </c>
      <c r="AI93">
        <f>IF($G93="s-curve",$E93+($F93-$E93)*$I$2/(1+EXP($I$3*(COUNT($I$9:AI$9)+$I$4))),TREND($E93:$F93,$E$9:$F$9,AI$9))</f>
        <v>0</v>
      </c>
    </row>
    <row r="96" spans="1:35" x14ac:dyDescent="0.25">
      <c r="A96" s="3" t="s">
        <v>329</v>
      </c>
    </row>
    <row r="97" spans="1:35" x14ac:dyDescent="0.25">
      <c r="A97" s="1" t="s">
        <v>330</v>
      </c>
      <c r="I97" s="19">
        <f t="shared" ref="I97:AI97" si="15">($I$2/(1+EXP($I$3*((I$9-$J$9)+$I$4)))-$I$2/(1+EXP($I$3*(($J$9-$J$9)+$I$4))))/($I$2/(1+EXP($I$3*(($AI$9-$J$9)+$I$4)))-$I$2/(1+EXP($I$3*(($J$9-$J$9)+$I$4))))</f>
        <v>-2.2638077229751299E-3</v>
      </c>
      <c r="J97" s="19">
        <f t="shared" si="15"/>
        <v>0</v>
      </c>
      <c r="K97" s="19">
        <f t="shared" si="15"/>
        <v>3.0406725377484802E-3</v>
      </c>
      <c r="L97" s="19">
        <f t="shared" si="15"/>
        <v>7.1177912181010876E-3</v>
      </c>
      <c r="M97" s="19">
        <f t="shared" si="15"/>
        <v>1.2572059704972259E-2</v>
      </c>
      <c r="N97" s="19">
        <f t="shared" si="15"/>
        <v>1.9846200282392416E-2</v>
      </c>
      <c r="O97" s="19">
        <f t="shared" si="15"/>
        <v>2.9507673859270379E-2</v>
      </c>
      <c r="P97" s="19">
        <f t="shared" si="15"/>
        <v>4.2270234337387538E-2</v>
      </c>
      <c r="Q97" s="19">
        <f t="shared" si="15"/>
        <v>5.9008402315758005E-2</v>
      </c>
      <c r="R97" s="19">
        <f t="shared" si="15"/>
        <v>8.0754684714491695E-2</v>
      </c>
      <c r="S97" s="19">
        <f t="shared" si="15"/>
        <v>0.10866417703001148</v>
      </c>
      <c r="T97" s="19">
        <f t="shared" si="15"/>
        <v>0.14392686471960797</v>
      </c>
      <c r="U97" s="19">
        <f t="shared" si="15"/>
        <v>0.1876086692962487</v>
      </c>
      <c r="V97" s="19">
        <f t="shared" si="15"/>
        <v>0.24041477315093354</v>
      </c>
      <c r="W97" s="19">
        <f t="shared" si="15"/>
        <v>0.30239938700416003</v>
      </c>
      <c r="X97" s="19">
        <f t="shared" si="15"/>
        <v>0.37269298357217062</v>
      </c>
      <c r="Y97" s="19">
        <f t="shared" si="15"/>
        <v>0.44936059458251554</v>
      </c>
      <c r="Z97" s="19">
        <f t="shared" si="15"/>
        <v>0.529504201157879</v>
      </c>
      <c r="AA97" s="19">
        <f t="shared" si="15"/>
        <v>0.60964780773324245</v>
      </c>
      <c r="AB97" s="19">
        <f t="shared" si="15"/>
        <v>0.68631541874358737</v>
      </c>
      <c r="AC97" s="19">
        <f t="shared" si="15"/>
        <v>0.75660901531159797</v>
      </c>
      <c r="AD97" s="19">
        <f t="shared" si="15"/>
        <v>0.81859362916482437</v>
      </c>
      <c r="AE97" s="19">
        <f t="shared" si="15"/>
        <v>0.87139973301950924</v>
      </c>
      <c r="AF97" s="19">
        <f t="shared" si="15"/>
        <v>0.91508153759615007</v>
      </c>
      <c r="AG97" s="19">
        <f t="shared" si="15"/>
        <v>0.95034422528574647</v>
      </c>
      <c r="AH97" s="19">
        <f t="shared" si="15"/>
        <v>0.97825371760126634</v>
      </c>
      <c r="AI97" s="19">
        <f t="shared" si="15"/>
        <v>1</v>
      </c>
    </row>
    <row r="98" spans="1:35" x14ac:dyDescent="0.25">
      <c r="A98" s="1" t="s">
        <v>331</v>
      </c>
      <c r="I98" s="19">
        <f t="shared" ref="I98:AI98" si="16">($O$2/(1+EXP($O$3*((I$9-$J$9)+$O$4)))-$O$2/(1+EXP($O$3*(($J$9-$J$9)+$O$4))))/($O$2/(1+EXP($O$3*(($AI$9-$J$9)+$O$4)))-$O$2/(1+EXP($O$3*(($J$9-$J$9)+$O$4))))</f>
        <v>-9.4499558090974031E-3</v>
      </c>
      <c r="J98" s="19">
        <f t="shared" si="16"/>
        <v>0</v>
      </c>
      <c r="K98" s="19">
        <f t="shared" si="16"/>
        <v>1.2483150895094943E-2</v>
      </c>
      <c r="L98" s="19">
        <f t="shared" si="16"/>
        <v>2.885487167476956E-2</v>
      </c>
      <c r="M98" s="19">
        <f t="shared" si="16"/>
        <v>5.0125064678453429E-2</v>
      </c>
      <c r="N98" s="19">
        <f t="shared" si="16"/>
        <v>7.742353700126782E-2</v>
      </c>
      <c r="O98" s="19">
        <f t="shared" si="16"/>
        <v>0.11191422185644199</v>
      </c>
      <c r="P98" s="19">
        <f t="shared" si="16"/>
        <v>0.15463970463360177</v>
      </c>
      <c r="Q98" s="19">
        <f t="shared" si="16"/>
        <v>0.20628972922939781</v>
      </c>
      <c r="R98" s="19">
        <f t="shared" si="16"/>
        <v>0.26691731953392345</v>
      </c>
      <c r="S98" s="19">
        <f t="shared" si="16"/>
        <v>0.33567198474565357</v>
      </c>
      <c r="T98" s="19">
        <f t="shared" si="16"/>
        <v>0.41066111867763799</v>
      </c>
      <c r="U98" s="19">
        <f t="shared" si="16"/>
        <v>0.48905014851790862</v>
      </c>
      <c r="V98" s="19">
        <f t="shared" si="16"/>
        <v>0.56743917835817936</v>
      </c>
      <c r="W98" s="19">
        <f t="shared" si="16"/>
        <v>0.64242831229016373</v>
      </c>
      <c r="X98" s="19">
        <f t="shared" si="16"/>
        <v>0.71118297750189385</v>
      </c>
      <c r="Y98" s="19">
        <f t="shared" si="16"/>
        <v>0.77181056780641943</v>
      </c>
      <c r="Z98" s="19">
        <f t="shared" si="16"/>
        <v>0.82346059240221559</v>
      </c>
      <c r="AA98" s="19">
        <f t="shared" si="16"/>
        <v>0.8661860751793754</v>
      </c>
      <c r="AB98" s="19">
        <f t="shared" si="16"/>
        <v>0.90067676003454955</v>
      </c>
      <c r="AC98" s="19">
        <f t="shared" si="16"/>
        <v>0.9279752323573639</v>
      </c>
      <c r="AD98" s="19">
        <f t="shared" si="16"/>
        <v>0.94924542536104783</v>
      </c>
      <c r="AE98" s="19">
        <f t="shared" si="16"/>
        <v>0.96561714614072258</v>
      </c>
      <c r="AF98" s="19">
        <f t="shared" si="16"/>
        <v>0.97810029703581736</v>
      </c>
      <c r="AG98" s="19">
        <f t="shared" si="16"/>
        <v>0.9875502528449146</v>
      </c>
      <c r="AH98" s="19">
        <f t="shared" si="16"/>
        <v>0.99466514132013595</v>
      </c>
      <c r="AI98" s="19">
        <f t="shared" si="16"/>
        <v>1</v>
      </c>
    </row>
    <row r="99" spans="1:35" x14ac:dyDescent="0.25">
      <c r="A99" s="1" t="s">
        <v>332</v>
      </c>
      <c r="I99" s="19">
        <f t="shared" ref="I99:AI99" si="17">($U$2/(1+EXP($U$3*((I$9-$J$9)+$U$4)))-$U$2/(1+EXP($U$3*(($J$9-$J$9)+$U$4))))/($U$2/(1+EXP($U$3*(($AI$9-$J$9)+$U$4)))-$U$2/(1+EXP($U$3*(($J$9-$J$9)+$U$4))))</f>
        <v>-4.0295823060368594E-3</v>
      </c>
      <c r="J99" s="19">
        <f t="shared" si="17"/>
        <v>0</v>
      </c>
      <c r="K99" s="19">
        <f t="shared" si="17"/>
        <v>5.9518902838188621E-3</v>
      </c>
      <c r="L99" s="19">
        <f t="shared" si="17"/>
        <v>1.4701021059057065E-2</v>
      </c>
      <c r="M99" s="19">
        <f t="shared" si="17"/>
        <v>2.7471688694319891E-2</v>
      </c>
      <c r="N99" s="19">
        <f t="shared" si="17"/>
        <v>4.5921888812431345E-2</v>
      </c>
      <c r="O99" s="19">
        <f t="shared" si="17"/>
        <v>7.2185710683942861E-2</v>
      </c>
      <c r="P99" s="19">
        <f t="shared" si="17"/>
        <v>0.10879482422230094</v>
      </c>
      <c r="Q99" s="19">
        <f t="shared" si="17"/>
        <v>0.1583572312957657</v>
      </c>
      <c r="R99" s="19">
        <f t="shared" si="17"/>
        <v>0.22287096766948347</v>
      </c>
      <c r="S99" s="19">
        <f t="shared" si="17"/>
        <v>0.30268331676890303</v>
      </c>
      <c r="T99" s="19">
        <f t="shared" si="17"/>
        <v>0.3954368187552999</v>
      </c>
      <c r="U99" s="19">
        <f t="shared" si="17"/>
        <v>0.4957100671440568</v>
      </c>
      <c r="V99" s="19">
        <f t="shared" si="17"/>
        <v>0.59598331553281381</v>
      </c>
      <c r="W99" s="19">
        <f t="shared" si="17"/>
        <v>0.68873681751921079</v>
      </c>
      <c r="X99" s="19">
        <f t="shared" si="17"/>
        <v>0.76854916661863026</v>
      </c>
      <c r="Y99" s="19">
        <f t="shared" si="17"/>
        <v>0.83306290299234798</v>
      </c>
      <c r="Z99" s="19">
        <f t="shared" si="17"/>
        <v>0.88262531006581257</v>
      </c>
      <c r="AA99" s="19">
        <f t="shared" si="17"/>
        <v>0.91923442360417085</v>
      </c>
      <c r="AB99" s="19">
        <f t="shared" si="17"/>
        <v>0.9454982454756824</v>
      </c>
      <c r="AC99" s="19">
        <f t="shared" si="17"/>
        <v>0.96394844559379378</v>
      </c>
      <c r="AD99" s="19">
        <f t="shared" si="17"/>
        <v>0.97671911322905658</v>
      </c>
      <c r="AE99" s="19">
        <f t="shared" si="17"/>
        <v>0.98546824400429489</v>
      </c>
      <c r="AF99" s="19">
        <f t="shared" si="17"/>
        <v>0.9914201342881136</v>
      </c>
      <c r="AG99" s="19">
        <f t="shared" si="17"/>
        <v>0.9954497165941506</v>
      </c>
      <c r="AH99" s="19">
        <f t="shared" si="17"/>
        <v>0.99816898779934837</v>
      </c>
      <c r="AI99" s="19">
        <f t="shared" si="17"/>
        <v>1</v>
      </c>
    </row>
    <row r="100" spans="1:35" x14ac:dyDescent="0.25">
      <c r="A100" s="1" t="s">
        <v>333</v>
      </c>
      <c r="I100" s="19">
        <f t="shared" ref="I100:AI100" si="18">($R$2/(1+EXP($R$3*((I$9-$J$9)+$R$4)))-$R$2/(1+EXP($R$3*(($J$9-$J$9)+$R$4))))/($R$2/(1+EXP($R$3*(($AI$9-$J$9)+$R$4)))-$R$2/(1+EXP($R$3*(($J$9-$J$9)+$R$4))))</f>
        <v>-7.0857300080066936E-3</v>
      </c>
      <c r="J100" s="19">
        <f t="shared" si="18"/>
        <v>0</v>
      </c>
      <c r="K100" s="19">
        <f t="shared" si="18"/>
        <v>9.4112276930352328E-3</v>
      </c>
      <c r="L100" s="19">
        <f t="shared" si="18"/>
        <v>2.1843219733374324E-2</v>
      </c>
      <c r="M100" s="19">
        <f t="shared" si="18"/>
        <v>3.8147845394796404E-2</v>
      </c>
      <c r="N100" s="19">
        <f t="shared" si="18"/>
        <v>5.9330868202137302E-2</v>
      </c>
      <c r="O100" s="19">
        <f t="shared" si="18"/>
        <v>8.6517465038357333E-2</v>
      </c>
      <c r="P100" s="19">
        <f t="shared" si="18"/>
        <v>0.12086679904775835</v>
      </c>
      <c r="Q100" s="19">
        <f t="shared" si="18"/>
        <v>0.16341718286263376</v>
      </c>
      <c r="R100" s="19">
        <f t="shared" si="18"/>
        <v>0.21485553364877721</v>
      </c>
      <c r="S100" s="19">
        <f t="shared" si="18"/>
        <v>0.27523465799205227</v>
      </c>
      <c r="T100" s="19">
        <f t="shared" si="18"/>
        <v>0.3437075505999812</v>
      </c>
      <c r="U100" s="19">
        <f t="shared" si="18"/>
        <v>0.41838936162580731</v>
      </c>
      <c r="V100" s="19">
        <f t="shared" si="18"/>
        <v>0.49645713499599664</v>
      </c>
      <c r="W100" s="19">
        <f t="shared" si="18"/>
        <v>0.57452490836618608</v>
      </c>
      <c r="X100" s="19">
        <f t="shared" si="18"/>
        <v>0.64920671939201202</v>
      </c>
      <c r="Y100" s="19">
        <f t="shared" si="18"/>
        <v>0.71767961199994101</v>
      </c>
      <c r="Z100" s="19">
        <f t="shared" si="18"/>
        <v>0.77805873634321598</v>
      </c>
      <c r="AA100" s="19">
        <f t="shared" si="18"/>
        <v>0.82949708712935954</v>
      </c>
      <c r="AB100" s="19">
        <f t="shared" si="18"/>
        <v>0.87204747094423507</v>
      </c>
      <c r="AC100" s="19">
        <f t="shared" si="18"/>
        <v>0.90639680495363595</v>
      </c>
      <c r="AD100" s="19">
        <f t="shared" si="18"/>
        <v>0.93358340178985599</v>
      </c>
      <c r="AE100" s="19">
        <f t="shared" si="18"/>
        <v>0.95476642459719685</v>
      </c>
      <c r="AF100" s="19">
        <f t="shared" si="18"/>
        <v>0.97107105025861906</v>
      </c>
      <c r="AG100" s="19">
        <f t="shared" si="18"/>
        <v>0.98350304229895802</v>
      </c>
      <c r="AH100" s="19">
        <f t="shared" si="18"/>
        <v>0.99291426999199317</v>
      </c>
      <c r="AI100" s="19">
        <f t="shared" si="18"/>
        <v>1</v>
      </c>
    </row>
    <row r="101" spans="1:35" x14ac:dyDescent="0.25">
      <c r="A101" s="1" t="s">
        <v>334</v>
      </c>
      <c r="I101" s="19">
        <f t="shared" ref="I101:AI101" si="19">($X$2/(1+EXP($X$3*((I$9-$J$9)+$X$4)))-$X$2/(1+EXP($X$3*(($J$9-$J$9)+$X$4))))/($X$2/(1+EXP($X$3*(($AI$9-$J$9)+$X$4)))-$X$2/(1+EXP($X$3*(($J$9-$J$9)+$X$4))))</f>
        <v>-3.9878586895880051E-3</v>
      </c>
      <c r="J101" s="19">
        <f t="shared" si="19"/>
        <v>0</v>
      </c>
      <c r="K101" s="19">
        <f t="shared" si="19"/>
        <v>5.3348586798641117E-3</v>
      </c>
      <c r="L101" s="19">
        <f t="shared" si="19"/>
        <v>1.2449747155085277E-2</v>
      </c>
      <c r="M101" s="19">
        <f t="shared" si="19"/>
        <v>2.1899702964182678E-2</v>
      </c>
      <c r="N101" s="19">
        <f t="shared" si="19"/>
        <v>3.4382853859277619E-2</v>
      </c>
      <c r="O101" s="19">
        <f t="shared" si="19"/>
        <v>5.0754574638952235E-2</v>
      </c>
      <c r="P101" s="19">
        <f t="shared" si="19"/>
        <v>7.2024767642636101E-2</v>
      </c>
      <c r="Q101" s="19">
        <f t="shared" si="19"/>
        <v>9.9323239965450505E-2</v>
      </c>
      <c r="R101" s="19">
        <f t="shared" si="19"/>
        <v>0.13381392482062468</v>
      </c>
      <c r="S101" s="19">
        <f t="shared" si="19"/>
        <v>0.17653940759778447</v>
      </c>
      <c r="T101" s="19">
        <f t="shared" si="19"/>
        <v>0.22818943219358051</v>
      </c>
      <c r="U101" s="19">
        <f t="shared" si="19"/>
        <v>0.28881702249810609</v>
      </c>
      <c r="V101" s="19">
        <f t="shared" si="19"/>
        <v>0.35757168770983627</v>
      </c>
      <c r="W101" s="19">
        <f t="shared" si="19"/>
        <v>0.43256082164182064</v>
      </c>
      <c r="X101" s="19">
        <f t="shared" si="19"/>
        <v>0.51094985148209127</v>
      </c>
      <c r="Y101" s="19">
        <f t="shared" si="19"/>
        <v>0.58933888132236201</v>
      </c>
      <c r="Z101" s="19">
        <f t="shared" si="19"/>
        <v>0.66432801525434626</v>
      </c>
      <c r="AA101" s="19">
        <f t="shared" si="19"/>
        <v>0.7330826804660765</v>
      </c>
      <c r="AB101" s="19">
        <f t="shared" si="19"/>
        <v>0.79371027077060208</v>
      </c>
      <c r="AC101" s="19">
        <f t="shared" si="19"/>
        <v>0.84536029536639812</v>
      </c>
      <c r="AD101" s="19">
        <f t="shared" si="19"/>
        <v>0.88808577814355805</v>
      </c>
      <c r="AE101" s="19">
        <f t="shared" si="19"/>
        <v>0.92257646299873208</v>
      </c>
      <c r="AF101" s="19">
        <f t="shared" si="19"/>
        <v>0.94987493532154654</v>
      </c>
      <c r="AG101" s="19">
        <f t="shared" si="19"/>
        <v>0.97114512832523037</v>
      </c>
      <c r="AH101" s="19">
        <f t="shared" si="19"/>
        <v>0.98751684910490511</v>
      </c>
      <c r="AI101" s="19">
        <f t="shared" si="19"/>
        <v>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Data!C10</f>
        <v>battery electric vehicle</v>
      </c>
      <c r="B2">
        <f>Data!J10</f>
        <v>0.23983771978951599</v>
      </c>
      <c r="C2">
        <f>Data!K10</f>
        <v>0.24932694023814289</v>
      </c>
      <c r="D2">
        <f>Data!L10</f>
        <v>0.26177210483698971</v>
      </c>
      <c r="E2">
        <f>Data!M10</f>
        <v>0.27794090325118714</v>
      </c>
      <c r="F2">
        <f>Data!N10</f>
        <v>0.29869217221836053</v>
      </c>
      <c r="G2">
        <f>Data!O10</f>
        <v>0.32491068986389093</v>
      </c>
      <c r="H2">
        <f>Data!P10</f>
        <v>0.35738899027487048</v>
      </c>
      <c r="I2">
        <f>Data!Q10</f>
        <v>0.39665139074453837</v>
      </c>
      <c r="J2">
        <f>Data!R10</f>
        <v>0.44273819803409364</v>
      </c>
      <c r="K2">
        <f>Data!S10</f>
        <v>0.49500290111655088</v>
      </c>
      <c r="L2">
        <f>Data!T10</f>
        <v>0.55200681215729752</v>
      </c>
      <c r="M2">
        <f>Data!U10</f>
        <v>0.61159519582416533</v>
      </c>
      <c r="N2">
        <f>Data!V10</f>
        <v>0.67118357949103313</v>
      </c>
      <c r="O2">
        <f>Data!W10</f>
        <v>0.72818749053177978</v>
      </c>
      <c r="P2">
        <f>Data!X10</f>
        <v>0.78045219361423701</v>
      </c>
      <c r="Q2">
        <f>Data!Y10</f>
        <v>0.82653900090379218</v>
      </c>
      <c r="R2">
        <f>Data!Z10</f>
        <v>0.86580140137346018</v>
      </c>
      <c r="S2">
        <f>Data!AA10</f>
        <v>0.89827970178443972</v>
      </c>
      <c r="T2">
        <f>Data!AB10</f>
        <v>0.92449821942997013</v>
      </c>
      <c r="U2">
        <f>Data!AC10</f>
        <v>0.9452494883971434</v>
      </c>
      <c r="V2">
        <f>Data!AD10</f>
        <v>0.96141828681134089</v>
      </c>
      <c r="W2">
        <f>Data!AE10</f>
        <v>0.97386345141018782</v>
      </c>
      <c r="X2">
        <f>Data!AF10</f>
        <v>0.98335267185881459</v>
      </c>
      <c r="Y2">
        <f>Data!AG10</f>
        <v>0.99053617181454634</v>
      </c>
      <c r="Z2">
        <f>Data!AH10</f>
        <v>0.9959446416613138</v>
      </c>
      <c r="AA2">
        <f>Data!AI10</f>
        <v>1</v>
      </c>
    </row>
    <row r="3" spans="1:27" x14ac:dyDescent="0.25">
      <c r="A3" t="str">
        <f>Data!C11</f>
        <v>natural gas vehicle</v>
      </c>
      <c r="B3">
        <f>Data!J11</f>
        <v>1.00970167475E-4</v>
      </c>
      <c r="C3">
        <f>Data!K11</f>
        <v>1.00970167475E-4</v>
      </c>
      <c r="D3">
        <f>Data!L11</f>
        <v>1.00970167475E-4</v>
      </c>
      <c r="E3">
        <f>Data!M11</f>
        <v>1.00970167475E-4</v>
      </c>
      <c r="F3">
        <f>Data!N11</f>
        <v>1.00970167475E-4</v>
      </c>
      <c r="G3">
        <f>Data!O11</f>
        <v>1.00970167475E-4</v>
      </c>
      <c r="H3">
        <f>Data!P11</f>
        <v>1.00970167475E-4</v>
      </c>
      <c r="I3">
        <f>Data!Q11</f>
        <v>1.00970167475E-4</v>
      </c>
      <c r="J3">
        <f>Data!R11</f>
        <v>1.00970167475E-4</v>
      </c>
      <c r="K3">
        <f>Data!S11</f>
        <v>1.00970167475E-4</v>
      </c>
      <c r="L3">
        <f>Data!T11</f>
        <v>1.00970167475E-4</v>
      </c>
      <c r="M3">
        <f>Data!U11</f>
        <v>1.00970167475E-4</v>
      </c>
      <c r="N3">
        <f>Data!V11</f>
        <v>1.00970167475E-4</v>
      </c>
      <c r="O3">
        <f>Data!W11</f>
        <v>1.00970167475E-4</v>
      </c>
      <c r="P3">
        <f>Data!X11</f>
        <v>1.00970167475E-4</v>
      </c>
      <c r="Q3">
        <f>Data!Y11</f>
        <v>1.00970167475E-4</v>
      </c>
      <c r="R3">
        <f>Data!Z11</f>
        <v>1.00970167475E-4</v>
      </c>
      <c r="S3">
        <f>Data!AA11</f>
        <v>1.00970167475E-4</v>
      </c>
      <c r="T3">
        <f>Data!AB11</f>
        <v>1.00970167475E-4</v>
      </c>
      <c r="U3">
        <f>Data!AC11</f>
        <v>1.00970167475E-4</v>
      </c>
      <c r="V3">
        <f>Data!AD11</f>
        <v>1.00970167475E-4</v>
      </c>
      <c r="W3">
        <f>Data!AE11</f>
        <v>1.00970167475E-4</v>
      </c>
      <c r="X3">
        <f>Data!AF11</f>
        <v>1.00970167475E-4</v>
      </c>
      <c r="Y3">
        <f>Data!AG11</f>
        <v>1.00970167475E-4</v>
      </c>
      <c r="Z3">
        <f>Data!AH11</f>
        <v>1.00970167475E-4</v>
      </c>
      <c r="AA3">
        <f>Data!AI11</f>
        <v>1.00970167475E-4</v>
      </c>
    </row>
    <row r="4" spans="1:27" x14ac:dyDescent="0.25">
      <c r="A4" t="str">
        <f>Data!C12</f>
        <v>gasoline vehicle</v>
      </c>
      <c r="B4">
        <f>Data!J12</f>
        <v>1</v>
      </c>
      <c r="C4">
        <f>Data!K12</f>
        <v>1</v>
      </c>
      <c r="D4">
        <f>Data!L12</f>
        <v>1</v>
      </c>
      <c r="E4">
        <f>Data!M12</f>
        <v>1</v>
      </c>
      <c r="F4">
        <f>Data!N12</f>
        <v>1</v>
      </c>
      <c r="G4">
        <f>Data!O12</f>
        <v>1</v>
      </c>
      <c r="H4">
        <f>Data!P12</f>
        <v>1</v>
      </c>
      <c r="I4">
        <f>Data!Q12</f>
        <v>1</v>
      </c>
      <c r="J4">
        <f>Data!R12</f>
        <v>1</v>
      </c>
      <c r="K4">
        <f>Data!S12</f>
        <v>1</v>
      </c>
      <c r="L4">
        <f>Data!T12</f>
        <v>1</v>
      </c>
      <c r="M4">
        <f>Data!U12</f>
        <v>1</v>
      </c>
      <c r="N4">
        <f>Data!V12</f>
        <v>1</v>
      </c>
      <c r="O4">
        <f>Data!W12</f>
        <v>1</v>
      </c>
      <c r="P4">
        <f>Data!X12</f>
        <v>1</v>
      </c>
      <c r="Q4">
        <f>Data!Y12</f>
        <v>1</v>
      </c>
      <c r="R4">
        <f>Data!Z12</f>
        <v>1</v>
      </c>
      <c r="S4">
        <f>Data!AA12</f>
        <v>1</v>
      </c>
      <c r="T4">
        <f>Data!AB12</f>
        <v>1</v>
      </c>
      <c r="U4">
        <f>Data!AC12</f>
        <v>1</v>
      </c>
      <c r="V4">
        <f>Data!AD12</f>
        <v>1</v>
      </c>
      <c r="W4">
        <f>Data!AE12</f>
        <v>1</v>
      </c>
      <c r="X4">
        <f>Data!AF12</f>
        <v>1</v>
      </c>
      <c r="Y4">
        <f>Data!AG12</f>
        <v>1</v>
      </c>
      <c r="Z4">
        <f>Data!AH12</f>
        <v>1</v>
      </c>
      <c r="AA4">
        <f>Data!AI12</f>
        <v>1</v>
      </c>
    </row>
    <row r="5" spans="1:27" x14ac:dyDescent="0.25">
      <c r="A5" t="str">
        <f>Data!C13</f>
        <v>diesel vehicle</v>
      </c>
      <c r="B5">
        <f>Data!J13</f>
        <v>6.7382959534800002E-2</v>
      </c>
      <c r="C5">
        <f>Data!K13</f>
        <v>6.7382959534800002E-2</v>
      </c>
      <c r="D5">
        <f>Data!L13</f>
        <v>6.7382959534800002E-2</v>
      </c>
      <c r="E5">
        <f>Data!M13</f>
        <v>6.7382959534800002E-2</v>
      </c>
      <c r="F5">
        <f>Data!N13</f>
        <v>6.7382959534800002E-2</v>
      </c>
      <c r="G5">
        <f>Data!O13</f>
        <v>6.7382959534800002E-2</v>
      </c>
      <c r="H5">
        <f>Data!P13</f>
        <v>6.7382959534800002E-2</v>
      </c>
      <c r="I5">
        <f>Data!Q13</f>
        <v>6.7382959534800002E-2</v>
      </c>
      <c r="J5">
        <f>Data!R13</f>
        <v>6.7382959534800002E-2</v>
      </c>
      <c r="K5">
        <f>Data!S13</f>
        <v>6.7382959534800002E-2</v>
      </c>
      <c r="L5">
        <f>Data!T13</f>
        <v>6.7382959534800002E-2</v>
      </c>
      <c r="M5">
        <f>Data!U13</f>
        <v>6.7382959534800002E-2</v>
      </c>
      <c r="N5">
        <f>Data!V13</f>
        <v>6.7382959534800002E-2</v>
      </c>
      <c r="O5">
        <f>Data!W13</f>
        <v>6.7382959534800002E-2</v>
      </c>
      <c r="P5">
        <f>Data!X13</f>
        <v>6.7382959534800002E-2</v>
      </c>
      <c r="Q5">
        <f>Data!Y13</f>
        <v>6.7382959534800002E-2</v>
      </c>
      <c r="R5">
        <f>Data!Z13</f>
        <v>6.7382959534800002E-2</v>
      </c>
      <c r="S5">
        <f>Data!AA13</f>
        <v>6.7382959534800002E-2</v>
      </c>
      <c r="T5">
        <f>Data!AB13</f>
        <v>6.7382959534800002E-2</v>
      </c>
      <c r="U5">
        <f>Data!AC13</f>
        <v>6.7382959534800002E-2</v>
      </c>
      <c r="V5">
        <f>Data!AD13</f>
        <v>6.7382959534800002E-2</v>
      </c>
      <c r="W5">
        <f>Data!AE13</f>
        <v>6.7382959534800002E-2</v>
      </c>
      <c r="X5">
        <f>Data!AF13</f>
        <v>6.7382959534800002E-2</v>
      </c>
      <c r="Y5">
        <f>Data!AG13</f>
        <v>6.7382959534800002E-2</v>
      </c>
      <c r="Z5">
        <f>Data!AH13</f>
        <v>6.7382959534800002E-2</v>
      </c>
      <c r="AA5">
        <f>Data!AI13</f>
        <v>6.7382959534800002E-2</v>
      </c>
    </row>
    <row r="6" spans="1:27" x14ac:dyDescent="0.25">
      <c r="A6" t="str">
        <f>Data!C14</f>
        <v>plugin hybrid vehicle</v>
      </c>
      <c r="B6">
        <f>Data!J14</f>
        <v>2.2130378178094778E-2</v>
      </c>
      <c r="C6">
        <f>Data!K14</f>
        <v>2.254785520470709E-2</v>
      </c>
      <c r="D6">
        <f>Data!L14</f>
        <v>2.3161536056892619E-2</v>
      </c>
      <c r="E6">
        <f>Data!M14</f>
        <v>2.405729523557204E-2</v>
      </c>
      <c r="F6">
        <f>Data!N14</f>
        <v>2.5351427741114325E-2</v>
      </c>
      <c r="G6">
        <f>Data!O14</f>
        <v>2.7193622697597793E-2</v>
      </c>
      <c r="H6">
        <f>Data!P14</f>
        <v>2.9761456299715213E-2</v>
      </c>
      <c r="I6">
        <f>Data!Q14</f>
        <v>3.3237858812213007E-2</v>
      </c>
      <c r="J6">
        <f>Data!R14</f>
        <v>3.7762976304746738E-2</v>
      </c>
      <c r="K6">
        <f>Data!S14</f>
        <v>4.3361167904406202E-2</v>
      </c>
      <c r="L6">
        <f>Data!T14</f>
        <v>4.9867076846046673E-2</v>
      </c>
      <c r="M6">
        <f>Data!U14</f>
        <v>5.6900435256550946E-2</v>
      </c>
      <c r="N6">
        <f>Data!V14</f>
        <v>6.3933793667055233E-2</v>
      </c>
      <c r="O6">
        <f>Data!W14</f>
        <v>7.0439702608695698E-2</v>
      </c>
      <c r="P6">
        <f>Data!X14</f>
        <v>7.6037894208355161E-2</v>
      </c>
      <c r="Q6">
        <f>Data!Y14</f>
        <v>8.0563011700888892E-2</v>
      </c>
      <c r="R6">
        <f>Data!Z14</f>
        <v>8.4039414213386676E-2</v>
      </c>
      <c r="S6">
        <f>Data!AA14</f>
        <v>8.6607247815504107E-2</v>
      </c>
      <c r="T6">
        <f>Data!AB14</f>
        <v>8.8449442771987574E-2</v>
      </c>
      <c r="U6">
        <f>Data!AC14</f>
        <v>8.9743575277529866E-2</v>
      </c>
      <c r="V6">
        <f>Data!AD14</f>
        <v>9.0639334456209281E-2</v>
      </c>
      <c r="W6">
        <f>Data!AE14</f>
        <v>9.1253015308394816E-2</v>
      </c>
      <c r="X6">
        <f>Data!AF14</f>
        <v>9.1670492335007112E-2</v>
      </c>
      <c r="Y6">
        <f>Data!AG14</f>
        <v>9.1953134984551141E-2</v>
      </c>
      <c r="Z6">
        <f>Data!AH14</f>
        <v>9.2143869894498118E-2</v>
      </c>
      <c r="AA6">
        <f>Data!AI14</f>
        <v>9.2272300610248548E-2</v>
      </c>
    </row>
    <row r="7" spans="1:27" x14ac:dyDescent="0.25">
      <c r="A7" t="str">
        <f>Data!C15</f>
        <v>LPG vehicle</v>
      </c>
      <c r="B7">
        <f>Data!J15</f>
        <v>0</v>
      </c>
      <c r="C7">
        <f>Data!K15</f>
        <v>0</v>
      </c>
      <c r="D7">
        <f>Data!L15</f>
        <v>0</v>
      </c>
      <c r="E7">
        <f>Data!M15</f>
        <v>0</v>
      </c>
      <c r="F7">
        <f>Data!N15</f>
        <v>0</v>
      </c>
      <c r="G7">
        <f>Data!O15</f>
        <v>0</v>
      </c>
      <c r="H7">
        <f>Data!P15</f>
        <v>0</v>
      </c>
      <c r="I7">
        <f>Data!Q15</f>
        <v>0</v>
      </c>
      <c r="J7">
        <f>Data!R15</f>
        <v>0</v>
      </c>
      <c r="K7">
        <f>Data!S15</f>
        <v>0</v>
      </c>
      <c r="L7">
        <f>Data!T15</f>
        <v>0</v>
      </c>
      <c r="M7">
        <f>Data!U15</f>
        <v>0</v>
      </c>
      <c r="N7">
        <f>Data!V15</f>
        <v>0</v>
      </c>
      <c r="O7">
        <f>Data!W15</f>
        <v>0</v>
      </c>
      <c r="P7">
        <f>Data!X15</f>
        <v>0</v>
      </c>
      <c r="Q7">
        <f>Data!Y15</f>
        <v>0</v>
      </c>
      <c r="R7">
        <f>Data!Z15</f>
        <v>0</v>
      </c>
      <c r="S7">
        <f>Data!AA15</f>
        <v>0</v>
      </c>
      <c r="T7">
        <f>Data!AB15</f>
        <v>0</v>
      </c>
      <c r="U7">
        <f>Data!AC15</f>
        <v>0</v>
      </c>
      <c r="V7">
        <f>Data!AD15</f>
        <v>0</v>
      </c>
      <c r="W7">
        <f>Data!AE15</f>
        <v>0</v>
      </c>
      <c r="X7">
        <f>Data!AF15</f>
        <v>0</v>
      </c>
      <c r="Y7">
        <f>Data!AG15</f>
        <v>0</v>
      </c>
      <c r="Z7">
        <f>Data!AH15</f>
        <v>0</v>
      </c>
      <c r="AA7">
        <f>Data!AI15</f>
        <v>0</v>
      </c>
    </row>
    <row r="8" spans="1:27" x14ac:dyDescent="0.25">
      <c r="A8" t="str">
        <f>Data!C16</f>
        <v>hydrogen vehicle</v>
      </c>
      <c r="B8">
        <f>Data!J16</f>
        <v>0</v>
      </c>
      <c r="C8">
        <f>Data!K16</f>
        <v>0</v>
      </c>
      <c r="D8">
        <f>Data!L16</f>
        <v>0</v>
      </c>
      <c r="E8">
        <f>Data!M16</f>
        <v>0</v>
      </c>
      <c r="F8">
        <f>Data!N16</f>
        <v>0</v>
      </c>
      <c r="G8">
        <f>Data!O16</f>
        <v>0</v>
      </c>
      <c r="H8">
        <f>Data!P16</f>
        <v>0</v>
      </c>
      <c r="I8">
        <f>Data!Q16</f>
        <v>0</v>
      </c>
      <c r="J8">
        <f>Data!R16</f>
        <v>0</v>
      </c>
      <c r="K8">
        <f>Data!S16</f>
        <v>0</v>
      </c>
      <c r="L8">
        <f>Data!T16</f>
        <v>0</v>
      </c>
      <c r="M8">
        <f>Data!U16</f>
        <v>0</v>
      </c>
      <c r="N8">
        <f>Data!V16</f>
        <v>0</v>
      </c>
      <c r="O8">
        <f>Data!W16</f>
        <v>0</v>
      </c>
      <c r="P8">
        <f>Data!X16</f>
        <v>0</v>
      </c>
      <c r="Q8">
        <f>Data!Y16</f>
        <v>0</v>
      </c>
      <c r="R8">
        <f>Data!Z16</f>
        <v>0</v>
      </c>
      <c r="S8">
        <f>Data!AA16</f>
        <v>0</v>
      </c>
      <c r="T8">
        <f>Data!AB16</f>
        <v>0</v>
      </c>
      <c r="U8">
        <f>Data!AC16</f>
        <v>0</v>
      </c>
      <c r="V8">
        <f>Data!AD16</f>
        <v>0</v>
      </c>
      <c r="W8">
        <f>Data!AE16</f>
        <v>0</v>
      </c>
      <c r="X8">
        <f>Data!AF16</f>
        <v>0</v>
      </c>
      <c r="Y8">
        <f>Data!AG16</f>
        <v>0</v>
      </c>
      <c r="Z8">
        <f>Data!AH16</f>
        <v>0</v>
      </c>
      <c r="AA8">
        <f>Data!AI16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Data!C17</f>
        <v>battery electric vehicle</v>
      </c>
      <c r="B2">
        <f>Data!J17</f>
        <v>0.21897752724899999</v>
      </c>
      <c r="C2">
        <f>Data!K17</f>
        <v>0.21940977069101972</v>
      </c>
      <c r="D2">
        <f>Data!L17</f>
        <v>0.21998623654862973</v>
      </c>
      <c r="E2">
        <f>Data!M17</f>
        <v>0.22075189533567047</v>
      </c>
      <c r="F2">
        <f>Data!N17</f>
        <v>0.22176331108891492</v>
      </c>
      <c r="G2">
        <f>Data!O17</f>
        <v>0.22308978838967308</v>
      </c>
      <c r="H2">
        <f>Data!P17</f>
        <v>0.22481315202272259</v>
      </c>
      <c r="I2">
        <f>Data!Q17</f>
        <v>0.22702494175264173</v>
      </c>
      <c r="J2">
        <f>Data!R17</f>
        <v>0.22981946232648343</v>
      </c>
      <c r="K2">
        <f>Data!S17</f>
        <v>0.23328118659056918</v>
      </c>
      <c r="L2">
        <f>Data!T17</f>
        <v>0.23746599930097054</v>
      </c>
      <c r="M2">
        <f>Data!U17</f>
        <v>0.24237819658437776</v>
      </c>
      <c r="N2">
        <f>Data!V17</f>
        <v>0.24794886957299928</v>
      </c>
      <c r="O2">
        <f>Data!W17</f>
        <v>0.25402467463362455</v>
      </c>
      <c r="P2">
        <f>Data!X17</f>
        <v>0.26037594766783523</v>
      </c>
      <c r="Q2">
        <f>Data!Y17</f>
        <v>0.26672722070204591</v>
      </c>
      <c r="R2">
        <f>Data!Z17</f>
        <v>0.27280302576267118</v>
      </c>
      <c r="S2">
        <f>Data!AA17</f>
        <v>0.2783736987512927</v>
      </c>
      <c r="T2">
        <f>Data!AB17</f>
        <v>0.28328589603469995</v>
      </c>
      <c r="U2">
        <f>Data!AC17</f>
        <v>0.28747070874510128</v>
      </c>
      <c r="V2">
        <f>Data!AD17</f>
        <v>0.29093243300918703</v>
      </c>
      <c r="W2">
        <f>Data!AE17</f>
        <v>0.29372695358302869</v>
      </c>
      <c r="X2">
        <f>Data!AF17</f>
        <v>0.29593874331294789</v>
      </c>
      <c r="Y2">
        <f>Data!AG17</f>
        <v>0.29766210694599737</v>
      </c>
      <c r="Z2">
        <f>Data!AH17</f>
        <v>0.29898858424675556</v>
      </c>
      <c r="AA2">
        <f>Data!AI17</f>
        <v>0.3</v>
      </c>
    </row>
    <row r="3" spans="1:27" x14ac:dyDescent="0.25">
      <c r="A3" t="str">
        <f>Data!C18</f>
        <v>natural gas vehicle</v>
      </c>
      <c r="B3">
        <f>Data!J18</f>
        <v>0</v>
      </c>
      <c r="C3">
        <f>Data!K18</f>
        <v>0</v>
      </c>
      <c r="D3">
        <f>Data!L18</f>
        <v>0</v>
      </c>
      <c r="E3">
        <f>Data!M18</f>
        <v>0</v>
      </c>
      <c r="F3">
        <f>Data!N18</f>
        <v>0</v>
      </c>
      <c r="G3">
        <f>Data!O18</f>
        <v>0</v>
      </c>
      <c r="H3">
        <f>Data!P18</f>
        <v>0</v>
      </c>
      <c r="I3">
        <f>Data!Q18</f>
        <v>0</v>
      </c>
      <c r="J3">
        <f>Data!R18</f>
        <v>0</v>
      </c>
      <c r="K3">
        <f>Data!S18</f>
        <v>0</v>
      </c>
      <c r="L3">
        <f>Data!T18</f>
        <v>0</v>
      </c>
      <c r="M3">
        <f>Data!U18</f>
        <v>0</v>
      </c>
      <c r="N3">
        <f>Data!V18</f>
        <v>0</v>
      </c>
      <c r="O3">
        <f>Data!W18</f>
        <v>0</v>
      </c>
      <c r="P3">
        <f>Data!X18</f>
        <v>0</v>
      </c>
      <c r="Q3">
        <f>Data!Y18</f>
        <v>0</v>
      </c>
      <c r="R3">
        <f>Data!Z18</f>
        <v>0</v>
      </c>
      <c r="S3">
        <f>Data!AA18</f>
        <v>0</v>
      </c>
      <c r="T3">
        <f>Data!AB18</f>
        <v>0</v>
      </c>
      <c r="U3">
        <f>Data!AC18</f>
        <v>0</v>
      </c>
      <c r="V3">
        <f>Data!AD18</f>
        <v>0</v>
      </c>
      <c r="W3">
        <f>Data!AE18</f>
        <v>0</v>
      </c>
      <c r="X3">
        <f>Data!AF18</f>
        <v>0</v>
      </c>
      <c r="Y3">
        <f>Data!AG18</f>
        <v>0</v>
      </c>
      <c r="Z3">
        <f>Data!AH18</f>
        <v>0</v>
      </c>
      <c r="AA3">
        <f>Data!AI18</f>
        <v>0</v>
      </c>
    </row>
    <row r="4" spans="1:27" x14ac:dyDescent="0.25">
      <c r="A4" t="str">
        <f>Data!C19</f>
        <v>gasoline vehicle</v>
      </c>
      <c r="B4">
        <f>Data!J19</f>
        <v>0.95569574619999997</v>
      </c>
      <c r="C4">
        <f>Data!K19</f>
        <v>0.95569574619999997</v>
      </c>
      <c r="D4">
        <f>Data!L19</f>
        <v>0.95569574619999997</v>
      </c>
      <c r="E4">
        <f>Data!M19</f>
        <v>0.95569574619999997</v>
      </c>
      <c r="F4">
        <f>Data!N19</f>
        <v>0.95569574619999997</v>
      </c>
      <c r="G4">
        <f>Data!O19</f>
        <v>0.95569574619999997</v>
      </c>
      <c r="H4">
        <f>Data!P19</f>
        <v>0.95569574619999997</v>
      </c>
      <c r="I4">
        <f>Data!Q19</f>
        <v>0.95569574619999997</v>
      </c>
      <c r="J4">
        <f>Data!R19</f>
        <v>0.95569574619999997</v>
      </c>
      <c r="K4">
        <f>Data!S19</f>
        <v>0.95569574619999997</v>
      </c>
      <c r="L4">
        <f>Data!T19</f>
        <v>0.95569574619999997</v>
      </c>
      <c r="M4">
        <f>Data!U19</f>
        <v>0.95569574619999997</v>
      </c>
      <c r="N4">
        <f>Data!V19</f>
        <v>0.95569574619999997</v>
      </c>
      <c r="O4">
        <f>Data!W19</f>
        <v>0.95569574619999997</v>
      </c>
      <c r="P4">
        <f>Data!X19</f>
        <v>0.95569574619999997</v>
      </c>
      <c r="Q4">
        <f>Data!Y19</f>
        <v>0.95569574619999997</v>
      </c>
      <c r="R4">
        <f>Data!Z19</f>
        <v>0.95569574619999997</v>
      </c>
      <c r="S4">
        <f>Data!AA19</f>
        <v>0.95569574619999997</v>
      </c>
      <c r="T4">
        <f>Data!AB19</f>
        <v>0.95569574619999997</v>
      </c>
      <c r="U4">
        <f>Data!AC19</f>
        <v>0.95569574619999997</v>
      </c>
      <c r="V4">
        <f>Data!AD19</f>
        <v>0.95569574619999997</v>
      </c>
      <c r="W4">
        <f>Data!AE19</f>
        <v>0.95569574619999997</v>
      </c>
      <c r="X4">
        <f>Data!AF19</f>
        <v>0.95569574619999997</v>
      </c>
      <c r="Y4">
        <f>Data!AG19</f>
        <v>0.95569574619999997</v>
      </c>
      <c r="Z4">
        <f>Data!AH19</f>
        <v>0.95569574619999997</v>
      </c>
      <c r="AA4">
        <f>Data!AI19</f>
        <v>0.95569574619999997</v>
      </c>
    </row>
    <row r="5" spans="1:27" x14ac:dyDescent="0.25">
      <c r="A5" t="str">
        <f>Data!C20</f>
        <v>diesel vehicle</v>
      </c>
      <c r="B5">
        <f>Data!J20</f>
        <v>1</v>
      </c>
      <c r="C5">
        <f>Data!K20</f>
        <v>1</v>
      </c>
      <c r="D5">
        <f>Data!L20</f>
        <v>1</v>
      </c>
      <c r="E5">
        <f>Data!M20</f>
        <v>1</v>
      </c>
      <c r="F5">
        <f>Data!N20</f>
        <v>1</v>
      </c>
      <c r="G5">
        <f>Data!O20</f>
        <v>1</v>
      </c>
      <c r="H5">
        <f>Data!P20</f>
        <v>1</v>
      </c>
      <c r="I5">
        <f>Data!Q20</f>
        <v>1</v>
      </c>
      <c r="J5">
        <f>Data!R20</f>
        <v>1</v>
      </c>
      <c r="K5">
        <f>Data!S20</f>
        <v>1</v>
      </c>
      <c r="L5">
        <f>Data!T20</f>
        <v>1</v>
      </c>
      <c r="M5">
        <f>Data!U20</f>
        <v>1</v>
      </c>
      <c r="N5">
        <f>Data!V20</f>
        <v>1</v>
      </c>
      <c r="O5">
        <f>Data!W20</f>
        <v>1</v>
      </c>
      <c r="P5">
        <f>Data!X20</f>
        <v>1</v>
      </c>
      <c r="Q5">
        <f>Data!Y20</f>
        <v>1</v>
      </c>
      <c r="R5">
        <f>Data!Z20</f>
        <v>1</v>
      </c>
      <c r="S5">
        <f>Data!AA20</f>
        <v>1</v>
      </c>
      <c r="T5">
        <f>Data!AB20</f>
        <v>1</v>
      </c>
      <c r="U5">
        <f>Data!AC20</f>
        <v>1</v>
      </c>
      <c r="V5">
        <f>Data!AD20</f>
        <v>1</v>
      </c>
      <c r="W5">
        <f>Data!AE20</f>
        <v>1</v>
      </c>
      <c r="X5">
        <f>Data!AF20</f>
        <v>1</v>
      </c>
      <c r="Y5">
        <f>Data!AG20</f>
        <v>1</v>
      </c>
      <c r="Z5">
        <f>Data!AH20</f>
        <v>1</v>
      </c>
      <c r="AA5">
        <f>Data!AI20</f>
        <v>1</v>
      </c>
    </row>
    <row r="6" spans="1:27" x14ac:dyDescent="0.25">
      <c r="A6" t="str">
        <f>Data!C21</f>
        <v>plugin hybrid vehicle</v>
      </c>
      <c r="B6">
        <f>Data!J21</f>
        <v>9.0197447039299999E-4</v>
      </c>
      <c r="C6">
        <f>Data!K21</f>
        <v>9.0375489304455941E-4</v>
      </c>
      <c r="D6">
        <f>Data!L21</f>
        <v>9.0612937180112232E-4</v>
      </c>
      <c r="E6">
        <f>Data!M21</f>
        <v>9.0928314144871514E-4</v>
      </c>
      <c r="F6">
        <f>Data!N21</f>
        <v>9.1344919081387424E-4</v>
      </c>
      <c r="G6">
        <f>Data!O21</f>
        <v>9.1891298737725041E-4</v>
      </c>
      <c r="H6">
        <f>Data!P21</f>
        <v>9.2601156968267031E-4</v>
      </c>
      <c r="I6">
        <f>Data!Q21</f>
        <v>9.3512199254353317E-4</v>
      </c>
      <c r="J6">
        <f>Data!R21</f>
        <v>9.466326998122614E-4</v>
      </c>
      <c r="K6">
        <f>Data!S21</f>
        <v>9.6089163747116945E-4</v>
      </c>
      <c r="L6">
        <f>Data!T21</f>
        <v>9.7812899637086189E-4</v>
      </c>
      <c r="M6">
        <f>Data!U21</f>
        <v>9.9836247237558898E-4</v>
      </c>
      <c r="N6">
        <f>Data!V21</f>
        <v>1.0213082279595903E-3</v>
      </c>
      <c r="O6">
        <f>Data!W21</f>
        <v>1.0463346364710767E-3</v>
      </c>
      <c r="P6">
        <f>Data!X21</f>
        <v>1.0724957051584556E-3</v>
      </c>
      <c r="Q6">
        <f>Data!Y21</f>
        <v>1.0986567738458346E-3</v>
      </c>
      <c r="R6">
        <f>Data!Z21</f>
        <v>1.123683182357321E-3</v>
      </c>
      <c r="S6">
        <f>Data!AA21</f>
        <v>1.1466289379413221E-3</v>
      </c>
      <c r="T6">
        <f>Data!AB21</f>
        <v>1.1668624139460494E-3</v>
      </c>
      <c r="U6">
        <f>Data!AC21</f>
        <v>1.1840997728457417E-3</v>
      </c>
      <c r="V6">
        <f>Data!AD21</f>
        <v>1.19835871050465E-3</v>
      </c>
      <c r="W6">
        <f>Data!AE21</f>
        <v>1.2098694177733781E-3</v>
      </c>
      <c r="X6">
        <f>Data!AF21</f>
        <v>1.2189798406342408E-3</v>
      </c>
      <c r="Y6">
        <f>Data!AG21</f>
        <v>1.2260784229396607E-3</v>
      </c>
      <c r="Z6">
        <f>Data!AH21</f>
        <v>1.231542219503037E-3</v>
      </c>
      <c r="AA6">
        <f>Data!AI21</f>
        <v>1.235708268868196E-3</v>
      </c>
    </row>
    <row r="7" spans="1:27" x14ac:dyDescent="0.25">
      <c r="A7" t="str">
        <f>Data!C22</f>
        <v>LPG vehicle</v>
      </c>
      <c r="B7">
        <f>Data!J22</f>
        <v>0</v>
      </c>
      <c r="C7">
        <f>Data!K22</f>
        <v>0</v>
      </c>
      <c r="D7">
        <f>Data!L22</f>
        <v>0</v>
      </c>
      <c r="E7">
        <f>Data!M22</f>
        <v>0</v>
      </c>
      <c r="F7">
        <f>Data!N22</f>
        <v>0</v>
      </c>
      <c r="G7">
        <f>Data!O22</f>
        <v>0</v>
      </c>
      <c r="H7">
        <f>Data!P22</f>
        <v>0</v>
      </c>
      <c r="I7">
        <f>Data!Q22</f>
        <v>0</v>
      </c>
      <c r="J7">
        <f>Data!R22</f>
        <v>0</v>
      </c>
      <c r="K7">
        <f>Data!S22</f>
        <v>0</v>
      </c>
      <c r="L7">
        <f>Data!T22</f>
        <v>0</v>
      </c>
      <c r="M7">
        <f>Data!U22</f>
        <v>0</v>
      </c>
      <c r="N7">
        <f>Data!V22</f>
        <v>0</v>
      </c>
      <c r="O7">
        <f>Data!W22</f>
        <v>0</v>
      </c>
      <c r="P7">
        <f>Data!X22</f>
        <v>0</v>
      </c>
      <c r="Q7">
        <f>Data!Y22</f>
        <v>0</v>
      </c>
      <c r="R7">
        <f>Data!Z22</f>
        <v>0</v>
      </c>
      <c r="S7">
        <f>Data!AA22</f>
        <v>0</v>
      </c>
      <c r="T7">
        <f>Data!AB22</f>
        <v>0</v>
      </c>
      <c r="U7">
        <f>Data!AC22</f>
        <v>0</v>
      </c>
      <c r="V7">
        <f>Data!AD22</f>
        <v>0</v>
      </c>
      <c r="W7">
        <f>Data!AE22</f>
        <v>0</v>
      </c>
      <c r="X7">
        <f>Data!AF22</f>
        <v>0</v>
      </c>
      <c r="Y7">
        <f>Data!AG22</f>
        <v>0</v>
      </c>
      <c r="Z7">
        <f>Data!AH22</f>
        <v>0</v>
      </c>
      <c r="AA7">
        <f>Data!AI22</f>
        <v>0</v>
      </c>
    </row>
    <row r="8" spans="1:27" x14ac:dyDescent="0.25">
      <c r="A8" t="str">
        <f>Data!C23</f>
        <v>hydrogen vehicle</v>
      </c>
      <c r="B8">
        <f>Data!J23</f>
        <v>0.87530894177700003</v>
      </c>
      <c r="C8">
        <f>Data!K23</f>
        <v>0.87530894177700003</v>
      </c>
      <c r="D8">
        <f>Data!L23</f>
        <v>0.87530894177700003</v>
      </c>
      <c r="E8">
        <f>Data!M23</f>
        <v>0.87530894177700003</v>
      </c>
      <c r="F8">
        <f>Data!N23</f>
        <v>0.87530894177700003</v>
      </c>
      <c r="G8">
        <f>Data!O23</f>
        <v>0.87530894177700003</v>
      </c>
      <c r="H8">
        <f>Data!P23</f>
        <v>0.87530894177700003</v>
      </c>
      <c r="I8">
        <f>Data!Q23</f>
        <v>0.87530894177700003</v>
      </c>
      <c r="J8">
        <f>Data!R23</f>
        <v>0.87530894177700003</v>
      </c>
      <c r="K8">
        <f>Data!S23</f>
        <v>0.87530894177700003</v>
      </c>
      <c r="L8">
        <f>Data!T23</f>
        <v>0.87530894177700003</v>
      </c>
      <c r="M8">
        <f>Data!U23</f>
        <v>0.87530894177700003</v>
      </c>
      <c r="N8">
        <f>Data!V23</f>
        <v>0.87530894177700003</v>
      </c>
      <c r="O8">
        <f>Data!W23</f>
        <v>0.87530894177700003</v>
      </c>
      <c r="P8">
        <f>Data!X23</f>
        <v>0.87530894177700003</v>
      </c>
      <c r="Q8">
        <f>Data!Y23</f>
        <v>0.87530894177700003</v>
      </c>
      <c r="R8">
        <f>Data!Z23</f>
        <v>0.87530894177700003</v>
      </c>
      <c r="S8">
        <f>Data!AA23</f>
        <v>0.87530894177700003</v>
      </c>
      <c r="T8">
        <f>Data!AB23</f>
        <v>0.87530894177700003</v>
      </c>
      <c r="U8">
        <f>Data!AC23</f>
        <v>0.87530894177700003</v>
      </c>
      <c r="V8">
        <f>Data!AD23</f>
        <v>0.87530894177700003</v>
      </c>
      <c r="W8">
        <f>Data!AE23</f>
        <v>0.87530894177700003</v>
      </c>
      <c r="X8">
        <f>Data!AF23</f>
        <v>0.87530894177700003</v>
      </c>
      <c r="Y8">
        <f>Data!AG23</f>
        <v>0.87530894177700003</v>
      </c>
      <c r="Z8">
        <f>Data!AH23</f>
        <v>0.87530894177700003</v>
      </c>
      <c r="AA8">
        <f>Data!AI23</f>
        <v>0.87530894177700003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Data!C24</f>
        <v>battery electric vehicle</v>
      </c>
      <c r="B2">
        <f>Data!J24</f>
        <v>3.0635270769200001E-2</v>
      </c>
      <c r="C2">
        <f>Data!K24</f>
        <v>3.4472979938925029E-2</v>
      </c>
      <c r="D2">
        <f>Data!L24</f>
        <v>3.9591179760409843E-2</v>
      </c>
      <c r="E2">
        <f>Data!M24</f>
        <v>4.6389144662264223E-2</v>
      </c>
      <c r="F2">
        <f>Data!N24</f>
        <v>5.5369083125861411E-2</v>
      </c>
      <c r="G2">
        <f>Data!O24</f>
        <v>6.71463216115743E-2</v>
      </c>
      <c r="H2">
        <f>Data!P24</f>
        <v>8.2447348242356194E-2</v>
      </c>
      <c r="I2">
        <f>Data!Q24</f>
        <v>0.10208490639327207</v>
      </c>
      <c r="J2">
        <f>Data!R24</f>
        <v>0.1268962885650993</v>
      </c>
      <c r="K2">
        <f>Data!S24</f>
        <v>0.15763149391434605</v>
      </c>
      <c r="L2">
        <f>Data!T24</f>
        <v>0.19478669987246502</v>
      </c>
      <c r="M2">
        <f>Data!U24</f>
        <v>0.23840004995579595</v>
      </c>
      <c r="N2">
        <f>Data!V24</f>
        <v>0.2878597310791865</v>
      </c>
      <c r="O2">
        <f>Data!W24</f>
        <v>0.34180426910542061</v>
      </c>
      <c r="P2">
        <f>Data!X24</f>
        <v>0.39819457233113209</v>
      </c>
      <c r="Q2">
        <f>Data!Y24</f>
        <v>0.45458487555684346</v>
      </c>
      <c r="R2">
        <f>Data!Z24</f>
        <v>0.50852941358307757</v>
      </c>
      <c r="S2">
        <f>Data!AA24</f>
        <v>0.55798909470646818</v>
      </c>
      <c r="T2">
        <f>Data!AB24</f>
        <v>0.60160244478979907</v>
      </c>
      <c r="U2">
        <f>Data!AC24</f>
        <v>0.63875765074791813</v>
      </c>
      <c r="V2">
        <f>Data!AD24</f>
        <v>0.66949285609716491</v>
      </c>
      <c r="W2">
        <f>Data!AE24</f>
        <v>0.69430423826899212</v>
      </c>
      <c r="X2">
        <f>Data!AF24</f>
        <v>0.71394179641990796</v>
      </c>
      <c r="Y2">
        <f>Data!AG24</f>
        <v>0.72924282305068988</v>
      </c>
      <c r="Z2">
        <f>Data!AH24</f>
        <v>0.74102006153640287</v>
      </c>
      <c r="AA2">
        <f>Data!AI24</f>
        <v>0.75</v>
      </c>
    </row>
    <row r="3" spans="1:27" x14ac:dyDescent="0.25">
      <c r="A3" t="str">
        <f>Data!C25</f>
        <v>natural gas vehicle</v>
      </c>
      <c r="B3">
        <f>Data!J25</f>
        <v>0</v>
      </c>
      <c r="C3">
        <f>Data!K25</f>
        <v>0</v>
      </c>
      <c r="D3">
        <f>Data!L25</f>
        <v>0</v>
      </c>
      <c r="E3">
        <f>Data!M25</f>
        <v>0</v>
      </c>
      <c r="F3">
        <f>Data!N25</f>
        <v>0</v>
      </c>
      <c r="G3">
        <f>Data!O25</f>
        <v>0</v>
      </c>
      <c r="H3">
        <f>Data!P25</f>
        <v>0</v>
      </c>
      <c r="I3">
        <f>Data!Q25</f>
        <v>0</v>
      </c>
      <c r="J3">
        <f>Data!R25</f>
        <v>0</v>
      </c>
      <c r="K3">
        <f>Data!S25</f>
        <v>0</v>
      </c>
      <c r="L3">
        <f>Data!T25</f>
        <v>0</v>
      </c>
      <c r="M3">
        <f>Data!U25</f>
        <v>0</v>
      </c>
      <c r="N3">
        <f>Data!V25</f>
        <v>0</v>
      </c>
      <c r="O3">
        <f>Data!W25</f>
        <v>0</v>
      </c>
      <c r="P3">
        <f>Data!X25</f>
        <v>0</v>
      </c>
      <c r="Q3">
        <f>Data!Y25</f>
        <v>0</v>
      </c>
      <c r="R3">
        <f>Data!Z25</f>
        <v>0</v>
      </c>
      <c r="S3">
        <f>Data!AA25</f>
        <v>0</v>
      </c>
      <c r="T3">
        <f>Data!AB25</f>
        <v>0</v>
      </c>
      <c r="U3">
        <f>Data!AC25</f>
        <v>0</v>
      </c>
      <c r="V3">
        <f>Data!AD25</f>
        <v>0</v>
      </c>
      <c r="W3">
        <f>Data!AE25</f>
        <v>0</v>
      </c>
      <c r="X3">
        <f>Data!AF25</f>
        <v>0</v>
      </c>
      <c r="Y3">
        <f>Data!AG25</f>
        <v>0</v>
      </c>
      <c r="Z3">
        <f>Data!AH25</f>
        <v>0</v>
      </c>
      <c r="AA3">
        <f>Data!AI25</f>
        <v>0</v>
      </c>
    </row>
    <row r="4" spans="1:27" x14ac:dyDescent="0.25">
      <c r="A4" t="str">
        <f>Data!C26</f>
        <v>gasoline vehicle</v>
      </c>
      <c r="B4">
        <f>Data!J26</f>
        <v>0</v>
      </c>
      <c r="C4">
        <f>Data!K26</f>
        <v>0</v>
      </c>
      <c r="D4">
        <f>Data!L26</f>
        <v>0</v>
      </c>
      <c r="E4">
        <f>Data!M26</f>
        <v>0</v>
      </c>
      <c r="F4">
        <f>Data!N26</f>
        <v>0</v>
      </c>
      <c r="G4">
        <f>Data!O26</f>
        <v>0</v>
      </c>
      <c r="H4">
        <f>Data!P26</f>
        <v>0</v>
      </c>
      <c r="I4">
        <f>Data!Q26</f>
        <v>0</v>
      </c>
      <c r="J4">
        <f>Data!R26</f>
        <v>0</v>
      </c>
      <c r="K4">
        <f>Data!S26</f>
        <v>0</v>
      </c>
      <c r="L4">
        <f>Data!T26</f>
        <v>0</v>
      </c>
      <c r="M4">
        <f>Data!U26</f>
        <v>0</v>
      </c>
      <c r="N4">
        <f>Data!V26</f>
        <v>0</v>
      </c>
      <c r="O4">
        <f>Data!W26</f>
        <v>0</v>
      </c>
      <c r="P4">
        <f>Data!X26</f>
        <v>0</v>
      </c>
      <c r="Q4">
        <f>Data!Y26</f>
        <v>0</v>
      </c>
      <c r="R4">
        <f>Data!Z26</f>
        <v>0</v>
      </c>
      <c r="S4">
        <f>Data!AA26</f>
        <v>0</v>
      </c>
      <c r="T4">
        <f>Data!AB26</f>
        <v>0</v>
      </c>
      <c r="U4">
        <f>Data!AC26</f>
        <v>0</v>
      </c>
      <c r="V4">
        <f>Data!AD26</f>
        <v>0</v>
      </c>
      <c r="W4">
        <f>Data!AE26</f>
        <v>0</v>
      </c>
      <c r="X4">
        <f>Data!AF26</f>
        <v>0</v>
      </c>
      <c r="Y4">
        <f>Data!AG26</f>
        <v>0</v>
      </c>
      <c r="Z4">
        <f>Data!AH26</f>
        <v>0</v>
      </c>
      <c r="AA4">
        <f>Data!AI26</f>
        <v>0</v>
      </c>
    </row>
    <row r="5" spans="1:27" x14ac:dyDescent="0.25">
      <c r="A5" t="str">
        <f>Data!C27</f>
        <v>diesel vehicle</v>
      </c>
      <c r="B5">
        <f>Data!J27</f>
        <v>1</v>
      </c>
      <c r="C5">
        <f>Data!K27</f>
        <v>1</v>
      </c>
      <c r="D5">
        <f>Data!L27</f>
        <v>1</v>
      </c>
      <c r="E5">
        <f>Data!M27</f>
        <v>1</v>
      </c>
      <c r="F5">
        <f>Data!N27</f>
        <v>1</v>
      </c>
      <c r="G5">
        <f>Data!O27</f>
        <v>1</v>
      </c>
      <c r="H5">
        <f>Data!P27</f>
        <v>1</v>
      </c>
      <c r="I5">
        <f>Data!Q27</f>
        <v>1</v>
      </c>
      <c r="J5">
        <f>Data!R27</f>
        <v>1</v>
      </c>
      <c r="K5">
        <f>Data!S27</f>
        <v>1</v>
      </c>
      <c r="L5">
        <f>Data!T27</f>
        <v>1</v>
      </c>
      <c r="M5">
        <f>Data!U27</f>
        <v>1</v>
      </c>
      <c r="N5">
        <f>Data!V27</f>
        <v>1</v>
      </c>
      <c r="O5">
        <f>Data!W27</f>
        <v>1</v>
      </c>
      <c r="P5">
        <f>Data!X27</f>
        <v>1</v>
      </c>
      <c r="Q5">
        <f>Data!Y27</f>
        <v>1</v>
      </c>
      <c r="R5">
        <f>Data!Z27</f>
        <v>1</v>
      </c>
      <c r="S5">
        <f>Data!AA27</f>
        <v>1</v>
      </c>
      <c r="T5">
        <f>Data!AB27</f>
        <v>1</v>
      </c>
      <c r="U5">
        <f>Data!AC27</f>
        <v>1</v>
      </c>
      <c r="V5">
        <f>Data!AD27</f>
        <v>1</v>
      </c>
      <c r="W5">
        <f>Data!AE27</f>
        <v>1</v>
      </c>
      <c r="X5">
        <f>Data!AF27</f>
        <v>1</v>
      </c>
      <c r="Y5">
        <f>Data!AG27</f>
        <v>1</v>
      </c>
      <c r="Z5">
        <f>Data!AH27</f>
        <v>1</v>
      </c>
      <c r="AA5">
        <f>Data!AI27</f>
        <v>1</v>
      </c>
    </row>
    <row r="6" spans="1:27" x14ac:dyDescent="0.25">
      <c r="A6" t="str">
        <f>Data!C28</f>
        <v>plugin hybrid vehicle</v>
      </c>
      <c r="B6">
        <f>Data!J28</f>
        <v>0</v>
      </c>
      <c r="C6">
        <f>Data!K28</f>
        <v>0</v>
      </c>
      <c r="D6">
        <f>Data!L28</f>
        <v>0</v>
      </c>
      <c r="E6">
        <f>Data!M28</f>
        <v>0</v>
      </c>
      <c r="F6">
        <f>Data!N28</f>
        <v>0</v>
      </c>
      <c r="G6">
        <f>Data!O28</f>
        <v>0</v>
      </c>
      <c r="H6">
        <f>Data!P28</f>
        <v>0</v>
      </c>
      <c r="I6">
        <f>Data!Q28</f>
        <v>0</v>
      </c>
      <c r="J6">
        <f>Data!R28</f>
        <v>0</v>
      </c>
      <c r="K6">
        <f>Data!S28</f>
        <v>0</v>
      </c>
      <c r="L6">
        <f>Data!T28</f>
        <v>0</v>
      </c>
      <c r="M6">
        <f>Data!U28</f>
        <v>0</v>
      </c>
      <c r="N6">
        <f>Data!V28</f>
        <v>0</v>
      </c>
      <c r="O6">
        <f>Data!W28</f>
        <v>0</v>
      </c>
      <c r="P6">
        <f>Data!X28</f>
        <v>0</v>
      </c>
      <c r="Q6">
        <f>Data!Y28</f>
        <v>0</v>
      </c>
      <c r="R6">
        <f>Data!Z28</f>
        <v>0</v>
      </c>
      <c r="S6">
        <f>Data!AA28</f>
        <v>0</v>
      </c>
      <c r="T6">
        <f>Data!AB28</f>
        <v>0</v>
      </c>
      <c r="U6">
        <f>Data!AC28</f>
        <v>0</v>
      </c>
      <c r="V6">
        <f>Data!AD28</f>
        <v>0</v>
      </c>
      <c r="W6">
        <f>Data!AE28</f>
        <v>0</v>
      </c>
      <c r="X6">
        <f>Data!AF28</f>
        <v>0</v>
      </c>
      <c r="Y6">
        <f>Data!AG28</f>
        <v>0</v>
      </c>
      <c r="Z6">
        <f>Data!AH28</f>
        <v>0</v>
      </c>
      <c r="AA6">
        <f>Data!AI28</f>
        <v>0</v>
      </c>
    </row>
    <row r="7" spans="1:27" x14ac:dyDescent="0.25">
      <c r="A7" t="str">
        <f>Data!C29</f>
        <v>LPG vehicle</v>
      </c>
      <c r="B7">
        <f>Data!J29</f>
        <v>0</v>
      </c>
      <c r="C7">
        <f>Data!K29</f>
        <v>0</v>
      </c>
      <c r="D7">
        <f>Data!L29</f>
        <v>0</v>
      </c>
      <c r="E7">
        <f>Data!M29</f>
        <v>0</v>
      </c>
      <c r="F7">
        <f>Data!N29</f>
        <v>0</v>
      </c>
      <c r="G7">
        <f>Data!O29</f>
        <v>0</v>
      </c>
      <c r="H7">
        <f>Data!P29</f>
        <v>0</v>
      </c>
      <c r="I7">
        <f>Data!Q29</f>
        <v>0</v>
      </c>
      <c r="J7">
        <f>Data!R29</f>
        <v>0</v>
      </c>
      <c r="K7">
        <f>Data!S29</f>
        <v>0</v>
      </c>
      <c r="L7">
        <f>Data!T29</f>
        <v>0</v>
      </c>
      <c r="M7">
        <f>Data!U29</f>
        <v>0</v>
      </c>
      <c r="N7">
        <f>Data!V29</f>
        <v>0</v>
      </c>
      <c r="O7">
        <f>Data!W29</f>
        <v>0</v>
      </c>
      <c r="P7">
        <f>Data!X29</f>
        <v>0</v>
      </c>
      <c r="Q7">
        <f>Data!Y29</f>
        <v>0</v>
      </c>
      <c r="R7">
        <f>Data!Z29</f>
        <v>0</v>
      </c>
      <c r="S7">
        <f>Data!AA29</f>
        <v>0</v>
      </c>
      <c r="T7">
        <f>Data!AB29</f>
        <v>0</v>
      </c>
      <c r="U7">
        <f>Data!AC29</f>
        <v>0</v>
      </c>
      <c r="V7">
        <f>Data!AD29</f>
        <v>0</v>
      </c>
      <c r="W7">
        <f>Data!AE29</f>
        <v>0</v>
      </c>
      <c r="X7">
        <f>Data!AF29</f>
        <v>0</v>
      </c>
      <c r="Y7">
        <f>Data!AG29</f>
        <v>0</v>
      </c>
      <c r="Z7">
        <f>Data!AH29</f>
        <v>0</v>
      </c>
      <c r="AA7">
        <f>Data!AI29</f>
        <v>0</v>
      </c>
    </row>
    <row r="8" spans="1:27" x14ac:dyDescent="0.25">
      <c r="A8" t="str">
        <f>Data!C30</f>
        <v>hydrogen vehicle</v>
      </c>
      <c r="B8">
        <f>Data!J30</f>
        <v>0</v>
      </c>
      <c r="C8">
        <f>Data!K30</f>
        <v>0</v>
      </c>
      <c r="D8">
        <f>Data!L30</f>
        <v>0</v>
      </c>
      <c r="E8">
        <f>Data!M30</f>
        <v>0</v>
      </c>
      <c r="F8">
        <f>Data!N30</f>
        <v>0</v>
      </c>
      <c r="G8">
        <f>Data!O30</f>
        <v>0</v>
      </c>
      <c r="H8">
        <f>Data!P30</f>
        <v>0</v>
      </c>
      <c r="I8">
        <f>Data!Q30</f>
        <v>0</v>
      </c>
      <c r="J8">
        <f>Data!R30</f>
        <v>0</v>
      </c>
      <c r="K8">
        <f>Data!S30</f>
        <v>0</v>
      </c>
      <c r="L8">
        <f>Data!T30</f>
        <v>0</v>
      </c>
      <c r="M8">
        <f>Data!U30</f>
        <v>0</v>
      </c>
      <c r="N8">
        <f>Data!V30</f>
        <v>0</v>
      </c>
      <c r="O8">
        <f>Data!W30</f>
        <v>0</v>
      </c>
      <c r="P8">
        <f>Data!X30</f>
        <v>0</v>
      </c>
      <c r="Q8">
        <f>Data!Y30</f>
        <v>0</v>
      </c>
      <c r="R8">
        <f>Data!Z30</f>
        <v>0</v>
      </c>
      <c r="S8">
        <f>Data!AA30</f>
        <v>0</v>
      </c>
      <c r="T8">
        <f>Data!AB30</f>
        <v>0</v>
      </c>
      <c r="U8">
        <f>Data!AC30</f>
        <v>0</v>
      </c>
      <c r="V8">
        <f>Data!AD30</f>
        <v>0</v>
      </c>
      <c r="W8">
        <f>Data!AE30</f>
        <v>0</v>
      </c>
      <c r="X8">
        <f>Data!AF30</f>
        <v>0</v>
      </c>
      <c r="Y8">
        <f>Data!AG30</f>
        <v>0</v>
      </c>
      <c r="Z8">
        <f>Data!AH30</f>
        <v>0</v>
      </c>
      <c r="AA8">
        <f>Data!AI30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Data!C31</f>
        <v>battery electric vehicle</v>
      </c>
      <c r="B2">
        <f>Data!J31</f>
        <v>6.1405058414400002E-3</v>
      </c>
      <c r="C2">
        <f>Data!K31</f>
        <v>8.4355230660746044E-3</v>
      </c>
      <c r="D2">
        <f>Data!L31</f>
        <v>1.1467182356414939E-2</v>
      </c>
      <c r="E2">
        <f>Data!M31</f>
        <v>1.5443220122654004E-2</v>
      </c>
      <c r="F2">
        <f>Data!N31</f>
        <v>2.0608901349201396E-2</v>
      </c>
      <c r="G2">
        <f>Data!O31</f>
        <v>2.7238611101574717E-2</v>
      </c>
      <c r="H2">
        <f>Data!P31</f>
        <v>3.5615022317790672E-2</v>
      </c>
      <c r="I2">
        <f>Data!Q31</f>
        <v>4.5991337391138767E-2</v>
      </c>
      <c r="J2">
        <f>Data!R31</f>
        <v>5.8535067594198277E-2</v>
      </c>
      <c r="K2">
        <f>Data!S31</f>
        <v>7.3259090314286138E-2</v>
      </c>
      <c r="L2">
        <f>Data!T31</f>
        <v>8.9956855269229086E-2</v>
      </c>
      <c r="M2">
        <f>Data!U31</f>
        <v>0.10816872392883221</v>
      </c>
      <c r="N2">
        <f>Data!V31</f>
        <v>0.12720629165297168</v>
      </c>
      <c r="O2">
        <f>Data!W31</f>
        <v>0.14624385937711118</v>
      </c>
      <c r="P2">
        <f>Data!X31</f>
        <v>0.16445572803671427</v>
      </c>
      <c r="Q2">
        <f>Data!Y31</f>
        <v>0.18115349299165723</v>
      </c>
      <c r="R2">
        <f>Data!Z31</f>
        <v>0.19587751571174505</v>
      </c>
      <c r="S2">
        <f>Data!AA31</f>
        <v>0.2084212459148046</v>
      </c>
      <c r="T2">
        <f>Data!AB31</f>
        <v>0.2187975609881527</v>
      </c>
      <c r="U2">
        <f>Data!AC31</f>
        <v>0.22717397220436863</v>
      </c>
      <c r="V2">
        <f>Data!AD31</f>
        <v>0.23380368195674195</v>
      </c>
      <c r="W2">
        <f>Data!AE31</f>
        <v>0.23896936318328935</v>
      </c>
      <c r="X2">
        <f>Data!AF31</f>
        <v>0.24294540094952843</v>
      </c>
      <c r="Y2">
        <f>Data!AG31</f>
        <v>0.24597706023986873</v>
      </c>
      <c r="Z2">
        <f>Data!AH31</f>
        <v>0.24827207746450333</v>
      </c>
      <c r="AA2">
        <f>Data!AI31</f>
        <v>0.25</v>
      </c>
    </row>
    <row r="3" spans="1:27" x14ac:dyDescent="0.25">
      <c r="A3" t="str">
        <f>Data!C32</f>
        <v>natural gas vehicle</v>
      </c>
      <c r="B3">
        <f>Data!J32</f>
        <v>0</v>
      </c>
      <c r="C3">
        <f>Data!K32</f>
        <v>0</v>
      </c>
      <c r="D3">
        <f>Data!L32</f>
        <v>0</v>
      </c>
      <c r="E3">
        <f>Data!M32</f>
        <v>0</v>
      </c>
      <c r="F3">
        <f>Data!N32</f>
        <v>0</v>
      </c>
      <c r="G3">
        <f>Data!O32</f>
        <v>0</v>
      </c>
      <c r="H3">
        <f>Data!P32</f>
        <v>0</v>
      </c>
      <c r="I3">
        <f>Data!Q32</f>
        <v>0</v>
      </c>
      <c r="J3">
        <f>Data!R32</f>
        <v>0</v>
      </c>
      <c r="K3">
        <f>Data!S32</f>
        <v>0</v>
      </c>
      <c r="L3">
        <f>Data!T32</f>
        <v>0</v>
      </c>
      <c r="M3">
        <f>Data!U32</f>
        <v>0</v>
      </c>
      <c r="N3">
        <f>Data!V32</f>
        <v>0</v>
      </c>
      <c r="O3">
        <f>Data!W32</f>
        <v>0</v>
      </c>
      <c r="P3">
        <f>Data!X32</f>
        <v>0</v>
      </c>
      <c r="Q3">
        <f>Data!Y32</f>
        <v>0</v>
      </c>
      <c r="R3">
        <f>Data!Z32</f>
        <v>0</v>
      </c>
      <c r="S3">
        <f>Data!AA32</f>
        <v>0</v>
      </c>
      <c r="T3">
        <f>Data!AB32</f>
        <v>0</v>
      </c>
      <c r="U3">
        <f>Data!AC32</f>
        <v>0</v>
      </c>
      <c r="V3">
        <f>Data!AD32</f>
        <v>0</v>
      </c>
      <c r="W3">
        <f>Data!AE32</f>
        <v>0</v>
      </c>
      <c r="X3">
        <f>Data!AF32</f>
        <v>0</v>
      </c>
      <c r="Y3">
        <f>Data!AG32</f>
        <v>0</v>
      </c>
      <c r="Z3">
        <f>Data!AH32</f>
        <v>0</v>
      </c>
      <c r="AA3">
        <f>Data!AI32</f>
        <v>0</v>
      </c>
    </row>
    <row r="4" spans="1:27" x14ac:dyDescent="0.25">
      <c r="A4" t="str">
        <f>Data!C33</f>
        <v>gasoline vehicle</v>
      </c>
      <c r="B4">
        <f>Data!J33</f>
        <v>0</v>
      </c>
      <c r="C4">
        <f>Data!K33</f>
        <v>0</v>
      </c>
      <c r="D4">
        <f>Data!L33</f>
        <v>0</v>
      </c>
      <c r="E4">
        <f>Data!M33</f>
        <v>0</v>
      </c>
      <c r="F4">
        <f>Data!N33</f>
        <v>0</v>
      </c>
      <c r="G4">
        <f>Data!O33</f>
        <v>0</v>
      </c>
      <c r="H4">
        <f>Data!P33</f>
        <v>0</v>
      </c>
      <c r="I4">
        <f>Data!Q33</f>
        <v>0</v>
      </c>
      <c r="J4">
        <f>Data!R33</f>
        <v>0</v>
      </c>
      <c r="K4">
        <f>Data!S33</f>
        <v>0</v>
      </c>
      <c r="L4">
        <f>Data!T33</f>
        <v>0</v>
      </c>
      <c r="M4">
        <f>Data!U33</f>
        <v>0</v>
      </c>
      <c r="N4">
        <f>Data!V33</f>
        <v>0</v>
      </c>
      <c r="O4">
        <f>Data!W33</f>
        <v>0</v>
      </c>
      <c r="P4">
        <f>Data!X33</f>
        <v>0</v>
      </c>
      <c r="Q4">
        <f>Data!Y33</f>
        <v>0</v>
      </c>
      <c r="R4">
        <f>Data!Z33</f>
        <v>0</v>
      </c>
      <c r="S4">
        <f>Data!AA33</f>
        <v>0</v>
      </c>
      <c r="T4">
        <f>Data!AB33</f>
        <v>0</v>
      </c>
      <c r="U4">
        <f>Data!AC33</f>
        <v>0</v>
      </c>
      <c r="V4">
        <f>Data!AD33</f>
        <v>0</v>
      </c>
      <c r="W4">
        <f>Data!AE33</f>
        <v>0</v>
      </c>
      <c r="X4">
        <f>Data!AF33</f>
        <v>0</v>
      </c>
      <c r="Y4">
        <f>Data!AG33</f>
        <v>0</v>
      </c>
      <c r="Z4">
        <f>Data!AH33</f>
        <v>0</v>
      </c>
      <c r="AA4">
        <f>Data!AI33</f>
        <v>0</v>
      </c>
    </row>
    <row r="5" spans="1:27" x14ac:dyDescent="0.25">
      <c r="A5" t="str">
        <f>Data!C34</f>
        <v>diesel vehicle</v>
      </c>
      <c r="B5">
        <f>Data!J34</f>
        <v>1</v>
      </c>
      <c r="C5">
        <f>Data!K34</f>
        <v>1</v>
      </c>
      <c r="D5">
        <f>Data!L34</f>
        <v>1</v>
      </c>
      <c r="E5">
        <f>Data!M34</f>
        <v>1</v>
      </c>
      <c r="F5">
        <f>Data!N34</f>
        <v>1</v>
      </c>
      <c r="G5">
        <f>Data!O34</f>
        <v>1</v>
      </c>
      <c r="H5">
        <f>Data!P34</f>
        <v>1</v>
      </c>
      <c r="I5">
        <f>Data!Q34</f>
        <v>1</v>
      </c>
      <c r="J5">
        <f>Data!R34</f>
        <v>1</v>
      </c>
      <c r="K5">
        <f>Data!S34</f>
        <v>1</v>
      </c>
      <c r="L5">
        <f>Data!T34</f>
        <v>1</v>
      </c>
      <c r="M5">
        <f>Data!U34</f>
        <v>1</v>
      </c>
      <c r="N5">
        <f>Data!V34</f>
        <v>1</v>
      </c>
      <c r="O5">
        <f>Data!W34</f>
        <v>1</v>
      </c>
      <c r="P5">
        <f>Data!X34</f>
        <v>1</v>
      </c>
      <c r="Q5">
        <f>Data!Y34</f>
        <v>1</v>
      </c>
      <c r="R5">
        <f>Data!Z34</f>
        <v>1</v>
      </c>
      <c r="S5">
        <f>Data!AA34</f>
        <v>1</v>
      </c>
      <c r="T5">
        <f>Data!AB34</f>
        <v>1</v>
      </c>
      <c r="U5">
        <f>Data!AC34</f>
        <v>1</v>
      </c>
      <c r="V5">
        <f>Data!AD34</f>
        <v>1</v>
      </c>
      <c r="W5">
        <f>Data!AE34</f>
        <v>1</v>
      </c>
      <c r="X5">
        <f>Data!AF34</f>
        <v>1</v>
      </c>
      <c r="Y5">
        <f>Data!AG34</f>
        <v>1</v>
      </c>
      <c r="Z5">
        <f>Data!AH34</f>
        <v>1</v>
      </c>
      <c r="AA5">
        <f>Data!AI34</f>
        <v>1</v>
      </c>
    </row>
    <row r="6" spans="1:27" x14ac:dyDescent="0.25">
      <c r="A6" t="str">
        <f>Data!C35</f>
        <v>plugin hybrid vehicle</v>
      </c>
      <c r="B6">
        <f>Data!J35</f>
        <v>0</v>
      </c>
      <c r="C6">
        <f>Data!K35</f>
        <v>0</v>
      </c>
      <c r="D6">
        <f>Data!L35</f>
        <v>0</v>
      </c>
      <c r="E6">
        <f>Data!M35</f>
        <v>0</v>
      </c>
      <c r="F6">
        <f>Data!N35</f>
        <v>0</v>
      </c>
      <c r="G6">
        <f>Data!O35</f>
        <v>0</v>
      </c>
      <c r="H6">
        <f>Data!P35</f>
        <v>0</v>
      </c>
      <c r="I6">
        <f>Data!Q35</f>
        <v>0</v>
      </c>
      <c r="J6">
        <f>Data!R35</f>
        <v>0</v>
      </c>
      <c r="K6">
        <f>Data!S35</f>
        <v>0</v>
      </c>
      <c r="L6">
        <f>Data!T35</f>
        <v>0</v>
      </c>
      <c r="M6">
        <f>Data!U35</f>
        <v>0</v>
      </c>
      <c r="N6">
        <f>Data!V35</f>
        <v>0</v>
      </c>
      <c r="O6">
        <f>Data!W35</f>
        <v>0</v>
      </c>
      <c r="P6">
        <f>Data!X35</f>
        <v>0</v>
      </c>
      <c r="Q6">
        <f>Data!Y35</f>
        <v>0</v>
      </c>
      <c r="R6">
        <f>Data!Z35</f>
        <v>0</v>
      </c>
      <c r="S6">
        <f>Data!AA35</f>
        <v>0</v>
      </c>
      <c r="T6">
        <f>Data!AB35</f>
        <v>0</v>
      </c>
      <c r="U6">
        <f>Data!AC35</f>
        <v>0</v>
      </c>
      <c r="V6">
        <f>Data!AD35</f>
        <v>0</v>
      </c>
      <c r="W6">
        <f>Data!AE35</f>
        <v>0</v>
      </c>
      <c r="X6">
        <f>Data!AF35</f>
        <v>0</v>
      </c>
      <c r="Y6">
        <f>Data!AG35</f>
        <v>0</v>
      </c>
      <c r="Z6">
        <f>Data!AH35</f>
        <v>0</v>
      </c>
      <c r="AA6">
        <f>Data!AI35</f>
        <v>0</v>
      </c>
    </row>
    <row r="7" spans="1:27" x14ac:dyDescent="0.25">
      <c r="A7" t="str">
        <f>Data!C36</f>
        <v>LPG vehicle</v>
      </c>
      <c r="B7">
        <f>Data!J36</f>
        <v>0</v>
      </c>
      <c r="C7">
        <f>Data!K36</f>
        <v>0</v>
      </c>
      <c r="D7">
        <f>Data!L36</f>
        <v>0</v>
      </c>
      <c r="E7">
        <f>Data!M36</f>
        <v>0</v>
      </c>
      <c r="F7">
        <f>Data!N36</f>
        <v>0</v>
      </c>
      <c r="G7">
        <f>Data!O36</f>
        <v>0</v>
      </c>
      <c r="H7">
        <f>Data!P36</f>
        <v>0</v>
      </c>
      <c r="I7">
        <f>Data!Q36</f>
        <v>0</v>
      </c>
      <c r="J7">
        <f>Data!R36</f>
        <v>0</v>
      </c>
      <c r="K7">
        <f>Data!S36</f>
        <v>0</v>
      </c>
      <c r="L7">
        <f>Data!T36</f>
        <v>0</v>
      </c>
      <c r="M7">
        <f>Data!U36</f>
        <v>0</v>
      </c>
      <c r="N7">
        <f>Data!V36</f>
        <v>0</v>
      </c>
      <c r="O7">
        <f>Data!W36</f>
        <v>0</v>
      </c>
      <c r="P7">
        <f>Data!X36</f>
        <v>0</v>
      </c>
      <c r="Q7">
        <f>Data!Y36</f>
        <v>0</v>
      </c>
      <c r="R7">
        <f>Data!Z36</f>
        <v>0</v>
      </c>
      <c r="S7">
        <f>Data!AA36</f>
        <v>0</v>
      </c>
      <c r="T7">
        <f>Data!AB36</f>
        <v>0</v>
      </c>
      <c r="U7">
        <f>Data!AC36</f>
        <v>0</v>
      </c>
      <c r="V7">
        <f>Data!AD36</f>
        <v>0</v>
      </c>
      <c r="W7">
        <f>Data!AE36</f>
        <v>0</v>
      </c>
      <c r="X7">
        <f>Data!AF36</f>
        <v>0</v>
      </c>
      <c r="Y7">
        <f>Data!AG36</f>
        <v>0</v>
      </c>
      <c r="Z7">
        <f>Data!AH36</f>
        <v>0</v>
      </c>
      <c r="AA7">
        <f>Data!AI36</f>
        <v>0</v>
      </c>
    </row>
    <row r="8" spans="1:27" x14ac:dyDescent="0.25">
      <c r="A8" t="str">
        <f>Data!C37</f>
        <v>hydrogen vehicle</v>
      </c>
      <c r="B8">
        <f>Data!J37</f>
        <v>3.70282921188E-3</v>
      </c>
      <c r="C8">
        <f>Data!K37</f>
        <v>3.70282921188E-3</v>
      </c>
      <c r="D8">
        <f>Data!L37</f>
        <v>3.70282921188E-3</v>
      </c>
      <c r="E8">
        <f>Data!M37</f>
        <v>3.70282921188E-3</v>
      </c>
      <c r="F8">
        <f>Data!N37</f>
        <v>3.70282921188E-3</v>
      </c>
      <c r="G8">
        <f>Data!O37</f>
        <v>3.70282921188E-3</v>
      </c>
      <c r="H8">
        <f>Data!P37</f>
        <v>3.70282921188E-3</v>
      </c>
      <c r="I8">
        <f>Data!Q37</f>
        <v>3.70282921188E-3</v>
      </c>
      <c r="J8">
        <f>Data!R37</f>
        <v>3.70282921188E-3</v>
      </c>
      <c r="K8">
        <f>Data!S37</f>
        <v>3.70282921188E-3</v>
      </c>
      <c r="L8">
        <f>Data!T37</f>
        <v>3.70282921188E-3</v>
      </c>
      <c r="M8">
        <f>Data!U37</f>
        <v>3.70282921188E-3</v>
      </c>
      <c r="N8">
        <f>Data!V37</f>
        <v>3.70282921188E-3</v>
      </c>
      <c r="O8">
        <f>Data!W37</f>
        <v>3.70282921188E-3</v>
      </c>
      <c r="P8">
        <f>Data!X37</f>
        <v>3.70282921188E-3</v>
      </c>
      <c r="Q8">
        <f>Data!Y37</f>
        <v>3.70282921188E-3</v>
      </c>
      <c r="R8">
        <f>Data!Z37</f>
        <v>3.70282921188E-3</v>
      </c>
      <c r="S8">
        <f>Data!AA37</f>
        <v>3.70282921188E-3</v>
      </c>
      <c r="T8">
        <f>Data!AB37</f>
        <v>3.70282921188E-3</v>
      </c>
      <c r="U8">
        <f>Data!AC37</f>
        <v>3.70282921188E-3</v>
      </c>
      <c r="V8">
        <f>Data!AD37</f>
        <v>3.70282921188E-3</v>
      </c>
      <c r="W8">
        <f>Data!AE37</f>
        <v>3.70282921188E-3</v>
      </c>
      <c r="X8">
        <f>Data!AF37</f>
        <v>3.70282921188E-3</v>
      </c>
      <c r="Y8">
        <f>Data!AG37</f>
        <v>3.70282921188E-3</v>
      </c>
      <c r="Z8">
        <f>Data!AH37</f>
        <v>3.70282921188E-3</v>
      </c>
      <c r="AA8">
        <f>Data!AI37</f>
        <v>3.70282921188E-3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Data!C38</f>
        <v>battery electric vehicle</v>
      </c>
      <c r="B2">
        <f>Data!J38</f>
        <v>0</v>
      </c>
      <c r="C2">
        <f>Data!K38</f>
        <v>0</v>
      </c>
      <c r="D2">
        <f>Data!L38</f>
        <v>0</v>
      </c>
      <c r="E2">
        <f>Data!M38</f>
        <v>0</v>
      </c>
      <c r="F2">
        <f>Data!N38</f>
        <v>0</v>
      </c>
      <c r="G2">
        <f>Data!O38</f>
        <v>0</v>
      </c>
      <c r="H2">
        <f>Data!P38</f>
        <v>0</v>
      </c>
      <c r="I2">
        <f>Data!Q38</f>
        <v>0</v>
      </c>
      <c r="J2">
        <f>Data!R38</f>
        <v>0</v>
      </c>
      <c r="K2">
        <f>Data!S38</f>
        <v>0</v>
      </c>
      <c r="L2">
        <f>Data!T38</f>
        <v>0</v>
      </c>
      <c r="M2">
        <f>Data!U38</f>
        <v>0</v>
      </c>
      <c r="N2">
        <f>Data!V38</f>
        <v>0</v>
      </c>
      <c r="O2">
        <f>Data!W38</f>
        <v>0</v>
      </c>
      <c r="P2">
        <f>Data!X38</f>
        <v>0</v>
      </c>
      <c r="Q2">
        <f>Data!Y38</f>
        <v>0</v>
      </c>
      <c r="R2">
        <f>Data!Z38</f>
        <v>0</v>
      </c>
      <c r="S2">
        <f>Data!AA38</f>
        <v>0</v>
      </c>
      <c r="T2">
        <f>Data!AB38</f>
        <v>0</v>
      </c>
      <c r="U2">
        <f>Data!AC38</f>
        <v>0</v>
      </c>
      <c r="V2">
        <f>Data!AD38</f>
        <v>0</v>
      </c>
      <c r="W2">
        <f>Data!AE38</f>
        <v>0</v>
      </c>
      <c r="X2">
        <f>Data!AF38</f>
        <v>0</v>
      </c>
      <c r="Y2">
        <f>Data!AG38</f>
        <v>0</v>
      </c>
      <c r="Z2">
        <f>Data!AH38</f>
        <v>0</v>
      </c>
      <c r="AA2">
        <f>Data!AI38</f>
        <v>0</v>
      </c>
    </row>
    <row r="3" spans="1:27" x14ac:dyDescent="0.25">
      <c r="A3" t="str">
        <f>Data!C39</f>
        <v>natural gas vehicle</v>
      </c>
      <c r="B3">
        <f>Data!J39</f>
        <v>0</v>
      </c>
      <c r="C3">
        <f>Data!K39</f>
        <v>0</v>
      </c>
      <c r="D3">
        <f>Data!L39</f>
        <v>0</v>
      </c>
      <c r="E3">
        <f>Data!M39</f>
        <v>0</v>
      </c>
      <c r="F3">
        <f>Data!N39</f>
        <v>0</v>
      </c>
      <c r="G3">
        <f>Data!O39</f>
        <v>0</v>
      </c>
      <c r="H3">
        <f>Data!P39</f>
        <v>0</v>
      </c>
      <c r="I3">
        <f>Data!Q39</f>
        <v>0</v>
      </c>
      <c r="J3">
        <f>Data!R39</f>
        <v>0</v>
      </c>
      <c r="K3">
        <f>Data!S39</f>
        <v>0</v>
      </c>
      <c r="L3">
        <f>Data!T39</f>
        <v>0</v>
      </c>
      <c r="M3">
        <f>Data!U39</f>
        <v>0</v>
      </c>
      <c r="N3">
        <f>Data!V39</f>
        <v>0</v>
      </c>
      <c r="O3">
        <f>Data!W39</f>
        <v>0</v>
      </c>
      <c r="P3">
        <f>Data!X39</f>
        <v>0</v>
      </c>
      <c r="Q3">
        <f>Data!Y39</f>
        <v>0</v>
      </c>
      <c r="R3">
        <f>Data!Z39</f>
        <v>0</v>
      </c>
      <c r="S3">
        <f>Data!AA39</f>
        <v>0</v>
      </c>
      <c r="T3">
        <f>Data!AB39</f>
        <v>0</v>
      </c>
      <c r="U3">
        <f>Data!AC39</f>
        <v>0</v>
      </c>
      <c r="V3">
        <f>Data!AD39</f>
        <v>0</v>
      </c>
      <c r="W3">
        <f>Data!AE39</f>
        <v>0</v>
      </c>
      <c r="X3">
        <f>Data!AF39</f>
        <v>0</v>
      </c>
      <c r="Y3">
        <f>Data!AG39</f>
        <v>0</v>
      </c>
      <c r="Z3">
        <f>Data!AH39</f>
        <v>0</v>
      </c>
      <c r="AA3">
        <f>Data!AI39</f>
        <v>0</v>
      </c>
    </row>
    <row r="4" spans="1:27" x14ac:dyDescent="0.25">
      <c r="A4" t="str">
        <f>Data!C40</f>
        <v>gasoline vehicle</v>
      </c>
      <c r="B4">
        <f>Data!J40</f>
        <v>0</v>
      </c>
      <c r="C4">
        <f>Data!K40</f>
        <v>0</v>
      </c>
      <c r="D4">
        <f>Data!L40</f>
        <v>0</v>
      </c>
      <c r="E4">
        <f>Data!M40</f>
        <v>0</v>
      </c>
      <c r="F4">
        <f>Data!N40</f>
        <v>0</v>
      </c>
      <c r="G4">
        <f>Data!O40</f>
        <v>0</v>
      </c>
      <c r="H4">
        <f>Data!P40</f>
        <v>0</v>
      </c>
      <c r="I4">
        <f>Data!Q40</f>
        <v>0</v>
      </c>
      <c r="J4">
        <f>Data!R40</f>
        <v>0</v>
      </c>
      <c r="K4">
        <f>Data!S40</f>
        <v>0</v>
      </c>
      <c r="L4">
        <f>Data!T40</f>
        <v>0</v>
      </c>
      <c r="M4">
        <f>Data!U40</f>
        <v>0</v>
      </c>
      <c r="N4">
        <f>Data!V40</f>
        <v>0</v>
      </c>
      <c r="O4">
        <f>Data!W40</f>
        <v>0</v>
      </c>
      <c r="P4">
        <f>Data!X40</f>
        <v>0</v>
      </c>
      <c r="Q4">
        <f>Data!Y40</f>
        <v>0</v>
      </c>
      <c r="R4">
        <f>Data!Z40</f>
        <v>0</v>
      </c>
      <c r="S4">
        <f>Data!AA40</f>
        <v>0</v>
      </c>
      <c r="T4">
        <f>Data!AB40</f>
        <v>0</v>
      </c>
      <c r="U4">
        <f>Data!AC40</f>
        <v>0</v>
      </c>
      <c r="V4">
        <f>Data!AD40</f>
        <v>0</v>
      </c>
      <c r="W4">
        <f>Data!AE40</f>
        <v>0</v>
      </c>
      <c r="X4">
        <f>Data!AF40</f>
        <v>0</v>
      </c>
      <c r="Y4">
        <f>Data!AG40</f>
        <v>0</v>
      </c>
      <c r="Z4">
        <f>Data!AH40</f>
        <v>0</v>
      </c>
      <c r="AA4">
        <f>Data!AI40</f>
        <v>0</v>
      </c>
    </row>
    <row r="5" spans="1:27" x14ac:dyDescent="0.25">
      <c r="A5" t="str">
        <f>Data!C41</f>
        <v>diesel vehicle</v>
      </c>
      <c r="B5">
        <f>Data!J41</f>
        <v>1</v>
      </c>
      <c r="C5">
        <f>Data!K41</f>
        <v>1</v>
      </c>
      <c r="D5">
        <f>Data!L41</f>
        <v>1</v>
      </c>
      <c r="E5">
        <f>Data!M41</f>
        <v>1</v>
      </c>
      <c r="F5">
        <f>Data!N41</f>
        <v>1</v>
      </c>
      <c r="G5">
        <f>Data!O41</f>
        <v>1</v>
      </c>
      <c r="H5">
        <f>Data!P41</f>
        <v>1</v>
      </c>
      <c r="I5">
        <f>Data!Q41</f>
        <v>1</v>
      </c>
      <c r="J5">
        <f>Data!R41</f>
        <v>1</v>
      </c>
      <c r="K5">
        <f>Data!S41</f>
        <v>1</v>
      </c>
      <c r="L5">
        <f>Data!T41</f>
        <v>1</v>
      </c>
      <c r="M5">
        <f>Data!U41</f>
        <v>1</v>
      </c>
      <c r="N5">
        <f>Data!V41</f>
        <v>1</v>
      </c>
      <c r="O5">
        <f>Data!W41</f>
        <v>1</v>
      </c>
      <c r="P5">
        <f>Data!X41</f>
        <v>1</v>
      </c>
      <c r="Q5">
        <f>Data!Y41</f>
        <v>1</v>
      </c>
      <c r="R5">
        <f>Data!Z41</f>
        <v>1</v>
      </c>
      <c r="S5">
        <f>Data!AA41</f>
        <v>1</v>
      </c>
      <c r="T5">
        <f>Data!AB41</f>
        <v>1</v>
      </c>
      <c r="U5">
        <f>Data!AC41</f>
        <v>1</v>
      </c>
      <c r="V5">
        <f>Data!AD41</f>
        <v>1</v>
      </c>
      <c r="W5">
        <f>Data!AE41</f>
        <v>1</v>
      </c>
      <c r="X5">
        <f>Data!AF41</f>
        <v>1</v>
      </c>
      <c r="Y5">
        <f>Data!AG41</f>
        <v>1</v>
      </c>
      <c r="Z5">
        <f>Data!AH41</f>
        <v>1</v>
      </c>
      <c r="AA5">
        <f>Data!AI41</f>
        <v>1</v>
      </c>
    </row>
    <row r="6" spans="1:27" x14ac:dyDescent="0.25">
      <c r="A6" t="str">
        <f>Data!C42</f>
        <v>plugin hybrid vehicle</v>
      </c>
      <c r="B6">
        <f>Data!J42</f>
        <v>0</v>
      </c>
      <c r="C6">
        <f>Data!K42</f>
        <v>0</v>
      </c>
      <c r="D6">
        <f>Data!L42</f>
        <v>0</v>
      </c>
      <c r="E6">
        <f>Data!M42</f>
        <v>0</v>
      </c>
      <c r="F6">
        <f>Data!N42</f>
        <v>0</v>
      </c>
      <c r="G6">
        <f>Data!O42</f>
        <v>0</v>
      </c>
      <c r="H6">
        <f>Data!P42</f>
        <v>0</v>
      </c>
      <c r="I6">
        <f>Data!Q42</f>
        <v>0</v>
      </c>
      <c r="J6">
        <f>Data!R42</f>
        <v>0</v>
      </c>
      <c r="K6">
        <f>Data!S42</f>
        <v>0</v>
      </c>
      <c r="L6">
        <f>Data!T42</f>
        <v>0</v>
      </c>
      <c r="M6">
        <f>Data!U42</f>
        <v>0</v>
      </c>
      <c r="N6">
        <f>Data!V42</f>
        <v>0</v>
      </c>
      <c r="O6">
        <f>Data!W42</f>
        <v>0</v>
      </c>
      <c r="P6">
        <f>Data!X42</f>
        <v>0</v>
      </c>
      <c r="Q6">
        <f>Data!Y42</f>
        <v>0</v>
      </c>
      <c r="R6">
        <f>Data!Z42</f>
        <v>0</v>
      </c>
      <c r="S6">
        <f>Data!AA42</f>
        <v>0</v>
      </c>
      <c r="T6">
        <f>Data!AB42</f>
        <v>0</v>
      </c>
      <c r="U6">
        <f>Data!AC42</f>
        <v>0</v>
      </c>
      <c r="V6">
        <f>Data!AD42</f>
        <v>0</v>
      </c>
      <c r="W6">
        <f>Data!AE42</f>
        <v>0</v>
      </c>
      <c r="X6">
        <f>Data!AF42</f>
        <v>0</v>
      </c>
      <c r="Y6">
        <f>Data!AG42</f>
        <v>0</v>
      </c>
      <c r="Z6">
        <f>Data!AH42</f>
        <v>0</v>
      </c>
      <c r="AA6">
        <f>Data!AI42</f>
        <v>0</v>
      </c>
    </row>
    <row r="7" spans="1:27" x14ac:dyDescent="0.25">
      <c r="A7" t="str">
        <f>Data!C43</f>
        <v>LPG vehicle</v>
      </c>
      <c r="B7">
        <f>Data!J43</f>
        <v>0</v>
      </c>
      <c r="C7">
        <f>Data!K43</f>
        <v>0</v>
      </c>
      <c r="D7">
        <f>Data!L43</f>
        <v>0</v>
      </c>
      <c r="E7">
        <f>Data!M43</f>
        <v>0</v>
      </c>
      <c r="F7">
        <f>Data!N43</f>
        <v>0</v>
      </c>
      <c r="G7">
        <f>Data!O43</f>
        <v>0</v>
      </c>
      <c r="H7">
        <f>Data!P43</f>
        <v>0</v>
      </c>
      <c r="I7">
        <f>Data!Q43</f>
        <v>0</v>
      </c>
      <c r="J7">
        <f>Data!R43</f>
        <v>0</v>
      </c>
      <c r="K7">
        <f>Data!S43</f>
        <v>0</v>
      </c>
      <c r="L7">
        <f>Data!T43</f>
        <v>0</v>
      </c>
      <c r="M7">
        <f>Data!U43</f>
        <v>0</v>
      </c>
      <c r="N7">
        <f>Data!V43</f>
        <v>0</v>
      </c>
      <c r="O7">
        <f>Data!W43</f>
        <v>0</v>
      </c>
      <c r="P7">
        <f>Data!X43</f>
        <v>0</v>
      </c>
      <c r="Q7">
        <f>Data!Y43</f>
        <v>0</v>
      </c>
      <c r="R7">
        <f>Data!Z43</f>
        <v>0</v>
      </c>
      <c r="S7">
        <f>Data!AA43</f>
        <v>0</v>
      </c>
      <c r="T7">
        <f>Data!AB43</f>
        <v>0</v>
      </c>
      <c r="U7">
        <f>Data!AC43</f>
        <v>0</v>
      </c>
      <c r="V7">
        <f>Data!AD43</f>
        <v>0</v>
      </c>
      <c r="W7">
        <f>Data!AE43</f>
        <v>0</v>
      </c>
      <c r="X7">
        <f>Data!AF43</f>
        <v>0</v>
      </c>
      <c r="Y7">
        <f>Data!AG43</f>
        <v>0</v>
      </c>
      <c r="Z7">
        <f>Data!AH43</f>
        <v>0</v>
      </c>
      <c r="AA7">
        <f>Data!AI43</f>
        <v>0</v>
      </c>
    </row>
    <row r="8" spans="1:27" x14ac:dyDescent="0.25">
      <c r="A8" t="str">
        <f>Data!C44</f>
        <v>hydrogen vehicle</v>
      </c>
      <c r="B8">
        <f>Data!J44</f>
        <v>0</v>
      </c>
      <c r="C8">
        <f>Data!K44</f>
        <v>0</v>
      </c>
      <c r="D8">
        <f>Data!L44</f>
        <v>0</v>
      </c>
      <c r="E8">
        <f>Data!M44</f>
        <v>0</v>
      </c>
      <c r="F8">
        <f>Data!N44</f>
        <v>0</v>
      </c>
      <c r="G8">
        <f>Data!O44</f>
        <v>0</v>
      </c>
      <c r="H8">
        <f>Data!P44</f>
        <v>0</v>
      </c>
      <c r="I8">
        <f>Data!Q44</f>
        <v>0</v>
      </c>
      <c r="J8">
        <f>Data!R44</f>
        <v>0</v>
      </c>
      <c r="K8">
        <f>Data!S44</f>
        <v>0</v>
      </c>
      <c r="L8">
        <f>Data!T44</f>
        <v>0</v>
      </c>
      <c r="M8">
        <f>Data!U44</f>
        <v>0</v>
      </c>
      <c r="N8">
        <f>Data!V44</f>
        <v>0</v>
      </c>
      <c r="O8">
        <f>Data!W44</f>
        <v>0</v>
      </c>
      <c r="P8">
        <f>Data!X44</f>
        <v>0</v>
      </c>
      <c r="Q8">
        <f>Data!Y44</f>
        <v>0</v>
      </c>
      <c r="R8">
        <f>Data!Z44</f>
        <v>0</v>
      </c>
      <c r="S8">
        <f>Data!AA44</f>
        <v>0</v>
      </c>
      <c r="T8">
        <f>Data!AB44</f>
        <v>0</v>
      </c>
      <c r="U8">
        <f>Data!AC44</f>
        <v>0</v>
      </c>
      <c r="V8">
        <f>Data!AD44</f>
        <v>0</v>
      </c>
      <c r="W8">
        <f>Data!AE44</f>
        <v>0</v>
      </c>
      <c r="X8">
        <f>Data!AF44</f>
        <v>0</v>
      </c>
      <c r="Y8">
        <f>Data!AG44</f>
        <v>0</v>
      </c>
      <c r="Z8">
        <f>Data!AH44</f>
        <v>0</v>
      </c>
      <c r="AA8">
        <f>Data!AI44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Data!C45</f>
        <v>battery electric vehicle</v>
      </c>
      <c r="B2">
        <f>Data!J45</f>
        <v>0</v>
      </c>
      <c r="C2">
        <f>Data!K45</f>
        <v>0</v>
      </c>
      <c r="D2">
        <f>Data!L45</f>
        <v>0</v>
      </c>
      <c r="E2">
        <f>Data!M45</f>
        <v>0</v>
      </c>
      <c r="F2">
        <f>Data!N45</f>
        <v>0</v>
      </c>
      <c r="G2">
        <f>Data!O45</f>
        <v>0</v>
      </c>
      <c r="H2">
        <f>Data!P45</f>
        <v>0</v>
      </c>
      <c r="I2">
        <f>Data!Q45</f>
        <v>0</v>
      </c>
      <c r="J2">
        <f>Data!R45</f>
        <v>0</v>
      </c>
      <c r="K2">
        <f>Data!S45</f>
        <v>0</v>
      </c>
      <c r="L2">
        <f>Data!T45</f>
        <v>0</v>
      </c>
      <c r="M2">
        <f>Data!U45</f>
        <v>0</v>
      </c>
      <c r="N2">
        <f>Data!V45</f>
        <v>0</v>
      </c>
      <c r="O2">
        <f>Data!W45</f>
        <v>0</v>
      </c>
      <c r="P2">
        <f>Data!X45</f>
        <v>0</v>
      </c>
      <c r="Q2">
        <f>Data!Y45</f>
        <v>0</v>
      </c>
      <c r="R2">
        <f>Data!Z45</f>
        <v>0</v>
      </c>
      <c r="S2">
        <f>Data!AA45</f>
        <v>0</v>
      </c>
      <c r="T2">
        <f>Data!AB45</f>
        <v>0</v>
      </c>
      <c r="U2">
        <f>Data!AC45</f>
        <v>0</v>
      </c>
      <c r="V2">
        <f>Data!AD45</f>
        <v>0</v>
      </c>
      <c r="W2">
        <f>Data!AE45</f>
        <v>0</v>
      </c>
      <c r="X2">
        <f>Data!AF45</f>
        <v>0</v>
      </c>
      <c r="Y2">
        <f>Data!AG45</f>
        <v>0</v>
      </c>
      <c r="Z2">
        <f>Data!AH45</f>
        <v>0</v>
      </c>
      <c r="AA2">
        <f>Data!AI45</f>
        <v>0</v>
      </c>
    </row>
    <row r="3" spans="1:27" x14ac:dyDescent="0.25">
      <c r="A3" t="str">
        <f>Data!C46</f>
        <v>natural gas vehicle</v>
      </c>
      <c r="B3">
        <f>Data!J46</f>
        <v>0</v>
      </c>
      <c r="C3">
        <f>Data!K46</f>
        <v>0</v>
      </c>
      <c r="D3">
        <f>Data!L46</f>
        <v>0</v>
      </c>
      <c r="E3">
        <f>Data!M46</f>
        <v>0</v>
      </c>
      <c r="F3">
        <f>Data!N46</f>
        <v>0</v>
      </c>
      <c r="G3">
        <f>Data!O46</f>
        <v>0</v>
      </c>
      <c r="H3">
        <f>Data!P46</f>
        <v>0</v>
      </c>
      <c r="I3">
        <f>Data!Q46</f>
        <v>0</v>
      </c>
      <c r="J3">
        <f>Data!R46</f>
        <v>0</v>
      </c>
      <c r="K3">
        <f>Data!S46</f>
        <v>0</v>
      </c>
      <c r="L3">
        <f>Data!T46</f>
        <v>0</v>
      </c>
      <c r="M3">
        <f>Data!U46</f>
        <v>0</v>
      </c>
      <c r="N3">
        <f>Data!V46</f>
        <v>0</v>
      </c>
      <c r="O3">
        <f>Data!W46</f>
        <v>0</v>
      </c>
      <c r="P3">
        <f>Data!X46</f>
        <v>0</v>
      </c>
      <c r="Q3">
        <f>Data!Y46</f>
        <v>0</v>
      </c>
      <c r="R3">
        <f>Data!Z46</f>
        <v>0</v>
      </c>
      <c r="S3">
        <f>Data!AA46</f>
        <v>0</v>
      </c>
      <c r="T3">
        <f>Data!AB46</f>
        <v>0</v>
      </c>
      <c r="U3">
        <f>Data!AC46</f>
        <v>0</v>
      </c>
      <c r="V3">
        <f>Data!AD46</f>
        <v>0</v>
      </c>
      <c r="W3">
        <f>Data!AE46</f>
        <v>0</v>
      </c>
      <c r="X3">
        <f>Data!AF46</f>
        <v>0</v>
      </c>
      <c r="Y3">
        <f>Data!AG46</f>
        <v>0</v>
      </c>
      <c r="Z3">
        <f>Data!AH46</f>
        <v>0</v>
      </c>
      <c r="AA3">
        <f>Data!AI46</f>
        <v>0</v>
      </c>
    </row>
    <row r="4" spans="1:27" x14ac:dyDescent="0.25">
      <c r="A4" t="str">
        <f>Data!C47</f>
        <v>gasoline vehicle</v>
      </c>
      <c r="B4">
        <f>Data!J47</f>
        <v>0</v>
      </c>
      <c r="C4">
        <f>Data!K47</f>
        <v>0</v>
      </c>
      <c r="D4">
        <f>Data!L47</f>
        <v>0</v>
      </c>
      <c r="E4">
        <f>Data!M47</f>
        <v>0</v>
      </c>
      <c r="F4">
        <f>Data!N47</f>
        <v>0</v>
      </c>
      <c r="G4">
        <f>Data!O47</f>
        <v>0</v>
      </c>
      <c r="H4">
        <f>Data!P47</f>
        <v>0</v>
      </c>
      <c r="I4">
        <f>Data!Q47</f>
        <v>0</v>
      </c>
      <c r="J4">
        <f>Data!R47</f>
        <v>0</v>
      </c>
      <c r="K4">
        <f>Data!S47</f>
        <v>0</v>
      </c>
      <c r="L4">
        <f>Data!T47</f>
        <v>0</v>
      </c>
      <c r="M4">
        <f>Data!U47</f>
        <v>0</v>
      </c>
      <c r="N4">
        <f>Data!V47</f>
        <v>0</v>
      </c>
      <c r="O4">
        <f>Data!W47</f>
        <v>0</v>
      </c>
      <c r="P4">
        <f>Data!X47</f>
        <v>0</v>
      </c>
      <c r="Q4">
        <f>Data!Y47</f>
        <v>0</v>
      </c>
      <c r="R4">
        <f>Data!Z47</f>
        <v>0</v>
      </c>
      <c r="S4">
        <f>Data!AA47</f>
        <v>0</v>
      </c>
      <c r="T4">
        <f>Data!AB47</f>
        <v>0</v>
      </c>
      <c r="U4">
        <f>Data!AC47</f>
        <v>0</v>
      </c>
      <c r="V4">
        <f>Data!AD47</f>
        <v>0</v>
      </c>
      <c r="W4">
        <f>Data!AE47</f>
        <v>0</v>
      </c>
      <c r="X4">
        <f>Data!AF47</f>
        <v>0</v>
      </c>
      <c r="Y4">
        <f>Data!AG47</f>
        <v>0</v>
      </c>
      <c r="Z4">
        <f>Data!AH47</f>
        <v>0</v>
      </c>
      <c r="AA4">
        <f>Data!AI47</f>
        <v>0</v>
      </c>
    </row>
    <row r="5" spans="1:27" x14ac:dyDescent="0.25">
      <c r="A5" t="str">
        <f>Data!C48</f>
        <v>diesel vehicle</v>
      </c>
      <c r="B5">
        <f>Data!J48</f>
        <v>1</v>
      </c>
      <c r="C5">
        <f>Data!K48</f>
        <v>1</v>
      </c>
      <c r="D5">
        <f>Data!L48</f>
        <v>1</v>
      </c>
      <c r="E5">
        <f>Data!M48</f>
        <v>1</v>
      </c>
      <c r="F5">
        <f>Data!N48</f>
        <v>1</v>
      </c>
      <c r="G5">
        <f>Data!O48</f>
        <v>1</v>
      </c>
      <c r="H5">
        <f>Data!P48</f>
        <v>1</v>
      </c>
      <c r="I5">
        <f>Data!Q48</f>
        <v>1</v>
      </c>
      <c r="J5">
        <f>Data!R48</f>
        <v>1</v>
      </c>
      <c r="K5">
        <f>Data!S48</f>
        <v>1</v>
      </c>
      <c r="L5">
        <f>Data!T48</f>
        <v>1</v>
      </c>
      <c r="M5">
        <f>Data!U48</f>
        <v>1</v>
      </c>
      <c r="N5">
        <f>Data!V48</f>
        <v>1</v>
      </c>
      <c r="O5">
        <f>Data!W48</f>
        <v>1</v>
      </c>
      <c r="P5">
        <f>Data!X48</f>
        <v>1</v>
      </c>
      <c r="Q5">
        <f>Data!Y48</f>
        <v>1</v>
      </c>
      <c r="R5">
        <f>Data!Z48</f>
        <v>1</v>
      </c>
      <c r="S5">
        <f>Data!AA48</f>
        <v>1</v>
      </c>
      <c r="T5">
        <f>Data!AB48</f>
        <v>1</v>
      </c>
      <c r="U5">
        <f>Data!AC48</f>
        <v>1</v>
      </c>
      <c r="V5">
        <f>Data!AD48</f>
        <v>1</v>
      </c>
      <c r="W5">
        <f>Data!AE48</f>
        <v>1</v>
      </c>
      <c r="X5">
        <f>Data!AF48</f>
        <v>1</v>
      </c>
      <c r="Y5">
        <f>Data!AG48</f>
        <v>1</v>
      </c>
      <c r="Z5">
        <f>Data!AH48</f>
        <v>1</v>
      </c>
      <c r="AA5">
        <f>Data!AI48</f>
        <v>1</v>
      </c>
    </row>
    <row r="6" spans="1:27" x14ac:dyDescent="0.25">
      <c r="A6" t="str">
        <f>Data!C49</f>
        <v>plugin hybrid vehicle</v>
      </c>
      <c r="B6">
        <f>Data!J49</f>
        <v>0</v>
      </c>
      <c r="C6">
        <f>Data!K49</f>
        <v>0</v>
      </c>
      <c r="D6">
        <f>Data!L49</f>
        <v>0</v>
      </c>
      <c r="E6">
        <f>Data!M49</f>
        <v>0</v>
      </c>
      <c r="F6">
        <f>Data!N49</f>
        <v>0</v>
      </c>
      <c r="G6">
        <f>Data!O49</f>
        <v>0</v>
      </c>
      <c r="H6">
        <f>Data!P49</f>
        <v>0</v>
      </c>
      <c r="I6">
        <f>Data!Q49</f>
        <v>0</v>
      </c>
      <c r="J6">
        <f>Data!R49</f>
        <v>0</v>
      </c>
      <c r="K6">
        <f>Data!S49</f>
        <v>0</v>
      </c>
      <c r="L6">
        <f>Data!T49</f>
        <v>0</v>
      </c>
      <c r="M6">
        <f>Data!U49</f>
        <v>0</v>
      </c>
      <c r="N6">
        <f>Data!V49</f>
        <v>0</v>
      </c>
      <c r="O6">
        <f>Data!W49</f>
        <v>0</v>
      </c>
      <c r="P6">
        <f>Data!X49</f>
        <v>0</v>
      </c>
      <c r="Q6">
        <f>Data!Y49</f>
        <v>0</v>
      </c>
      <c r="R6">
        <f>Data!Z49</f>
        <v>0</v>
      </c>
      <c r="S6">
        <f>Data!AA49</f>
        <v>0</v>
      </c>
      <c r="T6">
        <f>Data!AB49</f>
        <v>0</v>
      </c>
      <c r="U6">
        <f>Data!AC49</f>
        <v>0</v>
      </c>
      <c r="V6">
        <f>Data!AD49</f>
        <v>0</v>
      </c>
      <c r="W6">
        <f>Data!AE49</f>
        <v>0</v>
      </c>
      <c r="X6">
        <f>Data!AF49</f>
        <v>0</v>
      </c>
      <c r="Y6">
        <f>Data!AG49</f>
        <v>0</v>
      </c>
      <c r="Z6">
        <f>Data!AH49</f>
        <v>0</v>
      </c>
      <c r="AA6">
        <f>Data!AI49</f>
        <v>0</v>
      </c>
    </row>
    <row r="7" spans="1:27" x14ac:dyDescent="0.25">
      <c r="A7" t="str">
        <f>Data!C50</f>
        <v>LPG vehicle</v>
      </c>
      <c r="B7">
        <f>Data!J50</f>
        <v>0</v>
      </c>
      <c r="C7">
        <f>Data!K50</f>
        <v>0</v>
      </c>
      <c r="D7">
        <f>Data!L50</f>
        <v>0</v>
      </c>
      <c r="E7">
        <f>Data!M50</f>
        <v>0</v>
      </c>
      <c r="F7">
        <f>Data!N50</f>
        <v>0</v>
      </c>
      <c r="G7">
        <f>Data!O50</f>
        <v>0</v>
      </c>
      <c r="H7">
        <f>Data!P50</f>
        <v>0</v>
      </c>
      <c r="I7">
        <f>Data!Q50</f>
        <v>0</v>
      </c>
      <c r="J7">
        <f>Data!R50</f>
        <v>0</v>
      </c>
      <c r="K7">
        <f>Data!S50</f>
        <v>0</v>
      </c>
      <c r="L7">
        <f>Data!T50</f>
        <v>0</v>
      </c>
      <c r="M7">
        <f>Data!U50</f>
        <v>0</v>
      </c>
      <c r="N7">
        <f>Data!V50</f>
        <v>0</v>
      </c>
      <c r="O7">
        <f>Data!W50</f>
        <v>0</v>
      </c>
      <c r="P7">
        <f>Data!X50</f>
        <v>0</v>
      </c>
      <c r="Q7">
        <f>Data!Y50</f>
        <v>0</v>
      </c>
      <c r="R7">
        <f>Data!Z50</f>
        <v>0</v>
      </c>
      <c r="S7">
        <f>Data!AA50</f>
        <v>0</v>
      </c>
      <c r="T7">
        <f>Data!AB50</f>
        <v>0</v>
      </c>
      <c r="U7">
        <f>Data!AC50</f>
        <v>0</v>
      </c>
      <c r="V7">
        <f>Data!AD50</f>
        <v>0</v>
      </c>
      <c r="W7">
        <f>Data!AE50</f>
        <v>0</v>
      </c>
      <c r="X7">
        <f>Data!AF50</f>
        <v>0</v>
      </c>
      <c r="Y7">
        <f>Data!AG50</f>
        <v>0</v>
      </c>
      <c r="Z7">
        <f>Data!AH50</f>
        <v>0</v>
      </c>
      <c r="AA7">
        <f>Data!AI50</f>
        <v>0</v>
      </c>
    </row>
    <row r="8" spans="1:27" x14ac:dyDescent="0.25">
      <c r="A8" t="str">
        <f>Data!C51</f>
        <v>hydrogen vehicle</v>
      </c>
      <c r="B8">
        <f>Data!J51</f>
        <v>0</v>
      </c>
      <c r="C8">
        <f>Data!K51</f>
        <v>0</v>
      </c>
      <c r="D8">
        <f>Data!L51</f>
        <v>0</v>
      </c>
      <c r="E8">
        <f>Data!M51</f>
        <v>0</v>
      </c>
      <c r="F8">
        <f>Data!N51</f>
        <v>0</v>
      </c>
      <c r="G8">
        <f>Data!O51</f>
        <v>0</v>
      </c>
      <c r="H8">
        <f>Data!P51</f>
        <v>0</v>
      </c>
      <c r="I8">
        <f>Data!Q51</f>
        <v>0</v>
      </c>
      <c r="J8">
        <f>Data!R51</f>
        <v>0</v>
      </c>
      <c r="K8">
        <f>Data!S51</f>
        <v>0</v>
      </c>
      <c r="L8">
        <f>Data!T51</f>
        <v>0</v>
      </c>
      <c r="M8">
        <f>Data!U51</f>
        <v>0</v>
      </c>
      <c r="N8">
        <f>Data!V51</f>
        <v>0</v>
      </c>
      <c r="O8">
        <f>Data!W51</f>
        <v>0</v>
      </c>
      <c r="P8">
        <f>Data!X51</f>
        <v>0</v>
      </c>
      <c r="Q8">
        <f>Data!Y51</f>
        <v>0</v>
      </c>
      <c r="R8">
        <f>Data!Z51</f>
        <v>0</v>
      </c>
      <c r="S8">
        <f>Data!AA51</f>
        <v>0</v>
      </c>
      <c r="T8">
        <f>Data!AB51</f>
        <v>0</v>
      </c>
      <c r="U8">
        <f>Data!AC51</f>
        <v>0</v>
      </c>
      <c r="V8">
        <f>Data!AD51</f>
        <v>0</v>
      </c>
      <c r="W8">
        <f>Data!AE51</f>
        <v>0</v>
      </c>
      <c r="X8">
        <f>Data!AF51</f>
        <v>0</v>
      </c>
      <c r="Y8">
        <f>Data!AG51</f>
        <v>0</v>
      </c>
      <c r="Z8">
        <f>Data!AH51</f>
        <v>0</v>
      </c>
      <c r="AA8">
        <f>Data!AI51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Data!C52</f>
        <v>battery electric vehicle</v>
      </c>
      <c r="B2">
        <f>Data!J52</f>
        <v>1</v>
      </c>
      <c r="C2">
        <f>Data!K52</f>
        <v>1</v>
      </c>
      <c r="D2">
        <f>Data!L52</f>
        <v>1</v>
      </c>
      <c r="E2">
        <f>Data!M52</f>
        <v>1</v>
      </c>
      <c r="F2">
        <f>Data!N52</f>
        <v>1</v>
      </c>
      <c r="G2">
        <f>Data!O52</f>
        <v>1</v>
      </c>
      <c r="H2">
        <f>Data!P52</f>
        <v>1</v>
      </c>
      <c r="I2">
        <f>Data!Q52</f>
        <v>1</v>
      </c>
      <c r="J2">
        <f>Data!R52</f>
        <v>1</v>
      </c>
      <c r="K2">
        <f>Data!S52</f>
        <v>1</v>
      </c>
      <c r="L2">
        <f>Data!T52</f>
        <v>1</v>
      </c>
      <c r="M2">
        <f>Data!U52</f>
        <v>1</v>
      </c>
      <c r="N2">
        <f>Data!V52</f>
        <v>1</v>
      </c>
      <c r="O2">
        <f>Data!W52</f>
        <v>1</v>
      </c>
      <c r="P2">
        <f>Data!X52</f>
        <v>1</v>
      </c>
      <c r="Q2">
        <f>Data!Y52</f>
        <v>1</v>
      </c>
      <c r="R2">
        <f>Data!Z52</f>
        <v>1</v>
      </c>
      <c r="S2">
        <f>Data!AA52</f>
        <v>1</v>
      </c>
      <c r="T2">
        <f>Data!AB52</f>
        <v>1</v>
      </c>
      <c r="U2">
        <f>Data!AC52</f>
        <v>1</v>
      </c>
      <c r="V2">
        <f>Data!AD52</f>
        <v>1</v>
      </c>
      <c r="W2">
        <f>Data!AE52</f>
        <v>1</v>
      </c>
      <c r="X2">
        <f>Data!AF52</f>
        <v>1</v>
      </c>
      <c r="Y2">
        <f>Data!AG52</f>
        <v>1</v>
      </c>
      <c r="Z2">
        <f>Data!AH52</f>
        <v>1</v>
      </c>
      <c r="AA2">
        <f>Data!AI52</f>
        <v>1</v>
      </c>
    </row>
    <row r="3" spans="1:27" x14ac:dyDescent="0.25">
      <c r="A3" t="str">
        <f>Data!C53</f>
        <v>natural gas vehicle</v>
      </c>
      <c r="B3">
        <f>Data!J53</f>
        <v>0</v>
      </c>
      <c r="C3">
        <f>Data!K53</f>
        <v>0</v>
      </c>
      <c r="D3">
        <f>Data!L53</f>
        <v>0</v>
      </c>
      <c r="E3">
        <f>Data!M53</f>
        <v>0</v>
      </c>
      <c r="F3">
        <f>Data!N53</f>
        <v>0</v>
      </c>
      <c r="G3">
        <f>Data!O53</f>
        <v>0</v>
      </c>
      <c r="H3">
        <f>Data!P53</f>
        <v>0</v>
      </c>
      <c r="I3">
        <f>Data!Q53</f>
        <v>0</v>
      </c>
      <c r="J3">
        <f>Data!R53</f>
        <v>0</v>
      </c>
      <c r="K3">
        <f>Data!S53</f>
        <v>0</v>
      </c>
      <c r="L3">
        <f>Data!T53</f>
        <v>0</v>
      </c>
      <c r="M3">
        <f>Data!U53</f>
        <v>0</v>
      </c>
      <c r="N3">
        <f>Data!V53</f>
        <v>0</v>
      </c>
      <c r="O3">
        <f>Data!W53</f>
        <v>0</v>
      </c>
      <c r="P3">
        <f>Data!X53</f>
        <v>0</v>
      </c>
      <c r="Q3">
        <f>Data!Y53</f>
        <v>0</v>
      </c>
      <c r="R3">
        <f>Data!Z53</f>
        <v>0</v>
      </c>
      <c r="S3">
        <f>Data!AA53</f>
        <v>0</v>
      </c>
      <c r="T3">
        <f>Data!AB53</f>
        <v>0</v>
      </c>
      <c r="U3">
        <f>Data!AC53</f>
        <v>0</v>
      </c>
      <c r="V3">
        <f>Data!AD53</f>
        <v>0</v>
      </c>
      <c r="W3">
        <f>Data!AE53</f>
        <v>0</v>
      </c>
      <c r="X3">
        <f>Data!AF53</f>
        <v>0</v>
      </c>
      <c r="Y3">
        <f>Data!AG53</f>
        <v>0</v>
      </c>
      <c r="Z3">
        <f>Data!AH53</f>
        <v>0</v>
      </c>
      <c r="AA3">
        <f>Data!AI53</f>
        <v>0</v>
      </c>
    </row>
    <row r="4" spans="1:27" x14ac:dyDescent="0.25">
      <c r="A4" t="str">
        <f>Data!C54</f>
        <v>gasoline vehicle</v>
      </c>
      <c r="B4">
        <f>Data!J54</f>
        <v>0</v>
      </c>
      <c r="C4">
        <f>Data!K54</f>
        <v>0</v>
      </c>
      <c r="D4">
        <f>Data!L54</f>
        <v>0</v>
      </c>
      <c r="E4">
        <f>Data!M54</f>
        <v>0</v>
      </c>
      <c r="F4">
        <f>Data!N54</f>
        <v>0</v>
      </c>
      <c r="G4">
        <f>Data!O54</f>
        <v>0</v>
      </c>
      <c r="H4">
        <f>Data!P54</f>
        <v>0</v>
      </c>
      <c r="I4">
        <f>Data!Q54</f>
        <v>0</v>
      </c>
      <c r="J4">
        <f>Data!R54</f>
        <v>0</v>
      </c>
      <c r="K4">
        <f>Data!S54</f>
        <v>0</v>
      </c>
      <c r="L4">
        <f>Data!T54</f>
        <v>0</v>
      </c>
      <c r="M4">
        <f>Data!U54</f>
        <v>0</v>
      </c>
      <c r="N4">
        <f>Data!V54</f>
        <v>0</v>
      </c>
      <c r="O4">
        <f>Data!W54</f>
        <v>0</v>
      </c>
      <c r="P4">
        <f>Data!X54</f>
        <v>0</v>
      </c>
      <c r="Q4">
        <f>Data!Y54</f>
        <v>0</v>
      </c>
      <c r="R4">
        <f>Data!Z54</f>
        <v>0</v>
      </c>
      <c r="S4">
        <f>Data!AA54</f>
        <v>0</v>
      </c>
      <c r="T4">
        <f>Data!AB54</f>
        <v>0</v>
      </c>
      <c r="U4">
        <f>Data!AC54</f>
        <v>0</v>
      </c>
      <c r="V4">
        <f>Data!AD54</f>
        <v>0</v>
      </c>
      <c r="W4">
        <f>Data!AE54</f>
        <v>0</v>
      </c>
      <c r="X4">
        <f>Data!AF54</f>
        <v>0</v>
      </c>
      <c r="Y4">
        <f>Data!AG54</f>
        <v>0</v>
      </c>
      <c r="Z4">
        <f>Data!AH54</f>
        <v>0</v>
      </c>
      <c r="AA4">
        <f>Data!AI54</f>
        <v>0</v>
      </c>
    </row>
    <row r="5" spans="1:27" x14ac:dyDescent="0.25">
      <c r="A5" t="str">
        <f>Data!C55</f>
        <v>diesel vehicle</v>
      </c>
      <c r="B5">
        <f>Data!J55</f>
        <v>0</v>
      </c>
      <c r="C5">
        <f>Data!K55</f>
        <v>0</v>
      </c>
      <c r="D5">
        <f>Data!L55</f>
        <v>0</v>
      </c>
      <c r="E5">
        <f>Data!M55</f>
        <v>0</v>
      </c>
      <c r="F5">
        <f>Data!N55</f>
        <v>0</v>
      </c>
      <c r="G5">
        <f>Data!O55</f>
        <v>0</v>
      </c>
      <c r="H5">
        <f>Data!P55</f>
        <v>0</v>
      </c>
      <c r="I5">
        <f>Data!Q55</f>
        <v>0</v>
      </c>
      <c r="J5">
        <f>Data!R55</f>
        <v>0</v>
      </c>
      <c r="K5">
        <f>Data!S55</f>
        <v>0</v>
      </c>
      <c r="L5">
        <f>Data!T55</f>
        <v>0</v>
      </c>
      <c r="M5">
        <f>Data!U55</f>
        <v>0</v>
      </c>
      <c r="N5">
        <f>Data!V55</f>
        <v>0</v>
      </c>
      <c r="O5">
        <f>Data!W55</f>
        <v>0</v>
      </c>
      <c r="P5">
        <f>Data!X55</f>
        <v>0</v>
      </c>
      <c r="Q5">
        <f>Data!Y55</f>
        <v>0</v>
      </c>
      <c r="R5">
        <f>Data!Z55</f>
        <v>0</v>
      </c>
      <c r="S5">
        <f>Data!AA55</f>
        <v>0</v>
      </c>
      <c r="T5">
        <f>Data!AB55</f>
        <v>0</v>
      </c>
      <c r="U5">
        <f>Data!AC55</f>
        <v>0</v>
      </c>
      <c r="V5">
        <f>Data!AD55</f>
        <v>0</v>
      </c>
      <c r="W5">
        <f>Data!AE55</f>
        <v>0</v>
      </c>
      <c r="X5">
        <f>Data!AF55</f>
        <v>0</v>
      </c>
      <c r="Y5">
        <f>Data!AG55</f>
        <v>0</v>
      </c>
      <c r="Z5">
        <f>Data!AH55</f>
        <v>0</v>
      </c>
      <c r="AA5">
        <f>Data!AI55</f>
        <v>0</v>
      </c>
    </row>
    <row r="6" spans="1:27" x14ac:dyDescent="0.25">
      <c r="A6" t="str">
        <f>Data!C56</f>
        <v>plugin hybrid vehicle</v>
      </c>
      <c r="B6">
        <f>Data!J56</f>
        <v>0</v>
      </c>
      <c r="C6">
        <f>Data!K56</f>
        <v>0</v>
      </c>
      <c r="D6">
        <f>Data!L56</f>
        <v>0</v>
      </c>
      <c r="E6">
        <f>Data!M56</f>
        <v>0</v>
      </c>
      <c r="F6">
        <f>Data!N56</f>
        <v>0</v>
      </c>
      <c r="G6">
        <f>Data!O56</f>
        <v>0</v>
      </c>
      <c r="H6">
        <f>Data!P56</f>
        <v>0</v>
      </c>
      <c r="I6">
        <f>Data!Q56</f>
        <v>0</v>
      </c>
      <c r="J6">
        <f>Data!R56</f>
        <v>0</v>
      </c>
      <c r="K6">
        <f>Data!S56</f>
        <v>0</v>
      </c>
      <c r="L6">
        <f>Data!T56</f>
        <v>0</v>
      </c>
      <c r="M6">
        <f>Data!U56</f>
        <v>0</v>
      </c>
      <c r="N6">
        <f>Data!V56</f>
        <v>0</v>
      </c>
      <c r="O6">
        <f>Data!W56</f>
        <v>0</v>
      </c>
      <c r="P6">
        <f>Data!X56</f>
        <v>0</v>
      </c>
      <c r="Q6">
        <f>Data!Y56</f>
        <v>0</v>
      </c>
      <c r="R6">
        <f>Data!Z56</f>
        <v>0</v>
      </c>
      <c r="S6">
        <f>Data!AA56</f>
        <v>0</v>
      </c>
      <c r="T6">
        <f>Data!AB56</f>
        <v>0</v>
      </c>
      <c r="U6">
        <f>Data!AC56</f>
        <v>0</v>
      </c>
      <c r="V6">
        <f>Data!AD56</f>
        <v>0</v>
      </c>
      <c r="W6">
        <f>Data!AE56</f>
        <v>0</v>
      </c>
      <c r="X6">
        <f>Data!AF56</f>
        <v>0</v>
      </c>
      <c r="Y6">
        <f>Data!AG56</f>
        <v>0</v>
      </c>
      <c r="Z6">
        <f>Data!AH56</f>
        <v>0</v>
      </c>
      <c r="AA6">
        <f>Data!AI56</f>
        <v>0</v>
      </c>
    </row>
    <row r="7" spans="1:27" x14ac:dyDescent="0.25">
      <c r="A7" t="str">
        <f>Data!C57</f>
        <v>LPG vehicle</v>
      </c>
      <c r="B7">
        <f>Data!J57</f>
        <v>0</v>
      </c>
      <c r="C7">
        <f>Data!K57</f>
        <v>0</v>
      </c>
      <c r="D7">
        <f>Data!L57</f>
        <v>0</v>
      </c>
      <c r="E7">
        <f>Data!M57</f>
        <v>0</v>
      </c>
      <c r="F7">
        <f>Data!N57</f>
        <v>0</v>
      </c>
      <c r="G7">
        <f>Data!O57</f>
        <v>0</v>
      </c>
      <c r="H7">
        <f>Data!P57</f>
        <v>0</v>
      </c>
      <c r="I7">
        <f>Data!Q57</f>
        <v>0</v>
      </c>
      <c r="J7">
        <f>Data!R57</f>
        <v>0</v>
      </c>
      <c r="K7">
        <f>Data!S57</f>
        <v>0</v>
      </c>
      <c r="L7">
        <f>Data!T57</f>
        <v>0</v>
      </c>
      <c r="M7">
        <f>Data!U57</f>
        <v>0</v>
      </c>
      <c r="N7">
        <f>Data!V57</f>
        <v>0</v>
      </c>
      <c r="O7">
        <f>Data!W57</f>
        <v>0</v>
      </c>
      <c r="P7">
        <f>Data!X57</f>
        <v>0</v>
      </c>
      <c r="Q7">
        <f>Data!Y57</f>
        <v>0</v>
      </c>
      <c r="R7">
        <f>Data!Z57</f>
        <v>0</v>
      </c>
      <c r="S7">
        <f>Data!AA57</f>
        <v>0</v>
      </c>
      <c r="T7">
        <f>Data!AB57</f>
        <v>0</v>
      </c>
      <c r="U7">
        <f>Data!AC57</f>
        <v>0</v>
      </c>
      <c r="V7">
        <f>Data!AD57</f>
        <v>0</v>
      </c>
      <c r="W7">
        <f>Data!AE57</f>
        <v>0</v>
      </c>
      <c r="X7">
        <f>Data!AF57</f>
        <v>0</v>
      </c>
      <c r="Y7">
        <f>Data!AG57</f>
        <v>0</v>
      </c>
      <c r="Z7">
        <f>Data!AH57</f>
        <v>0</v>
      </c>
      <c r="AA7">
        <f>Data!AI57</f>
        <v>0</v>
      </c>
    </row>
    <row r="8" spans="1:27" x14ac:dyDescent="0.25">
      <c r="A8" t="str">
        <f>Data!C58</f>
        <v>hydrogen vehicle</v>
      </c>
      <c r="B8">
        <f>Data!J58</f>
        <v>0</v>
      </c>
      <c r="C8">
        <f>Data!K58</f>
        <v>0</v>
      </c>
      <c r="D8">
        <f>Data!L58</f>
        <v>0</v>
      </c>
      <c r="E8">
        <f>Data!M58</f>
        <v>0</v>
      </c>
      <c r="F8">
        <f>Data!N58</f>
        <v>0</v>
      </c>
      <c r="G8">
        <f>Data!O58</f>
        <v>0</v>
      </c>
      <c r="H8">
        <f>Data!P58</f>
        <v>0</v>
      </c>
      <c r="I8">
        <f>Data!Q58</f>
        <v>0</v>
      </c>
      <c r="J8">
        <f>Data!R58</f>
        <v>0</v>
      </c>
      <c r="K8">
        <f>Data!S58</f>
        <v>0</v>
      </c>
      <c r="L8">
        <f>Data!T58</f>
        <v>0</v>
      </c>
      <c r="M8">
        <f>Data!U58</f>
        <v>0</v>
      </c>
      <c r="N8">
        <f>Data!V58</f>
        <v>0</v>
      </c>
      <c r="O8">
        <f>Data!W58</f>
        <v>0</v>
      </c>
      <c r="P8">
        <f>Data!X58</f>
        <v>0</v>
      </c>
      <c r="Q8">
        <f>Data!Y58</f>
        <v>0</v>
      </c>
      <c r="R8">
        <f>Data!Z58</f>
        <v>0</v>
      </c>
      <c r="S8">
        <f>Data!AA58</f>
        <v>0</v>
      </c>
      <c r="T8">
        <f>Data!AB58</f>
        <v>0</v>
      </c>
      <c r="U8">
        <f>Data!AC58</f>
        <v>0</v>
      </c>
      <c r="V8">
        <f>Data!AD58</f>
        <v>0</v>
      </c>
      <c r="W8">
        <f>Data!AE58</f>
        <v>0</v>
      </c>
      <c r="X8">
        <f>Data!AF58</f>
        <v>0</v>
      </c>
      <c r="Y8">
        <f>Data!AG58</f>
        <v>0</v>
      </c>
      <c r="Z8">
        <f>Data!AH58</f>
        <v>0</v>
      </c>
      <c r="AA8">
        <f>Data!AI58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Data!C59</f>
        <v>battery electric vehicle</v>
      </c>
      <c r="B2">
        <f>Data!J59</f>
        <v>0</v>
      </c>
      <c r="C2">
        <f>Data!K59</f>
        <v>0</v>
      </c>
      <c r="D2">
        <f>Data!L59</f>
        <v>0</v>
      </c>
      <c r="E2">
        <f>Data!M59</f>
        <v>0</v>
      </c>
      <c r="F2">
        <f>Data!N59</f>
        <v>0</v>
      </c>
      <c r="G2">
        <f>Data!O59</f>
        <v>0</v>
      </c>
      <c r="H2">
        <f>Data!P59</f>
        <v>0</v>
      </c>
      <c r="I2">
        <f>Data!Q59</f>
        <v>0</v>
      </c>
      <c r="J2">
        <f>Data!R59</f>
        <v>0</v>
      </c>
      <c r="K2">
        <f>Data!S59</f>
        <v>0</v>
      </c>
      <c r="L2">
        <f>Data!T59</f>
        <v>0</v>
      </c>
      <c r="M2">
        <f>Data!U59</f>
        <v>0</v>
      </c>
      <c r="N2">
        <f>Data!V59</f>
        <v>0</v>
      </c>
      <c r="O2">
        <f>Data!W59</f>
        <v>0</v>
      </c>
      <c r="P2">
        <f>Data!X59</f>
        <v>0</v>
      </c>
      <c r="Q2">
        <f>Data!Y59</f>
        <v>0</v>
      </c>
      <c r="R2">
        <f>Data!Z59</f>
        <v>0</v>
      </c>
      <c r="S2">
        <f>Data!AA59</f>
        <v>0</v>
      </c>
      <c r="T2">
        <f>Data!AB59</f>
        <v>0</v>
      </c>
      <c r="U2">
        <f>Data!AC59</f>
        <v>0</v>
      </c>
      <c r="V2">
        <f>Data!AD59</f>
        <v>0</v>
      </c>
      <c r="W2">
        <f>Data!AE59</f>
        <v>0</v>
      </c>
      <c r="X2">
        <f>Data!AF59</f>
        <v>0</v>
      </c>
      <c r="Y2">
        <f>Data!AG59</f>
        <v>0</v>
      </c>
      <c r="Z2">
        <f>Data!AH59</f>
        <v>0</v>
      </c>
      <c r="AA2">
        <f>Data!AI59</f>
        <v>0</v>
      </c>
    </row>
    <row r="3" spans="1:27" x14ac:dyDescent="0.25">
      <c r="A3" t="str">
        <f>Data!C60</f>
        <v>natural gas vehicle</v>
      </c>
      <c r="B3">
        <f>Data!J60</f>
        <v>0</v>
      </c>
      <c r="C3">
        <f>Data!K60</f>
        <v>0</v>
      </c>
      <c r="D3">
        <f>Data!L60</f>
        <v>0</v>
      </c>
      <c r="E3">
        <f>Data!M60</f>
        <v>0</v>
      </c>
      <c r="F3">
        <f>Data!N60</f>
        <v>0</v>
      </c>
      <c r="G3">
        <f>Data!O60</f>
        <v>0</v>
      </c>
      <c r="H3">
        <f>Data!P60</f>
        <v>0</v>
      </c>
      <c r="I3">
        <f>Data!Q60</f>
        <v>0</v>
      </c>
      <c r="J3">
        <f>Data!R60</f>
        <v>0</v>
      </c>
      <c r="K3">
        <f>Data!S60</f>
        <v>0</v>
      </c>
      <c r="L3">
        <f>Data!T60</f>
        <v>0</v>
      </c>
      <c r="M3">
        <f>Data!U60</f>
        <v>0</v>
      </c>
      <c r="N3">
        <f>Data!V60</f>
        <v>0</v>
      </c>
      <c r="O3">
        <f>Data!W60</f>
        <v>0</v>
      </c>
      <c r="P3">
        <f>Data!X60</f>
        <v>0</v>
      </c>
      <c r="Q3">
        <f>Data!Y60</f>
        <v>0</v>
      </c>
      <c r="R3">
        <f>Data!Z60</f>
        <v>0</v>
      </c>
      <c r="S3">
        <f>Data!AA60</f>
        <v>0</v>
      </c>
      <c r="T3">
        <f>Data!AB60</f>
        <v>0</v>
      </c>
      <c r="U3">
        <f>Data!AC60</f>
        <v>0</v>
      </c>
      <c r="V3">
        <f>Data!AD60</f>
        <v>0</v>
      </c>
      <c r="W3">
        <f>Data!AE60</f>
        <v>0</v>
      </c>
      <c r="X3">
        <f>Data!AF60</f>
        <v>0</v>
      </c>
      <c r="Y3">
        <f>Data!AG60</f>
        <v>0</v>
      </c>
      <c r="Z3">
        <f>Data!AH60</f>
        <v>0</v>
      </c>
      <c r="AA3">
        <f>Data!AI60</f>
        <v>0</v>
      </c>
    </row>
    <row r="4" spans="1:27" x14ac:dyDescent="0.25">
      <c r="A4" t="str">
        <f>Data!C61</f>
        <v>gasoline vehicle</v>
      </c>
      <c r="B4">
        <f>Data!J61</f>
        <v>0</v>
      </c>
      <c r="C4">
        <f>Data!K61</f>
        <v>0</v>
      </c>
      <c r="D4">
        <f>Data!L61</f>
        <v>0</v>
      </c>
      <c r="E4">
        <f>Data!M61</f>
        <v>0</v>
      </c>
      <c r="F4">
        <f>Data!N61</f>
        <v>0</v>
      </c>
      <c r="G4">
        <f>Data!O61</f>
        <v>0</v>
      </c>
      <c r="H4">
        <f>Data!P61</f>
        <v>0</v>
      </c>
      <c r="I4">
        <f>Data!Q61</f>
        <v>0</v>
      </c>
      <c r="J4">
        <f>Data!R61</f>
        <v>0</v>
      </c>
      <c r="K4">
        <f>Data!S61</f>
        <v>0</v>
      </c>
      <c r="L4">
        <f>Data!T61</f>
        <v>0</v>
      </c>
      <c r="M4">
        <f>Data!U61</f>
        <v>0</v>
      </c>
      <c r="N4">
        <f>Data!V61</f>
        <v>0</v>
      </c>
      <c r="O4">
        <f>Data!W61</f>
        <v>0</v>
      </c>
      <c r="P4">
        <f>Data!X61</f>
        <v>0</v>
      </c>
      <c r="Q4">
        <f>Data!Y61</f>
        <v>0</v>
      </c>
      <c r="R4">
        <f>Data!Z61</f>
        <v>0</v>
      </c>
      <c r="S4">
        <f>Data!AA61</f>
        <v>0</v>
      </c>
      <c r="T4">
        <f>Data!AB61</f>
        <v>0</v>
      </c>
      <c r="U4">
        <f>Data!AC61</f>
        <v>0</v>
      </c>
      <c r="V4">
        <f>Data!AD61</f>
        <v>0</v>
      </c>
      <c r="W4">
        <f>Data!AE61</f>
        <v>0</v>
      </c>
      <c r="X4">
        <f>Data!AF61</f>
        <v>0</v>
      </c>
      <c r="Y4">
        <f>Data!AG61</f>
        <v>0</v>
      </c>
      <c r="Z4">
        <f>Data!AH61</f>
        <v>0</v>
      </c>
      <c r="AA4">
        <f>Data!AI61</f>
        <v>0</v>
      </c>
    </row>
    <row r="5" spans="1:27" x14ac:dyDescent="0.25">
      <c r="A5" t="str">
        <f>Data!C62</f>
        <v>diesel vehicle</v>
      </c>
      <c r="B5">
        <f>Data!J62</f>
        <v>1</v>
      </c>
      <c r="C5">
        <f>Data!K62</f>
        <v>1</v>
      </c>
      <c r="D5">
        <f>Data!L62</f>
        <v>1</v>
      </c>
      <c r="E5">
        <f>Data!M62</f>
        <v>1</v>
      </c>
      <c r="F5">
        <f>Data!N62</f>
        <v>1</v>
      </c>
      <c r="G5">
        <f>Data!O62</f>
        <v>1</v>
      </c>
      <c r="H5">
        <f>Data!P62</f>
        <v>1</v>
      </c>
      <c r="I5">
        <f>Data!Q62</f>
        <v>1</v>
      </c>
      <c r="J5">
        <f>Data!R62</f>
        <v>1</v>
      </c>
      <c r="K5">
        <f>Data!S62</f>
        <v>1</v>
      </c>
      <c r="L5">
        <f>Data!T62</f>
        <v>1</v>
      </c>
      <c r="M5">
        <f>Data!U62</f>
        <v>1</v>
      </c>
      <c r="N5">
        <f>Data!V62</f>
        <v>1</v>
      </c>
      <c r="O5">
        <f>Data!W62</f>
        <v>1</v>
      </c>
      <c r="P5">
        <f>Data!X62</f>
        <v>1</v>
      </c>
      <c r="Q5">
        <f>Data!Y62</f>
        <v>1</v>
      </c>
      <c r="R5">
        <f>Data!Z62</f>
        <v>1</v>
      </c>
      <c r="S5">
        <f>Data!AA62</f>
        <v>1</v>
      </c>
      <c r="T5">
        <f>Data!AB62</f>
        <v>1</v>
      </c>
      <c r="U5">
        <f>Data!AC62</f>
        <v>1</v>
      </c>
      <c r="V5">
        <f>Data!AD62</f>
        <v>1</v>
      </c>
      <c r="W5">
        <f>Data!AE62</f>
        <v>1</v>
      </c>
      <c r="X5">
        <f>Data!AF62</f>
        <v>1</v>
      </c>
      <c r="Y5">
        <f>Data!AG62</f>
        <v>1</v>
      </c>
      <c r="Z5">
        <f>Data!AH62</f>
        <v>1</v>
      </c>
      <c r="AA5">
        <f>Data!AI62</f>
        <v>1</v>
      </c>
    </row>
    <row r="6" spans="1:27" x14ac:dyDescent="0.25">
      <c r="A6" t="str">
        <f>Data!C63</f>
        <v>plugin hybrid vehicle</v>
      </c>
      <c r="B6">
        <f>Data!J63</f>
        <v>0</v>
      </c>
      <c r="C6">
        <f>Data!K63</f>
        <v>0</v>
      </c>
      <c r="D6">
        <f>Data!L63</f>
        <v>0</v>
      </c>
      <c r="E6">
        <f>Data!M63</f>
        <v>0</v>
      </c>
      <c r="F6">
        <f>Data!N63</f>
        <v>0</v>
      </c>
      <c r="G6">
        <f>Data!O63</f>
        <v>0</v>
      </c>
      <c r="H6">
        <f>Data!P63</f>
        <v>0</v>
      </c>
      <c r="I6">
        <f>Data!Q63</f>
        <v>0</v>
      </c>
      <c r="J6">
        <f>Data!R63</f>
        <v>0</v>
      </c>
      <c r="K6">
        <f>Data!S63</f>
        <v>0</v>
      </c>
      <c r="L6">
        <f>Data!T63</f>
        <v>0</v>
      </c>
      <c r="M6">
        <f>Data!U63</f>
        <v>0</v>
      </c>
      <c r="N6">
        <f>Data!V63</f>
        <v>0</v>
      </c>
      <c r="O6">
        <f>Data!W63</f>
        <v>0</v>
      </c>
      <c r="P6">
        <f>Data!X63</f>
        <v>0</v>
      </c>
      <c r="Q6">
        <f>Data!Y63</f>
        <v>0</v>
      </c>
      <c r="R6">
        <f>Data!Z63</f>
        <v>0</v>
      </c>
      <c r="S6">
        <f>Data!AA63</f>
        <v>0</v>
      </c>
      <c r="T6">
        <f>Data!AB63</f>
        <v>0</v>
      </c>
      <c r="U6">
        <f>Data!AC63</f>
        <v>0</v>
      </c>
      <c r="V6">
        <f>Data!AD63</f>
        <v>0</v>
      </c>
      <c r="W6">
        <f>Data!AE63</f>
        <v>0</v>
      </c>
      <c r="X6">
        <f>Data!AF63</f>
        <v>0</v>
      </c>
      <c r="Y6">
        <f>Data!AG63</f>
        <v>0</v>
      </c>
      <c r="Z6">
        <f>Data!AH63</f>
        <v>0</v>
      </c>
      <c r="AA6">
        <f>Data!AI63</f>
        <v>0</v>
      </c>
    </row>
    <row r="7" spans="1:27" x14ac:dyDescent="0.25">
      <c r="A7" t="str">
        <f>Data!C64</f>
        <v>LPG vehicle</v>
      </c>
      <c r="B7">
        <f>Data!J64</f>
        <v>0</v>
      </c>
      <c r="C7">
        <f>Data!K64</f>
        <v>0</v>
      </c>
      <c r="D7">
        <f>Data!L64</f>
        <v>0</v>
      </c>
      <c r="E7">
        <f>Data!M64</f>
        <v>0</v>
      </c>
      <c r="F7">
        <f>Data!N64</f>
        <v>0</v>
      </c>
      <c r="G7">
        <f>Data!O64</f>
        <v>0</v>
      </c>
      <c r="H7">
        <f>Data!P64</f>
        <v>0</v>
      </c>
      <c r="I7">
        <f>Data!Q64</f>
        <v>0</v>
      </c>
      <c r="J7">
        <f>Data!R64</f>
        <v>0</v>
      </c>
      <c r="K7">
        <f>Data!S64</f>
        <v>0</v>
      </c>
      <c r="L7">
        <f>Data!T64</f>
        <v>0</v>
      </c>
      <c r="M7">
        <f>Data!U64</f>
        <v>0</v>
      </c>
      <c r="N7">
        <f>Data!V64</f>
        <v>0</v>
      </c>
      <c r="O7">
        <f>Data!W64</f>
        <v>0</v>
      </c>
      <c r="P7">
        <f>Data!X64</f>
        <v>0</v>
      </c>
      <c r="Q7">
        <f>Data!Y64</f>
        <v>0</v>
      </c>
      <c r="R7">
        <f>Data!Z64</f>
        <v>0</v>
      </c>
      <c r="S7">
        <f>Data!AA64</f>
        <v>0</v>
      </c>
      <c r="T7">
        <f>Data!AB64</f>
        <v>0</v>
      </c>
      <c r="U7">
        <f>Data!AC64</f>
        <v>0</v>
      </c>
      <c r="V7">
        <f>Data!AD64</f>
        <v>0</v>
      </c>
      <c r="W7">
        <f>Data!AE64</f>
        <v>0</v>
      </c>
      <c r="X7">
        <f>Data!AF64</f>
        <v>0</v>
      </c>
      <c r="Y7">
        <f>Data!AG64</f>
        <v>0</v>
      </c>
      <c r="Z7">
        <f>Data!AH64</f>
        <v>0</v>
      </c>
      <c r="AA7">
        <f>Data!AI64</f>
        <v>0</v>
      </c>
    </row>
    <row r="8" spans="1:27" x14ac:dyDescent="0.25">
      <c r="A8" t="str">
        <f>Data!C65</f>
        <v>hydrogen vehicle</v>
      </c>
      <c r="B8">
        <f>Data!J65</f>
        <v>0</v>
      </c>
      <c r="C8">
        <f>Data!K65</f>
        <v>0</v>
      </c>
      <c r="D8">
        <f>Data!L65</f>
        <v>0</v>
      </c>
      <c r="E8">
        <f>Data!M65</f>
        <v>0</v>
      </c>
      <c r="F8">
        <f>Data!N65</f>
        <v>0</v>
      </c>
      <c r="G8">
        <f>Data!O65</f>
        <v>0</v>
      </c>
      <c r="H8">
        <f>Data!P65</f>
        <v>0</v>
      </c>
      <c r="I8">
        <f>Data!Q65</f>
        <v>0</v>
      </c>
      <c r="J8">
        <f>Data!R65</f>
        <v>0</v>
      </c>
      <c r="K8">
        <f>Data!S65</f>
        <v>0</v>
      </c>
      <c r="L8">
        <f>Data!T65</f>
        <v>0</v>
      </c>
      <c r="M8">
        <f>Data!U65</f>
        <v>0</v>
      </c>
      <c r="N8">
        <f>Data!V65</f>
        <v>0</v>
      </c>
      <c r="O8">
        <f>Data!W65</f>
        <v>0</v>
      </c>
      <c r="P8">
        <f>Data!X65</f>
        <v>0</v>
      </c>
      <c r="Q8">
        <f>Data!Y65</f>
        <v>0</v>
      </c>
      <c r="R8">
        <f>Data!Z65</f>
        <v>0</v>
      </c>
      <c r="S8">
        <f>Data!AA65</f>
        <v>0</v>
      </c>
      <c r="T8">
        <f>Data!AB65</f>
        <v>0</v>
      </c>
      <c r="U8">
        <f>Data!AC65</f>
        <v>0</v>
      </c>
      <c r="V8">
        <f>Data!AD65</f>
        <v>0</v>
      </c>
      <c r="W8">
        <f>Data!AE65</f>
        <v>0</v>
      </c>
      <c r="X8">
        <f>Data!AF65</f>
        <v>0</v>
      </c>
      <c r="Y8">
        <f>Data!AG65</f>
        <v>0</v>
      </c>
      <c r="Z8">
        <f>Data!AH65</f>
        <v>0</v>
      </c>
      <c r="AA8">
        <f>Data!AI65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Data!C66</f>
        <v>battery electric vehicle</v>
      </c>
      <c r="B2">
        <f>Data!J66</f>
        <v>0</v>
      </c>
      <c r="C2">
        <f>Data!K66</f>
        <v>0</v>
      </c>
      <c r="D2">
        <f>Data!L66</f>
        <v>0</v>
      </c>
      <c r="E2">
        <f>Data!M66</f>
        <v>0</v>
      </c>
      <c r="F2">
        <f>Data!N66</f>
        <v>0</v>
      </c>
      <c r="G2">
        <f>Data!O66</f>
        <v>0</v>
      </c>
      <c r="H2">
        <f>Data!P66</f>
        <v>0</v>
      </c>
      <c r="I2">
        <f>Data!Q66</f>
        <v>0</v>
      </c>
      <c r="J2">
        <f>Data!R66</f>
        <v>0</v>
      </c>
      <c r="K2">
        <f>Data!S66</f>
        <v>0</v>
      </c>
      <c r="L2">
        <f>Data!T66</f>
        <v>0</v>
      </c>
      <c r="M2">
        <f>Data!U66</f>
        <v>0</v>
      </c>
      <c r="N2">
        <f>Data!V66</f>
        <v>0</v>
      </c>
      <c r="O2">
        <f>Data!W66</f>
        <v>0</v>
      </c>
      <c r="P2">
        <f>Data!X66</f>
        <v>0</v>
      </c>
      <c r="Q2">
        <f>Data!Y66</f>
        <v>0</v>
      </c>
      <c r="R2">
        <f>Data!Z66</f>
        <v>0</v>
      </c>
      <c r="S2">
        <f>Data!AA66</f>
        <v>0</v>
      </c>
      <c r="T2">
        <f>Data!AB66</f>
        <v>0</v>
      </c>
      <c r="U2">
        <f>Data!AC66</f>
        <v>0</v>
      </c>
      <c r="V2">
        <f>Data!AD66</f>
        <v>0</v>
      </c>
      <c r="W2">
        <f>Data!AE66</f>
        <v>0</v>
      </c>
      <c r="X2">
        <f>Data!AF66</f>
        <v>0</v>
      </c>
      <c r="Y2">
        <f>Data!AG66</f>
        <v>0</v>
      </c>
      <c r="Z2">
        <f>Data!AH66</f>
        <v>0</v>
      </c>
      <c r="AA2">
        <f>Data!AI66</f>
        <v>0</v>
      </c>
    </row>
    <row r="3" spans="1:27" x14ac:dyDescent="0.25">
      <c r="A3" t="str">
        <f>Data!C67</f>
        <v>natural gas vehicle</v>
      </c>
      <c r="B3">
        <f>Data!J67</f>
        <v>0</v>
      </c>
      <c r="C3">
        <f>Data!K67</f>
        <v>0</v>
      </c>
      <c r="D3">
        <f>Data!L67</f>
        <v>0</v>
      </c>
      <c r="E3">
        <f>Data!M67</f>
        <v>0</v>
      </c>
      <c r="F3">
        <f>Data!N67</f>
        <v>0</v>
      </c>
      <c r="G3">
        <f>Data!O67</f>
        <v>0</v>
      </c>
      <c r="H3">
        <f>Data!P67</f>
        <v>0</v>
      </c>
      <c r="I3">
        <f>Data!Q67</f>
        <v>0</v>
      </c>
      <c r="J3">
        <f>Data!R67</f>
        <v>0</v>
      </c>
      <c r="K3">
        <f>Data!S67</f>
        <v>0</v>
      </c>
      <c r="L3">
        <f>Data!T67</f>
        <v>0</v>
      </c>
      <c r="M3">
        <f>Data!U67</f>
        <v>0</v>
      </c>
      <c r="N3">
        <f>Data!V67</f>
        <v>0</v>
      </c>
      <c r="O3">
        <f>Data!W67</f>
        <v>0</v>
      </c>
      <c r="P3">
        <f>Data!X67</f>
        <v>0</v>
      </c>
      <c r="Q3">
        <f>Data!Y67</f>
        <v>0</v>
      </c>
      <c r="R3">
        <f>Data!Z67</f>
        <v>0</v>
      </c>
      <c r="S3">
        <f>Data!AA67</f>
        <v>0</v>
      </c>
      <c r="T3">
        <f>Data!AB67</f>
        <v>0</v>
      </c>
      <c r="U3">
        <f>Data!AC67</f>
        <v>0</v>
      </c>
      <c r="V3">
        <f>Data!AD67</f>
        <v>0</v>
      </c>
      <c r="W3">
        <f>Data!AE67</f>
        <v>0</v>
      </c>
      <c r="X3">
        <f>Data!AF67</f>
        <v>0</v>
      </c>
      <c r="Y3">
        <f>Data!AG67</f>
        <v>0</v>
      </c>
      <c r="Z3">
        <f>Data!AH67</f>
        <v>0</v>
      </c>
      <c r="AA3">
        <f>Data!AI67</f>
        <v>0</v>
      </c>
    </row>
    <row r="4" spans="1:27" x14ac:dyDescent="0.25">
      <c r="A4" t="str">
        <f>Data!C68</f>
        <v>gasoline vehicle</v>
      </c>
      <c r="B4">
        <f>Data!J68</f>
        <v>0</v>
      </c>
      <c r="C4">
        <f>Data!K68</f>
        <v>0</v>
      </c>
      <c r="D4">
        <f>Data!L68</f>
        <v>0</v>
      </c>
      <c r="E4">
        <f>Data!M68</f>
        <v>0</v>
      </c>
      <c r="F4">
        <f>Data!N68</f>
        <v>0</v>
      </c>
      <c r="G4">
        <f>Data!O68</f>
        <v>0</v>
      </c>
      <c r="H4">
        <f>Data!P68</f>
        <v>0</v>
      </c>
      <c r="I4">
        <f>Data!Q68</f>
        <v>0</v>
      </c>
      <c r="J4">
        <f>Data!R68</f>
        <v>0</v>
      </c>
      <c r="K4">
        <f>Data!S68</f>
        <v>0</v>
      </c>
      <c r="L4">
        <f>Data!T68</f>
        <v>0</v>
      </c>
      <c r="M4">
        <f>Data!U68</f>
        <v>0</v>
      </c>
      <c r="N4">
        <f>Data!V68</f>
        <v>0</v>
      </c>
      <c r="O4">
        <f>Data!W68</f>
        <v>0</v>
      </c>
      <c r="P4">
        <f>Data!X68</f>
        <v>0</v>
      </c>
      <c r="Q4">
        <f>Data!Y68</f>
        <v>0</v>
      </c>
      <c r="R4">
        <f>Data!Z68</f>
        <v>0</v>
      </c>
      <c r="S4">
        <f>Data!AA68</f>
        <v>0</v>
      </c>
      <c r="T4">
        <f>Data!AB68</f>
        <v>0</v>
      </c>
      <c r="U4">
        <f>Data!AC68</f>
        <v>0</v>
      </c>
      <c r="V4">
        <f>Data!AD68</f>
        <v>0</v>
      </c>
      <c r="W4">
        <f>Data!AE68</f>
        <v>0</v>
      </c>
      <c r="X4">
        <f>Data!AF68</f>
        <v>0</v>
      </c>
      <c r="Y4">
        <f>Data!AG68</f>
        <v>0</v>
      </c>
      <c r="Z4">
        <f>Data!AH68</f>
        <v>0</v>
      </c>
      <c r="AA4">
        <f>Data!AI68</f>
        <v>0</v>
      </c>
    </row>
    <row r="5" spans="1:27" x14ac:dyDescent="0.25">
      <c r="A5" t="str">
        <f>Data!C69</f>
        <v>diesel vehicle</v>
      </c>
      <c r="B5">
        <f>Data!J69</f>
        <v>1</v>
      </c>
      <c r="C5">
        <f>Data!K69</f>
        <v>1</v>
      </c>
      <c r="D5">
        <f>Data!L69</f>
        <v>1</v>
      </c>
      <c r="E5">
        <f>Data!M69</f>
        <v>1</v>
      </c>
      <c r="F5">
        <f>Data!N69</f>
        <v>1</v>
      </c>
      <c r="G5">
        <f>Data!O69</f>
        <v>1</v>
      </c>
      <c r="H5">
        <f>Data!P69</f>
        <v>1</v>
      </c>
      <c r="I5">
        <f>Data!Q69</f>
        <v>1</v>
      </c>
      <c r="J5">
        <f>Data!R69</f>
        <v>1</v>
      </c>
      <c r="K5">
        <f>Data!S69</f>
        <v>1</v>
      </c>
      <c r="L5">
        <f>Data!T69</f>
        <v>1</v>
      </c>
      <c r="M5">
        <f>Data!U69</f>
        <v>1</v>
      </c>
      <c r="N5">
        <f>Data!V69</f>
        <v>1</v>
      </c>
      <c r="O5">
        <f>Data!W69</f>
        <v>1</v>
      </c>
      <c r="P5">
        <f>Data!X69</f>
        <v>1</v>
      </c>
      <c r="Q5">
        <f>Data!Y69</f>
        <v>1</v>
      </c>
      <c r="R5">
        <f>Data!Z69</f>
        <v>1</v>
      </c>
      <c r="S5">
        <f>Data!AA69</f>
        <v>1</v>
      </c>
      <c r="T5">
        <f>Data!AB69</f>
        <v>1</v>
      </c>
      <c r="U5">
        <f>Data!AC69</f>
        <v>1</v>
      </c>
      <c r="V5">
        <f>Data!AD69</f>
        <v>1</v>
      </c>
      <c r="W5">
        <f>Data!AE69</f>
        <v>1</v>
      </c>
      <c r="X5">
        <f>Data!AF69</f>
        <v>1</v>
      </c>
      <c r="Y5">
        <f>Data!AG69</f>
        <v>1</v>
      </c>
      <c r="Z5">
        <f>Data!AH69</f>
        <v>1</v>
      </c>
      <c r="AA5">
        <f>Data!AI69</f>
        <v>1</v>
      </c>
    </row>
    <row r="6" spans="1:27" x14ac:dyDescent="0.25">
      <c r="A6" t="str">
        <f>Data!C70</f>
        <v>plugin hybrid vehicle</v>
      </c>
      <c r="B6">
        <f>Data!J70</f>
        <v>0</v>
      </c>
      <c r="C6">
        <f>Data!K70</f>
        <v>0</v>
      </c>
      <c r="D6">
        <f>Data!L70</f>
        <v>0</v>
      </c>
      <c r="E6">
        <f>Data!M70</f>
        <v>0</v>
      </c>
      <c r="F6">
        <f>Data!N70</f>
        <v>0</v>
      </c>
      <c r="G6">
        <f>Data!O70</f>
        <v>0</v>
      </c>
      <c r="H6">
        <f>Data!P70</f>
        <v>0</v>
      </c>
      <c r="I6">
        <f>Data!Q70</f>
        <v>0</v>
      </c>
      <c r="J6">
        <f>Data!R70</f>
        <v>0</v>
      </c>
      <c r="K6">
        <f>Data!S70</f>
        <v>0</v>
      </c>
      <c r="L6">
        <f>Data!T70</f>
        <v>0</v>
      </c>
      <c r="M6">
        <f>Data!U70</f>
        <v>0</v>
      </c>
      <c r="N6">
        <f>Data!V70</f>
        <v>0</v>
      </c>
      <c r="O6">
        <f>Data!W70</f>
        <v>0</v>
      </c>
      <c r="P6">
        <f>Data!X70</f>
        <v>0</v>
      </c>
      <c r="Q6">
        <f>Data!Y70</f>
        <v>0</v>
      </c>
      <c r="R6">
        <f>Data!Z70</f>
        <v>0</v>
      </c>
      <c r="S6">
        <f>Data!AA70</f>
        <v>0</v>
      </c>
      <c r="T6">
        <f>Data!AB70</f>
        <v>0</v>
      </c>
      <c r="U6">
        <f>Data!AC70</f>
        <v>0</v>
      </c>
      <c r="V6">
        <f>Data!AD70</f>
        <v>0</v>
      </c>
      <c r="W6">
        <f>Data!AE70</f>
        <v>0</v>
      </c>
      <c r="X6">
        <f>Data!AF70</f>
        <v>0</v>
      </c>
      <c r="Y6">
        <f>Data!AG70</f>
        <v>0</v>
      </c>
      <c r="Z6">
        <f>Data!AH70</f>
        <v>0</v>
      </c>
      <c r="AA6">
        <f>Data!AI70</f>
        <v>0</v>
      </c>
    </row>
    <row r="7" spans="1:27" x14ac:dyDescent="0.25">
      <c r="A7" t="str">
        <f>Data!C71</f>
        <v>LPG vehicle</v>
      </c>
      <c r="B7">
        <f>Data!J71</f>
        <v>0</v>
      </c>
      <c r="C7">
        <f>Data!K71</f>
        <v>0</v>
      </c>
      <c r="D7">
        <f>Data!L71</f>
        <v>0</v>
      </c>
      <c r="E7">
        <f>Data!M71</f>
        <v>0</v>
      </c>
      <c r="F7">
        <f>Data!N71</f>
        <v>0</v>
      </c>
      <c r="G7">
        <f>Data!O71</f>
        <v>0</v>
      </c>
      <c r="H7">
        <f>Data!P71</f>
        <v>0</v>
      </c>
      <c r="I7">
        <f>Data!Q71</f>
        <v>0</v>
      </c>
      <c r="J7">
        <f>Data!R71</f>
        <v>0</v>
      </c>
      <c r="K7">
        <f>Data!S71</f>
        <v>0</v>
      </c>
      <c r="L7">
        <f>Data!T71</f>
        <v>0</v>
      </c>
      <c r="M7">
        <f>Data!U71</f>
        <v>0</v>
      </c>
      <c r="N7">
        <f>Data!V71</f>
        <v>0</v>
      </c>
      <c r="O7">
        <f>Data!W71</f>
        <v>0</v>
      </c>
      <c r="P7">
        <f>Data!X71</f>
        <v>0</v>
      </c>
      <c r="Q7">
        <f>Data!Y71</f>
        <v>0</v>
      </c>
      <c r="R7">
        <f>Data!Z71</f>
        <v>0</v>
      </c>
      <c r="S7">
        <f>Data!AA71</f>
        <v>0</v>
      </c>
      <c r="T7">
        <f>Data!AB71</f>
        <v>0</v>
      </c>
      <c r="U7">
        <f>Data!AC71</f>
        <v>0</v>
      </c>
      <c r="V7">
        <f>Data!AD71</f>
        <v>0</v>
      </c>
      <c r="W7">
        <f>Data!AE71</f>
        <v>0</v>
      </c>
      <c r="X7">
        <f>Data!AF71</f>
        <v>0</v>
      </c>
      <c r="Y7">
        <f>Data!AG71</f>
        <v>0</v>
      </c>
      <c r="Z7">
        <f>Data!AH71</f>
        <v>0</v>
      </c>
      <c r="AA7">
        <f>Data!AI71</f>
        <v>0</v>
      </c>
    </row>
    <row r="8" spans="1:27" x14ac:dyDescent="0.25">
      <c r="A8" t="str">
        <f>Data!C72</f>
        <v>hydrogen vehicle</v>
      </c>
      <c r="B8">
        <f>Data!J72</f>
        <v>0</v>
      </c>
      <c r="C8">
        <f>Data!K72</f>
        <v>0</v>
      </c>
      <c r="D8">
        <f>Data!L72</f>
        <v>0</v>
      </c>
      <c r="E8">
        <f>Data!M72</f>
        <v>0</v>
      </c>
      <c r="F8">
        <f>Data!N72</f>
        <v>0</v>
      </c>
      <c r="G8">
        <f>Data!O72</f>
        <v>0</v>
      </c>
      <c r="H8">
        <f>Data!P72</f>
        <v>0</v>
      </c>
      <c r="I8">
        <f>Data!Q72</f>
        <v>0</v>
      </c>
      <c r="J8">
        <f>Data!R72</f>
        <v>0</v>
      </c>
      <c r="K8">
        <f>Data!S72</f>
        <v>0</v>
      </c>
      <c r="L8">
        <f>Data!T72</f>
        <v>0</v>
      </c>
      <c r="M8">
        <f>Data!U72</f>
        <v>0</v>
      </c>
      <c r="N8">
        <f>Data!V72</f>
        <v>0</v>
      </c>
      <c r="O8">
        <f>Data!W72</f>
        <v>0</v>
      </c>
      <c r="P8">
        <f>Data!X72</f>
        <v>0</v>
      </c>
      <c r="Q8">
        <f>Data!Y72</f>
        <v>0</v>
      </c>
      <c r="R8">
        <f>Data!Z72</f>
        <v>0</v>
      </c>
      <c r="S8">
        <f>Data!AA72</f>
        <v>0</v>
      </c>
      <c r="T8">
        <f>Data!AB72</f>
        <v>0</v>
      </c>
      <c r="U8">
        <f>Data!AC72</f>
        <v>0</v>
      </c>
      <c r="V8">
        <f>Data!AD72</f>
        <v>0</v>
      </c>
      <c r="W8">
        <f>Data!AE72</f>
        <v>0</v>
      </c>
      <c r="X8">
        <f>Data!AF72</f>
        <v>0</v>
      </c>
      <c r="Y8">
        <f>Data!AG72</f>
        <v>0</v>
      </c>
      <c r="Z8">
        <f>Data!AH72</f>
        <v>0</v>
      </c>
      <c r="AA8">
        <f>Data!AI72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Data!C73</f>
        <v>battery electric vehicle</v>
      </c>
      <c r="B2">
        <f>Data!J73</f>
        <v>0</v>
      </c>
      <c r="C2">
        <f>Data!K73</f>
        <v>0</v>
      </c>
      <c r="D2">
        <f>Data!L73</f>
        <v>0</v>
      </c>
      <c r="E2">
        <f>Data!M73</f>
        <v>0</v>
      </c>
      <c r="F2">
        <f>Data!N73</f>
        <v>0</v>
      </c>
      <c r="G2">
        <f>Data!O73</f>
        <v>0</v>
      </c>
      <c r="H2">
        <f>Data!P73</f>
        <v>0</v>
      </c>
      <c r="I2">
        <f>Data!Q73</f>
        <v>0</v>
      </c>
      <c r="J2">
        <f>Data!R73</f>
        <v>0</v>
      </c>
      <c r="K2">
        <f>Data!S73</f>
        <v>0</v>
      </c>
      <c r="L2">
        <f>Data!T73</f>
        <v>0</v>
      </c>
      <c r="M2">
        <f>Data!U73</f>
        <v>0</v>
      </c>
      <c r="N2">
        <f>Data!V73</f>
        <v>0</v>
      </c>
      <c r="O2">
        <f>Data!W73</f>
        <v>0</v>
      </c>
      <c r="P2">
        <f>Data!X73</f>
        <v>0</v>
      </c>
      <c r="Q2">
        <f>Data!Y73</f>
        <v>0</v>
      </c>
      <c r="R2">
        <f>Data!Z73</f>
        <v>0</v>
      </c>
      <c r="S2">
        <f>Data!AA73</f>
        <v>0</v>
      </c>
      <c r="T2">
        <f>Data!AB73</f>
        <v>0</v>
      </c>
      <c r="U2">
        <f>Data!AC73</f>
        <v>0</v>
      </c>
      <c r="V2">
        <f>Data!AD73</f>
        <v>0</v>
      </c>
      <c r="W2">
        <f>Data!AE73</f>
        <v>0</v>
      </c>
      <c r="X2">
        <f>Data!AF73</f>
        <v>0</v>
      </c>
      <c r="Y2">
        <f>Data!AG73</f>
        <v>0</v>
      </c>
      <c r="Z2">
        <f>Data!AH73</f>
        <v>0</v>
      </c>
      <c r="AA2">
        <f>Data!AI73</f>
        <v>0</v>
      </c>
    </row>
    <row r="3" spans="1:27" x14ac:dyDescent="0.25">
      <c r="A3" t="str">
        <f>Data!C74</f>
        <v>natural gas vehicle</v>
      </c>
      <c r="B3">
        <f>Data!J74</f>
        <v>0</v>
      </c>
      <c r="C3">
        <f>Data!K74</f>
        <v>0</v>
      </c>
      <c r="D3">
        <f>Data!L74</f>
        <v>0</v>
      </c>
      <c r="E3">
        <f>Data!M74</f>
        <v>0</v>
      </c>
      <c r="F3">
        <f>Data!N74</f>
        <v>0</v>
      </c>
      <c r="G3">
        <f>Data!O74</f>
        <v>0</v>
      </c>
      <c r="H3">
        <f>Data!P74</f>
        <v>0</v>
      </c>
      <c r="I3">
        <f>Data!Q74</f>
        <v>0</v>
      </c>
      <c r="J3">
        <f>Data!R74</f>
        <v>0</v>
      </c>
      <c r="K3">
        <f>Data!S74</f>
        <v>0</v>
      </c>
      <c r="L3">
        <f>Data!T74</f>
        <v>0</v>
      </c>
      <c r="M3">
        <f>Data!U74</f>
        <v>0</v>
      </c>
      <c r="N3">
        <f>Data!V74</f>
        <v>0</v>
      </c>
      <c r="O3">
        <f>Data!W74</f>
        <v>0</v>
      </c>
      <c r="P3">
        <f>Data!X74</f>
        <v>0</v>
      </c>
      <c r="Q3">
        <f>Data!Y74</f>
        <v>0</v>
      </c>
      <c r="R3">
        <f>Data!Z74</f>
        <v>0</v>
      </c>
      <c r="S3">
        <f>Data!AA74</f>
        <v>0</v>
      </c>
      <c r="T3">
        <f>Data!AB74</f>
        <v>0</v>
      </c>
      <c r="U3">
        <f>Data!AC74</f>
        <v>0</v>
      </c>
      <c r="V3">
        <f>Data!AD74</f>
        <v>0</v>
      </c>
      <c r="W3">
        <f>Data!AE74</f>
        <v>0</v>
      </c>
      <c r="X3">
        <f>Data!AF74</f>
        <v>0</v>
      </c>
      <c r="Y3">
        <f>Data!AG74</f>
        <v>0</v>
      </c>
      <c r="Z3">
        <f>Data!AH74</f>
        <v>0</v>
      </c>
      <c r="AA3">
        <f>Data!AI74</f>
        <v>0</v>
      </c>
    </row>
    <row r="4" spans="1:27" x14ac:dyDescent="0.25">
      <c r="A4" t="str">
        <f>Data!C75</f>
        <v>gasoline vehicle</v>
      </c>
      <c r="B4">
        <f>Data!J75</f>
        <v>0</v>
      </c>
      <c r="C4">
        <f>Data!K75</f>
        <v>0</v>
      </c>
      <c r="D4">
        <f>Data!L75</f>
        <v>0</v>
      </c>
      <c r="E4">
        <f>Data!M75</f>
        <v>0</v>
      </c>
      <c r="F4">
        <f>Data!N75</f>
        <v>0</v>
      </c>
      <c r="G4">
        <f>Data!O75</f>
        <v>0</v>
      </c>
      <c r="H4">
        <f>Data!P75</f>
        <v>0</v>
      </c>
      <c r="I4">
        <f>Data!Q75</f>
        <v>0</v>
      </c>
      <c r="J4">
        <f>Data!R75</f>
        <v>0</v>
      </c>
      <c r="K4">
        <f>Data!S75</f>
        <v>0</v>
      </c>
      <c r="L4">
        <f>Data!T75</f>
        <v>0</v>
      </c>
      <c r="M4">
        <f>Data!U75</f>
        <v>0</v>
      </c>
      <c r="N4">
        <f>Data!V75</f>
        <v>0</v>
      </c>
      <c r="O4">
        <f>Data!W75</f>
        <v>0</v>
      </c>
      <c r="P4">
        <f>Data!X75</f>
        <v>0</v>
      </c>
      <c r="Q4">
        <f>Data!Y75</f>
        <v>0</v>
      </c>
      <c r="R4">
        <f>Data!Z75</f>
        <v>0</v>
      </c>
      <c r="S4">
        <f>Data!AA75</f>
        <v>0</v>
      </c>
      <c r="T4">
        <f>Data!AB75</f>
        <v>0</v>
      </c>
      <c r="U4">
        <f>Data!AC75</f>
        <v>0</v>
      </c>
      <c r="V4">
        <f>Data!AD75</f>
        <v>0</v>
      </c>
      <c r="W4">
        <f>Data!AE75</f>
        <v>0</v>
      </c>
      <c r="X4">
        <f>Data!AF75</f>
        <v>0</v>
      </c>
      <c r="Y4">
        <f>Data!AG75</f>
        <v>0</v>
      </c>
      <c r="Z4">
        <f>Data!AH75</f>
        <v>0</v>
      </c>
      <c r="AA4">
        <f>Data!AI75</f>
        <v>0</v>
      </c>
    </row>
    <row r="5" spans="1:27" x14ac:dyDescent="0.25">
      <c r="A5" t="str">
        <f>Data!C76</f>
        <v>diesel vehicle</v>
      </c>
      <c r="B5">
        <f>Data!J76</f>
        <v>1</v>
      </c>
      <c r="C5">
        <f>Data!K76</f>
        <v>1</v>
      </c>
      <c r="D5">
        <f>Data!L76</f>
        <v>1</v>
      </c>
      <c r="E5">
        <f>Data!M76</f>
        <v>1</v>
      </c>
      <c r="F5">
        <f>Data!N76</f>
        <v>1</v>
      </c>
      <c r="G5">
        <f>Data!O76</f>
        <v>1</v>
      </c>
      <c r="H5">
        <f>Data!P76</f>
        <v>1</v>
      </c>
      <c r="I5">
        <f>Data!Q76</f>
        <v>1</v>
      </c>
      <c r="J5">
        <f>Data!R76</f>
        <v>1</v>
      </c>
      <c r="K5">
        <f>Data!S76</f>
        <v>1</v>
      </c>
      <c r="L5">
        <f>Data!T76</f>
        <v>1</v>
      </c>
      <c r="M5">
        <f>Data!U76</f>
        <v>1</v>
      </c>
      <c r="N5">
        <f>Data!V76</f>
        <v>1</v>
      </c>
      <c r="O5">
        <f>Data!W76</f>
        <v>1</v>
      </c>
      <c r="P5">
        <f>Data!X76</f>
        <v>1</v>
      </c>
      <c r="Q5">
        <f>Data!Y76</f>
        <v>1</v>
      </c>
      <c r="R5">
        <f>Data!Z76</f>
        <v>1</v>
      </c>
      <c r="S5">
        <f>Data!AA76</f>
        <v>1</v>
      </c>
      <c r="T5">
        <f>Data!AB76</f>
        <v>1</v>
      </c>
      <c r="U5">
        <f>Data!AC76</f>
        <v>1</v>
      </c>
      <c r="V5">
        <f>Data!AD76</f>
        <v>1</v>
      </c>
      <c r="W5">
        <f>Data!AE76</f>
        <v>1</v>
      </c>
      <c r="X5">
        <f>Data!AF76</f>
        <v>1</v>
      </c>
      <c r="Y5">
        <f>Data!AG76</f>
        <v>1</v>
      </c>
      <c r="Z5">
        <f>Data!AH76</f>
        <v>1</v>
      </c>
      <c r="AA5">
        <f>Data!AI76</f>
        <v>1</v>
      </c>
    </row>
    <row r="6" spans="1:27" x14ac:dyDescent="0.25">
      <c r="A6" t="str">
        <f>Data!C77</f>
        <v>plugin hybrid vehicle</v>
      </c>
      <c r="B6">
        <f>Data!J77</f>
        <v>0</v>
      </c>
      <c r="C6">
        <f>Data!K77</f>
        <v>0</v>
      </c>
      <c r="D6">
        <f>Data!L77</f>
        <v>0</v>
      </c>
      <c r="E6">
        <f>Data!M77</f>
        <v>0</v>
      </c>
      <c r="F6">
        <f>Data!N77</f>
        <v>0</v>
      </c>
      <c r="G6">
        <f>Data!O77</f>
        <v>0</v>
      </c>
      <c r="H6">
        <f>Data!P77</f>
        <v>0</v>
      </c>
      <c r="I6">
        <f>Data!Q77</f>
        <v>0</v>
      </c>
      <c r="J6">
        <f>Data!R77</f>
        <v>0</v>
      </c>
      <c r="K6">
        <f>Data!S77</f>
        <v>0</v>
      </c>
      <c r="L6">
        <f>Data!T77</f>
        <v>0</v>
      </c>
      <c r="M6">
        <f>Data!U77</f>
        <v>0</v>
      </c>
      <c r="N6">
        <f>Data!V77</f>
        <v>0</v>
      </c>
      <c r="O6">
        <f>Data!W77</f>
        <v>0</v>
      </c>
      <c r="P6">
        <f>Data!X77</f>
        <v>0</v>
      </c>
      <c r="Q6">
        <f>Data!Y77</f>
        <v>0</v>
      </c>
      <c r="R6">
        <f>Data!Z77</f>
        <v>0</v>
      </c>
      <c r="S6">
        <f>Data!AA77</f>
        <v>0</v>
      </c>
      <c r="T6">
        <f>Data!AB77</f>
        <v>0</v>
      </c>
      <c r="U6">
        <f>Data!AC77</f>
        <v>0</v>
      </c>
      <c r="V6">
        <f>Data!AD77</f>
        <v>0</v>
      </c>
      <c r="W6">
        <f>Data!AE77</f>
        <v>0</v>
      </c>
      <c r="X6">
        <f>Data!AF77</f>
        <v>0</v>
      </c>
      <c r="Y6">
        <f>Data!AG77</f>
        <v>0</v>
      </c>
      <c r="Z6">
        <f>Data!AH77</f>
        <v>0</v>
      </c>
      <c r="AA6">
        <f>Data!AI77</f>
        <v>0</v>
      </c>
    </row>
    <row r="7" spans="1:27" x14ac:dyDescent="0.25">
      <c r="A7" t="str">
        <f>Data!C78</f>
        <v>LPG vehicle</v>
      </c>
      <c r="B7">
        <f>Data!J78</f>
        <v>0</v>
      </c>
      <c r="C7">
        <f>Data!K78</f>
        <v>0</v>
      </c>
      <c r="D7">
        <f>Data!L78</f>
        <v>0</v>
      </c>
      <c r="E7">
        <f>Data!M78</f>
        <v>0</v>
      </c>
      <c r="F7">
        <f>Data!N78</f>
        <v>0</v>
      </c>
      <c r="G7">
        <f>Data!O78</f>
        <v>0</v>
      </c>
      <c r="H7">
        <f>Data!P78</f>
        <v>0</v>
      </c>
      <c r="I7">
        <f>Data!Q78</f>
        <v>0</v>
      </c>
      <c r="J7">
        <f>Data!R78</f>
        <v>0</v>
      </c>
      <c r="K7">
        <f>Data!S78</f>
        <v>0</v>
      </c>
      <c r="L7">
        <f>Data!T78</f>
        <v>0</v>
      </c>
      <c r="M7">
        <f>Data!U78</f>
        <v>0</v>
      </c>
      <c r="N7">
        <f>Data!V78</f>
        <v>0</v>
      </c>
      <c r="O7">
        <f>Data!W78</f>
        <v>0</v>
      </c>
      <c r="P7">
        <f>Data!X78</f>
        <v>0</v>
      </c>
      <c r="Q7">
        <f>Data!Y78</f>
        <v>0</v>
      </c>
      <c r="R7">
        <f>Data!Z78</f>
        <v>0</v>
      </c>
      <c r="S7">
        <f>Data!AA78</f>
        <v>0</v>
      </c>
      <c r="T7">
        <f>Data!AB78</f>
        <v>0</v>
      </c>
      <c r="U7">
        <f>Data!AC78</f>
        <v>0</v>
      </c>
      <c r="V7">
        <f>Data!AD78</f>
        <v>0</v>
      </c>
      <c r="W7">
        <f>Data!AE78</f>
        <v>0</v>
      </c>
      <c r="X7">
        <f>Data!AF78</f>
        <v>0</v>
      </c>
      <c r="Y7">
        <f>Data!AG78</f>
        <v>0</v>
      </c>
      <c r="Z7">
        <f>Data!AH78</f>
        <v>0</v>
      </c>
      <c r="AA7">
        <f>Data!AI78</f>
        <v>0</v>
      </c>
    </row>
    <row r="8" spans="1:27" x14ac:dyDescent="0.25">
      <c r="A8" t="str">
        <f>Data!C79</f>
        <v>hydrogen vehicle</v>
      </c>
      <c r="B8">
        <f>Data!J79</f>
        <v>0</v>
      </c>
      <c r="C8">
        <f>Data!K79</f>
        <v>0</v>
      </c>
      <c r="D8">
        <f>Data!L79</f>
        <v>0</v>
      </c>
      <c r="E8">
        <f>Data!M79</f>
        <v>0</v>
      </c>
      <c r="F8">
        <f>Data!N79</f>
        <v>0</v>
      </c>
      <c r="G8">
        <f>Data!O79</f>
        <v>0</v>
      </c>
      <c r="H8">
        <f>Data!P79</f>
        <v>0</v>
      </c>
      <c r="I8">
        <f>Data!Q79</f>
        <v>0</v>
      </c>
      <c r="J8">
        <f>Data!R79</f>
        <v>0</v>
      </c>
      <c r="K8">
        <f>Data!S79</f>
        <v>0</v>
      </c>
      <c r="L8">
        <f>Data!T79</f>
        <v>0</v>
      </c>
      <c r="M8">
        <f>Data!U79</f>
        <v>0</v>
      </c>
      <c r="N8">
        <f>Data!V79</f>
        <v>0</v>
      </c>
      <c r="O8">
        <f>Data!W79</f>
        <v>0</v>
      </c>
      <c r="P8">
        <f>Data!X79</f>
        <v>0</v>
      </c>
      <c r="Q8">
        <f>Data!Y79</f>
        <v>0</v>
      </c>
      <c r="R8">
        <f>Data!Z79</f>
        <v>0</v>
      </c>
      <c r="S8">
        <f>Data!AA79</f>
        <v>0</v>
      </c>
      <c r="T8">
        <f>Data!AB79</f>
        <v>0</v>
      </c>
      <c r="U8">
        <f>Data!AC79</f>
        <v>0</v>
      </c>
      <c r="V8">
        <f>Data!AD79</f>
        <v>0</v>
      </c>
      <c r="W8">
        <f>Data!AE79</f>
        <v>0</v>
      </c>
      <c r="X8">
        <f>Data!AF79</f>
        <v>0</v>
      </c>
      <c r="Y8">
        <f>Data!AG79</f>
        <v>0</v>
      </c>
      <c r="Z8">
        <f>Data!AH79</f>
        <v>0</v>
      </c>
      <c r="AA8">
        <f>Data!AI79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Data!C80</f>
        <v>battery electric vehicle</v>
      </c>
      <c r="B2">
        <f>Data!J80</f>
        <v>0.23983771978951599</v>
      </c>
      <c r="C2">
        <f>Data!K80</f>
        <v>0.24932694023814289</v>
      </c>
      <c r="D2">
        <f>Data!L80</f>
        <v>0.26177210483698971</v>
      </c>
      <c r="E2">
        <f>Data!M80</f>
        <v>0.27794090325118714</v>
      </c>
      <c r="F2">
        <f>Data!N80</f>
        <v>0.29869217221836053</v>
      </c>
      <c r="G2">
        <f>Data!O80</f>
        <v>0.32491068986389093</v>
      </c>
      <c r="H2">
        <f>Data!P80</f>
        <v>0.35738899027487048</v>
      </c>
      <c r="I2">
        <f>Data!Q80</f>
        <v>0.39665139074453837</v>
      </c>
      <c r="J2">
        <f>Data!R80</f>
        <v>0.44273819803409364</v>
      </c>
      <c r="K2">
        <f>Data!S80</f>
        <v>0.49500290111655088</v>
      </c>
      <c r="L2">
        <f>Data!T80</f>
        <v>0.55200681215729752</v>
      </c>
      <c r="M2">
        <f>Data!U80</f>
        <v>0.61159519582416533</v>
      </c>
      <c r="N2">
        <f>Data!V80</f>
        <v>0.67118357949103313</v>
      </c>
      <c r="O2">
        <f>Data!W80</f>
        <v>0.72818749053177978</v>
      </c>
      <c r="P2">
        <f>Data!X80</f>
        <v>0.78045219361423701</v>
      </c>
      <c r="Q2">
        <f>Data!Y80</f>
        <v>0.82653900090379218</v>
      </c>
      <c r="R2">
        <f>Data!Z80</f>
        <v>0.86580140137346018</v>
      </c>
      <c r="S2">
        <f>Data!AA80</f>
        <v>0.89827970178443972</v>
      </c>
      <c r="T2">
        <f>Data!AB80</f>
        <v>0.92449821942997013</v>
      </c>
      <c r="U2">
        <f>Data!AC80</f>
        <v>0.9452494883971434</v>
      </c>
      <c r="V2">
        <f>Data!AD80</f>
        <v>0.96141828681134089</v>
      </c>
      <c r="W2">
        <f>Data!AE80</f>
        <v>0.97386345141018782</v>
      </c>
      <c r="X2">
        <f>Data!AF80</f>
        <v>0.98335267185881459</v>
      </c>
      <c r="Y2">
        <f>Data!AG80</f>
        <v>0.99053617181454634</v>
      </c>
      <c r="Z2">
        <f>Data!AH80</f>
        <v>0.9959446416613138</v>
      </c>
      <c r="AA2">
        <f>Data!AI80</f>
        <v>1</v>
      </c>
    </row>
    <row r="3" spans="1:27" x14ac:dyDescent="0.25">
      <c r="A3" t="str">
        <f>Data!C81</f>
        <v>natural gas vehicle</v>
      </c>
      <c r="B3">
        <f>Data!J81</f>
        <v>1.00970167475E-4</v>
      </c>
      <c r="C3">
        <f>Data!K81</f>
        <v>1.00970167475E-4</v>
      </c>
      <c r="D3">
        <f>Data!L81</f>
        <v>1.00970167475E-4</v>
      </c>
      <c r="E3">
        <f>Data!M81</f>
        <v>1.00970167475E-4</v>
      </c>
      <c r="F3">
        <f>Data!N81</f>
        <v>1.00970167475E-4</v>
      </c>
      <c r="G3">
        <f>Data!O81</f>
        <v>1.00970167475E-4</v>
      </c>
      <c r="H3">
        <f>Data!P81</f>
        <v>1.00970167475E-4</v>
      </c>
      <c r="I3">
        <f>Data!Q81</f>
        <v>1.00970167475E-4</v>
      </c>
      <c r="J3">
        <f>Data!R81</f>
        <v>1.00970167475E-4</v>
      </c>
      <c r="K3">
        <f>Data!S81</f>
        <v>1.00970167475E-4</v>
      </c>
      <c r="L3">
        <f>Data!T81</f>
        <v>1.00970167475E-4</v>
      </c>
      <c r="M3">
        <f>Data!U81</f>
        <v>1.00970167475E-4</v>
      </c>
      <c r="N3">
        <f>Data!V81</f>
        <v>1.00970167475E-4</v>
      </c>
      <c r="O3">
        <f>Data!W81</f>
        <v>1.00970167475E-4</v>
      </c>
      <c r="P3">
        <f>Data!X81</f>
        <v>1.00970167475E-4</v>
      </c>
      <c r="Q3">
        <f>Data!Y81</f>
        <v>1.00970167475E-4</v>
      </c>
      <c r="R3">
        <f>Data!Z81</f>
        <v>1.00970167475E-4</v>
      </c>
      <c r="S3">
        <f>Data!AA81</f>
        <v>1.00970167475E-4</v>
      </c>
      <c r="T3">
        <f>Data!AB81</f>
        <v>1.00970167475E-4</v>
      </c>
      <c r="U3">
        <f>Data!AC81</f>
        <v>1.00970167475E-4</v>
      </c>
      <c r="V3">
        <f>Data!AD81</f>
        <v>1.00970167475E-4</v>
      </c>
      <c r="W3">
        <f>Data!AE81</f>
        <v>1.00970167475E-4</v>
      </c>
      <c r="X3">
        <f>Data!AF81</f>
        <v>1.00970167475E-4</v>
      </c>
      <c r="Y3">
        <f>Data!AG81</f>
        <v>1.00970167475E-4</v>
      </c>
      <c r="Z3">
        <f>Data!AH81</f>
        <v>1.00970167475E-4</v>
      </c>
      <c r="AA3">
        <f>Data!AI81</f>
        <v>1.00970167475E-4</v>
      </c>
    </row>
    <row r="4" spans="1:27" x14ac:dyDescent="0.25">
      <c r="A4" t="str">
        <f>Data!C82</f>
        <v>gasoline vehicle</v>
      </c>
      <c r="B4">
        <f>Data!J82</f>
        <v>1</v>
      </c>
      <c r="C4">
        <f>Data!K82</f>
        <v>1</v>
      </c>
      <c r="D4">
        <f>Data!L82</f>
        <v>1</v>
      </c>
      <c r="E4">
        <f>Data!M82</f>
        <v>1</v>
      </c>
      <c r="F4">
        <f>Data!N82</f>
        <v>1</v>
      </c>
      <c r="G4">
        <f>Data!O82</f>
        <v>1</v>
      </c>
      <c r="H4">
        <f>Data!P82</f>
        <v>1</v>
      </c>
      <c r="I4">
        <f>Data!Q82</f>
        <v>1</v>
      </c>
      <c r="J4">
        <f>Data!R82</f>
        <v>1</v>
      </c>
      <c r="K4">
        <f>Data!S82</f>
        <v>1</v>
      </c>
      <c r="L4">
        <f>Data!T82</f>
        <v>1</v>
      </c>
      <c r="M4">
        <f>Data!U82</f>
        <v>1</v>
      </c>
      <c r="N4">
        <f>Data!V82</f>
        <v>1</v>
      </c>
      <c r="O4">
        <f>Data!W82</f>
        <v>1</v>
      </c>
      <c r="P4">
        <f>Data!X82</f>
        <v>1</v>
      </c>
      <c r="Q4">
        <f>Data!Y82</f>
        <v>1</v>
      </c>
      <c r="R4">
        <f>Data!Z82</f>
        <v>1</v>
      </c>
      <c r="S4">
        <f>Data!AA82</f>
        <v>1</v>
      </c>
      <c r="T4">
        <f>Data!AB82</f>
        <v>1</v>
      </c>
      <c r="U4">
        <f>Data!AC82</f>
        <v>1</v>
      </c>
      <c r="V4">
        <f>Data!AD82</f>
        <v>1</v>
      </c>
      <c r="W4">
        <f>Data!AE82</f>
        <v>1</v>
      </c>
      <c r="X4">
        <f>Data!AF82</f>
        <v>1</v>
      </c>
      <c r="Y4">
        <f>Data!AG82</f>
        <v>1</v>
      </c>
      <c r="Z4">
        <f>Data!AH82</f>
        <v>1</v>
      </c>
      <c r="AA4">
        <f>Data!AI82</f>
        <v>1</v>
      </c>
    </row>
    <row r="5" spans="1:27" x14ac:dyDescent="0.25">
      <c r="A5" t="str">
        <f>Data!C83</f>
        <v>diesel vehicle</v>
      </c>
      <c r="B5">
        <f>Data!J83</f>
        <v>6.7382959534800002E-2</v>
      </c>
      <c r="C5">
        <f>Data!K83</f>
        <v>6.7382959534800002E-2</v>
      </c>
      <c r="D5">
        <f>Data!L83</f>
        <v>6.7382959534800002E-2</v>
      </c>
      <c r="E5">
        <f>Data!M83</f>
        <v>6.7382959534800002E-2</v>
      </c>
      <c r="F5">
        <f>Data!N83</f>
        <v>6.7382959534800002E-2</v>
      </c>
      <c r="G5">
        <f>Data!O83</f>
        <v>6.7382959534800002E-2</v>
      </c>
      <c r="H5">
        <f>Data!P83</f>
        <v>6.7382959534800002E-2</v>
      </c>
      <c r="I5">
        <f>Data!Q83</f>
        <v>6.7382959534800002E-2</v>
      </c>
      <c r="J5">
        <f>Data!R83</f>
        <v>6.7382959534800002E-2</v>
      </c>
      <c r="K5">
        <f>Data!S83</f>
        <v>6.7382959534800002E-2</v>
      </c>
      <c r="L5">
        <f>Data!T83</f>
        <v>6.7382959534800002E-2</v>
      </c>
      <c r="M5">
        <f>Data!U83</f>
        <v>6.7382959534800002E-2</v>
      </c>
      <c r="N5">
        <f>Data!V83</f>
        <v>6.7382959534800002E-2</v>
      </c>
      <c r="O5">
        <f>Data!W83</f>
        <v>6.7382959534800002E-2</v>
      </c>
      <c r="P5">
        <f>Data!X83</f>
        <v>6.7382959534800002E-2</v>
      </c>
      <c r="Q5">
        <f>Data!Y83</f>
        <v>6.7382959534800002E-2</v>
      </c>
      <c r="R5">
        <f>Data!Z83</f>
        <v>6.7382959534800002E-2</v>
      </c>
      <c r="S5">
        <f>Data!AA83</f>
        <v>6.7382959534800002E-2</v>
      </c>
      <c r="T5">
        <f>Data!AB83</f>
        <v>6.7382959534800002E-2</v>
      </c>
      <c r="U5">
        <f>Data!AC83</f>
        <v>6.7382959534800002E-2</v>
      </c>
      <c r="V5">
        <f>Data!AD83</f>
        <v>6.7382959534800002E-2</v>
      </c>
      <c r="W5">
        <f>Data!AE83</f>
        <v>6.7382959534800002E-2</v>
      </c>
      <c r="X5">
        <f>Data!AF83</f>
        <v>6.7382959534800002E-2</v>
      </c>
      <c r="Y5">
        <f>Data!AG83</f>
        <v>6.7382959534800002E-2</v>
      </c>
      <c r="Z5">
        <f>Data!AH83</f>
        <v>6.7382959534800002E-2</v>
      </c>
      <c r="AA5">
        <f>Data!AI83</f>
        <v>6.7382959534800002E-2</v>
      </c>
    </row>
    <row r="6" spans="1:27" x14ac:dyDescent="0.25">
      <c r="A6" t="str">
        <f>Data!C84</f>
        <v>plugin hybrid vehicle</v>
      </c>
      <c r="B6">
        <f>Data!J84</f>
        <v>2.2130378178094778E-2</v>
      </c>
      <c r="C6">
        <f>Data!K84</f>
        <v>2.2343656795379113E-2</v>
      </c>
      <c r="D6">
        <f>Data!L84</f>
        <v>2.2629633737603089E-2</v>
      </c>
      <c r="E6">
        <f>Data!M84</f>
        <v>2.3012206614733348E-2</v>
      </c>
      <c r="F6">
        <f>Data!N84</f>
        <v>2.3522428818875334E-2</v>
      </c>
      <c r="G6">
        <f>Data!O84</f>
        <v>2.4200103149085012E-2</v>
      </c>
      <c r="H6">
        <f>Data!P84</f>
        <v>2.5095293676176779E-2</v>
      </c>
      <c r="I6">
        <f>Data!Q84</f>
        <v>2.6269340956171998E-2</v>
      </c>
      <c r="J6">
        <f>Data!R84</f>
        <v>2.7794667009371686E-2</v>
      </c>
      <c r="K6">
        <f>Data!S84</f>
        <v>2.9752292454487669E-2</v>
      </c>
      <c r="L6">
        <f>Data!T84</f>
        <v>3.2225685159160605E-2</v>
      </c>
      <c r="M6">
        <f>Data!U84</f>
        <v>3.528961090747184E-2</v>
      </c>
      <c r="N6">
        <f>Data!V84</f>
        <v>3.89935325479914E-2</v>
      </c>
      <c r="O6">
        <f>Data!W84</f>
        <v>4.3341252524871421E-2</v>
      </c>
      <c r="P6">
        <f>Data!X84</f>
        <v>4.8271780522821925E-2</v>
      </c>
      <c r="Q6">
        <f>Data!Y84</f>
        <v>5.3649394147368079E-2</v>
      </c>
      <c r="R6">
        <f>Data!Z84</f>
        <v>5.9270820783210276E-2</v>
      </c>
      <c r="S6">
        <f>Data!AA84</f>
        <v>6.489224741905246E-2</v>
      </c>
      <c r="T6">
        <f>Data!AB84</f>
        <v>7.0269861043598614E-2</v>
      </c>
      <c r="U6">
        <f>Data!AC84</f>
        <v>7.5200389041549118E-2</v>
      </c>
      <c r="V6">
        <f>Data!AD84</f>
        <v>7.9548109018429139E-2</v>
      </c>
      <c r="W6">
        <f>Data!AE84</f>
        <v>8.3252030658948692E-2</v>
      </c>
      <c r="X6">
        <f>Data!AF84</f>
        <v>8.6315956407259947E-2</v>
      </c>
      <c r="Y6">
        <f>Data!AG84</f>
        <v>8.8789349111932869E-2</v>
      </c>
      <c r="Z6">
        <f>Data!AH84</f>
        <v>9.074697455704886E-2</v>
      </c>
      <c r="AA6">
        <f>Data!AI84</f>
        <v>9.2272300610248548E-2</v>
      </c>
    </row>
    <row r="7" spans="1:27" x14ac:dyDescent="0.25">
      <c r="A7" t="str">
        <f>Data!C85</f>
        <v>LPG vehicle</v>
      </c>
      <c r="B7">
        <f>Data!J85</f>
        <v>0</v>
      </c>
      <c r="C7">
        <f>Data!K85</f>
        <v>0</v>
      </c>
      <c r="D7">
        <f>Data!L85</f>
        <v>0</v>
      </c>
      <c r="E7">
        <f>Data!M85</f>
        <v>0</v>
      </c>
      <c r="F7">
        <f>Data!N85</f>
        <v>0</v>
      </c>
      <c r="G7">
        <f>Data!O85</f>
        <v>0</v>
      </c>
      <c r="H7">
        <f>Data!P85</f>
        <v>0</v>
      </c>
      <c r="I7">
        <f>Data!Q85</f>
        <v>0</v>
      </c>
      <c r="J7">
        <f>Data!R85</f>
        <v>0</v>
      </c>
      <c r="K7">
        <f>Data!S85</f>
        <v>0</v>
      </c>
      <c r="L7">
        <f>Data!T85</f>
        <v>0</v>
      </c>
      <c r="M7">
        <f>Data!U85</f>
        <v>0</v>
      </c>
      <c r="N7">
        <f>Data!V85</f>
        <v>0</v>
      </c>
      <c r="O7">
        <f>Data!W85</f>
        <v>0</v>
      </c>
      <c r="P7">
        <f>Data!X85</f>
        <v>0</v>
      </c>
      <c r="Q7">
        <f>Data!Y85</f>
        <v>0</v>
      </c>
      <c r="R7">
        <f>Data!Z85</f>
        <v>0</v>
      </c>
      <c r="S7">
        <f>Data!AA85</f>
        <v>0</v>
      </c>
      <c r="T7">
        <f>Data!AB85</f>
        <v>0</v>
      </c>
      <c r="U7">
        <f>Data!AC85</f>
        <v>0</v>
      </c>
      <c r="V7">
        <f>Data!AD85</f>
        <v>0</v>
      </c>
      <c r="W7">
        <f>Data!AE85</f>
        <v>0</v>
      </c>
      <c r="X7">
        <f>Data!AF85</f>
        <v>0</v>
      </c>
      <c r="Y7">
        <f>Data!AG85</f>
        <v>0</v>
      </c>
      <c r="Z7">
        <f>Data!AH85</f>
        <v>0</v>
      </c>
      <c r="AA7">
        <f>Data!AI85</f>
        <v>0</v>
      </c>
    </row>
    <row r="8" spans="1:27" x14ac:dyDescent="0.25">
      <c r="A8" t="str">
        <f>Data!C86</f>
        <v>hydrogen vehicle</v>
      </c>
      <c r="B8">
        <f>Data!J86</f>
        <v>0</v>
      </c>
      <c r="C8">
        <f>Data!K86</f>
        <v>0</v>
      </c>
      <c r="D8">
        <f>Data!L86</f>
        <v>0</v>
      </c>
      <c r="E8">
        <f>Data!M86</f>
        <v>0</v>
      </c>
      <c r="F8">
        <f>Data!N86</f>
        <v>0</v>
      </c>
      <c r="G8">
        <f>Data!O86</f>
        <v>0</v>
      </c>
      <c r="H8">
        <f>Data!P86</f>
        <v>0</v>
      </c>
      <c r="I8">
        <f>Data!Q86</f>
        <v>0</v>
      </c>
      <c r="J8">
        <f>Data!R86</f>
        <v>0</v>
      </c>
      <c r="K8">
        <f>Data!S86</f>
        <v>0</v>
      </c>
      <c r="L8">
        <f>Data!T86</f>
        <v>0</v>
      </c>
      <c r="M8">
        <f>Data!U86</f>
        <v>0</v>
      </c>
      <c r="N8">
        <f>Data!V86</f>
        <v>0</v>
      </c>
      <c r="O8">
        <f>Data!W86</f>
        <v>0</v>
      </c>
      <c r="P8">
        <f>Data!X86</f>
        <v>0</v>
      </c>
      <c r="Q8">
        <f>Data!Y86</f>
        <v>0</v>
      </c>
      <c r="R8">
        <f>Data!Z86</f>
        <v>0</v>
      </c>
      <c r="S8">
        <f>Data!AA86</f>
        <v>0</v>
      </c>
      <c r="T8">
        <f>Data!AB86</f>
        <v>0</v>
      </c>
      <c r="U8">
        <f>Data!AC86</f>
        <v>0</v>
      </c>
      <c r="V8">
        <f>Data!AD86</f>
        <v>0</v>
      </c>
      <c r="W8">
        <f>Data!AE86</f>
        <v>0</v>
      </c>
      <c r="X8">
        <f>Data!AF86</f>
        <v>0</v>
      </c>
      <c r="Y8">
        <f>Data!AG86</f>
        <v>0</v>
      </c>
      <c r="Z8">
        <f>Data!AH86</f>
        <v>0</v>
      </c>
      <c r="AA8">
        <f>Data!AI86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A1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Data!C87</f>
        <v>battery electric vehicle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</row>
    <row r="3" spans="1:27" x14ac:dyDescent="0.25">
      <c r="A3" t="str">
        <f>Data!C88</f>
        <v>natural gas vehicle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</row>
    <row r="4" spans="1:27" x14ac:dyDescent="0.25">
      <c r="A4" t="str">
        <f>Data!C89</f>
        <v>gasoline vehicle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</row>
    <row r="5" spans="1:27" x14ac:dyDescent="0.25">
      <c r="A5" t="str">
        <f>Data!C90</f>
        <v>diesel vehicle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</row>
    <row r="6" spans="1:27" x14ac:dyDescent="0.25">
      <c r="A6" t="str">
        <f>Data!C91</f>
        <v>plugin hybrid vehicle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</row>
    <row r="7" spans="1:27" x14ac:dyDescent="0.25">
      <c r="A7" t="str">
        <f>Data!C92</f>
        <v>LPG vehicle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</row>
    <row r="8" spans="1:27" x14ac:dyDescent="0.25">
      <c r="A8" t="str">
        <f>Data!C93</f>
        <v>hydrogen vehicle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</row>
    <row r="10" spans="1:27" x14ac:dyDescent="0.25">
      <c r="A10" s="3" t="s">
        <v>336</v>
      </c>
    </row>
    <row r="11" spans="1:27" x14ac:dyDescent="0.25">
      <c r="A11" s="3" t="s">
        <v>337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About</vt:lpstr>
      <vt:lpstr>Geography</vt:lpstr>
      <vt:lpstr>Keys</vt:lpstr>
      <vt:lpstr>Alliance_2025</vt:lpstr>
      <vt:lpstr>Costs_raw</vt:lpstr>
      <vt:lpstr>Costs_BAU</vt:lpstr>
      <vt:lpstr>Solve</vt:lpstr>
      <vt:lpstr>SYVbT_all</vt:lpstr>
      <vt:lpstr>SYVbT-passenger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Olivia Ashmoore</cp:lastModifiedBy>
  <dcterms:created xsi:type="dcterms:W3CDTF">2026-08-03T17:57:11Z</dcterms:created>
  <dcterms:modified xsi:type="dcterms:W3CDTF">2026-08-03T19:39:57Z</dcterms:modified>
</cp:coreProperties>
</file>