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Z\trans\TTS\"/>
    </mc:Choice>
  </mc:AlternateContent>
  <xr:revisionPtr revIDLastSave="0" documentId="8_{A8C72152-FA54-410F-BEF5-2702938F250D}" xr6:coauthVersionLast="47" xr6:coauthVersionMax="47" xr10:uidLastSave="{00000000-0000-0000-0000-000000000000}"/>
  <bookViews>
    <workbookView xWindow="1170" yWindow="1110" windowWidth="13035" windowHeight="16890" firstSheet="12" activeTab="12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3" l="1"/>
  <c r="E14" i="3"/>
  <c r="G78" i="7"/>
  <c r="G81" i="7" s="1"/>
  <c r="G82" i="7" s="1"/>
  <c r="C70" i="7" l="1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Z72" i="7" s="1"/>
  <c r="AA70" i="7"/>
  <c r="AB70" i="7"/>
  <c r="AC70" i="7"/>
  <c r="AD70" i="7"/>
  <c r="AE70" i="7"/>
  <c r="AF70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B71" i="7"/>
  <c r="B70" i="7"/>
  <c r="H49" i="7"/>
  <c r="H48" i="7"/>
  <c r="G49" i="7"/>
  <c r="G48" i="7"/>
  <c r="AE72" i="7" l="1"/>
  <c r="W72" i="7"/>
  <c r="O72" i="7"/>
  <c r="Y72" i="7"/>
  <c r="R72" i="7"/>
  <c r="Q72" i="7"/>
  <c r="G72" i="7"/>
  <c r="J72" i="7"/>
  <c r="I72" i="7"/>
  <c r="B72" i="7"/>
  <c r="AF72" i="7"/>
  <c r="X72" i="7"/>
  <c r="P72" i="7"/>
  <c r="H72" i="7"/>
  <c r="AD72" i="7"/>
  <c r="V72" i="7"/>
  <c r="N72" i="7"/>
  <c r="F72" i="7"/>
  <c r="AC72" i="7"/>
  <c r="U72" i="7"/>
  <c r="M72" i="7"/>
  <c r="E72" i="7"/>
  <c r="AB72" i="7"/>
  <c r="T72" i="7"/>
  <c r="L72" i="7"/>
  <c r="D72" i="7"/>
  <c r="AA72" i="7"/>
  <c r="S72" i="7"/>
  <c r="K72" i="7"/>
  <c r="C72" i="7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I31" i="3"/>
  <c r="H31" i="3"/>
  <c r="B117" i="7"/>
  <c r="B116" i="7"/>
  <c r="B118" i="7" s="1"/>
  <c r="D80" i="3"/>
  <c r="D29" i="3"/>
  <c r="D28" i="3"/>
  <c r="E26" i="3"/>
  <c r="D26" i="3"/>
  <c r="D25" i="3"/>
  <c r="D24" i="3" l="1"/>
  <c r="D23" i="3" l="1"/>
  <c r="D22" i="3"/>
  <c r="D21" i="3"/>
  <c r="D18" i="3"/>
  <c r="H9" i="3" l="1"/>
  <c r="I9" i="3" s="1"/>
  <c r="D52" i="3" l="1"/>
  <c r="D55" i="3" l="1"/>
  <c r="E37" i="3" l="1"/>
  <c r="E36" i="3"/>
  <c r="E29" i="3" s="1"/>
  <c r="D30" i="3"/>
  <c r="D37" i="3"/>
  <c r="D36" i="3"/>
  <c r="D86" i="3"/>
  <c r="D85" i="3"/>
  <c r="D84" i="3"/>
  <c r="D83" i="3"/>
  <c r="D81" i="3"/>
  <c r="F29" i="3" l="1"/>
  <c r="E30" i="3"/>
  <c r="F30" i="3" s="1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16" i="3"/>
  <c r="E23" i="3" s="1"/>
  <c r="F23" i="3" s="1"/>
  <c r="E15" i="3"/>
  <c r="E22" i="3" s="1"/>
  <c r="F22" i="3" s="1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H88" i="3"/>
  <c r="H89" i="3"/>
  <c r="H90" i="3"/>
  <c r="H91" i="3"/>
  <c r="H92" i="3"/>
  <c r="H93" i="3"/>
  <c r="H19" i="3"/>
  <c r="H22" i="3"/>
  <c r="B7" i="8" s="1"/>
  <c r="H23" i="3"/>
  <c r="B8" i="8" s="1"/>
  <c r="D16" i="3"/>
  <c r="D15" i="3"/>
  <c r="H15" i="3" s="1"/>
  <c r="B7" i="2" s="1"/>
  <c r="F16" i="3" l="1"/>
  <c r="H16" i="3"/>
  <c r="B8" i="2" s="1"/>
  <c r="F15" i="3"/>
  <c r="H18" i="3" l="1"/>
  <c r="D11" i="3"/>
  <c r="E11" i="3"/>
  <c r="E18" i="3" s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E35" i="3"/>
  <c r="E28" i="3" s="1"/>
  <c r="E32" i="3"/>
  <c r="E25" i="3" s="1"/>
  <c r="D35" i="3"/>
  <c r="H35" i="3" s="1"/>
  <c r="H33" i="3"/>
  <c r="D32" i="3"/>
  <c r="H32" i="3" s="1"/>
  <c r="D13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I93" i="3"/>
  <c r="I30" i="3"/>
  <c r="C8" i="9" s="1"/>
  <c r="I15" i="3"/>
  <c r="C7" i="2" s="1"/>
  <c r="I86" i="3"/>
  <c r="C8" i="17" s="1"/>
  <c r="I29" i="3"/>
  <c r="C7" i="9" s="1"/>
  <c r="I22" i="3"/>
  <c r="C7" i="8" s="1"/>
  <c r="I18" i="3"/>
  <c r="I16" i="3"/>
  <c r="C8" i="2" s="1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E13" i="3"/>
  <c r="I14" i="3" l="1"/>
  <c r="C6" i="2" s="1"/>
  <c r="Q14" i="3"/>
  <c r="Y14" i="3"/>
  <c r="AG14" i="3"/>
  <c r="P14" i="3"/>
  <c r="J14" i="3"/>
  <c r="R14" i="3"/>
  <c r="Z14" i="3"/>
  <c r="AH14" i="3"/>
  <c r="AF14" i="3"/>
  <c r="K14" i="3"/>
  <c r="S14" i="3"/>
  <c r="AA14" i="3"/>
  <c r="AI14" i="3"/>
  <c r="L14" i="3"/>
  <c r="T14" i="3"/>
  <c r="AB14" i="3"/>
  <c r="AJ14" i="3"/>
  <c r="X14" i="3"/>
  <c r="M14" i="3"/>
  <c r="U14" i="3"/>
  <c r="AC14" i="3"/>
  <c r="AK14" i="3"/>
  <c r="AE14" i="3"/>
  <c r="N14" i="3"/>
  <c r="V14" i="3"/>
  <c r="AD14" i="3"/>
  <c r="AL14" i="3"/>
  <c r="W14" i="3"/>
  <c r="O14" i="3"/>
  <c r="J36" i="3"/>
  <c r="D7" i="10" s="1"/>
  <c r="J37" i="3"/>
  <c r="D8" i="10" s="1"/>
  <c r="J23" i="3"/>
  <c r="D8" i="8" s="1"/>
  <c r="J16" i="3"/>
  <c r="D8" i="2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J92" i="3"/>
  <c r="J15" i="3"/>
  <c r="D7" i="2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K92" i="3"/>
  <c r="K22" i="3"/>
  <c r="E7" i="8" s="1"/>
  <c r="K30" i="3"/>
  <c r="E8" i="9" s="1"/>
  <c r="K29" i="3"/>
  <c r="E7" i="9" s="1"/>
  <c r="K15" i="3"/>
  <c r="E7" i="2" s="1"/>
  <c r="K18" i="3"/>
  <c r="K23" i="3"/>
  <c r="E8" i="8" s="1"/>
  <c r="K16" i="3"/>
  <c r="E8" i="2" s="1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L93" i="3"/>
  <c r="L86" i="3"/>
  <c r="F8" i="17" s="1"/>
  <c r="L22" i="3"/>
  <c r="F7" i="8" s="1"/>
  <c r="L29" i="3"/>
  <c r="F7" i="9" s="1"/>
  <c r="L30" i="3"/>
  <c r="F8" i="9" s="1"/>
  <c r="L15" i="3"/>
  <c r="F7" i="2" s="1"/>
  <c r="L18" i="3"/>
  <c r="L23" i="3"/>
  <c r="F8" i="8" s="1"/>
  <c r="L16" i="3"/>
  <c r="F8" i="2" s="1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M93" i="3"/>
  <c r="M22" i="3"/>
  <c r="G7" i="8" s="1"/>
  <c r="M29" i="3"/>
  <c r="G7" i="9" s="1"/>
  <c r="M30" i="3"/>
  <c r="G8" i="9" s="1"/>
  <c r="M86" i="3"/>
  <c r="G8" i="17" s="1"/>
  <c r="M15" i="3"/>
  <c r="G7" i="2" s="1"/>
  <c r="M18" i="3"/>
  <c r="M16" i="3"/>
  <c r="G8" i="2" s="1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N91" i="3"/>
  <c r="K91" i="3"/>
  <c r="L91" i="3"/>
  <c r="I91" i="3"/>
  <c r="M91" i="3"/>
  <c r="L90" i="3"/>
  <c r="I90" i="3"/>
  <c r="M90" i="3"/>
  <c r="J90" i="3"/>
  <c r="N90" i="3"/>
  <c r="K90" i="3"/>
  <c r="K53" i="3"/>
  <c r="E3" i="13" s="1"/>
  <c r="L53" i="3"/>
  <c r="F3" i="13" s="1"/>
  <c r="I53" i="3"/>
  <c r="C3" i="13" s="1"/>
  <c r="M53" i="3"/>
  <c r="G3" i="13" s="1"/>
  <c r="J53" i="3"/>
  <c r="D3" i="13" s="1"/>
  <c r="N53" i="3"/>
  <c r="J89" i="3"/>
  <c r="N89" i="3"/>
  <c r="K89" i="3"/>
  <c r="L89" i="3"/>
  <c r="I89" i="3"/>
  <c r="M89" i="3"/>
  <c r="L88" i="3"/>
  <c r="I88" i="3"/>
  <c r="N88" i="3"/>
  <c r="J88" i="3"/>
  <c r="K88" i="3"/>
  <c r="M88" i="3"/>
  <c r="J87" i="3"/>
  <c r="N87" i="3"/>
  <c r="L87" i="3"/>
  <c r="M87" i="3"/>
  <c r="I87" i="3"/>
  <c r="K87" i="3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N92" i="3"/>
  <c r="N86" i="3"/>
  <c r="H8" i="17" s="1"/>
  <c r="N15" i="3"/>
  <c r="H7" i="2" s="1"/>
  <c r="N22" i="3"/>
  <c r="H7" i="8" s="1"/>
  <c r="N30" i="3"/>
  <c r="H8" i="9" s="1"/>
  <c r="N29" i="3"/>
  <c r="H7" i="9" s="1"/>
  <c r="N18" i="3"/>
  <c r="N16" i="3"/>
  <c r="H8" i="2" s="1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I12" i="3"/>
  <c r="C4" i="2" s="1"/>
  <c r="J12" i="3"/>
  <c r="D4" i="2" s="1"/>
  <c r="K12" i="3"/>
  <c r="E4" i="2" s="1"/>
  <c r="L12" i="3"/>
  <c r="F4" i="2" s="1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M12" i="3"/>
  <c r="G4" i="2" s="1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 s="1"/>
  <c r="H2" i="11"/>
  <c r="H3" i="13"/>
  <c r="H6" i="12"/>
  <c r="H4" i="14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O92" i="3"/>
  <c r="O29" i="3"/>
  <c r="I7" i="9" s="1"/>
  <c r="O30" i="3"/>
  <c r="I8" i="9" s="1"/>
  <c r="O22" i="3"/>
  <c r="I7" i="8" s="1"/>
  <c r="O15" i="3"/>
  <c r="I7" i="2" s="1"/>
  <c r="O18" i="3"/>
  <c r="O16" i="3"/>
  <c r="I8" i="2" s="1"/>
  <c r="O53" i="3"/>
  <c r="I3" i="13" s="1"/>
  <c r="O88" i="3"/>
  <c r="O87" i="3"/>
  <c r="O91" i="3"/>
  <c r="O89" i="3"/>
  <c r="O42" i="3"/>
  <c r="I6" i="11" s="1"/>
  <c r="O52" i="3"/>
  <c r="I2" i="13" s="1"/>
  <c r="O90" i="3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 s="1"/>
  <c r="E21" i="3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P93" i="3"/>
  <c r="P22" i="3"/>
  <c r="J7" i="8" s="1"/>
  <c r="P29" i="3"/>
  <c r="J7" i="9" s="1"/>
  <c r="P15" i="3"/>
  <c r="J7" i="2" s="1"/>
  <c r="P30" i="3"/>
  <c r="J8" i="9" s="1"/>
  <c r="P86" i="3"/>
  <c r="J8" i="17" s="1"/>
  <c r="P18" i="3"/>
  <c r="P16" i="3"/>
  <c r="J8" i="2" s="1"/>
  <c r="P53" i="3"/>
  <c r="J3" i="13" s="1"/>
  <c r="P91" i="3"/>
  <c r="P89" i="3"/>
  <c r="P23" i="3"/>
  <c r="J8" i="8" s="1"/>
  <c r="P90" i="3"/>
  <c r="P88" i="3"/>
  <c r="P87" i="3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 s="1"/>
  <c r="F25" i="3"/>
  <c r="F26" i="3"/>
  <c r="F28" i="3"/>
  <c r="F31" i="3"/>
  <c r="F32" i="3"/>
  <c r="F81" i="3"/>
  <c r="F24" i="3"/>
  <c r="F33" i="3"/>
  <c r="F83" i="3"/>
  <c r="F80" i="3"/>
  <c r="F35" i="3"/>
  <c r="F84" i="3"/>
  <c r="N24" i="3" l="1"/>
  <c r="V24" i="3"/>
  <c r="AD24" i="3"/>
  <c r="AL24" i="3"/>
  <c r="O24" i="3"/>
  <c r="W24" i="3"/>
  <c r="AE24" i="3"/>
  <c r="I24" i="3"/>
  <c r="C2" i="9" s="1"/>
  <c r="P24" i="3"/>
  <c r="X24" i="3"/>
  <c r="AF24" i="3"/>
  <c r="Q24" i="3"/>
  <c r="Y24" i="3"/>
  <c r="AG24" i="3"/>
  <c r="J24" i="3"/>
  <c r="R24" i="3"/>
  <c r="Z24" i="3"/>
  <c r="AH24" i="3"/>
  <c r="AK24" i="3"/>
  <c r="K24" i="3"/>
  <c r="S24" i="3"/>
  <c r="AA24" i="3"/>
  <c r="AI24" i="3"/>
  <c r="AC24" i="3"/>
  <c r="L24" i="3"/>
  <c r="T24" i="3"/>
  <c r="AB24" i="3"/>
  <c r="AJ24" i="3"/>
  <c r="U24" i="3"/>
  <c r="M24" i="3"/>
  <c r="E2" i="10"/>
  <c r="J80" i="3"/>
  <c r="R80" i="3"/>
  <c r="Z80" i="3"/>
  <c r="AH80" i="3"/>
  <c r="K80" i="3"/>
  <c r="E2" i="17" s="1"/>
  <c r="S80" i="3"/>
  <c r="AA80" i="3"/>
  <c r="AI80" i="3"/>
  <c r="W80" i="3"/>
  <c r="X80" i="3"/>
  <c r="AF80" i="3"/>
  <c r="Q80" i="3"/>
  <c r="Y80" i="3"/>
  <c r="AG80" i="3"/>
  <c r="L80" i="3"/>
  <c r="T80" i="3"/>
  <c r="AB80" i="3"/>
  <c r="AJ80" i="3"/>
  <c r="V80" i="3"/>
  <c r="AD80" i="3"/>
  <c r="AL80" i="3"/>
  <c r="O80" i="3"/>
  <c r="AE80" i="3"/>
  <c r="I80" i="3"/>
  <c r="C2" i="17" s="1"/>
  <c r="P80" i="3"/>
  <c r="M80" i="3"/>
  <c r="U80" i="3"/>
  <c r="AC80" i="3"/>
  <c r="AK80" i="3"/>
  <c r="N80" i="3"/>
  <c r="Q36" i="3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Q93" i="3"/>
  <c r="Q22" i="3"/>
  <c r="K7" i="8" s="1"/>
  <c r="Q30" i="3"/>
  <c r="K8" i="9" s="1"/>
  <c r="Q86" i="3"/>
  <c r="K8" i="17" s="1"/>
  <c r="Q29" i="3"/>
  <c r="K7" i="9" s="1"/>
  <c r="Q15" i="3"/>
  <c r="K7" i="2" s="1"/>
  <c r="Q18" i="3"/>
  <c r="Q16" i="3"/>
  <c r="K8" i="2" s="1"/>
  <c r="Q23" i="3"/>
  <c r="K8" i="8" s="1"/>
  <c r="Q87" i="3"/>
  <c r="Q53" i="3"/>
  <c r="K3" i="13" s="1"/>
  <c r="Q52" i="3"/>
  <c r="K2" i="13" s="1"/>
  <c r="Q91" i="3"/>
  <c r="Q89" i="3"/>
  <c r="Q90" i="3"/>
  <c r="Q88" i="3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O33" i="3"/>
  <c r="L33" i="3"/>
  <c r="P33" i="3"/>
  <c r="I33" i="3"/>
  <c r="M33" i="3"/>
  <c r="Q33" i="3"/>
  <c r="J33" i="3"/>
  <c r="N33" i="3"/>
  <c r="I2" i="10"/>
  <c r="F2" i="10"/>
  <c r="J2" i="10"/>
  <c r="C2" i="10"/>
  <c r="G2" i="10"/>
  <c r="K2" i="10"/>
  <c r="H2" i="10"/>
  <c r="D2" i="10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G2" i="9"/>
  <c r="K2" i="9"/>
  <c r="D2" i="9"/>
  <c r="H2" i="9"/>
  <c r="E2" i="9"/>
  <c r="I2" i="9"/>
  <c r="F2" i="9"/>
  <c r="J2" i="9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F2" i="17"/>
  <c r="J2" i="17"/>
  <c r="G2" i="17"/>
  <c r="K2" i="17"/>
  <c r="D2" i="17"/>
  <c r="H2" i="17"/>
  <c r="I2" i="17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 s="1"/>
  <c r="B2" i="10"/>
  <c r="F13" i="3"/>
  <c r="B6" i="9"/>
  <c r="F21" i="3"/>
  <c r="B4" i="9"/>
  <c r="B2" i="17"/>
  <c r="B3" i="17"/>
  <c r="B6" i="17"/>
  <c r="F11" i="3"/>
  <c r="I11" i="3" s="1"/>
  <c r="B5" i="17"/>
  <c r="B3" i="10"/>
  <c r="F10" i="3"/>
  <c r="H10" i="3" s="1"/>
  <c r="B6" i="10"/>
  <c r="F17" i="3"/>
  <c r="B3" i="9"/>
  <c r="P17" i="3" l="1"/>
  <c r="X17" i="3"/>
  <c r="AF17" i="3"/>
  <c r="Q17" i="3"/>
  <c r="Y17" i="3"/>
  <c r="AG17" i="3"/>
  <c r="AE17" i="3"/>
  <c r="J17" i="3"/>
  <c r="D2" i="8" s="1"/>
  <c r="R17" i="3"/>
  <c r="Z17" i="3"/>
  <c r="AH17" i="3"/>
  <c r="O17" i="3"/>
  <c r="K17" i="3"/>
  <c r="S17" i="3"/>
  <c r="AA17" i="3"/>
  <c r="AI17" i="3"/>
  <c r="I17" i="3"/>
  <c r="L17" i="3"/>
  <c r="T17" i="3"/>
  <c r="AB17" i="3"/>
  <c r="AJ17" i="3"/>
  <c r="M17" i="3"/>
  <c r="U17" i="3"/>
  <c r="AC17" i="3"/>
  <c r="AK17" i="3"/>
  <c r="N17" i="3"/>
  <c r="V17" i="3"/>
  <c r="AD17" i="3"/>
  <c r="AL17" i="3"/>
  <c r="W17" i="3"/>
  <c r="O10" i="3"/>
  <c r="I2" i="2" s="1"/>
  <c r="P10" i="3"/>
  <c r="J2" i="2" s="1"/>
  <c r="R10" i="3"/>
  <c r="L2" i="2" s="1"/>
  <c r="K10" i="3"/>
  <c r="E2" i="2" s="1"/>
  <c r="I10" i="3"/>
  <c r="C2" i="2" s="1"/>
  <c r="M10" i="3"/>
  <c r="G2" i="2" s="1"/>
  <c r="B2" i="2"/>
  <c r="Q10" i="3"/>
  <c r="K2" i="2" s="1"/>
  <c r="J10" i="3"/>
  <c r="D2" i="2" s="1"/>
  <c r="S10" i="3"/>
  <c r="M2" i="2" s="1"/>
  <c r="L10" i="3"/>
  <c r="F2" i="2" s="1"/>
  <c r="N10" i="3"/>
  <c r="H2" i="2" s="1"/>
  <c r="Y10" i="3"/>
  <c r="S2" i="2" s="1"/>
  <c r="AG10" i="3"/>
  <c r="AA2" i="2" s="1"/>
  <c r="Z10" i="3"/>
  <c r="T2" i="2" s="1"/>
  <c r="AA10" i="3"/>
  <c r="U2" i="2" s="1"/>
  <c r="AI10" i="3"/>
  <c r="AC2" i="2" s="1"/>
  <c r="AE10" i="3"/>
  <c r="Y2" i="2" s="1"/>
  <c r="T10" i="3"/>
  <c r="N2" i="2" s="1"/>
  <c r="AB10" i="3"/>
  <c r="V2" i="2" s="1"/>
  <c r="AJ10" i="3"/>
  <c r="AD2" i="2" s="1"/>
  <c r="AF10" i="3"/>
  <c r="Z2" i="2" s="1"/>
  <c r="AH10" i="3"/>
  <c r="AB2" i="2" s="1"/>
  <c r="U10" i="3"/>
  <c r="O2" i="2" s="1"/>
  <c r="AC10" i="3"/>
  <c r="W2" i="2" s="1"/>
  <c r="AK10" i="3"/>
  <c r="AE2" i="2" s="1"/>
  <c r="W10" i="3"/>
  <c r="Q2" i="2" s="1"/>
  <c r="X10" i="3"/>
  <c r="R2" i="2" s="1"/>
  <c r="V10" i="3"/>
  <c r="P2" i="2" s="1"/>
  <c r="AD10" i="3"/>
  <c r="X2" i="2" s="1"/>
  <c r="AL10" i="3"/>
  <c r="AF2" i="2" s="1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L2" i="9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R92" i="3"/>
  <c r="R22" i="3"/>
  <c r="L7" i="8" s="1"/>
  <c r="R86" i="3"/>
  <c r="L8" i="17" s="1"/>
  <c r="R30" i="3"/>
  <c r="L8" i="9" s="1"/>
  <c r="R29" i="3"/>
  <c r="L7" i="9" s="1"/>
  <c r="R15" i="3"/>
  <c r="L7" i="2" s="1"/>
  <c r="R18" i="3"/>
  <c r="L3" i="8" s="1"/>
  <c r="R16" i="3"/>
  <c r="L8" i="2" s="1"/>
  <c r="R23" i="3"/>
  <c r="L8" i="8" s="1"/>
  <c r="R90" i="3"/>
  <c r="R42" i="3"/>
  <c r="L6" i="11" s="1"/>
  <c r="R88" i="3"/>
  <c r="R87" i="3"/>
  <c r="R91" i="3"/>
  <c r="R53" i="3"/>
  <c r="L3" i="13" s="1"/>
  <c r="R89" i="3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L2" i="17"/>
  <c r="L2" i="10"/>
  <c r="R33" i="3"/>
  <c r="E2" i="8"/>
  <c r="I2" i="8"/>
  <c r="F2" i="8"/>
  <c r="J2" i="8"/>
  <c r="H2" i="8"/>
  <c r="C2" i="8"/>
  <c r="G2" i="8"/>
  <c r="K2" i="8"/>
  <c r="L2" i="8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S13" i="3" s="1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 s="1"/>
  <c r="J11" i="3"/>
  <c r="D3" i="2" s="1"/>
  <c r="R11" i="3"/>
  <c r="L3" i="2" s="1"/>
  <c r="K11" i="3"/>
  <c r="E3" i="2" s="1"/>
  <c r="L11" i="3"/>
  <c r="F3" i="2" s="1"/>
  <c r="M11" i="3"/>
  <c r="G3" i="2" s="1"/>
  <c r="N11" i="3"/>
  <c r="H3" i="2" s="1"/>
  <c r="C3" i="2"/>
  <c r="O11" i="3"/>
  <c r="I3" i="2" s="1"/>
  <c r="P11" i="3"/>
  <c r="J3" i="2" s="1"/>
  <c r="Q11" i="3"/>
  <c r="K3" i="2" s="1"/>
  <c r="O13" i="3"/>
  <c r="I5" i="2" s="1"/>
  <c r="P13" i="3"/>
  <c r="J5" i="2" s="1"/>
  <c r="I13" i="3"/>
  <c r="C5" i="2" s="1"/>
  <c r="Q13" i="3"/>
  <c r="K5" i="2" s="1"/>
  <c r="J13" i="3"/>
  <c r="D5" i="2" s="1"/>
  <c r="R13" i="3"/>
  <c r="L5" i="2" s="1"/>
  <c r="K13" i="3"/>
  <c r="E5" i="2" s="1"/>
  <c r="L13" i="3"/>
  <c r="F5" i="2" s="1"/>
  <c r="N13" i="3"/>
  <c r="H5" i="2" s="1"/>
  <c r="M13" i="3"/>
  <c r="G5" i="2" s="1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36" i="3" l="1"/>
  <c r="M7" i="10" s="1"/>
  <c r="S37" i="3"/>
  <c r="M8" i="10" s="1"/>
  <c r="M6" i="2"/>
  <c r="S11" i="3"/>
  <c r="M3" i="2" s="1"/>
  <c r="S35" i="3"/>
  <c r="M6" i="10" s="1"/>
  <c r="M2" i="9"/>
  <c r="M2" i="17"/>
  <c r="S32" i="3"/>
  <c r="M3" i="10" s="1"/>
  <c r="S28" i="3"/>
  <c r="M6" i="9" s="1"/>
  <c r="M2" i="10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S92" i="3"/>
  <c r="S22" i="3"/>
  <c r="M7" i="8" s="1"/>
  <c r="S30" i="3"/>
  <c r="M8" i="9" s="1"/>
  <c r="S15" i="3"/>
  <c r="M7" i="2" s="1"/>
  <c r="S18" i="3"/>
  <c r="M3" i="8" s="1"/>
  <c r="S16" i="3"/>
  <c r="M8" i="2" s="1"/>
  <c r="S23" i="3"/>
  <c r="M8" i="8" s="1"/>
  <c r="S90" i="3"/>
  <c r="S53" i="3"/>
  <c r="M3" i="13" s="1"/>
  <c r="S91" i="3"/>
  <c r="S89" i="3"/>
  <c r="S88" i="3"/>
  <c r="S87" i="3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S26" i="3"/>
  <c r="M4" i="9" s="1"/>
  <c r="S83" i="3"/>
  <c r="M5" i="17" s="1"/>
  <c r="S21" i="3"/>
  <c r="M6" i="8" s="1"/>
  <c r="M2" i="8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 s="1"/>
  <c r="T36" i="3" l="1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T22" i="3"/>
  <c r="N7" i="8" s="1"/>
  <c r="T93" i="3"/>
  <c r="T29" i="3"/>
  <c r="N7" i="9" s="1"/>
  <c r="T30" i="3"/>
  <c r="N8" i="9" s="1"/>
  <c r="T86" i="3"/>
  <c r="N8" i="17" s="1"/>
  <c r="T15" i="3"/>
  <c r="N7" i="2" s="1"/>
  <c r="T18" i="3"/>
  <c r="N3" i="8" s="1"/>
  <c r="T23" i="3"/>
  <c r="N8" i="8" s="1"/>
  <c r="T16" i="3"/>
  <c r="N8" i="2" s="1"/>
  <c r="T42" i="3"/>
  <c r="T53" i="3"/>
  <c r="N3" i="13" s="1"/>
  <c r="T87" i="3"/>
  <c r="T91" i="3"/>
  <c r="T89" i="3"/>
  <c r="T90" i="3"/>
  <c r="T88" i="3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T26" i="3"/>
  <c r="N4" i="9" s="1"/>
  <c r="T83" i="3"/>
  <c r="N5" i="17" s="1"/>
  <c r="T28" i="3"/>
  <c r="N6" i="9" s="1"/>
  <c r="T32" i="3"/>
  <c r="N3" i="10" s="1"/>
  <c r="N2" i="17"/>
  <c r="N2" i="8"/>
  <c r="T21" i="3"/>
  <c r="N6" i="8" s="1"/>
  <c r="N2" i="10"/>
  <c r="N2" i="9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 s="1"/>
  <c r="N6" i="11"/>
  <c r="T13" i="3"/>
  <c r="N5" i="2" s="1"/>
  <c r="T11" i="3"/>
  <c r="N3" i="2" s="1"/>
  <c r="N6" i="2"/>
  <c r="U25" i="3" l="1"/>
  <c r="O3" i="9" s="1"/>
  <c r="U32" i="3"/>
  <c r="O3" i="10" s="1"/>
  <c r="U21" i="3"/>
  <c r="O6" i="8" s="1"/>
  <c r="O6" i="2"/>
  <c r="U11" i="3"/>
  <c r="O3" i="2" s="1"/>
  <c r="U35" i="3"/>
  <c r="O6" i="10" s="1"/>
  <c r="O2" i="9"/>
  <c r="O2" i="10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U93" i="3"/>
  <c r="U30" i="3"/>
  <c r="O8" i="9" s="1"/>
  <c r="U86" i="3"/>
  <c r="O8" i="17" s="1"/>
  <c r="U22" i="3"/>
  <c r="O7" i="8" s="1"/>
  <c r="U29" i="3"/>
  <c r="O7" i="9" s="1"/>
  <c r="U15" i="3"/>
  <c r="O7" i="2" s="1"/>
  <c r="U18" i="3"/>
  <c r="O3" i="8" s="1"/>
  <c r="U23" i="3"/>
  <c r="O8" i="8" s="1"/>
  <c r="U16" i="3"/>
  <c r="O8" i="2" s="1"/>
  <c r="U90" i="3"/>
  <c r="U87" i="3"/>
  <c r="U42" i="3"/>
  <c r="O6" i="11" s="1"/>
  <c r="U88" i="3"/>
  <c r="U53" i="3"/>
  <c r="O3" i="13" s="1"/>
  <c r="U91" i="3"/>
  <c r="U89" i="3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U83" i="3"/>
  <c r="O5" i="17" s="1"/>
  <c r="O2" i="8"/>
  <c r="O2" i="17"/>
  <c r="U28" i="3"/>
  <c r="O6" i="9" s="1"/>
  <c r="V9" i="3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 s="1"/>
  <c r="U13" i="3"/>
  <c r="O5" i="2" s="1"/>
  <c r="V36" i="3" l="1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V92" i="3"/>
  <c r="V22" i="3"/>
  <c r="P7" i="8" s="1"/>
  <c r="V30" i="3"/>
  <c r="P8" i="9" s="1"/>
  <c r="V29" i="3"/>
  <c r="P7" i="9" s="1"/>
  <c r="V86" i="3"/>
  <c r="P8" i="17" s="1"/>
  <c r="V15" i="3"/>
  <c r="P7" i="2" s="1"/>
  <c r="V18" i="3"/>
  <c r="P3" i="8" s="1"/>
  <c r="V16" i="3"/>
  <c r="P8" i="2" s="1"/>
  <c r="V23" i="3"/>
  <c r="P8" i="8" s="1"/>
  <c r="V88" i="3"/>
  <c r="V90" i="3"/>
  <c r="V42" i="3"/>
  <c r="P6" i="11" s="1"/>
  <c r="V87" i="3"/>
  <c r="V91" i="3"/>
  <c r="V53" i="3"/>
  <c r="P3" i="13" s="1"/>
  <c r="V89" i="3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V81" i="3"/>
  <c r="P3" i="17" s="1"/>
  <c r="V84" i="3"/>
  <c r="P6" i="17" s="1"/>
  <c r="V26" i="3"/>
  <c r="P4" i="9" s="1"/>
  <c r="V83" i="3"/>
  <c r="P5" i="17" s="1"/>
  <c r="P2" i="8"/>
  <c r="V28" i="3"/>
  <c r="P6" i="9" s="1"/>
  <c r="V21" i="3"/>
  <c r="P6" i="8" s="1"/>
  <c r="P2" i="9"/>
  <c r="P2" i="10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 s="1"/>
  <c r="V13" i="3"/>
  <c r="P5" i="2" s="1"/>
  <c r="V11" i="3"/>
  <c r="P3" i="2" s="1"/>
  <c r="P6" i="2"/>
  <c r="W11" i="3" l="1"/>
  <c r="Q3" i="2" s="1"/>
  <c r="Q6" i="2"/>
  <c r="W36" i="3"/>
  <c r="Q7" i="10" s="1"/>
  <c r="W37" i="3"/>
  <c r="Q8" i="10" s="1"/>
  <c r="W21" i="3"/>
  <c r="Q6" i="8" s="1"/>
  <c r="Q2" i="10"/>
  <c r="Q2" i="8"/>
  <c r="W25" i="3"/>
  <c r="Q3" i="9" s="1"/>
  <c r="W28" i="3"/>
  <c r="Q6" i="9" s="1"/>
  <c r="Q2" i="9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W92" i="3"/>
  <c r="W22" i="3"/>
  <c r="Q7" i="8" s="1"/>
  <c r="W30" i="3"/>
  <c r="Q8" i="9" s="1"/>
  <c r="W29" i="3"/>
  <c r="Q7" i="9" s="1"/>
  <c r="W15" i="3"/>
  <c r="Q7" i="2" s="1"/>
  <c r="W18" i="3"/>
  <c r="Q3" i="8" s="1"/>
  <c r="W16" i="3"/>
  <c r="Q8" i="2" s="1"/>
  <c r="W23" i="3"/>
  <c r="Q8" i="8" s="1"/>
  <c r="W90" i="3"/>
  <c r="W87" i="3"/>
  <c r="W53" i="3"/>
  <c r="Q3" i="13" s="1"/>
  <c r="W88" i="3"/>
  <c r="W91" i="3"/>
  <c r="W89" i="3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W26" i="3"/>
  <c r="Q4" i="9" s="1"/>
  <c r="W83" i="3"/>
  <c r="Q5" i="17" s="1"/>
  <c r="Q2" i="17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 s="1"/>
  <c r="W13" i="3"/>
  <c r="Q5" i="2" s="1"/>
  <c r="R2" i="10" l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X93" i="3"/>
  <c r="X22" i="3"/>
  <c r="R7" i="8" s="1"/>
  <c r="X30" i="3"/>
  <c r="R8" i="9" s="1"/>
  <c r="X86" i="3"/>
  <c r="R8" i="17" s="1"/>
  <c r="X29" i="3"/>
  <c r="R7" i="9" s="1"/>
  <c r="X15" i="3"/>
  <c r="R7" i="2" s="1"/>
  <c r="X18" i="3"/>
  <c r="R3" i="8" s="1"/>
  <c r="X23" i="3"/>
  <c r="R8" i="8" s="1"/>
  <c r="X16" i="3"/>
  <c r="R8" i="2" s="1"/>
  <c r="X90" i="3"/>
  <c r="X88" i="3"/>
  <c r="X52" i="3"/>
  <c r="R2" i="13" s="1"/>
  <c r="X53" i="3"/>
  <c r="R3" i="13" s="1"/>
  <c r="X42" i="3"/>
  <c r="R6" i="11" s="1"/>
  <c r="X91" i="3"/>
  <c r="X89" i="3"/>
  <c r="X87" i="3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X26" i="3"/>
  <c r="R4" i="9" s="1"/>
  <c r="X83" i="3"/>
  <c r="R5" i="17" s="1"/>
  <c r="X35" i="3"/>
  <c r="R6" i="10" s="1"/>
  <c r="X28" i="3"/>
  <c r="R6" i="9" s="1"/>
  <c r="R2" i="17"/>
  <c r="R2" i="8"/>
  <c r="X25" i="3"/>
  <c r="R3" i="9" s="1"/>
  <c r="R2" i="9"/>
  <c r="X32" i="3"/>
  <c r="R3" i="10" s="1"/>
  <c r="Y9" i="3"/>
  <c r="S6" i="2" s="1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 s="1"/>
  <c r="X13" i="3"/>
  <c r="R5" i="2" s="1"/>
  <c r="X11" i="3"/>
  <c r="R3" i="2" s="1"/>
  <c r="R6" i="2"/>
  <c r="Y11" i="3" l="1"/>
  <c r="S3" i="2" s="1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Y93" i="3"/>
  <c r="Y30" i="3"/>
  <c r="S8" i="9" s="1"/>
  <c r="Y86" i="3"/>
  <c r="S8" i="17" s="1"/>
  <c r="Y29" i="3"/>
  <c r="S7" i="9" s="1"/>
  <c r="Y22" i="3"/>
  <c r="S7" i="8" s="1"/>
  <c r="Y15" i="3"/>
  <c r="S7" i="2" s="1"/>
  <c r="Y18" i="3"/>
  <c r="S3" i="8" s="1"/>
  <c r="Y16" i="3"/>
  <c r="S8" i="2" s="1"/>
  <c r="Y23" i="3"/>
  <c r="S8" i="8" s="1"/>
  <c r="Y91" i="3"/>
  <c r="Y89" i="3"/>
  <c r="Y90" i="3"/>
  <c r="Y42" i="3"/>
  <c r="S6" i="11" s="1"/>
  <c r="Y87" i="3"/>
  <c r="Y53" i="3"/>
  <c r="S3" i="13" s="1"/>
  <c r="Y88" i="3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Y83" i="3"/>
  <c r="S5" i="17" s="1"/>
  <c r="Y84" i="3"/>
  <c r="S6" i="17" s="1"/>
  <c r="Y81" i="3"/>
  <c r="S3" i="17" s="1"/>
  <c r="Y26" i="3"/>
  <c r="S4" i="9" s="1"/>
  <c r="Y35" i="3"/>
  <c r="S6" i="10" s="1"/>
  <c r="S2" i="17"/>
  <c r="Y25" i="3"/>
  <c r="S3" i="9" s="1"/>
  <c r="Y28" i="3"/>
  <c r="S6" i="9" s="1"/>
  <c r="Y32" i="3"/>
  <c r="S3" i="10" s="1"/>
  <c r="S2" i="9"/>
  <c r="S2" i="10"/>
  <c r="Y21" i="3"/>
  <c r="S6" i="8" s="1"/>
  <c r="S2" i="8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 s="1"/>
  <c r="Y13" i="3"/>
  <c r="S5" i="2" s="1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Z92" i="3"/>
  <c r="Z30" i="3"/>
  <c r="T8" i="9" s="1"/>
  <c r="Z29" i="3"/>
  <c r="T7" i="9" s="1"/>
  <c r="Z22" i="3"/>
  <c r="T7" i="8" s="1"/>
  <c r="Z86" i="3"/>
  <c r="T8" i="17" s="1"/>
  <c r="Z15" i="3"/>
  <c r="T7" i="2" s="1"/>
  <c r="Z18" i="3"/>
  <c r="T3" i="8" s="1"/>
  <c r="Z23" i="3"/>
  <c r="T8" i="8" s="1"/>
  <c r="Z16" i="3"/>
  <c r="T8" i="2" s="1"/>
  <c r="Z91" i="3"/>
  <c r="Z53" i="3"/>
  <c r="T3" i="13" s="1"/>
  <c r="Z89" i="3"/>
  <c r="Z90" i="3"/>
  <c r="Z88" i="3"/>
  <c r="Z42" i="3"/>
  <c r="T6" i="11" s="1"/>
  <c r="Z87" i="3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T2" i="9"/>
  <c r="Z28" i="3"/>
  <c r="T6" i="9" s="1"/>
  <c r="T2" i="10"/>
  <c r="T2" i="8"/>
  <c r="T2" i="17"/>
  <c r="Z25" i="3"/>
  <c r="T3" i="9" s="1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 s="1"/>
  <c r="Z13" i="3"/>
  <c r="T5" i="2" s="1"/>
  <c r="Z11" i="3"/>
  <c r="T3" i="2" s="1"/>
  <c r="T6" i="2"/>
  <c r="U6" i="2" l="1"/>
  <c r="AA11" i="3"/>
  <c r="U3" i="2" s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AA92" i="3"/>
  <c r="AA22" i="3"/>
  <c r="U7" i="8" s="1"/>
  <c r="AA29" i="3"/>
  <c r="U7" i="9" s="1"/>
  <c r="AA30" i="3"/>
  <c r="U8" i="9" s="1"/>
  <c r="AA15" i="3"/>
  <c r="U7" i="2" s="1"/>
  <c r="AA18" i="3"/>
  <c r="U3" i="8" s="1"/>
  <c r="AA16" i="3"/>
  <c r="U8" i="2" s="1"/>
  <c r="AA23" i="3"/>
  <c r="U8" i="8" s="1"/>
  <c r="AA91" i="3"/>
  <c r="AA89" i="3"/>
  <c r="AA42" i="3"/>
  <c r="U6" i="11" s="1"/>
  <c r="AA88" i="3"/>
  <c r="AA87" i="3"/>
  <c r="AA90" i="3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AA26" i="3"/>
  <c r="U4" i="9" s="1"/>
  <c r="AA83" i="3"/>
  <c r="U5" i="17" s="1"/>
  <c r="AA81" i="3"/>
  <c r="U3" i="17" s="1"/>
  <c r="AA84" i="3"/>
  <c r="U6" i="17" s="1"/>
  <c r="U2" i="10"/>
  <c r="AA28" i="3"/>
  <c r="U6" i="9" s="1"/>
  <c r="AA35" i="3"/>
  <c r="U6" i="10" s="1"/>
  <c r="AA32" i="3"/>
  <c r="U3" i="10" s="1"/>
  <c r="U2" i="9"/>
  <c r="U2" i="8"/>
  <c r="AA21" i="3"/>
  <c r="U6" i="8" s="1"/>
  <c r="U2" i="17"/>
  <c r="AA25" i="3"/>
  <c r="U3" i="9" s="1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 s="1"/>
  <c r="AA13" i="3"/>
  <c r="U5" i="2" s="1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AB93" i="3"/>
  <c r="AB22" i="3"/>
  <c r="V7" i="8" s="1"/>
  <c r="AB29" i="3"/>
  <c r="V7" i="9" s="1"/>
  <c r="AB30" i="3"/>
  <c r="V8" i="9" s="1"/>
  <c r="AB86" i="3"/>
  <c r="V8" i="17" s="1"/>
  <c r="AB15" i="3"/>
  <c r="V7" i="2" s="1"/>
  <c r="AB18" i="3"/>
  <c r="V3" i="8" s="1"/>
  <c r="AB16" i="3"/>
  <c r="V8" i="2" s="1"/>
  <c r="AB91" i="3"/>
  <c r="AB89" i="3"/>
  <c r="AB90" i="3"/>
  <c r="AB88" i="3"/>
  <c r="AB42" i="3"/>
  <c r="V6" i="11" s="1"/>
  <c r="AB87" i="3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AB26" i="3"/>
  <c r="V4" i="9" s="1"/>
  <c r="AB83" i="3"/>
  <c r="V5" i="17" s="1"/>
  <c r="AB84" i="3"/>
  <c r="V6" i="17" s="1"/>
  <c r="AB81" i="3"/>
  <c r="V3" i="17" s="1"/>
  <c r="AB35" i="3"/>
  <c r="V6" i="10" s="1"/>
  <c r="V2" i="17"/>
  <c r="V2" i="10"/>
  <c r="AB32" i="3"/>
  <c r="V3" i="10" s="1"/>
  <c r="V2" i="8"/>
  <c r="V2" i="9"/>
  <c r="AB25" i="3"/>
  <c r="V3" i="9" s="1"/>
  <c r="AB28" i="3"/>
  <c r="V6" i="9" s="1"/>
  <c r="AB21" i="3"/>
  <c r="V6" i="8" s="1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 s="1"/>
  <c r="AB13" i="3"/>
  <c r="V5" i="2" s="1"/>
  <c r="AB11" i="3"/>
  <c r="V3" i="2" s="1"/>
  <c r="V6" i="2"/>
  <c r="W6" i="2" l="1"/>
  <c r="AC11" i="3"/>
  <c r="W3" i="2" s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AC93" i="3"/>
  <c r="AC22" i="3"/>
  <c r="W7" i="8" s="1"/>
  <c r="AC86" i="3"/>
  <c r="W8" i="17" s="1"/>
  <c r="AC29" i="3"/>
  <c r="W7" i="9" s="1"/>
  <c r="AC30" i="3"/>
  <c r="W8" i="9" s="1"/>
  <c r="AC15" i="3"/>
  <c r="W7" i="2" s="1"/>
  <c r="AC18" i="3"/>
  <c r="W3" i="8" s="1"/>
  <c r="AC16" i="3"/>
  <c r="W8" i="2" s="1"/>
  <c r="AC23" i="3"/>
  <c r="W8" i="8" s="1"/>
  <c r="AC53" i="3"/>
  <c r="W3" i="13" s="1"/>
  <c r="AC87" i="3"/>
  <c r="AC91" i="3"/>
  <c r="AC89" i="3"/>
  <c r="AC90" i="3"/>
  <c r="AC42" i="3"/>
  <c r="W6" i="11" s="1"/>
  <c r="AC88" i="3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AC83" i="3"/>
  <c r="W5" i="17" s="1"/>
  <c r="AC84" i="3"/>
  <c r="W6" i="17" s="1"/>
  <c r="AC81" i="3"/>
  <c r="W3" i="17" s="1"/>
  <c r="AC35" i="3"/>
  <c r="W6" i="10" s="1"/>
  <c r="W2" i="17"/>
  <c r="W2" i="10"/>
  <c r="AC28" i="3"/>
  <c r="W6" i="9" s="1"/>
  <c r="AC32" i="3"/>
  <c r="W3" i="10" s="1"/>
  <c r="AC25" i="3"/>
  <c r="W3" i="9" s="1"/>
  <c r="W2" i="8"/>
  <c r="W2" i="9"/>
  <c r="AC21" i="3"/>
  <c r="W6" i="8" s="1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 s="1"/>
  <c r="AC13" i="3"/>
  <c r="W5" i="2" s="1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AD92" i="3"/>
  <c r="AD29" i="3"/>
  <c r="X7" i="9" s="1"/>
  <c r="AD86" i="3"/>
  <c r="X8" i="17" s="1"/>
  <c r="AD22" i="3"/>
  <c r="X7" i="8" s="1"/>
  <c r="AD30" i="3"/>
  <c r="X8" i="9" s="1"/>
  <c r="AD15" i="3"/>
  <c r="X7" i="2" s="1"/>
  <c r="AD18" i="3"/>
  <c r="X3" i="8" s="1"/>
  <c r="AD16" i="3"/>
  <c r="X8" i="2" s="1"/>
  <c r="AD23" i="3"/>
  <c r="X8" i="8" s="1"/>
  <c r="AD88" i="3"/>
  <c r="AD87" i="3"/>
  <c r="AD91" i="3"/>
  <c r="AD53" i="3"/>
  <c r="X3" i="13" s="1"/>
  <c r="AD89" i="3"/>
  <c r="AD52" i="3"/>
  <c r="X2" i="13" s="1"/>
  <c r="AD90" i="3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AD81" i="3"/>
  <c r="X3" i="17" s="1"/>
  <c r="AD35" i="3"/>
  <c r="X6" i="10" s="1"/>
  <c r="X2" i="9"/>
  <c r="AD28" i="3"/>
  <c r="X6" i="9" s="1"/>
  <c r="X2" i="10"/>
  <c r="AD25" i="3"/>
  <c r="X3" i="9" s="1"/>
  <c r="X2" i="8"/>
  <c r="X2" i="17"/>
  <c r="AD32" i="3"/>
  <c r="X3" i="10" s="1"/>
  <c r="AD21" i="3"/>
  <c r="X6" i="8" s="1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 s="1"/>
  <c r="AD13" i="3"/>
  <c r="X5" i="2" s="1"/>
  <c r="X6" i="2"/>
  <c r="AD11" i="3"/>
  <c r="X3" i="2" s="1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AE86" i="3"/>
  <c r="Y8" i="17" s="1"/>
  <c r="AE92" i="3"/>
  <c r="AE29" i="3"/>
  <c r="Y7" i="9" s="1"/>
  <c r="AE22" i="3"/>
  <c r="Y7" i="8" s="1"/>
  <c r="AE30" i="3"/>
  <c r="Y8" i="9" s="1"/>
  <c r="AE15" i="3"/>
  <c r="Y7" i="2" s="1"/>
  <c r="AE18" i="3"/>
  <c r="Y3" i="8" s="1"/>
  <c r="AE23" i="3"/>
  <c r="Y8" i="8" s="1"/>
  <c r="AE16" i="3"/>
  <c r="Y8" i="2" s="1"/>
  <c r="AE53" i="3"/>
  <c r="Y3" i="13" s="1"/>
  <c r="AE91" i="3"/>
  <c r="AE89" i="3"/>
  <c r="AE42" i="3"/>
  <c r="Y6" i="11" s="1"/>
  <c r="AE52" i="3"/>
  <c r="Y2" i="13" s="1"/>
  <c r="AE90" i="3"/>
  <c r="AE88" i="3"/>
  <c r="AE87" i="3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AE26" i="3"/>
  <c r="Y4" i="9" s="1"/>
  <c r="AE83" i="3"/>
  <c r="Y5" i="17" s="1"/>
  <c r="AE81" i="3"/>
  <c r="Y3" i="17" s="1"/>
  <c r="AE35" i="3"/>
  <c r="Y6" i="10" s="1"/>
  <c r="AE25" i="3"/>
  <c r="Y3" i="9" s="1"/>
  <c r="Y2" i="17"/>
  <c r="Y2" i="10"/>
  <c r="Y2" i="9"/>
  <c r="AE32" i="3"/>
  <c r="Y3" i="10" s="1"/>
  <c r="AE28" i="3"/>
  <c r="Y6" i="9" s="1"/>
  <c r="AE21" i="3"/>
  <c r="Y6" i="8" s="1"/>
  <c r="Y2" i="8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 s="1"/>
  <c r="AE13" i="3"/>
  <c r="Y5" i="2" s="1"/>
  <c r="Y6" i="2"/>
  <c r="AE11" i="3"/>
  <c r="Y3" i="2" s="1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AF93" i="3"/>
  <c r="AF85" i="3"/>
  <c r="Z7" i="17" s="1"/>
  <c r="AF22" i="3"/>
  <c r="Z7" i="8" s="1"/>
  <c r="AF29" i="3"/>
  <c r="Z7" i="9" s="1"/>
  <c r="AF30" i="3"/>
  <c r="Z8" i="9" s="1"/>
  <c r="AF86" i="3"/>
  <c r="Z8" i="17" s="1"/>
  <c r="AF15" i="3"/>
  <c r="Z7" i="2" s="1"/>
  <c r="AF18" i="3"/>
  <c r="Z3" i="8" s="1"/>
  <c r="AF23" i="3"/>
  <c r="Z8" i="8" s="1"/>
  <c r="AF16" i="3"/>
  <c r="Z8" i="2" s="1"/>
  <c r="AF53" i="3"/>
  <c r="AF42" i="3"/>
  <c r="AF91" i="3"/>
  <c r="AF89" i="3"/>
  <c r="AF90" i="3"/>
  <c r="AF88" i="3"/>
  <c r="AF87" i="3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Z2" i="17"/>
  <c r="Z2" i="10"/>
  <c r="Z2" i="8"/>
  <c r="Z2" i="9"/>
  <c r="AF28" i="3"/>
  <c r="Z6" i="9" s="1"/>
  <c r="AF21" i="3"/>
  <c r="Z6" i="8" s="1"/>
  <c r="AF25" i="3"/>
  <c r="Z3" i="9" s="1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 s="1"/>
  <c r="Z3" i="13"/>
  <c r="Z6" i="11"/>
  <c r="AF13" i="3"/>
  <c r="Z5" i="2" s="1"/>
  <c r="Z6" i="2"/>
  <c r="AF11" i="3"/>
  <c r="Z3" i="2" s="1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G93" i="3"/>
  <c r="AG22" i="3"/>
  <c r="AA7" i="8" s="1"/>
  <c r="AG30" i="3"/>
  <c r="AA8" i="9" s="1"/>
  <c r="AG86" i="3"/>
  <c r="AA8" i="17" s="1"/>
  <c r="AG29" i="3"/>
  <c r="AA7" i="9" s="1"/>
  <c r="AG15" i="3"/>
  <c r="AA7" i="2" s="1"/>
  <c r="AG18" i="3"/>
  <c r="AA3" i="8" s="1"/>
  <c r="AG23" i="3"/>
  <c r="AA8" i="8" s="1"/>
  <c r="AG16" i="3"/>
  <c r="AA8" i="2" s="1"/>
  <c r="AG53" i="3"/>
  <c r="AG91" i="3"/>
  <c r="AG89" i="3"/>
  <c r="AG88" i="3"/>
  <c r="AG90" i="3"/>
  <c r="AG87" i="3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G83" i="3"/>
  <c r="AA5" i="17" s="1"/>
  <c r="AG25" i="3"/>
  <c r="AA3" i="9" s="1"/>
  <c r="AG35" i="3"/>
  <c r="AA6" i="10" s="1"/>
  <c r="AG28" i="3"/>
  <c r="AA6" i="9" s="1"/>
  <c r="AA2" i="10"/>
  <c r="AG32" i="3"/>
  <c r="AA3" i="10" s="1"/>
  <c r="AA2" i="17"/>
  <c r="AA2" i="9"/>
  <c r="AG21" i="3"/>
  <c r="AA6" i="8" s="1"/>
  <c r="AA2" i="8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 s="1"/>
  <c r="AA3" i="13"/>
  <c r="AG13" i="3"/>
  <c r="AA5" i="2" s="1"/>
  <c r="AG11" i="3"/>
  <c r="AA3" i="2" s="1"/>
  <c r="AA6" i="2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H92" i="3"/>
  <c r="AH22" i="3"/>
  <c r="AB7" i="8" s="1"/>
  <c r="AH86" i="3"/>
  <c r="AB8" i="17" s="1"/>
  <c r="AH29" i="3"/>
  <c r="AB7" i="9" s="1"/>
  <c r="AH30" i="3"/>
  <c r="AB8" i="9" s="1"/>
  <c r="AH15" i="3"/>
  <c r="AB7" i="2" s="1"/>
  <c r="AH18" i="3"/>
  <c r="AB3" i="8" s="1"/>
  <c r="AH23" i="3"/>
  <c r="AB8" i="8" s="1"/>
  <c r="AH90" i="3"/>
  <c r="AH88" i="3"/>
  <c r="AH87" i="3"/>
  <c r="AH42" i="3"/>
  <c r="AB6" i="11" s="1"/>
  <c r="AH91" i="3"/>
  <c r="AH53" i="3"/>
  <c r="AB3" i="13" s="1"/>
  <c r="AH89" i="3"/>
  <c r="AH16" i="3"/>
  <c r="AB8" i="2" s="1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H35" i="3"/>
  <c r="AB6" i="10" s="1"/>
  <c r="AB2" i="17"/>
  <c r="AH28" i="3"/>
  <c r="AB6" i="9" s="1"/>
  <c r="AB2" i="9"/>
  <c r="AH32" i="3"/>
  <c r="AB3" i="10" s="1"/>
  <c r="AH21" i="3"/>
  <c r="AB6" i="8" s="1"/>
  <c r="AB2" i="10"/>
  <c r="AH25" i="3"/>
  <c r="AB3" i="9" s="1"/>
  <c r="AB2" i="8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 s="1"/>
  <c r="AH13" i="3"/>
  <c r="AB5" i="2" s="1"/>
  <c r="AB6" i="2"/>
  <c r="AH11" i="3"/>
  <c r="AB3" i="2" s="1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I92" i="3"/>
  <c r="AI30" i="3"/>
  <c r="AC8" i="9" s="1"/>
  <c r="AI29" i="3"/>
  <c r="AC7" i="9" s="1"/>
  <c r="AI22" i="3"/>
  <c r="AC7" i="8" s="1"/>
  <c r="AI15" i="3"/>
  <c r="AC7" i="2" s="1"/>
  <c r="AI18" i="3"/>
  <c r="AC3" i="8" s="1"/>
  <c r="AI16" i="3"/>
  <c r="AC8" i="2" s="1"/>
  <c r="AI23" i="3"/>
  <c r="AC8" i="8" s="1"/>
  <c r="AI90" i="3"/>
  <c r="AI53" i="3"/>
  <c r="AC3" i="13" s="1"/>
  <c r="AI88" i="3"/>
  <c r="AI87" i="3"/>
  <c r="AI91" i="3"/>
  <c r="AI89" i="3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I26" i="3"/>
  <c r="AC4" i="9" s="1"/>
  <c r="AI83" i="3"/>
  <c r="AC5" i="17" s="1"/>
  <c r="AI35" i="3"/>
  <c r="AC6" i="10" s="1"/>
  <c r="AC2" i="10"/>
  <c r="AI32" i="3"/>
  <c r="AC3" i="10" s="1"/>
  <c r="AI28" i="3"/>
  <c r="AC6" i="9" s="1"/>
  <c r="AC2" i="9"/>
  <c r="AI21" i="3"/>
  <c r="AC6" i="8" s="1"/>
  <c r="AI25" i="3"/>
  <c r="AC3" i="9" s="1"/>
  <c r="AC2" i="17"/>
  <c r="AC2" i="8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 s="1"/>
  <c r="AI13" i="3"/>
  <c r="AC5" i="2" s="1"/>
  <c r="AI11" i="3"/>
  <c r="AC3" i="2" s="1"/>
  <c r="AC6" i="2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J93" i="3"/>
  <c r="AJ22" i="3"/>
  <c r="AD7" i="8" s="1"/>
  <c r="AJ30" i="3"/>
  <c r="AD8" i="9" s="1"/>
  <c r="AJ86" i="3"/>
  <c r="AD8" i="17" s="1"/>
  <c r="AJ29" i="3"/>
  <c r="AD7" i="9" s="1"/>
  <c r="AJ15" i="3"/>
  <c r="AD7" i="2" s="1"/>
  <c r="AJ18" i="3"/>
  <c r="AD3" i="8" s="1"/>
  <c r="AJ23" i="3"/>
  <c r="AD8" i="8" s="1"/>
  <c r="AJ16" i="3"/>
  <c r="AD8" i="2" s="1"/>
  <c r="AJ87" i="3"/>
  <c r="AJ53" i="3"/>
  <c r="AD3" i="13" s="1"/>
  <c r="AJ91" i="3"/>
  <c r="AJ89" i="3"/>
  <c r="AJ90" i="3"/>
  <c r="AJ88" i="3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J26" i="3"/>
  <c r="AD4" i="9" s="1"/>
  <c r="AJ83" i="3"/>
  <c r="AD5" i="17" s="1"/>
  <c r="AJ35" i="3"/>
  <c r="AD6" i="10" s="1"/>
  <c r="AJ28" i="3"/>
  <c r="AD6" i="9" s="1"/>
  <c r="AD2" i="10"/>
  <c r="AJ32" i="3"/>
  <c r="AD3" i="10" s="1"/>
  <c r="AD2" i="17"/>
  <c r="AD2" i="9"/>
  <c r="AJ25" i="3"/>
  <c r="AD3" i="9" s="1"/>
  <c r="AD2" i="8"/>
  <c r="AJ21" i="3"/>
  <c r="AD6" i="8" s="1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 s="1"/>
  <c r="AJ13" i="3"/>
  <c r="AD5" i="2" s="1"/>
  <c r="AD6" i="2"/>
  <c r="AJ11" i="3"/>
  <c r="AD3" i="2" s="1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K93" i="3"/>
  <c r="AK30" i="3"/>
  <c r="AE8" i="9" s="1"/>
  <c r="AK22" i="3"/>
  <c r="AE7" i="8" s="1"/>
  <c r="AK86" i="3"/>
  <c r="AE8" i="17" s="1"/>
  <c r="AK15" i="3"/>
  <c r="AE7" i="2" s="1"/>
  <c r="AK18" i="3"/>
  <c r="AE3" i="8" s="1"/>
  <c r="AK16" i="3"/>
  <c r="AE8" i="2" s="1"/>
  <c r="AK23" i="3"/>
  <c r="AE8" i="8" s="1"/>
  <c r="AK90" i="3"/>
  <c r="AK88" i="3"/>
  <c r="AK42" i="3"/>
  <c r="AE6" i="11" s="1"/>
  <c r="AK53" i="3"/>
  <c r="AE3" i="13" s="1"/>
  <c r="AK91" i="3"/>
  <c r="AK89" i="3"/>
  <c r="AK87" i="3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K83" i="3"/>
  <c r="AE5" i="17" s="1"/>
  <c r="AE2" i="10"/>
  <c r="AK35" i="3"/>
  <c r="AE6" i="10" s="1"/>
  <c r="AK28" i="3"/>
  <c r="AE6" i="9" s="1"/>
  <c r="AK25" i="3"/>
  <c r="AE3" i="9" s="1"/>
  <c r="AE2" i="17"/>
  <c r="AE2" i="8"/>
  <c r="AK21" i="3"/>
  <c r="AE6" i="8" s="1"/>
  <c r="AE2" i="9"/>
  <c r="AK32" i="3"/>
  <c r="AE3" i="10" s="1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 s="1"/>
  <c r="AK13" i="3"/>
  <c r="AE5" i="2" s="1"/>
  <c r="AE6" i="2"/>
  <c r="AK11" i="3"/>
  <c r="AE3" i="2" s="1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L85" i="3"/>
  <c r="AF7" i="17" s="1"/>
  <c r="AL92" i="3"/>
  <c r="AL29" i="3"/>
  <c r="AF7" i="9" s="1"/>
  <c r="AL22" i="3"/>
  <c r="AF7" i="8" s="1"/>
  <c r="AL30" i="3"/>
  <c r="AF8" i="9" s="1"/>
  <c r="AL86" i="3"/>
  <c r="AF8" i="17" s="1"/>
  <c r="AL15" i="3"/>
  <c r="AF7" i="2" s="1"/>
  <c r="AL18" i="3"/>
  <c r="AF3" i="8" s="1"/>
  <c r="AL16" i="3"/>
  <c r="AF8" i="2" s="1"/>
  <c r="AL23" i="3"/>
  <c r="AF8" i="8" s="1"/>
  <c r="AL90" i="3"/>
  <c r="AL87" i="3"/>
  <c r="AL42" i="3"/>
  <c r="AF6" i="11" s="1"/>
  <c r="AL91" i="3"/>
  <c r="AL53" i="3"/>
  <c r="AF3" i="13" s="1"/>
  <c r="AL89" i="3"/>
  <c r="AL88" i="3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L84" i="3"/>
  <c r="AF6" i="17" s="1"/>
  <c r="AL26" i="3"/>
  <c r="AF4" i="9" s="1"/>
  <c r="AL83" i="3"/>
  <c r="AF5" i="17" s="1"/>
  <c r="AL35" i="3"/>
  <c r="AF6" i="10" s="1"/>
  <c r="AF2" i="9"/>
  <c r="AL32" i="3"/>
  <c r="AF3" i="10" s="1"/>
  <c r="AF2" i="17"/>
  <c r="AL25" i="3"/>
  <c r="AF3" i="9" s="1"/>
  <c r="AL28" i="3"/>
  <c r="AF6" i="9" s="1"/>
  <c r="AF2" i="10"/>
  <c r="AL21" i="3"/>
  <c r="AF6" i="8" s="1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 s="1"/>
  <c r="AL13" i="3"/>
  <c r="AF5" i="2" s="1"/>
  <c r="AF6" i="2"/>
  <c r="AL11" i="3"/>
  <c r="AF3" i="2" s="1"/>
</calcChain>
</file>

<file path=xl/sharedStrings.xml><?xml version="1.0" encoding="utf-8"?>
<sst xmlns="http://schemas.openxmlformats.org/spreadsheetml/2006/main" count="1798" uniqueCount="988">
  <si>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</si>
  <si>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</si>
  <si>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</si>
  <si>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</si>
  <si>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</si>
  <si>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</si>
  <si>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</si>
  <si>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</si>
  <si>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</si>
  <si>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</si>
  <si>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</si>
  <si>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</si>
  <si>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</si>
  <si>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</si>
  <si>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</si>
  <si>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</si>
  <si>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</si>
  <si>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</si>
  <si>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</si>
  <si>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</si>
  <si>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</si>
  <si>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</si>
  <si>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</si>
  <si>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</si>
  <si>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</si>
  <si>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</si>
  <si>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</si>
  <si>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</si>
  <si>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</si>
  <si>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</si>
  <si>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</si>
  <si>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</si>
  <si>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</si>
  <si>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</si>
  <si>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</si>
  <si>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</si>
  <si>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</si>
  <si>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</si>
  <si>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</si>
  <si>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</si>
  <si>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</si>
  <si>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</si>
  <si>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</si>
  <si>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</si>
  <si>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</si>
  <si>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</si>
  <si>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</si>
  <si>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</si>
  <si>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</si>
  <si>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</si>
  <si>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</si>
  <si>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</si>
  <si>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</si>
  <si>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</si>
  <si>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</si>
  <si>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</si>
  <si>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</si>
  <si>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</si>
  <si>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</si>
  <si>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</si>
  <si>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</si>
  <si>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</si>
  <si>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</si>
  <si>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</si>
  <si>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</si>
  <si>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</si>
  <si>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</si>
  <si>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</si>
  <si>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</si>
  <si>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</si>
  <si>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</si>
  <si>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</si>
  <si>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</si>
  <si>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</si>
  <si>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</si>
  <si>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</si>
  <si>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</si>
  <si>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</si>
  <si>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</si>
  <si>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</si>
  <si>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</si>
  <si>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</si>
  <si>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</si>
  <si>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</si>
  <si>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</si>
  <si>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</si>
  <si>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</si>
  <si>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</si>
  <si>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</si>
  <si>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</si>
  <si>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</si>
  <si>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</si>
  <si>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</si>
  <si>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</si>
  <si>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</si>
  <si>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</si>
  <si>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</si>
  <si>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</si>
  <si>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</si>
  <si>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</si>
  <si>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</si>
  <si>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</si>
  <si>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</si>
  <si>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</si>
  <si>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</si>
  <si>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</si>
  <si>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</si>
  <si>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</si>
  <si>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</si>
  <si>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</si>
  <si>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</si>
  <si>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</si>
  <si>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</si>
  <si>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</si>
  <si>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</si>
  <si>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</si>
  <si>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</si>
  <si>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</si>
  <si>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</si>
  <si>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</si>
  <si>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</si>
  <si>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</si>
  <si>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</si>
  <si>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</si>
  <si>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</si>
  <si>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</si>
  <si>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</si>
  <si>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</si>
  <si>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</si>
  <si>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</si>
  <si>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</si>
  <si>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</si>
  <si>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</si>
  <si>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</si>
  <si>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</si>
  <si>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</si>
  <si>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</si>
  <si>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</si>
  <si>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</si>
  <si>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</si>
  <si>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</si>
  <si>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</si>
  <si>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</si>
  <si>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</si>
  <si>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</si>
  <si>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</si>
  <si>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</si>
  <si>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</si>
  <si>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</si>
  <si>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</si>
  <si>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</si>
  <si>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</si>
  <si>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</si>
  <si>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</si>
  <si>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</si>
  <si>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</si>
  <si>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</si>
  <si>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</si>
  <si>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</si>
  <si>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</si>
  <si>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</si>
  <si>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</si>
  <si>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</si>
  <si>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</si>
  <si>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</si>
  <si>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</si>
  <si>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</si>
  <si>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</si>
  <si>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</si>
  <si>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</si>
  <si>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</si>
  <si>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</si>
  <si>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</si>
  <si>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</si>
  <si>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</si>
  <si>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</si>
  <si>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</si>
  <si>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</si>
  <si>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</si>
  <si>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</si>
  <si>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</si>
  <si>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</si>
  <si>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</si>
  <si>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</si>
  <si>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</si>
  <si>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</si>
  <si>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</si>
  <si>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</si>
  <si>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</si>
  <si>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</si>
  <si>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</si>
  <si>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</si>
  <si>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</si>
  <si>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</si>
  <si>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</si>
  <si>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</si>
  <si>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</si>
  <si>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</si>
  <si>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</si>
  <si>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</si>
  <si>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</si>
  <si>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</si>
  <si>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</si>
  <si>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</si>
  <si>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</si>
  <si>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</si>
  <si>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</si>
  <si>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</si>
  <si>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</si>
  <si>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</si>
  <si>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</si>
  <si>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</si>
  <si>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</si>
  <si>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</si>
  <si>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</si>
  <si>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</si>
  <si>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</si>
  <si>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</si>
  <si>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</si>
  <si>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</si>
  <si>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</si>
  <si>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</si>
  <si>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</si>
  <si>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</si>
  <si>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</si>
  <si>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</si>
  <si>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</si>
  <si>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</si>
  <si>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</si>
  <si>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</si>
  <si>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</si>
  <si>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</si>
  <si>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</si>
  <si>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</si>
  <si>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</si>
  <si>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</si>
  <si>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</si>
  <si>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</si>
  <si>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</si>
  <si>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</si>
  <si>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</si>
  <si>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</si>
  <si>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</si>
  <si>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</si>
  <si>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</si>
  <si>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</si>
  <si>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</si>
  <si>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</si>
  <si>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</si>
  <si>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</si>
  <si>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</si>
  <si>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</si>
  <si>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</si>
  <si>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</si>
  <si>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</si>
  <si>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</si>
  <si>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</si>
  <si>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</si>
  <si>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</si>
  <si>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</si>
  <si>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</si>
  <si>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</si>
  <si>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</si>
  <si>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</si>
  <si>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</si>
  <si>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</si>
  <si>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</si>
  <si>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</si>
  <si>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</si>
  <si>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</si>
  <si>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</si>
  <si>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</si>
  <si>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</si>
  <si>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</si>
  <si>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</si>
  <si>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</si>
  <si>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</si>
  <si>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</si>
  <si>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</si>
  <si>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</si>
  <si>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</si>
  <si>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</si>
  <si>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</si>
  <si>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</si>
  <si>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</si>
  <si>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</si>
  <si>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</si>
  <si>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</si>
  <si>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</si>
  <si>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</si>
  <si>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</si>
  <si>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</si>
  <si>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</si>
  <si>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</si>
  <si>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</si>
  <si>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</si>
  <si>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</si>
  <si>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</si>
  <si>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</si>
  <si>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</si>
  <si>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</si>
  <si>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</si>
  <si>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</si>
  <si>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</si>
  <si>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</si>
  <si>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</si>
  <si>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</si>
  <si>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</si>
  <si>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</si>
  <si>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</si>
  <si>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</si>
  <si>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</si>
  <si>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</si>
  <si>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</si>
  <si>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</si>
  <si>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</si>
  <si>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</si>
  <si>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</si>
  <si>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</si>
  <si>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</si>
  <si>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</si>
  <si>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</si>
  <si>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</si>
  <si>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</si>
  <si>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</si>
  <si>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</si>
  <si>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</si>
  <si>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</si>
  <si>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</si>
  <si>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</si>
  <si>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</si>
  <si>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</si>
  <si>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</si>
  <si>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</si>
  <si>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</si>
  <si>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</si>
  <si>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</si>
  <si>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</si>
  <si>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</si>
  <si>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</si>
  <si>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</si>
  <si>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</si>
  <si>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</si>
  <si>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</si>
  <si>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</si>
  <si>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</si>
  <si>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</si>
  <si>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</si>
  <si>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</si>
  <si>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</si>
  <si>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</si>
  <si>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</si>
  <si>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</si>
  <si>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</si>
  <si>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</si>
  <si>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</si>
  <si>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</si>
  <si>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</si>
  <si>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</si>
  <si>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</si>
  <si>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</si>
  <si>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</si>
  <si>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</si>
  <si>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</si>
  <si>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</si>
  <si>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</si>
  <si>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</si>
  <si>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</si>
  <si>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</si>
  <si>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</si>
  <si>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</si>
  <si>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</si>
  <si>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</si>
  <si>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</si>
  <si>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</si>
  <si>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</si>
  <si>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</si>
  <si>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</si>
  <si>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</si>
  <si>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</si>
  <si>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</si>
  <si>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</si>
  <si>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</si>
  <si>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</si>
  <si>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</si>
  <si>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</si>
  <si>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</si>
  <si>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</si>
  <si>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</si>
  <si>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</si>
  <si>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</si>
  <si>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</si>
  <si>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</si>
  <si>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</si>
  <si>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</si>
  <si>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</si>
  <si>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</si>
  <si>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</si>
  <si>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</si>
  <si>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</si>
  <si>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</si>
  <si>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</si>
  <si>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</si>
  <si>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</si>
  <si>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</si>
  <si>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</si>
  <si>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</si>
  <si>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</si>
  <si>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</si>
  <si>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</si>
  <si>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</si>
  <si>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</si>
  <si>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</si>
  <si>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</si>
  <si>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</si>
  <si>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</si>
  <si>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</si>
  <si>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</si>
  <si>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</si>
  <si>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</si>
  <si>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</si>
  <si>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</si>
  <si>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</si>
  <si>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</si>
  <si>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</si>
  <si>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</si>
  <si>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</si>
  <si>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</si>
  <si>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</si>
  <si>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</si>
  <si>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</si>
  <si>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</si>
  <si>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</si>
  <si>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</si>
  <si>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</si>
  <si>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</si>
  <si>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</si>
  <si>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</si>
  <si>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</si>
  <si>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</si>
  <si>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</si>
  <si>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</si>
  <si>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</si>
  <si>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</si>
  <si>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</si>
  <si>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</si>
  <si>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</si>
  <si>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</si>
  <si>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</si>
  <si>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</si>
  <si>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</si>
  <si>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</si>
  <si>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</si>
  <si>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</si>
  <si>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</si>
  <si>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</si>
  <si>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</si>
  <si>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</si>
  <si>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</si>
  <si>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</si>
  <si>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</si>
  <si>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</si>
  <si>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</si>
  <si>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</si>
  <si>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</si>
  <si>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</si>
  <si>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</si>
  <si>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</si>
  <si>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</si>
  <si>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</si>
  <si>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</si>
  <si>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</si>
  <si>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</si>
  <si>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</si>
  <si>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</si>
  <si>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</si>
  <si>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</si>
  <si>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</si>
  <si>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</si>
  <si>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</si>
  <si>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</si>
  <si>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</si>
  <si>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</si>
  <si>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</si>
  <si>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</si>
  <si>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</si>
  <si>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</si>
  <si>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</si>
  <si>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</si>
  <si>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</si>
  <si>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</si>
  <si>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</si>
  <si>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</si>
  <si>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</si>
  <si>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</si>
  <si>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</si>
  <si>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</si>
  <si>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</si>
  <si>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</si>
  <si>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</si>
  <si>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</si>
  <si>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</si>
  <si>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</si>
  <si>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</si>
  <si>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</si>
  <si>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</si>
  <si>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</si>
  <si>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</si>
  <si>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</si>
  <si>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</si>
  <si>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</si>
  <si>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</si>
  <si>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</si>
  <si>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</si>
  <si>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</si>
  <si>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</si>
  <si>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</si>
  <si>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</si>
  <si>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</si>
  <si>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</si>
  <si>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</si>
  <si>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</si>
  <si>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</si>
  <si>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</si>
  <si>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</si>
  <si>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</si>
  <si>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</si>
  <si>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</si>
  <si>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</si>
  <si>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</si>
  <si>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</si>
  <si>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</si>
  <si>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</si>
  <si>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</si>
  <si>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</si>
  <si>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</si>
  <si>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</si>
  <si>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</si>
  <si>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</si>
  <si>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</si>
  <si>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</si>
  <si>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</si>
  <si>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</si>
  <si>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</si>
  <si>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</si>
  <si>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</si>
  <si>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</si>
  <si>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</si>
  <si>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</si>
  <si>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</si>
  <si>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</si>
  <si>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</si>
  <si>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</si>
  <si>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</si>
  <si>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</si>
  <si>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</si>
  <si>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</si>
  <si>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</si>
  <si>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</si>
  <si>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</si>
  <si>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</si>
  <si>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</si>
  <si>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</si>
  <si>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</si>
  <si>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</si>
  <si>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</si>
  <si>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</si>
  <si>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</si>
  <si>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</si>
  <si>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</si>
  <si>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</si>
  <si>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</si>
  <si>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</si>
  <si>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</si>
  <si>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</si>
  <si>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</si>
  <si>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</si>
  <si>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</si>
  <si>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</si>
  <si>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</si>
  <si>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</si>
  <si>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</si>
  <si>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</si>
  <si>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</si>
  <si>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</si>
  <si>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</si>
  <si>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</si>
  <si>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</si>
  <si>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</si>
  <si>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</si>
  <si>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</si>
  <si>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</si>
  <si>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</si>
  <si>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</si>
  <si>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</si>
  <si>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</si>
  <si>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</si>
  <si>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</si>
  <si>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</si>
  <si>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</si>
  <si>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</si>
  <si>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</si>
  <si>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</si>
  <si>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</si>
  <si>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</si>
  <si>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</si>
  <si>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</si>
  <si>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</si>
  <si>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</si>
  <si>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</si>
  <si>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</si>
  <si>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</si>
  <si>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</si>
  <si>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</si>
  <si>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</si>
  <si>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</si>
  <si>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</si>
  <si>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</si>
  <si>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</si>
  <si>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</si>
  <si>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</si>
  <si>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</si>
  <si>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</si>
  <si>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</si>
  <si>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</si>
  <si>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</si>
  <si>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</si>
  <si>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</si>
  <si>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</si>
  <si>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</si>
  <si>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</si>
  <si>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</si>
  <si>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</si>
  <si>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</si>
  <si>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</si>
  <si>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</si>
  <si>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</si>
  <si>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</si>
  <si>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</si>
  <si>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</si>
  <si>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</si>
  <si>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</si>
  <si>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</si>
  <si>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</si>
  <si>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</si>
  <si>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</si>
  <si>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</si>
  <si>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</si>
  <si>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</si>
  <si>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</si>
  <si>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</si>
  <si>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</si>
  <si>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</si>
  <si>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</si>
  <si>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</si>
  <si>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</si>
  <si>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</si>
  <si>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</si>
  <si>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</si>
  <si>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</si>
  <si>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</si>
  <si>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</si>
  <si>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</si>
  <si>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</si>
  <si>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</si>
  <si>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</si>
  <si>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</si>
  <si>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</si>
  <si>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</si>
  <si>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</si>
  <si>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</si>
  <si>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</si>
  <si>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</si>
  <si>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</si>
  <si>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</si>
  <si>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</si>
  <si>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</si>
  <si>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</si>
  <si>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</si>
  <si>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</si>
  <si>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</si>
  <si>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</si>
  <si>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</si>
  <si>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</si>
  <si>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</si>
  <si>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</si>
  <si>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</si>
  <si>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</si>
  <si>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</si>
  <si>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</si>
  <si>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</si>
  <si>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</si>
  <si>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</si>
  <si>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</si>
  <si>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</si>
  <si>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</si>
  <si>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</si>
  <si>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</si>
  <si>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</si>
  <si>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</si>
  <si>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</si>
  <si>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</si>
  <si>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</si>
  <si>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</si>
  <si>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</si>
  <si>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</si>
  <si>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</si>
  <si>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</si>
  <si>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</si>
  <si>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</si>
  <si>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</si>
  <si>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</si>
  <si>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</si>
  <si>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</si>
  <si>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</si>
  <si>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</si>
  <si>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</si>
  <si>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</si>
  <si>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</si>
  <si>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</si>
  <si>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</si>
  <si>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</si>
  <si>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</si>
  <si>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</si>
  <si>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</si>
  <si>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</si>
  <si>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</si>
  <si>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</si>
  <si>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</si>
  <si>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</si>
  <si>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</si>
  <si>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</si>
  <si>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</si>
  <si>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</si>
  <si>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</si>
  <si>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</si>
  <si>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</si>
  <si>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</si>
  <si>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</si>
  <si>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</si>
  <si>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</si>
  <si>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</si>
  <si>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</si>
  <si>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</si>
  <si>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</si>
  <si>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</si>
  <si>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</si>
  <si>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</si>
  <si>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</si>
  <si>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</si>
  <si>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</si>
  <si>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</si>
  <si>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</si>
  <si>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</si>
  <si>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</si>
  <si>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</si>
  <si>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</si>
  <si>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</si>
  <si>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</si>
  <si>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</si>
  <si>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</si>
  <si>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</si>
  <si>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</si>
  <si>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</si>
  <si>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</si>
  <si>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</si>
  <si>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</si>
  <si>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</si>
  <si>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</si>
  <si>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</si>
  <si>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</si>
  <si>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</si>
  <si>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</si>
  <si>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</si>
  <si>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</si>
  <si>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</si>
  <si>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</si>
  <si>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</si>
  <si>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</si>
  <si>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</si>
  <si>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</si>
  <si>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</si>
  <si>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</si>
  <si>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</si>
  <si>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</si>
  <si>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</si>
  <si>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</si>
  <si>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</si>
  <si>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</si>
  <si>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</si>
  <si>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</si>
  <si>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</si>
  <si>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</si>
  <si>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</si>
  <si>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</si>
  <si>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</si>
  <si>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</si>
  <si>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</si>
  <si>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</si>
  <si>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</si>
  <si>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</si>
  <si>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</si>
  <si>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</si>
  <si>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</si>
  <si>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</si>
  <si>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</si>
  <si>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</si>
  <si>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</si>
  <si>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</si>
  <si>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</si>
  <si>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</si>
  <si>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</si>
  <si>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</si>
  <si>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</si>
  <si>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</si>
  <si>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</si>
  <si>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</si>
  <si>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</si>
  <si>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</si>
  <si>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</si>
  <si>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</si>
  <si>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</si>
  <si>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</si>
  <si>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</si>
  <si>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</si>
  <si>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</si>
  <si>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</si>
  <si>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</si>
  <si>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</si>
  <si>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</si>
  <si>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</si>
  <si>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</si>
  <si>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</si>
  <si>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</si>
  <si>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</si>
  <si>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</si>
  <si>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</si>
  <si>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</si>
  <si>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</si>
  <si>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</si>
  <si>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</si>
  <si>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</si>
  <si>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</si>
  <si>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</si>
  <si>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</si>
  <si>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</si>
  <si>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</si>
  <si>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</si>
  <si>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</si>
  <si>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</si>
  <si>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</si>
  <si>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</si>
  <si>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</si>
  <si>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</si>
  <si>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</si>
  <si>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</si>
  <si>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</si>
  <si>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</si>
  <si>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</si>
  <si>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</si>
  <si>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</si>
  <si>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</si>
  <si>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</si>
  <si>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</si>
  <si>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</si>
  <si>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</si>
  <si>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</si>
  <si>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</si>
  <si>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</si>
  <si>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</si>
  <si>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</si>
  <si>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</si>
  <si>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</si>
  <si>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</si>
  <si>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</si>
  <si>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</si>
  <si>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</si>
  <si>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</si>
  <si>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</si>
  <si>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</si>
  <si>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</si>
  <si>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</si>
  <si>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</si>
  <si>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</si>
  <si>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</si>
  <si>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</si>
  <si>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</si>
  <si>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</si>
  <si>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</si>
  <si>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</si>
  <si>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</si>
  <si>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</si>
  <si>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</si>
  <si>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</si>
  <si>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</si>
  <si>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</si>
  <si>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</si>
  <si>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</si>
  <si>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</si>
  <si>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</si>
  <si>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</si>
  <si>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</si>
  <si>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</si>
  <si>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</si>
  <si>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</si>
  <si>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</si>
  <si>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</si>
  <si>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</si>
  <si>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</si>
  <si>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</si>
  <si>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</si>
  <si>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</si>
  <si>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</si>
  <si>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</si>
  <si>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</si>
  <si>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</si>
  <si>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</si>
  <si>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</si>
  <si>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</si>
  <si>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</si>
  <si>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</si>
  <si>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</si>
  <si>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</si>
  <si>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</si>
  <si>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</si>
  <si>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</si>
  <si>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</si>
  <si>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</si>
  <si>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</si>
  <si>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</si>
  <si>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</si>
  <si>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</si>
  <si>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</si>
  <si>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Buses: &lt;580 vehicle sales in 2020</t>
  </si>
  <si>
    <t>HDVs: ~240 vehicle sales in 2020</t>
  </si>
  <si>
    <t>Electric sales (thousands), AEO</t>
  </si>
  <si>
    <t>Total sales (thousands), AEO</t>
  </si>
  <si>
    <t>PHEVs</t>
  </si>
  <si>
    <t>BEVs</t>
  </si>
  <si>
    <t>U.S. Light-Duty Plug-in Vehicle Sales by Type, 2011-2021</t>
  </si>
  <si>
    <t>(Thousands)</t>
  </si>
  <si>
    <t>Calendar Year</t>
  </si>
  <si>
    <t>All-Electric Vehicles</t>
  </si>
  <si>
    <t>Plug-In Hybrid Electric Vehicles</t>
  </si>
  <si>
    <t>Total Plug-In Vehicles</t>
  </si>
  <si>
    <t>LDV BEV and PHEV sales</t>
  </si>
  <si>
    <t>Our approach is to use values of TTS that align with historical sales percentages for 2020 and 2021.</t>
  </si>
  <si>
    <t>According to Argonne, sales share of PEVs (including BEVs and PHEVs) was roughly 2% in 2020 and 4.1%</t>
  </si>
  <si>
    <t>in 2021. We have data from DOE to break down the share of that is BEVs vs. PHEVs.</t>
  </si>
  <si>
    <t>2020 sales share</t>
  </si>
  <si>
    <t>2021 sales share</t>
  </si>
  <si>
    <t>PEVs</t>
  </si>
  <si>
    <t>Time (Time)</t>
  </si>
  <si>
    <t>New Vehicles[LDVs,passenger,battery electric vehicle] : MostRecentRun</t>
  </si>
  <si>
    <t>New Vehicles[LDVs,passenger,natural gas vehicle] : MostRecentRun</t>
  </si>
  <si>
    <t>New Vehicles[LDVs,passenger,gasoline vehicle] : MostRecentRun</t>
  </si>
  <si>
    <t>New Vehicles[LDVs,passenger,diesel vehicle] : MostRecentRun</t>
  </si>
  <si>
    <t>New Vehicles[LDVs,passenger,plugin hybrid vehicle] : MostRecentRun</t>
  </si>
  <si>
    <t>New Vehicles[LDVs,passenger,LPG vehicle] : MostRecentRun</t>
  </si>
  <si>
    <t>New Vehicles[LDVs,passenger,hydrogen vehicle] : MostRecentRun</t>
  </si>
  <si>
    <t>BEV sales share</t>
  </si>
  <si>
    <t>PHEV sales share</t>
  </si>
  <si>
    <t>Total sales share</t>
  </si>
  <si>
    <t>*We assume the TTS value for BEVs grows to 1 by 2030, following an s-curve. This accounts for the quickly growing penetration of Evs.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</si>
  <si>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</si>
  <si>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</si>
  <si>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</si>
  <si>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</si>
  <si>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</si>
  <si>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</si>
  <si>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</si>
  <si>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pixels for all PEVs, 2030</t>
  </si>
  <si>
    <t>pixels for BEVs, 2030</t>
  </si>
  <si>
    <t>Percentage of PEVs as BEVs</t>
  </si>
  <si>
    <t>Deloitte US 2030 PEV value</t>
  </si>
  <si>
    <t>Assumed BEV sales share</t>
  </si>
  <si>
    <t>Assumed PHEV sales share</t>
  </si>
  <si>
    <t xml:space="preserve">* We calibrate to a projection from Deloitte, which estimates 27% </t>
  </si>
  <si>
    <t>of US LDV sales will be electric in 2030. From the global breakdown</t>
  </si>
  <si>
    <t xml:space="preserve">above, they expect about 81% of PEV sales will be BEVs, with the </t>
  </si>
  <si>
    <t>rest as PHEVs. We calibrate to similar numbers in the US by adjusting</t>
  </si>
  <si>
    <t>the 2030 max potential sales share in the Data tab.</t>
  </si>
  <si>
    <t>Deloitte</t>
  </si>
  <si>
    <t>Electric vehicles: Setting a course for 2030</t>
  </si>
  <si>
    <t>https://www2.deloitte.com/us/en/insights/focus/future-of-mobility/electric-vehicle-trends-2030.html</t>
  </si>
  <si>
    <t>We use a hard coded value for PHEVs in 2020 in order to match</t>
  </si>
  <si>
    <t>historical data.</t>
  </si>
  <si>
    <t>Arizona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</si>
</sst>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12" fillId="0" borderId="13" applyNumberFormat="0" applyFill="0" applyAlignment="0" applyProtection="0"/>
    <xf numFmtId="0" fontId="13" fillId="0" borderId="14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0" applyNumberFormat="0" applyBorder="0" applyAlignment="0" applyProtection="0"/>
    <xf numFmtId="0" fontId="17" fillId="8" borderId="15" applyNumberFormat="0" applyAlignment="0" applyProtection="0"/>
    <xf numFmtId="0" fontId="18" fillId="9" borderId="16" applyNumberFormat="0" applyAlignment="0" applyProtection="0"/>
    <xf numFmtId="0" fontId="19" fillId="9" borderId="15" applyNumberFormat="0" applyAlignment="0" applyProtection="0"/>
    <xf numFmtId="0" fontId="20" fillId="0" borderId="17" applyNumberFormat="0" applyFill="0" applyAlignment="0" applyProtection="0"/>
    <xf numFmtId="0" fontId="21" fillId="10" borderId="18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4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4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4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4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4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4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8" fillId="0" borderId="0"/>
    <xf numFmtId="43" fontId="29" fillId="0" borderId="0" applyFont="0" applyFill="0" applyBorder="0" applyAlignment="0" applyProtection="0"/>
    <xf numFmtId="0" fontId="29" fillId="0" borderId="0"/>
    <xf numFmtId="9" fontId="29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32" fillId="0" borderId="0"/>
    <xf numFmtId="0" fontId="7" fillId="0" borderId="0"/>
    <xf numFmtId="0" fontId="7" fillId="0" borderId="0"/>
    <xf numFmtId="0" fontId="33" fillId="0" borderId="0"/>
    <xf numFmtId="9" fontId="33" fillId="0" borderId="0" applyFont="0" applyFill="0" applyBorder="0" applyAlignment="0" applyProtection="0"/>
    <xf numFmtId="0" fontId="29" fillId="0" borderId="0"/>
    <xf numFmtId="0" fontId="30" fillId="0" borderId="0"/>
    <xf numFmtId="43" fontId="30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6" fillId="0" borderId="0"/>
    <xf numFmtId="9" fontId="36" fillId="0" borderId="0" applyFont="0" applyFill="0" applyBorder="0" applyAlignment="0" applyProtection="0"/>
    <xf numFmtId="0" fontId="7" fillId="0" borderId="0"/>
    <xf numFmtId="0" fontId="33" fillId="0" borderId="0"/>
    <xf numFmtId="9" fontId="7" fillId="0" borderId="0" applyFont="0" applyFill="0" applyBorder="0" applyAlignment="0" applyProtection="0"/>
    <xf numFmtId="0" fontId="37" fillId="0" borderId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5" fillId="0" borderId="0" xfId="0" quotePrefix="1" applyFont="1"/>
    <xf numFmtId="0" fontId="26" fillId="0" borderId="0" xfId="0" applyFont="1" applyAlignment="1">
      <alignment horizontal="center"/>
    </xf>
    <xf numFmtId="165" fontId="26" fillId="0" borderId="0" xfId="0" applyNumberFormat="1" applyFont="1"/>
    <xf numFmtId="3" fontId="26" fillId="0" borderId="0" xfId="0" applyNumberFormat="1" applyFont="1"/>
    <xf numFmtId="11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164" fontId="5" fillId="0" borderId="0" xfId="0" applyNumberFormat="1" applyFont="1"/>
    <xf numFmtId="14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6"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3" formatCode="#,##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</a:t>
            </a:r>
            <a:r>
              <a:rPr lang="en-US" baseline="0"/>
              <a:t> EV TTS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1E-48D3-99FB-66C97C294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1727391"/>
        <c:axId val="321721151"/>
      </c:lineChart>
      <c:catAx>
        <c:axId val="32172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1151"/>
        <c:crosses val="autoZero"/>
        <c:auto val="1"/>
        <c:lblAlgn val="ctr"/>
        <c:lblOffset val="100"/>
        <c:noMultiLvlLbl val="0"/>
      </c:catAx>
      <c:valAx>
        <c:axId val="32172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100</xdr:row>
      <xdr:rowOff>1</xdr:rowOff>
    </xdr:from>
    <xdr:to>
      <xdr:col>8</xdr:col>
      <xdr:colOff>25400</xdr:colOff>
      <xdr:row>111</xdr:row>
      <xdr:rowOff>47034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91</xdr:row>
      <xdr:rowOff>142875</xdr:rowOff>
    </xdr:from>
    <xdr:to>
      <xdr:col>8</xdr:col>
      <xdr:colOff>69002</xdr:colOff>
      <xdr:row>99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130175</xdr:colOff>
      <xdr:row>27</xdr:row>
      <xdr:rowOff>133350</xdr:rowOff>
    </xdr:from>
    <xdr:to>
      <xdr:col>2</xdr:col>
      <xdr:colOff>628050</xdr:colOff>
      <xdr:row>39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960EB6-657C-3111-560A-95AA4A478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" y="5019675"/>
          <a:ext cx="3126775" cy="2162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31750</xdr:colOff>
      <xdr:row>80</xdr:row>
      <xdr:rowOff>216356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899A3-F83F-F8A7-BCD4-73014DA6F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344650"/>
          <a:ext cx="3943350" cy="2242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361949</xdr:colOff>
      <xdr:row>33</xdr:row>
      <xdr:rowOff>7143</xdr:rowOff>
    </xdr:from>
    <xdr:to>
      <xdr:col>20</xdr:col>
      <xdr:colOff>57945</xdr:colOff>
      <xdr:row>51</xdr:row>
      <xdr:rowOff>73025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612775</xdr:colOff>
      <xdr:row>15</xdr:row>
      <xdr:rowOff>66675</xdr:rowOff>
    </xdr:from>
    <xdr:to>
      <xdr:col>15</xdr:col>
      <xdr:colOff>53975</xdr:colOff>
      <xdr:row>30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92AE0A-3A88-C370-61B2-865F83666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7F5691-8AE7-44B5-9338-9D1A91D12695}" name="Table1" displayName="Table1" ref="A47:D59" totalsRowShown="0" headerRowDxfId="5" dataDxfId="4">
  <autoFilter ref="A47:D59" xr:uid="{5F7F5691-8AE7-44B5-9338-9D1A91D12695}"/>
  <tableColumns count="4">
    <tableColumn id="1" xr3:uid="{EAAC9CFC-EE97-4091-80B9-F12CE2BEAA23}" name="Calendar Year" dataDxfId="3"/>
    <tableColumn id="2" xr3:uid="{DB25D862-694E-4D2F-964D-CD8A53A779DF}" name="All-Electric Vehicles" dataDxfId="2"/>
    <tableColumn id="3" xr3:uid="{A9E48ABD-5968-4D13-95E4-0874EE561AB2}" name="Plug-In Hybrid Electric Vehicles" dataDxfId="1"/>
    <tableColumn id="4" xr3:uid="{276DC08C-48DE-4604-812E-162D76188DBF}" name="Total Plug-In Vehicles" dataDxfId="0"/>
  </tableColumns>
  <tableStyleInfo name="TableStyleMedium15" showFirstColumn="0" showLastColumn="0" showRowStripes="1" showColumnStripes="0"/>
  <extLst>
    <ext xmlns:x14="http://schemas.microsoft.com/office/spreadsheetml/2009/9/main" uri="{504A1905-F514-4f6f-8877-14C23A59335A}">
      <x14:table altTextSummary="U.S. Light-Duty Plug-in Vehicle Sales by Type, 2011-2021"/>
    </ext>
  </extLst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0"/>
  <sheetViews>
    <sheetView topLeftCell="A10" workbookViewId="0">
      <selection activeCell="F25" sqref="F25"/>
    </sheetView>
  </sheetViews>
  <sheetFormatPr defaultColWidth="9.140625" defaultRowHeight="15" x14ac:dyDescent="0.25"/>
  <cols>
    <col min="2" max="2" width="56.28515625" customWidth="1"/>
  </cols>
  <sheetData>
    <row r="1" spans="1:3" x14ac:dyDescent="0.25">
      <c r="A1" s="1" t="s">
        <v>905</v>
      </c>
      <c r="B1" t="s">
        <v>987</v>
      </c>
      <c r="C1" s="48">
        <v>45258</v>
      </c>
    </row>
    <row r="3" spans="1:3" x14ac:dyDescent="0.25">
      <c r="A3" s="1" t="s">
        <v>0</v>
      </c>
      <c r="B3" s="12" t="s">
        <v>77</v>
      </c>
    </row>
    <row r="4" spans="1:3" x14ac:dyDescent="0.25">
      <c r="B4" t="s">
        <v>34</v>
      </c>
    </row>
    <row r="5" spans="1:3" x14ac:dyDescent="0.25">
      <c r="B5" s="3">
        <v>2020</v>
      </c>
    </row>
    <row r="6" spans="1:3" x14ac:dyDescent="0.25">
      <c r="B6" t="s">
        <v>129</v>
      </c>
    </row>
    <row r="7" spans="1:3" x14ac:dyDescent="0.25">
      <c r="B7" t="s">
        <v>132</v>
      </c>
    </row>
    <row r="8" spans="1:3" x14ac:dyDescent="0.25">
      <c r="B8" t="s">
        <v>130</v>
      </c>
    </row>
    <row r="10" spans="1:3" x14ac:dyDescent="0.25">
      <c r="B10" s="12" t="s">
        <v>964</v>
      </c>
    </row>
    <row r="11" spans="1:3" x14ac:dyDescent="0.25">
      <c r="B11" t="s">
        <v>965</v>
      </c>
    </row>
    <row r="12" spans="1:3" x14ac:dyDescent="0.25">
      <c r="B12" s="3">
        <v>2021</v>
      </c>
    </row>
    <row r="13" spans="1:3" x14ac:dyDescent="0.25">
      <c r="B13" t="s">
        <v>966</v>
      </c>
    </row>
    <row r="14" spans="1:3" x14ac:dyDescent="0.25">
      <c r="B14" s="31" t="s">
        <v>967</v>
      </c>
    </row>
    <row r="16" spans="1:3" x14ac:dyDescent="0.25">
      <c r="B16" t="s">
        <v>968</v>
      </c>
    </row>
    <row r="17" spans="2:2" x14ac:dyDescent="0.25">
      <c r="B17" s="3">
        <v>2022</v>
      </c>
    </row>
    <row r="18" spans="2:2" x14ac:dyDescent="0.25">
      <c r="B18" t="s">
        <v>969</v>
      </c>
    </row>
    <row r="19" spans="2:2" x14ac:dyDescent="0.25">
      <c r="B19" s="34" t="s">
        <v>970</v>
      </c>
    </row>
    <row r="20" spans="2:2" x14ac:dyDescent="0.25">
      <c r="B20" s="34"/>
    </row>
    <row r="21" spans="2:2" x14ac:dyDescent="0.25">
      <c r="B21" s="3" t="s">
        <v>982</v>
      </c>
    </row>
    <row r="22" spans="2:2" x14ac:dyDescent="0.25">
      <c r="B22" s="3">
        <v>2020</v>
      </c>
    </row>
    <row r="23" spans="2:2" x14ac:dyDescent="0.25">
      <c r="B23" s="3" t="s">
        <v>983</v>
      </c>
    </row>
    <row r="24" spans="2:2" x14ac:dyDescent="0.25">
      <c r="B24" s="34" t="s">
        <v>984</v>
      </c>
    </row>
    <row r="26" spans="2:2" x14ac:dyDescent="0.25">
      <c r="B26" s="12" t="s">
        <v>78</v>
      </c>
    </row>
    <row r="27" spans="2:2" x14ac:dyDescent="0.25">
      <c r="B27" t="s">
        <v>34</v>
      </c>
    </row>
    <row r="28" spans="2:2" x14ac:dyDescent="0.25">
      <c r="B28" s="3">
        <v>2020</v>
      </c>
    </row>
    <row r="29" spans="2:2" x14ac:dyDescent="0.25">
      <c r="B29" t="s">
        <v>129</v>
      </c>
    </row>
    <row r="30" spans="2:2" x14ac:dyDescent="0.25">
      <c r="B30" t="s">
        <v>133</v>
      </c>
    </row>
    <row r="31" spans="2:2" x14ac:dyDescent="0.25">
      <c r="B31" t="s">
        <v>131</v>
      </c>
    </row>
    <row r="33" spans="1:2" x14ac:dyDescent="0.25">
      <c r="B33" s="12" t="s">
        <v>79</v>
      </c>
    </row>
    <row r="34" spans="1:2" x14ac:dyDescent="0.25">
      <c r="B34" s="13" t="s">
        <v>46</v>
      </c>
    </row>
    <row r="36" spans="1:2" x14ac:dyDescent="0.25">
      <c r="B36" s="12" t="s">
        <v>80</v>
      </c>
    </row>
    <row r="37" spans="1:2" x14ac:dyDescent="0.25">
      <c r="B37" t="s">
        <v>56</v>
      </c>
    </row>
    <row r="38" spans="1:2" x14ac:dyDescent="0.25">
      <c r="B38" s="3">
        <v>2014</v>
      </c>
    </row>
    <row r="39" spans="1:2" x14ac:dyDescent="0.25">
      <c r="B39" t="s">
        <v>57</v>
      </c>
    </row>
    <row r="40" spans="1:2" x14ac:dyDescent="0.25">
      <c r="B40" t="s">
        <v>58</v>
      </c>
    </row>
    <row r="42" spans="1:2" x14ac:dyDescent="0.25">
      <c r="B42" t="s">
        <v>59</v>
      </c>
    </row>
    <row r="43" spans="1:2" x14ac:dyDescent="0.25">
      <c r="B43" s="3">
        <v>2015</v>
      </c>
    </row>
    <row r="44" spans="1:2" x14ac:dyDescent="0.25">
      <c r="B44" t="s">
        <v>60</v>
      </c>
    </row>
    <row r="45" spans="1:2" x14ac:dyDescent="0.25">
      <c r="B45" t="s">
        <v>61</v>
      </c>
    </row>
    <row r="47" spans="1:2" x14ac:dyDescent="0.25">
      <c r="A47" s="1" t="s">
        <v>6</v>
      </c>
    </row>
    <row r="48" spans="1:2" x14ac:dyDescent="0.25">
      <c r="A48" t="s">
        <v>907</v>
      </c>
    </row>
    <row r="49" spans="1:2" x14ac:dyDescent="0.25">
      <c r="A49" t="s">
        <v>908</v>
      </c>
    </row>
    <row r="50" spans="1:2" x14ac:dyDescent="0.25">
      <c r="A50" t="s">
        <v>909</v>
      </c>
    </row>
    <row r="51" spans="1:2" x14ac:dyDescent="0.25">
      <c r="A51" s="34" t="s">
        <v>910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107</v>
      </c>
    </row>
    <row r="57" spans="1:2" x14ac:dyDescent="0.25">
      <c r="A57" t="s">
        <v>35</v>
      </c>
    </row>
    <row r="58" spans="1:2" x14ac:dyDescent="0.25">
      <c r="A58" t="s">
        <v>906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43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44</v>
      </c>
    </row>
    <row r="78" spans="2:2" x14ac:dyDescent="0.25">
      <c r="B78" t="s">
        <v>134</v>
      </c>
    </row>
    <row r="79" spans="2:2" x14ac:dyDescent="0.25">
      <c r="B79" t="s">
        <v>912</v>
      </c>
    </row>
    <row r="80" spans="2:2" x14ac:dyDescent="0.25">
      <c r="B80" t="s">
        <v>135</v>
      </c>
    </row>
    <row r="81" spans="2:2" x14ac:dyDescent="0.25">
      <c r="B81" t="s">
        <v>913</v>
      </c>
    </row>
    <row r="82" spans="2:2" x14ac:dyDescent="0.25">
      <c r="B82" t="s">
        <v>914</v>
      </c>
    </row>
    <row r="84" spans="2:2" x14ac:dyDescent="0.25">
      <c r="B84" t="s">
        <v>139</v>
      </c>
    </row>
    <row r="85" spans="2:2" x14ac:dyDescent="0.25">
      <c r="B85" t="s">
        <v>42</v>
      </c>
    </row>
    <row r="87" spans="2:2" x14ac:dyDescent="0.25">
      <c r="B87" t="s">
        <v>911</v>
      </c>
    </row>
    <row r="88" spans="2:2" x14ac:dyDescent="0.25">
      <c r="B88" t="s">
        <v>45</v>
      </c>
    </row>
    <row r="90" spans="2:2" x14ac:dyDescent="0.25">
      <c r="B90" t="s">
        <v>47</v>
      </c>
    </row>
    <row r="91" spans="2:2" x14ac:dyDescent="0.25">
      <c r="B91" t="s">
        <v>45</v>
      </c>
    </row>
    <row r="93" spans="2:2" x14ac:dyDescent="0.25">
      <c r="B93" s="12" t="s">
        <v>48</v>
      </c>
    </row>
    <row r="95" spans="2:2" x14ac:dyDescent="0.25">
      <c r="B95" t="s">
        <v>74</v>
      </c>
    </row>
    <row r="96" spans="2:2" x14ac:dyDescent="0.25">
      <c r="B96" t="s">
        <v>140</v>
      </c>
    </row>
    <row r="97" spans="2:2" x14ac:dyDescent="0.25">
      <c r="B97" t="s">
        <v>141</v>
      </c>
    </row>
    <row r="98" spans="2:2" x14ac:dyDescent="0.25">
      <c r="B98" t="s">
        <v>142</v>
      </c>
    </row>
    <row r="100" spans="2:2" x14ac:dyDescent="0.25">
      <c r="B100" t="s">
        <v>81</v>
      </c>
    </row>
    <row r="101" spans="2:2" x14ac:dyDescent="0.25">
      <c r="B101" t="s">
        <v>75</v>
      </c>
    </row>
    <row r="102" spans="2:2" x14ac:dyDescent="0.25">
      <c r="B102" t="s">
        <v>85</v>
      </c>
    </row>
    <row r="103" spans="2:2" x14ac:dyDescent="0.25">
      <c r="B103" t="s">
        <v>76</v>
      </c>
    </row>
    <row r="104" spans="2:2" x14ac:dyDescent="0.25">
      <c r="B104" t="s">
        <v>86</v>
      </c>
    </row>
    <row r="105" spans="2:2" x14ac:dyDescent="0.25">
      <c r="B105" t="s">
        <v>82</v>
      </c>
    </row>
    <row r="106" spans="2:2" x14ac:dyDescent="0.25">
      <c r="B106" t="s">
        <v>83</v>
      </c>
    </row>
    <row r="107" spans="2:2" x14ac:dyDescent="0.25">
      <c r="B107" t="s">
        <v>84</v>
      </c>
    </row>
    <row r="109" spans="2:2" x14ac:dyDescent="0.25">
      <c r="B109" t="s">
        <v>108</v>
      </c>
    </row>
    <row r="110" spans="2:2" x14ac:dyDescent="0.25">
      <c r="B110" t="s">
        <v>112</v>
      </c>
    </row>
    <row r="111" spans="2:2" x14ac:dyDescent="0.25">
      <c r="B111" t="s">
        <v>109</v>
      </c>
    </row>
    <row r="112" spans="2:2" x14ac:dyDescent="0.25">
      <c r="B112" t="s">
        <v>110</v>
      </c>
    </row>
    <row r="113" spans="2:2" x14ac:dyDescent="0.25">
      <c r="B113" t="s">
        <v>111</v>
      </c>
    </row>
    <row r="115" spans="2:2" x14ac:dyDescent="0.25">
      <c r="B115" t="s">
        <v>68</v>
      </c>
    </row>
    <row r="116" spans="2:2" x14ac:dyDescent="0.25">
      <c r="B116" t="s">
        <v>69</v>
      </c>
    </row>
    <row r="117" spans="2:2" x14ac:dyDescent="0.25">
      <c r="B117" t="s">
        <v>70</v>
      </c>
    </row>
    <row r="118" spans="2:2" x14ac:dyDescent="0.25">
      <c r="B118" t="s">
        <v>71</v>
      </c>
    </row>
    <row r="119" spans="2:2" x14ac:dyDescent="0.25">
      <c r="B119" t="s">
        <v>72</v>
      </c>
    </row>
    <row r="120" spans="2:2" x14ac:dyDescent="0.25">
      <c r="B120" t="s">
        <v>73</v>
      </c>
    </row>
    <row r="122" spans="2:2" x14ac:dyDescent="0.25">
      <c r="B122" t="s">
        <v>123</v>
      </c>
    </row>
    <row r="124" spans="2:2" x14ac:dyDescent="0.25">
      <c r="B124" t="s">
        <v>49</v>
      </c>
    </row>
    <row r="125" spans="2:2" x14ac:dyDescent="0.25">
      <c r="B125" t="s">
        <v>50</v>
      </c>
    </row>
    <row r="126" spans="2:2" x14ac:dyDescent="0.25">
      <c r="B126" t="s">
        <v>51</v>
      </c>
    </row>
    <row r="127" spans="2:2" x14ac:dyDescent="0.25">
      <c r="B127" t="s">
        <v>52</v>
      </c>
    </row>
    <row r="128" spans="2:2" x14ac:dyDescent="0.25">
      <c r="B128" t="s">
        <v>53</v>
      </c>
    </row>
    <row r="129" spans="2:2" x14ac:dyDescent="0.25">
      <c r="B129" t="s">
        <v>54</v>
      </c>
    </row>
    <row r="130" spans="2:2" x14ac:dyDescent="0.25">
      <c r="B130" t="s">
        <v>55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ColWidth="8.85546875"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143</v>
      </c>
    </row>
    <row r="11" spans="1:36" x14ac:dyDescent="0.25">
      <c r="A11" t="s">
        <v>144</v>
      </c>
    </row>
    <row r="12" spans="1:36" x14ac:dyDescent="0.25">
      <c r="A12" t="s">
        <v>145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151</v>
      </c>
      <c r="C15" t="s">
        <v>152</v>
      </c>
    </row>
    <row r="16" spans="1:36" x14ac:dyDescent="0.25">
      <c r="A16" t="s">
        <v>153</v>
      </c>
      <c r="C16" t="s">
        <v>154</v>
      </c>
    </row>
    <row r="17" spans="1:36" x14ac:dyDescent="0.25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3">
        <v>-1E-3</v>
      </c>
    </row>
    <row r="18" spans="1:36" x14ac:dyDescent="0.25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3">
        <v>-8.9999999999999993E-3</v>
      </c>
    </row>
    <row r="19" spans="1:36" x14ac:dyDescent="0.25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3">
        <v>-1E-3</v>
      </c>
    </row>
    <row r="20" spans="1:36" x14ac:dyDescent="0.25">
      <c r="A20" t="s">
        <v>165</v>
      </c>
      <c r="C20" t="s">
        <v>166</v>
      </c>
    </row>
    <row r="21" spans="1:36" x14ac:dyDescent="0.25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3">
        <v>2E-3</v>
      </c>
    </row>
    <row r="22" spans="1:36" x14ac:dyDescent="0.25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3">
        <v>0.02</v>
      </c>
    </row>
    <row r="23" spans="1:36" x14ac:dyDescent="0.25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3">
        <v>4.9000000000000002E-2</v>
      </c>
    </row>
    <row r="24" spans="1:36" x14ac:dyDescent="0.25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3">
        <v>7.5999999999999998E-2</v>
      </c>
    </row>
    <row r="25" spans="1:36" x14ac:dyDescent="0.25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3">
        <v>3.4000000000000002E-2</v>
      </c>
    </row>
    <row r="26" spans="1:36" x14ac:dyDescent="0.25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3">
        <v>1.0999999999999999E-2</v>
      </c>
    </row>
    <row r="27" spans="1:36" x14ac:dyDescent="0.25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3">
        <v>4.9000000000000002E-2</v>
      </c>
    </row>
    <row r="29" spans="1:36" x14ac:dyDescent="0.25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3">
        <v>1.2E-2</v>
      </c>
    </row>
    <row r="30" spans="1:36" x14ac:dyDescent="0.25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3">
        <v>5.0000000000000001E-3</v>
      </c>
    </row>
    <row r="31" spans="1:36" x14ac:dyDescent="0.25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3">
        <v>8.0000000000000002E-3</v>
      </c>
    </row>
    <row r="32" spans="1:36" x14ac:dyDescent="0.25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3">
        <v>5.0000000000000001E-3</v>
      </c>
    </row>
    <row r="33" spans="1:36" x14ac:dyDescent="0.25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3">
        <v>6.8000000000000005E-2</v>
      </c>
    </row>
    <row r="35" spans="1:36" x14ac:dyDescent="0.25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3">
        <v>4.9000000000000002E-2</v>
      </c>
    </row>
    <row r="36" spans="1:36" x14ac:dyDescent="0.25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3">
        <v>4.2999999999999997E-2</v>
      </c>
    </row>
    <row r="37" spans="1:36" x14ac:dyDescent="0.25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3">
        <v>6.0000000000000001E-3</v>
      </c>
    </row>
    <row r="38" spans="1:36" x14ac:dyDescent="0.25">
      <c r="A38" t="s">
        <v>216</v>
      </c>
      <c r="C38" t="s">
        <v>217</v>
      </c>
    </row>
    <row r="39" spans="1:36" x14ac:dyDescent="0.25">
      <c r="A39" t="s">
        <v>218</v>
      </c>
      <c r="C39" t="s">
        <v>219</v>
      </c>
    </row>
    <row r="40" spans="1:36" x14ac:dyDescent="0.25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3">
        <v>3.0000000000000001E-3</v>
      </c>
    </row>
    <row r="41" spans="1:36" x14ac:dyDescent="0.25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3">
        <v>3.1E-2</v>
      </c>
    </row>
    <row r="42" spans="1:36" x14ac:dyDescent="0.25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3">
        <v>3.0000000000000001E-3</v>
      </c>
    </row>
    <row r="43" spans="1:36" x14ac:dyDescent="0.25">
      <c r="A43" t="s">
        <v>227</v>
      </c>
      <c r="C43" t="s">
        <v>228</v>
      </c>
    </row>
    <row r="44" spans="1:36" x14ac:dyDescent="0.25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3">
        <v>1E-3</v>
      </c>
    </row>
    <row r="45" spans="1:36" x14ac:dyDescent="0.25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3">
        <v>8.8999999999999996E-2</v>
      </c>
    </row>
    <row r="47" spans="1:36" x14ac:dyDescent="0.25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3">
        <v>9.7000000000000003E-2</v>
      </c>
    </row>
    <row r="48" spans="1:36" x14ac:dyDescent="0.25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3">
        <v>9.2999999999999999E-2</v>
      </c>
    </row>
    <row r="49" spans="1:36" x14ac:dyDescent="0.25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3">
        <v>7.0000000000000007E-2</v>
      </c>
    </row>
    <row r="50" spans="1:36" x14ac:dyDescent="0.25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3">
        <v>3.9E-2</v>
      </c>
    </row>
    <row r="52" spans="1:36" x14ac:dyDescent="0.25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3">
        <v>1.2E-2</v>
      </c>
    </row>
    <row r="53" spans="1:36" x14ac:dyDescent="0.25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3">
        <v>7.0000000000000001E-3</v>
      </c>
    </row>
    <row r="54" spans="1:36" x14ac:dyDescent="0.25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3">
        <v>2.3E-2</v>
      </c>
    </row>
    <row r="55" spans="1:36" x14ac:dyDescent="0.25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3">
        <v>7.0000000000000001E-3</v>
      </c>
    </row>
    <row r="56" spans="1:36" x14ac:dyDescent="0.25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3">
        <v>0.14599999999999999</v>
      </c>
    </row>
    <row r="58" spans="1:36" x14ac:dyDescent="0.25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3">
        <v>2.8000000000000001E-2</v>
      </c>
    </row>
    <row r="59" spans="1:36" x14ac:dyDescent="0.25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3">
        <v>0.02</v>
      </c>
    </row>
    <row r="60" spans="1:36" x14ac:dyDescent="0.25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3">
        <v>7.0000000000000001E-3</v>
      </c>
    </row>
    <row r="61" spans="1:36" x14ac:dyDescent="0.25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3">
        <v>2.8000000000000001E-2</v>
      </c>
    </row>
    <row r="62" spans="1:36" x14ac:dyDescent="0.25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3">
        <v>3.1E-2</v>
      </c>
    </row>
    <row r="63" spans="1:36" x14ac:dyDescent="0.25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270</v>
      </c>
      <c r="B64" t="s">
        <v>271</v>
      </c>
      <c r="D64" t="s">
        <v>272</v>
      </c>
    </row>
    <row r="65" spans="1:36" x14ac:dyDescent="0.25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3">
        <v>1E-3</v>
      </c>
    </row>
    <row r="66" spans="1:36" x14ac:dyDescent="0.25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3">
        <v>3.1E-2</v>
      </c>
    </row>
    <row r="67" spans="1:36" x14ac:dyDescent="0.25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3">
        <v>2E-3</v>
      </c>
    </row>
    <row r="68" spans="1:36" x14ac:dyDescent="0.25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3">
        <v>7.5999999999999998E-2</v>
      </c>
    </row>
    <row r="69" spans="1:36" x14ac:dyDescent="0.25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3">
        <v>5.8000000000000003E-2</v>
      </c>
    </row>
    <row r="70" spans="1:36" x14ac:dyDescent="0.25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3">
        <v>4.2999999999999997E-2</v>
      </c>
    </row>
    <row r="71" spans="1:36" x14ac:dyDescent="0.25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3">
        <v>8.9999999999999993E-3</v>
      </c>
    </row>
    <row r="72" spans="1:36" x14ac:dyDescent="0.25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3">
        <v>7.3999999999999996E-2</v>
      </c>
    </row>
    <row r="73" spans="1:36" x14ac:dyDescent="0.25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3">
        <v>7.0000000000000001E-3</v>
      </c>
    </row>
    <row r="74" spans="1:36" x14ac:dyDescent="0.25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3">
        <v>1.6E-2</v>
      </c>
    </row>
    <row r="75" spans="1:36" x14ac:dyDescent="0.25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3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307</v>
      </c>
    </row>
    <row r="11" spans="1:36" x14ac:dyDescent="0.25">
      <c r="A11" t="s">
        <v>308</v>
      </c>
    </row>
    <row r="12" spans="1:36" x14ac:dyDescent="0.25">
      <c r="A12" t="s">
        <v>309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310</v>
      </c>
      <c r="C15" t="s">
        <v>351</v>
      </c>
    </row>
    <row r="16" spans="1:36" x14ac:dyDescent="0.25">
      <c r="A16" t="s">
        <v>153</v>
      </c>
      <c r="C16" t="s">
        <v>352</v>
      </c>
    </row>
    <row r="17" spans="1:36" x14ac:dyDescent="0.25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3">
        <v>-1.0999999999999999E-2</v>
      </c>
    </row>
    <row r="18" spans="1:36" x14ac:dyDescent="0.25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3">
        <v>-0.115</v>
      </c>
    </row>
    <row r="19" spans="1:36" x14ac:dyDescent="0.25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3">
        <v>-1.0999999999999999E-2</v>
      </c>
    </row>
    <row r="20" spans="1:36" x14ac:dyDescent="0.25">
      <c r="A20" t="s">
        <v>165</v>
      </c>
      <c r="C20" t="s">
        <v>357</v>
      </c>
    </row>
    <row r="21" spans="1:36" x14ac:dyDescent="0.25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3">
        <v>-3.4000000000000002E-2</v>
      </c>
    </row>
    <row r="22" spans="1:36" x14ac:dyDescent="0.25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3">
        <v>-3.6999999999999998E-2</v>
      </c>
    </row>
    <row r="23" spans="1:36" x14ac:dyDescent="0.25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3">
        <v>8.7999999999999995E-2</v>
      </c>
    </row>
    <row r="24" spans="1:36" x14ac:dyDescent="0.25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3">
        <v>0.1</v>
      </c>
    </row>
    <row r="25" spans="1:36" x14ac:dyDescent="0.25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3">
        <v>4.5999999999999999E-2</v>
      </c>
    </row>
    <row r="26" spans="1:36" x14ac:dyDescent="0.25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3">
        <v>-8.9999999999999993E-3</v>
      </c>
    </row>
    <row r="27" spans="1:36" x14ac:dyDescent="0.25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3">
        <v>0.02</v>
      </c>
    </row>
    <row r="29" spans="1:36" x14ac:dyDescent="0.25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3">
        <v>-2.1000000000000001E-2</v>
      </c>
    </row>
    <row r="30" spans="1:36" x14ac:dyDescent="0.25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3">
        <v>-1.6E-2</v>
      </c>
    </row>
    <row r="31" spans="1:36" x14ac:dyDescent="0.25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3">
        <v>2.3E-2</v>
      </c>
    </row>
    <row r="32" spans="1:36" x14ac:dyDescent="0.25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3">
        <v>4.0000000000000001E-3</v>
      </c>
    </row>
    <row r="33" spans="1:36" x14ac:dyDescent="0.25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3">
        <v>2.9000000000000001E-2</v>
      </c>
    </row>
    <row r="35" spans="1:36" x14ac:dyDescent="0.25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3">
        <v>2.1999999999999999E-2</v>
      </c>
    </row>
    <row r="36" spans="1:36" x14ac:dyDescent="0.25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3">
        <v>-7.0000000000000001E-3</v>
      </c>
    </row>
    <row r="37" spans="1:36" x14ac:dyDescent="0.25">
      <c r="A37" t="s">
        <v>330</v>
      </c>
      <c r="C37" t="s">
        <v>374</v>
      </c>
    </row>
    <row r="38" spans="1:36" x14ac:dyDescent="0.25">
      <c r="A38" t="s">
        <v>218</v>
      </c>
      <c r="C38" t="s">
        <v>375</v>
      </c>
    </row>
    <row r="39" spans="1:36" x14ac:dyDescent="0.25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3">
        <v>7.0000000000000001E-3</v>
      </c>
    </row>
    <row r="40" spans="1:36" x14ac:dyDescent="0.25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3">
        <v>4.7E-2</v>
      </c>
    </row>
    <row r="41" spans="1:36" x14ac:dyDescent="0.25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3">
        <v>7.0000000000000001E-3</v>
      </c>
    </row>
    <row r="42" spans="1:36" x14ac:dyDescent="0.25">
      <c r="A42" t="s">
        <v>227</v>
      </c>
      <c r="C42" t="s">
        <v>379</v>
      </c>
    </row>
    <row r="43" spans="1:36" x14ac:dyDescent="0.25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3">
        <v>-6.0000000000000001E-3</v>
      </c>
    </row>
    <row r="44" spans="1:36" x14ac:dyDescent="0.25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3">
        <v>-0.11600000000000001</v>
      </c>
    </row>
    <row r="45" spans="1:36" x14ac:dyDescent="0.25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3">
        <v>0.13700000000000001</v>
      </c>
    </row>
    <row r="46" spans="1:36" x14ac:dyDescent="0.25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3">
        <v>0.156</v>
      </c>
    </row>
    <row r="47" spans="1:36" x14ac:dyDescent="0.25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3">
        <v>6.9000000000000006E-2</v>
      </c>
    </row>
    <row r="48" spans="1:36" x14ac:dyDescent="0.25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3">
        <v>0.14499999999999999</v>
      </c>
    </row>
    <row r="49" spans="1:36" x14ac:dyDescent="0.25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3">
        <v>8.1000000000000003E-2</v>
      </c>
    </row>
    <row r="51" spans="1:36" x14ac:dyDescent="0.25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3">
        <v>-5.0000000000000001E-3</v>
      </c>
    </row>
    <row r="52" spans="1:36" x14ac:dyDescent="0.25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3">
        <v>8.0000000000000002E-3</v>
      </c>
    </row>
    <row r="53" spans="1:36" x14ac:dyDescent="0.25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3">
        <v>1.4E-2</v>
      </c>
    </row>
    <row r="54" spans="1:36" x14ac:dyDescent="0.25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3">
        <v>-2.7E-2</v>
      </c>
    </row>
    <row r="55" spans="1:36" x14ac:dyDescent="0.25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3">
        <v>0.245</v>
      </c>
    </row>
    <row r="57" spans="1:36" x14ac:dyDescent="0.25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3">
        <v>2.1999999999999999E-2</v>
      </c>
    </row>
    <row r="58" spans="1:36" x14ac:dyDescent="0.25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3">
        <v>0.01</v>
      </c>
    </row>
    <row r="59" spans="1:36" x14ac:dyDescent="0.25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3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ColWidth="8.85546875" defaultRowHeight="15" x14ac:dyDescent="0.25"/>
  <sheetData>
    <row r="1" spans="1:11" x14ac:dyDescent="0.25">
      <c r="A1" t="s">
        <v>917</v>
      </c>
    </row>
    <row r="2" spans="1:11" x14ac:dyDescent="0.25">
      <c r="A2" t="s">
        <v>918</v>
      </c>
    </row>
    <row r="3" spans="1:11" x14ac:dyDescent="0.25">
      <c r="A3" t="s">
        <v>919</v>
      </c>
    </row>
    <row r="4" spans="1:11" x14ac:dyDescent="0.25">
      <c r="A4" t="s">
        <v>146</v>
      </c>
    </row>
    <row r="5" spans="1:11" x14ac:dyDescent="0.25">
      <c r="A5" t="s">
        <v>920</v>
      </c>
      <c r="B5" t="s">
        <v>921</v>
      </c>
      <c r="C5" t="s">
        <v>922</v>
      </c>
      <c r="D5" t="s">
        <v>923</v>
      </c>
      <c r="E5" t="s">
        <v>924</v>
      </c>
      <c r="F5" t="s">
        <v>925</v>
      </c>
      <c r="G5" t="s">
        <v>926</v>
      </c>
      <c r="H5" t="s">
        <v>927</v>
      </c>
      <c r="I5" t="s">
        <v>928</v>
      </c>
      <c r="J5" t="s">
        <v>929</v>
      </c>
      <c r="K5" t="s">
        <v>930</v>
      </c>
    </row>
    <row r="6" spans="1:11" x14ac:dyDescent="0.2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5">
      <c r="A11" t="s">
        <v>397</v>
      </c>
    </row>
    <row r="12" spans="1:36" x14ac:dyDescent="0.25">
      <c r="A12" t="s">
        <v>398</v>
      </c>
    </row>
    <row r="13" spans="1:36" x14ac:dyDescent="0.25">
      <c r="A13" t="s">
        <v>399</v>
      </c>
    </row>
    <row r="14" spans="1:36" x14ac:dyDescent="0.25">
      <c r="A14" t="s">
        <v>146</v>
      </c>
    </row>
    <row r="15" spans="1:36" x14ac:dyDescent="0.25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5">
      <c r="A16" t="s">
        <v>41</v>
      </c>
      <c r="C16" t="s">
        <v>650</v>
      </c>
    </row>
    <row r="17" spans="1:36" x14ac:dyDescent="0.25">
      <c r="A17" t="s">
        <v>400</v>
      </c>
      <c r="C17" t="s">
        <v>651</v>
      </c>
    </row>
    <row r="18" spans="1:36" x14ac:dyDescent="0.25">
      <c r="A18" t="s">
        <v>401</v>
      </c>
      <c r="C18" t="s">
        <v>652</v>
      </c>
    </row>
    <row r="19" spans="1:36" x14ac:dyDescent="0.25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3">
        <v>1.6E-2</v>
      </c>
    </row>
    <row r="20" spans="1:36" x14ac:dyDescent="0.25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3">
        <v>2.4E-2</v>
      </c>
    </row>
    <row r="21" spans="1:36" x14ac:dyDescent="0.25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3">
        <v>0.104</v>
      </c>
    </row>
    <row r="22" spans="1:36" x14ac:dyDescent="0.25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3">
        <v>7.9000000000000001E-2</v>
      </c>
    </row>
    <row r="23" spans="1:36" x14ac:dyDescent="0.25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3">
        <v>5.8000000000000003E-2</v>
      </c>
    </row>
    <row r="24" spans="1:36" x14ac:dyDescent="0.25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3">
        <v>0.13600000000000001</v>
      </c>
    </row>
    <row r="25" spans="1:36" x14ac:dyDescent="0.25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3">
        <v>0.14399999999999999</v>
      </c>
    </row>
    <row r="26" spans="1:36" x14ac:dyDescent="0.25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3">
        <v>0.14399999999999999</v>
      </c>
    </row>
    <row r="27" spans="1:36" x14ac:dyDescent="0.25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3">
        <v>0.106</v>
      </c>
    </row>
    <row r="28" spans="1:36" x14ac:dyDescent="0.25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3">
        <v>2.3E-2</v>
      </c>
    </row>
    <row r="29" spans="1:36" x14ac:dyDescent="0.25">
      <c r="A29" t="s">
        <v>420</v>
      </c>
      <c r="C29" t="s">
        <v>664</v>
      </c>
    </row>
    <row r="30" spans="1:36" x14ac:dyDescent="0.25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3">
        <v>2.5999999999999999E-2</v>
      </c>
    </row>
    <row r="31" spans="1:36" x14ac:dyDescent="0.25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3">
        <v>1.7999999999999999E-2</v>
      </c>
    </row>
    <row r="32" spans="1:36" x14ac:dyDescent="0.25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3">
        <v>5.1999999999999998E-2</v>
      </c>
    </row>
    <row r="33" spans="1:36" x14ac:dyDescent="0.25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3">
        <v>5.8999999999999997E-2</v>
      </c>
    </row>
    <row r="34" spans="1:36" x14ac:dyDescent="0.25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3">
        <v>6.9000000000000006E-2</v>
      </c>
    </row>
    <row r="35" spans="1:36" x14ac:dyDescent="0.25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3">
        <v>0.129</v>
      </c>
    </row>
    <row r="36" spans="1:36" x14ac:dyDescent="0.25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3">
        <v>0.14499999999999999</v>
      </c>
    </row>
    <row r="37" spans="1:36" x14ac:dyDescent="0.25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3">
        <v>0.14499999999999999</v>
      </c>
    </row>
    <row r="38" spans="1:36" x14ac:dyDescent="0.25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3">
        <v>0.14499999999999999</v>
      </c>
    </row>
    <row r="39" spans="1:36" x14ac:dyDescent="0.25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3">
        <v>2.5000000000000001E-2</v>
      </c>
    </row>
    <row r="40" spans="1:36" x14ac:dyDescent="0.25">
      <c r="A40" t="s">
        <v>432</v>
      </c>
      <c r="C40" t="s">
        <v>675</v>
      </c>
    </row>
    <row r="41" spans="1:36" x14ac:dyDescent="0.25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3">
        <v>8.9999999999999993E-3</v>
      </c>
    </row>
    <row r="42" spans="1:36" x14ac:dyDescent="0.25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3">
        <v>-1.9E-2</v>
      </c>
    </row>
    <row r="43" spans="1:36" x14ac:dyDescent="0.25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3">
        <v>2.8000000000000001E-2</v>
      </c>
    </row>
    <row r="44" spans="1:36" x14ac:dyDescent="0.25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3">
        <v>2.9000000000000001E-2</v>
      </c>
    </row>
    <row r="45" spans="1:36" x14ac:dyDescent="0.25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3">
        <v>0.127</v>
      </c>
    </row>
    <row r="47" spans="1:36" x14ac:dyDescent="0.25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3">
        <v>0.11600000000000001</v>
      </c>
    </row>
    <row r="48" spans="1:36" x14ac:dyDescent="0.25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3">
        <v>0.11600000000000001</v>
      </c>
    </row>
    <row r="49" spans="1:36" x14ac:dyDescent="0.25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3">
        <v>0.11899999999999999</v>
      </c>
    </row>
    <row r="50" spans="1:36" x14ac:dyDescent="0.25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3">
        <v>8.9999999999999993E-3</v>
      </c>
    </row>
    <row r="51" spans="1:36" x14ac:dyDescent="0.25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3">
        <v>1.6E-2</v>
      </c>
    </row>
    <row r="52" spans="1:36" x14ac:dyDescent="0.25">
      <c r="A52" t="s">
        <v>446</v>
      </c>
      <c r="C52" t="s">
        <v>687</v>
      </c>
    </row>
    <row r="53" spans="1:36" x14ac:dyDescent="0.25">
      <c r="A53" t="s">
        <v>401</v>
      </c>
      <c r="C53" t="s">
        <v>688</v>
      </c>
    </row>
    <row r="54" spans="1:36" x14ac:dyDescent="0.25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3">
        <v>8.0000000000000002E-3</v>
      </c>
    </row>
    <row r="55" spans="1:36" x14ac:dyDescent="0.25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3">
        <v>1.2999999999999999E-2</v>
      </c>
    </row>
    <row r="56" spans="1:36" x14ac:dyDescent="0.25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3">
        <v>9.8000000000000004E-2</v>
      </c>
    </row>
    <row r="57" spans="1:36" x14ac:dyDescent="0.25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3">
        <v>7.0999999999999994E-2</v>
      </c>
    </row>
    <row r="58" spans="1:36" x14ac:dyDescent="0.25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3">
        <v>4.8000000000000001E-2</v>
      </c>
    </row>
    <row r="59" spans="1:36" x14ac:dyDescent="0.25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3">
        <v>0.13200000000000001</v>
      </c>
    </row>
    <row r="60" spans="1:36" x14ac:dyDescent="0.25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3">
        <v>0.13500000000000001</v>
      </c>
    </row>
    <row r="61" spans="1:36" x14ac:dyDescent="0.25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3">
        <v>0.14000000000000001</v>
      </c>
    </row>
    <row r="62" spans="1:36" x14ac:dyDescent="0.25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3">
        <v>0.111</v>
      </c>
    </row>
    <row r="63" spans="1:36" x14ac:dyDescent="0.25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3">
        <v>1.4999999999999999E-2</v>
      </c>
    </row>
    <row r="64" spans="1:36" x14ac:dyDescent="0.25">
      <c r="A64" t="s">
        <v>420</v>
      </c>
      <c r="C64" t="s">
        <v>700</v>
      </c>
    </row>
    <row r="65" spans="1:36" x14ac:dyDescent="0.25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3">
        <v>1.4999999999999999E-2</v>
      </c>
    </row>
    <row r="66" spans="1:36" x14ac:dyDescent="0.25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3">
        <v>8.0000000000000002E-3</v>
      </c>
    </row>
    <row r="67" spans="1:36" x14ac:dyDescent="0.25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3">
        <v>4.1000000000000002E-2</v>
      </c>
    </row>
    <row r="68" spans="1:36" x14ac:dyDescent="0.25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3">
        <v>4.8000000000000001E-2</v>
      </c>
    </row>
    <row r="69" spans="1:36" x14ac:dyDescent="0.25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3">
        <v>5.8999999999999997E-2</v>
      </c>
    </row>
    <row r="70" spans="1:36" x14ac:dyDescent="0.25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3">
        <v>0.123</v>
      </c>
    </row>
    <row r="71" spans="1:36" x14ac:dyDescent="0.25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3">
        <v>0.13500000000000001</v>
      </c>
    </row>
    <row r="72" spans="1:36" x14ac:dyDescent="0.25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3">
        <v>0.13600000000000001</v>
      </c>
    </row>
    <row r="73" spans="1:36" x14ac:dyDescent="0.25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3">
        <v>0.14499999999999999</v>
      </c>
    </row>
    <row r="74" spans="1:36" x14ac:dyDescent="0.25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3">
        <v>1.4E-2</v>
      </c>
    </row>
    <row r="75" spans="1:36" x14ac:dyDescent="0.25">
      <c r="A75" t="s">
        <v>432</v>
      </c>
      <c r="C75" t="s">
        <v>711</v>
      </c>
    </row>
    <row r="76" spans="1:36" x14ac:dyDescent="0.25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3">
        <v>0</v>
      </c>
    </row>
    <row r="77" spans="1:36" x14ac:dyDescent="0.25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3">
        <v>-2.9000000000000001E-2</v>
      </c>
    </row>
    <row r="78" spans="1:36" x14ac:dyDescent="0.25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3">
        <v>0.02</v>
      </c>
    </row>
    <row r="79" spans="1:36" x14ac:dyDescent="0.25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3">
        <v>2.1000000000000001E-2</v>
      </c>
    </row>
    <row r="80" spans="1:36" x14ac:dyDescent="0.25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3">
        <v>0.113</v>
      </c>
    </row>
    <row r="82" spans="1:36" x14ac:dyDescent="0.25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3">
        <v>7.2999999999999995E-2</v>
      </c>
    </row>
    <row r="83" spans="1:36" x14ac:dyDescent="0.25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3">
        <v>7.2999999999999995E-2</v>
      </c>
    </row>
    <row r="84" spans="1:36" x14ac:dyDescent="0.25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3">
        <v>0.11600000000000001</v>
      </c>
    </row>
    <row r="85" spans="1:36" x14ac:dyDescent="0.25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3">
        <v>1E-3</v>
      </c>
    </row>
    <row r="86" spans="1:36" x14ac:dyDescent="0.25">
      <c r="A86" t="s">
        <v>401</v>
      </c>
      <c r="B86" t="s">
        <v>477</v>
      </c>
      <c r="C86" t="s">
        <v>722</v>
      </c>
    </row>
    <row r="87" spans="1:36" x14ac:dyDescent="0.25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3">
        <v>3.0000000000000001E-3</v>
      </c>
    </row>
    <row r="88" spans="1:36" x14ac:dyDescent="0.25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3">
        <v>0.01</v>
      </c>
    </row>
    <row r="89" spans="1:36" x14ac:dyDescent="0.25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3">
        <v>4.4999999999999998E-2</v>
      </c>
    </row>
    <row r="90" spans="1:36" x14ac:dyDescent="0.25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3">
        <v>2.1999999999999999E-2</v>
      </c>
    </row>
    <row r="91" spans="1:36" x14ac:dyDescent="0.25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3">
        <v>5.0999999999999997E-2</v>
      </c>
    </row>
    <row r="92" spans="1:36" x14ac:dyDescent="0.25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3">
        <v>0.124</v>
      </c>
    </row>
    <row r="93" spans="1:36" x14ac:dyDescent="0.25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3">
        <v>0.11</v>
      </c>
    </row>
    <row r="94" spans="1:36" x14ac:dyDescent="0.25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3">
        <v>0.114</v>
      </c>
    </row>
    <row r="95" spans="1:36" x14ac:dyDescent="0.25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3">
        <v>0.13400000000000001</v>
      </c>
    </row>
    <row r="96" spans="1:36" x14ac:dyDescent="0.25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3">
        <v>5.0000000000000001E-3</v>
      </c>
    </row>
    <row r="97" spans="1:36" x14ac:dyDescent="0.25">
      <c r="A97" t="s">
        <v>489</v>
      </c>
      <c r="C97" t="s">
        <v>733</v>
      </c>
    </row>
    <row r="98" spans="1:36" x14ac:dyDescent="0.25">
      <c r="A98" t="s">
        <v>401</v>
      </c>
      <c r="C98" t="s">
        <v>734</v>
      </c>
    </row>
    <row r="99" spans="1:36" x14ac:dyDescent="0.25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3">
        <v>8.0000000000000002E-3</v>
      </c>
    </row>
    <row r="100" spans="1:36" x14ac:dyDescent="0.25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3">
        <v>1.0999999999999999E-2</v>
      </c>
    </row>
    <row r="101" spans="1:36" x14ac:dyDescent="0.25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3">
        <v>5.0000000000000001E-3</v>
      </c>
    </row>
    <row r="102" spans="1:36" x14ac:dyDescent="0.25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3">
        <v>7.0000000000000001E-3</v>
      </c>
    </row>
    <row r="103" spans="1:36" x14ac:dyDescent="0.25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3">
        <v>8.9999999999999993E-3</v>
      </c>
    </row>
    <row r="104" spans="1:36" x14ac:dyDescent="0.25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3">
        <v>3.0000000000000001E-3</v>
      </c>
    </row>
    <row r="105" spans="1:36" x14ac:dyDescent="0.25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3">
        <v>8.0000000000000002E-3</v>
      </c>
    </row>
    <row r="106" spans="1:36" x14ac:dyDescent="0.25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3">
        <v>4.0000000000000001E-3</v>
      </c>
    </row>
    <row r="107" spans="1:36" x14ac:dyDescent="0.25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3">
        <v>-4.0000000000000001E-3</v>
      </c>
    </row>
    <row r="108" spans="1:36" x14ac:dyDescent="0.25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3">
        <v>8.0000000000000002E-3</v>
      </c>
    </row>
    <row r="109" spans="1:36" x14ac:dyDescent="0.25">
      <c r="A109" t="s">
        <v>420</v>
      </c>
      <c r="C109" t="s">
        <v>747</v>
      </c>
    </row>
    <row r="110" spans="1:36" x14ac:dyDescent="0.25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3">
        <v>1.2E-2</v>
      </c>
    </row>
    <row r="111" spans="1:36" x14ac:dyDescent="0.25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3">
        <v>0.01</v>
      </c>
    </row>
    <row r="112" spans="1:36" x14ac:dyDescent="0.25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3">
        <v>0.01</v>
      </c>
    </row>
    <row r="113" spans="1:36" x14ac:dyDescent="0.25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3">
        <v>1.0999999999999999E-2</v>
      </c>
    </row>
    <row r="114" spans="1:36" x14ac:dyDescent="0.25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3">
        <v>8.9999999999999993E-3</v>
      </c>
    </row>
    <row r="115" spans="1:36" x14ac:dyDescent="0.25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3">
        <v>5.0000000000000001E-3</v>
      </c>
    </row>
    <row r="116" spans="1:36" x14ac:dyDescent="0.25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3">
        <v>8.0000000000000002E-3</v>
      </c>
    </row>
    <row r="117" spans="1:36" x14ac:dyDescent="0.25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3">
        <v>8.0000000000000002E-3</v>
      </c>
    </row>
    <row r="118" spans="1:36" x14ac:dyDescent="0.25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3">
        <v>0</v>
      </c>
    </row>
    <row r="119" spans="1:36" x14ac:dyDescent="0.25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3">
        <v>1.2E-2</v>
      </c>
    </row>
    <row r="120" spans="1:36" x14ac:dyDescent="0.25">
      <c r="A120" t="s">
        <v>432</v>
      </c>
      <c r="C120" t="s">
        <v>759</v>
      </c>
    </row>
    <row r="121" spans="1:36" x14ac:dyDescent="0.25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3">
        <v>8.0000000000000002E-3</v>
      </c>
    </row>
    <row r="122" spans="1:36" x14ac:dyDescent="0.25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3">
        <v>0.01</v>
      </c>
    </row>
    <row r="123" spans="1:36" x14ac:dyDescent="0.25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3">
        <v>7.0000000000000001E-3</v>
      </c>
    </row>
    <row r="124" spans="1:36" x14ac:dyDescent="0.25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3">
        <v>8.0000000000000002E-3</v>
      </c>
    </row>
    <row r="125" spans="1:36" x14ac:dyDescent="0.25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3">
        <v>1.2E-2</v>
      </c>
    </row>
    <row r="127" spans="1:36" x14ac:dyDescent="0.25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3">
        <v>0.04</v>
      </c>
    </row>
    <row r="128" spans="1:36" x14ac:dyDescent="0.25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3">
        <v>0.04</v>
      </c>
    </row>
    <row r="129" spans="1:36" x14ac:dyDescent="0.25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3">
        <v>2E-3</v>
      </c>
    </row>
    <row r="130" spans="1:36" x14ac:dyDescent="0.25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3">
        <v>8.0000000000000002E-3</v>
      </c>
    </row>
    <row r="131" spans="1:36" x14ac:dyDescent="0.25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3">
        <v>1.0999999999999999E-2</v>
      </c>
    </row>
    <row r="132" spans="1:36" x14ac:dyDescent="0.25">
      <c r="A132" t="s">
        <v>525</v>
      </c>
      <c r="C132" t="s">
        <v>771</v>
      </c>
    </row>
    <row r="133" spans="1:36" x14ac:dyDescent="0.25">
      <c r="A133" t="s">
        <v>401</v>
      </c>
      <c r="C133" t="s">
        <v>772</v>
      </c>
    </row>
    <row r="134" spans="1:36" x14ac:dyDescent="0.25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3">
        <v>2.1999999999999999E-2</v>
      </c>
    </row>
    <row r="135" spans="1:36" x14ac:dyDescent="0.25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3">
        <v>2.1000000000000001E-2</v>
      </c>
    </row>
    <row r="136" spans="1:36" x14ac:dyDescent="0.25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3">
        <v>0.11600000000000001</v>
      </c>
    </row>
    <row r="137" spans="1:36" x14ac:dyDescent="0.25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3">
        <v>0.10100000000000001</v>
      </c>
    </row>
    <row r="138" spans="1:36" x14ac:dyDescent="0.25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3">
        <v>6.6000000000000003E-2</v>
      </c>
    </row>
    <row r="139" spans="1:36" x14ac:dyDescent="0.25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3">
        <v>0.14299999999999999</v>
      </c>
    </row>
    <row r="140" spans="1:36" x14ac:dyDescent="0.25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3">
        <v>0.153</v>
      </c>
    </row>
    <row r="141" spans="1:36" x14ac:dyDescent="0.25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3">
        <v>0.153</v>
      </c>
    </row>
    <row r="142" spans="1:36" x14ac:dyDescent="0.25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3">
        <v>0.123</v>
      </c>
    </row>
    <row r="143" spans="1:36" x14ac:dyDescent="0.25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3">
        <v>2.7E-2</v>
      </c>
    </row>
    <row r="144" spans="1:36" x14ac:dyDescent="0.25">
      <c r="A144" t="s">
        <v>420</v>
      </c>
      <c r="C144" t="s">
        <v>783</v>
      </c>
    </row>
    <row r="145" spans="1:36" x14ac:dyDescent="0.25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3">
        <v>2.1000000000000001E-2</v>
      </c>
    </row>
    <row r="146" spans="1:36" x14ac:dyDescent="0.25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3">
        <v>1.4E-2</v>
      </c>
    </row>
    <row r="147" spans="1:36" x14ac:dyDescent="0.25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3">
        <v>4.2999999999999997E-2</v>
      </c>
    </row>
    <row r="148" spans="1:36" x14ac:dyDescent="0.25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3">
        <v>6.4000000000000001E-2</v>
      </c>
    </row>
    <row r="149" spans="1:36" x14ac:dyDescent="0.25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3">
        <v>7.3999999999999996E-2</v>
      </c>
    </row>
    <row r="150" spans="1:36" x14ac:dyDescent="0.25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3">
        <v>0.13900000000000001</v>
      </c>
    </row>
    <row r="151" spans="1:36" x14ac:dyDescent="0.25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3">
        <v>0.157</v>
      </c>
    </row>
    <row r="152" spans="1:36" x14ac:dyDescent="0.25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3">
        <v>0.157</v>
      </c>
    </row>
    <row r="153" spans="1:36" x14ac:dyDescent="0.25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3">
        <v>0.157</v>
      </c>
    </row>
    <row r="154" spans="1:36" x14ac:dyDescent="0.25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3">
        <v>0.02</v>
      </c>
    </row>
    <row r="155" spans="1:36" x14ac:dyDescent="0.25">
      <c r="A155" t="s">
        <v>432</v>
      </c>
      <c r="C155" t="s">
        <v>794</v>
      </c>
    </row>
    <row r="156" spans="1:36" x14ac:dyDescent="0.25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3">
        <v>8.0000000000000002E-3</v>
      </c>
    </row>
    <row r="157" spans="1:36" x14ac:dyDescent="0.25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3">
        <v>-4.2000000000000003E-2</v>
      </c>
    </row>
    <row r="158" spans="1:36" x14ac:dyDescent="0.25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3">
        <v>0.02</v>
      </c>
    </row>
    <row r="159" spans="1:36" x14ac:dyDescent="0.25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3">
        <v>3.4000000000000002E-2</v>
      </c>
    </row>
    <row r="160" spans="1:36" x14ac:dyDescent="0.25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3">
        <v>0.13700000000000001</v>
      </c>
    </row>
    <row r="162" spans="1:36" x14ac:dyDescent="0.25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3">
        <v>0.124</v>
      </c>
    </row>
    <row r="163" spans="1:36" x14ac:dyDescent="0.25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3">
        <v>0.123</v>
      </c>
    </row>
    <row r="164" spans="1:36" x14ac:dyDescent="0.25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3">
        <v>0.126</v>
      </c>
    </row>
    <row r="165" spans="1:36" x14ac:dyDescent="0.25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3">
        <v>8.9999999999999993E-3</v>
      </c>
    </row>
    <row r="166" spans="1:36" x14ac:dyDescent="0.25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3">
        <v>1.7999999999999999E-2</v>
      </c>
    </row>
    <row r="167" spans="1:36" x14ac:dyDescent="0.25">
      <c r="A167" t="s">
        <v>40</v>
      </c>
      <c r="C167" t="s">
        <v>806</v>
      </c>
    </row>
    <row r="168" spans="1:36" x14ac:dyDescent="0.25">
      <c r="A168" t="s">
        <v>489</v>
      </c>
      <c r="C168" t="s">
        <v>807</v>
      </c>
    </row>
    <row r="169" spans="1:36" x14ac:dyDescent="0.25">
      <c r="A169" t="s">
        <v>401</v>
      </c>
      <c r="C169" t="s">
        <v>808</v>
      </c>
    </row>
    <row r="170" spans="1:36" x14ac:dyDescent="0.25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3">
        <v>4.0000000000000001E-3</v>
      </c>
    </row>
    <row r="171" spans="1:36" x14ac:dyDescent="0.25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3">
        <v>7.0000000000000001E-3</v>
      </c>
    </row>
    <row r="172" spans="1:36" x14ac:dyDescent="0.25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3">
        <v>4.0000000000000001E-3</v>
      </c>
    </row>
    <row r="173" spans="1:36" x14ac:dyDescent="0.25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3">
        <v>4.0000000000000001E-3</v>
      </c>
    </row>
    <row r="174" spans="1:36" x14ac:dyDescent="0.25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3">
        <v>7.0000000000000001E-3</v>
      </c>
    </row>
    <row r="175" spans="1:36" x14ac:dyDescent="0.25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3">
        <v>3.0000000000000001E-3</v>
      </c>
    </row>
    <row r="176" spans="1:36" x14ac:dyDescent="0.25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3">
        <v>8.0000000000000002E-3</v>
      </c>
    </row>
    <row r="177" spans="1:36" x14ac:dyDescent="0.25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3">
        <v>4.0000000000000001E-3</v>
      </c>
    </row>
    <row r="178" spans="1:36" x14ac:dyDescent="0.25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3">
        <v>-4.0000000000000001E-3</v>
      </c>
    </row>
    <row r="179" spans="1:36" x14ac:dyDescent="0.25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3">
        <v>4.0000000000000001E-3</v>
      </c>
    </row>
    <row r="180" spans="1:36" x14ac:dyDescent="0.25">
      <c r="A180" t="s">
        <v>420</v>
      </c>
      <c r="C180" t="s">
        <v>819</v>
      </c>
    </row>
    <row r="181" spans="1:36" x14ac:dyDescent="0.25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3">
        <v>0.01</v>
      </c>
    </row>
    <row r="182" spans="1:36" x14ac:dyDescent="0.25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3">
        <v>8.9999999999999993E-3</v>
      </c>
    </row>
    <row r="183" spans="1:36" x14ac:dyDescent="0.25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3">
        <v>0.01</v>
      </c>
    </row>
    <row r="184" spans="1:36" x14ac:dyDescent="0.25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3">
        <v>0.01</v>
      </c>
    </row>
    <row r="185" spans="1:36" x14ac:dyDescent="0.25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3">
        <v>8.9999999999999993E-3</v>
      </c>
    </row>
    <row r="186" spans="1:36" x14ac:dyDescent="0.25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3">
        <v>7.0000000000000001E-3</v>
      </c>
    </row>
    <row r="187" spans="1:36" x14ac:dyDescent="0.25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3">
        <v>8.9999999999999993E-3</v>
      </c>
    </row>
    <row r="188" spans="1:36" x14ac:dyDescent="0.25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3">
        <v>8.0000000000000002E-3</v>
      </c>
    </row>
    <row r="189" spans="1:36" x14ac:dyDescent="0.25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3">
        <v>0</v>
      </c>
    </row>
    <row r="190" spans="1:36" x14ac:dyDescent="0.25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3">
        <v>8.9999999999999993E-3</v>
      </c>
    </row>
    <row r="191" spans="1:36" x14ac:dyDescent="0.25">
      <c r="A191" t="s">
        <v>432</v>
      </c>
      <c r="C191" t="s">
        <v>830</v>
      </c>
    </row>
    <row r="192" spans="1:36" x14ac:dyDescent="0.25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3">
        <v>8.0000000000000002E-3</v>
      </c>
    </row>
    <row r="193" spans="1:36" x14ac:dyDescent="0.25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3">
        <v>7.0000000000000001E-3</v>
      </c>
    </row>
    <row r="194" spans="1:36" x14ac:dyDescent="0.25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3">
        <v>6.0000000000000001E-3</v>
      </c>
    </row>
    <row r="195" spans="1:36" x14ac:dyDescent="0.25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3">
        <v>8.9999999999999993E-3</v>
      </c>
    </row>
    <row r="196" spans="1:36" x14ac:dyDescent="0.25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3">
        <v>1.7000000000000001E-2</v>
      </c>
    </row>
    <row r="198" spans="1:36" x14ac:dyDescent="0.25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3">
        <v>0.01</v>
      </c>
    </row>
    <row r="199" spans="1:36" x14ac:dyDescent="0.25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3">
        <v>7.0000000000000001E-3</v>
      </c>
    </row>
    <row r="200" spans="1:36" x14ac:dyDescent="0.25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3">
        <v>3.0000000000000001E-3</v>
      </c>
    </row>
    <row r="201" spans="1:36" x14ac:dyDescent="0.25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3">
        <v>8.0000000000000002E-3</v>
      </c>
    </row>
    <row r="202" spans="1:36" x14ac:dyDescent="0.25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3">
        <v>8.9999999999999993E-3</v>
      </c>
    </row>
    <row r="203" spans="1:36" x14ac:dyDescent="0.25">
      <c r="A203" t="s">
        <v>588</v>
      </c>
      <c r="C203" t="s">
        <v>842</v>
      </c>
    </row>
    <row r="204" spans="1:36" x14ac:dyDescent="0.25">
      <c r="A204" t="s">
        <v>401</v>
      </c>
      <c r="C204" t="s">
        <v>843</v>
      </c>
    </row>
    <row r="205" spans="1:36" x14ac:dyDescent="0.25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3">
        <v>7.0000000000000001E-3</v>
      </c>
    </row>
    <row r="206" spans="1:36" x14ac:dyDescent="0.25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3">
        <v>2.7E-2</v>
      </c>
    </row>
    <row r="207" spans="1:36" x14ac:dyDescent="0.25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3">
        <v>4.9000000000000002E-2</v>
      </c>
    </row>
    <row r="208" spans="1:36" x14ac:dyDescent="0.25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3">
        <v>2.4E-2</v>
      </c>
    </row>
    <row r="209" spans="1:36" x14ac:dyDescent="0.25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3">
        <v>4.8000000000000001E-2</v>
      </c>
    </row>
    <row r="210" spans="1:36" x14ac:dyDescent="0.25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3">
        <v>4.8000000000000001E-2</v>
      </c>
    </row>
    <row r="211" spans="1:36" x14ac:dyDescent="0.25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3">
        <v>4.9000000000000002E-2</v>
      </c>
    </row>
    <row r="212" spans="1:36" x14ac:dyDescent="0.25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3">
        <v>4.9000000000000002E-2</v>
      </c>
    </row>
    <row r="213" spans="1:36" x14ac:dyDescent="0.25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3">
        <v>-4.0000000000000001E-3</v>
      </c>
    </row>
    <row r="214" spans="1:36" x14ac:dyDescent="0.25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3">
        <v>1.9E-2</v>
      </c>
    </row>
    <row r="215" spans="1:36" x14ac:dyDescent="0.25">
      <c r="A215" t="s">
        <v>420</v>
      </c>
      <c r="C215" t="s">
        <v>854</v>
      </c>
    </row>
    <row r="216" spans="1:36" x14ac:dyDescent="0.25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3">
        <v>2.9000000000000001E-2</v>
      </c>
    </row>
    <row r="217" spans="1:36" x14ac:dyDescent="0.25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3">
        <v>2.5999999999999999E-2</v>
      </c>
    </row>
    <row r="218" spans="1:36" x14ac:dyDescent="0.25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3">
        <v>0.06</v>
      </c>
    </row>
    <row r="219" spans="1:36" x14ac:dyDescent="0.25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3">
        <v>3.2000000000000001E-2</v>
      </c>
    </row>
    <row r="220" spans="1:36" x14ac:dyDescent="0.25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3">
        <v>5.3999999999999999E-2</v>
      </c>
    </row>
    <row r="221" spans="1:36" x14ac:dyDescent="0.25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3">
        <v>0.06</v>
      </c>
    </row>
    <row r="222" spans="1:36" x14ac:dyDescent="0.25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3">
        <v>0.06</v>
      </c>
    </row>
    <row r="223" spans="1:36" x14ac:dyDescent="0.25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3">
        <v>0.06</v>
      </c>
    </row>
    <row r="224" spans="1:36" x14ac:dyDescent="0.25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3">
        <v>0.06</v>
      </c>
    </row>
    <row r="225" spans="1:36" x14ac:dyDescent="0.25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3">
        <v>2.9000000000000001E-2</v>
      </c>
    </row>
    <row r="226" spans="1:36" x14ac:dyDescent="0.25">
      <c r="A226" t="s">
        <v>432</v>
      </c>
      <c r="C226" t="s">
        <v>865</v>
      </c>
    </row>
    <row r="227" spans="1:36" x14ac:dyDescent="0.25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3">
        <v>6.0000000000000001E-3</v>
      </c>
    </row>
    <row r="228" spans="1:36" x14ac:dyDescent="0.25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3">
        <v>6.0000000000000001E-3</v>
      </c>
    </row>
    <row r="229" spans="1:36" x14ac:dyDescent="0.25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3">
        <v>5.0000000000000001E-3</v>
      </c>
    </row>
    <row r="230" spans="1:36" x14ac:dyDescent="0.25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3">
        <v>3.1E-2</v>
      </c>
    </row>
    <row r="231" spans="1:36" x14ac:dyDescent="0.25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3">
        <v>3.5999999999999997E-2</v>
      </c>
    </row>
    <row r="233" spans="1:36" x14ac:dyDescent="0.25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3">
        <v>3.6999999999999998E-2</v>
      </c>
    </row>
    <row r="234" spans="1:36" x14ac:dyDescent="0.25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3">
        <v>3.6999999999999998E-2</v>
      </c>
    </row>
    <row r="235" spans="1:36" x14ac:dyDescent="0.25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3">
        <v>3.6999999999999998E-2</v>
      </c>
    </row>
    <row r="236" spans="1:36" x14ac:dyDescent="0.25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3">
        <v>6.0000000000000001E-3</v>
      </c>
    </row>
    <row r="237" spans="1:36" x14ac:dyDescent="0.25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3">
        <v>1.7999999999999999E-2</v>
      </c>
    </row>
    <row r="238" spans="1:36" x14ac:dyDescent="0.25">
      <c r="A238" t="s">
        <v>39</v>
      </c>
      <c r="C238" t="s">
        <v>877</v>
      </c>
    </row>
    <row r="239" spans="1:36" x14ac:dyDescent="0.25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3">
        <v>8.0000000000000002E-3</v>
      </c>
    </row>
    <row r="240" spans="1:36" x14ac:dyDescent="0.25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3">
        <v>6.0000000000000001E-3</v>
      </c>
    </row>
    <row r="241" spans="1:36" x14ac:dyDescent="0.25">
      <c r="A241" t="s">
        <v>624</v>
      </c>
      <c r="C241" t="s">
        <v>882</v>
      </c>
    </row>
    <row r="242" spans="1:36" x14ac:dyDescent="0.25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3">
        <v>-1.7000000000000001E-2</v>
      </c>
    </row>
    <row r="243" spans="1:36" x14ac:dyDescent="0.25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3">
        <v>0.223</v>
      </c>
    </row>
    <row r="246" spans="1:36" x14ac:dyDescent="0.25">
      <c r="A246" t="s">
        <v>38</v>
      </c>
      <c r="C246" t="s">
        <v>887</v>
      </c>
    </row>
    <row r="247" spans="1:36" x14ac:dyDescent="0.25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3">
        <v>-8.0000000000000002E-3</v>
      </c>
    </row>
    <row r="248" spans="1:36" x14ac:dyDescent="0.25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3">
        <v>6.0000000000000001E-3</v>
      </c>
    </row>
    <row r="249" spans="1:36" x14ac:dyDescent="0.25">
      <c r="A249" t="s">
        <v>624</v>
      </c>
      <c r="C249" t="s">
        <v>890</v>
      </c>
    </row>
    <row r="250" spans="1:36" x14ac:dyDescent="0.25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3">
        <v>-1.4E-2</v>
      </c>
    </row>
    <row r="251" spans="1:36" x14ac:dyDescent="0.25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3">
        <v>-6.0999999999999999E-2</v>
      </c>
    </row>
    <row r="252" spans="1:36" x14ac:dyDescent="0.25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3">
        <v>4.8000000000000001E-2</v>
      </c>
    </row>
    <row r="254" spans="1:36" x14ac:dyDescent="0.25">
      <c r="A254" t="s">
        <v>37</v>
      </c>
      <c r="C254" t="s">
        <v>895</v>
      </c>
    </row>
    <row r="255" spans="1:36" x14ac:dyDescent="0.25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3">
        <v>0.04</v>
      </c>
    </row>
    <row r="256" spans="1:36" x14ac:dyDescent="0.25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3">
        <v>4.2000000000000003E-2</v>
      </c>
    </row>
    <row r="257" spans="1:36" x14ac:dyDescent="0.25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3">
        <v>3.7999999999999999E-2</v>
      </c>
    </row>
    <row r="258" spans="1:36" x14ac:dyDescent="0.25">
      <c r="A258" t="s">
        <v>624</v>
      </c>
      <c r="C258" t="s">
        <v>900</v>
      </c>
    </row>
    <row r="259" spans="1:36" x14ac:dyDescent="0.25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3">
        <v>-0.01</v>
      </c>
    </row>
    <row r="260" spans="1:36" x14ac:dyDescent="0.25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3">
        <v>5.0000000000000001E-3</v>
      </c>
    </row>
    <row r="261" spans="1:36" x14ac:dyDescent="0.25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3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2" sqref="B2:H7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872915.99999999988</v>
      </c>
      <c r="C2" s="5">
        <v>118567</v>
      </c>
      <c r="D2" s="5">
        <v>253943823.99999997</v>
      </c>
      <c r="E2" s="5">
        <v>1292884</v>
      </c>
      <c r="F2" s="5">
        <v>641434.00000000012</v>
      </c>
      <c r="G2" s="5">
        <v>93051</v>
      </c>
      <c r="H2" s="5">
        <v>6446</v>
      </c>
      <c r="J2" s="5"/>
    </row>
    <row r="3" spans="1:10" x14ac:dyDescent="0.25">
      <c r="A3" s="1" t="s">
        <v>13</v>
      </c>
      <c r="B3" s="5">
        <v>300</v>
      </c>
      <c r="C3" s="5">
        <v>89003.968103278894</v>
      </c>
      <c r="D3" s="5">
        <v>97885.941482764523</v>
      </c>
      <c r="E3" s="5">
        <v>786021.37237516593</v>
      </c>
      <c r="F3" s="5">
        <v>0</v>
      </c>
      <c r="G3" s="5">
        <v>7255.1325854891593</v>
      </c>
      <c r="H3" s="5">
        <v>126.69237914387894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7149.0898440000001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1894.1878942932087</v>
      </c>
      <c r="C5" s="5">
        <v>0</v>
      </c>
      <c r="D5" s="5">
        <v>0</v>
      </c>
      <c r="E5" s="5">
        <v>624.11210570679145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9854565.4293467794</v>
      </c>
      <c r="E6" s="5">
        <v>2850434.9329325566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15" sqref="D15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84.000000000000014</v>
      </c>
      <c r="C2" s="5">
        <v>14866.598</v>
      </c>
      <c r="D2" s="5">
        <v>11972117.539999999</v>
      </c>
      <c r="E2" s="5">
        <v>9818361.2930000015</v>
      </c>
      <c r="F2" s="5">
        <v>0</v>
      </c>
      <c r="G2" s="5">
        <v>5402.8509999999997</v>
      </c>
      <c r="H2">
        <v>0</v>
      </c>
      <c r="I2" s="24"/>
      <c r="J2" s="5"/>
    </row>
    <row r="3" spans="1:10" x14ac:dyDescent="0.25">
      <c r="A3" s="1" t="s">
        <v>13</v>
      </c>
      <c r="B3">
        <v>0</v>
      </c>
      <c r="C3">
        <v>43170</v>
      </c>
      <c r="D3">
        <v>49465</v>
      </c>
      <c r="E3">
        <v>4968137</v>
      </c>
      <c r="F3">
        <v>202</v>
      </c>
      <c r="G3" s="5">
        <v>4008.0000000000005</v>
      </c>
      <c r="H3" s="5">
        <v>114</v>
      </c>
      <c r="J3" s="5"/>
    </row>
    <row r="4" spans="1:10" x14ac:dyDescent="0.25">
      <c r="A4" s="1" t="s">
        <v>14</v>
      </c>
      <c r="B4">
        <v>0</v>
      </c>
      <c r="C4">
        <v>0</v>
      </c>
      <c r="D4">
        <v>0</v>
      </c>
      <c r="E4" s="11">
        <v>895.49011199999995</v>
      </c>
      <c r="F4">
        <v>0</v>
      </c>
      <c r="G4" s="5">
        <v>0</v>
      </c>
      <c r="H4" s="5">
        <v>0</v>
      </c>
    </row>
    <row r="5" spans="1:10" x14ac:dyDescent="0.25">
      <c r="A5" s="1" t="s">
        <v>15</v>
      </c>
      <c r="B5">
        <v>0</v>
      </c>
      <c r="C5">
        <v>0</v>
      </c>
      <c r="D5">
        <v>0</v>
      </c>
      <c r="E5" s="5">
        <v>26052.44378698225</v>
      </c>
      <c r="F5">
        <v>0</v>
      </c>
      <c r="G5" s="5">
        <v>0</v>
      </c>
      <c r="H5" s="5">
        <v>0</v>
      </c>
    </row>
    <row r="6" spans="1:10" x14ac:dyDescent="0.25">
      <c r="A6" s="1" t="s">
        <v>16</v>
      </c>
      <c r="B6">
        <v>0</v>
      </c>
      <c r="C6">
        <v>0</v>
      </c>
      <c r="D6">
        <v>0</v>
      </c>
      <c r="E6" s="5">
        <v>10110</v>
      </c>
      <c r="F6">
        <v>0</v>
      </c>
      <c r="G6" s="5">
        <v>0</v>
      </c>
      <c r="H6" s="5">
        <v>0</v>
      </c>
    </row>
    <row r="7" spans="1:10" x14ac:dyDescent="0.25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18"/>
  <sheetViews>
    <sheetView topLeftCell="A59" workbookViewId="0">
      <selection activeCell="A61" sqref="A61:AF68"/>
    </sheetView>
  </sheetViews>
  <sheetFormatPr defaultColWidth="9.140625" defaultRowHeight="15" x14ac:dyDescent="0.25"/>
  <cols>
    <col min="1" max="1" width="28.42578125" customWidth="1"/>
    <col min="6" max="6" width="13" customWidth="1"/>
    <col min="7" max="7" width="14.28515625" customWidth="1"/>
  </cols>
  <sheetData>
    <row r="1" spans="1:14" x14ac:dyDescent="0.25">
      <c r="A1" s="1" t="s">
        <v>67</v>
      </c>
    </row>
    <row r="2" spans="1:14" x14ac:dyDescent="0.25">
      <c r="A2" s="15">
        <v>5</v>
      </c>
    </row>
    <row r="4" spans="1:14" x14ac:dyDescent="0.25">
      <c r="A4" t="s">
        <v>62</v>
      </c>
    </row>
    <row r="5" spans="1:14" x14ac:dyDescent="0.25">
      <c r="A5" t="s">
        <v>63</v>
      </c>
    </row>
    <row r="6" spans="1:14" x14ac:dyDescent="0.25">
      <c r="A6" t="s">
        <v>64</v>
      </c>
    </row>
    <row r="7" spans="1:14" x14ac:dyDescent="0.25">
      <c r="A7" t="s">
        <v>65</v>
      </c>
    </row>
    <row r="8" spans="1:14" x14ac:dyDescent="0.25">
      <c r="A8" t="s">
        <v>66</v>
      </c>
    </row>
    <row r="10" spans="1:14" x14ac:dyDescent="0.25">
      <c r="A10" s="1" t="s">
        <v>126</v>
      </c>
    </row>
    <row r="11" spans="1:14" x14ac:dyDescent="0.25">
      <c r="A11" s="15">
        <v>4</v>
      </c>
    </row>
    <row r="13" spans="1:14" x14ac:dyDescent="0.25">
      <c r="A13" t="s">
        <v>87</v>
      </c>
    </row>
    <row r="14" spans="1:14" x14ac:dyDescent="0.25">
      <c r="A14" t="s">
        <v>88</v>
      </c>
    </row>
    <row r="15" spans="1:14" x14ac:dyDescent="0.25">
      <c r="A15" t="s">
        <v>64</v>
      </c>
      <c r="N15" s="38"/>
    </row>
    <row r="16" spans="1:14" x14ac:dyDescent="0.25">
      <c r="A16" t="s">
        <v>89</v>
      </c>
      <c r="N16" s="40"/>
    </row>
    <row r="17" spans="1:17" x14ac:dyDescent="0.25">
      <c r="A17" t="s">
        <v>90</v>
      </c>
      <c r="N17" s="39"/>
      <c r="O17" s="41"/>
      <c r="P17" s="41"/>
      <c r="Q17" s="41"/>
    </row>
    <row r="18" spans="1:17" x14ac:dyDescent="0.25">
      <c r="N18" s="41"/>
      <c r="O18" s="42"/>
      <c r="P18" s="42"/>
      <c r="Q18" s="42"/>
    </row>
    <row r="19" spans="1:17" x14ac:dyDescent="0.25">
      <c r="A19" t="s">
        <v>91</v>
      </c>
      <c r="N19" s="41"/>
      <c r="O19" s="42"/>
      <c r="P19" s="42"/>
      <c r="Q19" s="42"/>
    </row>
    <row r="20" spans="1:17" x14ac:dyDescent="0.25">
      <c r="A20" t="s">
        <v>92</v>
      </c>
      <c r="N20" s="41"/>
      <c r="O20" s="42"/>
      <c r="P20" s="42"/>
      <c r="Q20" s="42"/>
    </row>
    <row r="21" spans="1:17" x14ac:dyDescent="0.25">
      <c r="A21" t="s">
        <v>93</v>
      </c>
      <c r="N21" s="41"/>
      <c r="O21" s="42"/>
      <c r="P21" s="42"/>
      <c r="Q21" s="42"/>
    </row>
    <row r="22" spans="1:17" x14ac:dyDescent="0.25">
      <c r="A22" t="s">
        <v>94</v>
      </c>
      <c r="N22" s="41"/>
      <c r="O22" s="42"/>
      <c r="P22" s="42"/>
      <c r="Q22" s="42"/>
    </row>
    <row r="23" spans="1:17" x14ac:dyDescent="0.25">
      <c r="A23" t="s">
        <v>95</v>
      </c>
      <c r="N23" s="41"/>
      <c r="O23" s="42"/>
      <c r="P23" s="42"/>
      <c r="Q23" s="42"/>
    </row>
    <row r="24" spans="1:17" x14ac:dyDescent="0.25">
      <c r="A24" t="s">
        <v>96</v>
      </c>
      <c r="N24" s="41"/>
      <c r="O24" s="42"/>
      <c r="P24" s="42"/>
      <c r="Q24" s="42"/>
    </row>
    <row r="25" spans="1:17" x14ac:dyDescent="0.25">
      <c r="A25" t="s">
        <v>97</v>
      </c>
      <c r="N25" s="41"/>
      <c r="O25" s="43"/>
      <c r="P25" s="42"/>
      <c r="Q25" s="42"/>
    </row>
    <row r="26" spans="1:17" x14ac:dyDescent="0.25">
      <c r="N26" s="41"/>
      <c r="O26" s="43"/>
      <c r="P26" s="42"/>
      <c r="Q26" s="42"/>
    </row>
    <row r="27" spans="1:17" x14ac:dyDescent="0.25">
      <c r="A27" s="1" t="s">
        <v>945</v>
      </c>
      <c r="N27" s="41"/>
      <c r="O27" s="43"/>
      <c r="P27" s="42"/>
      <c r="Q27" s="42"/>
    </row>
    <row r="28" spans="1:17" x14ac:dyDescent="0.25">
      <c r="A28" s="1"/>
      <c r="N28" s="41"/>
      <c r="O28" s="43"/>
      <c r="P28" s="42"/>
      <c r="Q28" s="42"/>
    </row>
    <row r="29" spans="1:17" x14ac:dyDescent="0.25">
      <c r="A29" s="1"/>
      <c r="N29" s="41"/>
      <c r="O29" s="43"/>
      <c r="P29" s="42"/>
      <c r="Q29" s="42"/>
    </row>
    <row r="30" spans="1:17" x14ac:dyDescent="0.25">
      <c r="A30" s="1"/>
      <c r="N30" s="41"/>
      <c r="O30" s="43"/>
      <c r="P30" s="42"/>
      <c r="Q30" s="42"/>
    </row>
    <row r="31" spans="1:17" x14ac:dyDescent="0.25">
      <c r="A31" s="1"/>
      <c r="N31" s="41"/>
      <c r="O31" s="43"/>
      <c r="P31" s="42"/>
      <c r="Q31" s="42"/>
    </row>
    <row r="32" spans="1:17" x14ac:dyDescent="0.25">
      <c r="A32" s="1"/>
      <c r="N32" s="41"/>
      <c r="O32" s="43"/>
      <c r="P32" s="42"/>
      <c r="Q32" s="42"/>
    </row>
    <row r="33" spans="1:17" x14ac:dyDescent="0.25">
      <c r="A33" s="1"/>
      <c r="N33" s="41"/>
      <c r="O33" s="43"/>
      <c r="P33" s="42"/>
      <c r="Q33" s="42"/>
    </row>
    <row r="34" spans="1:17" x14ac:dyDescent="0.25">
      <c r="A34" s="1"/>
      <c r="N34" s="41"/>
      <c r="O34" s="43"/>
      <c r="P34" s="42"/>
      <c r="Q34" s="42"/>
    </row>
    <row r="35" spans="1:17" x14ac:dyDescent="0.25">
      <c r="A35" s="1"/>
      <c r="N35" s="41"/>
      <c r="O35" s="43"/>
      <c r="P35" s="42"/>
      <c r="Q35" s="42"/>
    </row>
    <row r="36" spans="1:17" x14ac:dyDescent="0.25">
      <c r="A36" s="1"/>
      <c r="N36" s="41"/>
      <c r="O36" s="43"/>
      <c r="P36" s="42"/>
      <c r="Q36" s="42"/>
    </row>
    <row r="37" spans="1:17" x14ac:dyDescent="0.25">
      <c r="A37" s="1"/>
      <c r="N37" s="41"/>
      <c r="O37" s="43"/>
      <c r="P37" s="42"/>
      <c r="Q37" s="42"/>
    </row>
    <row r="38" spans="1:17" x14ac:dyDescent="0.25">
      <c r="A38" s="1"/>
      <c r="N38" s="41"/>
      <c r="O38" s="43"/>
      <c r="P38" s="42"/>
      <c r="Q38" s="42"/>
    </row>
    <row r="39" spans="1:17" x14ac:dyDescent="0.25">
      <c r="N39" s="41"/>
      <c r="O39" s="43"/>
      <c r="P39" s="42"/>
      <c r="Q39" s="42"/>
    </row>
    <row r="40" spans="1:17" x14ac:dyDescent="0.25">
      <c r="N40" s="41"/>
      <c r="O40" s="43"/>
      <c r="P40" s="42"/>
      <c r="Q40" s="42"/>
    </row>
    <row r="41" spans="1:17" x14ac:dyDescent="0.25">
      <c r="A41" t="s">
        <v>946</v>
      </c>
      <c r="N41" s="41"/>
      <c r="O41" s="43"/>
      <c r="P41" s="42"/>
      <c r="Q41" s="42"/>
    </row>
    <row r="42" spans="1:17" x14ac:dyDescent="0.25">
      <c r="A42" t="s">
        <v>947</v>
      </c>
      <c r="N42" s="41"/>
      <c r="O42" s="43"/>
      <c r="P42" s="42"/>
      <c r="Q42" s="42"/>
    </row>
    <row r="43" spans="1:17" x14ac:dyDescent="0.25">
      <c r="A43" t="s">
        <v>948</v>
      </c>
      <c r="N43" s="41"/>
      <c r="O43" s="43"/>
      <c r="P43" s="42"/>
      <c r="Q43" s="42"/>
    </row>
    <row r="44" spans="1:17" x14ac:dyDescent="0.25">
      <c r="N44" s="41"/>
      <c r="O44" s="43"/>
      <c r="P44" s="42"/>
      <c r="Q44" s="42"/>
    </row>
    <row r="45" spans="1:17" x14ac:dyDescent="0.25">
      <c r="A45" s="38" t="s">
        <v>939</v>
      </c>
      <c r="B45" s="39"/>
      <c r="C45" s="39"/>
      <c r="D45" s="39"/>
      <c r="N45" s="41"/>
      <c r="O45" s="43"/>
      <c r="P45" s="42"/>
      <c r="Q45" s="42"/>
    </row>
    <row r="46" spans="1:17" x14ac:dyDescent="0.25">
      <c r="A46" s="40" t="s">
        <v>940</v>
      </c>
      <c r="B46" s="39"/>
      <c r="C46" s="39"/>
      <c r="D46" s="39"/>
      <c r="G46" t="s">
        <v>949</v>
      </c>
      <c r="H46" t="s">
        <v>950</v>
      </c>
      <c r="N46" s="41"/>
      <c r="O46" s="43"/>
      <c r="P46" s="42"/>
      <c r="Q46" s="42"/>
    </row>
    <row r="47" spans="1:17" ht="57.75" x14ac:dyDescent="0.25">
      <c r="A47" s="37" t="s">
        <v>941</v>
      </c>
      <c r="B47" s="36" t="s">
        <v>942</v>
      </c>
      <c r="C47" s="36" t="s">
        <v>943</v>
      </c>
      <c r="D47" s="36" t="s">
        <v>944</v>
      </c>
      <c r="F47" t="s">
        <v>951</v>
      </c>
      <c r="G47" s="35">
        <v>0.02</v>
      </c>
      <c r="H47" s="35">
        <v>4.1000000000000002E-2</v>
      </c>
    </row>
    <row r="48" spans="1:17" x14ac:dyDescent="0.25">
      <c r="A48" s="41">
        <v>2010</v>
      </c>
      <c r="B48" s="42">
        <v>1.9E-2</v>
      </c>
      <c r="C48" s="42">
        <v>0.32600000000000001</v>
      </c>
      <c r="D48" s="42">
        <v>0.34499999999999997</v>
      </c>
      <c r="F48" t="s">
        <v>938</v>
      </c>
      <c r="G48" s="35">
        <f>B58/D58*$G$47</f>
        <v>1.5510307585771923E-2</v>
      </c>
      <c r="H48" s="35">
        <f>B59/D59*$H$47</f>
        <v>2.9920693520220819E-2</v>
      </c>
    </row>
    <row r="49" spans="1:32" x14ac:dyDescent="0.25">
      <c r="A49" s="41">
        <v>2011</v>
      </c>
      <c r="B49" s="42">
        <v>10.092000000000001</v>
      </c>
      <c r="C49" s="42">
        <v>7.6710000000000003</v>
      </c>
      <c r="D49" s="42">
        <v>17.763000000000002</v>
      </c>
      <c r="F49" t="s">
        <v>937</v>
      </c>
      <c r="G49" s="35">
        <f>C58/D58*$G$47</f>
        <v>4.489692414228078E-3</v>
      </c>
      <c r="H49" s="35">
        <f>C59/D59*$H$47</f>
        <v>1.1079306479779186E-2</v>
      </c>
    </row>
    <row r="50" spans="1:32" x14ac:dyDescent="0.25">
      <c r="A50" s="41">
        <v>2012</v>
      </c>
      <c r="B50" s="42">
        <v>14.587</v>
      </c>
      <c r="C50" s="42">
        <v>38.584000000000003</v>
      </c>
      <c r="D50" s="42">
        <v>53.170999999999999</v>
      </c>
    </row>
    <row r="51" spans="1:32" x14ac:dyDescent="0.25">
      <c r="A51" s="41">
        <v>2013</v>
      </c>
      <c r="B51" s="42">
        <v>48.094000000000001</v>
      </c>
      <c r="C51" s="42">
        <v>49.008000000000003</v>
      </c>
      <c r="D51" s="42">
        <v>97.102000000000004</v>
      </c>
      <c r="E51" s="5"/>
      <c r="F51" s="5"/>
    </row>
    <row r="52" spans="1:32" x14ac:dyDescent="0.25">
      <c r="A52" s="41">
        <v>2014</v>
      </c>
      <c r="B52" s="42">
        <v>63.524999999999999</v>
      </c>
      <c r="C52" s="42">
        <v>55.356999999999999</v>
      </c>
      <c r="D52" s="42">
        <v>118.88200000000001</v>
      </c>
      <c r="E52" s="5"/>
      <c r="F52" s="5"/>
    </row>
    <row r="53" spans="1:32" x14ac:dyDescent="0.25">
      <c r="A53" s="41">
        <v>2015</v>
      </c>
      <c r="B53" s="42">
        <v>71.063999999999993</v>
      </c>
      <c r="C53" s="42">
        <v>42.959000000000003</v>
      </c>
      <c r="D53" s="42">
        <v>114.023</v>
      </c>
    </row>
    <row r="54" spans="1:32" x14ac:dyDescent="0.25">
      <c r="A54" s="41">
        <v>2016</v>
      </c>
      <c r="B54" s="42">
        <v>86.730999999999995</v>
      </c>
      <c r="C54" s="42">
        <v>72.885000000000005</v>
      </c>
      <c r="D54" s="42">
        <v>159.61600000000001</v>
      </c>
    </row>
    <row r="55" spans="1:32" x14ac:dyDescent="0.25">
      <c r="A55" s="41">
        <v>2017</v>
      </c>
      <c r="B55" s="43">
        <v>104.48699999999999</v>
      </c>
      <c r="C55" s="42">
        <v>91.188000000000002</v>
      </c>
      <c r="D55" s="42">
        <v>195.67500000000001</v>
      </c>
    </row>
    <row r="56" spans="1:32" x14ac:dyDescent="0.25">
      <c r="A56" s="41">
        <v>2018</v>
      </c>
      <c r="B56" s="43">
        <v>207.06200000000001</v>
      </c>
      <c r="C56" s="42">
        <v>123.883</v>
      </c>
      <c r="D56" s="42">
        <v>330.94499999999999</v>
      </c>
    </row>
    <row r="57" spans="1:32" x14ac:dyDescent="0.25">
      <c r="A57" s="41">
        <v>2019</v>
      </c>
      <c r="B57" s="43">
        <v>233.822</v>
      </c>
      <c r="C57" s="42">
        <v>85.790999999999997</v>
      </c>
      <c r="D57" s="42">
        <v>319.613</v>
      </c>
    </row>
    <row r="58" spans="1:32" x14ac:dyDescent="0.25">
      <c r="A58" s="41">
        <v>2020</v>
      </c>
      <c r="B58" s="43">
        <v>238.54</v>
      </c>
      <c r="C58" s="42">
        <v>69.049000000000007</v>
      </c>
      <c r="D58" s="42">
        <v>307.589</v>
      </c>
    </row>
    <row r="59" spans="1:32" x14ac:dyDescent="0.25">
      <c r="A59" s="41">
        <v>2021</v>
      </c>
      <c r="B59" s="43">
        <v>443.38600000000002</v>
      </c>
      <c r="C59" s="42">
        <v>164.18100000000001</v>
      </c>
      <c r="D59" s="42">
        <v>607.56700000000001</v>
      </c>
    </row>
    <row r="61" spans="1:32" x14ac:dyDescent="0.25">
      <c r="A61" t="s">
        <v>952</v>
      </c>
      <c r="B61">
        <v>2020</v>
      </c>
      <c r="C61">
        <v>2021</v>
      </c>
      <c r="D61">
        <v>2022</v>
      </c>
      <c r="E61">
        <v>2023</v>
      </c>
      <c r="F61">
        <v>2024</v>
      </c>
      <c r="G61">
        <v>2025</v>
      </c>
      <c r="H61">
        <v>2026</v>
      </c>
      <c r="I61">
        <v>2027</v>
      </c>
      <c r="J61">
        <v>2028</v>
      </c>
      <c r="K61">
        <v>2029</v>
      </c>
      <c r="L61">
        <v>2030</v>
      </c>
      <c r="M61">
        <v>2031</v>
      </c>
      <c r="N61">
        <v>2032</v>
      </c>
      <c r="O61">
        <v>2033</v>
      </c>
      <c r="P61">
        <v>2034</v>
      </c>
      <c r="Q61">
        <v>2035</v>
      </c>
      <c r="R61">
        <v>2036</v>
      </c>
      <c r="S61">
        <v>2037</v>
      </c>
      <c r="T61">
        <v>2038</v>
      </c>
      <c r="U61">
        <v>2039</v>
      </c>
      <c r="V61">
        <v>2040</v>
      </c>
      <c r="W61">
        <v>2041</v>
      </c>
      <c r="X61">
        <v>2042</v>
      </c>
      <c r="Y61">
        <v>2043</v>
      </c>
      <c r="Z61">
        <v>2044</v>
      </c>
      <c r="AA61">
        <v>2045</v>
      </c>
      <c r="AB61">
        <v>2046</v>
      </c>
      <c r="AC61">
        <v>2047</v>
      </c>
      <c r="AD61">
        <v>2048</v>
      </c>
      <c r="AE61">
        <v>2049</v>
      </c>
      <c r="AF61">
        <v>2050</v>
      </c>
    </row>
    <row r="62" spans="1:32" x14ac:dyDescent="0.25">
      <c r="A62" t="s">
        <v>953</v>
      </c>
      <c r="B62">
        <v>349182</v>
      </c>
      <c r="C62">
        <v>603744</v>
      </c>
      <c r="D62" s="44">
        <v>1098920</v>
      </c>
      <c r="E62" s="44">
        <v>1600640</v>
      </c>
      <c r="F62" s="44">
        <v>2209510</v>
      </c>
      <c r="G62" s="44">
        <v>2809740</v>
      </c>
      <c r="H62" s="44">
        <v>3313430</v>
      </c>
      <c r="I62" s="44">
        <v>3838830</v>
      </c>
      <c r="J62" s="44">
        <v>4387740</v>
      </c>
      <c r="K62" s="44">
        <v>4901270</v>
      </c>
      <c r="L62" s="44">
        <v>5460140</v>
      </c>
      <c r="M62" s="44">
        <v>5896040</v>
      </c>
      <c r="N62" s="44">
        <v>6271520</v>
      </c>
      <c r="O62" s="44">
        <v>6625100</v>
      </c>
      <c r="P62" s="44">
        <v>6942390</v>
      </c>
      <c r="Q62" s="44">
        <v>7274900</v>
      </c>
      <c r="R62" s="44">
        <v>7567320</v>
      </c>
      <c r="S62" s="44">
        <v>7866920</v>
      </c>
      <c r="T62" s="44">
        <v>8176700</v>
      </c>
      <c r="U62" s="44">
        <v>8461000</v>
      </c>
      <c r="V62" s="44">
        <v>8757100</v>
      </c>
      <c r="W62" s="44">
        <v>9060000</v>
      </c>
      <c r="X62" s="44">
        <v>9346980</v>
      </c>
      <c r="Y62" s="44">
        <v>9657430</v>
      </c>
      <c r="Z62" s="44">
        <v>9970180</v>
      </c>
      <c r="AA62" s="44">
        <v>10265600</v>
      </c>
      <c r="AB62" s="44">
        <v>10577800</v>
      </c>
      <c r="AC62" s="44">
        <v>10885700</v>
      </c>
      <c r="AD62" s="44">
        <v>11185100</v>
      </c>
      <c r="AE62" s="44">
        <v>11495700</v>
      </c>
      <c r="AF62" s="44">
        <v>11818600</v>
      </c>
    </row>
    <row r="63" spans="1:32" x14ac:dyDescent="0.25">
      <c r="A63" t="s">
        <v>954</v>
      </c>
      <c r="B63">
        <v>1905</v>
      </c>
      <c r="C63">
        <v>2100</v>
      </c>
      <c r="D63">
        <v>1965</v>
      </c>
      <c r="E63">
        <v>2016</v>
      </c>
      <c r="F63">
        <v>2154</v>
      </c>
      <c r="G63">
        <v>2082</v>
      </c>
      <c r="H63">
        <v>1983</v>
      </c>
      <c r="I63">
        <v>1974</v>
      </c>
      <c r="J63">
        <v>1989</v>
      </c>
      <c r="K63">
        <v>2085</v>
      </c>
      <c r="L63">
        <v>2214</v>
      </c>
      <c r="M63">
        <v>2334</v>
      </c>
      <c r="N63">
        <v>2490</v>
      </c>
      <c r="O63">
        <v>2664</v>
      </c>
      <c r="P63">
        <v>2859</v>
      </c>
      <c r="Q63">
        <v>3060</v>
      </c>
      <c r="R63">
        <v>3255</v>
      </c>
      <c r="S63">
        <v>3432</v>
      </c>
      <c r="T63">
        <v>3594</v>
      </c>
      <c r="U63">
        <v>3723</v>
      </c>
      <c r="V63">
        <v>3822</v>
      </c>
      <c r="W63">
        <v>3900</v>
      </c>
      <c r="X63">
        <v>3948</v>
      </c>
      <c r="Y63">
        <v>3984</v>
      </c>
      <c r="Z63">
        <v>3999</v>
      </c>
      <c r="AA63">
        <v>3996</v>
      </c>
      <c r="AB63">
        <v>3990</v>
      </c>
      <c r="AC63">
        <v>3966</v>
      </c>
      <c r="AD63">
        <v>3939</v>
      </c>
      <c r="AE63">
        <v>3903</v>
      </c>
      <c r="AF63">
        <v>3867</v>
      </c>
    </row>
    <row r="64" spans="1:32" x14ac:dyDescent="0.25">
      <c r="A64" t="s">
        <v>955</v>
      </c>
      <c r="B64" s="44">
        <v>19452500</v>
      </c>
      <c r="C64" s="44">
        <v>20032800</v>
      </c>
      <c r="D64" s="44">
        <v>20303000</v>
      </c>
      <c r="E64" s="44">
        <v>20341500</v>
      </c>
      <c r="F64" s="44">
        <v>19837400</v>
      </c>
      <c r="G64" s="44">
        <v>19349100</v>
      </c>
      <c r="H64" s="44">
        <v>18994500</v>
      </c>
      <c r="I64" s="44">
        <v>18606300</v>
      </c>
      <c r="J64" s="44">
        <v>18204900</v>
      </c>
      <c r="K64" s="44">
        <v>17839100</v>
      </c>
      <c r="L64" s="44">
        <v>17460000</v>
      </c>
      <c r="M64" s="44">
        <v>17198600</v>
      </c>
      <c r="N64" s="44">
        <v>16970700</v>
      </c>
      <c r="O64" s="44">
        <v>16776200</v>
      </c>
      <c r="P64" s="44">
        <v>16604800</v>
      </c>
      <c r="Q64" s="44">
        <v>16403800</v>
      </c>
      <c r="R64" s="44">
        <v>16240000</v>
      </c>
      <c r="S64" s="44">
        <v>16078700</v>
      </c>
      <c r="T64" s="44">
        <v>15905000</v>
      </c>
      <c r="U64" s="44">
        <v>15776400</v>
      </c>
      <c r="V64" s="44">
        <v>15638900</v>
      </c>
      <c r="W64" s="44">
        <v>15487900</v>
      </c>
      <c r="X64" s="44">
        <v>15360700</v>
      </c>
      <c r="Y64" s="44">
        <v>15207500</v>
      </c>
      <c r="Z64" s="44">
        <v>15051800</v>
      </c>
      <c r="AA64" s="44">
        <v>14925500</v>
      </c>
      <c r="AB64" s="44">
        <v>14800800</v>
      </c>
      <c r="AC64" s="44">
        <v>14683100</v>
      </c>
      <c r="AD64" s="44">
        <v>14577500</v>
      </c>
      <c r="AE64" s="44">
        <v>14473200</v>
      </c>
      <c r="AF64" s="44">
        <v>14375400</v>
      </c>
    </row>
    <row r="65" spans="1:32" x14ac:dyDescent="0.25">
      <c r="A65" t="s">
        <v>956</v>
      </c>
      <c r="B65">
        <v>22110</v>
      </c>
      <c r="C65">
        <v>28173</v>
      </c>
      <c r="D65">
        <v>32691</v>
      </c>
      <c r="E65">
        <v>37941</v>
      </c>
      <c r="F65">
        <v>41217</v>
      </c>
      <c r="G65">
        <v>43569</v>
      </c>
      <c r="H65">
        <v>45132</v>
      </c>
      <c r="I65">
        <v>48126</v>
      </c>
      <c r="J65">
        <v>50952</v>
      </c>
      <c r="K65">
        <v>54015</v>
      </c>
      <c r="L65">
        <v>57375</v>
      </c>
      <c r="M65">
        <v>60678</v>
      </c>
      <c r="N65">
        <v>64011</v>
      </c>
      <c r="O65">
        <v>67245</v>
      </c>
      <c r="P65">
        <v>70590</v>
      </c>
      <c r="Q65">
        <v>73515</v>
      </c>
      <c r="R65">
        <v>76596</v>
      </c>
      <c r="S65">
        <v>79521</v>
      </c>
      <c r="T65">
        <v>82653</v>
      </c>
      <c r="U65">
        <v>85512</v>
      </c>
      <c r="V65">
        <v>88494</v>
      </c>
      <c r="W65">
        <v>91416</v>
      </c>
      <c r="X65">
        <v>94353</v>
      </c>
      <c r="Y65">
        <v>97170</v>
      </c>
      <c r="Z65">
        <v>99654</v>
      </c>
      <c r="AA65">
        <v>102369</v>
      </c>
      <c r="AB65">
        <v>105171</v>
      </c>
      <c r="AC65">
        <v>107820</v>
      </c>
      <c r="AD65">
        <v>110532</v>
      </c>
      <c r="AE65">
        <v>113328</v>
      </c>
      <c r="AF65">
        <v>116103</v>
      </c>
    </row>
    <row r="66" spans="1:32" x14ac:dyDescent="0.25">
      <c r="A66" t="s">
        <v>957</v>
      </c>
      <c r="B66">
        <v>86889</v>
      </c>
      <c r="C66">
        <v>248313</v>
      </c>
      <c r="D66">
        <v>434007</v>
      </c>
      <c r="E66">
        <v>636849</v>
      </c>
      <c r="F66">
        <v>887172</v>
      </c>
      <c r="G66" s="44">
        <v>1095060</v>
      </c>
      <c r="H66" s="44">
        <v>1221050</v>
      </c>
      <c r="I66" s="44">
        <v>1293530</v>
      </c>
      <c r="J66" s="44">
        <v>1310350</v>
      </c>
      <c r="K66" s="44">
        <v>1320140</v>
      </c>
      <c r="L66" s="44">
        <v>1310940</v>
      </c>
      <c r="M66" s="44">
        <v>1306520</v>
      </c>
      <c r="N66" s="44">
        <v>1289590</v>
      </c>
      <c r="O66" s="44">
        <v>1270880</v>
      </c>
      <c r="P66" s="44">
        <v>1252620</v>
      </c>
      <c r="Q66" s="44">
        <v>1235240</v>
      </c>
      <c r="R66" s="44">
        <v>1219780</v>
      </c>
      <c r="S66" s="44">
        <v>1204400</v>
      </c>
      <c r="T66" s="44">
        <v>1191940</v>
      </c>
      <c r="U66" s="44">
        <v>1177850</v>
      </c>
      <c r="V66" s="44">
        <v>1166230</v>
      </c>
      <c r="W66" s="44">
        <v>1155260</v>
      </c>
      <c r="X66" s="44">
        <v>1143250</v>
      </c>
      <c r="Y66" s="44">
        <v>1133420</v>
      </c>
      <c r="Z66" s="44">
        <v>1123340</v>
      </c>
      <c r="AA66" s="44">
        <v>1112470</v>
      </c>
      <c r="AB66" s="44">
        <v>1102060</v>
      </c>
      <c r="AC66" s="44">
        <v>1091130</v>
      </c>
      <c r="AD66" s="44">
        <v>1079340</v>
      </c>
      <c r="AE66" s="44">
        <v>1067910</v>
      </c>
      <c r="AF66" s="44">
        <v>1056400</v>
      </c>
    </row>
    <row r="67" spans="1:32" x14ac:dyDescent="0.25">
      <c r="A67" t="s">
        <v>958</v>
      </c>
      <c r="B67">
        <v>1728</v>
      </c>
      <c r="C67">
        <v>1677</v>
      </c>
      <c r="D67">
        <v>2079</v>
      </c>
      <c r="E67">
        <v>2148</v>
      </c>
      <c r="F67">
        <v>2136</v>
      </c>
      <c r="G67">
        <v>2076</v>
      </c>
      <c r="H67">
        <v>1974</v>
      </c>
      <c r="I67">
        <v>1938</v>
      </c>
      <c r="J67">
        <v>1908</v>
      </c>
      <c r="K67">
        <v>1932</v>
      </c>
      <c r="L67">
        <v>1962</v>
      </c>
      <c r="M67">
        <v>2001</v>
      </c>
      <c r="N67">
        <v>2037</v>
      </c>
      <c r="O67">
        <v>2070</v>
      </c>
      <c r="P67">
        <v>2106</v>
      </c>
      <c r="Q67">
        <v>2139</v>
      </c>
      <c r="R67">
        <v>2169</v>
      </c>
      <c r="S67">
        <v>2196</v>
      </c>
      <c r="T67">
        <v>2223</v>
      </c>
      <c r="U67">
        <v>2253</v>
      </c>
      <c r="V67">
        <v>2277</v>
      </c>
      <c r="W67">
        <v>2301</v>
      </c>
      <c r="X67">
        <v>2331</v>
      </c>
      <c r="Y67">
        <v>2355</v>
      </c>
      <c r="Z67">
        <v>2379</v>
      </c>
      <c r="AA67">
        <v>2406</v>
      </c>
      <c r="AB67">
        <v>2427</v>
      </c>
      <c r="AC67">
        <v>2451</v>
      </c>
      <c r="AD67">
        <v>2469</v>
      </c>
      <c r="AE67">
        <v>2493</v>
      </c>
      <c r="AF67">
        <v>2514</v>
      </c>
    </row>
    <row r="68" spans="1:32" x14ac:dyDescent="0.25">
      <c r="A68" t="s">
        <v>959</v>
      </c>
      <c r="B68">
        <v>12</v>
      </c>
      <c r="C68">
        <v>15</v>
      </c>
      <c r="D68">
        <v>21</v>
      </c>
      <c r="E68">
        <v>27</v>
      </c>
      <c r="F68">
        <v>30</v>
      </c>
      <c r="G68">
        <v>36</v>
      </c>
      <c r="H68">
        <v>42</v>
      </c>
      <c r="I68">
        <v>54</v>
      </c>
      <c r="J68">
        <v>66</v>
      </c>
      <c r="K68">
        <v>87</v>
      </c>
      <c r="L68">
        <v>114</v>
      </c>
      <c r="M68">
        <v>144</v>
      </c>
      <c r="N68">
        <v>177</v>
      </c>
      <c r="O68">
        <v>219</v>
      </c>
      <c r="P68">
        <v>267</v>
      </c>
      <c r="Q68">
        <v>318</v>
      </c>
      <c r="R68">
        <v>375</v>
      </c>
      <c r="S68">
        <v>432</v>
      </c>
      <c r="T68">
        <v>492</v>
      </c>
      <c r="U68">
        <v>546</v>
      </c>
      <c r="V68">
        <v>600</v>
      </c>
      <c r="W68">
        <v>651</v>
      </c>
      <c r="X68">
        <v>699</v>
      </c>
      <c r="Y68">
        <v>744</v>
      </c>
      <c r="Z68">
        <v>783</v>
      </c>
      <c r="AA68">
        <v>822</v>
      </c>
      <c r="AB68">
        <v>858</v>
      </c>
      <c r="AC68">
        <v>891</v>
      </c>
      <c r="AD68">
        <v>921</v>
      </c>
      <c r="AE68">
        <v>948</v>
      </c>
      <c r="AF68">
        <v>975</v>
      </c>
    </row>
    <row r="70" spans="1:32" x14ac:dyDescent="0.25">
      <c r="A70" t="s">
        <v>960</v>
      </c>
      <c r="B70" s="35">
        <f>B62/SUM(B$62:B$68)</f>
        <v>1.7534211300949881E-2</v>
      </c>
      <c r="C70" s="35">
        <f t="shared" ref="C70:AF70" si="0">C62/SUM(C$62:C$68)</f>
        <v>2.8864040627204268E-2</v>
      </c>
      <c r="D70" s="35">
        <f t="shared" si="0"/>
        <v>5.0241664454241851E-2</v>
      </c>
      <c r="E70" s="35">
        <f t="shared" si="0"/>
        <v>7.0758650731765238E-2</v>
      </c>
      <c r="F70" s="35">
        <f t="shared" si="0"/>
        <v>9.6150854372302696E-2</v>
      </c>
      <c r="G70" s="35">
        <f t="shared" si="0"/>
        <v>0.12058109328935021</v>
      </c>
      <c r="H70" s="35">
        <f t="shared" si="0"/>
        <v>0.14052991776991805</v>
      </c>
      <c r="I70" s="35">
        <f t="shared" si="0"/>
        <v>0.16135807728986457</v>
      </c>
      <c r="J70" s="35">
        <f t="shared" si="0"/>
        <v>0.18314372646523142</v>
      </c>
      <c r="K70" s="35">
        <f t="shared" si="0"/>
        <v>0.2032151164147846</v>
      </c>
      <c r="L70" s="35">
        <f t="shared" si="0"/>
        <v>0.22476422487454586</v>
      </c>
      <c r="M70" s="35">
        <f t="shared" si="0"/>
        <v>0.24098600537220211</v>
      </c>
      <c r="N70" s="35">
        <f t="shared" si="0"/>
        <v>0.25493439672527313</v>
      </c>
      <c r="O70" s="35">
        <f t="shared" si="0"/>
        <v>0.26774162599682239</v>
      </c>
      <c r="P70" s="35">
        <f t="shared" si="0"/>
        <v>0.27908396458027679</v>
      </c>
      <c r="Q70" s="35">
        <f t="shared" si="0"/>
        <v>0.29107782779895086</v>
      </c>
      <c r="R70" s="35">
        <f t="shared" si="0"/>
        <v>0.30137284720381674</v>
      </c>
      <c r="S70" s="35">
        <f t="shared" si="0"/>
        <v>0.31173895957540304</v>
      </c>
      <c r="T70" s="35">
        <f t="shared" si="0"/>
        <v>0.32239200063148094</v>
      </c>
      <c r="U70" s="35">
        <f t="shared" si="0"/>
        <v>0.33170916981988363</v>
      </c>
      <c r="V70" s="35">
        <f t="shared" si="0"/>
        <v>0.34130863415238544</v>
      </c>
      <c r="W70" s="35">
        <f t="shared" si="0"/>
        <v>0.35114335532126362</v>
      </c>
      <c r="X70" s="35">
        <f t="shared" si="0"/>
        <v>0.36016052705388557</v>
      </c>
      <c r="Y70" s="35">
        <f t="shared" si="0"/>
        <v>0.36997957636638767</v>
      </c>
      <c r="Z70" s="35">
        <f t="shared" si="0"/>
        <v>0.37978549173238674</v>
      </c>
      <c r="AA70" s="35">
        <f t="shared" si="0"/>
        <v>0.38865470220283727</v>
      </c>
      <c r="AB70" s="35">
        <f t="shared" si="0"/>
        <v>0.39776474399041617</v>
      </c>
      <c r="AC70" s="35">
        <f t="shared" si="0"/>
        <v>0.40656121081044905</v>
      </c>
      <c r="AD70" s="35">
        <f t="shared" si="0"/>
        <v>0.41488065880011504</v>
      </c>
      <c r="AE70" s="35">
        <f t="shared" si="0"/>
        <v>0.42329771221057977</v>
      </c>
      <c r="AF70" s="35">
        <f t="shared" si="0"/>
        <v>0.43174767576613876</v>
      </c>
    </row>
    <row r="71" spans="1:32" x14ac:dyDescent="0.25">
      <c r="A71" t="s">
        <v>961</v>
      </c>
      <c r="B71" s="35">
        <f>B66/SUM(B$62:B$68)</f>
        <v>4.3631403844649327E-3</v>
      </c>
      <c r="C71" s="35">
        <f t="shared" ref="C71:AF71" si="1">C66/SUM(C$62:C$68)</f>
        <v>1.1871449687720248E-2</v>
      </c>
      <c r="D71" s="35">
        <f t="shared" si="1"/>
        <v>1.9842421709307449E-2</v>
      </c>
      <c r="E71" s="35">
        <f t="shared" si="1"/>
        <v>2.815284883538707E-2</v>
      </c>
      <c r="F71" s="35">
        <f t="shared" si="1"/>
        <v>3.86069064069339E-2</v>
      </c>
      <c r="G71" s="35">
        <f t="shared" si="1"/>
        <v>4.699492907437551E-2</v>
      </c>
      <c r="H71" s="35">
        <f t="shared" si="1"/>
        <v>5.1787439629917768E-2</v>
      </c>
      <c r="I71" s="35">
        <f t="shared" si="1"/>
        <v>5.4371127066517276E-2</v>
      </c>
      <c r="J71" s="35">
        <f t="shared" si="1"/>
        <v>5.4693847396089096E-2</v>
      </c>
      <c r="K71" s="35">
        <f t="shared" si="1"/>
        <v>5.473528366807251E-2</v>
      </c>
      <c r="L71" s="35">
        <f t="shared" si="1"/>
        <v>5.3964259699758099E-2</v>
      </c>
      <c r="M71" s="35">
        <f t="shared" si="1"/>
        <v>5.3400763179844352E-2</v>
      </c>
      <c r="N71" s="35">
        <f t="shared" si="1"/>
        <v>5.2421238977623442E-2</v>
      </c>
      <c r="O71" s="35">
        <f t="shared" si="1"/>
        <v>5.1360353450791936E-2</v>
      </c>
      <c r="P71" s="35">
        <f t="shared" si="1"/>
        <v>5.0355303535604641E-2</v>
      </c>
      <c r="Q71" s="35">
        <f t="shared" si="1"/>
        <v>4.9423493932614339E-2</v>
      </c>
      <c r="R71" s="35">
        <f t="shared" si="1"/>
        <v>4.857843616528329E-2</v>
      </c>
      <c r="S71" s="35">
        <f t="shared" si="1"/>
        <v>4.7726226135846733E-2</v>
      </c>
      <c r="T71" s="35">
        <f t="shared" si="1"/>
        <v>4.699596673874392E-2</v>
      </c>
      <c r="U71" s="35">
        <f t="shared" si="1"/>
        <v>4.6177005752552881E-2</v>
      </c>
      <c r="V71" s="35">
        <f t="shared" si="1"/>
        <v>4.5453902365798778E-2</v>
      </c>
      <c r="W71" s="35">
        <f t="shared" si="1"/>
        <v>4.477504113338223E-2</v>
      </c>
      <c r="X71" s="35">
        <f t="shared" si="1"/>
        <v>4.4052038471715432E-2</v>
      </c>
      <c r="Y71" s="35">
        <f t="shared" si="1"/>
        <v>4.3421723113208285E-2</v>
      </c>
      <c r="Z71" s="35">
        <f t="shared" si="1"/>
        <v>4.2790424474047538E-2</v>
      </c>
      <c r="AA71" s="35">
        <f t="shared" si="1"/>
        <v>4.2118015172965088E-2</v>
      </c>
      <c r="AB71" s="35">
        <f t="shared" si="1"/>
        <v>4.1441567600264517E-2</v>
      </c>
      <c r="AC71" s="35">
        <f t="shared" si="1"/>
        <v>4.0751732451896089E-2</v>
      </c>
      <c r="AD71" s="35">
        <f t="shared" si="1"/>
        <v>4.0035161980609572E-2</v>
      </c>
      <c r="AE71" s="35">
        <f t="shared" si="1"/>
        <v>3.9322865057960822E-2</v>
      </c>
      <c r="AF71" s="35">
        <f t="shared" si="1"/>
        <v>3.8591562848336439E-2</v>
      </c>
    </row>
    <row r="72" spans="1:32" x14ac:dyDescent="0.25">
      <c r="A72" t="s">
        <v>962</v>
      </c>
      <c r="B72" s="45">
        <f>SUM(B70:B71)</f>
        <v>2.1897351685414814E-2</v>
      </c>
      <c r="C72" s="45">
        <f t="shared" ref="C72:AF72" si="2">SUM(C70:C71)</f>
        <v>4.0735490314924516E-2</v>
      </c>
      <c r="D72" s="45">
        <f t="shared" si="2"/>
        <v>7.0084086163549303E-2</v>
      </c>
      <c r="E72" s="45">
        <f t="shared" si="2"/>
        <v>9.8911499567152311E-2</v>
      </c>
      <c r="F72" s="45">
        <f t="shared" si="2"/>
        <v>0.1347577607792366</v>
      </c>
      <c r="G72" s="45">
        <f t="shared" si="2"/>
        <v>0.16757602236372571</v>
      </c>
      <c r="H72" s="45">
        <f t="shared" si="2"/>
        <v>0.19231735739983583</v>
      </c>
      <c r="I72" s="45">
        <f t="shared" si="2"/>
        <v>0.21572920435638185</v>
      </c>
      <c r="J72" s="45">
        <f t="shared" si="2"/>
        <v>0.23783757386132051</v>
      </c>
      <c r="K72" s="45">
        <f t="shared" si="2"/>
        <v>0.25795040008285708</v>
      </c>
      <c r="L72" s="45">
        <f t="shared" si="2"/>
        <v>0.27872848457430399</v>
      </c>
      <c r="M72" s="45">
        <f t="shared" si="2"/>
        <v>0.29438676855204648</v>
      </c>
      <c r="N72" s="45">
        <f t="shared" si="2"/>
        <v>0.30735563570289659</v>
      </c>
      <c r="O72" s="45">
        <f t="shared" si="2"/>
        <v>0.31910197944761431</v>
      </c>
      <c r="P72" s="45">
        <f t="shared" si="2"/>
        <v>0.32943926811588142</v>
      </c>
      <c r="Q72" s="45">
        <f t="shared" si="2"/>
        <v>0.34050132173156522</v>
      </c>
      <c r="R72" s="45">
        <f t="shared" si="2"/>
        <v>0.34995128336910003</v>
      </c>
      <c r="S72" s="45">
        <f t="shared" si="2"/>
        <v>0.35946518571124975</v>
      </c>
      <c r="T72" s="45">
        <f t="shared" si="2"/>
        <v>0.36938796737022483</v>
      </c>
      <c r="U72" s="45">
        <f t="shared" si="2"/>
        <v>0.37788617557243653</v>
      </c>
      <c r="V72" s="45">
        <f t="shared" si="2"/>
        <v>0.38676253651818421</v>
      </c>
      <c r="W72" s="45">
        <f t="shared" si="2"/>
        <v>0.39591839645464583</v>
      </c>
      <c r="X72" s="45">
        <f t="shared" si="2"/>
        <v>0.40421256552560103</v>
      </c>
      <c r="Y72" s="45">
        <f t="shared" si="2"/>
        <v>0.41340129947959597</v>
      </c>
      <c r="Z72" s="45">
        <f t="shared" si="2"/>
        <v>0.42257591620643425</v>
      </c>
      <c r="AA72" s="45">
        <f t="shared" si="2"/>
        <v>0.43077271737580236</v>
      </c>
      <c r="AB72" s="45">
        <f t="shared" si="2"/>
        <v>0.43920631159068069</v>
      </c>
      <c r="AC72" s="45">
        <f t="shared" si="2"/>
        <v>0.44731294326234516</v>
      </c>
      <c r="AD72" s="45">
        <f t="shared" si="2"/>
        <v>0.45491582078072462</v>
      </c>
      <c r="AE72" s="45">
        <f t="shared" si="2"/>
        <v>0.46262057726854061</v>
      </c>
      <c r="AF72" s="45">
        <f t="shared" si="2"/>
        <v>0.47033923861447519</v>
      </c>
    </row>
    <row r="73" spans="1:32" x14ac:dyDescent="0.25"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</row>
    <row r="74" spans="1:32" x14ac:dyDescent="0.25">
      <c r="A74" t="s">
        <v>963</v>
      </c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</row>
    <row r="76" spans="1:32" ht="30" x14ac:dyDescent="0.25">
      <c r="F76" s="46" t="s">
        <v>971</v>
      </c>
      <c r="G76">
        <v>64</v>
      </c>
    </row>
    <row r="77" spans="1:32" ht="30" x14ac:dyDescent="0.25">
      <c r="F77" s="46" t="s">
        <v>972</v>
      </c>
      <c r="G77">
        <v>52</v>
      </c>
    </row>
    <row r="78" spans="1:32" ht="45" x14ac:dyDescent="0.25">
      <c r="F78" s="46" t="s">
        <v>973</v>
      </c>
      <c r="G78" s="35">
        <f>G77/G76</f>
        <v>0.8125</v>
      </c>
    </row>
    <row r="80" spans="1:32" ht="45" x14ac:dyDescent="0.25">
      <c r="F80" s="46" t="s">
        <v>974</v>
      </c>
      <c r="G80" s="35">
        <v>0.27</v>
      </c>
    </row>
    <row r="81" spans="1:17" ht="30" x14ac:dyDescent="0.25">
      <c r="F81" s="46" t="s">
        <v>975</v>
      </c>
      <c r="G81" s="35">
        <f>G80*G78</f>
        <v>0.21937500000000001</v>
      </c>
    </row>
    <row r="82" spans="1:17" ht="45" x14ac:dyDescent="0.25">
      <c r="A82" t="s">
        <v>977</v>
      </c>
      <c r="F82" s="46" t="s">
        <v>976</v>
      </c>
      <c r="G82" s="35">
        <f>G80-G81</f>
        <v>5.0625000000000003E-2</v>
      </c>
    </row>
    <row r="83" spans="1:17" x14ac:dyDescent="0.25">
      <c r="A83" t="s">
        <v>978</v>
      </c>
    </row>
    <row r="84" spans="1:17" x14ac:dyDescent="0.25">
      <c r="A84" t="s">
        <v>979</v>
      </c>
    </row>
    <row r="85" spans="1:17" x14ac:dyDescent="0.25">
      <c r="A85" t="s">
        <v>980</v>
      </c>
    </row>
    <row r="86" spans="1:17" x14ac:dyDescent="0.25">
      <c r="A86" t="s">
        <v>981</v>
      </c>
    </row>
    <row r="87" spans="1:17" x14ac:dyDescent="0.25">
      <c r="A87" t="s">
        <v>985</v>
      </c>
    </row>
    <row r="88" spans="1:17" x14ac:dyDescent="0.25">
      <c r="A88" t="s">
        <v>986</v>
      </c>
    </row>
    <row r="91" spans="1:17" x14ac:dyDescent="0.25">
      <c r="A91" s="34" t="s">
        <v>916</v>
      </c>
    </row>
    <row r="93" spans="1:17" x14ac:dyDescent="0.25">
      <c r="E93" s="30"/>
      <c r="F93" s="30"/>
      <c r="G93" s="30"/>
      <c r="H93" s="30"/>
      <c r="I93" s="30"/>
      <c r="J93" s="30"/>
      <c r="K93" s="30" t="s">
        <v>933</v>
      </c>
      <c r="L93" s="30"/>
      <c r="M93" s="30"/>
      <c r="N93" s="30"/>
      <c r="O93" s="30"/>
    </row>
    <row r="94" spans="1:17" s="28" customFormat="1" x14ac:dyDescent="0.25"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 spans="1:17" s="28" customFormat="1" x14ac:dyDescent="0.25"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 spans="1:17" s="28" customFormat="1" x14ac:dyDescent="0.25"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</row>
    <row r="103" spans="11:11" x14ac:dyDescent="0.25">
      <c r="K103" t="s">
        <v>934</v>
      </c>
    </row>
    <row r="114" spans="1:2" x14ac:dyDescent="0.25">
      <c r="A114" t="s">
        <v>932</v>
      </c>
    </row>
    <row r="116" spans="1:2" x14ac:dyDescent="0.25">
      <c r="A116" t="s">
        <v>935</v>
      </c>
      <c r="B116">
        <f>SUM('AEO 49'!E210,'AEO 49'!E221,'AEO 44'!G36)</f>
        <v>1.326343</v>
      </c>
    </row>
    <row r="117" spans="1:2" x14ac:dyDescent="0.25">
      <c r="A117" t="s">
        <v>936</v>
      </c>
      <c r="B117">
        <f>SUM('AEO 49'!E214,'AEO 49'!E225,'AEO 44'!K36)</f>
        <v>1079.7512820000002</v>
      </c>
    </row>
    <row r="118" spans="1:2" x14ac:dyDescent="0.25">
      <c r="A118" t="s">
        <v>931</v>
      </c>
      <c r="B118" s="35">
        <f>B116/B117</f>
        <v>1.228378259059108E-3</v>
      </c>
    </row>
  </sheetData>
  <hyperlinks>
    <hyperlink ref="A91" r:id="rId1" xr:uid="{21E58E80-C89D-48AA-B679-F2359EAD50AA}"/>
  </hyperlinks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A4" workbookViewId="0">
      <selection activeCell="H15" sqref="H15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8" max="9" width="9.140625" customWidth="1"/>
  </cols>
  <sheetData>
    <row r="1" spans="1:38" x14ac:dyDescent="0.25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8"/>
      <c r="R1" s="18"/>
    </row>
    <row r="2" spans="1:38" x14ac:dyDescent="0.25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</row>
    <row r="3" spans="1:38" x14ac:dyDescent="0.25">
      <c r="A3" t="s">
        <v>104</v>
      </c>
      <c r="H3" s="9" t="s">
        <v>99</v>
      </c>
      <c r="I3" s="19">
        <v>-0.3</v>
      </c>
      <c r="N3" s="9" t="s">
        <v>99</v>
      </c>
      <c r="O3" s="19">
        <v>-0.7</v>
      </c>
    </row>
    <row r="4" spans="1:38" ht="15.75" thickBot="1" x14ac:dyDescent="0.3">
      <c r="A4" t="s">
        <v>105</v>
      </c>
      <c r="H4" s="10" t="s">
        <v>100</v>
      </c>
      <c r="I4" s="20">
        <v>-16</v>
      </c>
      <c r="N4" s="10" t="s">
        <v>100</v>
      </c>
      <c r="O4" s="20">
        <v>-5</v>
      </c>
    </row>
    <row r="5" spans="1:38" x14ac:dyDescent="0.25">
      <c r="A5" t="s">
        <v>106</v>
      </c>
    </row>
    <row r="6" spans="1:38" ht="30" x14ac:dyDescent="0.25">
      <c r="A6" s="12"/>
      <c r="B6" s="12"/>
      <c r="C6" s="12"/>
      <c r="D6" s="2" t="s">
        <v>20</v>
      </c>
      <c r="E6" s="2" t="s">
        <v>20</v>
      </c>
      <c r="F6" s="2" t="s">
        <v>101</v>
      </c>
    </row>
    <row r="7" spans="1:38" x14ac:dyDescent="0.25">
      <c r="A7" s="12"/>
      <c r="B7" s="12"/>
      <c r="C7" s="12" t="s">
        <v>915</v>
      </c>
      <c r="D7" s="2">
        <v>2020</v>
      </c>
      <c r="E7" s="2">
        <v>2050</v>
      </c>
      <c r="F7" s="2"/>
    </row>
    <row r="8" spans="1:38" ht="45" x14ac:dyDescent="0.25">
      <c r="A8" s="12"/>
      <c r="B8" s="12"/>
      <c r="C8" s="12"/>
      <c r="D8" s="27">
        <v>2020</v>
      </c>
      <c r="E8" s="27">
        <v>2050</v>
      </c>
      <c r="F8" s="27" t="s">
        <v>136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H9" s="21">
        <f>D9</f>
        <v>2020</v>
      </c>
      <c r="I9" s="21">
        <f>H9+1</f>
        <v>2021</v>
      </c>
      <c r="J9" s="21">
        <f t="shared" ref="J9:AL9" si="0">I9+1</f>
        <v>2022</v>
      </c>
      <c r="K9" s="21">
        <f t="shared" si="0"/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5">
      <c r="A10" t="s">
        <v>12</v>
      </c>
      <c r="B10" t="s">
        <v>19</v>
      </c>
      <c r="C10" t="s">
        <v>1</v>
      </c>
      <c r="D10" s="22">
        <v>0.17499999999999999</v>
      </c>
      <c r="E10" s="13">
        <v>1</v>
      </c>
      <c r="F10" s="7" t="str">
        <f>IF(D10=E10,"n/a",IF(OR(C10="battery electric vehicle",C10="natural gas vehicle",C10="plugin hybrid vehicle"),"s-curve","linear"))</f>
        <v>s-curve</v>
      </c>
      <c r="H10">
        <f>IF($F10="s-curve",$D10+($E10-$D10)*$O$2/(1+EXP($O$3*(COUNT($H$9:H$9)+$O$4))),TREND($D10:$E10,$D$9:$E$9,H$9))</f>
        <v>0.22229244511656671</v>
      </c>
      <c r="I10">
        <f>IF($F10="s-curve",$D10+($E10-$D10)*$O$2/(1+EXP($O$3*(COUNT($H$9:I$9)+$O$4))),TREND($D10:$E10,$D$9:$E$9,I$9))</f>
        <v>0.26500487748638069</v>
      </c>
      <c r="J10">
        <f>IF($F10="s-curve",$D10+($E10-$D10)*$O$2/(1+EXP($O$3*(COUNT($H$9:J$9)+$O$4))),TREND($D10:$E10,$D$9:$E$9,J$9))</f>
        <v>0.33819829193917006</v>
      </c>
      <c r="K10">
        <f>IF($F10="s-curve",$D10+($E10-$D10)*$O$2/(1+EXP($O$3*(COUNT($H$9:K$9)+$O$4))),TREND($D10:$E10,$D$9:$E$9,K$9))</f>
        <v>0.44874508796126295</v>
      </c>
      <c r="L10">
        <f>IF($F10="s-curve",$D10+($E10-$D10)*$O$2/(1+EXP($O$3*(COUNT($H$9:L$9)+$O$4))),TREND($D10:$E10,$D$9:$E$9,L$9))</f>
        <v>0.58749999999999991</v>
      </c>
      <c r="M10">
        <f>IF($F10="s-curve",$D10+($E10-$D10)*$O$2/(1+EXP($O$3*(COUNT($H$9:M$9)+$O$4))),TREND($D10:$E10,$D$9:$E$9,M$9))</f>
        <v>0.72625491203873693</v>
      </c>
      <c r="N10">
        <f>IF($F10="s-curve",$D10+($E10-$D10)*$O$2/(1+EXP($O$3*(COUNT($H$9:N$9)+$O$4))),TREND($D10:$E10,$D$9:$E$9,N$9))</f>
        <v>0.83680170806082987</v>
      </c>
      <c r="O10">
        <f>IF($F10="s-curve",$D10+($E10-$D10)*$O$2/(1+EXP($O$3*(COUNT($H$9:O$9)+$O$4))),TREND($D10:$E10,$D$9:$E$9,O$9))</f>
        <v>0.90999512251361936</v>
      </c>
      <c r="P10">
        <f>IF($F10="s-curve",$D10+($E10-$D10)*$O$2/(1+EXP($O$3*(COUNT($H$9:P$9)+$O$4))),TREND($D10:$E10,$D$9:$E$9,P$9))</f>
        <v>0.95270755488343317</v>
      </c>
      <c r="Q10">
        <f>IF($F10="s-curve",$D10+($E10-$D10)*$O$2/(1+EXP($O$3*(COUNT($H$9:Q$9)+$O$4))),TREND($D10:$E10,$D$9:$E$9,Q$9))</f>
        <v>0.97581740963013086</v>
      </c>
      <c r="R10">
        <f>IF($F10="s-curve",$D10+($E10-$D10)*$O$2/(1+EXP($O$3*(COUNT($H$9:R$9)+$O$4))),TREND($D10:$E10,$D$9:$E$9,R$9))</f>
        <v>0.98781142385304976</v>
      </c>
      <c r="S10">
        <f>IF($F10="s-curve",$D10+($E10-$D10)*$O$2/(1+EXP($O$3*(COUNT($H$9:S$9)+$O$4))),TREND($D10:$E10,$D$9:$E$9,S$9))</f>
        <v>0.99390197839096728</v>
      </c>
      <c r="T10">
        <f>IF($F10="s-curve",$D10+($E10-$D10)*$O$2/(1+EXP($O$3*(COUNT($H$9:T$9)+$O$4))),TREND($D10:$E10,$D$9:$E$9,T$9))</f>
        <v>0.99696050208296527</v>
      </c>
      <c r="U10">
        <f>IF($F10="s-curve",$D10+($E10-$D10)*$O$2/(1+EXP($O$3*(COUNT($H$9:U$9)+$O$4))),TREND($D10:$E10,$D$9:$E$9,U$9))</f>
        <v>0.9984878253724434</v>
      </c>
      <c r="V10">
        <f>IF($F10="s-curve",$D10+($E10-$D10)*$O$2/(1+EXP($O$3*(COUNT($H$9:V$9)+$O$4))),TREND($D10:$E10,$D$9:$E$9,V$9))</f>
        <v>0.99924838276461947</v>
      </c>
      <c r="W10">
        <f>IF($F10="s-curve",$D10+($E10-$D10)*$O$2/(1+EXP($O$3*(COUNT($H$9:W$9)+$O$4))),TREND($D10:$E10,$D$9:$E$9,W$9))</f>
        <v>0.99962658666582649</v>
      </c>
      <c r="X10">
        <f>IF($F10="s-curve",$D10+($E10-$D10)*$O$2/(1+EXP($O$3*(COUNT($H$9:X$9)+$O$4))),TREND($D10:$E10,$D$9:$E$9,X$9))</f>
        <v>0.99981452616455746</v>
      </c>
      <c r="Y10">
        <f>IF($F10="s-curve",$D10+($E10-$D10)*$O$2/(1+EXP($O$3*(COUNT($H$9:Y$9)+$O$4))),TREND($D10:$E10,$D$9:$E$9,Y$9))</f>
        <v>0.99990788599398051</v>
      </c>
      <c r="Z10">
        <f>IF($F10="s-curve",$D10+($E10-$D10)*$O$2/(1+EXP($O$3*(COUNT($H$9:Z$9)+$O$4))),TREND($D10:$E10,$D$9:$E$9,Z$9))</f>
        <v>0.99995425496710366</v>
      </c>
      <c r="AA10">
        <f>IF($F10="s-curve",$D10+($E10-$D10)*$O$2/(1+EXP($O$3*(COUNT($H$9:AA$9)+$O$4))),TREND($D10:$E10,$D$9:$E$9,AA$9))</f>
        <v>0.99997728305483036</v>
      </c>
      <c r="AB10">
        <f>IF($F10="s-curve",$D10+($E10-$D10)*$O$2/(1+EXP($O$3*(COUNT($H$9:AB$9)+$O$4))),TREND($D10:$E10,$D$9:$E$9,AB$9))</f>
        <v>0.99998871894250518</v>
      </c>
      <c r="AC10">
        <f>IF($F10="s-curve",$D10+($E10-$D10)*$O$2/(1+EXP($O$3*(COUNT($H$9:AC$9)+$O$4))),TREND($D10:$E10,$D$9:$E$9,AC$9))</f>
        <v>0.99999439795407397</v>
      </c>
      <c r="AD10">
        <f>IF($F10="s-curve",$D10+($E10-$D10)*$O$2/(1+EXP($O$3*(COUNT($H$9:AD$9)+$O$4))),TREND($D10:$E10,$D$9:$E$9,AD$9))</f>
        <v>0.99999721809681241</v>
      </c>
      <c r="AE10">
        <f>IF($F10="s-curve",$D10+($E10-$D10)*$O$2/(1+EXP($O$3*(COUNT($H$9:AE$9)+$O$4))),TREND($D10:$E10,$D$9:$E$9,AE$9))</f>
        <v>0.9999986185454155</v>
      </c>
      <c r="AF10">
        <f>IF($F10="s-curve",$D10+($E10-$D10)*$O$2/(1+EXP($O$3*(COUNT($H$9:AF$9)+$O$4))),TREND($D10:$E10,$D$9:$E$9,AF$9))</f>
        <v>0.99999931398937703</v>
      </c>
      <c r="AG10">
        <f>IF($F10="s-curve",$D10+($E10-$D10)*$O$2/(1+EXP($O$3*(COUNT($H$9:AG$9)+$O$4))),TREND($D10:$E10,$D$9:$E$9,AG$9))</f>
        <v>0.99999965933706392</v>
      </c>
      <c r="AH10">
        <f>IF($F10="s-curve",$D10+($E10-$D10)*$O$2/(1+EXP($O$3*(COUNT($H$9:AH$9)+$O$4))),TREND($D10:$E10,$D$9:$E$9,AH$9))</f>
        <v>0.99999983083175725</v>
      </c>
      <c r="AI10">
        <f>IF($F10="s-curve",$D10+($E10-$D10)*$O$2/(1+EXP($O$3*(COUNT($H$9:AI$9)+$O$4))),TREND($D10:$E10,$D$9:$E$9,AI$9))</f>
        <v>0.999999915993528</v>
      </c>
      <c r="AJ10">
        <f>IF($F10="s-curve",$D10+($E10-$D10)*$O$2/(1+EXP($O$3*(COUNT($H$9:AJ$9)+$O$4))),TREND($D10:$E10,$D$9:$E$9,AJ$9))</f>
        <v>0.99999995828361832</v>
      </c>
      <c r="AK10">
        <f>IF($F10="s-curve",$D10+($E10-$D10)*$O$2/(1+EXP($O$3*(COUNT($H$9:AK$9)+$O$4))),TREND($D10:$E10,$D$9:$E$9,AK$9))</f>
        <v>0.99999997928425732</v>
      </c>
      <c r="AL10">
        <f>IF($F10="s-curve",$D10+($E10-$D10)*$O$2/(1+EXP($O$3*(COUNT($H$9:AL$9)+$O$4))),TREND($D10:$E10,$D$9:$E$9,AL$9))</f>
        <v>0.99999998971286663</v>
      </c>
    </row>
    <row r="11" spans="1:38" x14ac:dyDescent="0.25">
      <c r="C11" t="s">
        <v>2</v>
      </c>
      <c r="D11" s="22">
        <f>SUM(SUM(INDEX('AEO 39'!$29:$30,0,MATCH($D$9,'AEO 39'!$1:$1,0))),SUM(INDEX('AEO 39'!$51:$52,0,MATCH($D$9,'AEO 39'!$1:$1,0))))/INDEX('AEO 39'!$59:$59,MATCH($D$9,'AEO 39'!$1:$1,0))</f>
        <v>3.8057610451262282E-4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H11" s="22">
        <f t="shared" ref="H11:H40" si="1">D11</f>
        <v>3.8057610451262282E-4</v>
      </c>
      <c r="I11">
        <f>IF($F11="s-curve",$D11+($E11-$D11)*$I$2/(1+EXP($I$3*(COUNT($H$9:I$9)+$I$4))),TREND($D11:$E11,$D$9:$E$9,I$9))</f>
        <v>3.9320484961125079E-4</v>
      </c>
      <c r="J11">
        <f>IF($F11="s-curve",$D11+($E11-$D11)*$I$2/(1+EXP($I$3*(COUNT($H$9:J$9)+$I$4))),TREND($D11:$E11,$D$9:$E$9,J$9))</f>
        <v>3.9753546733222448E-4</v>
      </c>
      <c r="K11">
        <f>IF($F11="s-curve",$D11+($E11-$D11)*$I$2/(1+EXP($I$3*(COUNT($H$9:K$9)+$I$4))),TREND($D11:$E11,$D$9:$E$9,K$9))</f>
        <v>4.033110396505392E-4</v>
      </c>
      <c r="L11">
        <f>IF($F11="s-curve",$D11+($E11-$D11)*$I$2/(1+EXP($I$3*(COUNT($H$9:L$9)+$I$4))),TREND($D11:$E11,$D$9:$E$9,L$9))</f>
        <v>4.1098212309343519E-4</v>
      </c>
      <c r="M11">
        <f>IF($F11="s-curve",$D11+($E11-$D11)*$I$2/(1+EXP($I$3*(COUNT($H$9:M$9)+$I$4))),TREND($D11:$E11,$D$9:$E$9,M$9))</f>
        <v>4.2111542890787591E-4</v>
      </c>
      <c r="N11">
        <f>IF($F11="s-curve",$D11+($E11-$D11)*$I$2/(1+EXP($I$3*(COUNT($H$9:N$9)+$I$4))),TREND($D11:$E11,$D$9:$E$9,N$9))</f>
        <v>4.3440531499218697E-4</v>
      </c>
      <c r="O11">
        <f>IF($F11="s-curve",$D11+($E11-$D11)*$I$2/(1+EXP($I$3*(COUNT($H$9:O$9)+$I$4))),TREND($D11:$E11,$D$9:$E$9,O$9))</f>
        <v>4.516715783138295E-4</v>
      </c>
      <c r="P11">
        <f>IF($F11="s-curve",$D11+($E11-$D11)*$I$2/(1+EXP($I$3*(COUNT($H$9:P$9)+$I$4))),TREND($D11:$E11,$D$9:$E$9,P$9))</f>
        <v>4.7383134956379655E-4</v>
      </c>
      <c r="Q11">
        <f>IF($F11="s-curve",$D11+($E11-$D11)*$I$2/(1+EXP($I$3*(COUNT($H$9:Q$9)+$I$4))),TREND($D11:$E11,$D$9:$E$9,Q$9))</f>
        <v>5.0182946160490889E-4</v>
      </c>
      <c r="R11">
        <f>IF($F11="s-curve",$D11+($E11-$D11)*$I$2/(1+EXP($I$3*(COUNT($H$9:R$9)+$I$4))),TREND($D11:$E11,$D$9:$E$9,R$9))</f>
        <v>5.3651224215358457E-4</v>
      </c>
      <c r="S11">
        <f>IF($F11="s-curve",$D11+($E11-$D11)*$I$2/(1+EXP($I$3*(COUNT($H$9:S$9)+$I$4))),TREND($D11:$E11,$D$9:$E$9,S$9))</f>
        <v>5.7843959678952387E-4</v>
      </c>
      <c r="T11">
        <f>IF($F11="s-curve",$D11+($E11-$D11)*$I$2/(1+EXP($I$3*(COUNT($H$9:T$9)+$I$4))),TREND($D11:$E11,$D$9:$E$9,T$9))</f>
        <v>6.2765456811457476E-4</v>
      </c>
      <c r="U11">
        <f>IF($F11="s-curve",$D11+($E11-$D11)*$I$2/(1+EXP($I$3*(COUNT($H$9:U$9)+$I$4))),TREND($D11:$E11,$D$9:$E$9,U$9))</f>
        <v>6.8346676285730725E-4</v>
      </c>
      <c r="V11">
        <f>IF($F11="s-curve",$D11+($E11-$D11)*$I$2/(1+EXP($I$3*(COUNT($H$9:V$9)+$I$4))),TREND($D11:$E11,$D$9:$E$9,V$9))</f>
        <v>7.4433984155985176E-4</v>
      </c>
      <c r="W11">
        <f>IF($F11="s-curve",$D11+($E11-$D11)*$I$2/(1+EXP($I$3*(COUNT($H$9:W$9)+$I$4))),TREND($D11:$E11,$D$9:$E$9,W$9))</f>
        <v>8.0797281520121893E-4</v>
      </c>
      <c r="X11">
        <f>IF($F11="s-curve",$D11+($E11-$D11)*$I$2/(1+EXP($I$3*(COUNT($H$9:X$9)+$I$4))),TREND($D11:$E11,$D$9:$E$9,X$9))</f>
        <v>8.716057888425861E-4</v>
      </c>
      <c r="Y11">
        <f>IF($F11="s-curve",$D11+($E11-$D11)*$I$2/(1+EXP($I$3*(COUNT($H$9:Y$9)+$I$4))),TREND($D11:$E11,$D$9:$E$9,Y$9))</f>
        <v>9.3247886754513061E-4</v>
      </c>
      <c r="Z11">
        <f>IF($F11="s-curve",$D11+($E11-$D11)*$I$2/(1+EXP($I$3*(COUNT($H$9:Z$9)+$I$4))),TREND($D11:$E11,$D$9:$E$9,Z$9))</f>
        <v>9.8829106228786288E-4</v>
      </c>
      <c r="AA11">
        <f>IF($F11="s-curve",$D11+($E11-$D11)*$I$2/(1+EXP($I$3*(COUNT($H$9:AA$9)+$I$4))),TREND($D11:$E11,$D$9:$E$9,AA$9))</f>
        <v>1.037506033612914E-3</v>
      </c>
      <c r="AB11">
        <f>IF($F11="s-curve",$D11+($E11-$D11)*$I$2/(1+EXP($I$3*(COUNT($H$9:AB$9)+$I$4))),TREND($D11:$E11,$D$9:$E$9,AB$9))</f>
        <v>1.0794333882488531E-3</v>
      </c>
      <c r="AC11">
        <f>IF($F11="s-curve",$D11+($E11-$D11)*$I$2/(1+EXP($I$3*(COUNT($H$9:AC$9)+$I$4))),TREND($D11:$E11,$D$9:$E$9,AC$9))</f>
        <v>1.114116168797529E-3</v>
      </c>
      <c r="AD11">
        <f>IF($F11="s-curve",$D11+($E11-$D11)*$I$2/(1+EXP($I$3*(COUNT($H$9:AD$9)+$I$4))),TREND($D11:$E11,$D$9:$E$9,AD$9))</f>
        <v>1.1421142808386413E-3</v>
      </c>
      <c r="AE11">
        <f>IF($F11="s-curve",$D11+($E11-$D11)*$I$2/(1+EXP($I$3*(COUNT($H$9:AE$9)+$I$4))),TREND($D11:$E11,$D$9:$E$9,AE$9))</f>
        <v>1.1642740520886085E-3</v>
      </c>
      <c r="AF11">
        <f>IF($F11="s-curve",$D11+($E11-$D11)*$I$2/(1+EXP($I$3*(COUNT($H$9:AF$9)+$I$4))),TREND($D11:$E11,$D$9:$E$9,AF$9))</f>
        <v>1.1815403154102509E-3</v>
      </c>
      <c r="AG11">
        <f>IF($F11="s-curve",$D11+($E11-$D11)*$I$2/(1+EXP($I$3*(COUNT($H$9:AG$9)+$I$4))),TREND($D11:$E11,$D$9:$E$9,AG$9))</f>
        <v>1.1948302014945619E-3</v>
      </c>
      <c r="AH11">
        <f>IF($F11="s-curve",$D11+($E11-$D11)*$I$2/(1+EXP($I$3*(COUNT($H$9:AH$9)+$I$4))),TREND($D11:$E11,$D$9:$E$9,AH$9))</f>
        <v>1.2049635073090028E-3</v>
      </c>
      <c r="AI11">
        <f>IF($F11="s-curve",$D11+($E11-$D11)*$I$2/(1+EXP($I$3*(COUNT($H$9:AI$9)+$I$4))),TREND($D11:$E11,$D$9:$E$9,AI$9))</f>
        <v>1.2126345907518985E-3</v>
      </c>
      <c r="AJ11">
        <f>IF($F11="s-curve",$D11+($E11-$D11)*$I$2/(1+EXP($I$3*(COUNT($H$9:AJ$9)+$I$4))),TREND($D11:$E11,$D$9:$E$9,AJ$9))</f>
        <v>1.2184101630702134E-3</v>
      </c>
      <c r="AK11">
        <f>IF($F11="s-curve",$D11+($E11-$D11)*$I$2/(1+EXP($I$3*(COUNT($H$9:AK$9)+$I$4))),TREND($D11:$E11,$D$9:$E$9,AK$9))</f>
        <v>1.2227407807911871E-3</v>
      </c>
      <c r="AL11">
        <f>IF($F11="s-curve",$D11+($E11-$D11)*$I$2/(1+EXP($I$3*(COUNT($H$9:AL$9)+$I$4))),TREND($D11:$E11,$D$9:$E$9,AL$9))</f>
        <v>1.2259779596081354E-3</v>
      </c>
    </row>
    <row r="12" spans="1:38" x14ac:dyDescent="0.25">
      <c r="C12" t="s">
        <v>3</v>
      </c>
      <c r="D12">
        <v>3</v>
      </c>
      <c r="E12">
        <v>3</v>
      </c>
      <c r="F12" s="7" t="str">
        <f>IF(D12=E12,"n/a",IF(OR(C12="battery electric vehicle",C12="natural gas vehicle",C12="plugin hybrid vehicle"),"s-curve","linear"))</f>
        <v>n/a</v>
      </c>
      <c r="H12" s="22">
        <f t="shared" si="1"/>
        <v>3</v>
      </c>
      <c r="I12">
        <f>IF($F12="s-curve",$D12+($E12-$D12)*$I$2/(1+EXP($I$3*(COUNT($H$9:I$9)+$I$4))),TREND($D12:$E12,$D$9:$E$9,I$9))</f>
        <v>3</v>
      </c>
      <c r="J12">
        <f>IF($F12="s-curve",$D12+($E12-$D12)*$I$2/(1+EXP($I$3*(COUNT($H$9:J$9)+$I$4))),TREND($D12:$E12,$D$9:$E$9,J$9))</f>
        <v>3</v>
      </c>
      <c r="K12">
        <f>IF($F12="s-curve",$D12+($E12-$D12)*$I$2/(1+EXP($I$3*(COUNT($H$9:K$9)+$I$4))),TREND($D12:$E12,$D$9:$E$9,K$9))</f>
        <v>3</v>
      </c>
      <c r="L12">
        <f>IF($F12="s-curve",$D12+($E12-$D12)*$I$2/(1+EXP($I$3*(COUNT($H$9:L$9)+$I$4))),TREND($D12:$E12,$D$9:$E$9,L$9))</f>
        <v>3</v>
      </c>
      <c r="M12">
        <f>IF($F12="s-curve",$D12+($E12-$D12)*$I$2/(1+EXP($I$3*(COUNT($H$9:M$9)+$I$4))),TREND($D12:$E12,$D$9:$E$9,M$9))</f>
        <v>3</v>
      </c>
      <c r="N12">
        <f>IF($F12="s-curve",$D12+($E12-$D12)*$I$2/(1+EXP($I$3*(COUNT($H$9:N$9)+$I$4))),TREND($D12:$E12,$D$9:$E$9,N$9))</f>
        <v>3</v>
      </c>
      <c r="O12">
        <f>IF($F12="s-curve",$D12+($E12-$D12)*$I$2/(1+EXP($I$3*(COUNT($H$9:O$9)+$I$4))),TREND($D12:$E12,$D$9:$E$9,O$9))</f>
        <v>3</v>
      </c>
      <c r="P12">
        <f>IF($F12="s-curve",$D12+($E12-$D12)*$I$2/(1+EXP($I$3*(COUNT($H$9:P$9)+$I$4))),TREND($D12:$E12,$D$9:$E$9,P$9))</f>
        <v>3</v>
      </c>
      <c r="Q12">
        <f>IF($F12="s-curve",$D12+($E12-$D12)*$I$2/(1+EXP($I$3*(COUNT($H$9:Q$9)+$I$4))),TREND($D12:$E12,$D$9:$E$9,Q$9))</f>
        <v>3</v>
      </c>
      <c r="R12">
        <f>IF($F12="s-curve",$D12+($E12-$D12)*$I$2/(1+EXP($I$3*(COUNT($H$9:R$9)+$I$4))),TREND($D12:$E12,$D$9:$E$9,R$9))</f>
        <v>3</v>
      </c>
      <c r="S12">
        <f>IF($F12="s-curve",$D12+($E12-$D12)*$I$2/(1+EXP($I$3*(COUNT($H$9:S$9)+$I$4))),TREND($D12:$E12,$D$9:$E$9,S$9))</f>
        <v>3</v>
      </c>
      <c r="T12">
        <f>IF($F12="s-curve",$D12+($E12-$D12)*$I$2/(1+EXP($I$3*(COUNT($H$9:T$9)+$I$4))),TREND($D12:$E12,$D$9:$E$9,T$9))</f>
        <v>3</v>
      </c>
      <c r="U12">
        <f>IF($F12="s-curve",$D12+($E12-$D12)*$I$2/(1+EXP($I$3*(COUNT($H$9:U$9)+$I$4))),TREND($D12:$E12,$D$9:$E$9,U$9))</f>
        <v>3</v>
      </c>
      <c r="V12">
        <f>IF($F12="s-curve",$D12+($E12-$D12)*$I$2/(1+EXP($I$3*(COUNT($H$9:V$9)+$I$4))),TREND($D12:$E12,$D$9:$E$9,V$9))</f>
        <v>3</v>
      </c>
      <c r="W12">
        <f>IF($F12="s-curve",$D12+($E12-$D12)*$I$2/(1+EXP($I$3*(COUNT($H$9:W$9)+$I$4))),TREND($D12:$E12,$D$9:$E$9,W$9))</f>
        <v>3</v>
      </c>
      <c r="X12">
        <f>IF($F12="s-curve",$D12+($E12-$D12)*$I$2/(1+EXP($I$3*(COUNT($H$9:X$9)+$I$4))),TREND($D12:$E12,$D$9:$E$9,X$9))</f>
        <v>3</v>
      </c>
      <c r="Y12">
        <f>IF($F12="s-curve",$D12+($E12-$D12)*$I$2/(1+EXP($I$3*(COUNT($H$9:Y$9)+$I$4))),TREND($D12:$E12,$D$9:$E$9,Y$9))</f>
        <v>3</v>
      </c>
      <c r="Z12">
        <f>IF($F12="s-curve",$D12+($E12-$D12)*$I$2/(1+EXP($I$3*(COUNT($H$9:Z$9)+$I$4))),TREND($D12:$E12,$D$9:$E$9,Z$9))</f>
        <v>3</v>
      </c>
      <c r="AA12">
        <f>IF($F12="s-curve",$D12+($E12-$D12)*$I$2/(1+EXP($I$3*(COUNT($H$9:AA$9)+$I$4))),TREND($D12:$E12,$D$9:$E$9,AA$9))</f>
        <v>3</v>
      </c>
      <c r="AB12">
        <f>IF($F12="s-curve",$D12+($E12-$D12)*$I$2/(1+EXP($I$3*(COUNT($H$9:AB$9)+$I$4))),TREND($D12:$E12,$D$9:$E$9,AB$9))</f>
        <v>3</v>
      </c>
      <c r="AC12">
        <f>IF($F12="s-curve",$D12+($E12-$D12)*$I$2/(1+EXP($I$3*(COUNT($H$9:AC$9)+$I$4))),TREND($D12:$E12,$D$9:$E$9,AC$9))</f>
        <v>3</v>
      </c>
      <c r="AD12">
        <f>IF($F12="s-curve",$D12+($E12-$D12)*$I$2/(1+EXP($I$3*(COUNT($H$9:AD$9)+$I$4))),TREND($D12:$E12,$D$9:$E$9,AD$9))</f>
        <v>3</v>
      </c>
      <c r="AE12">
        <f>IF($F12="s-curve",$D12+($E12-$D12)*$I$2/(1+EXP($I$3*(COUNT($H$9:AE$9)+$I$4))),TREND($D12:$E12,$D$9:$E$9,AE$9))</f>
        <v>3</v>
      </c>
      <c r="AF12">
        <f>IF($F12="s-curve",$D12+($E12-$D12)*$I$2/(1+EXP($I$3*(COUNT($H$9:AF$9)+$I$4))),TREND($D12:$E12,$D$9:$E$9,AF$9))</f>
        <v>3</v>
      </c>
      <c r="AG12">
        <f>IF($F12="s-curve",$D12+($E12-$D12)*$I$2/(1+EXP($I$3*(COUNT($H$9:AG$9)+$I$4))),TREND($D12:$E12,$D$9:$E$9,AG$9))</f>
        <v>3</v>
      </c>
      <c r="AH12">
        <f>IF($F12="s-curve",$D12+($E12-$D12)*$I$2/(1+EXP($I$3*(COUNT($H$9:AH$9)+$I$4))),TREND($D12:$E12,$D$9:$E$9,AH$9))</f>
        <v>3</v>
      </c>
      <c r="AI12">
        <f>IF($F12="s-curve",$D12+($E12-$D12)*$I$2/(1+EXP($I$3*(COUNT($H$9:AI$9)+$I$4))),TREND($D12:$E12,$D$9:$E$9,AI$9))</f>
        <v>3</v>
      </c>
      <c r="AJ12">
        <f>IF($F12="s-curve",$D12+($E12-$D12)*$I$2/(1+EXP($I$3*(COUNT($H$9:AJ$9)+$I$4))),TREND($D12:$E12,$D$9:$E$9,AJ$9))</f>
        <v>3</v>
      </c>
      <c r="AK12">
        <f>IF($F12="s-curve",$D12+($E12-$D12)*$I$2/(1+EXP($I$3*(COUNT($H$9:AK$9)+$I$4))),TREND($D12:$E12,$D$9:$E$9,AK$9))</f>
        <v>3</v>
      </c>
      <c r="AL12">
        <f>IF($F12="s-curve",$D12+($E12-$D12)*$I$2/(1+EXP($I$3*(COUNT($H$9:AL$9)+$I$4))),TREND($D12:$E12,$D$9:$E$9,AL$9))</f>
        <v>3</v>
      </c>
    </row>
    <row r="13" spans="1:38" x14ac:dyDescent="0.25">
      <c r="C13" t="s">
        <v>4</v>
      </c>
      <c r="D13" s="22">
        <f>SUM(INDEX('AEO 39'!$18:$18,MATCH(D$9,'AEO 39'!$1:$1,0)),INDEX('AEO 39'!$27:$27,MATCH(D$9,'AEO 39'!$1:$1,0)),INDEX('AEO 39'!$40:$40,MATCH(D$9,'AEO 39'!$1:$1,0)),INDEX('AEO 39'!$49:$49,MATCH(D$9,'AEO 39'!$1:$1,0)))/INDEX('AEO 39'!$59:$59,MATCH(D$9,'AEO 39'!$1:$1,0))</f>
        <v>4.2138566319580755E-3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H13" s="22">
        <f t="shared" si="1"/>
        <v>4.2138566319580755E-3</v>
      </c>
      <c r="I13">
        <f>IF($F13="s-curve",$D13+($E13-$D13)*$I$2/(1+EXP($I$3*(COUNT($H$9:I$9)+$I$4))),TREND($D13:$E13,$D$9:$E$9,I$9))</f>
        <v>5.1006768751431508E-3</v>
      </c>
      <c r="J13">
        <f>IF($F13="s-curve",$D13+($E13-$D13)*$I$2/(1+EXP($I$3*(COUNT($H$9:J$9)+$I$4))),TREND($D13:$E13,$D$9:$E$9,J$9))</f>
        <v>5.9874971183280223E-3</v>
      </c>
      <c r="K13">
        <f>IF($F13="s-curve",$D13+($E13-$D13)*$I$2/(1+EXP($I$3*(COUNT($H$9:K$9)+$I$4))),TREND($D13:$E13,$D$9:$E$9,K$9))</f>
        <v>6.8743173615128939E-3</v>
      </c>
      <c r="L13">
        <f>IF($F13="s-curve",$D13+($E13-$D13)*$I$2/(1+EXP($I$3*(COUNT($H$9:L$9)+$I$4))),TREND($D13:$E13,$D$9:$E$9,L$9))</f>
        <v>7.7611376046979874E-3</v>
      </c>
      <c r="M13">
        <f>IF($F13="s-curve",$D13+($E13-$D13)*$I$2/(1+EXP($I$3*(COUNT($H$9:M$9)+$I$4))),TREND($D13:$E13,$D$9:$E$9,M$9))</f>
        <v>8.6479578478828589E-3</v>
      </c>
      <c r="N13">
        <f>IF($F13="s-curve",$D13+($E13-$D13)*$I$2/(1+EXP($I$3*(COUNT($H$9:N$9)+$I$4))),TREND($D13:$E13,$D$9:$E$9,N$9))</f>
        <v>9.5347780910677304E-3</v>
      </c>
      <c r="O13">
        <f>IF($F13="s-curve",$D13+($E13-$D13)*$I$2/(1+EXP($I$3*(COUNT($H$9:O$9)+$I$4))),TREND($D13:$E13,$D$9:$E$9,O$9))</f>
        <v>1.0421598334252602E-2</v>
      </c>
      <c r="P13">
        <f>IF($F13="s-curve",$D13+($E13-$D13)*$I$2/(1+EXP($I$3*(COUNT($H$9:P$9)+$I$4))),TREND($D13:$E13,$D$9:$E$9,P$9))</f>
        <v>1.1308418577437696E-2</v>
      </c>
      <c r="Q13">
        <f>IF($F13="s-curve",$D13+($E13-$D13)*$I$2/(1+EXP($I$3*(COUNT($H$9:Q$9)+$I$4))),TREND($D13:$E13,$D$9:$E$9,Q$9))</f>
        <v>1.2195238820622567E-2</v>
      </c>
      <c r="R13">
        <f>IF($F13="s-curve",$D13+($E13-$D13)*$I$2/(1+EXP($I$3*(COUNT($H$9:R$9)+$I$4))),TREND($D13:$E13,$D$9:$E$9,R$9))</f>
        <v>1.3082059063807439E-2</v>
      </c>
      <c r="S13">
        <f>IF($F13="s-curve",$D13+($E13-$D13)*$I$2/(1+EXP($I$3*(COUNT($H$9:S$9)+$I$4))),TREND($D13:$E13,$D$9:$E$9,S$9))</f>
        <v>1.3968879306992532E-2</v>
      </c>
      <c r="T13">
        <f>IF($F13="s-curve",$D13+($E13-$D13)*$I$2/(1+EXP($I$3*(COUNT($H$9:T$9)+$I$4))),TREND($D13:$E13,$D$9:$E$9,T$9))</f>
        <v>1.4855699550177404E-2</v>
      </c>
      <c r="U13">
        <f>IF($F13="s-curve",$D13+($E13-$D13)*$I$2/(1+EXP($I$3*(COUNT($H$9:U$9)+$I$4))),TREND($D13:$E13,$D$9:$E$9,U$9))</f>
        <v>1.5742519793362275E-2</v>
      </c>
      <c r="V13">
        <f>IF($F13="s-curve",$D13+($E13-$D13)*$I$2/(1+EXP($I$3*(COUNT($H$9:V$9)+$I$4))),TREND($D13:$E13,$D$9:$E$9,V$9))</f>
        <v>1.6629340036547369E-2</v>
      </c>
      <c r="W13">
        <f>IF($F13="s-curve",$D13+($E13-$D13)*$I$2/(1+EXP($I$3*(COUNT($H$9:W$9)+$I$4))),TREND($D13:$E13,$D$9:$E$9,W$9))</f>
        <v>1.751616027973224E-2</v>
      </c>
      <c r="X13">
        <f>IF($F13="s-curve",$D13+($E13-$D13)*$I$2/(1+EXP($I$3*(COUNT($H$9:X$9)+$I$4))),TREND($D13:$E13,$D$9:$E$9,X$9))</f>
        <v>1.8402980522917112E-2</v>
      </c>
      <c r="Y13">
        <f>IF($F13="s-curve",$D13+($E13-$D13)*$I$2/(1+EXP($I$3*(COUNT($H$9:Y$9)+$I$4))),TREND($D13:$E13,$D$9:$E$9,Y$9))</f>
        <v>1.9289800766102205E-2</v>
      </c>
      <c r="Z13">
        <f>IF($F13="s-curve",$D13+($E13-$D13)*$I$2/(1+EXP($I$3*(COUNT($H$9:Z$9)+$I$4))),TREND($D13:$E13,$D$9:$E$9,Z$9))</f>
        <v>2.0176621009287077E-2</v>
      </c>
      <c r="AA13">
        <f>IF($F13="s-curve",$D13+($E13-$D13)*$I$2/(1+EXP($I$3*(COUNT($H$9:AA$9)+$I$4))),TREND($D13:$E13,$D$9:$E$9,AA$9))</f>
        <v>2.1063441252471948E-2</v>
      </c>
      <c r="AB13">
        <f>IF($F13="s-curve",$D13+($E13-$D13)*$I$2/(1+EXP($I$3*(COUNT($H$9:AB$9)+$I$4))),TREND($D13:$E13,$D$9:$E$9,AB$9))</f>
        <v>2.1950261495657042E-2</v>
      </c>
      <c r="AC13">
        <f>IF($F13="s-curve",$D13+($E13-$D13)*$I$2/(1+EXP($I$3*(COUNT($H$9:AC$9)+$I$4))),TREND($D13:$E13,$D$9:$E$9,AC$9))</f>
        <v>2.2837081738841913E-2</v>
      </c>
      <c r="AD13">
        <f>IF($F13="s-curve",$D13+($E13-$D13)*$I$2/(1+EXP($I$3*(COUNT($H$9:AD$9)+$I$4))),TREND($D13:$E13,$D$9:$E$9,AD$9))</f>
        <v>2.3723901982026785E-2</v>
      </c>
      <c r="AE13">
        <f>IF($F13="s-curve",$D13+($E13-$D13)*$I$2/(1+EXP($I$3*(COUNT($H$9:AE$9)+$I$4))),TREND($D13:$E13,$D$9:$E$9,AE$9))</f>
        <v>2.4610722225211656E-2</v>
      </c>
      <c r="AF13">
        <f>IF($F13="s-curve",$D13+($E13-$D13)*$I$2/(1+EXP($I$3*(COUNT($H$9:AF$9)+$I$4))),TREND($D13:$E13,$D$9:$E$9,AF$9))</f>
        <v>2.549754246839675E-2</v>
      </c>
      <c r="AG13">
        <f>IF($F13="s-curve",$D13+($E13-$D13)*$I$2/(1+EXP($I$3*(COUNT($H$9:AG$9)+$I$4))),TREND($D13:$E13,$D$9:$E$9,AG$9))</f>
        <v>2.6384362711581621E-2</v>
      </c>
      <c r="AH13">
        <f>IF($F13="s-curve",$D13+($E13-$D13)*$I$2/(1+EXP($I$3*(COUNT($H$9:AH$9)+$I$4))),TREND($D13:$E13,$D$9:$E$9,AH$9))</f>
        <v>2.7271182954766493E-2</v>
      </c>
      <c r="AI13">
        <f>IF($F13="s-curve",$D13+($E13-$D13)*$I$2/(1+EXP($I$3*(COUNT($H$9:AI$9)+$I$4))),TREND($D13:$E13,$D$9:$E$9,AI$9))</f>
        <v>2.8158003197951587E-2</v>
      </c>
      <c r="AJ13">
        <f>IF($F13="s-curve",$D13+($E13-$D13)*$I$2/(1+EXP($I$3*(COUNT($H$9:AJ$9)+$I$4))),TREND($D13:$E13,$D$9:$E$9,AJ$9))</f>
        <v>2.9044823441136458E-2</v>
      </c>
      <c r="AK13">
        <f>IF($F13="s-curve",$D13+($E13-$D13)*$I$2/(1+EXP($I$3*(COUNT($H$9:AK$9)+$I$4))),TREND($D13:$E13,$D$9:$E$9,AK$9))</f>
        <v>2.993164368432133E-2</v>
      </c>
      <c r="AL13">
        <f>IF($F13="s-curve",$D13+($E13-$D13)*$I$2/(1+EXP($I$3*(COUNT($H$9:AL$9)+$I$4))),TREND($D13:$E13,$D$9:$E$9,AL$9))</f>
        <v>3.0818463927506423E-2</v>
      </c>
    </row>
    <row r="14" spans="1:38" x14ac:dyDescent="0.25">
      <c r="C14" t="s">
        <v>5</v>
      </c>
      <c r="D14" s="22">
        <v>1.7500000000000002E-2</v>
      </c>
      <c r="E14" s="47">
        <f>SUM(SUM(INDEX('AEO 39'!25:26,0,MATCH(E$9,'AEO 39'!$1:$1,0))),SUM(INDEX('AEO 39'!47:48,0,MATCH(E$9,'AEO 39'!$1:$1,0))))/INDEX('AEO 39'!$59:$59,MATCH(E$9,'AEO 39'!$1:$1,0))*Assumptions!A11*5</f>
        <v>0.32773377715159868</v>
      </c>
      <c r="F14" s="7" t="str">
        <f>IF(D14=E14,"n/a",IF(OR(C14="battery electric vehicle",C14="natural gas vehicle",C14="plugin hybrid vehicle",C14="hydrogen vehicle"),"s-curve","linear"))</f>
        <v>s-curve</v>
      </c>
      <c r="H14" s="15">
        <f>IF($F14="s-curve",$D14+($E14-$D14)*$O$2/(1+EXP($O$3*(COUNT($H$9:H$9)+$O$4))),TREND($D14:$E14,$D$9:$E$9,H$9))/2</f>
        <v>1.7641947805604345E-2</v>
      </c>
      <c r="I14">
        <f>IF($F14="s-curve",$D14+($E14-$D14)*$O$2/(1+EXP($O$3*(COUNT($H$9:I$9)+$O$4))),TREND($D14:$E14,$D$9:$E$9,I$9))</f>
        <v>5.1345518914747604E-2</v>
      </c>
      <c r="J14">
        <f>IF($F14="s-curve",$D14+($E14-$D14)*$O$2/(1+EXP($O$3*(COUNT($H$9:J$9)+$O$4))),TREND($D14:$E14,$D$9:$E$9,J$9))</f>
        <v>7.8869239433912761E-2</v>
      </c>
      <c r="K14">
        <f>IF($F14="s-curve",$D14+($E14-$D14)*$O$2/(1+EXP($O$3*(COUNT($H$9:K$9)+$O$4))),TREND($D14:$E14,$D$9:$E$9,K$9))</f>
        <v>0.12043936074535663</v>
      </c>
      <c r="L14">
        <f>IF($F14="s-curve",$D14+($E14-$D14)*$O$2/(1+EXP($O$3*(COUNT($H$9:L$9)+$O$4))),TREND($D14:$E14,$D$9:$E$9,L$9))</f>
        <v>0.17261688857579932</v>
      </c>
      <c r="M14">
        <f>IF($F14="s-curve",$D14+($E14-$D14)*$O$2/(1+EXP($O$3*(COUNT($H$9:M$9)+$O$4))),TREND($D14:$E14,$D$9:$E$9,M$9))</f>
        <v>0.22479441640624204</v>
      </c>
      <c r="N14">
        <f>IF($F14="s-curve",$D14+($E14-$D14)*$O$2/(1+EXP($O$3*(COUNT($H$9:N$9)+$O$4))),TREND($D14:$E14,$D$9:$E$9,N$9))</f>
        <v>0.26636453771768587</v>
      </c>
      <c r="O14">
        <f>IF($F14="s-curve",$D14+($E14-$D14)*$O$2/(1+EXP($O$3*(COUNT($H$9:O$9)+$O$4))),TREND($D14:$E14,$D$9:$E$9,O$9))</f>
        <v>0.29388825823685111</v>
      </c>
      <c r="P14">
        <f>IF($F14="s-curve",$D14+($E14-$D14)*$O$2/(1+EXP($O$3*(COUNT($H$9:P$9)+$O$4))),TREND($D14:$E14,$D$9:$E$9,P$9))</f>
        <v>0.30994988154038999</v>
      </c>
      <c r="Q14">
        <f>IF($F14="s-curve",$D14+($E14-$D14)*$O$2/(1+EXP($O$3*(COUNT($H$9:Q$9)+$O$4))),TREND($D14:$E14,$D$9:$E$9,Q$9))</f>
        <v>0.31864013308886613</v>
      </c>
      <c r="R14">
        <f>IF($F14="s-curve",$D14+($E14-$D14)*$O$2/(1+EXP($O$3*(COUNT($H$9:R$9)+$O$4))),TREND($D14:$E14,$D$9:$E$9,R$9))</f>
        <v>0.32315037349563713</v>
      </c>
      <c r="S14">
        <f>IF($F14="s-curve",$D14+($E14-$D14)*$O$2/(1+EXP($O$3*(COUNT($H$9:S$9)+$O$4))),TREND($D14:$E14,$D$9:$E$9,S$9))</f>
        <v>0.32544067136138988</v>
      </c>
      <c r="T14">
        <f>IF($F14="s-curve",$D14+($E14-$D14)*$O$2/(1+EXP($O$3*(COUNT($H$9:T$9)+$O$4))),TREND($D14:$E14,$D$9:$E$9,T$9))</f>
        <v>0.32659080149166408</v>
      </c>
      <c r="U14">
        <f>IF($F14="s-curve",$D14+($E14-$D14)*$O$2/(1+EXP($O$3*(COUNT($H$9:U$9)+$O$4))),TREND($D14:$E14,$D$9:$E$9,U$9))</f>
        <v>0.3271651375801809</v>
      </c>
      <c r="V14">
        <f>IF($F14="s-curve",$D14+($E14-$D14)*$O$2/(1+EXP($O$3*(COUNT($H$9:V$9)+$O$4))),TREND($D14:$E14,$D$9:$E$9,V$9))</f>
        <v>0.32745113829838129</v>
      </c>
      <c r="W14">
        <f>IF($F14="s-curve",$D14+($E14-$D14)*$O$2/(1+EXP($O$3*(COUNT($H$9:W$9)+$O$4))),TREND($D14:$E14,$D$9:$E$9,W$9))</f>
        <v>0.32759335844966003</v>
      </c>
      <c r="X14">
        <f>IF($F14="s-curve",$D14+($E14-$D14)*$O$2/(1+EXP($O$3*(COUNT($H$9:X$9)+$O$4))),TREND($D14:$E14,$D$9:$E$9,X$9))</f>
        <v>0.32766403139580214</v>
      </c>
      <c r="Y14">
        <f>IF($F14="s-curve",$D14+($E14-$D14)*$O$2/(1+EXP($O$3*(COUNT($H$9:Y$9)+$O$4))),TREND($D14:$E14,$D$9:$E$9,Y$9))</f>
        <v>0.32769913851400356</v>
      </c>
      <c r="Z14">
        <f>IF($F14="s-curve",$D14+($E14-$D14)*$O$2/(1+EXP($O$3*(COUNT($H$9:Z$9)+$O$4))),TREND($D14:$E14,$D$9:$E$9,Z$9))</f>
        <v>0.32771657514633645</v>
      </c>
      <c r="AA14">
        <f>IF($F14="s-curve",$D14+($E14-$D14)*$O$2/(1+EXP($O$3*(COUNT($H$9:AA$9)+$O$4))),TREND($D14:$E14,$D$9:$E$9,AA$9))</f>
        <v>0.3277252346501377</v>
      </c>
      <c r="AB14">
        <f>IF($F14="s-curve",$D14+($E14-$D14)*$O$2/(1+EXP($O$3*(COUNT($H$9:AB$9)+$O$4))),TREND($D14:$E14,$D$9:$E$9,AB$9))</f>
        <v>0.32772953501211155</v>
      </c>
      <c r="AC14">
        <f>IF($F14="s-curve",$D14+($E14-$D14)*$O$2/(1+EXP($O$3*(COUNT($H$9:AC$9)+$O$4))),TREND($D14:$E14,$D$9:$E$9,AC$9))</f>
        <v>0.32773167055297159</v>
      </c>
      <c r="AD14">
        <f>IF($F14="s-curve",$D14+($E14-$D14)*$O$2/(1+EXP($O$3*(COUNT($H$9:AD$9)+$O$4))),TREND($D14:$E14,$D$9:$E$9,AD$9))</f>
        <v>0.32773273104210349</v>
      </c>
      <c r="AE14">
        <f>IF($F14="s-curve",$D14+($E14-$D14)*$O$2/(1+EXP($O$3*(COUNT($H$9:AE$9)+$O$4))),TREND($D14:$E14,$D$9:$E$9,AE$9))</f>
        <v>0.3277332576681154</v>
      </c>
      <c r="AF14">
        <f>IF($F14="s-curve",$D14+($E14-$D14)*$O$2/(1+EXP($O$3*(COUNT($H$9:AF$9)+$O$4))),TREND($D14:$E14,$D$9:$E$9,AF$9))</f>
        <v>0.32773351918351784</v>
      </c>
      <c r="AG14">
        <f>IF($F14="s-curve",$D14+($E14-$D14)*$O$2/(1+EXP($O$3*(COUNT($H$9:AG$9)+$O$4))),TREND($D14:$E14,$D$9:$E$9,AG$9))</f>
        <v>0.32773364904838725</v>
      </c>
      <c r="AH14">
        <f>IF($F14="s-curve",$D14+($E14-$D14)*$O$2/(1+EXP($O$3*(COUNT($H$9:AH$9)+$O$4))),TREND($D14:$E14,$D$9:$E$9,AH$9))</f>
        <v>0.32773371353741332</v>
      </c>
      <c r="AI14">
        <f>IF($F14="s-curve",$D14+($E14-$D14)*$O$2/(1+EXP($O$3*(COUNT($H$9:AI$9)+$O$4))),TREND($D14:$E14,$D$9:$E$9,AI$9))</f>
        <v>0.32773374556172585</v>
      </c>
      <c r="AJ14">
        <f>IF($F14="s-curve",$D14+($E14-$D14)*$O$2/(1+EXP($O$3*(COUNT($H$9:AJ$9)+$O$4))),TREND($D14:$E14,$D$9:$E$9,AJ$9))</f>
        <v>0.32773376146453126</v>
      </c>
      <c r="AK14">
        <f>IF($F14="s-curve",$D14+($E14-$D14)*$O$2/(1+EXP($O$3*(COUNT($H$9:AK$9)+$O$4))),TREND($D14:$E14,$D$9:$E$9,AK$9))</f>
        <v>0.32773376936163134</v>
      </c>
      <c r="AL14">
        <f>IF($F14="s-curve",$D14+($E14-$D14)*$O$2/(1+EXP($O$3*(COUNT($H$9:AL$9)+$O$4))),TREND($D14:$E14,$D$9:$E$9,AL$9))</f>
        <v>0.32773377328321535</v>
      </c>
    </row>
    <row r="15" spans="1:38" x14ac:dyDescent="0.25">
      <c r="C15" t="s">
        <v>124</v>
      </c>
      <c r="D15" s="22">
        <f>SUM(SUM(INDEX('AEO 39'!31:32,0,MATCH(D$9,'AEO 39'!$1:$1,0))),SUM(INDEX('AEO 39'!53:54,0,MATCH(D$9,'AEO 39'!$1:$1,0))))/INDEX('AEO 39'!$59:$59,MATCH(D$9,'AEO 39'!$1:$1,0))</f>
        <v>3.186067677034385E-4</v>
      </c>
      <c r="E15" s="22">
        <f>SUM(SUM(INDEX('AEO 39'!31:32,0,MATCH(E$9,'AEO 39'!$1:$1,0))),SUM(INDEX('AEO 39'!53:54,0,MATCH(E$9,'AEO 39'!$1:$1,0))))/INDEX('AEO 39'!$59:$59,MATCH(E$9,'AEO 39'!$1:$1,0))*Assumptions!A11</f>
        <v>8.6165104068937229E-4</v>
      </c>
      <c r="F15" s="7" t="str">
        <f>IF(D15=E15,"n/a",IF(OR(C15="battery electric vehicle",C15="natural gas vehicle",C15="plugin hybrid vehicle",C15="hydrogen vehicle"),"s-curve","linear"))</f>
        <v>linear</v>
      </c>
      <c r="H15" s="22">
        <f t="shared" si="1"/>
        <v>3.186067677034385E-4</v>
      </c>
      <c r="I15">
        <f>IF($F15="s-curve",$D15+($E15-$D15)*$I$2/(1+EXP($I$3*(COUNT($H$9:I$9)+$I$4))),TREND($D15:$E15,$D$9:$E$9,I$9))</f>
        <v>3.3670824346963835E-4</v>
      </c>
      <c r="J15">
        <f>IF($F15="s-curve",$D15+($E15-$D15)*$I$2/(1+EXP($I$3*(COUNT($H$9:J$9)+$I$4))),TREND($D15:$E15,$D$9:$E$9,J$9))</f>
        <v>3.5480971923583515E-4</v>
      </c>
      <c r="K15">
        <f>IF($F15="s-curve",$D15+($E15-$D15)*$I$2/(1+EXP($I$3*(COUNT($H$9:K$9)+$I$4))),TREND($D15:$E15,$D$9:$E$9,K$9))</f>
        <v>3.7291119500203196E-4</v>
      </c>
      <c r="L15">
        <f>IF($F15="s-curve",$D15+($E15-$D15)*$I$2/(1+EXP($I$3*(COUNT($H$9:L$9)+$I$4))),TREND($D15:$E15,$D$9:$E$9,L$9))</f>
        <v>3.910126707682357E-4</v>
      </c>
      <c r="M15">
        <f>IF($F15="s-curve",$D15+($E15-$D15)*$I$2/(1+EXP($I$3*(COUNT($H$9:M$9)+$I$4))),TREND($D15:$E15,$D$9:$E$9,M$9))</f>
        <v>4.0911414653443251E-4</v>
      </c>
      <c r="N15">
        <f>IF($F15="s-curve",$D15+($E15-$D15)*$I$2/(1+EXP($I$3*(COUNT($H$9:N$9)+$I$4))),TREND($D15:$E15,$D$9:$E$9,N$9))</f>
        <v>4.2721562230062932E-4</v>
      </c>
      <c r="O15">
        <f>IF($F15="s-curve",$D15+($E15-$D15)*$I$2/(1+EXP($I$3*(COUNT($H$9:O$9)+$I$4))),TREND($D15:$E15,$D$9:$E$9,O$9))</f>
        <v>4.4531709806682612E-4</v>
      </c>
      <c r="P15">
        <f>IF($F15="s-curve",$D15+($E15-$D15)*$I$2/(1+EXP($I$3*(COUNT($H$9:P$9)+$I$4))),TREND($D15:$E15,$D$9:$E$9,P$9))</f>
        <v>4.6341857383302293E-4</v>
      </c>
      <c r="Q15">
        <f>IF($F15="s-curve",$D15+($E15-$D15)*$I$2/(1+EXP($I$3*(COUNT($H$9:Q$9)+$I$4))),TREND($D15:$E15,$D$9:$E$9,Q$9))</f>
        <v>4.8152004959921973E-4</v>
      </c>
      <c r="R15">
        <f>IF($F15="s-curve",$D15+($E15-$D15)*$I$2/(1+EXP($I$3*(COUNT($H$9:R$9)+$I$4))),TREND($D15:$E15,$D$9:$E$9,R$9))</f>
        <v>4.9962152536541654E-4</v>
      </c>
      <c r="S15">
        <f>IF($F15="s-curve",$D15+($E15-$D15)*$I$2/(1+EXP($I$3*(COUNT($H$9:S$9)+$I$4))),TREND($D15:$E15,$D$9:$E$9,S$9))</f>
        <v>5.1772300113162029E-4</v>
      </c>
      <c r="T15">
        <f>IF($F15="s-curve",$D15+($E15-$D15)*$I$2/(1+EXP($I$3*(COUNT($H$9:T$9)+$I$4))),TREND($D15:$E15,$D$9:$E$9,T$9))</f>
        <v>5.3582447689781709E-4</v>
      </c>
      <c r="U15">
        <f>IF($F15="s-curve",$D15+($E15-$D15)*$I$2/(1+EXP($I$3*(COUNT($H$9:U$9)+$I$4))),TREND($D15:$E15,$D$9:$E$9,U$9))</f>
        <v>5.539259526640139E-4</v>
      </c>
      <c r="V15">
        <f>IF($F15="s-curve",$D15+($E15-$D15)*$I$2/(1+EXP($I$3*(COUNT($H$9:V$9)+$I$4))),TREND($D15:$E15,$D$9:$E$9,V$9))</f>
        <v>5.720274284302107E-4</v>
      </c>
      <c r="W15">
        <f>IF($F15="s-curve",$D15+($E15-$D15)*$I$2/(1+EXP($I$3*(COUNT($H$9:W$9)+$I$4))),TREND($D15:$E15,$D$9:$E$9,W$9))</f>
        <v>5.9012890419640751E-4</v>
      </c>
      <c r="X15">
        <f>IF($F15="s-curve",$D15+($E15-$D15)*$I$2/(1+EXP($I$3*(COUNT($H$9:X$9)+$I$4))),TREND($D15:$E15,$D$9:$E$9,X$9))</f>
        <v>6.0823037996260432E-4</v>
      </c>
      <c r="Y15">
        <f>IF($F15="s-curve",$D15+($E15-$D15)*$I$2/(1+EXP($I$3*(COUNT($H$9:Y$9)+$I$4))),TREND($D15:$E15,$D$9:$E$9,Y$9))</f>
        <v>6.2633185572880112E-4</v>
      </c>
      <c r="Z15">
        <f>IF($F15="s-curve",$D15+($E15-$D15)*$I$2/(1+EXP($I$3*(COUNT($H$9:Z$9)+$I$4))),TREND($D15:$E15,$D$9:$E$9,Z$9))</f>
        <v>6.4443333149500487E-4</v>
      </c>
      <c r="AA15">
        <f>IF($F15="s-curve",$D15+($E15-$D15)*$I$2/(1+EXP($I$3*(COUNT($H$9:AA$9)+$I$4))),TREND($D15:$E15,$D$9:$E$9,AA$9))</f>
        <v>6.6253480726120167E-4</v>
      </c>
      <c r="AB15">
        <f>IF($F15="s-curve",$D15+($E15-$D15)*$I$2/(1+EXP($I$3*(COUNT($H$9:AB$9)+$I$4))),TREND($D15:$E15,$D$9:$E$9,AB$9))</f>
        <v>6.8063628302739848E-4</v>
      </c>
      <c r="AC15">
        <f>IF($F15="s-curve",$D15+($E15-$D15)*$I$2/(1+EXP($I$3*(COUNT($H$9:AC$9)+$I$4))),TREND($D15:$E15,$D$9:$E$9,AC$9))</f>
        <v>6.9873775879359529E-4</v>
      </c>
      <c r="AD15">
        <f>IF($F15="s-curve",$D15+($E15-$D15)*$I$2/(1+EXP($I$3*(COUNT($H$9:AD$9)+$I$4))),TREND($D15:$E15,$D$9:$E$9,AD$9))</f>
        <v>7.1683923455979209E-4</v>
      </c>
      <c r="AE15">
        <f>IF($F15="s-curve",$D15+($E15-$D15)*$I$2/(1+EXP($I$3*(COUNT($H$9:AE$9)+$I$4))),TREND($D15:$E15,$D$9:$E$9,AE$9))</f>
        <v>7.349407103259889E-4</v>
      </c>
      <c r="AF15">
        <f>IF($F15="s-curve",$D15+($E15-$D15)*$I$2/(1+EXP($I$3*(COUNT($H$9:AF$9)+$I$4))),TREND($D15:$E15,$D$9:$E$9,AF$9))</f>
        <v>7.5304218609218571E-4</v>
      </c>
      <c r="AG15">
        <f>IF($F15="s-curve",$D15+($E15-$D15)*$I$2/(1+EXP($I$3*(COUNT($H$9:AG$9)+$I$4))),TREND($D15:$E15,$D$9:$E$9,AG$9))</f>
        <v>7.7114366185838945E-4</v>
      </c>
      <c r="AH15">
        <f>IF($F15="s-curve",$D15+($E15-$D15)*$I$2/(1+EXP($I$3*(COUNT($H$9:AH$9)+$I$4))),TREND($D15:$E15,$D$9:$E$9,AH$9))</f>
        <v>7.8924513762458626E-4</v>
      </c>
      <c r="AI15">
        <f>IF($F15="s-curve",$D15+($E15-$D15)*$I$2/(1+EXP($I$3*(COUNT($H$9:AI$9)+$I$4))),TREND($D15:$E15,$D$9:$E$9,AI$9))</f>
        <v>8.0734661339078306E-4</v>
      </c>
      <c r="AJ15">
        <f>IF($F15="s-curve",$D15+($E15-$D15)*$I$2/(1+EXP($I$3*(COUNT($H$9:AJ$9)+$I$4))),TREND($D15:$E15,$D$9:$E$9,AJ$9))</f>
        <v>8.2544808915697987E-4</v>
      </c>
      <c r="AK15">
        <f>IF($F15="s-curve",$D15+($E15-$D15)*$I$2/(1+EXP($I$3*(COUNT($H$9:AK$9)+$I$4))),TREND($D15:$E15,$D$9:$E$9,AK$9))</f>
        <v>8.4354956492317668E-4</v>
      </c>
      <c r="AL15">
        <f>IF($F15="s-curve",$D15+($E15-$D15)*$I$2/(1+EXP($I$3*(COUNT($H$9:AL$9)+$I$4))),TREND($D15:$E15,$D$9:$E$9,AL$9))</f>
        <v>8.6165104068937348E-4</v>
      </c>
    </row>
    <row r="16" spans="1:38" ht="15.75" thickBot="1" x14ac:dyDescent="0.3">
      <c r="A16" s="23"/>
      <c r="B16" s="23"/>
      <c r="C16" s="23" t="s">
        <v>125</v>
      </c>
      <c r="D16" s="26">
        <f>SUM(SUM(INDEX('AEO 39'!34:34,0,MATCH(D$9,'AEO 39'!$1:$1,0))),SUM(INDEX('AEO 39'!56:56,0,MATCH(D$9,'AEO 39'!$1:$1,0))))/INDEX('AEO 39'!$59:$59,MATCH(D$9,'AEO 39'!$1:$1,0))</f>
        <v>2.9671627040405578E-5</v>
      </c>
      <c r="E16" s="26">
        <f>SUM(SUM(INDEX('AEO 39'!34:34,0,MATCH(E$9,'AEO 39'!$1:$1,0))),SUM(INDEX('AEO 39'!56:56,0,MATCH(E$9,'AEO 39'!$1:$1,0))))/INDEX('AEO 39'!$59:$59,MATCH(E$9,'AEO 39'!$1:$1,0))*Assumptions!A11</f>
        <v>3.1482251979020537E-4</v>
      </c>
      <c r="F16" s="8" t="str">
        <f>IF(D16=E16,"n/a",IF(OR(C16="battery electric vehicle",C16="natural gas vehicle",C16="plugin hybrid vehicle",C16="hydrogen vehicle"),"s-curve","linear"))</f>
        <v>s-curve</v>
      </c>
      <c r="H16" s="22">
        <f t="shared" si="1"/>
        <v>2.9671627040405578E-5</v>
      </c>
      <c r="I16">
        <f>IF($F16="s-curve",$D16+($E16-$D16)*$I$2/(1+EXP($I$3*(COUNT($H$9:I$9)+$I$4))),TREND($D16:$E16,$D$9:$E$9,I$9))</f>
        <v>3.3884455367256228E-5</v>
      </c>
      <c r="J16">
        <f>IF($F16="s-curve",$D16+($E16-$D16)*$I$2/(1+EXP($I$3*(COUNT($H$9:J$9)+$I$4))),TREND($D16:$E16,$D$9:$E$9,J$9))</f>
        <v>3.5329107932906753E-5</v>
      </c>
      <c r="K16">
        <f>IF($F16="s-curve",$D16+($E16-$D16)*$I$2/(1+EXP($I$3*(COUNT($H$9:K$9)+$I$4))),TREND($D16:$E16,$D$9:$E$9,K$9))</f>
        <v>3.7255783503309569E-5</v>
      </c>
      <c r="L16">
        <f>IF($F16="s-curve",$D16+($E16-$D16)*$I$2/(1+EXP($I$3*(COUNT($H$9:L$9)+$I$4))),TREND($D16:$E16,$D$9:$E$9,L$9))</f>
        <v>3.9814783417669883E-5</v>
      </c>
      <c r="M16">
        <f>IF($F16="s-curve",$D16+($E16-$D16)*$I$2/(1+EXP($I$3*(COUNT($H$9:M$9)+$I$4))),TREND($D16:$E16,$D$9:$E$9,M$9))</f>
        <v>4.319515711642753E-5</v>
      </c>
      <c r="N16">
        <f>IF($F16="s-curve",$D16+($E16-$D16)*$I$2/(1+EXP($I$3*(COUNT($H$9:N$9)+$I$4))),TREND($D16:$E16,$D$9:$E$9,N$9))</f>
        <v>4.7628535739509144E-5</v>
      </c>
      <c r="O16">
        <f>IF($F16="s-curve",$D16+($E16-$D16)*$I$2/(1+EXP($I$3*(COUNT($H$9:O$9)+$I$4))),TREND($D16:$E16,$D$9:$E$9,O$9))</f>
        <v>5.3388395698055686E-5</v>
      </c>
      <c r="P16">
        <f>IF($F16="s-curve",$D16+($E16-$D16)*$I$2/(1+EXP($I$3*(COUNT($H$9:P$9)+$I$4))),TREND($D16:$E16,$D$9:$E$9,P$9))</f>
        <v>6.0780683000499877E-5</v>
      </c>
      <c r="Q16">
        <f>IF($F16="s-curve",$D16+($E16-$D16)*$I$2/(1+EXP($I$3*(COUNT($H$9:Q$9)+$I$4))),TREND($D16:$E16,$D$9:$E$9,Q$9))</f>
        <v>7.0120584834289462E-5</v>
      </c>
      <c r="R16">
        <f>IF($F16="s-curve",$D16+($E16-$D16)*$I$2/(1+EXP($I$3*(COUNT($H$9:R$9)+$I$4))),TREND($D16:$E16,$D$9:$E$9,R$9))</f>
        <v>8.1690428014137938E-5</v>
      </c>
      <c r="S16">
        <f>IF($F16="s-curve",$D16+($E16-$D16)*$I$2/(1+EXP($I$3*(COUNT($H$9:S$9)+$I$4))),TREND($D16:$E16,$D$9:$E$9,S$9))</f>
        <v>9.567699167511389E-5</v>
      </c>
      <c r="T16">
        <f>IF($F16="s-curve",$D16+($E16-$D16)*$I$2/(1+EXP($I$3*(COUNT($H$9:T$9)+$I$4))),TREND($D16:$E16,$D$9:$E$9,T$9))</f>
        <v>1.1209463441665937E-4</v>
      </c>
      <c r="U16">
        <f>IF($F16="s-curve",$D16+($E16-$D16)*$I$2/(1+EXP($I$3*(COUNT($H$9:U$9)+$I$4))),TREND($D16:$E16,$D$9:$E$9,U$9))</f>
        <v>1.3071304766038166E-4</v>
      </c>
      <c r="V16">
        <f>IF($F16="s-curve",$D16+($E16-$D16)*$I$2/(1+EXP($I$3*(COUNT($H$9:V$9)+$I$4))),TREND($D16:$E16,$D$9:$E$9,V$9))</f>
        <v>1.5101972328791891E-4</v>
      </c>
      <c r="W16">
        <f>IF($F16="s-curve",$D16+($E16-$D16)*$I$2/(1+EXP($I$3*(COUNT($H$9:W$9)+$I$4))),TREND($D16:$E16,$D$9:$E$9,W$9))</f>
        <v>1.7224707341530546E-4</v>
      </c>
      <c r="X16">
        <f>IF($F16="s-curve",$D16+($E16-$D16)*$I$2/(1+EXP($I$3*(COUNT($H$9:X$9)+$I$4))),TREND($D16:$E16,$D$9:$E$9,X$9))</f>
        <v>1.9347442354269201E-4</v>
      </c>
      <c r="Y16">
        <f>IF($F16="s-curve",$D16+($E16-$D16)*$I$2/(1+EXP($I$3*(COUNT($H$9:Y$9)+$I$4))),TREND($D16:$E16,$D$9:$E$9,Y$9))</f>
        <v>2.1378109917022923E-4</v>
      </c>
      <c r="Z16">
        <f>IF($F16="s-curve",$D16+($E16-$D16)*$I$2/(1+EXP($I$3*(COUNT($H$9:Z$9)+$I$4))),TREND($D16:$E16,$D$9:$E$9,Z$9))</f>
        <v>2.3239951241395154E-4</v>
      </c>
      <c r="AA16">
        <f>IF($F16="s-curve",$D16+($E16-$D16)*$I$2/(1+EXP($I$3*(COUNT($H$9:AA$9)+$I$4))),TREND($D16:$E16,$D$9:$E$9,AA$9))</f>
        <v>2.4881715515549704E-4</v>
      </c>
      <c r="AB16">
        <f>IF($F16="s-curve",$D16+($E16-$D16)*$I$2/(1+EXP($I$3*(COUNT($H$9:AB$9)+$I$4))),TREND($D16:$E16,$D$9:$E$9,AB$9))</f>
        <v>2.6280371881647296E-4</v>
      </c>
      <c r="AC16">
        <f>IF($F16="s-curve",$D16+($E16-$D16)*$I$2/(1+EXP($I$3*(COUNT($H$9:AC$9)+$I$4))),TREND($D16:$E16,$D$9:$E$9,AC$9))</f>
        <v>2.7437356199632151E-4</v>
      </c>
      <c r="AD16">
        <f>IF($F16="s-curve",$D16+($E16-$D16)*$I$2/(1+EXP($I$3*(COUNT($H$9:AD$9)+$I$4))),TREND($D16:$E16,$D$9:$E$9,AD$9))</f>
        <v>2.8371346383011109E-4</v>
      </c>
      <c r="AE16">
        <f>IF($F16="s-curve",$D16+($E16-$D16)*$I$2/(1+EXP($I$3*(COUNT($H$9:AE$9)+$I$4))),TREND($D16:$E16,$D$9:$E$9,AE$9))</f>
        <v>2.911057511325553E-4</v>
      </c>
      <c r="AF16">
        <f>IF($F16="s-curve",$D16+($E16-$D16)*$I$2/(1+EXP($I$3*(COUNT($H$9:AF$9)+$I$4))),TREND($D16:$E16,$D$9:$E$9,AF$9))</f>
        <v>2.9686561109110182E-4</v>
      </c>
      <c r="AG16">
        <f>IF($F16="s-curve",$D16+($E16-$D16)*$I$2/(1+EXP($I$3*(COUNT($H$9:AG$9)+$I$4))),TREND($D16:$E16,$D$9:$E$9,AG$9))</f>
        <v>3.0129898971418347E-4</v>
      </c>
      <c r="AH16">
        <f>IF($F16="s-curve",$D16+($E16-$D16)*$I$2/(1+EXP($I$3*(COUNT($H$9:AH$9)+$I$4))),TREND($D16:$E16,$D$9:$E$9,AH$9))</f>
        <v>3.046793634129411E-4</v>
      </c>
      <c r="AI16">
        <f>IF($F16="s-curve",$D16+($E16-$D16)*$I$2/(1+EXP($I$3*(COUNT($H$9:AI$9)+$I$4))),TREND($D16:$E16,$D$9:$E$9,AI$9))</f>
        <v>3.0723836332730134E-4</v>
      </c>
      <c r="AJ16">
        <f>IF($F16="s-curve",$D16+($E16-$D16)*$I$2/(1+EXP($I$3*(COUNT($H$9:AJ$9)+$I$4))),TREND($D16:$E16,$D$9:$E$9,AJ$9))</f>
        <v>3.091650388977042E-4</v>
      </c>
      <c r="AK16">
        <f>IF($F16="s-curve",$D16+($E16-$D16)*$I$2/(1+EXP($I$3*(COUNT($H$9:AK$9)+$I$4))),TREND($D16:$E16,$D$9:$E$9,AK$9))</f>
        <v>3.1060969146335472E-4</v>
      </c>
      <c r="AL16">
        <f>IF($F16="s-curve",$D16+($E16-$D16)*$I$2/(1+EXP($I$3*(COUNT($H$9:AL$9)+$I$4))),TREND($D16:$E16,$D$9:$E$9,AL$9))</f>
        <v>3.1168958329050089E-4</v>
      </c>
    </row>
    <row r="17" spans="1:38" x14ac:dyDescent="0.25">
      <c r="A17" t="s">
        <v>12</v>
      </c>
      <c r="B17" t="s">
        <v>18</v>
      </c>
      <c r="C17" t="s">
        <v>1</v>
      </c>
      <c r="D17" s="22">
        <v>0.05</v>
      </c>
      <c r="E17">
        <f>E10</f>
        <v>1</v>
      </c>
      <c r="F17" s="7" t="str">
        <f>IF(D17=E17,"n/a",IF(OR(C17="battery electric vehicle",C17="natural gas vehicle",C17="plugin hybrid vehicle"),"s-curve","linear"))</f>
        <v>s-curve</v>
      </c>
      <c r="H17" s="22">
        <f t="shared" si="1"/>
        <v>0.05</v>
      </c>
      <c r="I17">
        <f>IF($F17="s-curve",$D17+($E17-$D17)*$O$2/(1+EXP($O$3*(COUNT($H$9:I$9)+$O$4))),TREND($D17:$E17,$D$9:$E$9,I$9))</f>
        <v>0.15364198013583233</v>
      </c>
      <c r="J17">
        <f>IF($F17="s-curve",$D17+($E17-$D17)*$O$2/(1+EXP($O$3*(COUNT($H$9:J$9)+$O$4))),TREND($D17:$E17,$D$9:$E$9,J$9))</f>
        <v>0.23792530586934735</v>
      </c>
      <c r="K17">
        <f>IF($F17="s-curve",$D17+($E17-$D17)*$O$2/(1+EXP($O$3*(COUNT($H$9:K$9)+$O$4))),TREND($D17:$E17,$D$9:$E$9,K$9))</f>
        <v>0.36522161644024215</v>
      </c>
      <c r="L17">
        <f>IF($F17="s-curve",$D17+($E17-$D17)*$O$2/(1+EXP($O$3*(COUNT($H$9:L$9)+$O$4))),TREND($D17:$E17,$D$9:$E$9,L$9))</f>
        <v>0.52500000000000002</v>
      </c>
      <c r="M17">
        <f>IF($F17="s-curve",$D17+($E17-$D17)*$O$2/(1+EXP($O$3*(COUNT($H$9:M$9)+$O$4))),TREND($D17:$E17,$D$9:$E$9,M$9))</f>
        <v>0.68477838355975784</v>
      </c>
      <c r="N17">
        <f>IF($F17="s-curve",$D17+($E17-$D17)*$O$2/(1+EXP($O$3*(COUNT($H$9:N$9)+$O$4))),TREND($D17:$E17,$D$9:$E$9,N$9))</f>
        <v>0.81207469413065259</v>
      </c>
      <c r="O17">
        <f>IF($F17="s-curve",$D17+($E17-$D17)*$O$2/(1+EXP($O$3*(COUNT($H$9:O$9)+$O$4))),TREND($D17:$E17,$D$9:$E$9,O$9))</f>
        <v>0.89635801986416774</v>
      </c>
      <c r="P17">
        <f>IF($F17="s-curve",$D17+($E17-$D17)*$O$2/(1+EXP($O$3*(COUNT($H$9:P$9)+$O$4))),TREND($D17:$E17,$D$9:$E$9,P$9))</f>
        <v>0.94554203289607475</v>
      </c>
      <c r="Q17">
        <f>IF($F17="s-curve",$D17+($E17-$D17)*$O$2/(1+EXP($O$3*(COUNT($H$9:Q$9)+$O$4))),TREND($D17:$E17,$D$9:$E$9,Q$9))</f>
        <v>0.97215338078621139</v>
      </c>
      <c r="R17">
        <f>IF($F17="s-curve",$D17+($E17-$D17)*$O$2/(1+EXP($O$3*(COUNT($H$9:R$9)+$O$4))),TREND($D17:$E17,$D$9:$E$9,R$9))</f>
        <v>0.98596466989139064</v>
      </c>
      <c r="S17">
        <f>IF($F17="s-curve",$D17+($E17-$D17)*$O$2/(1+EXP($O$3*(COUNT($H$9:S$9)+$O$4))),TREND($D17:$E17,$D$9:$E$9,S$9))</f>
        <v>0.9929780357229322</v>
      </c>
      <c r="T17">
        <f>IF($F17="s-curve",$D17+($E17-$D17)*$O$2/(1+EXP($O$3*(COUNT($H$9:T$9)+$O$4))),TREND($D17:$E17,$D$9:$E$9,T$9))</f>
        <v>0.99649997209553587</v>
      </c>
      <c r="U17">
        <f>IF($F17="s-curve",$D17+($E17-$D17)*$O$2/(1+EXP($O$3*(COUNT($H$9:U$9)+$O$4))),TREND($D17:$E17,$D$9:$E$9,U$9))</f>
        <v>0.9982587080046319</v>
      </c>
      <c r="V17">
        <f>IF($F17="s-curve",$D17+($E17-$D17)*$O$2/(1+EXP($O$3*(COUNT($H$9:V$9)+$O$4))),TREND($D17:$E17,$D$9:$E$9,V$9))</f>
        <v>0.99913450136531945</v>
      </c>
      <c r="W17">
        <f>IF($F17="s-curve",$D17+($E17-$D17)*$O$2/(1+EXP($O$3*(COUNT($H$9:W$9)+$O$4))),TREND($D17:$E17,$D$9:$E$9,W$9))</f>
        <v>0.99957000888792158</v>
      </c>
      <c r="X17">
        <f>IF($F17="s-curve",$D17+($E17-$D17)*$O$2/(1+EXP($O$3*(COUNT($H$9:X$9)+$O$4))),TREND($D17:$E17,$D$9:$E$9,X$9))</f>
        <v>0.99978642406827833</v>
      </c>
      <c r="Y17">
        <f>IF($F17="s-curve",$D17+($E17-$D17)*$O$2/(1+EXP($O$3*(COUNT($H$9:Y$9)+$O$4))),TREND($D17:$E17,$D$9:$E$9,Y$9))</f>
        <v>0.99989392932640198</v>
      </c>
      <c r="Z17">
        <f>IF($F17="s-curve",$D17+($E17-$D17)*$O$2/(1+EXP($O$3*(COUNT($H$9:Z$9)+$O$4))),TREND($D17:$E17,$D$9:$E$9,Z$9))</f>
        <v>0.99994732390151331</v>
      </c>
      <c r="AA17">
        <f>IF($F17="s-curve",$D17+($E17-$D17)*$O$2/(1+EXP($O$3*(COUNT($H$9:AA$9)+$O$4))),TREND($D17:$E17,$D$9:$E$9,AA$9))</f>
        <v>0.99997384109344112</v>
      </c>
      <c r="AB17">
        <f>IF($F17="s-curve",$D17+($E17-$D17)*$O$2/(1+EXP($O$3*(COUNT($H$9:AB$9)+$O$4))),TREND($D17:$E17,$D$9:$E$9,AB$9))</f>
        <v>0.99998700969136967</v>
      </c>
      <c r="AC17">
        <f>IF($F17="s-curve",$D17+($E17-$D17)*$O$2/(1+EXP($O$3*(COUNT($H$9:AC$9)+$O$4))),TREND($D17:$E17,$D$9:$E$9,AC$9))</f>
        <v>0.99999354915923688</v>
      </c>
      <c r="AD17">
        <f>IF($F17="s-curve",$D17+($E17-$D17)*$O$2/(1+EXP($O$3*(COUNT($H$9:AD$9)+$O$4))),TREND($D17:$E17,$D$9:$E$9,AD$9))</f>
        <v>0.99999679659632945</v>
      </c>
      <c r="AE17">
        <f>IF($F17="s-curve",$D17+($E17-$D17)*$O$2/(1+EXP($O$3*(COUNT($H$9:AE$9)+$O$4))),TREND($D17:$E17,$D$9:$E$9,AE$9))</f>
        <v>0.99999840923411476</v>
      </c>
      <c r="AF17">
        <f>IF($F17="s-curve",$D17+($E17-$D17)*$O$2/(1+EXP($O$3*(COUNT($H$9:AF$9)+$O$4))),TREND($D17:$E17,$D$9:$E$9,AF$9))</f>
        <v>0.99999921004837367</v>
      </c>
      <c r="AG17">
        <f>IF($F17="s-curve",$D17+($E17-$D17)*$O$2/(1+EXP($O$3*(COUNT($H$9:AG$9)+$O$4))),TREND($D17:$E17,$D$9:$E$9,AG$9))</f>
        <v>0.99999960772146745</v>
      </c>
      <c r="AH17">
        <f>IF($F17="s-curve",$D17+($E17-$D17)*$O$2/(1+EXP($O$3*(COUNT($H$9:AH$9)+$O$4))),TREND($D17:$E17,$D$9:$E$9,AH$9))</f>
        <v>0.99999980520020537</v>
      </c>
      <c r="AI17">
        <f>IF($F17="s-curve",$D17+($E17-$D17)*$O$2/(1+EXP($O$3*(COUNT($H$9:AI$9)+$O$4))),TREND($D17:$E17,$D$9:$E$9,AI$9))</f>
        <v>0.99999990326527477</v>
      </c>
      <c r="AJ17">
        <f>IF($F17="s-curve",$D17+($E17-$D17)*$O$2/(1+EXP($O$3*(COUNT($H$9:AJ$9)+$O$4))),TREND($D17:$E17,$D$9:$E$9,AJ$9))</f>
        <v>0.99999995196295466</v>
      </c>
      <c r="AK17">
        <f>IF($F17="s-curve",$D17+($E17-$D17)*$O$2/(1+EXP($O$3*(COUNT($H$9:AK$9)+$O$4))),TREND($D17:$E17,$D$9:$E$9,AK$9))</f>
        <v>0.99999997614550851</v>
      </c>
      <c r="AL17">
        <f>IF($F17="s-curve",$D17+($E17-$D17)*$O$2/(1+EXP($O$3*(COUNT($H$9:AL$9)+$O$4))),TREND($D17:$E17,$D$9:$E$9,AL$9))</f>
        <v>0.9999999881542101</v>
      </c>
    </row>
    <row r="18" spans="1:38" x14ac:dyDescent="0.25">
      <c r="C18" t="s">
        <v>2</v>
      </c>
      <c r="D18" s="22">
        <f>'SYVbT-freight'!C$2/'SYVbT-freight'!$2:$2</f>
        <v>1.2417684632922508E-3</v>
      </c>
      <c r="E18" s="22">
        <f>E11</f>
        <v>1.235369525889815E-3</v>
      </c>
      <c r="F18" s="7" t="s">
        <v>122</v>
      </c>
      <c r="H18" s="22">
        <f t="shared" si="1"/>
        <v>1.2417684632922508E-3</v>
      </c>
      <c r="I18">
        <f>IF($F18="s-curve",$D18+($E18-$D18)*$I$2/(1+EXP($I$3*(COUNT($H$9:I$9)+$I$4))),TREND($D18:$E18,$D$9:$E$9,I$9))</f>
        <v>1.2415551653788361E-3</v>
      </c>
      <c r="J18">
        <f>IF($F18="s-curve",$D18+($E18-$D18)*$I$2/(1+EXP($I$3*(COUNT($H$9:J$9)+$I$4))),TREND($D18:$E18,$D$9:$E$9,J$9))</f>
        <v>1.2413418674654217E-3</v>
      </c>
      <c r="K18">
        <f>IF($F18="s-curve",$D18+($E18-$D18)*$I$2/(1+EXP($I$3*(COUNT($H$9:K$9)+$I$4))),TREND($D18:$E18,$D$9:$E$9,K$9))</f>
        <v>1.2411285695520073E-3</v>
      </c>
      <c r="L18">
        <f>IF($F18="s-curve",$D18+($E18-$D18)*$I$2/(1+EXP($I$3*(COUNT($H$9:L$9)+$I$4))),TREND($D18:$E18,$D$9:$E$9,L$9))</f>
        <v>1.2409152716385927E-3</v>
      </c>
      <c r="M18">
        <f>IF($F18="s-curve",$D18+($E18-$D18)*$I$2/(1+EXP($I$3*(COUNT($H$9:M$9)+$I$4))),TREND($D18:$E18,$D$9:$E$9,M$9))</f>
        <v>1.240701973725178E-3</v>
      </c>
      <c r="N18">
        <f>IF($F18="s-curve",$D18+($E18-$D18)*$I$2/(1+EXP($I$3*(COUNT($H$9:N$9)+$I$4))),TREND($D18:$E18,$D$9:$E$9,N$9))</f>
        <v>1.2404886758117636E-3</v>
      </c>
      <c r="O18">
        <f>IF($F18="s-curve",$D18+($E18-$D18)*$I$2/(1+EXP($I$3*(COUNT($H$9:O$9)+$I$4))),TREND($D18:$E18,$D$9:$E$9,O$9))</f>
        <v>1.2402753778983492E-3</v>
      </c>
      <c r="P18">
        <f>IF($F18="s-curve",$D18+($E18-$D18)*$I$2/(1+EXP($I$3*(COUNT($H$9:P$9)+$I$4))),TREND($D18:$E18,$D$9:$E$9,P$9))</f>
        <v>1.2400620799849346E-3</v>
      </c>
      <c r="Q18">
        <f>IF($F18="s-curve",$D18+($E18-$D18)*$I$2/(1+EXP($I$3*(COUNT($H$9:Q$9)+$I$4))),TREND($D18:$E18,$D$9:$E$9,Q$9))</f>
        <v>1.2398487820715199E-3</v>
      </c>
      <c r="R18">
        <f>IF($F18="s-curve",$D18+($E18-$D18)*$I$2/(1+EXP($I$3*(COUNT($H$9:R$9)+$I$4))),TREND($D18:$E18,$D$9:$E$9,R$9))</f>
        <v>1.2396354841581055E-3</v>
      </c>
      <c r="S18">
        <f>IF($F18="s-curve",$D18+($E18-$D18)*$I$2/(1+EXP($I$3*(COUNT($H$9:S$9)+$I$4))),TREND($D18:$E18,$D$9:$E$9,S$9))</f>
        <v>1.2394221862446911E-3</v>
      </c>
      <c r="T18">
        <f>IF($F18="s-curve",$D18+($E18-$D18)*$I$2/(1+EXP($I$3*(COUNT($H$9:T$9)+$I$4))),TREND($D18:$E18,$D$9:$E$9,T$9))</f>
        <v>1.2392088883312765E-3</v>
      </c>
      <c r="U18">
        <f>IF($F18="s-curve",$D18+($E18-$D18)*$I$2/(1+EXP($I$3*(COUNT($H$9:U$9)+$I$4))),TREND($D18:$E18,$D$9:$E$9,U$9))</f>
        <v>1.2389955904178619E-3</v>
      </c>
      <c r="V18">
        <f>IF($F18="s-curve",$D18+($E18-$D18)*$I$2/(1+EXP($I$3*(COUNT($H$9:V$9)+$I$4))),TREND($D18:$E18,$D$9:$E$9,V$9))</f>
        <v>1.2387822925044474E-3</v>
      </c>
      <c r="W18">
        <f>IF($F18="s-curve",$D18+($E18-$D18)*$I$2/(1+EXP($I$3*(COUNT($H$9:W$9)+$I$4))),TREND($D18:$E18,$D$9:$E$9,W$9))</f>
        <v>1.238568994591033E-3</v>
      </c>
      <c r="X18">
        <f>IF($F18="s-curve",$D18+($E18-$D18)*$I$2/(1+EXP($I$3*(COUNT($H$9:X$9)+$I$4))),TREND($D18:$E18,$D$9:$E$9,X$9))</f>
        <v>1.2383556966776184E-3</v>
      </c>
      <c r="Y18">
        <f>IF($F18="s-curve",$D18+($E18-$D18)*$I$2/(1+EXP($I$3*(COUNT($H$9:Y$9)+$I$4))),TREND($D18:$E18,$D$9:$E$9,Y$9))</f>
        <v>1.2381423987642038E-3</v>
      </c>
      <c r="Z18">
        <f>IF($F18="s-curve",$D18+($E18-$D18)*$I$2/(1+EXP($I$3*(COUNT($H$9:Z$9)+$I$4))),TREND($D18:$E18,$D$9:$E$9,Z$9))</f>
        <v>1.2379291008507893E-3</v>
      </c>
      <c r="AA18">
        <f>IF($F18="s-curve",$D18+($E18-$D18)*$I$2/(1+EXP($I$3*(COUNT($H$9:AA$9)+$I$4))),TREND($D18:$E18,$D$9:$E$9,AA$9))</f>
        <v>1.2377158029373749E-3</v>
      </c>
      <c r="AB18">
        <f>IF($F18="s-curve",$D18+($E18-$D18)*$I$2/(1+EXP($I$3*(COUNT($H$9:AB$9)+$I$4))),TREND($D18:$E18,$D$9:$E$9,AB$9))</f>
        <v>1.2375025050239603E-3</v>
      </c>
      <c r="AC18">
        <f>IF($F18="s-curve",$D18+($E18-$D18)*$I$2/(1+EXP($I$3*(COUNT($H$9:AC$9)+$I$4))),TREND($D18:$E18,$D$9:$E$9,AC$9))</f>
        <v>1.2372892071105457E-3</v>
      </c>
      <c r="AD18">
        <f>IF($F18="s-curve",$D18+($E18-$D18)*$I$2/(1+EXP($I$3*(COUNT($H$9:AD$9)+$I$4))),TREND($D18:$E18,$D$9:$E$9,AD$9))</f>
        <v>1.2370759091971312E-3</v>
      </c>
      <c r="AE18">
        <f>IF($F18="s-curve",$D18+($E18-$D18)*$I$2/(1+EXP($I$3*(COUNT($H$9:AE$9)+$I$4))),TREND($D18:$E18,$D$9:$E$9,AE$9))</f>
        <v>1.2368626112837168E-3</v>
      </c>
      <c r="AF18">
        <f>IF($F18="s-curve",$D18+($E18-$D18)*$I$2/(1+EXP($I$3*(COUNT($H$9:AF$9)+$I$4))),TREND($D18:$E18,$D$9:$E$9,AF$9))</f>
        <v>1.2366493133703022E-3</v>
      </c>
      <c r="AG18">
        <f>IF($F18="s-curve",$D18+($E18-$D18)*$I$2/(1+EXP($I$3*(COUNT($H$9:AG$9)+$I$4))),TREND($D18:$E18,$D$9:$E$9,AG$9))</f>
        <v>1.2364360154568876E-3</v>
      </c>
      <c r="AH18">
        <f>IF($F18="s-curve",$D18+($E18-$D18)*$I$2/(1+EXP($I$3*(COUNT($H$9:AH$9)+$I$4))),TREND($D18:$E18,$D$9:$E$9,AH$9))</f>
        <v>1.2362227175434731E-3</v>
      </c>
      <c r="AI18">
        <f>IF($F18="s-curve",$D18+($E18-$D18)*$I$2/(1+EXP($I$3*(COUNT($H$9:AI$9)+$I$4))),TREND($D18:$E18,$D$9:$E$9,AI$9))</f>
        <v>1.2360094196300587E-3</v>
      </c>
      <c r="AJ18">
        <f>IF($F18="s-curve",$D18+($E18-$D18)*$I$2/(1+EXP($I$3*(COUNT($H$9:AJ$9)+$I$4))),TREND($D18:$E18,$D$9:$E$9,AJ$9))</f>
        <v>1.2357961217166441E-3</v>
      </c>
      <c r="AK18">
        <f>IF($F18="s-curve",$D18+($E18-$D18)*$I$2/(1+EXP($I$3*(COUNT($H$9:AK$9)+$I$4))),TREND($D18:$E18,$D$9:$E$9,AK$9))</f>
        <v>1.2355828238032295E-3</v>
      </c>
      <c r="AL18">
        <f>IF($F18="s-curve",$D18+($E18-$D18)*$I$2/(1+EXP($I$3*(COUNT($H$9:AL$9)+$I$4))),TREND($D18:$E18,$D$9:$E$9,AL$9))</f>
        <v>1.235369525889815E-3</v>
      </c>
    </row>
    <row r="19" spans="1:38" x14ac:dyDescent="0.25">
      <c r="C19" t="s">
        <v>3</v>
      </c>
      <c r="D19" s="22">
        <v>3</v>
      </c>
      <c r="E19">
        <v>3</v>
      </c>
      <c r="F19" s="7" t="str">
        <f>IF(D19=E19,"n/a",IF(OR(C19="battery electric vehicle",C19="natural gas vehicle",C19="plugin hybrid vehicle"),"s-curve","linear"))</f>
        <v>n/a</v>
      </c>
      <c r="H19" s="22">
        <f t="shared" si="1"/>
        <v>3</v>
      </c>
      <c r="I19">
        <f>IF($F19="s-curve",$D19+($E19-$D19)*$I$2/(1+EXP($I$3*(COUNT($H$9:I$9)+$I$4))),TREND($D19:$E19,$D$9:$E$9,I$9))</f>
        <v>3</v>
      </c>
      <c r="J19">
        <f>IF($F19="s-curve",$D19+($E19-$D19)*$I$2/(1+EXP($I$3*(COUNT($H$9:J$9)+$I$4))),TREND($D19:$E19,$D$9:$E$9,J$9))</f>
        <v>3</v>
      </c>
      <c r="K19">
        <f>IF($F19="s-curve",$D19+($E19-$D19)*$I$2/(1+EXP($I$3*(COUNT($H$9:K$9)+$I$4))),TREND($D19:$E19,$D$9:$E$9,K$9))</f>
        <v>3</v>
      </c>
      <c r="L19">
        <f>IF($F19="s-curve",$D19+($E19-$D19)*$I$2/(1+EXP($I$3*(COUNT($H$9:L$9)+$I$4))),TREND($D19:$E19,$D$9:$E$9,L$9))</f>
        <v>3</v>
      </c>
      <c r="M19">
        <f>IF($F19="s-curve",$D19+($E19-$D19)*$I$2/(1+EXP($I$3*(COUNT($H$9:M$9)+$I$4))),TREND($D19:$E19,$D$9:$E$9,M$9))</f>
        <v>3</v>
      </c>
      <c r="N19">
        <f>IF($F19="s-curve",$D19+($E19-$D19)*$I$2/(1+EXP($I$3*(COUNT($H$9:N$9)+$I$4))),TREND($D19:$E19,$D$9:$E$9,N$9))</f>
        <v>3</v>
      </c>
      <c r="O19">
        <f>IF($F19="s-curve",$D19+($E19-$D19)*$I$2/(1+EXP($I$3*(COUNT($H$9:O$9)+$I$4))),TREND($D19:$E19,$D$9:$E$9,O$9))</f>
        <v>3</v>
      </c>
      <c r="P19">
        <f>IF($F19="s-curve",$D19+($E19-$D19)*$I$2/(1+EXP($I$3*(COUNT($H$9:P$9)+$I$4))),TREND($D19:$E19,$D$9:$E$9,P$9))</f>
        <v>3</v>
      </c>
      <c r="Q19">
        <f>IF($F19="s-curve",$D19+($E19-$D19)*$I$2/(1+EXP($I$3*(COUNT($H$9:Q$9)+$I$4))),TREND($D19:$E19,$D$9:$E$9,Q$9))</f>
        <v>3</v>
      </c>
      <c r="R19">
        <f>IF($F19="s-curve",$D19+($E19-$D19)*$I$2/(1+EXP($I$3*(COUNT($H$9:R$9)+$I$4))),TREND($D19:$E19,$D$9:$E$9,R$9))</f>
        <v>3</v>
      </c>
      <c r="S19">
        <f>IF($F19="s-curve",$D19+($E19-$D19)*$I$2/(1+EXP($I$3*(COUNT($H$9:S$9)+$I$4))),TREND($D19:$E19,$D$9:$E$9,S$9))</f>
        <v>3</v>
      </c>
      <c r="T19">
        <f>IF($F19="s-curve",$D19+($E19-$D19)*$I$2/(1+EXP($I$3*(COUNT($H$9:T$9)+$I$4))),TREND($D19:$E19,$D$9:$E$9,T$9))</f>
        <v>3</v>
      </c>
      <c r="U19">
        <f>IF($F19="s-curve",$D19+($E19-$D19)*$I$2/(1+EXP($I$3*(COUNT($H$9:U$9)+$I$4))),TREND($D19:$E19,$D$9:$E$9,U$9))</f>
        <v>3</v>
      </c>
      <c r="V19">
        <f>IF($F19="s-curve",$D19+($E19-$D19)*$I$2/(1+EXP($I$3*(COUNT($H$9:V$9)+$I$4))),TREND($D19:$E19,$D$9:$E$9,V$9))</f>
        <v>3</v>
      </c>
      <c r="W19">
        <f>IF($F19="s-curve",$D19+($E19-$D19)*$I$2/(1+EXP($I$3*(COUNT($H$9:W$9)+$I$4))),TREND($D19:$E19,$D$9:$E$9,W$9))</f>
        <v>3</v>
      </c>
      <c r="X19">
        <f>IF($F19="s-curve",$D19+($E19-$D19)*$I$2/(1+EXP($I$3*(COUNT($H$9:X$9)+$I$4))),TREND($D19:$E19,$D$9:$E$9,X$9))</f>
        <v>3</v>
      </c>
      <c r="Y19">
        <f>IF($F19="s-curve",$D19+($E19-$D19)*$I$2/(1+EXP($I$3*(COUNT($H$9:Y$9)+$I$4))),TREND($D19:$E19,$D$9:$E$9,Y$9))</f>
        <v>3</v>
      </c>
      <c r="Z19">
        <f>IF($F19="s-curve",$D19+($E19-$D19)*$I$2/(1+EXP($I$3*(COUNT($H$9:Z$9)+$I$4))),TREND($D19:$E19,$D$9:$E$9,Z$9))</f>
        <v>3</v>
      </c>
      <c r="AA19">
        <f>IF($F19="s-curve",$D19+($E19-$D19)*$I$2/(1+EXP($I$3*(COUNT($H$9:AA$9)+$I$4))),TREND($D19:$E19,$D$9:$E$9,AA$9))</f>
        <v>3</v>
      </c>
      <c r="AB19">
        <f>IF($F19="s-curve",$D19+($E19-$D19)*$I$2/(1+EXP($I$3*(COUNT($H$9:AB$9)+$I$4))),TREND($D19:$E19,$D$9:$E$9,AB$9))</f>
        <v>3</v>
      </c>
      <c r="AC19">
        <f>IF($F19="s-curve",$D19+($E19-$D19)*$I$2/(1+EXP($I$3*(COUNT($H$9:AC$9)+$I$4))),TREND($D19:$E19,$D$9:$E$9,AC$9))</f>
        <v>3</v>
      </c>
      <c r="AD19">
        <f>IF($F19="s-curve",$D19+($E19-$D19)*$I$2/(1+EXP($I$3*(COUNT($H$9:AD$9)+$I$4))),TREND($D19:$E19,$D$9:$E$9,AD$9))</f>
        <v>3</v>
      </c>
      <c r="AE19">
        <f>IF($F19="s-curve",$D19+($E19-$D19)*$I$2/(1+EXP($I$3*(COUNT($H$9:AE$9)+$I$4))),TREND($D19:$E19,$D$9:$E$9,AE$9))</f>
        <v>3</v>
      </c>
      <c r="AF19">
        <f>IF($F19="s-curve",$D19+($E19-$D19)*$I$2/(1+EXP($I$3*(COUNT($H$9:AF$9)+$I$4))),TREND($D19:$E19,$D$9:$E$9,AF$9))</f>
        <v>3</v>
      </c>
      <c r="AG19">
        <f>IF($F19="s-curve",$D19+($E19-$D19)*$I$2/(1+EXP($I$3*(COUNT($H$9:AG$9)+$I$4))),TREND($D19:$E19,$D$9:$E$9,AG$9))</f>
        <v>3</v>
      </c>
      <c r="AH19">
        <f>IF($F19="s-curve",$D19+($E19-$D19)*$I$2/(1+EXP($I$3*(COUNT($H$9:AH$9)+$I$4))),TREND($D19:$E19,$D$9:$E$9,AH$9))</f>
        <v>3</v>
      </c>
      <c r="AI19">
        <f>IF($F19="s-curve",$D19+($E19-$D19)*$I$2/(1+EXP($I$3*(COUNT($H$9:AI$9)+$I$4))),TREND($D19:$E19,$D$9:$E$9,AI$9))</f>
        <v>3</v>
      </c>
      <c r="AJ19">
        <f>IF($F19="s-curve",$D19+($E19-$D19)*$I$2/(1+EXP($I$3*(COUNT($H$9:AJ$9)+$I$4))),TREND($D19:$E19,$D$9:$E$9,AJ$9))</f>
        <v>3</v>
      </c>
      <c r="AK19">
        <f>IF($F19="s-curve",$D19+($E19-$D19)*$I$2/(1+EXP($I$3*(COUNT($H$9:AK$9)+$I$4))),TREND($D19:$E19,$D$9:$E$9,AK$9))</f>
        <v>3</v>
      </c>
      <c r="AL19">
        <f>IF($F19="s-curve",$D19+($E19-$D19)*$I$2/(1+EXP($I$3*(COUNT($H$9:AL$9)+$I$4))),TREND($D19:$E19,$D$9:$E$9,AL$9))</f>
        <v>3</v>
      </c>
    </row>
    <row r="20" spans="1:38" x14ac:dyDescent="0.25">
      <c r="C20" t="s">
        <v>4</v>
      </c>
      <c r="D20" s="22">
        <v>3</v>
      </c>
      <c r="E20" s="5">
        <v>3</v>
      </c>
      <c r="F20" s="7" t="str">
        <f>IF(D20=E20,"n/a",IF(OR(C20="battery electric vehicle",C20="natural gas vehicle",C20="plugin hybrid vehicle"),"s-curve","linear"))</f>
        <v>n/a</v>
      </c>
      <c r="H20" s="22">
        <f t="shared" si="1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 x14ac:dyDescent="0.25">
      <c r="C21" t="s">
        <v>5</v>
      </c>
      <c r="D21" s="22">
        <f>'SYVbT-freight'!F$2/'SYVbT-freight'!$2:$2</f>
        <v>0</v>
      </c>
      <c r="E21" s="22">
        <f>E14</f>
        <v>0.32773377715159868</v>
      </c>
      <c r="F21" s="7" t="str">
        <f>IF(D21=E21,"n/a",IF(OR(C21="battery electric vehicle",C21="natural gas vehicle",C21="plugin hybrid vehicle"),"s-curve","linear"))</f>
        <v>s-curve</v>
      </c>
      <c r="H21" s="22">
        <f t="shared" si="1"/>
        <v>0</v>
      </c>
      <c r="I21">
        <f>IF($F21="s-curve",$D21+($E21-$D21)*$I$2/(1+EXP($I$3*(COUNT($H$9:I$9)+$I$4))),TREND($D21:$E21,$D$9:$E$9,I$9))</f>
        <v>4.8419492105938079E-3</v>
      </c>
      <c r="J21">
        <f>IF($F21="s-curve",$D21+($E21-$D21)*$I$2/(1+EXP($I$3*(COUNT($H$9:J$9)+$I$4))),TREND($D21:$E21,$D$9:$E$9,J$9))</f>
        <v>6.5023383380717441E-3</v>
      </c>
      <c r="K21">
        <f>IF($F21="s-curve",$D21+($E21-$D21)*$I$2/(1+EXP($I$3*(COUNT($H$9:K$9)+$I$4))),TREND($D21:$E21,$D$9:$E$9,K$9))</f>
        <v>8.7167331658230592E-3</v>
      </c>
      <c r="L21">
        <f>IF($F21="s-curve",$D21+($E21-$D21)*$I$2/(1+EXP($I$3*(COUNT($H$9:L$9)+$I$4))),TREND($D21:$E21,$D$9:$E$9,L$9))</f>
        <v>1.1657880218095483E-2</v>
      </c>
      <c r="M21">
        <f>IF($F21="s-curve",$D21+($E21-$D21)*$I$2/(1+EXP($I$3*(COUNT($H$9:M$9)+$I$4))),TREND($D21:$E21,$D$9:$E$9,M$9))</f>
        <v>1.5543060551196652E-2</v>
      </c>
      <c r="N21">
        <f>IF($F21="s-curve",$D21+($E21-$D21)*$I$2/(1+EXP($I$3*(COUNT($H$9:N$9)+$I$4))),TREND($D21:$E21,$D$9:$E$9,N$9))</f>
        <v>2.063849584047197E-2</v>
      </c>
      <c r="O21">
        <f>IF($F21="s-curve",$D21+($E21-$D21)*$I$2/(1+EXP($I$3*(COUNT($H$9:O$9)+$I$4))),TREND($D21:$E21,$D$9:$E$9,O$9))</f>
        <v>2.7258501977836708E-2</v>
      </c>
      <c r="P21">
        <f>IF($F21="s-curve",$D21+($E21-$D21)*$I$2/(1+EXP($I$3*(COUNT($H$9:P$9)+$I$4))),TREND($D21:$E21,$D$9:$E$9,P$9))</f>
        <v>3.5754713285670814E-2</v>
      </c>
      <c r="Q21">
        <f>IF($F21="s-curve",$D21+($E21-$D21)*$I$2/(1+EXP($I$3*(COUNT($H$9:Q$9)+$I$4))),TREND($D21:$E21,$D$9:$E$9,Q$9))</f>
        <v>4.6489385292813434E-2</v>
      </c>
      <c r="R21">
        <f>IF($F21="s-curve",$D21+($E21-$D21)*$I$2/(1+EXP($I$3*(COUNT($H$9:R$9)+$I$4))),TREND($D21:$E21,$D$9:$E$9,R$9))</f>
        <v>5.9787005965916053E-2</v>
      </c>
      <c r="S21">
        <f>IF($F21="s-curve",$D21+($E21-$D21)*$I$2/(1+EXP($I$3*(COUNT($H$9:S$9)+$I$4))),TREND($D21:$E21,$D$9:$E$9,S$9))</f>
        <v>7.5862247020851009E-2</v>
      </c>
      <c r="T21">
        <f>IF($F21="s-curve",$D21+($E21-$D21)*$I$2/(1+EXP($I$3*(COUNT($H$9:T$9)+$I$4))),TREND($D21:$E21,$D$9:$E$9,T$9))</f>
        <v>9.4731611292255713E-2</v>
      </c>
      <c r="U21">
        <f>IF($F21="s-curve",$D21+($E21-$D21)*$I$2/(1+EXP($I$3*(COUNT($H$9:U$9)+$I$4))),TREND($D21:$E21,$D$9:$E$9,U$9))</f>
        <v>0.11613039717046947</v>
      </c>
      <c r="V21">
        <f>IF($F21="s-curve",$D21+($E21-$D21)*$I$2/(1+EXP($I$3*(COUNT($H$9:V$9)+$I$4))),TREND($D21:$E21,$D$9:$E$9,V$9))</f>
        <v>0.13946956136044295</v>
      </c>
      <c r="W21">
        <f>IF($F21="s-curve",$D21+($E21-$D21)*$I$2/(1+EXP($I$3*(COUNT($H$9:W$9)+$I$4))),TREND($D21:$E21,$D$9:$E$9,W$9))</f>
        <v>0.16386688857579934</v>
      </c>
      <c r="X21">
        <f>IF($F21="s-curve",$D21+($E21-$D21)*$I$2/(1+EXP($I$3*(COUNT($H$9:X$9)+$I$4))),TREND($D21:$E21,$D$9:$E$9,X$9))</f>
        <v>0.18826421579115574</v>
      </c>
      <c r="Y21">
        <f>IF($F21="s-curve",$D21+($E21-$D21)*$I$2/(1+EXP($I$3*(COUNT($H$9:Y$9)+$I$4))),TREND($D21:$E21,$D$9:$E$9,Y$9))</f>
        <v>0.21160337998112919</v>
      </c>
      <c r="Z21">
        <f>IF($F21="s-curve",$D21+($E21-$D21)*$I$2/(1+EXP($I$3*(COUNT($H$9:Z$9)+$I$4))),TREND($D21:$E21,$D$9:$E$9,Z$9))</f>
        <v>0.23300216585934294</v>
      </c>
      <c r="AA21">
        <f>IF($F21="s-curve",$D21+($E21-$D21)*$I$2/(1+EXP($I$3*(COUNT($H$9:AA$9)+$I$4))),TREND($D21:$E21,$D$9:$E$9,AA$9))</f>
        <v>0.25187153013074765</v>
      </c>
      <c r="AB21">
        <f>IF($F21="s-curve",$D21+($E21-$D21)*$I$2/(1+EXP($I$3*(COUNT($H$9:AB$9)+$I$4))),TREND($D21:$E21,$D$9:$E$9,AB$9))</f>
        <v>0.26794677118568261</v>
      </c>
      <c r="AC21">
        <f>IF($F21="s-curve",$D21+($E21-$D21)*$I$2/(1+EXP($I$3*(COUNT($H$9:AC$9)+$I$4))),TREND($D21:$E21,$D$9:$E$9,AC$9))</f>
        <v>0.2812443918587853</v>
      </c>
      <c r="AD21">
        <f>IF($F21="s-curve",$D21+($E21-$D21)*$I$2/(1+EXP($I$3*(COUNT($H$9:AD$9)+$I$4))),TREND($D21:$E21,$D$9:$E$9,AD$9))</f>
        <v>0.29197906386592787</v>
      </c>
      <c r="AE21">
        <f>IF($F21="s-curve",$D21+($E21-$D21)*$I$2/(1+EXP($I$3*(COUNT($H$9:AE$9)+$I$4))),TREND($D21:$E21,$D$9:$E$9,AE$9))</f>
        <v>0.30047527517376199</v>
      </c>
      <c r="AF21">
        <f>IF($F21="s-curve",$D21+($E21-$D21)*$I$2/(1+EXP($I$3*(COUNT($H$9:AF$9)+$I$4))),TREND($D21:$E21,$D$9:$E$9,AF$9))</f>
        <v>0.30709528131112673</v>
      </c>
      <c r="AG21">
        <f>IF($F21="s-curve",$D21+($E21-$D21)*$I$2/(1+EXP($I$3*(COUNT($H$9:AG$9)+$I$4))),TREND($D21:$E21,$D$9:$E$9,AG$9))</f>
        <v>0.31219071660040204</v>
      </c>
      <c r="AH21">
        <f>IF($F21="s-curve",$D21+($E21-$D21)*$I$2/(1+EXP($I$3*(COUNT($H$9:AH$9)+$I$4))),TREND($D21:$E21,$D$9:$E$9,AH$9))</f>
        <v>0.31607589693350319</v>
      </c>
      <c r="AI21">
        <f>IF($F21="s-curve",$D21+($E21-$D21)*$I$2/(1+EXP($I$3*(COUNT($H$9:AI$9)+$I$4))),TREND($D21:$E21,$D$9:$E$9,AI$9))</f>
        <v>0.31901704398577563</v>
      </c>
      <c r="AJ21">
        <f>IF($F21="s-curve",$D21+($E21-$D21)*$I$2/(1+EXP($I$3*(COUNT($H$9:AJ$9)+$I$4))),TREND($D21:$E21,$D$9:$E$9,AJ$9))</f>
        <v>0.32123143881352695</v>
      </c>
      <c r="AK21">
        <f>IF($F21="s-curve",$D21+($E21-$D21)*$I$2/(1+EXP($I$3*(COUNT($H$9:AK$9)+$I$4))),TREND($D21:$E21,$D$9:$E$9,AK$9))</f>
        <v>0.32289182794100485</v>
      </c>
      <c r="AL21">
        <f>IF($F21="s-curve",$D21+($E21-$D21)*$I$2/(1+EXP($I$3*(COUNT($H$9:AL$9)+$I$4))),TREND($D21:$E21,$D$9:$E$9,AL$9))</f>
        <v>0.32413298494392645</v>
      </c>
    </row>
    <row r="22" spans="1:38" x14ac:dyDescent="0.25">
      <c r="C22" t="s">
        <v>124</v>
      </c>
      <c r="D22" s="22">
        <f>'SYVbT-freight'!G$2/'SYVbT-freight'!$2:$2</f>
        <v>4.5128616403477108E-4</v>
      </c>
      <c r="E22" s="22">
        <f>E15</f>
        <v>8.6165104068937229E-4</v>
      </c>
      <c r="F22" s="7" t="str">
        <f>IF(D22=E22,"n/a",IF(OR(C22="battery electric vehicle",C22="natural gas vehicle",C22="plugin hybrid vehicle",C22="hydrogen vehicle"),"s-curve","linear"))</f>
        <v>linear</v>
      </c>
      <c r="H22" s="22">
        <f t="shared" si="1"/>
        <v>4.5128616403477108E-4</v>
      </c>
      <c r="I22">
        <f>IF($F22="s-curve",$D22+($E22-$D22)*$I$2/(1+EXP($I$3*(COUNT($H$9:I$9)+$I$4))),TREND($D22:$E22,$D$9:$E$9,I$9))</f>
        <v>4.6496499325658983E-4</v>
      </c>
      <c r="J22">
        <f>IF($F22="s-curve",$D22+($E22-$D22)*$I$2/(1+EXP($I$3*(COUNT($H$9:J$9)+$I$4))),TREND($D22:$E22,$D$9:$E$9,J$9))</f>
        <v>4.7864382247840911E-4</v>
      </c>
      <c r="K22">
        <f>IF($F22="s-curve",$D22+($E22-$D22)*$I$2/(1+EXP($I$3*(COUNT($H$9:K$9)+$I$4))),TREND($D22:$E22,$D$9:$E$9,K$9))</f>
        <v>4.9232265170023187E-4</v>
      </c>
      <c r="L22">
        <f>IF($F22="s-curve",$D22+($E22-$D22)*$I$2/(1+EXP($I$3*(COUNT($H$9:L$9)+$I$4))),TREND($D22:$E22,$D$9:$E$9,L$9))</f>
        <v>5.0600148092205116E-4</v>
      </c>
      <c r="M22">
        <f>IF($F22="s-curve",$D22+($E22-$D22)*$I$2/(1+EXP($I$3*(COUNT($H$9:M$9)+$I$4))),TREND($D22:$E22,$D$9:$E$9,M$9))</f>
        <v>5.1968031014387045E-4</v>
      </c>
      <c r="N22">
        <f>IF($F22="s-curve",$D22+($E22-$D22)*$I$2/(1+EXP($I$3*(COUNT($H$9:N$9)+$I$4))),TREND($D22:$E22,$D$9:$E$9,N$9))</f>
        <v>5.3335913936568974E-4</v>
      </c>
      <c r="O22">
        <f>IF($F22="s-curve",$D22+($E22-$D22)*$I$2/(1+EXP($I$3*(COUNT($H$9:O$9)+$I$4))),TREND($D22:$E22,$D$9:$E$9,O$9))</f>
        <v>5.4703796858750903E-4</v>
      </c>
      <c r="P22">
        <f>IF($F22="s-curve",$D22+($E22-$D22)*$I$2/(1+EXP($I$3*(COUNT($H$9:P$9)+$I$4))),TREND($D22:$E22,$D$9:$E$9,P$9))</f>
        <v>5.6071679780933179E-4</v>
      </c>
      <c r="Q22">
        <f>IF($F22="s-curve",$D22+($E22-$D22)*$I$2/(1+EXP($I$3*(COUNT($H$9:Q$9)+$I$4))),TREND($D22:$E22,$D$9:$E$9,Q$9))</f>
        <v>5.7439562703115107E-4</v>
      </c>
      <c r="R22">
        <f>IF($F22="s-curve",$D22+($E22-$D22)*$I$2/(1+EXP($I$3*(COUNT($H$9:R$9)+$I$4))),TREND($D22:$E22,$D$9:$E$9,R$9))</f>
        <v>5.8807445625297036E-4</v>
      </c>
      <c r="S22">
        <f>IF($F22="s-curve",$D22+($E22-$D22)*$I$2/(1+EXP($I$3*(COUNT($H$9:S$9)+$I$4))),TREND($D22:$E22,$D$9:$E$9,S$9))</f>
        <v>6.0175328547478965E-4</v>
      </c>
      <c r="T22">
        <f>IF($F22="s-curve",$D22+($E22-$D22)*$I$2/(1+EXP($I$3*(COUNT($H$9:T$9)+$I$4))),TREND($D22:$E22,$D$9:$E$9,T$9))</f>
        <v>6.1543211469661241E-4</v>
      </c>
      <c r="U22">
        <f>IF($F22="s-curve",$D22+($E22-$D22)*$I$2/(1+EXP($I$3*(COUNT($H$9:U$9)+$I$4))),TREND($D22:$E22,$D$9:$E$9,U$9))</f>
        <v>6.291109439184317E-4</v>
      </c>
      <c r="V22">
        <f>IF($F22="s-curve",$D22+($E22-$D22)*$I$2/(1+EXP($I$3*(COUNT($H$9:V$9)+$I$4))),TREND($D22:$E22,$D$9:$E$9,V$9))</f>
        <v>6.4278977314025099E-4</v>
      </c>
      <c r="W22">
        <f>IF($F22="s-curve",$D22+($E22-$D22)*$I$2/(1+EXP($I$3*(COUNT($H$9:W$9)+$I$4))),TREND($D22:$E22,$D$9:$E$9,W$9))</f>
        <v>6.5646860236207027E-4</v>
      </c>
      <c r="X22">
        <f>IF($F22="s-curve",$D22+($E22-$D22)*$I$2/(1+EXP($I$3*(COUNT($H$9:X$9)+$I$4))),TREND($D22:$E22,$D$9:$E$9,X$9))</f>
        <v>6.7014743158388956E-4</v>
      </c>
      <c r="Y22">
        <f>IF($F22="s-curve",$D22+($E22-$D22)*$I$2/(1+EXP($I$3*(COUNT($H$9:Y$9)+$I$4))),TREND($D22:$E22,$D$9:$E$9,Y$9))</f>
        <v>6.8382626080571232E-4</v>
      </c>
      <c r="Z22">
        <f>IF($F22="s-curve",$D22+($E22-$D22)*$I$2/(1+EXP($I$3*(COUNT($H$9:Z$9)+$I$4))),TREND($D22:$E22,$D$9:$E$9,Z$9))</f>
        <v>6.9750509002753161E-4</v>
      </c>
      <c r="AA22">
        <f>IF($F22="s-curve",$D22+($E22-$D22)*$I$2/(1+EXP($I$3*(COUNT($H$9:AA$9)+$I$4))),TREND($D22:$E22,$D$9:$E$9,AA$9))</f>
        <v>7.111839192493509E-4</v>
      </c>
      <c r="AB22">
        <f>IF($F22="s-curve",$D22+($E22-$D22)*$I$2/(1+EXP($I$3*(COUNT($H$9:AB$9)+$I$4))),TREND($D22:$E22,$D$9:$E$9,AB$9))</f>
        <v>7.2486274847117019E-4</v>
      </c>
      <c r="AC22">
        <f>IF($F22="s-curve",$D22+($E22-$D22)*$I$2/(1+EXP($I$3*(COUNT($H$9:AC$9)+$I$4))),TREND($D22:$E22,$D$9:$E$9,AC$9))</f>
        <v>7.3854157769298948E-4</v>
      </c>
      <c r="AD22">
        <f>IF($F22="s-curve",$D22+($E22-$D22)*$I$2/(1+EXP($I$3*(COUNT($H$9:AD$9)+$I$4))),TREND($D22:$E22,$D$9:$E$9,AD$9))</f>
        <v>7.5222040691481223E-4</v>
      </c>
      <c r="AE22">
        <f>IF($F22="s-curve",$D22+($E22-$D22)*$I$2/(1+EXP($I$3*(COUNT($H$9:AE$9)+$I$4))),TREND($D22:$E22,$D$9:$E$9,AE$9))</f>
        <v>7.6589923613663152E-4</v>
      </c>
      <c r="AF22">
        <f>IF($F22="s-curve",$D22+($E22-$D22)*$I$2/(1+EXP($I$3*(COUNT($H$9:AF$9)+$I$4))),TREND($D22:$E22,$D$9:$E$9,AF$9))</f>
        <v>7.7957806535845081E-4</v>
      </c>
      <c r="AG22">
        <f>IF($F22="s-curve",$D22+($E22-$D22)*$I$2/(1+EXP($I$3*(COUNT($H$9:AG$9)+$I$4))),TREND($D22:$E22,$D$9:$E$9,AG$9))</f>
        <v>7.932568945802701E-4</v>
      </c>
      <c r="AH22">
        <f>IF($F22="s-curve",$D22+($E22-$D22)*$I$2/(1+EXP($I$3*(COUNT($H$9:AH$9)+$I$4))),TREND($D22:$E22,$D$9:$E$9,AH$9))</f>
        <v>8.0693572380209286E-4</v>
      </c>
      <c r="AI22">
        <f>IF($F22="s-curve",$D22+($E22-$D22)*$I$2/(1+EXP($I$3*(COUNT($H$9:AI$9)+$I$4))),TREND($D22:$E22,$D$9:$E$9,AI$9))</f>
        <v>8.2061455302391215E-4</v>
      </c>
      <c r="AJ22">
        <f>IF($F22="s-curve",$D22+($E22-$D22)*$I$2/(1+EXP($I$3*(COUNT($H$9:AJ$9)+$I$4))),TREND($D22:$E22,$D$9:$E$9,AJ$9))</f>
        <v>8.3429338224573144E-4</v>
      </c>
      <c r="AK22">
        <f>IF($F22="s-curve",$D22+($E22-$D22)*$I$2/(1+EXP($I$3*(COUNT($H$9:AK$9)+$I$4))),TREND($D22:$E22,$D$9:$E$9,AK$9))</f>
        <v>8.4797221146755072E-4</v>
      </c>
      <c r="AL22">
        <f>IF($F22="s-curve",$D22+($E22-$D22)*$I$2/(1+EXP($I$3*(COUNT($H$9:AL$9)+$I$4))),TREND($D22:$E22,$D$9:$E$9,AL$9))</f>
        <v>8.6165104068937001E-4</v>
      </c>
    </row>
    <row r="23" spans="1:38" ht="15.75" thickBot="1" x14ac:dyDescent="0.3">
      <c r="A23" s="23"/>
      <c r="B23" s="23"/>
      <c r="C23" s="23" t="s">
        <v>125</v>
      </c>
      <c r="D23" s="26">
        <f>'SYVbT-freight'!H$2/'SYVbT-freight'!$2:$2</f>
        <v>0</v>
      </c>
      <c r="E23" s="26">
        <f>E16</f>
        <v>3.1482251979020537E-4</v>
      </c>
      <c r="F23" s="8" t="str">
        <f>IF(D23=E23,"n/a",IF(OR(C23="battery electric vehicle",C23="natural gas vehicle",C23="plugin hybrid vehicle",C23="hydrogen vehicle"),"s-curve","linear"))</f>
        <v>s-curve</v>
      </c>
      <c r="H23" s="22">
        <f t="shared" si="1"/>
        <v>0</v>
      </c>
      <c r="I23">
        <f>IF($F23="s-curve",$D23+($E23-$D23)*$I$2/(1+EXP($I$3*(COUNT($H$9:I$9)+$I$4))),TREND($D23:$E23,$D$9:$E$9,I$9))</f>
        <v>4.6511978851365776E-6</v>
      </c>
      <c r="J23">
        <f>IF($F23="s-curve",$D23+($E23-$D23)*$I$2/(1+EXP($I$3*(COUNT($H$9:J$9)+$I$4))),TREND($D23:$E23,$D$9:$E$9,J$9))</f>
        <v>6.2461750446103416E-6</v>
      </c>
      <c r="K23">
        <f>IF($F23="s-curve",$D23+($E23-$D23)*$I$2/(1+EXP($I$3*(COUNT($H$9:K$9)+$I$4))),TREND($D23:$E23,$D$9:$E$9,K$9))</f>
        <v>8.3733325367128191E-6</v>
      </c>
      <c r="L23">
        <f>IF($F23="s-curve",$D23+($E23-$D23)*$I$2/(1+EXP($I$3*(COUNT($H$9:L$9)+$I$4))),TREND($D23:$E23,$D$9:$E$9,L$9))</f>
        <v>1.1198611438745645E-5</v>
      </c>
      <c r="M23">
        <f>IF($F23="s-curve",$D23+($E23-$D23)*$I$2/(1+EXP($I$3*(COUNT($H$9:M$9)+$I$4))),TREND($D23:$E23,$D$9:$E$9,M$9))</f>
        <v>1.4930732897012287E-5</v>
      </c>
      <c r="N23">
        <f>IF($F23="s-curve",$D23+($E23-$D23)*$I$2/(1+EXP($I$3*(COUNT($H$9:N$9)+$I$4))),TREND($D23:$E23,$D$9:$E$9,N$9))</f>
        <v>1.9825430633509433E-5</v>
      </c>
      <c r="O23">
        <f>IF($F23="s-curve",$D23+($E23-$D23)*$I$2/(1+EXP($I$3*(COUNT($H$9:O$9)+$I$4))),TREND($D23:$E23,$D$9:$E$9,O$9))</f>
        <v>2.6184637887962621E-5</v>
      </c>
      <c r="P23">
        <f>IF($F23="s-curve",$D23+($E23-$D23)*$I$2/(1+EXP($I$3*(COUNT($H$9:P$9)+$I$4))),TREND($D23:$E23,$D$9:$E$9,P$9))</f>
        <v>3.4346136149904345E-5</v>
      </c>
      <c r="Q23">
        <f>IF($F23="s-curve",$D23+($E23-$D23)*$I$2/(1+EXP($I$3*(COUNT($H$9:Q$9)+$I$4))),TREND($D23:$E23,$D$9:$E$9,Q$9))</f>
        <v>4.465790968689553E-5</v>
      </c>
      <c r="R23">
        <f>IF($F23="s-curve",$D23+($E23-$D23)*$I$2/(1+EXP($I$3*(COUNT($H$9:R$9)+$I$4))),TREND($D23:$E23,$D$9:$E$9,R$9))</f>
        <v>5.7431663078765201E-5</v>
      </c>
      <c r="S23">
        <f>IF($F23="s-curve",$D23+($E23-$D23)*$I$2/(1+EXP($I$3*(COUNT($H$9:S$9)+$I$4))),TREND($D23:$E23,$D$9:$E$9,S$9))</f>
        <v>7.2873610927822591E-5</v>
      </c>
      <c r="T23">
        <f>IF($F23="s-curve",$D23+($E23-$D23)*$I$2/(1+EXP($I$3*(COUNT($H$9:T$9)+$I$4))),TREND($D23:$E23,$D$9:$E$9,T$9))</f>
        <v>9.0999605930208407E-5</v>
      </c>
      <c r="U23">
        <f>IF($F23="s-curve",$D23+($E23-$D23)*$I$2/(1+EXP($I$3*(COUNT($H$9:U$9)+$I$4))),TREND($D23:$E23,$D$9:$E$9,U$9))</f>
        <v>1.1155537454576398E-4</v>
      </c>
      <c r="V23">
        <f>IF($F23="s-curve",$D23+($E23-$D23)*$I$2/(1+EXP($I$3*(COUNT($H$9:V$9)+$I$4))),TREND($D23:$E23,$D$9:$E$9,V$9))</f>
        <v>1.3397507917293147E-4</v>
      </c>
      <c r="W23">
        <f>IF($F23="s-curve",$D23+($E23-$D23)*$I$2/(1+EXP($I$3*(COUNT($H$9:W$9)+$I$4))),TREND($D23:$E23,$D$9:$E$9,W$9))</f>
        <v>1.5741125989510269E-4</v>
      </c>
      <c r="X23">
        <f>IF($F23="s-curve",$D23+($E23-$D23)*$I$2/(1+EXP($I$3*(COUNT($H$9:X$9)+$I$4))),TREND($D23:$E23,$D$9:$E$9,X$9))</f>
        <v>1.8084744061727391E-4</v>
      </c>
      <c r="Y23">
        <f>IF($F23="s-curve",$D23+($E23-$D23)*$I$2/(1+EXP($I$3*(COUNT($H$9:Y$9)+$I$4))),TREND($D23:$E23,$D$9:$E$9,Y$9))</f>
        <v>2.0326714524444137E-4</v>
      </c>
      <c r="Z23">
        <f>IF($F23="s-curve",$D23+($E23-$D23)*$I$2/(1+EXP($I$3*(COUNT($H$9:Z$9)+$I$4))),TREND($D23:$E23,$D$9:$E$9,Z$9))</f>
        <v>2.2382291385999697E-4</v>
      </c>
      <c r="AA23">
        <f>IF($F23="s-curve",$D23+($E23-$D23)*$I$2/(1+EXP($I$3*(COUNT($H$9:AA$9)+$I$4))),TREND($D23:$E23,$D$9:$E$9,AA$9))</f>
        <v>2.4194890886238276E-4</v>
      </c>
      <c r="AB23">
        <f>IF($F23="s-curve",$D23+($E23-$D23)*$I$2/(1+EXP($I$3*(COUNT($H$9:AB$9)+$I$4))),TREND($D23:$E23,$D$9:$E$9,AB$9))</f>
        <v>2.5739085671144015E-4</v>
      </c>
      <c r="AC23">
        <f>IF($F23="s-curve",$D23+($E23-$D23)*$I$2/(1+EXP($I$3*(COUNT($H$9:AC$9)+$I$4))),TREND($D23:$E23,$D$9:$E$9,AC$9))</f>
        <v>2.7016461010330987E-4</v>
      </c>
      <c r="AD23">
        <f>IF($F23="s-curve",$D23+($E23-$D23)*$I$2/(1+EXP($I$3*(COUNT($H$9:AD$9)+$I$4))),TREND($D23:$E23,$D$9:$E$9,AD$9))</f>
        <v>2.8047638364030105E-4</v>
      </c>
      <c r="AE23">
        <f>IF($F23="s-curve",$D23+($E23-$D23)*$I$2/(1+EXP($I$3*(COUNT($H$9:AE$9)+$I$4))),TREND($D23:$E23,$D$9:$E$9,AE$9))</f>
        <v>2.8863788190224276E-4</v>
      </c>
      <c r="AF23">
        <f>IF($F23="s-curve",$D23+($E23-$D23)*$I$2/(1+EXP($I$3*(COUNT($H$9:AF$9)+$I$4))),TREND($D23:$E23,$D$9:$E$9,AF$9))</f>
        <v>2.9499708915669594E-4</v>
      </c>
      <c r="AG23">
        <f>IF($F23="s-curve",$D23+($E23-$D23)*$I$2/(1+EXP($I$3*(COUNT($H$9:AG$9)+$I$4))),TREND($D23:$E23,$D$9:$E$9,AG$9))</f>
        <v>2.9989178689319312E-4</v>
      </c>
      <c r="AH23">
        <f>IF($F23="s-curve",$D23+($E23-$D23)*$I$2/(1+EXP($I$3*(COUNT($H$9:AH$9)+$I$4))),TREND($D23:$E23,$D$9:$E$9,AH$9))</f>
        <v>3.0362390835145974E-4</v>
      </c>
      <c r="AI23">
        <f>IF($F23="s-curve",$D23+($E23-$D23)*$I$2/(1+EXP($I$3*(COUNT($H$9:AI$9)+$I$4))),TREND($D23:$E23,$D$9:$E$9,AI$9))</f>
        <v>3.0644918725349253E-4</v>
      </c>
      <c r="AJ23">
        <f>IF($F23="s-curve",$D23+($E23-$D23)*$I$2/(1+EXP($I$3*(COUNT($H$9:AJ$9)+$I$4))),TREND($D23:$E23,$D$9:$E$9,AJ$9))</f>
        <v>3.0857634474559505E-4</v>
      </c>
      <c r="AK23">
        <f>IF($F23="s-curve",$D23+($E23-$D23)*$I$2/(1+EXP($I$3*(COUNT($H$9:AK$9)+$I$4))),TREND($D23:$E23,$D$9:$E$9,AK$9))</f>
        <v>3.1017132190506877E-4</v>
      </c>
      <c r="AL23">
        <f>IF($F23="s-curve",$D23+($E23-$D23)*$I$2/(1+EXP($I$3*(COUNT($H$9:AL$9)+$I$4))),TREND($D23:$E23,$D$9:$E$9,AL$9))</f>
        <v>3.1136358282645159E-4</v>
      </c>
    </row>
    <row r="24" spans="1:38" x14ac:dyDescent="0.25">
      <c r="A24" t="s">
        <v>13</v>
      </c>
      <c r="B24" t="s">
        <v>19</v>
      </c>
      <c r="C24" t="s">
        <v>1</v>
      </c>
      <c r="D24" s="22">
        <f>D17</f>
        <v>0.05</v>
      </c>
      <c r="E24" s="32">
        <v>1</v>
      </c>
      <c r="F24" s="7" t="str">
        <f>IF(D24=E24,"n/a",IF(OR(C24="battery electric vehicle",C24="natural gas vehicle",C24="plugin hybrid vehicle"),"s-curve","linear"))</f>
        <v>s-curve</v>
      </c>
      <c r="H24" s="22">
        <f t="shared" si="1"/>
        <v>0.05</v>
      </c>
      <c r="I24">
        <f>IF($F24="s-curve",$D24+($E24-$D24)*$O$2/(1+EXP($O$3*(COUNT($H$9:I$9)+$O$4))),TREND($D24:$E24,$D$9:$E$9,I$9))</f>
        <v>0.15364198013583233</v>
      </c>
      <c r="J24">
        <f>IF($F24="s-curve",$D24+($E24-$D24)*$O$2/(1+EXP($O$3*(COUNT($H$9:J$9)+$O$4))),TREND($D24:$E24,$D$9:$E$9,J$9))</f>
        <v>0.23792530586934735</v>
      </c>
      <c r="K24">
        <f>IF($F24="s-curve",$D24+($E24-$D24)*$O$2/(1+EXP($O$3*(COUNT($H$9:K$9)+$O$4))),TREND($D24:$E24,$D$9:$E$9,K$9))</f>
        <v>0.36522161644024215</v>
      </c>
      <c r="L24">
        <f>IF($F24="s-curve",$D24+($E24-$D24)*$O$2/(1+EXP($O$3*(COUNT($H$9:L$9)+$O$4))),TREND($D24:$E24,$D$9:$E$9,L$9))</f>
        <v>0.52500000000000002</v>
      </c>
      <c r="M24">
        <f>IF($F24="s-curve",$D24+($E24-$D24)*$O$2/(1+EXP($O$3*(COUNT($H$9:M$9)+$O$4))),TREND($D24:$E24,$D$9:$E$9,M$9))</f>
        <v>0.68477838355975784</v>
      </c>
      <c r="N24">
        <f>IF($F24="s-curve",$D24+($E24-$D24)*$O$2/(1+EXP($O$3*(COUNT($H$9:N$9)+$O$4))),TREND($D24:$E24,$D$9:$E$9,N$9))</f>
        <v>0.81207469413065259</v>
      </c>
      <c r="O24">
        <f>IF($F24="s-curve",$D24+($E24-$D24)*$O$2/(1+EXP($O$3*(COUNT($H$9:O$9)+$O$4))),TREND($D24:$E24,$D$9:$E$9,O$9))</f>
        <v>0.89635801986416774</v>
      </c>
      <c r="P24">
        <f>IF($F24="s-curve",$D24+($E24-$D24)*$O$2/(1+EXP($O$3*(COUNT($H$9:P$9)+$O$4))),TREND($D24:$E24,$D$9:$E$9,P$9))</f>
        <v>0.94554203289607475</v>
      </c>
      <c r="Q24">
        <f>IF($F24="s-curve",$D24+($E24-$D24)*$O$2/(1+EXP($O$3*(COUNT($H$9:Q$9)+$O$4))),TREND($D24:$E24,$D$9:$E$9,Q$9))</f>
        <v>0.97215338078621139</v>
      </c>
      <c r="R24">
        <f>IF($F24="s-curve",$D24+($E24-$D24)*$O$2/(1+EXP($O$3*(COUNT($H$9:R$9)+$O$4))),TREND($D24:$E24,$D$9:$E$9,R$9))</f>
        <v>0.98596466989139064</v>
      </c>
      <c r="S24">
        <f>IF($F24="s-curve",$D24+($E24-$D24)*$O$2/(1+EXP($O$3*(COUNT($H$9:S$9)+$O$4))),TREND($D24:$E24,$D$9:$E$9,S$9))</f>
        <v>0.9929780357229322</v>
      </c>
      <c r="T24">
        <f>IF($F24="s-curve",$D24+($E24-$D24)*$O$2/(1+EXP($O$3*(COUNT($H$9:T$9)+$O$4))),TREND($D24:$E24,$D$9:$E$9,T$9))</f>
        <v>0.99649997209553587</v>
      </c>
      <c r="U24">
        <f>IF($F24="s-curve",$D24+($E24-$D24)*$O$2/(1+EXP($O$3*(COUNT($H$9:U$9)+$O$4))),TREND($D24:$E24,$D$9:$E$9,U$9))</f>
        <v>0.9982587080046319</v>
      </c>
      <c r="V24">
        <f>IF($F24="s-curve",$D24+($E24-$D24)*$O$2/(1+EXP($O$3*(COUNT($H$9:V$9)+$O$4))),TREND($D24:$E24,$D$9:$E$9,V$9))</f>
        <v>0.99913450136531945</v>
      </c>
      <c r="W24">
        <f>IF($F24="s-curve",$D24+($E24-$D24)*$O$2/(1+EXP($O$3*(COUNT($H$9:W$9)+$O$4))),TREND($D24:$E24,$D$9:$E$9,W$9))</f>
        <v>0.99957000888792158</v>
      </c>
      <c r="X24">
        <f>IF($F24="s-curve",$D24+($E24-$D24)*$O$2/(1+EXP($O$3*(COUNT($H$9:X$9)+$O$4))),TREND($D24:$E24,$D$9:$E$9,X$9))</f>
        <v>0.99978642406827833</v>
      </c>
      <c r="Y24">
        <f>IF($F24="s-curve",$D24+($E24-$D24)*$O$2/(1+EXP($O$3*(COUNT($H$9:Y$9)+$O$4))),TREND($D24:$E24,$D$9:$E$9,Y$9))</f>
        <v>0.99989392932640198</v>
      </c>
      <c r="Z24">
        <f>IF($F24="s-curve",$D24+($E24-$D24)*$O$2/(1+EXP($O$3*(COUNT($H$9:Z$9)+$O$4))),TREND($D24:$E24,$D$9:$E$9,Z$9))</f>
        <v>0.99994732390151331</v>
      </c>
      <c r="AA24">
        <f>IF($F24="s-curve",$D24+($E24-$D24)*$O$2/(1+EXP($O$3*(COUNT($H$9:AA$9)+$O$4))),TREND($D24:$E24,$D$9:$E$9,AA$9))</f>
        <v>0.99997384109344112</v>
      </c>
      <c r="AB24">
        <f>IF($F24="s-curve",$D24+($E24-$D24)*$O$2/(1+EXP($O$3*(COUNT($H$9:AB$9)+$O$4))),TREND($D24:$E24,$D$9:$E$9,AB$9))</f>
        <v>0.99998700969136967</v>
      </c>
      <c r="AC24">
        <f>IF($F24="s-curve",$D24+($E24-$D24)*$O$2/(1+EXP($O$3*(COUNT($H$9:AC$9)+$O$4))),TREND($D24:$E24,$D$9:$E$9,AC$9))</f>
        <v>0.99999354915923688</v>
      </c>
      <c r="AD24">
        <f>IF($F24="s-curve",$D24+($E24-$D24)*$O$2/(1+EXP($O$3*(COUNT($H$9:AD$9)+$O$4))),TREND($D24:$E24,$D$9:$E$9,AD$9))</f>
        <v>0.99999679659632945</v>
      </c>
      <c r="AE24">
        <f>IF($F24="s-curve",$D24+($E24-$D24)*$O$2/(1+EXP($O$3*(COUNT($H$9:AE$9)+$O$4))),TREND($D24:$E24,$D$9:$E$9,AE$9))</f>
        <v>0.99999840923411476</v>
      </c>
      <c r="AF24">
        <f>IF($F24="s-curve",$D24+($E24-$D24)*$O$2/(1+EXP($O$3*(COUNT($H$9:AF$9)+$O$4))),TREND($D24:$E24,$D$9:$E$9,AF$9))</f>
        <v>0.99999921004837367</v>
      </c>
      <c r="AG24">
        <f>IF($F24="s-curve",$D24+($E24-$D24)*$O$2/(1+EXP($O$3*(COUNT($H$9:AG$9)+$O$4))),TREND($D24:$E24,$D$9:$E$9,AG$9))</f>
        <v>0.99999960772146745</v>
      </c>
      <c r="AH24">
        <f>IF($F24="s-curve",$D24+($E24-$D24)*$O$2/(1+EXP($O$3*(COUNT($H$9:AH$9)+$O$4))),TREND($D24:$E24,$D$9:$E$9,AH$9))</f>
        <v>0.99999980520020537</v>
      </c>
      <c r="AI24">
        <f>IF($F24="s-curve",$D24+($E24-$D24)*$O$2/(1+EXP($O$3*(COUNT($H$9:AI$9)+$O$4))),TREND($D24:$E24,$D$9:$E$9,AI$9))</f>
        <v>0.99999990326527477</v>
      </c>
      <c r="AJ24">
        <f>IF($F24="s-curve",$D24+($E24-$D24)*$O$2/(1+EXP($O$3*(COUNT($H$9:AJ$9)+$O$4))),TREND($D24:$E24,$D$9:$E$9,AJ$9))</f>
        <v>0.99999995196295466</v>
      </c>
      <c r="AK24">
        <f>IF($F24="s-curve",$D24+($E24-$D24)*$O$2/(1+EXP($O$3*(COUNT($H$9:AK$9)+$O$4))),TREND($D24:$E24,$D$9:$E$9,AK$9))</f>
        <v>0.99999997614550851</v>
      </c>
      <c r="AL24">
        <f>IF($F24="s-curve",$D24+($E24-$D24)*$O$2/(1+EXP($O$3*(COUNT($H$9:AL$9)+$O$4))),TREND($D24:$E24,$D$9:$E$9,AL$9))</f>
        <v>0.9999999881542101</v>
      </c>
    </row>
    <row r="25" spans="1:38" x14ac:dyDescent="0.25">
      <c r="C25" t="s">
        <v>2</v>
      </c>
      <c r="D25" s="22">
        <f>'SYVbT-passenger'!D3/SUM('SYVbT-passenger'!3:3)*3</f>
        <v>0.29946959893376196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H25" s="22">
        <f t="shared" si="1"/>
        <v>0.29946959893376196</v>
      </c>
      <c r="I25">
        <f>IF($F25="s-curve",$D25+($E25-$D25)*$I$2/(1+EXP($I$3*(COUNT($H$9:I$9)+$I$4))),TREND($D25:$E25,$D$9:$E$9,I$9))</f>
        <v>0.29738693021273471</v>
      </c>
      <c r="J25">
        <f>IF($F25="s-curve",$D25+($E25-$D25)*$I$2/(1+EXP($I$3*(COUNT($H$9:J$9)+$I$4))),TREND($D25:$E25,$D$9:$E$9,J$9))</f>
        <v>0.29667274665769744</v>
      </c>
      <c r="K25">
        <f>IF($F25="s-curve",$D25+($E25-$D25)*$I$2/(1+EXP($I$3*(COUNT($H$9:K$9)+$I$4))),TREND($D25:$E25,$D$9:$E$9,K$9))</f>
        <v>0.29572026850413236</v>
      </c>
      <c r="L25">
        <f>IF($F25="s-curve",$D25+($E25-$D25)*$I$2/(1+EXP($I$3*(COUNT($H$9:L$9)+$I$4))),TREND($D25:$E25,$D$9:$E$9,L$9))</f>
        <v>0.29445519225006772</v>
      </c>
      <c r="M25">
        <f>IF($F25="s-curve",$D25+($E25-$D25)*$I$2/(1+EXP($I$3*(COUNT($H$9:M$9)+$I$4))),TREND($D25:$E25,$D$9:$E$9,M$9))</f>
        <v>0.29278405874507424</v>
      </c>
      <c r="N25">
        <f>IF($F25="s-curve",$D25+($E25-$D25)*$I$2/(1+EXP($I$3*(COUNT($H$9:N$9)+$I$4))),TREND($D25:$E25,$D$9:$E$9,N$9))</f>
        <v>0.29059235799906613</v>
      </c>
      <c r="O25">
        <f>IF($F25="s-curve",$D25+($E25-$D25)*$I$2/(1+EXP($I$3*(COUNT($H$9:O$9)+$I$4))),TREND($D25:$E25,$D$9:$E$9,O$9))</f>
        <v>0.28774489324558783</v>
      </c>
      <c r="P25">
        <f>IF($F25="s-curve",$D25+($E25-$D25)*$I$2/(1+EXP($I$3*(COUNT($H$9:P$9)+$I$4))),TREND($D25:$E25,$D$9:$E$9,P$9))</f>
        <v>0.28409041593315565</v>
      </c>
      <c r="Q25">
        <f>IF($F25="s-curve",$D25+($E25-$D25)*$I$2/(1+EXP($I$3*(COUNT($H$9:Q$9)+$I$4))),TREND($D25:$E25,$D$9:$E$9,Q$9))</f>
        <v>0.27947310900832301</v>
      </c>
      <c r="R25">
        <f>IF($F25="s-curve",$D25+($E25-$D25)*$I$2/(1+EXP($I$3*(COUNT($H$9:R$9)+$I$4))),TREND($D25:$E25,$D$9:$E$9,R$9))</f>
        <v>0.27375340038780249</v>
      </c>
      <c r="S25">
        <f>IF($F25="s-curve",$D25+($E25-$D25)*$I$2/(1+EXP($I$3*(COUNT($H$9:S$9)+$I$4))),TREND($D25:$E25,$D$9:$E$9,S$9))</f>
        <v>0.26683895327736284</v>
      </c>
      <c r="T25">
        <f>IF($F25="s-curve",$D25+($E25-$D25)*$I$2/(1+EXP($I$3*(COUNT($H$9:T$9)+$I$4))),TREND($D25:$E25,$D$9:$E$9,T$9))</f>
        <v>0.25872266930896826</v>
      </c>
      <c r="U25">
        <f>IF($F25="s-curve",$D25+($E25-$D25)*$I$2/(1+EXP($I$3*(COUNT($H$9:U$9)+$I$4))),TREND($D25:$E25,$D$9:$E$9,U$9))</f>
        <v>0.24951840464650404</v>
      </c>
      <c r="V25">
        <f>IF($F25="s-curve",$D25+($E25-$D25)*$I$2/(1+EXP($I$3*(COUNT($H$9:V$9)+$I$4))),TREND($D25:$E25,$D$9:$E$9,V$9))</f>
        <v>0.23947952461715002</v>
      </c>
      <c r="W25">
        <f>IF($F25="s-curve",$D25+($E25-$D25)*$I$2/(1+EXP($I$3*(COUNT($H$9:W$9)+$I$4))),TREND($D25:$E25,$D$9:$E$9,W$9))</f>
        <v>0.22898549668374718</v>
      </c>
      <c r="X25">
        <f>IF($F25="s-curve",$D25+($E25-$D25)*$I$2/(1+EXP($I$3*(COUNT($H$9:X$9)+$I$4))),TREND($D25:$E25,$D$9:$E$9,X$9))</f>
        <v>0.21849146875034436</v>
      </c>
      <c r="Y25">
        <f>IF($F25="s-curve",$D25+($E25-$D25)*$I$2/(1+EXP($I$3*(COUNT($H$9:Y$9)+$I$4))),TREND($D25:$E25,$D$9:$E$9,Y$9))</f>
        <v>0.20845258872099034</v>
      </c>
      <c r="Z25">
        <f>IF($F25="s-curve",$D25+($E25-$D25)*$I$2/(1+EXP($I$3*(COUNT($H$9:Z$9)+$I$4))),TREND($D25:$E25,$D$9:$E$9,Z$9))</f>
        <v>0.19924832405852613</v>
      </c>
      <c r="AA25">
        <f>IF($F25="s-curve",$D25+($E25-$D25)*$I$2/(1+EXP($I$3*(COUNT($H$9:AA$9)+$I$4))),TREND($D25:$E25,$D$9:$E$9,AA$9))</f>
        <v>0.19113204009013152</v>
      </c>
      <c r="AB25">
        <f>IF($F25="s-curve",$D25+($E25-$D25)*$I$2/(1+EXP($I$3*(COUNT($H$9:AB$9)+$I$4))),TREND($D25:$E25,$D$9:$E$9,AB$9))</f>
        <v>0.18421759297969187</v>
      </c>
      <c r="AC25">
        <f>IF($F25="s-curve",$D25+($E25-$D25)*$I$2/(1+EXP($I$3*(COUNT($H$9:AC$9)+$I$4))),TREND($D25:$E25,$D$9:$E$9,AC$9))</f>
        <v>0.17849788435917135</v>
      </c>
      <c r="AD25">
        <f>IF($F25="s-curve",$D25+($E25-$D25)*$I$2/(1+EXP($I$3*(COUNT($H$9:AD$9)+$I$4))),TREND($D25:$E25,$D$9:$E$9,AD$9))</f>
        <v>0.17388057743433874</v>
      </c>
      <c r="AE25">
        <f>IF($F25="s-curve",$D25+($E25-$D25)*$I$2/(1+EXP($I$3*(COUNT($H$9:AE$9)+$I$4))),TREND($D25:$E25,$D$9:$E$9,AE$9))</f>
        <v>0.17022610012190656</v>
      </c>
      <c r="AF25">
        <f>IF($F25="s-curve",$D25+($E25-$D25)*$I$2/(1+EXP($I$3*(COUNT($H$9:AF$9)+$I$4))),TREND($D25:$E25,$D$9:$E$9,AF$9))</f>
        <v>0.16737863536842829</v>
      </c>
      <c r="AG25">
        <f>IF($F25="s-curve",$D25+($E25-$D25)*$I$2/(1+EXP($I$3*(COUNT($H$9:AG$9)+$I$4))),TREND($D25:$E25,$D$9:$E$9,AG$9))</f>
        <v>0.16518693462242012</v>
      </c>
      <c r="AH25">
        <f>IF($F25="s-curve",$D25+($E25-$D25)*$I$2/(1+EXP($I$3*(COUNT($H$9:AH$9)+$I$4))),TREND($D25:$E25,$D$9:$E$9,AH$9))</f>
        <v>0.16351580111742667</v>
      </c>
      <c r="AI25">
        <f>IF($F25="s-curve",$D25+($E25-$D25)*$I$2/(1+EXP($I$3*(COUNT($H$9:AI$9)+$I$4))),TREND($D25:$E25,$D$9:$E$9,AI$9))</f>
        <v>0.16225072486336203</v>
      </c>
      <c r="AJ25">
        <f>IF($F25="s-curve",$D25+($E25-$D25)*$I$2/(1+EXP($I$3*(COUNT($H$9:AJ$9)+$I$4))),TREND($D25:$E25,$D$9:$E$9,AJ$9))</f>
        <v>0.16129824670979698</v>
      </c>
      <c r="AK25">
        <f>IF($F25="s-curve",$D25+($E25-$D25)*$I$2/(1+EXP($I$3*(COUNT($H$9:AK$9)+$I$4))),TREND($D25:$E25,$D$9:$E$9,AK$9))</f>
        <v>0.16058406315475965</v>
      </c>
      <c r="AL25">
        <f>IF($F25="s-curve",$D25+($E25-$D25)*$I$2/(1+EXP($I$3*(COUNT($H$9:AL$9)+$I$4))),TREND($D25:$E25,$D$9:$E$9,AL$9))</f>
        <v>0.16005020400931197</v>
      </c>
    </row>
    <row r="26" spans="1:38" x14ac:dyDescent="0.25">
      <c r="C26" t="s">
        <v>3</v>
      </c>
      <c r="D26" s="22">
        <f>'SYVbT-passenger'!D3/SUM('SYVbT-passenger'!3:3)*3</f>
        <v>0.29946959893376196</v>
      </c>
      <c r="E26" s="22">
        <f>D26</f>
        <v>0.29946959893376196</v>
      </c>
      <c r="F26" s="7" t="str">
        <f>IF(D26=E26,"n/a",IF(OR(C26="battery electric vehicle",C26="natural gas vehicle",C26="plugin hybrid vehicle"),"s-curve","linear"))</f>
        <v>n/a</v>
      </c>
      <c r="H26" s="22">
        <f t="shared" si="1"/>
        <v>0.29946959893376196</v>
      </c>
      <c r="I26">
        <f>IF($F26="s-curve",$D26+($E26-$D26)*$I$2/(1+EXP($I$3*(COUNT($H$9:I$9)+$I$4))),TREND($D26:$E26,$D$9:$E$9,I$9))</f>
        <v>0.29946959893376196</v>
      </c>
      <c r="J26">
        <f>IF($F26="s-curve",$D26+($E26-$D26)*$I$2/(1+EXP($I$3*(COUNT($H$9:J$9)+$I$4))),TREND($D26:$E26,$D$9:$E$9,J$9))</f>
        <v>0.29946959893376196</v>
      </c>
      <c r="K26">
        <f>IF($F26="s-curve",$D26+($E26-$D26)*$I$2/(1+EXP($I$3*(COUNT($H$9:K$9)+$I$4))),TREND($D26:$E26,$D$9:$E$9,K$9))</f>
        <v>0.29946959893376196</v>
      </c>
      <c r="L26">
        <f>IF($F26="s-curve",$D26+($E26-$D26)*$I$2/(1+EXP($I$3*(COUNT($H$9:L$9)+$I$4))),TREND($D26:$E26,$D$9:$E$9,L$9))</f>
        <v>0.29946959893376196</v>
      </c>
      <c r="M26">
        <f>IF($F26="s-curve",$D26+($E26-$D26)*$I$2/(1+EXP($I$3*(COUNT($H$9:M$9)+$I$4))),TREND($D26:$E26,$D$9:$E$9,M$9))</f>
        <v>0.29946959893376196</v>
      </c>
      <c r="N26">
        <f>IF($F26="s-curve",$D26+($E26-$D26)*$I$2/(1+EXP($I$3*(COUNT($H$9:N$9)+$I$4))),TREND($D26:$E26,$D$9:$E$9,N$9))</f>
        <v>0.29946959893376196</v>
      </c>
      <c r="O26">
        <f>IF($F26="s-curve",$D26+($E26-$D26)*$I$2/(1+EXP($I$3*(COUNT($H$9:O$9)+$I$4))),TREND($D26:$E26,$D$9:$E$9,O$9))</f>
        <v>0.29946959893376196</v>
      </c>
      <c r="P26">
        <f>IF($F26="s-curve",$D26+($E26-$D26)*$I$2/(1+EXP($I$3*(COUNT($H$9:P$9)+$I$4))),TREND($D26:$E26,$D$9:$E$9,P$9))</f>
        <v>0.29946959893376196</v>
      </c>
      <c r="Q26">
        <f>IF($F26="s-curve",$D26+($E26-$D26)*$I$2/(1+EXP($I$3*(COUNT($H$9:Q$9)+$I$4))),TREND($D26:$E26,$D$9:$E$9,Q$9))</f>
        <v>0.29946959893376196</v>
      </c>
      <c r="R26">
        <f>IF($F26="s-curve",$D26+($E26-$D26)*$I$2/(1+EXP($I$3*(COUNT($H$9:R$9)+$I$4))),TREND($D26:$E26,$D$9:$E$9,R$9))</f>
        <v>0.29946959893376196</v>
      </c>
      <c r="S26">
        <f>IF($F26="s-curve",$D26+($E26-$D26)*$I$2/(1+EXP($I$3*(COUNT($H$9:S$9)+$I$4))),TREND($D26:$E26,$D$9:$E$9,S$9))</f>
        <v>0.29946959893376196</v>
      </c>
      <c r="T26">
        <f>IF($F26="s-curve",$D26+($E26-$D26)*$I$2/(1+EXP($I$3*(COUNT($H$9:T$9)+$I$4))),TREND($D26:$E26,$D$9:$E$9,T$9))</f>
        <v>0.29946959893376196</v>
      </c>
      <c r="U26">
        <f>IF($F26="s-curve",$D26+($E26-$D26)*$I$2/(1+EXP($I$3*(COUNT($H$9:U$9)+$I$4))),TREND($D26:$E26,$D$9:$E$9,U$9))</f>
        <v>0.29946959893376196</v>
      </c>
      <c r="V26">
        <f>IF($F26="s-curve",$D26+($E26-$D26)*$I$2/(1+EXP($I$3*(COUNT($H$9:V$9)+$I$4))),TREND($D26:$E26,$D$9:$E$9,V$9))</f>
        <v>0.29946959893376196</v>
      </c>
      <c r="W26">
        <f>IF($F26="s-curve",$D26+($E26-$D26)*$I$2/(1+EXP($I$3*(COUNT($H$9:W$9)+$I$4))),TREND($D26:$E26,$D$9:$E$9,W$9))</f>
        <v>0.29946959893376196</v>
      </c>
      <c r="X26">
        <f>IF($F26="s-curve",$D26+($E26-$D26)*$I$2/(1+EXP($I$3*(COUNT($H$9:X$9)+$I$4))),TREND($D26:$E26,$D$9:$E$9,X$9))</f>
        <v>0.29946959893376196</v>
      </c>
      <c r="Y26">
        <f>IF($F26="s-curve",$D26+($E26-$D26)*$I$2/(1+EXP($I$3*(COUNT($H$9:Y$9)+$I$4))),TREND($D26:$E26,$D$9:$E$9,Y$9))</f>
        <v>0.29946959893376196</v>
      </c>
      <c r="Z26">
        <f>IF($F26="s-curve",$D26+($E26-$D26)*$I$2/(1+EXP($I$3*(COUNT($H$9:Z$9)+$I$4))),TREND($D26:$E26,$D$9:$E$9,Z$9))</f>
        <v>0.29946959893376196</v>
      </c>
      <c r="AA26">
        <f>IF($F26="s-curve",$D26+($E26-$D26)*$I$2/(1+EXP($I$3*(COUNT($H$9:AA$9)+$I$4))),TREND($D26:$E26,$D$9:$E$9,AA$9))</f>
        <v>0.29946959893376196</v>
      </c>
      <c r="AB26">
        <f>IF($F26="s-curve",$D26+($E26-$D26)*$I$2/(1+EXP($I$3*(COUNT($H$9:AB$9)+$I$4))),TREND($D26:$E26,$D$9:$E$9,AB$9))</f>
        <v>0.29946959893376196</v>
      </c>
      <c r="AC26">
        <f>IF($F26="s-curve",$D26+($E26-$D26)*$I$2/(1+EXP($I$3*(COUNT($H$9:AC$9)+$I$4))),TREND($D26:$E26,$D$9:$E$9,AC$9))</f>
        <v>0.29946959893376196</v>
      </c>
      <c r="AD26">
        <f>IF($F26="s-curve",$D26+($E26-$D26)*$I$2/(1+EXP($I$3*(COUNT($H$9:AD$9)+$I$4))),TREND($D26:$E26,$D$9:$E$9,AD$9))</f>
        <v>0.29946959893376196</v>
      </c>
      <c r="AE26">
        <f>IF($F26="s-curve",$D26+($E26-$D26)*$I$2/(1+EXP($I$3*(COUNT($H$9:AE$9)+$I$4))),TREND($D26:$E26,$D$9:$E$9,AE$9))</f>
        <v>0.29946959893376196</v>
      </c>
      <c r="AF26">
        <f>IF($F26="s-curve",$D26+($E26-$D26)*$I$2/(1+EXP($I$3*(COUNT($H$9:AF$9)+$I$4))),TREND($D26:$E26,$D$9:$E$9,AF$9))</f>
        <v>0.29946959893376196</v>
      </c>
      <c r="AG26">
        <f>IF($F26="s-curve",$D26+($E26-$D26)*$I$2/(1+EXP($I$3*(COUNT($H$9:AG$9)+$I$4))),TREND($D26:$E26,$D$9:$E$9,AG$9))</f>
        <v>0.29946959893376196</v>
      </c>
      <c r="AH26">
        <f>IF($F26="s-curve",$D26+($E26-$D26)*$I$2/(1+EXP($I$3*(COUNT($H$9:AH$9)+$I$4))),TREND($D26:$E26,$D$9:$E$9,AH$9))</f>
        <v>0.29946959893376196</v>
      </c>
      <c r="AI26">
        <f>IF($F26="s-curve",$D26+($E26-$D26)*$I$2/(1+EXP($I$3*(COUNT($H$9:AI$9)+$I$4))),TREND($D26:$E26,$D$9:$E$9,AI$9))</f>
        <v>0.29946959893376196</v>
      </c>
      <c r="AJ26">
        <f>IF($F26="s-curve",$D26+($E26-$D26)*$I$2/(1+EXP($I$3*(COUNT($H$9:AJ$9)+$I$4))),TREND($D26:$E26,$D$9:$E$9,AJ$9))</f>
        <v>0.29946959893376196</v>
      </c>
      <c r="AK26">
        <f>IF($F26="s-curve",$D26+($E26-$D26)*$I$2/(1+EXP($I$3*(COUNT($H$9:AK$9)+$I$4))),TREND($D26:$E26,$D$9:$E$9,AK$9))</f>
        <v>0.29946959893376196</v>
      </c>
      <c r="AL26">
        <f>IF($F26="s-curve",$D26+($E26-$D26)*$I$2/(1+EXP($I$3*(COUNT($H$9:AL$9)+$I$4))),TREND($D26:$E26,$D$9:$E$9,AL$9))</f>
        <v>0.29946959893376196</v>
      </c>
    </row>
    <row r="27" spans="1:38" x14ac:dyDescent="0.25">
      <c r="C27" t="s">
        <v>4</v>
      </c>
      <c r="D27">
        <v>3</v>
      </c>
      <c r="E27">
        <v>3</v>
      </c>
      <c r="F27" s="7" t="str">
        <f>IF(D27=E27,"n/a",IF(OR(C27="battery electric vehicle",C27="natural gas vehicle",C27="plugin hybrid vehicle"),"s-curve","linear"))</f>
        <v>n/a</v>
      </c>
      <c r="H27" s="22">
        <f t="shared" si="1"/>
        <v>3</v>
      </c>
      <c r="I27">
        <f>IF($F27="s-curve",$D27+($E27-$D27)*$I$2/(1+EXP($I$3*(COUNT($H$9:I$9)+$I$4))),TREND($D27:$E27,$D$9:$E$9,I$9))</f>
        <v>3</v>
      </c>
      <c r="J27">
        <f>IF($F27="s-curve",$D27+($E27-$D27)*$I$2/(1+EXP($I$3*(COUNT($H$9:J$9)+$I$4))),TREND($D27:$E27,$D$9:$E$9,J$9))</f>
        <v>3</v>
      </c>
      <c r="K27">
        <f>IF($F27="s-curve",$D27+($E27-$D27)*$I$2/(1+EXP($I$3*(COUNT($H$9:K$9)+$I$4))),TREND($D27:$E27,$D$9:$E$9,K$9))</f>
        <v>3</v>
      </c>
      <c r="L27">
        <f>IF($F27="s-curve",$D27+($E27-$D27)*$I$2/(1+EXP($I$3*(COUNT($H$9:L$9)+$I$4))),TREND($D27:$E27,$D$9:$E$9,L$9))</f>
        <v>3</v>
      </c>
      <c r="M27">
        <f>IF($F27="s-curve",$D27+($E27-$D27)*$I$2/(1+EXP($I$3*(COUNT($H$9:M$9)+$I$4))),TREND($D27:$E27,$D$9:$E$9,M$9))</f>
        <v>3</v>
      </c>
      <c r="N27">
        <f>IF($F27="s-curve",$D27+($E27-$D27)*$I$2/(1+EXP($I$3*(COUNT($H$9:N$9)+$I$4))),TREND($D27:$E27,$D$9:$E$9,N$9))</f>
        <v>3</v>
      </c>
      <c r="O27">
        <f>IF($F27="s-curve",$D27+($E27-$D27)*$I$2/(1+EXP($I$3*(COUNT($H$9:O$9)+$I$4))),TREND($D27:$E27,$D$9:$E$9,O$9))</f>
        <v>3</v>
      </c>
      <c r="P27">
        <f>IF($F27="s-curve",$D27+($E27-$D27)*$I$2/(1+EXP($I$3*(COUNT($H$9:P$9)+$I$4))),TREND($D27:$E27,$D$9:$E$9,P$9))</f>
        <v>3</v>
      </c>
      <c r="Q27">
        <f>IF($F27="s-curve",$D27+($E27-$D27)*$I$2/(1+EXP($I$3*(COUNT($H$9:Q$9)+$I$4))),TREND($D27:$E27,$D$9:$E$9,Q$9))</f>
        <v>3</v>
      </c>
      <c r="R27">
        <f>IF($F27="s-curve",$D27+($E27-$D27)*$I$2/(1+EXP($I$3*(COUNT($H$9:R$9)+$I$4))),TREND($D27:$E27,$D$9:$E$9,R$9))</f>
        <v>3</v>
      </c>
      <c r="S27">
        <f>IF($F27="s-curve",$D27+($E27-$D27)*$I$2/(1+EXP($I$3*(COUNT($H$9:S$9)+$I$4))),TREND($D27:$E27,$D$9:$E$9,S$9))</f>
        <v>3</v>
      </c>
      <c r="T27">
        <f>IF($F27="s-curve",$D27+($E27-$D27)*$I$2/(1+EXP($I$3*(COUNT($H$9:T$9)+$I$4))),TREND($D27:$E27,$D$9:$E$9,T$9))</f>
        <v>3</v>
      </c>
      <c r="U27">
        <f>IF($F27="s-curve",$D27+($E27-$D27)*$I$2/(1+EXP($I$3*(COUNT($H$9:U$9)+$I$4))),TREND($D27:$E27,$D$9:$E$9,U$9))</f>
        <v>3</v>
      </c>
      <c r="V27">
        <f>IF($F27="s-curve",$D27+($E27-$D27)*$I$2/(1+EXP($I$3*(COUNT($H$9:V$9)+$I$4))),TREND($D27:$E27,$D$9:$E$9,V$9))</f>
        <v>3</v>
      </c>
      <c r="W27">
        <f>IF($F27="s-curve",$D27+($E27-$D27)*$I$2/(1+EXP($I$3*(COUNT($H$9:W$9)+$I$4))),TREND($D27:$E27,$D$9:$E$9,W$9))</f>
        <v>3</v>
      </c>
      <c r="X27">
        <f>IF($F27="s-curve",$D27+($E27-$D27)*$I$2/(1+EXP($I$3*(COUNT($H$9:X$9)+$I$4))),TREND($D27:$E27,$D$9:$E$9,X$9))</f>
        <v>3</v>
      </c>
      <c r="Y27">
        <f>IF($F27="s-curve",$D27+($E27-$D27)*$I$2/(1+EXP($I$3*(COUNT($H$9:Y$9)+$I$4))),TREND($D27:$E27,$D$9:$E$9,Y$9))</f>
        <v>3</v>
      </c>
      <c r="Z27">
        <f>IF($F27="s-curve",$D27+($E27-$D27)*$I$2/(1+EXP($I$3*(COUNT($H$9:Z$9)+$I$4))),TREND($D27:$E27,$D$9:$E$9,Z$9))</f>
        <v>3</v>
      </c>
      <c r="AA27">
        <f>IF($F27="s-curve",$D27+($E27-$D27)*$I$2/(1+EXP($I$3*(COUNT($H$9:AA$9)+$I$4))),TREND($D27:$E27,$D$9:$E$9,AA$9))</f>
        <v>3</v>
      </c>
      <c r="AB27">
        <f>IF($F27="s-curve",$D27+($E27-$D27)*$I$2/(1+EXP($I$3*(COUNT($H$9:AB$9)+$I$4))),TREND($D27:$E27,$D$9:$E$9,AB$9))</f>
        <v>3</v>
      </c>
      <c r="AC27">
        <f>IF($F27="s-curve",$D27+($E27-$D27)*$I$2/(1+EXP($I$3*(COUNT($H$9:AC$9)+$I$4))),TREND($D27:$E27,$D$9:$E$9,AC$9))</f>
        <v>3</v>
      </c>
      <c r="AD27">
        <f>IF($F27="s-curve",$D27+($E27-$D27)*$I$2/(1+EXP($I$3*(COUNT($H$9:AD$9)+$I$4))),TREND($D27:$E27,$D$9:$E$9,AD$9))</f>
        <v>3</v>
      </c>
      <c r="AE27">
        <f>IF($F27="s-curve",$D27+($E27-$D27)*$I$2/(1+EXP($I$3*(COUNT($H$9:AE$9)+$I$4))),TREND($D27:$E27,$D$9:$E$9,AE$9))</f>
        <v>3</v>
      </c>
      <c r="AF27">
        <f>IF($F27="s-curve",$D27+($E27-$D27)*$I$2/(1+EXP($I$3*(COUNT($H$9:AF$9)+$I$4))),TREND($D27:$E27,$D$9:$E$9,AF$9))</f>
        <v>3</v>
      </c>
      <c r="AG27">
        <f>IF($F27="s-curve",$D27+($E27-$D27)*$I$2/(1+EXP($I$3*(COUNT($H$9:AG$9)+$I$4))),TREND($D27:$E27,$D$9:$E$9,AG$9))</f>
        <v>3</v>
      </c>
      <c r="AH27">
        <f>IF($F27="s-curve",$D27+($E27-$D27)*$I$2/(1+EXP($I$3*(COUNT($H$9:AH$9)+$I$4))),TREND($D27:$E27,$D$9:$E$9,AH$9))</f>
        <v>3</v>
      </c>
      <c r="AI27">
        <f>IF($F27="s-curve",$D27+($E27-$D27)*$I$2/(1+EXP($I$3*(COUNT($H$9:AI$9)+$I$4))),TREND($D27:$E27,$D$9:$E$9,AI$9))</f>
        <v>3</v>
      </c>
      <c r="AJ27">
        <f>IF($F27="s-curve",$D27+($E27-$D27)*$I$2/(1+EXP($I$3*(COUNT($H$9:AJ$9)+$I$4))),TREND($D27:$E27,$D$9:$E$9,AJ$9))</f>
        <v>3</v>
      </c>
      <c r="AK27">
        <f>IF($F27="s-curve",$D27+($E27-$D27)*$I$2/(1+EXP($I$3*(COUNT($H$9:AK$9)+$I$4))),TREND($D27:$E27,$D$9:$E$9,AK$9))</f>
        <v>3</v>
      </c>
      <c r="AL27">
        <f>IF($F27="s-curve",$D27+($E27-$D27)*$I$2/(1+EXP($I$3*(COUNT($H$9:AL$9)+$I$4))),TREND($D27:$E27,$D$9:$E$9,AL$9))</f>
        <v>3</v>
      </c>
    </row>
    <row r="28" spans="1:38" x14ac:dyDescent="0.25">
      <c r="C28" t="s">
        <v>5</v>
      </c>
      <c r="D28" s="22">
        <f>'SYVbT-passenger'!F3/SUM('SYVbT-passenger'!3:3)*3</f>
        <v>0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H28" s="22">
        <f t="shared" si="1"/>
        <v>0</v>
      </c>
      <c r="I28">
        <f>IF($F28="s-curve",$D28+($E28-$D28)*$I$2/(1+EXP($I$3*(COUNT($H$9:I$9)+$I$4))),TREND($D28:$E28,$D$9:$E$9,I$9))</f>
        <v>1.2233156446257681E-3</v>
      </c>
      <c r="J28">
        <f>IF($F28="s-curve",$D28+($E28-$D28)*$I$2/(1+EXP($I$3*(COUNT($H$9:J$9)+$I$4))),TREND($D28:$E28,$D$9:$E$9,J$9))</f>
        <v>1.6428119894792467E-3</v>
      </c>
      <c r="K28">
        <f>IF($F28="s-curve",$D28+($E28-$D28)*$I$2/(1+EXP($I$3*(COUNT($H$9:K$9)+$I$4))),TREND($D28:$E28,$D$9:$E$9,K$9))</f>
        <v>2.2022775514557529E-3</v>
      </c>
      <c r="L28">
        <f>IF($F28="s-curve",$D28+($E28-$D28)*$I$2/(1+EXP($I$3*(COUNT($H$9:L$9)+$I$4))),TREND($D28:$E28,$D$9:$E$9,L$9))</f>
        <v>2.945356639174761E-3</v>
      </c>
      <c r="M28">
        <f>IF($F28="s-curve",$D28+($E28-$D28)*$I$2/(1+EXP($I$3*(COUNT($H$9:M$9)+$I$4))),TREND($D28:$E28,$D$9:$E$9,M$9))</f>
        <v>3.9269451848117651E-3</v>
      </c>
      <c r="N28">
        <f>IF($F28="s-curve",$D28+($E28-$D28)*$I$2/(1+EXP($I$3*(COUNT($H$9:N$9)+$I$4))),TREND($D28:$E28,$D$9:$E$9,N$9))</f>
        <v>5.2143039394039635E-3</v>
      </c>
      <c r="O28">
        <f>IF($F28="s-curve",$D28+($E28-$D28)*$I$2/(1+EXP($I$3*(COUNT($H$9:O$9)+$I$4))),TREND($D28:$E28,$D$9:$E$9,O$9))</f>
        <v>6.8868446297602999E-3</v>
      </c>
      <c r="P28">
        <f>IF($F28="s-curve",$D28+($E28-$D28)*$I$2/(1+EXP($I$3*(COUNT($H$9:P$9)+$I$4))),TREND($D28:$E28,$D$9:$E$9,P$9))</f>
        <v>9.033407462385545E-3</v>
      </c>
      <c r="Q28">
        <f>IF($F28="s-curve",$D28+($E28-$D28)*$I$2/(1+EXP($I$3*(COUNT($H$9:Q$9)+$I$4))),TREND($D28:$E28,$D$9:$E$9,Q$9))</f>
        <v>1.1745516085402967E-2</v>
      </c>
      <c r="R28">
        <f>IF($F28="s-curve",$D28+($E28-$D28)*$I$2/(1+EXP($I$3*(COUNT($H$9:R$9)+$I$4))),TREND($D28:$E28,$D$9:$E$9,R$9))</f>
        <v>1.5105152194372085E-2</v>
      </c>
      <c r="S28">
        <f>IF($F28="s-curve",$D28+($E28-$D28)*$I$2/(1+EXP($I$3*(COUNT($H$9:S$9)+$I$4))),TREND($D28:$E28,$D$9:$E$9,S$9))</f>
        <v>1.916655247312897E-2</v>
      </c>
      <c r="T28">
        <f>IF($F28="s-curve",$D28+($E28-$D28)*$I$2/(1+EXP($I$3*(COUNT($H$9:T$9)+$I$4))),TREND($D28:$E28,$D$9:$E$9,T$9))</f>
        <v>2.3933886353221655E-2</v>
      </c>
      <c r="U28">
        <f>IF($F28="s-curve",$D28+($E28-$D28)*$I$2/(1+EXP($I$3*(COUNT($H$9:U$9)+$I$4))),TREND($D28:$E28,$D$9:$E$9,U$9))</f>
        <v>2.9340277127321797E-2</v>
      </c>
      <c r="V28">
        <f>IF($F28="s-curve",$D28+($E28-$D28)*$I$2/(1+EXP($I$3*(COUNT($H$9:V$9)+$I$4))),TREND($D28:$E28,$D$9:$E$9,V$9))</f>
        <v>3.5236903350417306E-2</v>
      </c>
      <c r="W28">
        <f>IF($F28="s-curve",$D28+($E28-$D28)*$I$2/(1+EXP($I$3*(COUNT($H$9:W$9)+$I$4))),TREND($D28:$E28,$D$9:$E$9,W$9))</f>
        <v>4.1400873844841243E-2</v>
      </c>
      <c r="X28">
        <f>IF($F28="s-curve",$D28+($E28-$D28)*$I$2/(1+EXP($I$3*(COUNT($H$9:X$9)+$I$4))),TREND($D28:$E28,$D$9:$E$9,X$9))</f>
        <v>4.756484433926518E-2</v>
      </c>
      <c r="Y28">
        <f>IF($F28="s-curve",$D28+($E28-$D28)*$I$2/(1+EXP($I$3*(COUNT($H$9:Y$9)+$I$4))),TREND($D28:$E28,$D$9:$E$9,Y$9))</f>
        <v>5.3461470562360683E-2</v>
      </c>
      <c r="Z28">
        <f>IF($F28="s-curve",$D28+($E28-$D28)*$I$2/(1+EXP($I$3*(COUNT($H$9:Z$9)+$I$4))),TREND($D28:$E28,$D$9:$E$9,Z$9))</f>
        <v>5.8867861336460832E-2</v>
      </c>
      <c r="AA28">
        <f>IF($F28="s-curve",$D28+($E28-$D28)*$I$2/(1+EXP($I$3*(COUNT($H$9:AA$9)+$I$4))),TREND($D28:$E28,$D$9:$E$9,AA$9))</f>
        <v>6.3635195216553517E-2</v>
      </c>
      <c r="AB28">
        <f>IF($F28="s-curve",$D28+($E28-$D28)*$I$2/(1+EXP($I$3*(COUNT($H$9:AB$9)+$I$4))),TREND($D28:$E28,$D$9:$E$9,AB$9))</f>
        <v>6.7696595495310402E-2</v>
      </c>
      <c r="AC28">
        <f>IF($F28="s-curve",$D28+($E28-$D28)*$I$2/(1+EXP($I$3*(COUNT($H$9:AC$9)+$I$4))),TREND($D28:$E28,$D$9:$E$9,AC$9))</f>
        <v>7.1056231604279527E-2</v>
      </c>
      <c r="AD28">
        <f>IF($F28="s-curve",$D28+($E28-$D28)*$I$2/(1+EXP($I$3*(COUNT($H$9:AD$9)+$I$4))),TREND($D28:$E28,$D$9:$E$9,AD$9))</f>
        <v>7.3768340227296947E-2</v>
      </c>
      <c r="AE28">
        <f>IF($F28="s-curve",$D28+($E28-$D28)*$I$2/(1+EXP($I$3*(COUNT($H$9:AE$9)+$I$4))),TREND($D28:$E28,$D$9:$E$9,AE$9))</f>
        <v>7.5914903059922184E-2</v>
      </c>
      <c r="AF28">
        <f>IF($F28="s-curve",$D28+($E28-$D28)*$I$2/(1+EXP($I$3*(COUNT($H$9:AF$9)+$I$4))),TREND($D28:$E28,$D$9:$E$9,AF$9))</f>
        <v>7.7587443750278526E-2</v>
      </c>
      <c r="AG28">
        <f>IF($F28="s-curve",$D28+($E28-$D28)*$I$2/(1+EXP($I$3*(COUNT($H$9:AG$9)+$I$4))),TREND($D28:$E28,$D$9:$E$9,AG$9))</f>
        <v>7.8874802504870736E-2</v>
      </c>
      <c r="AH28">
        <f>IF($F28="s-curve",$D28+($E28-$D28)*$I$2/(1+EXP($I$3*(COUNT($H$9:AH$9)+$I$4))),TREND($D28:$E28,$D$9:$E$9,AH$9))</f>
        <v>7.9856391050507722E-2</v>
      </c>
      <c r="AI28">
        <f>IF($F28="s-curve",$D28+($E28-$D28)*$I$2/(1+EXP($I$3*(COUNT($H$9:AI$9)+$I$4))),TREND($D28:$E28,$D$9:$E$9,AI$9))</f>
        <v>8.0599470138226728E-2</v>
      </c>
      <c r="AJ28">
        <f>IF($F28="s-curve",$D28+($E28-$D28)*$I$2/(1+EXP($I$3*(COUNT($H$9:AJ$9)+$I$4))),TREND($D28:$E28,$D$9:$E$9,AJ$9))</f>
        <v>8.1158935700203244E-2</v>
      </c>
      <c r="AK28">
        <f>IF($F28="s-curve",$D28+($E28-$D28)*$I$2/(1+EXP($I$3*(COUNT($H$9:AK$9)+$I$4))),TREND($D28:$E28,$D$9:$E$9,AK$9))</f>
        <v>8.1578432045056715E-2</v>
      </c>
      <c r="AL28">
        <f>IF($F28="s-curve",$D28+($E28-$D28)*$I$2/(1+EXP($I$3*(COUNT($H$9:AL$9)+$I$4))),TREND($D28:$E28,$D$9:$E$9,AL$9))</f>
        <v>8.18920096381031E-2</v>
      </c>
    </row>
    <row r="29" spans="1:38" x14ac:dyDescent="0.25">
      <c r="C29" t="s">
        <v>124</v>
      </c>
      <c r="D29" s="22">
        <f>'SYVbT-passenger'!G3/SUM('SYVbT-passenger'!3:3)*3</f>
        <v>2.2196156186230963E-2</v>
      </c>
      <c r="E29" s="22">
        <f>E36*($D$29/$D$36)*3</f>
        <v>0.51993486392740962</v>
      </c>
      <c r="F29" s="7" t="str">
        <f>IF(D29=E29,"n/a",IF(OR(C29="battery electric vehicle",C29="natural gas vehicle",C29="plugin hybrid vehicle",C29="hydrogen vehicle"),"s-curve","linear"))</f>
        <v>linear</v>
      </c>
      <c r="H29" s="22">
        <f t="shared" si="1"/>
        <v>2.2196156186230963E-2</v>
      </c>
      <c r="I29">
        <f>IF($F29="s-curve",$D29+($E29-$D29)*$I$2/(1+EXP($I$3*(COUNT($H$9:I$9)+$I$4))),TREND($D29:$E29,$D$9:$E$9,I$9))</f>
        <v>3.8787446444274565E-2</v>
      </c>
      <c r="J29">
        <f>IF($F29="s-curve",$D29+($E29-$D29)*$I$2/(1+EXP($I$3*(COUNT($H$9:J$9)+$I$4))),TREND($D29:$E29,$D$9:$E$9,J$9))</f>
        <v>5.5378736702316189E-2</v>
      </c>
      <c r="K29">
        <f>IF($F29="s-curve",$D29+($E29-$D29)*$I$2/(1+EXP($I$3*(COUNT($H$9:K$9)+$I$4))),TREND($D29:$E29,$D$9:$E$9,K$9))</f>
        <v>7.1970026960350708E-2</v>
      </c>
      <c r="L29">
        <f>IF($F29="s-curve",$D29+($E29-$D29)*$I$2/(1+EXP($I$3*(COUNT($H$9:L$9)+$I$4))),TREND($D29:$E29,$D$9:$E$9,L$9))</f>
        <v>8.8561317218392333E-2</v>
      </c>
      <c r="M29">
        <f>IF($F29="s-curve",$D29+($E29-$D29)*$I$2/(1+EXP($I$3*(COUNT($H$9:M$9)+$I$4))),TREND($D29:$E29,$D$9:$E$9,M$9))</f>
        <v>0.10515260747643396</v>
      </c>
      <c r="N29">
        <f>IF($F29="s-curve",$D29+($E29-$D29)*$I$2/(1+EXP($I$3*(COUNT($H$9:N$9)+$I$4))),TREND($D29:$E29,$D$9:$E$9,N$9))</f>
        <v>0.12174389773446848</v>
      </c>
      <c r="O29">
        <f>IF($F29="s-curve",$D29+($E29-$D29)*$I$2/(1+EXP($I$3*(COUNT($H$9:O$9)+$I$4))),TREND($D29:$E29,$D$9:$E$9,O$9))</f>
        <v>0.1383351879925101</v>
      </c>
      <c r="P29">
        <f>IF($F29="s-curve",$D29+($E29-$D29)*$I$2/(1+EXP($I$3*(COUNT($H$9:P$9)+$I$4))),TREND($D29:$E29,$D$9:$E$9,P$9))</f>
        <v>0.15492647825055172</v>
      </c>
      <c r="Q29">
        <f>IF($F29="s-curve",$D29+($E29-$D29)*$I$2/(1+EXP($I$3*(COUNT($H$9:Q$9)+$I$4))),TREND($D29:$E29,$D$9:$E$9,Q$9))</f>
        <v>0.17151776850858624</v>
      </c>
      <c r="R29">
        <f>IF($F29="s-curve",$D29+($E29-$D29)*$I$2/(1+EXP($I$3*(COUNT($H$9:R$9)+$I$4))),TREND($D29:$E29,$D$9:$E$9,R$9))</f>
        <v>0.18810905876662787</v>
      </c>
      <c r="S29">
        <f>IF($F29="s-curve",$D29+($E29-$D29)*$I$2/(1+EXP($I$3*(COUNT($H$9:S$9)+$I$4))),TREND($D29:$E29,$D$9:$E$9,S$9))</f>
        <v>0.20470034902466949</v>
      </c>
      <c r="T29">
        <f>IF($F29="s-curve",$D29+($E29-$D29)*$I$2/(1+EXP($I$3*(COUNT($H$9:T$9)+$I$4))),TREND($D29:$E29,$D$9:$E$9,T$9))</f>
        <v>0.22129163928270401</v>
      </c>
      <c r="U29">
        <f>IF($F29="s-curve",$D29+($E29-$D29)*$I$2/(1+EXP($I$3*(COUNT($H$9:U$9)+$I$4))),TREND($D29:$E29,$D$9:$E$9,U$9))</f>
        <v>0.23788292954074564</v>
      </c>
      <c r="V29">
        <f>IF($F29="s-curve",$D29+($E29-$D29)*$I$2/(1+EXP($I$3*(COUNT($H$9:V$9)+$I$4))),TREND($D29:$E29,$D$9:$E$9,V$9))</f>
        <v>0.25447421979878726</v>
      </c>
      <c r="W29">
        <f>IF($F29="s-curve",$D29+($E29-$D29)*$I$2/(1+EXP($I$3*(COUNT($H$9:W$9)+$I$4))),TREND($D29:$E29,$D$9:$E$9,W$9))</f>
        <v>0.27106551005682178</v>
      </c>
      <c r="X29">
        <f>IF($F29="s-curve",$D29+($E29-$D29)*$I$2/(1+EXP($I$3*(COUNT($H$9:X$9)+$I$4))),TREND($D29:$E29,$D$9:$E$9,X$9))</f>
        <v>0.2876568003148634</v>
      </c>
      <c r="Y29">
        <f>IF($F29="s-curve",$D29+($E29-$D29)*$I$2/(1+EXP($I$3*(COUNT($H$9:Y$9)+$I$4))),TREND($D29:$E29,$D$9:$E$9,Y$9))</f>
        <v>0.30424809057290503</v>
      </c>
      <c r="Z29">
        <f>IF($F29="s-curve",$D29+($E29-$D29)*$I$2/(1+EXP($I$3*(COUNT($H$9:Z$9)+$I$4))),TREND($D29:$E29,$D$9:$E$9,Z$9))</f>
        <v>0.32083938083093955</v>
      </c>
      <c r="AA29">
        <f>IF($F29="s-curve",$D29+($E29-$D29)*$I$2/(1+EXP($I$3*(COUNT($H$9:AA$9)+$I$4))),TREND($D29:$E29,$D$9:$E$9,AA$9))</f>
        <v>0.33743067108898117</v>
      </c>
      <c r="AB29">
        <f>IF($F29="s-curve",$D29+($E29-$D29)*$I$2/(1+EXP($I$3*(COUNT($H$9:AB$9)+$I$4))),TREND($D29:$E29,$D$9:$E$9,AB$9))</f>
        <v>0.3540219613470228</v>
      </c>
      <c r="AC29">
        <f>IF($F29="s-curve",$D29+($E29-$D29)*$I$2/(1+EXP($I$3*(COUNT($H$9:AC$9)+$I$4))),TREND($D29:$E29,$D$9:$E$9,AC$9))</f>
        <v>0.37061325160505731</v>
      </c>
      <c r="AD29">
        <f>IF($F29="s-curve",$D29+($E29-$D29)*$I$2/(1+EXP($I$3*(COUNT($H$9:AD$9)+$I$4))),TREND($D29:$E29,$D$9:$E$9,AD$9))</f>
        <v>0.38720454186309894</v>
      </c>
      <c r="AE29">
        <f>IF($F29="s-curve",$D29+($E29-$D29)*$I$2/(1+EXP($I$3*(COUNT($H$9:AE$9)+$I$4))),TREND($D29:$E29,$D$9:$E$9,AE$9))</f>
        <v>0.40379583212114056</v>
      </c>
      <c r="AF29">
        <f>IF($F29="s-curve",$D29+($E29-$D29)*$I$2/(1+EXP($I$3*(COUNT($H$9:AF$9)+$I$4))),TREND($D29:$E29,$D$9:$E$9,AF$9))</f>
        <v>0.42038712237917508</v>
      </c>
      <c r="AG29">
        <f>IF($F29="s-curve",$D29+($E29-$D29)*$I$2/(1+EXP($I$3*(COUNT($H$9:AG$9)+$I$4))),TREND($D29:$E29,$D$9:$E$9,AG$9))</f>
        <v>0.43697841263721671</v>
      </c>
      <c r="AH29">
        <f>IF($F29="s-curve",$D29+($E29-$D29)*$I$2/(1+EXP($I$3*(COUNT($H$9:AH$9)+$I$4))),TREND($D29:$E29,$D$9:$E$9,AH$9))</f>
        <v>0.45356970289525833</v>
      </c>
      <c r="AI29">
        <f>IF($F29="s-curve",$D29+($E29-$D29)*$I$2/(1+EXP($I$3*(COUNT($H$9:AI$9)+$I$4))),TREND($D29:$E29,$D$9:$E$9,AI$9))</f>
        <v>0.47016099315329285</v>
      </c>
      <c r="AJ29">
        <f>IF($F29="s-curve",$D29+($E29-$D29)*$I$2/(1+EXP($I$3*(COUNT($H$9:AJ$9)+$I$4))),TREND($D29:$E29,$D$9:$E$9,AJ$9))</f>
        <v>0.48675228341133447</v>
      </c>
      <c r="AK29">
        <f>IF($F29="s-curve",$D29+($E29-$D29)*$I$2/(1+EXP($I$3*(COUNT($H$9:AK$9)+$I$4))),TREND($D29:$E29,$D$9:$E$9,AK$9))</f>
        <v>0.5033435736693761</v>
      </c>
      <c r="AL29">
        <f>IF($F29="s-curve",$D29+($E29-$D29)*$I$2/(1+EXP($I$3*(COUNT($H$9:AL$9)+$I$4))),TREND($D29:$E29,$D$9:$E$9,AL$9))</f>
        <v>0.51993486392741062</v>
      </c>
    </row>
    <row r="30" spans="1:38" ht="15.75" thickBot="1" x14ac:dyDescent="0.3">
      <c r="A30" s="23"/>
      <c r="B30" s="23"/>
      <c r="C30" s="23" t="s">
        <v>125</v>
      </c>
      <c r="D30" s="26">
        <f>'SYVbT-passenger'!H3/SUM('SYVbT-passenger'!3:3)</f>
        <v>1.2919974477595432E-4</v>
      </c>
      <c r="E30" s="26">
        <f>E37*($D$29/$D$36)</f>
        <v>0.17298701946763831</v>
      </c>
      <c r="F30" s="8" t="str">
        <f>IF(D30=E30,"n/a",IF(OR(C30="battery electric vehicle",C30="natural gas vehicle",C30="plugin hybrid vehicle",C30="hydrogen vehicle"),"s-curve","linear"))</f>
        <v>s-curve</v>
      </c>
      <c r="H30" s="22">
        <f t="shared" si="1"/>
        <v>1.2919974477595432E-4</v>
      </c>
      <c r="I30">
        <f>IF($F30="s-curve",$D30+($E30-$D30)*$I$2/(1+EXP($I$3*(COUNT($H$9:I$9)+$I$4))),TREND($D30:$E30,$D$9:$E$9,I$9))</f>
        <v>2.6830066517916028E-3</v>
      </c>
      <c r="J30">
        <f>IF($F30="s-curve",$D30+($E30-$D30)*$I$2/(1+EXP($I$3*(COUNT($H$9:J$9)+$I$4))),TREND($D30:$E30,$D$9:$E$9,J$9))</f>
        <v>3.5587517366035969E-3</v>
      </c>
      <c r="K30">
        <f>IF($F30="s-curve",$D30+($E30-$D30)*$I$2/(1+EXP($I$3*(COUNT($H$9:K$9)+$I$4))),TREND($D30:$E30,$D$9:$E$9,K$9))</f>
        <v>4.7266980656559621E-3</v>
      </c>
      <c r="L30">
        <f>IF($F30="s-curve",$D30+($E30-$D30)*$I$2/(1+EXP($I$3*(COUNT($H$9:L$9)+$I$4))),TREND($D30:$E30,$D$9:$E$9,L$9))</f>
        <v>6.2779579673931142E-3</v>
      </c>
      <c r="M30">
        <f>IF($F30="s-curve",$D30+($E30-$D30)*$I$2/(1+EXP($I$3*(COUNT($H$9:M$9)+$I$4))),TREND($D30:$E30,$D$9:$E$9,M$9))</f>
        <v>8.3271327807031264E-3</v>
      </c>
      <c r="N30">
        <f>IF($F30="s-curve",$D30+($E30-$D30)*$I$2/(1+EXP($I$3*(COUNT($H$9:N$9)+$I$4))),TREND($D30:$E30,$D$9:$E$9,N$9))</f>
        <v>1.1014636773419878E-2</v>
      </c>
      <c r="O30">
        <f>IF($F30="s-curve",$D30+($E30-$D30)*$I$2/(1+EXP($I$3*(COUNT($H$9:O$9)+$I$4))),TREND($D30:$E30,$D$9:$E$9,O$9))</f>
        <v>1.4506250721186734E-2</v>
      </c>
      <c r="P30">
        <f>IF($F30="s-curve",$D30+($E30-$D30)*$I$2/(1+EXP($I$3*(COUNT($H$9:P$9)+$I$4))),TREND($D30:$E30,$D$9:$E$9,P$9))</f>
        <v>1.8987438395344558E-2</v>
      </c>
      <c r="Q30">
        <f>IF($F30="s-curve",$D30+($E30-$D30)*$I$2/(1+EXP($I$3*(COUNT($H$9:Q$9)+$I$4))),TREND($D30:$E30,$D$9:$E$9,Q$9))</f>
        <v>2.4649265548840522E-2</v>
      </c>
      <c r="R30">
        <f>IF($F30="s-curve",$D30+($E30-$D30)*$I$2/(1+EXP($I$3*(COUNT($H$9:R$9)+$I$4))),TREND($D30:$E30,$D$9:$E$9,R$9))</f>
        <v>3.166287805174383E-2</v>
      </c>
      <c r="S30">
        <f>IF($F30="s-curve",$D30+($E30-$D30)*$I$2/(1+EXP($I$3*(COUNT($H$9:S$9)+$I$4))),TREND($D30:$E30,$D$9:$E$9,S$9))</f>
        <v>4.0141500989013298E-2</v>
      </c>
      <c r="T30">
        <f>IF($F30="s-curve",$D30+($E30-$D30)*$I$2/(1+EXP($I$3*(COUNT($H$9:T$9)+$I$4))),TREND($D30:$E30,$D$9:$E$9,T$9))</f>
        <v>5.0093838510826716E-2</v>
      </c>
      <c r="U30">
        <f>IF($F30="s-curve",$D30+($E30-$D30)*$I$2/(1+EXP($I$3*(COUNT($H$9:U$9)+$I$4))),TREND($D30:$E30,$D$9:$E$9,U$9))</f>
        <v>6.1380278083130541E-2</v>
      </c>
      <c r="V30">
        <f>IF($F30="s-curve",$D30+($E30-$D30)*$I$2/(1+EXP($I$3*(COUNT($H$9:V$9)+$I$4))),TREND($D30:$E30,$D$9:$E$9,V$9))</f>
        <v>7.3690138455461227E-2</v>
      </c>
      <c r="W30">
        <f>IF($F30="s-curve",$D30+($E30-$D30)*$I$2/(1+EXP($I$3*(COUNT($H$9:W$9)+$I$4))),TREND($D30:$E30,$D$9:$E$9,W$9))</f>
        <v>8.6558109606207134E-2</v>
      </c>
      <c r="X30">
        <f>IF($F30="s-curve",$D30+($E30-$D30)*$I$2/(1+EXP($I$3*(COUNT($H$9:X$9)+$I$4))),TREND($D30:$E30,$D$9:$E$9,X$9))</f>
        <v>9.9426080756953042E-2</v>
      </c>
      <c r="Y30">
        <f>IF($F30="s-curve",$D30+($E30-$D30)*$I$2/(1+EXP($I$3*(COUNT($H$9:Y$9)+$I$4))),TREND($D30:$E30,$D$9:$E$9,Y$9))</f>
        <v>0.11173594112928371</v>
      </c>
      <c r="Z30">
        <f>IF($F30="s-curve",$D30+($E30-$D30)*$I$2/(1+EXP($I$3*(COUNT($H$9:Z$9)+$I$4))),TREND($D30:$E30,$D$9:$E$9,Z$9))</f>
        <v>0.12302238070158754</v>
      </c>
      <c r="AA30">
        <f>IF($F30="s-curve",$D30+($E30-$D30)*$I$2/(1+EXP($I$3*(COUNT($H$9:AA$9)+$I$4))),TREND($D30:$E30,$D$9:$E$9,AA$9))</f>
        <v>0.13297471822340096</v>
      </c>
      <c r="AB30">
        <f>IF($F30="s-curve",$D30+($E30-$D30)*$I$2/(1+EXP($I$3*(COUNT($H$9:AB$9)+$I$4))),TREND($D30:$E30,$D$9:$E$9,AB$9))</f>
        <v>0.14145334116067043</v>
      </c>
      <c r="AC30">
        <f>IF($F30="s-curve",$D30+($E30-$D30)*$I$2/(1+EXP($I$3*(COUNT($H$9:AC$9)+$I$4))),TREND($D30:$E30,$D$9:$E$9,AC$9))</f>
        <v>0.14846695366357376</v>
      </c>
      <c r="AD30">
        <f>IF($F30="s-curve",$D30+($E30-$D30)*$I$2/(1+EXP($I$3*(COUNT($H$9:AD$9)+$I$4))),TREND($D30:$E30,$D$9:$E$9,AD$9))</f>
        <v>0.15412878081706971</v>
      </c>
      <c r="AE30">
        <f>IF($F30="s-curve",$D30+($E30-$D30)*$I$2/(1+EXP($I$3*(COUNT($H$9:AE$9)+$I$4))),TREND($D30:$E30,$D$9:$E$9,AE$9))</f>
        <v>0.15860996849122755</v>
      </c>
      <c r="AF30">
        <f>IF($F30="s-curve",$D30+($E30-$D30)*$I$2/(1+EXP($I$3*(COUNT($H$9:AF$9)+$I$4))),TREND($D30:$E30,$D$9:$E$9,AF$9))</f>
        <v>0.16210158243899439</v>
      </c>
      <c r="AG30">
        <f>IF($F30="s-curve",$D30+($E30-$D30)*$I$2/(1+EXP($I$3*(COUNT($H$9:AG$9)+$I$4))),TREND($D30:$E30,$D$9:$E$9,AG$9))</f>
        <v>0.16478908643171114</v>
      </c>
      <c r="AH30">
        <f>IF($F30="s-curve",$D30+($E30-$D30)*$I$2/(1+EXP($I$3*(COUNT($H$9:AH$9)+$I$4))),TREND($D30:$E30,$D$9:$E$9,AH$9))</f>
        <v>0.16683826124502116</v>
      </c>
      <c r="AI30">
        <f>IF($F30="s-curve",$D30+($E30-$D30)*$I$2/(1+EXP($I$3*(COUNT($H$9:AI$9)+$I$4))),TREND($D30:$E30,$D$9:$E$9,AI$9))</f>
        <v>0.16838952114675829</v>
      </c>
      <c r="AJ30">
        <f>IF($F30="s-curve",$D30+($E30-$D30)*$I$2/(1+EXP($I$3*(COUNT($H$9:AJ$9)+$I$4))),TREND($D30:$E30,$D$9:$E$9,AJ$9))</f>
        <v>0.16955746747581069</v>
      </c>
      <c r="AK30">
        <f>IF($F30="s-curve",$D30+($E30-$D30)*$I$2/(1+EXP($I$3*(COUNT($H$9:AK$9)+$I$4))),TREND($D30:$E30,$D$9:$E$9,AK$9))</f>
        <v>0.17043321256062266</v>
      </c>
      <c r="AL30">
        <f>IF($F30="s-curve",$D30+($E30-$D30)*$I$2/(1+EXP($I$3*(COUNT($H$9:AL$9)+$I$4))),TREND($D30:$E30,$D$9:$E$9,AL$9))</f>
        <v>0.17108784051909381</v>
      </c>
    </row>
    <row r="31" spans="1:38" x14ac:dyDescent="0.25">
      <c r="A31" t="s">
        <v>13</v>
      </c>
      <c r="B31" t="s">
        <v>18</v>
      </c>
      <c r="C31" t="s">
        <v>1</v>
      </c>
      <c r="D31" s="22">
        <v>0.05</v>
      </c>
      <c r="E31" s="22">
        <v>1</v>
      </c>
      <c r="F31" s="7" t="str">
        <f>IF(D31=E31,"n/a",IF(OR(C31="battery electric vehicle",C31="natural gas vehicle",C31="plugin hybrid vehicle"),"s-curve","linear"))</f>
        <v>s-curve</v>
      </c>
      <c r="H31" s="22">
        <f>D31</f>
        <v>0.05</v>
      </c>
      <c r="I31">
        <f>IF($F31="s-curve",$D31+($E31-$D31)*$O$2/(1+EXP($O$3*(COUNT($H$9:I$9)+$O$4))),TREND($D31:$E31,$D$9:$E$9,I$9))</f>
        <v>0.15364198013583233</v>
      </c>
      <c r="J31">
        <f>IF($F31="s-curve",$D31+($E31-$D31)*$O$2/(1+EXP($O$3*(COUNT($H$9:J$9)+$O$4))),TREND($D31:$E31,$D$9:$E$9,J$9))</f>
        <v>0.23792530586934735</v>
      </c>
      <c r="K31">
        <f>IF($F31="s-curve",$D31+($E31-$D31)*$O$2/(1+EXP($O$3*(COUNT($H$9:K$9)+$O$4))),TREND($D31:$E31,$D$9:$E$9,K$9))</f>
        <v>0.36522161644024215</v>
      </c>
      <c r="L31">
        <f>IF($F31="s-curve",$D31+($E31-$D31)*$O$2/(1+EXP($O$3*(COUNT($H$9:L$9)+$O$4))),TREND($D31:$E31,$D$9:$E$9,L$9))</f>
        <v>0.52500000000000002</v>
      </c>
      <c r="M31">
        <f>IF($F31="s-curve",$D31+($E31-$D31)*$O$2/(1+EXP($O$3*(COUNT($H$9:M$9)+$O$4))),TREND($D31:$E31,$D$9:$E$9,M$9))</f>
        <v>0.68477838355975784</v>
      </c>
      <c r="N31">
        <f>IF($F31="s-curve",$D31+($E31-$D31)*$O$2/(1+EXP($O$3*(COUNT($H$9:N$9)+$O$4))),TREND($D31:$E31,$D$9:$E$9,N$9))</f>
        <v>0.81207469413065259</v>
      </c>
      <c r="O31">
        <f>IF($F31="s-curve",$D31+($E31-$D31)*$O$2/(1+EXP($O$3*(COUNT($H$9:O$9)+$O$4))),TREND($D31:$E31,$D$9:$E$9,O$9))</f>
        <v>0.89635801986416774</v>
      </c>
      <c r="P31">
        <f>IF($F31="s-curve",$D31+($E31-$D31)*$O$2/(1+EXP($O$3*(COUNT($H$9:P$9)+$O$4))),TREND($D31:$E31,$D$9:$E$9,P$9))</f>
        <v>0.94554203289607475</v>
      </c>
      <c r="Q31">
        <f>IF($F31="s-curve",$D31+($E31-$D31)*$O$2/(1+EXP($O$3*(COUNT($H$9:Q$9)+$O$4))),TREND($D31:$E31,$D$9:$E$9,Q$9))</f>
        <v>0.97215338078621139</v>
      </c>
      <c r="R31">
        <f>IF($F31="s-curve",$D31+($E31-$D31)*$O$2/(1+EXP($O$3*(COUNT($H$9:R$9)+$O$4))),TREND($D31:$E31,$D$9:$E$9,R$9))</f>
        <v>0.98596466989139064</v>
      </c>
      <c r="S31">
        <f>IF($F31="s-curve",$D31+($E31-$D31)*$O$2/(1+EXP($O$3*(COUNT($H$9:S$9)+$O$4))),TREND($D31:$E31,$D$9:$E$9,S$9))</f>
        <v>0.9929780357229322</v>
      </c>
      <c r="T31">
        <f>IF($F31="s-curve",$D31+($E31-$D31)*$O$2/(1+EXP($O$3*(COUNT($H$9:T$9)+$O$4))),TREND($D31:$E31,$D$9:$E$9,T$9))</f>
        <v>0.99649997209553587</v>
      </c>
      <c r="U31">
        <f>IF($F31="s-curve",$D31+($E31-$D31)*$O$2/(1+EXP($O$3*(COUNT($H$9:U$9)+$O$4))),TREND($D31:$E31,$D$9:$E$9,U$9))</f>
        <v>0.9982587080046319</v>
      </c>
      <c r="V31">
        <f>IF($F31="s-curve",$D31+($E31-$D31)*$O$2/(1+EXP($O$3*(COUNT($H$9:V$9)+$O$4))),TREND($D31:$E31,$D$9:$E$9,V$9))</f>
        <v>0.99913450136531945</v>
      </c>
      <c r="W31">
        <f>IF($F31="s-curve",$D31+($E31-$D31)*$O$2/(1+EXP($O$3*(COUNT($H$9:W$9)+$O$4))),TREND($D31:$E31,$D$9:$E$9,W$9))</f>
        <v>0.99957000888792158</v>
      </c>
      <c r="X31">
        <f>IF($F31="s-curve",$D31+($E31-$D31)*$O$2/(1+EXP($O$3*(COUNT($H$9:X$9)+$O$4))),TREND($D31:$E31,$D$9:$E$9,X$9))</f>
        <v>0.99978642406827833</v>
      </c>
      <c r="Y31">
        <f>IF($F31="s-curve",$D31+($E31-$D31)*$O$2/(1+EXP($O$3*(COUNT($H$9:Y$9)+$O$4))),TREND($D31:$E31,$D$9:$E$9,Y$9))</f>
        <v>0.99989392932640198</v>
      </c>
      <c r="Z31">
        <f>IF($F31="s-curve",$D31+($E31-$D31)*$O$2/(1+EXP($O$3*(COUNT($H$9:Z$9)+$O$4))),TREND($D31:$E31,$D$9:$E$9,Z$9))</f>
        <v>0.99994732390151331</v>
      </c>
      <c r="AA31">
        <f>IF($F31="s-curve",$D31+($E31-$D31)*$O$2/(1+EXP($O$3*(COUNT($H$9:AA$9)+$O$4))),TREND($D31:$E31,$D$9:$E$9,AA$9))</f>
        <v>0.99997384109344112</v>
      </c>
      <c r="AB31">
        <f>IF($F31="s-curve",$D31+($E31-$D31)*$O$2/(1+EXP($O$3*(COUNT($H$9:AB$9)+$O$4))),TREND($D31:$E31,$D$9:$E$9,AB$9))</f>
        <v>0.99998700969136967</v>
      </c>
      <c r="AC31">
        <f>IF($F31="s-curve",$D31+($E31-$D31)*$O$2/(1+EXP($O$3*(COUNT($H$9:AC$9)+$O$4))),TREND($D31:$E31,$D$9:$E$9,AC$9))</f>
        <v>0.99999354915923688</v>
      </c>
      <c r="AD31">
        <f>IF($F31="s-curve",$D31+($E31-$D31)*$O$2/(1+EXP($O$3*(COUNT($H$9:AD$9)+$O$4))),TREND($D31:$E31,$D$9:$E$9,AD$9))</f>
        <v>0.99999679659632945</v>
      </c>
      <c r="AE31">
        <f>IF($F31="s-curve",$D31+($E31-$D31)*$O$2/(1+EXP($O$3*(COUNT($H$9:AE$9)+$O$4))),TREND($D31:$E31,$D$9:$E$9,AE$9))</f>
        <v>0.99999840923411476</v>
      </c>
      <c r="AF31">
        <f>IF($F31="s-curve",$D31+($E31-$D31)*$O$2/(1+EXP($O$3*(COUNT($H$9:AF$9)+$O$4))),TREND($D31:$E31,$D$9:$E$9,AF$9))</f>
        <v>0.99999921004837367</v>
      </c>
      <c r="AG31">
        <f>IF($F31="s-curve",$D31+($E31-$D31)*$O$2/(1+EXP($O$3*(COUNT($H$9:AG$9)+$O$4))),TREND($D31:$E31,$D$9:$E$9,AG$9))</f>
        <v>0.99999960772146745</v>
      </c>
      <c r="AH31">
        <f>IF($F31="s-curve",$D31+($E31-$D31)*$O$2/(1+EXP($O$3*(COUNT($H$9:AH$9)+$O$4))),TREND($D31:$E31,$D$9:$E$9,AH$9))</f>
        <v>0.99999980520020537</v>
      </c>
      <c r="AI31">
        <f>IF($F31="s-curve",$D31+($E31-$D31)*$O$2/(1+EXP($O$3*(COUNT($H$9:AI$9)+$O$4))),TREND($D31:$E31,$D$9:$E$9,AI$9))</f>
        <v>0.99999990326527477</v>
      </c>
      <c r="AJ31">
        <f>IF($F31="s-curve",$D31+($E31-$D31)*$O$2/(1+EXP($O$3*(COUNT($H$9:AJ$9)+$O$4))),TREND($D31:$E31,$D$9:$E$9,AJ$9))</f>
        <v>0.99999995196295466</v>
      </c>
      <c r="AK31">
        <f>IF($F31="s-curve",$D31+($E31-$D31)*$O$2/(1+EXP($O$3*(COUNT($H$9:AK$9)+$O$4))),TREND($D31:$E31,$D$9:$E$9,AK$9))</f>
        <v>0.99999997614550851</v>
      </c>
      <c r="AL31">
        <f>IF($F31="s-curve",$D31+($E31-$D31)*$O$2/(1+EXP($O$3*(COUNT($H$9:AL$9)+$O$4))),TREND($D31:$E31,$D$9:$E$9,AL$9))</f>
        <v>0.9999999881542101</v>
      </c>
    </row>
    <row r="32" spans="1:38" x14ac:dyDescent="0.25">
      <c r="C32" t="s">
        <v>2</v>
      </c>
      <c r="D32" s="22">
        <f>SUM(INDEX('AEO 49'!$208:$208,MATCH(D$9,'AEO 49'!$1:$1,0)),INDEX('AEO 49'!$219:$219,MATCH(D$9,'AEO 49'!$1:$1,0)),INDEX('AEO 49'!$230:$230,MATCH(D$9,'AEO 49'!$1:$1,0)))/INDEX('AEO 49'!$237:$237,MATCH(D$9,'AEO 49'!$1:$1,0))</f>
        <v>7.2809767943268324E-3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H32" s="22">
        <f t="shared" si="1"/>
        <v>7.2809767943268324E-3</v>
      </c>
      <c r="I32">
        <f>IF($F32="s-curve",$D32+($E32-$D32)*$I$2/(1+EXP($I$3*(COUNT($H$9:I$9)+$I$4))),TREND($D32:$E32,$D$9:$E$9,I$9))</f>
        <v>7.9539756206734417E-3</v>
      </c>
      <c r="J32">
        <f>IF($F32="s-curve",$D32+($E32-$D32)*$I$2/(1+EXP($I$3*(COUNT($H$9:J$9)+$I$4))),TREND($D32:$E32,$D$9:$E$9,J$9))</f>
        <v>8.1847586969656192E-3</v>
      </c>
      <c r="K32">
        <f>IF($F32="s-curve",$D32+($E32-$D32)*$I$2/(1+EXP($I$3*(COUNT($H$9:K$9)+$I$4))),TREND($D32:$E32,$D$9:$E$9,K$9))</f>
        <v>8.4925448911875676E-3</v>
      </c>
      <c r="L32">
        <f>IF($F32="s-curve",$D32+($E32-$D32)*$I$2/(1+EXP($I$3*(COUNT($H$9:L$9)+$I$4))),TREND($D32:$E32,$D$9:$E$9,L$9))</f>
        <v>8.9013448244791796E-3</v>
      </c>
      <c r="M32">
        <f>IF($F32="s-curve",$D32+($E32-$D32)*$I$2/(1+EXP($I$3*(COUNT($H$9:M$9)+$I$4))),TREND($D32:$E32,$D$9:$E$9,M$9))</f>
        <v>9.4413591225641757E-3</v>
      </c>
      <c r="N32">
        <f>IF($F32="s-curve",$D32+($E32-$D32)*$I$2/(1+EXP($I$3*(COUNT($H$9:N$9)+$I$4))),TREND($D32:$E32,$D$9:$E$9,N$9))</f>
        <v>1.0149590832616918E-2</v>
      </c>
      <c r="O32">
        <f>IF($F32="s-curve",$D32+($E32-$D32)*$I$2/(1+EXP($I$3*(COUNT($H$9:O$9)+$I$4))),TREND($D32:$E32,$D$9:$E$9,O$9))</f>
        <v>1.1069727778933097E-2</v>
      </c>
      <c r="P32">
        <f>IF($F32="s-curve",$D32+($E32-$D32)*$I$2/(1+EXP($I$3*(COUNT($H$9:P$9)+$I$4))),TREND($D32:$E32,$D$9:$E$9,P$9))</f>
        <v>1.2250644800130824E-2</v>
      </c>
      <c r="Q32">
        <f>IF($F32="s-curve",$D32+($E32-$D32)*$I$2/(1+EXP($I$3*(COUNT($H$9:Q$9)+$I$4))),TREND($D32:$E32,$D$9:$E$9,Q$9))</f>
        <v>1.3742693012081563E-2</v>
      </c>
      <c r="R32">
        <f>IF($F32="s-curve",$D32+($E32-$D32)*$I$2/(1+EXP($I$3*(COUNT($H$9:R$9)+$I$4))),TREND($D32:$E32,$D$9:$E$9,R$9))</f>
        <v>1.5590974090003679E-2</v>
      </c>
      <c r="S32">
        <f>IF($F32="s-curve",$D32+($E32-$D32)*$I$2/(1+EXP($I$3*(COUNT($H$9:S$9)+$I$4))),TREND($D32:$E32,$D$9:$E$9,S$9))</f>
        <v>1.7825325978606671E-2</v>
      </c>
      <c r="T32">
        <f>IF($F32="s-curve",$D32+($E32-$D32)*$I$2/(1+EXP($I$3*(COUNT($H$9:T$9)+$I$4))),TREND($D32:$E32,$D$9:$E$9,T$9))</f>
        <v>2.0448042462451119E-2</v>
      </c>
      <c r="U32">
        <f>IF($F32="s-curve",$D32+($E32-$D32)*$I$2/(1+EXP($I$3*(COUNT($H$9:U$9)+$I$4))),TREND($D32:$E32,$D$9:$E$9,U$9))</f>
        <v>2.342233177341109E-2</v>
      </c>
      <c r="V32">
        <f>IF($F32="s-curve",$D32+($E32-$D32)*$I$2/(1+EXP($I$3*(COUNT($H$9:V$9)+$I$4))),TREND($D32:$E32,$D$9:$E$9,V$9))</f>
        <v>2.666632080026762E-2</v>
      </c>
      <c r="W32">
        <f>IF($F32="s-curve",$D32+($E32-$D32)*$I$2/(1+EXP($I$3*(COUNT($H$9:W$9)+$I$4))),TREND($D32:$E32,$D$9:$E$9,W$9))</f>
        <v>3.0057387469452152E-2</v>
      </c>
      <c r="X32">
        <f>IF($F32="s-curve",$D32+($E32-$D32)*$I$2/(1+EXP($I$3*(COUNT($H$9:X$9)+$I$4))),TREND($D32:$E32,$D$9:$E$9,X$9))</f>
        <v>3.3448454138636688E-2</v>
      </c>
      <c r="Y32">
        <f>IF($F32="s-curve",$D32+($E32-$D32)*$I$2/(1+EXP($I$3*(COUNT($H$9:Y$9)+$I$4))),TREND($D32:$E32,$D$9:$E$9,Y$9))</f>
        <v>3.6692443165493215E-2</v>
      </c>
      <c r="Z32">
        <f>IF($F32="s-curve",$D32+($E32-$D32)*$I$2/(1+EXP($I$3*(COUNT($H$9:Z$9)+$I$4))),TREND($D32:$E32,$D$9:$E$9,Z$9))</f>
        <v>3.9666732476453186E-2</v>
      </c>
      <c r="AA32">
        <f>IF($F32="s-curve",$D32+($E32-$D32)*$I$2/(1+EXP($I$3*(COUNT($H$9:AA$9)+$I$4))),TREND($D32:$E32,$D$9:$E$9,AA$9))</f>
        <v>4.2289448960297633E-2</v>
      </c>
      <c r="AB32">
        <f>IF($F32="s-curve",$D32+($E32-$D32)*$I$2/(1+EXP($I$3*(COUNT($H$9:AB$9)+$I$4))),TREND($D32:$E32,$D$9:$E$9,AB$9))</f>
        <v>4.4523800848900626E-2</v>
      </c>
      <c r="AC32">
        <f>IF($F32="s-curve",$D32+($E32-$D32)*$I$2/(1+EXP($I$3*(COUNT($H$9:AC$9)+$I$4))),TREND($D32:$E32,$D$9:$E$9,AC$9))</f>
        <v>4.6372081926822753E-2</v>
      </c>
      <c r="AD32">
        <f>IF($F32="s-curve",$D32+($E32-$D32)*$I$2/(1+EXP($I$3*(COUNT($H$9:AD$9)+$I$4))),TREND($D32:$E32,$D$9:$E$9,AD$9))</f>
        <v>4.7864130138773484E-2</v>
      </c>
      <c r="AE32">
        <f>IF($F32="s-curve",$D32+($E32-$D32)*$I$2/(1+EXP($I$3*(COUNT($H$9:AE$9)+$I$4))),TREND($D32:$E32,$D$9:$E$9,AE$9))</f>
        <v>4.9045047159971211E-2</v>
      </c>
      <c r="AF32">
        <f>IF($F32="s-curve",$D32+($E32-$D32)*$I$2/(1+EXP($I$3*(COUNT($H$9:AF$9)+$I$4))),TREND($D32:$E32,$D$9:$E$9,AF$9))</f>
        <v>4.9965184106287391E-2</v>
      </c>
      <c r="AG32">
        <f>IF($F32="s-curve",$D32+($E32-$D32)*$I$2/(1+EXP($I$3*(COUNT($H$9:AG$9)+$I$4))),TREND($D32:$E32,$D$9:$E$9,AG$9))</f>
        <v>5.0673415816340134E-2</v>
      </c>
      <c r="AH32">
        <f>IF($F32="s-curve",$D32+($E32-$D32)*$I$2/(1+EXP($I$3*(COUNT($H$9:AH$9)+$I$4))),TREND($D32:$E32,$D$9:$E$9,AH$9))</f>
        <v>5.1213430114425126E-2</v>
      </c>
      <c r="AI32">
        <f>IF($F32="s-curve",$D32+($E32-$D32)*$I$2/(1+EXP($I$3*(COUNT($H$9:AI$9)+$I$4))),TREND($D32:$E32,$D$9:$E$9,AI$9))</f>
        <v>5.1622230047716738E-2</v>
      </c>
      <c r="AJ32">
        <f>IF($F32="s-curve",$D32+($E32-$D32)*$I$2/(1+EXP($I$3*(COUNT($H$9:AJ$9)+$I$4))),TREND($D32:$E32,$D$9:$E$9,AJ$9))</f>
        <v>5.1930016241938694E-2</v>
      </c>
      <c r="AK32">
        <f>IF($F32="s-curve",$D32+($E32-$D32)*$I$2/(1+EXP($I$3*(COUNT($H$9:AK$9)+$I$4))),TREND($D32:$E32,$D$9:$E$9,AK$9))</f>
        <v>5.2160799318230866E-2</v>
      </c>
      <c r="AL32">
        <f>IF($F32="s-curve",$D32+($E32-$D32)*$I$2/(1+EXP($I$3*(COUNT($H$9:AL$9)+$I$4))),TREND($D32:$E32,$D$9:$E$9,AL$9))</f>
        <v>5.2333311909740617E-2</v>
      </c>
    </row>
    <row r="33" spans="1:38" x14ac:dyDescent="0.25">
      <c r="C33" t="s">
        <v>3</v>
      </c>
      <c r="D33" s="22"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H33" s="22">
        <f t="shared" si="1"/>
        <v>0</v>
      </c>
      <c r="I33">
        <f>IF($F33="s-curve",$D33+($E33-$D33)*$I$2/(1+EXP($I$3*(COUNT($H$9:I$9)+$I$4))),TREND($D33:$E33,$D$9:$E$9,I$9))</f>
        <v>0</v>
      </c>
      <c r="J33">
        <f>IF($F33="s-curve",$D33+($E33-$D33)*$I$2/(1+EXP($I$3*(COUNT($H$9:J$9)+$I$4))),TREND($D33:$E33,$D$9:$E$9,J$9))</f>
        <v>0</v>
      </c>
      <c r="K33">
        <f>IF($F33="s-curve",$D33+($E33-$D33)*$I$2/(1+EXP($I$3*(COUNT($H$9:K$9)+$I$4))),TREND($D33:$E33,$D$9:$E$9,K$9))</f>
        <v>0</v>
      </c>
      <c r="L33">
        <f>IF($F33="s-curve",$D33+($E33-$D33)*$I$2/(1+EXP($I$3*(COUNT($H$9:L$9)+$I$4))),TREND($D33:$E33,$D$9:$E$9,L$9))</f>
        <v>0</v>
      </c>
      <c r="M33">
        <f>IF($F33="s-curve",$D33+($E33-$D33)*$I$2/(1+EXP($I$3*(COUNT($H$9:M$9)+$I$4))),TREND($D33:$E33,$D$9:$E$9,M$9))</f>
        <v>0</v>
      </c>
      <c r="N33">
        <f>IF($F33="s-curve",$D33+($E33-$D33)*$I$2/(1+EXP($I$3*(COUNT($H$9:N$9)+$I$4))),TREND($D33:$E33,$D$9:$E$9,N$9))</f>
        <v>0</v>
      </c>
      <c r="O33">
        <f>IF($F33="s-curve",$D33+($E33-$D33)*$I$2/(1+EXP($I$3*(COUNT($H$9:O$9)+$I$4))),TREND($D33:$E33,$D$9:$E$9,O$9))</f>
        <v>0</v>
      </c>
      <c r="P33">
        <f>IF($F33="s-curve",$D33+($E33-$D33)*$I$2/(1+EXP($I$3*(COUNT($H$9:P$9)+$I$4))),TREND($D33:$E33,$D$9:$E$9,P$9))</f>
        <v>0</v>
      </c>
      <c r="Q33">
        <f>IF($F33="s-curve",$D33+($E33-$D33)*$I$2/(1+EXP($I$3*(COUNT($H$9:Q$9)+$I$4))),TREND($D33:$E33,$D$9:$E$9,Q$9))</f>
        <v>0</v>
      </c>
      <c r="R33">
        <f>IF($F33="s-curve",$D33+($E33-$D33)*$I$2/(1+EXP($I$3*(COUNT($H$9:R$9)+$I$4))),TREND($D33:$E33,$D$9:$E$9,R$9))</f>
        <v>0</v>
      </c>
      <c r="S33">
        <f>IF($F33="s-curve",$D33+($E33-$D33)*$I$2/(1+EXP($I$3*(COUNT($H$9:S$9)+$I$4))),TREND($D33:$E33,$D$9:$E$9,S$9))</f>
        <v>0</v>
      </c>
      <c r="T33">
        <f>IF($F33="s-curve",$D33+($E33-$D33)*$I$2/(1+EXP($I$3*(COUNT($H$9:T$9)+$I$4))),TREND($D33:$E33,$D$9:$E$9,T$9))</f>
        <v>0</v>
      </c>
      <c r="U33">
        <f>IF($F33="s-curve",$D33+($E33-$D33)*$I$2/(1+EXP($I$3*(COUNT($H$9:U$9)+$I$4))),TREND($D33:$E33,$D$9:$E$9,U$9))</f>
        <v>0</v>
      </c>
      <c r="V33">
        <f>IF($F33="s-curve",$D33+($E33-$D33)*$I$2/(1+EXP($I$3*(COUNT($H$9:V$9)+$I$4))),TREND($D33:$E33,$D$9:$E$9,V$9))</f>
        <v>0</v>
      </c>
      <c r="W33">
        <f>IF($F33="s-curve",$D33+($E33-$D33)*$I$2/(1+EXP($I$3*(COUNT($H$9:W$9)+$I$4))),TREND($D33:$E33,$D$9:$E$9,W$9))</f>
        <v>0</v>
      </c>
      <c r="X33">
        <f>IF($F33="s-curve",$D33+($E33-$D33)*$I$2/(1+EXP($I$3*(COUNT($H$9:X$9)+$I$4))),TREND($D33:$E33,$D$9:$E$9,X$9))</f>
        <v>0</v>
      </c>
      <c r="Y33">
        <f>IF($F33="s-curve",$D33+($E33-$D33)*$I$2/(1+EXP($I$3*(COUNT($H$9:Y$9)+$I$4))),TREND($D33:$E33,$D$9:$E$9,Y$9))</f>
        <v>0</v>
      </c>
      <c r="Z33">
        <f>IF($F33="s-curve",$D33+($E33-$D33)*$I$2/(1+EXP($I$3*(COUNT($H$9:Z$9)+$I$4))),TREND($D33:$E33,$D$9:$E$9,Z$9))</f>
        <v>0</v>
      </c>
      <c r="AA33">
        <f>IF($F33="s-curve",$D33+($E33-$D33)*$I$2/(1+EXP($I$3*(COUNT($H$9:AA$9)+$I$4))),TREND($D33:$E33,$D$9:$E$9,AA$9))</f>
        <v>0</v>
      </c>
      <c r="AB33">
        <f>IF($F33="s-curve",$D33+($E33-$D33)*$I$2/(1+EXP($I$3*(COUNT($H$9:AB$9)+$I$4))),TREND($D33:$E33,$D$9:$E$9,AB$9))</f>
        <v>0</v>
      </c>
      <c r="AC33">
        <f>IF($F33="s-curve",$D33+($E33-$D33)*$I$2/(1+EXP($I$3*(COUNT($H$9:AC$9)+$I$4))),TREND($D33:$E33,$D$9:$E$9,AC$9))</f>
        <v>0</v>
      </c>
      <c r="AD33">
        <f>IF($F33="s-curve",$D33+($E33-$D33)*$I$2/(1+EXP($I$3*(COUNT($H$9:AD$9)+$I$4))),TREND($D33:$E33,$D$9:$E$9,AD$9))</f>
        <v>0</v>
      </c>
      <c r="AE33">
        <f>IF($F33="s-curve",$D33+($E33-$D33)*$I$2/(1+EXP($I$3*(COUNT($H$9:AE$9)+$I$4))),TREND($D33:$E33,$D$9:$E$9,AE$9))</f>
        <v>0</v>
      </c>
      <c r="AF33">
        <f>IF($F33="s-curve",$D33+($E33-$D33)*$I$2/(1+EXP($I$3*(COUNT($H$9:AF$9)+$I$4))),TREND($D33:$E33,$D$9:$E$9,AF$9))</f>
        <v>0</v>
      </c>
      <c r="AG33">
        <f>IF($F33="s-curve",$D33+($E33-$D33)*$I$2/(1+EXP($I$3*(COUNT($H$9:AG$9)+$I$4))),TREND($D33:$E33,$D$9:$E$9,AG$9))</f>
        <v>0</v>
      </c>
      <c r="AH33">
        <f>IF($F33="s-curve",$D33+($E33-$D33)*$I$2/(1+EXP($I$3*(COUNT($H$9:AH$9)+$I$4))),TREND($D33:$E33,$D$9:$E$9,AH$9))</f>
        <v>0</v>
      </c>
      <c r="AI33">
        <f>IF($F33="s-curve",$D33+($E33-$D33)*$I$2/(1+EXP($I$3*(COUNT($H$9:AI$9)+$I$4))),TREND($D33:$E33,$D$9:$E$9,AI$9))</f>
        <v>0</v>
      </c>
      <c r="AJ33">
        <f>IF($F33="s-curve",$D33+($E33-$D33)*$I$2/(1+EXP($I$3*(COUNT($H$9:AJ$9)+$I$4))),TREND($D33:$E33,$D$9:$E$9,AJ$9))</f>
        <v>0</v>
      </c>
      <c r="AK33">
        <f>IF($F33="s-curve",$D33+($E33-$D33)*$I$2/(1+EXP($I$3*(COUNT($H$9:AK$9)+$I$4))),TREND($D33:$E33,$D$9:$E$9,AK$9))</f>
        <v>0</v>
      </c>
      <c r="AL33">
        <f>IF($F33="s-curve",$D33+($E33-$D33)*$I$2/(1+EXP($I$3*(COUNT($H$9:AL$9)+$I$4))),TREND($D33:$E33,$D$9:$E$9,AL$9))</f>
        <v>0</v>
      </c>
    </row>
    <row r="34" spans="1:38" x14ac:dyDescent="0.25">
      <c r="C34" t="s">
        <v>4</v>
      </c>
      <c r="D34">
        <v>5</v>
      </c>
      <c r="E34">
        <v>5</v>
      </c>
      <c r="F34" s="7" t="str">
        <f>IF(D34=E34,"n/a",IF(OR(C34="battery electric vehicle",C34="natural gas vehicle",C34="plugin hybrid vehicle"),"s-curve","linear"))</f>
        <v>n/a</v>
      </c>
      <c r="H34" s="22">
        <f t="shared" si="1"/>
        <v>5</v>
      </c>
      <c r="I34">
        <f>IF($F34="s-curve",$D34+($E34-$D34)*$I$2/(1+EXP($I$3*(COUNT($H$9:I$9)+$I$4))),TREND($D34:$E34,$D$9:$E$9,I$9))</f>
        <v>5</v>
      </c>
      <c r="J34">
        <f>IF($F34="s-curve",$D34+($E34-$D34)*$I$2/(1+EXP($I$3*(COUNT($H$9:J$9)+$I$4))),TREND($D34:$E34,$D$9:$E$9,J$9))</f>
        <v>5</v>
      </c>
      <c r="K34">
        <f>IF($F34="s-curve",$D34+($E34-$D34)*$I$2/(1+EXP($I$3*(COUNT($H$9:K$9)+$I$4))),TREND($D34:$E34,$D$9:$E$9,K$9))</f>
        <v>5</v>
      </c>
      <c r="L34">
        <f>IF($F34="s-curve",$D34+($E34-$D34)*$I$2/(1+EXP($I$3*(COUNT($H$9:L$9)+$I$4))),TREND($D34:$E34,$D$9:$E$9,L$9))</f>
        <v>5</v>
      </c>
      <c r="M34">
        <f>IF($F34="s-curve",$D34+($E34-$D34)*$I$2/(1+EXP($I$3*(COUNT($H$9:M$9)+$I$4))),TREND($D34:$E34,$D$9:$E$9,M$9))</f>
        <v>5</v>
      </c>
      <c r="N34">
        <f>IF($F34="s-curve",$D34+($E34-$D34)*$I$2/(1+EXP($I$3*(COUNT($H$9:N$9)+$I$4))),TREND($D34:$E34,$D$9:$E$9,N$9))</f>
        <v>5</v>
      </c>
      <c r="O34">
        <f>IF($F34="s-curve",$D34+($E34-$D34)*$I$2/(1+EXP($I$3*(COUNT($H$9:O$9)+$I$4))),TREND($D34:$E34,$D$9:$E$9,O$9))</f>
        <v>5</v>
      </c>
      <c r="P34">
        <f>IF($F34="s-curve",$D34+($E34-$D34)*$I$2/(1+EXP($I$3*(COUNT($H$9:P$9)+$I$4))),TREND($D34:$E34,$D$9:$E$9,P$9))</f>
        <v>5</v>
      </c>
      <c r="Q34">
        <f>IF($F34="s-curve",$D34+($E34-$D34)*$I$2/(1+EXP($I$3*(COUNT($H$9:Q$9)+$I$4))),TREND($D34:$E34,$D$9:$E$9,Q$9))</f>
        <v>5</v>
      </c>
      <c r="R34">
        <f>IF($F34="s-curve",$D34+($E34-$D34)*$I$2/(1+EXP($I$3*(COUNT($H$9:R$9)+$I$4))),TREND($D34:$E34,$D$9:$E$9,R$9))</f>
        <v>5</v>
      </c>
      <c r="S34">
        <f>IF($F34="s-curve",$D34+($E34-$D34)*$I$2/(1+EXP($I$3*(COUNT($H$9:S$9)+$I$4))),TREND($D34:$E34,$D$9:$E$9,S$9))</f>
        <v>5</v>
      </c>
      <c r="T34">
        <f>IF($F34="s-curve",$D34+($E34-$D34)*$I$2/(1+EXP($I$3*(COUNT($H$9:T$9)+$I$4))),TREND($D34:$E34,$D$9:$E$9,T$9))</f>
        <v>5</v>
      </c>
      <c r="U34">
        <f>IF($F34="s-curve",$D34+($E34-$D34)*$I$2/(1+EXP($I$3*(COUNT($H$9:U$9)+$I$4))),TREND($D34:$E34,$D$9:$E$9,U$9))</f>
        <v>5</v>
      </c>
      <c r="V34">
        <f>IF($F34="s-curve",$D34+($E34-$D34)*$I$2/(1+EXP($I$3*(COUNT($H$9:V$9)+$I$4))),TREND($D34:$E34,$D$9:$E$9,V$9))</f>
        <v>5</v>
      </c>
      <c r="W34">
        <f>IF($F34="s-curve",$D34+($E34-$D34)*$I$2/(1+EXP($I$3*(COUNT($H$9:W$9)+$I$4))),TREND($D34:$E34,$D$9:$E$9,W$9))</f>
        <v>5</v>
      </c>
      <c r="X34">
        <f>IF($F34="s-curve",$D34+($E34-$D34)*$I$2/(1+EXP($I$3*(COUNT($H$9:X$9)+$I$4))),TREND($D34:$E34,$D$9:$E$9,X$9))</f>
        <v>5</v>
      </c>
      <c r="Y34">
        <f>IF($F34="s-curve",$D34+($E34-$D34)*$I$2/(1+EXP($I$3*(COUNT($H$9:Y$9)+$I$4))),TREND($D34:$E34,$D$9:$E$9,Y$9))</f>
        <v>5</v>
      </c>
      <c r="Z34">
        <f>IF($F34="s-curve",$D34+($E34-$D34)*$I$2/(1+EXP($I$3*(COUNT($H$9:Z$9)+$I$4))),TREND($D34:$E34,$D$9:$E$9,Z$9))</f>
        <v>5</v>
      </c>
      <c r="AA34">
        <f>IF($F34="s-curve",$D34+($E34-$D34)*$I$2/(1+EXP($I$3*(COUNT($H$9:AA$9)+$I$4))),TREND($D34:$E34,$D$9:$E$9,AA$9))</f>
        <v>5</v>
      </c>
      <c r="AB34">
        <f>IF($F34="s-curve",$D34+($E34-$D34)*$I$2/(1+EXP($I$3*(COUNT($H$9:AB$9)+$I$4))),TREND($D34:$E34,$D$9:$E$9,AB$9))</f>
        <v>5</v>
      </c>
      <c r="AC34">
        <f>IF($F34="s-curve",$D34+($E34-$D34)*$I$2/(1+EXP($I$3*(COUNT($H$9:AC$9)+$I$4))),TREND($D34:$E34,$D$9:$E$9,AC$9))</f>
        <v>5</v>
      </c>
      <c r="AD34">
        <f>IF($F34="s-curve",$D34+($E34-$D34)*$I$2/(1+EXP($I$3*(COUNT($H$9:AD$9)+$I$4))),TREND($D34:$E34,$D$9:$E$9,AD$9))</f>
        <v>5</v>
      </c>
      <c r="AE34">
        <f>IF($F34="s-curve",$D34+($E34-$D34)*$I$2/(1+EXP($I$3*(COUNT($H$9:AE$9)+$I$4))),TREND($D34:$E34,$D$9:$E$9,AE$9))</f>
        <v>5</v>
      </c>
      <c r="AF34">
        <f>IF($F34="s-curve",$D34+($E34-$D34)*$I$2/(1+EXP($I$3*(COUNT($H$9:AF$9)+$I$4))),TREND($D34:$E34,$D$9:$E$9,AF$9))</f>
        <v>5</v>
      </c>
      <c r="AG34">
        <f>IF($F34="s-curve",$D34+($E34-$D34)*$I$2/(1+EXP($I$3*(COUNT($H$9:AG$9)+$I$4))),TREND($D34:$E34,$D$9:$E$9,AG$9))</f>
        <v>5</v>
      </c>
      <c r="AH34">
        <f>IF($F34="s-curve",$D34+($E34-$D34)*$I$2/(1+EXP($I$3*(COUNT($H$9:AH$9)+$I$4))),TREND($D34:$E34,$D$9:$E$9,AH$9))</f>
        <v>5</v>
      </c>
      <c r="AI34">
        <f>IF($F34="s-curve",$D34+($E34-$D34)*$I$2/(1+EXP($I$3*(COUNT($H$9:AI$9)+$I$4))),TREND($D34:$E34,$D$9:$E$9,AI$9))</f>
        <v>5</v>
      </c>
      <c r="AJ34">
        <f>IF($F34="s-curve",$D34+($E34-$D34)*$I$2/(1+EXP($I$3*(COUNT($H$9:AJ$9)+$I$4))),TREND($D34:$E34,$D$9:$E$9,AJ$9))</f>
        <v>5</v>
      </c>
      <c r="AK34">
        <f>IF($F34="s-curve",$D34+($E34-$D34)*$I$2/(1+EXP($I$3*(COUNT($H$9:AK$9)+$I$4))),TREND($D34:$E34,$D$9:$E$9,AK$9))</f>
        <v>5</v>
      </c>
      <c r="AL34">
        <f>IF($F34="s-curve",$D34+($E34-$D34)*$I$2/(1+EXP($I$3*(COUNT($H$9:AL$9)+$I$4))),TREND($D34:$E34,$D$9:$E$9,AL$9))</f>
        <v>5</v>
      </c>
    </row>
    <row r="35" spans="1:38" x14ac:dyDescent="0.25">
      <c r="C35" t="s">
        <v>5</v>
      </c>
      <c r="D35" s="22">
        <f>SUM(INDEX('AEO 49'!$211:$212,0,MATCH(D$9,'AEO 49'!$1:$1,0)),INDEX('AEO 49'!$222:$223,0,MATCH(D$9,'AEO 49'!$1:$1,0)),INDEX('AEO 49'!$233:$234,0,MATCH(D$9,'AEO 49'!$1:$1,0)))/INDEX('AEO 49'!$237:$237,MATCH(D$9,'AEO 49'!$1:$1,0))</f>
        <v>2.1604589258675129E-3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H35" s="22">
        <f t="shared" si="1"/>
        <v>2.1604589258675129E-3</v>
      </c>
      <c r="I35">
        <f>IF($F35="s-curve",$D35+($E35-$D35)*$I$2/(1+EXP($I$3*(COUNT($H$9:I$9)+$I$4))),TREND($D35:$E35,$D$9:$E$9,I$9))</f>
        <v>2.5363121187666543E-3</v>
      </c>
      <c r="J35">
        <f>IF($F35="s-curve",$D35+($E35-$D35)*$I$2/(1+EXP($I$3*(COUNT($H$9:J$9)+$I$4))),TREND($D35:$E35,$D$9:$E$9,J$9))</f>
        <v>2.6651987567454672E-3</v>
      </c>
      <c r="K35">
        <f>IF($F35="s-curve",$D35+($E35-$D35)*$I$2/(1+EXP($I$3*(COUNT($H$9:K$9)+$I$4))),TREND($D35:$E35,$D$9:$E$9,K$9))</f>
        <v>2.8370897308450499E-3</v>
      </c>
      <c r="L35">
        <f>IF($F35="s-curve",$D35+($E35-$D35)*$I$2/(1+EXP($I$3*(COUNT($H$9:L$9)+$I$4))),TREND($D35:$E35,$D$9:$E$9,L$9))</f>
        <v>3.0653943788913106E-3</v>
      </c>
      <c r="M35">
        <f>IF($F35="s-curve",$D35+($E35-$D35)*$I$2/(1+EXP($I$3*(COUNT($H$9:M$9)+$I$4))),TREND($D35:$E35,$D$9:$E$9,M$9))</f>
        <v>3.3669790031145663E-3</v>
      </c>
      <c r="N35">
        <f>IF($F35="s-curve",$D35+($E35-$D35)*$I$2/(1+EXP($I$3*(COUNT($H$9:N$9)+$I$4))),TREND($D35:$E35,$D$9:$E$9,N$9))</f>
        <v>3.7625088898169965E-3</v>
      </c>
      <c r="O35">
        <f>IF($F35="s-curve",$D35+($E35-$D35)*$I$2/(1+EXP($I$3*(COUNT($H$9:O$9)+$I$4))),TREND($D35:$E35,$D$9:$E$9,O$9))</f>
        <v>4.2763826079255159E-3</v>
      </c>
      <c r="P35">
        <f>IF($F35="s-curve",$D35+($E35-$D35)*$I$2/(1+EXP($I$3*(COUNT($H$9:P$9)+$I$4))),TREND($D35:$E35,$D$9:$E$9,P$9))</f>
        <v>4.9358955455268607E-3</v>
      </c>
      <c r="Q35">
        <f>IF($F35="s-curve",$D35+($E35-$D35)*$I$2/(1+EXP($I$3*(COUNT($H$9:Q$9)+$I$4))),TREND($D35:$E35,$D$9:$E$9,Q$9))</f>
        <v>5.7691675550270976E-3</v>
      </c>
      <c r="R35">
        <f>IF($F35="s-curve",$D35+($E35-$D35)*$I$2/(1+EXP($I$3*(COUNT($H$9:R$9)+$I$4))),TREND($D35:$E35,$D$9:$E$9,R$9))</f>
        <v>6.8013868061113751E-3</v>
      </c>
      <c r="S35">
        <f>IF($F35="s-curve",$D35+($E35-$D35)*$I$2/(1+EXP($I$3*(COUNT($H$9:S$9)+$I$4))),TREND($D35:$E35,$D$9:$E$9,S$9))</f>
        <v>8.0492170526371733E-3</v>
      </c>
      <c r="T35">
        <f>IF($F35="s-curve",$D35+($E35-$D35)*$I$2/(1+EXP($I$3*(COUNT($H$9:T$9)+$I$4))),TREND($D35:$E35,$D$9:$E$9,T$9))</f>
        <v>9.5139393165278099E-3</v>
      </c>
      <c r="U35">
        <f>IF($F35="s-curve",$D35+($E35-$D35)*$I$2/(1+EXP($I$3*(COUNT($H$9:U$9)+$I$4))),TREND($D35:$E35,$D$9:$E$9,U$9))</f>
        <v>1.1175006305602102E-2</v>
      </c>
      <c r="V35">
        <f>IF($F35="s-curve",$D35+($E35-$D35)*$I$2/(1+EXP($I$3*(COUNT($H$9:V$9)+$I$4))),TREND($D35:$E35,$D$9:$E$9,V$9))</f>
        <v>1.298669391298265E-2</v>
      </c>
      <c r="W35">
        <f>IF($F35="s-curve",$D35+($E35-$D35)*$I$2/(1+EXP($I$3*(COUNT($H$9:W$9)+$I$4))),TREND($D35:$E35,$D$9:$E$9,W$9))</f>
        <v>1.4880520744547505E-2</v>
      </c>
      <c r="X35">
        <f>IF($F35="s-curve",$D35+($E35-$D35)*$I$2/(1+EXP($I$3*(COUNT($H$9:X$9)+$I$4))),TREND($D35:$E35,$D$9:$E$9,X$9))</f>
        <v>1.6774347576112358E-2</v>
      </c>
      <c r="Y35">
        <f>IF($F35="s-curve",$D35+($E35-$D35)*$I$2/(1+EXP($I$3*(COUNT($H$9:Y$9)+$I$4))),TREND($D35:$E35,$D$9:$E$9,Y$9))</f>
        <v>1.8586035183492906E-2</v>
      </c>
      <c r="Z35">
        <f>IF($F35="s-curve",$D35+($E35-$D35)*$I$2/(1+EXP($I$3*(COUNT($H$9:Z$9)+$I$4))),TREND($D35:$E35,$D$9:$E$9,Z$9))</f>
        <v>2.0247102172567196E-2</v>
      </c>
      <c r="AA35">
        <f>IF($F35="s-curve",$D35+($E35-$D35)*$I$2/(1+EXP($I$3*(COUNT($H$9:AA$9)+$I$4))),TREND($D35:$E35,$D$9:$E$9,AA$9))</f>
        <v>2.1711824436457833E-2</v>
      </c>
      <c r="AB35">
        <f>IF($F35="s-curve",$D35+($E35-$D35)*$I$2/(1+EXP($I$3*(COUNT($H$9:AB$9)+$I$4))),TREND($D35:$E35,$D$9:$E$9,AB$9))</f>
        <v>2.2959654682983631E-2</v>
      </c>
      <c r="AC35">
        <f>IF($F35="s-curve",$D35+($E35-$D35)*$I$2/(1+EXP($I$3*(COUNT($H$9:AC$9)+$I$4))),TREND($D35:$E35,$D$9:$E$9,AC$9))</f>
        <v>2.399187393406791E-2</v>
      </c>
      <c r="AD35">
        <f>IF($F35="s-curve",$D35+($E35-$D35)*$I$2/(1+EXP($I$3*(COUNT($H$9:AD$9)+$I$4))),TREND($D35:$E35,$D$9:$E$9,AD$9))</f>
        <v>2.4825145943568147E-2</v>
      </c>
      <c r="AE35">
        <f>IF($F35="s-curve",$D35+($E35-$D35)*$I$2/(1+EXP($I$3*(COUNT($H$9:AE$9)+$I$4))),TREND($D35:$E35,$D$9:$E$9,AE$9))</f>
        <v>2.5484658881169492E-2</v>
      </c>
      <c r="AF35">
        <f>IF($F35="s-curve",$D35+($E35-$D35)*$I$2/(1+EXP($I$3*(COUNT($H$9:AF$9)+$I$4))),TREND($D35:$E35,$D$9:$E$9,AF$9))</f>
        <v>2.5998532599278014E-2</v>
      </c>
      <c r="AG35">
        <f>IF($F35="s-curve",$D35+($E35-$D35)*$I$2/(1+EXP($I$3*(COUNT($H$9:AG$9)+$I$4))),TREND($D35:$E35,$D$9:$E$9,AG$9))</f>
        <v>2.6394062485980443E-2</v>
      </c>
      <c r="AH35">
        <f>IF($F35="s-curve",$D35+($E35-$D35)*$I$2/(1+EXP($I$3*(COUNT($H$9:AH$9)+$I$4))),TREND($D35:$E35,$D$9:$E$9,AH$9))</f>
        <v>2.6695647110203696E-2</v>
      </c>
      <c r="AI35">
        <f>IF($F35="s-curve",$D35+($E35-$D35)*$I$2/(1+EXP($I$3*(COUNT($H$9:AI$9)+$I$4))),TREND($D35:$E35,$D$9:$E$9,AI$9))</f>
        <v>2.6923951758249957E-2</v>
      </c>
      <c r="AJ35">
        <f>IF($F35="s-curve",$D35+($E35-$D35)*$I$2/(1+EXP($I$3*(COUNT($H$9:AJ$9)+$I$4))),TREND($D35:$E35,$D$9:$E$9,AJ$9))</f>
        <v>2.7095842732349541E-2</v>
      </c>
      <c r="AK35">
        <f>IF($F35="s-curve",$D35+($E35-$D35)*$I$2/(1+EXP($I$3*(COUNT($H$9:AK$9)+$I$4))),TREND($D35:$E35,$D$9:$E$9,AK$9))</f>
        <v>2.7224729370328354E-2</v>
      </c>
      <c r="AL35">
        <f>IF($F35="s-curve",$D35+($E35-$D35)*$I$2/(1+EXP($I$3*(COUNT($H$9:AL$9)+$I$4))),TREND($D35:$E35,$D$9:$E$9,AL$9))</f>
        <v>2.7321073384308624E-2</v>
      </c>
    </row>
    <row r="36" spans="1:38" x14ac:dyDescent="0.25">
      <c r="C36" t="s">
        <v>124</v>
      </c>
      <c r="D36" s="22">
        <f>'SYVbT-freight'!G3/SUM('SYVbT-freight'!3:3)</f>
        <v>7.9129793393846839E-4</v>
      </c>
      <c r="E36" s="22">
        <f>SUM(SUM(INDEX('AEO 49'!136:136,0,MATCH(E$9,'AEO 49'!$1:$1,0))),SUM(INDEX('AEO 49'!147:147,0,MATCH(E$9,'AEO 49'!$1:$1,0))),SUM(INDEX('AEO 49'!158:158,0,MATCH(E$9,'AEO 49'!$1:$1,0))))/INDEX('AEO 49'!$166:$166,MATCH(E$9,'AEO 49'!$1:$1,0))*Assumptions!A11</f>
        <v>6.1785980743151968E-3</v>
      </c>
      <c r="F36" s="7" t="str">
        <f>IF(D36=E36,"n/a",IF(OR(C36="battery electric vehicle",C36="natural gas vehicle",C36="plugin hybrid vehicle",C36="hydrogen vehicle"),"s-curve","linear"))</f>
        <v>linear</v>
      </c>
      <c r="H36" s="22">
        <f t="shared" si="1"/>
        <v>7.9129793393846839E-4</v>
      </c>
      <c r="I36">
        <f>IF($F36="s-curve",$D36+($E36-$D36)*$I$2/(1+EXP($I$3*(COUNT($H$9:I$9)+$I$4))),TREND($D36:$E36,$D$9:$E$9,I$9))</f>
        <v>9.7087460528438863E-4</v>
      </c>
      <c r="J36">
        <f>IF($F36="s-curve",$D36+($E36-$D36)*$I$2/(1+EXP($I$3*(COUNT($H$9:J$9)+$I$4))),TREND($D36:$E36,$D$9:$E$9,J$9))</f>
        <v>1.150451276630271E-3</v>
      </c>
      <c r="K36">
        <f>IF($F36="s-curve",$D36+($E36-$D36)*$I$2/(1+EXP($I$3*(COUNT($H$9:K$9)+$I$4))),TREND($D36:$E36,$D$9:$E$9,K$9))</f>
        <v>1.3300279479761534E-3</v>
      </c>
      <c r="L36">
        <f>IF($F36="s-curve",$D36+($E36-$D36)*$I$2/(1+EXP($I$3*(COUNT($H$9:L$9)+$I$4))),TREND($D36:$E36,$D$9:$E$9,L$9))</f>
        <v>1.5096046193220358E-3</v>
      </c>
      <c r="M36">
        <f>IF($F36="s-curve",$D36+($E36-$D36)*$I$2/(1+EXP($I$3*(COUNT($H$9:M$9)+$I$4))),TREND($D36:$E36,$D$9:$E$9,M$9))</f>
        <v>1.6891812906679182E-3</v>
      </c>
      <c r="N36">
        <f>IF($F36="s-curve",$D36+($E36-$D36)*$I$2/(1+EXP($I$3*(COUNT($H$9:N$9)+$I$4))),TREND($D36:$E36,$D$9:$E$9,N$9))</f>
        <v>1.8687579620138561E-3</v>
      </c>
      <c r="O36">
        <f>IF($F36="s-curve",$D36+($E36-$D36)*$I$2/(1+EXP($I$3*(COUNT($H$9:O$9)+$I$4))),TREND($D36:$E36,$D$9:$E$9,O$9))</f>
        <v>2.0483346333597385E-3</v>
      </c>
      <c r="P36">
        <f>IF($F36="s-curve",$D36+($E36-$D36)*$I$2/(1+EXP($I$3*(COUNT($H$9:P$9)+$I$4))),TREND($D36:$E36,$D$9:$E$9,P$9))</f>
        <v>2.2279113047056209E-3</v>
      </c>
      <c r="Q36">
        <f>IF($F36="s-curve",$D36+($E36-$D36)*$I$2/(1+EXP($I$3*(COUNT($H$9:Q$9)+$I$4))),TREND($D36:$E36,$D$9:$E$9,Q$9))</f>
        <v>2.4074879760515033E-3</v>
      </c>
      <c r="R36">
        <f>IF($F36="s-curve",$D36+($E36-$D36)*$I$2/(1+EXP($I$3*(COUNT($H$9:R$9)+$I$4))),TREND($D36:$E36,$D$9:$E$9,R$9))</f>
        <v>2.5870646473973857E-3</v>
      </c>
      <c r="S36">
        <f>IF($F36="s-curve",$D36+($E36-$D36)*$I$2/(1+EXP($I$3*(COUNT($H$9:S$9)+$I$4))),TREND($D36:$E36,$D$9:$E$9,S$9))</f>
        <v>2.7666413187432681E-3</v>
      </c>
      <c r="T36">
        <f>IF($F36="s-curve",$D36+($E36-$D36)*$I$2/(1+EXP($I$3*(COUNT($H$9:T$9)+$I$4))),TREND($D36:$E36,$D$9:$E$9,T$9))</f>
        <v>2.946217990089206E-3</v>
      </c>
      <c r="U36">
        <f>IF($F36="s-curve",$D36+($E36-$D36)*$I$2/(1+EXP($I$3*(COUNT($H$9:U$9)+$I$4))),TREND($D36:$E36,$D$9:$E$9,U$9))</f>
        <v>3.1257946614350884E-3</v>
      </c>
      <c r="V36">
        <f>IF($F36="s-curve",$D36+($E36-$D36)*$I$2/(1+EXP($I$3*(COUNT($H$9:V$9)+$I$4))),TREND($D36:$E36,$D$9:$E$9,V$9))</f>
        <v>3.3053713327809708E-3</v>
      </c>
      <c r="W36">
        <f>IF($F36="s-curve",$D36+($E36-$D36)*$I$2/(1+EXP($I$3*(COUNT($H$9:W$9)+$I$4))),TREND($D36:$E36,$D$9:$E$9,W$9))</f>
        <v>3.4849480041268532E-3</v>
      </c>
      <c r="X36">
        <f>IF($F36="s-curve",$D36+($E36-$D36)*$I$2/(1+EXP($I$3*(COUNT($H$9:X$9)+$I$4))),TREND($D36:$E36,$D$9:$E$9,X$9))</f>
        <v>3.6645246754727356E-3</v>
      </c>
      <c r="Y36">
        <f>IF($F36="s-curve",$D36+($E36-$D36)*$I$2/(1+EXP($I$3*(COUNT($H$9:Y$9)+$I$4))),TREND($D36:$E36,$D$9:$E$9,Y$9))</f>
        <v>3.844101346818618E-3</v>
      </c>
      <c r="Z36">
        <f>IF($F36="s-curve",$D36+($E36-$D36)*$I$2/(1+EXP($I$3*(COUNT($H$9:Z$9)+$I$4))),TREND($D36:$E36,$D$9:$E$9,Z$9))</f>
        <v>4.0236780181645004E-3</v>
      </c>
      <c r="AA36">
        <f>IF($F36="s-curve",$D36+($E36-$D36)*$I$2/(1+EXP($I$3*(COUNT($H$9:AA$9)+$I$4))),TREND($D36:$E36,$D$9:$E$9,AA$9))</f>
        <v>4.2032546895104383E-3</v>
      </c>
      <c r="AB36">
        <f>IF($F36="s-curve",$D36+($E36-$D36)*$I$2/(1+EXP($I$3*(COUNT($H$9:AB$9)+$I$4))),TREND($D36:$E36,$D$9:$E$9,AB$9))</f>
        <v>4.3828313608563207E-3</v>
      </c>
      <c r="AC36">
        <f>IF($F36="s-curve",$D36+($E36-$D36)*$I$2/(1+EXP($I$3*(COUNT($H$9:AC$9)+$I$4))),TREND($D36:$E36,$D$9:$E$9,AC$9))</f>
        <v>4.5624080322022031E-3</v>
      </c>
      <c r="AD36">
        <f>IF($F36="s-curve",$D36+($E36-$D36)*$I$2/(1+EXP($I$3*(COUNT($H$9:AD$9)+$I$4))),TREND($D36:$E36,$D$9:$E$9,AD$9))</f>
        <v>4.7419847035480855E-3</v>
      </c>
      <c r="AE36">
        <f>IF($F36="s-curve",$D36+($E36-$D36)*$I$2/(1+EXP($I$3*(COUNT($H$9:AE$9)+$I$4))),TREND($D36:$E36,$D$9:$E$9,AE$9))</f>
        <v>4.9215613748939679E-3</v>
      </c>
      <c r="AF36">
        <f>IF($F36="s-curve",$D36+($E36-$D36)*$I$2/(1+EXP($I$3*(COUNT($H$9:AF$9)+$I$4))),TREND($D36:$E36,$D$9:$E$9,AF$9))</f>
        <v>5.1011380462398503E-3</v>
      </c>
      <c r="AG36">
        <f>IF($F36="s-curve",$D36+($E36-$D36)*$I$2/(1+EXP($I$3*(COUNT($H$9:AG$9)+$I$4))),TREND($D36:$E36,$D$9:$E$9,AG$9))</f>
        <v>5.2807147175857883E-3</v>
      </c>
      <c r="AH36">
        <f>IF($F36="s-curve",$D36+($E36-$D36)*$I$2/(1+EXP($I$3*(COUNT($H$9:AH$9)+$I$4))),TREND($D36:$E36,$D$9:$E$9,AH$9))</f>
        <v>5.4602913889316707E-3</v>
      </c>
      <c r="AI36">
        <f>IF($F36="s-curve",$D36+($E36-$D36)*$I$2/(1+EXP($I$3*(COUNT($H$9:AI$9)+$I$4))),TREND($D36:$E36,$D$9:$E$9,AI$9))</f>
        <v>5.6398680602775531E-3</v>
      </c>
      <c r="AJ36">
        <f>IF($F36="s-curve",$D36+($E36-$D36)*$I$2/(1+EXP($I$3*(COUNT($H$9:AJ$9)+$I$4))),TREND($D36:$E36,$D$9:$E$9,AJ$9))</f>
        <v>5.8194447316234355E-3</v>
      </c>
      <c r="AK36">
        <f>IF($F36="s-curve",$D36+($E36-$D36)*$I$2/(1+EXP($I$3*(COUNT($H$9:AK$9)+$I$4))),TREND($D36:$E36,$D$9:$E$9,AK$9))</f>
        <v>5.9990214029693179E-3</v>
      </c>
      <c r="AL36">
        <f>IF($F36="s-curve",$D36+($E36-$D36)*$I$2/(1+EXP($I$3*(COUNT($H$9:AL$9)+$I$4))),TREND($D36:$E36,$D$9:$E$9,AL$9))</f>
        <v>6.1785980743152003E-3</v>
      </c>
    </row>
    <row r="37" spans="1:38" ht="15.75" thickBot="1" x14ac:dyDescent="0.3">
      <c r="A37" s="23"/>
      <c r="B37" s="23"/>
      <c r="C37" s="23" t="s">
        <v>125</v>
      </c>
      <c r="D37" s="26">
        <f>'SYVbT-freight'!H3/SUM('SYVbT-freight'!3:3)</f>
        <v>2.2506977162920506E-5</v>
      </c>
      <c r="E37" s="26">
        <f>SUM(SUM(INDEX('AEO 49'!142:142,0,MATCH(E$9,'AEO 49'!$1:$1,0))),SUM(INDEX('AEO 49'!153:153,0,MATCH(E$9,'AEO 49'!$1:$1,0))),SUM(INDEX('AEO 49'!164:164,0,MATCH(E$9,'AEO 49'!$1:$1,0))))/INDEX('AEO 49'!$166:$166,MATCH(E$9,'AEO 49'!$1:$1,0))*Assumptions!A11</f>
        <v>6.167025946043298E-3</v>
      </c>
      <c r="F37" s="8" t="str">
        <f>IF(D37=E37,"n/a",IF(OR(C37="battery electric vehicle",C37="natural gas vehicle",C37="plugin hybrid vehicle",C37="hydrogen vehicle"),"s-curve","linear"))</f>
        <v>s-curve</v>
      </c>
      <c r="H37" s="22">
        <f t="shared" si="1"/>
        <v>2.2506977162920506E-5</v>
      </c>
      <c r="I37">
        <f>IF($F37="s-curve",$D37+($E37-$D37)*$I$2/(1+EXP($I$3*(COUNT($H$9:I$9)+$I$4))),TREND($D37:$E37,$D$9:$E$9,I$9))</f>
        <v>1.1328629514907667E-4</v>
      </c>
      <c r="J37">
        <f>IF($F37="s-curve",$D37+($E37-$D37)*$I$2/(1+EXP($I$3*(COUNT($H$9:J$9)+$I$4))),TREND($D37:$E37,$D$9:$E$9,J$9))</f>
        <v>1.444161120943459E-4</v>
      </c>
      <c r="K37">
        <f>IF($F37="s-curve",$D37+($E37-$D37)*$I$2/(1+EXP($I$3*(COUNT($H$9:K$9)+$I$4))),TREND($D37:$E37,$D$9:$E$9,K$9))</f>
        <v>1.8593270871116238E-4</v>
      </c>
      <c r="L37">
        <f>IF($F37="s-curve",$D37+($E37-$D37)*$I$2/(1+EXP($I$3*(COUNT($H$9:L$9)+$I$4))),TREND($D37:$E37,$D$9:$E$9,L$9))</f>
        <v>2.410748243942677E-4</v>
      </c>
      <c r="M37">
        <f>IF($F37="s-curve",$D37+($E37-$D37)*$I$2/(1+EXP($I$3*(COUNT($H$9:M$9)+$I$4))),TREND($D37:$E37,$D$9:$E$9,M$9))</f>
        <v>3.139161545181947E-4</v>
      </c>
      <c r="N37">
        <f>IF($F37="s-curve",$D37+($E37-$D37)*$I$2/(1+EXP($I$3*(COUNT($H$9:N$9)+$I$4))),TREND($D37:$E37,$D$9:$E$9,N$9))</f>
        <v>4.0944795798919357E-4</v>
      </c>
      <c r="O37">
        <f>IF($F37="s-curve",$D37+($E37-$D37)*$I$2/(1+EXP($I$3*(COUNT($H$9:O$9)+$I$4))),TREND($D37:$E37,$D$9:$E$9,O$9))</f>
        <v>5.3356318846275704E-4</v>
      </c>
      <c r="P37">
        <f>IF($F37="s-curve",$D37+($E37-$D37)*$I$2/(1+EXP($I$3*(COUNT($H$9:P$9)+$I$4))),TREND($D37:$E37,$D$9:$E$9,P$9))</f>
        <v>6.9285446444391488E-4</v>
      </c>
      <c r="Q37">
        <f>IF($F37="s-curve",$D37+($E37-$D37)*$I$2/(1+EXP($I$3*(COUNT($H$9:Q$9)+$I$4))),TREND($D37:$E37,$D$9:$E$9,Q$9))</f>
        <v>8.9411353619984948E-4</v>
      </c>
      <c r="R37">
        <f>IF($F37="s-curve",$D37+($E37-$D37)*$I$2/(1+EXP($I$3*(COUNT($H$9:R$9)+$I$4))),TREND($D37:$E37,$D$9:$E$9,R$9))</f>
        <v>1.1434240685990161E-3</v>
      </c>
      <c r="S37">
        <f>IF($F37="s-curve",$D37+($E37-$D37)*$I$2/(1+EXP($I$3*(COUNT($H$9:S$9)+$I$4))),TREND($D37:$E37,$D$9:$E$9,S$9))</f>
        <v>1.4448108357788989E-3</v>
      </c>
      <c r="T37">
        <f>IF($F37="s-curve",$D37+($E37-$D37)*$I$2/(1+EXP($I$3*(COUNT($H$9:T$9)+$I$4))),TREND($D37:$E37,$D$9:$E$9,T$9))</f>
        <v>1.7985832412478915E-3</v>
      </c>
      <c r="U37">
        <f>IF($F37="s-curve",$D37+($E37-$D37)*$I$2/(1+EXP($I$3*(COUNT($H$9:U$9)+$I$4))),TREND($D37:$E37,$D$9:$E$9,U$9))</f>
        <v>2.1997785250616603E-3</v>
      </c>
      <c r="V37">
        <f>IF($F37="s-curve",$D37+($E37-$D37)*$I$2/(1+EXP($I$3*(COUNT($H$9:V$9)+$I$4))),TREND($D37:$E37,$D$9:$E$9,V$9))</f>
        <v>2.6373530049626742E-3</v>
      </c>
      <c r="W37">
        <f>IF($F37="s-curve",$D37+($E37-$D37)*$I$2/(1+EXP($I$3*(COUNT($H$9:W$9)+$I$4))),TREND($D37:$E37,$D$9:$E$9,W$9))</f>
        <v>3.0947664616031096E-3</v>
      </c>
      <c r="X37">
        <f>IF($F37="s-curve",$D37+($E37-$D37)*$I$2/(1+EXP($I$3*(COUNT($H$9:X$9)+$I$4))),TREND($D37:$E37,$D$9:$E$9,X$9))</f>
        <v>3.5521799182435449E-3</v>
      </c>
      <c r="Y37">
        <f>IF($F37="s-curve",$D37+($E37-$D37)*$I$2/(1+EXP($I$3*(COUNT($H$9:Y$9)+$I$4))),TREND($D37:$E37,$D$9:$E$9,Y$9))</f>
        <v>3.989754398144558E-3</v>
      </c>
      <c r="Z37">
        <f>IF($F37="s-curve",$D37+($E37-$D37)*$I$2/(1+EXP($I$3*(COUNT($H$9:Z$9)+$I$4))),TREND($D37:$E37,$D$9:$E$9,Z$9))</f>
        <v>4.3909496819583265E-3</v>
      </c>
      <c r="AA37">
        <f>IF($F37="s-curve",$D37+($E37-$D37)*$I$2/(1+EXP($I$3*(COUNT($H$9:AA$9)+$I$4))),TREND($D37:$E37,$D$9:$E$9,AA$9))</f>
        <v>4.7447220874273196E-3</v>
      </c>
      <c r="AB37">
        <f>IF($F37="s-curve",$D37+($E37-$D37)*$I$2/(1+EXP($I$3*(COUNT($H$9:AB$9)+$I$4))),TREND($D37:$E37,$D$9:$E$9,AB$9))</f>
        <v>5.0461088546072024E-3</v>
      </c>
      <c r="AC37">
        <f>IF($F37="s-curve",$D37+($E37-$D37)*$I$2/(1+EXP($I$3*(COUNT($H$9:AC$9)+$I$4))),TREND($D37:$E37,$D$9:$E$9,AC$9))</f>
        <v>5.2954193870063697E-3</v>
      </c>
      <c r="AD37">
        <f>IF($F37="s-curve",$D37+($E37-$D37)*$I$2/(1+EXP($I$3*(COUNT($H$9:AD$9)+$I$4))),TREND($D37:$E37,$D$9:$E$9,AD$9))</f>
        <v>5.4966784587623038E-3</v>
      </c>
      <c r="AE37">
        <f>IF($F37="s-curve",$D37+($E37-$D37)*$I$2/(1+EXP($I$3*(COUNT($H$9:AE$9)+$I$4))),TREND($D37:$E37,$D$9:$E$9,AE$9))</f>
        <v>5.6559697347434617E-3</v>
      </c>
      <c r="AF37">
        <f>IF($F37="s-curve",$D37+($E37-$D37)*$I$2/(1+EXP($I$3*(COUNT($H$9:AF$9)+$I$4))),TREND($D37:$E37,$D$9:$E$9,AF$9))</f>
        <v>5.7800849652170248E-3</v>
      </c>
      <c r="AG37">
        <f>IF($F37="s-curve",$D37+($E37-$D37)*$I$2/(1+EXP($I$3*(COUNT($H$9:AG$9)+$I$4))),TREND($D37:$E37,$D$9:$E$9,AG$9))</f>
        <v>5.875616768688024E-3</v>
      </c>
      <c r="AH37">
        <f>IF($F37="s-curve",$D37+($E37-$D37)*$I$2/(1+EXP($I$3*(COUNT($H$9:AH$9)+$I$4))),TREND($D37:$E37,$D$9:$E$9,AH$9))</f>
        <v>5.948458098811951E-3</v>
      </c>
      <c r="AI37">
        <f>IF($F37="s-curve",$D37+($E37-$D37)*$I$2/(1+EXP($I$3*(COUNT($H$9:AI$9)+$I$4))),TREND($D37:$E37,$D$9:$E$9,AI$9))</f>
        <v>6.0036002144950558E-3</v>
      </c>
      <c r="AJ37">
        <f>IF($F37="s-curve",$D37+($E37-$D37)*$I$2/(1+EXP($I$3*(COUNT($H$9:AJ$9)+$I$4))),TREND($D37:$E37,$D$9:$E$9,AJ$9))</f>
        <v>6.0451168111118727E-3</v>
      </c>
      <c r="AK37">
        <f>IF($F37="s-curve",$D37+($E37-$D37)*$I$2/(1+EXP($I$3*(COUNT($H$9:AK$9)+$I$4))),TREND($D37:$E37,$D$9:$E$9,AK$9))</f>
        <v>6.0762466280571414E-3</v>
      </c>
      <c r="AL37">
        <f>IF($F37="s-curve",$D37+($E37-$D37)*$I$2/(1+EXP($I$3*(COUNT($H$9:AL$9)+$I$4))),TREND($D37:$E37,$D$9:$E$9,AL$9))</f>
        <v>6.0995164686396177E-3</v>
      </c>
    </row>
    <row r="38" spans="1:38" x14ac:dyDescent="0.25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H38" s="22">
        <f t="shared" si="1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 x14ac:dyDescent="0.25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H39" s="22">
        <f t="shared" si="1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 x14ac:dyDescent="0.25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H40" s="22">
        <f t="shared" si="1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 x14ac:dyDescent="0.25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H41" s="22">
        <f t="shared" ref="H41:H72" si="2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 x14ac:dyDescent="0.25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H42" s="22">
        <f t="shared" si="2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 x14ac:dyDescent="0.25">
      <c r="C43" t="s">
        <v>124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H43" s="22">
        <f t="shared" si="2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.75" thickBot="1" x14ac:dyDescent="0.3">
      <c r="A44" s="23"/>
      <c r="B44" s="23"/>
      <c r="C44" s="23" t="s">
        <v>125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H44" s="22">
        <f t="shared" si="2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 x14ac:dyDescent="0.25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H45" s="22">
        <f t="shared" si="2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 x14ac:dyDescent="0.25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H46" s="22">
        <f t="shared" si="2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 x14ac:dyDescent="0.25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H47" s="22">
        <f t="shared" si="2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 x14ac:dyDescent="0.25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H48" s="22">
        <f t="shared" si="2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 x14ac:dyDescent="0.25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H49" s="22">
        <f t="shared" si="2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 x14ac:dyDescent="0.25">
      <c r="C50" t="s">
        <v>124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H50" s="22">
        <f t="shared" si="2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.75" thickBot="1" x14ac:dyDescent="0.3">
      <c r="A51" s="23"/>
      <c r="B51" s="23"/>
      <c r="C51" s="23" t="s">
        <v>125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H51" s="22">
        <f t="shared" si="2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 x14ac:dyDescent="0.25">
      <c r="A52" t="s">
        <v>15</v>
      </c>
      <c r="B52" t="s">
        <v>19</v>
      </c>
      <c r="C52" t="s">
        <v>1</v>
      </c>
      <c r="D52" s="22">
        <f>'SYVbT-passenger'!B5/SUM('SYVbT-passenger'!B5:H5)</f>
        <v>0.75216927859794647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H52" s="22">
        <f t="shared" si="2"/>
        <v>0.75216927859794647</v>
      </c>
      <c r="I52">
        <f>IF($F52="s-curve",$D52+($E52-$D52)*$I$2/(1+EXP($I$3*(COUNT($H$9:I$9)+$I$4))),TREND($D52:$E52,$D$9:$E$9,I$9))</f>
        <v>0.75583073753050711</v>
      </c>
      <c r="J52">
        <f>IF($F52="s-curve",$D52+($E52-$D52)*$I$2/(1+EXP($I$3*(COUNT($H$9:J$9)+$I$4))),TREND($D52:$E52,$D$9:$E$9,J$9))</f>
        <v>0.75708631588086017</v>
      </c>
      <c r="K52">
        <f>IF($F52="s-curve",$D52+($E52-$D52)*$I$2/(1+EXP($I$3*(COUNT($H$9:K$9)+$I$4))),TREND($D52:$E52,$D$9:$E$9,K$9))</f>
        <v>0.75876083070322697</v>
      </c>
      <c r="L52">
        <f>IF($F52="s-curve",$D52+($E52-$D52)*$I$2/(1+EXP($I$3*(COUNT($H$9:L$9)+$I$4))),TREND($D52:$E52,$D$9:$E$9,L$9))</f>
        <v>0.76098491209651287</v>
      </c>
      <c r="M52">
        <f>IF($F52="s-curve",$D52+($E52-$D52)*$I$2/(1+EXP($I$3*(COUNT($H$9:M$9)+$I$4))),TREND($D52:$E52,$D$9:$E$9,M$9))</f>
        <v>0.76392286696066514</v>
      </c>
      <c r="N52">
        <f>IF($F52="s-curve",$D52+($E52-$D52)*$I$2/(1+EXP($I$3*(COUNT($H$9:N$9)+$I$4))),TREND($D52:$E52,$D$9:$E$9,N$9))</f>
        <v>0.76777601085866032</v>
      </c>
      <c r="O52">
        <f>IF($F52="s-curve",$D52+($E52-$D52)*$I$2/(1+EXP($I$3*(COUNT($H$9:O$9)+$I$4))),TREND($D52:$E52,$D$9:$E$9,O$9))</f>
        <v>0.77278202797098927</v>
      </c>
      <c r="P52">
        <f>IF($F52="s-curve",$D52+($E52-$D52)*$I$2/(1+EXP($I$3*(COUNT($H$9:P$9)+$I$4))),TREND($D52:$E52,$D$9:$E$9,P$9))</f>
        <v>0.77920682249752604</v>
      </c>
      <c r="Q52">
        <f>IF($F52="s-curve",$D52+($E52-$D52)*$I$2/(1+EXP($I$3*(COUNT($H$9:Q$9)+$I$4))),TREND($D52:$E52,$D$9:$E$9,Q$9))</f>
        <v>0.78732433034388383</v>
      </c>
      <c r="R52">
        <f>IF($F52="s-curve",$D52+($E52-$D52)*$I$2/(1+EXP($I$3*(COUNT($H$9:R$9)+$I$4))),TREND($D52:$E52,$D$9:$E$9,R$9))</f>
        <v>0.79737992776502331</v>
      </c>
      <c r="S52">
        <f>IF($F52="s-curve",$D52+($E52-$D52)*$I$2/(1+EXP($I$3*(COUNT($H$9:S$9)+$I$4))),TREND($D52:$E52,$D$9:$E$9,S$9))</f>
        <v>0.80953594849008148</v>
      </c>
      <c r="T52">
        <f>IF($F52="s-curve",$D52+($E52-$D52)*$I$2/(1+EXP($I$3*(COUNT($H$9:T$9)+$I$4))),TREND($D52:$E52,$D$9:$E$9,T$9))</f>
        <v>0.82380487188401408</v>
      </c>
      <c r="U52">
        <f>IF($F52="s-curve",$D52+($E52-$D52)*$I$2/(1+EXP($I$3*(COUNT($H$9:U$9)+$I$4))),TREND($D52:$E52,$D$9:$E$9,U$9))</f>
        <v>0.83998653185027594</v>
      </c>
      <c r="V52">
        <f>IF($F52="s-curve",$D52+($E52-$D52)*$I$2/(1+EXP($I$3*(COUNT($H$9:V$9)+$I$4))),TREND($D52:$E52,$D$9:$E$9,V$9))</f>
        <v>0.8576354966545553</v>
      </c>
      <c r="W52">
        <f>IF($F52="s-curve",$D52+($E52-$D52)*$I$2/(1+EXP($I$3*(COUNT($H$9:W$9)+$I$4))),TREND($D52:$E52,$D$9:$E$9,W$9))</f>
        <v>0.87608463929897318</v>
      </c>
      <c r="X52">
        <f>IF($F52="s-curve",$D52+($E52-$D52)*$I$2/(1+EXP($I$3*(COUNT($H$9:X$9)+$I$4))),TREND($D52:$E52,$D$9:$E$9,X$9))</f>
        <v>0.89453378194339117</v>
      </c>
      <c r="Y52">
        <f>IF($F52="s-curve",$D52+($E52-$D52)*$I$2/(1+EXP($I$3*(COUNT($H$9:Y$9)+$I$4))),TREND($D52:$E52,$D$9:$E$9,Y$9))</f>
        <v>0.91218274674767053</v>
      </c>
      <c r="Z52">
        <f>IF($F52="s-curve",$D52+($E52-$D52)*$I$2/(1+EXP($I$3*(COUNT($H$9:Z$9)+$I$4))),TREND($D52:$E52,$D$9:$E$9,Z$9))</f>
        <v>0.92836440671393228</v>
      </c>
      <c r="AA52">
        <f>IF($F52="s-curve",$D52+($E52-$D52)*$I$2/(1+EXP($I$3*(COUNT($H$9:AA$9)+$I$4))),TREND($D52:$E52,$D$9:$E$9,AA$9))</f>
        <v>0.94263333010786499</v>
      </c>
      <c r="AB52">
        <f>IF($F52="s-curve",$D52+($E52-$D52)*$I$2/(1+EXP($I$3*(COUNT($H$9:AB$9)+$I$4))),TREND($D52:$E52,$D$9:$E$9,AB$9))</f>
        <v>0.95478935083292327</v>
      </c>
      <c r="AC52">
        <f>IF($F52="s-curve",$D52+($E52-$D52)*$I$2/(1+EXP($I$3*(COUNT($H$9:AC$9)+$I$4))),TREND($D52:$E52,$D$9:$E$9,AC$9))</f>
        <v>0.96484494825406264</v>
      </c>
      <c r="AD52">
        <f>IF($F52="s-curve",$D52+($E52-$D52)*$I$2/(1+EXP($I$3*(COUNT($H$9:AD$9)+$I$4))),TREND($D52:$E52,$D$9:$E$9,AD$9))</f>
        <v>0.97296245610042043</v>
      </c>
      <c r="AE52">
        <f>IF($F52="s-curve",$D52+($E52-$D52)*$I$2/(1+EXP($I$3*(COUNT($H$9:AE$9)+$I$4))),TREND($D52:$E52,$D$9:$E$9,AE$9))</f>
        <v>0.9793872506269572</v>
      </c>
      <c r="AF52">
        <f>IF($F52="s-curve",$D52+($E52-$D52)*$I$2/(1+EXP($I$3*(COUNT($H$9:AF$9)+$I$4))),TREND($D52:$E52,$D$9:$E$9,AF$9))</f>
        <v>0.98439326773928615</v>
      </c>
      <c r="AG52">
        <f>IF($F52="s-curve",$D52+($E52-$D52)*$I$2/(1+EXP($I$3*(COUNT($H$9:AG$9)+$I$4))),TREND($D52:$E52,$D$9:$E$9,AG$9))</f>
        <v>0.98824641163728133</v>
      </c>
      <c r="AH52">
        <f>IF($F52="s-curve",$D52+($E52-$D52)*$I$2/(1+EXP($I$3*(COUNT($H$9:AH$9)+$I$4))),TREND($D52:$E52,$D$9:$E$9,AH$9))</f>
        <v>0.9911843665014336</v>
      </c>
      <c r="AI52">
        <f>IF($F52="s-curve",$D52+($E52-$D52)*$I$2/(1+EXP($I$3*(COUNT($H$9:AI$9)+$I$4))),TREND($D52:$E52,$D$9:$E$9,AI$9))</f>
        <v>0.99340844789471949</v>
      </c>
      <c r="AJ52">
        <f>IF($F52="s-curve",$D52+($E52-$D52)*$I$2/(1+EXP($I$3*(COUNT($H$9:AJ$9)+$I$4))),TREND($D52:$E52,$D$9:$E$9,AJ$9))</f>
        <v>0.99508296271708629</v>
      </c>
      <c r="AK52">
        <f>IF($F52="s-curve",$D52+($E52-$D52)*$I$2/(1+EXP($I$3*(COUNT($H$9:AK$9)+$I$4))),TREND($D52:$E52,$D$9:$E$9,AK$9))</f>
        <v>0.99633854106743935</v>
      </c>
      <c r="AL52">
        <f>IF($F52="s-curve",$D52+($E52-$D52)*$I$2/(1+EXP($I$3*(COUNT($H$9:AL$9)+$I$4))),TREND($D52:$E52,$D$9:$E$9,AL$9))</f>
        <v>0.99727709808185716</v>
      </c>
    </row>
    <row r="53" spans="1:38" x14ac:dyDescent="0.25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H53" s="22">
        <f t="shared" si="2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 x14ac:dyDescent="0.25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H54" s="22">
        <f t="shared" si="2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 x14ac:dyDescent="0.25">
      <c r="C55" t="s">
        <v>4</v>
      </c>
      <c r="D55" s="22">
        <f>1-D52</f>
        <v>0.24783072140205353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H55" s="22">
        <f t="shared" si="2"/>
        <v>0.24783072140205353</v>
      </c>
      <c r="I55">
        <f>IF($F55="s-curve",$D55+($E55-$D55)*$I$2/(1+EXP($I$3*(COUNT($H$9:I$9)+$I$4))),TREND($D55:$E55,$D$9:$E$9,I$9))</f>
        <v>0.27290303068864574</v>
      </c>
      <c r="J55">
        <f>IF($F55="s-curve",$D55+($E55-$D55)*$I$2/(1+EXP($I$3*(COUNT($H$9:J$9)+$I$4))),TREND($D55:$E55,$D$9:$E$9,J$9))</f>
        <v>0.29797533997524539</v>
      </c>
      <c r="K55">
        <f>IF($F55="s-curve",$D55+($E55-$D55)*$I$2/(1+EXP($I$3*(COUNT($H$9:K$9)+$I$4))),TREND($D55:$E55,$D$9:$E$9,K$9))</f>
        <v>0.32304764926184504</v>
      </c>
      <c r="L55">
        <f>IF($F55="s-curve",$D55+($E55-$D55)*$I$2/(1+EXP($I$3*(COUNT($H$9:L$9)+$I$4))),TREND($D55:$E55,$D$9:$E$9,L$9))</f>
        <v>0.34811995854844469</v>
      </c>
      <c r="M55">
        <f>IF($F55="s-curve",$D55+($E55-$D55)*$I$2/(1+EXP($I$3*(COUNT($H$9:M$9)+$I$4))),TREND($D55:$E55,$D$9:$E$9,M$9))</f>
        <v>0.37319226783504433</v>
      </c>
      <c r="N55">
        <f>IF($F55="s-curve",$D55+($E55-$D55)*$I$2/(1+EXP($I$3*(COUNT($H$9:N$9)+$I$4))),TREND($D55:$E55,$D$9:$E$9,N$9))</f>
        <v>0.39826457712163688</v>
      </c>
      <c r="O55">
        <f>IF($F55="s-curve",$D55+($E55-$D55)*$I$2/(1+EXP($I$3*(COUNT($H$9:O$9)+$I$4))),TREND($D55:$E55,$D$9:$E$9,O$9))</f>
        <v>0.42333688640823652</v>
      </c>
      <c r="P55">
        <f>IF($F55="s-curve",$D55+($E55-$D55)*$I$2/(1+EXP($I$3*(COUNT($H$9:P$9)+$I$4))),TREND($D55:$E55,$D$9:$E$9,P$9))</f>
        <v>0.44840919569483617</v>
      </c>
      <c r="Q55">
        <f>IF($F55="s-curve",$D55+($E55-$D55)*$I$2/(1+EXP($I$3*(COUNT($H$9:Q$9)+$I$4))),TREND($D55:$E55,$D$9:$E$9,Q$9))</f>
        <v>0.47348150498143582</v>
      </c>
      <c r="R55">
        <f>IF($F55="s-curve",$D55+($E55-$D55)*$I$2/(1+EXP($I$3*(COUNT($H$9:R$9)+$I$4))),TREND($D55:$E55,$D$9:$E$9,R$9))</f>
        <v>0.49855381426803547</v>
      </c>
      <c r="S55">
        <f>IF($F55="s-curve",$D55+($E55-$D55)*$I$2/(1+EXP($I$3*(COUNT($H$9:S$9)+$I$4))),TREND($D55:$E55,$D$9:$E$9,S$9))</f>
        <v>0.52362612355462801</v>
      </c>
      <c r="T55">
        <f>IF($F55="s-curve",$D55+($E55-$D55)*$I$2/(1+EXP($I$3*(COUNT($H$9:T$9)+$I$4))),TREND($D55:$E55,$D$9:$E$9,T$9))</f>
        <v>0.54869843284122766</v>
      </c>
      <c r="U55">
        <f>IF($F55="s-curve",$D55+($E55-$D55)*$I$2/(1+EXP($I$3*(COUNT($H$9:U$9)+$I$4))),TREND($D55:$E55,$D$9:$E$9,U$9))</f>
        <v>0.5737707421278273</v>
      </c>
      <c r="V55">
        <f>IF($F55="s-curve",$D55+($E55-$D55)*$I$2/(1+EXP($I$3*(COUNT($H$9:V$9)+$I$4))),TREND($D55:$E55,$D$9:$E$9,V$9))</f>
        <v>0.59884305141442695</v>
      </c>
      <c r="W55">
        <f>IF($F55="s-curve",$D55+($E55-$D55)*$I$2/(1+EXP($I$3*(COUNT($H$9:W$9)+$I$4))),TREND($D55:$E55,$D$9:$E$9,W$9))</f>
        <v>0.6239153607010266</v>
      </c>
      <c r="X55">
        <f>IF($F55="s-curve",$D55+($E55-$D55)*$I$2/(1+EXP($I$3*(COUNT($H$9:X$9)+$I$4))),TREND($D55:$E55,$D$9:$E$9,X$9))</f>
        <v>0.64898766998761914</v>
      </c>
      <c r="Y55">
        <f>IF($F55="s-curve",$D55+($E55-$D55)*$I$2/(1+EXP($I$3*(COUNT($H$9:Y$9)+$I$4))),TREND($D55:$E55,$D$9:$E$9,Y$9))</f>
        <v>0.67405997927421879</v>
      </c>
      <c r="Z55">
        <f>IF($F55="s-curve",$D55+($E55-$D55)*$I$2/(1+EXP($I$3*(COUNT($H$9:Z$9)+$I$4))),TREND($D55:$E55,$D$9:$E$9,Z$9))</f>
        <v>0.69913228856081844</v>
      </c>
      <c r="AA55">
        <f>IF($F55="s-curve",$D55+($E55-$D55)*$I$2/(1+EXP($I$3*(COUNT($H$9:AA$9)+$I$4))),TREND($D55:$E55,$D$9:$E$9,AA$9))</f>
        <v>0.72420459784741809</v>
      </c>
      <c r="AB55">
        <f>IF($F55="s-curve",$D55+($E55-$D55)*$I$2/(1+EXP($I$3*(COUNT($H$9:AB$9)+$I$4))),TREND($D55:$E55,$D$9:$E$9,AB$9))</f>
        <v>0.74927690713401773</v>
      </c>
      <c r="AC55">
        <f>IF($F55="s-curve",$D55+($E55-$D55)*$I$2/(1+EXP($I$3*(COUNT($H$9:AC$9)+$I$4))),TREND($D55:$E55,$D$9:$E$9,AC$9))</f>
        <v>0.77434921642061028</v>
      </c>
      <c r="AD55">
        <f>IF($F55="s-curve",$D55+($E55-$D55)*$I$2/(1+EXP($I$3*(COUNT($H$9:AD$9)+$I$4))),TREND($D55:$E55,$D$9:$E$9,AD$9))</f>
        <v>0.79942152570720992</v>
      </c>
      <c r="AE55">
        <f>IF($F55="s-curve",$D55+($E55-$D55)*$I$2/(1+EXP($I$3*(COUNT($H$9:AE$9)+$I$4))),TREND($D55:$E55,$D$9:$E$9,AE$9))</f>
        <v>0.82449383499380957</v>
      </c>
      <c r="AF55">
        <f>IF($F55="s-curve",$D55+($E55-$D55)*$I$2/(1+EXP($I$3*(COUNT($H$9:AF$9)+$I$4))),TREND($D55:$E55,$D$9:$E$9,AF$9))</f>
        <v>0.84956614428040922</v>
      </c>
      <c r="AG55">
        <f>IF($F55="s-curve",$D55+($E55-$D55)*$I$2/(1+EXP($I$3*(COUNT($H$9:AG$9)+$I$4))),TREND($D55:$E55,$D$9:$E$9,AG$9))</f>
        <v>0.87463845356700887</v>
      </c>
      <c r="AH55">
        <f>IF($F55="s-curve",$D55+($E55-$D55)*$I$2/(1+EXP($I$3*(COUNT($H$9:AH$9)+$I$4))),TREND($D55:$E55,$D$9:$E$9,AH$9))</f>
        <v>0.89971076285360141</v>
      </c>
      <c r="AI55">
        <f>IF($F55="s-curve",$D55+($E55-$D55)*$I$2/(1+EXP($I$3*(COUNT($H$9:AI$9)+$I$4))),TREND($D55:$E55,$D$9:$E$9,AI$9))</f>
        <v>0.92478307214020106</v>
      </c>
      <c r="AJ55">
        <f>IF($F55="s-curve",$D55+($E55-$D55)*$I$2/(1+EXP($I$3*(COUNT($H$9:AJ$9)+$I$4))),TREND($D55:$E55,$D$9:$E$9,AJ$9))</f>
        <v>0.9498553814268007</v>
      </c>
      <c r="AK55">
        <f>IF($F55="s-curve",$D55+($E55-$D55)*$I$2/(1+EXP($I$3*(COUNT($H$9:AK$9)+$I$4))),TREND($D55:$E55,$D$9:$E$9,AK$9))</f>
        <v>0.97492769071340035</v>
      </c>
      <c r="AL55">
        <f>IF($F55="s-curve",$D55+($E55-$D55)*$I$2/(1+EXP($I$3*(COUNT($H$9:AL$9)+$I$4))),TREND($D55:$E55,$D$9:$E$9,AL$9))</f>
        <v>1</v>
      </c>
    </row>
    <row r="56" spans="1:38" x14ac:dyDescent="0.25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H56" s="22">
        <f t="shared" si="2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 x14ac:dyDescent="0.25">
      <c r="C57" t="s">
        <v>124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H57" s="22">
        <f t="shared" si="2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.75" thickBot="1" x14ac:dyDescent="0.3">
      <c r="A58" s="23"/>
      <c r="B58" s="23"/>
      <c r="C58" s="23" t="s">
        <v>125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H58" s="22">
        <f t="shared" si="2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 x14ac:dyDescent="0.25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H59" s="22">
        <f t="shared" si="2"/>
        <v>0</v>
      </c>
      <c r="I59">
        <f>IF($F59="s-curve",$D59+($E59-$D59)*$I$2/(1+EXP($I$3*(COUNT($H$9:I$9)+$I$4))),TREND($D59:$E59,$D$9:$E$9,I$9))</f>
        <v>0</v>
      </c>
      <c r="J59">
        <f>IF($F59="s-curve",$D59+($E59-$D59)*$I$2/(1+EXP($I$3*(COUNT($H$9:J$9)+$I$4))),TREND($D59:$E59,$D$9:$E$9,J$9))</f>
        <v>0</v>
      </c>
      <c r="K59">
        <f>IF($F59="s-curve",$D59+($E59-$D59)*$I$2/(1+EXP($I$3*(COUNT($H$9:K$9)+$I$4))),TREND($D59:$E59,$D$9:$E$9,K$9))</f>
        <v>0</v>
      </c>
      <c r="L59">
        <f>IF($F59="s-curve",$D59+($E59-$D59)*$I$2/(1+EXP($I$3*(COUNT($H$9:L$9)+$I$4))),TREND($D59:$E59,$D$9:$E$9,L$9))</f>
        <v>0</v>
      </c>
      <c r="M59">
        <f>IF($F59="s-curve",$D59+($E59-$D59)*$I$2/(1+EXP($I$3*(COUNT($H$9:M$9)+$I$4))),TREND($D59:$E59,$D$9:$E$9,M$9))</f>
        <v>0</v>
      </c>
      <c r="N59">
        <f>IF($F59="s-curve",$D59+($E59-$D59)*$I$2/(1+EXP($I$3*(COUNT($H$9:N$9)+$I$4))),TREND($D59:$E59,$D$9:$E$9,N$9))</f>
        <v>0</v>
      </c>
      <c r="O59">
        <f>IF($F59="s-curve",$D59+($E59-$D59)*$I$2/(1+EXP($I$3*(COUNT($H$9:O$9)+$I$4))),TREND($D59:$E59,$D$9:$E$9,O$9))</f>
        <v>0</v>
      </c>
      <c r="P59">
        <f>IF($F59="s-curve",$D59+($E59-$D59)*$I$2/(1+EXP($I$3*(COUNT($H$9:P$9)+$I$4))),TREND($D59:$E59,$D$9:$E$9,P$9))</f>
        <v>0</v>
      </c>
      <c r="Q59">
        <f>IF($F59="s-curve",$D59+($E59-$D59)*$I$2/(1+EXP($I$3*(COUNT($H$9:Q$9)+$I$4))),TREND($D59:$E59,$D$9:$E$9,Q$9))</f>
        <v>0</v>
      </c>
      <c r="R59">
        <f>IF($F59="s-curve",$D59+($E59-$D59)*$I$2/(1+EXP($I$3*(COUNT($H$9:R$9)+$I$4))),TREND($D59:$E59,$D$9:$E$9,R$9))</f>
        <v>0</v>
      </c>
      <c r="S59">
        <f>IF($F59="s-curve",$D59+($E59-$D59)*$I$2/(1+EXP($I$3*(COUNT($H$9:S$9)+$I$4))),TREND($D59:$E59,$D$9:$E$9,S$9))</f>
        <v>0</v>
      </c>
      <c r="T59">
        <f>IF($F59="s-curve",$D59+($E59-$D59)*$I$2/(1+EXP($I$3*(COUNT($H$9:T$9)+$I$4))),TREND($D59:$E59,$D$9:$E$9,T$9))</f>
        <v>0</v>
      </c>
      <c r="U59">
        <f>IF($F59="s-curve",$D59+($E59-$D59)*$I$2/(1+EXP($I$3*(COUNT($H$9:U$9)+$I$4))),TREND($D59:$E59,$D$9:$E$9,U$9))</f>
        <v>0</v>
      </c>
      <c r="V59">
        <f>IF($F59="s-curve",$D59+($E59-$D59)*$I$2/(1+EXP($I$3*(COUNT($H$9:V$9)+$I$4))),TREND($D59:$E59,$D$9:$E$9,V$9))</f>
        <v>0</v>
      </c>
      <c r="W59">
        <f>IF($F59="s-curve",$D59+($E59-$D59)*$I$2/(1+EXP($I$3*(COUNT($H$9:W$9)+$I$4))),TREND($D59:$E59,$D$9:$E$9,W$9))</f>
        <v>0</v>
      </c>
      <c r="X59">
        <f>IF($F59="s-curve",$D59+($E59-$D59)*$I$2/(1+EXP($I$3*(COUNT($H$9:X$9)+$I$4))),TREND($D59:$E59,$D$9:$E$9,X$9))</f>
        <v>0</v>
      </c>
      <c r="Y59">
        <f>IF($F59="s-curve",$D59+($E59-$D59)*$I$2/(1+EXP($I$3*(COUNT($H$9:Y$9)+$I$4))),TREND($D59:$E59,$D$9:$E$9,Y$9))</f>
        <v>0</v>
      </c>
      <c r="Z59">
        <f>IF($F59="s-curve",$D59+($E59-$D59)*$I$2/(1+EXP($I$3*(COUNT($H$9:Z$9)+$I$4))),TREND($D59:$E59,$D$9:$E$9,Z$9))</f>
        <v>0</v>
      </c>
      <c r="AA59">
        <f>IF($F59="s-curve",$D59+($E59-$D59)*$I$2/(1+EXP($I$3*(COUNT($H$9:AA$9)+$I$4))),TREND($D59:$E59,$D$9:$E$9,AA$9))</f>
        <v>0</v>
      </c>
      <c r="AB59">
        <f>IF($F59="s-curve",$D59+($E59-$D59)*$I$2/(1+EXP($I$3*(COUNT($H$9:AB$9)+$I$4))),TREND($D59:$E59,$D$9:$E$9,AB$9))</f>
        <v>0</v>
      </c>
      <c r="AC59">
        <f>IF($F59="s-curve",$D59+($E59-$D59)*$I$2/(1+EXP($I$3*(COUNT($H$9:AC$9)+$I$4))),TREND($D59:$E59,$D$9:$E$9,AC$9))</f>
        <v>0</v>
      </c>
      <c r="AD59">
        <f>IF($F59="s-curve",$D59+($E59-$D59)*$I$2/(1+EXP($I$3*(COUNT($H$9:AD$9)+$I$4))),TREND($D59:$E59,$D$9:$E$9,AD$9))</f>
        <v>0</v>
      </c>
      <c r="AE59">
        <f>IF($F59="s-curve",$D59+($E59-$D59)*$I$2/(1+EXP($I$3*(COUNT($H$9:AE$9)+$I$4))),TREND($D59:$E59,$D$9:$E$9,AE$9))</f>
        <v>0</v>
      </c>
      <c r="AF59">
        <f>IF($F59="s-curve",$D59+($E59-$D59)*$I$2/(1+EXP($I$3*(COUNT($H$9:AF$9)+$I$4))),TREND($D59:$E59,$D$9:$E$9,AF$9))</f>
        <v>0</v>
      </c>
      <c r="AG59">
        <f>IF($F59="s-curve",$D59+($E59-$D59)*$I$2/(1+EXP($I$3*(COUNT($H$9:AG$9)+$I$4))),TREND($D59:$E59,$D$9:$E$9,AG$9))</f>
        <v>0</v>
      </c>
      <c r="AH59">
        <f>IF($F59="s-curve",$D59+($E59-$D59)*$I$2/(1+EXP($I$3*(COUNT($H$9:AH$9)+$I$4))),TREND($D59:$E59,$D$9:$E$9,AH$9))</f>
        <v>0</v>
      </c>
      <c r="AI59">
        <f>IF($F59="s-curve",$D59+($E59-$D59)*$I$2/(1+EXP($I$3*(COUNT($H$9:AI$9)+$I$4))),TREND($D59:$E59,$D$9:$E$9,AI$9))</f>
        <v>0</v>
      </c>
      <c r="AJ59">
        <f>IF($F59="s-curve",$D59+($E59-$D59)*$I$2/(1+EXP($I$3*(COUNT($H$9:AJ$9)+$I$4))),TREND($D59:$E59,$D$9:$E$9,AJ$9))</f>
        <v>0</v>
      </c>
      <c r="AK59">
        <f>IF($F59="s-curve",$D59+($E59-$D59)*$I$2/(1+EXP($I$3*(COUNT($H$9:AK$9)+$I$4))),TREND($D59:$E59,$D$9:$E$9,AK$9))</f>
        <v>0</v>
      </c>
      <c r="AL59">
        <f>IF($F59="s-curve",$D59+($E59-$D59)*$I$2/(1+EXP($I$3*(COUNT($H$9:AL$9)+$I$4))),TREND($D59:$E59,$D$9:$E$9,AL$9))</f>
        <v>0</v>
      </c>
    </row>
    <row r="60" spans="1:38" x14ac:dyDescent="0.25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H60" s="22">
        <f t="shared" si="2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 x14ac:dyDescent="0.25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H61" s="22">
        <f t="shared" si="2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 x14ac:dyDescent="0.25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H62" s="22">
        <f t="shared" si="2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 x14ac:dyDescent="0.25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H63" s="22">
        <f t="shared" si="2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 x14ac:dyDescent="0.25">
      <c r="C64" t="s">
        <v>124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H64" s="22">
        <f t="shared" si="2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.75" thickBot="1" x14ac:dyDescent="0.3">
      <c r="A65" s="23"/>
      <c r="B65" s="23"/>
      <c r="C65" s="23" t="s">
        <v>125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H65" s="22">
        <f t="shared" si="2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 x14ac:dyDescent="0.25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H66" s="22">
        <f t="shared" si="2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 x14ac:dyDescent="0.25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H67" s="22">
        <f t="shared" si="2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 x14ac:dyDescent="0.25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H68" s="22">
        <f t="shared" si="2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 x14ac:dyDescent="0.25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H69" s="22">
        <f t="shared" si="2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 x14ac:dyDescent="0.25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H70" s="22">
        <f t="shared" si="2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 x14ac:dyDescent="0.25">
      <c r="C71" t="s">
        <v>124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H71" s="22">
        <f t="shared" si="2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.75" thickBot="1" x14ac:dyDescent="0.3">
      <c r="A72" s="23"/>
      <c r="B72" s="23"/>
      <c r="C72" s="23" t="s">
        <v>125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H72" s="22">
        <f t="shared" si="2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 x14ac:dyDescent="0.25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H73" s="22">
        <f t="shared" ref="H73:H93" si="3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 x14ac:dyDescent="0.25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H74" s="22">
        <f t="shared" si="3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 x14ac:dyDescent="0.25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H75" s="22">
        <f t="shared" si="3"/>
        <v>0</v>
      </c>
      <c r="I75">
        <f>IF($F75="s-curve",$D75+($E75-$D75)*$I$2/(1+EXP($I$3*(COUNT($H$9:I$9)+$I$4))),TREND($D75:$E75,$D$9:$E$9,I$9))</f>
        <v>0</v>
      </c>
      <c r="J75">
        <f>IF($F75="s-curve",$D75+($E75-$D75)*$I$2/(1+EXP($I$3*(COUNT($H$9:J$9)+$I$4))),TREND($D75:$E75,$D$9:$E$9,J$9))</f>
        <v>0</v>
      </c>
      <c r="K75">
        <f>IF($F75="s-curve",$D75+($E75-$D75)*$I$2/(1+EXP($I$3*(COUNT($H$9:K$9)+$I$4))),TREND($D75:$E75,$D$9:$E$9,K$9))</f>
        <v>0</v>
      </c>
      <c r="L75">
        <f>IF($F75="s-curve",$D75+($E75-$D75)*$I$2/(1+EXP($I$3*(COUNT($H$9:L$9)+$I$4))),TREND($D75:$E75,$D$9:$E$9,L$9))</f>
        <v>0</v>
      </c>
      <c r="M75">
        <f>IF($F75="s-curve",$D75+($E75-$D75)*$I$2/(1+EXP($I$3*(COUNT($H$9:M$9)+$I$4))),TREND($D75:$E75,$D$9:$E$9,M$9))</f>
        <v>0</v>
      </c>
      <c r="N75">
        <f>IF($F75="s-curve",$D75+($E75-$D75)*$I$2/(1+EXP($I$3*(COUNT($H$9:N$9)+$I$4))),TREND($D75:$E75,$D$9:$E$9,N$9))</f>
        <v>0</v>
      </c>
      <c r="O75">
        <f>IF($F75="s-curve",$D75+($E75-$D75)*$I$2/(1+EXP($I$3*(COUNT($H$9:O$9)+$I$4))),TREND($D75:$E75,$D$9:$E$9,O$9))</f>
        <v>0</v>
      </c>
      <c r="P75">
        <f>IF($F75="s-curve",$D75+($E75-$D75)*$I$2/(1+EXP($I$3*(COUNT($H$9:P$9)+$I$4))),TREND($D75:$E75,$D$9:$E$9,P$9))</f>
        <v>0</v>
      </c>
      <c r="Q75">
        <f>IF($F75="s-curve",$D75+($E75-$D75)*$I$2/(1+EXP($I$3*(COUNT($H$9:Q$9)+$I$4))),TREND($D75:$E75,$D$9:$E$9,Q$9))</f>
        <v>0</v>
      </c>
      <c r="R75">
        <f>IF($F75="s-curve",$D75+($E75-$D75)*$I$2/(1+EXP($I$3*(COUNT($H$9:R$9)+$I$4))),TREND($D75:$E75,$D$9:$E$9,R$9))</f>
        <v>0</v>
      </c>
      <c r="S75">
        <f>IF($F75="s-curve",$D75+($E75-$D75)*$I$2/(1+EXP($I$3*(COUNT($H$9:S$9)+$I$4))),TREND($D75:$E75,$D$9:$E$9,S$9))</f>
        <v>0</v>
      </c>
      <c r="T75">
        <f>IF($F75="s-curve",$D75+($E75-$D75)*$I$2/(1+EXP($I$3*(COUNT($H$9:T$9)+$I$4))),TREND($D75:$E75,$D$9:$E$9,T$9))</f>
        <v>0</v>
      </c>
      <c r="U75">
        <f>IF($F75="s-curve",$D75+($E75-$D75)*$I$2/(1+EXP($I$3*(COUNT($H$9:U$9)+$I$4))),TREND($D75:$E75,$D$9:$E$9,U$9))</f>
        <v>0</v>
      </c>
      <c r="V75">
        <f>IF($F75="s-curve",$D75+($E75-$D75)*$I$2/(1+EXP($I$3*(COUNT($H$9:V$9)+$I$4))),TREND($D75:$E75,$D$9:$E$9,V$9))</f>
        <v>0</v>
      </c>
      <c r="W75">
        <f>IF($F75="s-curve",$D75+($E75-$D75)*$I$2/(1+EXP($I$3*(COUNT($H$9:W$9)+$I$4))),TREND($D75:$E75,$D$9:$E$9,W$9))</f>
        <v>0</v>
      </c>
      <c r="X75">
        <f>IF($F75="s-curve",$D75+($E75-$D75)*$I$2/(1+EXP($I$3*(COUNT($H$9:X$9)+$I$4))),TREND($D75:$E75,$D$9:$E$9,X$9))</f>
        <v>0</v>
      </c>
      <c r="Y75">
        <f>IF($F75="s-curve",$D75+($E75-$D75)*$I$2/(1+EXP($I$3*(COUNT($H$9:Y$9)+$I$4))),TREND($D75:$E75,$D$9:$E$9,Y$9))</f>
        <v>0</v>
      </c>
      <c r="Z75">
        <f>IF($F75="s-curve",$D75+($E75-$D75)*$I$2/(1+EXP($I$3*(COUNT($H$9:Z$9)+$I$4))),TREND($D75:$E75,$D$9:$E$9,Z$9))</f>
        <v>0</v>
      </c>
      <c r="AA75">
        <f>IF($F75="s-curve",$D75+($E75-$D75)*$I$2/(1+EXP($I$3*(COUNT($H$9:AA$9)+$I$4))),TREND($D75:$E75,$D$9:$E$9,AA$9))</f>
        <v>0</v>
      </c>
      <c r="AB75">
        <f>IF($F75="s-curve",$D75+($E75-$D75)*$I$2/(1+EXP($I$3*(COUNT($H$9:AB$9)+$I$4))),TREND($D75:$E75,$D$9:$E$9,AB$9))</f>
        <v>0</v>
      </c>
      <c r="AC75">
        <f>IF($F75="s-curve",$D75+($E75-$D75)*$I$2/(1+EXP($I$3*(COUNT($H$9:AC$9)+$I$4))),TREND($D75:$E75,$D$9:$E$9,AC$9))</f>
        <v>0</v>
      </c>
      <c r="AD75">
        <f>IF($F75="s-curve",$D75+($E75-$D75)*$I$2/(1+EXP($I$3*(COUNT($H$9:AD$9)+$I$4))),TREND($D75:$E75,$D$9:$E$9,AD$9))</f>
        <v>0</v>
      </c>
      <c r="AE75">
        <f>IF($F75="s-curve",$D75+($E75-$D75)*$I$2/(1+EXP($I$3*(COUNT($H$9:AE$9)+$I$4))),TREND($D75:$E75,$D$9:$E$9,AE$9))</f>
        <v>0</v>
      </c>
      <c r="AF75">
        <f>IF($F75="s-curve",$D75+($E75-$D75)*$I$2/(1+EXP($I$3*(COUNT($H$9:AF$9)+$I$4))),TREND($D75:$E75,$D$9:$E$9,AF$9))</f>
        <v>0</v>
      </c>
      <c r="AG75">
        <f>IF($F75="s-curve",$D75+($E75-$D75)*$I$2/(1+EXP($I$3*(COUNT($H$9:AG$9)+$I$4))),TREND($D75:$E75,$D$9:$E$9,AG$9))</f>
        <v>0</v>
      </c>
      <c r="AH75">
        <f>IF($F75="s-curve",$D75+($E75-$D75)*$I$2/(1+EXP($I$3*(COUNT($H$9:AH$9)+$I$4))),TREND($D75:$E75,$D$9:$E$9,AH$9))</f>
        <v>0</v>
      </c>
      <c r="AI75">
        <f>IF($F75="s-curve",$D75+($E75-$D75)*$I$2/(1+EXP($I$3*(COUNT($H$9:AI$9)+$I$4))),TREND($D75:$E75,$D$9:$E$9,AI$9))</f>
        <v>0</v>
      </c>
      <c r="AJ75">
        <f>IF($F75="s-curve",$D75+($E75-$D75)*$I$2/(1+EXP($I$3*(COUNT($H$9:AJ$9)+$I$4))),TREND($D75:$E75,$D$9:$E$9,AJ$9))</f>
        <v>0</v>
      </c>
      <c r="AK75">
        <f>IF($F75="s-curve",$D75+($E75-$D75)*$I$2/(1+EXP($I$3*(COUNT($H$9:AK$9)+$I$4))),TREND($D75:$E75,$D$9:$E$9,AK$9))</f>
        <v>0</v>
      </c>
      <c r="AL75">
        <f>IF($F75="s-curve",$D75+($E75-$D75)*$I$2/(1+EXP($I$3*(COUNT($H$9:AL$9)+$I$4))),TREND($D75:$E75,$D$9:$E$9,AL$9))</f>
        <v>0</v>
      </c>
    </row>
    <row r="76" spans="1:38" x14ac:dyDescent="0.25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H76" s="22">
        <f t="shared" si="3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 x14ac:dyDescent="0.25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H77" s="22">
        <f t="shared" si="3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 x14ac:dyDescent="0.25">
      <c r="C78" t="s">
        <v>124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H78" s="22">
        <f t="shared" si="3"/>
        <v>0</v>
      </c>
      <c r="I78">
        <f>IF($F78="s-curve",$D78+($E78-$D78)*$I$2/(1+EXP($I$3*(COUNT($H$9:I$9)+$I$4))),TREND($D78:$E78,$D$9:$E$9,I$9))</f>
        <v>0</v>
      </c>
      <c r="J78">
        <f>IF($F78="s-curve",$D78+($E78-$D78)*$I$2/(1+EXP($I$3*(COUNT($H$9:J$9)+$I$4))),TREND($D78:$E78,$D$9:$E$9,J$9))</f>
        <v>0</v>
      </c>
      <c r="K78">
        <f>IF($F78="s-curve",$D78+($E78-$D78)*$I$2/(1+EXP($I$3*(COUNT($H$9:K$9)+$I$4))),TREND($D78:$E78,$D$9:$E$9,K$9))</f>
        <v>0</v>
      </c>
      <c r="L78">
        <f>IF($F78="s-curve",$D78+($E78-$D78)*$I$2/(1+EXP($I$3*(COUNT($H$9:L$9)+$I$4))),TREND($D78:$E78,$D$9:$E$9,L$9))</f>
        <v>0</v>
      </c>
      <c r="M78">
        <f>IF($F78="s-curve",$D78+($E78-$D78)*$I$2/(1+EXP($I$3*(COUNT($H$9:M$9)+$I$4))),TREND($D78:$E78,$D$9:$E$9,M$9))</f>
        <v>0</v>
      </c>
      <c r="N78">
        <f>IF($F78="s-curve",$D78+($E78-$D78)*$I$2/(1+EXP($I$3*(COUNT($H$9:N$9)+$I$4))),TREND($D78:$E78,$D$9:$E$9,N$9))</f>
        <v>0</v>
      </c>
      <c r="O78">
        <f>IF($F78="s-curve",$D78+($E78-$D78)*$I$2/(1+EXP($I$3*(COUNT($H$9:O$9)+$I$4))),TREND($D78:$E78,$D$9:$E$9,O$9))</f>
        <v>0</v>
      </c>
      <c r="P78">
        <f>IF($F78="s-curve",$D78+($E78-$D78)*$I$2/(1+EXP($I$3*(COUNT($H$9:P$9)+$I$4))),TREND($D78:$E78,$D$9:$E$9,P$9))</f>
        <v>0</v>
      </c>
      <c r="Q78">
        <f>IF($F78="s-curve",$D78+($E78-$D78)*$I$2/(1+EXP($I$3*(COUNT($H$9:Q$9)+$I$4))),TREND($D78:$E78,$D$9:$E$9,Q$9))</f>
        <v>0</v>
      </c>
      <c r="R78">
        <f>IF($F78="s-curve",$D78+($E78-$D78)*$I$2/(1+EXP($I$3*(COUNT($H$9:R$9)+$I$4))),TREND($D78:$E78,$D$9:$E$9,R$9))</f>
        <v>0</v>
      </c>
      <c r="S78">
        <f>IF($F78="s-curve",$D78+($E78-$D78)*$I$2/(1+EXP($I$3*(COUNT($H$9:S$9)+$I$4))),TREND($D78:$E78,$D$9:$E$9,S$9))</f>
        <v>0</v>
      </c>
      <c r="T78">
        <f>IF($F78="s-curve",$D78+($E78-$D78)*$I$2/(1+EXP($I$3*(COUNT($H$9:T$9)+$I$4))),TREND($D78:$E78,$D$9:$E$9,T$9))</f>
        <v>0</v>
      </c>
      <c r="U78">
        <f>IF($F78="s-curve",$D78+($E78-$D78)*$I$2/(1+EXP($I$3*(COUNT($H$9:U$9)+$I$4))),TREND($D78:$E78,$D$9:$E$9,U$9))</f>
        <v>0</v>
      </c>
      <c r="V78">
        <f>IF($F78="s-curve",$D78+($E78-$D78)*$I$2/(1+EXP($I$3*(COUNT($H$9:V$9)+$I$4))),TREND($D78:$E78,$D$9:$E$9,V$9))</f>
        <v>0</v>
      </c>
      <c r="W78">
        <f>IF($F78="s-curve",$D78+($E78-$D78)*$I$2/(1+EXP($I$3*(COUNT($H$9:W$9)+$I$4))),TREND($D78:$E78,$D$9:$E$9,W$9))</f>
        <v>0</v>
      </c>
      <c r="X78">
        <f>IF($F78="s-curve",$D78+($E78-$D78)*$I$2/(1+EXP($I$3*(COUNT($H$9:X$9)+$I$4))),TREND($D78:$E78,$D$9:$E$9,X$9))</f>
        <v>0</v>
      </c>
      <c r="Y78">
        <f>IF($F78="s-curve",$D78+($E78-$D78)*$I$2/(1+EXP($I$3*(COUNT($H$9:Y$9)+$I$4))),TREND($D78:$E78,$D$9:$E$9,Y$9))</f>
        <v>0</v>
      </c>
      <c r="Z78">
        <f>IF($F78="s-curve",$D78+($E78-$D78)*$I$2/(1+EXP($I$3*(COUNT($H$9:Z$9)+$I$4))),TREND($D78:$E78,$D$9:$E$9,Z$9))</f>
        <v>0</v>
      </c>
      <c r="AA78">
        <f>IF($F78="s-curve",$D78+($E78-$D78)*$I$2/(1+EXP($I$3*(COUNT($H$9:AA$9)+$I$4))),TREND($D78:$E78,$D$9:$E$9,AA$9))</f>
        <v>0</v>
      </c>
      <c r="AB78">
        <f>IF($F78="s-curve",$D78+($E78-$D78)*$I$2/(1+EXP($I$3*(COUNT($H$9:AB$9)+$I$4))),TREND($D78:$E78,$D$9:$E$9,AB$9))</f>
        <v>0</v>
      </c>
      <c r="AC78">
        <f>IF($F78="s-curve",$D78+($E78-$D78)*$I$2/(1+EXP($I$3*(COUNT($H$9:AC$9)+$I$4))),TREND($D78:$E78,$D$9:$E$9,AC$9))</f>
        <v>0</v>
      </c>
      <c r="AD78">
        <f>IF($F78="s-curve",$D78+($E78-$D78)*$I$2/(1+EXP($I$3*(COUNT($H$9:AD$9)+$I$4))),TREND($D78:$E78,$D$9:$E$9,AD$9))</f>
        <v>0</v>
      </c>
      <c r="AE78">
        <f>IF($F78="s-curve",$D78+($E78-$D78)*$I$2/(1+EXP($I$3*(COUNT($H$9:AE$9)+$I$4))),TREND($D78:$E78,$D$9:$E$9,AE$9))</f>
        <v>0</v>
      </c>
      <c r="AF78">
        <f>IF($F78="s-curve",$D78+($E78-$D78)*$I$2/(1+EXP($I$3*(COUNT($H$9:AF$9)+$I$4))),TREND($D78:$E78,$D$9:$E$9,AF$9))</f>
        <v>0</v>
      </c>
      <c r="AG78">
        <f>IF($F78="s-curve",$D78+($E78-$D78)*$I$2/(1+EXP($I$3*(COUNT($H$9:AG$9)+$I$4))),TREND($D78:$E78,$D$9:$E$9,AG$9))</f>
        <v>0</v>
      </c>
      <c r="AH78">
        <f>IF($F78="s-curve",$D78+($E78-$D78)*$I$2/(1+EXP($I$3*(COUNT($H$9:AH$9)+$I$4))),TREND($D78:$E78,$D$9:$E$9,AH$9))</f>
        <v>0</v>
      </c>
      <c r="AI78">
        <f>IF($F78="s-curve",$D78+($E78-$D78)*$I$2/(1+EXP($I$3*(COUNT($H$9:AI$9)+$I$4))),TREND($D78:$E78,$D$9:$E$9,AI$9))</f>
        <v>0</v>
      </c>
      <c r="AJ78">
        <f>IF($F78="s-curve",$D78+($E78-$D78)*$I$2/(1+EXP($I$3*(COUNT($H$9:AJ$9)+$I$4))),TREND($D78:$E78,$D$9:$E$9,AJ$9))</f>
        <v>0</v>
      </c>
      <c r="AK78">
        <f>IF($F78="s-curve",$D78+($E78-$D78)*$I$2/(1+EXP($I$3*(COUNT($H$9:AK$9)+$I$4))),TREND($D78:$E78,$D$9:$E$9,AK$9))</f>
        <v>0</v>
      </c>
      <c r="AL78">
        <f>IF($F78="s-curve",$D78+($E78-$D78)*$I$2/(1+EXP($I$3*(COUNT($H$9:AL$9)+$I$4))),TREND($D78:$E78,$D$9:$E$9,AL$9))</f>
        <v>0</v>
      </c>
    </row>
    <row r="79" spans="1:38" ht="15.75" thickBot="1" x14ac:dyDescent="0.3">
      <c r="A79" s="23"/>
      <c r="B79" s="23"/>
      <c r="C79" s="23" t="s">
        <v>125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H79" s="22">
        <f t="shared" si="3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 x14ac:dyDescent="0.25">
      <c r="A80" t="s">
        <v>17</v>
      </c>
      <c r="B80" t="s">
        <v>19</v>
      </c>
      <c r="C80" t="s">
        <v>1</v>
      </c>
      <c r="D80" s="22">
        <f>'SYVbT-passenger'!C6/SUM('SYVbT-passenger'!6:6)</f>
        <v>0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H80" s="22">
        <f t="shared" si="3"/>
        <v>0</v>
      </c>
      <c r="I80">
        <f>IF($F80="s-curve",$D80+($E80-$D80)*$O$2/(1+EXP($O$3*(COUNT($H$9:I$9)+$O$4))),TREND($D80:$E80,$D$9:$E$9,I$9))</f>
        <v>0.10909682119561298</v>
      </c>
      <c r="J80">
        <f>IF($F80="s-curve",$D80+($E80-$D80)*$O$2/(1+EXP($O$3*(COUNT($H$9:J$9)+$O$4))),TREND($D80:$E80,$D$9:$E$9,J$9))</f>
        <v>0.19781611144141825</v>
      </c>
      <c r="K80">
        <f>IF($F80="s-curve",$D80+($E80-$D80)*$O$2/(1+EXP($O$3*(COUNT($H$9:K$9)+$O$4))),TREND($D80:$E80,$D$9:$E$9,K$9))</f>
        <v>0.33181222783183389</v>
      </c>
      <c r="L80">
        <f>IF($F80="s-curve",$D80+($E80-$D80)*$O$2/(1+EXP($O$3*(COUNT($H$9:L$9)+$O$4))),TREND($D80:$E80,$D$9:$E$9,L$9))</f>
        <v>0.5</v>
      </c>
      <c r="M80">
        <f>IF($F80="s-curve",$D80+($E80-$D80)*$O$2/(1+EXP($O$3*(COUNT($H$9:M$9)+$O$4))),TREND($D80:$E80,$D$9:$E$9,M$9))</f>
        <v>0.66818777216816616</v>
      </c>
      <c r="N80">
        <f>IF($F80="s-curve",$D80+($E80-$D80)*$O$2/(1+EXP($O$3*(COUNT($H$9:N$9)+$O$4))),TREND($D80:$E80,$D$9:$E$9,N$9))</f>
        <v>0.80218388855858169</v>
      </c>
      <c r="O80">
        <f>IF($F80="s-curve",$D80+($E80-$D80)*$O$2/(1+EXP($O$3*(COUNT($H$9:O$9)+$O$4))),TREND($D80:$E80,$D$9:$E$9,O$9))</f>
        <v>0.89090317880438707</v>
      </c>
      <c r="P80">
        <f>IF($F80="s-curve",$D80+($E80-$D80)*$O$2/(1+EXP($O$3*(COUNT($H$9:P$9)+$O$4))),TREND($D80:$E80,$D$9:$E$9,P$9))</f>
        <v>0.94267582410113127</v>
      </c>
      <c r="Q80">
        <f>IF($F80="s-curve",$D80+($E80-$D80)*$O$2/(1+EXP($O$3*(COUNT($H$9:Q$9)+$O$4))),TREND($D80:$E80,$D$9:$E$9,Q$9))</f>
        <v>0.97068776924864364</v>
      </c>
      <c r="R80">
        <f>IF($F80="s-curve",$D80+($E80-$D80)*$O$2/(1+EXP($O$3*(COUNT($H$9:R$9)+$O$4))),TREND($D80:$E80,$D$9:$E$9,R$9))</f>
        <v>0.98522596830672693</v>
      </c>
      <c r="S80">
        <f>IF($F80="s-curve",$D80+($E80-$D80)*$O$2/(1+EXP($O$3*(COUNT($H$9:S$9)+$O$4))),TREND($D80:$E80,$D$9:$E$9,S$9))</f>
        <v>0.99260845865571812</v>
      </c>
      <c r="T80">
        <f>IF($F80="s-curve",$D80+($E80-$D80)*$O$2/(1+EXP($O$3*(COUNT($H$9:T$9)+$O$4))),TREND($D80:$E80,$D$9:$E$9,T$9))</f>
        <v>0.99631576010056411</v>
      </c>
      <c r="U80">
        <f>IF($F80="s-curve",$D80+($E80-$D80)*$O$2/(1+EXP($O$3*(COUNT($H$9:U$9)+$O$4))),TREND($D80:$E80,$D$9:$E$9,U$9))</f>
        <v>0.99816706105750719</v>
      </c>
      <c r="V80">
        <f>IF($F80="s-curve",$D80+($E80-$D80)*$O$2/(1+EXP($O$3*(COUNT($H$9:V$9)+$O$4))),TREND($D80:$E80,$D$9:$E$9,V$9))</f>
        <v>0.9990889488055994</v>
      </c>
      <c r="W80">
        <f>IF($F80="s-curve",$D80+($E80-$D80)*$O$2/(1+EXP($O$3*(COUNT($H$9:W$9)+$O$4))),TREND($D80:$E80,$D$9:$E$9,W$9))</f>
        <v>0.9995473777767595</v>
      </c>
      <c r="X80">
        <f>IF($F80="s-curve",$D80+($E80-$D80)*$O$2/(1+EXP($O$3*(COUNT($H$9:X$9)+$O$4))),TREND($D80:$E80,$D$9:$E$9,X$9))</f>
        <v>0.99977518322976666</v>
      </c>
      <c r="Y80">
        <f>IF($F80="s-curve",$D80+($E80-$D80)*$O$2/(1+EXP($O$3*(COUNT($H$9:Y$9)+$O$4))),TREND($D80:$E80,$D$9:$E$9,Y$9))</f>
        <v>0.99988834665937043</v>
      </c>
      <c r="Z80">
        <f>IF($F80="s-curve",$D80+($E80-$D80)*$O$2/(1+EXP($O$3*(COUNT($H$9:Z$9)+$O$4))),TREND($D80:$E80,$D$9:$E$9,Z$9))</f>
        <v>0.99994455147527717</v>
      </c>
      <c r="AA80">
        <f>IF($F80="s-curve",$D80+($E80-$D80)*$O$2/(1+EXP($O$3*(COUNT($H$9:AA$9)+$O$4))),TREND($D80:$E80,$D$9:$E$9,AA$9))</f>
        <v>0.99997246430888531</v>
      </c>
      <c r="AB80">
        <f>IF($F80="s-curve",$D80+($E80-$D80)*$O$2/(1+EXP($O$3*(COUNT($H$9:AB$9)+$O$4))),TREND($D80:$E80,$D$9:$E$9,AB$9))</f>
        <v>0.99998632599091541</v>
      </c>
      <c r="AC80">
        <f>IF($F80="s-curve",$D80+($E80-$D80)*$O$2/(1+EXP($O$3*(COUNT($H$9:AC$9)+$O$4))),TREND($D80:$E80,$D$9:$E$9,AC$9))</f>
        <v>0.99999320964130201</v>
      </c>
      <c r="AD80">
        <f>IF($F80="s-curve",$D80+($E80-$D80)*$O$2/(1+EXP($O$3*(COUNT($H$9:AD$9)+$O$4))),TREND($D80:$E80,$D$9:$E$9,AD$9))</f>
        <v>0.99999662799613631</v>
      </c>
      <c r="AE80">
        <f>IF($F80="s-curve",$D80+($E80-$D80)*$O$2/(1+EXP($O$3*(COUNT($H$9:AE$9)+$O$4))),TREND($D80:$E80,$D$9:$E$9,AE$9))</f>
        <v>0.99999832550959444</v>
      </c>
      <c r="AF80">
        <f>IF($F80="s-curve",$D80+($E80-$D80)*$O$2/(1+EXP($O$3*(COUNT($H$9:AF$9)+$O$4))),TREND($D80:$E80,$D$9:$E$9,AF$9))</f>
        <v>0.99999916847197223</v>
      </c>
      <c r="AG80">
        <f>IF($F80="s-curve",$D80+($E80-$D80)*$O$2/(1+EXP($O$3*(COUNT($H$9:AG$9)+$O$4))),TREND($D80:$E80,$D$9:$E$9,AG$9))</f>
        <v>0.99999958707522896</v>
      </c>
      <c r="AH80">
        <f>IF($F80="s-curve",$D80+($E80-$D80)*$O$2/(1+EXP($O$3*(COUNT($H$9:AH$9)+$O$4))),TREND($D80:$E80,$D$9:$E$9,AH$9))</f>
        <v>0.99999979494758462</v>
      </c>
      <c r="AI80">
        <f>IF($F80="s-curve",$D80+($E80-$D80)*$O$2/(1+EXP($O$3*(COUNT($H$9:AI$9)+$O$4))),TREND($D80:$E80,$D$9:$E$9,AI$9))</f>
        <v>0.99999989817397339</v>
      </c>
      <c r="AJ80">
        <f>IF($F80="s-curve",$D80+($E80-$D80)*$O$2/(1+EXP($O$3*(COUNT($H$9:AJ$9)+$O$4))),TREND($D80:$E80,$D$9:$E$9,AJ$9))</f>
        <v>0.99999994943468906</v>
      </c>
      <c r="AK80">
        <f>IF($F80="s-curve",$D80+($E80-$D80)*$O$2/(1+EXP($O$3*(COUNT($H$9:AK$9)+$O$4))),TREND($D80:$E80,$D$9:$E$9,AK$9))</f>
        <v>0.99999997489000902</v>
      </c>
      <c r="AL80">
        <f>IF($F80="s-curve",$D80+($E80-$D80)*$O$2/(1+EXP($O$3*(COUNT($H$9:AL$9)+$O$4))),TREND($D80:$E80,$D$9:$E$9,AL$9))</f>
        <v>0.99999998753074737</v>
      </c>
    </row>
    <row r="81" spans="1:38" x14ac:dyDescent="0.25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H81" s="22">
        <f t="shared" si="3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 x14ac:dyDescent="0.25">
      <c r="C82" t="s">
        <v>3</v>
      </c>
      <c r="D82">
        <v>3</v>
      </c>
      <c r="E82">
        <v>3</v>
      </c>
      <c r="F82" s="7" t="str">
        <f>IF(D82=E82,"n/a",IF(OR(C82="battery electric vehicle",C82="natural gas vehicle",C82="plugin hybrid vehicle"),"s-curve","linear"))</f>
        <v>n/a</v>
      </c>
      <c r="H82" s="22">
        <f t="shared" si="3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 x14ac:dyDescent="0.25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H83" s="22">
        <f t="shared" si="3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 x14ac:dyDescent="0.25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H84" s="22">
        <f t="shared" si="3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 x14ac:dyDescent="0.25">
      <c r="C85" t="s">
        <v>124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H85" s="22">
        <f t="shared" si="3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.75" thickBot="1" x14ac:dyDescent="0.3">
      <c r="A86" s="23"/>
      <c r="B86" s="23"/>
      <c r="C86" s="23" t="s">
        <v>125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H86" s="22">
        <f t="shared" si="3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 x14ac:dyDescent="0.25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H87" s="22">
        <f t="shared" si="3"/>
        <v>0</v>
      </c>
      <c r="I87">
        <f>IF($F87="s-curve",$D87+($E87-$D87)*$I$2/(1+EXP($I$3*(COUNT($H$9:I$9)+$I$4))),TREND($D87:$E87,$D$9:$E$9,I$9))</f>
        <v>0</v>
      </c>
      <c r="J87">
        <f>IF($F87="s-curve",$D87+($E87-$D87)*$I$2/(1+EXP($I$3*(COUNT($H$9:J$9)+$I$4))),TREND($D87:$E87,$D$9:$E$9,J$9))</f>
        <v>0</v>
      </c>
      <c r="K87">
        <f>IF($F87="s-curve",$D87+($E87-$D87)*$I$2/(1+EXP($I$3*(COUNT($H$9:K$9)+$I$4))),TREND($D87:$E87,$D$9:$E$9,K$9))</f>
        <v>0</v>
      </c>
      <c r="L87">
        <f>IF($F87="s-curve",$D87+($E87-$D87)*$I$2/(1+EXP($I$3*(COUNT($H$9:L$9)+$I$4))),TREND($D87:$E87,$D$9:$E$9,L$9))</f>
        <v>0</v>
      </c>
      <c r="M87">
        <f>IF($F87="s-curve",$D87+($E87-$D87)*$I$2/(1+EXP($I$3*(COUNT($H$9:M$9)+$I$4))),TREND($D87:$E87,$D$9:$E$9,M$9))</f>
        <v>0</v>
      </c>
      <c r="N87">
        <f>IF($F87="s-curve",$D87+($E87-$D87)*$I$2/(1+EXP($I$3*(COUNT($H$9:N$9)+$I$4))),TREND($D87:$E87,$D$9:$E$9,N$9))</f>
        <v>0</v>
      </c>
      <c r="O87">
        <f>IF($F87="s-curve",$D87+($E87-$D87)*$I$2/(1+EXP($I$3*(COUNT($H$9:O$9)+$I$4))),TREND($D87:$E87,$D$9:$E$9,O$9))</f>
        <v>0</v>
      </c>
      <c r="P87">
        <f>IF($F87="s-curve",$D87+($E87-$D87)*$I$2/(1+EXP($I$3*(COUNT($H$9:P$9)+$I$4))),TREND($D87:$E87,$D$9:$E$9,P$9))</f>
        <v>0</v>
      </c>
      <c r="Q87">
        <f>IF($F87="s-curve",$D87+($E87-$D87)*$I$2/(1+EXP($I$3*(COUNT($H$9:Q$9)+$I$4))),TREND($D87:$E87,$D$9:$E$9,Q$9))</f>
        <v>0</v>
      </c>
      <c r="R87">
        <f>IF($F87="s-curve",$D87+($E87-$D87)*$I$2/(1+EXP($I$3*(COUNT($H$9:R$9)+$I$4))),TREND($D87:$E87,$D$9:$E$9,R$9))</f>
        <v>0</v>
      </c>
      <c r="S87">
        <f>IF($F87="s-curve",$D87+($E87-$D87)*$I$2/(1+EXP($I$3*(COUNT($H$9:S$9)+$I$4))),TREND($D87:$E87,$D$9:$E$9,S$9))</f>
        <v>0</v>
      </c>
      <c r="T87">
        <f>IF($F87="s-curve",$D87+($E87-$D87)*$I$2/(1+EXP($I$3*(COUNT($H$9:T$9)+$I$4))),TREND($D87:$E87,$D$9:$E$9,T$9))</f>
        <v>0</v>
      </c>
      <c r="U87">
        <f>IF($F87="s-curve",$D87+($E87-$D87)*$I$2/(1+EXP($I$3*(COUNT($H$9:U$9)+$I$4))),TREND($D87:$E87,$D$9:$E$9,U$9))</f>
        <v>0</v>
      </c>
      <c r="V87">
        <f>IF($F87="s-curve",$D87+($E87-$D87)*$I$2/(1+EXP($I$3*(COUNT($H$9:V$9)+$I$4))),TREND($D87:$E87,$D$9:$E$9,V$9))</f>
        <v>0</v>
      </c>
      <c r="W87">
        <f>IF($F87="s-curve",$D87+($E87-$D87)*$I$2/(1+EXP($I$3*(COUNT($H$9:W$9)+$I$4))),TREND($D87:$E87,$D$9:$E$9,W$9))</f>
        <v>0</v>
      </c>
      <c r="X87">
        <f>IF($F87="s-curve",$D87+($E87-$D87)*$I$2/(1+EXP($I$3*(COUNT($H$9:X$9)+$I$4))),TREND($D87:$E87,$D$9:$E$9,X$9))</f>
        <v>0</v>
      </c>
      <c r="Y87">
        <f>IF($F87="s-curve",$D87+($E87-$D87)*$I$2/(1+EXP($I$3*(COUNT($H$9:Y$9)+$I$4))),TREND($D87:$E87,$D$9:$E$9,Y$9))</f>
        <v>0</v>
      </c>
      <c r="Z87">
        <f>IF($F87="s-curve",$D87+($E87-$D87)*$I$2/(1+EXP($I$3*(COUNT($H$9:Z$9)+$I$4))),TREND($D87:$E87,$D$9:$E$9,Z$9))</f>
        <v>0</v>
      </c>
      <c r="AA87">
        <f>IF($F87="s-curve",$D87+($E87-$D87)*$I$2/(1+EXP($I$3*(COUNT($H$9:AA$9)+$I$4))),TREND($D87:$E87,$D$9:$E$9,AA$9))</f>
        <v>0</v>
      </c>
      <c r="AB87">
        <f>IF($F87="s-curve",$D87+($E87-$D87)*$I$2/(1+EXP($I$3*(COUNT($H$9:AB$9)+$I$4))),TREND($D87:$E87,$D$9:$E$9,AB$9))</f>
        <v>0</v>
      </c>
      <c r="AC87">
        <f>IF($F87="s-curve",$D87+($E87-$D87)*$I$2/(1+EXP($I$3*(COUNT($H$9:AC$9)+$I$4))),TREND($D87:$E87,$D$9:$E$9,AC$9))</f>
        <v>0</v>
      </c>
      <c r="AD87">
        <f>IF($F87="s-curve",$D87+($E87-$D87)*$I$2/(1+EXP($I$3*(COUNT($H$9:AD$9)+$I$4))),TREND($D87:$E87,$D$9:$E$9,AD$9))</f>
        <v>0</v>
      </c>
      <c r="AE87">
        <f>IF($F87="s-curve",$D87+($E87-$D87)*$I$2/(1+EXP($I$3*(COUNT($H$9:AE$9)+$I$4))),TREND($D87:$E87,$D$9:$E$9,AE$9))</f>
        <v>0</v>
      </c>
      <c r="AF87">
        <f>IF($F87="s-curve",$D87+($E87-$D87)*$I$2/(1+EXP($I$3*(COUNT($H$9:AF$9)+$I$4))),TREND($D87:$E87,$D$9:$E$9,AF$9))</f>
        <v>0</v>
      </c>
      <c r="AG87">
        <f>IF($F87="s-curve",$D87+($E87-$D87)*$I$2/(1+EXP($I$3*(COUNT($H$9:AG$9)+$I$4))),TREND($D87:$E87,$D$9:$E$9,AG$9))</f>
        <v>0</v>
      </c>
      <c r="AH87">
        <f>IF($F87="s-curve",$D87+($E87-$D87)*$I$2/(1+EXP($I$3*(COUNT($H$9:AH$9)+$I$4))),TREND($D87:$E87,$D$9:$E$9,AH$9))</f>
        <v>0</v>
      </c>
      <c r="AI87">
        <f>IF($F87="s-curve",$D87+($E87-$D87)*$I$2/(1+EXP($I$3*(COUNT($H$9:AI$9)+$I$4))),TREND($D87:$E87,$D$9:$E$9,AI$9))</f>
        <v>0</v>
      </c>
      <c r="AJ87">
        <f>IF($F87="s-curve",$D87+($E87-$D87)*$I$2/(1+EXP($I$3*(COUNT($H$9:AJ$9)+$I$4))),TREND($D87:$E87,$D$9:$E$9,AJ$9))</f>
        <v>0</v>
      </c>
      <c r="AK87">
        <f>IF($F87="s-curve",$D87+($E87-$D87)*$I$2/(1+EXP($I$3*(COUNT($H$9:AK$9)+$I$4))),TREND($D87:$E87,$D$9:$E$9,AK$9))</f>
        <v>0</v>
      </c>
      <c r="AL87">
        <f>IF($F87="s-curve",$D87+($E87-$D87)*$I$2/(1+EXP($I$3*(COUNT($H$9:AL$9)+$I$4))),TREND($D87:$E87,$D$9:$E$9,AL$9))</f>
        <v>0</v>
      </c>
    </row>
    <row r="88" spans="1:38" x14ac:dyDescent="0.25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H88" s="22">
        <f t="shared" si="3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 x14ac:dyDescent="0.25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H89" s="22">
        <f t="shared" si="3"/>
        <v>0</v>
      </c>
      <c r="I89">
        <f>IF($F89="s-curve",$D89+($E89-$D89)*$I$2/(1+EXP($I$3*(COUNT($H$9:I$9)+$I$4))),TREND($D89:$E89,$D$9:$E$9,I$9))</f>
        <v>0</v>
      </c>
      <c r="J89">
        <f>IF($F89="s-curve",$D89+($E89-$D89)*$I$2/(1+EXP($I$3*(COUNT($H$9:J$9)+$I$4))),TREND($D89:$E89,$D$9:$E$9,J$9))</f>
        <v>0</v>
      </c>
      <c r="K89">
        <f>IF($F89="s-curve",$D89+($E89-$D89)*$I$2/(1+EXP($I$3*(COUNT($H$9:K$9)+$I$4))),TREND($D89:$E89,$D$9:$E$9,K$9))</f>
        <v>0</v>
      </c>
      <c r="L89">
        <f>IF($F89="s-curve",$D89+($E89-$D89)*$I$2/(1+EXP($I$3*(COUNT($H$9:L$9)+$I$4))),TREND($D89:$E89,$D$9:$E$9,L$9))</f>
        <v>0</v>
      </c>
      <c r="M89">
        <f>IF($F89="s-curve",$D89+($E89-$D89)*$I$2/(1+EXP($I$3*(COUNT($H$9:M$9)+$I$4))),TREND($D89:$E89,$D$9:$E$9,M$9))</f>
        <v>0</v>
      </c>
      <c r="N89">
        <f>IF($F89="s-curve",$D89+($E89-$D89)*$I$2/(1+EXP($I$3*(COUNT($H$9:N$9)+$I$4))),TREND($D89:$E89,$D$9:$E$9,N$9))</f>
        <v>0</v>
      </c>
      <c r="O89">
        <f>IF($F89="s-curve",$D89+($E89-$D89)*$I$2/(1+EXP($I$3*(COUNT($H$9:O$9)+$I$4))),TREND($D89:$E89,$D$9:$E$9,O$9))</f>
        <v>0</v>
      </c>
      <c r="P89">
        <f>IF($F89="s-curve",$D89+($E89-$D89)*$I$2/(1+EXP($I$3*(COUNT($H$9:P$9)+$I$4))),TREND($D89:$E89,$D$9:$E$9,P$9))</f>
        <v>0</v>
      </c>
      <c r="Q89">
        <f>IF($F89="s-curve",$D89+($E89-$D89)*$I$2/(1+EXP($I$3*(COUNT($H$9:Q$9)+$I$4))),TREND($D89:$E89,$D$9:$E$9,Q$9))</f>
        <v>0</v>
      </c>
      <c r="R89">
        <f>IF($F89="s-curve",$D89+($E89-$D89)*$I$2/(1+EXP($I$3*(COUNT($H$9:R$9)+$I$4))),TREND($D89:$E89,$D$9:$E$9,R$9))</f>
        <v>0</v>
      </c>
      <c r="S89">
        <f>IF($F89="s-curve",$D89+($E89-$D89)*$I$2/(1+EXP($I$3*(COUNT($H$9:S$9)+$I$4))),TREND($D89:$E89,$D$9:$E$9,S$9))</f>
        <v>0</v>
      </c>
      <c r="T89">
        <f>IF($F89="s-curve",$D89+($E89-$D89)*$I$2/(1+EXP($I$3*(COUNT($H$9:T$9)+$I$4))),TREND($D89:$E89,$D$9:$E$9,T$9))</f>
        <v>0</v>
      </c>
      <c r="U89">
        <f>IF($F89="s-curve",$D89+($E89-$D89)*$I$2/(1+EXP($I$3*(COUNT($H$9:U$9)+$I$4))),TREND($D89:$E89,$D$9:$E$9,U$9))</f>
        <v>0</v>
      </c>
      <c r="V89">
        <f>IF($F89="s-curve",$D89+($E89-$D89)*$I$2/(1+EXP($I$3*(COUNT($H$9:V$9)+$I$4))),TREND($D89:$E89,$D$9:$E$9,V$9))</f>
        <v>0</v>
      </c>
      <c r="W89">
        <f>IF($F89="s-curve",$D89+($E89-$D89)*$I$2/(1+EXP($I$3*(COUNT($H$9:W$9)+$I$4))),TREND($D89:$E89,$D$9:$E$9,W$9))</f>
        <v>0</v>
      </c>
      <c r="X89">
        <f>IF($F89="s-curve",$D89+($E89-$D89)*$I$2/(1+EXP($I$3*(COUNT($H$9:X$9)+$I$4))),TREND($D89:$E89,$D$9:$E$9,X$9))</f>
        <v>0</v>
      </c>
      <c r="Y89">
        <f>IF($F89="s-curve",$D89+($E89-$D89)*$I$2/(1+EXP($I$3*(COUNT($H$9:Y$9)+$I$4))),TREND($D89:$E89,$D$9:$E$9,Y$9))</f>
        <v>0</v>
      </c>
      <c r="Z89">
        <f>IF($F89="s-curve",$D89+($E89-$D89)*$I$2/(1+EXP($I$3*(COUNT($H$9:Z$9)+$I$4))),TREND($D89:$E89,$D$9:$E$9,Z$9))</f>
        <v>0</v>
      </c>
      <c r="AA89">
        <f>IF($F89="s-curve",$D89+($E89-$D89)*$I$2/(1+EXP($I$3*(COUNT($H$9:AA$9)+$I$4))),TREND($D89:$E89,$D$9:$E$9,AA$9))</f>
        <v>0</v>
      </c>
      <c r="AB89">
        <f>IF($F89="s-curve",$D89+($E89-$D89)*$I$2/(1+EXP($I$3*(COUNT($H$9:AB$9)+$I$4))),TREND($D89:$E89,$D$9:$E$9,AB$9))</f>
        <v>0</v>
      </c>
      <c r="AC89">
        <f>IF($F89="s-curve",$D89+($E89-$D89)*$I$2/(1+EXP($I$3*(COUNT($H$9:AC$9)+$I$4))),TREND($D89:$E89,$D$9:$E$9,AC$9))</f>
        <v>0</v>
      </c>
      <c r="AD89">
        <f>IF($F89="s-curve",$D89+($E89-$D89)*$I$2/(1+EXP($I$3*(COUNT($H$9:AD$9)+$I$4))),TREND($D89:$E89,$D$9:$E$9,AD$9))</f>
        <v>0</v>
      </c>
      <c r="AE89">
        <f>IF($F89="s-curve",$D89+($E89-$D89)*$I$2/(1+EXP($I$3*(COUNT($H$9:AE$9)+$I$4))),TREND($D89:$E89,$D$9:$E$9,AE$9))</f>
        <v>0</v>
      </c>
      <c r="AF89">
        <f>IF($F89="s-curve",$D89+($E89-$D89)*$I$2/(1+EXP($I$3*(COUNT($H$9:AF$9)+$I$4))),TREND($D89:$E89,$D$9:$E$9,AF$9))</f>
        <v>0</v>
      </c>
      <c r="AG89">
        <f>IF($F89="s-curve",$D89+($E89-$D89)*$I$2/(1+EXP($I$3*(COUNT($H$9:AG$9)+$I$4))),TREND($D89:$E89,$D$9:$E$9,AG$9))</f>
        <v>0</v>
      </c>
      <c r="AH89">
        <f>IF($F89="s-curve",$D89+($E89-$D89)*$I$2/(1+EXP($I$3*(COUNT($H$9:AH$9)+$I$4))),TREND($D89:$E89,$D$9:$E$9,AH$9))</f>
        <v>0</v>
      </c>
      <c r="AI89">
        <f>IF($F89="s-curve",$D89+($E89-$D89)*$I$2/(1+EXP($I$3*(COUNT($H$9:AI$9)+$I$4))),TREND($D89:$E89,$D$9:$E$9,AI$9))</f>
        <v>0</v>
      </c>
      <c r="AJ89">
        <f>IF($F89="s-curve",$D89+($E89-$D89)*$I$2/(1+EXP($I$3*(COUNT($H$9:AJ$9)+$I$4))),TREND($D89:$E89,$D$9:$E$9,AJ$9))</f>
        <v>0</v>
      </c>
      <c r="AK89">
        <f>IF($F89="s-curve",$D89+($E89-$D89)*$I$2/(1+EXP($I$3*(COUNT($H$9:AK$9)+$I$4))),TREND($D89:$E89,$D$9:$E$9,AK$9))</f>
        <v>0</v>
      </c>
      <c r="AL89">
        <f>IF($F89="s-curve",$D89+($E89-$D89)*$I$2/(1+EXP($I$3*(COUNT($H$9:AL$9)+$I$4))),TREND($D89:$E89,$D$9:$E$9,AL$9))</f>
        <v>0</v>
      </c>
    </row>
    <row r="90" spans="1:38" x14ac:dyDescent="0.25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H90" s="22">
        <f t="shared" si="3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 x14ac:dyDescent="0.25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H91" s="22">
        <f t="shared" si="3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 x14ac:dyDescent="0.25">
      <c r="C92" t="s">
        <v>124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H92" s="22">
        <f t="shared" si="3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.75" thickBot="1" x14ac:dyDescent="0.3">
      <c r="A93" s="23"/>
      <c r="B93" s="23"/>
      <c r="C93" s="23" t="s">
        <v>125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H93" s="22">
        <f t="shared" si="3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Q18" sqref="Q18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Data!H10</f>
        <v>0.22229244511656671</v>
      </c>
      <c r="C2">
        <f>Data!I10</f>
        <v>0.26500487748638069</v>
      </c>
      <c r="D2">
        <f>Data!J10</f>
        <v>0.33819829193917006</v>
      </c>
      <c r="E2">
        <f>Data!K10</f>
        <v>0.44874508796126295</v>
      </c>
      <c r="F2">
        <f>Data!L10</f>
        <v>0.58749999999999991</v>
      </c>
      <c r="G2">
        <f>Data!M10</f>
        <v>0.72625491203873693</v>
      </c>
      <c r="H2">
        <f>Data!N10</f>
        <v>0.83680170806082987</v>
      </c>
      <c r="I2">
        <f>Data!O10</f>
        <v>0.90999512251361936</v>
      </c>
      <c r="J2">
        <f>Data!P10</f>
        <v>0.95270755488343317</v>
      </c>
      <c r="K2">
        <f>Data!Q10</f>
        <v>0.97581740963013086</v>
      </c>
      <c r="L2">
        <f>Data!R10</f>
        <v>0.98781142385304976</v>
      </c>
      <c r="M2">
        <f>Data!S10</f>
        <v>0.99390197839096728</v>
      </c>
      <c r="N2">
        <f>Data!T10</f>
        <v>0.99696050208296527</v>
      </c>
      <c r="O2">
        <f>Data!U10</f>
        <v>0.9984878253724434</v>
      </c>
      <c r="P2">
        <f>Data!V10</f>
        <v>0.99924838276461947</v>
      </c>
      <c r="Q2">
        <f>Data!W10</f>
        <v>0.99962658666582649</v>
      </c>
      <c r="R2">
        <f>Data!X10</f>
        <v>0.99981452616455746</v>
      </c>
      <c r="S2">
        <f>Data!Y10</f>
        <v>0.99990788599398051</v>
      </c>
      <c r="T2">
        <f>Data!Z10</f>
        <v>0.99995425496710366</v>
      </c>
      <c r="U2">
        <f>Data!AA10</f>
        <v>0.99997728305483036</v>
      </c>
      <c r="V2">
        <f>Data!AB10</f>
        <v>0.99998871894250518</v>
      </c>
      <c r="W2">
        <f>Data!AC10</f>
        <v>0.99999439795407397</v>
      </c>
      <c r="X2">
        <f>Data!AD10</f>
        <v>0.99999721809681241</v>
      </c>
      <c r="Y2">
        <f>Data!AE10</f>
        <v>0.9999986185454155</v>
      </c>
      <c r="Z2">
        <f>Data!AF10</f>
        <v>0.99999931398937703</v>
      </c>
      <c r="AA2">
        <f>Data!AG10</f>
        <v>0.99999965933706392</v>
      </c>
      <c r="AB2">
        <f>Data!AH10</f>
        <v>0.99999983083175725</v>
      </c>
      <c r="AC2">
        <f>Data!AI10</f>
        <v>0.999999915993528</v>
      </c>
      <c r="AD2">
        <f>Data!AJ10</f>
        <v>0.99999995828361832</v>
      </c>
      <c r="AE2">
        <f>Data!AK10</f>
        <v>0.99999997928425732</v>
      </c>
      <c r="AF2">
        <f>Data!AL10</f>
        <v>0.99999998971286663</v>
      </c>
    </row>
    <row r="3" spans="1:32" x14ac:dyDescent="0.25">
      <c r="A3" t="s">
        <v>2</v>
      </c>
      <c r="B3">
        <f>Data!H11</f>
        <v>3.8057610451262282E-4</v>
      </c>
      <c r="C3">
        <f>Data!I11</f>
        <v>3.9320484961125079E-4</v>
      </c>
      <c r="D3">
        <f>Data!J11</f>
        <v>3.9753546733222448E-4</v>
      </c>
      <c r="E3">
        <f>Data!K11</f>
        <v>4.033110396505392E-4</v>
      </c>
      <c r="F3">
        <f>Data!L11</f>
        <v>4.1098212309343519E-4</v>
      </c>
      <c r="G3">
        <f>Data!M11</f>
        <v>4.2111542890787591E-4</v>
      </c>
      <c r="H3">
        <f>Data!N11</f>
        <v>4.3440531499218697E-4</v>
      </c>
      <c r="I3">
        <f>Data!O11</f>
        <v>4.516715783138295E-4</v>
      </c>
      <c r="J3">
        <f>Data!P11</f>
        <v>4.7383134956379655E-4</v>
      </c>
      <c r="K3">
        <f>Data!Q11</f>
        <v>5.0182946160490889E-4</v>
      </c>
      <c r="L3">
        <f>Data!R11</f>
        <v>5.3651224215358457E-4</v>
      </c>
      <c r="M3">
        <f>Data!S11</f>
        <v>5.7843959678952387E-4</v>
      </c>
      <c r="N3">
        <f>Data!T11</f>
        <v>6.2765456811457476E-4</v>
      </c>
      <c r="O3">
        <f>Data!U11</f>
        <v>6.8346676285730725E-4</v>
      </c>
      <c r="P3">
        <f>Data!V11</f>
        <v>7.4433984155985176E-4</v>
      </c>
      <c r="Q3">
        <f>Data!W11</f>
        <v>8.0797281520121893E-4</v>
      </c>
      <c r="R3">
        <f>Data!X11</f>
        <v>8.716057888425861E-4</v>
      </c>
      <c r="S3">
        <f>Data!Y11</f>
        <v>9.3247886754513061E-4</v>
      </c>
      <c r="T3">
        <f>Data!Z11</f>
        <v>9.8829106228786288E-4</v>
      </c>
      <c r="U3">
        <f>Data!AA11</f>
        <v>1.037506033612914E-3</v>
      </c>
      <c r="V3">
        <f>Data!AB11</f>
        <v>1.0794333882488531E-3</v>
      </c>
      <c r="W3">
        <f>Data!AC11</f>
        <v>1.114116168797529E-3</v>
      </c>
      <c r="X3">
        <f>Data!AD11</f>
        <v>1.1421142808386413E-3</v>
      </c>
      <c r="Y3">
        <f>Data!AE11</f>
        <v>1.1642740520886085E-3</v>
      </c>
      <c r="Z3">
        <f>Data!AF11</f>
        <v>1.1815403154102509E-3</v>
      </c>
      <c r="AA3">
        <f>Data!AG11</f>
        <v>1.1948302014945619E-3</v>
      </c>
      <c r="AB3">
        <f>Data!AH11</f>
        <v>1.2049635073090028E-3</v>
      </c>
      <c r="AC3">
        <f>Data!AI11</f>
        <v>1.2126345907518985E-3</v>
      </c>
      <c r="AD3">
        <f>Data!AJ11</f>
        <v>1.2184101630702134E-3</v>
      </c>
      <c r="AE3">
        <f>Data!AK11</f>
        <v>1.2227407807911871E-3</v>
      </c>
      <c r="AF3">
        <f>Data!AL11</f>
        <v>1.2259779596081354E-3</v>
      </c>
    </row>
    <row r="4" spans="1:32" x14ac:dyDescent="0.25">
      <c r="A4" t="s">
        <v>3</v>
      </c>
      <c r="B4">
        <f>Data!H12</f>
        <v>3</v>
      </c>
      <c r="C4">
        <f>Data!I12</f>
        <v>3</v>
      </c>
      <c r="D4">
        <f>Data!J12</f>
        <v>3</v>
      </c>
      <c r="E4">
        <f>Data!K12</f>
        <v>3</v>
      </c>
      <c r="F4">
        <f>Data!L12</f>
        <v>3</v>
      </c>
      <c r="G4">
        <f>Data!M12</f>
        <v>3</v>
      </c>
      <c r="H4">
        <f>Data!N12</f>
        <v>3</v>
      </c>
      <c r="I4">
        <f>Data!O12</f>
        <v>3</v>
      </c>
      <c r="J4">
        <f>Data!P12</f>
        <v>3</v>
      </c>
      <c r="K4">
        <f>Data!Q12</f>
        <v>3</v>
      </c>
      <c r="L4">
        <f>Data!R12</f>
        <v>3</v>
      </c>
      <c r="M4">
        <f>Data!S12</f>
        <v>3</v>
      </c>
      <c r="N4">
        <f>Data!T12</f>
        <v>3</v>
      </c>
      <c r="O4">
        <f>Data!U12</f>
        <v>3</v>
      </c>
      <c r="P4">
        <f>Data!V12</f>
        <v>3</v>
      </c>
      <c r="Q4">
        <f>Data!W12</f>
        <v>3</v>
      </c>
      <c r="R4">
        <f>Data!X12</f>
        <v>3</v>
      </c>
      <c r="S4">
        <f>Data!Y12</f>
        <v>3</v>
      </c>
      <c r="T4">
        <f>Data!Z12</f>
        <v>3</v>
      </c>
      <c r="U4">
        <f>Data!AA12</f>
        <v>3</v>
      </c>
      <c r="V4">
        <f>Data!AB12</f>
        <v>3</v>
      </c>
      <c r="W4">
        <f>Data!AC12</f>
        <v>3</v>
      </c>
      <c r="X4">
        <f>Data!AD12</f>
        <v>3</v>
      </c>
      <c r="Y4">
        <f>Data!AE12</f>
        <v>3</v>
      </c>
      <c r="Z4">
        <f>Data!AF12</f>
        <v>3</v>
      </c>
      <c r="AA4">
        <f>Data!AG12</f>
        <v>3</v>
      </c>
      <c r="AB4">
        <f>Data!AH12</f>
        <v>3</v>
      </c>
      <c r="AC4">
        <f>Data!AI12</f>
        <v>3</v>
      </c>
      <c r="AD4">
        <f>Data!AJ12</f>
        <v>3</v>
      </c>
      <c r="AE4">
        <f>Data!AK12</f>
        <v>3</v>
      </c>
      <c r="AF4">
        <f>Data!AL12</f>
        <v>3</v>
      </c>
    </row>
    <row r="5" spans="1:32" x14ac:dyDescent="0.25">
      <c r="A5" t="s">
        <v>4</v>
      </c>
      <c r="B5">
        <f>Data!H13</f>
        <v>4.2138566319580755E-3</v>
      </c>
      <c r="C5">
        <f>Data!I13</f>
        <v>5.1006768751431508E-3</v>
      </c>
      <c r="D5">
        <f>Data!J13</f>
        <v>5.9874971183280223E-3</v>
      </c>
      <c r="E5">
        <f>Data!K13</f>
        <v>6.8743173615128939E-3</v>
      </c>
      <c r="F5">
        <f>Data!L13</f>
        <v>7.7611376046979874E-3</v>
      </c>
      <c r="G5">
        <f>Data!M13</f>
        <v>8.6479578478828589E-3</v>
      </c>
      <c r="H5">
        <f>Data!N13</f>
        <v>9.5347780910677304E-3</v>
      </c>
      <c r="I5">
        <f>Data!O13</f>
        <v>1.0421598334252602E-2</v>
      </c>
      <c r="J5">
        <f>Data!P13</f>
        <v>1.1308418577437696E-2</v>
      </c>
      <c r="K5">
        <f>Data!Q13</f>
        <v>1.2195238820622567E-2</v>
      </c>
      <c r="L5">
        <f>Data!R13</f>
        <v>1.3082059063807439E-2</v>
      </c>
      <c r="M5">
        <f>Data!S13</f>
        <v>1.3968879306992532E-2</v>
      </c>
      <c r="N5">
        <f>Data!T13</f>
        <v>1.4855699550177404E-2</v>
      </c>
      <c r="O5">
        <f>Data!U13</f>
        <v>1.5742519793362275E-2</v>
      </c>
      <c r="P5">
        <f>Data!V13</f>
        <v>1.6629340036547369E-2</v>
      </c>
      <c r="Q5">
        <f>Data!W13</f>
        <v>1.751616027973224E-2</v>
      </c>
      <c r="R5">
        <f>Data!X13</f>
        <v>1.8402980522917112E-2</v>
      </c>
      <c r="S5">
        <f>Data!Y13</f>
        <v>1.9289800766102205E-2</v>
      </c>
      <c r="T5">
        <f>Data!Z13</f>
        <v>2.0176621009287077E-2</v>
      </c>
      <c r="U5">
        <f>Data!AA13</f>
        <v>2.1063441252471948E-2</v>
      </c>
      <c r="V5">
        <f>Data!AB13</f>
        <v>2.1950261495657042E-2</v>
      </c>
      <c r="W5">
        <f>Data!AC13</f>
        <v>2.2837081738841913E-2</v>
      </c>
      <c r="X5">
        <f>Data!AD13</f>
        <v>2.3723901982026785E-2</v>
      </c>
      <c r="Y5">
        <f>Data!AE13</f>
        <v>2.4610722225211656E-2</v>
      </c>
      <c r="Z5">
        <f>Data!AF13</f>
        <v>2.549754246839675E-2</v>
      </c>
      <c r="AA5">
        <f>Data!AG13</f>
        <v>2.6384362711581621E-2</v>
      </c>
      <c r="AB5">
        <f>Data!AH13</f>
        <v>2.7271182954766493E-2</v>
      </c>
      <c r="AC5">
        <f>Data!AI13</f>
        <v>2.8158003197951587E-2</v>
      </c>
      <c r="AD5">
        <f>Data!AJ13</f>
        <v>2.9044823441136458E-2</v>
      </c>
      <c r="AE5">
        <f>Data!AK13</f>
        <v>2.993164368432133E-2</v>
      </c>
      <c r="AF5">
        <f>Data!AL13</f>
        <v>3.0818463927506423E-2</v>
      </c>
    </row>
    <row r="6" spans="1:32" x14ac:dyDescent="0.25">
      <c r="A6" t="s">
        <v>5</v>
      </c>
      <c r="B6">
        <f>Data!H14</f>
        <v>1.7641947805604345E-2</v>
      </c>
      <c r="C6">
        <f>Data!I14</f>
        <v>5.1345518914747604E-2</v>
      </c>
      <c r="D6">
        <f>Data!J14</f>
        <v>7.8869239433912761E-2</v>
      </c>
      <c r="E6">
        <f>Data!K14</f>
        <v>0.12043936074535663</v>
      </c>
      <c r="F6">
        <f>Data!L14</f>
        <v>0.17261688857579932</v>
      </c>
      <c r="G6">
        <f>Data!M14</f>
        <v>0.22479441640624204</v>
      </c>
      <c r="H6">
        <f>Data!N14</f>
        <v>0.26636453771768587</v>
      </c>
      <c r="I6">
        <f>Data!O14</f>
        <v>0.29388825823685111</v>
      </c>
      <c r="J6">
        <f>Data!P14</f>
        <v>0.30994988154038999</v>
      </c>
      <c r="K6">
        <f>Data!Q14</f>
        <v>0.31864013308886613</v>
      </c>
      <c r="L6">
        <f>Data!R14</f>
        <v>0.32315037349563713</v>
      </c>
      <c r="M6">
        <f>Data!S14</f>
        <v>0.32544067136138988</v>
      </c>
      <c r="N6">
        <f>Data!T14</f>
        <v>0.32659080149166408</v>
      </c>
      <c r="O6">
        <f>Data!U14</f>
        <v>0.3271651375801809</v>
      </c>
      <c r="P6">
        <f>Data!V14</f>
        <v>0.32745113829838129</v>
      </c>
      <c r="Q6">
        <f>Data!W14</f>
        <v>0.32759335844966003</v>
      </c>
      <c r="R6">
        <f>Data!X14</f>
        <v>0.32766403139580214</v>
      </c>
      <c r="S6">
        <f>Data!Y14</f>
        <v>0.32769913851400356</v>
      </c>
      <c r="T6">
        <f>Data!Z14</f>
        <v>0.32771657514633645</v>
      </c>
      <c r="U6">
        <f>Data!AA14</f>
        <v>0.3277252346501377</v>
      </c>
      <c r="V6">
        <f>Data!AB14</f>
        <v>0.32772953501211155</v>
      </c>
      <c r="W6">
        <f>Data!AC14</f>
        <v>0.32773167055297159</v>
      </c>
      <c r="X6">
        <f>Data!AD14</f>
        <v>0.32773273104210349</v>
      </c>
      <c r="Y6">
        <f>Data!AE14</f>
        <v>0.3277332576681154</v>
      </c>
      <c r="Z6">
        <f>Data!AF14</f>
        <v>0.32773351918351784</v>
      </c>
      <c r="AA6">
        <f>Data!AG14</f>
        <v>0.32773364904838725</v>
      </c>
      <c r="AB6">
        <f>Data!AH14</f>
        <v>0.32773371353741332</v>
      </c>
      <c r="AC6">
        <f>Data!AI14</f>
        <v>0.32773374556172585</v>
      </c>
      <c r="AD6">
        <f>Data!AJ14</f>
        <v>0.32773376146453126</v>
      </c>
      <c r="AE6">
        <f>Data!AK14</f>
        <v>0.32773376936163134</v>
      </c>
      <c r="AF6">
        <f>Data!AL14</f>
        <v>0.32773377328321535</v>
      </c>
    </row>
    <row r="7" spans="1:32" x14ac:dyDescent="0.25">
      <c r="A7" t="s">
        <v>124</v>
      </c>
      <c r="B7">
        <f>Data!H15</f>
        <v>3.186067677034385E-4</v>
      </c>
      <c r="C7">
        <f>Data!I15</f>
        <v>3.3670824346963835E-4</v>
      </c>
      <c r="D7">
        <f>Data!J15</f>
        <v>3.5480971923583515E-4</v>
      </c>
      <c r="E7">
        <f>Data!K15</f>
        <v>3.7291119500203196E-4</v>
      </c>
      <c r="F7">
        <f>Data!L15</f>
        <v>3.910126707682357E-4</v>
      </c>
      <c r="G7">
        <f>Data!M15</f>
        <v>4.0911414653443251E-4</v>
      </c>
      <c r="H7">
        <f>Data!N15</f>
        <v>4.2721562230062932E-4</v>
      </c>
      <c r="I7">
        <f>Data!O15</f>
        <v>4.4531709806682612E-4</v>
      </c>
      <c r="J7">
        <f>Data!P15</f>
        <v>4.6341857383302293E-4</v>
      </c>
      <c r="K7">
        <f>Data!Q15</f>
        <v>4.8152004959921973E-4</v>
      </c>
      <c r="L7">
        <f>Data!R15</f>
        <v>4.9962152536541654E-4</v>
      </c>
      <c r="M7">
        <f>Data!S15</f>
        <v>5.1772300113162029E-4</v>
      </c>
      <c r="N7">
        <f>Data!T15</f>
        <v>5.3582447689781709E-4</v>
      </c>
      <c r="O7">
        <f>Data!U15</f>
        <v>5.539259526640139E-4</v>
      </c>
      <c r="P7">
        <f>Data!V15</f>
        <v>5.720274284302107E-4</v>
      </c>
      <c r="Q7">
        <f>Data!W15</f>
        <v>5.9012890419640751E-4</v>
      </c>
      <c r="R7">
        <f>Data!X15</f>
        <v>6.0823037996260432E-4</v>
      </c>
      <c r="S7">
        <f>Data!Y15</f>
        <v>6.2633185572880112E-4</v>
      </c>
      <c r="T7">
        <f>Data!Z15</f>
        <v>6.4443333149500487E-4</v>
      </c>
      <c r="U7">
        <f>Data!AA15</f>
        <v>6.6253480726120167E-4</v>
      </c>
      <c r="V7">
        <f>Data!AB15</f>
        <v>6.8063628302739848E-4</v>
      </c>
      <c r="W7">
        <f>Data!AC15</f>
        <v>6.9873775879359529E-4</v>
      </c>
      <c r="X7">
        <f>Data!AD15</f>
        <v>7.1683923455979209E-4</v>
      </c>
      <c r="Y7">
        <f>Data!AE15</f>
        <v>7.349407103259889E-4</v>
      </c>
      <c r="Z7">
        <f>Data!AF15</f>
        <v>7.5304218609218571E-4</v>
      </c>
      <c r="AA7">
        <f>Data!AG15</f>
        <v>7.7114366185838945E-4</v>
      </c>
      <c r="AB7">
        <f>Data!AH15</f>
        <v>7.8924513762458626E-4</v>
      </c>
      <c r="AC7">
        <f>Data!AI15</f>
        <v>8.0734661339078306E-4</v>
      </c>
      <c r="AD7">
        <f>Data!AJ15</f>
        <v>8.2544808915697987E-4</v>
      </c>
      <c r="AE7">
        <f>Data!AK15</f>
        <v>8.4354956492317668E-4</v>
      </c>
      <c r="AF7">
        <f>Data!AL15</f>
        <v>8.6165104068937348E-4</v>
      </c>
    </row>
    <row r="8" spans="1:32" x14ac:dyDescent="0.25">
      <c r="A8" t="s">
        <v>125</v>
      </c>
      <c r="B8">
        <f>Data!H16</f>
        <v>2.9671627040405578E-5</v>
      </c>
      <c r="C8">
        <f>Data!I16</f>
        <v>3.3884455367256228E-5</v>
      </c>
      <c r="D8">
        <f>Data!J16</f>
        <v>3.5329107932906753E-5</v>
      </c>
      <c r="E8">
        <f>Data!K16</f>
        <v>3.7255783503309569E-5</v>
      </c>
      <c r="F8">
        <f>Data!L16</f>
        <v>3.9814783417669883E-5</v>
      </c>
      <c r="G8">
        <f>Data!M16</f>
        <v>4.319515711642753E-5</v>
      </c>
      <c r="H8">
        <f>Data!N16</f>
        <v>4.7628535739509144E-5</v>
      </c>
      <c r="I8">
        <f>Data!O16</f>
        <v>5.3388395698055686E-5</v>
      </c>
      <c r="J8">
        <f>Data!P16</f>
        <v>6.0780683000499877E-5</v>
      </c>
      <c r="K8">
        <f>Data!Q16</f>
        <v>7.0120584834289462E-5</v>
      </c>
      <c r="L8">
        <f>Data!R16</f>
        <v>8.1690428014137938E-5</v>
      </c>
      <c r="M8">
        <f>Data!S16</f>
        <v>9.567699167511389E-5</v>
      </c>
      <c r="N8">
        <f>Data!T16</f>
        <v>1.1209463441665937E-4</v>
      </c>
      <c r="O8">
        <f>Data!U16</f>
        <v>1.3071304766038166E-4</v>
      </c>
      <c r="P8">
        <f>Data!V16</f>
        <v>1.5101972328791891E-4</v>
      </c>
      <c r="Q8">
        <f>Data!W16</f>
        <v>1.7224707341530546E-4</v>
      </c>
      <c r="R8">
        <f>Data!X16</f>
        <v>1.9347442354269201E-4</v>
      </c>
      <c r="S8">
        <f>Data!Y16</f>
        <v>2.1378109917022923E-4</v>
      </c>
      <c r="T8">
        <f>Data!Z16</f>
        <v>2.3239951241395154E-4</v>
      </c>
      <c r="U8">
        <f>Data!AA16</f>
        <v>2.4881715515549704E-4</v>
      </c>
      <c r="V8">
        <f>Data!AB16</f>
        <v>2.6280371881647296E-4</v>
      </c>
      <c r="W8">
        <f>Data!AC16</f>
        <v>2.7437356199632151E-4</v>
      </c>
      <c r="X8">
        <f>Data!AD16</f>
        <v>2.8371346383011109E-4</v>
      </c>
      <c r="Y8">
        <f>Data!AE16</f>
        <v>2.911057511325553E-4</v>
      </c>
      <c r="Z8">
        <f>Data!AF16</f>
        <v>2.9686561109110182E-4</v>
      </c>
      <c r="AA8">
        <f>Data!AG16</f>
        <v>3.0129898971418347E-4</v>
      </c>
      <c r="AB8">
        <f>Data!AH16</f>
        <v>3.046793634129411E-4</v>
      </c>
      <c r="AC8">
        <f>Data!AI16</f>
        <v>3.0723836332730134E-4</v>
      </c>
      <c r="AD8">
        <f>Data!AJ16</f>
        <v>3.091650388977042E-4</v>
      </c>
      <c r="AE8">
        <f>Data!AK16</f>
        <v>3.1060969146335472E-4</v>
      </c>
      <c r="AF8">
        <f>Data!AL16</f>
        <v>3.1168958329050089E-4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C24" sqref="C2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Data!H17</f>
        <v>0.05</v>
      </c>
      <c r="C2">
        <f>Data!I17</f>
        <v>0.15364198013583233</v>
      </c>
      <c r="D2">
        <f>Data!J17</f>
        <v>0.23792530586934735</v>
      </c>
      <c r="E2">
        <f>Data!K17</f>
        <v>0.36522161644024215</v>
      </c>
      <c r="F2">
        <f>Data!L17</f>
        <v>0.52500000000000002</v>
      </c>
      <c r="G2">
        <f>Data!M17</f>
        <v>0.68477838355975784</v>
      </c>
      <c r="H2">
        <f>Data!N17</f>
        <v>0.81207469413065259</v>
      </c>
      <c r="I2">
        <f>Data!O17</f>
        <v>0.89635801986416774</v>
      </c>
      <c r="J2">
        <f>Data!P17</f>
        <v>0.94554203289607475</v>
      </c>
      <c r="K2">
        <f>Data!Q17</f>
        <v>0.97215338078621139</v>
      </c>
      <c r="L2">
        <f>Data!R17</f>
        <v>0.98596466989139064</v>
      </c>
      <c r="M2">
        <f>Data!S17</f>
        <v>0.9929780357229322</v>
      </c>
      <c r="N2">
        <f>Data!T17</f>
        <v>0.99649997209553587</v>
      </c>
      <c r="O2">
        <f>Data!U17</f>
        <v>0.9982587080046319</v>
      </c>
      <c r="P2">
        <f>Data!V17</f>
        <v>0.99913450136531945</v>
      </c>
      <c r="Q2">
        <f>Data!W17</f>
        <v>0.99957000888792158</v>
      </c>
      <c r="R2">
        <f>Data!X17</f>
        <v>0.99978642406827833</v>
      </c>
      <c r="S2">
        <f>Data!Y17</f>
        <v>0.99989392932640198</v>
      </c>
      <c r="T2">
        <f>Data!Z17</f>
        <v>0.99994732390151331</v>
      </c>
      <c r="U2">
        <f>Data!AA17</f>
        <v>0.99997384109344112</v>
      </c>
      <c r="V2">
        <f>Data!AB17</f>
        <v>0.99998700969136967</v>
      </c>
      <c r="W2">
        <f>Data!AC17</f>
        <v>0.99999354915923688</v>
      </c>
      <c r="X2">
        <f>Data!AD17</f>
        <v>0.99999679659632945</v>
      </c>
      <c r="Y2">
        <f>Data!AE17</f>
        <v>0.99999840923411476</v>
      </c>
      <c r="Z2">
        <f>Data!AF17</f>
        <v>0.99999921004837367</v>
      </c>
      <c r="AA2">
        <f>Data!AG17</f>
        <v>0.99999960772146745</v>
      </c>
      <c r="AB2">
        <f>Data!AH17</f>
        <v>0.99999980520020537</v>
      </c>
      <c r="AC2">
        <f>Data!AI17</f>
        <v>0.99999990326527477</v>
      </c>
      <c r="AD2">
        <f>Data!AJ17</f>
        <v>0.99999995196295466</v>
      </c>
      <c r="AE2">
        <f>Data!AK17</f>
        <v>0.99999997614550851</v>
      </c>
      <c r="AF2">
        <f>Data!AL17</f>
        <v>0.9999999881542101</v>
      </c>
    </row>
    <row r="3" spans="1:32" x14ac:dyDescent="0.25">
      <c r="A3" t="s">
        <v>2</v>
      </c>
      <c r="B3">
        <f>Data!H18</f>
        <v>1.2417684632922508E-3</v>
      </c>
      <c r="C3">
        <f>Data!I18</f>
        <v>1.2415551653788361E-3</v>
      </c>
      <c r="D3">
        <f>Data!J18</f>
        <v>1.2413418674654217E-3</v>
      </c>
      <c r="E3">
        <f>Data!K18</f>
        <v>1.2411285695520073E-3</v>
      </c>
      <c r="F3">
        <f>Data!L18</f>
        <v>1.2409152716385927E-3</v>
      </c>
      <c r="G3">
        <f>Data!M18</f>
        <v>1.240701973725178E-3</v>
      </c>
      <c r="H3">
        <f>Data!N18</f>
        <v>1.2404886758117636E-3</v>
      </c>
      <c r="I3">
        <f>Data!O18</f>
        <v>1.2402753778983492E-3</v>
      </c>
      <c r="J3">
        <f>Data!P18</f>
        <v>1.2400620799849346E-3</v>
      </c>
      <c r="K3">
        <f>Data!Q18</f>
        <v>1.2398487820715199E-3</v>
      </c>
      <c r="L3">
        <f>Data!R18</f>
        <v>1.2396354841581055E-3</v>
      </c>
      <c r="M3">
        <f>Data!S18</f>
        <v>1.2394221862446911E-3</v>
      </c>
      <c r="N3">
        <f>Data!T18</f>
        <v>1.2392088883312765E-3</v>
      </c>
      <c r="O3">
        <f>Data!U18</f>
        <v>1.2389955904178619E-3</v>
      </c>
      <c r="P3">
        <f>Data!V18</f>
        <v>1.2387822925044474E-3</v>
      </c>
      <c r="Q3">
        <f>Data!W18</f>
        <v>1.238568994591033E-3</v>
      </c>
      <c r="R3">
        <f>Data!X18</f>
        <v>1.2383556966776184E-3</v>
      </c>
      <c r="S3">
        <f>Data!Y18</f>
        <v>1.2381423987642038E-3</v>
      </c>
      <c r="T3">
        <f>Data!Z18</f>
        <v>1.2379291008507893E-3</v>
      </c>
      <c r="U3">
        <f>Data!AA18</f>
        <v>1.2377158029373749E-3</v>
      </c>
      <c r="V3">
        <f>Data!AB18</f>
        <v>1.2375025050239603E-3</v>
      </c>
      <c r="W3">
        <f>Data!AC18</f>
        <v>1.2372892071105457E-3</v>
      </c>
      <c r="X3">
        <f>Data!AD18</f>
        <v>1.2370759091971312E-3</v>
      </c>
      <c r="Y3">
        <f>Data!AE18</f>
        <v>1.2368626112837168E-3</v>
      </c>
      <c r="Z3">
        <f>Data!AF18</f>
        <v>1.2366493133703022E-3</v>
      </c>
      <c r="AA3">
        <f>Data!AG18</f>
        <v>1.2364360154568876E-3</v>
      </c>
      <c r="AB3">
        <f>Data!AH18</f>
        <v>1.2362227175434731E-3</v>
      </c>
      <c r="AC3">
        <f>Data!AI18</f>
        <v>1.2360094196300587E-3</v>
      </c>
      <c r="AD3">
        <f>Data!AJ18</f>
        <v>1.2357961217166441E-3</v>
      </c>
      <c r="AE3">
        <f>Data!AK18</f>
        <v>1.2355828238032295E-3</v>
      </c>
      <c r="AF3">
        <f>Data!AL18</f>
        <v>1.235369525889815E-3</v>
      </c>
    </row>
    <row r="4" spans="1:32" x14ac:dyDescent="0.25">
      <c r="A4" t="s">
        <v>3</v>
      </c>
      <c r="B4">
        <f>Data!H19</f>
        <v>3</v>
      </c>
      <c r="C4">
        <f>Data!I19</f>
        <v>3</v>
      </c>
      <c r="D4">
        <f>Data!J19</f>
        <v>3</v>
      </c>
      <c r="E4">
        <f>Data!K19</f>
        <v>3</v>
      </c>
      <c r="F4">
        <f>Data!L19</f>
        <v>3</v>
      </c>
      <c r="G4">
        <f>Data!M19</f>
        <v>3</v>
      </c>
      <c r="H4">
        <f>Data!N19</f>
        <v>3</v>
      </c>
      <c r="I4">
        <f>Data!O19</f>
        <v>3</v>
      </c>
      <c r="J4">
        <f>Data!P19</f>
        <v>3</v>
      </c>
      <c r="K4">
        <f>Data!Q19</f>
        <v>3</v>
      </c>
      <c r="L4">
        <f>Data!R19</f>
        <v>3</v>
      </c>
      <c r="M4">
        <f>Data!S19</f>
        <v>3</v>
      </c>
      <c r="N4">
        <f>Data!T19</f>
        <v>3</v>
      </c>
      <c r="O4">
        <f>Data!U19</f>
        <v>3</v>
      </c>
      <c r="P4">
        <f>Data!V19</f>
        <v>3</v>
      </c>
      <c r="Q4">
        <f>Data!W19</f>
        <v>3</v>
      </c>
      <c r="R4">
        <f>Data!X19</f>
        <v>3</v>
      </c>
      <c r="S4">
        <f>Data!Y19</f>
        <v>3</v>
      </c>
      <c r="T4">
        <f>Data!Z19</f>
        <v>3</v>
      </c>
      <c r="U4">
        <f>Data!AA19</f>
        <v>3</v>
      </c>
      <c r="V4">
        <f>Data!AB19</f>
        <v>3</v>
      </c>
      <c r="W4">
        <f>Data!AC19</f>
        <v>3</v>
      </c>
      <c r="X4">
        <f>Data!AD19</f>
        <v>3</v>
      </c>
      <c r="Y4">
        <f>Data!AE19</f>
        <v>3</v>
      </c>
      <c r="Z4">
        <f>Data!AF19</f>
        <v>3</v>
      </c>
      <c r="AA4">
        <f>Data!AG19</f>
        <v>3</v>
      </c>
      <c r="AB4">
        <f>Data!AH19</f>
        <v>3</v>
      </c>
      <c r="AC4">
        <f>Data!AI19</f>
        <v>3</v>
      </c>
      <c r="AD4">
        <f>Data!AJ19</f>
        <v>3</v>
      </c>
      <c r="AE4">
        <f>Data!AK19</f>
        <v>3</v>
      </c>
      <c r="AF4">
        <f>Data!AL19</f>
        <v>3</v>
      </c>
    </row>
    <row r="5" spans="1:32" x14ac:dyDescent="0.25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</row>
    <row r="6" spans="1:32" x14ac:dyDescent="0.25">
      <c r="A6" t="s">
        <v>5</v>
      </c>
      <c r="B6">
        <f>Data!H21</f>
        <v>0</v>
      </c>
      <c r="C6">
        <f>Data!I21</f>
        <v>4.8419492105938079E-3</v>
      </c>
      <c r="D6">
        <f>Data!J21</f>
        <v>6.5023383380717441E-3</v>
      </c>
      <c r="E6">
        <f>Data!K21</f>
        <v>8.7167331658230592E-3</v>
      </c>
      <c r="F6">
        <f>Data!L21</f>
        <v>1.1657880218095483E-2</v>
      </c>
      <c r="G6">
        <f>Data!M21</f>
        <v>1.5543060551196652E-2</v>
      </c>
      <c r="H6">
        <f>Data!N21</f>
        <v>2.063849584047197E-2</v>
      </c>
      <c r="I6">
        <f>Data!O21</f>
        <v>2.7258501977836708E-2</v>
      </c>
      <c r="J6">
        <f>Data!P21</f>
        <v>3.5754713285670814E-2</v>
      </c>
      <c r="K6">
        <f>Data!Q21</f>
        <v>4.6489385292813434E-2</v>
      </c>
      <c r="L6">
        <f>Data!R21</f>
        <v>5.9787005965916053E-2</v>
      </c>
      <c r="M6">
        <f>Data!S21</f>
        <v>7.5862247020851009E-2</v>
      </c>
      <c r="N6">
        <f>Data!T21</f>
        <v>9.4731611292255713E-2</v>
      </c>
      <c r="O6">
        <f>Data!U21</f>
        <v>0.11613039717046947</v>
      </c>
      <c r="P6">
        <f>Data!V21</f>
        <v>0.13946956136044295</v>
      </c>
      <c r="Q6">
        <f>Data!W21</f>
        <v>0.16386688857579934</v>
      </c>
      <c r="R6">
        <f>Data!X21</f>
        <v>0.18826421579115574</v>
      </c>
      <c r="S6">
        <f>Data!Y21</f>
        <v>0.21160337998112919</v>
      </c>
      <c r="T6">
        <f>Data!Z21</f>
        <v>0.23300216585934294</v>
      </c>
      <c r="U6">
        <f>Data!AA21</f>
        <v>0.25187153013074765</v>
      </c>
      <c r="V6">
        <f>Data!AB21</f>
        <v>0.26794677118568261</v>
      </c>
      <c r="W6">
        <f>Data!AC21</f>
        <v>0.2812443918587853</v>
      </c>
      <c r="X6">
        <f>Data!AD21</f>
        <v>0.29197906386592787</v>
      </c>
      <c r="Y6">
        <f>Data!AE21</f>
        <v>0.30047527517376199</v>
      </c>
      <c r="Z6">
        <f>Data!AF21</f>
        <v>0.30709528131112673</v>
      </c>
      <c r="AA6">
        <f>Data!AG21</f>
        <v>0.31219071660040204</v>
      </c>
      <c r="AB6">
        <f>Data!AH21</f>
        <v>0.31607589693350319</v>
      </c>
      <c r="AC6">
        <f>Data!AI21</f>
        <v>0.31901704398577563</v>
      </c>
      <c r="AD6">
        <f>Data!AJ21</f>
        <v>0.32123143881352695</v>
      </c>
      <c r="AE6">
        <f>Data!AK21</f>
        <v>0.32289182794100485</v>
      </c>
      <c r="AF6">
        <f>Data!AL21</f>
        <v>0.32413298494392645</v>
      </c>
    </row>
    <row r="7" spans="1:32" x14ac:dyDescent="0.25">
      <c r="A7" t="s">
        <v>124</v>
      </c>
      <c r="B7">
        <f>Data!H22</f>
        <v>4.5128616403477108E-4</v>
      </c>
      <c r="C7">
        <f>Data!I22</f>
        <v>4.6496499325658983E-4</v>
      </c>
      <c r="D7">
        <f>Data!J22</f>
        <v>4.7864382247840911E-4</v>
      </c>
      <c r="E7">
        <f>Data!K22</f>
        <v>4.9232265170023187E-4</v>
      </c>
      <c r="F7">
        <f>Data!L22</f>
        <v>5.0600148092205116E-4</v>
      </c>
      <c r="G7">
        <f>Data!M22</f>
        <v>5.1968031014387045E-4</v>
      </c>
      <c r="H7">
        <f>Data!N22</f>
        <v>5.3335913936568974E-4</v>
      </c>
      <c r="I7">
        <f>Data!O22</f>
        <v>5.4703796858750903E-4</v>
      </c>
      <c r="J7">
        <f>Data!P22</f>
        <v>5.6071679780933179E-4</v>
      </c>
      <c r="K7">
        <f>Data!Q22</f>
        <v>5.7439562703115107E-4</v>
      </c>
      <c r="L7">
        <f>Data!R22</f>
        <v>5.8807445625297036E-4</v>
      </c>
      <c r="M7">
        <f>Data!S22</f>
        <v>6.0175328547478965E-4</v>
      </c>
      <c r="N7">
        <f>Data!T22</f>
        <v>6.1543211469661241E-4</v>
      </c>
      <c r="O7">
        <f>Data!U22</f>
        <v>6.291109439184317E-4</v>
      </c>
      <c r="P7">
        <f>Data!V22</f>
        <v>6.4278977314025099E-4</v>
      </c>
      <c r="Q7">
        <f>Data!W22</f>
        <v>6.5646860236207027E-4</v>
      </c>
      <c r="R7">
        <f>Data!X22</f>
        <v>6.7014743158388956E-4</v>
      </c>
      <c r="S7">
        <f>Data!Y22</f>
        <v>6.8382626080571232E-4</v>
      </c>
      <c r="T7">
        <f>Data!Z22</f>
        <v>6.9750509002753161E-4</v>
      </c>
      <c r="U7">
        <f>Data!AA22</f>
        <v>7.111839192493509E-4</v>
      </c>
      <c r="V7">
        <f>Data!AB22</f>
        <v>7.2486274847117019E-4</v>
      </c>
      <c r="W7">
        <f>Data!AC22</f>
        <v>7.3854157769298948E-4</v>
      </c>
      <c r="X7">
        <f>Data!AD22</f>
        <v>7.5222040691481223E-4</v>
      </c>
      <c r="Y7">
        <f>Data!AE22</f>
        <v>7.6589923613663152E-4</v>
      </c>
      <c r="Z7">
        <f>Data!AF22</f>
        <v>7.7957806535845081E-4</v>
      </c>
      <c r="AA7">
        <f>Data!AG22</f>
        <v>7.932568945802701E-4</v>
      </c>
      <c r="AB7">
        <f>Data!AH22</f>
        <v>8.0693572380209286E-4</v>
      </c>
      <c r="AC7">
        <f>Data!AI22</f>
        <v>8.2061455302391215E-4</v>
      </c>
      <c r="AD7">
        <f>Data!AJ22</f>
        <v>8.3429338224573144E-4</v>
      </c>
      <c r="AE7">
        <f>Data!AK22</f>
        <v>8.4797221146755072E-4</v>
      </c>
      <c r="AF7">
        <f>Data!AL22</f>
        <v>8.6165104068937001E-4</v>
      </c>
    </row>
    <row r="8" spans="1:32" x14ac:dyDescent="0.25">
      <c r="A8" t="s">
        <v>125</v>
      </c>
      <c r="B8">
        <f>Data!H23</f>
        <v>0</v>
      </c>
      <c r="C8">
        <f>Data!I23</f>
        <v>4.6511978851365776E-6</v>
      </c>
      <c r="D8">
        <f>Data!J23</f>
        <v>6.2461750446103416E-6</v>
      </c>
      <c r="E8">
        <f>Data!K23</f>
        <v>8.3733325367128191E-6</v>
      </c>
      <c r="F8">
        <f>Data!L23</f>
        <v>1.1198611438745645E-5</v>
      </c>
      <c r="G8">
        <f>Data!M23</f>
        <v>1.4930732897012287E-5</v>
      </c>
      <c r="H8">
        <f>Data!N23</f>
        <v>1.9825430633509433E-5</v>
      </c>
      <c r="I8">
        <f>Data!O23</f>
        <v>2.6184637887962621E-5</v>
      </c>
      <c r="J8">
        <f>Data!P23</f>
        <v>3.4346136149904345E-5</v>
      </c>
      <c r="K8">
        <f>Data!Q23</f>
        <v>4.465790968689553E-5</v>
      </c>
      <c r="L8">
        <f>Data!R23</f>
        <v>5.7431663078765201E-5</v>
      </c>
      <c r="M8">
        <f>Data!S23</f>
        <v>7.2873610927822591E-5</v>
      </c>
      <c r="N8">
        <f>Data!T23</f>
        <v>9.0999605930208407E-5</v>
      </c>
      <c r="O8">
        <f>Data!U23</f>
        <v>1.1155537454576398E-4</v>
      </c>
      <c r="P8">
        <f>Data!V23</f>
        <v>1.3397507917293147E-4</v>
      </c>
      <c r="Q8">
        <f>Data!W23</f>
        <v>1.5741125989510269E-4</v>
      </c>
      <c r="R8">
        <f>Data!X23</f>
        <v>1.8084744061727391E-4</v>
      </c>
      <c r="S8">
        <f>Data!Y23</f>
        <v>2.0326714524444137E-4</v>
      </c>
      <c r="T8">
        <f>Data!Z23</f>
        <v>2.2382291385999697E-4</v>
      </c>
      <c r="U8">
        <f>Data!AA23</f>
        <v>2.4194890886238276E-4</v>
      </c>
      <c r="V8">
        <f>Data!AB23</f>
        <v>2.5739085671144015E-4</v>
      </c>
      <c r="W8">
        <f>Data!AC23</f>
        <v>2.7016461010330987E-4</v>
      </c>
      <c r="X8">
        <f>Data!AD23</f>
        <v>2.8047638364030105E-4</v>
      </c>
      <c r="Y8">
        <f>Data!AE23</f>
        <v>2.8863788190224276E-4</v>
      </c>
      <c r="Z8">
        <f>Data!AF23</f>
        <v>2.9499708915669594E-4</v>
      </c>
      <c r="AA8">
        <f>Data!AG23</f>
        <v>2.9989178689319312E-4</v>
      </c>
      <c r="AB8">
        <f>Data!AH23</f>
        <v>3.0362390835145974E-4</v>
      </c>
      <c r="AC8">
        <f>Data!AI23</f>
        <v>3.0644918725349253E-4</v>
      </c>
      <c r="AD8">
        <f>Data!AJ23</f>
        <v>3.0857634474559505E-4</v>
      </c>
      <c r="AE8">
        <f>Data!AK23</f>
        <v>3.1017132190506877E-4</v>
      </c>
      <c r="AF8">
        <f>Data!AL23</f>
        <v>3.1136358282645159E-4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Data!H24</f>
        <v>0.05</v>
      </c>
      <c r="C2">
        <f>Data!I24</f>
        <v>0.15364198013583233</v>
      </c>
      <c r="D2">
        <f>Data!J24</f>
        <v>0.23792530586934735</v>
      </c>
      <c r="E2">
        <f>Data!K24</f>
        <v>0.36522161644024215</v>
      </c>
      <c r="F2">
        <f>Data!L24</f>
        <v>0.52500000000000002</v>
      </c>
      <c r="G2">
        <f>Data!M24</f>
        <v>0.68477838355975784</v>
      </c>
      <c r="H2">
        <f>Data!N24</f>
        <v>0.81207469413065259</v>
      </c>
      <c r="I2">
        <f>Data!O24</f>
        <v>0.89635801986416774</v>
      </c>
      <c r="J2">
        <f>Data!P24</f>
        <v>0.94554203289607475</v>
      </c>
      <c r="K2">
        <f>Data!Q24</f>
        <v>0.97215338078621139</v>
      </c>
      <c r="L2">
        <f>Data!R24</f>
        <v>0.98596466989139064</v>
      </c>
      <c r="M2">
        <f>Data!S24</f>
        <v>0.9929780357229322</v>
      </c>
      <c r="N2">
        <f>Data!T24</f>
        <v>0.99649997209553587</v>
      </c>
      <c r="O2">
        <f>Data!U24</f>
        <v>0.9982587080046319</v>
      </c>
      <c r="P2">
        <f>Data!V24</f>
        <v>0.99913450136531945</v>
      </c>
      <c r="Q2">
        <f>Data!W24</f>
        <v>0.99957000888792158</v>
      </c>
      <c r="R2">
        <f>Data!X24</f>
        <v>0.99978642406827833</v>
      </c>
      <c r="S2">
        <f>Data!Y24</f>
        <v>0.99989392932640198</v>
      </c>
      <c r="T2">
        <f>Data!Z24</f>
        <v>0.99994732390151331</v>
      </c>
      <c r="U2">
        <f>Data!AA24</f>
        <v>0.99997384109344112</v>
      </c>
      <c r="V2">
        <f>Data!AB24</f>
        <v>0.99998700969136967</v>
      </c>
      <c r="W2">
        <f>Data!AC24</f>
        <v>0.99999354915923688</v>
      </c>
      <c r="X2">
        <f>Data!AD24</f>
        <v>0.99999679659632945</v>
      </c>
      <c r="Y2">
        <f>Data!AE24</f>
        <v>0.99999840923411476</v>
      </c>
      <c r="Z2">
        <f>Data!AF24</f>
        <v>0.99999921004837367</v>
      </c>
      <c r="AA2">
        <f>Data!AG24</f>
        <v>0.99999960772146745</v>
      </c>
      <c r="AB2">
        <f>Data!AH24</f>
        <v>0.99999980520020537</v>
      </c>
      <c r="AC2">
        <f>Data!AI24</f>
        <v>0.99999990326527477</v>
      </c>
      <c r="AD2">
        <f>Data!AJ24</f>
        <v>0.99999995196295466</v>
      </c>
      <c r="AE2">
        <f>Data!AK24</f>
        <v>0.99999997614550851</v>
      </c>
      <c r="AF2">
        <f>Data!AL24</f>
        <v>0.9999999881542101</v>
      </c>
    </row>
    <row r="3" spans="1:32" x14ac:dyDescent="0.25">
      <c r="A3" t="s">
        <v>2</v>
      </c>
      <c r="B3">
        <f>Data!H25</f>
        <v>0.29946959893376196</v>
      </c>
      <c r="C3">
        <f>Data!I25</f>
        <v>0.29738693021273471</v>
      </c>
      <c r="D3">
        <f>Data!J25</f>
        <v>0.29667274665769744</v>
      </c>
      <c r="E3">
        <f>Data!K25</f>
        <v>0.29572026850413236</v>
      </c>
      <c r="F3">
        <f>Data!L25</f>
        <v>0.29445519225006772</v>
      </c>
      <c r="G3">
        <f>Data!M25</f>
        <v>0.29278405874507424</v>
      </c>
      <c r="H3">
        <f>Data!N25</f>
        <v>0.29059235799906613</v>
      </c>
      <c r="I3">
        <f>Data!O25</f>
        <v>0.28774489324558783</v>
      </c>
      <c r="J3">
        <f>Data!P25</f>
        <v>0.28409041593315565</v>
      </c>
      <c r="K3">
        <f>Data!Q25</f>
        <v>0.27947310900832301</v>
      </c>
      <c r="L3">
        <f>Data!R25</f>
        <v>0.27375340038780249</v>
      </c>
      <c r="M3">
        <f>Data!S25</f>
        <v>0.26683895327736284</v>
      </c>
      <c r="N3">
        <f>Data!T25</f>
        <v>0.25872266930896826</v>
      </c>
      <c r="O3">
        <f>Data!U25</f>
        <v>0.24951840464650404</v>
      </c>
      <c r="P3">
        <f>Data!V25</f>
        <v>0.23947952461715002</v>
      </c>
      <c r="Q3">
        <f>Data!W25</f>
        <v>0.22898549668374718</v>
      </c>
      <c r="R3">
        <f>Data!X25</f>
        <v>0.21849146875034436</v>
      </c>
      <c r="S3">
        <f>Data!Y25</f>
        <v>0.20845258872099034</v>
      </c>
      <c r="T3">
        <f>Data!Z25</f>
        <v>0.19924832405852613</v>
      </c>
      <c r="U3">
        <f>Data!AA25</f>
        <v>0.19113204009013152</v>
      </c>
      <c r="V3">
        <f>Data!AB25</f>
        <v>0.18421759297969187</v>
      </c>
      <c r="W3">
        <f>Data!AC25</f>
        <v>0.17849788435917135</v>
      </c>
      <c r="X3">
        <f>Data!AD25</f>
        <v>0.17388057743433874</v>
      </c>
      <c r="Y3">
        <f>Data!AE25</f>
        <v>0.17022610012190656</v>
      </c>
      <c r="Z3">
        <f>Data!AF25</f>
        <v>0.16737863536842829</v>
      </c>
      <c r="AA3">
        <f>Data!AG25</f>
        <v>0.16518693462242012</v>
      </c>
      <c r="AB3">
        <f>Data!AH25</f>
        <v>0.16351580111742667</v>
      </c>
      <c r="AC3">
        <f>Data!AI25</f>
        <v>0.16225072486336203</v>
      </c>
      <c r="AD3">
        <f>Data!AJ25</f>
        <v>0.16129824670979698</v>
      </c>
      <c r="AE3">
        <f>Data!AK25</f>
        <v>0.16058406315475965</v>
      </c>
      <c r="AF3">
        <f>Data!AL25</f>
        <v>0.16005020400931197</v>
      </c>
    </row>
    <row r="4" spans="1:32" x14ac:dyDescent="0.25">
      <c r="A4" t="s">
        <v>3</v>
      </c>
      <c r="B4">
        <f>Data!H26</f>
        <v>0.29946959893376196</v>
      </c>
      <c r="C4">
        <f>Data!I26</f>
        <v>0.29946959893376196</v>
      </c>
      <c r="D4">
        <f>Data!J26</f>
        <v>0.29946959893376196</v>
      </c>
      <c r="E4">
        <f>Data!K26</f>
        <v>0.29946959893376196</v>
      </c>
      <c r="F4">
        <f>Data!L26</f>
        <v>0.29946959893376196</v>
      </c>
      <c r="G4">
        <f>Data!M26</f>
        <v>0.29946959893376196</v>
      </c>
      <c r="H4">
        <f>Data!N26</f>
        <v>0.29946959893376196</v>
      </c>
      <c r="I4">
        <f>Data!O26</f>
        <v>0.29946959893376196</v>
      </c>
      <c r="J4">
        <f>Data!P26</f>
        <v>0.29946959893376196</v>
      </c>
      <c r="K4">
        <f>Data!Q26</f>
        <v>0.29946959893376196</v>
      </c>
      <c r="L4">
        <f>Data!R26</f>
        <v>0.29946959893376196</v>
      </c>
      <c r="M4">
        <f>Data!S26</f>
        <v>0.29946959893376196</v>
      </c>
      <c r="N4">
        <f>Data!T26</f>
        <v>0.29946959893376196</v>
      </c>
      <c r="O4">
        <f>Data!U26</f>
        <v>0.29946959893376196</v>
      </c>
      <c r="P4">
        <f>Data!V26</f>
        <v>0.29946959893376196</v>
      </c>
      <c r="Q4">
        <f>Data!W26</f>
        <v>0.29946959893376196</v>
      </c>
      <c r="R4">
        <f>Data!X26</f>
        <v>0.29946959893376196</v>
      </c>
      <c r="S4">
        <f>Data!Y26</f>
        <v>0.29946959893376196</v>
      </c>
      <c r="T4">
        <f>Data!Z26</f>
        <v>0.29946959893376196</v>
      </c>
      <c r="U4">
        <f>Data!AA26</f>
        <v>0.29946959893376196</v>
      </c>
      <c r="V4">
        <f>Data!AB26</f>
        <v>0.29946959893376196</v>
      </c>
      <c r="W4">
        <f>Data!AC26</f>
        <v>0.29946959893376196</v>
      </c>
      <c r="X4">
        <f>Data!AD26</f>
        <v>0.29946959893376196</v>
      </c>
      <c r="Y4">
        <f>Data!AE26</f>
        <v>0.29946959893376196</v>
      </c>
      <c r="Z4">
        <f>Data!AF26</f>
        <v>0.29946959893376196</v>
      </c>
      <c r="AA4">
        <f>Data!AG26</f>
        <v>0.29946959893376196</v>
      </c>
      <c r="AB4">
        <f>Data!AH26</f>
        <v>0.29946959893376196</v>
      </c>
      <c r="AC4">
        <f>Data!AI26</f>
        <v>0.29946959893376196</v>
      </c>
      <c r="AD4">
        <f>Data!AJ26</f>
        <v>0.29946959893376196</v>
      </c>
      <c r="AE4">
        <f>Data!AK26</f>
        <v>0.29946959893376196</v>
      </c>
      <c r="AF4">
        <f>Data!AL26</f>
        <v>0.29946959893376196</v>
      </c>
    </row>
    <row r="5" spans="1:32" x14ac:dyDescent="0.25">
      <c r="A5" t="s">
        <v>4</v>
      </c>
      <c r="B5">
        <f>Data!H27</f>
        <v>3</v>
      </c>
      <c r="C5">
        <f>Data!I27</f>
        <v>3</v>
      </c>
      <c r="D5">
        <f>Data!J27</f>
        <v>3</v>
      </c>
      <c r="E5">
        <f>Data!K27</f>
        <v>3</v>
      </c>
      <c r="F5">
        <f>Data!L27</f>
        <v>3</v>
      </c>
      <c r="G5">
        <f>Data!M27</f>
        <v>3</v>
      </c>
      <c r="H5">
        <f>Data!N27</f>
        <v>3</v>
      </c>
      <c r="I5">
        <f>Data!O27</f>
        <v>3</v>
      </c>
      <c r="J5">
        <f>Data!P27</f>
        <v>3</v>
      </c>
      <c r="K5">
        <f>Data!Q27</f>
        <v>3</v>
      </c>
      <c r="L5">
        <f>Data!R27</f>
        <v>3</v>
      </c>
      <c r="M5">
        <f>Data!S27</f>
        <v>3</v>
      </c>
      <c r="N5">
        <f>Data!T27</f>
        <v>3</v>
      </c>
      <c r="O5">
        <f>Data!U27</f>
        <v>3</v>
      </c>
      <c r="P5">
        <f>Data!V27</f>
        <v>3</v>
      </c>
      <c r="Q5">
        <f>Data!W27</f>
        <v>3</v>
      </c>
      <c r="R5">
        <f>Data!X27</f>
        <v>3</v>
      </c>
      <c r="S5">
        <f>Data!Y27</f>
        <v>3</v>
      </c>
      <c r="T5">
        <f>Data!Z27</f>
        <v>3</v>
      </c>
      <c r="U5">
        <f>Data!AA27</f>
        <v>3</v>
      </c>
      <c r="V5">
        <f>Data!AB27</f>
        <v>3</v>
      </c>
      <c r="W5">
        <f>Data!AC27</f>
        <v>3</v>
      </c>
      <c r="X5">
        <f>Data!AD27</f>
        <v>3</v>
      </c>
      <c r="Y5">
        <f>Data!AE27</f>
        <v>3</v>
      </c>
      <c r="Z5">
        <f>Data!AF27</f>
        <v>3</v>
      </c>
      <c r="AA5">
        <f>Data!AG27</f>
        <v>3</v>
      </c>
      <c r="AB5">
        <f>Data!AH27</f>
        <v>3</v>
      </c>
      <c r="AC5">
        <f>Data!AI27</f>
        <v>3</v>
      </c>
      <c r="AD5">
        <f>Data!AJ27</f>
        <v>3</v>
      </c>
      <c r="AE5">
        <f>Data!AK27</f>
        <v>3</v>
      </c>
      <c r="AF5">
        <f>Data!AL27</f>
        <v>3</v>
      </c>
    </row>
    <row r="6" spans="1:32" x14ac:dyDescent="0.25">
      <c r="A6" t="s">
        <v>5</v>
      </c>
      <c r="B6">
        <f>Data!H28</f>
        <v>0</v>
      </c>
      <c r="C6">
        <f>Data!I28</f>
        <v>1.2233156446257681E-3</v>
      </c>
      <c r="D6">
        <f>Data!J28</f>
        <v>1.6428119894792467E-3</v>
      </c>
      <c r="E6">
        <f>Data!K28</f>
        <v>2.2022775514557529E-3</v>
      </c>
      <c r="F6">
        <f>Data!L28</f>
        <v>2.945356639174761E-3</v>
      </c>
      <c r="G6">
        <f>Data!M28</f>
        <v>3.9269451848117651E-3</v>
      </c>
      <c r="H6">
        <f>Data!N28</f>
        <v>5.2143039394039635E-3</v>
      </c>
      <c r="I6">
        <f>Data!O28</f>
        <v>6.8868446297602999E-3</v>
      </c>
      <c r="J6">
        <f>Data!P28</f>
        <v>9.033407462385545E-3</v>
      </c>
      <c r="K6">
        <f>Data!Q28</f>
        <v>1.1745516085402967E-2</v>
      </c>
      <c r="L6">
        <f>Data!R28</f>
        <v>1.5105152194372085E-2</v>
      </c>
      <c r="M6">
        <f>Data!S28</f>
        <v>1.916655247312897E-2</v>
      </c>
      <c r="N6">
        <f>Data!T28</f>
        <v>2.3933886353221655E-2</v>
      </c>
      <c r="O6">
        <f>Data!U28</f>
        <v>2.9340277127321797E-2</v>
      </c>
      <c r="P6">
        <f>Data!V28</f>
        <v>3.5236903350417306E-2</v>
      </c>
      <c r="Q6">
        <f>Data!W28</f>
        <v>4.1400873844841243E-2</v>
      </c>
      <c r="R6">
        <f>Data!X28</f>
        <v>4.756484433926518E-2</v>
      </c>
      <c r="S6">
        <f>Data!Y28</f>
        <v>5.3461470562360683E-2</v>
      </c>
      <c r="T6">
        <f>Data!Z28</f>
        <v>5.8867861336460832E-2</v>
      </c>
      <c r="U6">
        <f>Data!AA28</f>
        <v>6.3635195216553517E-2</v>
      </c>
      <c r="V6">
        <f>Data!AB28</f>
        <v>6.7696595495310402E-2</v>
      </c>
      <c r="W6">
        <f>Data!AC28</f>
        <v>7.1056231604279527E-2</v>
      </c>
      <c r="X6">
        <f>Data!AD28</f>
        <v>7.3768340227296947E-2</v>
      </c>
      <c r="Y6">
        <f>Data!AE28</f>
        <v>7.5914903059922184E-2</v>
      </c>
      <c r="Z6">
        <f>Data!AF28</f>
        <v>7.7587443750278526E-2</v>
      </c>
      <c r="AA6">
        <f>Data!AG28</f>
        <v>7.8874802504870736E-2</v>
      </c>
      <c r="AB6">
        <f>Data!AH28</f>
        <v>7.9856391050507722E-2</v>
      </c>
      <c r="AC6">
        <f>Data!AI28</f>
        <v>8.0599470138226728E-2</v>
      </c>
      <c r="AD6">
        <f>Data!AJ28</f>
        <v>8.1158935700203244E-2</v>
      </c>
      <c r="AE6">
        <f>Data!AK28</f>
        <v>8.1578432045056715E-2</v>
      </c>
      <c r="AF6">
        <f>Data!AL28</f>
        <v>8.18920096381031E-2</v>
      </c>
    </row>
    <row r="7" spans="1:32" x14ac:dyDescent="0.25">
      <c r="A7" t="s">
        <v>124</v>
      </c>
      <c r="B7">
        <f>Data!H29</f>
        <v>2.2196156186230963E-2</v>
      </c>
      <c r="C7">
        <f>Data!I29</f>
        <v>3.8787446444274565E-2</v>
      </c>
      <c r="D7">
        <f>Data!J29</f>
        <v>5.5378736702316189E-2</v>
      </c>
      <c r="E7">
        <f>Data!K29</f>
        <v>7.1970026960350708E-2</v>
      </c>
      <c r="F7">
        <f>Data!L29</f>
        <v>8.8561317218392333E-2</v>
      </c>
      <c r="G7">
        <f>Data!M29</f>
        <v>0.10515260747643396</v>
      </c>
      <c r="H7">
        <f>Data!N29</f>
        <v>0.12174389773446848</v>
      </c>
      <c r="I7">
        <f>Data!O29</f>
        <v>0.1383351879925101</v>
      </c>
      <c r="J7">
        <f>Data!P29</f>
        <v>0.15492647825055172</v>
      </c>
      <c r="K7">
        <f>Data!Q29</f>
        <v>0.17151776850858624</v>
      </c>
      <c r="L7">
        <f>Data!R29</f>
        <v>0.18810905876662787</v>
      </c>
      <c r="M7">
        <f>Data!S29</f>
        <v>0.20470034902466949</v>
      </c>
      <c r="N7">
        <f>Data!T29</f>
        <v>0.22129163928270401</v>
      </c>
      <c r="O7">
        <f>Data!U29</f>
        <v>0.23788292954074564</v>
      </c>
      <c r="P7">
        <f>Data!V29</f>
        <v>0.25447421979878726</v>
      </c>
      <c r="Q7">
        <f>Data!W29</f>
        <v>0.27106551005682178</v>
      </c>
      <c r="R7">
        <f>Data!X29</f>
        <v>0.2876568003148634</v>
      </c>
      <c r="S7">
        <f>Data!Y29</f>
        <v>0.30424809057290503</v>
      </c>
      <c r="T7">
        <f>Data!Z29</f>
        <v>0.32083938083093955</v>
      </c>
      <c r="U7">
        <f>Data!AA29</f>
        <v>0.33743067108898117</v>
      </c>
      <c r="V7">
        <f>Data!AB29</f>
        <v>0.3540219613470228</v>
      </c>
      <c r="W7">
        <f>Data!AC29</f>
        <v>0.37061325160505731</v>
      </c>
      <c r="X7">
        <f>Data!AD29</f>
        <v>0.38720454186309894</v>
      </c>
      <c r="Y7">
        <f>Data!AE29</f>
        <v>0.40379583212114056</v>
      </c>
      <c r="Z7">
        <f>Data!AF29</f>
        <v>0.42038712237917508</v>
      </c>
      <c r="AA7">
        <f>Data!AG29</f>
        <v>0.43697841263721671</v>
      </c>
      <c r="AB7">
        <f>Data!AH29</f>
        <v>0.45356970289525833</v>
      </c>
      <c r="AC7">
        <f>Data!AI29</f>
        <v>0.47016099315329285</v>
      </c>
      <c r="AD7">
        <f>Data!AJ29</f>
        <v>0.48675228341133447</v>
      </c>
      <c r="AE7">
        <f>Data!AK29</f>
        <v>0.5033435736693761</v>
      </c>
      <c r="AF7">
        <f>Data!AL29</f>
        <v>0.51993486392741062</v>
      </c>
    </row>
    <row r="8" spans="1:32" x14ac:dyDescent="0.25">
      <c r="A8" t="s">
        <v>125</v>
      </c>
      <c r="B8">
        <f>Data!H30</f>
        <v>1.2919974477595432E-4</v>
      </c>
      <c r="C8">
        <f>Data!I30</f>
        <v>2.6830066517916028E-3</v>
      </c>
      <c r="D8">
        <f>Data!J30</f>
        <v>3.5587517366035969E-3</v>
      </c>
      <c r="E8">
        <f>Data!K30</f>
        <v>4.7266980656559621E-3</v>
      </c>
      <c r="F8">
        <f>Data!L30</f>
        <v>6.2779579673931142E-3</v>
      </c>
      <c r="G8">
        <f>Data!M30</f>
        <v>8.3271327807031264E-3</v>
      </c>
      <c r="H8">
        <f>Data!N30</f>
        <v>1.1014636773419878E-2</v>
      </c>
      <c r="I8">
        <f>Data!O30</f>
        <v>1.4506250721186734E-2</v>
      </c>
      <c r="J8">
        <f>Data!P30</f>
        <v>1.8987438395344558E-2</v>
      </c>
      <c r="K8">
        <f>Data!Q30</f>
        <v>2.4649265548840522E-2</v>
      </c>
      <c r="L8">
        <f>Data!R30</f>
        <v>3.166287805174383E-2</v>
      </c>
      <c r="M8">
        <f>Data!S30</f>
        <v>4.0141500989013298E-2</v>
      </c>
      <c r="N8">
        <f>Data!T30</f>
        <v>5.0093838510826716E-2</v>
      </c>
      <c r="O8">
        <f>Data!U30</f>
        <v>6.1380278083130541E-2</v>
      </c>
      <c r="P8">
        <f>Data!V30</f>
        <v>7.3690138455461227E-2</v>
      </c>
      <c r="Q8">
        <f>Data!W30</f>
        <v>8.6558109606207134E-2</v>
      </c>
      <c r="R8">
        <f>Data!X30</f>
        <v>9.9426080756953042E-2</v>
      </c>
      <c r="S8">
        <f>Data!Y30</f>
        <v>0.11173594112928371</v>
      </c>
      <c r="T8">
        <f>Data!Z30</f>
        <v>0.12302238070158754</v>
      </c>
      <c r="U8">
        <f>Data!AA30</f>
        <v>0.13297471822340096</v>
      </c>
      <c r="V8">
        <f>Data!AB30</f>
        <v>0.14145334116067043</v>
      </c>
      <c r="W8">
        <f>Data!AC30</f>
        <v>0.14846695366357376</v>
      </c>
      <c r="X8">
        <f>Data!AD30</f>
        <v>0.15412878081706971</v>
      </c>
      <c r="Y8">
        <f>Data!AE30</f>
        <v>0.15860996849122755</v>
      </c>
      <c r="Z8">
        <f>Data!AF30</f>
        <v>0.16210158243899439</v>
      </c>
      <c r="AA8">
        <f>Data!AG30</f>
        <v>0.16478908643171114</v>
      </c>
      <c r="AB8">
        <f>Data!AH30</f>
        <v>0.16683826124502116</v>
      </c>
      <c r="AC8">
        <f>Data!AI30</f>
        <v>0.16838952114675829</v>
      </c>
      <c r="AD8">
        <f>Data!AJ30</f>
        <v>0.16955746747581069</v>
      </c>
      <c r="AE8">
        <f>Data!AK30</f>
        <v>0.17043321256062266</v>
      </c>
      <c r="AF8">
        <f>Data!AL30</f>
        <v>0.17108784051909381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tabSelected="1" workbookViewId="0">
      <selection activeCell="A4" sqref="A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Data!H31</f>
        <v>0.05</v>
      </c>
      <c r="C2">
        <f>Data!I31</f>
        <v>0.15364198013583233</v>
      </c>
      <c r="D2">
        <f>Data!J31</f>
        <v>0.23792530586934735</v>
      </c>
      <c r="E2">
        <f>Data!K31</f>
        <v>0.36522161644024215</v>
      </c>
      <c r="F2">
        <f>Data!L31</f>
        <v>0.52500000000000002</v>
      </c>
      <c r="G2">
        <f>Data!M31</f>
        <v>0.68477838355975784</v>
      </c>
      <c r="H2">
        <f>Data!N31</f>
        <v>0.81207469413065259</v>
      </c>
      <c r="I2">
        <f>Data!O31</f>
        <v>0.89635801986416774</v>
      </c>
      <c r="J2">
        <f>Data!P31</f>
        <v>0.94554203289607475</v>
      </c>
      <c r="K2">
        <f>Data!Q31</f>
        <v>0.97215338078621139</v>
      </c>
      <c r="L2">
        <f>Data!R31</f>
        <v>0.98596466989139064</v>
      </c>
      <c r="M2">
        <f>Data!S31</f>
        <v>0.9929780357229322</v>
      </c>
      <c r="N2">
        <f>Data!T31</f>
        <v>0.99649997209553587</v>
      </c>
      <c r="O2">
        <f>Data!U31</f>
        <v>0.9982587080046319</v>
      </c>
      <c r="P2">
        <f>Data!V31</f>
        <v>0.99913450136531945</v>
      </c>
      <c r="Q2">
        <f>Data!W31</f>
        <v>0.99957000888792158</v>
      </c>
      <c r="R2">
        <f>Data!X31</f>
        <v>0.99978642406827833</v>
      </c>
      <c r="S2">
        <f>Data!Y31</f>
        <v>0.99989392932640198</v>
      </c>
      <c r="T2">
        <f>Data!Z31</f>
        <v>0.99994732390151331</v>
      </c>
      <c r="U2">
        <f>Data!AA31</f>
        <v>0.99997384109344112</v>
      </c>
      <c r="V2">
        <f>Data!AB31</f>
        <v>0.99998700969136967</v>
      </c>
      <c r="W2">
        <f>Data!AC31</f>
        <v>0.99999354915923688</v>
      </c>
      <c r="X2">
        <f>Data!AD31</f>
        <v>0.99999679659632945</v>
      </c>
      <c r="Y2">
        <f>Data!AE31</f>
        <v>0.99999840923411476</v>
      </c>
      <c r="Z2">
        <f>Data!AF31</f>
        <v>0.99999921004837367</v>
      </c>
      <c r="AA2">
        <f>Data!AG31</f>
        <v>0.99999960772146745</v>
      </c>
      <c r="AB2">
        <f>Data!AH31</f>
        <v>0.99999980520020537</v>
      </c>
      <c r="AC2">
        <f>Data!AI31</f>
        <v>0.99999990326527477</v>
      </c>
      <c r="AD2">
        <f>Data!AJ31</f>
        <v>0.99999995196295466</v>
      </c>
      <c r="AE2">
        <f>Data!AK31</f>
        <v>0.99999997614550851</v>
      </c>
      <c r="AF2">
        <f>Data!AL31</f>
        <v>0.9999999881542101</v>
      </c>
    </row>
    <row r="3" spans="1:32" x14ac:dyDescent="0.25">
      <c r="A3" t="s">
        <v>2</v>
      </c>
      <c r="B3">
        <f>Data!H32</f>
        <v>7.2809767943268324E-3</v>
      </c>
      <c r="C3">
        <f>Data!I32</f>
        <v>7.9539756206734417E-3</v>
      </c>
      <c r="D3">
        <f>Data!J32</f>
        <v>8.1847586969656192E-3</v>
      </c>
      <c r="E3">
        <f>Data!K32</f>
        <v>8.4925448911875676E-3</v>
      </c>
      <c r="F3">
        <f>Data!L32</f>
        <v>8.9013448244791796E-3</v>
      </c>
      <c r="G3">
        <f>Data!M32</f>
        <v>9.4413591225641757E-3</v>
      </c>
      <c r="H3">
        <f>Data!N32</f>
        <v>1.0149590832616918E-2</v>
      </c>
      <c r="I3">
        <f>Data!O32</f>
        <v>1.1069727778933097E-2</v>
      </c>
      <c r="J3">
        <f>Data!P32</f>
        <v>1.2250644800130824E-2</v>
      </c>
      <c r="K3">
        <f>Data!Q32</f>
        <v>1.3742693012081563E-2</v>
      </c>
      <c r="L3">
        <f>Data!R32</f>
        <v>1.5590974090003679E-2</v>
      </c>
      <c r="M3">
        <f>Data!S32</f>
        <v>1.7825325978606671E-2</v>
      </c>
      <c r="N3">
        <f>Data!T32</f>
        <v>2.0448042462451119E-2</v>
      </c>
      <c r="O3">
        <f>Data!U32</f>
        <v>2.342233177341109E-2</v>
      </c>
      <c r="P3">
        <f>Data!V32</f>
        <v>2.666632080026762E-2</v>
      </c>
      <c r="Q3">
        <f>Data!W32</f>
        <v>3.0057387469452152E-2</v>
      </c>
      <c r="R3">
        <f>Data!X32</f>
        <v>3.3448454138636688E-2</v>
      </c>
      <c r="S3">
        <f>Data!Y32</f>
        <v>3.6692443165493215E-2</v>
      </c>
      <c r="T3">
        <f>Data!Z32</f>
        <v>3.9666732476453186E-2</v>
      </c>
      <c r="U3">
        <f>Data!AA32</f>
        <v>4.2289448960297633E-2</v>
      </c>
      <c r="V3">
        <f>Data!AB32</f>
        <v>4.4523800848900626E-2</v>
      </c>
      <c r="W3">
        <f>Data!AC32</f>
        <v>4.6372081926822753E-2</v>
      </c>
      <c r="X3">
        <f>Data!AD32</f>
        <v>4.7864130138773484E-2</v>
      </c>
      <c r="Y3">
        <f>Data!AE32</f>
        <v>4.9045047159971211E-2</v>
      </c>
      <c r="Z3">
        <f>Data!AF32</f>
        <v>4.9965184106287391E-2</v>
      </c>
      <c r="AA3">
        <f>Data!AG32</f>
        <v>5.0673415816340134E-2</v>
      </c>
      <c r="AB3">
        <f>Data!AH32</f>
        <v>5.1213430114425126E-2</v>
      </c>
      <c r="AC3">
        <f>Data!AI32</f>
        <v>5.1622230047716738E-2</v>
      </c>
      <c r="AD3">
        <f>Data!AJ32</f>
        <v>5.1930016241938694E-2</v>
      </c>
      <c r="AE3">
        <f>Data!AK32</f>
        <v>5.2160799318230866E-2</v>
      </c>
      <c r="AF3">
        <f>Data!AL32</f>
        <v>5.2333311909740617E-2</v>
      </c>
    </row>
    <row r="4" spans="1:32" x14ac:dyDescent="0.25">
      <c r="A4" t="s">
        <v>3</v>
      </c>
      <c r="B4">
        <v>2.5000000000000001E-2</v>
      </c>
      <c r="C4">
        <v>2.5000000000000001E-2</v>
      </c>
      <c r="D4">
        <v>2.5000000000000001E-2</v>
      </c>
      <c r="E4">
        <v>2.5000000000000001E-2</v>
      </c>
      <c r="F4">
        <v>2.5000000000000001E-2</v>
      </c>
      <c r="G4">
        <v>2.5000000000000001E-2</v>
      </c>
      <c r="H4">
        <v>2.5000000000000001E-2</v>
      </c>
      <c r="I4">
        <v>2.5000000000000001E-2</v>
      </c>
      <c r="J4">
        <v>2.5000000000000001E-2</v>
      </c>
      <c r="K4">
        <v>2.5000000000000001E-2</v>
      </c>
      <c r="L4">
        <v>2.5000000000000001E-2</v>
      </c>
      <c r="M4">
        <v>2.5000000000000001E-2</v>
      </c>
      <c r="N4">
        <v>2.5000000000000001E-2</v>
      </c>
      <c r="O4">
        <v>2.5000000000000001E-2</v>
      </c>
      <c r="P4">
        <v>2.5000000000000001E-2</v>
      </c>
      <c r="Q4">
        <v>2.5000000000000001E-2</v>
      </c>
      <c r="R4">
        <v>2.5000000000000001E-2</v>
      </c>
      <c r="S4">
        <v>2.5000000000000001E-2</v>
      </c>
      <c r="T4">
        <v>2.5000000000000001E-2</v>
      </c>
      <c r="U4">
        <v>2.5000000000000001E-2</v>
      </c>
      <c r="V4">
        <v>2.5000000000000001E-2</v>
      </c>
      <c r="W4">
        <v>2.5000000000000001E-2</v>
      </c>
      <c r="X4">
        <v>2.5000000000000001E-2</v>
      </c>
      <c r="Y4">
        <v>2.5000000000000001E-2</v>
      </c>
      <c r="Z4">
        <v>2.5000000000000001E-2</v>
      </c>
      <c r="AA4">
        <v>2.5000000000000001E-2</v>
      </c>
      <c r="AB4">
        <v>2.5000000000000001E-2</v>
      </c>
      <c r="AC4">
        <v>2.5000000000000001E-2</v>
      </c>
      <c r="AD4">
        <v>2.5000000000000001E-2</v>
      </c>
      <c r="AE4">
        <v>2.5000000000000001E-2</v>
      </c>
      <c r="AF4">
        <v>2.5000000000000001E-2</v>
      </c>
    </row>
    <row r="5" spans="1:32" x14ac:dyDescent="0.25">
      <c r="A5" t="s">
        <v>4</v>
      </c>
      <c r="B5">
        <f>Data!H34</f>
        <v>5</v>
      </c>
      <c r="C5">
        <f>Data!I34</f>
        <v>5</v>
      </c>
      <c r="D5">
        <f>Data!J34</f>
        <v>5</v>
      </c>
      <c r="E5">
        <f>Data!K34</f>
        <v>5</v>
      </c>
      <c r="F5">
        <f>Data!L34</f>
        <v>5</v>
      </c>
      <c r="G5">
        <f>Data!M34</f>
        <v>5</v>
      </c>
      <c r="H5">
        <f>Data!N34</f>
        <v>5</v>
      </c>
      <c r="I5">
        <f>Data!O34</f>
        <v>5</v>
      </c>
      <c r="J5">
        <f>Data!P34</f>
        <v>5</v>
      </c>
      <c r="K5">
        <f>Data!Q34</f>
        <v>5</v>
      </c>
      <c r="L5">
        <f>Data!R34</f>
        <v>5</v>
      </c>
      <c r="M5">
        <f>Data!S34</f>
        <v>5</v>
      </c>
      <c r="N5">
        <f>Data!T34</f>
        <v>5</v>
      </c>
      <c r="O5">
        <f>Data!U34</f>
        <v>5</v>
      </c>
      <c r="P5">
        <f>Data!V34</f>
        <v>5</v>
      </c>
      <c r="Q5">
        <f>Data!W34</f>
        <v>5</v>
      </c>
      <c r="R5">
        <f>Data!X34</f>
        <v>5</v>
      </c>
      <c r="S5">
        <f>Data!Y34</f>
        <v>5</v>
      </c>
      <c r="T5">
        <f>Data!Z34</f>
        <v>5</v>
      </c>
      <c r="U5">
        <f>Data!AA34</f>
        <v>5</v>
      </c>
      <c r="V5">
        <f>Data!AB34</f>
        <v>5</v>
      </c>
      <c r="W5">
        <f>Data!AC34</f>
        <v>5</v>
      </c>
      <c r="X5">
        <f>Data!AD34</f>
        <v>5</v>
      </c>
      <c r="Y5">
        <f>Data!AE34</f>
        <v>5</v>
      </c>
      <c r="Z5">
        <f>Data!AF34</f>
        <v>5</v>
      </c>
      <c r="AA5">
        <f>Data!AG34</f>
        <v>5</v>
      </c>
      <c r="AB5">
        <f>Data!AH34</f>
        <v>5</v>
      </c>
      <c r="AC5">
        <f>Data!AI34</f>
        <v>5</v>
      </c>
      <c r="AD5">
        <f>Data!AJ34</f>
        <v>5</v>
      </c>
      <c r="AE5">
        <f>Data!AK34</f>
        <v>5</v>
      </c>
      <c r="AF5">
        <f>Data!AL34</f>
        <v>5</v>
      </c>
    </row>
    <row r="6" spans="1:32" x14ac:dyDescent="0.25">
      <c r="A6" t="s">
        <v>5</v>
      </c>
      <c r="B6">
        <f>Data!H35</f>
        <v>2.1604589258675129E-3</v>
      </c>
      <c r="C6">
        <f>Data!I35</f>
        <v>2.5363121187666543E-3</v>
      </c>
      <c r="D6">
        <f>Data!J35</f>
        <v>2.6651987567454672E-3</v>
      </c>
      <c r="E6">
        <f>Data!K35</f>
        <v>2.8370897308450499E-3</v>
      </c>
      <c r="F6">
        <f>Data!L35</f>
        <v>3.0653943788913106E-3</v>
      </c>
      <c r="G6">
        <f>Data!M35</f>
        <v>3.3669790031145663E-3</v>
      </c>
      <c r="H6">
        <f>Data!N35</f>
        <v>3.7625088898169965E-3</v>
      </c>
      <c r="I6">
        <f>Data!O35</f>
        <v>4.2763826079255159E-3</v>
      </c>
      <c r="J6">
        <f>Data!P35</f>
        <v>4.9358955455268607E-3</v>
      </c>
      <c r="K6">
        <f>Data!Q35</f>
        <v>5.7691675550270976E-3</v>
      </c>
      <c r="L6">
        <f>Data!R35</f>
        <v>6.8013868061113751E-3</v>
      </c>
      <c r="M6">
        <f>Data!S35</f>
        <v>8.0492170526371733E-3</v>
      </c>
      <c r="N6">
        <f>Data!T35</f>
        <v>9.5139393165278099E-3</v>
      </c>
      <c r="O6">
        <f>Data!U35</f>
        <v>1.1175006305602102E-2</v>
      </c>
      <c r="P6">
        <f>Data!V35</f>
        <v>1.298669391298265E-2</v>
      </c>
      <c r="Q6">
        <f>Data!W35</f>
        <v>1.4880520744547505E-2</v>
      </c>
      <c r="R6">
        <f>Data!X35</f>
        <v>1.6774347576112358E-2</v>
      </c>
      <c r="S6">
        <f>Data!Y35</f>
        <v>1.8586035183492906E-2</v>
      </c>
      <c r="T6">
        <f>Data!Z35</f>
        <v>2.0247102172567196E-2</v>
      </c>
      <c r="U6">
        <f>Data!AA35</f>
        <v>2.1711824436457833E-2</v>
      </c>
      <c r="V6">
        <f>Data!AB35</f>
        <v>2.2959654682983631E-2</v>
      </c>
      <c r="W6">
        <f>Data!AC35</f>
        <v>2.399187393406791E-2</v>
      </c>
      <c r="X6">
        <f>Data!AD35</f>
        <v>2.4825145943568147E-2</v>
      </c>
      <c r="Y6">
        <f>Data!AE35</f>
        <v>2.5484658881169492E-2</v>
      </c>
      <c r="Z6">
        <f>Data!AF35</f>
        <v>2.5998532599278014E-2</v>
      </c>
      <c r="AA6">
        <f>Data!AG35</f>
        <v>2.6394062485980443E-2</v>
      </c>
      <c r="AB6">
        <f>Data!AH35</f>
        <v>2.6695647110203696E-2</v>
      </c>
      <c r="AC6">
        <f>Data!AI35</f>
        <v>2.6923951758249957E-2</v>
      </c>
      <c r="AD6">
        <f>Data!AJ35</f>
        <v>2.7095842732349541E-2</v>
      </c>
      <c r="AE6">
        <f>Data!AK35</f>
        <v>2.7224729370328354E-2</v>
      </c>
      <c r="AF6">
        <f>Data!AL35</f>
        <v>2.7321073384308624E-2</v>
      </c>
    </row>
    <row r="7" spans="1:32" x14ac:dyDescent="0.25">
      <c r="A7" t="s">
        <v>124</v>
      </c>
      <c r="B7">
        <f>Data!H36</f>
        <v>7.9129793393846839E-4</v>
      </c>
      <c r="C7">
        <f>Data!I36</f>
        <v>9.7087460528438863E-4</v>
      </c>
      <c r="D7">
        <f>Data!J36</f>
        <v>1.150451276630271E-3</v>
      </c>
      <c r="E7">
        <f>Data!K36</f>
        <v>1.3300279479761534E-3</v>
      </c>
      <c r="F7">
        <f>Data!L36</f>
        <v>1.5096046193220358E-3</v>
      </c>
      <c r="G7">
        <f>Data!M36</f>
        <v>1.6891812906679182E-3</v>
      </c>
      <c r="H7">
        <f>Data!N36</f>
        <v>1.8687579620138561E-3</v>
      </c>
      <c r="I7">
        <f>Data!O36</f>
        <v>2.0483346333597385E-3</v>
      </c>
      <c r="J7">
        <f>Data!P36</f>
        <v>2.2279113047056209E-3</v>
      </c>
      <c r="K7">
        <f>Data!Q36</f>
        <v>2.4074879760515033E-3</v>
      </c>
      <c r="L7">
        <f>Data!R36</f>
        <v>2.5870646473973857E-3</v>
      </c>
      <c r="M7">
        <f>Data!S36</f>
        <v>2.7666413187432681E-3</v>
      </c>
      <c r="N7">
        <f>Data!T36</f>
        <v>2.946217990089206E-3</v>
      </c>
      <c r="O7">
        <f>Data!U36</f>
        <v>3.1257946614350884E-3</v>
      </c>
      <c r="P7">
        <f>Data!V36</f>
        <v>3.3053713327809708E-3</v>
      </c>
      <c r="Q7">
        <f>Data!W36</f>
        <v>3.4849480041268532E-3</v>
      </c>
      <c r="R7">
        <f>Data!X36</f>
        <v>3.6645246754727356E-3</v>
      </c>
      <c r="S7">
        <f>Data!Y36</f>
        <v>3.844101346818618E-3</v>
      </c>
      <c r="T7">
        <f>Data!Z36</f>
        <v>4.0236780181645004E-3</v>
      </c>
      <c r="U7">
        <f>Data!AA36</f>
        <v>4.2032546895104383E-3</v>
      </c>
      <c r="V7">
        <f>Data!AB36</f>
        <v>4.3828313608563207E-3</v>
      </c>
      <c r="W7">
        <f>Data!AC36</f>
        <v>4.5624080322022031E-3</v>
      </c>
      <c r="X7">
        <f>Data!AD36</f>
        <v>4.7419847035480855E-3</v>
      </c>
      <c r="Y7">
        <f>Data!AE36</f>
        <v>4.9215613748939679E-3</v>
      </c>
      <c r="Z7">
        <f>Data!AF36</f>
        <v>5.1011380462398503E-3</v>
      </c>
      <c r="AA7">
        <f>Data!AG36</f>
        <v>5.2807147175857883E-3</v>
      </c>
      <c r="AB7">
        <f>Data!AH36</f>
        <v>5.4602913889316707E-3</v>
      </c>
      <c r="AC7">
        <f>Data!AI36</f>
        <v>5.6398680602775531E-3</v>
      </c>
      <c r="AD7">
        <f>Data!AJ36</f>
        <v>5.8194447316234355E-3</v>
      </c>
      <c r="AE7">
        <f>Data!AK36</f>
        <v>5.9990214029693179E-3</v>
      </c>
      <c r="AF7">
        <f>Data!AL36</f>
        <v>6.1785980743152003E-3</v>
      </c>
    </row>
    <row r="8" spans="1:32" x14ac:dyDescent="0.25">
      <c r="A8" t="s">
        <v>125</v>
      </c>
      <c r="B8">
        <f>Data!H37</f>
        <v>2.2506977162920506E-5</v>
      </c>
      <c r="C8">
        <f>Data!I37</f>
        <v>1.1328629514907667E-4</v>
      </c>
      <c r="D8">
        <f>Data!J37</f>
        <v>1.444161120943459E-4</v>
      </c>
      <c r="E8">
        <f>Data!K37</f>
        <v>1.8593270871116238E-4</v>
      </c>
      <c r="F8">
        <f>Data!L37</f>
        <v>2.410748243942677E-4</v>
      </c>
      <c r="G8">
        <f>Data!M37</f>
        <v>3.139161545181947E-4</v>
      </c>
      <c r="H8">
        <f>Data!N37</f>
        <v>4.0944795798919357E-4</v>
      </c>
      <c r="I8">
        <f>Data!O37</f>
        <v>5.3356318846275704E-4</v>
      </c>
      <c r="J8">
        <f>Data!P37</f>
        <v>6.9285446444391488E-4</v>
      </c>
      <c r="K8">
        <f>Data!Q37</f>
        <v>8.9411353619984948E-4</v>
      </c>
      <c r="L8">
        <f>Data!R37</f>
        <v>1.1434240685990161E-3</v>
      </c>
      <c r="M8">
        <f>Data!S37</f>
        <v>1.4448108357788989E-3</v>
      </c>
      <c r="N8">
        <f>Data!T37</f>
        <v>1.7985832412478915E-3</v>
      </c>
      <c r="O8">
        <f>Data!U37</f>
        <v>2.1997785250616603E-3</v>
      </c>
      <c r="P8">
        <f>Data!V37</f>
        <v>2.6373530049626742E-3</v>
      </c>
      <c r="Q8">
        <f>Data!W37</f>
        <v>3.0947664616031096E-3</v>
      </c>
      <c r="R8">
        <f>Data!X37</f>
        <v>3.5521799182435449E-3</v>
      </c>
      <c r="S8">
        <f>Data!Y37</f>
        <v>3.989754398144558E-3</v>
      </c>
      <c r="T8">
        <f>Data!Z37</f>
        <v>4.3909496819583265E-3</v>
      </c>
      <c r="U8">
        <f>Data!AA37</f>
        <v>4.7447220874273196E-3</v>
      </c>
      <c r="V8">
        <f>Data!AB37</f>
        <v>5.0461088546072024E-3</v>
      </c>
      <c r="W8">
        <f>Data!AC37</f>
        <v>5.2954193870063697E-3</v>
      </c>
      <c r="X8">
        <f>Data!AD37</f>
        <v>5.4966784587623038E-3</v>
      </c>
      <c r="Y8">
        <f>Data!AE37</f>
        <v>5.6559697347434617E-3</v>
      </c>
      <c r="Z8">
        <f>Data!AF37</f>
        <v>5.7800849652170248E-3</v>
      </c>
      <c r="AA8">
        <f>Data!AG37</f>
        <v>5.875616768688024E-3</v>
      </c>
      <c r="AB8">
        <f>Data!AH37</f>
        <v>5.948458098811951E-3</v>
      </c>
      <c r="AC8">
        <f>Data!AI37</f>
        <v>6.0036002144950558E-3</v>
      </c>
      <c r="AD8">
        <f>Data!AJ37</f>
        <v>6.0451168111118727E-3</v>
      </c>
      <c r="AE8">
        <f>Data!AK37</f>
        <v>6.0762466280571414E-3</v>
      </c>
      <c r="AF8">
        <f>Data!AL37</f>
        <v>6.0995164686396177E-3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 x14ac:dyDescent="0.25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 x14ac:dyDescent="0.25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 x14ac:dyDescent="0.25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 x14ac:dyDescent="0.25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 x14ac:dyDescent="0.25">
      <c r="A7" t="s">
        <v>124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 x14ac:dyDescent="0.25">
      <c r="A8" t="s">
        <v>125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 x14ac:dyDescent="0.25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 x14ac:dyDescent="0.25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 x14ac:dyDescent="0.25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 x14ac:dyDescent="0.25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 x14ac:dyDescent="0.25">
      <c r="A7" t="s">
        <v>124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 x14ac:dyDescent="0.25">
      <c r="A8" t="s">
        <v>125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Data!H52</f>
        <v>0.75216927859794647</v>
      </c>
      <c r="C2">
        <f>Data!I52</f>
        <v>0.75583073753050711</v>
      </c>
      <c r="D2">
        <f>Data!J52</f>
        <v>0.75708631588086017</v>
      </c>
      <c r="E2">
        <f>Data!K52</f>
        <v>0.75876083070322697</v>
      </c>
      <c r="F2">
        <f>Data!L52</f>
        <v>0.76098491209651287</v>
      </c>
      <c r="G2">
        <f>Data!M52</f>
        <v>0.76392286696066514</v>
      </c>
      <c r="H2">
        <f>Data!N52</f>
        <v>0.76777601085866032</v>
      </c>
      <c r="I2">
        <f>Data!O52</f>
        <v>0.77278202797098927</v>
      </c>
      <c r="J2">
        <f>Data!P52</f>
        <v>0.77920682249752604</v>
      </c>
      <c r="K2">
        <f>Data!Q52</f>
        <v>0.78732433034388383</v>
      </c>
      <c r="L2">
        <f>Data!R52</f>
        <v>0.79737992776502331</v>
      </c>
      <c r="M2">
        <f>Data!S52</f>
        <v>0.80953594849008148</v>
      </c>
      <c r="N2">
        <f>Data!T52</f>
        <v>0.82380487188401408</v>
      </c>
      <c r="O2">
        <f>Data!U52</f>
        <v>0.83998653185027594</v>
      </c>
      <c r="P2">
        <f>Data!V52</f>
        <v>0.8576354966545553</v>
      </c>
      <c r="Q2">
        <f>Data!W52</f>
        <v>0.87608463929897318</v>
      </c>
      <c r="R2">
        <f>Data!X52</f>
        <v>0.89453378194339117</v>
      </c>
      <c r="S2">
        <f>Data!Y52</f>
        <v>0.91218274674767053</v>
      </c>
      <c r="T2">
        <f>Data!Z52</f>
        <v>0.92836440671393228</v>
      </c>
      <c r="U2">
        <f>Data!AA52</f>
        <v>0.94263333010786499</v>
      </c>
      <c r="V2">
        <f>Data!AB52</f>
        <v>0.95478935083292327</v>
      </c>
      <c r="W2">
        <f>Data!AC52</f>
        <v>0.96484494825406264</v>
      </c>
      <c r="X2">
        <f>Data!AD52</f>
        <v>0.97296245610042043</v>
      </c>
      <c r="Y2">
        <f>Data!AE52</f>
        <v>0.9793872506269572</v>
      </c>
      <c r="Z2">
        <f>Data!AF52</f>
        <v>0.98439326773928615</v>
      </c>
      <c r="AA2">
        <f>Data!AG52</f>
        <v>0.98824641163728133</v>
      </c>
      <c r="AB2">
        <f>Data!AH52</f>
        <v>0.9911843665014336</v>
      </c>
      <c r="AC2">
        <f>Data!AI52</f>
        <v>0.99340844789471949</v>
      </c>
      <c r="AD2">
        <f>Data!AJ52</f>
        <v>0.99508296271708629</v>
      </c>
      <c r="AE2">
        <f>Data!AK52</f>
        <v>0.99633854106743935</v>
      </c>
      <c r="AF2">
        <f>Data!AL52</f>
        <v>0.99727709808185716</v>
      </c>
    </row>
    <row r="3" spans="1:32" x14ac:dyDescent="0.25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 x14ac:dyDescent="0.25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 x14ac:dyDescent="0.25">
      <c r="A5" t="s">
        <v>4</v>
      </c>
      <c r="B5">
        <f>Data!H55</f>
        <v>0.24783072140205353</v>
      </c>
      <c r="C5">
        <f>Data!I55</f>
        <v>0.27290303068864574</v>
      </c>
      <c r="D5">
        <f>Data!J55</f>
        <v>0.29797533997524539</v>
      </c>
      <c r="E5">
        <f>Data!K55</f>
        <v>0.32304764926184504</v>
      </c>
      <c r="F5">
        <f>Data!L55</f>
        <v>0.34811995854844469</v>
      </c>
      <c r="G5">
        <f>Data!M55</f>
        <v>0.37319226783504433</v>
      </c>
      <c r="H5">
        <f>Data!N55</f>
        <v>0.39826457712163688</v>
      </c>
      <c r="I5">
        <f>Data!O55</f>
        <v>0.42333688640823652</v>
      </c>
      <c r="J5">
        <f>Data!P55</f>
        <v>0.44840919569483617</v>
      </c>
      <c r="K5">
        <f>Data!Q55</f>
        <v>0.47348150498143582</v>
      </c>
      <c r="L5">
        <f>Data!R55</f>
        <v>0.49855381426803547</v>
      </c>
      <c r="M5">
        <f>Data!S55</f>
        <v>0.52362612355462801</v>
      </c>
      <c r="N5">
        <f>Data!T55</f>
        <v>0.54869843284122766</v>
      </c>
      <c r="O5">
        <f>Data!U55</f>
        <v>0.5737707421278273</v>
      </c>
      <c r="P5">
        <f>Data!V55</f>
        <v>0.59884305141442695</v>
      </c>
      <c r="Q5">
        <f>Data!W55</f>
        <v>0.6239153607010266</v>
      </c>
      <c r="R5">
        <f>Data!X55</f>
        <v>0.64898766998761914</v>
      </c>
      <c r="S5">
        <f>Data!Y55</f>
        <v>0.67405997927421879</v>
      </c>
      <c r="T5">
        <f>Data!Z55</f>
        <v>0.69913228856081844</v>
      </c>
      <c r="U5">
        <f>Data!AA55</f>
        <v>0.72420459784741809</v>
      </c>
      <c r="V5">
        <f>Data!AB55</f>
        <v>0.74927690713401773</v>
      </c>
      <c r="W5">
        <f>Data!AC55</f>
        <v>0.77434921642061028</v>
      </c>
      <c r="X5">
        <f>Data!AD55</f>
        <v>0.79942152570720992</v>
      </c>
      <c r="Y5">
        <f>Data!AE55</f>
        <v>0.82449383499380957</v>
      </c>
      <c r="Z5">
        <f>Data!AF55</f>
        <v>0.84956614428040922</v>
      </c>
      <c r="AA5">
        <f>Data!AG55</f>
        <v>0.87463845356700887</v>
      </c>
      <c r="AB5">
        <f>Data!AH55</f>
        <v>0.89971076285360141</v>
      </c>
      <c r="AC5">
        <f>Data!AI55</f>
        <v>0.92478307214020106</v>
      </c>
      <c r="AD5">
        <f>Data!AJ55</f>
        <v>0.9498553814268007</v>
      </c>
      <c r="AE5">
        <f>Data!AK55</f>
        <v>0.97492769071340035</v>
      </c>
      <c r="AF5">
        <f>Data!AL55</f>
        <v>1</v>
      </c>
    </row>
    <row r="6" spans="1:32" x14ac:dyDescent="0.25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 x14ac:dyDescent="0.25">
      <c r="A7" t="s">
        <v>124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 x14ac:dyDescent="0.25">
      <c r="A8" t="s">
        <v>125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Data!H59</f>
        <v>0</v>
      </c>
      <c r="C2">
        <f>Data!I59</f>
        <v>0</v>
      </c>
      <c r="D2">
        <f>Data!J59</f>
        <v>0</v>
      </c>
      <c r="E2">
        <f>Data!K59</f>
        <v>0</v>
      </c>
      <c r="F2">
        <f>Data!L59</f>
        <v>0</v>
      </c>
      <c r="G2">
        <f>Data!M59</f>
        <v>0</v>
      </c>
      <c r="H2">
        <f>Data!N59</f>
        <v>0</v>
      </c>
      <c r="I2">
        <f>Data!O59</f>
        <v>0</v>
      </c>
      <c r="J2">
        <f>Data!P59</f>
        <v>0</v>
      </c>
      <c r="K2">
        <f>Data!Q59</f>
        <v>0</v>
      </c>
      <c r="L2">
        <f>Data!R59</f>
        <v>0</v>
      </c>
      <c r="M2">
        <f>Data!S59</f>
        <v>0</v>
      </c>
      <c r="N2">
        <f>Data!T59</f>
        <v>0</v>
      </c>
      <c r="O2">
        <f>Data!U59</f>
        <v>0</v>
      </c>
      <c r="P2">
        <f>Data!V59</f>
        <v>0</v>
      </c>
      <c r="Q2">
        <f>Data!W59</f>
        <v>0</v>
      </c>
      <c r="R2">
        <f>Data!X59</f>
        <v>0</v>
      </c>
      <c r="S2">
        <f>Data!Y59</f>
        <v>0</v>
      </c>
      <c r="T2">
        <f>Data!Z59</f>
        <v>0</v>
      </c>
      <c r="U2">
        <f>Data!AA59</f>
        <v>0</v>
      </c>
      <c r="V2">
        <f>Data!AB59</f>
        <v>0</v>
      </c>
      <c r="W2">
        <f>Data!AC59</f>
        <v>0</v>
      </c>
      <c r="X2">
        <f>Data!AD59</f>
        <v>0</v>
      </c>
      <c r="Y2">
        <f>Data!AE59</f>
        <v>0</v>
      </c>
      <c r="Z2">
        <f>Data!AF59</f>
        <v>0</v>
      </c>
      <c r="AA2">
        <f>Data!AG59</f>
        <v>0</v>
      </c>
      <c r="AB2">
        <f>Data!AH59</f>
        <v>0</v>
      </c>
      <c r="AC2">
        <f>Data!AI59</f>
        <v>0</v>
      </c>
      <c r="AD2">
        <f>Data!AJ59</f>
        <v>0</v>
      </c>
      <c r="AE2">
        <f>Data!AK59</f>
        <v>0</v>
      </c>
      <c r="AF2">
        <f>Data!AL59</f>
        <v>0</v>
      </c>
    </row>
    <row r="3" spans="1:32" x14ac:dyDescent="0.25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 x14ac:dyDescent="0.25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 x14ac:dyDescent="0.25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</row>
    <row r="6" spans="1:32" x14ac:dyDescent="0.25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 x14ac:dyDescent="0.25">
      <c r="A7" t="s">
        <v>124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 x14ac:dyDescent="0.25">
      <c r="A8" t="s">
        <v>125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 x14ac:dyDescent="0.25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 x14ac:dyDescent="0.25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 x14ac:dyDescent="0.25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 x14ac:dyDescent="0.25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 x14ac:dyDescent="0.25">
      <c r="A7" t="s">
        <v>124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 x14ac:dyDescent="0.25">
      <c r="A8" t="s">
        <v>125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 x14ac:dyDescent="0.25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 x14ac:dyDescent="0.25">
      <c r="A4" t="s">
        <v>3</v>
      </c>
      <c r="B4">
        <f>Data!H75</f>
        <v>0</v>
      </c>
      <c r="C4">
        <f>Data!I75</f>
        <v>0</v>
      </c>
      <c r="D4">
        <f>Data!J75</f>
        <v>0</v>
      </c>
      <c r="E4">
        <f>Data!K75</f>
        <v>0</v>
      </c>
      <c r="F4">
        <f>Data!L75</f>
        <v>0</v>
      </c>
      <c r="G4">
        <f>Data!M75</f>
        <v>0</v>
      </c>
      <c r="H4">
        <f>Data!N75</f>
        <v>0</v>
      </c>
      <c r="I4">
        <f>Data!O75</f>
        <v>0</v>
      </c>
      <c r="J4">
        <f>Data!P75</f>
        <v>0</v>
      </c>
      <c r="K4">
        <f>Data!Q75</f>
        <v>0</v>
      </c>
      <c r="L4">
        <f>Data!R75</f>
        <v>0</v>
      </c>
      <c r="M4">
        <f>Data!S75</f>
        <v>0</v>
      </c>
      <c r="N4">
        <f>Data!T75</f>
        <v>0</v>
      </c>
      <c r="O4">
        <f>Data!U75</f>
        <v>0</v>
      </c>
      <c r="P4">
        <f>Data!V75</f>
        <v>0</v>
      </c>
      <c r="Q4">
        <f>Data!W75</f>
        <v>0</v>
      </c>
      <c r="R4">
        <f>Data!X75</f>
        <v>0</v>
      </c>
      <c r="S4">
        <f>Data!Y75</f>
        <v>0</v>
      </c>
      <c r="T4">
        <f>Data!Z75</f>
        <v>0</v>
      </c>
      <c r="U4">
        <f>Data!AA75</f>
        <v>0</v>
      </c>
      <c r="V4">
        <f>Data!AB75</f>
        <v>0</v>
      </c>
      <c r="W4">
        <f>Data!AC75</f>
        <v>0</v>
      </c>
      <c r="X4">
        <f>Data!AD75</f>
        <v>0</v>
      </c>
      <c r="Y4">
        <f>Data!AE75</f>
        <v>0</v>
      </c>
      <c r="Z4">
        <f>Data!AF75</f>
        <v>0</v>
      </c>
      <c r="AA4">
        <f>Data!AG75</f>
        <v>0</v>
      </c>
      <c r="AB4">
        <f>Data!AH75</f>
        <v>0</v>
      </c>
      <c r="AC4">
        <f>Data!AI75</f>
        <v>0</v>
      </c>
      <c r="AD4">
        <f>Data!AJ75</f>
        <v>0</v>
      </c>
      <c r="AE4">
        <f>Data!AK75</f>
        <v>0</v>
      </c>
      <c r="AF4">
        <f>Data!AL75</f>
        <v>0</v>
      </c>
    </row>
    <row r="5" spans="1:32" x14ac:dyDescent="0.25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 x14ac:dyDescent="0.25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 x14ac:dyDescent="0.25">
      <c r="A7" t="s">
        <v>124</v>
      </c>
      <c r="B7">
        <f>Data!H78</f>
        <v>0</v>
      </c>
      <c r="C7">
        <f>Data!I78</f>
        <v>0</v>
      </c>
      <c r="D7">
        <f>Data!J78</f>
        <v>0</v>
      </c>
      <c r="E7">
        <f>Data!K78</f>
        <v>0</v>
      </c>
      <c r="F7">
        <f>Data!L78</f>
        <v>0</v>
      </c>
      <c r="G7">
        <f>Data!M78</f>
        <v>0</v>
      </c>
      <c r="H7">
        <f>Data!N78</f>
        <v>0</v>
      </c>
      <c r="I7">
        <f>Data!O78</f>
        <v>0</v>
      </c>
      <c r="J7">
        <f>Data!P78</f>
        <v>0</v>
      </c>
      <c r="K7">
        <f>Data!Q78</f>
        <v>0</v>
      </c>
      <c r="L7">
        <f>Data!R78</f>
        <v>0</v>
      </c>
      <c r="M7">
        <f>Data!S78</f>
        <v>0</v>
      </c>
      <c r="N7">
        <f>Data!T78</f>
        <v>0</v>
      </c>
      <c r="O7">
        <f>Data!U78</f>
        <v>0</v>
      </c>
      <c r="P7">
        <f>Data!V78</f>
        <v>0</v>
      </c>
      <c r="Q7">
        <f>Data!W78</f>
        <v>0</v>
      </c>
      <c r="R7">
        <f>Data!X78</f>
        <v>0</v>
      </c>
      <c r="S7">
        <f>Data!Y78</f>
        <v>0</v>
      </c>
      <c r="T7">
        <f>Data!Z78</f>
        <v>0</v>
      </c>
      <c r="U7">
        <f>Data!AA78</f>
        <v>0</v>
      </c>
      <c r="V7">
        <f>Data!AB78</f>
        <v>0</v>
      </c>
      <c r="W7">
        <f>Data!AC78</f>
        <v>0</v>
      </c>
      <c r="X7">
        <f>Data!AD78</f>
        <v>0</v>
      </c>
      <c r="Y7">
        <f>Data!AE78</f>
        <v>0</v>
      </c>
      <c r="Z7">
        <f>Data!AF78</f>
        <v>0</v>
      </c>
      <c r="AA7">
        <f>Data!AG78</f>
        <v>0</v>
      </c>
      <c r="AB7">
        <f>Data!AH78</f>
        <v>0</v>
      </c>
      <c r="AC7">
        <f>Data!AI78</f>
        <v>0</v>
      </c>
      <c r="AD7">
        <f>Data!AJ78</f>
        <v>0</v>
      </c>
      <c r="AE7">
        <f>Data!AK78</f>
        <v>0</v>
      </c>
      <c r="AF7">
        <f>Data!AL78</f>
        <v>0</v>
      </c>
    </row>
    <row r="8" spans="1:32" x14ac:dyDescent="0.25">
      <c r="A8" t="s">
        <v>125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Data!H80</f>
        <v>0</v>
      </c>
      <c r="C2">
        <f>Data!I80</f>
        <v>0.10909682119561298</v>
      </c>
      <c r="D2">
        <f>Data!J80</f>
        <v>0.19781611144141825</v>
      </c>
      <c r="E2">
        <f>Data!K80</f>
        <v>0.33181222783183389</v>
      </c>
      <c r="F2">
        <f>Data!L80</f>
        <v>0.5</v>
      </c>
      <c r="G2">
        <f>Data!M80</f>
        <v>0.66818777216816616</v>
      </c>
      <c r="H2">
        <f>Data!N80</f>
        <v>0.80218388855858169</v>
      </c>
      <c r="I2">
        <f>Data!O80</f>
        <v>0.89090317880438707</v>
      </c>
      <c r="J2">
        <f>Data!P80</f>
        <v>0.94267582410113127</v>
      </c>
      <c r="K2">
        <f>Data!Q80</f>
        <v>0.97068776924864364</v>
      </c>
      <c r="L2">
        <f>Data!R80</f>
        <v>0.98522596830672693</v>
      </c>
      <c r="M2">
        <f>Data!S80</f>
        <v>0.99260845865571812</v>
      </c>
      <c r="N2">
        <f>Data!T80</f>
        <v>0.99631576010056411</v>
      </c>
      <c r="O2">
        <f>Data!U80</f>
        <v>0.99816706105750719</v>
      </c>
      <c r="P2">
        <f>Data!V80</f>
        <v>0.9990889488055994</v>
      </c>
      <c r="Q2">
        <f>Data!W80</f>
        <v>0.9995473777767595</v>
      </c>
      <c r="R2">
        <f>Data!X80</f>
        <v>0.99977518322976666</v>
      </c>
      <c r="S2">
        <f>Data!Y80</f>
        <v>0.99988834665937043</v>
      </c>
      <c r="T2">
        <f>Data!Z80</f>
        <v>0.99994455147527717</v>
      </c>
      <c r="U2">
        <f>Data!AA80</f>
        <v>0.99997246430888531</v>
      </c>
      <c r="V2">
        <f>Data!AB80</f>
        <v>0.99998632599091541</v>
      </c>
      <c r="W2">
        <f>Data!AC80</f>
        <v>0.99999320964130201</v>
      </c>
      <c r="X2">
        <f>Data!AD80</f>
        <v>0.99999662799613631</v>
      </c>
      <c r="Y2">
        <f>Data!AE80</f>
        <v>0.99999832550959444</v>
      </c>
      <c r="Z2">
        <f>Data!AF80</f>
        <v>0.99999916847197223</v>
      </c>
      <c r="AA2">
        <f>Data!AG80</f>
        <v>0.99999958707522896</v>
      </c>
      <c r="AB2">
        <f>Data!AH80</f>
        <v>0.99999979494758462</v>
      </c>
      <c r="AC2">
        <f>Data!AI80</f>
        <v>0.99999989817397339</v>
      </c>
      <c r="AD2">
        <f>Data!AJ80</f>
        <v>0.99999994943468906</v>
      </c>
      <c r="AE2">
        <f>Data!AK80</f>
        <v>0.99999997489000902</v>
      </c>
      <c r="AF2">
        <f>Data!AL80</f>
        <v>0.99999998753074737</v>
      </c>
    </row>
    <row r="3" spans="1:32" x14ac:dyDescent="0.25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 x14ac:dyDescent="0.25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 x14ac:dyDescent="0.25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 x14ac:dyDescent="0.25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 x14ac:dyDescent="0.25">
      <c r="A7" t="s">
        <v>124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 x14ac:dyDescent="0.25">
      <c r="A8" t="s">
        <v>125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2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2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2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2023-11-28T22:12:03Z</dcterms:modified>
</cp:coreProperties>
</file>