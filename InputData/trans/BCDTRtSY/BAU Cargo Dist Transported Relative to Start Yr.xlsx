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AZ\trans\BCDTRtSY\"/>
    </mc:Choice>
  </mc:AlternateContent>
  <xr:revisionPtr revIDLastSave="0" documentId="8_{0AC140BD-C782-417D-8F9C-F0B6FD2A7F22}"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<sst xmlns="http://schemas.openxmlformats.org/spreadsheetml/2006/main" count="6428" uniqueCount="3038">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</sst>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2887</v>
      </c>
      <c r="C1" s="77">
        <v>46248</v>
      </c>
      <c r="H1" t="s">
        <v>2981</v>
      </c>
      <c r="I1" t="s">
        <v>2982</v>
      </c>
    </row>
    <row r="2" spans="1:9">
      <c r="B2" t="str">
        <f>VLOOKUP(B1,H2:I52,2)</f>
        <v>AZ</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Arizona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1.0063279117202193</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1.0140885431662867</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1.0187725874665068</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1.0230527558313189</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1.0265949537111834</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1.0345783742387842</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1.0427325331333877</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1.0494739104148583</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1.0568197547484441</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1.063293129493649</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1.0704764574942518</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1.0781056064143142</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1.0857942427495908</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1.0928534399606762</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1.1001198584455156</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1.1066466241825359</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1.1130389217067569</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1.1190653244894366</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1.1253271446658251</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1.1313455073557088</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1.1370653138513207</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1.141916280395725</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1.1468870597143939</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1.15158457057011</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1.1567006053475195</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1.0181390614331922</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1.0304885481629869</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1.0393766630032626</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1.0470548744025463</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1.0533291123884549</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1.0631316404488464</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1.0725325549138325</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1.0824434341152351</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1.0919015885792274</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1.1017113189149055</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1.1107406019906159</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1.1199198407004254</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1.1285957497390615</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1.137260085945669</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1.1458797530830578</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1.1538671634290625</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1.1618149896849168</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1.1694179947120495</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1.1768992684221</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1.1842649130662908</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1.1912184440065818</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1.1980488233933866</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1.204464581920323</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1.2106823162077411</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1.2168142574611218</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1.031559541094432</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1.0505469704666708</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1.0587587780149983</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1.071807234607888</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1.0890094586247192</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1.1106664310010825</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1.1368977830896003</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1.1652516190730857</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1.1962301117959167</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1.2300716895602681</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1.2570163996916757</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1.2842345005709299</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1.3113896736607396</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1.3377001193140019</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1.3646653069435886</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1.3905551933286506</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1.4177851902407088</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1.4466310738713932</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1.4755989326902039</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1.5049182836075943</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1.5333455523266111</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1.559826850521064</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1.5866829043948472</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1.6125466343068848</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1.639119745429729</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1.0639267763243805</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1.1115143857055927</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1.1476055945954315</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1.1789093473307819</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1.2056082159208938</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1.233994908077745</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1.2603787984732269</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1.2878284244086493</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1.3103180172990478</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1.3329169260734568</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1.3518229237757842</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1.3717305770488115</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1.3903955491453668</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1.4063270013120999</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1.4227001581320462</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1.4377487541153504</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1.4528920941708743</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1.4664414326866173</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1.4809141217314497</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1.4961532957261212</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1.5096889226849024</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1.5240618857755803</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1.5359603535771047</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1.5474330335968876</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1.558592937344738</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1.0021472344886619</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0.99721083028890012</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0.98630790308910932</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0.97783966978570125</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0.97165702519954378</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0.969694953868522</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0.96999200435135791</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0.97142913523543717</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0.97407078129508462</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0.97799450441836155</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0.97882781317942702</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0.97963712340144649</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0.98021370869290259</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0.98065313188834657</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0.98112607453373457</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0.98089189565802948</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0.9810433974466467</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0.98145007746100232</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0.9818016395354805</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0.98206313618163565</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0.98176357814249915</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0.98070023378134763</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0.97941685272007928</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0.97765524860111397</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0.97612133162073655</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1.0060922270775461</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1.0143854418724016</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1.0197460243272052</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1.0249039547898282</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1.0290346373217507</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1.0382887024153793</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1.0476136238079281</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1.0553982047122779</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1.0635514883362691</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1.0707782772370289</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1.0788350015416228</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1.0873665924069988</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1.0958796025380735</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1.103644017226018</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1.1116546701751064</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1.1192358687154573</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1.1265414960831901</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1.133603602798315</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1.141033040216179</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1.1483268481765263</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1.155120936145748</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1.1611118924591839</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1.1670386130778165</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1.1727847520581012</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1.1789672413335539</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0.99628793199683063</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0.99803862158631451</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0.99942026603765854</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1.0019744676442699</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1.0093264127398207</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1.020214010997496</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1.032979411258256</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1.0444953598355238</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1.0580612452080502</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1.0724469769192662</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1.0872833866171934</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1.1035484778726905</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1.1212356792464744</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1.1394477632405167</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1.1583504966300144</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1.1765056125034177</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1.1941406010257747</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1.209111797690914</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1.2238895291044043</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1.2402711458864781</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1.2572917969415942</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1.2752037324217247</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1.2918131064131493</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1.309422888700343</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1.3262973516904599</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1.0109350514948894</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1.0261189831350273</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1.0404488928993998</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1.0521890106530258</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1.066319568388449</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1.0812302849310043</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1.0971626114732114</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1.1109583566936505</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1.126125186111125</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1.1412441398537749</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1.1556168340957693</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1.1693360826646004</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1.1820564950586483</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1.1942282126139572</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1.2066406056830195</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1.2190053582611202</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1.2308560502383583</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1.2416503295561641</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1.2528326258117022</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1.2661327791468997</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1.279737836963587</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1.2933100809615889</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1.304561346962497</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1.3157693991378852</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1.3263765940575774</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1.0270079928489424</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1.0462628739347013</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1.059062532790735</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1.0755760377378756</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1.0950903102288607</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1.1196444882532306</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1.147559693080628</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1.1772128949539937</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1.2089465284790004</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1.2429128605392656</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1.2725042897795735</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1.3025395367249573</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1.3327846619339814</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1.3626934543040428</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1.393310577784854</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1.4234796034268127</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1.4548125656348412</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1.4875098277448946</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1.520548119206574</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1.554085320410046</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1.5872638480923451</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1.6193410496047378</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1.651945948678313</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1.6841249154049989</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1.7170954262358173</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0.9774400810972439</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1.0091148074889684</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0.98857593475007655</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0.98092668595083443</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0.98761314330142802</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0.96712172287905318</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0.97601650886034719</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0.98508308364798947</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0.98708903183797347</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0.99510955987286376</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1.0022541076828704</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1.0108321709412349</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1.0160078686573928</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1.0228105548844237</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1.0285655670174492</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1.0325005227267443</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1.0341512911175943</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1.0364397062860762</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1.0413521394189258</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1.0456076774863408</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1.0525835497598122</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1.0635885461378247</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1.0717656955902246</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1.0734944640851762</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1.0759207938024864</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0.99231399856186286</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1.0116322795810313</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1.0329820145136457</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1.0509671953010638</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1.0698822794998046</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1.0926400851628262</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1.1176286186529301</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1.1430918426231371</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1.1694699688635954</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1.197071328329318</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1.2207079591518626</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1.2410092458645583</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1.2614142214108968</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1.2806863928445391</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1.3001443329263638</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1.3194808820953148</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1.3400691463359231</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1.3603268372367721</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1.3805410105324787</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1.4023420144214096</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1.4244438372739381</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1.4468872528440218</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1.4686132253962592</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1.4901213778105631</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1.5133551888782391</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1.0063279117202193</v>
      </c>
      <c r="E2">
        <f>'BCDTRtSY-state-adjusted'!E5</f>
        <v>1.0140885431662867</v>
      </c>
      <c r="F2">
        <f>'BCDTRtSY-state-adjusted'!F5</f>
        <v>1.0187725874665068</v>
      </c>
      <c r="G2">
        <f>'BCDTRtSY-state-adjusted'!G5</f>
        <v>1.0230527558313189</v>
      </c>
      <c r="H2">
        <f>'BCDTRtSY-state-adjusted'!H5</f>
        <v>1.0265949537111834</v>
      </c>
      <c r="I2">
        <f>'BCDTRtSY-state-adjusted'!I5</f>
        <v>1.0345783742387842</v>
      </c>
      <c r="J2">
        <f>'BCDTRtSY-state-adjusted'!J5</f>
        <v>1.0427325331333877</v>
      </c>
      <c r="K2">
        <f>'BCDTRtSY-state-adjusted'!K5</f>
        <v>1.0494739104148583</v>
      </c>
      <c r="L2">
        <f>'BCDTRtSY-state-adjusted'!L5</f>
        <v>1.0568197547484441</v>
      </c>
      <c r="M2">
        <f>'BCDTRtSY-state-adjusted'!M5</f>
        <v>1.063293129493649</v>
      </c>
      <c r="N2">
        <f>'BCDTRtSY-state-adjusted'!N5</f>
        <v>1.0704764574942518</v>
      </c>
      <c r="O2">
        <f>'BCDTRtSY-state-adjusted'!O5</f>
        <v>1.0781056064143142</v>
      </c>
      <c r="P2">
        <f>'BCDTRtSY-state-adjusted'!P5</f>
        <v>1.0857942427495908</v>
      </c>
      <c r="Q2">
        <f>'BCDTRtSY-state-adjusted'!Q5</f>
        <v>1.0928534399606762</v>
      </c>
      <c r="R2">
        <f>'BCDTRtSY-state-adjusted'!R5</f>
        <v>1.1001198584455156</v>
      </c>
      <c r="S2">
        <f>'BCDTRtSY-state-adjusted'!S5</f>
        <v>1.1066466241825359</v>
      </c>
      <c r="T2">
        <f>'BCDTRtSY-state-adjusted'!T5</f>
        <v>1.1130389217067569</v>
      </c>
      <c r="U2">
        <f>'BCDTRtSY-state-adjusted'!U5</f>
        <v>1.1190653244894366</v>
      </c>
      <c r="V2">
        <f>'BCDTRtSY-state-adjusted'!V5</f>
        <v>1.1253271446658251</v>
      </c>
      <c r="W2">
        <f>'BCDTRtSY-state-adjusted'!W5</f>
        <v>1.1313455073557088</v>
      </c>
      <c r="X2">
        <f>'BCDTRtSY-state-adjusted'!X5</f>
        <v>1.1370653138513207</v>
      </c>
      <c r="Y2">
        <f>'BCDTRtSY-state-adjusted'!Y5</f>
        <v>1.141916280395725</v>
      </c>
      <c r="Z2">
        <f>'BCDTRtSY-state-adjusted'!Z5</f>
        <v>1.1468870597143939</v>
      </c>
      <c r="AA2">
        <f>'BCDTRtSY-state-adjusted'!AA5</f>
        <v>1.15158457057011</v>
      </c>
      <c r="AB2">
        <f>'BCDTRtSY-state-adjusted'!AB5</f>
        <v>1.1567006053475195</v>
      </c>
    </row>
    <row r="3" spans="1:28">
      <c r="A3" t="s">
        <v>118</v>
      </c>
      <c r="B3">
        <f>'BCDTRtSY-state-adjusted'!B6</f>
        <v>1</v>
      </c>
      <c r="C3">
        <f>'BCDTRtSY-state-adjusted'!C6</f>
        <v>1</v>
      </c>
      <c r="D3">
        <f>'BCDTRtSY-state-adjusted'!D6</f>
        <v>1.0181390614331922</v>
      </c>
      <c r="E3">
        <f>'BCDTRtSY-state-adjusted'!E6</f>
        <v>1.0304885481629869</v>
      </c>
      <c r="F3">
        <f>'BCDTRtSY-state-adjusted'!F6</f>
        <v>1.0393766630032626</v>
      </c>
      <c r="G3">
        <f>'BCDTRtSY-state-adjusted'!G6</f>
        <v>1.0470548744025463</v>
      </c>
      <c r="H3">
        <f>'BCDTRtSY-state-adjusted'!H6</f>
        <v>1.0533291123884549</v>
      </c>
      <c r="I3">
        <f>'BCDTRtSY-state-adjusted'!I6</f>
        <v>1.0631316404488464</v>
      </c>
      <c r="J3">
        <f>'BCDTRtSY-state-adjusted'!J6</f>
        <v>1.0725325549138325</v>
      </c>
      <c r="K3">
        <f>'BCDTRtSY-state-adjusted'!K6</f>
        <v>1.0824434341152351</v>
      </c>
      <c r="L3">
        <f>'BCDTRtSY-state-adjusted'!L6</f>
        <v>1.0919015885792274</v>
      </c>
      <c r="M3">
        <f>'BCDTRtSY-state-adjusted'!M6</f>
        <v>1.1017113189149055</v>
      </c>
      <c r="N3">
        <f>'BCDTRtSY-state-adjusted'!N6</f>
        <v>1.1107406019906159</v>
      </c>
      <c r="O3">
        <f>'BCDTRtSY-state-adjusted'!O6</f>
        <v>1.1199198407004254</v>
      </c>
      <c r="P3">
        <f>'BCDTRtSY-state-adjusted'!P6</f>
        <v>1.1285957497390615</v>
      </c>
      <c r="Q3">
        <f>'BCDTRtSY-state-adjusted'!Q6</f>
        <v>1.137260085945669</v>
      </c>
      <c r="R3">
        <f>'BCDTRtSY-state-adjusted'!R6</f>
        <v>1.1458797530830578</v>
      </c>
      <c r="S3">
        <f>'BCDTRtSY-state-adjusted'!S6</f>
        <v>1.1538671634290625</v>
      </c>
      <c r="T3">
        <f>'BCDTRtSY-state-adjusted'!T6</f>
        <v>1.1618149896849168</v>
      </c>
      <c r="U3">
        <f>'BCDTRtSY-state-adjusted'!U6</f>
        <v>1.1694179947120495</v>
      </c>
      <c r="V3">
        <f>'BCDTRtSY-state-adjusted'!V6</f>
        <v>1.1768992684221</v>
      </c>
      <c r="W3">
        <f>'BCDTRtSY-state-adjusted'!W6</f>
        <v>1.1842649130662908</v>
      </c>
      <c r="X3">
        <f>'BCDTRtSY-state-adjusted'!X6</f>
        <v>1.1912184440065818</v>
      </c>
      <c r="Y3">
        <f>'BCDTRtSY-state-adjusted'!Y6</f>
        <v>1.1980488233933866</v>
      </c>
      <c r="Z3">
        <f>'BCDTRtSY-state-adjusted'!Z6</f>
        <v>1.204464581920323</v>
      </c>
      <c r="AA3">
        <f>'BCDTRtSY-state-adjusted'!AA6</f>
        <v>1.2106823162077411</v>
      </c>
      <c r="AB3">
        <f>'BCDTRtSY-state-adjusted'!AB6</f>
        <v>1.2168142574611218</v>
      </c>
    </row>
    <row r="4" spans="1:28">
      <c r="A4" t="s">
        <v>116</v>
      </c>
      <c r="B4">
        <f>'BCDTRtSY-state-adjusted'!B7</f>
        <v>1</v>
      </c>
      <c r="C4">
        <f>'BCDTRtSY-state-adjusted'!C7</f>
        <v>1</v>
      </c>
      <c r="D4">
        <f>'BCDTRtSY-state-adjusted'!D7</f>
        <v>1.031559541094432</v>
      </c>
      <c r="E4">
        <f>'BCDTRtSY-state-adjusted'!E7</f>
        <v>1.0505469704666708</v>
      </c>
      <c r="F4">
        <f>'BCDTRtSY-state-adjusted'!F7</f>
        <v>1.0587587780149983</v>
      </c>
      <c r="G4">
        <f>'BCDTRtSY-state-adjusted'!G7</f>
        <v>1.071807234607888</v>
      </c>
      <c r="H4">
        <f>'BCDTRtSY-state-adjusted'!H7</f>
        <v>1.0890094586247192</v>
      </c>
      <c r="I4">
        <f>'BCDTRtSY-state-adjusted'!I7</f>
        <v>1.1106664310010825</v>
      </c>
      <c r="J4">
        <f>'BCDTRtSY-state-adjusted'!J7</f>
        <v>1.1368977830896003</v>
      </c>
      <c r="K4">
        <f>'BCDTRtSY-state-adjusted'!K7</f>
        <v>1.1652516190730857</v>
      </c>
      <c r="L4">
        <f>'BCDTRtSY-state-adjusted'!L7</f>
        <v>1.1962301117959167</v>
      </c>
      <c r="M4">
        <f>'BCDTRtSY-state-adjusted'!M7</f>
        <v>1.2300716895602681</v>
      </c>
      <c r="N4">
        <f>'BCDTRtSY-state-adjusted'!N7</f>
        <v>1.2570163996916757</v>
      </c>
      <c r="O4">
        <f>'BCDTRtSY-state-adjusted'!O7</f>
        <v>1.2842345005709299</v>
      </c>
      <c r="P4">
        <f>'BCDTRtSY-state-adjusted'!P7</f>
        <v>1.3113896736607396</v>
      </c>
      <c r="Q4">
        <f>'BCDTRtSY-state-adjusted'!Q7</f>
        <v>1.3377001193140019</v>
      </c>
      <c r="R4">
        <f>'BCDTRtSY-state-adjusted'!R7</f>
        <v>1.3646653069435886</v>
      </c>
      <c r="S4">
        <f>'BCDTRtSY-state-adjusted'!S7</f>
        <v>1.3905551933286506</v>
      </c>
      <c r="T4">
        <f>'BCDTRtSY-state-adjusted'!T7</f>
        <v>1.4177851902407088</v>
      </c>
      <c r="U4">
        <f>'BCDTRtSY-state-adjusted'!U7</f>
        <v>1.4466310738713932</v>
      </c>
      <c r="V4">
        <f>'BCDTRtSY-state-adjusted'!V7</f>
        <v>1.4755989326902039</v>
      </c>
      <c r="W4">
        <f>'BCDTRtSY-state-adjusted'!W7</f>
        <v>1.5049182836075943</v>
      </c>
      <c r="X4">
        <f>'BCDTRtSY-state-adjusted'!X7</f>
        <v>1.5333455523266111</v>
      </c>
      <c r="Y4">
        <f>'BCDTRtSY-state-adjusted'!Y7</f>
        <v>1.559826850521064</v>
      </c>
      <c r="Z4">
        <f>'BCDTRtSY-state-adjusted'!Z7</f>
        <v>1.5866829043948472</v>
      </c>
      <c r="AA4">
        <f>'BCDTRtSY-state-adjusted'!AA7</f>
        <v>1.6125466343068848</v>
      </c>
      <c r="AB4">
        <f>'BCDTRtSY-state-adjusted'!AB7</f>
        <v>1.639119745429729</v>
      </c>
    </row>
    <row r="5" spans="1:28">
      <c r="A5" t="s">
        <v>121</v>
      </c>
      <c r="B5">
        <f>'BCDTRtSY-state-adjusted'!B8</f>
        <v>1</v>
      </c>
      <c r="C5">
        <f>'BCDTRtSY-state-adjusted'!C8</f>
        <v>1</v>
      </c>
      <c r="D5">
        <f>'BCDTRtSY-state-adjusted'!D8</f>
        <v>1.0639267763243805</v>
      </c>
      <c r="E5">
        <f>'BCDTRtSY-state-adjusted'!E8</f>
        <v>1.1115143857055927</v>
      </c>
      <c r="F5">
        <f>'BCDTRtSY-state-adjusted'!F8</f>
        <v>1.1476055945954315</v>
      </c>
      <c r="G5">
        <f>'BCDTRtSY-state-adjusted'!G8</f>
        <v>1.1789093473307819</v>
      </c>
      <c r="H5">
        <f>'BCDTRtSY-state-adjusted'!H8</f>
        <v>1.2056082159208938</v>
      </c>
      <c r="I5">
        <f>'BCDTRtSY-state-adjusted'!I8</f>
        <v>1.233994908077745</v>
      </c>
      <c r="J5">
        <f>'BCDTRtSY-state-adjusted'!J8</f>
        <v>1.2603787984732269</v>
      </c>
      <c r="K5">
        <f>'BCDTRtSY-state-adjusted'!K8</f>
        <v>1.2878284244086493</v>
      </c>
      <c r="L5">
        <f>'BCDTRtSY-state-adjusted'!L8</f>
        <v>1.3103180172990478</v>
      </c>
      <c r="M5">
        <f>'BCDTRtSY-state-adjusted'!M8</f>
        <v>1.3329169260734568</v>
      </c>
      <c r="N5">
        <f>'BCDTRtSY-state-adjusted'!N8</f>
        <v>1.3518229237757842</v>
      </c>
      <c r="O5">
        <f>'BCDTRtSY-state-adjusted'!O8</f>
        <v>1.3717305770488115</v>
      </c>
      <c r="P5">
        <f>'BCDTRtSY-state-adjusted'!P8</f>
        <v>1.3903955491453668</v>
      </c>
      <c r="Q5">
        <f>'BCDTRtSY-state-adjusted'!Q8</f>
        <v>1.4063270013120999</v>
      </c>
      <c r="R5">
        <f>'BCDTRtSY-state-adjusted'!R8</f>
        <v>1.4227001581320462</v>
      </c>
      <c r="S5">
        <f>'BCDTRtSY-state-adjusted'!S8</f>
        <v>1.4377487541153504</v>
      </c>
      <c r="T5">
        <f>'BCDTRtSY-state-adjusted'!T8</f>
        <v>1.4528920941708743</v>
      </c>
      <c r="U5">
        <f>'BCDTRtSY-state-adjusted'!U8</f>
        <v>1.4664414326866173</v>
      </c>
      <c r="V5">
        <f>'BCDTRtSY-state-adjusted'!V8</f>
        <v>1.4809141217314497</v>
      </c>
      <c r="W5">
        <f>'BCDTRtSY-state-adjusted'!W8</f>
        <v>1.4961532957261212</v>
      </c>
      <c r="X5">
        <f>'BCDTRtSY-state-adjusted'!X8</f>
        <v>1.5096889226849024</v>
      </c>
      <c r="Y5">
        <f>'BCDTRtSY-state-adjusted'!Y8</f>
        <v>1.5240618857755803</v>
      </c>
      <c r="Z5">
        <f>'BCDTRtSY-state-adjusted'!Z8</f>
        <v>1.5359603535771047</v>
      </c>
      <c r="AA5">
        <f>'BCDTRtSY-state-adjusted'!AA8</f>
        <v>1.5474330335968876</v>
      </c>
      <c r="AB5">
        <f>'BCDTRtSY-state-adjusted'!AB8</f>
        <v>1.558592937344738</v>
      </c>
    </row>
    <row r="6" spans="1:28">
      <c r="A6" t="s">
        <v>122</v>
      </c>
      <c r="B6">
        <f>'BCDTRtSY-state-adjusted'!B9</f>
        <v>1</v>
      </c>
      <c r="C6">
        <f>'BCDTRtSY-state-adjusted'!C9</f>
        <v>1</v>
      </c>
      <c r="D6">
        <f>'BCDTRtSY-state-adjusted'!D9</f>
        <v>1.0021472344886619</v>
      </c>
      <c r="E6">
        <f>'BCDTRtSY-state-adjusted'!E9</f>
        <v>0.99721083028890012</v>
      </c>
      <c r="F6">
        <f>'BCDTRtSY-state-adjusted'!F9</f>
        <v>0.98630790308910932</v>
      </c>
      <c r="G6">
        <f>'BCDTRtSY-state-adjusted'!G9</f>
        <v>0.97783966978570125</v>
      </c>
      <c r="H6">
        <f>'BCDTRtSY-state-adjusted'!H9</f>
        <v>0.97165702519954378</v>
      </c>
      <c r="I6">
        <f>'BCDTRtSY-state-adjusted'!I9</f>
        <v>0.969694953868522</v>
      </c>
      <c r="J6">
        <f>'BCDTRtSY-state-adjusted'!J9</f>
        <v>0.96999200435135791</v>
      </c>
      <c r="K6">
        <f>'BCDTRtSY-state-adjusted'!K9</f>
        <v>0.97142913523543717</v>
      </c>
      <c r="L6">
        <f>'BCDTRtSY-state-adjusted'!L9</f>
        <v>0.97407078129508462</v>
      </c>
      <c r="M6">
        <f>'BCDTRtSY-state-adjusted'!M9</f>
        <v>0.97799450441836155</v>
      </c>
      <c r="N6">
        <f>'BCDTRtSY-state-adjusted'!N9</f>
        <v>0.97882781317942702</v>
      </c>
      <c r="O6">
        <f>'BCDTRtSY-state-adjusted'!O9</f>
        <v>0.97963712340144649</v>
      </c>
      <c r="P6">
        <f>'BCDTRtSY-state-adjusted'!P9</f>
        <v>0.98021370869290259</v>
      </c>
      <c r="Q6">
        <f>'BCDTRtSY-state-adjusted'!Q9</f>
        <v>0.98065313188834657</v>
      </c>
      <c r="R6">
        <f>'BCDTRtSY-state-adjusted'!R9</f>
        <v>0.98112607453373457</v>
      </c>
      <c r="S6">
        <f>'BCDTRtSY-state-adjusted'!S9</f>
        <v>0.98089189565802948</v>
      </c>
      <c r="T6">
        <f>'BCDTRtSY-state-adjusted'!T9</f>
        <v>0.9810433974466467</v>
      </c>
      <c r="U6">
        <f>'BCDTRtSY-state-adjusted'!U9</f>
        <v>0.98145007746100232</v>
      </c>
      <c r="V6">
        <f>'BCDTRtSY-state-adjusted'!V9</f>
        <v>0.9818016395354805</v>
      </c>
      <c r="W6">
        <f>'BCDTRtSY-state-adjusted'!W9</f>
        <v>0.98206313618163565</v>
      </c>
      <c r="X6">
        <f>'BCDTRtSY-state-adjusted'!X9</f>
        <v>0.98176357814249915</v>
      </c>
      <c r="Y6">
        <f>'BCDTRtSY-state-adjusted'!Y9</f>
        <v>0.98070023378134763</v>
      </c>
      <c r="Z6">
        <f>'BCDTRtSY-state-adjusted'!Z9</f>
        <v>0.97941685272007928</v>
      </c>
      <c r="AA6">
        <f>'BCDTRtSY-state-adjusted'!AA9</f>
        <v>0.97765524860111397</v>
      </c>
      <c r="AB6">
        <f>'BCDTRtSY-state-adjusted'!AB9</f>
        <v>0.97612133162073655</v>
      </c>
    </row>
    <row r="7" spans="1:28">
      <c r="A7" t="s">
        <v>123</v>
      </c>
      <c r="B7">
        <f>'BCDTRtSY-state-adjusted'!B10</f>
        <v>1</v>
      </c>
      <c r="C7">
        <f>'BCDTRtSY-state-adjusted'!C10</f>
        <v>1</v>
      </c>
      <c r="D7">
        <f>'BCDTRtSY-state-adjusted'!D10</f>
        <v>1.0060922270775461</v>
      </c>
      <c r="E7">
        <f>'BCDTRtSY-state-adjusted'!E10</f>
        <v>1.0143854418724016</v>
      </c>
      <c r="F7">
        <f>'BCDTRtSY-state-adjusted'!F10</f>
        <v>1.0197460243272052</v>
      </c>
      <c r="G7">
        <f>'BCDTRtSY-state-adjusted'!G10</f>
        <v>1.0249039547898282</v>
      </c>
      <c r="H7">
        <f>'BCDTRtSY-state-adjusted'!H10</f>
        <v>1.0290346373217507</v>
      </c>
      <c r="I7">
        <f>'BCDTRtSY-state-adjusted'!I10</f>
        <v>1.0382887024153793</v>
      </c>
      <c r="J7">
        <f>'BCDTRtSY-state-adjusted'!J10</f>
        <v>1.0476136238079281</v>
      </c>
      <c r="K7">
        <f>'BCDTRtSY-state-adjusted'!K10</f>
        <v>1.0553982047122779</v>
      </c>
      <c r="L7">
        <f>'BCDTRtSY-state-adjusted'!L10</f>
        <v>1.0635514883362691</v>
      </c>
      <c r="M7">
        <f>'BCDTRtSY-state-adjusted'!M10</f>
        <v>1.0707782772370289</v>
      </c>
      <c r="N7">
        <f>'BCDTRtSY-state-adjusted'!N10</f>
        <v>1.0788350015416228</v>
      </c>
      <c r="O7">
        <f>'BCDTRtSY-state-adjusted'!O10</f>
        <v>1.0873665924069988</v>
      </c>
      <c r="P7">
        <f>'BCDTRtSY-state-adjusted'!P10</f>
        <v>1.0958796025380735</v>
      </c>
      <c r="Q7">
        <f>'BCDTRtSY-state-adjusted'!Q10</f>
        <v>1.103644017226018</v>
      </c>
      <c r="R7">
        <f>'BCDTRtSY-state-adjusted'!R10</f>
        <v>1.1116546701751064</v>
      </c>
      <c r="S7">
        <f>'BCDTRtSY-state-adjusted'!S10</f>
        <v>1.1192358687154573</v>
      </c>
      <c r="T7">
        <f>'BCDTRtSY-state-adjusted'!T10</f>
        <v>1.1265414960831901</v>
      </c>
      <c r="U7">
        <f>'BCDTRtSY-state-adjusted'!U10</f>
        <v>1.133603602798315</v>
      </c>
      <c r="V7">
        <f>'BCDTRtSY-state-adjusted'!V10</f>
        <v>1.141033040216179</v>
      </c>
      <c r="W7">
        <f>'BCDTRtSY-state-adjusted'!W10</f>
        <v>1.1483268481765263</v>
      </c>
      <c r="X7">
        <f>'BCDTRtSY-state-adjusted'!X10</f>
        <v>1.155120936145748</v>
      </c>
      <c r="Y7">
        <f>'BCDTRtSY-state-adjusted'!Y10</f>
        <v>1.1611118924591839</v>
      </c>
      <c r="Z7">
        <f>'BCDTRtSY-state-adjusted'!Z10</f>
        <v>1.1670386130778165</v>
      </c>
      <c r="AA7">
        <f>'BCDTRtSY-state-adjusted'!AA10</f>
        <v>1.1727847520581012</v>
      </c>
      <c r="AB7">
        <f>'BCDTRtSY-state-adjusted'!AB10</f>
        <v>1.1789672413335539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0.99628793199683063</v>
      </c>
      <c r="E2">
        <f>'BCDTRtSY-state-adjusted'!E13</f>
        <v>0.99803862158631451</v>
      </c>
      <c r="F2">
        <f>'BCDTRtSY-state-adjusted'!F13</f>
        <v>0.99942026603765854</v>
      </c>
      <c r="G2">
        <f>'BCDTRtSY-state-adjusted'!G13</f>
        <v>1.0019744676442699</v>
      </c>
      <c r="H2">
        <f>'BCDTRtSY-state-adjusted'!H13</f>
        <v>1.0093264127398207</v>
      </c>
      <c r="I2">
        <f>'BCDTRtSY-state-adjusted'!I13</f>
        <v>1.020214010997496</v>
      </c>
      <c r="J2">
        <f>'BCDTRtSY-state-adjusted'!J13</f>
        <v>1.032979411258256</v>
      </c>
      <c r="K2">
        <f>'BCDTRtSY-state-adjusted'!K13</f>
        <v>1.0444953598355238</v>
      </c>
      <c r="L2">
        <f>'BCDTRtSY-state-adjusted'!L13</f>
        <v>1.0580612452080502</v>
      </c>
      <c r="M2">
        <f>'BCDTRtSY-state-adjusted'!M13</f>
        <v>1.0724469769192662</v>
      </c>
      <c r="N2">
        <f>'BCDTRtSY-state-adjusted'!N13</f>
        <v>1.0872833866171934</v>
      </c>
      <c r="O2">
        <f>'BCDTRtSY-state-adjusted'!O13</f>
        <v>1.1035484778726905</v>
      </c>
      <c r="P2">
        <f>'BCDTRtSY-state-adjusted'!P13</f>
        <v>1.1212356792464744</v>
      </c>
      <c r="Q2">
        <f>'BCDTRtSY-state-adjusted'!Q13</f>
        <v>1.1394477632405167</v>
      </c>
      <c r="R2">
        <f>'BCDTRtSY-state-adjusted'!R13</f>
        <v>1.1583504966300144</v>
      </c>
      <c r="S2">
        <f>'BCDTRtSY-state-adjusted'!S13</f>
        <v>1.1765056125034177</v>
      </c>
      <c r="T2">
        <f>'BCDTRtSY-state-adjusted'!T13</f>
        <v>1.1941406010257747</v>
      </c>
      <c r="U2">
        <f>'BCDTRtSY-state-adjusted'!U13</f>
        <v>1.209111797690914</v>
      </c>
      <c r="V2">
        <f>'BCDTRtSY-state-adjusted'!V13</f>
        <v>1.2238895291044043</v>
      </c>
      <c r="W2">
        <f>'BCDTRtSY-state-adjusted'!W13</f>
        <v>1.2402711458864781</v>
      </c>
      <c r="X2">
        <f>'BCDTRtSY-state-adjusted'!X13</f>
        <v>1.2572917969415942</v>
      </c>
      <c r="Y2">
        <f>'BCDTRtSY-state-adjusted'!Y13</f>
        <v>1.2752037324217247</v>
      </c>
      <c r="Z2">
        <f>'BCDTRtSY-state-adjusted'!Z13</f>
        <v>1.2918131064131493</v>
      </c>
      <c r="AA2">
        <f>'BCDTRtSY-state-adjusted'!AA13</f>
        <v>1.309422888700343</v>
      </c>
      <c r="AB2">
        <f>'BCDTRtSY-state-adjusted'!AB13</f>
        <v>1.3262973516904599</v>
      </c>
    </row>
    <row r="3" spans="1:28">
      <c r="A3" t="s">
        <v>118</v>
      </c>
      <c r="B3">
        <f>'BCDTRtSY-state-adjusted'!B14</f>
        <v>1</v>
      </c>
      <c r="C3">
        <f>'BCDTRtSY-state-adjusted'!C14</f>
        <v>1</v>
      </c>
      <c r="D3">
        <f>'BCDTRtSY-state-adjusted'!D14</f>
        <v>1.0109350514948894</v>
      </c>
      <c r="E3">
        <f>'BCDTRtSY-state-adjusted'!E14</f>
        <v>1.0261189831350273</v>
      </c>
      <c r="F3">
        <f>'BCDTRtSY-state-adjusted'!F14</f>
        <v>1.0404488928993998</v>
      </c>
      <c r="G3">
        <f>'BCDTRtSY-state-adjusted'!G14</f>
        <v>1.0521890106530258</v>
      </c>
      <c r="H3">
        <f>'BCDTRtSY-state-adjusted'!H14</f>
        <v>1.066319568388449</v>
      </c>
      <c r="I3">
        <f>'BCDTRtSY-state-adjusted'!I14</f>
        <v>1.0812302849310043</v>
      </c>
      <c r="J3">
        <f>'BCDTRtSY-state-adjusted'!J14</f>
        <v>1.0971626114732114</v>
      </c>
      <c r="K3">
        <f>'BCDTRtSY-state-adjusted'!K14</f>
        <v>1.1109583566936505</v>
      </c>
      <c r="L3">
        <f>'BCDTRtSY-state-adjusted'!L14</f>
        <v>1.126125186111125</v>
      </c>
      <c r="M3">
        <f>'BCDTRtSY-state-adjusted'!M14</f>
        <v>1.1412441398537749</v>
      </c>
      <c r="N3">
        <f>'BCDTRtSY-state-adjusted'!N14</f>
        <v>1.1556168340957693</v>
      </c>
      <c r="O3">
        <f>'BCDTRtSY-state-adjusted'!O14</f>
        <v>1.1693360826646004</v>
      </c>
      <c r="P3">
        <f>'BCDTRtSY-state-adjusted'!P14</f>
        <v>1.1820564950586483</v>
      </c>
      <c r="Q3">
        <f>'BCDTRtSY-state-adjusted'!Q14</f>
        <v>1.1942282126139572</v>
      </c>
      <c r="R3">
        <f>'BCDTRtSY-state-adjusted'!R14</f>
        <v>1.2066406056830195</v>
      </c>
      <c r="S3">
        <f>'BCDTRtSY-state-adjusted'!S14</f>
        <v>1.2190053582611202</v>
      </c>
      <c r="T3">
        <f>'BCDTRtSY-state-adjusted'!T14</f>
        <v>1.2308560502383583</v>
      </c>
      <c r="U3">
        <f>'BCDTRtSY-state-adjusted'!U14</f>
        <v>1.2416503295561641</v>
      </c>
      <c r="V3">
        <f>'BCDTRtSY-state-adjusted'!V14</f>
        <v>1.2528326258117022</v>
      </c>
      <c r="W3">
        <f>'BCDTRtSY-state-adjusted'!W14</f>
        <v>1.2661327791468997</v>
      </c>
      <c r="X3">
        <f>'BCDTRtSY-state-adjusted'!X14</f>
        <v>1.279737836963587</v>
      </c>
      <c r="Y3">
        <f>'BCDTRtSY-state-adjusted'!Y14</f>
        <v>1.2933100809615889</v>
      </c>
      <c r="Z3">
        <f>'BCDTRtSY-state-adjusted'!Z14</f>
        <v>1.304561346962497</v>
      </c>
      <c r="AA3">
        <f>'BCDTRtSY-state-adjusted'!AA14</f>
        <v>1.3157693991378852</v>
      </c>
      <c r="AB3">
        <f>'BCDTRtSY-state-adjusted'!AB14</f>
        <v>1.3263765940575774</v>
      </c>
    </row>
    <row r="4" spans="1:28">
      <c r="A4" t="s">
        <v>116</v>
      </c>
      <c r="B4">
        <f>'BCDTRtSY-state-adjusted'!B15</f>
        <v>1</v>
      </c>
      <c r="C4">
        <f>'BCDTRtSY-state-adjusted'!C15</f>
        <v>1</v>
      </c>
      <c r="D4">
        <f>'BCDTRtSY-state-adjusted'!D15</f>
        <v>1.0270079928489424</v>
      </c>
      <c r="E4">
        <f>'BCDTRtSY-state-adjusted'!E15</f>
        <v>1.0462628739347013</v>
      </c>
      <c r="F4">
        <f>'BCDTRtSY-state-adjusted'!F15</f>
        <v>1.059062532790735</v>
      </c>
      <c r="G4">
        <f>'BCDTRtSY-state-adjusted'!G15</f>
        <v>1.0755760377378756</v>
      </c>
      <c r="H4">
        <f>'BCDTRtSY-state-adjusted'!H15</f>
        <v>1.0950903102288607</v>
      </c>
      <c r="I4">
        <f>'BCDTRtSY-state-adjusted'!I15</f>
        <v>1.1196444882532306</v>
      </c>
      <c r="J4">
        <f>'BCDTRtSY-state-adjusted'!J15</f>
        <v>1.147559693080628</v>
      </c>
      <c r="K4">
        <f>'BCDTRtSY-state-adjusted'!K15</f>
        <v>1.1772128949539937</v>
      </c>
      <c r="L4">
        <f>'BCDTRtSY-state-adjusted'!L15</f>
        <v>1.2089465284790004</v>
      </c>
      <c r="M4">
        <f>'BCDTRtSY-state-adjusted'!M15</f>
        <v>1.2429128605392656</v>
      </c>
      <c r="N4">
        <f>'BCDTRtSY-state-adjusted'!N15</f>
        <v>1.2725042897795735</v>
      </c>
      <c r="O4">
        <f>'BCDTRtSY-state-adjusted'!O15</f>
        <v>1.3025395367249573</v>
      </c>
      <c r="P4">
        <f>'BCDTRtSY-state-adjusted'!P15</f>
        <v>1.3327846619339814</v>
      </c>
      <c r="Q4">
        <f>'BCDTRtSY-state-adjusted'!Q15</f>
        <v>1.3626934543040428</v>
      </c>
      <c r="R4">
        <f>'BCDTRtSY-state-adjusted'!R15</f>
        <v>1.393310577784854</v>
      </c>
      <c r="S4">
        <f>'BCDTRtSY-state-adjusted'!S15</f>
        <v>1.4234796034268127</v>
      </c>
      <c r="T4">
        <f>'BCDTRtSY-state-adjusted'!T15</f>
        <v>1.4548125656348412</v>
      </c>
      <c r="U4">
        <f>'BCDTRtSY-state-adjusted'!U15</f>
        <v>1.4875098277448946</v>
      </c>
      <c r="V4">
        <f>'BCDTRtSY-state-adjusted'!V15</f>
        <v>1.520548119206574</v>
      </c>
      <c r="W4">
        <f>'BCDTRtSY-state-adjusted'!W15</f>
        <v>1.554085320410046</v>
      </c>
      <c r="X4">
        <f>'BCDTRtSY-state-adjusted'!X15</f>
        <v>1.5872638480923451</v>
      </c>
      <c r="Y4">
        <f>'BCDTRtSY-state-adjusted'!Y15</f>
        <v>1.6193410496047378</v>
      </c>
      <c r="Z4">
        <f>'BCDTRtSY-state-adjusted'!Z15</f>
        <v>1.651945948678313</v>
      </c>
      <c r="AA4">
        <f>'BCDTRtSY-state-adjusted'!AA15</f>
        <v>1.6841249154049989</v>
      </c>
      <c r="AB4">
        <f>'BCDTRtSY-state-adjusted'!AB15</f>
        <v>1.7170954262358173</v>
      </c>
    </row>
    <row r="5" spans="1:28">
      <c r="A5" t="s">
        <v>121</v>
      </c>
      <c r="B5">
        <f>'BCDTRtSY-state-adjusted'!B16</f>
        <v>1</v>
      </c>
      <c r="C5">
        <f>'BCDTRtSY-state-adjusted'!C16</f>
        <v>1</v>
      </c>
      <c r="D5">
        <f>'BCDTRtSY-state-adjusted'!D16</f>
        <v>0.9774400810972439</v>
      </c>
      <c r="E5">
        <f>'BCDTRtSY-state-adjusted'!E16</f>
        <v>1.0091148074889684</v>
      </c>
      <c r="F5">
        <f>'BCDTRtSY-state-adjusted'!F16</f>
        <v>0.98857593475007655</v>
      </c>
      <c r="G5">
        <f>'BCDTRtSY-state-adjusted'!G16</f>
        <v>0.98092668595083443</v>
      </c>
      <c r="H5">
        <f>'BCDTRtSY-state-adjusted'!H16</f>
        <v>0.98761314330142802</v>
      </c>
      <c r="I5">
        <f>'BCDTRtSY-state-adjusted'!I16</f>
        <v>0.96712172287905318</v>
      </c>
      <c r="J5">
        <f>'BCDTRtSY-state-adjusted'!J16</f>
        <v>0.97601650886034719</v>
      </c>
      <c r="K5">
        <f>'BCDTRtSY-state-adjusted'!K16</f>
        <v>0.98508308364798947</v>
      </c>
      <c r="L5">
        <f>'BCDTRtSY-state-adjusted'!L16</f>
        <v>0.98708903183797347</v>
      </c>
      <c r="M5">
        <f>'BCDTRtSY-state-adjusted'!M16</f>
        <v>0.99510955987286376</v>
      </c>
      <c r="N5">
        <f>'BCDTRtSY-state-adjusted'!N16</f>
        <v>1.0022541076828704</v>
      </c>
      <c r="O5">
        <f>'BCDTRtSY-state-adjusted'!O16</f>
        <v>1.0108321709412349</v>
      </c>
      <c r="P5">
        <f>'BCDTRtSY-state-adjusted'!P16</f>
        <v>1.0160078686573928</v>
      </c>
      <c r="Q5">
        <f>'BCDTRtSY-state-adjusted'!Q16</f>
        <v>1.0228105548844237</v>
      </c>
      <c r="R5">
        <f>'BCDTRtSY-state-adjusted'!R16</f>
        <v>1.0285655670174492</v>
      </c>
      <c r="S5">
        <f>'BCDTRtSY-state-adjusted'!S16</f>
        <v>1.0325005227267443</v>
      </c>
      <c r="T5">
        <f>'BCDTRtSY-state-adjusted'!T16</f>
        <v>1.0341512911175943</v>
      </c>
      <c r="U5">
        <f>'BCDTRtSY-state-adjusted'!U16</f>
        <v>1.0364397062860762</v>
      </c>
      <c r="V5">
        <f>'BCDTRtSY-state-adjusted'!V16</f>
        <v>1.0413521394189258</v>
      </c>
      <c r="W5">
        <f>'BCDTRtSY-state-adjusted'!W16</f>
        <v>1.0456076774863408</v>
      </c>
      <c r="X5">
        <f>'BCDTRtSY-state-adjusted'!X16</f>
        <v>1.0525835497598122</v>
      </c>
      <c r="Y5">
        <f>'BCDTRtSY-state-adjusted'!Y16</f>
        <v>1.0635885461378247</v>
      </c>
      <c r="Z5">
        <f>'BCDTRtSY-state-adjusted'!Z16</f>
        <v>1.0717656955902246</v>
      </c>
      <c r="AA5">
        <f>'BCDTRtSY-state-adjusted'!AA16</f>
        <v>1.0734944640851762</v>
      </c>
      <c r="AB5">
        <f>'BCDTRtSY-state-adjusted'!AB16</f>
        <v>1.0759207938024864</v>
      </c>
    </row>
    <row r="6" spans="1:28">
      <c r="A6" t="s">
        <v>122</v>
      </c>
      <c r="B6">
        <f>'BCDTRtSY-state-adjusted'!B17</f>
        <v>1</v>
      </c>
      <c r="C6">
        <f>'BCDTRtSY-state-adjusted'!C17</f>
        <v>1</v>
      </c>
      <c r="D6">
        <f>'BCDTRtSY-state-adjusted'!D17</f>
        <v>0.99231399856186286</v>
      </c>
      <c r="E6">
        <f>'BCDTRtSY-state-adjusted'!E17</f>
        <v>1.0116322795810313</v>
      </c>
      <c r="F6">
        <f>'BCDTRtSY-state-adjusted'!F17</f>
        <v>1.0329820145136457</v>
      </c>
      <c r="G6">
        <f>'BCDTRtSY-state-adjusted'!G17</f>
        <v>1.0509671953010638</v>
      </c>
      <c r="H6">
        <f>'BCDTRtSY-state-adjusted'!H17</f>
        <v>1.0698822794998046</v>
      </c>
      <c r="I6">
        <f>'BCDTRtSY-state-adjusted'!I17</f>
        <v>1.0926400851628262</v>
      </c>
      <c r="J6">
        <f>'BCDTRtSY-state-adjusted'!J17</f>
        <v>1.1176286186529301</v>
      </c>
      <c r="K6">
        <f>'BCDTRtSY-state-adjusted'!K17</f>
        <v>1.1430918426231371</v>
      </c>
      <c r="L6">
        <f>'BCDTRtSY-state-adjusted'!L17</f>
        <v>1.1694699688635954</v>
      </c>
      <c r="M6">
        <f>'BCDTRtSY-state-adjusted'!M17</f>
        <v>1.197071328329318</v>
      </c>
      <c r="N6">
        <f>'BCDTRtSY-state-adjusted'!N17</f>
        <v>1.2207079591518626</v>
      </c>
      <c r="O6">
        <f>'BCDTRtSY-state-adjusted'!O17</f>
        <v>1.2410092458645583</v>
      </c>
      <c r="P6">
        <f>'BCDTRtSY-state-adjusted'!P17</f>
        <v>1.2614142214108968</v>
      </c>
      <c r="Q6">
        <f>'BCDTRtSY-state-adjusted'!Q17</f>
        <v>1.2806863928445391</v>
      </c>
      <c r="R6">
        <f>'BCDTRtSY-state-adjusted'!R17</f>
        <v>1.3001443329263638</v>
      </c>
      <c r="S6">
        <f>'BCDTRtSY-state-adjusted'!S17</f>
        <v>1.3194808820953148</v>
      </c>
      <c r="T6">
        <f>'BCDTRtSY-state-adjusted'!T17</f>
        <v>1.3400691463359231</v>
      </c>
      <c r="U6">
        <f>'BCDTRtSY-state-adjusted'!U17</f>
        <v>1.3603268372367721</v>
      </c>
      <c r="V6">
        <f>'BCDTRtSY-state-adjusted'!V17</f>
        <v>1.3805410105324787</v>
      </c>
      <c r="W6">
        <f>'BCDTRtSY-state-adjusted'!W17</f>
        <v>1.4023420144214096</v>
      </c>
      <c r="X6">
        <f>'BCDTRtSY-state-adjusted'!X17</f>
        <v>1.4244438372739381</v>
      </c>
      <c r="Y6">
        <f>'BCDTRtSY-state-adjusted'!Y17</f>
        <v>1.4468872528440218</v>
      </c>
      <c r="Z6">
        <f>'BCDTRtSY-state-adjusted'!Z17</f>
        <v>1.4686132253962592</v>
      </c>
      <c r="AA6">
        <f>'BCDTRtSY-state-adjusted'!AA17</f>
        <v>1.4901213778105631</v>
      </c>
      <c r="AB6">
        <f>'BCDTRtSY-state-adjusted'!AB17</f>
        <v>1.5133551888782391</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2026-08-14T21:48:35Z</dcterms:modified>
</cp:coreProperties>
</file>