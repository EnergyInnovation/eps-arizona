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EIA-861 Sales 2024" sheetId="3" state="visible" r:id="rId3"/>
    <sheet xmlns:r="http://schemas.openxmlformats.org/officeDocument/2006/relationships" name="Share" sheetId="4" state="visible" r:id="rId4"/>
    <sheet xmlns:r="http://schemas.openxmlformats.org/officeDocument/2006/relationships" name="SoEDtIC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i val="1"/>
    </font>
    <font>
      <color rgb="000563C1"/>
      <u val="single"/>
    </font>
    <font>
      <b val="1"/>
      <color rgb="00FFFFFF"/>
    </font>
    <font>
      <b val="1"/>
      <i val="1"/>
      <color rgb="001F3864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4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ia.gov/electricity/data/eia861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SoEDtICoS Share of Electricity Demand that Is Cost of Service</t>
        </is>
      </c>
    </row>
    <row r="2">
      <c r="A2" s="2" t="inlineStr">
        <is>
          <t>Scope: state of AZ   |   Data year: 2024</t>
        </is>
      </c>
    </row>
    <row r="4">
      <c r="A4" s="1" t="inlineStr">
        <is>
          <t>Source:</t>
        </is>
      </c>
      <c r="B4" s="3" t="inlineStr">
        <is>
          <t>Retail electricity sales by serving entity (utility / marketer / CCA)</t>
        </is>
      </c>
    </row>
    <row r="5">
      <c r="B5" s="4" t="inlineStr">
        <is>
          <t>U.S. Energy Information Administration (EIA)</t>
        </is>
      </c>
    </row>
    <row r="6">
      <c r="B6" s="4" t="inlineStr">
        <is>
          <t>Form EIA-861 detailed data, Sales_Ult_Cust_2024.xlsx (sheet 'States')</t>
        </is>
      </c>
    </row>
    <row r="7">
      <c r="B7" s="4" t="n">
        <v>2024</v>
      </c>
    </row>
    <row r="8">
      <c r="B8" s="5" t="inlineStr">
        <is>
          <t>https://www.eia.gov/electricity/data/eia861/</t>
        </is>
      </c>
    </row>
    <row r="9">
      <c r="B9" s="4" t="inlineStr">
        <is>
          <t>Cost-of-service share = cost-of-service MWh / (cost-of-service + procurement) MWh for this jurisdiction. Ties to EIA published retail sales (Bundled+Energy).</t>
        </is>
      </c>
    </row>
    <row r="11">
      <c r="A11" s="1" t="inlineStr">
        <is>
          <t>Notes:</t>
        </is>
      </c>
    </row>
    <row r="12">
      <c r="A12" s="6" t="inlineStr">
        <is>
          <t>Classification</t>
        </is>
      </c>
      <c r="B12" s="4" t="inlineStr">
        <is>
          <t>LSE-based: cost-of-service = bundled sales of munis, cooperatives, federal/state/political-subdivision utilities, plus IOUs in non-restructured states (and the TX override utilities). Procurement = marketers, CCAs, any 'Energy' service-type sales, and IOUs in restructured states.</t>
        </is>
      </c>
    </row>
    <row r="13">
      <c r="A13" s="6" t="inlineStr">
        <is>
          <t>Double-count fix</t>
        </is>
      </c>
      <c r="B13" s="4" t="inlineStr">
        <is>
          <t>Only Service Type Bundled or Energy enter the totals; 'Delivery' rows (the wires half of choice load) are classified 'excluded'.</t>
        </is>
      </c>
    </row>
    <row r="14">
      <c r="A14" s="6" t="inlineStr">
        <is>
          <t>Exclusions</t>
        </is>
      </c>
      <c r="B14" s="4" t="inlineStr">
        <is>
          <t>EIA 'Adjustment' rows and 'Behind the Meter' ownership are excluded.</t>
        </is>
      </c>
    </row>
    <row r="15">
      <c r="A15" s="6" t="inlineStr">
        <is>
          <t>Time profile</t>
        </is>
      </c>
      <c r="B15" s="4" t="inlineStr">
        <is>
          <t>Held FLAT 2021-2050 at the latest-year cost-of-service share. The analysis measures a single recent year; no independent forward projection is made.</t>
        </is>
      </c>
    </row>
    <row r="16">
      <c r="A16" s="6" t="inlineStr">
        <is>
          <t>Restructured + overrides</t>
        </is>
      </c>
      <c r="B16" s="4" t="inlineStr">
        <is>
          <t>Editable on the Parameters tab. Non-ERCOT TX IOUs (util #s 55937/17718/17698/5701) are held cost-of-service.</t>
        </is>
      </c>
    </row>
    <row r="17">
      <c r="A17" s="6" t="inlineStr">
        <is>
          <t>How it computes</t>
        </is>
      </c>
      <c r="B17" s="4" t="inlineStr">
        <is>
          <t>Source tab 'bucket' column classifies each row (reads Parameters via COUNTIF); the Share tab sums via SUMIFS; the SoEDtICoS tab = ROUND(share,3) flat across years. Edit Parameters and the EPS value recomputes.</t>
        </is>
      </c>
    </row>
    <row r="18">
      <c r="A18" s="6" t="inlineStr">
        <is>
          <t>Caveat</t>
        </is>
      </c>
      <c r="B18" s="4" t="inlineStr">
        <is>
          <t>Staff-review input; verify against EIA primary sources. Restructured list and TX overrides are adjustable assumptions.</t>
        </is>
      </c>
    </row>
  </sheetData>
  <hyperlinks>
    <hyperlink xmlns:r="http://schemas.openxmlformats.org/officeDocument/2006/relationships" ref="B8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34" customWidth="1" min="3" max="3"/>
  </cols>
  <sheetData>
    <row r="1">
      <c r="A1" s="1" t="inlineStr">
        <is>
          <t>Parameters (editable — outputs recompute)</t>
        </is>
      </c>
    </row>
    <row r="3">
      <c r="A3" s="7" t="inlineStr">
        <is>
          <t>Fully Restructured States</t>
        </is>
      </c>
      <c r="B3" s="7" t="inlineStr">
        <is>
          <t>Override Utility #</t>
        </is>
      </c>
      <c r="C3" s="7" t="inlineStr">
        <is>
          <t>Override Utility Name (reference)</t>
        </is>
      </c>
    </row>
    <row r="4">
      <c r="A4" t="inlineStr">
        <is>
          <t>CT</t>
        </is>
      </c>
      <c r="B4" t="n">
        <v>55937</v>
      </c>
      <c r="C4" t="inlineStr">
        <is>
          <t>Entergy Texas Inc.</t>
        </is>
      </c>
    </row>
    <row r="5">
      <c r="A5" t="inlineStr">
        <is>
          <t>DC</t>
        </is>
      </c>
      <c r="B5" t="n">
        <v>17718</v>
      </c>
      <c r="C5" t="inlineStr">
        <is>
          <t>Southwestern Public Service Co</t>
        </is>
      </c>
    </row>
    <row r="6">
      <c r="A6" t="inlineStr">
        <is>
          <t>DE</t>
        </is>
      </c>
      <c r="B6" t="n">
        <v>17698</v>
      </c>
      <c r="C6" t="inlineStr">
        <is>
          <t>Southwestern Electric Power Co</t>
        </is>
      </c>
    </row>
    <row r="7">
      <c r="A7" t="inlineStr">
        <is>
          <t>IL</t>
        </is>
      </c>
      <c r="B7" t="n">
        <v>5701</v>
      </c>
      <c r="C7" t="inlineStr">
        <is>
          <t>El Paso Electric Co</t>
        </is>
      </c>
    </row>
    <row r="8">
      <c r="A8" t="inlineStr">
        <is>
          <t>MA</t>
        </is>
      </c>
    </row>
    <row r="9">
      <c r="A9" t="inlineStr">
        <is>
          <t>MD</t>
        </is>
      </c>
    </row>
    <row r="10">
      <c r="A10" t="inlineStr">
        <is>
          <t>ME</t>
        </is>
      </c>
    </row>
    <row r="11">
      <c r="A11" t="inlineStr">
        <is>
          <t>NH</t>
        </is>
      </c>
    </row>
    <row r="12">
      <c r="A12" t="inlineStr">
        <is>
          <t>NJ</t>
        </is>
      </c>
    </row>
    <row r="13">
      <c r="A13" t="inlineStr">
        <is>
          <t>NY</t>
        </is>
      </c>
    </row>
    <row r="14">
      <c r="A14" t="inlineStr">
        <is>
          <t>OH</t>
        </is>
      </c>
    </row>
    <row r="15">
      <c r="A15" t="inlineStr">
        <is>
          <t>PA</t>
        </is>
      </c>
    </row>
    <row r="16">
      <c r="A16" t="inlineStr">
        <is>
          <t>RI</t>
        </is>
      </c>
    </row>
    <row r="17">
      <c r="A17" t="inlineStr">
        <is>
          <t>TX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Utility Characteristics</t>
        </is>
      </c>
      <c r="J1" t="inlineStr">
        <is>
          <t>RESIDENTIAL</t>
        </is>
      </c>
      <c r="M1" t="inlineStr">
        <is>
          <t>COMMERCIAL</t>
        </is>
      </c>
      <c r="P1" t="inlineStr">
        <is>
          <t>INDUSTRIAL</t>
        </is>
      </c>
      <c r="S1" t="inlineStr">
        <is>
          <t>TRANSPORTATION</t>
        </is>
      </c>
      <c r="V1" t="inlineStr">
        <is>
          <t>TOTAL</t>
        </is>
      </c>
    </row>
    <row r="2">
      <c r="A2" t="inlineStr"/>
      <c r="J2" t="inlineStr">
        <is>
          <t>Revenues</t>
        </is>
      </c>
      <c r="K2" t="inlineStr">
        <is>
          <t>Sales</t>
        </is>
      </c>
      <c r="L2" t="inlineStr">
        <is>
          <t>Customers</t>
        </is>
      </c>
      <c r="M2" t="inlineStr">
        <is>
          <t>Revenues</t>
        </is>
      </c>
      <c r="N2" t="inlineStr">
        <is>
          <t>Sales</t>
        </is>
      </c>
      <c r="O2" t="inlineStr">
        <is>
          <t>Customers</t>
        </is>
      </c>
      <c r="P2" t="inlineStr">
        <is>
          <t>Revenues</t>
        </is>
      </c>
      <c r="Q2" t="inlineStr">
        <is>
          <t>Sales</t>
        </is>
      </c>
      <c r="R2" t="inlineStr">
        <is>
          <t>Customers</t>
        </is>
      </c>
      <c r="S2" t="inlineStr">
        <is>
          <t>Revenues</t>
        </is>
      </c>
      <c r="T2" t="inlineStr">
        <is>
          <t>Sales</t>
        </is>
      </c>
      <c r="U2" t="inlineStr">
        <is>
          <t>Customers</t>
        </is>
      </c>
      <c r="V2" t="inlineStr">
        <is>
          <t>Revenues</t>
        </is>
      </c>
      <c r="W2" t="inlineStr">
        <is>
          <t>Sales</t>
        </is>
      </c>
      <c r="X2" t="inlineStr">
        <is>
          <t>Customers</t>
        </is>
      </c>
    </row>
    <row r="3">
      <c r="A3" t="inlineStr">
        <is>
          <t>Data Year</t>
        </is>
      </c>
      <c r="B3" t="inlineStr">
        <is>
          <t>Utility Number</t>
        </is>
      </c>
      <c r="C3" t="inlineStr">
        <is>
          <t>Utility Name</t>
        </is>
      </c>
      <c r="D3" t="inlineStr">
        <is>
          <t>Part</t>
        </is>
      </c>
      <c r="E3" t="inlineStr">
        <is>
          <t>Service Type</t>
        </is>
      </c>
      <c r="F3" t="inlineStr">
        <is>
          <t>Data Type
O = Observed
I = Imputed</t>
        </is>
      </c>
      <c r="G3" t="inlineStr">
        <is>
          <t>State</t>
        </is>
      </c>
      <c r="H3" t="inlineStr">
        <is>
          <t>Ownership</t>
        </is>
      </c>
      <c r="I3" t="inlineStr">
        <is>
          <t>BA Code</t>
        </is>
      </c>
      <c r="J3" t="inlineStr">
        <is>
          <t>Thousand Dollars</t>
        </is>
      </c>
      <c r="K3" t="inlineStr">
        <is>
          <t>Megawatthours</t>
        </is>
      </c>
      <c r="L3" t="inlineStr">
        <is>
          <t>Count</t>
        </is>
      </c>
      <c r="M3" t="inlineStr">
        <is>
          <t>Thousand Dollars</t>
        </is>
      </c>
      <c r="N3" t="inlineStr">
        <is>
          <t>Megawatthours</t>
        </is>
      </c>
      <c r="O3" t="inlineStr">
        <is>
          <t>Count</t>
        </is>
      </c>
      <c r="P3" t="inlineStr">
        <is>
          <t>Thousand Dollars</t>
        </is>
      </c>
      <c r="Q3" t="inlineStr">
        <is>
          <t>Megawatthours</t>
        </is>
      </c>
      <c r="R3" t="inlineStr">
        <is>
          <t>Count</t>
        </is>
      </c>
      <c r="S3" t="inlineStr">
        <is>
          <t>Thousand Dollars</t>
        </is>
      </c>
      <c r="T3" t="inlineStr">
        <is>
          <t>Megawatthours</t>
        </is>
      </c>
      <c r="U3" t="inlineStr">
        <is>
          <t>Count</t>
        </is>
      </c>
      <c r="V3" t="inlineStr">
        <is>
          <t>Thousand Dollars</t>
        </is>
      </c>
      <c r="W3" t="inlineStr">
        <is>
          <t>Megawatthours</t>
        </is>
      </c>
      <c r="X3" t="inlineStr">
        <is>
          <t>Count</t>
        </is>
      </c>
      <c r="Y3" s="8" t="inlineStr">
        <is>
          <t>sales_mwh (derived)</t>
        </is>
      </c>
      <c r="Z3" s="8" t="inlineStr">
        <is>
          <t>bucket (derived)</t>
        </is>
      </c>
    </row>
    <row r="4">
      <c r="A4" t="n">
        <v>2024</v>
      </c>
      <c r="B4" t="n">
        <v>176</v>
      </c>
      <c r="C4" t="inlineStr">
        <is>
          <t>Ajo Improvement Co</t>
        </is>
      </c>
      <c r="D4" t="inlineStr">
        <is>
          <t>A</t>
        </is>
      </c>
      <c r="E4" t="inlineStr">
        <is>
          <t>Bundled</t>
        </is>
      </c>
      <c r="F4" t="inlineStr">
        <is>
          <t>O</t>
        </is>
      </c>
      <c r="G4" t="inlineStr">
        <is>
          <t>AZ</t>
        </is>
      </c>
      <c r="H4" t="inlineStr">
        <is>
          <t>Investor Owned</t>
        </is>
      </c>
      <c r="I4" t="inlineStr">
        <is>
          <t>AZPS</t>
        </is>
      </c>
      <c r="J4" t="n">
        <v>678</v>
      </c>
      <c r="K4" t="n">
        <v>5396</v>
      </c>
      <c r="L4" t="n">
        <v>821</v>
      </c>
      <c r="M4" t="n">
        <v>379.2</v>
      </c>
      <c r="N4" t="n">
        <v>3315</v>
      </c>
      <c r="O4" t="n">
        <v>210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1057.2</v>
      </c>
      <c r="W4" t="n">
        <v>8711</v>
      </c>
      <c r="X4" t="n">
        <v>1031</v>
      </c>
      <c r="Y4">
        <f>IF(ISNUMBER($W4),$W4,0)</f>
        <v/>
      </c>
      <c r="Z4">
        <f>IF(ISNUMBER(SEARCH("Adjustment",$C4)),"excluded",IF($H4="Behind the Meter","excluded",IF(NOT(OR($E4="Bundled",$E4="Energy")),"excluded",IF(OR($H4="Retail Power Marketer",$H4="Community Choice Aggregator",$E4="Energy"),"procurement",IF(OR($H4="Municipal",$H4="Cooperative",$H4="Federal",$H4="State",$H4="Political Subdivision"),"cost_service",IF($H4="Investor Owned",IF(AND(COUNTIF(Parameters!$A$4:$A$33,$G4)&gt;0,COUNTIF(Parameters!$B$4:$B$33,$B4)=0),"procurement","cost_service"),"unclassified"))))))</f>
        <v/>
      </c>
    </row>
    <row r="5">
      <c r="A5" t="n">
        <v>2024</v>
      </c>
      <c r="B5" t="n">
        <v>803</v>
      </c>
      <c r="C5" t="inlineStr">
        <is>
          <t>Arizona Public Service Co</t>
        </is>
      </c>
      <c r="D5" t="inlineStr">
        <is>
          <t>A</t>
        </is>
      </c>
      <c r="E5" t="inlineStr">
        <is>
          <t>Bundled</t>
        </is>
      </c>
      <c r="F5" t="inlineStr">
        <is>
          <t>O</t>
        </is>
      </c>
      <c r="G5" t="inlineStr">
        <is>
          <t>AZ</t>
        </is>
      </c>
      <c r="H5" t="inlineStr">
        <is>
          <t>Investor Owned</t>
        </is>
      </c>
      <c r="I5" t="inlineStr">
        <is>
          <t>AZPS</t>
        </is>
      </c>
      <c r="J5" t="n">
        <v>2562822.5</v>
      </c>
      <c r="K5" t="n">
        <v>15579131</v>
      </c>
      <c r="L5" t="n">
        <v>1256120</v>
      </c>
      <c r="M5" t="n">
        <v>2125533.6</v>
      </c>
      <c r="N5" t="n">
        <v>16070942</v>
      </c>
      <c r="O5" t="n">
        <v>141345</v>
      </c>
      <c r="P5" t="n">
        <v>209390.6</v>
      </c>
      <c r="Q5" t="n">
        <v>2051331</v>
      </c>
      <c r="R5" t="n">
        <v>2572</v>
      </c>
      <c r="S5" t="n">
        <v>0</v>
      </c>
      <c r="T5" t="n">
        <v>0</v>
      </c>
      <c r="U5" t="n">
        <v>0</v>
      </c>
      <c r="V5" t="n">
        <v>4897746.7</v>
      </c>
      <c r="W5" t="n">
        <v>33701404</v>
      </c>
      <c r="X5" t="n">
        <v>1400037</v>
      </c>
      <c r="Y5">
        <f>IF(ISNUMBER($W5),$W5,0)</f>
        <v/>
      </c>
      <c r="Z5">
        <f>IF(ISNUMBER(SEARCH("Adjustment",$C5)),"excluded",IF($H5="Behind the Meter","excluded",IF(NOT(OR($E5="Bundled",$E5="Energy")),"excluded",IF(OR($H5="Retail Power Marketer",$H5="Community Choice Aggregator",$E5="Energy"),"procurement",IF(OR($H5="Municipal",$H5="Cooperative",$H5="Federal",$H5="State",$H5="Political Subdivision"),"cost_service",IF($H5="Investor Owned",IF(AND(COUNTIF(Parameters!$A$4:$A$33,$G5)&gt;0,COUNTIF(Parameters!$B$4:$B$33,$B5)=0),"procurement","cost_service"),"unclassified"))))))</f>
        <v/>
      </c>
    </row>
    <row r="6">
      <c r="A6" t="n">
        <v>2024</v>
      </c>
      <c r="B6" t="n">
        <v>5729</v>
      </c>
      <c r="C6" t="inlineStr">
        <is>
          <t>Electrical Dist No8 Maricopa</t>
        </is>
      </c>
      <c r="D6" t="inlineStr">
        <is>
          <t>A</t>
        </is>
      </c>
      <c r="E6" t="inlineStr">
        <is>
          <t>Bundled</t>
        </is>
      </c>
      <c r="F6" t="inlineStr">
        <is>
          <t>O</t>
        </is>
      </c>
      <c r="G6" t="inlineStr">
        <is>
          <t>AZ</t>
        </is>
      </c>
      <c r="H6" t="inlineStr">
        <is>
          <t>Political Subdivision</t>
        </is>
      </c>
      <c r="I6" t="inlineStr">
        <is>
          <t>AZPS</t>
        </is>
      </c>
      <c r="J6" t="inlineStr">
        <is>
          <t>.</t>
        </is>
      </c>
      <c r="K6" t="inlineStr">
        <is>
          <t>.</t>
        </is>
      </c>
      <c r="L6" t="inlineStr">
        <is>
          <t>.</t>
        </is>
      </c>
      <c r="M6" t="inlineStr">
        <is>
          <t>.</t>
        </is>
      </c>
      <c r="N6" t="inlineStr">
        <is>
          <t>.</t>
        </is>
      </c>
      <c r="O6" t="inlineStr">
        <is>
          <t>.</t>
        </is>
      </c>
      <c r="P6" t="n">
        <v>23288</v>
      </c>
      <c r="Q6" t="n">
        <v>391510</v>
      </c>
      <c r="R6" t="n">
        <v>695</v>
      </c>
      <c r="S6" t="inlineStr">
        <is>
          <t>.</t>
        </is>
      </c>
      <c r="T6" t="inlineStr">
        <is>
          <t>.</t>
        </is>
      </c>
      <c r="U6" t="inlineStr">
        <is>
          <t>.</t>
        </is>
      </c>
      <c r="V6" t="n">
        <v>23288</v>
      </c>
      <c r="W6" t="n">
        <v>391510</v>
      </c>
      <c r="X6" t="n">
        <v>695</v>
      </c>
      <c r="Y6">
        <f>IF(ISNUMBER($W6),$W6,0)</f>
        <v/>
      </c>
      <c r="Z6">
        <f>IF(ISNUMBER(SEARCH("Adjustment",$C6)),"excluded",IF($H6="Behind the Meter","excluded",IF(NOT(OR($E6="Bundled",$E6="Energy")),"excluded",IF(OR($H6="Retail Power Marketer",$H6="Community Choice Aggregator",$E6="Energy"),"procurement",IF(OR($H6="Municipal",$H6="Cooperative",$H6="Federal",$H6="State",$H6="Political Subdivision"),"cost_service",IF($H6="Investor Owned",IF(AND(COUNTIF(Parameters!$A$4:$A$33,$G6)&gt;0,COUNTIF(Parameters!$B$4:$B$33,$B6)=0),"procurement","cost_service"),"unclassified"))))))</f>
        <v/>
      </c>
    </row>
    <row r="7">
      <c r="A7" t="n">
        <v>2024</v>
      </c>
      <c r="B7" t="n">
        <v>6957</v>
      </c>
      <c r="C7" t="inlineStr">
        <is>
          <t>Garkane Energy Coop, Inc</t>
        </is>
      </c>
      <c r="D7" t="inlineStr">
        <is>
          <t>A</t>
        </is>
      </c>
      <c r="E7" t="inlineStr">
        <is>
          <t>Bundled</t>
        </is>
      </c>
      <c r="F7" t="inlineStr">
        <is>
          <t>O</t>
        </is>
      </c>
      <c r="G7" t="inlineStr">
        <is>
          <t>AZ</t>
        </is>
      </c>
      <c r="H7" t="inlineStr">
        <is>
          <t>Cooperative</t>
        </is>
      </c>
      <c r="I7" t="inlineStr">
        <is>
          <t>WALC</t>
        </is>
      </c>
      <c r="J7" t="n">
        <v>3135.3</v>
      </c>
      <c r="K7" t="n">
        <v>27237</v>
      </c>
      <c r="L7" t="n">
        <v>1401</v>
      </c>
      <c r="M7" t="n">
        <v>2025.2</v>
      </c>
      <c r="N7" t="n">
        <v>19113</v>
      </c>
      <c r="O7" t="n">
        <v>412</v>
      </c>
      <c r="P7" t="inlineStr">
        <is>
          <t>.</t>
        </is>
      </c>
      <c r="Q7" t="inlineStr">
        <is>
          <t>.</t>
        </is>
      </c>
      <c r="R7" t="inlineStr">
        <is>
          <t>.</t>
        </is>
      </c>
      <c r="S7" t="inlineStr">
        <is>
          <t>.</t>
        </is>
      </c>
      <c r="T7" t="inlineStr">
        <is>
          <t>.</t>
        </is>
      </c>
      <c r="U7" t="inlineStr">
        <is>
          <t>.</t>
        </is>
      </c>
      <c r="V7" t="n">
        <v>5160.5</v>
      </c>
      <c r="W7" t="n">
        <v>46350</v>
      </c>
      <c r="X7" t="n">
        <v>1813</v>
      </c>
      <c r="Y7">
        <f>IF(ISNUMBER($W7),$W7,0)</f>
        <v/>
      </c>
      <c r="Z7">
        <f>IF(ISNUMBER(SEARCH("Adjustment",$C7)),"excluded",IF($H7="Behind the Meter","excluded",IF(NOT(OR($E7="Bundled",$E7="Energy")),"excluded",IF(OR($H7="Retail Power Marketer",$H7="Community Choice Aggregator",$E7="Energy"),"procurement",IF(OR($H7="Municipal",$H7="Cooperative",$H7="Federal",$H7="State",$H7="Political Subdivision"),"cost_service",IF($H7="Investor Owned",IF(AND(COUNTIF(Parameters!$A$4:$A$33,$G7)&gt;0,COUNTIF(Parameters!$B$4:$B$33,$B7)=0),"procurement","cost_service"),"unclassified"))))))</f>
        <v/>
      </c>
    </row>
    <row r="8">
      <c r="A8" t="n">
        <v>2024</v>
      </c>
      <c r="B8" t="n">
        <v>12351</v>
      </c>
      <c r="C8" t="inlineStr">
        <is>
          <t>City of Mesa - (AZ)</t>
        </is>
      </c>
      <c r="D8" t="inlineStr">
        <is>
          <t>A</t>
        </is>
      </c>
      <c r="E8" t="inlineStr">
        <is>
          <t>Bundled</t>
        </is>
      </c>
      <c r="F8" t="inlineStr">
        <is>
          <t>O</t>
        </is>
      </c>
      <c r="G8" t="inlineStr">
        <is>
          <t>AZ</t>
        </is>
      </c>
      <c r="H8" t="inlineStr">
        <is>
          <t>Municipal</t>
        </is>
      </c>
      <c r="I8" t="inlineStr">
        <is>
          <t>WALC</t>
        </is>
      </c>
      <c r="J8" t="n">
        <v>26812</v>
      </c>
      <c r="K8" t="n">
        <v>158340</v>
      </c>
      <c r="L8" t="n">
        <v>15331</v>
      </c>
      <c r="M8" t="n">
        <v>23503.2</v>
      </c>
      <c r="N8" t="n">
        <v>167792</v>
      </c>
      <c r="O8" t="n">
        <v>2770</v>
      </c>
      <c r="P8" t="inlineStr">
        <is>
          <t>.</t>
        </is>
      </c>
      <c r="Q8" t="inlineStr">
        <is>
          <t>.</t>
        </is>
      </c>
      <c r="R8" t="inlineStr">
        <is>
          <t>.</t>
        </is>
      </c>
      <c r="S8" t="inlineStr">
        <is>
          <t>.</t>
        </is>
      </c>
      <c r="T8" t="inlineStr">
        <is>
          <t>.</t>
        </is>
      </c>
      <c r="U8" t="inlineStr">
        <is>
          <t>.</t>
        </is>
      </c>
      <c r="V8" t="n">
        <v>50315.2</v>
      </c>
      <c r="W8" t="n">
        <v>326132</v>
      </c>
      <c r="X8" t="n">
        <v>18101</v>
      </c>
      <c r="Y8">
        <f>IF(ISNUMBER($W8),$W8,0)</f>
        <v/>
      </c>
      <c r="Z8">
        <f>IF(ISNUMBER(SEARCH("Adjustment",$C8)),"excluded",IF($H8="Behind the Meter","excluded",IF(NOT(OR($E8="Bundled",$E8="Energy")),"excluded",IF(OR($H8="Retail Power Marketer",$H8="Community Choice Aggregator",$E8="Energy"),"procurement",IF(OR($H8="Municipal",$H8="Cooperative",$H8="Federal",$H8="State",$H8="Political Subdivision"),"cost_service",IF($H8="Investor Owned",IF(AND(COUNTIF(Parameters!$A$4:$A$33,$G8)&gt;0,COUNTIF(Parameters!$B$4:$B$33,$B8)=0),"procurement","cost_service"),"unclassified"))))))</f>
        <v/>
      </c>
    </row>
    <row r="9">
      <c r="A9" t="n">
        <v>2024</v>
      </c>
      <c r="B9" t="n">
        <v>12919</v>
      </c>
      <c r="C9" t="inlineStr">
        <is>
          <t>Morenci Water and Electric</t>
        </is>
      </c>
      <c r="D9" t="inlineStr">
        <is>
          <t>A</t>
        </is>
      </c>
      <c r="E9" t="inlineStr">
        <is>
          <t>Bundled</t>
        </is>
      </c>
      <c r="F9" t="inlineStr">
        <is>
          <t>O</t>
        </is>
      </c>
      <c r="G9" t="inlineStr">
        <is>
          <t>AZ</t>
        </is>
      </c>
      <c r="H9" t="inlineStr">
        <is>
          <t>Investor Owned</t>
        </is>
      </c>
      <c r="I9" t="inlineStr">
        <is>
          <t>WALC</t>
        </is>
      </c>
      <c r="J9" t="n">
        <v>2366.6</v>
      </c>
      <c r="K9" t="n">
        <v>21078</v>
      </c>
      <c r="L9" t="n">
        <v>2232</v>
      </c>
      <c r="M9" t="n">
        <v>1787.2</v>
      </c>
      <c r="N9" t="n">
        <v>16742</v>
      </c>
      <c r="O9" t="n">
        <v>396</v>
      </c>
      <c r="P9" t="n">
        <v>123443.6</v>
      </c>
      <c r="Q9" t="n">
        <v>2702496</v>
      </c>
      <c r="R9" t="n">
        <v>2</v>
      </c>
      <c r="S9" t="n">
        <v>0</v>
      </c>
      <c r="T9" t="n">
        <v>0</v>
      </c>
      <c r="U9" t="n">
        <v>0</v>
      </c>
      <c r="V9" t="n">
        <v>127597.4</v>
      </c>
      <c r="W9" t="n">
        <v>2740316</v>
      </c>
      <c r="X9" t="n">
        <v>2630</v>
      </c>
      <c r="Y9">
        <f>IF(ISNUMBER($W9),$W9,0)</f>
        <v/>
      </c>
      <c r="Z9">
        <f>IF(ISNUMBER(SEARCH("Adjustment",$C9)),"excluded",IF($H9="Behind the Meter","excluded",IF(NOT(OR($E9="Bundled",$E9="Energy")),"excluded",IF(OR($H9="Retail Power Marketer",$H9="Community Choice Aggregator",$E9="Energy"),"procurement",IF(OR($H9="Municipal",$H9="Cooperative",$H9="Federal",$H9="State",$H9="Political Subdivision"),"cost_service",IF($H9="Investor Owned",IF(AND(COUNTIF(Parameters!$A$4:$A$33,$G9)&gt;0,COUNTIF(Parameters!$B$4:$B$33,$B9)=0),"procurement","cost_service"),"unclassified"))))))</f>
        <v/>
      </c>
    </row>
    <row r="10">
      <c r="A10" t="n">
        <v>2024</v>
      </c>
      <c r="B10" t="n">
        <v>13314</v>
      </c>
      <c r="C10" t="inlineStr">
        <is>
          <t>Navajo Tribal Utility Authority</t>
        </is>
      </c>
      <c r="D10" t="inlineStr">
        <is>
          <t>A</t>
        </is>
      </c>
      <c r="E10" t="inlineStr">
        <is>
          <t>Bundled</t>
        </is>
      </c>
      <c r="F10" t="inlineStr">
        <is>
          <t>O</t>
        </is>
      </c>
      <c r="G10" t="inlineStr">
        <is>
          <t>AZ</t>
        </is>
      </c>
      <c r="H10" t="inlineStr">
        <is>
          <t>State</t>
        </is>
      </c>
      <c r="I10" t="inlineStr">
        <is>
          <t>PACE</t>
        </is>
      </c>
      <c r="J10" t="n">
        <v>26410</v>
      </c>
      <c r="K10" t="n">
        <v>158835</v>
      </c>
      <c r="L10" t="n">
        <v>27014</v>
      </c>
      <c r="M10" t="n">
        <v>36048</v>
      </c>
      <c r="N10" t="n">
        <v>206972</v>
      </c>
      <c r="O10" t="n">
        <v>3330</v>
      </c>
      <c r="P10" t="n">
        <v>6362</v>
      </c>
      <c r="Q10" t="n">
        <v>79935</v>
      </c>
      <c r="R10" t="n">
        <v>2</v>
      </c>
      <c r="S10" t="n">
        <v>0</v>
      </c>
      <c r="T10" t="n">
        <v>0</v>
      </c>
      <c r="U10" t="n">
        <v>0</v>
      </c>
      <c r="V10" t="n">
        <v>68820</v>
      </c>
      <c r="W10" t="n">
        <v>445742</v>
      </c>
      <c r="X10" t="n">
        <v>30346</v>
      </c>
      <c r="Y10">
        <f>IF(ISNUMBER($W10),$W10,0)</f>
        <v/>
      </c>
      <c r="Z10">
        <f>IF(ISNUMBER(SEARCH("Adjustment",$C10)),"excluded",IF($H10="Behind the Meter","excluded",IF(NOT(OR($E10="Bundled",$E10="Energy")),"excluded",IF(OR($H10="Retail Power Marketer",$H10="Community Choice Aggregator",$E10="Energy"),"procurement",IF(OR($H10="Municipal",$H10="Cooperative",$H10="Federal",$H10="State",$H10="Political Subdivision"),"cost_service",IF($H10="Investor Owned",IF(AND(COUNTIF(Parameters!$A$4:$A$33,$G10)&gt;0,COUNTIF(Parameters!$B$4:$B$33,$B10)=0),"procurement","cost_service"),"unclassified"))))))</f>
        <v/>
      </c>
    </row>
    <row r="11">
      <c r="A11" t="n">
        <v>2024</v>
      </c>
      <c r="B11" t="n">
        <v>13318</v>
      </c>
      <c r="C11" t="inlineStr">
        <is>
          <t>Navopache Electric Coop, Inc</t>
        </is>
      </c>
      <c r="D11" t="inlineStr">
        <is>
          <t>A</t>
        </is>
      </c>
      <c r="E11" t="inlineStr">
        <is>
          <t>Bundled</t>
        </is>
      </c>
      <c r="F11" t="inlineStr">
        <is>
          <t>O</t>
        </is>
      </c>
      <c r="G11" t="inlineStr">
        <is>
          <t>AZ</t>
        </is>
      </c>
      <c r="H11" t="inlineStr">
        <is>
          <t>Cooperative</t>
        </is>
      </c>
      <c r="I11" t="inlineStr">
        <is>
          <t>TEPC</t>
        </is>
      </c>
      <c r="J11" t="n">
        <v>39512</v>
      </c>
      <c r="K11" t="n">
        <v>294157</v>
      </c>
      <c r="L11" t="n">
        <v>40076</v>
      </c>
      <c r="M11" t="n">
        <v>7857</v>
      </c>
      <c r="N11" t="n">
        <v>69447</v>
      </c>
      <c r="O11" t="n">
        <v>3639</v>
      </c>
      <c r="P11" t="n">
        <v>10577</v>
      </c>
      <c r="Q11" t="n">
        <v>104004</v>
      </c>
      <c r="R11" t="n">
        <v>413</v>
      </c>
      <c r="S11" t="inlineStr">
        <is>
          <t>.</t>
        </is>
      </c>
      <c r="T11" t="inlineStr">
        <is>
          <t>.</t>
        </is>
      </c>
      <c r="U11" t="inlineStr">
        <is>
          <t>.</t>
        </is>
      </c>
      <c r="V11" t="n">
        <v>57946</v>
      </c>
      <c r="W11" t="n">
        <v>467608</v>
      </c>
      <c r="X11" t="n">
        <v>44128</v>
      </c>
      <c r="Y11">
        <f>IF(ISNUMBER($W11),$W11,0)</f>
        <v/>
      </c>
      <c r="Z11">
        <f>IF(ISNUMBER(SEARCH("Adjustment",$C11)),"excluded",IF($H11="Behind the Meter","excluded",IF(NOT(OR($E11="Bundled",$E11="Energy")),"excluded",IF(OR($H11="Retail Power Marketer",$H11="Community Choice Aggregator",$E11="Energy"),"procurement",IF(OR($H11="Municipal",$H11="Cooperative",$H11="Federal",$H11="State",$H11="Political Subdivision"),"cost_service",IF($H11="Investor Owned",IF(AND(COUNTIF(Parameters!$A$4:$A$33,$G11)&gt;0,COUNTIF(Parameters!$B$4:$B$33,$B11)=0),"procurement","cost_service"),"unclassified"))))))</f>
        <v/>
      </c>
    </row>
    <row r="12">
      <c r="A12" t="n">
        <v>2024</v>
      </c>
      <c r="B12" t="n">
        <v>15048</v>
      </c>
      <c r="C12" t="inlineStr">
        <is>
          <t>Electrical Dist No2 Pinal County</t>
        </is>
      </c>
      <c r="D12" t="inlineStr">
        <is>
          <t>A</t>
        </is>
      </c>
      <c r="E12" t="inlineStr">
        <is>
          <t>Bundled</t>
        </is>
      </c>
      <c r="F12" t="inlineStr">
        <is>
          <t>O</t>
        </is>
      </c>
      <c r="G12" t="inlineStr">
        <is>
          <t>AZ</t>
        </is>
      </c>
      <c r="H12" t="inlineStr">
        <is>
          <t>Political Subdivision</t>
        </is>
      </c>
      <c r="I12" t="inlineStr">
        <is>
          <t>WALC</t>
        </is>
      </c>
      <c r="J12" t="n">
        <v>8833</v>
      </c>
      <c r="K12" t="n">
        <v>66589</v>
      </c>
      <c r="L12" t="n">
        <v>5218</v>
      </c>
      <c r="M12" t="n">
        <v>12446</v>
      </c>
      <c r="N12" t="n">
        <v>147044</v>
      </c>
      <c r="O12" t="n">
        <v>1014</v>
      </c>
      <c r="P12" t="n">
        <v>6210</v>
      </c>
      <c r="Q12" t="n">
        <v>61078</v>
      </c>
      <c r="R12" t="n">
        <v>15</v>
      </c>
      <c r="S12" t="inlineStr">
        <is>
          <t>.</t>
        </is>
      </c>
      <c r="T12" t="inlineStr">
        <is>
          <t>.</t>
        </is>
      </c>
      <c r="U12" t="inlineStr">
        <is>
          <t>.</t>
        </is>
      </c>
      <c r="V12" t="n">
        <v>27489</v>
      </c>
      <c r="W12" t="n">
        <v>274711</v>
      </c>
      <c r="X12" t="n">
        <v>6247</v>
      </c>
      <c r="Y12">
        <f>IF(ISNUMBER($W12),$W12,0)</f>
        <v/>
      </c>
      <c r="Z12">
        <f>IF(ISNUMBER(SEARCH("Adjustment",$C12)),"excluded",IF($H12="Behind the Meter","excluded",IF(NOT(OR($E12="Bundled",$E12="Energy")),"excluded",IF(OR($H12="Retail Power Marketer",$H12="Community Choice Aggregator",$E12="Energy"),"procurement",IF(OR($H12="Municipal",$H12="Cooperative",$H12="Federal",$H12="State",$H12="Political Subdivision"),"cost_service",IF($H12="Investor Owned",IF(AND(COUNTIF(Parameters!$A$4:$A$33,$G12)&gt;0,COUNTIF(Parameters!$B$4:$B$33,$B12)=0),"procurement","cost_service"),"unclassified"))))))</f>
        <v/>
      </c>
    </row>
    <row r="13">
      <c r="A13" t="n">
        <v>2024</v>
      </c>
      <c r="B13" t="n">
        <v>16572</v>
      </c>
      <c r="C13" t="inlineStr">
        <is>
          <t>Salt River Project</t>
        </is>
      </c>
      <c r="D13" t="inlineStr">
        <is>
          <t>A</t>
        </is>
      </c>
      <c r="E13" t="inlineStr">
        <is>
          <t>Bundled</t>
        </is>
      </c>
      <c r="F13" t="inlineStr">
        <is>
          <t>O</t>
        </is>
      </c>
      <c r="G13" t="inlineStr">
        <is>
          <t>AZ</t>
        </is>
      </c>
      <c r="H13" t="inlineStr">
        <is>
          <t>Political Subdivision</t>
        </is>
      </c>
      <c r="I13" t="inlineStr">
        <is>
          <t>SRP</t>
        </is>
      </c>
      <c r="J13" t="n">
        <v>2060051</v>
      </c>
      <c r="K13" t="n">
        <v>15307643</v>
      </c>
      <c r="L13" t="n">
        <v>1053407</v>
      </c>
      <c r="M13" t="n">
        <v>1481943</v>
      </c>
      <c r="N13" t="n">
        <v>13767916</v>
      </c>
      <c r="O13" t="n">
        <v>112637</v>
      </c>
      <c r="P13" t="n">
        <v>346996</v>
      </c>
      <c r="Q13" t="n">
        <v>4491678</v>
      </c>
      <c r="R13" t="n">
        <v>49</v>
      </c>
      <c r="S13" t="n">
        <v>1079</v>
      </c>
      <c r="T13" t="n">
        <v>10037</v>
      </c>
      <c r="U13" t="n">
        <v>1</v>
      </c>
      <c r="V13" t="n">
        <v>3890069</v>
      </c>
      <c r="W13" t="n">
        <v>33577274</v>
      </c>
      <c r="X13" t="n">
        <v>1166094</v>
      </c>
      <c r="Y13">
        <f>IF(ISNUMBER($W13),$W13,0)</f>
        <v/>
      </c>
      <c r="Z13">
        <f>IF(ISNUMBER(SEARCH("Adjustment",$C13)),"excluded",IF($H13="Behind the Meter","excluded",IF(NOT(OR($E13="Bundled",$E13="Energy")),"excluded",IF(OR($H13="Retail Power Marketer",$H13="Community Choice Aggregator",$E13="Energy"),"procurement",IF(OR($H13="Municipal",$H13="Cooperative",$H13="Federal",$H13="State",$H13="Political Subdivision"),"cost_service",IF($H13="Investor Owned",IF(AND(COUNTIF(Parameters!$A$4:$A$33,$G13)&gt;0,COUNTIF(Parameters!$B$4:$B$33,$B13)=0),"procurement","cost_service"),"unclassified"))))))</f>
        <v/>
      </c>
    </row>
    <row r="14">
      <c r="A14" t="n">
        <v>2024</v>
      </c>
      <c r="B14" t="n">
        <v>18280</v>
      </c>
      <c r="C14" t="inlineStr">
        <is>
          <t>Sulphur Springs Valley E C Inc</t>
        </is>
      </c>
      <c r="D14" t="inlineStr">
        <is>
          <t>A</t>
        </is>
      </c>
      <c r="E14" t="inlineStr">
        <is>
          <t>Bundled</t>
        </is>
      </c>
      <c r="F14" t="inlineStr">
        <is>
          <t>O</t>
        </is>
      </c>
      <c r="G14" t="inlineStr">
        <is>
          <t>AZ</t>
        </is>
      </c>
      <c r="H14" t="inlineStr">
        <is>
          <t>Cooperative</t>
        </is>
      </c>
      <c r="I14" t="inlineStr">
        <is>
          <t>WALC</t>
        </is>
      </c>
      <c r="J14" t="n">
        <v>55275.9</v>
      </c>
      <c r="K14" t="n">
        <v>409660</v>
      </c>
      <c r="L14" t="n">
        <v>46008</v>
      </c>
      <c r="M14" t="n">
        <v>51295.2</v>
      </c>
      <c r="N14" t="n">
        <v>477743</v>
      </c>
      <c r="O14" t="n">
        <v>8388</v>
      </c>
      <c r="P14" t="n">
        <v>5737</v>
      </c>
      <c r="Q14" t="n">
        <v>47879</v>
      </c>
      <c r="R14" t="n">
        <v>6</v>
      </c>
      <c r="S14" t="n">
        <v>0</v>
      </c>
      <c r="T14" t="inlineStr">
        <is>
          <t>.</t>
        </is>
      </c>
      <c r="U14" t="inlineStr">
        <is>
          <t>.</t>
        </is>
      </c>
      <c r="V14" t="n">
        <v>112308.1</v>
      </c>
      <c r="W14" t="n">
        <v>935282</v>
      </c>
      <c r="X14" t="n">
        <v>54402</v>
      </c>
      <c r="Y14">
        <f>IF(ISNUMBER($W14),$W14,0)</f>
        <v/>
      </c>
      <c r="Z14">
        <f>IF(ISNUMBER(SEARCH("Adjustment",$C14)),"excluded",IF($H14="Behind the Meter","excluded",IF(NOT(OR($E14="Bundled",$E14="Energy")),"excluded",IF(OR($H14="Retail Power Marketer",$H14="Community Choice Aggregator",$E14="Energy"),"procurement",IF(OR($H14="Municipal",$H14="Cooperative",$H14="Federal",$H14="State",$H14="Political Subdivision"),"cost_service",IF($H14="Investor Owned",IF(AND(COUNTIF(Parameters!$A$4:$A$33,$G14)&gt;0,COUNTIF(Parameters!$B$4:$B$33,$B14)=0),"procurement","cost_service"),"unclassified"))))))</f>
        <v/>
      </c>
    </row>
    <row r="15">
      <c r="A15" t="n">
        <v>2024</v>
      </c>
      <c r="B15" t="n">
        <v>19189</v>
      </c>
      <c r="C15" t="inlineStr">
        <is>
          <t>Trico Electric Cooperative Inc</t>
        </is>
      </c>
      <c r="D15" t="inlineStr">
        <is>
          <t>A</t>
        </is>
      </c>
      <c r="E15" t="inlineStr">
        <is>
          <t>Bundled</t>
        </is>
      </c>
      <c r="F15" t="inlineStr">
        <is>
          <t>O</t>
        </is>
      </c>
      <c r="G15" t="inlineStr">
        <is>
          <t>AZ</t>
        </is>
      </c>
      <c r="H15" t="inlineStr">
        <is>
          <t>Cooperative</t>
        </is>
      </c>
      <c r="I15" t="inlineStr">
        <is>
          <t>WALC</t>
        </is>
      </c>
      <c r="J15" t="n">
        <v>84010.2</v>
      </c>
      <c r="K15" t="n">
        <v>592945</v>
      </c>
      <c r="L15" t="n">
        <v>52450</v>
      </c>
      <c r="M15" t="n">
        <v>29248.8</v>
      </c>
      <c r="N15" t="n">
        <v>235687</v>
      </c>
      <c r="O15" t="n">
        <v>2376</v>
      </c>
      <c r="P15" t="n">
        <v>3933.7</v>
      </c>
      <c r="Q15" t="n">
        <v>45234</v>
      </c>
      <c r="R15" t="n">
        <v>34</v>
      </c>
      <c r="S15" t="n">
        <v>0</v>
      </c>
      <c r="T15" t="n">
        <v>0</v>
      </c>
      <c r="U15" t="n">
        <v>0</v>
      </c>
      <c r="V15" t="n">
        <v>117192.7</v>
      </c>
      <c r="W15" t="n">
        <v>873866</v>
      </c>
      <c r="X15" t="n">
        <v>54860</v>
      </c>
      <c r="Y15">
        <f>IF(ISNUMBER($W15),$W15,0)</f>
        <v/>
      </c>
      <c r="Z15">
        <f>IF(ISNUMBER(SEARCH("Adjustment",$C15)),"excluded",IF($H15="Behind the Meter","excluded",IF(NOT(OR($E15="Bundled",$E15="Energy")),"excluded",IF(OR($H15="Retail Power Marketer",$H15="Community Choice Aggregator",$E15="Energy"),"procurement",IF(OR($H15="Municipal",$H15="Cooperative",$H15="Federal",$H15="State",$H15="Political Subdivision"),"cost_service",IF($H15="Investor Owned",IF(AND(COUNTIF(Parameters!$A$4:$A$33,$G15)&gt;0,COUNTIF(Parameters!$B$4:$B$33,$B15)=0),"procurement","cost_service"),"unclassified"))))))</f>
        <v/>
      </c>
    </row>
    <row r="16">
      <c r="A16" t="n">
        <v>2024</v>
      </c>
      <c r="B16" t="n">
        <v>19604</v>
      </c>
      <c r="C16" t="inlineStr">
        <is>
          <t>USBIA-San Carlos Project</t>
        </is>
      </c>
      <c r="D16" t="inlineStr">
        <is>
          <t>A</t>
        </is>
      </c>
      <c r="E16" t="inlineStr">
        <is>
          <t>Bundled</t>
        </is>
      </c>
      <c r="F16" t="inlineStr">
        <is>
          <t>O</t>
        </is>
      </c>
      <c r="G16" t="inlineStr">
        <is>
          <t>AZ</t>
        </is>
      </c>
      <c r="H16" t="inlineStr">
        <is>
          <t>Federal</t>
        </is>
      </c>
      <c r="I16" t="inlineStr">
        <is>
          <t>WALC</t>
        </is>
      </c>
      <c r="J16" t="n">
        <v>24640</v>
      </c>
      <c r="K16" t="n">
        <v>126426</v>
      </c>
      <c r="L16" t="n">
        <v>11432</v>
      </c>
      <c r="M16" t="n">
        <v>17526</v>
      </c>
      <c r="N16" t="n">
        <v>97721</v>
      </c>
      <c r="O16" t="n">
        <v>1907</v>
      </c>
      <c r="P16" t="n">
        <v>1002</v>
      </c>
      <c r="Q16" t="n">
        <v>6386</v>
      </c>
      <c r="R16" t="n">
        <v>2</v>
      </c>
      <c r="S16" t="inlineStr">
        <is>
          <t>.</t>
        </is>
      </c>
      <c r="T16" t="inlineStr">
        <is>
          <t>.</t>
        </is>
      </c>
      <c r="U16" t="inlineStr">
        <is>
          <t>.</t>
        </is>
      </c>
      <c r="V16" t="n">
        <v>43168</v>
      </c>
      <c r="W16" t="n">
        <v>230533</v>
      </c>
      <c r="X16" t="n">
        <v>13341</v>
      </c>
      <c r="Y16">
        <f>IF(ISNUMBER($W16),$W16,0)</f>
        <v/>
      </c>
      <c r="Z16">
        <f>IF(ISNUMBER(SEARCH("Adjustment",$C16)),"excluded",IF($H16="Behind the Meter","excluded",IF(NOT(OR($E16="Bundled",$E16="Energy")),"excluded",IF(OR($H16="Retail Power Marketer",$H16="Community Choice Aggregator",$E16="Energy"),"procurement",IF(OR($H16="Municipal",$H16="Cooperative",$H16="Federal",$H16="State",$H16="Political Subdivision"),"cost_service",IF($H16="Investor Owned",IF(AND(COUNTIF(Parameters!$A$4:$A$33,$G16)&gt;0,COUNTIF(Parameters!$B$4:$B$33,$B16)=0),"procurement","cost_service"),"unclassified"))))))</f>
        <v/>
      </c>
    </row>
    <row r="17">
      <c r="A17" t="n">
        <v>2024</v>
      </c>
      <c r="B17" t="n">
        <v>19728</v>
      </c>
      <c r="C17" t="inlineStr">
        <is>
          <t>UNS Electric, Inc</t>
        </is>
      </c>
      <c r="D17" t="inlineStr">
        <is>
          <t>A</t>
        </is>
      </c>
      <c r="E17" t="inlineStr">
        <is>
          <t>Bundled</t>
        </is>
      </c>
      <c r="F17" t="inlineStr">
        <is>
          <t>O</t>
        </is>
      </c>
      <c r="G17" t="inlineStr">
        <is>
          <t>AZ</t>
        </is>
      </c>
      <c r="H17" t="inlineStr">
        <is>
          <t>Investor Owned</t>
        </is>
      </c>
      <c r="I17" t="inlineStr">
        <is>
          <t>TEPC</t>
        </is>
      </c>
      <c r="J17" t="n">
        <v>169013.1</v>
      </c>
      <c r="K17" t="n">
        <v>1055159</v>
      </c>
      <c r="L17" t="n">
        <v>95191</v>
      </c>
      <c r="M17" t="n">
        <v>112101</v>
      </c>
      <c r="N17" t="n">
        <v>736251</v>
      </c>
      <c r="O17" t="n">
        <v>12287</v>
      </c>
      <c r="P17" t="n">
        <v>13686.4</v>
      </c>
      <c r="Q17" t="n">
        <v>114290</v>
      </c>
      <c r="R17" t="n">
        <v>6</v>
      </c>
      <c r="S17" t="inlineStr">
        <is>
          <t>.</t>
        </is>
      </c>
      <c r="T17" t="inlineStr">
        <is>
          <t>.</t>
        </is>
      </c>
      <c r="U17" t="inlineStr">
        <is>
          <t>.</t>
        </is>
      </c>
      <c r="V17" t="n">
        <v>294800.5</v>
      </c>
      <c r="W17" t="n">
        <v>1905700</v>
      </c>
      <c r="X17" t="n">
        <v>107484</v>
      </c>
      <c r="Y17">
        <f>IF(ISNUMBER($W17),$W17,0)</f>
        <v/>
      </c>
      <c r="Z17">
        <f>IF(ISNUMBER(SEARCH("Adjustment",$C17)),"excluded",IF($H17="Behind the Meter","excluded",IF(NOT(OR($E17="Bundled",$E17="Energy")),"excluded",IF(OR($H17="Retail Power Marketer",$H17="Community Choice Aggregator",$E17="Energy"),"procurement",IF(OR($H17="Municipal",$H17="Cooperative",$H17="Federal",$H17="State",$H17="Political Subdivision"),"cost_service",IF($H17="Investor Owned",IF(AND(COUNTIF(Parameters!$A$4:$A$33,$G17)&gt;0,COUNTIF(Parameters!$B$4:$B$33,$B17)=0),"procurement","cost_service"),"unclassified"))))))</f>
        <v/>
      </c>
    </row>
    <row r="18">
      <c r="A18" t="n">
        <v>2024</v>
      </c>
      <c r="B18" t="n">
        <v>21538</v>
      </c>
      <c r="C18" t="inlineStr">
        <is>
          <t>Mohave Electric Cooperative, Inc.</t>
        </is>
      </c>
      <c r="D18" t="inlineStr">
        <is>
          <t>A</t>
        </is>
      </c>
      <c r="E18" t="inlineStr">
        <is>
          <t>Bundled</t>
        </is>
      </c>
      <c r="F18" t="inlineStr">
        <is>
          <t>O</t>
        </is>
      </c>
      <c r="G18" t="inlineStr">
        <is>
          <t>AZ</t>
        </is>
      </c>
      <c r="H18" t="inlineStr">
        <is>
          <t>Cooperative</t>
        </is>
      </c>
      <c r="I18" t="inlineStr">
        <is>
          <t>WALC</t>
        </is>
      </c>
      <c r="J18" t="n">
        <v>54352.3</v>
      </c>
      <c r="K18" t="n">
        <v>485505</v>
      </c>
      <c r="L18" t="n">
        <v>41009</v>
      </c>
      <c r="M18" t="n">
        <v>24201.4</v>
      </c>
      <c r="N18" t="n">
        <v>225019</v>
      </c>
      <c r="O18" t="n">
        <v>4502</v>
      </c>
      <c r="P18" t="n">
        <v>8203.299999999999</v>
      </c>
      <c r="Q18" t="n">
        <v>91312</v>
      </c>
      <c r="R18" t="n">
        <v>24</v>
      </c>
      <c r="S18" t="inlineStr">
        <is>
          <t>.</t>
        </is>
      </c>
      <c r="T18" t="inlineStr">
        <is>
          <t>.</t>
        </is>
      </c>
      <c r="U18" t="inlineStr">
        <is>
          <t>.</t>
        </is>
      </c>
      <c r="V18" t="n">
        <v>86757</v>
      </c>
      <c r="W18" t="n">
        <v>801836</v>
      </c>
      <c r="X18" t="n">
        <v>45535</v>
      </c>
      <c r="Y18">
        <f>IF(ISNUMBER($W18),$W18,0)</f>
        <v/>
      </c>
      <c r="Z18">
        <f>IF(ISNUMBER(SEARCH("Adjustment",$C18)),"excluded",IF($H18="Behind the Meter","excluded",IF(NOT(OR($E18="Bundled",$E18="Energy")),"excluded",IF(OR($H18="Retail Power Marketer",$H18="Community Choice Aggregator",$E18="Energy"),"procurement",IF(OR($H18="Municipal",$H18="Cooperative",$H18="Federal",$H18="State",$H18="Political Subdivision"),"cost_service",IF($H18="Investor Owned",IF(AND(COUNTIF(Parameters!$A$4:$A$33,$G18)&gt;0,COUNTIF(Parameters!$B$4:$B$33,$B18)=0),"procurement","cost_service"),"unclassified"))))))</f>
        <v/>
      </c>
    </row>
    <row r="19">
      <c r="A19" t="n">
        <v>2024</v>
      </c>
      <c r="B19" t="n">
        <v>24211</v>
      </c>
      <c r="C19" t="inlineStr">
        <is>
          <t>Tucson Electric Power Co</t>
        </is>
      </c>
      <c r="D19" t="inlineStr">
        <is>
          <t>A</t>
        </is>
      </c>
      <c r="E19" t="inlineStr">
        <is>
          <t>Bundled</t>
        </is>
      </c>
      <c r="F19" t="inlineStr">
        <is>
          <t>O</t>
        </is>
      </c>
      <c r="G19" t="inlineStr">
        <is>
          <t>AZ</t>
        </is>
      </c>
      <c r="H19" t="inlineStr">
        <is>
          <t>Investor Owned</t>
        </is>
      </c>
      <c r="I19" t="inlineStr">
        <is>
          <t>TEPC</t>
        </is>
      </c>
      <c r="J19" t="n">
        <v>619593.9</v>
      </c>
      <c r="K19" t="n">
        <v>3964038</v>
      </c>
      <c r="L19" t="n">
        <v>412747</v>
      </c>
      <c r="M19" t="n">
        <v>306959</v>
      </c>
      <c r="N19" t="n">
        <v>1970104</v>
      </c>
      <c r="O19" t="n">
        <v>41903</v>
      </c>
      <c r="P19" t="n">
        <v>302414</v>
      </c>
      <c r="Q19" t="n">
        <v>3029758</v>
      </c>
      <c r="R19" t="n">
        <v>558</v>
      </c>
      <c r="S19" t="n">
        <v>51.1</v>
      </c>
      <c r="T19" t="n">
        <v>284</v>
      </c>
      <c r="U19" t="n">
        <v>1</v>
      </c>
      <c r="V19" t="n">
        <v>1229018</v>
      </c>
      <c r="W19" t="n">
        <v>8964184</v>
      </c>
      <c r="X19" t="n">
        <v>455209</v>
      </c>
      <c r="Y19">
        <f>IF(ISNUMBER($W19),$W19,0)</f>
        <v/>
      </c>
      <c r="Z19">
        <f>IF(ISNUMBER(SEARCH("Adjustment",$C19)),"excluded",IF($H19="Behind the Meter","excluded",IF(NOT(OR($E19="Bundled",$E19="Energy")),"excluded",IF(OR($H19="Retail Power Marketer",$H19="Community Choice Aggregator",$E19="Energy"),"procurement",IF(OR($H19="Municipal",$H19="Cooperative",$H19="Federal",$H19="State",$H19="Political Subdivision"),"cost_service",IF($H19="Investor Owned",IF(AND(COUNTIF(Parameters!$A$4:$A$33,$G19)&gt;0,COUNTIF(Parameters!$B$4:$B$33,$B19)=0),"procurement","cost_service"),"unclassified"))))))</f>
        <v/>
      </c>
    </row>
    <row r="20">
      <c r="A20" t="n">
        <v>2024</v>
      </c>
      <c r="B20" t="n">
        <v>25866</v>
      </c>
      <c r="C20" t="inlineStr">
        <is>
          <t>Ak-Chin Electric Utility Authority</t>
        </is>
      </c>
      <c r="D20" t="inlineStr">
        <is>
          <t>A</t>
        </is>
      </c>
      <c r="E20" t="inlineStr">
        <is>
          <t>Bundled</t>
        </is>
      </c>
      <c r="F20" t="inlineStr">
        <is>
          <t>O</t>
        </is>
      </c>
      <c r="G20" t="inlineStr">
        <is>
          <t>AZ</t>
        </is>
      </c>
      <c r="H20" t="inlineStr">
        <is>
          <t>State</t>
        </is>
      </c>
      <c r="I20" t="inlineStr">
        <is>
          <t>AZPS</t>
        </is>
      </c>
      <c r="J20" t="n">
        <v>649.5</v>
      </c>
      <c r="K20" t="n">
        <v>5016</v>
      </c>
      <c r="L20" t="n">
        <v>319</v>
      </c>
      <c r="M20" t="n">
        <v>3110.7</v>
      </c>
      <c r="N20" t="n">
        <v>35199</v>
      </c>
      <c r="O20" t="n">
        <v>116</v>
      </c>
      <c r="P20" t="n">
        <v>155.4</v>
      </c>
      <c r="Q20" t="n">
        <v>1127</v>
      </c>
      <c r="R20" t="n">
        <v>31</v>
      </c>
      <c r="S20" t="n">
        <v>0</v>
      </c>
      <c r="T20" t="n">
        <v>0</v>
      </c>
      <c r="U20" t="n">
        <v>0</v>
      </c>
      <c r="V20" t="n">
        <v>3915.6</v>
      </c>
      <c r="W20" t="n">
        <v>41342</v>
      </c>
      <c r="X20" t="n">
        <v>466</v>
      </c>
      <c r="Y20">
        <f>IF(ISNUMBER($W20),$W20,0)</f>
        <v/>
      </c>
      <c r="Z20">
        <f>IF(ISNUMBER(SEARCH("Adjustment",$C20)),"excluded",IF($H20="Behind the Meter","excluded",IF(NOT(OR($E20="Bundled",$E20="Energy")),"excluded",IF(OR($H20="Retail Power Marketer",$H20="Community Choice Aggregator",$E20="Energy"),"procurement",IF(OR($H20="Municipal",$H20="Cooperative",$H20="Federal",$H20="State",$H20="Political Subdivision"),"cost_service",IF($H20="Investor Owned",IF(AND(COUNTIF(Parameters!$A$4:$A$33,$G20)&gt;0,COUNTIF(Parameters!$B$4:$B$33,$B20)=0),"procurement","cost_service"),"unclassified"))))))</f>
        <v/>
      </c>
    </row>
    <row r="21">
      <c r="A21" t="n">
        <v>2024</v>
      </c>
      <c r="B21" t="n">
        <v>27000</v>
      </c>
      <c r="C21" t="inlineStr">
        <is>
          <t>WAPA-- Western Area Power Administration</t>
        </is>
      </c>
      <c r="D21" t="inlineStr">
        <is>
          <t>A</t>
        </is>
      </c>
      <c r="E21" t="inlineStr">
        <is>
          <t>Bundled</t>
        </is>
      </c>
      <c r="F21" t="inlineStr">
        <is>
          <t>O</t>
        </is>
      </c>
      <c r="G21" t="inlineStr">
        <is>
          <t>AZ</t>
        </is>
      </c>
      <c r="H21" t="inlineStr">
        <is>
          <t>Federal</t>
        </is>
      </c>
      <c r="I21" t="inlineStr">
        <is>
          <t>WALC</t>
        </is>
      </c>
      <c r="J21" t="n">
        <v>0</v>
      </c>
      <c r="K21" t="n">
        <v>0</v>
      </c>
      <c r="L21" t="n">
        <v>0</v>
      </c>
      <c r="M21" t="n">
        <v>2149.9</v>
      </c>
      <c r="N21" t="n">
        <v>81254</v>
      </c>
      <c r="O21" t="n">
        <v>15</v>
      </c>
      <c r="P21" t="n">
        <v>4193.5</v>
      </c>
      <c r="Q21" t="n">
        <v>216819</v>
      </c>
      <c r="R21" t="n">
        <v>5</v>
      </c>
      <c r="S21" t="n">
        <v>0</v>
      </c>
      <c r="T21" t="n">
        <v>0</v>
      </c>
      <c r="U21" t="n">
        <v>0</v>
      </c>
      <c r="V21" t="n">
        <v>6343.4</v>
      </c>
      <c r="W21" t="n">
        <v>298073</v>
      </c>
      <c r="X21" t="n">
        <v>20</v>
      </c>
      <c r="Y21">
        <f>IF(ISNUMBER($W21),$W21,0)</f>
        <v/>
      </c>
      <c r="Z21">
        <f>IF(ISNUMBER(SEARCH("Adjustment",$C21)),"excluded",IF($H21="Behind the Meter","excluded",IF(NOT(OR($E21="Bundled",$E21="Energy")),"excluded",IF(OR($H21="Retail Power Marketer",$H21="Community Choice Aggregator",$E21="Energy"),"procurement",IF(OR($H21="Municipal",$H21="Cooperative",$H21="Federal",$H21="State",$H21="Political Subdivision"),"cost_service",IF($H21="Investor Owned",IF(AND(COUNTIF(Parameters!$A$4:$A$33,$G21)&gt;0,COUNTIF(Parameters!$B$4:$B$33,$B21)=0),"procurement","cost_service"),"unclassified"))))))</f>
        <v/>
      </c>
    </row>
    <row r="22">
      <c r="A22" t="n">
        <v>2024</v>
      </c>
      <c r="B22" t="n">
        <v>30518</v>
      </c>
      <c r="C22" t="inlineStr">
        <is>
          <t>Electrical Dist No3 Pinal County</t>
        </is>
      </c>
      <c r="D22" t="inlineStr">
        <is>
          <t>A</t>
        </is>
      </c>
      <c r="E22" t="inlineStr">
        <is>
          <t>Bundled</t>
        </is>
      </c>
      <c r="F22" t="inlineStr">
        <is>
          <t>O</t>
        </is>
      </c>
      <c r="G22" t="inlineStr">
        <is>
          <t>AZ</t>
        </is>
      </c>
      <c r="H22" t="inlineStr">
        <is>
          <t>Political Subdivision</t>
        </is>
      </c>
      <c r="I22" t="inlineStr">
        <is>
          <t>AZPS</t>
        </is>
      </c>
      <c r="J22" t="n">
        <v>63271.5</v>
      </c>
      <c r="K22" t="n">
        <v>454173</v>
      </c>
      <c r="L22" t="n">
        <v>32009</v>
      </c>
      <c r="M22" t="n">
        <v>24108.7</v>
      </c>
      <c r="N22" t="n">
        <v>192543</v>
      </c>
      <c r="O22" t="n">
        <v>2106</v>
      </c>
      <c r="P22" t="n">
        <v>11621.2</v>
      </c>
      <c r="Q22" t="n">
        <v>222524</v>
      </c>
      <c r="R22" t="n">
        <v>411</v>
      </c>
      <c r="S22" t="inlineStr">
        <is>
          <t>.</t>
        </is>
      </c>
      <c r="T22" t="inlineStr">
        <is>
          <t>.</t>
        </is>
      </c>
      <c r="U22" t="inlineStr">
        <is>
          <t>.</t>
        </is>
      </c>
      <c r="V22" t="n">
        <v>99001.39999999999</v>
      </c>
      <c r="W22" t="n">
        <v>869240</v>
      </c>
      <c r="X22" t="n">
        <v>34526</v>
      </c>
      <c r="Y22">
        <f>IF(ISNUMBER($W22),$W22,0)</f>
        <v/>
      </c>
      <c r="Z22">
        <f>IF(ISNUMBER(SEARCH("Adjustment",$C22)),"excluded",IF($H22="Behind the Meter","excluded",IF(NOT(OR($E22="Bundled",$E22="Energy")),"excluded",IF(OR($H22="Retail Power Marketer",$H22="Community Choice Aggregator",$E22="Energy"),"procurement",IF(OR($H22="Municipal",$H22="Cooperative",$H22="Federal",$H22="State",$H22="Political Subdivision"),"cost_service",IF($H22="Investor Owned",IF(AND(COUNTIF(Parameters!$A$4:$A$33,$G22)&gt;0,COUNTIF(Parameters!$B$4:$B$33,$B22)=0),"procurement","cost_service"),"unclassified"))))))</f>
        <v/>
      </c>
    </row>
    <row r="23">
      <c r="A23" t="n">
        <v>2024</v>
      </c>
      <c r="B23" t="n">
        <v>40165</v>
      </c>
      <c r="C23" t="inlineStr">
        <is>
          <t>Dixie Escalante R E A, Inc</t>
        </is>
      </c>
      <c r="D23" t="inlineStr">
        <is>
          <t>A</t>
        </is>
      </c>
      <c r="E23" t="inlineStr">
        <is>
          <t>Bundled</t>
        </is>
      </c>
      <c r="F23" t="inlineStr">
        <is>
          <t>O</t>
        </is>
      </c>
      <c r="G23" t="inlineStr">
        <is>
          <t>AZ</t>
        </is>
      </c>
      <c r="H23" t="inlineStr">
        <is>
          <t>Cooperative</t>
        </is>
      </c>
      <c r="I23" t="inlineStr">
        <is>
          <t>PACE</t>
        </is>
      </c>
      <c r="J23" t="n">
        <v>3464.1</v>
      </c>
      <c r="K23" t="n">
        <v>36073</v>
      </c>
      <c r="L23" t="n">
        <v>2790</v>
      </c>
      <c r="M23" t="n">
        <v>1233.1</v>
      </c>
      <c r="N23" t="n">
        <v>13744</v>
      </c>
      <c r="O23" t="n">
        <v>355</v>
      </c>
      <c r="P23" t="inlineStr">
        <is>
          <t>.</t>
        </is>
      </c>
      <c r="Q23" t="inlineStr">
        <is>
          <t>.</t>
        </is>
      </c>
      <c r="R23" t="inlineStr">
        <is>
          <t>.</t>
        </is>
      </c>
      <c r="S23" t="inlineStr">
        <is>
          <t>.</t>
        </is>
      </c>
      <c r="T23" t="inlineStr">
        <is>
          <t>.</t>
        </is>
      </c>
      <c r="U23" t="inlineStr">
        <is>
          <t>.</t>
        </is>
      </c>
      <c r="V23" t="n">
        <v>4697.2</v>
      </c>
      <c r="W23" t="n">
        <v>49817</v>
      </c>
      <c r="X23" t="n">
        <v>3145</v>
      </c>
      <c r="Y23">
        <f>IF(ISNUMBER($W23),$W23,0)</f>
        <v/>
      </c>
      <c r="Z23">
        <f>IF(ISNUMBER(SEARCH("Adjustment",$C23)),"excluded",IF($H23="Behind the Meter","excluded",IF(NOT(OR($E23="Bundled",$E23="Energy")),"excluded",IF(OR($H23="Retail Power Marketer",$H23="Community Choice Aggregator",$E23="Energy"),"procurement",IF(OR($H23="Municipal",$H23="Cooperative",$H23="Federal",$H23="State",$H23="Political Subdivision"),"cost_service",IF($H23="Investor Owned",IF(AND(COUNTIF(Parameters!$A$4:$A$33,$G23)&gt;0,COUNTIF(Parameters!$B$4:$B$33,$B23)=0),"procurement","cost_service"),"unclassified"))))))</f>
        <v/>
      </c>
    </row>
    <row r="24">
      <c r="A24" t="n">
        <v>2024</v>
      </c>
      <c r="B24" t="n">
        <v>57313</v>
      </c>
      <c r="C24" t="inlineStr">
        <is>
          <t>Tesla Inc.</t>
        </is>
      </c>
      <c r="D24" t="inlineStr">
        <is>
          <t>A</t>
        </is>
      </c>
      <c r="E24" t="inlineStr">
        <is>
          <t>Bundled</t>
        </is>
      </c>
      <c r="F24" t="inlineStr">
        <is>
          <t>O</t>
        </is>
      </c>
      <c r="G24" t="inlineStr">
        <is>
          <t>AZ</t>
        </is>
      </c>
      <c r="H24" t="inlineStr">
        <is>
          <t>Behind the Meter</t>
        </is>
      </c>
      <c r="I24" t="inlineStr">
        <is>
          <t>AZPS</t>
        </is>
      </c>
      <c r="J24" t="n">
        <v>33977.5</v>
      </c>
      <c r="K24" t="n">
        <v>266481</v>
      </c>
      <c r="L24" t="n">
        <v>24451</v>
      </c>
      <c r="M24" t="n">
        <v>2280</v>
      </c>
      <c r="N24" t="n">
        <v>35101</v>
      </c>
      <c r="O24" t="n">
        <v>359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36257.5</v>
      </c>
      <c r="W24" t="n">
        <v>301582</v>
      </c>
      <c r="X24" t="n">
        <v>24810</v>
      </c>
      <c r="Y24">
        <f>IF(ISNUMBER($W24),$W24,0)</f>
        <v/>
      </c>
      <c r="Z24">
        <f>IF(ISNUMBER(SEARCH("Adjustment",$C24)),"excluded",IF($H24="Behind the Meter","excluded",IF(NOT(OR($E24="Bundled",$E24="Energy")),"excluded",IF(OR($H24="Retail Power Marketer",$H24="Community Choice Aggregator",$E24="Energy"),"procurement",IF(OR($H24="Municipal",$H24="Cooperative",$H24="Federal",$H24="State",$H24="Political Subdivision"),"cost_service",IF($H24="Investor Owned",IF(AND(COUNTIF(Parameters!$A$4:$A$33,$G24)&gt;0,COUNTIF(Parameters!$B$4:$B$33,$B24)=0),"procurement","cost_service"),"unclassified"))))))</f>
        <v/>
      </c>
    </row>
    <row r="25">
      <c r="A25" t="n">
        <v>2024</v>
      </c>
      <c r="B25" t="n">
        <v>57313</v>
      </c>
      <c r="C25" t="inlineStr">
        <is>
          <t>Tesla Inc.</t>
        </is>
      </c>
      <c r="D25" t="inlineStr">
        <is>
          <t>A</t>
        </is>
      </c>
      <c r="E25" t="inlineStr">
        <is>
          <t>Bundled</t>
        </is>
      </c>
      <c r="F25" t="inlineStr">
        <is>
          <t>O</t>
        </is>
      </c>
      <c r="G25" t="inlineStr">
        <is>
          <t>AZ</t>
        </is>
      </c>
      <c r="H25" t="inlineStr">
        <is>
          <t>Behind the Meter</t>
        </is>
      </c>
      <c r="I25" t="inlineStr">
        <is>
          <t>SRP</t>
        </is>
      </c>
      <c r="J25" t="n">
        <v>8385.200000000001</v>
      </c>
      <c r="K25" t="n">
        <v>79689</v>
      </c>
      <c r="L25" t="n">
        <v>6754</v>
      </c>
      <c r="M25" t="n">
        <v>1609.8</v>
      </c>
      <c r="N25" t="n">
        <v>24752</v>
      </c>
      <c r="O25" t="n">
        <v>56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9995</v>
      </c>
      <c r="W25" t="n">
        <v>104441</v>
      </c>
      <c r="X25" t="n">
        <v>6810</v>
      </c>
      <c r="Y25">
        <f>IF(ISNUMBER($W25),$W25,0)</f>
        <v/>
      </c>
      <c r="Z25">
        <f>IF(ISNUMBER(SEARCH("Adjustment",$C25)),"excluded",IF($H25="Behind the Meter","excluded",IF(NOT(OR($E25="Bundled",$E25="Energy")),"excluded",IF(OR($H25="Retail Power Marketer",$H25="Community Choice Aggregator",$E25="Energy"),"procurement",IF(OR($H25="Municipal",$H25="Cooperative",$H25="Federal",$H25="State",$H25="Political Subdivision"),"cost_service",IF($H25="Investor Owned",IF(AND(COUNTIF(Parameters!$A$4:$A$33,$G25)&gt;0,COUNTIF(Parameters!$B$4:$B$33,$B25)=0),"procurement","cost_service"),"unclassified"))))))</f>
        <v/>
      </c>
    </row>
    <row r="26">
      <c r="A26" t="n">
        <v>2024</v>
      </c>
      <c r="B26" t="n">
        <v>57313</v>
      </c>
      <c r="C26" t="inlineStr">
        <is>
          <t>Tesla Inc.</t>
        </is>
      </c>
      <c r="D26" t="inlineStr">
        <is>
          <t>A</t>
        </is>
      </c>
      <c r="E26" t="inlineStr">
        <is>
          <t>Bundled</t>
        </is>
      </c>
      <c r="F26" t="inlineStr">
        <is>
          <t>O</t>
        </is>
      </c>
      <c r="G26" t="inlineStr">
        <is>
          <t>AZ</t>
        </is>
      </c>
      <c r="H26" t="inlineStr">
        <is>
          <t>Behind the Meter</t>
        </is>
      </c>
      <c r="I26" t="inlineStr">
        <is>
          <t>TEPC</t>
        </is>
      </c>
      <c r="J26" t="n">
        <v>11596.8</v>
      </c>
      <c r="K26" t="n">
        <v>97113</v>
      </c>
      <c r="L26" t="n">
        <v>8858</v>
      </c>
      <c r="M26" t="n">
        <v>1552.8</v>
      </c>
      <c r="N26" t="n">
        <v>11610</v>
      </c>
      <c r="O26" t="n">
        <v>416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13149.6</v>
      </c>
      <c r="W26" t="n">
        <v>108723</v>
      </c>
      <c r="X26" t="n">
        <v>9274</v>
      </c>
      <c r="Y26">
        <f>IF(ISNUMBER($W26),$W26,0)</f>
        <v/>
      </c>
      <c r="Z26">
        <f>IF(ISNUMBER(SEARCH("Adjustment",$C26)),"excluded",IF($H26="Behind the Meter","excluded",IF(NOT(OR($E26="Bundled",$E26="Energy")),"excluded",IF(OR($H26="Retail Power Marketer",$H26="Community Choice Aggregator",$E26="Energy"),"procurement",IF(OR($H26="Municipal",$H26="Cooperative",$H26="Federal",$H26="State",$H26="Political Subdivision"),"cost_service",IF($H26="Investor Owned",IF(AND(COUNTIF(Parameters!$A$4:$A$33,$G26)&gt;0,COUNTIF(Parameters!$B$4:$B$33,$B26)=0),"procurement","cost_service"),"unclassified"))))))</f>
        <v/>
      </c>
    </row>
    <row r="27">
      <c r="A27" t="n">
        <v>2024</v>
      </c>
      <c r="B27" t="n">
        <v>57313</v>
      </c>
      <c r="C27" t="inlineStr">
        <is>
          <t>Tesla Inc.</t>
        </is>
      </c>
      <c r="D27" t="inlineStr">
        <is>
          <t>A</t>
        </is>
      </c>
      <c r="E27" t="inlineStr">
        <is>
          <t>Bundled</t>
        </is>
      </c>
      <c r="F27" t="inlineStr">
        <is>
          <t>O</t>
        </is>
      </c>
      <c r="G27" t="inlineStr">
        <is>
          <t>AZ</t>
        </is>
      </c>
      <c r="H27" t="inlineStr">
        <is>
          <t>Behind the Meter</t>
        </is>
      </c>
      <c r="I27" t="inlineStr">
        <is>
          <t>WALC</t>
        </is>
      </c>
      <c r="J27" t="n">
        <v>201.7</v>
      </c>
      <c r="K27" t="n">
        <v>1782</v>
      </c>
      <c r="L27" t="n">
        <v>166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201.7</v>
      </c>
      <c r="W27" t="n">
        <v>1782</v>
      </c>
      <c r="X27" t="n">
        <v>166</v>
      </c>
      <c r="Y27">
        <f>IF(ISNUMBER($W27),$W27,0)</f>
        <v/>
      </c>
      <c r="Z27">
        <f>IF(ISNUMBER(SEARCH("Adjustment",$C27)),"excluded",IF($H27="Behind the Meter","excluded",IF(NOT(OR($E27="Bundled",$E27="Energy")),"excluded",IF(OR($H27="Retail Power Marketer",$H27="Community Choice Aggregator",$E27="Energy"),"procurement",IF(OR($H27="Municipal",$H27="Cooperative",$H27="Federal",$H27="State",$H27="Political Subdivision"),"cost_service",IF($H27="Investor Owned",IF(AND(COUNTIF(Parameters!$A$4:$A$33,$G27)&gt;0,COUNTIF(Parameters!$B$4:$B$33,$B27)=0),"procurement","cost_service"),"unclassified"))))))</f>
        <v/>
      </c>
    </row>
    <row r="28">
      <c r="A28" t="n">
        <v>2024</v>
      </c>
      <c r="B28" t="n">
        <v>59086</v>
      </c>
      <c r="C28" t="inlineStr">
        <is>
          <t>Constellation Solar Holding, LLC</t>
        </is>
      </c>
      <c r="D28" t="inlineStr">
        <is>
          <t>A</t>
        </is>
      </c>
      <c r="E28" t="inlineStr">
        <is>
          <t>Bundled</t>
        </is>
      </c>
      <c r="F28" t="inlineStr">
        <is>
          <t>O</t>
        </is>
      </c>
      <c r="G28" t="inlineStr">
        <is>
          <t>AZ</t>
        </is>
      </c>
      <c r="H28" t="inlineStr">
        <is>
          <t>Behind the Meter</t>
        </is>
      </c>
      <c r="I28" t="inlineStr">
        <is>
          <t>AZPS</t>
        </is>
      </c>
      <c r="J28" t="n">
        <v>0</v>
      </c>
      <c r="K28" t="n">
        <v>0</v>
      </c>
      <c r="L28" t="n">
        <v>0</v>
      </c>
      <c r="M28" t="n">
        <v>5742</v>
      </c>
      <c r="N28" t="n">
        <v>54906</v>
      </c>
      <c r="O28" t="n">
        <v>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5742</v>
      </c>
      <c r="W28" t="n">
        <v>54906</v>
      </c>
      <c r="X28" t="n">
        <v>7</v>
      </c>
      <c r="Y28">
        <f>IF(ISNUMBER($W28),$W28,0)</f>
        <v/>
      </c>
      <c r="Z28">
        <f>IF(ISNUMBER(SEARCH("Adjustment",$C28)),"excluded",IF($H28="Behind the Meter","excluded",IF(NOT(OR($E28="Bundled",$E28="Energy")),"excluded",IF(OR($H28="Retail Power Marketer",$H28="Community Choice Aggregator",$E28="Energy"),"procurement",IF(OR($H28="Municipal",$H28="Cooperative",$H28="Federal",$H28="State",$H28="Political Subdivision"),"cost_service",IF($H28="Investor Owned",IF(AND(COUNTIF(Parameters!$A$4:$A$33,$G28)&gt;0,COUNTIF(Parameters!$B$4:$B$33,$B28)=0),"procurement","cost_service"),"unclassified"))))))</f>
        <v/>
      </c>
    </row>
    <row r="29">
      <c r="A29" t="n">
        <v>2024</v>
      </c>
      <c r="B29" t="n">
        <v>59086</v>
      </c>
      <c r="C29" t="inlineStr">
        <is>
          <t>Constellation Solar Holding, LLC</t>
        </is>
      </c>
      <c r="D29" t="inlineStr">
        <is>
          <t>A</t>
        </is>
      </c>
      <c r="E29" t="inlineStr">
        <is>
          <t>Bundled</t>
        </is>
      </c>
      <c r="F29" t="inlineStr">
        <is>
          <t>O</t>
        </is>
      </c>
      <c r="G29" t="inlineStr">
        <is>
          <t>AZ</t>
        </is>
      </c>
      <c r="H29" t="inlineStr">
        <is>
          <t>Behind the Meter</t>
        </is>
      </c>
      <c r="I29" t="inlineStr">
        <is>
          <t>TEPC</t>
        </is>
      </c>
      <c r="J29" t="n">
        <v>0</v>
      </c>
      <c r="K29" t="n">
        <v>0</v>
      </c>
      <c r="L29" t="n">
        <v>0</v>
      </c>
      <c r="M29" t="n">
        <v>2232.9</v>
      </c>
      <c r="N29" t="n">
        <v>19505</v>
      </c>
      <c r="O29" t="n">
        <v>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2232.9</v>
      </c>
      <c r="W29" t="n">
        <v>19505</v>
      </c>
      <c r="X29" t="n">
        <v>2</v>
      </c>
      <c r="Y29">
        <f>IF(ISNUMBER($W29),$W29,0)</f>
        <v/>
      </c>
      <c r="Z29">
        <f>IF(ISNUMBER(SEARCH("Adjustment",$C29)),"excluded",IF($H29="Behind the Meter","excluded",IF(NOT(OR($E29="Bundled",$E29="Energy")),"excluded",IF(OR($H29="Retail Power Marketer",$H29="Community Choice Aggregator",$E29="Energy"),"procurement",IF(OR($H29="Municipal",$H29="Cooperative",$H29="Federal",$H29="State",$H29="Political Subdivision"),"cost_service",IF($H29="Investor Owned",IF(AND(COUNTIF(Parameters!$A$4:$A$33,$G29)&gt;0,COUNTIF(Parameters!$B$4:$B$33,$B29)=0),"procurement","cost_service"),"unclassified"))))))</f>
        <v/>
      </c>
    </row>
    <row r="30">
      <c r="A30" t="n">
        <v>2024</v>
      </c>
      <c r="B30" t="n">
        <v>59579</v>
      </c>
      <c r="C30" t="inlineStr">
        <is>
          <t>Sunnova</t>
        </is>
      </c>
      <c r="D30" t="inlineStr">
        <is>
          <t>A</t>
        </is>
      </c>
      <c r="E30" t="inlineStr">
        <is>
          <t>Bundled</t>
        </is>
      </c>
      <c r="F30" t="inlineStr">
        <is>
          <t>O</t>
        </is>
      </c>
      <c r="G30" t="inlineStr">
        <is>
          <t>AZ</t>
        </is>
      </c>
      <c r="H30" t="inlineStr">
        <is>
          <t>Behind the Meter</t>
        </is>
      </c>
      <c r="I30" t="inlineStr">
        <is>
          <t>AZPS</t>
        </is>
      </c>
      <c r="J30" t="n">
        <v>6631.4</v>
      </c>
      <c r="K30" t="n">
        <v>36854</v>
      </c>
      <c r="L30" t="n">
        <v>2935</v>
      </c>
      <c r="M30" t="inlineStr">
        <is>
          <t>.</t>
        </is>
      </c>
      <c r="N30" t="inlineStr">
        <is>
          <t>.</t>
        </is>
      </c>
      <c r="O30" t="inlineStr">
        <is>
          <t>.</t>
        </is>
      </c>
      <c r="P30" t="inlineStr">
        <is>
          <t>.</t>
        </is>
      </c>
      <c r="Q30" t="inlineStr">
        <is>
          <t>.</t>
        </is>
      </c>
      <c r="R30" t="inlineStr">
        <is>
          <t>.</t>
        </is>
      </c>
      <c r="S30" t="inlineStr">
        <is>
          <t>.</t>
        </is>
      </c>
      <c r="T30" t="inlineStr">
        <is>
          <t>.</t>
        </is>
      </c>
      <c r="U30" t="inlineStr">
        <is>
          <t>.</t>
        </is>
      </c>
      <c r="V30" t="n">
        <v>6631.4</v>
      </c>
      <c r="W30" t="n">
        <v>36854</v>
      </c>
      <c r="X30" t="n">
        <v>2935</v>
      </c>
      <c r="Y30">
        <f>IF(ISNUMBER($W30),$W30,0)</f>
        <v/>
      </c>
      <c r="Z30">
        <f>IF(ISNUMBER(SEARCH("Adjustment",$C30)),"excluded",IF($H30="Behind the Meter","excluded",IF(NOT(OR($E30="Bundled",$E30="Energy")),"excluded",IF(OR($H30="Retail Power Marketer",$H30="Community Choice Aggregator",$E30="Energy"),"procurement",IF(OR($H30="Municipal",$H30="Cooperative",$H30="Federal",$H30="State",$H30="Political Subdivision"),"cost_service",IF($H30="Investor Owned",IF(AND(COUNTIF(Parameters!$A$4:$A$33,$G30)&gt;0,COUNTIF(Parameters!$B$4:$B$33,$B30)=0),"procurement","cost_service"),"unclassified"))))))</f>
        <v/>
      </c>
    </row>
    <row r="31">
      <c r="A31" t="n">
        <v>2024</v>
      </c>
      <c r="B31" t="n">
        <v>59579</v>
      </c>
      <c r="C31" t="inlineStr">
        <is>
          <t>Sunnova</t>
        </is>
      </c>
      <c r="D31" t="inlineStr">
        <is>
          <t>A</t>
        </is>
      </c>
      <c r="E31" t="inlineStr">
        <is>
          <t>Bundled</t>
        </is>
      </c>
      <c r="F31" t="inlineStr">
        <is>
          <t>O</t>
        </is>
      </c>
      <c r="G31" t="inlineStr">
        <is>
          <t>AZ</t>
        </is>
      </c>
      <c r="H31" t="inlineStr">
        <is>
          <t>Behind the Meter</t>
        </is>
      </c>
      <c r="I31" t="inlineStr">
        <is>
          <t>PNM</t>
        </is>
      </c>
      <c r="J31" t="n">
        <v>7.1</v>
      </c>
      <c r="K31" t="n">
        <v>39</v>
      </c>
      <c r="L31" t="n">
        <v>3</v>
      </c>
      <c r="M31" t="inlineStr">
        <is>
          <t>.</t>
        </is>
      </c>
      <c r="N31" t="inlineStr">
        <is>
          <t>.</t>
        </is>
      </c>
      <c r="O31" t="inlineStr">
        <is>
          <t>.</t>
        </is>
      </c>
      <c r="P31" t="inlineStr">
        <is>
          <t>.</t>
        </is>
      </c>
      <c r="Q31" t="inlineStr">
        <is>
          <t>.</t>
        </is>
      </c>
      <c r="R31" t="inlineStr">
        <is>
          <t>.</t>
        </is>
      </c>
      <c r="S31" t="inlineStr">
        <is>
          <t>.</t>
        </is>
      </c>
      <c r="T31" t="inlineStr">
        <is>
          <t>.</t>
        </is>
      </c>
      <c r="U31" t="inlineStr">
        <is>
          <t>.</t>
        </is>
      </c>
      <c r="V31" t="n">
        <v>7.1</v>
      </c>
      <c r="W31" t="n">
        <v>39</v>
      </c>
      <c r="X31" t="n">
        <v>3</v>
      </c>
      <c r="Y31">
        <f>IF(ISNUMBER($W31),$W31,0)</f>
        <v/>
      </c>
      <c r="Z31">
        <f>IF(ISNUMBER(SEARCH("Adjustment",$C31)),"excluded",IF($H31="Behind the Meter","excluded",IF(NOT(OR($E31="Bundled",$E31="Energy")),"excluded",IF(OR($H31="Retail Power Marketer",$H31="Community Choice Aggregator",$E31="Energy"),"procurement",IF(OR($H31="Municipal",$H31="Cooperative",$H31="Federal",$H31="State",$H31="Political Subdivision"),"cost_service",IF($H31="Investor Owned",IF(AND(COUNTIF(Parameters!$A$4:$A$33,$G31)&gt;0,COUNTIF(Parameters!$B$4:$B$33,$B31)=0),"procurement","cost_service"),"unclassified"))))))</f>
        <v/>
      </c>
    </row>
    <row r="32">
      <c r="A32" t="n">
        <v>2024</v>
      </c>
      <c r="B32" t="n">
        <v>59579</v>
      </c>
      <c r="C32" t="inlineStr">
        <is>
          <t>Sunnova</t>
        </is>
      </c>
      <c r="D32" t="inlineStr">
        <is>
          <t>A</t>
        </is>
      </c>
      <c r="E32" t="inlineStr">
        <is>
          <t>Bundled</t>
        </is>
      </c>
      <c r="F32" t="inlineStr">
        <is>
          <t>O</t>
        </is>
      </c>
      <c r="G32" t="inlineStr">
        <is>
          <t>AZ</t>
        </is>
      </c>
      <c r="H32" t="inlineStr">
        <is>
          <t>Behind the Meter</t>
        </is>
      </c>
      <c r="I32" t="inlineStr">
        <is>
          <t>SRP</t>
        </is>
      </c>
      <c r="J32" t="n">
        <v>1422.5</v>
      </c>
      <c r="K32" t="n">
        <v>7906</v>
      </c>
      <c r="L32" t="n">
        <v>630</v>
      </c>
      <c r="M32" t="inlineStr">
        <is>
          <t>.</t>
        </is>
      </c>
      <c r="N32" t="inlineStr">
        <is>
          <t>.</t>
        </is>
      </c>
      <c r="O32" t="inlineStr">
        <is>
          <t>.</t>
        </is>
      </c>
      <c r="P32" t="inlineStr">
        <is>
          <t>.</t>
        </is>
      </c>
      <c r="Q32" t="inlineStr">
        <is>
          <t>.</t>
        </is>
      </c>
      <c r="R32" t="inlineStr">
        <is>
          <t>.</t>
        </is>
      </c>
      <c r="S32" t="inlineStr">
        <is>
          <t>.</t>
        </is>
      </c>
      <c r="T32" t="inlineStr">
        <is>
          <t>.</t>
        </is>
      </c>
      <c r="U32" t="inlineStr">
        <is>
          <t>.</t>
        </is>
      </c>
      <c r="V32" t="n">
        <v>1422.5</v>
      </c>
      <c r="W32" t="n">
        <v>7906</v>
      </c>
      <c r="X32" t="n">
        <v>630</v>
      </c>
      <c r="Y32">
        <f>IF(ISNUMBER($W32),$W32,0)</f>
        <v/>
      </c>
      <c r="Z32">
        <f>IF(ISNUMBER(SEARCH("Adjustment",$C32)),"excluded",IF($H32="Behind the Meter","excluded",IF(NOT(OR($E32="Bundled",$E32="Energy")),"excluded",IF(OR($H32="Retail Power Marketer",$H32="Community Choice Aggregator",$E32="Energy"),"procurement",IF(OR($H32="Municipal",$H32="Cooperative",$H32="Federal",$H32="State",$H32="Political Subdivision"),"cost_service",IF($H32="Investor Owned",IF(AND(COUNTIF(Parameters!$A$4:$A$33,$G32)&gt;0,COUNTIF(Parameters!$B$4:$B$33,$B32)=0),"procurement","cost_service"),"unclassified"))))))</f>
        <v/>
      </c>
    </row>
    <row r="33">
      <c r="A33" t="n">
        <v>2024</v>
      </c>
      <c r="B33" t="n">
        <v>59579</v>
      </c>
      <c r="C33" t="inlineStr">
        <is>
          <t>Sunnova</t>
        </is>
      </c>
      <c r="D33" t="inlineStr">
        <is>
          <t>A</t>
        </is>
      </c>
      <c r="E33" t="inlineStr">
        <is>
          <t>Bundled</t>
        </is>
      </c>
      <c r="F33" t="inlineStr">
        <is>
          <t>O</t>
        </is>
      </c>
      <c r="G33" t="inlineStr">
        <is>
          <t>AZ</t>
        </is>
      </c>
      <c r="H33" t="inlineStr">
        <is>
          <t>Behind the Meter</t>
        </is>
      </c>
      <c r="I33" t="inlineStr">
        <is>
          <t>TEPC</t>
        </is>
      </c>
      <c r="J33" t="n">
        <v>3694.7</v>
      </c>
      <c r="K33" t="n">
        <v>20533</v>
      </c>
      <c r="L33" t="n">
        <v>1635</v>
      </c>
      <c r="M33" t="inlineStr">
        <is>
          <t>.</t>
        </is>
      </c>
      <c r="N33" t="inlineStr">
        <is>
          <t>.</t>
        </is>
      </c>
      <c r="O33" t="inlineStr">
        <is>
          <t>.</t>
        </is>
      </c>
      <c r="P33" t="inlineStr">
        <is>
          <t>.</t>
        </is>
      </c>
      <c r="Q33" t="inlineStr">
        <is>
          <t>.</t>
        </is>
      </c>
      <c r="R33" t="inlineStr">
        <is>
          <t>.</t>
        </is>
      </c>
      <c r="S33" t="inlineStr">
        <is>
          <t>.</t>
        </is>
      </c>
      <c r="T33" t="inlineStr">
        <is>
          <t>.</t>
        </is>
      </c>
      <c r="U33" t="inlineStr">
        <is>
          <t>.</t>
        </is>
      </c>
      <c r="V33" t="n">
        <v>3694.7</v>
      </c>
      <c r="W33" t="n">
        <v>20533</v>
      </c>
      <c r="X33" t="n">
        <v>1635</v>
      </c>
      <c r="Y33">
        <f>IF(ISNUMBER($W33),$W33,0)</f>
        <v/>
      </c>
      <c r="Z33">
        <f>IF(ISNUMBER(SEARCH("Adjustment",$C33)),"excluded",IF($H33="Behind the Meter","excluded",IF(NOT(OR($E33="Bundled",$E33="Energy")),"excluded",IF(OR($H33="Retail Power Marketer",$H33="Community Choice Aggregator",$E33="Energy"),"procurement",IF(OR($H33="Municipal",$H33="Cooperative",$H33="Federal",$H33="State",$H33="Political Subdivision"),"cost_service",IF($H33="Investor Owned",IF(AND(COUNTIF(Parameters!$A$4:$A$33,$G33)&gt;0,COUNTIF(Parameters!$B$4:$B$33,$B33)=0),"procurement","cost_service"),"unclassified"))))))</f>
        <v/>
      </c>
    </row>
    <row r="34">
      <c r="A34" t="n">
        <v>2024</v>
      </c>
      <c r="B34" t="n">
        <v>59579</v>
      </c>
      <c r="C34" t="inlineStr">
        <is>
          <t>Sunnova</t>
        </is>
      </c>
      <c r="D34" t="inlineStr">
        <is>
          <t>A</t>
        </is>
      </c>
      <c r="E34" t="inlineStr">
        <is>
          <t>Bundled</t>
        </is>
      </c>
      <c r="F34" t="inlineStr">
        <is>
          <t>O</t>
        </is>
      </c>
      <c r="G34" t="inlineStr">
        <is>
          <t>AZ</t>
        </is>
      </c>
      <c r="H34" t="inlineStr">
        <is>
          <t>Behind the Meter</t>
        </is>
      </c>
      <c r="I34" t="inlineStr">
        <is>
          <t>WALC</t>
        </is>
      </c>
      <c r="J34" t="n">
        <v>396.6</v>
      </c>
      <c r="K34" t="n">
        <v>2204</v>
      </c>
      <c r="L34" t="n">
        <v>176</v>
      </c>
      <c r="M34" t="inlineStr">
        <is>
          <t>.</t>
        </is>
      </c>
      <c r="N34" t="inlineStr">
        <is>
          <t>.</t>
        </is>
      </c>
      <c r="O34" t="inlineStr">
        <is>
          <t>.</t>
        </is>
      </c>
      <c r="P34" t="inlineStr">
        <is>
          <t>.</t>
        </is>
      </c>
      <c r="Q34" t="inlineStr">
        <is>
          <t>.</t>
        </is>
      </c>
      <c r="R34" t="inlineStr">
        <is>
          <t>.</t>
        </is>
      </c>
      <c r="S34" t="inlineStr">
        <is>
          <t>.</t>
        </is>
      </c>
      <c r="T34" t="inlineStr">
        <is>
          <t>.</t>
        </is>
      </c>
      <c r="U34" t="inlineStr">
        <is>
          <t>.</t>
        </is>
      </c>
      <c r="V34" t="n">
        <v>396.6</v>
      </c>
      <c r="W34" t="n">
        <v>2204</v>
      </c>
      <c r="X34" t="n">
        <v>176</v>
      </c>
      <c r="Y34">
        <f>IF(ISNUMBER($W34),$W34,0)</f>
        <v/>
      </c>
      <c r="Z34">
        <f>IF(ISNUMBER(SEARCH("Adjustment",$C34)),"excluded",IF($H34="Behind the Meter","excluded",IF(NOT(OR($E34="Bundled",$E34="Energy")),"excluded",IF(OR($H34="Retail Power Marketer",$H34="Community Choice Aggregator",$E34="Energy"),"procurement",IF(OR($H34="Municipal",$H34="Cooperative",$H34="Federal",$H34="State",$H34="Political Subdivision"),"cost_service",IF($H34="Investor Owned",IF(AND(COUNTIF(Parameters!$A$4:$A$33,$G34)&gt;0,COUNTIF(Parameters!$B$4:$B$33,$B34)=0),"procurement","cost_service"),"unclassified"))))))</f>
        <v/>
      </c>
    </row>
    <row r="35">
      <c r="A35" t="n">
        <v>2024</v>
      </c>
      <c r="B35" t="n">
        <v>59580</v>
      </c>
      <c r="C35" t="inlineStr">
        <is>
          <t>SunPower Capital, LLC</t>
        </is>
      </c>
      <c r="D35" t="inlineStr">
        <is>
          <t>A</t>
        </is>
      </c>
      <c r="E35" t="inlineStr">
        <is>
          <t>Bundled</t>
        </is>
      </c>
      <c r="F35" t="inlineStr">
        <is>
          <t>O</t>
        </is>
      </c>
      <c r="G35" t="inlineStr">
        <is>
          <t>AZ</t>
        </is>
      </c>
      <c r="H35" t="inlineStr">
        <is>
          <t>Behind the Meter</t>
        </is>
      </c>
      <c r="I35" t="inlineStr">
        <is>
          <t>AZPS</t>
        </is>
      </c>
      <c r="J35" t="n">
        <v>13037.1</v>
      </c>
      <c r="K35" t="n">
        <v>81697</v>
      </c>
      <c r="L35" t="n">
        <v>8153</v>
      </c>
      <c r="M35" t="inlineStr">
        <is>
          <t>.</t>
        </is>
      </c>
      <c r="N35" t="inlineStr">
        <is>
          <t>.</t>
        </is>
      </c>
      <c r="O35" t="inlineStr">
        <is>
          <t>.</t>
        </is>
      </c>
      <c r="P35" t="inlineStr">
        <is>
          <t>.</t>
        </is>
      </c>
      <c r="Q35" t="inlineStr">
        <is>
          <t>.</t>
        </is>
      </c>
      <c r="R35" t="inlineStr">
        <is>
          <t>.</t>
        </is>
      </c>
      <c r="S35" t="inlineStr">
        <is>
          <t>.</t>
        </is>
      </c>
      <c r="T35" t="inlineStr">
        <is>
          <t>.</t>
        </is>
      </c>
      <c r="U35" t="inlineStr">
        <is>
          <t>.</t>
        </is>
      </c>
      <c r="V35" t="n">
        <v>13037.1</v>
      </c>
      <c r="W35" t="n">
        <v>81697</v>
      </c>
      <c r="X35" t="n">
        <v>8153</v>
      </c>
      <c r="Y35">
        <f>IF(ISNUMBER($W35),$W35,0)</f>
        <v/>
      </c>
      <c r="Z35">
        <f>IF(ISNUMBER(SEARCH("Adjustment",$C35)),"excluded",IF($H35="Behind the Meter","excluded",IF(NOT(OR($E35="Bundled",$E35="Energy")),"excluded",IF(OR($H35="Retail Power Marketer",$H35="Community Choice Aggregator",$E35="Energy"),"procurement",IF(OR($H35="Municipal",$H35="Cooperative",$H35="Federal",$H35="State",$H35="Political Subdivision"),"cost_service",IF($H35="Investor Owned",IF(AND(COUNTIF(Parameters!$A$4:$A$33,$G35)&gt;0,COUNTIF(Parameters!$B$4:$B$33,$B35)=0),"procurement","cost_service"),"unclassified"))))))</f>
        <v/>
      </c>
    </row>
    <row r="36">
      <c r="A36" t="n">
        <v>2024</v>
      </c>
      <c r="B36" t="n">
        <v>59580</v>
      </c>
      <c r="C36" t="inlineStr">
        <is>
          <t>SunPower Capital, LLC</t>
        </is>
      </c>
      <c r="D36" t="inlineStr">
        <is>
          <t>A</t>
        </is>
      </c>
      <c r="E36" t="inlineStr">
        <is>
          <t>Bundled</t>
        </is>
      </c>
      <c r="F36" t="inlineStr">
        <is>
          <t>O</t>
        </is>
      </c>
      <c r="G36" t="inlineStr">
        <is>
          <t>AZ</t>
        </is>
      </c>
      <c r="H36" t="inlineStr">
        <is>
          <t>Behind the Meter</t>
        </is>
      </c>
      <c r="I36" t="inlineStr">
        <is>
          <t>CISO</t>
        </is>
      </c>
      <c r="J36" t="n">
        <v>338.9</v>
      </c>
      <c r="K36" t="n">
        <v>2123</v>
      </c>
      <c r="L36" t="n">
        <v>212</v>
      </c>
      <c r="M36" t="inlineStr">
        <is>
          <t>.</t>
        </is>
      </c>
      <c r="N36" t="inlineStr">
        <is>
          <t>.</t>
        </is>
      </c>
      <c r="O36" t="inlineStr">
        <is>
          <t>.</t>
        </is>
      </c>
      <c r="P36" t="inlineStr">
        <is>
          <t>.</t>
        </is>
      </c>
      <c r="Q36" t="inlineStr">
        <is>
          <t>.</t>
        </is>
      </c>
      <c r="R36" t="inlineStr">
        <is>
          <t>.</t>
        </is>
      </c>
      <c r="S36" t="inlineStr">
        <is>
          <t>.</t>
        </is>
      </c>
      <c r="T36" t="inlineStr">
        <is>
          <t>.</t>
        </is>
      </c>
      <c r="U36" t="inlineStr">
        <is>
          <t>.</t>
        </is>
      </c>
      <c r="V36" t="n">
        <v>338.9</v>
      </c>
      <c r="W36" t="n">
        <v>2123</v>
      </c>
      <c r="X36" t="n">
        <v>212</v>
      </c>
      <c r="Y36">
        <f>IF(ISNUMBER($W36),$W36,0)</f>
        <v/>
      </c>
      <c r="Z36">
        <f>IF(ISNUMBER(SEARCH("Adjustment",$C36)),"excluded",IF($H36="Behind the Meter","excluded",IF(NOT(OR($E36="Bundled",$E36="Energy")),"excluded",IF(OR($H36="Retail Power Marketer",$H36="Community Choice Aggregator",$E36="Energy"),"procurement",IF(OR($H36="Municipal",$H36="Cooperative",$H36="Federal",$H36="State",$H36="Political Subdivision"),"cost_service",IF($H36="Investor Owned",IF(AND(COUNTIF(Parameters!$A$4:$A$33,$G36)&gt;0,COUNTIF(Parameters!$B$4:$B$33,$B36)=0),"procurement","cost_service"),"unclassified"))))))</f>
        <v/>
      </c>
    </row>
    <row r="37">
      <c r="A37" t="n">
        <v>2024</v>
      </c>
      <c r="B37" t="n">
        <v>59580</v>
      </c>
      <c r="C37" t="inlineStr">
        <is>
          <t>SunPower Capital, LLC</t>
        </is>
      </c>
      <c r="D37" t="inlineStr">
        <is>
          <t>A</t>
        </is>
      </c>
      <c r="E37" t="inlineStr">
        <is>
          <t>Bundled</t>
        </is>
      </c>
      <c r="F37" t="inlineStr">
        <is>
          <t>O</t>
        </is>
      </c>
      <c r="G37" t="inlineStr">
        <is>
          <t>AZ</t>
        </is>
      </c>
      <c r="H37" t="inlineStr">
        <is>
          <t>Behind the Meter</t>
        </is>
      </c>
      <c r="I37" t="inlineStr">
        <is>
          <t>PSCO</t>
        </is>
      </c>
      <c r="J37" t="n">
        <v>10.1</v>
      </c>
      <c r="K37" t="n">
        <v>64</v>
      </c>
      <c r="L37" t="n">
        <v>6</v>
      </c>
      <c r="M37" t="inlineStr">
        <is>
          <t>.</t>
        </is>
      </c>
      <c r="N37" t="inlineStr">
        <is>
          <t>.</t>
        </is>
      </c>
      <c r="O37" t="inlineStr">
        <is>
          <t>.</t>
        </is>
      </c>
      <c r="P37" t="inlineStr">
        <is>
          <t>.</t>
        </is>
      </c>
      <c r="Q37" t="inlineStr">
        <is>
          <t>.</t>
        </is>
      </c>
      <c r="R37" t="inlineStr">
        <is>
          <t>.</t>
        </is>
      </c>
      <c r="S37" t="inlineStr">
        <is>
          <t>.</t>
        </is>
      </c>
      <c r="T37" t="inlineStr">
        <is>
          <t>.</t>
        </is>
      </c>
      <c r="U37" t="inlineStr">
        <is>
          <t>.</t>
        </is>
      </c>
      <c r="V37" t="n">
        <v>10.1</v>
      </c>
      <c r="W37" t="n">
        <v>64</v>
      </c>
      <c r="X37" t="n">
        <v>6</v>
      </c>
      <c r="Y37">
        <f>IF(ISNUMBER($W37),$W37,0)</f>
        <v/>
      </c>
      <c r="Z37">
        <f>IF(ISNUMBER(SEARCH("Adjustment",$C37)),"excluded",IF($H37="Behind the Meter","excluded",IF(NOT(OR($E37="Bundled",$E37="Energy")),"excluded",IF(OR($H37="Retail Power Marketer",$H37="Community Choice Aggregator",$E37="Energy"),"procurement",IF(OR($H37="Municipal",$H37="Cooperative",$H37="Federal",$H37="State",$H37="Political Subdivision"),"cost_service",IF($H37="Investor Owned",IF(AND(COUNTIF(Parameters!$A$4:$A$33,$G37)&gt;0,COUNTIF(Parameters!$B$4:$B$33,$B37)=0),"procurement","cost_service"),"unclassified"))))))</f>
        <v/>
      </c>
    </row>
    <row r="38">
      <c r="A38" t="n">
        <v>2024</v>
      </c>
      <c r="B38" t="n">
        <v>59580</v>
      </c>
      <c r="C38" t="inlineStr">
        <is>
          <t>SunPower Capital, LLC</t>
        </is>
      </c>
      <c r="D38" t="inlineStr">
        <is>
          <t>A</t>
        </is>
      </c>
      <c r="E38" t="inlineStr">
        <is>
          <t>Bundled</t>
        </is>
      </c>
      <c r="F38" t="inlineStr">
        <is>
          <t>O</t>
        </is>
      </c>
      <c r="G38" t="inlineStr">
        <is>
          <t>AZ</t>
        </is>
      </c>
      <c r="H38" t="inlineStr">
        <is>
          <t>Behind the Meter</t>
        </is>
      </c>
      <c r="I38" t="inlineStr">
        <is>
          <t>SRP</t>
        </is>
      </c>
      <c r="J38" t="n">
        <v>742.6</v>
      </c>
      <c r="K38" t="n">
        <v>4653</v>
      </c>
      <c r="L38" t="n">
        <v>464</v>
      </c>
      <c r="M38" t="inlineStr">
        <is>
          <t>.</t>
        </is>
      </c>
      <c r="N38" t="inlineStr">
        <is>
          <t>.</t>
        </is>
      </c>
      <c r="O38" t="inlineStr">
        <is>
          <t>.</t>
        </is>
      </c>
      <c r="P38" t="inlineStr">
        <is>
          <t>.</t>
        </is>
      </c>
      <c r="Q38" t="inlineStr">
        <is>
          <t>.</t>
        </is>
      </c>
      <c r="R38" t="inlineStr">
        <is>
          <t>.</t>
        </is>
      </c>
      <c r="S38" t="inlineStr">
        <is>
          <t>.</t>
        </is>
      </c>
      <c r="T38" t="inlineStr">
        <is>
          <t>.</t>
        </is>
      </c>
      <c r="U38" t="inlineStr">
        <is>
          <t>.</t>
        </is>
      </c>
      <c r="V38" t="n">
        <v>742.6</v>
      </c>
      <c r="W38" t="n">
        <v>4653</v>
      </c>
      <c r="X38" t="n">
        <v>464</v>
      </c>
      <c r="Y38">
        <f>IF(ISNUMBER($W38),$W38,0)</f>
        <v/>
      </c>
      <c r="Z38">
        <f>IF(ISNUMBER(SEARCH("Adjustment",$C38)),"excluded",IF($H38="Behind the Meter","excluded",IF(NOT(OR($E38="Bundled",$E38="Energy")),"excluded",IF(OR($H38="Retail Power Marketer",$H38="Community Choice Aggregator",$E38="Energy"),"procurement",IF(OR($H38="Municipal",$H38="Cooperative",$H38="Federal",$H38="State",$H38="Political Subdivision"),"cost_service",IF($H38="Investor Owned",IF(AND(COUNTIF(Parameters!$A$4:$A$33,$G38)&gt;0,COUNTIF(Parameters!$B$4:$B$33,$B38)=0),"procurement","cost_service"),"unclassified"))))))</f>
        <v/>
      </c>
    </row>
    <row r="39">
      <c r="A39" t="n">
        <v>2024</v>
      </c>
      <c r="B39" t="n">
        <v>59580</v>
      </c>
      <c r="C39" t="inlineStr">
        <is>
          <t>SunPower Capital, LLC</t>
        </is>
      </c>
      <c r="D39" t="inlineStr">
        <is>
          <t>A</t>
        </is>
      </c>
      <c r="E39" t="inlineStr">
        <is>
          <t>Bundled</t>
        </is>
      </c>
      <c r="F39" t="inlineStr">
        <is>
          <t>O</t>
        </is>
      </c>
      <c r="G39" t="inlineStr">
        <is>
          <t>AZ</t>
        </is>
      </c>
      <c r="H39" t="inlineStr">
        <is>
          <t>Behind the Meter</t>
        </is>
      </c>
      <c r="I39" t="inlineStr">
        <is>
          <t>TEPC</t>
        </is>
      </c>
      <c r="J39" t="n">
        <v>3837.8</v>
      </c>
      <c r="K39" t="n">
        <v>24050</v>
      </c>
      <c r="L39" t="n">
        <v>2400</v>
      </c>
      <c r="M39" t="inlineStr">
        <is>
          <t>.</t>
        </is>
      </c>
      <c r="N39" t="inlineStr">
        <is>
          <t>.</t>
        </is>
      </c>
      <c r="O39" t="inlineStr">
        <is>
          <t>.</t>
        </is>
      </c>
      <c r="P39" t="inlineStr">
        <is>
          <t>.</t>
        </is>
      </c>
      <c r="Q39" t="inlineStr">
        <is>
          <t>.</t>
        </is>
      </c>
      <c r="R39" t="inlineStr">
        <is>
          <t>.</t>
        </is>
      </c>
      <c r="S39" t="inlineStr">
        <is>
          <t>.</t>
        </is>
      </c>
      <c r="T39" t="inlineStr">
        <is>
          <t>.</t>
        </is>
      </c>
      <c r="U39" t="inlineStr">
        <is>
          <t>.</t>
        </is>
      </c>
      <c r="V39" t="n">
        <v>3837.8</v>
      </c>
      <c r="W39" t="n">
        <v>24050</v>
      </c>
      <c r="X39" t="n">
        <v>2400</v>
      </c>
      <c r="Y39">
        <f>IF(ISNUMBER($W39),$W39,0)</f>
        <v/>
      </c>
      <c r="Z39">
        <f>IF(ISNUMBER(SEARCH("Adjustment",$C39)),"excluded",IF($H39="Behind the Meter","excluded",IF(NOT(OR($E39="Bundled",$E39="Energy")),"excluded",IF(OR($H39="Retail Power Marketer",$H39="Community Choice Aggregator",$E39="Energy"),"procurement",IF(OR($H39="Municipal",$H39="Cooperative",$H39="Federal",$H39="State",$H39="Political Subdivision"),"cost_service",IF($H39="Investor Owned",IF(AND(COUNTIF(Parameters!$A$4:$A$33,$G39)&gt;0,COUNTIF(Parameters!$B$4:$B$33,$B39)=0),"procurement","cost_service"),"unclassified"))))))</f>
        <v/>
      </c>
    </row>
    <row r="40">
      <c r="A40" t="n">
        <v>2024</v>
      </c>
      <c r="B40" t="n">
        <v>59580</v>
      </c>
      <c r="C40" t="inlineStr">
        <is>
          <t>SunPower Capital, LLC</t>
        </is>
      </c>
      <c r="D40" t="inlineStr">
        <is>
          <t>A</t>
        </is>
      </c>
      <c r="E40" t="inlineStr">
        <is>
          <t>Bundled</t>
        </is>
      </c>
      <c r="F40" t="inlineStr">
        <is>
          <t>O</t>
        </is>
      </c>
      <c r="G40" t="inlineStr">
        <is>
          <t>AZ</t>
        </is>
      </c>
      <c r="H40" t="inlineStr">
        <is>
          <t>Behind the Meter</t>
        </is>
      </c>
      <c r="I40" t="inlineStr">
        <is>
          <t>WALC</t>
        </is>
      </c>
      <c r="J40" t="n">
        <v>358.2</v>
      </c>
      <c r="K40" t="n">
        <v>2245</v>
      </c>
      <c r="L40" t="n">
        <v>224</v>
      </c>
      <c r="M40" t="inlineStr">
        <is>
          <t>.</t>
        </is>
      </c>
      <c r="N40" t="inlineStr">
        <is>
          <t>.</t>
        </is>
      </c>
      <c r="O40" t="inlineStr">
        <is>
          <t>.</t>
        </is>
      </c>
      <c r="P40" t="inlineStr">
        <is>
          <t>.</t>
        </is>
      </c>
      <c r="Q40" t="inlineStr">
        <is>
          <t>.</t>
        </is>
      </c>
      <c r="R40" t="inlineStr">
        <is>
          <t>.</t>
        </is>
      </c>
      <c r="S40" t="inlineStr">
        <is>
          <t>.</t>
        </is>
      </c>
      <c r="T40" t="inlineStr">
        <is>
          <t>.</t>
        </is>
      </c>
      <c r="U40" t="inlineStr">
        <is>
          <t>.</t>
        </is>
      </c>
      <c r="V40" t="n">
        <v>358.2</v>
      </c>
      <c r="W40" t="n">
        <v>2245</v>
      </c>
      <c r="X40" t="n">
        <v>224</v>
      </c>
      <c r="Y40">
        <f>IF(ISNUMBER($W40),$W40,0)</f>
        <v/>
      </c>
      <c r="Z40">
        <f>IF(ISNUMBER(SEARCH("Adjustment",$C40)),"excluded",IF($H40="Behind the Meter","excluded",IF(NOT(OR($E40="Bundled",$E40="Energy")),"excluded",IF(OR($H40="Retail Power Marketer",$H40="Community Choice Aggregator",$E40="Energy"),"procurement",IF(OR($H40="Municipal",$H40="Cooperative",$H40="Federal",$H40="State",$H40="Political Subdivision"),"cost_service",IF($H40="Investor Owned",IF(AND(COUNTIF(Parameters!$A$4:$A$33,$G40)&gt;0,COUNTIF(Parameters!$B$4:$B$33,$B40)=0),"procurement","cost_service"),"unclassified"))))))</f>
        <v/>
      </c>
    </row>
    <row r="41">
      <c r="A41" t="n">
        <v>2024</v>
      </c>
      <c r="B41" t="n">
        <v>59622</v>
      </c>
      <c r="C41" t="inlineStr">
        <is>
          <t>Ahana Renewables, LLC</t>
        </is>
      </c>
      <c r="D41" t="inlineStr">
        <is>
          <t>A</t>
        </is>
      </c>
      <c r="E41" t="inlineStr">
        <is>
          <t>Bundled</t>
        </is>
      </c>
      <c r="F41" t="inlineStr">
        <is>
          <t>O</t>
        </is>
      </c>
      <c r="G41" t="inlineStr">
        <is>
          <t>AZ</t>
        </is>
      </c>
      <c r="H41" t="inlineStr">
        <is>
          <t>Behind the Meter</t>
        </is>
      </c>
      <c r="I41" t="inlineStr">
        <is>
          <t>AZPS</t>
        </is>
      </c>
      <c r="J41" t="n">
        <v>0</v>
      </c>
      <c r="K41" t="n">
        <v>0</v>
      </c>
      <c r="L41" t="n">
        <v>0</v>
      </c>
      <c r="M41" t="n">
        <v>79.2</v>
      </c>
      <c r="N41" t="n">
        <v>572</v>
      </c>
      <c r="O41" t="n">
        <v>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79.2</v>
      </c>
      <c r="W41" t="n">
        <v>572</v>
      </c>
      <c r="X41" t="n">
        <v>2</v>
      </c>
      <c r="Y41">
        <f>IF(ISNUMBER($W41),$W41,0)</f>
        <v/>
      </c>
      <c r="Z41">
        <f>IF(ISNUMBER(SEARCH("Adjustment",$C41)),"excluded",IF($H41="Behind the Meter","excluded",IF(NOT(OR($E41="Bundled",$E41="Energy")),"excluded",IF(OR($H41="Retail Power Marketer",$H41="Community Choice Aggregator",$E41="Energy"),"procurement",IF(OR($H41="Municipal",$H41="Cooperative",$H41="Federal",$H41="State",$H41="Political Subdivision"),"cost_service",IF($H41="Investor Owned",IF(AND(COUNTIF(Parameters!$A$4:$A$33,$G41)&gt;0,COUNTIF(Parameters!$B$4:$B$33,$B41)=0),"procurement","cost_service"),"unclassified"))))))</f>
        <v/>
      </c>
    </row>
    <row r="42">
      <c r="A42" t="n">
        <v>2024</v>
      </c>
      <c r="B42" t="n">
        <v>59647</v>
      </c>
      <c r="C42" t="inlineStr">
        <is>
          <t>Sunrun Inc.</t>
        </is>
      </c>
      <c r="D42" t="inlineStr">
        <is>
          <t>A</t>
        </is>
      </c>
      <c r="E42" t="inlineStr">
        <is>
          <t>Bundled</t>
        </is>
      </c>
      <c r="F42" t="inlineStr">
        <is>
          <t>O</t>
        </is>
      </c>
      <c r="G42" t="inlineStr">
        <is>
          <t>AZ</t>
        </is>
      </c>
      <c r="H42" t="inlineStr">
        <is>
          <t>Behind the Meter</t>
        </is>
      </c>
      <c r="I42" t="inlineStr">
        <is>
          <t>AZPS</t>
        </is>
      </c>
      <c r="J42" t="n">
        <v>64081.1</v>
      </c>
      <c r="K42" t="n">
        <v>469170</v>
      </c>
      <c r="L42" t="n">
        <v>35281</v>
      </c>
      <c r="M42" t="inlineStr">
        <is>
          <t>.</t>
        </is>
      </c>
      <c r="N42" t="inlineStr">
        <is>
          <t>.</t>
        </is>
      </c>
      <c r="O42" t="inlineStr">
        <is>
          <t>.</t>
        </is>
      </c>
      <c r="P42" t="inlineStr">
        <is>
          <t>.</t>
        </is>
      </c>
      <c r="Q42" t="inlineStr">
        <is>
          <t>.</t>
        </is>
      </c>
      <c r="R42" t="inlineStr">
        <is>
          <t>.</t>
        </is>
      </c>
      <c r="S42" t="inlineStr">
        <is>
          <t>.</t>
        </is>
      </c>
      <c r="T42" t="inlineStr">
        <is>
          <t>.</t>
        </is>
      </c>
      <c r="U42" t="inlineStr">
        <is>
          <t>.</t>
        </is>
      </c>
      <c r="V42" t="n">
        <v>64081.1</v>
      </c>
      <c r="W42" t="n">
        <v>469170</v>
      </c>
      <c r="X42" t="n">
        <v>35281</v>
      </c>
      <c r="Y42">
        <f>IF(ISNUMBER($W42),$W42,0)</f>
        <v/>
      </c>
      <c r="Z42">
        <f>IF(ISNUMBER(SEARCH("Adjustment",$C42)),"excluded",IF($H42="Behind the Meter","excluded",IF(NOT(OR($E42="Bundled",$E42="Energy")),"excluded",IF(OR($H42="Retail Power Marketer",$H42="Community Choice Aggregator",$E42="Energy"),"procurement",IF(OR($H42="Municipal",$H42="Cooperative",$H42="Federal",$H42="State",$H42="Political Subdivision"),"cost_service",IF($H42="Investor Owned",IF(AND(COUNTIF(Parameters!$A$4:$A$33,$G42)&gt;0,COUNTIF(Parameters!$B$4:$B$33,$B42)=0),"procurement","cost_service"),"unclassified"))))))</f>
        <v/>
      </c>
    </row>
    <row r="43">
      <c r="A43" t="n">
        <v>2024</v>
      </c>
      <c r="B43" t="n">
        <v>59647</v>
      </c>
      <c r="C43" t="inlineStr">
        <is>
          <t>Sunrun Inc.</t>
        </is>
      </c>
      <c r="D43" t="inlineStr">
        <is>
          <t>A</t>
        </is>
      </c>
      <c r="E43" t="inlineStr">
        <is>
          <t>Bundled</t>
        </is>
      </c>
      <c r="F43" t="inlineStr">
        <is>
          <t>O</t>
        </is>
      </c>
      <c r="G43" t="inlineStr">
        <is>
          <t>AZ</t>
        </is>
      </c>
      <c r="H43" t="inlineStr">
        <is>
          <t>Behind the Meter</t>
        </is>
      </c>
      <c r="I43" t="inlineStr">
        <is>
          <t>SRP</t>
        </is>
      </c>
      <c r="J43" t="n">
        <v>1745.8</v>
      </c>
      <c r="K43" t="n">
        <v>12694</v>
      </c>
      <c r="L43" t="n">
        <v>981</v>
      </c>
      <c r="M43" t="inlineStr">
        <is>
          <t>.</t>
        </is>
      </c>
      <c r="N43" t="inlineStr">
        <is>
          <t>.</t>
        </is>
      </c>
      <c r="O43" t="inlineStr">
        <is>
          <t>.</t>
        </is>
      </c>
      <c r="P43" t="inlineStr">
        <is>
          <t>.</t>
        </is>
      </c>
      <c r="Q43" t="inlineStr">
        <is>
          <t>.</t>
        </is>
      </c>
      <c r="R43" t="inlineStr">
        <is>
          <t>.</t>
        </is>
      </c>
      <c r="S43" t="inlineStr">
        <is>
          <t>.</t>
        </is>
      </c>
      <c r="T43" t="inlineStr">
        <is>
          <t>.</t>
        </is>
      </c>
      <c r="U43" t="inlineStr">
        <is>
          <t>.</t>
        </is>
      </c>
      <c r="V43" t="n">
        <v>1745.8</v>
      </c>
      <c r="W43" t="n">
        <v>12694</v>
      </c>
      <c r="X43" t="n">
        <v>981</v>
      </c>
      <c r="Y43">
        <f>IF(ISNUMBER($W43),$W43,0)</f>
        <v/>
      </c>
      <c r="Z43">
        <f>IF(ISNUMBER(SEARCH("Adjustment",$C43)),"excluded",IF($H43="Behind the Meter","excluded",IF(NOT(OR($E43="Bundled",$E43="Energy")),"excluded",IF(OR($H43="Retail Power Marketer",$H43="Community Choice Aggregator",$E43="Energy"),"procurement",IF(OR($H43="Municipal",$H43="Cooperative",$H43="Federal",$H43="State",$H43="Political Subdivision"),"cost_service",IF($H43="Investor Owned",IF(AND(COUNTIF(Parameters!$A$4:$A$33,$G43)&gt;0,COUNTIF(Parameters!$B$4:$B$33,$B43)=0),"procurement","cost_service"),"unclassified"))))))</f>
        <v/>
      </c>
    </row>
    <row r="44">
      <c r="A44" t="n">
        <v>2024</v>
      </c>
      <c r="B44" t="n">
        <v>59647</v>
      </c>
      <c r="C44" t="inlineStr">
        <is>
          <t>Sunrun Inc.</t>
        </is>
      </c>
      <c r="D44" t="inlineStr">
        <is>
          <t>A</t>
        </is>
      </c>
      <c r="E44" t="inlineStr">
        <is>
          <t>Bundled</t>
        </is>
      </c>
      <c r="F44" t="inlineStr">
        <is>
          <t>O</t>
        </is>
      </c>
      <c r="G44" t="inlineStr">
        <is>
          <t>AZ</t>
        </is>
      </c>
      <c r="H44" t="inlineStr">
        <is>
          <t>Behind the Meter</t>
        </is>
      </c>
      <c r="I44" t="inlineStr">
        <is>
          <t>TEPC</t>
        </is>
      </c>
      <c r="J44" t="n">
        <v>6421.3</v>
      </c>
      <c r="K44" t="n">
        <v>45002</v>
      </c>
      <c r="L44" t="n">
        <v>3781</v>
      </c>
      <c r="M44" t="inlineStr">
        <is>
          <t>.</t>
        </is>
      </c>
      <c r="N44" t="inlineStr">
        <is>
          <t>.</t>
        </is>
      </c>
      <c r="O44" t="inlineStr">
        <is>
          <t>.</t>
        </is>
      </c>
      <c r="P44" t="inlineStr">
        <is>
          <t>.</t>
        </is>
      </c>
      <c r="Q44" t="inlineStr">
        <is>
          <t>.</t>
        </is>
      </c>
      <c r="R44" t="inlineStr">
        <is>
          <t>.</t>
        </is>
      </c>
      <c r="S44" t="inlineStr">
        <is>
          <t>.</t>
        </is>
      </c>
      <c r="T44" t="inlineStr">
        <is>
          <t>.</t>
        </is>
      </c>
      <c r="U44" t="inlineStr">
        <is>
          <t>.</t>
        </is>
      </c>
      <c r="V44" t="n">
        <v>6421.3</v>
      </c>
      <c r="W44" t="n">
        <v>45002</v>
      </c>
      <c r="X44" t="n">
        <v>3781</v>
      </c>
      <c r="Y44">
        <f>IF(ISNUMBER($W44),$W44,0)</f>
        <v/>
      </c>
      <c r="Z44">
        <f>IF(ISNUMBER(SEARCH("Adjustment",$C44)),"excluded",IF($H44="Behind the Meter","excluded",IF(NOT(OR($E44="Bundled",$E44="Energy")),"excluded",IF(OR($H44="Retail Power Marketer",$H44="Community Choice Aggregator",$E44="Energy"),"procurement",IF(OR($H44="Municipal",$H44="Cooperative",$H44="Federal",$H44="State",$H44="Political Subdivision"),"cost_service",IF($H44="Investor Owned",IF(AND(COUNTIF(Parameters!$A$4:$A$33,$G44)&gt;0,COUNTIF(Parameters!$B$4:$B$33,$B44)=0),"procurement","cost_service"),"unclassified"))))))</f>
        <v/>
      </c>
    </row>
    <row r="45">
      <c r="A45" t="n">
        <v>2024</v>
      </c>
      <c r="B45" t="n">
        <v>59647</v>
      </c>
      <c r="C45" t="inlineStr">
        <is>
          <t>Sunrun Inc.</t>
        </is>
      </c>
      <c r="D45" t="inlineStr">
        <is>
          <t>A</t>
        </is>
      </c>
      <c r="E45" t="inlineStr">
        <is>
          <t>Bundled</t>
        </is>
      </c>
      <c r="F45" t="inlineStr">
        <is>
          <t>O</t>
        </is>
      </c>
      <c r="G45" t="inlineStr">
        <is>
          <t>AZ</t>
        </is>
      </c>
      <c r="H45" t="inlineStr">
        <is>
          <t>Behind the Meter</t>
        </is>
      </c>
      <c r="I45" t="inlineStr">
        <is>
          <t>WALC</t>
        </is>
      </c>
      <c r="J45" t="n">
        <v>37.9</v>
      </c>
      <c r="K45" t="n">
        <v>189</v>
      </c>
      <c r="L45" t="n">
        <v>18</v>
      </c>
      <c r="M45" t="inlineStr">
        <is>
          <t>.</t>
        </is>
      </c>
      <c r="N45" t="inlineStr">
        <is>
          <t>.</t>
        </is>
      </c>
      <c r="O45" t="inlineStr">
        <is>
          <t>.</t>
        </is>
      </c>
      <c r="P45" t="inlineStr">
        <is>
          <t>.</t>
        </is>
      </c>
      <c r="Q45" t="inlineStr">
        <is>
          <t>.</t>
        </is>
      </c>
      <c r="R45" t="inlineStr">
        <is>
          <t>.</t>
        </is>
      </c>
      <c r="S45" t="inlineStr">
        <is>
          <t>.</t>
        </is>
      </c>
      <c r="T45" t="inlineStr">
        <is>
          <t>.</t>
        </is>
      </c>
      <c r="U45" t="inlineStr">
        <is>
          <t>.</t>
        </is>
      </c>
      <c r="V45" t="n">
        <v>37.9</v>
      </c>
      <c r="W45" t="n">
        <v>189</v>
      </c>
      <c r="X45" t="n">
        <v>18</v>
      </c>
      <c r="Y45">
        <f>IF(ISNUMBER($W45),$W45,0)</f>
        <v/>
      </c>
      <c r="Z45">
        <f>IF(ISNUMBER(SEARCH("Adjustment",$C45)),"excluded",IF($H45="Behind the Meter","excluded",IF(NOT(OR($E45="Bundled",$E45="Energy")),"excluded",IF(OR($H45="Retail Power Marketer",$H45="Community Choice Aggregator",$E45="Energy"),"procurement",IF(OR($H45="Municipal",$H45="Cooperative",$H45="Federal",$H45="State",$H45="Political Subdivision"),"cost_service",IF($H45="Investor Owned",IF(AND(COUNTIF(Parameters!$A$4:$A$33,$G45)&gt;0,COUNTIF(Parameters!$B$4:$B$33,$B45)=0),"procurement","cost_service"),"unclassified"))))))</f>
        <v/>
      </c>
    </row>
    <row r="46">
      <c r="A46" t="n">
        <v>2024</v>
      </c>
      <c r="B46" t="n">
        <v>59943</v>
      </c>
      <c r="C46" t="inlineStr">
        <is>
          <t>Spruce Finance</t>
        </is>
      </c>
      <c r="D46" t="inlineStr">
        <is>
          <t>A</t>
        </is>
      </c>
      <c r="E46" t="inlineStr">
        <is>
          <t>Bundled</t>
        </is>
      </c>
      <c r="F46" t="inlineStr">
        <is>
          <t>O</t>
        </is>
      </c>
      <c r="G46" t="inlineStr">
        <is>
          <t>AZ</t>
        </is>
      </c>
      <c r="H46" t="inlineStr">
        <is>
          <t>Behind the Meter</t>
        </is>
      </c>
      <c r="I46" t="inlineStr">
        <is>
          <t>AZPS</t>
        </is>
      </c>
      <c r="J46" t="n">
        <v>4384.5</v>
      </c>
      <c r="K46" t="n">
        <v>41092</v>
      </c>
      <c r="L46" t="n">
        <v>3620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4384.5</v>
      </c>
      <c r="W46" t="n">
        <v>41092</v>
      </c>
      <c r="X46" t="n">
        <v>3620</v>
      </c>
      <c r="Y46">
        <f>IF(ISNUMBER($W46),$W46,0)</f>
        <v/>
      </c>
      <c r="Z46">
        <f>IF(ISNUMBER(SEARCH("Adjustment",$C46)),"excluded",IF($H46="Behind the Meter","excluded",IF(NOT(OR($E46="Bundled",$E46="Energy")),"excluded",IF(OR($H46="Retail Power Marketer",$H46="Community Choice Aggregator",$E46="Energy"),"procurement",IF(OR($H46="Municipal",$H46="Cooperative",$H46="Federal",$H46="State",$H46="Political Subdivision"),"cost_service",IF($H46="Investor Owned",IF(AND(COUNTIF(Parameters!$A$4:$A$33,$G46)&gt;0,COUNTIF(Parameters!$B$4:$B$33,$B46)=0),"procurement","cost_service"),"unclassified"))))))</f>
        <v/>
      </c>
    </row>
    <row r="47">
      <c r="A47" t="n">
        <v>2024</v>
      </c>
      <c r="B47" t="n">
        <v>60025</v>
      </c>
      <c r="C47" t="inlineStr">
        <is>
          <t>Greenbacker Renewable Energy Corporation</t>
        </is>
      </c>
      <c r="D47" t="inlineStr">
        <is>
          <t>A</t>
        </is>
      </c>
      <c r="E47" t="inlineStr">
        <is>
          <t>Bundled</t>
        </is>
      </c>
      <c r="F47" t="inlineStr">
        <is>
          <t>O</t>
        </is>
      </c>
      <c r="G47" t="inlineStr">
        <is>
          <t>AZ</t>
        </is>
      </c>
      <c r="H47" t="inlineStr">
        <is>
          <t>Behind the Meter</t>
        </is>
      </c>
      <c r="I47" t="inlineStr">
        <is>
          <t>TEPC</t>
        </is>
      </c>
      <c r="J47" t="n">
        <v>0</v>
      </c>
      <c r="K47" t="n">
        <v>0</v>
      </c>
      <c r="L47" t="n">
        <v>0</v>
      </c>
      <c r="M47" t="n">
        <v>78.59999999999999</v>
      </c>
      <c r="N47" t="n">
        <v>1289</v>
      </c>
      <c r="O47" t="n">
        <v>4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78.59999999999999</v>
      </c>
      <c r="W47" t="n">
        <v>1289</v>
      </c>
      <c r="X47" t="n">
        <v>4</v>
      </c>
      <c r="Y47">
        <f>IF(ISNUMBER($W47),$W47,0)</f>
        <v/>
      </c>
      <c r="Z47">
        <f>IF(ISNUMBER(SEARCH("Adjustment",$C47)),"excluded",IF($H47="Behind the Meter","excluded",IF(NOT(OR($E47="Bundled",$E47="Energy")),"excluded",IF(OR($H47="Retail Power Marketer",$H47="Community Choice Aggregator",$E47="Energy"),"procurement",IF(OR($H47="Municipal",$H47="Cooperative",$H47="Federal",$H47="State",$H47="Political Subdivision"),"cost_service",IF($H47="Investor Owned",IF(AND(COUNTIF(Parameters!$A$4:$A$33,$G47)&gt;0,COUNTIF(Parameters!$B$4:$B$33,$B47)=0),"procurement","cost_service"),"unclassified"))))))</f>
        <v/>
      </c>
    </row>
    <row r="48">
      <c r="A48" t="n">
        <v>2024</v>
      </c>
      <c r="B48" t="n">
        <v>60981</v>
      </c>
      <c r="C48" t="inlineStr">
        <is>
          <t>TerraForm US Energy Services, LLC</t>
        </is>
      </c>
      <c r="D48" t="inlineStr">
        <is>
          <t>A</t>
        </is>
      </c>
      <c r="E48" t="inlineStr">
        <is>
          <t>Bundled</t>
        </is>
      </c>
      <c r="F48" t="inlineStr">
        <is>
          <t>O</t>
        </is>
      </c>
      <c r="G48" t="inlineStr">
        <is>
          <t>AZ</t>
        </is>
      </c>
      <c r="H48" t="inlineStr">
        <is>
          <t>Behind the Meter</t>
        </is>
      </c>
      <c r="I48" t="inlineStr">
        <is>
          <t>AZPS</t>
        </is>
      </c>
      <c r="J48" t="n">
        <v>0</v>
      </c>
      <c r="K48" t="n">
        <v>0</v>
      </c>
      <c r="L48" t="n">
        <v>0</v>
      </c>
      <c r="M48" t="n">
        <v>1846</v>
      </c>
      <c r="N48" t="n">
        <v>16628</v>
      </c>
      <c r="O48" t="n">
        <v>29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1846</v>
      </c>
      <c r="W48" t="n">
        <v>16628</v>
      </c>
      <c r="X48" t="n">
        <v>29</v>
      </c>
      <c r="Y48">
        <f>IF(ISNUMBER($W48),$W48,0)</f>
        <v/>
      </c>
      <c r="Z48">
        <f>IF(ISNUMBER(SEARCH("Adjustment",$C48)),"excluded",IF($H48="Behind the Meter","excluded",IF(NOT(OR($E48="Bundled",$E48="Energy")),"excluded",IF(OR($H48="Retail Power Marketer",$H48="Community Choice Aggregator",$E48="Energy"),"procurement",IF(OR($H48="Municipal",$H48="Cooperative",$H48="Federal",$H48="State",$H48="Political Subdivision"),"cost_service",IF($H48="Investor Owned",IF(AND(COUNTIF(Parameters!$A$4:$A$33,$G48)&gt;0,COUNTIF(Parameters!$B$4:$B$33,$B48)=0),"procurement","cost_service"),"unclassified"))))))</f>
        <v/>
      </c>
    </row>
    <row r="49">
      <c r="A49" t="n">
        <v>2024</v>
      </c>
      <c r="B49" t="n">
        <v>65261</v>
      </c>
      <c r="C49" t="inlineStr">
        <is>
          <t>Gila River Indian Utility Authority (GRICUA)</t>
        </is>
      </c>
      <c r="D49" t="inlineStr">
        <is>
          <t>A</t>
        </is>
      </c>
      <c r="E49" t="inlineStr">
        <is>
          <t>Bundled</t>
        </is>
      </c>
      <c r="F49" t="inlineStr">
        <is>
          <t>O</t>
        </is>
      </c>
      <c r="G49" t="inlineStr">
        <is>
          <t>AZ</t>
        </is>
      </c>
      <c r="H49" t="inlineStr">
        <is>
          <t>Cooperative</t>
        </is>
      </c>
      <c r="I49" t="inlineStr">
        <is>
          <t>WALC</t>
        </is>
      </c>
      <c r="J49" t="n">
        <v>6709</v>
      </c>
      <c r="K49" t="n">
        <v>47079</v>
      </c>
      <c r="L49" t="n">
        <v>2682</v>
      </c>
      <c r="M49" t="n">
        <v>29047</v>
      </c>
      <c r="N49" t="n">
        <v>231658</v>
      </c>
      <c r="O49" t="n">
        <v>751</v>
      </c>
      <c r="P49" t="n">
        <v>0</v>
      </c>
      <c r="Q49" t="inlineStr">
        <is>
          <t>.</t>
        </is>
      </c>
      <c r="R49" t="inlineStr">
        <is>
          <t>.</t>
        </is>
      </c>
      <c r="S49" t="n">
        <v>0</v>
      </c>
      <c r="T49" t="inlineStr">
        <is>
          <t>.</t>
        </is>
      </c>
      <c r="U49" t="inlineStr">
        <is>
          <t>.</t>
        </is>
      </c>
      <c r="V49" t="n">
        <v>35756</v>
      </c>
      <c r="W49" t="n">
        <v>278737</v>
      </c>
      <c r="X49" t="n">
        <v>3433</v>
      </c>
      <c r="Y49">
        <f>IF(ISNUMBER($W49),$W49,0)</f>
        <v/>
      </c>
      <c r="Z49">
        <f>IF(ISNUMBER(SEARCH("Adjustment",$C49)),"excluded",IF($H49="Behind the Meter","excluded",IF(NOT(OR($E49="Bundled",$E49="Energy")),"excluded",IF(OR($H49="Retail Power Marketer",$H49="Community Choice Aggregator",$E49="Energy"),"procurement",IF(OR($H49="Municipal",$H49="Cooperative",$H49="Federal",$H49="State",$H49="Political Subdivision"),"cost_service",IF($H49="Investor Owned",IF(AND(COUNTIF(Parameters!$A$4:$A$33,$G49)&gt;0,COUNTIF(Parameters!$B$4:$B$33,$B49)=0),"procurement","cost_service"),"unclassified"))))))</f>
        <v/>
      </c>
    </row>
    <row r="50">
      <c r="A50" t="n">
        <v>2024</v>
      </c>
      <c r="B50" t="n">
        <v>66026</v>
      </c>
      <c r="C50" t="inlineStr">
        <is>
          <t>Palmetto Solar, LLC</t>
        </is>
      </c>
      <c r="D50" t="inlineStr">
        <is>
          <t>A</t>
        </is>
      </c>
      <c r="E50" t="inlineStr">
        <is>
          <t>Bundled</t>
        </is>
      </c>
      <c r="F50" t="inlineStr">
        <is>
          <t>O</t>
        </is>
      </c>
      <c r="G50" t="inlineStr">
        <is>
          <t>AZ</t>
        </is>
      </c>
      <c r="H50" t="inlineStr">
        <is>
          <t>Behind the Meter</t>
        </is>
      </c>
      <c r="I50" t="inlineStr">
        <is>
          <t>AZPS</t>
        </is>
      </c>
      <c r="J50" t="n">
        <v>1602</v>
      </c>
      <c r="K50" t="n">
        <v>18078</v>
      </c>
      <c r="L50" t="n">
        <v>147</v>
      </c>
      <c r="M50" t="inlineStr">
        <is>
          <t>.</t>
        </is>
      </c>
      <c r="N50" t="inlineStr">
        <is>
          <t>.</t>
        </is>
      </c>
      <c r="O50" t="inlineStr">
        <is>
          <t>.</t>
        </is>
      </c>
      <c r="P50" t="inlineStr">
        <is>
          <t>.</t>
        </is>
      </c>
      <c r="Q50" t="inlineStr">
        <is>
          <t>.</t>
        </is>
      </c>
      <c r="R50" t="inlineStr">
        <is>
          <t>.</t>
        </is>
      </c>
      <c r="S50" t="inlineStr">
        <is>
          <t>.</t>
        </is>
      </c>
      <c r="T50" t="inlineStr">
        <is>
          <t>.</t>
        </is>
      </c>
      <c r="U50" t="inlineStr">
        <is>
          <t>.</t>
        </is>
      </c>
      <c r="V50" t="n">
        <v>1602</v>
      </c>
      <c r="W50" t="n">
        <v>18078</v>
      </c>
      <c r="X50" t="n">
        <v>147</v>
      </c>
      <c r="Y50">
        <f>IF(ISNUMBER($W50),$W50,0)</f>
        <v/>
      </c>
      <c r="Z50">
        <f>IF(ISNUMBER(SEARCH("Adjustment",$C50)),"excluded",IF($H50="Behind the Meter","excluded",IF(NOT(OR($E50="Bundled",$E50="Energy")),"excluded",IF(OR($H50="Retail Power Marketer",$H50="Community Choice Aggregator",$E50="Energy"),"procurement",IF(OR($H50="Municipal",$H50="Cooperative",$H50="Federal",$H50="State",$H50="Political Subdivision"),"cost_service",IF($H50="Investor Owned",IF(AND(COUNTIF(Parameters!$A$4:$A$33,$G50)&gt;0,COUNTIF(Parameters!$B$4:$B$33,$B50)=0),"procurement","cost_service"),"unclassified"))))))</f>
        <v/>
      </c>
    </row>
    <row r="51">
      <c r="A51" t="n">
        <v>2024</v>
      </c>
      <c r="B51" t="n">
        <v>66026</v>
      </c>
      <c r="C51" t="inlineStr">
        <is>
          <t>Palmetto Solar, LLC</t>
        </is>
      </c>
      <c r="D51" t="inlineStr">
        <is>
          <t>A</t>
        </is>
      </c>
      <c r="E51" t="inlineStr">
        <is>
          <t>Bundled</t>
        </is>
      </c>
      <c r="F51" t="inlineStr">
        <is>
          <t>O</t>
        </is>
      </c>
      <c r="G51" t="inlineStr">
        <is>
          <t>AZ</t>
        </is>
      </c>
      <c r="H51" t="inlineStr">
        <is>
          <t>Behind the Meter</t>
        </is>
      </c>
      <c r="I51" t="inlineStr">
        <is>
          <t>SRP</t>
        </is>
      </c>
      <c r="J51" t="n">
        <v>476.3</v>
      </c>
      <c r="K51" t="n">
        <v>5373</v>
      </c>
      <c r="L51" t="n">
        <v>44</v>
      </c>
      <c r="M51" t="inlineStr">
        <is>
          <t>.</t>
        </is>
      </c>
      <c r="N51" t="inlineStr">
        <is>
          <t>.</t>
        </is>
      </c>
      <c r="O51" t="inlineStr">
        <is>
          <t>.</t>
        </is>
      </c>
      <c r="P51" t="inlineStr">
        <is>
          <t>.</t>
        </is>
      </c>
      <c r="Q51" t="inlineStr">
        <is>
          <t>.</t>
        </is>
      </c>
      <c r="R51" t="inlineStr">
        <is>
          <t>.</t>
        </is>
      </c>
      <c r="S51" t="inlineStr">
        <is>
          <t>.</t>
        </is>
      </c>
      <c r="T51" t="inlineStr">
        <is>
          <t>.</t>
        </is>
      </c>
      <c r="U51" t="inlineStr">
        <is>
          <t>.</t>
        </is>
      </c>
      <c r="V51" t="n">
        <v>476.3</v>
      </c>
      <c r="W51" t="n">
        <v>5373</v>
      </c>
      <c r="X51" t="n">
        <v>44</v>
      </c>
      <c r="Y51">
        <f>IF(ISNUMBER($W51),$W51,0)</f>
        <v/>
      </c>
      <c r="Z51">
        <f>IF(ISNUMBER(SEARCH("Adjustment",$C51)),"excluded",IF($H51="Behind the Meter","excluded",IF(NOT(OR($E51="Bundled",$E51="Energy")),"excluded",IF(OR($H51="Retail Power Marketer",$H51="Community Choice Aggregator",$E51="Energy"),"procurement",IF(OR($H51="Municipal",$H51="Cooperative",$H51="Federal",$H51="State",$H51="Political Subdivision"),"cost_service",IF($H51="Investor Owned",IF(AND(COUNTIF(Parameters!$A$4:$A$33,$G51)&gt;0,COUNTIF(Parameters!$B$4:$B$33,$B51)=0),"procurement","cost_service"),"unclassified"))))))</f>
        <v/>
      </c>
    </row>
    <row r="52">
      <c r="A52" t="n">
        <v>2024</v>
      </c>
      <c r="B52" t="n">
        <v>66026</v>
      </c>
      <c r="C52" t="inlineStr">
        <is>
          <t>Palmetto Solar, LLC</t>
        </is>
      </c>
      <c r="D52" t="inlineStr">
        <is>
          <t>A</t>
        </is>
      </c>
      <c r="E52" t="inlineStr">
        <is>
          <t>Bundled</t>
        </is>
      </c>
      <c r="F52" t="inlineStr">
        <is>
          <t>O</t>
        </is>
      </c>
      <c r="G52" t="inlineStr">
        <is>
          <t>AZ</t>
        </is>
      </c>
      <c r="H52" t="inlineStr">
        <is>
          <t>Behind the Meter</t>
        </is>
      </c>
      <c r="I52" t="inlineStr">
        <is>
          <t>TEPC</t>
        </is>
      </c>
      <c r="J52" t="n">
        <v>293.3</v>
      </c>
      <c r="K52" t="n">
        <v>3309</v>
      </c>
      <c r="L52" t="n">
        <v>27</v>
      </c>
      <c r="M52" t="inlineStr">
        <is>
          <t>.</t>
        </is>
      </c>
      <c r="N52" t="inlineStr">
        <is>
          <t>.</t>
        </is>
      </c>
      <c r="O52" t="inlineStr">
        <is>
          <t>.</t>
        </is>
      </c>
      <c r="P52" t="inlineStr">
        <is>
          <t>.</t>
        </is>
      </c>
      <c r="Q52" t="inlineStr">
        <is>
          <t>.</t>
        </is>
      </c>
      <c r="R52" t="inlineStr">
        <is>
          <t>.</t>
        </is>
      </c>
      <c r="S52" t="inlineStr">
        <is>
          <t>.</t>
        </is>
      </c>
      <c r="T52" t="inlineStr">
        <is>
          <t>.</t>
        </is>
      </c>
      <c r="U52" t="inlineStr">
        <is>
          <t>.</t>
        </is>
      </c>
      <c r="V52" t="n">
        <v>293.3</v>
      </c>
      <c r="W52" t="n">
        <v>3309</v>
      </c>
      <c r="X52" t="n">
        <v>27</v>
      </c>
      <c r="Y52">
        <f>IF(ISNUMBER($W52),$W52,0)</f>
        <v/>
      </c>
      <c r="Z52">
        <f>IF(ISNUMBER(SEARCH("Adjustment",$C52)),"excluded",IF($H52="Behind the Meter","excluded",IF(NOT(OR($E52="Bundled",$E52="Energy")),"excluded",IF(OR($H52="Retail Power Marketer",$H52="Community Choice Aggregator",$E52="Energy"),"procurement",IF(OR($H52="Municipal",$H52="Cooperative",$H52="Federal",$H52="State",$H52="Political Subdivision"),"cost_service",IF($H52="Investor Owned",IF(AND(COUNTIF(Parameters!$A$4:$A$33,$G52)&gt;0,COUNTIF(Parameters!$B$4:$B$33,$B52)=0),"procurement","cost_service"),"unclassified"))))))</f>
        <v/>
      </c>
    </row>
    <row r="53">
      <c r="A53" t="n">
        <v>2024</v>
      </c>
      <c r="B53" t="n">
        <v>66026</v>
      </c>
      <c r="C53" t="inlineStr">
        <is>
          <t>Palmetto Solar, LLC</t>
        </is>
      </c>
      <c r="D53" t="inlineStr">
        <is>
          <t>A</t>
        </is>
      </c>
      <c r="E53" t="inlineStr">
        <is>
          <t>Bundled</t>
        </is>
      </c>
      <c r="F53" t="inlineStr">
        <is>
          <t>O</t>
        </is>
      </c>
      <c r="G53" t="inlineStr">
        <is>
          <t>AZ</t>
        </is>
      </c>
      <c r="H53" t="inlineStr">
        <is>
          <t>Behind the Meter</t>
        </is>
      </c>
      <c r="I53" t="inlineStr">
        <is>
          <t>WALC</t>
        </is>
      </c>
      <c r="J53" t="n">
        <v>446.1</v>
      </c>
      <c r="K53" t="n">
        <v>5036</v>
      </c>
      <c r="L53" t="n">
        <v>41</v>
      </c>
      <c r="M53" t="inlineStr">
        <is>
          <t>.</t>
        </is>
      </c>
      <c r="N53" t="inlineStr">
        <is>
          <t>.</t>
        </is>
      </c>
      <c r="O53" t="inlineStr">
        <is>
          <t>.</t>
        </is>
      </c>
      <c r="P53" t="inlineStr">
        <is>
          <t>.</t>
        </is>
      </c>
      <c r="Q53" t="inlineStr">
        <is>
          <t>.</t>
        </is>
      </c>
      <c r="R53" t="inlineStr">
        <is>
          <t>.</t>
        </is>
      </c>
      <c r="S53" t="inlineStr">
        <is>
          <t>.</t>
        </is>
      </c>
      <c r="T53" t="inlineStr">
        <is>
          <t>.</t>
        </is>
      </c>
      <c r="U53" t="inlineStr">
        <is>
          <t>.</t>
        </is>
      </c>
      <c r="V53" t="n">
        <v>446.1</v>
      </c>
      <c r="W53" t="n">
        <v>5036</v>
      </c>
      <c r="X53" t="n">
        <v>41</v>
      </c>
      <c r="Y53">
        <f>IF(ISNUMBER($W53),$W53,0)</f>
        <v/>
      </c>
      <c r="Z53">
        <f>IF(ISNUMBER(SEARCH("Adjustment",$C53)),"excluded",IF($H53="Behind the Meter","excluded",IF(NOT(OR($E53="Bundled",$E53="Energy")),"excluded",IF(OR($H53="Retail Power Marketer",$H53="Community Choice Aggregator",$E53="Energy"),"procurement",IF(OR($H53="Municipal",$H53="Cooperative",$H53="Federal",$H53="State",$H53="Political Subdivision"),"cost_service",IF($H53="Investor Owned",IF(AND(COUNTIF(Parameters!$A$4:$A$33,$G53)&gt;0,COUNTIF(Parameters!$B$4:$B$33,$B53)=0),"procurement","cost_service"),"unclassified"))))))</f>
        <v/>
      </c>
    </row>
    <row r="54">
      <c r="A54" t="n">
        <v>2024</v>
      </c>
      <c r="B54" t="n">
        <v>66036</v>
      </c>
      <c r="C54" t="inlineStr">
        <is>
          <t>EverBright, LLC</t>
        </is>
      </c>
      <c r="D54" t="inlineStr">
        <is>
          <t>A</t>
        </is>
      </c>
      <c r="E54" t="inlineStr">
        <is>
          <t>Bundled</t>
        </is>
      </c>
      <c r="F54" t="inlineStr">
        <is>
          <t>O</t>
        </is>
      </c>
      <c r="G54" t="inlineStr">
        <is>
          <t>AZ</t>
        </is>
      </c>
      <c r="H54" t="inlineStr">
        <is>
          <t>Behind the Meter</t>
        </is>
      </c>
      <c r="I54" t="inlineStr">
        <is>
          <t>AZPS</t>
        </is>
      </c>
      <c r="J54" t="n">
        <v>1491.6</v>
      </c>
      <c r="K54" t="n">
        <v>15149</v>
      </c>
      <c r="L54" t="n">
        <v>998</v>
      </c>
      <c r="M54" t="inlineStr">
        <is>
          <t>.</t>
        </is>
      </c>
      <c r="N54" t="inlineStr">
        <is>
          <t>.</t>
        </is>
      </c>
      <c r="O54" t="inlineStr">
        <is>
          <t>.</t>
        </is>
      </c>
      <c r="P54" t="inlineStr">
        <is>
          <t>.</t>
        </is>
      </c>
      <c r="Q54" t="inlineStr">
        <is>
          <t>.</t>
        </is>
      </c>
      <c r="R54" t="inlineStr">
        <is>
          <t>.</t>
        </is>
      </c>
      <c r="S54" t="inlineStr">
        <is>
          <t>.</t>
        </is>
      </c>
      <c r="T54" t="inlineStr">
        <is>
          <t>.</t>
        </is>
      </c>
      <c r="U54" t="inlineStr">
        <is>
          <t>.</t>
        </is>
      </c>
      <c r="V54" t="n">
        <v>1491.6</v>
      </c>
      <c r="W54" t="n">
        <v>15149</v>
      </c>
      <c r="X54" t="n">
        <v>998</v>
      </c>
      <c r="Y54">
        <f>IF(ISNUMBER($W54),$W54,0)</f>
        <v/>
      </c>
      <c r="Z54">
        <f>IF(ISNUMBER(SEARCH("Adjustment",$C54)),"excluded",IF($H54="Behind the Meter","excluded",IF(NOT(OR($E54="Bundled",$E54="Energy")),"excluded",IF(OR($H54="Retail Power Marketer",$H54="Community Choice Aggregator",$E54="Energy"),"procurement",IF(OR($H54="Municipal",$H54="Cooperative",$H54="Federal",$H54="State",$H54="Political Subdivision"),"cost_service",IF($H54="Investor Owned",IF(AND(COUNTIF(Parameters!$A$4:$A$33,$G54)&gt;0,COUNTIF(Parameters!$B$4:$B$33,$B54)=0),"procurement","cost_service"),"unclassified"))))))</f>
        <v/>
      </c>
    </row>
    <row r="55">
      <c r="A55" t="n">
        <v>2024</v>
      </c>
      <c r="B55" t="n">
        <v>99999</v>
      </c>
      <c r="C55" t="inlineStr">
        <is>
          <t>Adjustment 2024</t>
        </is>
      </c>
      <c r="D55" t="inlineStr">
        <is>
          <t>A</t>
        </is>
      </c>
      <c r="E55" t="inlineStr">
        <is>
          <t>Bundled</t>
        </is>
      </c>
      <c r="F55" t="inlineStr">
        <is>
          <t>I</t>
        </is>
      </c>
      <c r="G55" t="inlineStr">
        <is>
          <t>AZ</t>
        </is>
      </c>
      <c r="H55" t="inlineStr"/>
      <c r="I55" t="inlineStr">
        <is>
          <t>AZPS</t>
        </is>
      </c>
      <c r="J55" t="n">
        <v>7270.7</v>
      </c>
      <c r="K55" t="n">
        <v>58707</v>
      </c>
      <c r="L55" t="n">
        <v>-69490</v>
      </c>
      <c r="M55" t="n">
        <v>17202.5</v>
      </c>
      <c r="N55" t="n">
        <v>151892</v>
      </c>
      <c r="O55" t="n">
        <v>1410</v>
      </c>
      <c r="P55" t="n">
        <v>29670.1</v>
      </c>
      <c r="Q55" t="n">
        <v>354508</v>
      </c>
      <c r="R55" t="n">
        <v>668</v>
      </c>
      <c r="S55" t="n">
        <v>0</v>
      </c>
      <c r="T55" t="n">
        <v>0</v>
      </c>
      <c r="U55" t="n">
        <v>0</v>
      </c>
      <c r="V55" t="n">
        <v>54143.3</v>
      </c>
      <c r="W55" t="n">
        <v>565107</v>
      </c>
      <c r="X55" t="n">
        <v>-67412</v>
      </c>
      <c r="Y55">
        <f>IF(ISNUMBER($W55),$W55,0)</f>
        <v/>
      </c>
      <c r="Z55">
        <f>IF(ISNUMBER(SEARCH("Adjustment",$C55)),"excluded",IF($H55="Behind the Meter","excluded",IF(NOT(OR($E55="Bundled",$E55="Energy")),"excluded",IF(OR($H55="Retail Power Marketer",$H55="Community Choice Aggregator",$E55="Energy"),"procurement",IF(OR($H55="Municipal",$H55="Cooperative",$H55="Federal",$H55="State",$H55="Political Subdivision"),"cost_service",IF($H55="Investor Owned",IF(AND(COUNTIF(Parameters!$A$4:$A$33,$G55)&gt;0,COUNTIF(Parameters!$B$4:$B$33,$B55)=0),"procurement","cost_service"),"unclassified"))))))</f>
        <v/>
      </c>
    </row>
    <row r="56">
      <c r="A56" t="n">
        <v>2024</v>
      </c>
      <c r="B56" t="n">
        <v>99999</v>
      </c>
      <c r="C56" t="inlineStr">
        <is>
          <t>Adjustment 2024</t>
        </is>
      </c>
      <c r="D56" t="inlineStr">
        <is>
          <t>A</t>
        </is>
      </c>
      <c r="E56" t="inlineStr">
        <is>
          <t>Bundled</t>
        </is>
      </c>
      <c r="F56" t="inlineStr">
        <is>
          <t>I</t>
        </is>
      </c>
      <c r="G56" t="inlineStr">
        <is>
          <t>AZ</t>
        </is>
      </c>
      <c r="H56" t="inlineStr"/>
      <c r="I56" t="inlineStr">
        <is>
          <t>CISO</t>
        </is>
      </c>
      <c r="J56" t="n">
        <v>0</v>
      </c>
      <c r="K56" t="n">
        <v>0</v>
      </c>
      <c r="L56" t="n">
        <v>-212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-212</v>
      </c>
      <c r="Y56">
        <f>IF(ISNUMBER($W56),$W56,0)</f>
        <v/>
      </c>
      <c r="Z56">
        <f>IF(ISNUMBER(SEARCH("Adjustment",$C56)),"excluded",IF($H56="Behind the Meter","excluded",IF(NOT(OR($E56="Bundled",$E56="Energy")),"excluded",IF(OR($H56="Retail Power Marketer",$H56="Community Choice Aggregator",$E56="Energy"),"procurement",IF(OR($H56="Municipal",$H56="Cooperative",$H56="Federal",$H56="State",$H56="Political Subdivision"),"cost_service",IF($H56="Investor Owned",IF(AND(COUNTIF(Parameters!$A$4:$A$33,$G56)&gt;0,COUNTIF(Parameters!$B$4:$B$33,$B56)=0),"procurement","cost_service"),"unclassified"))))))</f>
        <v/>
      </c>
    </row>
    <row r="57">
      <c r="A57" t="n">
        <v>2024</v>
      </c>
      <c r="B57" t="n">
        <v>99999</v>
      </c>
      <c r="C57" t="inlineStr">
        <is>
          <t>Adjustment 2024</t>
        </is>
      </c>
      <c r="D57" t="inlineStr">
        <is>
          <t>A</t>
        </is>
      </c>
      <c r="E57" t="inlineStr">
        <is>
          <t>Bundled</t>
        </is>
      </c>
      <c r="F57" t="inlineStr">
        <is>
          <t>I</t>
        </is>
      </c>
      <c r="G57" t="inlineStr">
        <is>
          <t>AZ</t>
        </is>
      </c>
      <c r="H57" t="inlineStr"/>
      <c r="I57" t="inlineStr">
        <is>
          <t>PSCO</t>
        </is>
      </c>
      <c r="J57" t="n">
        <v>0</v>
      </c>
      <c r="K57" t="n">
        <v>0</v>
      </c>
      <c r="L57" t="n">
        <v>-6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-6</v>
      </c>
      <c r="Y57">
        <f>IF(ISNUMBER($W57),$W57,0)</f>
        <v/>
      </c>
      <c r="Z57">
        <f>IF(ISNUMBER(SEARCH("Adjustment",$C57)),"excluded",IF($H57="Behind the Meter","excluded",IF(NOT(OR($E57="Bundled",$E57="Energy")),"excluded",IF(OR($H57="Retail Power Marketer",$H57="Community Choice Aggregator",$E57="Energy"),"procurement",IF(OR($H57="Municipal",$H57="Cooperative",$H57="Federal",$H57="State",$H57="Political Subdivision"),"cost_service",IF($H57="Investor Owned",IF(AND(COUNTIF(Parameters!$A$4:$A$33,$G57)&gt;0,COUNTIF(Parameters!$B$4:$B$33,$B57)=0),"procurement","cost_service"),"unclassified"))))))</f>
        <v/>
      </c>
    </row>
    <row r="58">
      <c r="A58" t="n">
        <v>2024</v>
      </c>
      <c r="B58" t="n">
        <v>99999</v>
      </c>
      <c r="C58" t="inlineStr">
        <is>
          <t>Adjustment 2024</t>
        </is>
      </c>
      <c r="D58" t="inlineStr">
        <is>
          <t>A</t>
        </is>
      </c>
      <c r="E58" t="inlineStr">
        <is>
          <t>Bundled</t>
        </is>
      </c>
      <c r="F58" t="inlineStr">
        <is>
          <t>I</t>
        </is>
      </c>
      <c r="G58" t="inlineStr">
        <is>
          <t>AZ</t>
        </is>
      </c>
      <c r="H58" t="inlineStr"/>
      <c r="I58" t="inlineStr">
        <is>
          <t>PNM</t>
        </is>
      </c>
      <c r="J58" t="n">
        <v>388.5</v>
      </c>
      <c r="K58" t="n">
        <v>2359</v>
      </c>
      <c r="L58" t="n">
        <v>454</v>
      </c>
      <c r="M58" t="n">
        <v>60</v>
      </c>
      <c r="N58" t="n">
        <v>402</v>
      </c>
      <c r="O58" t="n">
        <v>42</v>
      </c>
      <c r="P58" t="n">
        <v>324</v>
      </c>
      <c r="Q58" t="n">
        <v>2542</v>
      </c>
      <c r="R58" t="n">
        <v>23</v>
      </c>
      <c r="S58" t="n">
        <v>0</v>
      </c>
      <c r="T58" t="n">
        <v>0</v>
      </c>
      <c r="U58" t="n">
        <v>0</v>
      </c>
      <c r="V58" t="n">
        <v>772.5</v>
      </c>
      <c r="W58" t="n">
        <v>5303</v>
      </c>
      <c r="X58" t="n">
        <v>519</v>
      </c>
      <c r="Y58">
        <f>IF(ISNUMBER($W58),$W58,0)</f>
        <v/>
      </c>
      <c r="Z58">
        <f>IF(ISNUMBER(SEARCH("Adjustment",$C58)),"excluded",IF($H58="Behind the Meter","excluded",IF(NOT(OR($E58="Bundled",$E58="Energy")),"excluded",IF(OR($H58="Retail Power Marketer",$H58="Community Choice Aggregator",$E58="Energy"),"procurement",IF(OR($H58="Municipal",$H58="Cooperative",$H58="Federal",$H58="State",$H58="Political Subdivision"),"cost_service",IF($H58="Investor Owned",IF(AND(COUNTIF(Parameters!$A$4:$A$33,$G58)&gt;0,COUNTIF(Parameters!$B$4:$B$33,$B58)=0),"procurement","cost_service"),"unclassified"))))))</f>
        <v/>
      </c>
    </row>
    <row r="59">
      <c r="A59" t="n">
        <v>2024</v>
      </c>
      <c r="B59" t="n">
        <v>99999</v>
      </c>
      <c r="C59" t="inlineStr">
        <is>
          <t>Adjustment 2024</t>
        </is>
      </c>
      <c r="D59" t="inlineStr">
        <is>
          <t>A</t>
        </is>
      </c>
      <c r="E59" t="inlineStr">
        <is>
          <t>Bundled</t>
        </is>
      </c>
      <c r="F59" t="inlineStr">
        <is>
          <t>I</t>
        </is>
      </c>
      <c r="G59" t="inlineStr">
        <is>
          <t>AZ</t>
        </is>
      </c>
      <c r="H59" t="inlineStr"/>
      <c r="I59" t="inlineStr">
        <is>
          <t>SRP</t>
        </is>
      </c>
      <c r="J59" t="n">
        <v>171.1</v>
      </c>
      <c r="K59" t="n">
        <v>1111</v>
      </c>
      <c r="L59" t="n">
        <v>-8759</v>
      </c>
      <c r="M59" t="n">
        <v>51828.6</v>
      </c>
      <c r="N59" t="n">
        <v>707784</v>
      </c>
      <c r="O59" t="n">
        <v>46</v>
      </c>
      <c r="P59" t="n">
        <v>5076.3</v>
      </c>
      <c r="Q59" t="n">
        <v>61076</v>
      </c>
      <c r="R59" t="n">
        <v>340</v>
      </c>
      <c r="S59" t="n">
        <v>0</v>
      </c>
      <c r="T59" t="n">
        <v>0</v>
      </c>
      <c r="U59" t="n">
        <v>0</v>
      </c>
      <c r="V59" t="n">
        <v>57076</v>
      </c>
      <c r="W59" t="n">
        <v>769971</v>
      </c>
      <c r="X59" t="n">
        <v>-8373</v>
      </c>
      <c r="Y59">
        <f>IF(ISNUMBER($W59),$W59,0)</f>
        <v/>
      </c>
      <c r="Z59">
        <f>IF(ISNUMBER(SEARCH("Adjustment",$C59)),"excluded",IF($H59="Behind the Meter","excluded",IF(NOT(OR($E59="Bundled",$E59="Energy")),"excluded",IF(OR($H59="Retail Power Marketer",$H59="Community Choice Aggregator",$E59="Energy"),"procurement",IF(OR($H59="Municipal",$H59="Cooperative",$H59="Federal",$H59="State",$H59="Political Subdivision"),"cost_service",IF($H59="Investor Owned",IF(AND(COUNTIF(Parameters!$A$4:$A$33,$G59)&gt;0,COUNTIF(Parameters!$B$4:$B$33,$B59)=0),"procurement","cost_service"),"unclassified"))))))</f>
        <v/>
      </c>
    </row>
    <row r="60">
      <c r="A60" t="n">
        <v>2024</v>
      </c>
      <c r="B60" t="n">
        <v>99999</v>
      </c>
      <c r="C60" t="inlineStr">
        <is>
          <t>Adjustment 2024</t>
        </is>
      </c>
      <c r="D60" t="inlineStr">
        <is>
          <t>A</t>
        </is>
      </c>
      <c r="E60" t="inlineStr">
        <is>
          <t>Bundled</t>
        </is>
      </c>
      <c r="F60" t="inlineStr">
        <is>
          <t>I</t>
        </is>
      </c>
      <c r="G60" t="inlineStr">
        <is>
          <t>AZ</t>
        </is>
      </c>
      <c r="H60" t="inlineStr"/>
      <c r="I60" t="inlineStr">
        <is>
          <t>TEPC</t>
        </is>
      </c>
      <c r="J60" t="n">
        <v>0</v>
      </c>
      <c r="K60" t="n">
        <v>0</v>
      </c>
      <c r="L60" t="n">
        <v>-16701</v>
      </c>
      <c r="M60" t="n">
        <v>2894</v>
      </c>
      <c r="N60" t="n">
        <v>23657</v>
      </c>
      <c r="O60" t="n">
        <v>-412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2894</v>
      </c>
      <c r="W60" t="n">
        <v>23657</v>
      </c>
      <c r="X60" t="n">
        <v>-17113</v>
      </c>
      <c r="Y60">
        <f>IF(ISNUMBER($W60),$W60,0)</f>
        <v/>
      </c>
      <c r="Z60">
        <f>IF(ISNUMBER(SEARCH("Adjustment",$C60)),"excluded",IF($H60="Behind the Meter","excluded",IF(NOT(OR($E60="Bundled",$E60="Energy")),"excluded",IF(OR($H60="Retail Power Marketer",$H60="Community Choice Aggregator",$E60="Energy"),"procurement",IF(OR($H60="Municipal",$H60="Cooperative",$H60="Federal",$H60="State",$H60="Political Subdivision"),"cost_service",IF($H60="Investor Owned",IF(AND(COUNTIF(Parameters!$A$4:$A$33,$G60)&gt;0,COUNTIF(Parameters!$B$4:$B$33,$B60)=0),"procurement","cost_service"),"unclassified"))))))</f>
        <v/>
      </c>
    </row>
    <row r="61">
      <c r="A61" t="n">
        <v>2024</v>
      </c>
      <c r="B61" t="n">
        <v>99999</v>
      </c>
      <c r="C61" t="inlineStr">
        <is>
          <t>Adjustment 2024</t>
        </is>
      </c>
      <c r="D61" t="inlineStr">
        <is>
          <t>A</t>
        </is>
      </c>
      <c r="E61" t="inlineStr">
        <is>
          <t>Bundled</t>
        </is>
      </c>
      <c r="F61" t="inlineStr">
        <is>
          <t>I</t>
        </is>
      </c>
      <c r="G61" t="inlineStr">
        <is>
          <t>AZ</t>
        </is>
      </c>
      <c r="H61" t="inlineStr"/>
      <c r="I61" t="inlineStr">
        <is>
          <t>WALC</t>
        </is>
      </c>
      <c r="J61" t="n">
        <v>42485.6</v>
      </c>
      <c r="K61" t="n">
        <v>335749</v>
      </c>
      <c r="L61" t="n">
        <v>29185</v>
      </c>
      <c r="M61" t="n">
        <v>35164.9</v>
      </c>
      <c r="N61" t="n">
        <v>285852</v>
      </c>
      <c r="O61" t="n">
        <v>6003</v>
      </c>
      <c r="P61" t="n">
        <v>17397</v>
      </c>
      <c r="Q61" t="n">
        <v>222393</v>
      </c>
      <c r="R61" t="n">
        <v>1699</v>
      </c>
      <c r="S61" t="n">
        <v>0</v>
      </c>
      <c r="T61" t="n">
        <v>0</v>
      </c>
      <c r="U61" t="n">
        <v>0</v>
      </c>
      <c r="V61" t="n">
        <v>95047.5</v>
      </c>
      <c r="W61" t="n">
        <v>843994</v>
      </c>
      <c r="X61" t="n">
        <v>36887</v>
      </c>
      <c r="Y61">
        <f>IF(ISNUMBER($W61),$W61,0)</f>
        <v/>
      </c>
      <c r="Z61">
        <f>IF(ISNUMBER(SEARCH("Adjustment",$C61)),"excluded",IF($H61="Behind the Meter","excluded",IF(NOT(OR($E61="Bundled",$E61="Energy")),"excluded",IF(OR($H61="Retail Power Marketer",$H61="Community Choice Aggregator",$E61="Energy"),"procurement",IF(OR($H61="Municipal",$H61="Cooperative",$H61="Federal",$H61="State",$H61="Political Subdivision"),"cost_service",IF($H61="Investor Owned",IF(AND(COUNTIF(Parameters!$A$4:$A$33,$G61)&gt;0,COUNTIF(Parameters!$B$4:$B$33,$B61)=0),"procurement","cost_service"),"unclassified"))))))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7" t="inlineStr">
        <is>
          <t>region</t>
        </is>
      </c>
      <c r="B1" s="7" t="inlineStr">
        <is>
          <t>cost_service_mwh</t>
        </is>
      </c>
      <c r="C1" s="7" t="inlineStr">
        <is>
          <t>procurement_mwh</t>
        </is>
      </c>
      <c r="D1" s="7" t="inlineStr">
        <is>
          <t>total_mwh</t>
        </is>
      </c>
      <c r="E1" s="7" t="inlineStr">
        <is>
          <t>share_cost_service</t>
        </is>
      </c>
      <c r="F1" s="7" t="inlineStr">
        <is>
          <t>share_procurement</t>
        </is>
      </c>
    </row>
    <row r="2">
      <c r="A2" t="inlineStr">
        <is>
          <t>AZ</t>
        </is>
      </c>
      <c r="B2">
        <f>SUMIFS('EIA-861 Sales 2024'!$Y$4:$Y$61,'EIA-861 Sales 2024'!$Z$4:$Z$61,"cost_service")</f>
        <v/>
      </c>
      <c r="C2">
        <f>SUMIFS('EIA-861 Sales 2024'!$Y$4:$Y$61,'EIA-861 Sales 2024'!$Z$4:$Z$61,"procurement")</f>
        <v/>
      </c>
      <c r="D2">
        <f>B2+C2</f>
        <v/>
      </c>
      <c r="E2">
        <f>IF($D2=0,0,B2/$D2)</f>
        <v/>
      </c>
      <c r="F2">
        <f>IF($D2=0,0,C2/$D2)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AE2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sheetData>
    <row r="1">
      <c r="A1" t="inlineStr">
        <is>
          <t>Unit: dimensionless (% of demand)</t>
        </is>
      </c>
      <c r="B1" t="n">
        <v>2021</v>
      </c>
      <c r="C1" t="n">
        <v>2022</v>
      </c>
      <c r="D1" t="n">
        <v>2023</v>
      </c>
      <c r="E1" t="n">
        <v>2024</v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  <c r="Q1" t="n">
        <v>2036</v>
      </c>
      <c r="R1" t="n">
        <v>2037</v>
      </c>
      <c r="S1" t="n">
        <v>2038</v>
      </c>
      <c r="T1" t="n">
        <v>2039</v>
      </c>
      <c r="U1" t="n">
        <v>2040</v>
      </c>
      <c r="V1" t="n">
        <v>2041</v>
      </c>
      <c r="W1" t="n">
        <v>2042</v>
      </c>
      <c r="X1" t="n">
        <v>2043</v>
      </c>
      <c r="Y1" t="n">
        <v>2044</v>
      </c>
      <c r="Z1" t="n">
        <v>2045</v>
      </c>
      <c r="AA1" t="n">
        <v>2046</v>
      </c>
      <c r="AB1" t="n">
        <v>2047</v>
      </c>
      <c r="AC1" t="n">
        <v>2048</v>
      </c>
      <c r="AD1" t="n">
        <v>2049</v>
      </c>
      <c r="AE1" t="n">
        <v>2050</v>
      </c>
    </row>
    <row r="2">
      <c r="A2" t="inlineStr">
        <is>
          <t>Share that is Cost of Service</t>
        </is>
      </c>
      <c r="B2">
        <f>ROUND('Share'!$E$2,3)</f>
        <v/>
      </c>
      <c r="C2">
        <f>ROUND('Share'!$E$2,3)</f>
        <v/>
      </c>
      <c r="D2">
        <f>ROUND('Share'!$E$2,3)</f>
        <v/>
      </c>
      <c r="E2">
        <f>ROUND('Share'!$E$2,3)</f>
        <v/>
      </c>
      <c r="F2">
        <f>ROUND('Share'!$E$2,3)</f>
        <v/>
      </c>
      <c r="G2">
        <f>ROUND('Share'!$E$2,3)</f>
        <v/>
      </c>
      <c r="H2">
        <f>ROUND('Share'!$E$2,3)</f>
        <v/>
      </c>
      <c r="I2">
        <f>ROUND('Share'!$E$2,3)</f>
        <v/>
      </c>
      <c r="J2">
        <f>ROUND('Share'!$E$2,3)</f>
        <v/>
      </c>
      <c r="K2">
        <f>ROUND('Share'!$E$2,3)</f>
        <v/>
      </c>
      <c r="L2">
        <f>ROUND('Share'!$E$2,3)</f>
        <v/>
      </c>
      <c r="M2">
        <f>ROUND('Share'!$E$2,3)</f>
        <v/>
      </c>
      <c r="N2">
        <f>ROUND('Share'!$E$2,3)</f>
        <v/>
      </c>
      <c r="O2">
        <f>ROUND('Share'!$E$2,3)</f>
        <v/>
      </c>
      <c r="P2">
        <f>ROUND('Share'!$E$2,3)</f>
        <v/>
      </c>
      <c r="Q2">
        <f>ROUND('Share'!$E$2,3)</f>
        <v/>
      </c>
      <c r="R2">
        <f>ROUND('Share'!$E$2,3)</f>
        <v/>
      </c>
      <c r="S2">
        <f>ROUND('Share'!$E$2,3)</f>
        <v/>
      </c>
      <c r="T2">
        <f>ROUND('Share'!$E$2,3)</f>
        <v/>
      </c>
      <c r="U2">
        <f>ROUND('Share'!$E$2,3)</f>
        <v/>
      </c>
      <c r="V2">
        <f>ROUND('Share'!$E$2,3)</f>
        <v/>
      </c>
      <c r="W2">
        <f>ROUND('Share'!$E$2,3)</f>
        <v/>
      </c>
      <c r="X2">
        <f>ROUND('Share'!$E$2,3)</f>
        <v/>
      </c>
      <c r="Y2">
        <f>ROUND('Share'!$E$2,3)</f>
        <v/>
      </c>
      <c r="Z2">
        <f>ROUND('Share'!$E$2,3)</f>
        <v/>
      </c>
      <c r="AA2">
        <f>ROUND('Share'!$E$2,3)</f>
        <v/>
      </c>
      <c r="AB2">
        <f>ROUND('Share'!$E$2,3)</f>
        <v/>
      </c>
      <c r="AC2">
        <f>ROUND('Share'!$E$2,3)</f>
        <v/>
      </c>
      <c r="AD2">
        <f>ROUND('Share'!$E$2,3)</f>
        <v/>
      </c>
      <c r="AE2">
        <f>ROUND('Share'!$E$2,3)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2026-06-02T20:15:27Z</dcterms:created>
  <dcterms:modified xmlns:dcterms="http://purl.org/dc/terms/" xmlns:xsi="http://www.w3.org/2001/XMLSchema-instance" xsi:type="dcterms:W3CDTF">2026-06-02T20:15:27Z</dcterms:modified>
</cp:coreProperties>
</file>