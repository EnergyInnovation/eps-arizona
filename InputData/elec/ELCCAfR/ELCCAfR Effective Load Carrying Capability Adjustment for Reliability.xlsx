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AZ\elec\ELCCAfR\"/>
    </mc:Choice>
  </mc:AlternateContent>
  <xr:revisionPtr revIDLastSave="0" documentId="8_{BE7FA5A2-FEEC-40F3-972D-D8BD48D16CFB}" xr6:coauthVersionLast="47" xr6:coauthVersionMax="47" xr10:uidLastSave="{00000000-0000-0000-0000-000000000000}"/>
  <bookViews>
    <workbookView xWindow="-98" yWindow="-98" windowWidth="21795" windowHeight="12975" xr2:uid="{00000000-000D-0000-FFFF-FFFF00000000}"/>
  </bookViews>
  <sheets>
    <sheet name="About" sheetId="1" r:id="rId1"/>
    <sheet name="Keys" sheetId="2" r:id="rId2"/>
    <sheet name="Src_HYECFCA_nuclear" sheetId="3" r:id="rId3"/>
    <sheet name="Src_MCF_hydro" sheetId="4" r:id="rId4"/>
    <sheet name="Src_BHRaSYC_nuclear" sheetId="5" r:id="rId5"/>
    <sheet name="Src_SYSHECF_nuclear" sheetId="6" r:id="rId6"/>
    <sheet name="Src_VRE" sheetId="7" r:id="rId7"/>
    <sheet name="Calcs" sheetId="8" r:id="rId8"/>
    <sheet name="Checks" sheetId="9" r:id="rId9"/>
    <sheet name="Methodology" sheetId="10" r:id="rId10"/>
    <sheet name="ELCCAfR-hard-coal" sheetId="11" r:id="rId11"/>
    <sheet name="ELCCAfR-steam-turbine" sheetId="12" r:id="rId12"/>
    <sheet name="ELCCAfR-combined-cycle" sheetId="13" r:id="rId13"/>
    <sheet name="ELCCAfR-nuclear" sheetId="14" r:id="rId14"/>
    <sheet name="ELCCAfR-hydro" sheetId="15" r:id="rId15"/>
    <sheet name="ELCCAfR-onshore-wind" sheetId="16" r:id="rId16"/>
    <sheet name="ELCCAfR-solar-pv" sheetId="17" r:id="rId17"/>
    <sheet name="ELCCAfR-solar-thermal" sheetId="18" r:id="rId18"/>
    <sheet name="ELCCAfR-biomass" sheetId="19" r:id="rId19"/>
    <sheet name="ELCCAfR-geothermal" sheetId="20" r:id="rId20"/>
    <sheet name="ELCCAfR-petroleum" sheetId="21" r:id="rId21"/>
    <sheet name="ELCCAfR-natural-gas-peaker" sheetId="22" r:id="rId22"/>
    <sheet name="ELCCAfR-lignite" sheetId="23" r:id="rId23"/>
    <sheet name="ELCCAfR-offshore-wind" sheetId="24" r:id="rId24"/>
    <sheet name="ELCCAfR-crude-oil" sheetId="25" r:id="rId25"/>
    <sheet name="ELCCAfR-heavy-or-residual-oil" sheetId="26" r:id="rId26"/>
    <sheet name="ELCCAfR-MSW" sheetId="27" r:id="rId27"/>
    <sheet name="ELCCAfR-hard-coal-CCS" sheetId="28" r:id="rId28"/>
    <sheet name="ELCCAfR-combined-cycle-CCS" sheetId="29" r:id="rId29"/>
    <sheet name="ELCCAfR-biomass-CCS" sheetId="30" r:id="rId30"/>
    <sheet name="ELCCAfR-lignite-CCS" sheetId="31" r:id="rId31"/>
    <sheet name="ELCCAfR-SMR" sheetId="32" r:id="rId32"/>
    <sheet name="ELCCAfR-hydrogen-CT" sheetId="33" r:id="rId33"/>
    <sheet name="ELCCAfR-hydrogen-CC" sheetId="34" r:id="rId34"/>
    <sheet name="ELCCAfR-demand-altering-techs" sheetId="35" r:id="rId3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Y7" i="35" l="1"/>
  <c r="X7" i="35"/>
  <c r="W7" i="35"/>
  <c r="V7" i="35"/>
  <c r="U7" i="35"/>
  <c r="T7" i="35"/>
  <c r="S7" i="35"/>
  <c r="R7" i="35"/>
  <c r="Q7" i="35"/>
  <c r="P7" i="35"/>
  <c r="O7" i="35"/>
  <c r="N7" i="35"/>
  <c r="M7" i="35"/>
  <c r="L7" i="35"/>
  <c r="K7" i="35"/>
  <c r="J7" i="35"/>
  <c r="I7" i="35"/>
  <c r="H7" i="35"/>
  <c r="G7" i="35"/>
  <c r="F7" i="35"/>
  <c r="E7" i="35"/>
  <c r="D7" i="35"/>
  <c r="C7" i="35"/>
  <c r="B7" i="35"/>
  <c r="Y6" i="35"/>
  <c r="X6" i="35"/>
  <c r="W6" i="35"/>
  <c r="V6" i="35"/>
  <c r="U6" i="35"/>
  <c r="T6" i="35"/>
  <c r="S6" i="35"/>
  <c r="R6" i="35"/>
  <c r="Q6" i="35"/>
  <c r="P6" i="35"/>
  <c r="O6" i="35"/>
  <c r="N6" i="35"/>
  <c r="M6" i="35"/>
  <c r="L6" i="35"/>
  <c r="K6" i="35"/>
  <c r="J6" i="35"/>
  <c r="I6" i="35"/>
  <c r="H6" i="35"/>
  <c r="G6" i="35"/>
  <c r="F6" i="35"/>
  <c r="E6" i="35"/>
  <c r="D6" i="35"/>
  <c r="C6" i="35"/>
  <c r="B6" i="35"/>
  <c r="Y5" i="35"/>
  <c r="X5" i="35"/>
  <c r="W5" i="35"/>
  <c r="V5" i="35"/>
  <c r="U5" i="35"/>
  <c r="T5" i="35"/>
  <c r="S5" i="35"/>
  <c r="R5" i="35"/>
  <c r="Q5" i="35"/>
  <c r="P5" i="35"/>
  <c r="O5" i="35"/>
  <c r="N5" i="35"/>
  <c r="M5" i="35"/>
  <c r="L5" i="35"/>
  <c r="K5" i="35"/>
  <c r="J5" i="35"/>
  <c r="I5" i="35"/>
  <c r="H5" i="35"/>
  <c r="G5" i="35"/>
  <c r="F5" i="35"/>
  <c r="E5" i="35"/>
  <c r="D5" i="35"/>
  <c r="C5" i="35"/>
  <c r="B5" i="35"/>
  <c r="Y4" i="35"/>
  <c r="X4" i="35"/>
  <c r="W4" i="35"/>
  <c r="V4" i="35"/>
  <c r="U4" i="35"/>
  <c r="T4" i="35"/>
  <c r="S4" i="35"/>
  <c r="R4" i="35"/>
  <c r="Q4" i="35"/>
  <c r="P4" i="35"/>
  <c r="O4" i="35"/>
  <c r="N4" i="35"/>
  <c r="M4" i="35"/>
  <c r="L4" i="35"/>
  <c r="K4" i="35"/>
  <c r="J4" i="35"/>
  <c r="I4" i="35"/>
  <c r="H4" i="35"/>
  <c r="G4" i="35"/>
  <c r="F4" i="35"/>
  <c r="E4" i="35"/>
  <c r="D4" i="35"/>
  <c r="C4" i="35"/>
  <c r="B4" i="35"/>
  <c r="Y3" i="35"/>
  <c r="X3" i="35"/>
  <c r="W3" i="35"/>
  <c r="V3" i="35"/>
  <c r="U3" i="35"/>
  <c r="T3" i="35"/>
  <c r="S3" i="35"/>
  <c r="R3" i="35"/>
  <c r="Q3" i="35"/>
  <c r="P3" i="35"/>
  <c r="O3" i="35"/>
  <c r="N3" i="35"/>
  <c r="M3" i="35"/>
  <c r="L3" i="35"/>
  <c r="K3" i="35"/>
  <c r="J3" i="35"/>
  <c r="I3" i="35"/>
  <c r="H3" i="35"/>
  <c r="G3" i="35"/>
  <c r="F3" i="35"/>
  <c r="E3" i="35"/>
  <c r="D3" i="35"/>
  <c r="C3" i="35"/>
  <c r="B3" i="35"/>
  <c r="Y2" i="35"/>
  <c r="X2" i="35"/>
  <c r="W2" i="35"/>
  <c r="V2" i="35"/>
  <c r="U2" i="35"/>
  <c r="T2" i="35"/>
  <c r="S2" i="35"/>
  <c r="R2" i="35"/>
  <c r="Q2" i="35"/>
  <c r="P2" i="35"/>
  <c r="O2" i="35"/>
  <c r="N2" i="35"/>
  <c r="M2" i="35"/>
  <c r="L2" i="35"/>
  <c r="K2" i="35"/>
  <c r="J2" i="35"/>
  <c r="I2" i="35"/>
  <c r="H2" i="35"/>
  <c r="G2" i="35"/>
  <c r="F2" i="35"/>
  <c r="E2" i="35"/>
  <c r="D2" i="35"/>
  <c r="C2" i="35"/>
  <c r="B2" i="35"/>
  <c r="Y7" i="34"/>
  <c r="X7" i="34"/>
  <c r="W7" i="34"/>
  <c r="V7" i="34"/>
  <c r="U7" i="34"/>
  <c r="T7" i="34"/>
  <c r="S7" i="34"/>
  <c r="R7" i="34"/>
  <c r="Q7" i="34"/>
  <c r="P7" i="34"/>
  <c r="O7" i="34"/>
  <c r="N7" i="34"/>
  <c r="M7" i="34"/>
  <c r="L7" i="34"/>
  <c r="K7" i="34"/>
  <c r="J7" i="34"/>
  <c r="I7" i="34"/>
  <c r="H7" i="34"/>
  <c r="G7" i="34"/>
  <c r="F7" i="34"/>
  <c r="E7" i="34"/>
  <c r="D7" i="34"/>
  <c r="C7" i="34"/>
  <c r="B7" i="34"/>
  <c r="Y6" i="34"/>
  <c r="X6" i="34"/>
  <c r="W6" i="34"/>
  <c r="V6" i="34"/>
  <c r="U6" i="34"/>
  <c r="T6" i="34"/>
  <c r="S6" i="34"/>
  <c r="R6" i="34"/>
  <c r="Q6" i="34"/>
  <c r="P6" i="34"/>
  <c r="O6" i="34"/>
  <c r="N6" i="34"/>
  <c r="M6" i="34"/>
  <c r="L6" i="34"/>
  <c r="K6" i="34"/>
  <c r="J6" i="34"/>
  <c r="I6" i="34"/>
  <c r="H6" i="34"/>
  <c r="G6" i="34"/>
  <c r="F6" i="34"/>
  <c r="E6" i="34"/>
  <c r="D6" i="34"/>
  <c r="C6" i="34"/>
  <c r="B6" i="34"/>
  <c r="Y5" i="34"/>
  <c r="X5" i="34"/>
  <c r="W5" i="34"/>
  <c r="V5" i="34"/>
  <c r="U5" i="34"/>
  <c r="T5" i="34"/>
  <c r="S5" i="34"/>
  <c r="R5" i="34"/>
  <c r="Q5" i="34"/>
  <c r="P5" i="34"/>
  <c r="O5" i="34"/>
  <c r="N5" i="34"/>
  <c r="M5" i="34"/>
  <c r="L5" i="34"/>
  <c r="K5" i="34"/>
  <c r="J5" i="34"/>
  <c r="I5" i="34"/>
  <c r="H5" i="34"/>
  <c r="G5" i="34"/>
  <c r="F5" i="34"/>
  <c r="E5" i="34"/>
  <c r="D5" i="34"/>
  <c r="C5" i="34"/>
  <c r="B5" i="34"/>
  <c r="Y4" i="34"/>
  <c r="X4" i="34"/>
  <c r="W4" i="34"/>
  <c r="V4" i="34"/>
  <c r="U4" i="34"/>
  <c r="T4" i="34"/>
  <c r="S4" i="34"/>
  <c r="R4" i="34"/>
  <c r="Q4" i="34"/>
  <c r="P4" i="34"/>
  <c r="O4" i="34"/>
  <c r="N4" i="34"/>
  <c r="M4" i="34"/>
  <c r="L4" i="34"/>
  <c r="K4" i="34"/>
  <c r="J4" i="34"/>
  <c r="I4" i="34"/>
  <c r="H4" i="34"/>
  <c r="G4" i="34"/>
  <c r="F4" i="34"/>
  <c r="E4" i="34"/>
  <c r="D4" i="34"/>
  <c r="C4" i="34"/>
  <c r="B4" i="34"/>
  <c r="Y3" i="34"/>
  <c r="X3" i="34"/>
  <c r="W3" i="34"/>
  <c r="V3" i="34"/>
  <c r="U3" i="34"/>
  <c r="T3" i="34"/>
  <c r="S3" i="34"/>
  <c r="R3" i="34"/>
  <c r="Q3" i="34"/>
  <c r="P3" i="34"/>
  <c r="O3" i="34"/>
  <c r="N3" i="34"/>
  <c r="M3" i="34"/>
  <c r="L3" i="34"/>
  <c r="K3" i="34"/>
  <c r="J3" i="34"/>
  <c r="I3" i="34"/>
  <c r="H3" i="34"/>
  <c r="G3" i="34"/>
  <c r="F3" i="34"/>
  <c r="E3" i="34"/>
  <c r="D3" i="34"/>
  <c r="C3" i="34"/>
  <c r="B3" i="34"/>
  <c r="Y2" i="34"/>
  <c r="X2" i="34"/>
  <c r="W2" i="34"/>
  <c r="V2" i="34"/>
  <c r="U2" i="34"/>
  <c r="T2" i="34"/>
  <c r="S2" i="34"/>
  <c r="R2" i="34"/>
  <c r="Q2" i="34"/>
  <c r="P2" i="34"/>
  <c r="O2" i="34"/>
  <c r="N2" i="34"/>
  <c r="M2" i="34"/>
  <c r="L2" i="34"/>
  <c r="K2" i="34"/>
  <c r="J2" i="34"/>
  <c r="I2" i="34"/>
  <c r="H2" i="34"/>
  <c r="G2" i="34"/>
  <c r="F2" i="34"/>
  <c r="E2" i="34"/>
  <c r="D2" i="34"/>
  <c r="C2" i="34"/>
  <c r="B2" i="34"/>
  <c r="Y7" i="33"/>
  <c r="X7" i="33"/>
  <c r="W7" i="33"/>
  <c r="V7" i="33"/>
  <c r="U7" i="33"/>
  <c r="T7" i="33"/>
  <c r="S7" i="33"/>
  <c r="R7" i="33"/>
  <c r="Q7" i="33"/>
  <c r="P7" i="33"/>
  <c r="O7" i="33"/>
  <c r="N7" i="33"/>
  <c r="M7" i="33"/>
  <c r="L7" i="33"/>
  <c r="K7" i="33"/>
  <c r="J7" i="33"/>
  <c r="I7" i="33"/>
  <c r="H7" i="33"/>
  <c r="G7" i="33"/>
  <c r="F7" i="33"/>
  <c r="E7" i="33"/>
  <c r="D7" i="33"/>
  <c r="C7" i="33"/>
  <c r="B7" i="33"/>
  <c r="Y6" i="33"/>
  <c r="X6" i="33"/>
  <c r="W6" i="33"/>
  <c r="V6" i="33"/>
  <c r="U6" i="33"/>
  <c r="T6" i="33"/>
  <c r="S6" i="33"/>
  <c r="R6" i="33"/>
  <c r="Q6" i="33"/>
  <c r="P6" i="33"/>
  <c r="O6" i="33"/>
  <c r="N6" i="33"/>
  <c r="M6" i="33"/>
  <c r="L6" i="33"/>
  <c r="K6" i="33"/>
  <c r="J6" i="33"/>
  <c r="I6" i="33"/>
  <c r="H6" i="33"/>
  <c r="G6" i="33"/>
  <c r="F6" i="33"/>
  <c r="E6" i="33"/>
  <c r="D6" i="33"/>
  <c r="C6" i="33"/>
  <c r="B6" i="33"/>
  <c r="Y5" i="33"/>
  <c r="X5" i="33"/>
  <c r="W5" i="33"/>
  <c r="V5" i="33"/>
  <c r="U5" i="33"/>
  <c r="T5" i="33"/>
  <c r="S5" i="33"/>
  <c r="R5" i="33"/>
  <c r="Q5" i="33"/>
  <c r="P5" i="33"/>
  <c r="O5" i="33"/>
  <c r="N5" i="33"/>
  <c r="M5" i="33"/>
  <c r="L5" i="33"/>
  <c r="K5" i="33"/>
  <c r="J5" i="33"/>
  <c r="I5" i="33"/>
  <c r="H5" i="33"/>
  <c r="G5" i="33"/>
  <c r="F5" i="33"/>
  <c r="E5" i="33"/>
  <c r="D5" i="33"/>
  <c r="C5" i="33"/>
  <c r="B5" i="33"/>
  <c r="Y4" i="33"/>
  <c r="X4" i="33"/>
  <c r="W4" i="33"/>
  <c r="V4" i="33"/>
  <c r="U4" i="33"/>
  <c r="T4" i="33"/>
  <c r="S4" i="33"/>
  <c r="R4" i="33"/>
  <c r="Q4" i="33"/>
  <c r="P4" i="33"/>
  <c r="O4" i="33"/>
  <c r="N4" i="33"/>
  <c r="M4" i="33"/>
  <c r="L4" i="33"/>
  <c r="K4" i="33"/>
  <c r="J4" i="33"/>
  <c r="I4" i="33"/>
  <c r="H4" i="33"/>
  <c r="G4" i="33"/>
  <c r="F4" i="33"/>
  <c r="E4" i="33"/>
  <c r="D4" i="33"/>
  <c r="C4" i="33"/>
  <c r="B4" i="33"/>
  <c r="Y3" i="33"/>
  <c r="X3" i="33"/>
  <c r="W3" i="33"/>
  <c r="V3" i="33"/>
  <c r="U3" i="33"/>
  <c r="T3" i="33"/>
  <c r="S3" i="33"/>
  <c r="R3" i="33"/>
  <c r="Q3" i="33"/>
  <c r="P3" i="33"/>
  <c r="O3" i="33"/>
  <c r="N3" i="33"/>
  <c r="M3" i="33"/>
  <c r="L3" i="33"/>
  <c r="K3" i="33"/>
  <c r="J3" i="33"/>
  <c r="I3" i="33"/>
  <c r="H3" i="33"/>
  <c r="G3" i="33"/>
  <c r="F3" i="33"/>
  <c r="E3" i="33"/>
  <c r="D3" i="33"/>
  <c r="C3" i="33"/>
  <c r="B3" i="33"/>
  <c r="Y2" i="33"/>
  <c r="X2" i="33"/>
  <c r="W2" i="33"/>
  <c r="V2" i="33"/>
  <c r="U2" i="33"/>
  <c r="T2" i="33"/>
  <c r="S2" i="33"/>
  <c r="R2" i="33"/>
  <c r="Q2" i="33"/>
  <c r="P2" i="33"/>
  <c r="O2" i="33"/>
  <c r="N2" i="33"/>
  <c r="M2" i="33"/>
  <c r="L2" i="33"/>
  <c r="K2" i="33"/>
  <c r="J2" i="33"/>
  <c r="I2" i="33"/>
  <c r="H2" i="33"/>
  <c r="G2" i="33"/>
  <c r="F2" i="33"/>
  <c r="E2" i="33"/>
  <c r="D2" i="33"/>
  <c r="C2" i="33"/>
  <c r="B2" i="33"/>
  <c r="Y7" i="32"/>
  <c r="X7" i="32"/>
  <c r="W7" i="32"/>
  <c r="V7" i="32"/>
  <c r="U7" i="32"/>
  <c r="T7" i="32"/>
  <c r="S7" i="32"/>
  <c r="R7" i="32"/>
  <c r="Q7" i="32"/>
  <c r="P7" i="32"/>
  <c r="O7" i="32"/>
  <c r="N7" i="32"/>
  <c r="M7" i="32"/>
  <c r="L7" i="32"/>
  <c r="K7" i="32"/>
  <c r="J7" i="32"/>
  <c r="I7" i="32"/>
  <c r="H7" i="32"/>
  <c r="G7" i="32"/>
  <c r="F7" i="32"/>
  <c r="E7" i="32"/>
  <c r="D7" i="32"/>
  <c r="C7" i="32"/>
  <c r="B7" i="32"/>
  <c r="Y6" i="32"/>
  <c r="X6" i="32"/>
  <c r="W6" i="32"/>
  <c r="V6" i="32"/>
  <c r="U6" i="32"/>
  <c r="T6" i="32"/>
  <c r="S6" i="32"/>
  <c r="R6" i="32"/>
  <c r="Q6" i="32"/>
  <c r="P6" i="32"/>
  <c r="O6" i="32"/>
  <c r="N6" i="32"/>
  <c r="M6" i="32"/>
  <c r="L6" i="32"/>
  <c r="K6" i="32"/>
  <c r="J6" i="32"/>
  <c r="I6" i="32"/>
  <c r="H6" i="32"/>
  <c r="G6" i="32"/>
  <c r="F6" i="32"/>
  <c r="E6" i="32"/>
  <c r="D6" i="32"/>
  <c r="C6" i="32"/>
  <c r="B6" i="32"/>
  <c r="Y5" i="32"/>
  <c r="X5" i="32"/>
  <c r="W5" i="32"/>
  <c r="V5" i="32"/>
  <c r="U5" i="32"/>
  <c r="T5" i="32"/>
  <c r="S5" i="32"/>
  <c r="R5" i="32"/>
  <c r="Q5" i="32"/>
  <c r="P5" i="32"/>
  <c r="O5" i="32"/>
  <c r="N5" i="32"/>
  <c r="M5" i="32"/>
  <c r="L5" i="32"/>
  <c r="K5" i="32"/>
  <c r="J5" i="32"/>
  <c r="I5" i="32"/>
  <c r="H5" i="32"/>
  <c r="G5" i="32"/>
  <c r="F5" i="32"/>
  <c r="E5" i="32"/>
  <c r="D5" i="32"/>
  <c r="C5" i="32"/>
  <c r="B5" i="32"/>
  <c r="Y4" i="32"/>
  <c r="X4" i="32"/>
  <c r="W4" i="32"/>
  <c r="V4" i="32"/>
  <c r="U4" i="32"/>
  <c r="T4" i="32"/>
  <c r="S4" i="32"/>
  <c r="R4" i="32"/>
  <c r="Q4" i="32"/>
  <c r="P4" i="32"/>
  <c r="O4" i="32"/>
  <c r="N4" i="32"/>
  <c r="M4" i="32"/>
  <c r="L4" i="32"/>
  <c r="K4" i="32"/>
  <c r="J4" i="32"/>
  <c r="I4" i="32"/>
  <c r="H4" i="32"/>
  <c r="G4" i="32"/>
  <c r="F4" i="32"/>
  <c r="E4" i="32"/>
  <c r="D4" i="32"/>
  <c r="C4" i="32"/>
  <c r="B4" i="32"/>
  <c r="Y3" i="32"/>
  <c r="X3" i="32"/>
  <c r="W3" i="32"/>
  <c r="V3" i="32"/>
  <c r="U3" i="32"/>
  <c r="T3" i="32"/>
  <c r="S3" i="32"/>
  <c r="R3" i="32"/>
  <c r="Q3" i="32"/>
  <c r="P3" i="32"/>
  <c r="O3" i="32"/>
  <c r="N3" i="32"/>
  <c r="M3" i="32"/>
  <c r="L3" i="32"/>
  <c r="K3" i="32"/>
  <c r="J3" i="32"/>
  <c r="I3" i="32"/>
  <c r="H3" i="32"/>
  <c r="G3" i="32"/>
  <c r="F3" i="32"/>
  <c r="E3" i="32"/>
  <c r="D3" i="32"/>
  <c r="C3" i="32"/>
  <c r="B3" i="32"/>
  <c r="Y2" i="32"/>
  <c r="X2" i="32"/>
  <c r="W2" i="32"/>
  <c r="V2" i="32"/>
  <c r="U2" i="32"/>
  <c r="T2" i="32"/>
  <c r="S2" i="32"/>
  <c r="R2" i="32"/>
  <c r="Q2" i="32"/>
  <c r="P2" i="32"/>
  <c r="O2" i="32"/>
  <c r="N2" i="32"/>
  <c r="M2" i="32"/>
  <c r="L2" i="32"/>
  <c r="K2" i="32"/>
  <c r="J2" i="32"/>
  <c r="I2" i="32"/>
  <c r="H2" i="32"/>
  <c r="G2" i="32"/>
  <c r="F2" i="32"/>
  <c r="E2" i="32"/>
  <c r="D2" i="32"/>
  <c r="C2" i="32"/>
  <c r="B2" i="32"/>
  <c r="Y7" i="31"/>
  <c r="X7" i="31"/>
  <c r="W7" i="31"/>
  <c r="V7" i="31"/>
  <c r="U7" i="31"/>
  <c r="T7" i="31"/>
  <c r="S7" i="31"/>
  <c r="R7" i="31"/>
  <c r="Q7" i="31"/>
  <c r="P7" i="31"/>
  <c r="O7" i="31"/>
  <c r="N7" i="31"/>
  <c r="M7" i="31"/>
  <c r="L7" i="31"/>
  <c r="K7" i="31"/>
  <c r="J7" i="31"/>
  <c r="I7" i="31"/>
  <c r="H7" i="31"/>
  <c r="G7" i="31"/>
  <c r="F7" i="31"/>
  <c r="E7" i="31"/>
  <c r="D7" i="31"/>
  <c r="C7" i="31"/>
  <c r="B7" i="31"/>
  <c r="Y6" i="31"/>
  <c r="X6" i="31"/>
  <c r="W6" i="31"/>
  <c r="V6" i="31"/>
  <c r="U6" i="31"/>
  <c r="T6" i="31"/>
  <c r="S6" i="31"/>
  <c r="R6" i="31"/>
  <c r="Q6" i="31"/>
  <c r="P6" i="31"/>
  <c r="O6" i="31"/>
  <c r="N6" i="31"/>
  <c r="M6" i="31"/>
  <c r="L6" i="31"/>
  <c r="K6" i="31"/>
  <c r="J6" i="31"/>
  <c r="I6" i="31"/>
  <c r="H6" i="31"/>
  <c r="G6" i="31"/>
  <c r="F6" i="31"/>
  <c r="E6" i="31"/>
  <c r="D6" i="31"/>
  <c r="C6" i="31"/>
  <c r="B6" i="31"/>
  <c r="Y5" i="31"/>
  <c r="X5" i="31"/>
  <c r="W5" i="31"/>
  <c r="V5" i="31"/>
  <c r="U5" i="31"/>
  <c r="T5" i="31"/>
  <c r="S5" i="31"/>
  <c r="R5" i="31"/>
  <c r="Q5" i="31"/>
  <c r="P5" i="31"/>
  <c r="O5" i="31"/>
  <c r="N5" i="31"/>
  <c r="M5" i="31"/>
  <c r="L5" i="31"/>
  <c r="K5" i="31"/>
  <c r="J5" i="31"/>
  <c r="I5" i="31"/>
  <c r="H5" i="31"/>
  <c r="G5" i="31"/>
  <c r="F5" i="31"/>
  <c r="E5" i="31"/>
  <c r="D5" i="31"/>
  <c r="C5" i="31"/>
  <c r="B5" i="31"/>
  <c r="Y4" i="31"/>
  <c r="X4" i="31"/>
  <c r="W4" i="31"/>
  <c r="V4" i="31"/>
  <c r="U4" i="31"/>
  <c r="T4" i="31"/>
  <c r="S4" i="31"/>
  <c r="R4" i="31"/>
  <c r="Q4" i="31"/>
  <c r="P4" i="31"/>
  <c r="O4" i="31"/>
  <c r="N4" i="31"/>
  <c r="M4" i="31"/>
  <c r="L4" i="31"/>
  <c r="K4" i="31"/>
  <c r="J4" i="31"/>
  <c r="I4" i="31"/>
  <c r="H4" i="31"/>
  <c r="G4" i="31"/>
  <c r="F4" i="31"/>
  <c r="E4" i="31"/>
  <c r="D4" i="31"/>
  <c r="C4" i="31"/>
  <c r="B4" i="31"/>
  <c r="Y3" i="31"/>
  <c r="X3" i="31"/>
  <c r="W3" i="31"/>
  <c r="V3" i="31"/>
  <c r="U3" i="31"/>
  <c r="T3" i="31"/>
  <c r="S3" i="31"/>
  <c r="R3" i="31"/>
  <c r="Q3" i="31"/>
  <c r="P3" i="31"/>
  <c r="O3" i="31"/>
  <c r="N3" i="31"/>
  <c r="M3" i="31"/>
  <c r="L3" i="31"/>
  <c r="K3" i="31"/>
  <c r="J3" i="31"/>
  <c r="I3" i="31"/>
  <c r="H3" i="31"/>
  <c r="G3" i="31"/>
  <c r="F3" i="31"/>
  <c r="E3" i="31"/>
  <c r="D3" i="31"/>
  <c r="C3" i="31"/>
  <c r="B3" i="31"/>
  <c r="Y2" i="31"/>
  <c r="X2" i="31"/>
  <c r="W2" i="31"/>
  <c r="V2" i="31"/>
  <c r="U2" i="31"/>
  <c r="T2" i="31"/>
  <c r="S2" i="31"/>
  <c r="R2" i="31"/>
  <c r="Q2" i="31"/>
  <c r="P2" i="31"/>
  <c r="O2" i="31"/>
  <c r="N2" i="31"/>
  <c r="M2" i="31"/>
  <c r="L2" i="31"/>
  <c r="K2" i="31"/>
  <c r="J2" i="31"/>
  <c r="I2" i="31"/>
  <c r="H2" i="31"/>
  <c r="G2" i="31"/>
  <c r="F2" i="31"/>
  <c r="E2" i="31"/>
  <c r="D2" i="31"/>
  <c r="C2" i="31"/>
  <c r="B2" i="31"/>
  <c r="Y7" i="30"/>
  <c r="X7" i="30"/>
  <c r="W7" i="30"/>
  <c r="V7" i="30"/>
  <c r="U7" i="30"/>
  <c r="T7" i="30"/>
  <c r="S7" i="30"/>
  <c r="R7" i="30"/>
  <c r="Q7" i="30"/>
  <c r="P7" i="30"/>
  <c r="O7" i="30"/>
  <c r="N7" i="30"/>
  <c r="M7" i="30"/>
  <c r="L7" i="30"/>
  <c r="K7" i="30"/>
  <c r="J7" i="30"/>
  <c r="I7" i="30"/>
  <c r="H7" i="30"/>
  <c r="G7" i="30"/>
  <c r="F7" i="30"/>
  <c r="E7" i="30"/>
  <c r="D7" i="30"/>
  <c r="C7" i="30"/>
  <c r="B7" i="30"/>
  <c r="Y6" i="30"/>
  <c r="X6" i="30"/>
  <c r="W6" i="30"/>
  <c r="V6" i="30"/>
  <c r="U6" i="30"/>
  <c r="T6" i="30"/>
  <c r="S6" i="30"/>
  <c r="R6" i="30"/>
  <c r="Q6" i="30"/>
  <c r="P6" i="30"/>
  <c r="O6" i="30"/>
  <c r="N6" i="30"/>
  <c r="M6" i="30"/>
  <c r="L6" i="30"/>
  <c r="K6" i="30"/>
  <c r="J6" i="30"/>
  <c r="I6" i="30"/>
  <c r="H6" i="30"/>
  <c r="G6" i="30"/>
  <c r="F6" i="30"/>
  <c r="E6" i="30"/>
  <c r="D6" i="30"/>
  <c r="C6" i="30"/>
  <c r="B6" i="30"/>
  <c r="Y5" i="30"/>
  <c r="X5" i="30"/>
  <c r="W5" i="30"/>
  <c r="V5" i="30"/>
  <c r="U5" i="30"/>
  <c r="T5" i="30"/>
  <c r="S5" i="30"/>
  <c r="R5" i="30"/>
  <c r="Q5" i="30"/>
  <c r="P5" i="30"/>
  <c r="O5" i="30"/>
  <c r="N5" i="30"/>
  <c r="M5" i="30"/>
  <c r="L5" i="30"/>
  <c r="K5" i="30"/>
  <c r="J5" i="30"/>
  <c r="I5" i="30"/>
  <c r="H5" i="30"/>
  <c r="G5" i="30"/>
  <c r="F5" i="30"/>
  <c r="E5" i="30"/>
  <c r="D5" i="30"/>
  <c r="C5" i="30"/>
  <c r="B5" i="30"/>
  <c r="Y4" i="30"/>
  <c r="X4" i="30"/>
  <c r="W4" i="30"/>
  <c r="V4" i="30"/>
  <c r="U4" i="30"/>
  <c r="T4" i="30"/>
  <c r="S4" i="30"/>
  <c r="R4" i="30"/>
  <c r="Q4" i="30"/>
  <c r="P4" i="30"/>
  <c r="O4" i="30"/>
  <c r="N4" i="30"/>
  <c r="M4" i="30"/>
  <c r="L4" i="30"/>
  <c r="K4" i="30"/>
  <c r="J4" i="30"/>
  <c r="I4" i="30"/>
  <c r="H4" i="30"/>
  <c r="G4" i="30"/>
  <c r="F4" i="30"/>
  <c r="E4" i="30"/>
  <c r="D4" i="30"/>
  <c r="C4" i="30"/>
  <c r="B4" i="30"/>
  <c r="Y3" i="30"/>
  <c r="X3" i="30"/>
  <c r="W3" i="30"/>
  <c r="V3" i="30"/>
  <c r="U3" i="30"/>
  <c r="T3" i="30"/>
  <c r="S3" i="30"/>
  <c r="R3" i="30"/>
  <c r="Q3" i="30"/>
  <c r="P3" i="30"/>
  <c r="O3" i="30"/>
  <c r="N3" i="30"/>
  <c r="M3" i="30"/>
  <c r="L3" i="30"/>
  <c r="K3" i="30"/>
  <c r="J3" i="30"/>
  <c r="I3" i="30"/>
  <c r="H3" i="30"/>
  <c r="G3" i="30"/>
  <c r="F3" i="30"/>
  <c r="E3" i="30"/>
  <c r="D3" i="30"/>
  <c r="C3" i="30"/>
  <c r="B3" i="30"/>
  <c r="Y2" i="30"/>
  <c r="X2" i="30"/>
  <c r="W2" i="30"/>
  <c r="V2" i="30"/>
  <c r="U2" i="30"/>
  <c r="T2" i="30"/>
  <c r="S2" i="30"/>
  <c r="R2" i="30"/>
  <c r="Q2" i="30"/>
  <c r="P2" i="30"/>
  <c r="O2" i="30"/>
  <c r="N2" i="30"/>
  <c r="M2" i="30"/>
  <c r="L2" i="30"/>
  <c r="K2" i="30"/>
  <c r="J2" i="30"/>
  <c r="I2" i="30"/>
  <c r="H2" i="30"/>
  <c r="G2" i="30"/>
  <c r="F2" i="30"/>
  <c r="E2" i="30"/>
  <c r="D2" i="30"/>
  <c r="C2" i="30"/>
  <c r="B2" i="30"/>
  <c r="Y7" i="29"/>
  <c r="X7" i="29"/>
  <c r="W7" i="29"/>
  <c r="V7" i="29"/>
  <c r="U7" i="29"/>
  <c r="T7" i="29"/>
  <c r="S7" i="29"/>
  <c r="R7" i="29"/>
  <c r="Q7" i="29"/>
  <c r="P7" i="29"/>
  <c r="O7" i="29"/>
  <c r="N7" i="29"/>
  <c r="M7" i="29"/>
  <c r="L7" i="29"/>
  <c r="K7" i="29"/>
  <c r="J7" i="29"/>
  <c r="I7" i="29"/>
  <c r="H7" i="29"/>
  <c r="G7" i="29"/>
  <c r="F7" i="29"/>
  <c r="E7" i="29"/>
  <c r="D7" i="29"/>
  <c r="C7" i="29"/>
  <c r="B7" i="29"/>
  <c r="Y6" i="29"/>
  <c r="X6" i="29"/>
  <c r="W6" i="29"/>
  <c r="V6" i="29"/>
  <c r="U6" i="29"/>
  <c r="T6" i="29"/>
  <c r="S6" i="29"/>
  <c r="R6" i="29"/>
  <c r="Q6" i="29"/>
  <c r="P6" i="29"/>
  <c r="O6" i="29"/>
  <c r="N6" i="29"/>
  <c r="M6" i="29"/>
  <c r="L6" i="29"/>
  <c r="K6" i="29"/>
  <c r="J6" i="29"/>
  <c r="I6" i="29"/>
  <c r="H6" i="29"/>
  <c r="G6" i="29"/>
  <c r="F6" i="29"/>
  <c r="E6" i="29"/>
  <c r="D6" i="29"/>
  <c r="C6" i="29"/>
  <c r="B6" i="29"/>
  <c r="Y5" i="29"/>
  <c r="X5" i="29"/>
  <c r="W5" i="29"/>
  <c r="V5" i="29"/>
  <c r="U5" i="29"/>
  <c r="T5" i="29"/>
  <c r="S5" i="29"/>
  <c r="R5" i="29"/>
  <c r="Q5" i="29"/>
  <c r="P5" i="29"/>
  <c r="O5" i="29"/>
  <c r="N5" i="29"/>
  <c r="M5" i="29"/>
  <c r="L5" i="29"/>
  <c r="K5" i="29"/>
  <c r="J5" i="29"/>
  <c r="I5" i="29"/>
  <c r="H5" i="29"/>
  <c r="G5" i="29"/>
  <c r="F5" i="29"/>
  <c r="E5" i="29"/>
  <c r="D5" i="29"/>
  <c r="C5" i="29"/>
  <c r="B5" i="29"/>
  <c r="Y4" i="29"/>
  <c r="X4" i="29"/>
  <c r="W4" i="29"/>
  <c r="V4" i="29"/>
  <c r="U4" i="29"/>
  <c r="T4" i="29"/>
  <c r="S4" i="29"/>
  <c r="R4" i="29"/>
  <c r="Q4" i="29"/>
  <c r="P4" i="29"/>
  <c r="O4" i="29"/>
  <c r="N4" i="29"/>
  <c r="M4" i="29"/>
  <c r="L4" i="29"/>
  <c r="K4" i="29"/>
  <c r="J4" i="29"/>
  <c r="I4" i="29"/>
  <c r="H4" i="29"/>
  <c r="G4" i="29"/>
  <c r="F4" i="29"/>
  <c r="E4" i="29"/>
  <c r="D4" i="29"/>
  <c r="C4" i="29"/>
  <c r="B4" i="29"/>
  <c r="Y3" i="29"/>
  <c r="X3" i="29"/>
  <c r="W3" i="29"/>
  <c r="V3" i="29"/>
  <c r="U3" i="29"/>
  <c r="T3" i="29"/>
  <c r="S3" i="29"/>
  <c r="R3" i="29"/>
  <c r="Q3" i="29"/>
  <c r="P3" i="29"/>
  <c r="O3" i="29"/>
  <c r="N3" i="29"/>
  <c r="M3" i="29"/>
  <c r="L3" i="29"/>
  <c r="K3" i="29"/>
  <c r="J3" i="29"/>
  <c r="I3" i="29"/>
  <c r="H3" i="29"/>
  <c r="G3" i="29"/>
  <c r="F3" i="29"/>
  <c r="E3" i="29"/>
  <c r="D3" i="29"/>
  <c r="C3" i="29"/>
  <c r="B3" i="29"/>
  <c r="Y2" i="29"/>
  <c r="X2" i="29"/>
  <c r="W2" i="29"/>
  <c r="V2" i="29"/>
  <c r="U2" i="29"/>
  <c r="T2" i="29"/>
  <c r="S2" i="29"/>
  <c r="R2" i="29"/>
  <c r="Q2" i="29"/>
  <c r="P2" i="29"/>
  <c r="O2" i="29"/>
  <c r="N2" i="29"/>
  <c r="M2" i="29"/>
  <c r="L2" i="29"/>
  <c r="K2" i="29"/>
  <c r="J2" i="29"/>
  <c r="I2" i="29"/>
  <c r="H2" i="29"/>
  <c r="G2" i="29"/>
  <c r="F2" i="29"/>
  <c r="E2" i="29"/>
  <c r="D2" i="29"/>
  <c r="C2" i="29"/>
  <c r="B2" i="29"/>
  <c r="Y7" i="28"/>
  <c r="X7" i="28"/>
  <c r="W7" i="28"/>
  <c r="V7" i="28"/>
  <c r="U7" i="28"/>
  <c r="T7" i="28"/>
  <c r="S7" i="28"/>
  <c r="R7" i="28"/>
  <c r="Q7" i="28"/>
  <c r="P7" i="28"/>
  <c r="O7" i="28"/>
  <c r="N7" i="28"/>
  <c r="M7" i="28"/>
  <c r="L7" i="28"/>
  <c r="K7" i="28"/>
  <c r="J7" i="28"/>
  <c r="I7" i="28"/>
  <c r="H7" i="28"/>
  <c r="G7" i="28"/>
  <c r="F7" i="28"/>
  <c r="E7" i="28"/>
  <c r="D7" i="28"/>
  <c r="C7" i="28"/>
  <c r="B7" i="28"/>
  <c r="Y6" i="28"/>
  <c r="X6" i="28"/>
  <c r="W6" i="28"/>
  <c r="V6" i="28"/>
  <c r="U6" i="28"/>
  <c r="T6" i="28"/>
  <c r="S6" i="28"/>
  <c r="R6" i="28"/>
  <c r="Q6" i="28"/>
  <c r="P6" i="28"/>
  <c r="O6" i="28"/>
  <c r="N6" i="28"/>
  <c r="M6" i="28"/>
  <c r="L6" i="28"/>
  <c r="K6" i="28"/>
  <c r="J6" i="28"/>
  <c r="I6" i="28"/>
  <c r="H6" i="28"/>
  <c r="G6" i="28"/>
  <c r="F6" i="28"/>
  <c r="E6" i="28"/>
  <c r="D6" i="28"/>
  <c r="C6" i="28"/>
  <c r="B6" i="28"/>
  <c r="Y5" i="28"/>
  <c r="X5" i="28"/>
  <c r="W5" i="28"/>
  <c r="V5" i="28"/>
  <c r="U5" i="28"/>
  <c r="T5" i="28"/>
  <c r="S5" i="28"/>
  <c r="R5" i="28"/>
  <c r="Q5" i="28"/>
  <c r="P5" i="28"/>
  <c r="O5" i="28"/>
  <c r="N5" i="28"/>
  <c r="M5" i="28"/>
  <c r="L5" i="28"/>
  <c r="K5" i="28"/>
  <c r="J5" i="28"/>
  <c r="I5" i="28"/>
  <c r="H5" i="28"/>
  <c r="G5" i="28"/>
  <c r="F5" i="28"/>
  <c r="E5" i="28"/>
  <c r="D5" i="28"/>
  <c r="C5" i="28"/>
  <c r="B5" i="28"/>
  <c r="Y4" i="28"/>
  <c r="X4" i="28"/>
  <c r="W4" i="28"/>
  <c r="V4" i="28"/>
  <c r="U4" i="28"/>
  <c r="T4" i="28"/>
  <c r="S4" i="28"/>
  <c r="R4" i="28"/>
  <c r="Q4" i="28"/>
  <c r="P4" i="28"/>
  <c r="O4" i="28"/>
  <c r="N4" i="28"/>
  <c r="M4" i="28"/>
  <c r="L4" i="28"/>
  <c r="K4" i="28"/>
  <c r="J4" i="28"/>
  <c r="I4" i="28"/>
  <c r="H4" i="28"/>
  <c r="G4" i="28"/>
  <c r="F4" i="28"/>
  <c r="E4" i="28"/>
  <c r="D4" i="28"/>
  <c r="C4" i="28"/>
  <c r="B4" i="28"/>
  <c r="Y3" i="28"/>
  <c r="X3" i="28"/>
  <c r="W3" i="28"/>
  <c r="V3" i="28"/>
  <c r="U3" i="28"/>
  <c r="T3" i="28"/>
  <c r="S3" i="28"/>
  <c r="R3" i="28"/>
  <c r="Q3" i="28"/>
  <c r="P3" i="28"/>
  <c r="O3" i="28"/>
  <c r="N3" i="28"/>
  <c r="M3" i="28"/>
  <c r="L3" i="28"/>
  <c r="K3" i="28"/>
  <c r="J3" i="28"/>
  <c r="I3" i="28"/>
  <c r="H3" i="28"/>
  <c r="G3" i="28"/>
  <c r="F3" i="28"/>
  <c r="E3" i="28"/>
  <c r="D3" i="28"/>
  <c r="C3" i="28"/>
  <c r="B3" i="28"/>
  <c r="Y2" i="28"/>
  <c r="X2" i="28"/>
  <c r="W2" i="28"/>
  <c r="V2" i="28"/>
  <c r="U2" i="28"/>
  <c r="T2" i="28"/>
  <c r="S2" i="28"/>
  <c r="R2" i="28"/>
  <c r="Q2" i="28"/>
  <c r="P2" i="28"/>
  <c r="O2" i="28"/>
  <c r="N2" i="28"/>
  <c r="M2" i="28"/>
  <c r="L2" i="28"/>
  <c r="K2" i="28"/>
  <c r="J2" i="28"/>
  <c r="I2" i="28"/>
  <c r="H2" i="28"/>
  <c r="G2" i="28"/>
  <c r="F2" i="28"/>
  <c r="E2" i="28"/>
  <c r="D2" i="28"/>
  <c r="C2" i="28"/>
  <c r="B2" i="28"/>
  <c r="Y7" i="27"/>
  <c r="X7" i="27"/>
  <c r="W7" i="27"/>
  <c r="V7" i="27"/>
  <c r="U7" i="27"/>
  <c r="T7" i="27"/>
  <c r="S7" i="27"/>
  <c r="R7" i="27"/>
  <c r="Q7" i="27"/>
  <c r="P7" i="27"/>
  <c r="O7" i="27"/>
  <c r="N7" i="27"/>
  <c r="M7" i="27"/>
  <c r="L7" i="27"/>
  <c r="K7" i="27"/>
  <c r="J7" i="27"/>
  <c r="I7" i="27"/>
  <c r="H7" i="27"/>
  <c r="G7" i="27"/>
  <c r="F7" i="27"/>
  <c r="E7" i="27"/>
  <c r="D7" i="27"/>
  <c r="C7" i="27"/>
  <c r="B7" i="27"/>
  <c r="Y6" i="27"/>
  <c r="X6" i="27"/>
  <c r="W6" i="27"/>
  <c r="V6" i="27"/>
  <c r="U6" i="27"/>
  <c r="T6" i="27"/>
  <c r="S6" i="27"/>
  <c r="R6" i="27"/>
  <c r="Q6" i="27"/>
  <c r="P6" i="27"/>
  <c r="O6" i="27"/>
  <c r="N6" i="27"/>
  <c r="M6" i="27"/>
  <c r="L6" i="27"/>
  <c r="K6" i="27"/>
  <c r="J6" i="27"/>
  <c r="I6" i="27"/>
  <c r="H6" i="27"/>
  <c r="G6" i="27"/>
  <c r="F6" i="27"/>
  <c r="E6" i="27"/>
  <c r="D6" i="27"/>
  <c r="C6" i="27"/>
  <c r="B6" i="27"/>
  <c r="Y5" i="27"/>
  <c r="X5" i="27"/>
  <c r="W5" i="27"/>
  <c r="V5" i="27"/>
  <c r="U5" i="27"/>
  <c r="T5" i="27"/>
  <c r="S5" i="27"/>
  <c r="R5" i="27"/>
  <c r="Q5" i="27"/>
  <c r="P5" i="27"/>
  <c r="O5" i="27"/>
  <c r="N5" i="27"/>
  <c r="M5" i="27"/>
  <c r="L5" i="27"/>
  <c r="K5" i="27"/>
  <c r="J5" i="27"/>
  <c r="I5" i="27"/>
  <c r="H5" i="27"/>
  <c r="G5" i="27"/>
  <c r="F5" i="27"/>
  <c r="E5" i="27"/>
  <c r="D5" i="27"/>
  <c r="C5" i="27"/>
  <c r="B5" i="27"/>
  <c r="Y4" i="27"/>
  <c r="X4" i="27"/>
  <c r="W4" i="27"/>
  <c r="V4" i="27"/>
  <c r="U4" i="27"/>
  <c r="T4" i="27"/>
  <c r="S4" i="27"/>
  <c r="R4" i="27"/>
  <c r="Q4" i="27"/>
  <c r="P4" i="27"/>
  <c r="O4" i="27"/>
  <c r="N4" i="27"/>
  <c r="M4" i="27"/>
  <c r="L4" i="27"/>
  <c r="K4" i="27"/>
  <c r="J4" i="27"/>
  <c r="I4" i="27"/>
  <c r="H4" i="27"/>
  <c r="G4" i="27"/>
  <c r="F4" i="27"/>
  <c r="E4" i="27"/>
  <c r="D4" i="27"/>
  <c r="C4" i="27"/>
  <c r="B4" i="27"/>
  <c r="Y3" i="27"/>
  <c r="X3" i="27"/>
  <c r="W3" i="27"/>
  <c r="V3" i="27"/>
  <c r="U3" i="27"/>
  <c r="T3" i="27"/>
  <c r="S3" i="27"/>
  <c r="R3" i="27"/>
  <c r="Q3" i="27"/>
  <c r="P3" i="27"/>
  <c r="O3" i="27"/>
  <c r="N3" i="27"/>
  <c r="M3" i="27"/>
  <c r="L3" i="27"/>
  <c r="K3" i="27"/>
  <c r="J3" i="27"/>
  <c r="I3" i="27"/>
  <c r="H3" i="27"/>
  <c r="G3" i="27"/>
  <c r="F3" i="27"/>
  <c r="E3" i="27"/>
  <c r="D3" i="27"/>
  <c r="C3" i="27"/>
  <c r="B3" i="27"/>
  <c r="Y2" i="27"/>
  <c r="X2" i="27"/>
  <c r="W2" i="27"/>
  <c r="V2" i="27"/>
  <c r="U2" i="27"/>
  <c r="T2" i="27"/>
  <c r="S2" i="27"/>
  <c r="R2" i="27"/>
  <c r="Q2" i="27"/>
  <c r="P2" i="27"/>
  <c r="O2" i="27"/>
  <c r="N2" i="27"/>
  <c r="M2" i="27"/>
  <c r="L2" i="27"/>
  <c r="K2" i="27"/>
  <c r="J2" i="27"/>
  <c r="I2" i="27"/>
  <c r="H2" i="27"/>
  <c r="G2" i="27"/>
  <c r="F2" i="27"/>
  <c r="E2" i="27"/>
  <c r="D2" i="27"/>
  <c r="C2" i="27"/>
  <c r="B2" i="27"/>
  <c r="Y7" i="26"/>
  <c r="X7" i="26"/>
  <c r="W7" i="26"/>
  <c r="V7" i="26"/>
  <c r="U7" i="26"/>
  <c r="T7" i="26"/>
  <c r="S7" i="26"/>
  <c r="R7" i="26"/>
  <c r="Q7" i="26"/>
  <c r="P7" i="26"/>
  <c r="O7" i="26"/>
  <c r="N7" i="26"/>
  <c r="M7" i="26"/>
  <c r="L7" i="26"/>
  <c r="K7" i="26"/>
  <c r="J7" i="26"/>
  <c r="I7" i="26"/>
  <c r="H7" i="26"/>
  <c r="G7" i="26"/>
  <c r="F7" i="26"/>
  <c r="E7" i="26"/>
  <c r="D7" i="26"/>
  <c r="C7" i="26"/>
  <c r="B7" i="26"/>
  <c r="Y6" i="26"/>
  <c r="X6" i="26"/>
  <c r="W6" i="26"/>
  <c r="V6" i="26"/>
  <c r="U6" i="26"/>
  <c r="T6" i="26"/>
  <c r="S6" i="26"/>
  <c r="R6" i="26"/>
  <c r="Q6" i="26"/>
  <c r="P6" i="26"/>
  <c r="O6" i="26"/>
  <c r="N6" i="26"/>
  <c r="M6" i="26"/>
  <c r="L6" i="26"/>
  <c r="K6" i="26"/>
  <c r="J6" i="26"/>
  <c r="I6" i="26"/>
  <c r="H6" i="26"/>
  <c r="G6" i="26"/>
  <c r="F6" i="26"/>
  <c r="E6" i="26"/>
  <c r="D6" i="26"/>
  <c r="C6" i="26"/>
  <c r="B6" i="26"/>
  <c r="Y5" i="26"/>
  <c r="X5" i="26"/>
  <c r="W5" i="26"/>
  <c r="V5" i="26"/>
  <c r="U5" i="26"/>
  <c r="T5" i="26"/>
  <c r="S5" i="26"/>
  <c r="R5" i="26"/>
  <c r="Q5" i="26"/>
  <c r="P5" i="26"/>
  <c r="O5" i="26"/>
  <c r="N5" i="26"/>
  <c r="M5" i="26"/>
  <c r="L5" i="26"/>
  <c r="K5" i="26"/>
  <c r="J5" i="26"/>
  <c r="I5" i="26"/>
  <c r="H5" i="26"/>
  <c r="G5" i="26"/>
  <c r="F5" i="26"/>
  <c r="E5" i="26"/>
  <c r="D5" i="26"/>
  <c r="C5" i="26"/>
  <c r="B5" i="26"/>
  <c r="Y4" i="26"/>
  <c r="X4" i="26"/>
  <c r="W4" i="26"/>
  <c r="V4" i="26"/>
  <c r="U4" i="26"/>
  <c r="T4" i="26"/>
  <c r="S4" i="26"/>
  <c r="R4" i="26"/>
  <c r="Q4" i="26"/>
  <c r="P4" i="26"/>
  <c r="O4" i="26"/>
  <c r="N4" i="26"/>
  <c r="M4" i="26"/>
  <c r="L4" i="26"/>
  <c r="K4" i="26"/>
  <c r="J4" i="26"/>
  <c r="I4" i="26"/>
  <c r="H4" i="26"/>
  <c r="G4" i="26"/>
  <c r="F4" i="26"/>
  <c r="E4" i="26"/>
  <c r="D4" i="26"/>
  <c r="C4" i="26"/>
  <c r="B4" i="26"/>
  <c r="Y3" i="26"/>
  <c r="X3" i="26"/>
  <c r="W3" i="26"/>
  <c r="V3" i="26"/>
  <c r="U3" i="26"/>
  <c r="T3" i="26"/>
  <c r="S3" i="26"/>
  <c r="R3" i="26"/>
  <c r="Q3" i="26"/>
  <c r="P3" i="26"/>
  <c r="O3" i="26"/>
  <c r="N3" i="26"/>
  <c r="M3" i="26"/>
  <c r="L3" i="26"/>
  <c r="K3" i="26"/>
  <c r="J3" i="26"/>
  <c r="I3" i="26"/>
  <c r="H3" i="26"/>
  <c r="G3" i="26"/>
  <c r="F3" i="26"/>
  <c r="E3" i="26"/>
  <c r="D3" i="26"/>
  <c r="C3" i="26"/>
  <c r="B3" i="26"/>
  <c r="Y2" i="26"/>
  <c r="X2" i="26"/>
  <c r="W2" i="26"/>
  <c r="V2" i="26"/>
  <c r="U2" i="26"/>
  <c r="T2" i="26"/>
  <c r="S2" i="26"/>
  <c r="R2" i="26"/>
  <c r="Q2" i="26"/>
  <c r="P2" i="26"/>
  <c r="O2" i="26"/>
  <c r="N2" i="26"/>
  <c r="M2" i="26"/>
  <c r="L2" i="26"/>
  <c r="K2" i="26"/>
  <c r="J2" i="26"/>
  <c r="I2" i="26"/>
  <c r="H2" i="26"/>
  <c r="G2" i="26"/>
  <c r="F2" i="26"/>
  <c r="E2" i="26"/>
  <c r="D2" i="26"/>
  <c r="C2" i="26"/>
  <c r="B2" i="26"/>
  <c r="Y7" i="25"/>
  <c r="X7" i="25"/>
  <c r="W7" i="25"/>
  <c r="V7" i="25"/>
  <c r="U7" i="25"/>
  <c r="T7" i="25"/>
  <c r="S7" i="25"/>
  <c r="R7" i="25"/>
  <c r="Q7" i="25"/>
  <c r="P7" i="25"/>
  <c r="O7" i="25"/>
  <c r="N7" i="25"/>
  <c r="M7" i="25"/>
  <c r="L7" i="25"/>
  <c r="K7" i="25"/>
  <c r="J7" i="25"/>
  <c r="I7" i="25"/>
  <c r="H7" i="25"/>
  <c r="G7" i="25"/>
  <c r="F7" i="25"/>
  <c r="E7" i="25"/>
  <c r="D7" i="25"/>
  <c r="C7" i="25"/>
  <c r="B7" i="25"/>
  <c r="Y6" i="25"/>
  <c r="X6" i="25"/>
  <c r="W6" i="25"/>
  <c r="V6" i="25"/>
  <c r="U6" i="25"/>
  <c r="T6" i="25"/>
  <c r="S6" i="25"/>
  <c r="R6" i="25"/>
  <c r="Q6" i="25"/>
  <c r="P6" i="25"/>
  <c r="O6" i="25"/>
  <c r="N6" i="25"/>
  <c r="M6" i="25"/>
  <c r="L6" i="25"/>
  <c r="K6" i="25"/>
  <c r="J6" i="25"/>
  <c r="I6" i="25"/>
  <c r="H6" i="25"/>
  <c r="G6" i="25"/>
  <c r="F6" i="25"/>
  <c r="E6" i="25"/>
  <c r="D6" i="25"/>
  <c r="C6" i="25"/>
  <c r="B6" i="25"/>
  <c r="Y5" i="25"/>
  <c r="X5" i="25"/>
  <c r="W5" i="25"/>
  <c r="V5" i="25"/>
  <c r="U5" i="25"/>
  <c r="T5" i="25"/>
  <c r="S5" i="25"/>
  <c r="R5" i="25"/>
  <c r="Q5" i="25"/>
  <c r="P5" i="25"/>
  <c r="O5" i="25"/>
  <c r="N5" i="25"/>
  <c r="M5" i="25"/>
  <c r="L5" i="25"/>
  <c r="K5" i="25"/>
  <c r="J5" i="25"/>
  <c r="I5" i="25"/>
  <c r="H5" i="25"/>
  <c r="G5" i="25"/>
  <c r="F5" i="25"/>
  <c r="E5" i="25"/>
  <c r="D5" i="25"/>
  <c r="C5" i="25"/>
  <c r="B5" i="25"/>
  <c r="Y4" i="25"/>
  <c r="X4" i="25"/>
  <c r="W4" i="25"/>
  <c r="V4" i="25"/>
  <c r="U4" i="25"/>
  <c r="T4" i="25"/>
  <c r="S4" i="25"/>
  <c r="R4" i="25"/>
  <c r="Q4" i="25"/>
  <c r="P4" i="25"/>
  <c r="O4" i="25"/>
  <c r="N4" i="25"/>
  <c r="M4" i="25"/>
  <c r="L4" i="25"/>
  <c r="K4" i="25"/>
  <c r="J4" i="25"/>
  <c r="I4" i="25"/>
  <c r="H4" i="25"/>
  <c r="G4" i="25"/>
  <c r="F4" i="25"/>
  <c r="E4" i="25"/>
  <c r="D4" i="25"/>
  <c r="C4" i="25"/>
  <c r="B4" i="25"/>
  <c r="Y3" i="25"/>
  <c r="X3" i="25"/>
  <c r="W3" i="25"/>
  <c r="V3" i="25"/>
  <c r="U3" i="25"/>
  <c r="T3" i="25"/>
  <c r="S3" i="25"/>
  <c r="R3" i="25"/>
  <c r="Q3" i="25"/>
  <c r="P3" i="25"/>
  <c r="O3" i="25"/>
  <c r="N3" i="25"/>
  <c r="M3" i="25"/>
  <c r="L3" i="25"/>
  <c r="K3" i="25"/>
  <c r="J3" i="25"/>
  <c r="I3" i="25"/>
  <c r="H3" i="25"/>
  <c r="G3" i="25"/>
  <c r="F3" i="25"/>
  <c r="E3" i="25"/>
  <c r="D3" i="25"/>
  <c r="C3" i="25"/>
  <c r="B3" i="25"/>
  <c r="Y2" i="25"/>
  <c r="X2" i="25"/>
  <c r="W2" i="25"/>
  <c r="V2" i="25"/>
  <c r="U2" i="25"/>
  <c r="T2" i="25"/>
  <c r="S2" i="25"/>
  <c r="R2" i="25"/>
  <c r="Q2" i="25"/>
  <c r="P2" i="25"/>
  <c r="O2" i="25"/>
  <c r="N2" i="25"/>
  <c r="M2" i="25"/>
  <c r="L2" i="25"/>
  <c r="K2" i="25"/>
  <c r="J2" i="25"/>
  <c r="I2" i="25"/>
  <c r="H2" i="25"/>
  <c r="G2" i="25"/>
  <c r="F2" i="25"/>
  <c r="E2" i="25"/>
  <c r="D2" i="25"/>
  <c r="C2" i="25"/>
  <c r="B2" i="25"/>
  <c r="Y7" i="23"/>
  <c r="X7" i="23"/>
  <c r="W7" i="23"/>
  <c r="V7" i="23"/>
  <c r="U7" i="23"/>
  <c r="T7" i="23"/>
  <c r="S7" i="23"/>
  <c r="R7" i="23"/>
  <c r="Q7" i="23"/>
  <c r="P7" i="23"/>
  <c r="O7" i="23"/>
  <c r="N7" i="23"/>
  <c r="M7" i="23"/>
  <c r="L7" i="23"/>
  <c r="K7" i="23"/>
  <c r="J7" i="23"/>
  <c r="I7" i="23"/>
  <c r="H7" i="23"/>
  <c r="G7" i="23"/>
  <c r="F7" i="23"/>
  <c r="E7" i="23"/>
  <c r="D7" i="23"/>
  <c r="C7" i="23"/>
  <c r="B7" i="23"/>
  <c r="Y6" i="23"/>
  <c r="X6" i="23"/>
  <c r="W6" i="23"/>
  <c r="V6" i="23"/>
  <c r="U6" i="23"/>
  <c r="T6" i="23"/>
  <c r="S6" i="23"/>
  <c r="R6" i="23"/>
  <c r="Q6" i="23"/>
  <c r="P6" i="23"/>
  <c r="O6" i="23"/>
  <c r="N6" i="23"/>
  <c r="M6" i="23"/>
  <c r="L6" i="23"/>
  <c r="K6" i="23"/>
  <c r="J6" i="23"/>
  <c r="I6" i="23"/>
  <c r="H6" i="23"/>
  <c r="G6" i="23"/>
  <c r="F6" i="23"/>
  <c r="E6" i="23"/>
  <c r="D6" i="23"/>
  <c r="C6" i="23"/>
  <c r="B6" i="23"/>
  <c r="Y5" i="23"/>
  <c r="X5" i="23"/>
  <c r="W5" i="23"/>
  <c r="V5" i="23"/>
  <c r="U5" i="23"/>
  <c r="T5" i="23"/>
  <c r="S5" i="23"/>
  <c r="R5" i="23"/>
  <c r="Q5" i="23"/>
  <c r="P5" i="23"/>
  <c r="O5" i="23"/>
  <c r="N5" i="23"/>
  <c r="M5" i="23"/>
  <c r="L5" i="23"/>
  <c r="K5" i="23"/>
  <c r="J5" i="23"/>
  <c r="I5" i="23"/>
  <c r="H5" i="23"/>
  <c r="G5" i="23"/>
  <c r="F5" i="23"/>
  <c r="E5" i="23"/>
  <c r="D5" i="23"/>
  <c r="C5" i="23"/>
  <c r="B5" i="23"/>
  <c r="Y4" i="23"/>
  <c r="X4" i="23"/>
  <c r="W4" i="23"/>
  <c r="V4" i="23"/>
  <c r="U4" i="23"/>
  <c r="T4" i="23"/>
  <c r="S4" i="23"/>
  <c r="R4" i="23"/>
  <c r="Q4" i="23"/>
  <c r="P4" i="23"/>
  <c r="O4" i="23"/>
  <c r="N4" i="23"/>
  <c r="M4" i="23"/>
  <c r="L4" i="23"/>
  <c r="K4" i="23"/>
  <c r="J4" i="23"/>
  <c r="I4" i="23"/>
  <c r="H4" i="23"/>
  <c r="G4" i="23"/>
  <c r="F4" i="23"/>
  <c r="E4" i="23"/>
  <c r="D4" i="23"/>
  <c r="C4" i="23"/>
  <c r="B4" i="23"/>
  <c r="Y3" i="23"/>
  <c r="X3" i="23"/>
  <c r="W3" i="23"/>
  <c r="V3" i="23"/>
  <c r="U3" i="23"/>
  <c r="T3" i="23"/>
  <c r="S3" i="23"/>
  <c r="R3" i="23"/>
  <c r="Q3" i="23"/>
  <c r="P3" i="23"/>
  <c r="O3" i="23"/>
  <c r="N3" i="23"/>
  <c r="M3" i="23"/>
  <c r="L3" i="23"/>
  <c r="K3" i="23"/>
  <c r="J3" i="23"/>
  <c r="I3" i="23"/>
  <c r="H3" i="23"/>
  <c r="G3" i="23"/>
  <c r="F3" i="23"/>
  <c r="E3" i="23"/>
  <c r="D3" i="23"/>
  <c r="C3" i="23"/>
  <c r="B3" i="23"/>
  <c r="Y2" i="23"/>
  <c r="X2" i="23"/>
  <c r="W2" i="23"/>
  <c r="V2" i="23"/>
  <c r="U2" i="23"/>
  <c r="T2" i="23"/>
  <c r="S2" i="23"/>
  <c r="R2" i="23"/>
  <c r="Q2" i="23"/>
  <c r="P2" i="23"/>
  <c r="O2" i="23"/>
  <c r="N2" i="23"/>
  <c r="M2" i="23"/>
  <c r="L2" i="23"/>
  <c r="K2" i="23"/>
  <c r="J2" i="23"/>
  <c r="I2" i="23"/>
  <c r="H2" i="23"/>
  <c r="G2" i="23"/>
  <c r="F2" i="23"/>
  <c r="E2" i="23"/>
  <c r="D2" i="23"/>
  <c r="C2" i="23"/>
  <c r="B2" i="23"/>
  <c r="Y7" i="22"/>
  <c r="X7" i="22"/>
  <c r="W7" i="22"/>
  <c r="V7" i="22"/>
  <c r="U7" i="22"/>
  <c r="T7" i="22"/>
  <c r="S7" i="22"/>
  <c r="R7" i="22"/>
  <c r="Q7" i="22"/>
  <c r="P7" i="22"/>
  <c r="O7" i="22"/>
  <c r="N7" i="22"/>
  <c r="M7" i="22"/>
  <c r="L7" i="22"/>
  <c r="K7" i="22"/>
  <c r="J7" i="22"/>
  <c r="I7" i="22"/>
  <c r="H7" i="22"/>
  <c r="G7" i="22"/>
  <c r="F7" i="22"/>
  <c r="E7" i="22"/>
  <c r="D7" i="22"/>
  <c r="C7" i="22"/>
  <c r="B7" i="22"/>
  <c r="Y6" i="22"/>
  <c r="X6" i="22"/>
  <c r="W6" i="22"/>
  <c r="V6" i="22"/>
  <c r="U6" i="22"/>
  <c r="T6" i="22"/>
  <c r="S6" i="22"/>
  <c r="R6" i="22"/>
  <c r="Q6" i="22"/>
  <c r="P6" i="22"/>
  <c r="O6" i="22"/>
  <c r="N6" i="22"/>
  <c r="M6" i="22"/>
  <c r="L6" i="22"/>
  <c r="K6" i="22"/>
  <c r="J6" i="22"/>
  <c r="I6" i="22"/>
  <c r="H6" i="22"/>
  <c r="G6" i="22"/>
  <c r="F6" i="22"/>
  <c r="E6" i="22"/>
  <c r="D6" i="22"/>
  <c r="C6" i="22"/>
  <c r="B6" i="22"/>
  <c r="Y5" i="22"/>
  <c r="X5" i="22"/>
  <c r="W5" i="22"/>
  <c r="V5" i="22"/>
  <c r="U5" i="22"/>
  <c r="T5" i="22"/>
  <c r="S5" i="22"/>
  <c r="R5" i="22"/>
  <c r="Q5" i="22"/>
  <c r="P5" i="22"/>
  <c r="O5" i="22"/>
  <c r="N5" i="22"/>
  <c r="M5" i="22"/>
  <c r="L5" i="22"/>
  <c r="K5" i="22"/>
  <c r="J5" i="22"/>
  <c r="I5" i="22"/>
  <c r="H5" i="22"/>
  <c r="G5" i="22"/>
  <c r="F5" i="22"/>
  <c r="E5" i="22"/>
  <c r="D5" i="22"/>
  <c r="C5" i="22"/>
  <c r="B5" i="22"/>
  <c r="Y4" i="22"/>
  <c r="X4" i="22"/>
  <c r="W4" i="22"/>
  <c r="V4" i="22"/>
  <c r="U4" i="22"/>
  <c r="T4" i="22"/>
  <c r="S4" i="22"/>
  <c r="R4" i="22"/>
  <c r="Q4" i="22"/>
  <c r="P4" i="22"/>
  <c r="O4" i="22"/>
  <c r="N4" i="22"/>
  <c r="M4" i="22"/>
  <c r="L4" i="22"/>
  <c r="K4" i="22"/>
  <c r="J4" i="22"/>
  <c r="I4" i="22"/>
  <c r="H4" i="22"/>
  <c r="G4" i="22"/>
  <c r="F4" i="22"/>
  <c r="E4" i="22"/>
  <c r="D4" i="22"/>
  <c r="C4" i="22"/>
  <c r="B4" i="22"/>
  <c r="Y3" i="22"/>
  <c r="X3" i="22"/>
  <c r="W3" i="22"/>
  <c r="V3" i="22"/>
  <c r="U3" i="22"/>
  <c r="T3" i="22"/>
  <c r="S3" i="22"/>
  <c r="R3" i="22"/>
  <c r="Q3" i="22"/>
  <c r="P3" i="22"/>
  <c r="O3" i="22"/>
  <c r="N3" i="22"/>
  <c r="M3" i="22"/>
  <c r="L3" i="22"/>
  <c r="K3" i="22"/>
  <c r="J3" i="22"/>
  <c r="I3" i="22"/>
  <c r="H3" i="22"/>
  <c r="G3" i="22"/>
  <c r="F3" i="22"/>
  <c r="E3" i="22"/>
  <c r="D3" i="22"/>
  <c r="C3" i="22"/>
  <c r="B3" i="22"/>
  <c r="Y2" i="22"/>
  <c r="X2" i="22"/>
  <c r="W2" i="22"/>
  <c r="V2" i="22"/>
  <c r="U2" i="22"/>
  <c r="T2" i="22"/>
  <c r="S2" i="22"/>
  <c r="R2" i="22"/>
  <c r="Q2" i="22"/>
  <c r="P2" i="22"/>
  <c r="O2" i="22"/>
  <c r="N2" i="22"/>
  <c r="M2" i="22"/>
  <c r="L2" i="22"/>
  <c r="K2" i="22"/>
  <c r="J2" i="22"/>
  <c r="I2" i="22"/>
  <c r="H2" i="22"/>
  <c r="G2" i="22"/>
  <c r="F2" i="22"/>
  <c r="E2" i="22"/>
  <c r="D2" i="22"/>
  <c r="C2" i="22"/>
  <c r="B2" i="22"/>
  <c r="Y7" i="21"/>
  <c r="X7" i="21"/>
  <c r="W7" i="21"/>
  <c r="V7" i="21"/>
  <c r="U7" i="21"/>
  <c r="T7" i="21"/>
  <c r="S7" i="21"/>
  <c r="R7" i="21"/>
  <c r="Q7" i="21"/>
  <c r="P7" i="21"/>
  <c r="O7" i="21"/>
  <c r="N7" i="21"/>
  <c r="M7" i="21"/>
  <c r="L7" i="21"/>
  <c r="K7" i="21"/>
  <c r="J7" i="21"/>
  <c r="I7" i="21"/>
  <c r="H7" i="21"/>
  <c r="G7" i="21"/>
  <c r="F7" i="21"/>
  <c r="E7" i="21"/>
  <c r="D7" i="21"/>
  <c r="C7" i="21"/>
  <c r="B7" i="21"/>
  <c r="Y6" i="21"/>
  <c r="X6" i="21"/>
  <c r="W6" i="21"/>
  <c r="V6" i="21"/>
  <c r="U6" i="21"/>
  <c r="T6" i="21"/>
  <c r="S6" i="21"/>
  <c r="R6" i="21"/>
  <c r="Q6" i="21"/>
  <c r="P6" i="21"/>
  <c r="O6" i="21"/>
  <c r="N6" i="21"/>
  <c r="M6" i="21"/>
  <c r="L6" i="21"/>
  <c r="K6" i="21"/>
  <c r="J6" i="21"/>
  <c r="I6" i="21"/>
  <c r="H6" i="21"/>
  <c r="G6" i="21"/>
  <c r="F6" i="21"/>
  <c r="E6" i="21"/>
  <c r="D6" i="21"/>
  <c r="C6" i="21"/>
  <c r="B6" i="21"/>
  <c r="Y5" i="21"/>
  <c r="X5" i="21"/>
  <c r="W5" i="21"/>
  <c r="V5" i="21"/>
  <c r="U5" i="21"/>
  <c r="T5" i="21"/>
  <c r="S5" i="21"/>
  <c r="R5" i="21"/>
  <c r="Q5" i="21"/>
  <c r="P5" i="21"/>
  <c r="O5" i="21"/>
  <c r="N5" i="21"/>
  <c r="M5" i="21"/>
  <c r="L5" i="21"/>
  <c r="K5" i="21"/>
  <c r="J5" i="21"/>
  <c r="I5" i="21"/>
  <c r="H5" i="21"/>
  <c r="G5" i="21"/>
  <c r="F5" i="21"/>
  <c r="E5" i="21"/>
  <c r="D5" i="21"/>
  <c r="C5" i="21"/>
  <c r="B5" i="21"/>
  <c r="Y4" i="21"/>
  <c r="X4" i="21"/>
  <c r="W4" i="21"/>
  <c r="V4" i="21"/>
  <c r="U4" i="21"/>
  <c r="T4" i="21"/>
  <c r="S4" i="21"/>
  <c r="R4" i="21"/>
  <c r="Q4" i="21"/>
  <c r="P4" i="21"/>
  <c r="O4" i="21"/>
  <c r="N4" i="21"/>
  <c r="M4" i="21"/>
  <c r="L4" i="21"/>
  <c r="K4" i="21"/>
  <c r="J4" i="21"/>
  <c r="I4" i="21"/>
  <c r="H4" i="21"/>
  <c r="G4" i="21"/>
  <c r="F4" i="21"/>
  <c r="E4" i="21"/>
  <c r="D4" i="21"/>
  <c r="C4" i="21"/>
  <c r="B4" i="21"/>
  <c r="Y3" i="21"/>
  <c r="X3" i="21"/>
  <c r="W3" i="21"/>
  <c r="V3" i="21"/>
  <c r="U3" i="21"/>
  <c r="T3" i="21"/>
  <c r="S3" i="21"/>
  <c r="R3" i="21"/>
  <c r="Q3" i="21"/>
  <c r="P3" i="21"/>
  <c r="O3" i="21"/>
  <c r="N3" i="21"/>
  <c r="M3" i="21"/>
  <c r="L3" i="21"/>
  <c r="K3" i="21"/>
  <c r="J3" i="21"/>
  <c r="I3" i="21"/>
  <c r="H3" i="21"/>
  <c r="G3" i="21"/>
  <c r="F3" i="21"/>
  <c r="E3" i="21"/>
  <c r="D3" i="21"/>
  <c r="C3" i="21"/>
  <c r="B3" i="21"/>
  <c r="Y2" i="21"/>
  <c r="X2" i="21"/>
  <c r="W2" i="21"/>
  <c r="V2" i="21"/>
  <c r="U2" i="21"/>
  <c r="T2" i="21"/>
  <c r="S2" i="21"/>
  <c r="R2" i="21"/>
  <c r="Q2" i="21"/>
  <c r="P2" i="21"/>
  <c r="O2" i="21"/>
  <c r="N2" i="21"/>
  <c r="M2" i="21"/>
  <c r="L2" i="21"/>
  <c r="K2" i="21"/>
  <c r="J2" i="21"/>
  <c r="I2" i="21"/>
  <c r="H2" i="21"/>
  <c r="G2" i="21"/>
  <c r="F2" i="21"/>
  <c r="E2" i="21"/>
  <c r="D2" i="21"/>
  <c r="C2" i="21"/>
  <c r="B2" i="21"/>
  <c r="Y7" i="20"/>
  <c r="X7" i="20"/>
  <c r="W7" i="20"/>
  <c r="V7" i="20"/>
  <c r="U7" i="20"/>
  <c r="T7" i="20"/>
  <c r="S7" i="20"/>
  <c r="R7" i="20"/>
  <c r="Q7" i="20"/>
  <c r="P7" i="20"/>
  <c r="O7" i="20"/>
  <c r="N7" i="20"/>
  <c r="M7" i="20"/>
  <c r="L7" i="20"/>
  <c r="K7" i="20"/>
  <c r="J7" i="20"/>
  <c r="I7" i="20"/>
  <c r="H7" i="20"/>
  <c r="G7" i="20"/>
  <c r="F7" i="20"/>
  <c r="E7" i="20"/>
  <c r="D7" i="20"/>
  <c r="C7" i="20"/>
  <c r="B7" i="20"/>
  <c r="Y6" i="20"/>
  <c r="X6" i="20"/>
  <c r="W6" i="20"/>
  <c r="V6" i="20"/>
  <c r="U6" i="20"/>
  <c r="T6" i="20"/>
  <c r="S6" i="20"/>
  <c r="R6" i="20"/>
  <c r="Q6" i="20"/>
  <c r="P6" i="20"/>
  <c r="O6" i="20"/>
  <c r="N6" i="20"/>
  <c r="M6" i="20"/>
  <c r="L6" i="20"/>
  <c r="K6" i="20"/>
  <c r="J6" i="20"/>
  <c r="I6" i="20"/>
  <c r="H6" i="20"/>
  <c r="G6" i="20"/>
  <c r="F6" i="20"/>
  <c r="E6" i="20"/>
  <c r="D6" i="20"/>
  <c r="C6" i="20"/>
  <c r="B6" i="20"/>
  <c r="Y5" i="20"/>
  <c r="X5" i="20"/>
  <c r="W5" i="20"/>
  <c r="V5" i="20"/>
  <c r="U5" i="20"/>
  <c r="T5" i="20"/>
  <c r="S5" i="20"/>
  <c r="R5" i="20"/>
  <c r="Q5" i="20"/>
  <c r="P5" i="20"/>
  <c r="O5" i="20"/>
  <c r="N5" i="20"/>
  <c r="M5" i="20"/>
  <c r="L5" i="20"/>
  <c r="K5" i="20"/>
  <c r="J5" i="20"/>
  <c r="I5" i="20"/>
  <c r="H5" i="20"/>
  <c r="G5" i="20"/>
  <c r="F5" i="20"/>
  <c r="E5" i="20"/>
  <c r="D5" i="20"/>
  <c r="C5" i="20"/>
  <c r="B5" i="20"/>
  <c r="Y4" i="20"/>
  <c r="X4" i="20"/>
  <c r="W4" i="20"/>
  <c r="V4" i="20"/>
  <c r="U4" i="20"/>
  <c r="T4" i="20"/>
  <c r="S4" i="20"/>
  <c r="R4" i="20"/>
  <c r="Q4" i="20"/>
  <c r="P4" i="20"/>
  <c r="O4" i="20"/>
  <c r="N4" i="20"/>
  <c r="M4" i="20"/>
  <c r="L4" i="20"/>
  <c r="K4" i="20"/>
  <c r="J4" i="20"/>
  <c r="I4" i="20"/>
  <c r="H4" i="20"/>
  <c r="G4" i="20"/>
  <c r="F4" i="20"/>
  <c r="E4" i="20"/>
  <c r="D4" i="20"/>
  <c r="C4" i="20"/>
  <c r="B4" i="20"/>
  <c r="Y3" i="20"/>
  <c r="X3" i="20"/>
  <c r="W3" i="20"/>
  <c r="V3" i="20"/>
  <c r="U3" i="20"/>
  <c r="T3" i="20"/>
  <c r="S3" i="20"/>
  <c r="R3" i="20"/>
  <c r="Q3" i="20"/>
  <c r="P3" i="20"/>
  <c r="O3" i="20"/>
  <c r="N3" i="20"/>
  <c r="M3" i="20"/>
  <c r="L3" i="20"/>
  <c r="K3" i="20"/>
  <c r="J3" i="20"/>
  <c r="I3" i="20"/>
  <c r="H3" i="20"/>
  <c r="G3" i="20"/>
  <c r="F3" i="20"/>
  <c r="E3" i="20"/>
  <c r="D3" i="20"/>
  <c r="C3" i="20"/>
  <c r="B3" i="20"/>
  <c r="Y2" i="20"/>
  <c r="X2" i="20"/>
  <c r="W2" i="20"/>
  <c r="V2" i="20"/>
  <c r="U2" i="20"/>
  <c r="T2" i="20"/>
  <c r="S2" i="20"/>
  <c r="R2" i="20"/>
  <c r="Q2" i="20"/>
  <c r="P2" i="20"/>
  <c r="O2" i="20"/>
  <c r="N2" i="20"/>
  <c r="M2" i="20"/>
  <c r="L2" i="20"/>
  <c r="K2" i="20"/>
  <c r="J2" i="20"/>
  <c r="I2" i="20"/>
  <c r="H2" i="20"/>
  <c r="G2" i="20"/>
  <c r="F2" i="20"/>
  <c r="E2" i="20"/>
  <c r="D2" i="20"/>
  <c r="C2" i="20"/>
  <c r="B2" i="20"/>
  <c r="Y7" i="19"/>
  <c r="X7" i="19"/>
  <c r="W7" i="19"/>
  <c r="V7" i="19"/>
  <c r="U7" i="19"/>
  <c r="T7" i="19"/>
  <c r="S7" i="19"/>
  <c r="R7" i="19"/>
  <c r="Q7" i="19"/>
  <c r="P7" i="19"/>
  <c r="O7" i="19"/>
  <c r="N7" i="19"/>
  <c r="M7" i="19"/>
  <c r="L7" i="19"/>
  <c r="K7" i="19"/>
  <c r="J7" i="19"/>
  <c r="I7" i="19"/>
  <c r="H7" i="19"/>
  <c r="G7" i="19"/>
  <c r="F7" i="19"/>
  <c r="E7" i="19"/>
  <c r="D7" i="19"/>
  <c r="C7" i="19"/>
  <c r="B7" i="19"/>
  <c r="Y6" i="19"/>
  <c r="X6" i="19"/>
  <c r="W6" i="19"/>
  <c r="V6" i="19"/>
  <c r="U6" i="19"/>
  <c r="T6" i="19"/>
  <c r="S6" i="19"/>
  <c r="R6" i="19"/>
  <c r="Q6" i="19"/>
  <c r="P6" i="19"/>
  <c r="O6" i="19"/>
  <c r="N6" i="19"/>
  <c r="M6" i="19"/>
  <c r="L6" i="19"/>
  <c r="K6" i="19"/>
  <c r="J6" i="19"/>
  <c r="I6" i="19"/>
  <c r="H6" i="19"/>
  <c r="G6" i="19"/>
  <c r="F6" i="19"/>
  <c r="E6" i="19"/>
  <c r="D6" i="19"/>
  <c r="C6" i="19"/>
  <c r="B6" i="19"/>
  <c r="Y5" i="19"/>
  <c r="X5" i="19"/>
  <c r="W5" i="19"/>
  <c r="V5" i="19"/>
  <c r="U5" i="19"/>
  <c r="T5" i="19"/>
  <c r="S5" i="19"/>
  <c r="R5" i="19"/>
  <c r="Q5" i="19"/>
  <c r="P5" i="19"/>
  <c r="O5" i="19"/>
  <c r="N5" i="19"/>
  <c r="M5" i="19"/>
  <c r="L5" i="19"/>
  <c r="K5" i="19"/>
  <c r="J5" i="19"/>
  <c r="I5" i="19"/>
  <c r="H5" i="19"/>
  <c r="G5" i="19"/>
  <c r="F5" i="19"/>
  <c r="E5" i="19"/>
  <c r="D5" i="19"/>
  <c r="C5" i="19"/>
  <c r="B5" i="19"/>
  <c r="Y4" i="19"/>
  <c r="X4" i="19"/>
  <c r="W4" i="19"/>
  <c r="V4" i="19"/>
  <c r="U4" i="19"/>
  <c r="T4" i="19"/>
  <c r="S4" i="19"/>
  <c r="R4" i="19"/>
  <c r="Q4" i="19"/>
  <c r="P4" i="19"/>
  <c r="O4" i="19"/>
  <c r="N4" i="19"/>
  <c r="M4" i="19"/>
  <c r="L4" i="19"/>
  <c r="K4" i="19"/>
  <c r="J4" i="19"/>
  <c r="I4" i="19"/>
  <c r="H4" i="19"/>
  <c r="G4" i="19"/>
  <c r="F4" i="19"/>
  <c r="E4" i="19"/>
  <c r="D4" i="19"/>
  <c r="C4" i="19"/>
  <c r="B4" i="19"/>
  <c r="Y3" i="19"/>
  <c r="X3" i="19"/>
  <c r="W3" i="19"/>
  <c r="V3" i="19"/>
  <c r="U3" i="19"/>
  <c r="T3" i="19"/>
  <c r="S3" i="19"/>
  <c r="R3" i="19"/>
  <c r="Q3" i="19"/>
  <c r="P3" i="19"/>
  <c r="O3" i="19"/>
  <c r="N3" i="19"/>
  <c r="M3" i="19"/>
  <c r="L3" i="19"/>
  <c r="K3" i="19"/>
  <c r="J3" i="19"/>
  <c r="I3" i="19"/>
  <c r="H3" i="19"/>
  <c r="G3" i="19"/>
  <c r="F3" i="19"/>
  <c r="E3" i="19"/>
  <c r="D3" i="19"/>
  <c r="C3" i="19"/>
  <c r="B3" i="19"/>
  <c r="Y2" i="19"/>
  <c r="X2" i="19"/>
  <c r="W2" i="19"/>
  <c r="V2" i="19"/>
  <c r="U2" i="19"/>
  <c r="T2" i="19"/>
  <c r="S2" i="19"/>
  <c r="R2" i="19"/>
  <c r="Q2" i="19"/>
  <c r="P2" i="19"/>
  <c r="O2" i="19"/>
  <c r="N2" i="19"/>
  <c r="M2" i="19"/>
  <c r="L2" i="19"/>
  <c r="K2" i="19"/>
  <c r="J2" i="19"/>
  <c r="I2" i="19"/>
  <c r="H2" i="19"/>
  <c r="G2" i="19"/>
  <c r="F2" i="19"/>
  <c r="E2" i="19"/>
  <c r="D2" i="19"/>
  <c r="C2" i="19"/>
  <c r="B2" i="19"/>
  <c r="U3" i="18"/>
  <c r="T3" i="18"/>
  <c r="M3" i="18"/>
  <c r="J3" i="18"/>
  <c r="I3" i="18"/>
  <c r="X2" i="18"/>
  <c r="V2" i="17"/>
  <c r="U2" i="17"/>
  <c r="T2" i="17"/>
  <c r="S2" i="17"/>
  <c r="R2" i="17"/>
  <c r="Q2" i="17"/>
  <c r="Y7" i="16"/>
  <c r="X7" i="16"/>
  <c r="U7" i="16"/>
  <c r="T7" i="16"/>
  <c r="B7" i="16"/>
  <c r="Y6" i="16"/>
  <c r="T5" i="16"/>
  <c r="Q5" i="16"/>
  <c r="B5" i="16"/>
  <c r="K4" i="16"/>
  <c r="H4" i="16"/>
  <c r="G4" i="16"/>
  <c r="F4" i="16"/>
  <c r="E4" i="16"/>
  <c r="D4" i="16"/>
  <c r="Y3" i="16"/>
  <c r="X3" i="16"/>
  <c r="U3" i="16"/>
  <c r="B2" i="16"/>
  <c r="Y7" i="15"/>
  <c r="G6" i="15"/>
  <c r="F6" i="15"/>
  <c r="G5" i="15"/>
  <c r="F5" i="15"/>
  <c r="C5" i="15"/>
  <c r="I4" i="15"/>
  <c r="H4" i="15"/>
  <c r="Y2" i="15"/>
  <c r="X2" i="15"/>
  <c r="W2" i="15"/>
  <c r="Y7" i="13"/>
  <c r="X7" i="13"/>
  <c r="W7" i="13"/>
  <c r="V7" i="13"/>
  <c r="U7" i="13"/>
  <c r="T7" i="13"/>
  <c r="S7" i="13"/>
  <c r="R7" i="13"/>
  <c r="Q7" i="13"/>
  <c r="P7" i="13"/>
  <c r="O7" i="13"/>
  <c r="N7" i="13"/>
  <c r="M7" i="13"/>
  <c r="L7" i="13"/>
  <c r="K7" i="13"/>
  <c r="J7" i="13"/>
  <c r="I7" i="13"/>
  <c r="H7" i="13"/>
  <c r="G7" i="13"/>
  <c r="F7" i="13"/>
  <c r="E7" i="13"/>
  <c r="D7" i="13"/>
  <c r="C7" i="13"/>
  <c r="B7" i="13"/>
  <c r="Y6" i="13"/>
  <c r="X6" i="13"/>
  <c r="W6" i="13"/>
  <c r="V6" i="13"/>
  <c r="U6" i="13"/>
  <c r="T6" i="13"/>
  <c r="S6" i="13"/>
  <c r="R6" i="13"/>
  <c r="Q6" i="13"/>
  <c r="P6" i="13"/>
  <c r="O6" i="13"/>
  <c r="N6" i="13"/>
  <c r="M6" i="13"/>
  <c r="L6" i="13"/>
  <c r="K6" i="13"/>
  <c r="J6" i="13"/>
  <c r="I6" i="13"/>
  <c r="H6" i="13"/>
  <c r="G6" i="13"/>
  <c r="F6" i="13"/>
  <c r="E6" i="13"/>
  <c r="D6" i="13"/>
  <c r="C6" i="13"/>
  <c r="B6" i="13"/>
  <c r="Y5" i="13"/>
  <c r="X5" i="13"/>
  <c r="W5" i="13"/>
  <c r="V5" i="13"/>
  <c r="U5" i="13"/>
  <c r="T5" i="13"/>
  <c r="S5" i="13"/>
  <c r="R5" i="13"/>
  <c r="Q5" i="13"/>
  <c r="P5" i="13"/>
  <c r="O5" i="13"/>
  <c r="N5" i="13"/>
  <c r="M5" i="13"/>
  <c r="L5" i="13"/>
  <c r="K5" i="13"/>
  <c r="J5" i="13"/>
  <c r="I5" i="13"/>
  <c r="H5" i="13"/>
  <c r="G5" i="13"/>
  <c r="F5" i="13"/>
  <c r="E5" i="13"/>
  <c r="D5" i="13"/>
  <c r="C5" i="13"/>
  <c r="B5" i="13"/>
  <c r="Y4" i="13"/>
  <c r="X4" i="13"/>
  <c r="W4" i="13"/>
  <c r="V4" i="13"/>
  <c r="U4" i="13"/>
  <c r="T4" i="13"/>
  <c r="S4" i="13"/>
  <c r="R4" i="13"/>
  <c r="Q4" i="13"/>
  <c r="P4" i="13"/>
  <c r="O4" i="13"/>
  <c r="N4" i="13"/>
  <c r="M4" i="13"/>
  <c r="L4" i="13"/>
  <c r="K4" i="13"/>
  <c r="J4" i="13"/>
  <c r="I4" i="13"/>
  <c r="H4" i="13"/>
  <c r="G4" i="13"/>
  <c r="F4" i="13"/>
  <c r="E4" i="13"/>
  <c r="D4" i="13"/>
  <c r="C4" i="13"/>
  <c r="B4" i="13"/>
  <c r="Y3" i="13"/>
  <c r="X3" i="13"/>
  <c r="W3" i="13"/>
  <c r="V3" i="13"/>
  <c r="U3" i="13"/>
  <c r="T3" i="13"/>
  <c r="S3" i="13"/>
  <c r="R3" i="13"/>
  <c r="Q3" i="13"/>
  <c r="P3" i="13"/>
  <c r="O3" i="13"/>
  <c r="N3" i="13"/>
  <c r="M3" i="13"/>
  <c r="L3" i="13"/>
  <c r="K3" i="13"/>
  <c r="J3" i="13"/>
  <c r="I3" i="13"/>
  <c r="H3" i="13"/>
  <c r="G3" i="13"/>
  <c r="F3" i="13"/>
  <c r="E3" i="13"/>
  <c r="D3" i="13"/>
  <c r="C3" i="13"/>
  <c r="B3" i="13"/>
  <c r="Y2" i="13"/>
  <c r="X2" i="13"/>
  <c r="W2" i="13"/>
  <c r="V2" i="13"/>
  <c r="U2" i="13"/>
  <c r="T2" i="13"/>
  <c r="S2" i="13"/>
  <c r="R2" i="13"/>
  <c r="Q2" i="13"/>
  <c r="P2" i="13"/>
  <c r="O2" i="13"/>
  <c r="N2" i="13"/>
  <c r="M2" i="13"/>
  <c r="L2" i="13"/>
  <c r="K2" i="13"/>
  <c r="J2" i="13"/>
  <c r="I2" i="13"/>
  <c r="H2" i="13"/>
  <c r="G2" i="13"/>
  <c r="F2" i="13"/>
  <c r="E2" i="13"/>
  <c r="D2" i="13"/>
  <c r="C2" i="13"/>
  <c r="B2" i="13"/>
  <c r="Y7" i="12"/>
  <c r="X7" i="12"/>
  <c r="W7" i="12"/>
  <c r="V7" i="12"/>
  <c r="U7" i="12"/>
  <c r="T7" i="12"/>
  <c r="S7" i="12"/>
  <c r="R7" i="12"/>
  <c r="Q7" i="12"/>
  <c r="P7" i="12"/>
  <c r="O7" i="12"/>
  <c r="N7" i="12"/>
  <c r="M7" i="12"/>
  <c r="L7" i="12"/>
  <c r="K7" i="12"/>
  <c r="J7" i="12"/>
  <c r="I7" i="12"/>
  <c r="H7" i="12"/>
  <c r="G7" i="12"/>
  <c r="F7" i="12"/>
  <c r="E7" i="12"/>
  <c r="D7" i="12"/>
  <c r="C7" i="12"/>
  <c r="B7" i="12"/>
  <c r="Y6" i="12"/>
  <c r="X6" i="12"/>
  <c r="W6" i="12"/>
  <c r="V6" i="12"/>
  <c r="U6" i="12"/>
  <c r="T6" i="12"/>
  <c r="S6" i="12"/>
  <c r="R6" i="12"/>
  <c r="Q6" i="12"/>
  <c r="P6" i="12"/>
  <c r="O6" i="12"/>
  <c r="N6" i="12"/>
  <c r="M6" i="12"/>
  <c r="L6" i="12"/>
  <c r="K6" i="12"/>
  <c r="J6" i="12"/>
  <c r="I6" i="12"/>
  <c r="H6" i="12"/>
  <c r="G6" i="12"/>
  <c r="F6" i="12"/>
  <c r="E6" i="12"/>
  <c r="D6" i="12"/>
  <c r="C6" i="12"/>
  <c r="B6" i="12"/>
  <c r="Y5" i="12"/>
  <c r="X5" i="12"/>
  <c r="W5" i="12"/>
  <c r="V5" i="12"/>
  <c r="U5" i="12"/>
  <c r="T5" i="12"/>
  <c r="S5" i="12"/>
  <c r="R5" i="12"/>
  <c r="Q5" i="12"/>
  <c r="P5" i="12"/>
  <c r="O5" i="12"/>
  <c r="N5" i="12"/>
  <c r="M5" i="12"/>
  <c r="L5" i="12"/>
  <c r="K5" i="12"/>
  <c r="J5" i="12"/>
  <c r="I5" i="12"/>
  <c r="H5" i="12"/>
  <c r="G5" i="12"/>
  <c r="F5" i="12"/>
  <c r="E5" i="12"/>
  <c r="D5" i="12"/>
  <c r="C5" i="12"/>
  <c r="B5" i="12"/>
  <c r="Y4" i="12"/>
  <c r="X4" i="12"/>
  <c r="W4" i="12"/>
  <c r="V4" i="12"/>
  <c r="U4" i="12"/>
  <c r="T4" i="12"/>
  <c r="S4" i="12"/>
  <c r="R4" i="12"/>
  <c r="Q4" i="12"/>
  <c r="P4" i="12"/>
  <c r="O4" i="12"/>
  <c r="N4" i="12"/>
  <c r="M4" i="12"/>
  <c r="L4" i="12"/>
  <c r="K4" i="12"/>
  <c r="J4" i="12"/>
  <c r="I4" i="12"/>
  <c r="H4" i="12"/>
  <c r="G4" i="12"/>
  <c r="F4" i="12"/>
  <c r="E4" i="12"/>
  <c r="D4" i="12"/>
  <c r="C4" i="12"/>
  <c r="B4" i="12"/>
  <c r="Y3" i="12"/>
  <c r="X3" i="12"/>
  <c r="W3" i="12"/>
  <c r="V3" i="12"/>
  <c r="U3" i="12"/>
  <c r="T3" i="12"/>
  <c r="S3" i="12"/>
  <c r="R3" i="12"/>
  <c r="Q3" i="12"/>
  <c r="P3" i="12"/>
  <c r="O3" i="12"/>
  <c r="N3" i="12"/>
  <c r="M3" i="12"/>
  <c r="L3" i="12"/>
  <c r="K3" i="12"/>
  <c r="J3" i="12"/>
  <c r="I3" i="12"/>
  <c r="H3" i="12"/>
  <c r="G3" i="12"/>
  <c r="F3" i="12"/>
  <c r="E3" i="12"/>
  <c r="D3" i="12"/>
  <c r="C3" i="12"/>
  <c r="B3" i="12"/>
  <c r="Y2" i="12"/>
  <c r="X2" i="12"/>
  <c r="W2" i="12"/>
  <c r="V2" i="12"/>
  <c r="U2" i="12"/>
  <c r="T2" i="12"/>
  <c r="S2" i="12"/>
  <c r="R2" i="12"/>
  <c r="Q2" i="12"/>
  <c r="P2" i="12"/>
  <c r="O2" i="12"/>
  <c r="N2" i="12"/>
  <c r="M2" i="12"/>
  <c r="L2" i="12"/>
  <c r="K2" i="12"/>
  <c r="J2" i="12"/>
  <c r="I2" i="12"/>
  <c r="H2" i="12"/>
  <c r="G2" i="12"/>
  <c r="F2" i="12"/>
  <c r="E2" i="12"/>
  <c r="D2" i="12"/>
  <c r="C2" i="12"/>
  <c r="B2" i="12"/>
  <c r="Y7" i="11"/>
  <c r="X7" i="11"/>
  <c r="W7" i="11"/>
  <c r="V7" i="11"/>
  <c r="U7" i="11"/>
  <c r="T7" i="11"/>
  <c r="S7" i="11"/>
  <c r="R7" i="11"/>
  <c r="Q7" i="11"/>
  <c r="P7" i="11"/>
  <c r="O7" i="11"/>
  <c r="N7" i="11"/>
  <c r="M7" i="11"/>
  <c r="L7" i="11"/>
  <c r="K7" i="11"/>
  <c r="J7" i="11"/>
  <c r="I7" i="11"/>
  <c r="H7" i="11"/>
  <c r="G7" i="11"/>
  <c r="F7" i="11"/>
  <c r="E7" i="11"/>
  <c r="D7" i="11"/>
  <c r="C7" i="11"/>
  <c r="B7" i="11"/>
  <c r="Y6" i="11"/>
  <c r="X6" i="11"/>
  <c r="W6" i="11"/>
  <c r="V6" i="11"/>
  <c r="U6" i="11"/>
  <c r="T6" i="11"/>
  <c r="S6" i="11"/>
  <c r="R6" i="11"/>
  <c r="Q6" i="11"/>
  <c r="P6" i="11"/>
  <c r="O6" i="11"/>
  <c r="N6" i="11"/>
  <c r="M6" i="11"/>
  <c r="L6" i="11"/>
  <c r="K6" i="11"/>
  <c r="J6" i="11"/>
  <c r="I6" i="11"/>
  <c r="H6" i="11"/>
  <c r="G6" i="11"/>
  <c r="F6" i="11"/>
  <c r="E6" i="11"/>
  <c r="D6" i="11"/>
  <c r="C6" i="11"/>
  <c r="B6" i="11"/>
  <c r="Y5" i="11"/>
  <c r="X5" i="11"/>
  <c r="W5" i="11"/>
  <c r="V5" i="11"/>
  <c r="U5" i="11"/>
  <c r="T5" i="11"/>
  <c r="S5" i="11"/>
  <c r="R5" i="11"/>
  <c r="Q5" i="11"/>
  <c r="P5" i="11"/>
  <c r="O5" i="11"/>
  <c r="N5" i="11"/>
  <c r="M5" i="11"/>
  <c r="L5" i="11"/>
  <c r="K5" i="11"/>
  <c r="J5" i="11"/>
  <c r="I5" i="11"/>
  <c r="H5" i="11"/>
  <c r="G5" i="11"/>
  <c r="F5" i="11"/>
  <c r="E5" i="11"/>
  <c r="D5" i="11"/>
  <c r="C5" i="11"/>
  <c r="B5" i="11"/>
  <c r="Y4" i="11"/>
  <c r="X4" i="11"/>
  <c r="W4" i="11"/>
  <c r="V4" i="11"/>
  <c r="U4" i="11"/>
  <c r="T4" i="11"/>
  <c r="S4" i="11"/>
  <c r="R4" i="11"/>
  <c r="Q4" i="11"/>
  <c r="P4" i="11"/>
  <c r="O4" i="11"/>
  <c r="N4" i="11"/>
  <c r="M4" i="11"/>
  <c r="L4" i="11"/>
  <c r="K4" i="11"/>
  <c r="J4" i="11"/>
  <c r="I4" i="11"/>
  <c r="H4" i="11"/>
  <c r="G4" i="11"/>
  <c r="F4" i="11"/>
  <c r="E4" i="11"/>
  <c r="D4" i="11"/>
  <c r="C4" i="11"/>
  <c r="B4" i="11"/>
  <c r="Y3" i="11"/>
  <c r="X3" i="11"/>
  <c r="W3" i="11"/>
  <c r="V3" i="11"/>
  <c r="U3" i="11"/>
  <c r="T3" i="11"/>
  <c r="S3" i="11"/>
  <c r="R3" i="11"/>
  <c r="Q3" i="11"/>
  <c r="P3" i="11"/>
  <c r="O3" i="11"/>
  <c r="N3" i="11"/>
  <c r="M3" i="11"/>
  <c r="L3" i="11"/>
  <c r="K3" i="11"/>
  <c r="J3" i="11"/>
  <c r="I3" i="11"/>
  <c r="H3" i="11"/>
  <c r="G3" i="11"/>
  <c r="F3" i="11"/>
  <c r="E3" i="11"/>
  <c r="D3" i="11"/>
  <c r="C3" i="11"/>
  <c r="B3" i="11"/>
  <c r="Y2" i="11"/>
  <c r="X2" i="11"/>
  <c r="W2" i="11"/>
  <c r="V2" i="11"/>
  <c r="U2" i="11"/>
  <c r="T2" i="11"/>
  <c r="S2" i="11"/>
  <c r="R2" i="11"/>
  <c r="Q2" i="11"/>
  <c r="P2" i="11"/>
  <c r="O2" i="11"/>
  <c r="N2" i="11"/>
  <c r="M2" i="11"/>
  <c r="L2" i="11"/>
  <c r="K2" i="11"/>
  <c r="J2" i="11"/>
  <c r="I2" i="11"/>
  <c r="H2" i="11"/>
  <c r="G2" i="11"/>
  <c r="F2" i="11"/>
  <c r="E2" i="11"/>
  <c r="D2" i="11"/>
  <c r="C2" i="11"/>
  <c r="B2" i="11"/>
  <c r="E343" i="8"/>
  <c r="C343" i="8"/>
  <c r="E342" i="8"/>
  <c r="C342" i="8"/>
  <c r="E341" i="8"/>
  <c r="C341" i="8"/>
  <c r="E340" i="8"/>
  <c r="C340" i="8"/>
  <c r="E339" i="8"/>
  <c r="C339" i="8"/>
  <c r="E338" i="8"/>
  <c r="C338" i="8"/>
  <c r="E337" i="8"/>
  <c r="C337" i="8"/>
  <c r="E336" i="8"/>
  <c r="C336" i="8"/>
  <c r="E335" i="8"/>
  <c r="C335" i="8"/>
  <c r="E334" i="8"/>
  <c r="C334" i="8"/>
  <c r="E333" i="8"/>
  <c r="C333" i="8"/>
  <c r="E332" i="8"/>
  <c r="C332" i="8"/>
  <c r="E331" i="8"/>
  <c r="C331" i="8"/>
  <c r="E330" i="8"/>
  <c r="C330" i="8"/>
  <c r="E329" i="8"/>
  <c r="C329" i="8"/>
  <c r="E328" i="8"/>
  <c r="C328" i="8"/>
  <c r="E327" i="8"/>
  <c r="C327" i="8"/>
  <c r="E326" i="8"/>
  <c r="C326" i="8"/>
  <c r="E325" i="8"/>
  <c r="C325" i="8"/>
  <c r="E324" i="8"/>
  <c r="D324" i="8"/>
  <c r="U324" i="8" s="1"/>
  <c r="C324" i="8"/>
  <c r="Q323" i="8"/>
  <c r="P323" i="8"/>
  <c r="E323" i="8"/>
  <c r="C323" i="8"/>
  <c r="E322" i="8"/>
  <c r="C322" i="8"/>
  <c r="E321" i="8"/>
  <c r="C321" i="8"/>
  <c r="E320" i="8"/>
  <c r="C320" i="8"/>
  <c r="E319" i="8"/>
  <c r="C319" i="8"/>
  <c r="E318" i="8"/>
  <c r="D318" i="8"/>
  <c r="C318" i="8"/>
  <c r="E317" i="8"/>
  <c r="C317" i="8"/>
  <c r="E316" i="8"/>
  <c r="C316" i="8"/>
  <c r="E315" i="8"/>
  <c r="C315" i="8"/>
  <c r="E314" i="8"/>
  <c r="C314" i="8"/>
  <c r="E313" i="8"/>
  <c r="C313" i="8"/>
  <c r="E312" i="8"/>
  <c r="C312" i="8"/>
  <c r="E311" i="8"/>
  <c r="C311" i="8"/>
  <c r="E310" i="8"/>
  <c r="C310" i="8"/>
  <c r="E309" i="8"/>
  <c r="C309" i="8"/>
  <c r="E308" i="8"/>
  <c r="C308" i="8"/>
  <c r="E307" i="8"/>
  <c r="C307" i="8"/>
  <c r="E306" i="8"/>
  <c r="C306" i="8"/>
  <c r="E305" i="8"/>
  <c r="C305" i="8"/>
  <c r="E304" i="8"/>
  <c r="C304" i="8"/>
  <c r="E303" i="8"/>
  <c r="C303" i="8"/>
  <c r="E302" i="8"/>
  <c r="C302" i="8"/>
  <c r="E301" i="8"/>
  <c r="D301" i="8"/>
  <c r="C301" i="8"/>
  <c r="E300" i="8"/>
  <c r="C300" i="8"/>
  <c r="E299" i="8"/>
  <c r="C299" i="8"/>
  <c r="E298" i="8"/>
  <c r="C298" i="8"/>
  <c r="E297" i="8"/>
  <c r="D297" i="8"/>
  <c r="C297" i="8"/>
  <c r="E296" i="8"/>
  <c r="C296" i="8"/>
  <c r="E295" i="8"/>
  <c r="C295" i="8"/>
  <c r="E294" i="8"/>
  <c r="D294" i="8"/>
  <c r="C294" i="8"/>
  <c r="E293" i="8"/>
  <c r="C293" i="8"/>
  <c r="E292" i="8"/>
  <c r="C292" i="8"/>
  <c r="E291" i="8"/>
  <c r="C291" i="8"/>
  <c r="E290" i="8"/>
  <c r="C290" i="8"/>
  <c r="E289" i="8"/>
  <c r="C289" i="8"/>
  <c r="E288" i="8"/>
  <c r="D288" i="8"/>
  <c r="C288" i="8"/>
  <c r="E287" i="8"/>
  <c r="C287" i="8"/>
  <c r="E286" i="8"/>
  <c r="C286" i="8"/>
  <c r="V285" i="8"/>
  <c r="S285" i="8"/>
  <c r="R285" i="8"/>
  <c r="E285" i="8"/>
  <c r="D285" i="8"/>
  <c r="C285" i="8"/>
  <c r="AA284" i="8"/>
  <c r="Z284" i="8"/>
  <c r="Y284" i="8"/>
  <c r="P284" i="8"/>
  <c r="O284" i="8"/>
  <c r="N284" i="8"/>
  <c r="I284" i="8"/>
  <c r="H284" i="8"/>
  <c r="G284" i="8"/>
  <c r="F284" i="8"/>
  <c r="E284" i="8"/>
  <c r="D284" i="8"/>
  <c r="C284" i="8"/>
  <c r="E283" i="8"/>
  <c r="D283" i="8"/>
  <c r="Z283" i="8" s="1"/>
  <c r="C283" i="8"/>
  <c r="E282" i="8"/>
  <c r="C282" i="8"/>
  <c r="E281" i="8"/>
  <c r="D281" i="8"/>
  <c r="F281" i="8" s="1"/>
  <c r="C281" i="8"/>
  <c r="E280" i="8"/>
  <c r="C280" i="8"/>
  <c r="E279" i="8"/>
  <c r="C279" i="8"/>
  <c r="E278" i="8"/>
  <c r="C278" i="8"/>
  <c r="E277" i="8"/>
  <c r="C277" i="8"/>
  <c r="E276" i="8"/>
  <c r="C276" i="8"/>
  <c r="E275" i="8"/>
  <c r="C275" i="8"/>
  <c r="E274" i="8"/>
  <c r="C274" i="8"/>
  <c r="E273" i="8"/>
  <c r="C273" i="8"/>
  <c r="E272" i="8"/>
  <c r="C272" i="8"/>
  <c r="E271" i="8"/>
  <c r="C271" i="8"/>
  <c r="E270" i="8"/>
  <c r="C270" i="8"/>
  <c r="E269" i="8"/>
  <c r="C269" i="8"/>
  <c r="E268" i="8"/>
  <c r="C268" i="8"/>
  <c r="E267" i="8"/>
  <c r="C267" i="8"/>
  <c r="E266" i="8"/>
  <c r="C266" i="8"/>
  <c r="E265" i="8"/>
  <c r="C265" i="8"/>
  <c r="E264" i="8"/>
  <c r="C264" i="8"/>
  <c r="E263" i="8"/>
  <c r="C263" i="8"/>
  <c r="E262" i="8"/>
  <c r="C262" i="8"/>
  <c r="E261" i="8"/>
  <c r="C261" i="8"/>
  <c r="E260" i="8"/>
  <c r="C260" i="8"/>
  <c r="E259" i="8"/>
  <c r="C259" i="8"/>
  <c r="E258" i="8"/>
  <c r="C258" i="8"/>
  <c r="E257" i="8"/>
  <c r="C257" i="8"/>
  <c r="E256" i="8"/>
  <c r="C256" i="8"/>
  <c r="E255" i="8"/>
  <c r="C255" i="8"/>
  <c r="E254" i="8"/>
  <c r="C254" i="8"/>
  <c r="E253" i="8"/>
  <c r="C253" i="8"/>
  <c r="E252" i="8"/>
  <c r="D252" i="8"/>
  <c r="C252" i="8"/>
  <c r="E251" i="8"/>
  <c r="C251" i="8"/>
  <c r="E250" i="8"/>
  <c r="C250" i="8"/>
  <c r="E249" i="8"/>
  <c r="C249" i="8"/>
  <c r="E248" i="8"/>
  <c r="C248" i="8"/>
  <c r="E247" i="8"/>
  <c r="C247" i="8"/>
  <c r="E246" i="8"/>
  <c r="C246" i="8"/>
  <c r="E245" i="8"/>
  <c r="C245" i="8"/>
  <c r="E244" i="8"/>
  <c r="C244" i="8"/>
  <c r="E243" i="8"/>
  <c r="C243" i="8"/>
  <c r="E242" i="8"/>
  <c r="C242" i="8"/>
  <c r="E241" i="8"/>
  <c r="C241" i="8"/>
  <c r="E240" i="8"/>
  <c r="D240" i="8"/>
  <c r="C240" i="8"/>
  <c r="E239" i="8"/>
  <c r="C239" i="8"/>
  <c r="E238" i="8"/>
  <c r="C238" i="8"/>
  <c r="E237" i="8"/>
  <c r="D237" i="8"/>
  <c r="C237" i="8"/>
  <c r="E236" i="8"/>
  <c r="C236" i="8"/>
  <c r="E235" i="8"/>
  <c r="D235" i="8"/>
  <c r="G235" i="8" s="1"/>
  <c r="C235" i="8"/>
  <c r="E234" i="8"/>
  <c r="C234" i="8"/>
  <c r="E233" i="8"/>
  <c r="C233" i="8"/>
  <c r="E232" i="8"/>
  <c r="D232" i="8"/>
  <c r="C232" i="8"/>
  <c r="E231" i="8"/>
  <c r="D231" i="8"/>
  <c r="S231" i="8" s="1"/>
  <c r="C231" i="8"/>
  <c r="AE230" i="8"/>
  <c r="AA230" i="8"/>
  <c r="E230" i="8"/>
  <c r="D230" i="8"/>
  <c r="C230" i="8"/>
  <c r="E229" i="8"/>
  <c r="D229" i="8"/>
  <c r="C229" i="8"/>
  <c r="E228" i="8"/>
  <c r="D228" i="8"/>
  <c r="C228" i="8"/>
  <c r="E227" i="8"/>
  <c r="C227" i="8"/>
  <c r="E226" i="8"/>
  <c r="C226" i="8"/>
  <c r="E225" i="8"/>
  <c r="C225" i="8"/>
  <c r="E224" i="8"/>
  <c r="C224" i="8"/>
  <c r="S223" i="8"/>
  <c r="E223" i="8"/>
  <c r="D223" i="8"/>
  <c r="C223" i="8"/>
  <c r="E222" i="8"/>
  <c r="D222" i="8"/>
  <c r="C222" i="8"/>
  <c r="Z221" i="8"/>
  <c r="Y221" i="8"/>
  <c r="X221" i="8"/>
  <c r="M221" i="8"/>
  <c r="J221" i="8"/>
  <c r="I221" i="8"/>
  <c r="E221" i="8"/>
  <c r="D221" i="8"/>
  <c r="C221" i="8"/>
  <c r="E220" i="8"/>
  <c r="C220" i="8"/>
  <c r="E219" i="8"/>
  <c r="C219" i="8"/>
  <c r="E218" i="8"/>
  <c r="C218" i="8"/>
  <c r="E217" i="8"/>
  <c r="C217" i="8"/>
  <c r="E216" i="8"/>
  <c r="C216" i="8"/>
  <c r="E215" i="8"/>
  <c r="C215" i="8"/>
  <c r="E214" i="8"/>
  <c r="C214" i="8"/>
  <c r="E213" i="8"/>
  <c r="C213" i="8"/>
  <c r="E212" i="8"/>
  <c r="C212" i="8"/>
  <c r="E211" i="8"/>
  <c r="C211" i="8"/>
  <c r="E210" i="8"/>
  <c r="C210" i="8"/>
  <c r="E209" i="8"/>
  <c r="C209" i="8"/>
  <c r="E208" i="8"/>
  <c r="C208" i="8"/>
  <c r="E207" i="8"/>
  <c r="C207" i="8"/>
  <c r="E206" i="8"/>
  <c r="C206" i="8"/>
  <c r="E205" i="8"/>
  <c r="C205" i="8"/>
  <c r="E204" i="8"/>
  <c r="C204" i="8"/>
  <c r="E203" i="8"/>
  <c r="C203" i="8"/>
  <c r="E202" i="8"/>
  <c r="C202" i="8"/>
  <c r="E201" i="8"/>
  <c r="C201" i="8"/>
  <c r="E200" i="8"/>
  <c r="C200" i="8"/>
  <c r="E199" i="8"/>
  <c r="C199" i="8"/>
  <c r="E198" i="8"/>
  <c r="C198" i="8"/>
  <c r="E197" i="8"/>
  <c r="C197" i="8"/>
  <c r="E196" i="8"/>
  <c r="C196" i="8"/>
  <c r="E195" i="8"/>
  <c r="C195" i="8"/>
  <c r="E194" i="8"/>
  <c r="C194" i="8"/>
  <c r="E193" i="8"/>
  <c r="C193" i="8"/>
  <c r="E192" i="8"/>
  <c r="C192" i="8"/>
  <c r="E191" i="8"/>
  <c r="C191" i="8"/>
  <c r="E190" i="8"/>
  <c r="C190" i="8"/>
  <c r="E189" i="8"/>
  <c r="C189" i="8"/>
  <c r="E188" i="8"/>
  <c r="C188" i="8"/>
  <c r="E187" i="8"/>
  <c r="C187" i="8"/>
  <c r="E186" i="8"/>
  <c r="C186" i="8"/>
  <c r="E185" i="8"/>
  <c r="C185" i="8"/>
  <c r="E184" i="8"/>
  <c r="C184" i="8"/>
  <c r="E183" i="8"/>
  <c r="C183" i="8"/>
  <c r="E182" i="8"/>
  <c r="C182" i="8"/>
  <c r="E181" i="8"/>
  <c r="C181" i="8"/>
  <c r="E180" i="8"/>
  <c r="C180" i="8"/>
  <c r="E179" i="8"/>
  <c r="C179" i="8"/>
  <c r="E178" i="8"/>
  <c r="C178" i="8"/>
  <c r="E177" i="8"/>
  <c r="C177" i="8"/>
  <c r="E176" i="8"/>
  <c r="D176" i="8"/>
  <c r="C176" i="8"/>
  <c r="E175" i="8"/>
  <c r="C175" i="8"/>
  <c r="E174" i="8"/>
  <c r="C174" i="8"/>
  <c r="E173" i="8"/>
  <c r="C173" i="8"/>
  <c r="E172" i="8"/>
  <c r="C172" i="8"/>
  <c r="E171" i="8"/>
  <c r="C171" i="8"/>
  <c r="E170" i="8"/>
  <c r="C170" i="8"/>
  <c r="E169" i="8"/>
  <c r="D169" i="8"/>
  <c r="C169" i="8"/>
  <c r="E168" i="8"/>
  <c r="C168" i="8"/>
  <c r="E167" i="8"/>
  <c r="C167" i="8"/>
  <c r="E166" i="8"/>
  <c r="C166" i="8"/>
  <c r="E165" i="8"/>
  <c r="C165" i="8"/>
  <c r="E164" i="8"/>
  <c r="C164" i="8"/>
  <c r="E163" i="8"/>
  <c r="C163" i="8"/>
  <c r="M162" i="8"/>
  <c r="L162" i="8"/>
  <c r="K162" i="8"/>
  <c r="J162" i="8"/>
  <c r="E162" i="8"/>
  <c r="D162" i="8"/>
  <c r="C162" i="8"/>
  <c r="E161" i="8"/>
  <c r="D161" i="8"/>
  <c r="C161" i="8"/>
  <c r="E160" i="8"/>
  <c r="C160" i="8"/>
  <c r="E159" i="8"/>
  <c r="C159" i="8"/>
  <c r="E158" i="8"/>
  <c r="C158" i="8"/>
  <c r="E157" i="8"/>
  <c r="D157" i="8"/>
  <c r="C157" i="8"/>
  <c r="AE156" i="8"/>
  <c r="AC156" i="8"/>
  <c r="AB156" i="8"/>
  <c r="AA156" i="8"/>
  <c r="S156" i="8"/>
  <c r="Q156" i="8"/>
  <c r="P156" i="8"/>
  <c r="O156" i="8"/>
  <c r="N156" i="8"/>
  <c r="M156" i="8"/>
  <c r="L156" i="8"/>
  <c r="G156" i="8"/>
  <c r="E156" i="8"/>
  <c r="D156" i="8"/>
  <c r="C156" i="8"/>
  <c r="AE155" i="8"/>
  <c r="AC155" i="8"/>
  <c r="Z155" i="8"/>
  <c r="S155" i="8"/>
  <c r="R155" i="8"/>
  <c r="Q155" i="8"/>
  <c r="P155" i="8"/>
  <c r="O155" i="8"/>
  <c r="N155" i="8"/>
  <c r="K155" i="8"/>
  <c r="J155" i="8"/>
  <c r="I155" i="8"/>
  <c r="H155" i="8"/>
  <c r="G155" i="8"/>
  <c r="E155" i="8"/>
  <c r="D155" i="8"/>
  <c r="C155" i="8"/>
  <c r="AE154" i="8"/>
  <c r="E154" i="8"/>
  <c r="D154" i="8"/>
  <c r="C154" i="8"/>
  <c r="E153" i="8"/>
  <c r="D153" i="8"/>
  <c r="AE153" i="8" s="1"/>
  <c r="C153" i="8"/>
  <c r="AE152" i="8"/>
  <c r="T152" i="8"/>
  <c r="S152" i="8"/>
  <c r="R152" i="8"/>
  <c r="Q152" i="8"/>
  <c r="P152" i="8"/>
  <c r="M152" i="8"/>
  <c r="L152" i="8"/>
  <c r="J152" i="8"/>
  <c r="I152" i="8"/>
  <c r="H152" i="8"/>
  <c r="E152" i="8"/>
  <c r="D152" i="8"/>
  <c r="C152" i="8"/>
  <c r="E151" i="8"/>
  <c r="D151" i="8"/>
  <c r="C151" i="8"/>
  <c r="V150" i="8"/>
  <c r="E150" i="8"/>
  <c r="D150" i="8"/>
  <c r="C150" i="8"/>
  <c r="E149" i="8"/>
  <c r="D149" i="8"/>
  <c r="C149" i="8"/>
  <c r="V148" i="8"/>
  <c r="S148" i="8"/>
  <c r="R148" i="8"/>
  <c r="E148" i="8"/>
  <c r="C148" i="8"/>
  <c r="V147" i="8"/>
  <c r="U147" i="8"/>
  <c r="T147" i="8"/>
  <c r="Q147" i="8"/>
  <c r="E147" i="8"/>
  <c r="D147" i="8"/>
  <c r="O147" i="8" s="1"/>
  <c r="C147" i="8"/>
  <c r="E146" i="8"/>
  <c r="C146" i="8"/>
  <c r="E145" i="8"/>
  <c r="C145" i="8"/>
  <c r="E144" i="8"/>
  <c r="C144" i="8"/>
  <c r="E143" i="8"/>
  <c r="C143" i="8"/>
  <c r="E142" i="8"/>
  <c r="C142" i="8"/>
  <c r="E141" i="8"/>
  <c r="C141" i="8"/>
  <c r="E140" i="8"/>
  <c r="C140" i="8"/>
  <c r="E139" i="8"/>
  <c r="C139" i="8"/>
  <c r="E138" i="8"/>
  <c r="C138" i="8"/>
  <c r="E137" i="8"/>
  <c r="C137" i="8"/>
  <c r="E136" i="8"/>
  <c r="C136" i="8"/>
  <c r="E135" i="8"/>
  <c r="C135" i="8"/>
  <c r="E134" i="8"/>
  <c r="D134" i="8"/>
  <c r="C134" i="8"/>
  <c r="E133" i="8"/>
  <c r="C133" i="8"/>
  <c r="E132" i="8"/>
  <c r="C132" i="8"/>
  <c r="E131" i="8"/>
  <c r="C131" i="8"/>
  <c r="E130" i="8"/>
  <c r="C130" i="8"/>
  <c r="E129" i="8"/>
  <c r="C129" i="8"/>
  <c r="E128" i="8"/>
  <c r="C128" i="8"/>
  <c r="E127" i="8"/>
  <c r="C127" i="8"/>
  <c r="E126" i="8"/>
  <c r="C126" i="8"/>
  <c r="E125" i="8"/>
  <c r="C125" i="8"/>
  <c r="E124" i="8"/>
  <c r="C124" i="8"/>
  <c r="E123" i="8"/>
  <c r="C123" i="8"/>
  <c r="E122" i="8"/>
  <c r="C122" i="8"/>
  <c r="E121" i="8"/>
  <c r="C121" i="8"/>
  <c r="E120" i="8"/>
  <c r="C120" i="8"/>
  <c r="E119" i="8"/>
  <c r="C119" i="8"/>
  <c r="E118" i="8"/>
  <c r="C118" i="8"/>
  <c r="E117" i="8"/>
  <c r="C117" i="8"/>
  <c r="E116" i="8"/>
  <c r="C116" i="8"/>
  <c r="E115" i="8"/>
  <c r="C115" i="8"/>
  <c r="E114" i="8"/>
  <c r="D114" i="8"/>
  <c r="C114" i="8"/>
  <c r="E113" i="8"/>
  <c r="C113" i="8"/>
  <c r="E112" i="8"/>
  <c r="C112" i="8"/>
  <c r="E111" i="8"/>
  <c r="C111" i="8"/>
  <c r="E110" i="8"/>
  <c r="D110" i="8"/>
  <c r="F110" i="8" s="1"/>
  <c r="C110" i="8"/>
  <c r="E109" i="8"/>
  <c r="C109" i="8"/>
  <c r="E108" i="8"/>
  <c r="C108" i="8"/>
  <c r="E107" i="8"/>
  <c r="C107" i="8"/>
  <c r="E106" i="8"/>
  <c r="C106" i="8"/>
  <c r="E105" i="8"/>
  <c r="C105" i="8"/>
  <c r="E104" i="8"/>
  <c r="C104" i="8"/>
  <c r="E103" i="8"/>
  <c r="C103" i="8"/>
  <c r="E102" i="8"/>
  <c r="C102" i="8"/>
  <c r="E101" i="8"/>
  <c r="C101" i="8"/>
  <c r="E100" i="8"/>
  <c r="C100" i="8"/>
  <c r="E99" i="8"/>
  <c r="C99" i="8"/>
  <c r="E98" i="8"/>
  <c r="C98" i="8"/>
  <c r="E97" i="8"/>
  <c r="D97" i="8"/>
  <c r="AC97" i="8" s="1"/>
  <c r="C97" i="8"/>
  <c r="E96" i="8"/>
  <c r="C96" i="8"/>
  <c r="E95" i="8"/>
  <c r="C95" i="8"/>
  <c r="E94" i="8"/>
  <c r="D94" i="8"/>
  <c r="R94" i="8" s="1"/>
  <c r="C94" i="8"/>
  <c r="E93" i="8"/>
  <c r="C93" i="8"/>
  <c r="E92" i="8"/>
  <c r="C92" i="8"/>
  <c r="E91" i="8"/>
  <c r="D91" i="8"/>
  <c r="C91" i="8"/>
  <c r="E90" i="8"/>
  <c r="D90" i="8"/>
  <c r="C90" i="8"/>
  <c r="AC90" i="8" s="1"/>
  <c r="E89" i="8"/>
  <c r="D89" i="8"/>
  <c r="C89" i="8"/>
  <c r="AC88" i="8"/>
  <c r="Z88" i="8"/>
  <c r="E88" i="8"/>
  <c r="D88" i="8"/>
  <c r="C88" i="8"/>
  <c r="E87" i="8"/>
  <c r="D87" i="8"/>
  <c r="F87" i="8" s="1"/>
  <c r="C87" i="8"/>
  <c r="E86" i="8"/>
  <c r="D86" i="8"/>
  <c r="C86" i="8"/>
  <c r="AB85" i="8"/>
  <c r="AA85" i="8"/>
  <c r="Z85" i="8"/>
  <c r="Y85" i="8"/>
  <c r="X85" i="8"/>
  <c r="W85" i="8"/>
  <c r="V85" i="8"/>
  <c r="N85" i="8"/>
  <c r="L85" i="8"/>
  <c r="K85" i="8"/>
  <c r="J85" i="8"/>
  <c r="I85" i="8"/>
  <c r="F85" i="8"/>
  <c r="E85" i="8"/>
  <c r="D85" i="8"/>
  <c r="C85" i="8"/>
  <c r="AE84" i="8"/>
  <c r="AC84" i="8"/>
  <c r="AB84" i="8"/>
  <c r="AA84" i="8"/>
  <c r="Z84" i="8"/>
  <c r="Y84" i="8"/>
  <c r="V84" i="8"/>
  <c r="U84" i="8"/>
  <c r="L84" i="8"/>
  <c r="K84" i="8"/>
  <c r="J84" i="8"/>
  <c r="I84" i="8"/>
  <c r="E84" i="8"/>
  <c r="D84" i="8"/>
  <c r="C84" i="8"/>
  <c r="E83" i="8"/>
  <c r="D83" i="8"/>
  <c r="C83" i="8"/>
  <c r="AB82" i="8"/>
  <c r="AA82" i="8"/>
  <c r="X82" i="8"/>
  <c r="V82" i="8"/>
  <c r="U82" i="8"/>
  <c r="T82" i="8"/>
  <c r="O82" i="8"/>
  <c r="N82" i="8"/>
  <c r="M82" i="8"/>
  <c r="L82" i="8"/>
  <c r="K82" i="8"/>
  <c r="J82" i="8"/>
  <c r="I82" i="8"/>
  <c r="H82" i="8"/>
  <c r="G82" i="8"/>
  <c r="F82" i="8"/>
  <c r="E82" i="8"/>
  <c r="C82" i="8"/>
  <c r="AE81" i="8"/>
  <c r="AC81" i="8"/>
  <c r="AA81" i="8"/>
  <c r="Z81" i="8"/>
  <c r="E81" i="8"/>
  <c r="D81" i="8"/>
  <c r="F81" i="8" s="1"/>
  <c r="C81" i="8"/>
  <c r="AE80" i="8"/>
  <c r="AC80" i="8"/>
  <c r="AB80" i="8"/>
  <c r="AA80" i="8"/>
  <c r="U80" i="8"/>
  <c r="T80" i="8"/>
  <c r="S80" i="8"/>
  <c r="R80" i="8"/>
  <c r="Q80" i="8"/>
  <c r="E80" i="8"/>
  <c r="D80" i="8"/>
  <c r="C80" i="8"/>
  <c r="E79" i="8"/>
  <c r="C79" i="8"/>
  <c r="E78" i="8"/>
  <c r="C78" i="8"/>
  <c r="E77" i="8"/>
  <c r="C77" i="8"/>
  <c r="E76" i="8"/>
  <c r="C76" i="8"/>
  <c r="E75" i="8"/>
  <c r="C75" i="8"/>
  <c r="E74" i="8"/>
  <c r="C74" i="8"/>
  <c r="E73" i="8"/>
  <c r="C73" i="8"/>
  <c r="E72" i="8"/>
  <c r="C72" i="8"/>
  <c r="E71" i="8"/>
  <c r="C71" i="8"/>
  <c r="E70" i="8"/>
  <c r="D70" i="8"/>
  <c r="C70" i="8"/>
  <c r="E69" i="8"/>
  <c r="C69" i="8"/>
  <c r="E68" i="8"/>
  <c r="C68" i="8"/>
  <c r="E67" i="8"/>
  <c r="C67" i="8"/>
  <c r="E66" i="8"/>
  <c r="C66" i="8"/>
  <c r="E65" i="8"/>
  <c r="D65" i="8"/>
  <c r="L65" i="8" s="1"/>
  <c r="C65" i="8"/>
  <c r="E64" i="8"/>
  <c r="D64" i="8"/>
  <c r="C64" i="8"/>
  <c r="E63" i="8"/>
  <c r="C63" i="8"/>
  <c r="E62" i="8"/>
  <c r="C62" i="8"/>
  <c r="E61" i="8"/>
  <c r="C61" i="8"/>
  <c r="E60" i="8"/>
  <c r="C60" i="8"/>
  <c r="E59" i="8"/>
  <c r="C59" i="8"/>
  <c r="P58" i="8"/>
  <c r="E58" i="8"/>
  <c r="D58" i="8"/>
  <c r="C58" i="8"/>
  <c r="E57" i="8"/>
  <c r="C57" i="8"/>
  <c r="E56" i="8"/>
  <c r="D56" i="8"/>
  <c r="H56" i="8" s="1"/>
  <c r="C56" i="8"/>
  <c r="D51" i="8"/>
  <c r="G51" i="8" s="1"/>
  <c r="C51" i="8"/>
  <c r="E51" i="8" s="1"/>
  <c r="G50" i="8"/>
  <c r="D50" i="8"/>
  <c r="C50" i="8"/>
  <c r="E50" i="8" s="1"/>
  <c r="D49" i="8"/>
  <c r="C49" i="8"/>
  <c r="D48" i="8"/>
  <c r="G48" i="8" s="1"/>
  <c r="C48" i="8"/>
  <c r="E48" i="8" s="1"/>
  <c r="D47" i="8"/>
  <c r="G47" i="8" s="1"/>
  <c r="C47" i="8"/>
  <c r="E47" i="8" s="1"/>
  <c r="F47" i="8" s="1"/>
  <c r="D46" i="8"/>
  <c r="G46" i="8" s="1"/>
  <c r="C46" i="8"/>
  <c r="E46" i="8" s="1"/>
  <c r="F46" i="8" s="1"/>
  <c r="B46" i="8"/>
  <c r="D45" i="8"/>
  <c r="G45" i="8" s="1"/>
  <c r="C45" i="8"/>
  <c r="E45" i="8" s="1"/>
  <c r="F45" i="8" s="1"/>
  <c r="D44" i="8"/>
  <c r="G44" i="8" s="1"/>
  <c r="C44" i="8"/>
  <c r="D43" i="8"/>
  <c r="C43" i="8"/>
  <c r="D42" i="8"/>
  <c r="C42" i="8"/>
  <c r="E42" i="8" s="1"/>
  <c r="G41" i="8"/>
  <c r="D41" i="8"/>
  <c r="C41" i="8"/>
  <c r="E41" i="8" s="1"/>
  <c r="F41" i="8" s="1"/>
  <c r="B41" i="8"/>
  <c r="G40" i="8"/>
  <c r="D40" i="8"/>
  <c r="C40" i="8"/>
  <c r="E40" i="8" s="1"/>
  <c r="G39" i="8"/>
  <c r="D39" i="8"/>
  <c r="C39" i="8"/>
  <c r="E39" i="8" s="1"/>
  <c r="G38" i="8"/>
  <c r="E38" i="8"/>
  <c r="D38" i="8"/>
  <c r="C38" i="8"/>
  <c r="D37" i="8"/>
  <c r="C37" i="8"/>
  <c r="E37" i="8" s="1"/>
  <c r="D36" i="8"/>
  <c r="G36" i="8" s="1"/>
  <c r="C36" i="8"/>
  <c r="E36" i="8" s="1"/>
  <c r="B36" i="8"/>
  <c r="F36" i="8" s="1"/>
  <c r="D35" i="8"/>
  <c r="C35" i="8"/>
  <c r="E35" i="8" s="1"/>
  <c r="F35" i="8" s="1"/>
  <c r="G35" i="8" s="1"/>
  <c r="B35" i="8"/>
  <c r="D34" i="8"/>
  <c r="C34" i="8"/>
  <c r="D33" i="8"/>
  <c r="G33" i="8" s="1"/>
  <c r="C33" i="8"/>
  <c r="E33" i="8" s="1"/>
  <c r="D32" i="8"/>
  <c r="G32" i="8" s="1"/>
  <c r="C32" i="8"/>
  <c r="G31" i="8"/>
  <c r="E31" i="8"/>
  <c r="D31" i="8"/>
  <c r="C31" i="8"/>
  <c r="G30" i="8"/>
  <c r="D30" i="8"/>
  <c r="C30" i="8"/>
  <c r="E30" i="8" s="1"/>
  <c r="B30" i="8"/>
  <c r="E29" i="8"/>
  <c r="F29" i="8" s="1"/>
  <c r="D29" i="8"/>
  <c r="G29" i="8" s="1"/>
  <c r="C29" i="8"/>
  <c r="D28" i="8"/>
  <c r="G28" i="8" s="1"/>
  <c r="C28" i="8"/>
  <c r="G27" i="8"/>
  <c r="D27" i="8"/>
  <c r="C27" i="8"/>
  <c r="E27" i="8" s="1"/>
  <c r="D26" i="8"/>
  <c r="G26" i="8" s="1"/>
  <c r="C26" i="8"/>
  <c r="E26" i="8" s="1"/>
  <c r="B26" i="8"/>
  <c r="F26" i="8" s="1"/>
  <c r="G25" i="8"/>
  <c r="E25" i="8"/>
  <c r="D25" i="8"/>
  <c r="C25" i="8"/>
  <c r="B25" i="8"/>
  <c r="F25" i="8" s="1"/>
  <c r="D24" i="8"/>
  <c r="C24" i="8"/>
  <c r="B24" i="8"/>
  <c r="G23" i="8"/>
  <c r="D23" i="8"/>
  <c r="C23" i="8"/>
  <c r="E23" i="8" s="1"/>
  <c r="D22" i="8"/>
  <c r="G22" i="8" s="1"/>
  <c r="C22" i="8"/>
  <c r="E22" i="8" s="1"/>
  <c r="G21" i="8"/>
  <c r="D21" i="8"/>
  <c r="C21" i="8"/>
  <c r="E21" i="8" s="1"/>
  <c r="B21" i="8"/>
  <c r="F21" i="8" s="1"/>
  <c r="D20" i="8"/>
  <c r="G20" i="8" s="1"/>
  <c r="C20" i="8"/>
  <c r="E20" i="8" s="1"/>
  <c r="B20" i="8"/>
  <c r="G19" i="8"/>
  <c r="D19" i="8"/>
  <c r="C19" i="8"/>
  <c r="E19" i="8" s="1"/>
  <c r="B19" i="8"/>
  <c r="F19" i="8" s="1"/>
  <c r="D18" i="8"/>
  <c r="G18" i="8" s="1"/>
  <c r="C18" i="8"/>
  <c r="E18" i="8" s="1"/>
  <c r="D17" i="8"/>
  <c r="G17" i="8" s="1"/>
  <c r="C17" i="8"/>
  <c r="E17" i="8" s="1"/>
  <c r="B17" i="8"/>
  <c r="F17" i="8" s="1"/>
  <c r="D16" i="8"/>
  <c r="G16" i="8" s="1"/>
  <c r="C16" i="8"/>
  <c r="E16" i="8" s="1"/>
  <c r="G15" i="8"/>
  <c r="D15" i="8"/>
  <c r="C15" i="8"/>
  <c r="E15" i="8" s="1"/>
  <c r="D14" i="8"/>
  <c r="G14" i="8" s="1"/>
  <c r="C14" i="8"/>
  <c r="D13" i="8"/>
  <c r="C13" i="8"/>
  <c r="E13" i="8" s="1"/>
  <c r="B13" i="8"/>
  <c r="F13" i="8" s="1"/>
  <c r="D12" i="8"/>
  <c r="G12" i="8" s="1"/>
  <c r="C12" i="8"/>
  <c r="E12" i="8" s="1"/>
  <c r="F12" i="8" s="1"/>
  <c r="G11" i="8"/>
  <c r="F11" i="8"/>
  <c r="E11" i="8"/>
  <c r="D11" i="8"/>
  <c r="C11" i="8"/>
  <c r="D10" i="8"/>
  <c r="G10" i="8" s="1"/>
  <c r="C10" i="8"/>
  <c r="G9" i="8"/>
  <c r="E9" i="8"/>
  <c r="F9" i="8" s="1"/>
  <c r="D9" i="8"/>
  <c r="C9" i="8"/>
  <c r="D8" i="8"/>
  <c r="C8" i="8"/>
  <c r="B8" i="8"/>
  <c r="G7" i="8"/>
  <c r="D7" i="8"/>
  <c r="C7" i="8"/>
  <c r="E7" i="8" s="1"/>
  <c r="D6" i="8"/>
  <c r="C6" i="8"/>
  <c r="D5" i="8"/>
  <c r="G5" i="8" s="1"/>
  <c r="C5" i="8"/>
  <c r="E5" i="8" s="1"/>
  <c r="D4" i="8"/>
  <c r="C4" i="8"/>
  <c r="E4" i="8" s="1"/>
  <c r="T5" i="15" s="1"/>
  <c r="B4" i="8"/>
  <c r="E1156" i="7"/>
  <c r="E1155" i="7"/>
  <c r="E1154" i="7"/>
  <c r="E1153" i="7"/>
  <c r="E1152" i="7"/>
  <c r="E1151" i="7"/>
  <c r="E1150" i="7"/>
  <c r="E1149" i="7"/>
  <c r="E1148" i="7"/>
  <c r="E1147" i="7"/>
  <c r="E1146" i="7"/>
  <c r="E1145" i="7"/>
  <c r="E1144" i="7"/>
  <c r="E1143" i="7"/>
  <c r="E1142" i="7"/>
  <c r="E1141" i="7"/>
  <c r="E1140" i="7"/>
  <c r="E1139" i="7"/>
  <c r="E1138" i="7"/>
  <c r="E1137" i="7"/>
  <c r="E1136" i="7"/>
  <c r="E1135" i="7"/>
  <c r="E1134" i="7"/>
  <c r="E1133" i="7"/>
  <c r="E1132" i="7"/>
  <c r="E1131" i="7"/>
  <c r="E1130" i="7"/>
  <c r="E1129" i="7"/>
  <c r="E1128" i="7"/>
  <c r="E1127" i="7"/>
  <c r="E1126" i="7"/>
  <c r="E1125" i="7"/>
  <c r="E1124" i="7"/>
  <c r="E1123" i="7"/>
  <c r="E1122" i="7"/>
  <c r="E1121" i="7"/>
  <c r="E1120" i="7"/>
  <c r="E1119" i="7"/>
  <c r="E1118" i="7"/>
  <c r="E1117" i="7"/>
  <c r="E1116" i="7"/>
  <c r="E1115" i="7"/>
  <c r="E1114" i="7"/>
  <c r="E1113" i="7"/>
  <c r="E1112" i="7"/>
  <c r="E1111" i="7"/>
  <c r="E1110" i="7"/>
  <c r="E1109" i="7"/>
  <c r="E1108" i="7"/>
  <c r="E1107" i="7"/>
  <c r="E1106" i="7"/>
  <c r="E1105" i="7"/>
  <c r="E1104" i="7"/>
  <c r="E1103" i="7"/>
  <c r="E1102" i="7"/>
  <c r="E1101" i="7"/>
  <c r="E1100" i="7"/>
  <c r="E1099" i="7"/>
  <c r="E1098" i="7"/>
  <c r="E1097" i="7"/>
  <c r="E1096" i="7"/>
  <c r="E1095" i="7"/>
  <c r="E1094" i="7"/>
  <c r="E1093" i="7"/>
  <c r="E1092" i="7"/>
  <c r="E1091" i="7"/>
  <c r="E1090" i="7"/>
  <c r="E1089" i="7"/>
  <c r="E1088" i="7"/>
  <c r="E1087" i="7"/>
  <c r="E1086" i="7"/>
  <c r="E1085" i="7"/>
  <c r="E1084" i="7"/>
  <c r="E1083" i="7"/>
  <c r="E1082" i="7"/>
  <c r="E1081" i="7"/>
  <c r="E1080" i="7"/>
  <c r="E1079" i="7"/>
  <c r="E1078" i="7"/>
  <c r="E1077" i="7"/>
  <c r="E1076" i="7"/>
  <c r="E1075" i="7"/>
  <c r="E1074" i="7"/>
  <c r="E1073" i="7"/>
  <c r="E1072" i="7"/>
  <c r="E1071" i="7"/>
  <c r="E1070" i="7"/>
  <c r="E1069" i="7"/>
  <c r="E1068" i="7"/>
  <c r="E1067" i="7"/>
  <c r="E1066" i="7"/>
  <c r="E1065" i="7"/>
  <c r="E1064" i="7"/>
  <c r="E1063" i="7"/>
  <c r="E1062" i="7"/>
  <c r="E1061" i="7"/>
  <c r="E1060" i="7"/>
  <c r="E1059" i="7"/>
  <c r="E1058" i="7"/>
  <c r="E1057" i="7"/>
  <c r="E1056" i="7"/>
  <c r="E1055" i="7"/>
  <c r="E1054" i="7"/>
  <c r="E1053" i="7"/>
  <c r="E1052" i="7"/>
  <c r="E1051" i="7"/>
  <c r="E1050" i="7"/>
  <c r="E1049" i="7"/>
  <c r="E1048" i="7"/>
  <c r="E1047" i="7"/>
  <c r="E1046" i="7"/>
  <c r="E1045" i="7"/>
  <c r="E1044" i="7"/>
  <c r="E1043" i="7"/>
  <c r="E1042" i="7"/>
  <c r="E1041" i="7"/>
  <c r="E1040" i="7"/>
  <c r="E1039" i="7"/>
  <c r="E1038" i="7"/>
  <c r="E1037" i="7"/>
  <c r="E1036" i="7"/>
  <c r="E1035" i="7"/>
  <c r="E1034" i="7"/>
  <c r="E1033" i="7"/>
  <c r="E1032" i="7"/>
  <c r="E1031" i="7"/>
  <c r="E1030" i="7"/>
  <c r="E1029" i="7"/>
  <c r="E1028" i="7"/>
  <c r="E1027" i="7"/>
  <c r="E1026" i="7"/>
  <c r="E1025" i="7"/>
  <c r="E1024" i="7"/>
  <c r="E1023" i="7"/>
  <c r="E1022" i="7"/>
  <c r="E1021" i="7"/>
  <c r="E1020" i="7"/>
  <c r="E1019" i="7"/>
  <c r="E1018" i="7"/>
  <c r="E1017" i="7"/>
  <c r="E1016" i="7"/>
  <c r="E1015" i="7"/>
  <c r="E1014" i="7"/>
  <c r="E1013" i="7"/>
  <c r="E1012" i="7"/>
  <c r="E1011" i="7"/>
  <c r="E1010" i="7"/>
  <c r="E1009" i="7"/>
  <c r="E1008" i="7"/>
  <c r="E1007" i="7"/>
  <c r="E1006" i="7"/>
  <c r="E1005" i="7"/>
  <c r="E1004" i="7"/>
  <c r="E1003" i="7"/>
  <c r="E1002" i="7"/>
  <c r="E1001" i="7"/>
  <c r="E1000" i="7"/>
  <c r="E999" i="7"/>
  <c r="E998" i="7"/>
  <c r="E997" i="7"/>
  <c r="E996" i="7"/>
  <c r="E995" i="7"/>
  <c r="E994" i="7"/>
  <c r="E993" i="7"/>
  <c r="E992" i="7"/>
  <c r="E991" i="7"/>
  <c r="E990" i="7"/>
  <c r="E989" i="7"/>
  <c r="E988" i="7"/>
  <c r="E987" i="7"/>
  <c r="E986" i="7"/>
  <c r="E985" i="7"/>
  <c r="E984" i="7"/>
  <c r="E983" i="7"/>
  <c r="E982" i="7"/>
  <c r="E981" i="7"/>
  <c r="E980" i="7"/>
  <c r="E979" i="7"/>
  <c r="E978" i="7"/>
  <c r="E977" i="7"/>
  <c r="E976" i="7"/>
  <c r="E975" i="7"/>
  <c r="E974" i="7"/>
  <c r="E973" i="7"/>
  <c r="E972" i="7"/>
  <c r="E971" i="7"/>
  <c r="E970" i="7"/>
  <c r="E969" i="7"/>
  <c r="E968" i="7"/>
  <c r="E967" i="7"/>
  <c r="E966" i="7"/>
  <c r="E965" i="7"/>
  <c r="E964" i="7"/>
  <c r="E963" i="7"/>
  <c r="E962" i="7"/>
  <c r="E961" i="7"/>
  <c r="E960" i="7"/>
  <c r="E959" i="7"/>
  <c r="E958" i="7"/>
  <c r="E957" i="7"/>
  <c r="E956" i="7"/>
  <c r="E955" i="7"/>
  <c r="E954" i="7"/>
  <c r="E953" i="7"/>
  <c r="E952" i="7"/>
  <c r="E951" i="7"/>
  <c r="E950" i="7"/>
  <c r="E949" i="7"/>
  <c r="E948" i="7"/>
  <c r="E947" i="7"/>
  <c r="E946" i="7"/>
  <c r="E945" i="7"/>
  <c r="E944" i="7"/>
  <c r="E943" i="7"/>
  <c r="E942" i="7"/>
  <c r="E941" i="7"/>
  <c r="E940" i="7"/>
  <c r="E939" i="7"/>
  <c r="E938" i="7"/>
  <c r="E937" i="7"/>
  <c r="E936" i="7"/>
  <c r="E935" i="7"/>
  <c r="E934" i="7"/>
  <c r="E933" i="7"/>
  <c r="E932" i="7"/>
  <c r="E931" i="7"/>
  <c r="E930" i="7"/>
  <c r="E929" i="7"/>
  <c r="E928" i="7"/>
  <c r="E927" i="7"/>
  <c r="E926" i="7"/>
  <c r="E925" i="7"/>
  <c r="E924" i="7"/>
  <c r="E923" i="7"/>
  <c r="E922" i="7"/>
  <c r="E921" i="7"/>
  <c r="E920" i="7"/>
  <c r="E919" i="7"/>
  <c r="E918" i="7"/>
  <c r="E917" i="7"/>
  <c r="E916" i="7"/>
  <c r="E915" i="7"/>
  <c r="E914" i="7"/>
  <c r="E913" i="7"/>
  <c r="E912" i="7"/>
  <c r="E911" i="7"/>
  <c r="E910" i="7"/>
  <c r="E909" i="7"/>
  <c r="E908" i="7"/>
  <c r="E907" i="7"/>
  <c r="E906" i="7"/>
  <c r="E905" i="7"/>
  <c r="E904" i="7"/>
  <c r="E903" i="7"/>
  <c r="E902" i="7"/>
  <c r="E901" i="7"/>
  <c r="E900" i="7"/>
  <c r="E899" i="7"/>
  <c r="E898" i="7"/>
  <c r="E897" i="7"/>
  <c r="E896" i="7"/>
  <c r="E895" i="7"/>
  <c r="E894" i="7"/>
  <c r="E893" i="7"/>
  <c r="E892" i="7"/>
  <c r="E891" i="7"/>
  <c r="E890" i="7"/>
  <c r="E889" i="7"/>
  <c r="E888" i="7"/>
  <c r="E887" i="7"/>
  <c r="E886" i="7"/>
  <c r="E885" i="7"/>
  <c r="E884" i="7"/>
  <c r="E883" i="7"/>
  <c r="E882" i="7"/>
  <c r="E881" i="7"/>
  <c r="E880" i="7"/>
  <c r="E879" i="7"/>
  <c r="E878" i="7"/>
  <c r="E877" i="7"/>
  <c r="E876" i="7"/>
  <c r="E875" i="7"/>
  <c r="E874" i="7"/>
  <c r="E873" i="7"/>
  <c r="E872" i="7"/>
  <c r="E871" i="7"/>
  <c r="E870" i="7"/>
  <c r="E869" i="7"/>
  <c r="E868" i="7"/>
  <c r="E867" i="7"/>
  <c r="E866" i="7"/>
  <c r="E865" i="7"/>
  <c r="E864" i="7"/>
  <c r="E863" i="7"/>
  <c r="E862" i="7"/>
  <c r="E861" i="7"/>
  <c r="E860" i="7"/>
  <c r="E859" i="7"/>
  <c r="E858" i="7"/>
  <c r="E857" i="7"/>
  <c r="E856" i="7"/>
  <c r="E855" i="7"/>
  <c r="E854" i="7"/>
  <c r="E853" i="7"/>
  <c r="E852" i="7"/>
  <c r="E851" i="7"/>
  <c r="E850" i="7"/>
  <c r="E849" i="7"/>
  <c r="E848" i="7"/>
  <c r="E847" i="7"/>
  <c r="E846" i="7"/>
  <c r="E845" i="7"/>
  <c r="E844" i="7"/>
  <c r="E843" i="7"/>
  <c r="E842" i="7"/>
  <c r="E841" i="7"/>
  <c r="E840" i="7"/>
  <c r="E839" i="7"/>
  <c r="E838" i="7"/>
  <c r="E837" i="7"/>
  <c r="E836" i="7"/>
  <c r="E835" i="7"/>
  <c r="E834" i="7"/>
  <c r="E833" i="7"/>
  <c r="E832" i="7"/>
  <c r="E831" i="7"/>
  <c r="E830" i="7"/>
  <c r="E829" i="7"/>
  <c r="E828" i="7"/>
  <c r="E827" i="7"/>
  <c r="E826" i="7"/>
  <c r="E825" i="7"/>
  <c r="E824" i="7"/>
  <c r="E823" i="7"/>
  <c r="E822" i="7"/>
  <c r="E821" i="7"/>
  <c r="E820" i="7"/>
  <c r="E819" i="7"/>
  <c r="E818" i="7"/>
  <c r="E817" i="7"/>
  <c r="E816" i="7"/>
  <c r="E815" i="7"/>
  <c r="E814" i="7"/>
  <c r="E813" i="7"/>
  <c r="E812" i="7"/>
  <c r="E811" i="7"/>
  <c r="E810" i="7"/>
  <c r="E809" i="7"/>
  <c r="E808" i="7"/>
  <c r="E807" i="7"/>
  <c r="E806" i="7"/>
  <c r="E805" i="7"/>
  <c r="E804" i="7"/>
  <c r="E803" i="7"/>
  <c r="E802" i="7"/>
  <c r="E801" i="7"/>
  <c r="E800" i="7"/>
  <c r="E799" i="7"/>
  <c r="E798" i="7"/>
  <c r="E797" i="7"/>
  <c r="E796" i="7"/>
  <c r="E795" i="7"/>
  <c r="E794" i="7"/>
  <c r="E793" i="7"/>
  <c r="E792" i="7"/>
  <c r="E791" i="7"/>
  <c r="E790" i="7"/>
  <c r="E789" i="7"/>
  <c r="E788" i="7"/>
  <c r="E787" i="7"/>
  <c r="E786" i="7"/>
  <c r="E785" i="7"/>
  <c r="E784" i="7"/>
  <c r="E783" i="7"/>
  <c r="E782" i="7"/>
  <c r="E781" i="7"/>
  <c r="E780" i="7"/>
  <c r="E779" i="7"/>
  <c r="E778" i="7"/>
  <c r="E777" i="7"/>
  <c r="E776" i="7"/>
  <c r="E775" i="7"/>
  <c r="E774" i="7"/>
  <c r="E773" i="7"/>
  <c r="E772" i="7"/>
  <c r="E771" i="7"/>
  <c r="E770" i="7"/>
  <c r="E769" i="7"/>
  <c r="E768" i="7"/>
  <c r="E767" i="7"/>
  <c r="E766" i="7"/>
  <c r="E765" i="7"/>
  <c r="E764" i="7"/>
  <c r="E763" i="7"/>
  <c r="E762" i="7"/>
  <c r="E761" i="7"/>
  <c r="E760" i="7"/>
  <c r="E759" i="7"/>
  <c r="E758" i="7"/>
  <c r="E757" i="7"/>
  <c r="E756" i="7"/>
  <c r="E755" i="7"/>
  <c r="E754" i="7"/>
  <c r="E753" i="7"/>
  <c r="E752" i="7"/>
  <c r="E751" i="7"/>
  <c r="E750" i="7"/>
  <c r="E749" i="7"/>
  <c r="E748" i="7"/>
  <c r="E747" i="7"/>
  <c r="E746" i="7"/>
  <c r="E745" i="7"/>
  <c r="E744" i="7"/>
  <c r="E743" i="7"/>
  <c r="E742" i="7"/>
  <c r="E741" i="7"/>
  <c r="E740" i="7"/>
  <c r="E739" i="7"/>
  <c r="E738" i="7"/>
  <c r="E737" i="7"/>
  <c r="E736" i="7"/>
  <c r="E735" i="7"/>
  <c r="E734" i="7"/>
  <c r="E733" i="7"/>
  <c r="E732" i="7"/>
  <c r="E731" i="7"/>
  <c r="E730" i="7"/>
  <c r="E729" i="7"/>
  <c r="E728" i="7"/>
  <c r="E727" i="7"/>
  <c r="E726" i="7"/>
  <c r="E725" i="7"/>
  <c r="E724" i="7"/>
  <c r="E723" i="7"/>
  <c r="E722" i="7"/>
  <c r="E721" i="7"/>
  <c r="E720" i="7"/>
  <c r="E719" i="7"/>
  <c r="E718" i="7"/>
  <c r="E717" i="7"/>
  <c r="E716" i="7"/>
  <c r="E715" i="7"/>
  <c r="E714" i="7"/>
  <c r="E713" i="7"/>
  <c r="E712" i="7"/>
  <c r="E711" i="7"/>
  <c r="E710" i="7"/>
  <c r="E709" i="7"/>
  <c r="E708" i="7"/>
  <c r="E707" i="7"/>
  <c r="E706" i="7"/>
  <c r="E705" i="7"/>
  <c r="E704" i="7"/>
  <c r="E703" i="7"/>
  <c r="E702" i="7"/>
  <c r="E701" i="7"/>
  <c r="E700" i="7"/>
  <c r="E699" i="7"/>
  <c r="E698" i="7"/>
  <c r="E697" i="7"/>
  <c r="E696" i="7"/>
  <c r="E695" i="7"/>
  <c r="E694" i="7"/>
  <c r="E693" i="7"/>
  <c r="E692" i="7"/>
  <c r="E691" i="7"/>
  <c r="E690" i="7"/>
  <c r="E689" i="7"/>
  <c r="E688" i="7"/>
  <c r="E687" i="7"/>
  <c r="E686" i="7"/>
  <c r="E685" i="7"/>
  <c r="E684" i="7"/>
  <c r="E683" i="7"/>
  <c r="E682" i="7"/>
  <c r="E681" i="7"/>
  <c r="E680" i="7"/>
  <c r="E679" i="7"/>
  <c r="E678" i="7"/>
  <c r="E677" i="7"/>
  <c r="E676" i="7"/>
  <c r="E675" i="7"/>
  <c r="E674" i="7"/>
  <c r="E673" i="7"/>
  <c r="E672" i="7"/>
  <c r="E671" i="7"/>
  <c r="E670" i="7"/>
  <c r="E669" i="7"/>
  <c r="E668" i="7"/>
  <c r="E667" i="7"/>
  <c r="E666" i="7"/>
  <c r="E665" i="7"/>
  <c r="E664" i="7"/>
  <c r="E663" i="7"/>
  <c r="E662" i="7"/>
  <c r="E661" i="7"/>
  <c r="E660" i="7"/>
  <c r="E659" i="7"/>
  <c r="E658" i="7"/>
  <c r="E657" i="7"/>
  <c r="E656" i="7"/>
  <c r="E655" i="7"/>
  <c r="E654" i="7"/>
  <c r="E653" i="7"/>
  <c r="E652" i="7"/>
  <c r="E651" i="7"/>
  <c r="E650" i="7"/>
  <c r="E649" i="7"/>
  <c r="E648" i="7"/>
  <c r="E647" i="7"/>
  <c r="E646" i="7"/>
  <c r="E645" i="7"/>
  <c r="E644" i="7"/>
  <c r="E643" i="7"/>
  <c r="E642" i="7"/>
  <c r="E641" i="7"/>
  <c r="E640" i="7"/>
  <c r="E639" i="7"/>
  <c r="E638" i="7"/>
  <c r="E637" i="7"/>
  <c r="E636" i="7"/>
  <c r="E635" i="7"/>
  <c r="E634" i="7"/>
  <c r="E633" i="7"/>
  <c r="E632" i="7"/>
  <c r="E631" i="7"/>
  <c r="E630" i="7"/>
  <c r="E629" i="7"/>
  <c r="E628" i="7"/>
  <c r="E627" i="7"/>
  <c r="E626" i="7"/>
  <c r="E625" i="7"/>
  <c r="E624" i="7"/>
  <c r="E623" i="7"/>
  <c r="E622" i="7"/>
  <c r="E621" i="7"/>
  <c r="E620" i="7"/>
  <c r="E619" i="7"/>
  <c r="E618" i="7"/>
  <c r="E617" i="7"/>
  <c r="E616" i="7"/>
  <c r="E615" i="7"/>
  <c r="E614" i="7"/>
  <c r="E613" i="7"/>
  <c r="E612" i="7"/>
  <c r="E611" i="7"/>
  <c r="E610" i="7"/>
  <c r="E609" i="7"/>
  <c r="E608" i="7"/>
  <c r="E607" i="7"/>
  <c r="E606" i="7"/>
  <c r="E605" i="7"/>
  <c r="E604" i="7"/>
  <c r="E603" i="7"/>
  <c r="E602" i="7"/>
  <c r="E601" i="7"/>
  <c r="E600" i="7"/>
  <c r="E599" i="7"/>
  <c r="E598" i="7"/>
  <c r="E597" i="7"/>
  <c r="E596" i="7"/>
  <c r="E595" i="7"/>
  <c r="E594" i="7"/>
  <c r="E593" i="7"/>
  <c r="E592" i="7"/>
  <c r="E591" i="7"/>
  <c r="E590" i="7"/>
  <c r="E589" i="7"/>
  <c r="E588" i="7"/>
  <c r="E587" i="7"/>
  <c r="E586" i="7"/>
  <c r="E585" i="7"/>
  <c r="E584" i="7"/>
  <c r="E583" i="7"/>
  <c r="E582" i="7"/>
  <c r="E581" i="7"/>
  <c r="E580" i="7"/>
  <c r="E579" i="7"/>
  <c r="E578" i="7"/>
  <c r="E577" i="7"/>
  <c r="E576" i="7"/>
  <c r="E575" i="7"/>
  <c r="E574" i="7"/>
  <c r="E573" i="7"/>
  <c r="E572" i="7"/>
  <c r="E571" i="7"/>
  <c r="E570" i="7"/>
  <c r="E569" i="7"/>
  <c r="E568" i="7"/>
  <c r="E567" i="7"/>
  <c r="E566" i="7"/>
  <c r="E565" i="7"/>
  <c r="E564" i="7"/>
  <c r="E563" i="7"/>
  <c r="E562" i="7"/>
  <c r="E561" i="7"/>
  <c r="E560" i="7"/>
  <c r="E559" i="7"/>
  <c r="E558" i="7"/>
  <c r="E557" i="7"/>
  <c r="E556" i="7"/>
  <c r="E555" i="7"/>
  <c r="E554" i="7"/>
  <c r="E553" i="7"/>
  <c r="E552" i="7"/>
  <c r="E551" i="7"/>
  <c r="E550" i="7"/>
  <c r="E549" i="7"/>
  <c r="E548" i="7"/>
  <c r="E547" i="7"/>
  <c r="E546" i="7"/>
  <c r="E545" i="7"/>
  <c r="E544" i="7"/>
  <c r="E543" i="7"/>
  <c r="E542" i="7"/>
  <c r="E541" i="7"/>
  <c r="E540" i="7"/>
  <c r="E539" i="7"/>
  <c r="E538" i="7"/>
  <c r="E537" i="7"/>
  <c r="E536" i="7"/>
  <c r="E535" i="7"/>
  <c r="E534" i="7"/>
  <c r="E533" i="7"/>
  <c r="E532" i="7"/>
  <c r="E531" i="7"/>
  <c r="E530" i="7"/>
  <c r="E529" i="7"/>
  <c r="E528" i="7"/>
  <c r="E527" i="7"/>
  <c r="E526" i="7"/>
  <c r="E525" i="7"/>
  <c r="E524" i="7"/>
  <c r="E523" i="7"/>
  <c r="E522" i="7"/>
  <c r="E521" i="7"/>
  <c r="E520" i="7"/>
  <c r="E519" i="7"/>
  <c r="E518" i="7"/>
  <c r="E517" i="7"/>
  <c r="E516" i="7"/>
  <c r="E515" i="7"/>
  <c r="E514" i="7"/>
  <c r="E513" i="7"/>
  <c r="E512" i="7"/>
  <c r="E511" i="7"/>
  <c r="E510" i="7"/>
  <c r="E509" i="7"/>
  <c r="E508" i="7"/>
  <c r="E507" i="7"/>
  <c r="E506" i="7"/>
  <c r="E505" i="7"/>
  <c r="E504" i="7"/>
  <c r="E503" i="7"/>
  <c r="E502" i="7"/>
  <c r="E501" i="7"/>
  <c r="E500" i="7"/>
  <c r="E499" i="7"/>
  <c r="E498" i="7"/>
  <c r="E497" i="7"/>
  <c r="E496" i="7"/>
  <c r="E495" i="7"/>
  <c r="E494" i="7"/>
  <c r="E493" i="7"/>
  <c r="E492" i="7"/>
  <c r="E491" i="7"/>
  <c r="E490" i="7"/>
  <c r="E489" i="7"/>
  <c r="E488" i="7"/>
  <c r="E487" i="7"/>
  <c r="E486" i="7"/>
  <c r="E485" i="7"/>
  <c r="E484" i="7"/>
  <c r="E483" i="7"/>
  <c r="E482" i="7"/>
  <c r="E481" i="7"/>
  <c r="E480" i="7"/>
  <c r="E479" i="7"/>
  <c r="E478" i="7"/>
  <c r="E477" i="7"/>
  <c r="E476" i="7"/>
  <c r="E475" i="7"/>
  <c r="E474" i="7"/>
  <c r="E473" i="7"/>
  <c r="E472" i="7"/>
  <c r="E471" i="7"/>
  <c r="E470" i="7"/>
  <c r="E469" i="7"/>
  <c r="E468" i="7"/>
  <c r="E467" i="7"/>
  <c r="E466" i="7"/>
  <c r="E465" i="7"/>
  <c r="E464" i="7"/>
  <c r="E463" i="7"/>
  <c r="E462" i="7"/>
  <c r="E461" i="7"/>
  <c r="E460" i="7"/>
  <c r="E459" i="7"/>
  <c r="E458" i="7"/>
  <c r="E457" i="7"/>
  <c r="E456" i="7"/>
  <c r="E455" i="7"/>
  <c r="E454" i="7"/>
  <c r="E453" i="7"/>
  <c r="E452" i="7"/>
  <c r="E451" i="7"/>
  <c r="E450" i="7"/>
  <c r="E449" i="7"/>
  <c r="E448" i="7"/>
  <c r="E447" i="7"/>
  <c r="E446" i="7"/>
  <c r="E445" i="7"/>
  <c r="E444" i="7"/>
  <c r="E443" i="7"/>
  <c r="E442" i="7"/>
  <c r="E441" i="7"/>
  <c r="E440" i="7"/>
  <c r="E439" i="7"/>
  <c r="E438" i="7"/>
  <c r="E437" i="7"/>
  <c r="E436" i="7"/>
  <c r="E435" i="7"/>
  <c r="E434" i="7"/>
  <c r="E433" i="7"/>
  <c r="E432" i="7"/>
  <c r="E431" i="7"/>
  <c r="E430" i="7"/>
  <c r="E429" i="7"/>
  <c r="E428" i="7"/>
  <c r="E427" i="7"/>
  <c r="E426" i="7"/>
  <c r="E425" i="7"/>
  <c r="E424" i="7"/>
  <c r="E423" i="7"/>
  <c r="E422" i="7"/>
  <c r="E421" i="7"/>
  <c r="E420" i="7"/>
  <c r="E419" i="7"/>
  <c r="E418" i="7"/>
  <c r="E417" i="7"/>
  <c r="E416" i="7"/>
  <c r="E415" i="7"/>
  <c r="E414" i="7"/>
  <c r="E413" i="7"/>
  <c r="E412" i="7"/>
  <c r="E411" i="7"/>
  <c r="E410" i="7"/>
  <c r="E409" i="7"/>
  <c r="E408" i="7"/>
  <c r="E407" i="7"/>
  <c r="E406" i="7"/>
  <c r="E405" i="7"/>
  <c r="E404" i="7"/>
  <c r="E403" i="7"/>
  <c r="E402" i="7"/>
  <c r="E401" i="7"/>
  <c r="E400" i="7"/>
  <c r="E399" i="7"/>
  <c r="E398" i="7"/>
  <c r="E397" i="7"/>
  <c r="E396" i="7"/>
  <c r="E395" i="7"/>
  <c r="E394" i="7"/>
  <c r="E393" i="7"/>
  <c r="E392" i="7"/>
  <c r="E391" i="7"/>
  <c r="E390" i="7"/>
  <c r="E389" i="7"/>
  <c r="E388" i="7"/>
  <c r="E387" i="7"/>
  <c r="E386" i="7"/>
  <c r="E385" i="7"/>
  <c r="E384" i="7"/>
  <c r="E383" i="7"/>
  <c r="E382" i="7"/>
  <c r="E381" i="7"/>
  <c r="E380" i="7"/>
  <c r="E379" i="7"/>
  <c r="E378" i="7"/>
  <c r="E377" i="7"/>
  <c r="E376" i="7"/>
  <c r="E375" i="7"/>
  <c r="E374" i="7"/>
  <c r="E373" i="7"/>
  <c r="E372" i="7"/>
  <c r="E371" i="7"/>
  <c r="E370" i="7"/>
  <c r="E369" i="7"/>
  <c r="E368" i="7"/>
  <c r="E367" i="7"/>
  <c r="E366" i="7"/>
  <c r="E365" i="7"/>
  <c r="E364" i="7"/>
  <c r="E363" i="7"/>
  <c r="E362" i="7"/>
  <c r="E361" i="7"/>
  <c r="E360" i="7"/>
  <c r="E359" i="7"/>
  <c r="E358" i="7"/>
  <c r="E357" i="7"/>
  <c r="E356" i="7"/>
  <c r="E355" i="7"/>
  <c r="E354" i="7"/>
  <c r="E353" i="7"/>
  <c r="E352" i="7"/>
  <c r="E351" i="7"/>
  <c r="E350" i="7"/>
  <c r="E349" i="7"/>
  <c r="E348" i="7"/>
  <c r="E347" i="7"/>
  <c r="E346" i="7"/>
  <c r="E345" i="7"/>
  <c r="E344" i="7"/>
  <c r="E343" i="7"/>
  <c r="E342" i="7"/>
  <c r="E341" i="7"/>
  <c r="E340" i="7"/>
  <c r="E339" i="7"/>
  <c r="E338" i="7"/>
  <c r="E337" i="7"/>
  <c r="E336" i="7"/>
  <c r="E335" i="7"/>
  <c r="E334" i="7"/>
  <c r="E333" i="7"/>
  <c r="E332" i="7"/>
  <c r="E331" i="7"/>
  <c r="E330" i="7"/>
  <c r="E329" i="7"/>
  <c r="E328" i="7"/>
  <c r="E327" i="7"/>
  <c r="E326" i="7"/>
  <c r="E325" i="7"/>
  <c r="E324" i="7"/>
  <c r="E323" i="7"/>
  <c r="E322" i="7"/>
  <c r="E321" i="7"/>
  <c r="E320" i="7"/>
  <c r="E319" i="7"/>
  <c r="E318" i="7"/>
  <c r="E317" i="7"/>
  <c r="E316" i="7"/>
  <c r="E315" i="7"/>
  <c r="E314" i="7"/>
  <c r="E313" i="7"/>
  <c r="E312" i="7"/>
  <c r="E311" i="7"/>
  <c r="E310" i="7"/>
  <c r="E309" i="7"/>
  <c r="E308" i="7"/>
  <c r="E307" i="7"/>
  <c r="E306" i="7"/>
  <c r="E305" i="7"/>
  <c r="E304" i="7"/>
  <c r="E303" i="7"/>
  <c r="E302" i="7"/>
  <c r="E301" i="7"/>
  <c r="E300" i="7"/>
  <c r="E299" i="7"/>
  <c r="E298" i="7"/>
  <c r="E297" i="7"/>
  <c r="E296" i="7"/>
  <c r="E295" i="7"/>
  <c r="E294" i="7"/>
  <c r="E293" i="7"/>
  <c r="E292" i="7"/>
  <c r="E291" i="7"/>
  <c r="E290" i="7"/>
  <c r="E289" i="7"/>
  <c r="E288" i="7"/>
  <c r="E287" i="7"/>
  <c r="E286" i="7"/>
  <c r="E285" i="7"/>
  <c r="E284" i="7"/>
  <c r="E283" i="7"/>
  <c r="E282" i="7"/>
  <c r="E281" i="7"/>
  <c r="E280" i="7"/>
  <c r="E279" i="7"/>
  <c r="E278" i="7"/>
  <c r="E277" i="7"/>
  <c r="E276" i="7"/>
  <c r="E275" i="7"/>
  <c r="E274" i="7"/>
  <c r="E273" i="7"/>
  <c r="E272" i="7"/>
  <c r="E271" i="7"/>
  <c r="E270" i="7"/>
  <c r="E269" i="7"/>
  <c r="E268" i="7"/>
  <c r="E267" i="7"/>
  <c r="E266" i="7"/>
  <c r="E265" i="7"/>
  <c r="E264" i="7"/>
  <c r="E263" i="7"/>
  <c r="E262" i="7"/>
  <c r="E261" i="7"/>
  <c r="E260" i="7"/>
  <c r="E259" i="7"/>
  <c r="E258" i="7"/>
  <c r="E257" i="7"/>
  <c r="E256" i="7"/>
  <c r="E255" i="7"/>
  <c r="E254" i="7"/>
  <c r="E253" i="7"/>
  <c r="E252" i="7"/>
  <c r="E251" i="7"/>
  <c r="E250" i="7"/>
  <c r="E249" i="7"/>
  <c r="E248" i="7"/>
  <c r="E247" i="7"/>
  <c r="E246" i="7"/>
  <c r="E245" i="7"/>
  <c r="E244" i="7"/>
  <c r="E243" i="7"/>
  <c r="E242" i="7"/>
  <c r="E241" i="7"/>
  <c r="E240" i="7"/>
  <c r="E239" i="7"/>
  <c r="E238" i="7"/>
  <c r="E237" i="7"/>
  <c r="E236" i="7"/>
  <c r="E235" i="7"/>
  <c r="E234" i="7"/>
  <c r="E233" i="7"/>
  <c r="E232" i="7"/>
  <c r="E231" i="7"/>
  <c r="E230" i="7"/>
  <c r="E229" i="7"/>
  <c r="E228" i="7"/>
  <c r="E227" i="7"/>
  <c r="E226" i="7"/>
  <c r="E225" i="7"/>
  <c r="E224" i="7"/>
  <c r="E223" i="7"/>
  <c r="E222" i="7"/>
  <c r="E221" i="7"/>
  <c r="E220" i="7"/>
  <c r="E219" i="7"/>
  <c r="E218" i="7"/>
  <c r="E217" i="7"/>
  <c r="E216" i="7"/>
  <c r="E215" i="7"/>
  <c r="E214" i="7"/>
  <c r="E213" i="7"/>
  <c r="E212" i="7"/>
  <c r="E211" i="7"/>
  <c r="E210" i="7"/>
  <c r="E209" i="7"/>
  <c r="E208" i="7"/>
  <c r="E207" i="7"/>
  <c r="E206" i="7"/>
  <c r="E205" i="7"/>
  <c r="E204" i="7"/>
  <c r="E203" i="7"/>
  <c r="E202" i="7"/>
  <c r="E201" i="7"/>
  <c r="E200" i="7"/>
  <c r="E199" i="7"/>
  <c r="E198" i="7"/>
  <c r="E197" i="7"/>
  <c r="E196" i="7"/>
  <c r="E195" i="7"/>
  <c r="E194" i="7"/>
  <c r="E193" i="7"/>
  <c r="E192" i="7"/>
  <c r="E191" i="7"/>
  <c r="E190" i="7"/>
  <c r="E189" i="7"/>
  <c r="E188" i="7"/>
  <c r="E187" i="7"/>
  <c r="E186" i="7"/>
  <c r="E185" i="7"/>
  <c r="E184" i="7"/>
  <c r="E183" i="7"/>
  <c r="E182" i="7"/>
  <c r="E181" i="7"/>
  <c r="E180" i="7"/>
  <c r="E179" i="7"/>
  <c r="E178" i="7"/>
  <c r="E177" i="7"/>
  <c r="E176" i="7"/>
  <c r="E175" i="7"/>
  <c r="E174" i="7"/>
  <c r="E173" i="7"/>
  <c r="E172" i="7"/>
  <c r="E171" i="7"/>
  <c r="E170" i="7"/>
  <c r="E169" i="7"/>
  <c r="E168" i="7"/>
  <c r="E167" i="7"/>
  <c r="E166" i="7"/>
  <c r="E165" i="7"/>
  <c r="E164" i="7"/>
  <c r="E163" i="7"/>
  <c r="E162" i="7"/>
  <c r="E161" i="7"/>
  <c r="E160" i="7"/>
  <c r="E159" i="7"/>
  <c r="E158" i="7"/>
  <c r="E157" i="7"/>
  <c r="E156" i="7"/>
  <c r="E155" i="7"/>
  <c r="E154" i="7"/>
  <c r="E153" i="7"/>
  <c r="E152" i="7"/>
  <c r="E151" i="7"/>
  <c r="E150" i="7"/>
  <c r="E149" i="7"/>
  <c r="E148" i="7"/>
  <c r="E147" i="7"/>
  <c r="E146" i="7"/>
  <c r="E145" i="7"/>
  <c r="E144" i="7"/>
  <c r="E143" i="7"/>
  <c r="E142" i="7"/>
  <c r="E141" i="7"/>
  <c r="E140" i="7"/>
  <c r="E139" i="7"/>
  <c r="E138" i="7"/>
  <c r="E137" i="7"/>
  <c r="E136" i="7"/>
  <c r="E135" i="7"/>
  <c r="E134" i="7"/>
  <c r="E133" i="7"/>
  <c r="E132" i="7"/>
  <c r="E131" i="7"/>
  <c r="E130" i="7"/>
  <c r="E129" i="7"/>
  <c r="E128" i="7"/>
  <c r="E127" i="7"/>
  <c r="E126" i="7"/>
  <c r="E125" i="7"/>
  <c r="E124" i="7"/>
  <c r="E123" i="7"/>
  <c r="E122" i="7"/>
  <c r="E121" i="7"/>
  <c r="E120" i="7"/>
  <c r="E119" i="7"/>
  <c r="E118" i="7"/>
  <c r="E117" i="7"/>
  <c r="E116" i="7"/>
  <c r="E115" i="7"/>
  <c r="E114" i="7"/>
  <c r="E113" i="7"/>
  <c r="E112" i="7"/>
  <c r="E111" i="7"/>
  <c r="E110" i="7"/>
  <c r="E109" i="7"/>
  <c r="E108" i="7"/>
  <c r="E107" i="7"/>
  <c r="E106" i="7"/>
  <c r="E105" i="7"/>
  <c r="E104" i="7"/>
  <c r="E103" i="7"/>
  <c r="E102" i="7"/>
  <c r="E101" i="7"/>
  <c r="E100" i="7"/>
  <c r="E99" i="7"/>
  <c r="E98" i="7"/>
  <c r="E97" i="7"/>
  <c r="E96" i="7"/>
  <c r="E95" i="7"/>
  <c r="E94" i="7"/>
  <c r="E93" i="7"/>
  <c r="E92" i="7"/>
  <c r="E91" i="7"/>
  <c r="E90" i="7"/>
  <c r="E89" i="7"/>
  <c r="E88" i="7"/>
  <c r="E87" i="7"/>
  <c r="E86" i="7"/>
  <c r="E85" i="7"/>
  <c r="E84" i="7"/>
  <c r="E83" i="7"/>
  <c r="E82" i="7"/>
  <c r="E81" i="7"/>
  <c r="E80" i="7"/>
  <c r="E79" i="7"/>
  <c r="E78" i="7"/>
  <c r="E77" i="7"/>
  <c r="E76" i="7"/>
  <c r="E75" i="7"/>
  <c r="E74" i="7"/>
  <c r="E73" i="7"/>
  <c r="E72" i="7"/>
  <c r="E71" i="7"/>
  <c r="E70" i="7"/>
  <c r="E69" i="7"/>
  <c r="E68" i="7"/>
  <c r="E67" i="7"/>
  <c r="E66" i="7"/>
  <c r="E65" i="7"/>
  <c r="E64" i="7"/>
  <c r="E63" i="7"/>
  <c r="E62" i="7"/>
  <c r="E61" i="7"/>
  <c r="E60" i="7"/>
  <c r="E59" i="7"/>
  <c r="E58" i="7"/>
  <c r="E57" i="7"/>
  <c r="E56" i="7"/>
  <c r="E55" i="7"/>
  <c r="E54" i="7"/>
  <c r="E53" i="7"/>
  <c r="E52" i="7"/>
  <c r="E51" i="7"/>
  <c r="E50" i="7"/>
  <c r="E49" i="7"/>
  <c r="E48" i="7"/>
  <c r="E47" i="7"/>
  <c r="E46" i="7"/>
  <c r="E45" i="7"/>
  <c r="E44" i="7"/>
  <c r="E43" i="7"/>
  <c r="E42" i="7"/>
  <c r="E41" i="7"/>
  <c r="E40" i="7"/>
  <c r="E39" i="7"/>
  <c r="E38" i="7"/>
  <c r="E37" i="7"/>
  <c r="E36" i="7"/>
  <c r="E35" i="7"/>
  <c r="E34" i="7"/>
  <c r="E33" i="7"/>
  <c r="E32" i="7"/>
  <c r="E31" i="7"/>
  <c r="E30" i="7"/>
  <c r="E29" i="7"/>
  <c r="E28" i="7"/>
  <c r="E27" i="7"/>
  <c r="E26" i="7"/>
  <c r="E25" i="7"/>
  <c r="E24" i="7"/>
  <c r="E23" i="7"/>
  <c r="E22" i="7"/>
  <c r="E21" i="7"/>
  <c r="E20" i="7"/>
  <c r="E19" i="7"/>
  <c r="E18" i="7"/>
  <c r="E17" i="7"/>
  <c r="E16" i="7"/>
  <c r="E15" i="7"/>
  <c r="E14" i="7"/>
  <c r="E13" i="7"/>
  <c r="E12" i="7"/>
  <c r="E11" i="7"/>
  <c r="G4" i="24" s="1"/>
  <c r="E10" i="7"/>
  <c r="E9" i="7"/>
  <c r="E8" i="7"/>
  <c r="E7" i="7"/>
  <c r="E6" i="7"/>
  <c r="E5" i="7"/>
  <c r="C292" i="6"/>
  <c r="C291" i="6"/>
  <c r="C290" i="6"/>
  <c r="C289" i="6"/>
  <c r="C288" i="6"/>
  <c r="C287" i="6"/>
  <c r="C286" i="6"/>
  <c r="C285" i="6"/>
  <c r="C284" i="6"/>
  <c r="C283" i="6"/>
  <c r="C282" i="6"/>
  <c r="C281" i="6"/>
  <c r="C280" i="6"/>
  <c r="C279" i="6"/>
  <c r="C278" i="6"/>
  <c r="C277" i="6"/>
  <c r="C276" i="6"/>
  <c r="C275" i="6"/>
  <c r="C274" i="6"/>
  <c r="C273" i="6"/>
  <c r="C272" i="6"/>
  <c r="C271" i="6"/>
  <c r="C270" i="6"/>
  <c r="C269" i="6"/>
  <c r="C268" i="6"/>
  <c r="C267" i="6"/>
  <c r="C266" i="6"/>
  <c r="C265" i="6"/>
  <c r="C264" i="6"/>
  <c r="C263" i="6"/>
  <c r="C262" i="6"/>
  <c r="C261" i="6"/>
  <c r="C260" i="6"/>
  <c r="C259" i="6"/>
  <c r="C258" i="6"/>
  <c r="C257" i="6"/>
  <c r="C256" i="6"/>
  <c r="C255" i="6"/>
  <c r="C254" i="6"/>
  <c r="C253" i="6"/>
  <c r="C252" i="6"/>
  <c r="C251" i="6"/>
  <c r="C250" i="6"/>
  <c r="C249" i="6"/>
  <c r="C248" i="6"/>
  <c r="C247" i="6"/>
  <c r="C246" i="6"/>
  <c r="C245" i="6"/>
  <c r="C244" i="6"/>
  <c r="C243" i="6"/>
  <c r="C242" i="6"/>
  <c r="C241" i="6"/>
  <c r="C240" i="6"/>
  <c r="C239" i="6"/>
  <c r="C238" i="6"/>
  <c r="C237" i="6"/>
  <c r="C236" i="6"/>
  <c r="C235" i="6"/>
  <c r="C234" i="6"/>
  <c r="C233" i="6"/>
  <c r="C232" i="6"/>
  <c r="C231" i="6"/>
  <c r="C230" i="6"/>
  <c r="C229" i="6"/>
  <c r="C228" i="6"/>
  <c r="C227" i="6"/>
  <c r="C226" i="6"/>
  <c r="C225" i="6"/>
  <c r="C224" i="6"/>
  <c r="C223" i="6"/>
  <c r="C222" i="6"/>
  <c r="C221" i="6"/>
  <c r="C220" i="6"/>
  <c r="C219" i="6"/>
  <c r="C218" i="6"/>
  <c r="C217" i="6"/>
  <c r="C216" i="6"/>
  <c r="C215" i="6"/>
  <c r="C214" i="6"/>
  <c r="C213" i="6"/>
  <c r="C212" i="6"/>
  <c r="C211" i="6"/>
  <c r="C210" i="6"/>
  <c r="C209" i="6"/>
  <c r="C208" i="6"/>
  <c r="C207" i="6"/>
  <c r="C206" i="6"/>
  <c r="C205" i="6"/>
  <c r="C204" i="6"/>
  <c r="C203" i="6"/>
  <c r="C202" i="6"/>
  <c r="C201" i="6"/>
  <c r="C200" i="6"/>
  <c r="C199" i="6"/>
  <c r="C198" i="6"/>
  <c r="C197" i="6"/>
  <c r="C196" i="6"/>
  <c r="C195" i="6"/>
  <c r="C194" i="6"/>
  <c r="C193" i="6"/>
  <c r="C192" i="6"/>
  <c r="C191" i="6"/>
  <c r="C190" i="6"/>
  <c r="C189" i="6"/>
  <c r="C188" i="6"/>
  <c r="C187" i="6"/>
  <c r="C186" i="6"/>
  <c r="C185" i="6"/>
  <c r="C184" i="6"/>
  <c r="C183" i="6"/>
  <c r="C182" i="6"/>
  <c r="C181" i="6"/>
  <c r="C180" i="6"/>
  <c r="C179" i="6"/>
  <c r="C178" i="6"/>
  <c r="C177" i="6"/>
  <c r="C176" i="6"/>
  <c r="C175" i="6"/>
  <c r="C174" i="6"/>
  <c r="C173" i="6"/>
  <c r="C172" i="6"/>
  <c r="C171" i="6"/>
  <c r="C170" i="6"/>
  <c r="C169" i="6"/>
  <c r="C168" i="6"/>
  <c r="C167" i="6"/>
  <c r="C166" i="6"/>
  <c r="C165" i="6"/>
  <c r="C164" i="6"/>
  <c r="C163" i="6"/>
  <c r="C162" i="6"/>
  <c r="C161" i="6"/>
  <c r="C160" i="6"/>
  <c r="C159" i="6"/>
  <c r="C158" i="6"/>
  <c r="C157" i="6"/>
  <c r="C156" i="6"/>
  <c r="C155" i="6"/>
  <c r="C154" i="6"/>
  <c r="C153" i="6"/>
  <c r="C152" i="6"/>
  <c r="C151" i="6"/>
  <c r="C150" i="6"/>
  <c r="C149" i="6"/>
  <c r="C148" i="6"/>
  <c r="C147" i="6"/>
  <c r="C146" i="6"/>
  <c r="C145" i="6"/>
  <c r="C144" i="6"/>
  <c r="C143" i="6"/>
  <c r="C142" i="6"/>
  <c r="C141" i="6"/>
  <c r="C140" i="6"/>
  <c r="C139" i="6"/>
  <c r="C138" i="6"/>
  <c r="C137" i="6"/>
  <c r="C136" i="6"/>
  <c r="C135" i="6"/>
  <c r="C134" i="6"/>
  <c r="C133" i="6"/>
  <c r="C132" i="6"/>
  <c r="C131" i="6"/>
  <c r="C130" i="6"/>
  <c r="C129" i="6"/>
  <c r="C128" i="6"/>
  <c r="C127" i="6"/>
  <c r="C126" i="6"/>
  <c r="C125" i="6"/>
  <c r="C124" i="6"/>
  <c r="C123" i="6"/>
  <c r="C122" i="6"/>
  <c r="C121" i="6"/>
  <c r="C120" i="6"/>
  <c r="C119" i="6"/>
  <c r="C118" i="6"/>
  <c r="C117" i="6"/>
  <c r="C116" i="6"/>
  <c r="C115" i="6"/>
  <c r="C114" i="6"/>
  <c r="C113" i="6"/>
  <c r="C112" i="6"/>
  <c r="C111" i="6"/>
  <c r="C110" i="6"/>
  <c r="C109" i="6"/>
  <c r="C108" i="6"/>
  <c r="C107" i="6"/>
  <c r="C106" i="6"/>
  <c r="C105" i="6"/>
  <c r="C104" i="6"/>
  <c r="C103" i="6"/>
  <c r="C102" i="6"/>
  <c r="C101" i="6"/>
  <c r="C100" i="6"/>
  <c r="C99" i="6"/>
  <c r="C98" i="6"/>
  <c r="C97" i="6"/>
  <c r="C96" i="6"/>
  <c r="C95" i="6"/>
  <c r="C94" i="6"/>
  <c r="C93" i="6"/>
  <c r="C92" i="6"/>
  <c r="C91" i="6"/>
  <c r="C90" i="6"/>
  <c r="C89" i="6"/>
  <c r="C88" i="6"/>
  <c r="C87" i="6"/>
  <c r="C86" i="6"/>
  <c r="C85" i="6"/>
  <c r="C84" i="6"/>
  <c r="C83" i="6"/>
  <c r="C82" i="6"/>
  <c r="C81" i="6"/>
  <c r="C80" i="6"/>
  <c r="C79" i="6"/>
  <c r="C78" i="6"/>
  <c r="C77" i="6"/>
  <c r="C76" i="6"/>
  <c r="C75" i="6"/>
  <c r="C74" i="6"/>
  <c r="C73" i="6"/>
  <c r="C72" i="6"/>
  <c r="C71" i="6"/>
  <c r="C70" i="6"/>
  <c r="C69" i="6"/>
  <c r="C68" i="6"/>
  <c r="C67" i="6"/>
  <c r="C66" i="6"/>
  <c r="C65" i="6"/>
  <c r="C64" i="6"/>
  <c r="C63" i="6"/>
  <c r="C62" i="6"/>
  <c r="C61" i="6"/>
  <c r="C60" i="6"/>
  <c r="C59" i="6"/>
  <c r="C58" i="6"/>
  <c r="C57" i="6"/>
  <c r="C56" i="6"/>
  <c r="C55" i="6"/>
  <c r="C54" i="6"/>
  <c r="C53" i="6"/>
  <c r="C52" i="6"/>
  <c r="C51" i="6"/>
  <c r="C50" i="6"/>
  <c r="C49" i="6"/>
  <c r="C48" i="6"/>
  <c r="C47" i="6"/>
  <c r="C46" i="6"/>
  <c r="C45" i="6"/>
  <c r="C44" i="6"/>
  <c r="C43" i="6"/>
  <c r="C42" i="6"/>
  <c r="C41" i="6"/>
  <c r="C40" i="6"/>
  <c r="C39" i="6"/>
  <c r="C38" i="6"/>
  <c r="C37" i="6"/>
  <c r="C36" i="6"/>
  <c r="C35" i="6"/>
  <c r="C34" i="6"/>
  <c r="C33" i="6"/>
  <c r="C32" i="6"/>
  <c r="C31" i="6"/>
  <c r="C30" i="6"/>
  <c r="C29" i="6"/>
  <c r="C28" i="6"/>
  <c r="C27" i="6"/>
  <c r="C26" i="6"/>
  <c r="C25" i="6"/>
  <c r="C24" i="6"/>
  <c r="C23" i="6"/>
  <c r="AB221" i="8" s="1"/>
  <c r="C22" i="6"/>
  <c r="C21" i="6"/>
  <c r="C20" i="6"/>
  <c r="C19" i="6"/>
  <c r="C18" i="6"/>
  <c r="C17" i="6"/>
  <c r="C16" i="6"/>
  <c r="C15" i="6"/>
  <c r="C14" i="6"/>
  <c r="C13" i="6"/>
  <c r="C12" i="6"/>
  <c r="C11" i="6"/>
  <c r="C10" i="6"/>
  <c r="C9" i="6"/>
  <c r="C8" i="6"/>
  <c r="C7" i="6"/>
  <c r="C6" i="6"/>
  <c r="C5" i="6"/>
  <c r="N323" i="8" s="1"/>
  <c r="HE52" i="5"/>
  <c r="HF52" i="5" s="1"/>
  <c r="HE51" i="5"/>
  <c r="HF51" i="5" s="1"/>
  <c r="HE50" i="5"/>
  <c r="HF50" i="5" s="1"/>
  <c r="HF49" i="5"/>
  <c r="D323" i="8" s="1"/>
  <c r="HE49" i="5"/>
  <c r="HE48" i="5"/>
  <c r="HF48" i="5" s="1"/>
  <c r="HE47" i="5"/>
  <c r="HF47" i="5" s="1"/>
  <c r="HE46" i="5"/>
  <c r="HF46" i="5" s="1"/>
  <c r="HE45" i="5"/>
  <c r="HF45" i="5" s="1"/>
  <c r="HE44" i="5"/>
  <c r="HF44" i="5" s="1"/>
  <c r="HF43" i="5"/>
  <c r="HE43" i="5"/>
  <c r="HE42" i="5"/>
  <c r="HF42" i="5" s="1"/>
  <c r="HE41" i="5"/>
  <c r="HF41" i="5" s="1"/>
  <c r="HE40" i="5"/>
  <c r="HF40" i="5" s="1"/>
  <c r="HE39" i="5"/>
  <c r="HF39" i="5" s="1"/>
  <c r="HF38" i="5"/>
  <c r="HE38" i="5"/>
  <c r="HF37" i="5"/>
  <c r="HE37" i="5"/>
  <c r="HE36" i="5"/>
  <c r="HF36" i="5" s="1"/>
  <c r="HE35" i="5"/>
  <c r="HF35" i="5" s="1"/>
  <c r="HF34" i="5"/>
  <c r="HE34" i="5"/>
  <c r="HE33" i="5"/>
  <c r="HF33" i="5" s="1"/>
  <c r="HF32" i="5"/>
  <c r="HE32" i="5"/>
  <c r="HE31" i="5"/>
  <c r="HF31" i="5" s="1"/>
  <c r="HE30" i="5"/>
  <c r="HF30" i="5" s="1"/>
  <c r="HF29" i="5"/>
  <c r="HE29" i="5"/>
  <c r="HE28" i="5"/>
  <c r="HF28" i="5" s="1"/>
  <c r="HF27" i="5"/>
  <c r="HE27" i="5"/>
  <c r="HE26" i="5"/>
  <c r="HF26" i="5" s="1"/>
  <c r="HF25" i="5"/>
  <c r="D177" i="8" s="1"/>
  <c r="HE25" i="5"/>
  <c r="HE24" i="5"/>
  <c r="HF24" i="5" s="1"/>
  <c r="HE23" i="5"/>
  <c r="HF23" i="5" s="1"/>
  <c r="HE22" i="5"/>
  <c r="HF22" i="5" s="1"/>
  <c r="HF21" i="5"/>
  <c r="HE21" i="5"/>
  <c r="HE20" i="5"/>
  <c r="HF20" i="5" s="1"/>
  <c r="D148" i="8" s="1"/>
  <c r="HE19" i="5"/>
  <c r="HF19" i="5" s="1"/>
  <c r="HE18" i="5"/>
  <c r="HF18" i="5" s="1"/>
  <c r="D136" i="8" s="1"/>
  <c r="Y136" i="8" s="1"/>
  <c r="HE17" i="5"/>
  <c r="HF17" i="5" s="1"/>
  <c r="D129" i="8" s="1"/>
  <c r="HF16" i="5"/>
  <c r="HE16" i="5"/>
  <c r="HE15" i="5"/>
  <c r="HF15" i="5" s="1"/>
  <c r="HF14" i="5"/>
  <c r="HE14" i="5"/>
  <c r="HF13" i="5"/>
  <c r="HE13" i="5"/>
  <c r="HE12" i="5"/>
  <c r="HF12" i="5" s="1"/>
  <c r="D98" i="8" s="1"/>
  <c r="HF11" i="5"/>
  <c r="HE11" i="5"/>
  <c r="HF10" i="5"/>
  <c r="HE10" i="5"/>
  <c r="HE9" i="5"/>
  <c r="HF9" i="5" s="1"/>
  <c r="D82" i="8" s="1"/>
  <c r="HE8" i="5"/>
  <c r="HF8" i="5" s="1"/>
  <c r="HE7" i="5"/>
  <c r="HF7" i="5" s="1"/>
  <c r="HE6" i="5"/>
  <c r="HF6" i="5" s="1"/>
  <c r="HF5" i="5"/>
  <c r="HE5" i="5"/>
  <c r="AD52" i="4"/>
  <c r="AC52" i="4"/>
  <c r="B51" i="8" s="1"/>
  <c r="F51" i="8" s="1"/>
  <c r="AD51" i="4"/>
  <c r="AC51" i="4"/>
  <c r="B50" i="8" s="1"/>
  <c r="F50" i="8" s="1"/>
  <c r="AD50" i="4"/>
  <c r="AC50" i="4"/>
  <c r="B49" i="8" s="1"/>
  <c r="AD49" i="4"/>
  <c r="AC49" i="4"/>
  <c r="B48" i="8" s="1"/>
  <c r="AD48" i="4"/>
  <c r="AC48" i="4"/>
  <c r="B47" i="8" s="1"/>
  <c r="AD47" i="4"/>
  <c r="AC47" i="4"/>
  <c r="AD46" i="4"/>
  <c r="AC46" i="4"/>
  <c r="B45" i="8" s="1"/>
  <c r="AD45" i="4"/>
  <c r="AC45" i="4"/>
  <c r="B44" i="8" s="1"/>
  <c r="AD44" i="4"/>
  <c r="AC44" i="4"/>
  <c r="B43" i="8" s="1"/>
  <c r="AD43" i="4"/>
  <c r="AC43" i="4"/>
  <c r="B42" i="8" s="1"/>
  <c r="AD42" i="4"/>
  <c r="AC42" i="4"/>
  <c r="AD41" i="4"/>
  <c r="AC41" i="4"/>
  <c r="B40" i="8" s="1"/>
  <c r="F40" i="8" s="1"/>
  <c r="AD40" i="4"/>
  <c r="AC40" i="4"/>
  <c r="B39" i="8" s="1"/>
  <c r="F39" i="8" s="1"/>
  <c r="AD39" i="4"/>
  <c r="AC39" i="4"/>
  <c r="B38" i="8" s="1"/>
  <c r="F38" i="8" s="1"/>
  <c r="AD38" i="4"/>
  <c r="AC38" i="4"/>
  <c r="B37" i="8" s="1"/>
  <c r="AD37" i="4"/>
  <c r="AC37" i="4"/>
  <c r="AD36" i="4"/>
  <c r="AC36" i="4"/>
  <c r="AD35" i="4"/>
  <c r="AC35" i="4"/>
  <c r="B34" i="8" s="1"/>
  <c r="AD34" i="4"/>
  <c r="AC34" i="4"/>
  <c r="B33" i="8" s="1"/>
  <c r="AD33" i="4"/>
  <c r="AC33" i="4"/>
  <c r="B32" i="8" s="1"/>
  <c r="AD32" i="4"/>
  <c r="AC32" i="4"/>
  <c r="B31" i="8" s="1"/>
  <c r="F31" i="8" s="1"/>
  <c r="AD31" i="4"/>
  <c r="AC31" i="4"/>
  <c r="AD30" i="4"/>
  <c r="AC30" i="4"/>
  <c r="B29" i="8" s="1"/>
  <c r="AD29" i="4"/>
  <c r="AC29" i="4"/>
  <c r="B28" i="8" s="1"/>
  <c r="AD28" i="4"/>
  <c r="AC28" i="4"/>
  <c r="B27" i="8" s="1"/>
  <c r="F27" i="8" s="1"/>
  <c r="AD27" i="4"/>
  <c r="AC27" i="4"/>
  <c r="AD26" i="4"/>
  <c r="AC26" i="4"/>
  <c r="AD25" i="4"/>
  <c r="AC25" i="4"/>
  <c r="AD24" i="4"/>
  <c r="AC24" i="4"/>
  <c r="B23" i="8" s="1"/>
  <c r="F23" i="8" s="1"/>
  <c r="AD23" i="4"/>
  <c r="AC23" i="4"/>
  <c r="B22" i="8" s="1"/>
  <c r="F22" i="8" s="1"/>
  <c r="AD22" i="4"/>
  <c r="AC22" i="4"/>
  <c r="AD21" i="4"/>
  <c r="AC21" i="4"/>
  <c r="AD20" i="4"/>
  <c r="AC20" i="4"/>
  <c r="AD19" i="4"/>
  <c r="AC19" i="4"/>
  <c r="B18" i="8" s="1"/>
  <c r="AD18" i="4"/>
  <c r="AC18" i="4"/>
  <c r="AD17" i="4"/>
  <c r="AC17" i="4"/>
  <c r="B16" i="8" s="1"/>
  <c r="F16" i="8" s="1"/>
  <c r="AD16" i="4"/>
  <c r="AC16" i="4"/>
  <c r="B15" i="8" s="1"/>
  <c r="AD15" i="4"/>
  <c r="AC15" i="4"/>
  <c r="B14" i="8" s="1"/>
  <c r="AD14" i="4"/>
  <c r="AC14" i="4"/>
  <c r="AD13" i="4"/>
  <c r="AC13" i="4"/>
  <c r="B12" i="8" s="1"/>
  <c r="AD12" i="4"/>
  <c r="AC12" i="4"/>
  <c r="B11" i="8" s="1"/>
  <c r="AD11" i="4"/>
  <c r="AC11" i="4"/>
  <c r="B10" i="8" s="1"/>
  <c r="AD10" i="4"/>
  <c r="AC10" i="4"/>
  <c r="B9" i="8" s="1"/>
  <c r="AD9" i="4"/>
  <c r="AC9" i="4"/>
  <c r="AD8" i="4"/>
  <c r="AC8" i="4"/>
  <c r="B7" i="8" s="1"/>
  <c r="F7" i="8" s="1"/>
  <c r="AD7" i="4"/>
  <c r="AC7" i="4"/>
  <c r="B6" i="8" s="1"/>
  <c r="AD6" i="4"/>
  <c r="AC6" i="4"/>
  <c r="B5" i="8" s="1"/>
  <c r="F5" i="8" s="1"/>
  <c r="AD5" i="4"/>
  <c r="B5" i="9" s="1"/>
  <c r="AC5" i="4"/>
  <c r="B2" i="1"/>
  <c r="U2" i="18" s="1"/>
  <c r="C2" i="16" l="1"/>
  <c r="W2" i="17"/>
  <c r="D2" i="16"/>
  <c r="V5" i="16"/>
  <c r="F4" i="17"/>
  <c r="E2" i="16"/>
  <c r="W5" i="16"/>
  <c r="G4" i="17"/>
  <c r="T3" i="24"/>
  <c r="F2" i="16"/>
  <c r="X5" i="16"/>
  <c r="H4" i="17"/>
  <c r="G2" i="16"/>
  <c r="Y5" i="16"/>
  <c r="I4" i="17"/>
  <c r="L4" i="14"/>
  <c r="N2" i="16"/>
  <c r="D6" i="16"/>
  <c r="J4" i="17"/>
  <c r="B2" i="15"/>
  <c r="O2" i="16"/>
  <c r="H6" i="16"/>
  <c r="G7" i="17"/>
  <c r="C2" i="15"/>
  <c r="P2" i="16"/>
  <c r="V6" i="16"/>
  <c r="P7" i="17"/>
  <c r="D2" i="15"/>
  <c r="O3" i="16"/>
  <c r="W6" i="16"/>
  <c r="T2" i="18"/>
  <c r="U5" i="16"/>
  <c r="V2" i="15"/>
  <c r="T3" i="16"/>
  <c r="X6" i="16"/>
  <c r="D118" i="8"/>
  <c r="D116" i="8"/>
  <c r="D120" i="8"/>
  <c r="D119" i="8"/>
  <c r="D121" i="8"/>
  <c r="D117" i="8"/>
  <c r="D209" i="8"/>
  <c r="D207" i="8"/>
  <c r="D210" i="8"/>
  <c r="D211" i="8"/>
  <c r="D208" i="8"/>
  <c r="D206" i="8"/>
  <c r="V134" i="8"/>
  <c r="U134" i="8"/>
  <c r="J134" i="8"/>
  <c r="Y134" i="8"/>
  <c r="X134" i="8"/>
  <c r="L134" i="8"/>
  <c r="I134" i="8"/>
  <c r="G134" i="8"/>
  <c r="K134" i="8"/>
  <c r="H134" i="8"/>
  <c r="R134" i="8"/>
  <c r="Q134" i="8"/>
  <c r="AC134" i="8"/>
  <c r="AB134" i="8"/>
  <c r="Z134" i="8"/>
  <c r="AA134" i="8"/>
  <c r="W134" i="8"/>
  <c r="T134" i="8"/>
  <c r="N134" i="8"/>
  <c r="O134" i="8"/>
  <c r="M134" i="8"/>
  <c r="F134" i="8"/>
  <c r="AE134" i="8" s="1"/>
  <c r="S134" i="8"/>
  <c r="P134" i="8"/>
  <c r="F49" i="8"/>
  <c r="G49" i="8" s="1"/>
  <c r="W64" i="8"/>
  <c r="G64" i="8"/>
  <c r="AC64" i="8"/>
  <c r="F64" i="8"/>
  <c r="AE64" i="8" s="1"/>
  <c r="AB64" i="8"/>
  <c r="Z64" i="8"/>
  <c r="Y64" i="8"/>
  <c r="X64" i="8"/>
  <c r="AA64" i="8"/>
  <c r="T64" i="8"/>
  <c r="R64" i="8"/>
  <c r="S64" i="8"/>
  <c r="Q64" i="8"/>
  <c r="P64" i="8"/>
  <c r="O64" i="8"/>
  <c r="N64" i="8"/>
  <c r="V64" i="8"/>
  <c r="M64" i="8"/>
  <c r="L64" i="8"/>
  <c r="J64" i="8"/>
  <c r="U64" i="8"/>
  <c r="K64" i="8"/>
  <c r="I64" i="8"/>
  <c r="H64" i="8"/>
  <c r="F28" i="8"/>
  <c r="AE129" i="8"/>
  <c r="H129" i="8"/>
  <c r="AC129" i="8"/>
  <c r="G129" i="8"/>
  <c r="O129" i="8"/>
  <c r="N129" i="8"/>
  <c r="Q129" i="8"/>
  <c r="L129" i="8"/>
  <c r="P129" i="8"/>
  <c r="M129" i="8"/>
  <c r="K129" i="8"/>
  <c r="T129" i="8"/>
  <c r="S129" i="8"/>
  <c r="Z129" i="8"/>
  <c r="W129" i="8"/>
  <c r="V129" i="8"/>
  <c r="U129" i="8"/>
  <c r="Y129" i="8"/>
  <c r="X129" i="8"/>
  <c r="R129" i="8"/>
  <c r="J129" i="8"/>
  <c r="I129" i="8"/>
  <c r="AB129" i="8"/>
  <c r="AA129" i="8"/>
  <c r="F129" i="8"/>
  <c r="D337" i="8"/>
  <c r="D334" i="8"/>
  <c r="D335" i="8"/>
  <c r="D333" i="8"/>
  <c r="D336" i="8"/>
  <c r="D332" i="8"/>
  <c r="X86" i="8"/>
  <c r="W86" i="8"/>
  <c r="I86" i="8"/>
  <c r="R86" i="8"/>
  <c r="Q86" i="8"/>
  <c r="T86" i="8"/>
  <c r="O86" i="8"/>
  <c r="N86" i="8"/>
  <c r="S86" i="8"/>
  <c r="P86" i="8"/>
  <c r="K86" i="8"/>
  <c r="J86" i="8"/>
  <c r="AE86" i="8"/>
  <c r="AA86" i="8"/>
  <c r="Z86" i="8"/>
  <c r="Y86" i="8"/>
  <c r="AC86" i="8"/>
  <c r="AB86" i="8"/>
  <c r="V86" i="8"/>
  <c r="U86" i="8"/>
  <c r="F86" i="8"/>
  <c r="M86" i="8"/>
  <c r="L86" i="8"/>
  <c r="H86" i="8"/>
  <c r="G86" i="8"/>
  <c r="D203" i="8"/>
  <c r="D202" i="8"/>
  <c r="D200" i="8"/>
  <c r="D204" i="8"/>
  <c r="D201" i="8"/>
  <c r="D205" i="8"/>
  <c r="E24" i="8"/>
  <c r="F24" i="8"/>
  <c r="G24" i="8"/>
  <c r="D262" i="8"/>
  <c r="D261" i="8"/>
  <c r="D265" i="8"/>
  <c r="D264" i="8"/>
  <c r="D263" i="8"/>
  <c r="D260" i="8"/>
  <c r="F33" i="8"/>
  <c r="D267" i="8"/>
  <c r="D268" i="8"/>
  <c r="D266" i="8"/>
  <c r="D270" i="8"/>
  <c r="D269" i="8"/>
  <c r="D271" i="8"/>
  <c r="AE297" i="8"/>
  <c r="S294" i="8"/>
  <c r="R294" i="8"/>
  <c r="U294" i="8"/>
  <c r="T294" i="8"/>
  <c r="AA294" i="8"/>
  <c r="Z294" i="8"/>
  <c r="H294" i="8"/>
  <c r="G294" i="8"/>
  <c r="AC294" i="8"/>
  <c r="AB294" i="8"/>
  <c r="Y294" i="8"/>
  <c r="X294" i="8"/>
  <c r="K294" i="8"/>
  <c r="J294" i="8"/>
  <c r="W294" i="8"/>
  <c r="V294" i="8"/>
  <c r="Q294" i="8"/>
  <c r="P294" i="8"/>
  <c r="O294" i="8"/>
  <c r="N294" i="8"/>
  <c r="M294" i="8"/>
  <c r="L294" i="8"/>
  <c r="I294" i="8"/>
  <c r="F294" i="8"/>
  <c r="AE294" i="8" s="1"/>
  <c r="J136" i="8"/>
  <c r="I136" i="8"/>
  <c r="Z136" i="8"/>
  <c r="S136" i="8"/>
  <c r="R136" i="8"/>
  <c r="L136" i="8"/>
  <c r="H136" i="8"/>
  <c r="F136" i="8"/>
  <c r="K136" i="8"/>
  <c r="G136" i="8"/>
  <c r="AE136" i="8"/>
  <c r="X136" i="8"/>
  <c r="V136" i="8"/>
  <c r="U136" i="8"/>
  <c r="Q136" i="8"/>
  <c r="W136" i="8"/>
  <c r="T136" i="8"/>
  <c r="P136" i="8"/>
  <c r="O136" i="8"/>
  <c r="AC136" i="8"/>
  <c r="AB136" i="8"/>
  <c r="AA136" i="8"/>
  <c r="M136" i="8"/>
  <c r="AB177" i="8"/>
  <c r="F177" i="8"/>
  <c r="AE177" i="8" s="1"/>
  <c r="AA177" i="8"/>
  <c r="H177" i="8"/>
  <c r="V177" i="8"/>
  <c r="U177" i="8"/>
  <c r="K177" i="8"/>
  <c r="J177" i="8"/>
  <c r="I177" i="8"/>
  <c r="G177" i="8"/>
  <c r="T177" i="8"/>
  <c r="S177" i="8"/>
  <c r="X177" i="8"/>
  <c r="AC177" i="8"/>
  <c r="Z177" i="8"/>
  <c r="Y177" i="8"/>
  <c r="W177" i="8"/>
  <c r="R177" i="8"/>
  <c r="Q177" i="8"/>
  <c r="O177" i="8"/>
  <c r="L177" i="8"/>
  <c r="P177" i="8"/>
  <c r="N177" i="8"/>
  <c r="M177" i="8"/>
  <c r="R98" i="8"/>
  <c r="Q98" i="8"/>
  <c r="I98" i="8"/>
  <c r="G98" i="8"/>
  <c r="F98" i="8"/>
  <c r="L98" i="8"/>
  <c r="H98" i="8"/>
  <c r="K98" i="8"/>
  <c r="J98" i="8"/>
  <c r="Z98" i="8"/>
  <c r="Y98" i="8"/>
  <c r="AE98" i="8"/>
  <c r="AC98" i="8"/>
  <c r="AB98" i="8"/>
  <c r="AA98" i="8"/>
  <c r="X98" i="8"/>
  <c r="W98" i="8"/>
  <c r="V98" i="8"/>
  <c r="U98" i="8"/>
  <c r="T98" i="8"/>
  <c r="S98" i="8"/>
  <c r="O98" i="8"/>
  <c r="P98" i="8"/>
  <c r="G34" i="8"/>
  <c r="D198" i="8"/>
  <c r="D196" i="8"/>
  <c r="D197" i="8"/>
  <c r="D195" i="8"/>
  <c r="D199" i="8"/>
  <c r="D194" i="8"/>
  <c r="E34" i="8"/>
  <c r="F34" i="8" s="1"/>
  <c r="M98" i="8"/>
  <c r="D341" i="8"/>
  <c r="D340" i="8"/>
  <c r="D339" i="8"/>
  <c r="D338" i="8"/>
  <c r="D342" i="8"/>
  <c r="D343" i="8"/>
  <c r="N136" i="8"/>
  <c r="D277" i="8"/>
  <c r="D275" i="8"/>
  <c r="D274" i="8"/>
  <c r="D276" i="8"/>
  <c r="D272" i="8"/>
  <c r="D273" i="8"/>
  <c r="T83" i="8"/>
  <c r="S83" i="8"/>
  <c r="U83" i="8"/>
  <c r="AA83" i="8"/>
  <c r="Z83" i="8"/>
  <c r="R83" i="8"/>
  <c r="P83" i="8"/>
  <c r="Q83" i="8"/>
  <c r="O83" i="8"/>
  <c r="N83" i="8"/>
  <c r="AB83" i="8"/>
  <c r="Y83" i="8"/>
  <c r="AE83" i="8"/>
  <c r="AC83" i="8"/>
  <c r="X83" i="8"/>
  <c r="J83" i="8"/>
  <c r="I83" i="8"/>
  <c r="G83" i="8"/>
  <c r="W83" i="8"/>
  <c r="V83" i="8"/>
  <c r="K83" i="8"/>
  <c r="H83" i="8"/>
  <c r="L83" i="8"/>
  <c r="M83" i="8"/>
  <c r="F83" i="8"/>
  <c r="D183" i="8"/>
  <c r="D184" i="8"/>
  <c r="D185" i="8"/>
  <c r="D182" i="8"/>
  <c r="D187" i="8"/>
  <c r="D186" i="8"/>
  <c r="N98" i="8"/>
  <c r="D326" i="8"/>
  <c r="D331" i="8"/>
  <c r="D330" i="8"/>
  <c r="D328" i="8"/>
  <c r="D329" i="8"/>
  <c r="D327" i="8"/>
  <c r="I65" i="8"/>
  <c r="V228" i="8"/>
  <c r="U228" i="8"/>
  <c r="P228" i="8"/>
  <c r="O228" i="8"/>
  <c r="AB228" i="8"/>
  <c r="AA228" i="8"/>
  <c r="K228" i="8"/>
  <c r="J228" i="8"/>
  <c r="M228" i="8"/>
  <c r="I228" i="8"/>
  <c r="F228" i="8"/>
  <c r="L228" i="8"/>
  <c r="H228" i="8"/>
  <c r="G228" i="8"/>
  <c r="Q228" i="8"/>
  <c r="N228" i="8"/>
  <c r="AC228" i="8"/>
  <c r="X228" i="8"/>
  <c r="W228" i="8"/>
  <c r="Z228" i="8"/>
  <c r="Y228" i="8"/>
  <c r="T228" i="8"/>
  <c r="S228" i="8"/>
  <c r="R228" i="8"/>
  <c r="D126" i="8"/>
  <c r="D124" i="8"/>
  <c r="D127" i="8"/>
  <c r="D123" i="8"/>
  <c r="D125" i="8"/>
  <c r="AA221" i="8"/>
  <c r="H151" i="8"/>
  <c r="AC151" i="8"/>
  <c r="G151" i="8"/>
  <c r="O151" i="8"/>
  <c r="Y151" i="8"/>
  <c r="X151" i="8"/>
  <c r="AB151" i="8"/>
  <c r="W151" i="8"/>
  <c r="AA151" i="8"/>
  <c r="Z151" i="8"/>
  <c r="V151" i="8"/>
  <c r="J151" i="8"/>
  <c r="I151" i="8"/>
  <c r="U151" i="8"/>
  <c r="T151" i="8"/>
  <c r="S151" i="8"/>
  <c r="L151" i="8"/>
  <c r="O153" i="8"/>
  <c r="F42" i="8"/>
  <c r="G42" i="8" s="1"/>
  <c r="D166" i="8"/>
  <c r="D165" i="8"/>
  <c r="D167" i="8"/>
  <c r="D168" i="8"/>
  <c r="D164" i="8"/>
  <c r="AC252" i="8"/>
  <c r="G252" i="8"/>
  <c r="AB252" i="8"/>
  <c r="F252" i="8"/>
  <c r="S252" i="8"/>
  <c r="R252" i="8"/>
  <c r="V252" i="8"/>
  <c r="U252" i="8"/>
  <c r="J252" i="8"/>
  <c r="I252" i="8"/>
  <c r="P252" i="8"/>
  <c r="O252" i="8"/>
  <c r="AE252" i="8"/>
  <c r="Z252" i="8"/>
  <c r="AA252" i="8"/>
  <c r="Y252" i="8"/>
  <c r="X252" i="8"/>
  <c r="W252" i="8"/>
  <c r="T252" i="8"/>
  <c r="Q252" i="8"/>
  <c r="N252" i="8"/>
  <c r="L252" i="8"/>
  <c r="K252" i="8"/>
  <c r="M252" i="8"/>
  <c r="H252" i="8"/>
  <c r="I281" i="8"/>
  <c r="AE281" i="8"/>
  <c r="H281" i="8"/>
  <c r="X281" i="8"/>
  <c r="W281" i="8"/>
  <c r="V281" i="8"/>
  <c r="U281" i="8"/>
  <c r="AC281" i="8"/>
  <c r="Z281" i="8"/>
  <c r="Y281" i="8"/>
  <c r="T281" i="8"/>
  <c r="P281" i="8"/>
  <c r="AA281" i="8"/>
  <c r="Q281" i="8"/>
  <c r="O281" i="8"/>
  <c r="N281" i="8"/>
  <c r="S281" i="8"/>
  <c r="R281" i="8"/>
  <c r="M281" i="8"/>
  <c r="L281" i="8"/>
  <c r="J70" i="8"/>
  <c r="N70" i="8"/>
  <c r="AA70" i="8"/>
  <c r="Z70" i="8"/>
  <c r="P70" i="8"/>
  <c r="L70" i="8"/>
  <c r="O70" i="8"/>
  <c r="M70" i="8"/>
  <c r="K70" i="8"/>
  <c r="V70" i="8"/>
  <c r="T70" i="8"/>
  <c r="S70" i="8"/>
  <c r="Q70" i="8"/>
  <c r="U70" i="8"/>
  <c r="R70" i="8"/>
  <c r="I70" i="8"/>
  <c r="AB70" i="8"/>
  <c r="AC70" i="8"/>
  <c r="Y70" i="8"/>
  <c r="X70" i="8"/>
  <c r="G110" i="8"/>
  <c r="M151" i="8"/>
  <c r="D63" i="8"/>
  <c r="D62" i="8"/>
  <c r="D67" i="8"/>
  <c r="D66" i="8"/>
  <c r="J65" i="8"/>
  <c r="P153" i="8"/>
  <c r="W231" i="8"/>
  <c r="V231" i="8"/>
  <c r="G231" i="8"/>
  <c r="AE231" i="8"/>
  <c r="F231" i="8"/>
  <c r="I231" i="8"/>
  <c r="H231" i="8"/>
  <c r="AA231" i="8"/>
  <c r="Z231" i="8"/>
  <c r="R231" i="8"/>
  <c r="Q231" i="8"/>
  <c r="AB231" i="8"/>
  <c r="Y231" i="8"/>
  <c r="X231" i="8"/>
  <c r="U231" i="8"/>
  <c r="AC231" i="8"/>
  <c r="P231" i="8"/>
  <c r="O231" i="8"/>
  <c r="D122" i="8"/>
  <c r="K231" i="8"/>
  <c r="K151" i="8"/>
  <c r="P157" i="8"/>
  <c r="O157" i="8"/>
  <c r="N157" i="8"/>
  <c r="G157" i="8"/>
  <c r="F157" i="8"/>
  <c r="Y157" i="8"/>
  <c r="V157" i="8"/>
  <c r="X157" i="8"/>
  <c r="W157" i="8"/>
  <c r="U157" i="8"/>
  <c r="R157" i="8"/>
  <c r="Q157" i="8"/>
  <c r="S157" i="8"/>
  <c r="L157" i="8"/>
  <c r="K157" i="8"/>
  <c r="J157" i="8"/>
  <c r="I157" i="8"/>
  <c r="M157" i="8"/>
  <c r="H157" i="8"/>
  <c r="AE157" i="8"/>
  <c r="AC157" i="8"/>
  <c r="AB157" i="8"/>
  <c r="AA157" i="8"/>
  <c r="Z157" i="8"/>
  <c r="T157" i="8"/>
  <c r="F20" i="8"/>
  <c r="W148" i="8"/>
  <c r="T231" i="8"/>
  <c r="D71" i="8"/>
  <c r="D72" i="8"/>
  <c r="D73" i="8"/>
  <c r="D68" i="8"/>
  <c r="D69" i="8"/>
  <c r="F70" i="8"/>
  <c r="AE70" i="8" s="1"/>
  <c r="P151" i="8"/>
  <c r="S153" i="8"/>
  <c r="AE228" i="8"/>
  <c r="G70" i="8"/>
  <c r="I90" i="8"/>
  <c r="Q151" i="8"/>
  <c r="AC221" i="8"/>
  <c r="J281" i="8"/>
  <c r="E7" i="18"/>
  <c r="D170" i="8"/>
  <c r="D175" i="8"/>
  <c r="D171" i="8"/>
  <c r="D172" i="8"/>
  <c r="D174" i="8"/>
  <c r="D173" i="8"/>
  <c r="M65" i="8"/>
  <c r="R151" i="8"/>
  <c r="F7" i="18"/>
  <c r="D132" i="8"/>
  <c r="D131" i="8"/>
  <c r="D128" i="8"/>
  <c r="D133" i="8"/>
  <c r="F30" i="8"/>
  <c r="F65" i="8"/>
  <c r="L110" i="8"/>
  <c r="K110" i="8"/>
  <c r="I110" i="8"/>
  <c r="V110" i="8"/>
  <c r="U110" i="8"/>
  <c r="AC110" i="8"/>
  <c r="AA110" i="8"/>
  <c r="AB110" i="8"/>
  <c r="Z110" i="8"/>
  <c r="Y110" i="8"/>
  <c r="R110" i="8"/>
  <c r="Q110" i="8"/>
  <c r="T110" i="8"/>
  <c r="O110" i="8"/>
  <c r="N110" i="8"/>
  <c r="S110" i="8"/>
  <c r="P110" i="8"/>
  <c r="M110" i="8"/>
  <c r="J110" i="8"/>
  <c r="H110" i="8"/>
  <c r="AE110" i="8"/>
  <c r="X110" i="8"/>
  <c r="W110" i="8"/>
  <c r="F151" i="8"/>
  <c r="AE151" i="8" s="1"/>
  <c r="L231" i="8"/>
  <c r="D141" i="8"/>
  <c r="D143" i="8"/>
  <c r="D142" i="8"/>
  <c r="D145" i="8"/>
  <c r="D144" i="8"/>
  <c r="D140" i="8"/>
  <c r="E49" i="8"/>
  <c r="M231" i="8"/>
  <c r="H65" i="8"/>
  <c r="N231" i="8"/>
  <c r="R87" i="8"/>
  <c r="Q87" i="8"/>
  <c r="AC87" i="8"/>
  <c r="N87" i="8"/>
  <c r="M87" i="8"/>
  <c r="T87" i="8"/>
  <c r="P87" i="8"/>
  <c r="S87" i="8"/>
  <c r="O87" i="8"/>
  <c r="L87" i="8"/>
  <c r="W87" i="8"/>
  <c r="V87" i="8"/>
  <c r="AE87" i="8"/>
  <c r="AB87" i="8"/>
  <c r="Z87" i="8"/>
  <c r="K87" i="8"/>
  <c r="I87" i="8"/>
  <c r="H87" i="8"/>
  <c r="Y87" i="8"/>
  <c r="X87" i="8"/>
  <c r="U87" i="8"/>
  <c r="J87" i="8"/>
  <c r="G87" i="8"/>
  <c r="D138" i="8"/>
  <c r="K65" i="8"/>
  <c r="H90" i="8"/>
  <c r="L176" i="8"/>
  <c r="K176" i="8"/>
  <c r="M176" i="8"/>
  <c r="Z176" i="8"/>
  <c r="Y176" i="8"/>
  <c r="J176" i="8"/>
  <c r="H176" i="8"/>
  <c r="I176" i="8"/>
  <c r="G176" i="8"/>
  <c r="F176" i="8"/>
  <c r="AE176" i="8" s="1"/>
  <c r="R176" i="8"/>
  <c r="Q176" i="8"/>
  <c r="V176" i="8"/>
  <c r="T176" i="8"/>
  <c r="S176" i="8"/>
  <c r="U176" i="8"/>
  <c r="P176" i="8"/>
  <c r="O176" i="8"/>
  <c r="N176" i="8"/>
  <c r="G281" i="8"/>
  <c r="B7" i="18"/>
  <c r="D249" i="8"/>
  <c r="D250" i="8"/>
  <c r="D248" i="8"/>
  <c r="D251" i="8"/>
  <c r="D253" i="8"/>
  <c r="AC153" i="8"/>
  <c r="AA87" i="8"/>
  <c r="T149" i="8"/>
  <c r="S149" i="8"/>
  <c r="W149" i="8"/>
  <c r="F149" i="8"/>
  <c r="AE149" i="8"/>
  <c r="AC149" i="8"/>
  <c r="Z149" i="8"/>
  <c r="AB149" i="8"/>
  <c r="AA149" i="8"/>
  <c r="Y149" i="8"/>
  <c r="N149" i="8"/>
  <c r="K149" i="8"/>
  <c r="J149" i="8"/>
  <c r="I149" i="8"/>
  <c r="M149" i="8"/>
  <c r="L149" i="8"/>
  <c r="H149" i="8"/>
  <c r="G149" i="8"/>
  <c r="X149" i="8"/>
  <c r="K288" i="8"/>
  <c r="J288" i="8"/>
  <c r="U288" i="8"/>
  <c r="T288" i="8"/>
  <c r="L288" i="8"/>
  <c r="I288" i="8"/>
  <c r="F288" i="8"/>
  <c r="M288" i="8"/>
  <c r="H288" i="8"/>
  <c r="G288" i="8"/>
  <c r="Z288" i="8"/>
  <c r="R288" i="8"/>
  <c r="Q288" i="8"/>
  <c r="P288" i="8"/>
  <c r="O288" i="8"/>
  <c r="N288" i="8"/>
  <c r="AC288" i="8"/>
  <c r="AB288" i="8"/>
  <c r="X288" i="8"/>
  <c r="AE288" i="8"/>
  <c r="AA288" i="8"/>
  <c r="Y288" i="8"/>
  <c r="W288" i="8"/>
  <c r="V288" i="8"/>
  <c r="S288" i="8"/>
  <c r="H70" i="8"/>
  <c r="J90" i="8"/>
  <c r="W176" i="8"/>
  <c r="P229" i="8"/>
  <c r="O229" i="8"/>
  <c r="L229" i="8"/>
  <c r="K229" i="8"/>
  <c r="Z229" i="8"/>
  <c r="Y229" i="8"/>
  <c r="M229" i="8"/>
  <c r="J229" i="8"/>
  <c r="S229" i="8"/>
  <c r="Q229" i="8"/>
  <c r="N229" i="8"/>
  <c r="I229" i="8"/>
  <c r="R229" i="8"/>
  <c r="H229" i="8"/>
  <c r="AC229" i="8"/>
  <c r="AB229" i="8"/>
  <c r="AA229" i="8"/>
  <c r="W229" i="8"/>
  <c r="V229" i="8"/>
  <c r="X229" i="8"/>
  <c r="U229" i="8"/>
  <c r="K281" i="8"/>
  <c r="F8" i="8"/>
  <c r="G8" i="8" s="1"/>
  <c r="W58" i="8"/>
  <c r="P149" i="8"/>
  <c r="AA176" i="8"/>
  <c r="B2" i="24"/>
  <c r="E14" i="8"/>
  <c r="F14" i="8" s="1"/>
  <c r="F56" i="8"/>
  <c r="B2" i="14" s="1"/>
  <c r="J297" i="8"/>
  <c r="R7" i="18"/>
  <c r="C2" i="24"/>
  <c r="N88" i="8"/>
  <c r="L94" i="8"/>
  <c r="G147" i="8"/>
  <c r="D2" i="24"/>
  <c r="P91" i="8"/>
  <c r="O91" i="8"/>
  <c r="L91" i="8"/>
  <c r="AB91" i="8"/>
  <c r="AA91" i="8"/>
  <c r="N91" i="8"/>
  <c r="K91" i="8"/>
  <c r="M91" i="8"/>
  <c r="J91" i="8"/>
  <c r="I91" i="8"/>
  <c r="Q91" i="8"/>
  <c r="H91" i="8"/>
  <c r="AC91" i="8"/>
  <c r="Z91" i="8"/>
  <c r="W91" i="8"/>
  <c r="F91" i="8"/>
  <c r="AE91" i="8" s="1"/>
  <c r="V91" i="8"/>
  <c r="U91" i="8"/>
  <c r="T91" i="8"/>
  <c r="S91" i="8"/>
  <c r="R91" i="8"/>
  <c r="G91" i="8"/>
  <c r="D130" i="8"/>
  <c r="U149" i="8"/>
  <c r="L323" i="8"/>
  <c r="U7" i="18"/>
  <c r="D104" i="8"/>
  <c r="D107" i="8"/>
  <c r="D108" i="8"/>
  <c r="D106" i="8"/>
  <c r="D105" i="8"/>
  <c r="D109" i="8"/>
  <c r="E28" i="8"/>
  <c r="X91" i="8"/>
  <c r="O94" i="8"/>
  <c r="N147" i="8"/>
  <c r="P223" i="8"/>
  <c r="I237" i="8"/>
  <c r="AE237" i="8"/>
  <c r="H237" i="8"/>
  <c r="F237" i="8"/>
  <c r="AC237" i="8"/>
  <c r="V237" i="8"/>
  <c r="U237" i="8"/>
  <c r="AB237" i="8"/>
  <c r="AA237" i="8"/>
  <c r="G237" i="8"/>
  <c r="Y237" i="8"/>
  <c r="X237" i="8"/>
  <c r="W237" i="8"/>
  <c r="Z237" i="8"/>
  <c r="T237" i="8"/>
  <c r="Q237" i="8"/>
  <c r="L237" i="8"/>
  <c r="P237" i="8"/>
  <c r="O237" i="8"/>
  <c r="N237" i="8"/>
  <c r="M237" i="8"/>
  <c r="K237" i="8"/>
  <c r="J237" i="8"/>
  <c r="S237" i="8"/>
  <c r="R237" i="8"/>
  <c r="P297" i="8"/>
  <c r="M323" i="8"/>
  <c r="V7" i="18"/>
  <c r="Y3" i="24"/>
  <c r="D278" i="8"/>
  <c r="D280" i="8"/>
  <c r="D282" i="8"/>
  <c r="D279" i="8"/>
  <c r="W88" i="8"/>
  <c r="Y91" i="8"/>
  <c r="F162" i="8"/>
  <c r="Q223" i="8"/>
  <c r="X6" i="17"/>
  <c r="Q65" i="8"/>
  <c r="Y65" i="8"/>
  <c r="X65" i="8"/>
  <c r="AA65" i="8"/>
  <c r="Z65" i="8"/>
  <c r="W65" i="8"/>
  <c r="V65" i="8"/>
  <c r="U65" i="8"/>
  <c r="AE65" i="8"/>
  <c r="AB65" i="8"/>
  <c r="AC65" i="8"/>
  <c r="T65" i="8"/>
  <c r="S65" i="8"/>
  <c r="R65" i="8"/>
  <c r="P65" i="8"/>
  <c r="J231" i="8"/>
  <c r="F18" i="8"/>
  <c r="D137" i="8"/>
  <c r="D139" i="8"/>
  <c r="D135" i="8"/>
  <c r="J169" i="8"/>
  <c r="I169" i="8"/>
  <c r="P169" i="8"/>
  <c r="V169" i="8"/>
  <c r="U169" i="8"/>
  <c r="O169" i="8"/>
  <c r="K169" i="8"/>
  <c r="N169" i="8"/>
  <c r="M169" i="8"/>
  <c r="L169" i="8"/>
  <c r="AA169" i="8"/>
  <c r="W169" i="8"/>
  <c r="T169" i="8"/>
  <c r="Z169" i="8"/>
  <c r="Y169" i="8"/>
  <c r="X169" i="8"/>
  <c r="S169" i="8"/>
  <c r="R169" i="8"/>
  <c r="AE169" i="8"/>
  <c r="AC169" i="8"/>
  <c r="AB169" i="8"/>
  <c r="Q169" i="8"/>
  <c r="H169" i="8"/>
  <c r="G169" i="8"/>
  <c r="F169" i="8"/>
  <c r="G65" i="8"/>
  <c r="AB90" i="8"/>
  <c r="Z90" i="8"/>
  <c r="W90" i="8"/>
  <c r="AA90" i="8"/>
  <c r="Y90" i="8"/>
  <c r="X90" i="8"/>
  <c r="T90" i="8"/>
  <c r="S90" i="8"/>
  <c r="R153" i="8"/>
  <c r="Q153" i="8"/>
  <c r="G153" i="8"/>
  <c r="U153" i="8"/>
  <c r="T153" i="8"/>
  <c r="AB153" i="8"/>
  <c r="Y153" i="8"/>
  <c r="AA153" i="8"/>
  <c r="Z153" i="8"/>
  <c r="X153" i="8"/>
  <c r="W153" i="8"/>
  <c r="V153" i="8"/>
  <c r="N153" i="8"/>
  <c r="K153" i="8"/>
  <c r="I153" i="8"/>
  <c r="M153" i="8"/>
  <c r="L153" i="8"/>
  <c r="J153" i="8"/>
  <c r="H153" i="8"/>
  <c r="F153" i="8"/>
  <c r="E6" i="8"/>
  <c r="F6" i="8" s="1"/>
  <c r="G6" i="8" s="1"/>
  <c r="G90" i="8"/>
  <c r="N151" i="8"/>
  <c r="D256" i="8"/>
  <c r="D257" i="8"/>
  <c r="D254" i="8"/>
  <c r="D259" i="8"/>
  <c r="D255" i="8"/>
  <c r="D258" i="8"/>
  <c r="U148" i="8"/>
  <c r="T148" i="8"/>
  <c r="T150" i="8"/>
  <c r="J148" i="8"/>
  <c r="Q150" i="8"/>
  <c r="P150" i="8"/>
  <c r="R150" i="8"/>
  <c r="G148" i="8"/>
  <c r="F148" i="8"/>
  <c r="AE148" i="8" s="1"/>
  <c r="O150" i="8"/>
  <c r="L150" i="8"/>
  <c r="K150" i="8"/>
  <c r="J150" i="8"/>
  <c r="U150" i="8"/>
  <c r="Q148" i="8"/>
  <c r="H150" i="8"/>
  <c r="G150" i="8"/>
  <c r="N148" i="8"/>
  <c r="F150" i="8"/>
  <c r="AE150" i="8" s="1"/>
  <c r="AC222" i="8"/>
  <c r="K148" i="8"/>
  <c r="I150" i="8"/>
  <c r="P148" i="8"/>
  <c r="O148" i="8"/>
  <c r="M148" i="8"/>
  <c r="L148" i="8"/>
  <c r="AB222" i="8"/>
  <c r="AB323" i="8"/>
  <c r="AA222" i="8"/>
  <c r="AA323" i="8"/>
  <c r="E44" i="8"/>
  <c r="F44" i="8" s="1"/>
  <c r="AA56" i="8"/>
  <c r="X56" i="8"/>
  <c r="T2" i="14" s="1"/>
  <c r="W56" i="8"/>
  <c r="S2" i="14" s="1"/>
  <c r="AB56" i="8"/>
  <c r="X2" i="14" s="1"/>
  <c r="V56" i="8"/>
  <c r="R2" i="14" s="1"/>
  <c r="U56" i="8"/>
  <c r="Z56" i="8"/>
  <c r="Y56" i="8"/>
  <c r="U2" i="14" s="1"/>
  <c r="AC56" i="8"/>
  <c r="S56" i="8"/>
  <c r="O2" i="14" s="1"/>
  <c r="T56" i="8"/>
  <c r="P2" i="14" s="1"/>
  <c r="R56" i="8"/>
  <c r="N2" i="14" s="1"/>
  <c r="Q56" i="8"/>
  <c r="M2" i="14" s="1"/>
  <c r="P56" i="8"/>
  <c r="L2" i="14" s="1"/>
  <c r="O56" i="8"/>
  <c r="K2" i="14" s="1"/>
  <c r="M56" i="8"/>
  <c r="N56" i="8"/>
  <c r="L56" i="8"/>
  <c r="H2" i="14" s="1"/>
  <c r="K56" i="8"/>
  <c r="G2" i="14" s="1"/>
  <c r="J56" i="8"/>
  <c r="F2" i="14" s="1"/>
  <c r="I56" i="8"/>
  <c r="E2" i="14" s="1"/>
  <c r="Q58" i="8"/>
  <c r="M4" i="14" s="1"/>
  <c r="N65" i="8"/>
  <c r="W70" i="8"/>
  <c r="Q90" i="8"/>
  <c r="T94" i="8"/>
  <c r="S94" i="8"/>
  <c r="Y94" i="8"/>
  <c r="Q94" i="8"/>
  <c r="P94" i="8"/>
  <c r="K94" i="8"/>
  <c r="J94" i="8"/>
  <c r="I94" i="8"/>
  <c r="H94" i="8"/>
  <c r="G94" i="8"/>
  <c r="AE94" i="8"/>
  <c r="AA94" i="8"/>
  <c r="AC94" i="8"/>
  <c r="AB94" i="8"/>
  <c r="Z94" i="8"/>
  <c r="X94" i="8"/>
  <c r="W94" i="8"/>
  <c r="V94" i="8"/>
  <c r="O149" i="8"/>
  <c r="X176" i="8"/>
  <c r="AB281" i="8"/>
  <c r="W297" i="8"/>
  <c r="V297" i="8"/>
  <c r="I297" i="8"/>
  <c r="H297" i="8"/>
  <c r="U297" i="8"/>
  <c r="T297" i="8"/>
  <c r="L297" i="8"/>
  <c r="K297" i="8"/>
  <c r="G297" i="8"/>
  <c r="F297" i="8"/>
  <c r="Z297" i="8"/>
  <c r="AA297" i="8"/>
  <c r="Y297" i="8"/>
  <c r="X297" i="8"/>
  <c r="S297" i="8"/>
  <c r="R297" i="8"/>
  <c r="Q297" i="8"/>
  <c r="AC297" i="8"/>
  <c r="AB297" i="8"/>
  <c r="G7" i="18"/>
  <c r="D181" i="8"/>
  <c r="D178" i="8"/>
  <c r="D180" i="8"/>
  <c r="D179" i="8"/>
  <c r="O65" i="8"/>
  <c r="R90" i="8"/>
  <c r="J114" i="8"/>
  <c r="I114" i="8"/>
  <c r="R114" i="8"/>
  <c r="H114" i="8"/>
  <c r="G114" i="8"/>
  <c r="Z114" i="8"/>
  <c r="X114" i="8"/>
  <c r="Y114" i="8"/>
  <c r="W114" i="8"/>
  <c r="V114" i="8"/>
  <c r="N114" i="8"/>
  <c r="M114" i="8"/>
  <c r="AA114" i="8"/>
  <c r="P114" i="8"/>
  <c r="U114" i="8"/>
  <c r="T114" i="8"/>
  <c r="S114" i="8"/>
  <c r="Q114" i="8"/>
  <c r="O114" i="8"/>
  <c r="L114" i="8"/>
  <c r="AC114" i="8"/>
  <c r="AE114" i="8"/>
  <c r="AB114" i="8"/>
  <c r="K114" i="8"/>
  <c r="F114" i="8"/>
  <c r="J147" i="8"/>
  <c r="I147" i="8"/>
  <c r="F147" i="8"/>
  <c r="AE147" i="8" s="1"/>
  <c r="M147" i="8"/>
  <c r="L147" i="8"/>
  <c r="AA147" i="8"/>
  <c r="AC147" i="8"/>
  <c r="AB147" i="8"/>
  <c r="Z147" i="8"/>
  <c r="S147" i="8"/>
  <c r="R147" i="8"/>
  <c r="Y147" i="8"/>
  <c r="X147" i="8"/>
  <c r="W147" i="8"/>
  <c r="F229" i="8"/>
  <c r="AE229" i="8" s="1"/>
  <c r="J7" i="18"/>
  <c r="E8" i="8"/>
  <c r="X58" i="8"/>
  <c r="I88" i="8"/>
  <c r="F94" i="8"/>
  <c r="Q149" i="8"/>
  <c r="AB176" i="8"/>
  <c r="Z222" i="8"/>
  <c r="G229" i="8"/>
  <c r="G56" i="8"/>
  <c r="C2" i="14" s="1"/>
  <c r="Y58" i="8"/>
  <c r="U4" i="14" s="1"/>
  <c r="R149" i="8"/>
  <c r="AC176" i="8"/>
  <c r="T229" i="8"/>
  <c r="M297" i="8"/>
  <c r="S7" i="18"/>
  <c r="D99" i="8"/>
  <c r="D102" i="8"/>
  <c r="D100" i="8"/>
  <c r="D103" i="8"/>
  <c r="D101" i="8"/>
  <c r="Z58" i="8"/>
  <c r="T88" i="8"/>
  <c r="M94" i="8"/>
  <c r="H147" i="8"/>
  <c r="N223" i="8"/>
  <c r="S283" i="8"/>
  <c r="R283" i="8"/>
  <c r="O283" i="8"/>
  <c r="N283" i="8"/>
  <c r="U283" i="8"/>
  <c r="T283" i="8"/>
  <c r="AE283" i="8"/>
  <c r="AC283" i="8"/>
  <c r="AB283" i="8"/>
  <c r="AA283" i="8"/>
  <c r="P283" i="8"/>
  <c r="L283" i="8"/>
  <c r="K283" i="8"/>
  <c r="J283" i="8"/>
  <c r="I283" i="8"/>
  <c r="M283" i="8"/>
  <c r="Y283" i="8"/>
  <c r="H283" i="8"/>
  <c r="X283" i="8"/>
  <c r="W283" i="8"/>
  <c r="V283" i="8"/>
  <c r="Q283" i="8"/>
  <c r="G283" i="8"/>
  <c r="F283" i="8"/>
  <c r="N297" i="8"/>
  <c r="T7" i="18"/>
  <c r="E2" i="24"/>
  <c r="D192" i="8"/>
  <c r="D190" i="8"/>
  <c r="D189" i="8"/>
  <c r="D188" i="8"/>
  <c r="D193" i="8"/>
  <c r="D191" i="8"/>
  <c r="U88" i="8"/>
  <c r="N94" i="8"/>
  <c r="K147" i="8"/>
  <c r="V149" i="8"/>
  <c r="O297" i="8"/>
  <c r="V88" i="8"/>
  <c r="F37" i="8"/>
  <c r="G37" i="8" s="1"/>
  <c r="D115" i="8"/>
  <c r="D112" i="8"/>
  <c r="D113" i="8"/>
  <c r="D111" i="8"/>
  <c r="I2" i="18"/>
  <c r="L6" i="24"/>
  <c r="N5" i="18"/>
  <c r="X4" i="17"/>
  <c r="D3" i="24"/>
  <c r="G2" i="18"/>
  <c r="C3" i="24"/>
  <c r="H5" i="18"/>
  <c r="T4" i="17"/>
  <c r="M6" i="24"/>
  <c r="O3" i="24"/>
  <c r="O5" i="18"/>
  <c r="Y4" i="17"/>
  <c r="H3" i="24"/>
  <c r="H2" i="18"/>
  <c r="I6" i="24"/>
  <c r="I5" i="18"/>
  <c r="U4" i="17"/>
  <c r="H6" i="24"/>
  <c r="F2" i="18"/>
  <c r="B6" i="24"/>
  <c r="P2" i="24"/>
  <c r="X7" i="18"/>
  <c r="G5" i="18"/>
  <c r="W7" i="17"/>
  <c r="L4" i="17"/>
  <c r="Y5" i="24"/>
  <c r="F2" i="24"/>
  <c r="W7" i="18"/>
  <c r="D5" i="18"/>
  <c r="V7" i="17"/>
  <c r="K4" i="17"/>
  <c r="X5" i="24"/>
  <c r="W6" i="18"/>
  <c r="U6" i="17"/>
  <c r="P2" i="17"/>
  <c r="O5" i="24"/>
  <c r="S6" i="17"/>
  <c r="T5" i="18"/>
  <c r="Y4" i="18"/>
  <c r="H5" i="24"/>
  <c r="X4" i="18"/>
  <c r="P4" i="24"/>
  <c r="K6" i="17"/>
  <c r="M4" i="24"/>
  <c r="J6" i="17"/>
  <c r="R5" i="24"/>
  <c r="R6" i="18"/>
  <c r="T6" i="17"/>
  <c r="K2" i="17"/>
  <c r="U5" i="18"/>
  <c r="N5" i="24"/>
  <c r="P6" i="17"/>
  <c r="M5" i="24"/>
  <c r="M6" i="17"/>
  <c r="L6" i="17"/>
  <c r="R4" i="18"/>
  <c r="J4" i="18"/>
  <c r="I4" i="18"/>
  <c r="K5" i="17"/>
  <c r="L4" i="24"/>
  <c r="K4" i="24"/>
  <c r="H4" i="18"/>
  <c r="J5" i="17"/>
  <c r="X88" i="8"/>
  <c r="U94" i="8"/>
  <c r="P147" i="8"/>
  <c r="I162" i="8"/>
  <c r="R223" i="8"/>
  <c r="O323" i="8"/>
  <c r="C7" i="17"/>
  <c r="J4" i="24"/>
  <c r="W301" i="8"/>
  <c r="U301" i="8"/>
  <c r="T301" i="8"/>
  <c r="P301" i="8"/>
  <c r="O301" i="8"/>
  <c r="M301" i="8"/>
  <c r="L301" i="8"/>
  <c r="N301" i="8"/>
  <c r="K301" i="8"/>
  <c r="Z301" i="8"/>
  <c r="Y301" i="8"/>
  <c r="X301" i="8"/>
  <c r="AA301" i="8"/>
  <c r="AC301" i="8"/>
  <c r="AB301" i="8"/>
  <c r="V301" i="8"/>
  <c r="S301" i="8"/>
  <c r="H301" i="8"/>
  <c r="G301" i="8"/>
  <c r="N161" i="8"/>
  <c r="M161" i="8"/>
  <c r="W161" i="8"/>
  <c r="T161" i="8"/>
  <c r="S161" i="8"/>
  <c r="V161" i="8"/>
  <c r="U161" i="8"/>
  <c r="R161" i="8"/>
  <c r="Q161" i="8"/>
  <c r="P161" i="8"/>
  <c r="I161" i="8"/>
  <c r="H161" i="8"/>
  <c r="Y161" i="8"/>
  <c r="O161" i="8"/>
  <c r="K161" i="8"/>
  <c r="X161" i="8"/>
  <c r="L161" i="8"/>
  <c r="J161" i="8"/>
  <c r="G161" i="8"/>
  <c r="F161" i="8"/>
  <c r="AE161" i="8" s="1"/>
  <c r="Q232" i="8"/>
  <c r="P232" i="8"/>
  <c r="AA232" i="8"/>
  <c r="Z232" i="8"/>
  <c r="F232" i="8"/>
  <c r="Y232" i="8"/>
  <c r="X232" i="8"/>
  <c r="T232" i="8"/>
  <c r="S232" i="8"/>
  <c r="AE232" i="8"/>
  <c r="AC232" i="8"/>
  <c r="M232" i="8"/>
  <c r="I232" i="8"/>
  <c r="L232" i="8"/>
  <c r="K232" i="8"/>
  <c r="J232" i="8"/>
  <c r="H232" i="8"/>
  <c r="G232" i="8"/>
  <c r="D292" i="8"/>
  <c r="D291" i="8"/>
  <c r="D290" i="8"/>
  <c r="D295" i="8"/>
  <c r="D293" i="8"/>
  <c r="O58" i="8"/>
  <c r="K4" i="14" s="1"/>
  <c r="N58" i="8"/>
  <c r="M58" i="8"/>
  <c r="I4" i="14" s="1"/>
  <c r="V58" i="8"/>
  <c r="S58" i="8"/>
  <c r="O4" i="14" s="1"/>
  <c r="U58" i="8"/>
  <c r="Q4" i="14" s="1"/>
  <c r="T58" i="8"/>
  <c r="P4" i="14" s="1"/>
  <c r="R58" i="8"/>
  <c r="N4" i="14" s="1"/>
  <c r="AE58" i="8"/>
  <c r="AC58" i="8"/>
  <c r="Y4" i="14" s="1"/>
  <c r="AB58" i="8"/>
  <c r="X4" i="14" s="1"/>
  <c r="AA58" i="8"/>
  <c r="W4" i="14" s="1"/>
  <c r="D349" i="8"/>
  <c r="F349" i="8" s="1"/>
  <c r="B8" i="9" s="1"/>
  <c r="D60" i="8"/>
  <c r="D59" i="8"/>
  <c r="D61" i="8"/>
  <c r="D213" i="8"/>
  <c r="D214" i="8"/>
  <c r="D215" i="8"/>
  <c r="D216" i="8"/>
  <c r="D217" i="8"/>
  <c r="D300" i="8"/>
  <c r="D298" i="8"/>
  <c r="D299" i="8"/>
  <c r="D296" i="8"/>
  <c r="L154" i="8"/>
  <c r="K154" i="8"/>
  <c r="AA154" i="8"/>
  <c r="Q154" i="8"/>
  <c r="P154" i="8"/>
  <c r="Z154" i="8"/>
  <c r="X154" i="8"/>
  <c r="V154" i="8"/>
  <c r="Y154" i="8"/>
  <c r="W154" i="8"/>
  <c r="AC154" i="8"/>
  <c r="T154" i="8"/>
  <c r="S154" i="8"/>
  <c r="R154" i="8"/>
  <c r="AB154" i="8"/>
  <c r="U154" i="8"/>
  <c r="O154" i="8"/>
  <c r="N154" i="8"/>
  <c r="F301" i="8"/>
  <c r="AE301" i="8" s="1"/>
  <c r="D305" i="8"/>
  <c r="D304" i="8"/>
  <c r="D303" i="8"/>
  <c r="D306" i="8"/>
  <c r="AB89" i="8"/>
  <c r="F89" i="8"/>
  <c r="AE89" i="8" s="1"/>
  <c r="AA89" i="8"/>
  <c r="T89" i="8"/>
  <c r="I89" i="8"/>
  <c r="H89" i="8"/>
  <c r="Q89" i="8"/>
  <c r="O89" i="8"/>
  <c r="P89" i="8"/>
  <c r="N89" i="8"/>
  <c r="M89" i="8"/>
  <c r="W89" i="8"/>
  <c r="U89" i="8"/>
  <c r="S89" i="8"/>
  <c r="R89" i="8"/>
  <c r="V89" i="8"/>
  <c r="L89" i="8"/>
  <c r="K89" i="8"/>
  <c r="J89" i="8"/>
  <c r="Z161" i="8"/>
  <c r="N232" i="8"/>
  <c r="I301" i="8"/>
  <c r="O232" i="8"/>
  <c r="AE318" i="8"/>
  <c r="H318" i="8"/>
  <c r="V318" i="8"/>
  <c r="U318" i="8"/>
  <c r="Y318" i="8"/>
  <c r="X318" i="8"/>
  <c r="K318" i="8"/>
  <c r="J318" i="8"/>
  <c r="AA318" i="8"/>
  <c r="Z318" i="8"/>
  <c r="L318" i="8"/>
  <c r="I318" i="8"/>
  <c r="AC318" i="8"/>
  <c r="AB318" i="8"/>
  <c r="O318" i="8"/>
  <c r="G318" i="8"/>
  <c r="F318" i="8"/>
  <c r="T318" i="8"/>
  <c r="P318" i="8"/>
  <c r="S318" i="8"/>
  <c r="R318" i="8"/>
  <c r="Q318" i="8"/>
  <c r="N318" i="8"/>
  <c r="M318" i="8"/>
  <c r="D315" i="8"/>
  <c r="D317" i="8"/>
  <c r="D316" i="8"/>
  <c r="D319" i="8"/>
  <c r="D314" i="8"/>
  <c r="H58" i="8"/>
  <c r="R232" i="8"/>
  <c r="M240" i="8"/>
  <c r="L240" i="8"/>
  <c r="S240" i="8"/>
  <c r="R240" i="8"/>
  <c r="P240" i="8"/>
  <c r="O240" i="8"/>
  <c r="AE240" i="8"/>
  <c r="AC240" i="8"/>
  <c r="Q240" i="8"/>
  <c r="N240" i="8"/>
  <c r="H240" i="8"/>
  <c r="U240" i="8"/>
  <c r="J240" i="8"/>
  <c r="T240" i="8"/>
  <c r="K240" i="8"/>
  <c r="I240" i="8"/>
  <c r="G240" i="8"/>
  <c r="Z240" i="8"/>
  <c r="AB240" i="8"/>
  <c r="AA240" i="8"/>
  <c r="Y240" i="8"/>
  <c r="X240" i="8"/>
  <c r="S324" i="8"/>
  <c r="E10" i="8"/>
  <c r="I58" i="8"/>
  <c r="U232" i="8"/>
  <c r="R301" i="8"/>
  <c r="D76" i="8"/>
  <c r="D75" i="8"/>
  <c r="D74" i="8"/>
  <c r="D77" i="8"/>
  <c r="D79" i="8"/>
  <c r="D78" i="8"/>
  <c r="V232" i="8"/>
  <c r="F235" i="8"/>
  <c r="F240" i="8"/>
  <c r="S5" i="15"/>
  <c r="E32" i="8"/>
  <c r="F32" i="8" s="1"/>
  <c r="E43" i="8"/>
  <c r="F43" i="8" s="1"/>
  <c r="G43" i="8" s="1"/>
  <c r="K58" i="8"/>
  <c r="Z89" i="8"/>
  <c r="J154" i="8"/>
  <c r="W232" i="8"/>
  <c r="V240" i="8"/>
  <c r="D302" i="8"/>
  <c r="O7" i="15"/>
  <c r="T3" i="15"/>
  <c r="Q7" i="15"/>
  <c r="C4" i="15"/>
  <c r="P7" i="15"/>
  <c r="U3" i="15"/>
  <c r="W6" i="15"/>
  <c r="Q3" i="15"/>
  <c r="P6" i="15"/>
  <c r="P3" i="15"/>
  <c r="H6" i="15"/>
  <c r="B3" i="15"/>
  <c r="F58" i="8"/>
  <c r="X97" i="8"/>
  <c r="W97" i="8"/>
  <c r="M97" i="8"/>
  <c r="J97" i="8"/>
  <c r="I97" i="8"/>
  <c r="L97" i="8"/>
  <c r="H97" i="8"/>
  <c r="K97" i="8"/>
  <c r="G97" i="8"/>
  <c r="F97" i="8"/>
  <c r="U97" i="8"/>
  <c r="T97" i="8"/>
  <c r="Z97" i="8"/>
  <c r="S97" i="8"/>
  <c r="R97" i="8"/>
  <c r="Q97" i="8"/>
  <c r="Y97" i="8"/>
  <c r="V97" i="8"/>
  <c r="P97" i="8"/>
  <c r="O97" i="8"/>
  <c r="P324" i="8"/>
  <c r="O324" i="8"/>
  <c r="N324" i="8"/>
  <c r="H324" i="8"/>
  <c r="G324" i="8"/>
  <c r="J324" i="8"/>
  <c r="I324" i="8"/>
  <c r="L324" i="8"/>
  <c r="K324" i="8"/>
  <c r="F324" i="8"/>
  <c r="Q324" i="8"/>
  <c r="AB324" i="8"/>
  <c r="AE324" i="8"/>
  <c r="AC324" i="8"/>
  <c r="R324" i="8"/>
  <c r="M324" i="8"/>
  <c r="Y324" i="8"/>
  <c r="X324" i="8"/>
  <c r="AA324" i="8"/>
  <c r="Z324" i="8"/>
  <c r="W324" i="8"/>
  <c r="V324" i="8"/>
  <c r="J5" i="15"/>
  <c r="D309" i="8"/>
  <c r="D310" i="8"/>
  <c r="D311" i="8"/>
  <c r="D313" i="8"/>
  <c r="D308" i="8"/>
  <c r="D312" i="8"/>
  <c r="G58" i="8"/>
  <c r="C4" i="14" s="1"/>
  <c r="F154" i="8"/>
  <c r="AA161" i="8"/>
  <c r="J301" i="8"/>
  <c r="K5" i="15"/>
  <c r="F10" i="8"/>
  <c r="D225" i="8"/>
  <c r="D226" i="8"/>
  <c r="D227" i="8"/>
  <c r="D224" i="8"/>
  <c r="G89" i="8"/>
  <c r="N97" i="8"/>
  <c r="G154" i="8"/>
  <c r="AB161" i="8"/>
  <c r="U235" i="8"/>
  <c r="T235" i="8"/>
  <c r="N235" i="8"/>
  <c r="M235" i="8"/>
  <c r="AA235" i="8"/>
  <c r="Z235" i="8"/>
  <c r="AC235" i="8"/>
  <c r="AB235" i="8"/>
  <c r="R235" i="8"/>
  <c r="P235" i="8"/>
  <c r="O235" i="8"/>
  <c r="K235" i="8"/>
  <c r="Q235" i="8"/>
  <c r="L235" i="8"/>
  <c r="AE235" i="8"/>
  <c r="V235" i="8"/>
  <c r="Y235" i="8"/>
  <c r="X235" i="8"/>
  <c r="W235" i="8"/>
  <c r="S235" i="8"/>
  <c r="J235" i="8"/>
  <c r="I235" i="8"/>
  <c r="Q301" i="8"/>
  <c r="N5" i="15"/>
  <c r="J81" i="8"/>
  <c r="AB81" i="8"/>
  <c r="H81" i="8"/>
  <c r="G81" i="8"/>
  <c r="W81" i="8"/>
  <c r="U81" i="8"/>
  <c r="V81" i="8"/>
  <c r="T81" i="8"/>
  <c r="S81" i="8"/>
  <c r="N81" i="8"/>
  <c r="M81" i="8"/>
  <c r="Y81" i="8"/>
  <c r="R81" i="8"/>
  <c r="Q81" i="8"/>
  <c r="P81" i="8"/>
  <c r="O81" i="8"/>
  <c r="X81" i="8"/>
  <c r="L81" i="8"/>
  <c r="K81" i="8"/>
  <c r="X89" i="8"/>
  <c r="AA97" i="8"/>
  <c r="H154" i="8"/>
  <c r="AC161" i="8"/>
  <c r="D212" i="8"/>
  <c r="H223" i="8"/>
  <c r="AC223" i="8"/>
  <c r="G223" i="8"/>
  <c r="M223" i="8"/>
  <c r="L223" i="8"/>
  <c r="J223" i="8"/>
  <c r="I223" i="8"/>
  <c r="K223" i="8"/>
  <c r="F223" i="8"/>
  <c r="AE223" i="8" s="1"/>
  <c r="AA223" i="8"/>
  <c r="Y223" i="8"/>
  <c r="X223" i="8"/>
  <c r="Z223" i="8"/>
  <c r="W223" i="8"/>
  <c r="V223" i="8"/>
  <c r="AB223" i="8"/>
  <c r="U223" i="8"/>
  <c r="T223" i="8"/>
  <c r="D307" i="8"/>
  <c r="W318" i="8"/>
  <c r="T324" i="8"/>
  <c r="R5" i="15"/>
  <c r="V323" i="8"/>
  <c r="T323" i="8"/>
  <c r="S323" i="8"/>
  <c r="K323" i="8"/>
  <c r="J323" i="8"/>
  <c r="I323" i="8"/>
  <c r="H323" i="8"/>
  <c r="G323" i="8"/>
  <c r="F323" i="8"/>
  <c r="AE323" i="8"/>
  <c r="AC323" i="8"/>
  <c r="Z323" i="8"/>
  <c r="Y323" i="8"/>
  <c r="X323" i="8"/>
  <c r="W323" i="8"/>
  <c r="U323" i="8"/>
  <c r="R323" i="8"/>
  <c r="J58" i="8"/>
  <c r="Y89" i="8"/>
  <c r="AB97" i="8"/>
  <c r="I154" i="8"/>
  <c r="T221" i="8"/>
  <c r="S221" i="8"/>
  <c r="U221" i="8"/>
  <c r="R221" i="8"/>
  <c r="L221" i="8"/>
  <c r="K221" i="8"/>
  <c r="G221" i="8"/>
  <c r="F221" i="8"/>
  <c r="W221" i="8"/>
  <c r="Q221" i="8"/>
  <c r="P221" i="8"/>
  <c r="O221" i="8"/>
  <c r="V221" i="8"/>
  <c r="N221" i="8"/>
  <c r="AE221" i="8"/>
  <c r="D236" i="8"/>
  <c r="D239" i="8"/>
  <c r="D238" i="8"/>
  <c r="D241" i="8"/>
  <c r="D245" i="8"/>
  <c r="D247" i="8"/>
  <c r="D243" i="8"/>
  <c r="D242" i="8"/>
  <c r="D244" i="8"/>
  <c r="D246" i="8"/>
  <c r="D57" i="8"/>
  <c r="L58" i="8"/>
  <c r="I81" i="8"/>
  <c r="AC89" i="8"/>
  <c r="AE97" i="8"/>
  <c r="M154" i="8"/>
  <c r="AE162" i="8"/>
  <c r="H162" i="8"/>
  <c r="AC162" i="8"/>
  <c r="G162" i="8"/>
  <c r="S162" i="8"/>
  <c r="Q162" i="8"/>
  <c r="P162" i="8"/>
  <c r="V162" i="8"/>
  <c r="T162" i="8"/>
  <c r="R162" i="8"/>
  <c r="O162" i="8"/>
  <c r="U162" i="8"/>
  <c r="W162" i="8"/>
  <c r="N162" i="8"/>
  <c r="AB162" i="8"/>
  <c r="Z162" i="8"/>
  <c r="AA162" i="8"/>
  <c r="Y162" i="8"/>
  <c r="X162" i="8"/>
  <c r="H221" i="8"/>
  <c r="O223" i="8"/>
  <c r="AB232" i="8"/>
  <c r="H235" i="8"/>
  <c r="W240" i="8"/>
  <c r="U5" i="15"/>
  <c r="AC230" i="8"/>
  <c r="G230" i="8"/>
  <c r="AB230" i="8"/>
  <c r="K230" i="8"/>
  <c r="J230" i="8"/>
  <c r="I230" i="8"/>
  <c r="H230" i="8"/>
  <c r="Y230" i="8"/>
  <c r="X230" i="8"/>
  <c r="P230" i="8"/>
  <c r="O230" i="8"/>
  <c r="V230" i="8"/>
  <c r="T230" i="8"/>
  <c r="U230" i="8"/>
  <c r="S230" i="8"/>
  <c r="R230" i="8"/>
  <c r="Q230" i="8"/>
  <c r="P80" i="8"/>
  <c r="J80" i="8"/>
  <c r="M80" i="8"/>
  <c r="L80" i="8"/>
  <c r="Z80" i="8"/>
  <c r="W80" i="8"/>
  <c r="Y80" i="8"/>
  <c r="X80" i="8"/>
  <c r="V80" i="8"/>
  <c r="H80" i="8"/>
  <c r="G80" i="8"/>
  <c r="AC285" i="8"/>
  <c r="G285" i="8"/>
  <c r="AB285" i="8"/>
  <c r="F285" i="8"/>
  <c r="I285" i="8"/>
  <c r="H285" i="8"/>
  <c r="Q285" i="8"/>
  <c r="P285" i="8"/>
  <c r="L285" i="8"/>
  <c r="AE285" i="8"/>
  <c r="Z285" i="8"/>
  <c r="X285" i="8"/>
  <c r="W285" i="8"/>
  <c r="AA285" i="8"/>
  <c r="Y285" i="8"/>
  <c r="U285" i="8"/>
  <c r="T285" i="8"/>
  <c r="D159" i="8"/>
  <c r="D158" i="8"/>
  <c r="D160" i="8"/>
  <c r="D234" i="8"/>
  <c r="D233" i="8"/>
  <c r="F4" i="8"/>
  <c r="N222" i="8"/>
  <c r="M222" i="8"/>
  <c r="Q222" i="8"/>
  <c r="P222" i="8"/>
  <c r="J222" i="8"/>
  <c r="I222" i="8"/>
  <c r="G222" i="8"/>
  <c r="F222" i="8"/>
  <c r="AE222" i="8" s="1"/>
  <c r="Y222" i="8"/>
  <c r="T222" i="8"/>
  <c r="X222" i="8"/>
  <c r="W222" i="8"/>
  <c r="V222" i="8"/>
  <c r="U222" i="8"/>
  <c r="R222" i="8"/>
  <c r="O222" i="8"/>
  <c r="N84" i="8"/>
  <c r="M84" i="8"/>
  <c r="Q84" i="8"/>
  <c r="X84" i="8"/>
  <c r="W84" i="8"/>
  <c r="T84" i="8"/>
  <c r="P84" i="8"/>
  <c r="O84" i="8"/>
  <c r="S84" i="8"/>
  <c r="R84" i="8"/>
  <c r="L88" i="8"/>
  <c r="K88" i="8"/>
  <c r="Y88" i="8"/>
  <c r="M88" i="8"/>
  <c r="J88" i="8"/>
  <c r="S88" i="8"/>
  <c r="P88" i="8"/>
  <c r="O88" i="8"/>
  <c r="R88" i="8"/>
  <c r="Q88" i="8"/>
  <c r="AB88" i="8"/>
  <c r="AA88" i="8"/>
  <c r="L230" i="8"/>
  <c r="D93" i="8"/>
  <c r="D95" i="8"/>
  <c r="D348" i="8"/>
  <c r="F348" i="8" s="1"/>
  <c r="B7" i="9" s="1"/>
  <c r="G13" i="8"/>
  <c r="I80" i="8"/>
  <c r="D96" i="8"/>
  <c r="X152" i="8"/>
  <c r="W152" i="8"/>
  <c r="K152" i="8"/>
  <c r="V152" i="8"/>
  <c r="U152" i="8"/>
  <c r="AC152" i="8"/>
  <c r="AA152" i="8"/>
  <c r="Y152" i="8"/>
  <c r="AB152" i="8"/>
  <c r="Z152" i="8"/>
  <c r="O152" i="8"/>
  <c r="N152" i="8"/>
  <c r="H222" i="8"/>
  <c r="M230" i="8"/>
  <c r="K285" i="8"/>
  <c r="K80" i="8"/>
  <c r="F84" i="8"/>
  <c r="K222" i="8"/>
  <c r="N230" i="8"/>
  <c r="M285" i="8"/>
  <c r="Y7" i="24"/>
  <c r="C7" i="24"/>
  <c r="E6" i="24"/>
  <c r="G5" i="24"/>
  <c r="I4" i="24"/>
  <c r="K3" i="24"/>
  <c r="M2" i="24"/>
  <c r="I7" i="18"/>
  <c r="K6" i="18"/>
  <c r="M5" i="18"/>
  <c r="O4" i="18"/>
  <c r="Q3" i="18"/>
  <c r="S2" i="18"/>
  <c r="U7" i="17"/>
  <c r="W6" i="17"/>
  <c r="Y5" i="17"/>
  <c r="C5" i="17"/>
  <c r="E4" i="17"/>
  <c r="G3" i="17"/>
  <c r="I2" i="17"/>
  <c r="K7" i="16"/>
  <c r="M6" i="16"/>
  <c r="O5" i="16"/>
  <c r="Q4" i="16"/>
  <c r="S3" i="16"/>
  <c r="U2" i="16"/>
  <c r="W7" i="15"/>
  <c r="Y6" i="15"/>
  <c r="C6" i="15"/>
  <c r="E5" i="15"/>
  <c r="G4" i="15"/>
  <c r="I3" i="15"/>
  <c r="K2" i="15"/>
  <c r="S4" i="14"/>
  <c r="W2" i="14"/>
  <c r="X7" i="24"/>
  <c r="B7" i="24"/>
  <c r="D6" i="24"/>
  <c r="F5" i="24"/>
  <c r="H4" i="24"/>
  <c r="J3" i="24"/>
  <c r="L2" i="24"/>
  <c r="H7" i="18"/>
  <c r="J6" i="18"/>
  <c r="L5" i="18"/>
  <c r="N4" i="18"/>
  <c r="P3" i="18"/>
  <c r="R2" i="18"/>
  <c r="T7" i="17"/>
  <c r="V6" i="17"/>
  <c r="X5" i="17"/>
  <c r="B5" i="17"/>
  <c r="D4" i="17"/>
  <c r="F3" i="17"/>
  <c r="H2" i="17"/>
  <c r="J7" i="16"/>
  <c r="L6" i="16"/>
  <c r="N5" i="16"/>
  <c r="P4" i="16"/>
  <c r="R3" i="16"/>
  <c r="T2" i="16"/>
  <c r="V7" i="15"/>
  <c r="X6" i="15"/>
  <c r="B6" i="15"/>
  <c r="D5" i="15"/>
  <c r="F4" i="15"/>
  <c r="H3" i="15"/>
  <c r="J2" i="15"/>
  <c r="R4" i="14"/>
  <c r="V2" i="14"/>
  <c r="W7" i="24"/>
  <c r="W6" i="24"/>
  <c r="W5" i="24"/>
  <c r="W4" i="24"/>
  <c r="W3" i="24"/>
  <c r="W2" i="24"/>
  <c r="Q7" i="18"/>
  <c r="Q6" i="18"/>
  <c r="Q5" i="18"/>
  <c r="Q4" i="18"/>
  <c r="O3" i="18"/>
  <c r="O2" i="18"/>
  <c r="O7" i="17"/>
  <c r="O6" i="17"/>
  <c r="O5" i="17"/>
  <c r="O4" i="17"/>
  <c r="O3" i="17"/>
  <c r="O2" i="17"/>
  <c r="O7" i="16"/>
  <c r="O6" i="16"/>
  <c r="M5" i="16"/>
  <c r="M4" i="16"/>
  <c r="M3" i="16"/>
  <c r="M2" i="16"/>
  <c r="M7" i="15"/>
  <c r="M6" i="15"/>
  <c r="M5" i="15"/>
  <c r="M4" i="15"/>
  <c r="M3" i="15"/>
  <c r="M2" i="15"/>
  <c r="V7" i="24"/>
  <c r="V6" i="24"/>
  <c r="V5" i="24"/>
  <c r="V4" i="24"/>
  <c r="V3" i="24"/>
  <c r="V2" i="24"/>
  <c r="P7" i="18"/>
  <c r="P6" i="18"/>
  <c r="P5" i="18"/>
  <c r="P4" i="18"/>
  <c r="N3" i="18"/>
  <c r="N2" i="18"/>
  <c r="N7" i="17"/>
  <c r="N6" i="17"/>
  <c r="N5" i="17"/>
  <c r="N4" i="17"/>
  <c r="N3" i="17"/>
  <c r="N2" i="17"/>
  <c r="N7" i="16"/>
  <c r="N6" i="16"/>
  <c r="L5" i="16"/>
  <c r="L4" i="16"/>
  <c r="L3" i="16"/>
  <c r="L2" i="16"/>
  <c r="L7" i="15"/>
  <c r="L6" i="15"/>
  <c r="L5" i="15"/>
  <c r="L4" i="15"/>
  <c r="L3" i="15"/>
  <c r="L2" i="15"/>
  <c r="J4" i="14"/>
  <c r="J2" i="14"/>
  <c r="U7" i="24"/>
  <c r="S6" i="24"/>
  <c r="Q5" i="24"/>
  <c r="O4" i="24"/>
  <c r="M3" i="24"/>
  <c r="I2" i="24"/>
  <c r="Y6" i="18"/>
  <c r="W5" i="18"/>
  <c r="U4" i="18"/>
  <c r="S3" i="18"/>
  <c r="M2" i="18"/>
  <c r="K7" i="17"/>
  <c r="I6" i="17"/>
  <c r="G5" i="17"/>
  <c r="C4" i="17"/>
  <c r="Y2" i="17"/>
  <c r="W7" i="16"/>
  <c r="U6" i="16"/>
  <c r="S5" i="16"/>
  <c r="O4" i="16"/>
  <c r="K3" i="16"/>
  <c r="I2" i="16"/>
  <c r="G7" i="15"/>
  <c r="E6" i="15"/>
  <c r="Y4" i="15"/>
  <c r="W3" i="15"/>
  <c r="U2" i="15"/>
  <c r="T7" i="24"/>
  <c r="R6" i="24"/>
  <c r="P5" i="24"/>
  <c r="N4" i="24"/>
  <c r="L3" i="24"/>
  <c r="H2" i="24"/>
  <c r="X6" i="18"/>
  <c r="V5" i="18"/>
  <c r="T4" i="18"/>
  <c r="R3" i="18"/>
  <c r="L2" i="18"/>
  <c r="J7" i="17"/>
  <c r="H6" i="17"/>
  <c r="F5" i="17"/>
  <c r="B4" i="17"/>
  <c r="X2" i="17"/>
  <c r="V7" i="16"/>
  <c r="T6" i="16"/>
  <c r="R5" i="16"/>
  <c r="N4" i="16"/>
  <c r="J3" i="16"/>
  <c r="H2" i="16"/>
  <c r="F7" i="15"/>
  <c r="D6" i="15"/>
  <c r="X4" i="15"/>
  <c r="V3" i="15"/>
  <c r="T2" i="15"/>
  <c r="H4" i="14"/>
  <c r="D2" i="14"/>
  <c r="S7" i="24"/>
  <c r="O6" i="24"/>
  <c r="K5" i="24"/>
  <c r="E4" i="24"/>
  <c r="Y2" i="24"/>
  <c r="M7" i="18"/>
  <c r="G6" i="18"/>
  <c r="C5" i="18"/>
  <c r="W3" i="18"/>
  <c r="Q2" i="18"/>
  <c r="I7" i="17"/>
  <c r="E6" i="17"/>
  <c r="W4" i="17"/>
  <c r="S3" i="17"/>
  <c r="M2" i="17"/>
  <c r="G7" i="16"/>
  <c r="C6" i="16"/>
  <c r="W4" i="16"/>
  <c r="Q3" i="16"/>
  <c r="K2" i="16"/>
  <c r="E7" i="15"/>
  <c r="W5" i="15"/>
  <c r="S4" i="15"/>
  <c r="O3" i="15"/>
  <c r="G2" i="15"/>
  <c r="R7" i="24"/>
  <c r="N6" i="24"/>
  <c r="J5" i="24"/>
  <c r="D4" i="24"/>
  <c r="X2" i="24"/>
  <c r="L7" i="18"/>
  <c r="F6" i="18"/>
  <c r="B5" i="18"/>
  <c r="V3" i="18"/>
  <c r="P2" i="18"/>
  <c r="H7" i="17"/>
  <c r="D6" i="17"/>
  <c r="V4" i="17"/>
  <c r="R3" i="17"/>
  <c r="L2" i="17"/>
  <c r="F7" i="16"/>
  <c r="B6" i="16"/>
  <c r="V4" i="16"/>
  <c r="P3" i="16"/>
  <c r="J2" i="16"/>
  <c r="D7" i="15"/>
  <c r="V5" i="15"/>
  <c r="R4" i="15"/>
  <c r="N3" i="15"/>
  <c r="F2" i="15"/>
  <c r="Q7" i="24"/>
  <c r="K6" i="24"/>
  <c r="C5" i="24"/>
  <c r="S3" i="24"/>
  <c r="K2" i="24"/>
  <c r="U6" i="18"/>
  <c r="K5" i="18"/>
  <c r="E4" i="18"/>
  <c r="W2" i="18"/>
  <c r="M7" i="17"/>
  <c r="C6" i="17"/>
  <c r="S4" i="17"/>
  <c r="K3" i="17"/>
  <c r="C2" i="17"/>
  <c r="S6" i="16"/>
  <c r="I5" i="16"/>
  <c r="C4" i="16"/>
  <c r="S2" i="16"/>
  <c r="K7" i="15"/>
  <c r="Y5" i="15"/>
  <c r="Q4" i="15"/>
  <c r="G3" i="15"/>
  <c r="Q2" i="14"/>
  <c r="P7" i="24"/>
  <c r="J6" i="24"/>
  <c r="B5" i="24"/>
  <c r="R3" i="24"/>
  <c r="J2" i="24"/>
  <c r="T6" i="18"/>
  <c r="J5" i="18"/>
  <c r="D4" i="18"/>
  <c r="V2" i="18"/>
  <c r="L7" i="17"/>
  <c r="B6" i="17"/>
  <c r="R4" i="17"/>
  <c r="J3" i="17"/>
  <c r="B2" i="17"/>
  <c r="R6" i="16"/>
  <c r="H5" i="16"/>
  <c r="B4" i="16"/>
  <c r="R2" i="16"/>
  <c r="J7" i="15"/>
  <c r="X5" i="15"/>
  <c r="P4" i="15"/>
  <c r="F3" i="15"/>
  <c r="O7" i="24"/>
  <c r="G6" i="24"/>
  <c r="S4" i="24"/>
  <c r="G3" i="24"/>
  <c r="O7" i="18"/>
  <c r="C6" i="18"/>
  <c r="M4" i="18"/>
  <c r="E3" i="18"/>
  <c r="S7" i="17"/>
  <c r="G6" i="17"/>
  <c r="Q4" i="17"/>
  <c r="E3" i="17"/>
  <c r="S7" i="16"/>
  <c r="G6" i="16"/>
  <c r="U4" i="16"/>
  <c r="G3" i="16"/>
  <c r="U7" i="15"/>
  <c r="K6" i="15"/>
  <c r="W4" i="15"/>
  <c r="K3" i="15"/>
  <c r="N7" i="24"/>
  <c r="F6" i="24"/>
  <c r="R4" i="24"/>
  <c r="F3" i="24"/>
  <c r="N7" i="18"/>
  <c r="B6" i="18"/>
  <c r="L4" i="18"/>
  <c r="D3" i="18"/>
  <c r="R7" i="17"/>
  <c r="F6" i="17"/>
  <c r="P4" i="17"/>
  <c r="D3" i="17"/>
  <c r="R7" i="16"/>
  <c r="F6" i="16"/>
  <c r="T4" i="16"/>
  <c r="F3" i="16"/>
  <c r="T7" i="15"/>
  <c r="J6" i="15"/>
  <c r="V4" i="15"/>
  <c r="J3" i="15"/>
  <c r="M7" i="24"/>
  <c r="C6" i="24"/>
  <c r="Q4" i="24"/>
  <c r="E3" i="24"/>
  <c r="K7" i="18"/>
  <c r="Y5" i="18"/>
  <c r="K4" i="18"/>
  <c r="C3" i="18"/>
  <c r="Q7" i="17"/>
  <c r="W5" i="17"/>
  <c r="M4" i="17"/>
  <c r="C3" i="17"/>
  <c r="Q7" i="16"/>
  <c r="E6" i="16"/>
  <c r="S4" i="16"/>
  <c r="E3" i="16"/>
  <c r="S7" i="15"/>
  <c r="I6" i="15"/>
  <c r="U4" i="15"/>
  <c r="E3" i="15"/>
  <c r="L7" i="24"/>
  <c r="U5" i="24"/>
  <c r="F4" i="24"/>
  <c r="O2" i="24"/>
  <c r="N6" i="18"/>
  <c r="W4" i="18"/>
  <c r="F3" i="18"/>
  <c r="F7" i="17"/>
  <c r="Q5" i="17"/>
  <c r="X3" i="17"/>
  <c r="G2" i="17"/>
  <c r="P6" i="16"/>
  <c r="Y4" i="16"/>
  <c r="C3" i="16"/>
  <c r="N7" i="15"/>
  <c r="Q5" i="15"/>
  <c r="B4" i="15"/>
  <c r="I2" i="15"/>
  <c r="V4" i="14"/>
  <c r="K7" i="24"/>
  <c r="T5" i="24"/>
  <c r="C4" i="24"/>
  <c r="N2" i="24"/>
  <c r="M6" i="18"/>
  <c r="V4" i="18"/>
  <c r="B3" i="18"/>
  <c r="E7" i="17"/>
  <c r="P5" i="17"/>
  <c r="W3" i="17"/>
  <c r="F2" i="17"/>
  <c r="K6" i="16"/>
  <c r="X4" i="16"/>
  <c r="B3" i="16"/>
  <c r="I7" i="15"/>
  <c r="P5" i="15"/>
  <c r="Y3" i="15"/>
  <c r="H2" i="15"/>
  <c r="J7" i="24"/>
  <c r="S5" i="24"/>
  <c r="B4" i="24"/>
  <c r="G2" i="24"/>
  <c r="Y7" i="18"/>
  <c r="L6" i="18"/>
  <c r="S4" i="18"/>
  <c r="Y2" i="18"/>
  <c r="D7" i="17"/>
  <c r="M5" i="17"/>
  <c r="V3" i="17"/>
  <c r="E2" i="17"/>
  <c r="J6" i="16"/>
  <c r="R4" i="16"/>
  <c r="Y2" i="16"/>
  <c r="H7" i="15"/>
  <c r="O5" i="15"/>
  <c r="X3" i="15"/>
  <c r="E2" i="15"/>
  <c r="T4" i="14"/>
  <c r="Y2" i="14"/>
  <c r="H7" i="24"/>
  <c r="L5" i="24"/>
  <c r="N3" i="24"/>
  <c r="D7" i="18"/>
  <c r="F5" i="18"/>
  <c r="H3" i="18"/>
  <c r="B7" i="17"/>
  <c r="H5" i="17"/>
  <c r="H3" i="17"/>
  <c r="E7" i="16"/>
  <c r="G5" i="16"/>
  <c r="I3" i="16"/>
  <c r="C7" i="15"/>
  <c r="I5" i="15"/>
  <c r="D3" i="15"/>
  <c r="G7" i="24"/>
  <c r="I5" i="24"/>
  <c r="I3" i="24"/>
  <c r="C7" i="18"/>
  <c r="E5" i="18"/>
  <c r="G3" i="18"/>
  <c r="Y6" i="17"/>
  <c r="E5" i="17"/>
  <c r="B3" i="17"/>
  <c r="D7" i="16"/>
  <c r="F5" i="16"/>
  <c r="H3" i="16"/>
  <c r="B7" i="15"/>
  <c r="H5" i="15"/>
  <c r="C3" i="15"/>
  <c r="I7" i="24"/>
  <c r="E5" i="24"/>
  <c r="B3" i="24"/>
  <c r="O6" i="18"/>
  <c r="G4" i="18"/>
  <c r="E2" i="18"/>
  <c r="V5" i="17"/>
  <c r="U3" i="17"/>
  <c r="P7" i="16"/>
  <c r="P5" i="16"/>
  <c r="N3" i="16"/>
  <c r="V6" i="15"/>
  <c r="B5" i="15"/>
  <c r="S2" i="15"/>
  <c r="G4" i="14"/>
  <c r="I2" i="14"/>
  <c r="E7" i="24"/>
  <c r="T2" i="24"/>
  <c r="C4" i="18"/>
  <c r="T5" i="17"/>
  <c r="L7" i="16"/>
  <c r="X2" i="16"/>
  <c r="T6" i="15"/>
  <c r="Q2" i="15"/>
  <c r="X4" i="24"/>
  <c r="E6" i="18"/>
  <c r="B2" i="18"/>
  <c r="S5" i="17"/>
  <c r="I7" i="16"/>
  <c r="W2" i="16"/>
  <c r="S6" i="15"/>
  <c r="P2" i="15"/>
  <c r="U4" i="24"/>
  <c r="D6" i="18"/>
  <c r="Y7" i="17"/>
  <c r="M3" i="17"/>
  <c r="H7" i="16"/>
  <c r="V2" i="16"/>
  <c r="R6" i="15"/>
  <c r="O2" i="15"/>
  <c r="X6" i="24"/>
  <c r="Q2" i="24"/>
  <c r="X5" i="18"/>
  <c r="X7" i="17"/>
  <c r="L3" i="17"/>
  <c r="C5" i="16"/>
  <c r="Q6" i="15"/>
  <c r="N2" i="15"/>
  <c r="F7" i="24"/>
  <c r="D5" i="24"/>
  <c r="U2" i="24"/>
  <c r="I6" i="18"/>
  <c r="F4" i="18"/>
  <c r="D2" i="18"/>
  <c r="U5" i="17"/>
  <c r="T3" i="17"/>
  <c r="M7" i="16"/>
  <c r="K5" i="16"/>
  <c r="D3" i="16"/>
  <c r="U6" i="15"/>
  <c r="T4" i="15"/>
  <c r="R2" i="15"/>
  <c r="F4" i="14"/>
  <c r="Y4" i="24"/>
  <c r="H6" i="18"/>
  <c r="C2" i="18"/>
  <c r="Q3" i="17"/>
  <c r="J5" i="16"/>
  <c r="O4" i="15"/>
  <c r="E4" i="14"/>
  <c r="D7" i="24"/>
  <c r="S2" i="24"/>
  <c r="B4" i="18"/>
  <c r="P3" i="17"/>
  <c r="E5" i="16"/>
  <c r="N4" i="15"/>
  <c r="D4" i="14"/>
  <c r="Y6" i="24"/>
  <c r="R2" i="24"/>
  <c r="Y3" i="18"/>
  <c r="R5" i="17"/>
  <c r="D5" i="16"/>
  <c r="K4" i="15"/>
  <c r="T4" i="24"/>
  <c r="X3" i="18"/>
  <c r="L5" i="17"/>
  <c r="C7" i="16"/>
  <c r="Q2" i="16"/>
  <c r="J4" i="15"/>
  <c r="B4" i="14"/>
  <c r="T6" i="24"/>
  <c r="X3" i="24"/>
  <c r="V6" i="18"/>
  <c r="L3" i="18"/>
  <c r="R6" i="17"/>
  <c r="Y3" i="17"/>
  <c r="Q6" i="16"/>
  <c r="W3" i="16"/>
  <c r="O6" i="15"/>
  <c r="S3" i="15"/>
  <c r="Q6" i="24"/>
  <c r="U3" i="24"/>
  <c r="S6" i="18"/>
  <c r="K3" i="18"/>
  <c r="Q6" i="17"/>
  <c r="I3" i="17"/>
  <c r="I6" i="16"/>
  <c r="V3" i="16"/>
  <c r="N6" i="15"/>
  <c r="R3" i="15"/>
  <c r="G4" i="8"/>
  <c r="N80" i="8"/>
  <c r="G84" i="8"/>
  <c r="G88" i="8"/>
  <c r="F152" i="8"/>
  <c r="D163" i="8"/>
  <c r="L222" i="8"/>
  <c r="W230" i="8"/>
  <c r="N285" i="8"/>
  <c r="D4" i="15"/>
  <c r="R7" i="15"/>
  <c r="I4" i="16"/>
  <c r="D2" i="17"/>
  <c r="D5" i="17"/>
  <c r="J2" i="18"/>
  <c r="R5" i="18"/>
  <c r="P3" i="24"/>
  <c r="P6" i="24"/>
  <c r="F230" i="8"/>
  <c r="D347" i="8"/>
  <c r="F347" i="8" s="1"/>
  <c r="B6" i="9" s="1"/>
  <c r="F80" i="8"/>
  <c r="J285" i="8"/>
  <c r="D92" i="8"/>
  <c r="F88" i="8"/>
  <c r="AE88" i="8" s="1"/>
  <c r="V156" i="8"/>
  <c r="U156" i="8"/>
  <c r="R156" i="8"/>
  <c r="J156" i="8"/>
  <c r="I156" i="8"/>
  <c r="Z156" i="8"/>
  <c r="X156" i="8"/>
  <c r="T156" i="8"/>
  <c r="Y156" i="8"/>
  <c r="W156" i="8"/>
  <c r="K156" i="8"/>
  <c r="H156" i="8"/>
  <c r="F15" i="8"/>
  <c r="F48" i="8"/>
  <c r="D325" i="8"/>
  <c r="D322" i="8"/>
  <c r="D320" i="8"/>
  <c r="O80" i="8"/>
  <c r="H84" i="8"/>
  <c r="H88" i="8"/>
  <c r="G152" i="8"/>
  <c r="F156" i="8"/>
  <c r="S222" i="8"/>
  <c r="Z230" i="8"/>
  <c r="O285" i="8"/>
  <c r="D321" i="8"/>
  <c r="E4" i="15"/>
  <c r="X7" i="15"/>
  <c r="J4" i="16"/>
  <c r="J2" i="17"/>
  <c r="I5" i="17"/>
  <c r="K2" i="18"/>
  <c r="S5" i="18"/>
  <c r="Q3" i="24"/>
  <c r="U6" i="24"/>
  <c r="V90" i="8"/>
  <c r="U90" i="8"/>
  <c r="P90" i="8"/>
  <c r="F90" i="8"/>
  <c r="AE90" i="8"/>
  <c r="O90" i="8"/>
  <c r="L90" i="8"/>
  <c r="K90" i="8"/>
  <c r="N90" i="8"/>
  <c r="M90" i="8"/>
  <c r="M284" i="8"/>
  <c r="L284" i="8"/>
  <c r="K284" i="8"/>
  <c r="J284" i="8"/>
  <c r="S284" i="8"/>
  <c r="R284" i="8"/>
  <c r="AE284" i="8"/>
  <c r="AC284" i="8"/>
  <c r="AB284" i="8"/>
  <c r="X284" i="8"/>
  <c r="V284" i="8"/>
  <c r="W284" i="8"/>
  <c r="U284" i="8"/>
  <c r="T284" i="8"/>
  <c r="Q284" i="8"/>
  <c r="AE85" i="8"/>
  <c r="H85" i="8"/>
  <c r="AC85" i="8"/>
  <c r="G85" i="8"/>
  <c r="M85" i="8"/>
  <c r="U85" i="8"/>
  <c r="T85" i="8"/>
  <c r="S85" i="8"/>
  <c r="Q85" i="8"/>
  <c r="R85" i="8"/>
  <c r="P85" i="8"/>
  <c r="O85" i="8"/>
  <c r="N150" i="8"/>
  <c r="M150" i="8"/>
  <c r="S150" i="8"/>
  <c r="AB150" i="8"/>
  <c r="AA150" i="8"/>
  <c r="AC150" i="8"/>
  <c r="Y150" i="8"/>
  <c r="W150" i="8"/>
  <c r="Z150" i="8"/>
  <c r="X150" i="8"/>
  <c r="AB155" i="8"/>
  <c r="F155" i="8"/>
  <c r="AA155" i="8"/>
  <c r="V155" i="8"/>
  <c r="M155" i="8"/>
  <c r="L155" i="8"/>
  <c r="Y155" i="8"/>
  <c r="U155" i="8"/>
  <c r="X155" i="8"/>
  <c r="W155" i="8"/>
  <c r="T155" i="8"/>
  <c r="D289" i="8"/>
  <c r="D286" i="8"/>
  <c r="Z82" i="8"/>
  <c r="Y82" i="8"/>
  <c r="W82" i="8"/>
  <c r="AE82" i="8"/>
  <c r="AC82" i="8"/>
  <c r="D220" i="8"/>
  <c r="D219" i="8"/>
  <c r="D218" i="8"/>
  <c r="AB148" i="8"/>
  <c r="Q82" i="8"/>
  <c r="D287" i="8"/>
  <c r="R82" i="8"/>
  <c r="Z148" i="8"/>
  <c r="Y148" i="8"/>
  <c r="AA148" i="8"/>
  <c r="I148" i="8"/>
  <c r="H148" i="8"/>
  <c r="X148" i="8"/>
  <c r="P82" i="8"/>
  <c r="AC148" i="8"/>
  <c r="S82" i="8"/>
  <c r="D146" i="8"/>
  <c r="V178" i="8" l="1"/>
  <c r="U178" i="8"/>
  <c r="AB178" i="8"/>
  <c r="S178" i="8"/>
  <c r="R178" i="8"/>
  <c r="J178" i="8"/>
  <c r="H178" i="8"/>
  <c r="F178" i="8"/>
  <c r="I178" i="8"/>
  <c r="G178" i="8"/>
  <c r="AC178" i="8"/>
  <c r="AA178" i="8"/>
  <c r="AE178" i="8"/>
  <c r="K178" i="8"/>
  <c r="P178" i="8"/>
  <c r="N178" i="8"/>
  <c r="Z178" i="8"/>
  <c r="Y178" i="8"/>
  <c r="X178" i="8"/>
  <c r="Q178" i="8"/>
  <c r="O178" i="8"/>
  <c r="L178" i="8"/>
  <c r="M178" i="8"/>
  <c r="W178" i="8"/>
  <c r="T178" i="8"/>
  <c r="V123" i="8"/>
  <c r="U123" i="8"/>
  <c r="AE123" i="8"/>
  <c r="F123" i="8"/>
  <c r="H123" i="8"/>
  <c r="G123" i="8"/>
  <c r="S123" i="8"/>
  <c r="P123" i="8"/>
  <c r="R123" i="8"/>
  <c r="Q123" i="8"/>
  <c r="O123" i="8"/>
  <c r="I123" i="8"/>
  <c r="AC123" i="8"/>
  <c r="AB123" i="8"/>
  <c r="L123" i="8"/>
  <c r="K123" i="8"/>
  <c r="J123" i="8"/>
  <c r="AA123" i="8"/>
  <c r="Z123" i="8"/>
  <c r="Y123" i="8"/>
  <c r="X123" i="8"/>
  <c r="W123" i="8"/>
  <c r="T123" i="8"/>
  <c r="N123" i="8"/>
  <c r="M123" i="8"/>
  <c r="T72" i="8"/>
  <c r="AA72" i="8"/>
  <c r="S72" i="8"/>
  <c r="R72" i="8"/>
  <c r="L72" i="8"/>
  <c r="J72" i="8"/>
  <c r="I72" i="8"/>
  <c r="K72" i="8"/>
  <c r="H72" i="8"/>
  <c r="Z72" i="8"/>
  <c r="AC72" i="8"/>
  <c r="AB72" i="8"/>
  <c r="Y72" i="8"/>
  <c r="X72" i="8"/>
  <c r="V72" i="8"/>
  <c r="U72" i="8"/>
  <c r="W72" i="8"/>
  <c r="Q72" i="8"/>
  <c r="P72" i="8"/>
  <c r="O72" i="8"/>
  <c r="N72" i="8"/>
  <c r="G72" i="8"/>
  <c r="M72" i="8"/>
  <c r="F72" i="8"/>
  <c r="AE72" i="8" s="1"/>
  <c r="T127" i="8"/>
  <c r="S127" i="8"/>
  <c r="M127" i="8"/>
  <c r="V127" i="8"/>
  <c r="U127" i="8"/>
  <c r="P127" i="8"/>
  <c r="O127" i="8"/>
  <c r="N127" i="8"/>
  <c r="L127" i="8"/>
  <c r="K127" i="8"/>
  <c r="AE127" i="8"/>
  <c r="I127" i="8"/>
  <c r="G127" i="8"/>
  <c r="F127" i="8"/>
  <c r="H127" i="8"/>
  <c r="W127" i="8"/>
  <c r="J127" i="8"/>
  <c r="R127" i="8"/>
  <c r="Q127" i="8"/>
  <c r="AC127" i="8"/>
  <c r="AA127" i="8"/>
  <c r="Z127" i="8"/>
  <c r="AB127" i="8"/>
  <c r="X127" i="8"/>
  <c r="Y127" i="8"/>
  <c r="S261" i="8"/>
  <c r="R261" i="8"/>
  <c r="G261" i="8"/>
  <c r="AE261" i="8"/>
  <c r="F261" i="8"/>
  <c r="P261" i="8"/>
  <c r="O261" i="8"/>
  <c r="T261" i="8"/>
  <c r="Q261" i="8"/>
  <c r="N261" i="8"/>
  <c r="AB261" i="8"/>
  <c r="AA261" i="8"/>
  <c r="Z261" i="8"/>
  <c r="AC261" i="8"/>
  <c r="Y261" i="8"/>
  <c r="J261" i="8"/>
  <c r="I261" i="8"/>
  <c r="U261" i="8"/>
  <c r="L261" i="8"/>
  <c r="K261" i="8"/>
  <c r="H261" i="8"/>
  <c r="M261" i="8"/>
  <c r="X261" i="8"/>
  <c r="W261" i="8"/>
  <c r="V261" i="8"/>
  <c r="T316" i="8"/>
  <c r="I316" i="8"/>
  <c r="H316" i="8"/>
  <c r="AE316" i="8"/>
  <c r="AC316" i="8"/>
  <c r="M316" i="8"/>
  <c r="L316" i="8"/>
  <c r="V316" i="8"/>
  <c r="U316" i="8"/>
  <c r="O316" i="8"/>
  <c r="N316" i="8"/>
  <c r="K316" i="8"/>
  <c r="AB316" i="8"/>
  <c r="F316" i="8"/>
  <c r="J316" i="8"/>
  <c r="G316" i="8"/>
  <c r="W316" i="8"/>
  <c r="P316" i="8"/>
  <c r="S316" i="8"/>
  <c r="R316" i="8"/>
  <c r="Q316" i="8"/>
  <c r="AA316" i="8"/>
  <c r="Y316" i="8"/>
  <c r="Z316" i="8"/>
  <c r="X316" i="8"/>
  <c r="M273" i="8"/>
  <c r="L273" i="8"/>
  <c r="G273" i="8"/>
  <c r="AE273" i="8"/>
  <c r="F273" i="8"/>
  <c r="K273" i="8"/>
  <c r="J273" i="8"/>
  <c r="Y273" i="8"/>
  <c r="X273" i="8"/>
  <c r="AC273" i="8"/>
  <c r="AB273" i="8"/>
  <c r="AA273" i="8"/>
  <c r="W273" i="8"/>
  <c r="R273" i="8"/>
  <c r="Q273" i="8"/>
  <c r="Z273" i="8"/>
  <c r="V273" i="8"/>
  <c r="U273" i="8"/>
  <c r="T273" i="8"/>
  <c r="S273" i="8"/>
  <c r="P273" i="8"/>
  <c r="O273" i="8"/>
  <c r="N273" i="8"/>
  <c r="I273" i="8"/>
  <c r="H273" i="8"/>
  <c r="Q287" i="8"/>
  <c r="P287" i="8"/>
  <c r="Y287" i="8"/>
  <c r="X287" i="8"/>
  <c r="L287" i="8"/>
  <c r="K287" i="8"/>
  <c r="F287" i="8"/>
  <c r="H287" i="8"/>
  <c r="G287" i="8"/>
  <c r="T287" i="8"/>
  <c r="I287" i="8"/>
  <c r="N287" i="8"/>
  <c r="M287" i="8"/>
  <c r="J287" i="8"/>
  <c r="AB287" i="8"/>
  <c r="W287" i="8"/>
  <c r="U287" i="8"/>
  <c r="S287" i="8"/>
  <c r="AA287" i="8"/>
  <c r="Z287" i="8"/>
  <c r="V287" i="8"/>
  <c r="R287" i="8"/>
  <c r="O287" i="8"/>
  <c r="AE287" i="8"/>
  <c r="AC287" i="8"/>
  <c r="B3" i="9"/>
  <c r="L132" i="8"/>
  <c r="K132" i="8"/>
  <c r="S132" i="8"/>
  <c r="AE132" i="8"/>
  <c r="AC132" i="8"/>
  <c r="N132" i="8"/>
  <c r="J132" i="8"/>
  <c r="I132" i="8"/>
  <c r="H132" i="8"/>
  <c r="M132" i="8"/>
  <c r="U132" i="8"/>
  <c r="Q132" i="8"/>
  <c r="O132" i="8"/>
  <c r="T132" i="8"/>
  <c r="R132" i="8"/>
  <c r="P132" i="8"/>
  <c r="G132" i="8"/>
  <c r="F132" i="8"/>
  <c r="AB132" i="8"/>
  <c r="AA132" i="8"/>
  <c r="Z132" i="8"/>
  <c r="X132" i="8"/>
  <c r="Y132" i="8"/>
  <c r="W132" i="8"/>
  <c r="V132" i="8"/>
  <c r="L198" i="8"/>
  <c r="K198" i="8"/>
  <c r="U198" i="8"/>
  <c r="M198" i="8"/>
  <c r="J198" i="8"/>
  <c r="Z198" i="8"/>
  <c r="X198" i="8"/>
  <c r="V198" i="8"/>
  <c r="Y198" i="8"/>
  <c r="W198" i="8"/>
  <c r="AB198" i="8"/>
  <c r="R198" i="8"/>
  <c r="AA198" i="8"/>
  <c r="T198" i="8"/>
  <c r="S198" i="8"/>
  <c r="Q198" i="8"/>
  <c r="P198" i="8"/>
  <c r="O198" i="8"/>
  <c r="AE198" i="8"/>
  <c r="AC198" i="8"/>
  <c r="N198" i="8"/>
  <c r="I198" i="8"/>
  <c r="H198" i="8"/>
  <c r="F198" i="8"/>
  <c r="G198" i="8"/>
  <c r="P102" i="8"/>
  <c r="O102" i="8"/>
  <c r="R102" i="8"/>
  <c r="U102" i="8"/>
  <c r="T102" i="8"/>
  <c r="G102" i="8"/>
  <c r="F102" i="8"/>
  <c r="AE102" i="8"/>
  <c r="L102" i="8"/>
  <c r="K102" i="8"/>
  <c r="AB102" i="8"/>
  <c r="Y102" i="8"/>
  <c r="W102" i="8"/>
  <c r="AA102" i="8"/>
  <c r="Z102" i="8"/>
  <c r="X102" i="8"/>
  <c r="V102" i="8"/>
  <c r="S102" i="8"/>
  <c r="Q102" i="8"/>
  <c r="I102" i="8"/>
  <c r="AC102" i="8"/>
  <c r="M102" i="8"/>
  <c r="N102" i="8"/>
  <c r="J102" i="8"/>
  <c r="H102" i="8"/>
  <c r="J92" i="8"/>
  <c r="I92" i="8"/>
  <c r="H92" i="8"/>
  <c r="Y92" i="8"/>
  <c r="X92" i="8"/>
  <c r="O92" i="8"/>
  <c r="L92" i="8"/>
  <c r="K92" i="8"/>
  <c r="N92" i="8"/>
  <c r="M92" i="8"/>
  <c r="U92" i="8"/>
  <c r="T92" i="8"/>
  <c r="G92" i="8"/>
  <c r="F92" i="8"/>
  <c r="AE92" i="8"/>
  <c r="AC92" i="8"/>
  <c r="V92" i="8"/>
  <c r="S92" i="8"/>
  <c r="W92" i="8"/>
  <c r="AB92" i="8"/>
  <c r="Q92" i="8"/>
  <c r="AA92" i="8"/>
  <c r="Z92" i="8"/>
  <c r="R92" i="8"/>
  <c r="P92" i="8"/>
  <c r="J103" i="8"/>
  <c r="I103" i="8"/>
  <c r="N103" i="8"/>
  <c r="R103" i="8"/>
  <c r="Q103" i="8"/>
  <c r="F103" i="8"/>
  <c r="AE103" i="8"/>
  <c r="AC103" i="8"/>
  <c r="S103" i="8"/>
  <c r="P103" i="8"/>
  <c r="AB103" i="8"/>
  <c r="AA103" i="8"/>
  <c r="Z103" i="8"/>
  <c r="Y103" i="8"/>
  <c r="U103" i="8"/>
  <c r="O103" i="8"/>
  <c r="M103" i="8"/>
  <c r="T103" i="8"/>
  <c r="L103" i="8"/>
  <c r="K103" i="8"/>
  <c r="H103" i="8"/>
  <c r="G103" i="8"/>
  <c r="W103" i="8"/>
  <c r="X103" i="8"/>
  <c r="V103" i="8"/>
  <c r="N317" i="8"/>
  <c r="AA317" i="8"/>
  <c r="Z317" i="8"/>
  <c r="AB317" i="8"/>
  <c r="Y317" i="8"/>
  <c r="K317" i="8"/>
  <c r="J317" i="8"/>
  <c r="V317" i="8"/>
  <c r="U317" i="8"/>
  <c r="F317" i="8"/>
  <c r="S317" i="8"/>
  <c r="R317" i="8"/>
  <c r="Q317" i="8"/>
  <c r="W317" i="8"/>
  <c r="O317" i="8"/>
  <c r="L317" i="8"/>
  <c r="T317" i="8"/>
  <c r="P317" i="8"/>
  <c r="M317" i="8"/>
  <c r="AE317" i="8"/>
  <c r="AC317" i="8"/>
  <c r="X317" i="8"/>
  <c r="I317" i="8"/>
  <c r="G317" i="8"/>
  <c r="H317" i="8"/>
  <c r="Z71" i="8"/>
  <c r="I71" i="8"/>
  <c r="W71" i="8"/>
  <c r="V71" i="8"/>
  <c r="N71" i="8"/>
  <c r="L71" i="8"/>
  <c r="J71" i="8"/>
  <c r="M71" i="8"/>
  <c r="K71" i="8"/>
  <c r="AB71" i="8"/>
  <c r="U71" i="8"/>
  <c r="AA71" i="8"/>
  <c r="Y71" i="8"/>
  <c r="X71" i="8"/>
  <c r="T71" i="8"/>
  <c r="S71" i="8"/>
  <c r="G71" i="8"/>
  <c r="F71" i="8"/>
  <c r="AE71" i="8" s="1"/>
  <c r="AC71" i="8"/>
  <c r="Q71" i="8"/>
  <c r="P71" i="8"/>
  <c r="H71" i="8"/>
  <c r="R71" i="8"/>
  <c r="O71" i="8"/>
  <c r="P124" i="8"/>
  <c r="O124" i="8"/>
  <c r="Z124" i="8"/>
  <c r="AE124" i="8"/>
  <c r="AC124" i="8"/>
  <c r="S124" i="8"/>
  <c r="Q124" i="8"/>
  <c r="M124" i="8"/>
  <c r="R124" i="8"/>
  <c r="N124" i="8"/>
  <c r="L124" i="8"/>
  <c r="K124" i="8"/>
  <c r="I124" i="8"/>
  <c r="F124" i="8"/>
  <c r="H124" i="8"/>
  <c r="G124" i="8"/>
  <c r="AB124" i="8"/>
  <c r="AA124" i="8"/>
  <c r="Y124" i="8"/>
  <c r="W124" i="8"/>
  <c r="X124" i="8"/>
  <c r="V124" i="8"/>
  <c r="T124" i="8"/>
  <c r="J124" i="8"/>
  <c r="U124" i="8"/>
  <c r="S272" i="8"/>
  <c r="R272" i="8"/>
  <c r="K272" i="8"/>
  <c r="J272" i="8"/>
  <c r="M272" i="8"/>
  <c r="L272" i="8"/>
  <c r="Y272" i="8"/>
  <c r="X272" i="8"/>
  <c r="AA272" i="8"/>
  <c r="Z272" i="8"/>
  <c r="W272" i="8"/>
  <c r="P272" i="8"/>
  <c r="AC272" i="8"/>
  <c r="U272" i="8"/>
  <c r="T272" i="8"/>
  <c r="Q272" i="8"/>
  <c r="AB272" i="8"/>
  <c r="V272" i="8"/>
  <c r="H272" i="8"/>
  <c r="G272" i="8"/>
  <c r="F272" i="8"/>
  <c r="O272" i="8"/>
  <c r="N272" i="8"/>
  <c r="AE272" i="8"/>
  <c r="I272" i="8"/>
  <c r="Q276" i="8"/>
  <c r="P276" i="8"/>
  <c r="U276" i="8"/>
  <c r="T276" i="8"/>
  <c r="F276" i="8"/>
  <c r="AA276" i="8"/>
  <c r="Z276" i="8"/>
  <c r="I276" i="8"/>
  <c r="H276" i="8"/>
  <c r="G276" i="8"/>
  <c r="M276" i="8"/>
  <c r="AB276" i="8"/>
  <c r="V276" i="8"/>
  <c r="S276" i="8"/>
  <c r="Y276" i="8"/>
  <c r="X276" i="8"/>
  <c r="W276" i="8"/>
  <c r="AE276" i="8"/>
  <c r="AC276" i="8"/>
  <c r="O276" i="8"/>
  <c r="R276" i="8"/>
  <c r="N276" i="8"/>
  <c r="L276" i="8"/>
  <c r="J276" i="8"/>
  <c r="K276" i="8"/>
  <c r="AC274" i="8"/>
  <c r="G274" i="8"/>
  <c r="AB274" i="8"/>
  <c r="F274" i="8"/>
  <c r="AA274" i="8"/>
  <c r="Z274" i="8"/>
  <c r="J274" i="8"/>
  <c r="I274" i="8"/>
  <c r="X274" i="8"/>
  <c r="W274" i="8"/>
  <c r="L274" i="8"/>
  <c r="H274" i="8"/>
  <c r="K274" i="8"/>
  <c r="O274" i="8"/>
  <c r="N274" i="8"/>
  <c r="M274" i="8"/>
  <c r="U274" i="8"/>
  <c r="R274" i="8"/>
  <c r="P274" i="8"/>
  <c r="T274" i="8"/>
  <c r="S274" i="8"/>
  <c r="Q274" i="8"/>
  <c r="Y274" i="8"/>
  <c r="V274" i="8"/>
  <c r="AE274" i="8"/>
  <c r="AA205" i="8"/>
  <c r="N205" i="8"/>
  <c r="M205" i="8"/>
  <c r="Q205" i="8"/>
  <c r="R205" i="8"/>
  <c r="P205" i="8"/>
  <c r="V205" i="8"/>
  <c r="U205" i="8"/>
  <c r="T205" i="8"/>
  <c r="S205" i="8"/>
  <c r="O205" i="8"/>
  <c r="X205" i="8"/>
  <c r="W205" i="8"/>
  <c r="Z205" i="8"/>
  <c r="L205" i="8"/>
  <c r="J205" i="8"/>
  <c r="Y205" i="8"/>
  <c r="K205" i="8"/>
  <c r="I205" i="8"/>
  <c r="H205" i="8"/>
  <c r="G205" i="8"/>
  <c r="AE205" i="8"/>
  <c r="AC205" i="8"/>
  <c r="F205" i="8"/>
  <c r="AB205" i="8"/>
  <c r="W275" i="8"/>
  <c r="V275" i="8"/>
  <c r="Y275" i="8"/>
  <c r="X275" i="8"/>
  <c r="H275" i="8"/>
  <c r="G275" i="8"/>
  <c r="AB275" i="8"/>
  <c r="AA275" i="8"/>
  <c r="F275" i="8"/>
  <c r="I275" i="8"/>
  <c r="Q275" i="8"/>
  <c r="O275" i="8"/>
  <c r="N275" i="8"/>
  <c r="M275" i="8"/>
  <c r="L275" i="8"/>
  <c r="P275" i="8"/>
  <c r="J275" i="8"/>
  <c r="Z275" i="8"/>
  <c r="AE275" i="8"/>
  <c r="AC275" i="8"/>
  <c r="U275" i="8"/>
  <c r="T275" i="8"/>
  <c r="S275" i="8"/>
  <c r="R275" i="8"/>
  <c r="K275" i="8"/>
  <c r="R225" i="8"/>
  <c r="Q225" i="8"/>
  <c r="AC225" i="8"/>
  <c r="AB225" i="8"/>
  <c r="G225" i="8"/>
  <c r="F225" i="8"/>
  <c r="L225" i="8"/>
  <c r="K225" i="8"/>
  <c r="AE225" i="8"/>
  <c r="AA225" i="8"/>
  <c r="T225" i="8"/>
  <c r="S225" i="8"/>
  <c r="X225" i="8"/>
  <c r="P225" i="8"/>
  <c r="W225" i="8"/>
  <c r="V225" i="8"/>
  <c r="U225" i="8"/>
  <c r="O225" i="8"/>
  <c r="N225" i="8"/>
  <c r="M225" i="8"/>
  <c r="Z225" i="8"/>
  <c r="H225" i="8"/>
  <c r="Y225" i="8"/>
  <c r="J225" i="8"/>
  <c r="I225" i="8"/>
  <c r="AB188" i="8"/>
  <c r="F188" i="8"/>
  <c r="AA188" i="8"/>
  <c r="L188" i="8"/>
  <c r="P188" i="8"/>
  <c r="O188" i="8"/>
  <c r="AE188" i="8"/>
  <c r="AC188" i="8"/>
  <c r="Z188" i="8"/>
  <c r="H188" i="8"/>
  <c r="G188" i="8"/>
  <c r="Y188" i="8"/>
  <c r="W188" i="8"/>
  <c r="T188" i="8"/>
  <c r="X188" i="8"/>
  <c r="V188" i="8"/>
  <c r="U188" i="8"/>
  <c r="S188" i="8"/>
  <c r="R188" i="8"/>
  <c r="Q188" i="8"/>
  <c r="N188" i="8"/>
  <c r="M188" i="8"/>
  <c r="J188" i="8"/>
  <c r="K188" i="8"/>
  <c r="I188" i="8"/>
  <c r="V189" i="8"/>
  <c r="U189" i="8"/>
  <c r="H189" i="8"/>
  <c r="M189" i="8"/>
  <c r="L189" i="8"/>
  <c r="AC189" i="8"/>
  <c r="AB189" i="8"/>
  <c r="AA189" i="8"/>
  <c r="N189" i="8"/>
  <c r="K189" i="8"/>
  <c r="O189" i="8"/>
  <c r="I189" i="8"/>
  <c r="F189" i="8"/>
  <c r="AE189" i="8" s="1"/>
  <c r="J189" i="8"/>
  <c r="G189" i="8"/>
  <c r="P189" i="8"/>
  <c r="Q189" i="8"/>
  <c r="Y189" i="8"/>
  <c r="W189" i="8"/>
  <c r="Z189" i="8"/>
  <c r="X189" i="8"/>
  <c r="T189" i="8"/>
  <c r="S189" i="8"/>
  <c r="R189" i="8"/>
  <c r="R109" i="8"/>
  <c r="Q109" i="8"/>
  <c r="M109" i="8"/>
  <c r="Y109" i="8"/>
  <c r="X109" i="8"/>
  <c r="AE109" i="8"/>
  <c r="AA109" i="8"/>
  <c r="Z109" i="8"/>
  <c r="AC109" i="8"/>
  <c r="AB109" i="8"/>
  <c r="K109" i="8"/>
  <c r="J109" i="8"/>
  <c r="I109" i="8"/>
  <c r="H109" i="8"/>
  <c r="G109" i="8"/>
  <c r="F109" i="8"/>
  <c r="L109" i="8"/>
  <c r="S109" i="8"/>
  <c r="N109" i="8"/>
  <c r="P109" i="8"/>
  <c r="O109" i="8"/>
  <c r="W109" i="8"/>
  <c r="V109" i="8"/>
  <c r="U109" i="8"/>
  <c r="T109" i="8"/>
  <c r="J314" i="8"/>
  <c r="S314" i="8"/>
  <c r="R314" i="8"/>
  <c r="K314" i="8"/>
  <c r="I314" i="8"/>
  <c r="N314" i="8"/>
  <c r="M314" i="8"/>
  <c r="T314" i="8"/>
  <c r="Q314" i="8"/>
  <c r="Y314" i="8"/>
  <c r="X314" i="8"/>
  <c r="AE314" i="8"/>
  <c r="W314" i="8"/>
  <c r="P314" i="8"/>
  <c r="L314" i="8"/>
  <c r="V314" i="8"/>
  <c r="U314" i="8"/>
  <c r="O314" i="8"/>
  <c r="F314" i="8"/>
  <c r="Z314" i="8"/>
  <c r="H314" i="8"/>
  <c r="G314" i="8"/>
  <c r="AA314" i="8"/>
  <c r="AC314" i="8"/>
  <c r="AB314" i="8"/>
  <c r="V68" i="8"/>
  <c r="X68" i="8"/>
  <c r="K68" i="8"/>
  <c r="J68" i="8"/>
  <c r="S68" i="8"/>
  <c r="Q68" i="8"/>
  <c r="P68" i="8"/>
  <c r="O68" i="8"/>
  <c r="R68" i="8"/>
  <c r="H68" i="8"/>
  <c r="F68" i="8"/>
  <c r="AE68" i="8" s="1"/>
  <c r="G68" i="8"/>
  <c r="AC68" i="8"/>
  <c r="AB68" i="8"/>
  <c r="Y68" i="8"/>
  <c r="W68" i="8"/>
  <c r="T68" i="8"/>
  <c r="M68" i="8"/>
  <c r="AA68" i="8"/>
  <c r="Z68" i="8"/>
  <c r="U68" i="8"/>
  <c r="N68" i="8"/>
  <c r="I68" i="8"/>
  <c r="L68" i="8"/>
  <c r="J125" i="8"/>
  <c r="I125" i="8"/>
  <c r="V125" i="8"/>
  <c r="AA125" i="8"/>
  <c r="Z125" i="8"/>
  <c r="R125" i="8"/>
  <c r="Q125" i="8"/>
  <c r="P125" i="8"/>
  <c r="O125" i="8"/>
  <c r="N125" i="8"/>
  <c r="X125" i="8"/>
  <c r="W125" i="8"/>
  <c r="Y125" i="8"/>
  <c r="S125" i="8"/>
  <c r="M125" i="8"/>
  <c r="L125" i="8"/>
  <c r="U125" i="8"/>
  <c r="T125" i="8"/>
  <c r="K125" i="8"/>
  <c r="H125" i="8"/>
  <c r="AC125" i="8"/>
  <c r="AB125" i="8"/>
  <c r="G125" i="8"/>
  <c r="F125" i="8"/>
  <c r="AE125" i="8" s="1"/>
  <c r="AE173" i="8"/>
  <c r="H173" i="8"/>
  <c r="AC173" i="8"/>
  <c r="G173" i="8"/>
  <c r="W173" i="8"/>
  <c r="J173" i="8"/>
  <c r="I173" i="8"/>
  <c r="N173" i="8"/>
  <c r="F173" i="8"/>
  <c r="M173" i="8"/>
  <c r="L173" i="8"/>
  <c r="K173" i="8"/>
  <c r="AA173" i="8"/>
  <c r="Z173" i="8"/>
  <c r="AB173" i="8"/>
  <c r="Y173" i="8"/>
  <c r="X173" i="8"/>
  <c r="V173" i="8"/>
  <c r="U173" i="8"/>
  <c r="T173" i="8"/>
  <c r="S173" i="8"/>
  <c r="R173" i="8"/>
  <c r="Q173" i="8"/>
  <c r="P173" i="8"/>
  <c r="O173" i="8"/>
  <c r="Z126" i="8"/>
  <c r="Y126" i="8"/>
  <c r="Q126" i="8"/>
  <c r="W126" i="8"/>
  <c r="V126" i="8"/>
  <c r="P126" i="8"/>
  <c r="N126" i="8"/>
  <c r="M126" i="8"/>
  <c r="L126" i="8"/>
  <c r="O126" i="8"/>
  <c r="AE126" i="8"/>
  <c r="AB126" i="8"/>
  <c r="AA126" i="8"/>
  <c r="AC126" i="8"/>
  <c r="X126" i="8"/>
  <c r="U126" i="8"/>
  <c r="T126" i="8"/>
  <c r="S126" i="8"/>
  <c r="R126" i="8"/>
  <c r="K126" i="8"/>
  <c r="I126" i="8"/>
  <c r="J126" i="8"/>
  <c r="F126" i="8"/>
  <c r="H126" i="8"/>
  <c r="G126" i="8"/>
  <c r="J191" i="8"/>
  <c r="I191" i="8"/>
  <c r="X191" i="8"/>
  <c r="G191" i="8"/>
  <c r="F191" i="8"/>
  <c r="AE191" i="8"/>
  <c r="AC191" i="8"/>
  <c r="AB191" i="8"/>
  <c r="AA191" i="8"/>
  <c r="Z191" i="8"/>
  <c r="V191" i="8"/>
  <c r="U191" i="8"/>
  <c r="W191" i="8"/>
  <c r="Y191" i="8"/>
  <c r="T191" i="8"/>
  <c r="S191" i="8"/>
  <c r="R191" i="8"/>
  <c r="L191" i="8"/>
  <c r="K191" i="8"/>
  <c r="H191" i="8"/>
  <c r="Q191" i="8"/>
  <c r="P191" i="8"/>
  <c r="M191" i="8"/>
  <c r="O191" i="8"/>
  <c r="N191" i="8"/>
  <c r="L226" i="8"/>
  <c r="K226" i="8"/>
  <c r="Y226" i="8"/>
  <c r="X226" i="8"/>
  <c r="M226" i="8"/>
  <c r="J226" i="8"/>
  <c r="G226" i="8"/>
  <c r="F226" i="8"/>
  <c r="AE226" i="8" s="1"/>
  <c r="AA226" i="8"/>
  <c r="Z226" i="8"/>
  <c r="AB226" i="8"/>
  <c r="AC226" i="8"/>
  <c r="W226" i="8"/>
  <c r="V226" i="8"/>
  <c r="S226" i="8"/>
  <c r="P226" i="8"/>
  <c r="O226" i="8"/>
  <c r="N226" i="8"/>
  <c r="R226" i="8"/>
  <c r="Q226" i="8"/>
  <c r="I226" i="8"/>
  <c r="H226" i="8"/>
  <c r="U226" i="8"/>
  <c r="T226" i="8"/>
  <c r="T193" i="8"/>
  <c r="S193" i="8"/>
  <c r="O193" i="8"/>
  <c r="AA193" i="8"/>
  <c r="Z193" i="8"/>
  <c r="AC193" i="8"/>
  <c r="AB193" i="8"/>
  <c r="Y193" i="8"/>
  <c r="X193" i="8"/>
  <c r="W193" i="8"/>
  <c r="K193" i="8"/>
  <c r="J193" i="8"/>
  <c r="I193" i="8"/>
  <c r="H193" i="8"/>
  <c r="G193" i="8"/>
  <c r="F193" i="8"/>
  <c r="U193" i="8"/>
  <c r="N193" i="8"/>
  <c r="AE193" i="8"/>
  <c r="V193" i="8"/>
  <c r="R193" i="8"/>
  <c r="L193" i="8"/>
  <c r="Q193" i="8"/>
  <c r="P193" i="8"/>
  <c r="M193" i="8"/>
  <c r="N172" i="8"/>
  <c r="M172" i="8"/>
  <c r="AA172" i="8"/>
  <c r="K172" i="8"/>
  <c r="J172" i="8"/>
  <c r="O172" i="8"/>
  <c r="I172" i="8"/>
  <c r="L172" i="8"/>
  <c r="H172" i="8"/>
  <c r="G172" i="8"/>
  <c r="V172" i="8"/>
  <c r="U172" i="8"/>
  <c r="S172" i="8"/>
  <c r="P172" i="8"/>
  <c r="F172" i="8"/>
  <c r="R172" i="8"/>
  <c r="Q172" i="8"/>
  <c r="AB172" i="8"/>
  <c r="W172" i="8"/>
  <c r="AE172" i="8"/>
  <c r="AC172" i="8"/>
  <c r="X172" i="8"/>
  <c r="T172" i="8"/>
  <c r="Z172" i="8"/>
  <c r="Y172" i="8"/>
  <c r="Z170" i="8"/>
  <c r="Y170" i="8"/>
  <c r="K170" i="8"/>
  <c r="R170" i="8"/>
  <c r="Q170" i="8"/>
  <c r="N170" i="8"/>
  <c r="L170" i="8"/>
  <c r="M170" i="8"/>
  <c r="J170" i="8"/>
  <c r="I170" i="8"/>
  <c r="AA170" i="8"/>
  <c r="AC170" i="8"/>
  <c r="AB170" i="8"/>
  <c r="X170" i="8"/>
  <c r="W170" i="8"/>
  <c r="V170" i="8"/>
  <c r="U170" i="8"/>
  <c r="S170" i="8"/>
  <c r="P170" i="8"/>
  <c r="T170" i="8"/>
  <c r="O170" i="8"/>
  <c r="H170" i="8"/>
  <c r="G170" i="8"/>
  <c r="F170" i="8"/>
  <c r="AE170" i="8" s="1"/>
  <c r="X75" i="8"/>
  <c r="L75" i="8"/>
  <c r="H75" i="8"/>
  <c r="G75" i="8"/>
  <c r="I75" i="8"/>
  <c r="AC75" i="8"/>
  <c r="F75" i="8"/>
  <c r="AE75" i="8"/>
  <c r="T75" i="8"/>
  <c r="P75" i="8"/>
  <c r="N75" i="8"/>
  <c r="M75" i="8"/>
  <c r="K75" i="8"/>
  <c r="O75" i="8"/>
  <c r="J75" i="8"/>
  <c r="AB75" i="8"/>
  <c r="Z75" i="8"/>
  <c r="W75" i="8"/>
  <c r="AA75" i="8"/>
  <c r="Y75" i="8"/>
  <c r="V75" i="8"/>
  <c r="U75" i="8"/>
  <c r="R75" i="8"/>
  <c r="S75" i="8"/>
  <c r="Q75" i="8"/>
  <c r="Y293" i="8"/>
  <c r="X293" i="8"/>
  <c r="W293" i="8"/>
  <c r="V293" i="8"/>
  <c r="AC293" i="8"/>
  <c r="AB293" i="8"/>
  <c r="H293" i="8"/>
  <c r="G293" i="8"/>
  <c r="U293" i="8"/>
  <c r="T293" i="8"/>
  <c r="S293" i="8"/>
  <c r="AA293" i="8"/>
  <c r="O293" i="8"/>
  <c r="Z293" i="8"/>
  <c r="R293" i="8"/>
  <c r="Q293" i="8"/>
  <c r="P293" i="8"/>
  <c r="L293" i="8"/>
  <c r="J293" i="8"/>
  <c r="K293" i="8"/>
  <c r="I293" i="8"/>
  <c r="F293" i="8"/>
  <c r="AE293" i="8" s="1"/>
  <c r="M293" i="8"/>
  <c r="N293" i="8"/>
  <c r="U279" i="8"/>
  <c r="T279" i="8"/>
  <c r="H279" i="8"/>
  <c r="G279" i="8"/>
  <c r="AA279" i="8"/>
  <c r="Z279" i="8"/>
  <c r="AC279" i="8"/>
  <c r="AB279" i="8"/>
  <c r="Q279" i="8"/>
  <c r="P279" i="8"/>
  <c r="O279" i="8"/>
  <c r="R279" i="8"/>
  <c r="M279" i="8"/>
  <c r="L279" i="8"/>
  <c r="K279" i="8"/>
  <c r="J279" i="8"/>
  <c r="N279" i="8"/>
  <c r="V279" i="8"/>
  <c r="AE279" i="8"/>
  <c r="Y279" i="8"/>
  <c r="X279" i="8"/>
  <c r="W279" i="8"/>
  <c r="S279" i="8"/>
  <c r="I279" i="8"/>
  <c r="F279" i="8"/>
  <c r="AC63" i="8"/>
  <c r="G63" i="8"/>
  <c r="L63" i="8"/>
  <c r="K63" i="8"/>
  <c r="AE63" i="8"/>
  <c r="AB63" i="8"/>
  <c r="AA63" i="8"/>
  <c r="Z63" i="8"/>
  <c r="S63" i="8"/>
  <c r="O63" i="8"/>
  <c r="R63" i="8"/>
  <c r="Q63" i="8"/>
  <c r="P63" i="8"/>
  <c r="N63" i="8"/>
  <c r="M63" i="8"/>
  <c r="X63" i="8"/>
  <c r="W63" i="8"/>
  <c r="V63" i="8"/>
  <c r="U63" i="8"/>
  <c r="I63" i="8"/>
  <c r="Y63" i="8"/>
  <c r="T63" i="8"/>
  <c r="J63" i="8"/>
  <c r="H63" i="8"/>
  <c r="F63" i="8"/>
  <c r="K255" i="8"/>
  <c r="J255" i="8"/>
  <c r="G255" i="8"/>
  <c r="AE255" i="8"/>
  <c r="F255" i="8"/>
  <c r="R255" i="8"/>
  <c r="Q255" i="8"/>
  <c r="N255" i="8"/>
  <c r="M255" i="8"/>
  <c r="AB255" i="8"/>
  <c r="AA255" i="8"/>
  <c r="AC255" i="8"/>
  <c r="T255" i="8"/>
  <c r="O255" i="8"/>
  <c r="L255" i="8"/>
  <c r="I255" i="8"/>
  <c r="S255" i="8"/>
  <c r="P255" i="8"/>
  <c r="U255" i="8"/>
  <c r="H255" i="8"/>
  <c r="Z255" i="8"/>
  <c r="Y255" i="8"/>
  <c r="X255" i="8"/>
  <c r="W255" i="8"/>
  <c r="V255" i="8"/>
  <c r="Y282" i="8"/>
  <c r="X282" i="8"/>
  <c r="S282" i="8"/>
  <c r="R282" i="8"/>
  <c r="U282" i="8"/>
  <c r="T282" i="8"/>
  <c r="AE282" i="8"/>
  <c r="AB282" i="8"/>
  <c r="AA282" i="8"/>
  <c r="Z282" i="8"/>
  <c r="W282" i="8"/>
  <c r="I282" i="8"/>
  <c r="G282" i="8"/>
  <c r="H282" i="8"/>
  <c r="F282" i="8"/>
  <c r="L282" i="8"/>
  <c r="K282" i="8"/>
  <c r="O282" i="8"/>
  <c r="N282" i="8"/>
  <c r="AC282" i="8"/>
  <c r="V282" i="8"/>
  <c r="Q282" i="8"/>
  <c r="P282" i="8"/>
  <c r="M282" i="8"/>
  <c r="J282" i="8"/>
  <c r="R186" i="8"/>
  <c r="Q186" i="8"/>
  <c r="U186" i="8"/>
  <c r="W186" i="8"/>
  <c r="V186" i="8"/>
  <c r="F186" i="8"/>
  <c r="AE186" i="8"/>
  <c r="AC186" i="8"/>
  <c r="AB186" i="8"/>
  <c r="Y186" i="8"/>
  <c r="P186" i="8"/>
  <c r="O186" i="8"/>
  <c r="X186" i="8"/>
  <c r="T186" i="8"/>
  <c r="S186" i="8"/>
  <c r="N186" i="8"/>
  <c r="M186" i="8"/>
  <c r="AA186" i="8"/>
  <c r="I186" i="8"/>
  <c r="Z186" i="8"/>
  <c r="H186" i="8"/>
  <c r="G186" i="8"/>
  <c r="K186" i="8"/>
  <c r="L186" i="8"/>
  <c r="J186" i="8"/>
  <c r="U268" i="8"/>
  <c r="T268" i="8"/>
  <c r="AB268" i="8"/>
  <c r="AA268" i="8"/>
  <c r="R268" i="8"/>
  <c r="Q268" i="8"/>
  <c r="V268" i="8"/>
  <c r="S268" i="8"/>
  <c r="J268" i="8"/>
  <c r="I268" i="8"/>
  <c r="H268" i="8"/>
  <c r="P268" i="8"/>
  <c r="Y268" i="8"/>
  <c r="W268" i="8"/>
  <c r="O268" i="8"/>
  <c r="N268" i="8"/>
  <c r="M268" i="8"/>
  <c r="X268" i="8"/>
  <c r="L268" i="8"/>
  <c r="K268" i="8"/>
  <c r="G268" i="8"/>
  <c r="F268" i="8"/>
  <c r="AE268" i="8"/>
  <c r="AC268" i="8"/>
  <c r="Z268" i="8"/>
  <c r="J336" i="8"/>
  <c r="Y336" i="8"/>
  <c r="X336" i="8"/>
  <c r="Z336" i="8"/>
  <c r="W336" i="8"/>
  <c r="AA336" i="8"/>
  <c r="V336" i="8"/>
  <c r="AC336" i="8"/>
  <c r="AB336" i="8"/>
  <c r="U336" i="8"/>
  <c r="T336" i="8"/>
  <c r="S336" i="8"/>
  <c r="R336" i="8"/>
  <c r="G336" i="8"/>
  <c r="F336" i="8"/>
  <c r="L336" i="8"/>
  <c r="H336" i="8"/>
  <c r="K336" i="8"/>
  <c r="I336" i="8"/>
  <c r="M336" i="8"/>
  <c r="P336" i="8"/>
  <c r="O336" i="8"/>
  <c r="AE336" i="8"/>
  <c r="Q336" i="8"/>
  <c r="N336" i="8"/>
  <c r="Z209" i="8"/>
  <c r="Y209" i="8"/>
  <c r="S209" i="8"/>
  <c r="R209" i="8"/>
  <c r="G209" i="8"/>
  <c r="L209" i="8"/>
  <c r="K209" i="8"/>
  <c r="AB209" i="8"/>
  <c r="V209" i="8"/>
  <c r="U209" i="8"/>
  <c r="AA209" i="8"/>
  <c r="X209" i="8"/>
  <c r="W209" i="8"/>
  <c r="AE209" i="8"/>
  <c r="AC209" i="8"/>
  <c r="Q209" i="8"/>
  <c r="O209" i="8"/>
  <c r="P209" i="8"/>
  <c r="N209" i="8"/>
  <c r="M209" i="8"/>
  <c r="J209" i="8"/>
  <c r="I209" i="8"/>
  <c r="H209" i="8"/>
  <c r="F209" i="8"/>
  <c r="T209" i="8"/>
  <c r="R175" i="8"/>
  <c r="Q175" i="8"/>
  <c r="O175" i="8"/>
  <c r="AC175" i="8"/>
  <c r="AB175" i="8"/>
  <c r="K175" i="8"/>
  <c r="H175" i="8"/>
  <c r="G175" i="8"/>
  <c r="J175" i="8"/>
  <c r="I175" i="8"/>
  <c r="F175" i="8"/>
  <c r="AE175" i="8" s="1"/>
  <c r="M175" i="8"/>
  <c r="L175" i="8"/>
  <c r="Z175" i="8"/>
  <c r="X175" i="8"/>
  <c r="V175" i="8"/>
  <c r="U175" i="8"/>
  <c r="T175" i="8"/>
  <c r="Y175" i="8"/>
  <c r="W175" i="8"/>
  <c r="S175" i="8"/>
  <c r="P175" i="8"/>
  <c r="AA175" i="8"/>
  <c r="N175" i="8"/>
  <c r="T327" i="8"/>
  <c r="X327" i="8"/>
  <c r="W327" i="8"/>
  <c r="Z327" i="8"/>
  <c r="Y327" i="8"/>
  <c r="H327" i="8"/>
  <c r="G327" i="8"/>
  <c r="P327" i="8"/>
  <c r="O327" i="8"/>
  <c r="AA327" i="8"/>
  <c r="V327" i="8"/>
  <c r="AE327" i="8"/>
  <c r="AC327" i="8"/>
  <c r="J327" i="8"/>
  <c r="K327" i="8"/>
  <c r="I327" i="8"/>
  <c r="F327" i="8"/>
  <c r="S327" i="8"/>
  <c r="Q327" i="8"/>
  <c r="M327" i="8"/>
  <c r="L327" i="8"/>
  <c r="R327" i="8"/>
  <c r="N327" i="8"/>
  <c r="U327" i="8"/>
  <c r="AB327" i="8"/>
  <c r="J202" i="8"/>
  <c r="I202" i="8"/>
  <c r="AB202" i="8"/>
  <c r="Y202" i="8"/>
  <c r="X202" i="8"/>
  <c r="U202" i="8"/>
  <c r="R202" i="8"/>
  <c r="Q202" i="8"/>
  <c r="T202" i="8"/>
  <c r="S202" i="8"/>
  <c r="AE202" i="8"/>
  <c r="Z202" i="8"/>
  <c r="W202" i="8"/>
  <c r="V202" i="8"/>
  <c r="AC202" i="8"/>
  <c r="AA202" i="8"/>
  <c r="P202" i="8"/>
  <c r="O202" i="8"/>
  <c r="N202" i="8"/>
  <c r="M202" i="8"/>
  <c r="L202" i="8"/>
  <c r="K202" i="8"/>
  <c r="G202" i="8"/>
  <c r="F202" i="8"/>
  <c r="H202" i="8"/>
  <c r="J219" i="8"/>
  <c r="I219" i="8"/>
  <c r="AB219" i="8"/>
  <c r="AA219" i="8"/>
  <c r="Q219" i="8"/>
  <c r="P219" i="8"/>
  <c r="F219" i="8"/>
  <c r="AE219" i="8" s="1"/>
  <c r="N219" i="8"/>
  <c r="L219" i="8"/>
  <c r="K219" i="8"/>
  <c r="M219" i="8"/>
  <c r="H219" i="8"/>
  <c r="G219" i="8"/>
  <c r="S219" i="8"/>
  <c r="R219" i="8"/>
  <c r="AC219" i="8"/>
  <c r="Y219" i="8"/>
  <c r="W219" i="8"/>
  <c r="U219" i="8"/>
  <c r="T219" i="8"/>
  <c r="Z219" i="8"/>
  <c r="X219" i="8"/>
  <c r="V219" i="8"/>
  <c r="O219" i="8"/>
  <c r="AE74" i="8"/>
  <c r="H74" i="8"/>
  <c r="Q74" i="8"/>
  <c r="L74" i="8"/>
  <c r="K74" i="8"/>
  <c r="I74" i="8"/>
  <c r="F74" i="8"/>
  <c r="G74" i="8"/>
  <c r="N74" i="8"/>
  <c r="M74" i="8"/>
  <c r="J74" i="8"/>
  <c r="U74" i="8"/>
  <c r="S74" i="8"/>
  <c r="R74" i="8"/>
  <c r="T74" i="8"/>
  <c r="P74" i="8"/>
  <c r="O74" i="8"/>
  <c r="W74" i="8"/>
  <c r="Z74" i="8"/>
  <c r="X74" i="8"/>
  <c r="AC74" i="8"/>
  <c r="AA74" i="8"/>
  <c r="Y74" i="8"/>
  <c r="V74" i="8"/>
  <c r="AB74" i="8"/>
  <c r="K299" i="8"/>
  <c r="J299" i="8"/>
  <c r="Y299" i="8"/>
  <c r="X299" i="8"/>
  <c r="R299" i="8"/>
  <c r="Q299" i="8"/>
  <c r="M299" i="8"/>
  <c r="L299" i="8"/>
  <c r="P299" i="8"/>
  <c r="O299" i="8"/>
  <c r="N299" i="8"/>
  <c r="F299" i="8"/>
  <c r="U299" i="8"/>
  <c r="T299" i="8"/>
  <c r="AE299" i="8"/>
  <c r="I299" i="8"/>
  <c r="G299" i="8"/>
  <c r="H299" i="8"/>
  <c r="Z299" i="8"/>
  <c r="AC299" i="8"/>
  <c r="AA299" i="8"/>
  <c r="S299" i="8"/>
  <c r="V299" i="8"/>
  <c r="AB299" i="8"/>
  <c r="W299" i="8"/>
  <c r="R142" i="8"/>
  <c r="Q142" i="8"/>
  <c r="AA142" i="8"/>
  <c r="Z142" i="8"/>
  <c r="Y142" i="8"/>
  <c r="G142" i="8"/>
  <c r="AE142" i="8"/>
  <c r="F142" i="8"/>
  <c r="AB142" i="8"/>
  <c r="X142" i="8"/>
  <c r="AC142" i="8"/>
  <c r="W142" i="8"/>
  <c r="V142" i="8"/>
  <c r="U142" i="8"/>
  <c r="T142" i="8"/>
  <c r="O142" i="8"/>
  <c r="S142" i="8"/>
  <c r="P142" i="8"/>
  <c r="N142" i="8"/>
  <c r="M142" i="8"/>
  <c r="I142" i="8"/>
  <c r="H142" i="8"/>
  <c r="L142" i="8"/>
  <c r="K142" i="8"/>
  <c r="J142" i="8"/>
  <c r="Y271" i="8"/>
  <c r="X271" i="8"/>
  <c r="O271" i="8"/>
  <c r="N271" i="8"/>
  <c r="M271" i="8"/>
  <c r="L271" i="8"/>
  <c r="W271" i="8"/>
  <c r="V271" i="8"/>
  <c r="U271" i="8"/>
  <c r="T271" i="8"/>
  <c r="S271" i="8"/>
  <c r="G271" i="8"/>
  <c r="P271" i="8"/>
  <c r="J271" i="8"/>
  <c r="I271" i="8"/>
  <c r="H271" i="8"/>
  <c r="K271" i="8"/>
  <c r="F271" i="8"/>
  <c r="AE271" i="8" s="1"/>
  <c r="AB271" i="8"/>
  <c r="AA271" i="8"/>
  <c r="AC271" i="8"/>
  <c r="Z271" i="8"/>
  <c r="R271" i="8"/>
  <c r="Q271" i="8"/>
  <c r="U305" i="8"/>
  <c r="X305" i="8"/>
  <c r="W305" i="8"/>
  <c r="AE305" i="8"/>
  <c r="AC305" i="8"/>
  <c r="K305" i="8"/>
  <c r="J305" i="8"/>
  <c r="T305" i="8"/>
  <c r="S305" i="8"/>
  <c r="I305" i="8"/>
  <c r="H305" i="8"/>
  <c r="G305" i="8"/>
  <c r="Y305" i="8"/>
  <c r="AA305" i="8"/>
  <c r="Z305" i="8"/>
  <c r="AB305" i="8"/>
  <c r="V305" i="8"/>
  <c r="O305" i="8"/>
  <c r="N305" i="8"/>
  <c r="F305" i="8"/>
  <c r="R305" i="8"/>
  <c r="Q305" i="8"/>
  <c r="P305" i="8"/>
  <c r="M305" i="8"/>
  <c r="L305" i="8"/>
  <c r="AE107" i="8"/>
  <c r="H107" i="8"/>
  <c r="AC107" i="8"/>
  <c r="G107" i="8"/>
  <c r="U107" i="8"/>
  <c r="AB107" i="8"/>
  <c r="Z107" i="8"/>
  <c r="Y107" i="8"/>
  <c r="AA107" i="8"/>
  <c r="V107" i="8"/>
  <c r="T107" i="8"/>
  <c r="X107" i="8"/>
  <c r="W107" i="8"/>
  <c r="S107" i="8"/>
  <c r="R107" i="8"/>
  <c r="Q107" i="8"/>
  <c r="L107" i="8"/>
  <c r="J107" i="8"/>
  <c r="F107" i="8"/>
  <c r="K107" i="8"/>
  <c r="I107" i="8"/>
  <c r="P107" i="8"/>
  <c r="O107" i="8"/>
  <c r="N107" i="8"/>
  <c r="M107" i="8"/>
  <c r="AB67" i="8"/>
  <c r="F67" i="8"/>
  <c r="AE67" i="8" s="1"/>
  <c r="AC67" i="8"/>
  <c r="O67" i="8"/>
  <c r="N67" i="8"/>
  <c r="U67" i="8"/>
  <c r="T67" i="8"/>
  <c r="S67" i="8"/>
  <c r="R67" i="8"/>
  <c r="Q67" i="8"/>
  <c r="Z67" i="8"/>
  <c r="X67" i="8"/>
  <c r="P67" i="8"/>
  <c r="Y67" i="8"/>
  <c r="W67" i="8"/>
  <c r="V67" i="8"/>
  <c r="M67" i="8"/>
  <c r="L67" i="8"/>
  <c r="K67" i="8"/>
  <c r="H67" i="8"/>
  <c r="AA67" i="8"/>
  <c r="J67" i="8"/>
  <c r="G67" i="8"/>
  <c r="I67" i="8"/>
  <c r="O269" i="8"/>
  <c r="N269" i="8"/>
  <c r="X269" i="8"/>
  <c r="W269" i="8"/>
  <c r="R269" i="8"/>
  <c r="Q269" i="8"/>
  <c r="V269" i="8"/>
  <c r="U269" i="8"/>
  <c r="L269" i="8"/>
  <c r="K269" i="8"/>
  <c r="J269" i="8"/>
  <c r="AC269" i="8"/>
  <c r="AB269" i="8"/>
  <c r="AA269" i="8"/>
  <c r="Z269" i="8"/>
  <c r="Y269" i="8"/>
  <c r="I269" i="8"/>
  <c r="F269" i="8"/>
  <c r="AE269" i="8" s="1"/>
  <c r="H269" i="8"/>
  <c r="G269" i="8"/>
  <c r="P269" i="8"/>
  <c r="M269" i="8"/>
  <c r="T269" i="8"/>
  <c r="S269" i="8"/>
  <c r="R76" i="8"/>
  <c r="AE76" i="8"/>
  <c r="G76" i="8"/>
  <c r="AB76" i="8"/>
  <c r="AA76" i="8"/>
  <c r="F76" i="8"/>
  <c r="AC76" i="8"/>
  <c r="Z76" i="8"/>
  <c r="U76" i="8"/>
  <c r="T76" i="8"/>
  <c r="Q76" i="8"/>
  <c r="M76" i="8"/>
  <c r="L76" i="8"/>
  <c r="P76" i="8"/>
  <c r="O76" i="8"/>
  <c r="N76" i="8"/>
  <c r="K76" i="8"/>
  <c r="V76" i="8"/>
  <c r="I76" i="8"/>
  <c r="H76" i="8"/>
  <c r="S76" i="8"/>
  <c r="J76" i="8"/>
  <c r="Y76" i="8"/>
  <c r="X76" i="8"/>
  <c r="W76" i="8"/>
  <c r="Z137" i="8"/>
  <c r="Y137" i="8"/>
  <c r="U137" i="8"/>
  <c r="O137" i="8"/>
  <c r="N137" i="8"/>
  <c r="J137" i="8"/>
  <c r="H137" i="8"/>
  <c r="F137" i="8"/>
  <c r="I137" i="8"/>
  <c r="G137" i="8"/>
  <c r="AB137" i="8"/>
  <c r="AA137" i="8"/>
  <c r="AE137" i="8"/>
  <c r="AC137" i="8"/>
  <c r="X137" i="8"/>
  <c r="W137" i="8"/>
  <c r="V137" i="8"/>
  <c r="P137" i="8"/>
  <c r="L137" i="8"/>
  <c r="K137" i="8"/>
  <c r="M137" i="8"/>
  <c r="S137" i="8"/>
  <c r="Q137" i="8"/>
  <c r="T137" i="8"/>
  <c r="R137" i="8"/>
  <c r="Z104" i="8"/>
  <c r="Y104" i="8"/>
  <c r="I104" i="8"/>
  <c r="N104" i="8"/>
  <c r="M104" i="8"/>
  <c r="F104" i="8"/>
  <c r="AE104" i="8"/>
  <c r="AC104" i="8"/>
  <c r="T104" i="8"/>
  <c r="S104" i="8"/>
  <c r="H104" i="8"/>
  <c r="G104" i="8"/>
  <c r="AB104" i="8"/>
  <c r="X104" i="8"/>
  <c r="W104" i="8"/>
  <c r="AA104" i="8"/>
  <c r="V104" i="8"/>
  <c r="L104" i="8"/>
  <c r="U104" i="8"/>
  <c r="R104" i="8"/>
  <c r="P104" i="8"/>
  <c r="O104" i="8"/>
  <c r="Q104" i="8"/>
  <c r="K104" i="8"/>
  <c r="J104" i="8"/>
  <c r="I340" i="8"/>
  <c r="AE340" i="8"/>
  <c r="H340" i="8"/>
  <c r="J340" i="8"/>
  <c r="G340" i="8"/>
  <c r="S340" i="8"/>
  <c r="R340" i="8"/>
  <c r="O340" i="8"/>
  <c r="N340" i="8"/>
  <c r="M340" i="8"/>
  <c r="X340" i="8"/>
  <c r="W340" i="8"/>
  <c r="V340" i="8"/>
  <c r="L340" i="8"/>
  <c r="K340" i="8"/>
  <c r="Y340" i="8"/>
  <c r="U340" i="8"/>
  <c r="T340" i="8"/>
  <c r="Q340" i="8"/>
  <c r="P340" i="8"/>
  <c r="F340" i="8"/>
  <c r="Z340" i="8"/>
  <c r="AC340" i="8"/>
  <c r="AB340" i="8"/>
  <c r="AA340" i="8"/>
  <c r="V217" i="8"/>
  <c r="U217" i="8"/>
  <c r="L217" i="8"/>
  <c r="K217" i="8"/>
  <c r="S217" i="8"/>
  <c r="F217" i="8"/>
  <c r="AE217" i="8" s="1"/>
  <c r="J217" i="8"/>
  <c r="H217" i="8"/>
  <c r="G217" i="8"/>
  <c r="I217" i="8"/>
  <c r="AC217" i="8"/>
  <c r="AB217" i="8"/>
  <c r="T217" i="8"/>
  <c r="O217" i="8"/>
  <c r="N217" i="8"/>
  <c r="R217" i="8"/>
  <c r="Q217" i="8"/>
  <c r="P217" i="8"/>
  <c r="M217" i="8"/>
  <c r="Z217" i="8"/>
  <c r="AA217" i="8"/>
  <c r="Y217" i="8"/>
  <c r="W217" i="8"/>
  <c r="X217" i="8"/>
  <c r="O258" i="8"/>
  <c r="N258" i="8"/>
  <c r="T258" i="8"/>
  <c r="S258" i="8"/>
  <c r="J258" i="8"/>
  <c r="I258" i="8"/>
  <c r="P258" i="8"/>
  <c r="M258" i="8"/>
  <c r="F258" i="8"/>
  <c r="K258" i="8"/>
  <c r="AE258" i="8"/>
  <c r="AC258" i="8"/>
  <c r="Y258" i="8"/>
  <c r="X258" i="8"/>
  <c r="AB258" i="8"/>
  <c r="AA258" i="8"/>
  <c r="Z258" i="8"/>
  <c r="W258" i="8"/>
  <c r="V258" i="8"/>
  <c r="R258" i="8"/>
  <c r="L258" i="8"/>
  <c r="G258" i="8"/>
  <c r="Q258" i="8"/>
  <c r="H258" i="8"/>
  <c r="U258" i="8"/>
  <c r="L332" i="8"/>
  <c r="V332" i="8"/>
  <c r="U332" i="8"/>
  <c r="J332" i="8"/>
  <c r="I332" i="8"/>
  <c r="X332" i="8"/>
  <c r="W332" i="8"/>
  <c r="N332" i="8"/>
  <c r="M332" i="8"/>
  <c r="AC332" i="8"/>
  <c r="AB332" i="8"/>
  <c r="AA332" i="8"/>
  <c r="Z332" i="8"/>
  <c r="Y332" i="8"/>
  <c r="T332" i="8"/>
  <c r="S332" i="8"/>
  <c r="R332" i="8"/>
  <c r="Q332" i="8"/>
  <c r="AE332" i="8"/>
  <c r="P332" i="8"/>
  <c r="O332" i="8"/>
  <c r="K332" i="8"/>
  <c r="H332" i="8"/>
  <c r="G332" i="8"/>
  <c r="F332" i="8"/>
  <c r="AB216" i="8"/>
  <c r="F216" i="8"/>
  <c r="AA216" i="8"/>
  <c r="P216" i="8"/>
  <c r="O216" i="8"/>
  <c r="U216" i="8"/>
  <c r="G216" i="8"/>
  <c r="J216" i="8"/>
  <c r="I216" i="8"/>
  <c r="H216" i="8"/>
  <c r="V216" i="8"/>
  <c r="T216" i="8"/>
  <c r="N216" i="8"/>
  <c r="L216" i="8"/>
  <c r="M216" i="8"/>
  <c r="K216" i="8"/>
  <c r="AC216" i="8"/>
  <c r="X216" i="8"/>
  <c r="W216" i="8"/>
  <c r="Q216" i="8"/>
  <c r="Z216" i="8"/>
  <c r="Y216" i="8"/>
  <c r="S216" i="8"/>
  <c r="R216" i="8"/>
  <c r="AE216" i="8"/>
  <c r="AE96" i="8"/>
  <c r="H96" i="8"/>
  <c r="AC96" i="8"/>
  <c r="G96" i="8"/>
  <c r="Q96" i="8"/>
  <c r="M96" i="8"/>
  <c r="L96" i="8"/>
  <c r="K96" i="8"/>
  <c r="F96" i="8"/>
  <c r="J96" i="8"/>
  <c r="I96" i="8"/>
  <c r="P96" i="8"/>
  <c r="O96" i="8"/>
  <c r="R96" i="8"/>
  <c r="N96" i="8"/>
  <c r="AB96" i="8"/>
  <c r="Y96" i="8"/>
  <c r="U96" i="8"/>
  <c r="AA96" i="8"/>
  <c r="Z96" i="8"/>
  <c r="X96" i="8"/>
  <c r="W96" i="8"/>
  <c r="T96" i="8"/>
  <c r="S96" i="8"/>
  <c r="V96" i="8"/>
  <c r="O247" i="8"/>
  <c r="N247" i="8"/>
  <c r="P247" i="8"/>
  <c r="M247" i="8"/>
  <c r="AC247" i="8"/>
  <c r="F247" i="8"/>
  <c r="AE247" i="8" s="1"/>
  <c r="AB247" i="8"/>
  <c r="L247" i="8"/>
  <c r="Z247" i="8"/>
  <c r="W247" i="8"/>
  <c r="Y247" i="8"/>
  <c r="X247" i="8"/>
  <c r="V247" i="8"/>
  <c r="U247" i="8"/>
  <c r="AA247" i="8"/>
  <c r="T247" i="8"/>
  <c r="S247" i="8"/>
  <c r="R247" i="8"/>
  <c r="Q247" i="8"/>
  <c r="J247" i="8"/>
  <c r="I247" i="8"/>
  <c r="G247" i="8"/>
  <c r="K247" i="8"/>
  <c r="H247" i="8"/>
  <c r="H212" i="8"/>
  <c r="AC212" i="8"/>
  <c r="G212" i="8"/>
  <c r="I212" i="8"/>
  <c r="F212" i="8"/>
  <c r="AE212" i="8" s="1"/>
  <c r="AA212" i="8"/>
  <c r="K212" i="8"/>
  <c r="J212" i="8"/>
  <c r="AB212" i="8"/>
  <c r="Z212" i="8"/>
  <c r="Y212" i="8"/>
  <c r="X212" i="8"/>
  <c r="V212" i="8"/>
  <c r="U212" i="8"/>
  <c r="M212" i="8"/>
  <c r="L212" i="8"/>
  <c r="W212" i="8"/>
  <c r="Q212" i="8"/>
  <c r="S212" i="8"/>
  <c r="T212" i="8"/>
  <c r="R212" i="8"/>
  <c r="N212" i="8"/>
  <c r="P212" i="8"/>
  <c r="O212" i="8"/>
  <c r="P313" i="8"/>
  <c r="X313" i="8"/>
  <c r="W313" i="8"/>
  <c r="M313" i="8"/>
  <c r="L313" i="8"/>
  <c r="N313" i="8"/>
  <c r="K313" i="8"/>
  <c r="Q313" i="8"/>
  <c r="O313" i="8"/>
  <c r="T313" i="8"/>
  <c r="S313" i="8"/>
  <c r="AA313" i="8"/>
  <c r="Z313" i="8"/>
  <c r="Y313" i="8"/>
  <c r="F313" i="8"/>
  <c r="AE313" i="8" s="1"/>
  <c r="AC313" i="8"/>
  <c r="G313" i="8"/>
  <c r="V313" i="8"/>
  <c r="U313" i="8"/>
  <c r="I313" i="8"/>
  <c r="AB313" i="8"/>
  <c r="R313" i="8"/>
  <c r="J313" i="8"/>
  <c r="H313" i="8"/>
  <c r="L215" i="8"/>
  <c r="K215" i="8"/>
  <c r="U215" i="8"/>
  <c r="T215" i="8"/>
  <c r="X215" i="8"/>
  <c r="G215" i="8"/>
  <c r="F215" i="8"/>
  <c r="AE215" i="8" s="1"/>
  <c r="I215" i="8"/>
  <c r="H215" i="8"/>
  <c r="P215" i="8"/>
  <c r="O215" i="8"/>
  <c r="AB215" i="8"/>
  <c r="AA215" i="8"/>
  <c r="AC215" i="8"/>
  <c r="Z215" i="8"/>
  <c r="Y215" i="8"/>
  <c r="V215" i="8"/>
  <c r="W215" i="8"/>
  <c r="S215" i="8"/>
  <c r="R215" i="8"/>
  <c r="M215" i="8"/>
  <c r="J215" i="8"/>
  <c r="Q215" i="8"/>
  <c r="N215" i="8"/>
  <c r="O291" i="8"/>
  <c r="N291" i="8"/>
  <c r="H291" i="8"/>
  <c r="G291" i="8"/>
  <c r="AE291" i="8"/>
  <c r="J291" i="8"/>
  <c r="I291" i="8"/>
  <c r="U291" i="8"/>
  <c r="T291" i="8"/>
  <c r="S291" i="8"/>
  <c r="P291" i="8"/>
  <c r="F291" i="8"/>
  <c r="AC291" i="8"/>
  <c r="AB291" i="8"/>
  <c r="X291" i="8"/>
  <c r="Q291" i="8"/>
  <c r="L291" i="8"/>
  <c r="AA291" i="8"/>
  <c r="Z291" i="8"/>
  <c r="Y291" i="8"/>
  <c r="W291" i="8"/>
  <c r="R291" i="8"/>
  <c r="M291" i="8"/>
  <c r="K291" i="8"/>
  <c r="V291" i="8"/>
  <c r="AB111" i="8"/>
  <c r="F111" i="8"/>
  <c r="AA111" i="8"/>
  <c r="AE111" i="8"/>
  <c r="Q111" i="8"/>
  <c r="P111" i="8"/>
  <c r="Z111" i="8"/>
  <c r="W111" i="8"/>
  <c r="V111" i="8"/>
  <c r="Y111" i="8"/>
  <c r="X111" i="8"/>
  <c r="AC111" i="8"/>
  <c r="U111" i="8"/>
  <c r="S111" i="8"/>
  <c r="T111" i="8"/>
  <c r="R111" i="8"/>
  <c r="O111" i="8"/>
  <c r="I111" i="8"/>
  <c r="G111" i="8"/>
  <c r="H111" i="8"/>
  <c r="L111" i="8"/>
  <c r="N111" i="8"/>
  <c r="M111" i="8"/>
  <c r="K111" i="8"/>
  <c r="J111" i="8"/>
  <c r="I259" i="8"/>
  <c r="AE259" i="8"/>
  <c r="H259" i="8"/>
  <c r="P259" i="8"/>
  <c r="O259" i="8"/>
  <c r="J259" i="8"/>
  <c r="G259" i="8"/>
  <c r="R259" i="8"/>
  <c r="Q259" i="8"/>
  <c r="L259" i="8"/>
  <c r="K259" i="8"/>
  <c r="F259" i="8"/>
  <c r="V259" i="8"/>
  <c r="N259" i="8"/>
  <c r="M259" i="8"/>
  <c r="U259" i="8"/>
  <c r="T259" i="8"/>
  <c r="X259" i="8"/>
  <c r="AB259" i="8"/>
  <c r="AA259" i="8"/>
  <c r="W259" i="8"/>
  <c r="S259" i="8"/>
  <c r="AC259" i="8"/>
  <c r="Z259" i="8"/>
  <c r="Y259" i="8"/>
  <c r="O280" i="8"/>
  <c r="N280" i="8"/>
  <c r="AB280" i="8"/>
  <c r="AA280" i="8"/>
  <c r="X280" i="8"/>
  <c r="W280" i="8"/>
  <c r="AC280" i="8"/>
  <c r="T280" i="8"/>
  <c r="S280" i="8"/>
  <c r="R280" i="8"/>
  <c r="I280" i="8"/>
  <c r="U280" i="8"/>
  <c r="Q280" i="8"/>
  <c r="Z280" i="8"/>
  <c r="Y280" i="8"/>
  <c r="V280" i="8"/>
  <c r="M280" i="8"/>
  <c r="L280" i="8"/>
  <c r="H280" i="8"/>
  <c r="G280" i="8"/>
  <c r="F280" i="8"/>
  <c r="AE280" i="8" s="1"/>
  <c r="J280" i="8"/>
  <c r="P280" i="8"/>
  <c r="K280" i="8"/>
  <c r="L187" i="8"/>
  <c r="K187" i="8"/>
  <c r="Q187" i="8"/>
  <c r="T187" i="8"/>
  <c r="S187" i="8"/>
  <c r="AC187" i="8"/>
  <c r="AB187" i="8"/>
  <c r="Y187" i="8"/>
  <c r="W187" i="8"/>
  <c r="AA187" i="8"/>
  <c r="Z187" i="8"/>
  <c r="X187" i="8"/>
  <c r="V187" i="8"/>
  <c r="U187" i="8"/>
  <c r="M187" i="8"/>
  <c r="G187" i="8"/>
  <c r="F187" i="8"/>
  <c r="AE187" i="8" s="1"/>
  <c r="J187" i="8"/>
  <c r="I187" i="8"/>
  <c r="H187" i="8"/>
  <c r="P187" i="8"/>
  <c r="O187" i="8"/>
  <c r="R187" i="8"/>
  <c r="N187" i="8"/>
  <c r="AA267" i="8"/>
  <c r="Z267" i="8"/>
  <c r="H267" i="8"/>
  <c r="G267" i="8"/>
  <c r="U267" i="8"/>
  <c r="T267" i="8"/>
  <c r="S267" i="8"/>
  <c r="R267" i="8"/>
  <c r="I267" i="8"/>
  <c r="F267" i="8"/>
  <c r="L267" i="8"/>
  <c r="N267" i="8"/>
  <c r="K267" i="8"/>
  <c r="J267" i="8"/>
  <c r="M267" i="8"/>
  <c r="AE267" i="8"/>
  <c r="AC267" i="8"/>
  <c r="AB267" i="8"/>
  <c r="P267" i="8"/>
  <c r="O267" i="8"/>
  <c r="Y267" i="8"/>
  <c r="X267" i="8"/>
  <c r="W267" i="8"/>
  <c r="V267" i="8"/>
  <c r="Q267" i="8"/>
  <c r="AB333" i="8"/>
  <c r="F333" i="8"/>
  <c r="Q333" i="8"/>
  <c r="P333" i="8"/>
  <c r="H333" i="8"/>
  <c r="G333" i="8"/>
  <c r="X333" i="8"/>
  <c r="W333" i="8"/>
  <c r="R333" i="8"/>
  <c r="O333" i="8"/>
  <c r="AC333" i="8"/>
  <c r="AE333" i="8"/>
  <c r="AA333" i="8"/>
  <c r="Z333" i="8"/>
  <c r="M333" i="8"/>
  <c r="L333" i="8"/>
  <c r="K333" i="8"/>
  <c r="J333" i="8"/>
  <c r="I333" i="8"/>
  <c r="S333" i="8"/>
  <c r="N333" i="8"/>
  <c r="Y333" i="8"/>
  <c r="T333" i="8"/>
  <c r="V333" i="8"/>
  <c r="U333" i="8"/>
  <c r="N117" i="8"/>
  <c r="M117" i="8"/>
  <c r="AC117" i="8"/>
  <c r="X117" i="8"/>
  <c r="W117" i="8"/>
  <c r="U117" i="8"/>
  <c r="R117" i="8"/>
  <c r="T117" i="8"/>
  <c r="S117" i="8"/>
  <c r="Q117" i="8"/>
  <c r="L117" i="8"/>
  <c r="J117" i="8"/>
  <c r="G117" i="8"/>
  <c r="K117" i="8"/>
  <c r="I117" i="8"/>
  <c r="H117" i="8"/>
  <c r="F117" i="8"/>
  <c r="AB117" i="8"/>
  <c r="Z117" i="8"/>
  <c r="P117" i="8"/>
  <c r="AE117" i="8"/>
  <c r="AA117" i="8"/>
  <c r="Y117" i="8"/>
  <c r="V117" i="8"/>
  <c r="O117" i="8"/>
  <c r="P218" i="8"/>
  <c r="O218" i="8"/>
  <c r="H218" i="8"/>
  <c r="G218" i="8"/>
  <c r="T218" i="8"/>
  <c r="S218" i="8"/>
  <c r="L218" i="8"/>
  <c r="J218" i="8"/>
  <c r="F218" i="8"/>
  <c r="AE218" i="8" s="1"/>
  <c r="K218" i="8"/>
  <c r="I218" i="8"/>
  <c r="Z218" i="8"/>
  <c r="Y218" i="8"/>
  <c r="AC218" i="8"/>
  <c r="AB218" i="8"/>
  <c r="AA218" i="8"/>
  <c r="X218" i="8"/>
  <c r="W218" i="8"/>
  <c r="Q218" i="8"/>
  <c r="N218" i="8"/>
  <c r="M218" i="8"/>
  <c r="V218" i="8"/>
  <c r="U218" i="8"/>
  <c r="R218" i="8"/>
  <c r="AE56" i="8"/>
  <c r="T105" i="8"/>
  <c r="S105" i="8"/>
  <c r="AC105" i="8"/>
  <c r="J105" i="8"/>
  <c r="I105" i="8"/>
  <c r="AB105" i="8"/>
  <c r="AA105" i="8"/>
  <c r="W105" i="8"/>
  <c r="V105" i="8"/>
  <c r="N105" i="8"/>
  <c r="L105" i="8"/>
  <c r="K105" i="8"/>
  <c r="H105" i="8"/>
  <c r="M105" i="8"/>
  <c r="G105" i="8"/>
  <c r="F105" i="8"/>
  <c r="AE105" i="8" s="1"/>
  <c r="P105" i="8"/>
  <c r="O105" i="8"/>
  <c r="Z105" i="8"/>
  <c r="X105" i="8"/>
  <c r="Y105" i="8"/>
  <c r="U105" i="8"/>
  <c r="R105" i="8"/>
  <c r="Q105" i="8"/>
  <c r="M343" i="8"/>
  <c r="L343" i="8"/>
  <c r="U343" i="8"/>
  <c r="T343" i="8"/>
  <c r="K343" i="8"/>
  <c r="J343" i="8"/>
  <c r="G343" i="8"/>
  <c r="F343" i="8"/>
  <c r="O343" i="8"/>
  <c r="N343" i="8"/>
  <c r="AC343" i="8"/>
  <c r="AB343" i="8"/>
  <c r="AA343" i="8"/>
  <c r="R343" i="8"/>
  <c r="Q343" i="8"/>
  <c r="P343" i="8"/>
  <c r="S343" i="8"/>
  <c r="I343" i="8"/>
  <c r="Y343" i="8"/>
  <c r="AE343" i="8"/>
  <c r="Z343" i="8"/>
  <c r="V343" i="8"/>
  <c r="X343" i="8"/>
  <c r="W343" i="8"/>
  <c r="H343" i="8"/>
  <c r="N106" i="8"/>
  <c r="M106" i="8"/>
  <c r="Y106" i="8"/>
  <c r="G106" i="8"/>
  <c r="F106" i="8"/>
  <c r="AC106" i="8"/>
  <c r="AE106" i="8"/>
  <c r="AB106" i="8"/>
  <c r="AA106" i="8"/>
  <c r="Z106" i="8"/>
  <c r="U106" i="8"/>
  <c r="Q106" i="8"/>
  <c r="T106" i="8"/>
  <c r="S106" i="8"/>
  <c r="R106" i="8"/>
  <c r="P106" i="8"/>
  <c r="O106" i="8"/>
  <c r="L106" i="8"/>
  <c r="X106" i="8"/>
  <c r="W106" i="8"/>
  <c r="K106" i="8"/>
  <c r="I106" i="8"/>
  <c r="H106" i="8"/>
  <c r="J106" i="8"/>
  <c r="V106" i="8"/>
  <c r="J325" i="8"/>
  <c r="K325" i="8"/>
  <c r="I325" i="8"/>
  <c r="AC325" i="8"/>
  <c r="H325" i="8"/>
  <c r="G325" i="8"/>
  <c r="O325" i="8"/>
  <c r="N325" i="8"/>
  <c r="Q325" i="8"/>
  <c r="P325" i="8"/>
  <c r="M325" i="8"/>
  <c r="L325" i="8"/>
  <c r="F325" i="8"/>
  <c r="AE325" i="8" s="1"/>
  <c r="X325" i="8"/>
  <c r="R325" i="8"/>
  <c r="AA325" i="8"/>
  <c r="Z325" i="8"/>
  <c r="AB325" i="8"/>
  <c r="Y325" i="8"/>
  <c r="W325" i="8"/>
  <c r="V325" i="8"/>
  <c r="U325" i="8"/>
  <c r="T325" i="8"/>
  <c r="S325" i="8"/>
  <c r="N211" i="8"/>
  <c r="M211" i="8"/>
  <c r="K211" i="8"/>
  <c r="J211" i="8"/>
  <c r="AC211" i="8"/>
  <c r="H211" i="8"/>
  <c r="G211" i="8"/>
  <c r="AB211" i="8"/>
  <c r="Z211" i="8"/>
  <c r="Y211" i="8"/>
  <c r="W211" i="8"/>
  <c r="AA211" i="8"/>
  <c r="X211" i="8"/>
  <c r="O211" i="8"/>
  <c r="L211" i="8"/>
  <c r="AE211" i="8"/>
  <c r="S211" i="8"/>
  <c r="R211" i="8"/>
  <c r="V211" i="8"/>
  <c r="U211" i="8"/>
  <c r="T211" i="8"/>
  <c r="Q211" i="8"/>
  <c r="P211" i="8"/>
  <c r="I211" i="8"/>
  <c r="F211" i="8"/>
  <c r="K244" i="8"/>
  <c r="J244" i="8"/>
  <c r="AA244" i="8"/>
  <c r="Z244" i="8"/>
  <c r="I244" i="8"/>
  <c r="H244" i="8"/>
  <c r="Y244" i="8"/>
  <c r="X244" i="8"/>
  <c r="N244" i="8"/>
  <c r="G244" i="8"/>
  <c r="M244" i="8"/>
  <c r="L244" i="8"/>
  <c r="F244" i="8"/>
  <c r="S244" i="8"/>
  <c r="R244" i="8"/>
  <c r="U244" i="8"/>
  <c r="T244" i="8"/>
  <c r="Q244" i="8"/>
  <c r="P244" i="8"/>
  <c r="O244" i="8"/>
  <c r="AE244" i="8"/>
  <c r="AC244" i="8"/>
  <c r="AB244" i="8"/>
  <c r="W244" i="8"/>
  <c r="V244" i="8"/>
  <c r="V312" i="8"/>
  <c r="AC312" i="8"/>
  <c r="F312" i="8"/>
  <c r="AE312" i="8" s="1"/>
  <c r="AB312" i="8"/>
  <c r="P312" i="8"/>
  <c r="O312" i="8"/>
  <c r="M312" i="8"/>
  <c r="L312" i="8"/>
  <c r="K312" i="8"/>
  <c r="J312" i="8"/>
  <c r="N312" i="8"/>
  <c r="I312" i="8"/>
  <c r="S312" i="8"/>
  <c r="R312" i="8"/>
  <c r="Q312" i="8"/>
  <c r="W312" i="8"/>
  <c r="AA312" i="8"/>
  <c r="G312" i="8"/>
  <c r="T312" i="8"/>
  <c r="H312" i="8"/>
  <c r="Z312" i="8"/>
  <c r="Y312" i="8"/>
  <c r="X312" i="8"/>
  <c r="U312" i="8"/>
  <c r="P207" i="8"/>
  <c r="O207" i="8"/>
  <c r="AB207" i="8"/>
  <c r="AA207" i="8"/>
  <c r="J207" i="8"/>
  <c r="M207" i="8"/>
  <c r="L207" i="8"/>
  <c r="W207" i="8"/>
  <c r="U207" i="8"/>
  <c r="T207" i="8"/>
  <c r="S207" i="8"/>
  <c r="V207" i="8"/>
  <c r="G207" i="8"/>
  <c r="F207" i="8"/>
  <c r="Q207" i="8"/>
  <c r="K207" i="8"/>
  <c r="H207" i="8"/>
  <c r="N207" i="8"/>
  <c r="I207" i="8"/>
  <c r="R207" i="8"/>
  <c r="AC207" i="8"/>
  <c r="Y207" i="8"/>
  <c r="AE207" i="8"/>
  <c r="Z207" i="8"/>
  <c r="X207" i="8"/>
  <c r="X308" i="8"/>
  <c r="Z308" i="8"/>
  <c r="H308" i="8"/>
  <c r="G308" i="8"/>
  <c r="T308" i="8"/>
  <c r="S308" i="8"/>
  <c r="J308" i="8"/>
  <c r="I308" i="8"/>
  <c r="AC308" i="8"/>
  <c r="AB308" i="8"/>
  <c r="Y308" i="8"/>
  <c r="W308" i="8"/>
  <c r="V308" i="8"/>
  <c r="O308" i="8"/>
  <c r="AA308" i="8"/>
  <c r="U308" i="8"/>
  <c r="Q308" i="8"/>
  <c r="AE308" i="8"/>
  <c r="R308" i="8"/>
  <c r="P308" i="8"/>
  <c r="N308" i="8"/>
  <c r="L308" i="8"/>
  <c r="K308" i="8"/>
  <c r="F308" i="8"/>
  <c r="M308" i="8"/>
  <c r="AA245" i="8"/>
  <c r="Z245" i="8"/>
  <c r="V245" i="8"/>
  <c r="U245" i="8"/>
  <c r="H245" i="8"/>
  <c r="G245" i="8"/>
  <c r="F245" i="8"/>
  <c r="AC245" i="8"/>
  <c r="AB245" i="8"/>
  <c r="P245" i="8"/>
  <c r="N245" i="8"/>
  <c r="L245" i="8"/>
  <c r="O245" i="8"/>
  <c r="M245" i="8"/>
  <c r="K245" i="8"/>
  <c r="AE245" i="8"/>
  <c r="Y245" i="8"/>
  <c r="X245" i="8"/>
  <c r="Q245" i="8"/>
  <c r="I245" i="8"/>
  <c r="J245" i="8"/>
  <c r="R245" i="8"/>
  <c r="W245" i="8"/>
  <c r="T245" i="8"/>
  <c r="S245" i="8"/>
  <c r="AB311" i="8"/>
  <c r="F311" i="8"/>
  <c r="K311" i="8"/>
  <c r="T311" i="8"/>
  <c r="S311" i="8"/>
  <c r="O311" i="8"/>
  <c r="N311" i="8"/>
  <c r="J311" i="8"/>
  <c r="I311" i="8"/>
  <c r="G311" i="8"/>
  <c r="H311" i="8"/>
  <c r="W311" i="8"/>
  <c r="U311" i="8"/>
  <c r="P311" i="8"/>
  <c r="V311" i="8"/>
  <c r="R311" i="8"/>
  <c r="Q311" i="8"/>
  <c r="AE311" i="8"/>
  <c r="AC311" i="8"/>
  <c r="AA311" i="8"/>
  <c r="Z311" i="8"/>
  <c r="L311" i="8"/>
  <c r="Y311" i="8"/>
  <c r="X311" i="8"/>
  <c r="M311" i="8"/>
  <c r="R214" i="8"/>
  <c r="Q214" i="8"/>
  <c r="Y214" i="8"/>
  <c r="X214" i="8"/>
  <c r="Z214" i="8"/>
  <c r="H214" i="8"/>
  <c r="G214" i="8"/>
  <c r="F214" i="8"/>
  <c r="AE214" i="8"/>
  <c r="I214" i="8"/>
  <c r="V214" i="8"/>
  <c r="S214" i="8"/>
  <c r="U214" i="8"/>
  <c r="T214" i="8"/>
  <c r="P214" i="8"/>
  <c r="O214" i="8"/>
  <c r="N214" i="8"/>
  <c r="M214" i="8"/>
  <c r="J214" i="8"/>
  <c r="K214" i="8"/>
  <c r="AC214" i="8"/>
  <c r="AB214" i="8"/>
  <c r="AA214" i="8"/>
  <c r="W214" i="8"/>
  <c r="L214" i="8"/>
  <c r="I292" i="8"/>
  <c r="H292" i="8"/>
  <c r="AB292" i="8"/>
  <c r="AA292" i="8"/>
  <c r="AC292" i="8"/>
  <c r="J292" i="8"/>
  <c r="G292" i="8"/>
  <c r="U292" i="8"/>
  <c r="T292" i="8"/>
  <c r="S292" i="8"/>
  <c r="V292" i="8"/>
  <c r="P292" i="8"/>
  <c r="M292" i="8"/>
  <c r="O292" i="8"/>
  <c r="N292" i="8"/>
  <c r="L292" i="8"/>
  <c r="K292" i="8"/>
  <c r="R292" i="8"/>
  <c r="Q292" i="8"/>
  <c r="Y292" i="8"/>
  <c r="X292" i="8"/>
  <c r="Z292" i="8"/>
  <c r="W292" i="8"/>
  <c r="F292" i="8"/>
  <c r="AE292" i="8" s="1"/>
  <c r="P113" i="8"/>
  <c r="O113" i="8"/>
  <c r="V113" i="8"/>
  <c r="K113" i="8"/>
  <c r="J113" i="8"/>
  <c r="AA113" i="8"/>
  <c r="X113" i="8"/>
  <c r="W113" i="8"/>
  <c r="Z113" i="8"/>
  <c r="Y113" i="8"/>
  <c r="F113" i="8"/>
  <c r="M113" i="8"/>
  <c r="H113" i="8"/>
  <c r="G113" i="8"/>
  <c r="L113" i="8"/>
  <c r="I113" i="8"/>
  <c r="U113" i="8"/>
  <c r="R113" i="8"/>
  <c r="Q113" i="8"/>
  <c r="AC113" i="8"/>
  <c r="T113" i="8"/>
  <c r="S113" i="8"/>
  <c r="AE113" i="8"/>
  <c r="AB113" i="8"/>
  <c r="N113" i="8"/>
  <c r="Q254" i="8"/>
  <c r="P254" i="8"/>
  <c r="K254" i="8"/>
  <c r="J254" i="8"/>
  <c r="T254" i="8"/>
  <c r="S254" i="8"/>
  <c r="L254" i="8"/>
  <c r="I254" i="8"/>
  <c r="Z254" i="8"/>
  <c r="Y254" i="8"/>
  <c r="W254" i="8"/>
  <c r="G254" i="8"/>
  <c r="F254" i="8"/>
  <c r="O254" i="8"/>
  <c r="N254" i="8"/>
  <c r="AE254" i="8"/>
  <c r="AC254" i="8"/>
  <c r="AB254" i="8"/>
  <c r="AA254" i="8"/>
  <c r="X254" i="8"/>
  <c r="V254" i="8"/>
  <c r="R254" i="8"/>
  <c r="M254" i="8"/>
  <c r="U254" i="8"/>
  <c r="H254" i="8"/>
  <c r="AA278" i="8"/>
  <c r="Z278" i="8"/>
  <c r="L278" i="8"/>
  <c r="K278" i="8"/>
  <c r="AC278" i="8"/>
  <c r="AB278" i="8"/>
  <c r="Y278" i="8"/>
  <c r="X278" i="8"/>
  <c r="O278" i="8"/>
  <c r="N278" i="8"/>
  <c r="M278" i="8"/>
  <c r="H278" i="8"/>
  <c r="F278" i="8"/>
  <c r="G278" i="8"/>
  <c r="V278" i="8"/>
  <c r="U278" i="8"/>
  <c r="AE278" i="8"/>
  <c r="S278" i="8"/>
  <c r="Q278" i="8"/>
  <c r="I278" i="8"/>
  <c r="W278" i="8"/>
  <c r="T278" i="8"/>
  <c r="R278" i="8"/>
  <c r="P278" i="8"/>
  <c r="J278" i="8"/>
  <c r="X130" i="8"/>
  <c r="W130" i="8"/>
  <c r="AA130" i="8"/>
  <c r="K130" i="8"/>
  <c r="J130" i="8"/>
  <c r="O130" i="8"/>
  <c r="M130" i="8"/>
  <c r="I130" i="8"/>
  <c r="N130" i="8"/>
  <c r="L130" i="8"/>
  <c r="Y130" i="8"/>
  <c r="V130" i="8"/>
  <c r="AE130" i="8"/>
  <c r="AC130" i="8"/>
  <c r="AB130" i="8"/>
  <c r="Z130" i="8"/>
  <c r="U130" i="8"/>
  <c r="S130" i="8"/>
  <c r="T130" i="8"/>
  <c r="R130" i="8"/>
  <c r="Q130" i="8"/>
  <c r="H130" i="8"/>
  <c r="F130" i="8"/>
  <c r="G130" i="8"/>
  <c r="P130" i="8"/>
  <c r="R164" i="8"/>
  <c r="Q164" i="8"/>
  <c r="K164" i="8"/>
  <c r="L164" i="8"/>
  <c r="J164" i="8"/>
  <c r="V164" i="8"/>
  <c r="T164" i="8"/>
  <c r="P164" i="8"/>
  <c r="U164" i="8"/>
  <c r="S164" i="8"/>
  <c r="N164" i="8"/>
  <c r="I164" i="8"/>
  <c r="G164" i="8"/>
  <c r="F164" i="8"/>
  <c r="M164" i="8"/>
  <c r="H164" i="8"/>
  <c r="AB164" i="8"/>
  <c r="AA164" i="8"/>
  <c r="Z164" i="8"/>
  <c r="X164" i="8"/>
  <c r="W164" i="8"/>
  <c r="AE164" i="8"/>
  <c r="AC164" i="8"/>
  <c r="Y164" i="8"/>
  <c r="O164" i="8"/>
  <c r="T182" i="8"/>
  <c r="S182" i="8"/>
  <c r="K182" i="8"/>
  <c r="H182" i="8"/>
  <c r="G182" i="8"/>
  <c r="I182" i="8"/>
  <c r="F182" i="8"/>
  <c r="AE182" i="8" s="1"/>
  <c r="P182" i="8"/>
  <c r="O182" i="8"/>
  <c r="AA182" i="8"/>
  <c r="Z182" i="8"/>
  <c r="Y182" i="8"/>
  <c r="AC182" i="8"/>
  <c r="AB182" i="8"/>
  <c r="X182" i="8"/>
  <c r="W182" i="8"/>
  <c r="V182" i="8"/>
  <c r="U182" i="8"/>
  <c r="R182" i="8"/>
  <c r="N182" i="8"/>
  <c r="Q182" i="8"/>
  <c r="M182" i="8"/>
  <c r="L182" i="8"/>
  <c r="J182" i="8"/>
  <c r="N194" i="8"/>
  <c r="M194" i="8"/>
  <c r="K194" i="8"/>
  <c r="X194" i="8"/>
  <c r="W194" i="8"/>
  <c r="AB194" i="8"/>
  <c r="Z194" i="8"/>
  <c r="Y194" i="8"/>
  <c r="V194" i="8"/>
  <c r="AA194" i="8"/>
  <c r="I194" i="8"/>
  <c r="H194" i="8"/>
  <c r="T194" i="8"/>
  <c r="P194" i="8"/>
  <c r="O194" i="8"/>
  <c r="S194" i="8"/>
  <c r="R194" i="8"/>
  <c r="Q194" i="8"/>
  <c r="L194" i="8"/>
  <c r="J194" i="8"/>
  <c r="AC194" i="8"/>
  <c r="U194" i="8"/>
  <c r="G194" i="8"/>
  <c r="AE194" i="8"/>
  <c r="F194" i="8"/>
  <c r="P335" i="8"/>
  <c r="AE335" i="8"/>
  <c r="G335" i="8"/>
  <c r="AC335" i="8"/>
  <c r="F335" i="8"/>
  <c r="AA335" i="8"/>
  <c r="Z335" i="8"/>
  <c r="W335" i="8"/>
  <c r="V335" i="8"/>
  <c r="U335" i="8"/>
  <c r="T335" i="8"/>
  <c r="S335" i="8"/>
  <c r="N335" i="8"/>
  <c r="M335" i="8"/>
  <c r="L335" i="8"/>
  <c r="AB335" i="8"/>
  <c r="Y335" i="8"/>
  <c r="X335" i="8"/>
  <c r="R335" i="8"/>
  <c r="Q335" i="8"/>
  <c r="J335" i="8"/>
  <c r="I335" i="8"/>
  <c r="H335" i="8"/>
  <c r="K335" i="8"/>
  <c r="O335" i="8"/>
  <c r="L121" i="8"/>
  <c r="K121" i="8"/>
  <c r="O121" i="8"/>
  <c r="N121" i="8"/>
  <c r="M121" i="8"/>
  <c r="V121" i="8"/>
  <c r="S121" i="8"/>
  <c r="U121" i="8"/>
  <c r="T121" i="8"/>
  <c r="R121" i="8"/>
  <c r="AC121" i="8"/>
  <c r="AB121" i="8"/>
  <c r="W121" i="8"/>
  <c r="J121" i="8"/>
  <c r="H121" i="8"/>
  <c r="Q121" i="8"/>
  <c r="P121" i="8"/>
  <c r="I121" i="8"/>
  <c r="G121" i="8"/>
  <c r="F121" i="8"/>
  <c r="Z121" i="8"/>
  <c r="X121" i="8"/>
  <c r="Y121" i="8"/>
  <c r="AE121" i="8"/>
  <c r="AA121" i="8"/>
  <c r="P201" i="8"/>
  <c r="O201" i="8"/>
  <c r="H201" i="8"/>
  <c r="AB201" i="8"/>
  <c r="AA201" i="8"/>
  <c r="V201" i="8"/>
  <c r="T201" i="8"/>
  <c r="U201" i="8"/>
  <c r="S201" i="8"/>
  <c r="R201" i="8"/>
  <c r="Z201" i="8"/>
  <c r="Y201" i="8"/>
  <c r="N201" i="8"/>
  <c r="K201" i="8"/>
  <c r="J201" i="8"/>
  <c r="M201" i="8"/>
  <c r="L201" i="8"/>
  <c r="I201" i="8"/>
  <c r="G201" i="8"/>
  <c r="F201" i="8"/>
  <c r="Q201" i="8"/>
  <c r="AE201" i="8"/>
  <c r="AC201" i="8"/>
  <c r="X201" i="8"/>
  <c r="W201" i="8"/>
  <c r="V200" i="8"/>
  <c r="U200" i="8"/>
  <c r="L200" i="8"/>
  <c r="F200" i="8"/>
  <c r="AE200" i="8" s="1"/>
  <c r="X200" i="8"/>
  <c r="T200" i="8"/>
  <c r="S200" i="8"/>
  <c r="R200" i="8"/>
  <c r="W200" i="8"/>
  <c r="P200" i="8"/>
  <c r="O200" i="8"/>
  <c r="H200" i="8"/>
  <c r="G200" i="8"/>
  <c r="AC200" i="8"/>
  <c r="Q200" i="8"/>
  <c r="AB200" i="8"/>
  <c r="AA200" i="8"/>
  <c r="Z200" i="8"/>
  <c r="Y200" i="8"/>
  <c r="N200" i="8"/>
  <c r="M200" i="8"/>
  <c r="J200" i="8"/>
  <c r="K200" i="8"/>
  <c r="I200" i="8"/>
  <c r="V79" i="8"/>
  <c r="O79" i="8"/>
  <c r="Q79" i="8"/>
  <c r="P79" i="8"/>
  <c r="AB79" i="8"/>
  <c r="Z79" i="8"/>
  <c r="AA79" i="8"/>
  <c r="Y79" i="8"/>
  <c r="X79" i="8"/>
  <c r="G79" i="8"/>
  <c r="F79" i="8"/>
  <c r="AE79" i="8" s="1"/>
  <c r="S79" i="8"/>
  <c r="N79" i="8"/>
  <c r="L79" i="8"/>
  <c r="K79" i="8"/>
  <c r="R79" i="8"/>
  <c r="M79" i="8"/>
  <c r="J79" i="8"/>
  <c r="I79" i="8"/>
  <c r="H79" i="8"/>
  <c r="U79" i="8"/>
  <c r="AC79" i="8"/>
  <c r="W79" i="8"/>
  <c r="T79" i="8"/>
  <c r="L77" i="8"/>
  <c r="Y77" i="8"/>
  <c r="X77" i="8"/>
  <c r="W77" i="8"/>
  <c r="AE77" i="8"/>
  <c r="AC77" i="8"/>
  <c r="AB77" i="8"/>
  <c r="AA77" i="8"/>
  <c r="V77" i="8"/>
  <c r="U77" i="8"/>
  <c r="Z77" i="8"/>
  <c r="S77" i="8"/>
  <c r="P77" i="8"/>
  <c r="T77" i="8"/>
  <c r="R77" i="8"/>
  <c r="Q77" i="8"/>
  <c r="O77" i="8"/>
  <c r="N77" i="8"/>
  <c r="M77" i="8"/>
  <c r="K77" i="8"/>
  <c r="J77" i="8"/>
  <c r="I77" i="8"/>
  <c r="F77" i="8"/>
  <c r="H77" i="8"/>
  <c r="G77" i="8"/>
  <c r="Z192" i="8"/>
  <c r="Y192" i="8"/>
  <c r="S192" i="8"/>
  <c r="AC192" i="8"/>
  <c r="AB192" i="8"/>
  <c r="X192" i="8"/>
  <c r="W192" i="8"/>
  <c r="V192" i="8"/>
  <c r="AA192" i="8"/>
  <c r="F192" i="8"/>
  <c r="AE192" i="8" s="1"/>
  <c r="Q192" i="8"/>
  <c r="U192" i="8"/>
  <c r="T192" i="8"/>
  <c r="R192" i="8"/>
  <c r="P192" i="8"/>
  <c r="O192" i="8"/>
  <c r="N192" i="8"/>
  <c r="M192" i="8"/>
  <c r="G192" i="8"/>
  <c r="L192" i="8"/>
  <c r="K192" i="8"/>
  <c r="J192" i="8"/>
  <c r="I192" i="8"/>
  <c r="H192" i="8"/>
  <c r="V145" i="8"/>
  <c r="U145" i="8"/>
  <c r="N145" i="8"/>
  <c r="Q145" i="8"/>
  <c r="P145" i="8"/>
  <c r="AC145" i="8"/>
  <c r="AE145" i="8"/>
  <c r="AB145" i="8"/>
  <c r="H145" i="8"/>
  <c r="G145" i="8"/>
  <c r="R145" i="8"/>
  <c r="L145" i="8"/>
  <c r="K145" i="8"/>
  <c r="J145" i="8"/>
  <c r="O145" i="8"/>
  <c r="M145" i="8"/>
  <c r="I145" i="8"/>
  <c r="F145" i="8"/>
  <c r="AA145" i="8"/>
  <c r="S145" i="8"/>
  <c r="Y145" i="8"/>
  <c r="X145" i="8"/>
  <c r="W145" i="8"/>
  <c r="Z145" i="8"/>
  <c r="T145" i="8"/>
  <c r="U206" i="8"/>
  <c r="I206" i="8"/>
  <c r="H206" i="8"/>
  <c r="N206" i="8"/>
  <c r="P206" i="8"/>
  <c r="O206" i="8"/>
  <c r="W206" i="8"/>
  <c r="T206" i="8"/>
  <c r="S206" i="8"/>
  <c r="R206" i="8"/>
  <c r="Q206" i="8"/>
  <c r="V206" i="8"/>
  <c r="AE206" i="8"/>
  <c r="AC206" i="8"/>
  <c r="AB206" i="8"/>
  <c r="AA206" i="8"/>
  <c r="Z206" i="8"/>
  <c r="Y206" i="8"/>
  <c r="X206" i="8"/>
  <c r="M206" i="8"/>
  <c r="K206" i="8"/>
  <c r="J206" i="8"/>
  <c r="G206" i="8"/>
  <c r="F206" i="8"/>
  <c r="L206" i="8"/>
  <c r="U57" i="8"/>
  <c r="Q3" i="14" s="1"/>
  <c r="S57" i="8"/>
  <c r="O3" i="14" s="1"/>
  <c r="R57" i="8"/>
  <c r="N3" i="14" s="1"/>
  <c r="Y57" i="8"/>
  <c r="U3" i="14" s="1"/>
  <c r="W57" i="8"/>
  <c r="S3" i="14" s="1"/>
  <c r="T57" i="8"/>
  <c r="P3" i="14" s="1"/>
  <c r="X57" i="8"/>
  <c r="T3" i="14" s="1"/>
  <c r="V57" i="8"/>
  <c r="R3" i="14" s="1"/>
  <c r="AC57" i="8"/>
  <c r="Y3" i="14" s="1"/>
  <c r="AB57" i="8"/>
  <c r="X3" i="14" s="1"/>
  <c r="AA57" i="8"/>
  <c r="W3" i="14" s="1"/>
  <c r="Z57" i="8"/>
  <c r="V3" i="14" s="1"/>
  <c r="Q57" i="8"/>
  <c r="M3" i="14" s="1"/>
  <c r="G57" i="8"/>
  <c r="C3" i="14" s="1"/>
  <c r="N57" i="8"/>
  <c r="J3" i="14" s="1"/>
  <c r="F57" i="8"/>
  <c r="B3" i="14" s="1"/>
  <c r="M57" i="8"/>
  <c r="I3" i="14" s="1"/>
  <c r="K57" i="8"/>
  <c r="G3" i="14" s="1"/>
  <c r="J57" i="8"/>
  <c r="F3" i="14" s="1"/>
  <c r="P57" i="8"/>
  <c r="L3" i="14" s="1"/>
  <c r="O57" i="8"/>
  <c r="K3" i="14" s="1"/>
  <c r="L57" i="8"/>
  <c r="H3" i="14" s="1"/>
  <c r="I57" i="8"/>
  <c r="E3" i="14" s="1"/>
  <c r="H57" i="8"/>
  <c r="D3" i="14" s="1"/>
  <c r="Q302" i="8"/>
  <c r="P302" i="8"/>
  <c r="O302" i="8"/>
  <c r="M302" i="8"/>
  <c r="L302" i="8"/>
  <c r="N302" i="8"/>
  <c r="K302" i="8"/>
  <c r="T302" i="8"/>
  <c r="S302" i="8"/>
  <c r="AC302" i="8"/>
  <c r="AB302" i="8"/>
  <c r="AA302" i="8"/>
  <c r="W302" i="8"/>
  <c r="I302" i="8"/>
  <c r="V302" i="8"/>
  <c r="U302" i="8"/>
  <c r="R302" i="8"/>
  <c r="J302" i="8"/>
  <c r="H302" i="8"/>
  <c r="G302" i="8"/>
  <c r="Y302" i="8"/>
  <c r="AE302" i="8"/>
  <c r="X302" i="8"/>
  <c r="F302" i="8"/>
  <c r="Z302" i="8"/>
  <c r="P135" i="8"/>
  <c r="O135" i="8"/>
  <c r="F135" i="8"/>
  <c r="AE135" i="8" s="1"/>
  <c r="V135" i="8"/>
  <c r="U135" i="8"/>
  <c r="K135" i="8"/>
  <c r="H135" i="8"/>
  <c r="J135" i="8"/>
  <c r="I135" i="8"/>
  <c r="G135" i="8"/>
  <c r="Z135" i="8"/>
  <c r="Y135" i="8"/>
  <c r="N135" i="8"/>
  <c r="M135" i="8"/>
  <c r="L135" i="8"/>
  <c r="R135" i="8"/>
  <c r="Q135" i="8"/>
  <c r="AA135" i="8"/>
  <c r="X135" i="8"/>
  <c r="W135" i="8"/>
  <c r="AC135" i="8"/>
  <c r="AB135" i="8"/>
  <c r="T135" i="8"/>
  <c r="S135" i="8"/>
  <c r="X330" i="8"/>
  <c r="I330" i="8"/>
  <c r="H330" i="8"/>
  <c r="Q330" i="8"/>
  <c r="P330" i="8"/>
  <c r="F330" i="8"/>
  <c r="V330" i="8"/>
  <c r="U330" i="8"/>
  <c r="O330" i="8"/>
  <c r="N330" i="8"/>
  <c r="M330" i="8"/>
  <c r="AE330" i="8"/>
  <c r="K330" i="8"/>
  <c r="J330" i="8"/>
  <c r="AC330" i="8"/>
  <c r="AB330" i="8"/>
  <c r="AA330" i="8"/>
  <c r="Z330" i="8"/>
  <c r="T330" i="8"/>
  <c r="L330" i="8"/>
  <c r="S330" i="8"/>
  <c r="R330" i="8"/>
  <c r="G330" i="8"/>
  <c r="W330" i="8"/>
  <c r="Y330" i="8"/>
  <c r="N139" i="8"/>
  <c r="M139" i="8"/>
  <c r="O139" i="8"/>
  <c r="I139" i="8"/>
  <c r="H139" i="8"/>
  <c r="J139" i="8"/>
  <c r="F139" i="8"/>
  <c r="AE139" i="8" s="1"/>
  <c r="G139" i="8"/>
  <c r="T139" i="8"/>
  <c r="S139" i="8"/>
  <c r="Q139" i="8"/>
  <c r="L139" i="8"/>
  <c r="K139" i="8"/>
  <c r="P139" i="8"/>
  <c r="R139" i="8"/>
  <c r="W139" i="8"/>
  <c r="AC139" i="8"/>
  <c r="V139" i="8"/>
  <c r="U139" i="8"/>
  <c r="AB139" i="8"/>
  <c r="AA139" i="8"/>
  <c r="Z139" i="8"/>
  <c r="X139" i="8"/>
  <c r="Y139" i="8"/>
  <c r="L143" i="8"/>
  <c r="K143" i="8"/>
  <c r="W143" i="8"/>
  <c r="X143" i="8"/>
  <c r="V143" i="8"/>
  <c r="F143" i="8"/>
  <c r="AE143" i="8"/>
  <c r="AC143" i="8"/>
  <c r="H143" i="8"/>
  <c r="G143" i="8"/>
  <c r="AB143" i="8"/>
  <c r="I143" i="8"/>
  <c r="Z143" i="8"/>
  <c r="Y143" i="8"/>
  <c r="T143" i="8"/>
  <c r="P143" i="8"/>
  <c r="AA143" i="8"/>
  <c r="U143" i="8"/>
  <c r="S143" i="8"/>
  <c r="R143" i="8"/>
  <c r="J143" i="8"/>
  <c r="O143" i="8"/>
  <c r="Q143" i="8"/>
  <c r="N143" i="8"/>
  <c r="M143" i="8"/>
  <c r="R331" i="8"/>
  <c r="AA331" i="8"/>
  <c r="Z331" i="8"/>
  <c r="M331" i="8"/>
  <c r="L331" i="8"/>
  <c r="F331" i="8"/>
  <c r="AE331" i="8" s="1"/>
  <c r="V331" i="8"/>
  <c r="U331" i="8"/>
  <c r="I331" i="8"/>
  <c r="H331" i="8"/>
  <c r="W331" i="8"/>
  <c r="T331" i="8"/>
  <c r="S331" i="8"/>
  <c r="P331" i="8"/>
  <c r="K331" i="8"/>
  <c r="G331" i="8"/>
  <c r="J331" i="8"/>
  <c r="O331" i="8"/>
  <c r="N331" i="8"/>
  <c r="AC331" i="8"/>
  <c r="Q331" i="8"/>
  <c r="AB331" i="8"/>
  <c r="Y331" i="8"/>
  <c r="X331" i="8"/>
  <c r="T210" i="8"/>
  <c r="S210" i="8"/>
  <c r="O210" i="8"/>
  <c r="N210" i="8"/>
  <c r="J210" i="8"/>
  <c r="I210" i="8"/>
  <c r="AB210" i="8"/>
  <c r="Z210" i="8"/>
  <c r="Y210" i="8"/>
  <c r="X210" i="8"/>
  <c r="AA210" i="8"/>
  <c r="W210" i="8"/>
  <c r="K210" i="8"/>
  <c r="H210" i="8"/>
  <c r="G210" i="8"/>
  <c r="F210" i="8"/>
  <c r="V210" i="8"/>
  <c r="Q210" i="8"/>
  <c r="P210" i="8"/>
  <c r="U210" i="8"/>
  <c r="R210" i="8"/>
  <c r="M210" i="8"/>
  <c r="L210" i="8"/>
  <c r="AE210" i="8"/>
  <c r="AC210" i="8"/>
  <c r="U290" i="8"/>
  <c r="T290" i="8"/>
  <c r="L290" i="8"/>
  <c r="K290" i="8"/>
  <c r="G290" i="8"/>
  <c r="F290" i="8"/>
  <c r="I290" i="8"/>
  <c r="H290" i="8"/>
  <c r="R290" i="8"/>
  <c r="Q290" i="8"/>
  <c r="P290" i="8"/>
  <c r="AB290" i="8"/>
  <c r="AE290" i="8"/>
  <c r="AC290" i="8"/>
  <c r="Y290" i="8"/>
  <c r="X290" i="8"/>
  <c r="V290" i="8"/>
  <c r="AA290" i="8"/>
  <c r="Z290" i="8"/>
  <c r="W290" i="8"/>
  <c r="S290" i="8"/>
  <c r="O290" i="8"/>
  <c r="N290" i="8"/>
  <c r="J290" i="8"/>
  <c r="M290" i="8"/>
  <c r="P146" i="8"/>
  <c r="O146" i="8"/>
  <c r="J146" i="8"/>
  <c r="N146" i="8"/>
  <c r="M146" i="8"/>
  <c r="AC146" i="8"/>
  <c r="AA146" i="8"/>
  <c r="AE146" i="8"/>
  <c r="AB146" i="8"/>
  <c r="L146" i="8"/>
  <c r="K146" i="8"/>
  <c r="Y146" i="8"/>
  <c r="W146" i="8"/>
  <c r="V146" i="8"/>
  <c r="U146" i="8"/>
  <c r="T146" i="8"/>
  <c r="X146" i="8"/>
  <c r="S146" i="8"/>
  <c r="R146" i="8"/>
  <c r="Z146" i="8"/>
  <c r="I146" i="8"/>
  <c r="H146" i="8"/>
  <c r="G146" i="8"/>
  <c r="Q146" i="8"/>
  <c r="F146" i="8"/>
  <c r="W286" i="8"/>
  <c r="V286" i="8"/>
  <c r="AC286" i="8"/>
  <c r="AB286" i="8"/>
  <c r="N286" i="8"/>
  <c r="M286" i="8"/>
  <c r="F286" i="8"/>
  <c r="G286" i="8"/>
  <c r="O286" i="8"/>
  <c r="AE286" i="8"/>
  <c r="AA286" i="8"/>
  <c r="Z286" i="8"/>
  <c r="X286" i="8"/>
  <c r="Y286" i="8"/>
  <c r="U286" i="8"/>
  <c r="T286" i="8"/>
  <c r="J286" i="8"/>
  <c r="P286" i="8"/>
  <c r="I286" i="8"/>
  <c r="H286" i="8"/>
  <c r="S286" i="8"/>
  <c r="R286" i="8"/>
  <c r="Q286" i="8"/>
  <c r="L286" i="8"/>
  <c r="K286" i="8"/>
  <c r="AA289" i="8"/>
  <c r="Z289" i="8"/>
  <c r="P289" i="8"/>
  <c r="O289" i="8"/>
  <c r="I289" i="8"/>
  <c r="H289" i="8"/>
  <c r="G289" i="8"/>
  <c r="F289" i="8"/>
  <c r="N289" i="8"/>
  <c r="M289" i="8"/>
  <c r="L289" i="8"/>
  <c r="Y289" i="8"/>
  <c r="V289" i="8"/>
  <c r="U289" i="8"/>
  <c r="X289" i="8"/>
  <c r="W289" i="8"/>
  <c r="T289" i="8"/>
  <c r="AE289" i="8"/>
  <c r="AC289" i="8"/>
  <c r="AB289" i="8"/>
  <c r="R289" i="8"/>
  <c r="Q289" i="8"/>
  <c r="K289" i="8"/>
  <c r="J289" i="8"/>
  <c r="S289" i="8"/>
  <c r="K233" i="8"/>
  <c r="J233" i="8"/>
  <c r="W233" i="8"/>
  <c r="V233" i="8"/>
  <c r="AE233" i="8"/>
  <c r="AC233" i="8"/>
  <c r="Z233" i="8"/>
  <c r="Y233" i="8"/>
  <c r="U233" i="8"/>
  <c r="T233" i="8"/>
  <c r="G233" i="8"/>
  <c r="F233" i="8"/>
  <c r="H233" i="8"/>
  <c r="X233" i="8"/>
  <c r="R233" i="8"/>
  <c r="AB233" i="8"/>
  <c r="AA233" i="8"/>
  <c r="S233" i="8"/>
  <c r="Q233" i="8"/>
  <c r="P233" i="8"/>
  <c r="N233" i="8"/>
  <c r="M233" i="8"/>
  <c r="I233" i="8"/>
  <c r="O233" i="8"/>
  <c r="L233" i="8"/>
  <c r="AC241" i="8"/>
  <c r="G241" i="8"/>
  <c r="AB241" i="8"/>
  <c r="F241" i="8"/>
  <c r="O241" i="8"/>
  <c r="N241" i="8"/>
  <c r="P241" i="8"/>
  <c r="M241" i="8"/>
  <c r="U241" i="8"/>
  <c r="T241" i="8"/>
  <c r="R241" i="8"/>
  <c r="Z241" i="8"/>
  <c r="X241" i="8"/>
  <c r="V241" i="8"/>
  <c r="S241" i="8"/>
  <c r="Y241" i="8"/>
  <c r="W241" i="8"/>
  <c r="I241" i="8"/>
  <c r="H241" i="8"/>
  <c r="L241" i="8"/>
  <c r="AE241" i="8"/>
  <c r="K241" i="8"/>
  <c r="J241" i="8"/>
  <c r="AA241" i="8"/>
  <c r="Q241" i="8"/>
  <c r="I307" i="8"/>
  <c r="N307" i="8"/>
  <c r="M307" i="8"/>
  <c r="X307" i="8"/>
  <c r="W307" i="8"/>
  <c r="J307" i="8"/>
  <c r="H307" i="8"/>
  <c r="AA307" i="8"/>
  <c r="Z307" i="8"/>
  <c r="T307" i="8"/>
  <c r="S307" i="8"/>
  <c r="R307" i="8"/>
  <c r="P307" i="8"/>
  <c r="K307" i="8"/>
  <c r="F307" i="8"/>
  <c r="O307" i="8"/>
  <c r="L307" i="8"/>
  <c r="G307" i="8"/>
  <c r="AE307" i="8"/>
  <c r="AC307" i="8"/>
  <c r="U307" i="8"/>
  <c r="Q307" i="8"/>
  <c r="Y307" i="8"/>
  <c r="AB307" i="8"/>
  <c r="V307" i="8"/>
  <c r="L310" i="8"/>
  <c r="P310" i="8"/>
  <c r="X310" i="8"/>
  <c r="W310" i="8"/>
  <c r="Q310" i="8"/>
  <c r="O310" i="8"/>
  <c r="I310" i="8"/>
  <c r="H310" i="8"/>
  <c r="M310" i="8"/>
  <c r="J310" i="8"/>
  <c r="G310" i="8"/>
  <c r="K310" i="8"/>
  <c r="F310" i="8"/>
  <c r="T310" i="8"/>
  <c r="S310" i="8"/>
  <c r="U310" i="8"/>
  <c r="R310" i="8"/>
  <c r="N310" i="8"/>
  <c r="V310" i="8"/>
  <c r="AB310" i="8"/>
  <c r="AA310" i="8"/>
  <c r="Z310" i="8"/>
  <c r="Y310" i="8"/>
  <c r="AE310" i="8"/>
  <c r="AC310" i="8"/>
  <c r="X213" i="8"/>
  <c r="W213" i="8"/>
  <c r="AC213" i="8"/>
  <c r="AB213" i="8"/>
  <c r="Z213" i="8"/>
  <c r="I213" i="8"/>
  <c r="H213" i="8"/>
  <c r="AE213" i="8"/>
  <c r="AA213" i="8"/>
  <c r="N213" i="8"/>
  <c r="J213" i="8"/>
  <c r="G213" i="8"/>
  <c r="M213" i="8"/>
  <c r="L213" i="8"/>
  <c r="K213" i="8"/>
  <c r="F213" i="8"/>
  <c r="V213" i="8"/>
  <c r="Y213" i="8"/>
  <c r="U213" i="8"/>
  <c r="T213" i="8"/>
  <c r="S213" i="8"/>
  <c r="R213" i="8"/>
  <c r="Q213" i="8"/>
  <c r="O213" i="8"/>
  <c r="P213" i="8"/>
  <c r="V112" i="8"/>
  <c r="U112" i="8"/>
  <c r="Z112" i="8"/>
  <c r="N112" i="8"/>
  <c r="M112" i="8"/>
  <c r="AB112" i="8"/>
  <c r="Y112" i="8"/>
  <c r="AA112" i="8"/>
  <c r="X112" i="8"/>
  <c r="W112" i="8"/>
  <c r="F112" i="8"/>
  <c r="AC112" i="8"/>
  <c r="S112" i="8"/>
  <c r="Q112" i="8"/>
  <c r="P112" i="8"/>
  <c r="AE112" i="8"/>
  <c r="T112" i="8"/>
  <c r="R112" i="8"/>
  <c r="O112" i="8"/>
  <c r="J112" i="8"/>
  <c r="H112" i="8"/>
  <c r="G112" i="8"/>
  <c r="I112" i="8"/>
  <c r="L112" i="8"/>
  <c r="K112" i="8"/>
  <c r="U257" i="8"/>
  <c r="T257" i="8"/>
  <c r="X257" i="8"/>
  <c r="W257" i="8"/>
  <c r="L257" i="8"/>
  <c r="K257" i="8"/>
  <c r="N257" i="8"/>
  <c r="M257" i="8"/>
  <c r="F257" i="8"/>
  <c r="AB257" i="8"/>
  <c r="AA257" i="8"/>
  <c r="AE257" i="8"/>
  <c r="AC257" i="8"/>
  <c r="Z257" i="8"/>
  <c r="Y257" i="8"/>
  <c r="V257" i="8"/>
  <c r="J257" i="8"/>
  <c r="I257" i="8"/>
  <c r="H257" i="8"/>
  <c r="G257" i="8"/>
  <c r="S257" i="8"/>
  <c r="R257" i="8"/>
  <c r="Q257" i="8"/>
  <c r="P257" i="8"/>
  <c r="O257" i="8"/>
  <c r="W253" i="8"/>
  <c r="V253" i="8"/>
  <c r="O253" i="8"/>
  <c r="N253" i="8"/>
  <c r="T253" i="8"/>
  <c r="S253" i="8"/>
  <c r="J253" i="8"/>
  <c r="I253" i="8"/>
  <c r="X253" i="8"/>
  <c r="U253" i="8"/>
  <c r="M253" i="8"/>
  <c r="AE253" i="8"/>
  <c r="R253" i="8"/>
  <c r="L253" i="8"/>
  <c r="K253" i="8"/>
  <c r="Q253" i="8"/>
  <c r="P253" i="8"/>
  <c r="H253" i="8"/>
  <c r="G253" i="8"/>
  <c r="F253" i="8"/>
  <c r="Y253" i="8"/>
  <c r="AC253" i="8"/>
  <c r="Z253" i="8"/>
  <c r="AB253" i="8"/>
  <c r="AA253" i="8"/>
  <c r="P168" i="8"/>
  <c r="O168" i="8"/>
  <c r="T168" i="8"/>
  <c r="Y168" i="8"/>
  <c r="X168" i="8"/>
  <c r="N168" i="8"/>
  <c r="L168" i="8"/>
  <c r="K168" i="8"/>
  <c r="J168" i="8"/>
  <c r="M168" i="8"/>
  <c r="AB168" i="8"/>
  <c r="AA168" i="8"/>
  <c r="R168" i="8"/>
  <c r="H168" i="8"/>
  <c r="F168" i="8"/>
  <c r="Q168" i="8"/>
  <c r="I168" i="8"/>
  <c r="G168" i="8"/>
  <c r="V168" i="8"/>
  <c r="AE168" i="8"/>
  <c r="U168" i="8"/>
  <c r="S168" i="8"/>
  <c r="AC168" i="8"/>
  <c r="W168" i="8"/>
  <c r="Z168" i="8"/>
  <c r="X185" i="8"/>
  <c r="W185" i="8"/>
  <c r="Y185" i="8"/>
  <c r="Z185" i="8"/>
  <c r="V185" i="8"/>
  <c r="G185" i="8"/>
  <c r="F185" i="8"/>
  <c r="AE185" i="8" s="1"/>
  <c r="AA185" i="8"/>
  <c r="U185" i="8"/>
  <c r="P185" i="8"/>
  <c r="K185" i="8"/>
  <c r="O185" i="8"/>
  <c r="N185" i="8"/>
  <c r="M185" i="8"/>
  <c r="L185" i="8"/>
  <c r="J185" i="8"/>
  <c r="I185" i="8"/>
  <c r="R185" i="8"/>
  <c r="H185" i="8"/>
  <c r="Q185" i="8"/>
  <c r="T185" i="8"/>
  <c r="S185" i="8"/>
  <c r="AC185" i="8"/>
  <c r="AB185" i="8"/>
  <c r="AB199" i="8"/>
  <c r="F199" i="8"/>
  <c r="AA199" i="8"/>
  <c r="P199" i="8"/>
  <c r="I199" i="8"/>
  <c r="H199" i="8"/>
  <c r="X199" i="8"/>
  <c r="U199" i="8"/>
  <c r="W199" i="8"/>
  <c r="V199" i="8"/>
  <c r="T199" i="8"/>
  <c r="L199" i="8"/>
  <c r="K199" i="8"/>
  <c r="AE199" i="8"/>
  <c r="AC199" i="8"/>
  <c r="Z199" i="8"/>
  <c r="J199" i="8"/>
  <c r="G199" i="8"/>
  <c r="Y199" i="8"/>
  <c r="S199" i="8"/>
  <c r="R199" i="8"/>
  <c r="O199" i="8"/>
  <c r="Q199" i="8"/>
  <c r="M199" i="8"/>
  <c r="N199" i="8"/>
  <c r="Y260" i="8"/>
  <c r="X260" i="8"/>
  <c r="K260" i="8"/>
  <c r="J260" i="8"/>
  <c r="G260" i="8"/>
  <c r="F260" i="8"/>
  <c r="Q260" i="8"/>
  <c r="P260" i="8"/>
  <c r="O260" i="8"/>
  <c r="N260" i="8"/>
  <c r="M260" i="8"/>
  <c r="AB260" i="8"/>
  <c r="W260" i="8"/>
  <c r="T260" i="8"/>
  <c r="V260" i="8"/>
  <c r="U260" i="8"/>
  <c r="S260" i="8"/>
  <c r="R260" i="8"/>
  <c r="AC260" i="8"/>
  <c r="AE260" i="8"/>
  <c r="AA260" i="8"/>
  <c r="Z260" i="8"/>
  <c r="L260" i="8"/>
  <c r="I260" i="8"/>
  <c r="H260" i="8"/>
  <c r="V334" i="8"/>
  <c r="L334" i="8"/>
  <c r="K334" i="8"/>
  <c r="AE334" i="8"/>
  <c r="AC334" i="8"/>
  <c r="W334" i="8"/>
  <c r="U334" i="8"/>
  <c r="R334" i="8"/>
  <c r="Q334" i="8"/>
  <c r="P334" i="8"/>
  <c r="G334" i="8"/>
  <c r="F334" i="8"/>
  <c r="N334" i="8"/>
  <c r="M334" i="8"/>
  <c r="I334" i="8"/>
  <c r="H334" i="8"/>
  <c r="AB334" i="8"/>
  <c r="AA334" i="8"/>
  <c r="Z334" i="8"/>
  <c r="Y334" i="8"/>
  <c r="S334" i="8"/>
  <c r="X334" i="8"/>
  <c r="T334" i="8"/>
  <c r="J334" i="8"/>
  <c r="O334" i="8"/>
  <c r="X119" i="8"/>
  <c r="W119" i="8"/>
  <c r="U119" i="8"/>
  <c r="R119" i="8"/>
  <c r="Q119" i="8"/>
  <c r="V119" i="8"/>
  <c r="P119" i="8"/>
  <c r="T119" i="8"/>
  <c r="S119" i="8"/>
  <c r="O119" i="8"/>
  <c r="K119" i="8"/>
  <c r="J119" i="8"/>
  <c r="AE119" i="8"/>
  <c r="AC119" i="8"/>
  <c r="AB119" i="8"/>
  <c r="G119" i="8"/>
  <c r="F119" i="8"/>
  <c r="Z119" i="8"/>
  <c r="M119" i="8"/>
  <c r="L119" i="8"/>
  <c r="AA119" i="8"/>
  <c r="N119" i="8"/>
  <c r="I119" i="8"/>
  <c r="Y119" i="8"/>
  <c r="H119" i="8"/>
  <c r="L321" i="8"/>
  <c r="G321" i="8"/>
  <c r="AC321" i="8"/>
  <c r="F321" i="8"/>
  <c r="AE321" i="8" s="1"/>
  <c r="Q321" i="8"/>
  <c r="P321" i="8"/>
  <c r="J321" i="8"/>
  <c r="I321" i="8"/>
  <c r="Z321" i="8"/>
  <c r="Y321" i="8"/>
  <c r="T321" i="8"/>
  <c r="S321" i="8"/>
  <c r="R321" i="8"/>
  <c r="N321" i="8"/>
  <c r="AA321" i="8"/>
  <c r="U321" i="8"/>
  <c r="O321" i="8"/>
  <c r="K321" i="8"/>
  <c r="X321" i="8"/>
  <c r="W321" i="8"/>
  <c r="V321" i="8"/>
  <c r="M321" i="8"/>
  <c r="H321" i="8"/>
  <c r="AB321" i="8"/>
  <c r="M262" i="8"/>
  <c r="L262" i="8"/>
  <c r="AA262" i="8"/>
  <c r="Z262" i="8"/>
  <c r="AE262" i="8"/>
  <c r="AC262" i="8"/>
  <c r="P262" i="8"/>
  <c r="O262" i="8"/>
  <c r="T262" i="8"/>
  <c r="S262" i="8"/>
  <c r="R262" i="8"/>
  <c r="F262" i="8"/>
  <c r="AB262" i="8"/>
  <c r="Y262" i="8"/>
  <c r="Q262" i="8"/>
  <c r="X262" i="8"/>
  <c r="W262" i="8"/>
  <c r="V262" i="8"/>
  <c r="U262" i="8"/>
  <c r="N262" i="8"/>
  <c r="K262" i="8"/>
  <c r="J262" i="8"/>
  <c r="I262" i="8"/>
  <c r="H262" i="8"/>
  <c r="G262" i="8"/>
  <c r="AE140" i="8"/>
  <c r="H140" i="8"/>
  <c r="AC140" i="8"/>
  <c r="G140" i="8"/>
  <c r="K140" i="8"/>
  <c r="F140" i="8"/>
  <c r="J140" i="8"/>
  <c r="I140" i="8"/>
  <c r="U140" i="8"/>
  <c r="T140" i="8"/>
  <c r="V140" i="8"/>
  <c r="O140" i="8"/>
  <c r="S140" i="8"/>
  <c r="R140" i="8"/>
  <c r="Q140" i="8"/>
  <c r="P140" i="8"/>
  <c r="N140" i="8"/>
  <c r="M140" i="8"/>
  <c r="AA140" i="8"/>
  <c r="Z140" i="8"/>
  <c r="Y140" i="8"/>
  <c r="X140" i="8"/>
  <c r="AB140" i="8"/>
  <c r="W140" i="8"/>
  <c r="L140" i="8"/>
  <c r="R320" i="8"/>
  <c r="L320" i="8"/>
  <c r="K320" i="8"/>
  <c r="T320" i="8"/>
  <c r="S320" i="8"/>
  <c r="I320" i="8"/>
  <c r="H320" i="8"/>
  <c r="AE320" i="8"/>
  <c r="AC320" i="8"/>
  <c r="W320" i="8"/>
  <c r="V320" i="8"/>
  <c r="J320" i="8"/>
  <c r="G320" i="8"/>
  <c r="F320" i="8"/>
  <c r="Z320" i="8"/>
  <c r="X320" i="8"/>
  <c r="P320" i="8"/>
  <c r="Y320" i="8"/>
  <c r="U320" i="8"/>
  <c r="Q320" i="8"/>
  <c r="O320" i="8"/>
  <c r="N320" i="8"/>
  <c r="AB320" i="8"/>
  <c r="AA320" i="8"/>
  <c r="M320" i="8"/>
  <c r="AB144" i="8"/>
  <c r="F144" i="8"/>
  <c r="AA144" i="8"/>
  <c r="R144" i="8"/>
  <c r="T144" i="8"/>
  <c r="S144" i="8"/>
  <c r="AC144" i="8"/>
  <c r="AE144" i="8"/>
  <c r="K144" i="8"/>
  <c r="I144" i="8"/>
  <c r="H144" i="8"/>
  <c r="J144" i="8"/>
  <c r="G144" i="8"/>
  <c r="U144" i="8"/>
  <c r="P144" i="8"/>
  <c r="O144" i="8"/>
  <c r="N144" i="8"/>
  <c r="M144" i="8"/>
  <c r="L144" i="8"/>
  <c r="Q144" i="8"/>
  <c r="W144" i="8"/>
  <c r="Z144" i="8"/>
  <c r="V144" i="8"/>
  <c r="Y144" i="8"/>
  <c r="X144" i="8"/>
  <c r="AC296" i="8"/>
  <c r="G296" i="8"/>
  <c r="AB296" i="8"/>
  <c r="F296" i="8"/>
  <c r="M296" i="8"/>
  <c r="L296" i="8"/>
  <c r="W296" i="8"/>
  <c r="V296" i="8"/>
  <c r="J296" i="8"/>
  <c r="I296" i="8"/>
  <c r="R296" i="8"/>
  <c r="Q296" i="8"/>
  <c r="N296" i="8"/>
  <c r="K296" i="8"/>
  <c r="H296" i="8"/>
  <c r="P296" i="8"/>
  <c r="O296" i="8"/>
  <c r="Z296" i="8"/>
  <c r="T296" i="8"/>
  <c r="S296" i="8"/>
  <c r="Y296" i="8"/>
  <c r="X296" i="8"/>
  <c r="U296" i="8"/>
  <c r="AE296" i="8"/>
  <c r="AA296" i="8"/>
  <c r="X108" i="8"/>
  <c r="W108" i="8"/>
  <c r="Q108" i="8"/>
  <c r="AB108" i="8"/>
  <c r="AA108" i="8"/>
  <c r="AC108" i="8"/>
  <c r="AE108" i="8"/>
  <c r="Z108" i="8"/>
  <c r="Y108" i="8"/>
  <c r="H108" i="8"/>
  <c r="G108" i="8"/>
  <c r="V108" i="8"/>
  <c r="U108" i="8"/>
  <c r="T108" i="8"/>
  <c r="R108" i="8"/>
  <c r="P108" i="8"/>
  <c r="S108" i="8"/>
  <c r="O108" i="8"/>
  <c r="L108" i="8"/>
  <c r="N108" i="8"/>
  <c r="M108" i="8"/>
  <c r="K108" i="8"/>
  <c r="J108" i="8"/>
  <c r="I108" i="8"/>
  <c r="F108" i="8"/>
  <c r="U338" i="8"/>
  <c r="T338" i="8"/>
  <c r="P338" i="8"/>
  <c r="O338" i="8"/>
  <c r="W338" i="8"/>
  <c r="V338" i="8"/>
  <c r="AC338" i="8"/>
  <c r="AB338" i="8"/>
  <c r="F338" i="8"/>
  <c r="X338" i="8"/>
  <c r="S338" i="8"/>
  <c r="AA338" i="8"/>
  <c r="Y338" i="8"/>
  <c r="N338" i="8"/>
  <c r="Z338" i="8"/>
  <c r="R338" i="8"/>
  <c r="Q338" i="8"/>
  <c r="L338" i="8"/>
  <c r="J338" i="8"/>
  <c r="AE338" i="8"/>
  <c r="M338" i="8"/>
  <c r="K338" i="8"/>
  <c r="I338" i="8"/>
  <c r="H338" i="8"/>
  <c r="G338" i="8"/>
  <c r="U246" i="8"/>
  <c r="T246" i="8"/>
  <c r="R246" i="8"/>
  <c r="Q246" i="8"/>
  <c r="F246" i="8"/>
  <c r="AE246" i="8" s="1"/>
  <c r="G246" i="8"/>
  <c r="AC246" i="8"/>
  <c r="AB246" i="8"/>
  <c r="J246" i="8"/>
  <c r="W246" i="8"/>
  <c r="S246" i="8"/>
  <c r="P246" i="8"/>
  <c r="V246" i="8"/>
  <c r="O246" i="8"/>
  <c r="N246" i="8"/>
  <c r="K246" i="8"/>
  <c r="H246" i="8"/>
  <c r="I246" i="8"/>
  <c r="AA246" i="8"/>
  <c r="Z246" i="8"/>
  <c r="L246" i="8"/>
  <c r="Y246" i="8"/>
  <c r="X246" i="8"/>
  <c r="M246" i="8"/>
  <c r="AB122" i="8"/>
  <c r="F122" i="8"/>
  <c r="AE122" i="8" s="1"/>
  <c r="AA122" i="8"/>
  <c r="J122" i="8"/>
  <c r="K122" i="8"/>
  <c r="I122" i="8"/>
  <c r="T122" i="8"/>
  <c r="R122" i="8"/>
  <c r="P122" i="8"/>
  <c r="S122" i="8"/>
  <c r="Q122" i="8"/>
  <c r="Z122" i="8"/>
  <c r="X122" i="8"/>
  <c r="AC122" i="8"/>
  <c r="Y122" i="8"/>
  <c r="W122" i="8"/>
  <c r="V122" i="8"/>
  <c r="U122" i="8"/>
  <c r="O122" i="8"/>
  <c r="N122" i="8"/>
  <c r="M122" i="8"/>
  <c r="L122" i="8"/>
  <c r="H122" i="8"/>
  <c r="G122" i="8"/>
  <c r="M62" i="8"/>
  <c r="Q62" i="8"/>
  <c r="P62" i="8"/>
  <c r="H62" i="8"/>
  <c r="AE62" i="8"/>
  <c r="AC62" i="8"/>
  <c r="G62" i="8"/>
  <c r="F62" i="8"/>
  <c r="S62" i="8"/>
  <c r="O62" i="8"/>
  <c r="N62" i="8"/>
  <c r="R62" i="8"/>
  <c r="L62" i="8"/>
  <c r="K62" i="8"/>
  <c r="J62" i="8"/>
  <c r="AA62" i="8"/>
  <c r="Y62" i="8"/>
  <c r="AB62" i="8"/>
  <c r="Z62" i="8"/>
  <c r="X62" i="8"/>
  <c r="W62" i="8"/>
  <c r="V62" i="8"/>
  <c r="U62" i="8"/>
  <c r="I62" i="8"/>
  <c r="T62" i="8"/>
  <c r="Z326" i="8"/>
  <c r="AC326" i="8"/>
  <c r="F326" i="8"/>
  <c r="AE326" i="8" s="1"/>
  <c r="AB326" i="8"/>
  <c r="AA326" i="8"/>
  <c r="Y326" i="8"/>
  <c r="I326" i="8"/>
  <c r="H326" i="8"/>
  <c r="O326" i="8"/>
  <c r="N326" i="8"/>
  <c r="S326" i="8"/>
  <c r="R326" i="8"/>
  <c r="U326" i="8"/>
  <c r="T326" i="8"/>
  <c r="Q326" i="8"/>
  <c r="W326" i="8"/>
  <c r="X326" i="8"/>
  <c r="V326" i="8"/>
  <c r="P326" i="8"/>
  <c r="M326" i="8"/>
  <c r="L326" i="8"/>
  <c r="K326" i="8"/>
  <c r="J326" i="8"/>
  <c r="G326" i="8"/>
  <c r="I270" i="8"/>
  <c r="H270" i="8"/>
  <c r="T270" i="8"/>
  <c r="S270" i="8"/>
  <c r="P270" i="8"/>
  <c r="O270" i="8"/>
  <c r="X270" i="8"/>
  <c r="W270" i="8"/>
  <c r="R270" i="8"/>
  <c r="Q270" i="8"/>
  <c r="N270" i="8"/>
  <c r="L270" i="8"/>
  <c r="F270" i="8"/>
  <c r="AE270" i="8" s="1"/>
  <c r="K270" i="8"/>
  <c r="J270" i="8"/>
  <c r="G270" i="8"/>
  <c r="AC270" i="8"/>
  <c r="AB270" i="8"/>
  <c r="Y270" i="8"/>
  <c r="V270" i="8"/>
  <c r="AA270" i="8"/>
  <c r="Z270" i="8"/>
  <c r="U270" i="8"/>
  <c r="M270" i="8"/>
  <c r="AA234" i="8"/>
  <c r="Z234" i="8"/>
  <c r="R234" i="8"/>
  <c r="Q234" i="8"/>
  <c r="AC234" i="8"/>
  <c r="AB234" i="8"/>
  <c r="Y234" i="8"/>
  <c r="X234" i="8"/>
  <c r="AE234" i="8"/>
  <c r="W234" i="8"/>
  <c r="L234" i="8"/>
  <c r="J234" i="8"/>
  <c r="H234" i="8"/>
  <c r="K234" i="8"/>
  <c r="I234" i="8"/>
  <c r="G234" i="8"/>
  <c r="U234" i="8"/>
  <c r="T234" i="8"/>
  <c r="V234" i="8"/>
  <c r="S234" i="8"/>
  <c r="P234" i="8"/>
  <c r="N234" i="8"/>
  <c r="O234" i="8"/>
  <c r="M234" i="8"/>
  <c r="F234" i="8"/>
  <c r="Y238" i="8"/>
  <c r="X238" i="8"/>
  <c r="AA238" i="8"/>
  <c r="Z238" i="8"/>
  <c r="R238" i="8"/>
  <c r="Q238" i="8"/>
  <c r="AE238" i="8"/>
  <c r="AC238" i="8"/>
  <c r="I238" i="8"/>
  <c r="H238" i="8"/>
  <c r="AB238" i="8"/>
  <c r="W238" i="8"/>
  <c r="V238" i="8"/>
  <c r="U238" i="8"/>
  <c r="T238" i="8"/>
  <c r="K238" i="8"/>
  <c r="G238" i="8"/>
  <c r="F238" i="8"/>
  <c r="J238" i="8"/>
  <c r="S238" i="8"/>
  <c r="P238" i="8"/>
  <c r="O238" i="8"/>
  <c r="L238" i="8"/>
  <c r="N238" i="8"/>
  <c r="M238" i="8"/>
  <c r="R309" i="8"/>
  <c r="U309" i="8"/>
  <c r="AB309" i="8"/>
  <c r="AA309" i="8"/>
  <c r="Q309" i="8"/>
  <c r="P309" i="8"/>
  <c r="I309" i="8"/>
  <c r="H309" i="8"/>
  <c r="AE309" i="8"/>
  <c r="AC309" i="8"/>
  <c r="Y309" i="8"/>
  <c r="Z309" i="8"/>
  <c r="X309" i="8"/>
  <c r="W309" i="8"/>
  <c r="S309" i="8"/>
  <c r="N309" i="8"/>
  <c r="V309" i="8"/>
  <c r="T309" i="8"/>
  <c r="O309" i="8"/>
  <c r="M309" i="8"/>
  <c r="L309" i="8"/>
  <c r="G309" i="8"/>
  <c r="K309" i="8"/>
  <c r="J309" i="8"/>
  <c r="F309" i="8"/>
  <c r="S61" i="8"/>
  <c r="O7" i="14" s="1"/>
  <c r="V61" i="8"/>
  <c r="R7" i="14" s="1"/>
  <c r="U61" i="8"/>
  <c r="Q7" i="14" s="1"/>
  <c r="K61" i="8"/>
  <c r="G7" i="14" s="1"/>
  <c r="I61" i="8"/>
  <c r="E7" i="14" s="1"/>
  <c r="H61" i="8"/>
  <c r="D7" i="14" s="1"/>
  <c r="G61" i="8"/>
  <c r="C7" i="14" s="1"/>
  <c r="J61" i="8"/>
  <c r="F7" i="14" s="1"/>
  <c r="O61" i="8"/>
  <c r="K7" i="14" s="1"/>
  <c r="N61" i="8"/>
  <c r="J7" i="14" s="1"/>
  <c r="M61" i="8"/>
  <c r="I7" i="14" s="1"/>
  <c r="L61" i="8"/>
  <c r="H7" i="14" s="1"/>
  <c r="F61" i="8"/>
  <c r="B7" i="14" s="1"/>
  <c r="R61" i="8"/>
  <c r="N7" i="14" s="1"/>
  <c r="Q61" i="8"/>
  <c r="M7" i="14" s="1"/>
  <c r="P61" i="8"/>
  <c r="L7" i="14" s="1"/>
  <c r="Y61" i="8"/>
  <c r="U7" i="14" s="1"/>
  <c r="T61" i="8"/>
  <c r="P7" i="14" s="1"/>
  <c r="X61" i="8"/>
  <c r="T7" i="14" s="1"/>
  <c r="W61" i="8"/>
  <c r="S7" i="14" s="1"/>
  <c r="AB61" i="8"/>
  <c r="X7" i="14" s="1"/>
  <c r="AC61" i="8"/>
  <c r="Y7" i="14" s="1"/>
  <c r="Z61" i="8"/>
  <c r="V7" i="14" s="1"/>
  <c r="AA61" i="8"/>
  <c r="W7" i="14" s="1"/>
  <c r="Z115" i="8"/>
  <c r="Y115" i="8"/>
  <c r="M115" i="8"/>
  <c r="F115" i="8"/>
  <c r="AE115" i="8"/>
  <c r="W115" i="8"/>
  <c r="T115" i="8"/>
  <c r="S115" i="8"/>
  <c r="V115" i="8"/>
  <c r="U115" i="8"/>
  <c r="Q115" i="8"/>
  <c r="P115" i="8"/>
  <c r="AC115" i="8"/>
  <c r="AB115" i="8"/>
  <c r="AA115" i="8"/>
  <c r="X115" i="8"/>
  <c r="H115" i="8"/>
  <c r="G115" i="8"/>
  <c r="L115" i="8"/>
  <c r="J115" i="8"/>
  <c r="I115" i="8"/>
  <c r="K115" i="8"/>
  <c r="R115" i="8"/>
  <c r="N115" i="8"/>
  <c r="O115" i="8"/>
  <c r="AA256" i="8"/>
  <c r="Z256" i="8"/>
  <c r="AB256" i="8"/>
  <c r="Y256" i="8"/>
  <c r="N256" i="8"/>
  <c r="M256" i="8"/>
  <c r="L256" i="8"/>
  <c r="K256" i="8"/>
  <c r="W256" i="8"/>
  <c r="T256" i="8"/>
  <c r="S256" i="8"/>
  <c r="V256" i="8"/>
  <c r="U256" i="8"/>
  <c r="R256" i="8"/>
  <c r="G256" i="8"/>
  <c r="F256" i="8"/>
  <c r="AE256" i="8"/>
  <c r="AC256" i="8"/>
  <c r="X256" i="8"/>
  <c r="Q256" i="8"/>
  <c r="P256" i="8"/>
  <c r="O256" i="8"/>
  <c r="J256" i="8"/>
  <c r="H256" i="8"/>
  <c r="I256" i="8"/>
  <c r="M251" i="8"/>
  <c r="L251" i="8"/>
  <c r="W251" i="8"/>
  <c r="V251" i="8"/>
  <c r="X251" i="8"/>
  <c r="U251" i="8"/>
  <c r="H251" i="8"/>
  <c r="G251" i="8"/>
  <c r="N251" i="8"/>
  <c r="K251" i="8"/>
  <c r="T251" i="8"/>
  <c r="R251" i="8"/>
  <c r="Q251" i="8"/>
  <c r="P251" i="8"/>
  <c r="S251" i="8"/>
  <c r="O251" i="8"/>
  <c r="AA251" i="8"/>
  <c r="J251" i="8"/>
  <c r="I251" i="8"/>
  <c r="F251" i="8"/>
  <c r="AE251" i="8" s="1"/>
  <c r="Z251" i="8"/>
  <c r="Y251" i="8"/>
  <c r="AC251" i="8"/>
  <c r="AB251" i="8"/>
  <c r="AB133" i="8"/>
  <c r="F133" i="8"/>
  <c r="AA133" i="8"/>
  <c r="N133" i="8"/>
  <c r="Z133" i="8"/>
  <c r="Y133" i="8"/>
  <c r="L133" i="8"/>
  <c r="K133" i="8"/>
  <c r="J133" i="8"/>
  <c r="I133" i="8"/>
  <c r="H133" i="8"/>
  <c r="M133" i="8"/>
  <c r="G133" i="8"/>
  <c r="AE133" i="8"/>
  <c r="X133" i="8"/>
  <c r="W133" i="8"/>
  <c r="U133" i="8"/>
  <c r="AC133" i="8"/>
  <c r="V133" i="8"/>
  <c r="T133" i="8"/>
  <c r="S133" i="8"/>
  <c r="R133" i="8"/>
  <c r="P133" i="8"/>
  <c r="O133" i="8"/>
  <c r="Q133" i="8"/>
  <c r="V167" i="8"/>
  <c r="U167" i="8"/>
  <c r="X167" i="8"/>
  <c r="AB167" i="8"/>
  <c r="AA167" i="8"/>
  <c r="O167" i="8"/>
  <c r="N167" i="8"/>
  <c r="M167" i="8"/>
  <c r="L167" i="8"/>
  <c r="K167" i="8"/>
  <c r="S167" i="8"/>
  <c r="R167" i="8"/>
  <c r="AC167" i="8"/>
  <c r="Y167" i="8"/>
  <c r="W167" i="8"/>
  <c r="T167" i="8"/>
  <c r="Q167" i="8"/>
  <c r="P167" i="8"/>
  <c r="Z167" i="8"/>
  <c r="J167" i="8"/>
  <c r="I167" i="8"/>
  <c r="H167" i="8"/>
  <c r="F167" i="8"/>
  <c r="AE167" i="8"/>
  <c r="G167" i="8"/>
  <c r="AE184" i="8"/>
  <c r="H184" i="8"/>
  <c r="AC184" i="8"/>
  <c r="G184" i="8"/>
  <c r="AA184" i="8"/>
  <c r="Z184" i="8"/>
  <c r="Y184" i="8"/>
  <c r="F184" i="8"/>
  <c r="T184" i="8"/>
  <c r="S184" i="8"/>
  <c r="L184" i="8"/>
  <c r="K184" i="8"/>
  <c r="J184" i="8"/>
  <c r="I184" i="8"/>
  <c r="AB184" i="8"/>
  <c r="X184" i="8"/>
  <c r="W184" i="8"/>
  <c r="V184" i="8"/>
  <c r="R184" i="8"/>
  <c r="N184" i="8"/>
  <c r="M184" i="8"/>
  <c r="U184" i="8"/>
  <c r="Q184" i="8"/>
  <c r="P184" i="8"/>
  <c r="O184" i="8"/>
  <c r="AE195" i="8"/>
  <c r="H195" i="8"/>
  <c r="AC195" i="8"/>
  <c r="G195" i="8"/>
  <c r="I195" i="8"/>
  <c r="U195" i="8"/>
  <c r="T195" i="8"/>
  <c r="AA195" i="8"/>
  <c r="Z195" i="8"/>
  <c r="Y195" i="8"/>
  <c r="X195" i="8"/>
  <c r="W195" i="8"/>
  <c r="P195" i="8"/>
  <c r="O195" i="8"/>
  <c r="AB195" i="8"/>
  <c r="V195" i="8"/>
  <c r="S195" i="8"/>
  <c r="F195" i="8"/>
  <c r="J195" i="8"/>
  <c r="R195" i="8"/>
  <c r="N195" i="8"/>
  <c r="L195" i="8"/>
  <c r="Q195" i="8"/>
  <c r="M195" i="8"/>
  <c r="K195" i="8"/>
  <c r="AC263" i="8"/>
  <c r="G263" i="8"/>
  <c r="AB263" i="8"/>
  <c r="F263" i="8"/>
  <c r="W263" i="8"/>
  <c r="V263" i="8"/>
  <c r="AE263" i="8"/>
  <c r="AA263" i="8"/>
  <c r="P263" i="8"/>
  <c r="O263" i="8"/>
  <c r="X263" i="8"/>
  <c r="U263" i="8"/>
  <c r="T263" i="8"/>
  <c r="M263" i="8"/>
  <c r="L263" i="8"/>
  <c r="J263" i="8"/>
  <c r="I263" i="8"/>
  <c r="H263" i="8"/>
  <c r="K263" i="8"/>
  <c r="Z263" i="8"/>
  <c r="R263" i="8"/>
  <c r="Y263" i="8"/>
  <c r="S263" i="8"/>
  <c r="Q263" i="8"/>
  <c r="N263" i="8"/>
  <c r="AA337" i="8"/>
  <c r="Z337" i="8"/>
  <c r="T337" i="8"/>
  <c r="S337" i="8"/>
  <c r="W337" i="8"/>
  <c r="V337" i="8"/>
  <c r="AB337" i="8"/>
  <c r="Y337" i="8"/>
  <c r="AE337" i="8"/>
  <c r="M337" i="8"/>
  <c r="L337" i="8"/>
  <c r="N337" i="8"/>
  <c r="G337" i="8"/>
  <c r="K337" i="8"/>
  <c r="J337" i="8"/>
  <c r="I337" i="8"/>
  <c r="H337" i="8"/>
  <c r="U337" i="8"/>
  <c r="P337" i="8"/>
  <c r="F337" i="8"/>
  <c r="R337" i="8"/>
  <c r="Q337" i="8"/>
  <c r="O337" i="8"/>
  <c r="AC337" i="8"/>
  <c r="X337" i="8"/>
  <c r="R120" i="8"/>
  <c r="Q120" i="8"/>
  <c r="S120" i="8"/>
  <c r="O120" i="8"/>
  <c r="N120" i="8"/>
  <c r="W120" i="8"/>
  <c r="U120" i="8"/>
  <c r="P120" i="8"/>
  <c r="V120" i="8"/>
  <c r="T120" i="8"/>
  <c r="Y120" i="8"/>
  <c r="X120" i="8"/>
  <c r="G120" i="8"/>
  <c r="F120" i="8"/>
  <c r="AC120" i="8"/>
  <c r="AB120" i="8"/>
  <c r="Z120" i="8"/>
  <c r="M120" i="8"/>
  <c r="L120" i="8"/>
  <c r="AE120" i="8"/>
  <c r="AA120" i="8"/>
  <c r="K120" i="8"/>
  <c r="J120" i="8"/>
  <c r="H120" i="8"/>
  <c r="I120" i="8"/>
  <c r="Y249" i="8"/>
  <c r="X249" i="8"/>
  <c r="G249" i="8"/>
  <c r="AE249" i="8"/>
  <c r="F249" i="8"/>
  <c r="AA249" i="8"/>
  <c r="Z249" i="8"/>
  <c r="I249" i="8"/>
  <c r="H249" i="8"/>
  <c r="T249" i="8"/>
  <c r="N249" i="8"/>
  <c r="M249" i="8"/>
  <c r="V249" i="8"/>
  <c r="R249" i="8"/>
  <c r="Q249" i="8"/>
  <c r="U249" i="8"/>
  <c r="S249" i="8"/>
  <c r="P249" i="8"/>
  <c r="O249" i="8"/>
  <c r="L249" i="8"/>
  <c r="AC249" i="8"/>
  <c r="AB249" i="8"/>
  <c r="W249" i="8"/>
  <c r="K249" i="8"/>
  <c r="J249" i="8"/>
  <c r="Z181" i="8"/>
  <c r="Y181" i="8"/>
  <c r="O181" i="8"/>
  <c r="K181" i="8"/>
  <c r="J181" i="8"/>
  <c r="H181" i="8"/>
  <c r="F181" i="8"/>
  <c r="AE181" i="8" s="1"/>
  <c r="G181" i="8"/>
  <c r="M181" i="8"/>
  <c r="L181" i="8"/>
  <c r="X181" i="8"/>
  <c r="V181" i="8"/>
  <c r="W181" i="8"/>
  <c r="U181" i="8"/>
  <c r="T181" i="8"/>
  <c r="S181" i="8"/>
  <c r="R181" i="8"/>
  <c r="Q181" i="8"/>
  <c r="AC181" i="8"/>
  <c r="AB181" i="8"/>
  <c r="AA181" i="8"/>
  <c r="P181" i="8"/>
  <c r="N181" i="8"/>
  <c r="I181" i="8"/>
  <c r="T138" i="8"/>
  <c r="S138" i="8"/>
  <c r="Q138" i="8"/>
  <c r="L138" i="8"/>
  <c r="K138" i="8"/>
  <c r="I138" i="8"/>
  <c r="H138" i="8"/>
  <c r="G138" i="8"/>
  <c r="F138" i="8"/>
  <c r="N138" i="8"/>
  <c r="M138" i="8"/>
  <c r="AE138" i="8"/>
  <c r="AC138" i="8"/>
  <c r="AB138" i="8"/>
  <c r="AA138" i="8"/>
  <c r="Y138" i="8"/>
  <c r="Z138" i="8"/>
  <c r="X138" i="8"/>
  <c r="W138" i="8"/>
  <c r="V138" i="8"/>
  <c r="U138" i="8"/>
  <c r="P138" i="8"/>
  <c r="R138" i="8"/>
  <c r="O138" i="8"/>
  <c r="J138" i="8"/>
  <c r="X224" i="8"/>
  <c r="W224" i="8"/>
  <c r="I224" i="8"/>
  <c r="H224" i="8"/>
  <c r="J224" i="8"/>
  <c r="G224" i="8"/>
  <c r="M224" i="8"/>
  <c r="L224" i="8"/>
  <c r="AC224" i="8"/>
  <c r="Z224" i="8"/>
  <c r="AE224" i="8"/>
  <c r="AB224" i="8"/>
  <c r="AA224" i="8"/>
  <c r="F224" i="8"/>
  <c r="N224" i="8"/>
  <c r="K224" i="8"/>
  <c r="Y224" i="8"/>
  <c r="V224" i="8"/>
  <c r="U224" i="8"/>
  <c r="R224" i="8"/>
  <c r="Q224" i="8"/>
  <c r="O224" i="8"/>
  <c r="T224" i="8"/>
  <c r="P224" i="8"/>
  <c r="S224" i="8"/>
  <c r="Z315" i="8"/>
  <c r="N315" i="8"/>
  <c r="M315" i="8"/>
  <c r="H315" i="8"/>
  <c r="G315" i="8"/>
  <c r="O315" i="8"/>
  <c r="L315" i="8"/>
  <c r="U315" i="8"/>
  <c r="T315" i="8"/>
  <c r="AC315" i="8"/>
  <c r="AB315" i="8"/>
  <c r="R315" i="8"/>
  <c r="AE315" i="8"/>
  <c r="AA315" i="8"/>
  <c r="Y315" i="8"/>
  <c r="X315" i="8"/>
  <c r="V315" i="8"/>
  <c r="J315" i="8"/>
  <c r="F315" i="8"/>
  <c r="S315" i="8"/>
  <c r="Q315" i="8"/>
  <c r="P315" i="8"/>
  <c r="K315" i="8"/>
  <c r="I315" i="8"/>
  <c r="W315" i="8"/>
  <c r="L99" i="8"/>
  <c r="K99" i="8"/>
  <c r="AC99" i="8"/>
  <c r="AB99" i="8"/>
  <c r="AA99" i="8"/>
  <c r="I99" i="8"/>
  <c r="G99" i="8"/>
  <c r="F99" i="8"/>
  <c r="AE99" i="8" s="1"/>
  <c r="H99" i="8"/>
  <c r="Z99" i="8"/>
  <c r="Y99" i="8"/>
  <c r="U99" i="8"/>
  <c r="S99" i="8"/>
  <c r="R99" i="8"/>
  <c r="Q99" i="8"/>
  <c r="T99" i="8"/>
  <c r="P99" i="8"/>
  <c r="O99" i="8"/>
  <c r="N99" i="8"/>
  <c r="M99" i="8"/>
  <c r="V99" i="8"/>
  <c r="X99" i="8"/>
  <c r="J99" i="8"/>
  <c r="W99" i="8"/>
  <c r="AB227" i="8"/>
  <c r="F227" i="8"/>
  <c r="AE227" i="8" s="1"/>
  <c r="AA227" i="8"/>
  <c r="T227" i="8"/>
  <c r="S227" i="8"/>
  <c r="AC227" i="8"/>
  <c r="K227" i="8"/>
  <c r="J227" i="8"/>
  <c r="I227" i="8"/>
  <c r="G227" i="8"/>
  <c r="H227" i="8"/>
  <c r="M227" i="8"/>
  <c r="L227" i="8"/>
  <c r="W227" i="8"/>
  <c r="R227" i="8"/>
  <c r="P227" i="8"/>
  <c r="O227" i="8"/>
  <c r="V227" i="8"/>
  <c r="U227" i="8"/>
  <c r="Q227" i="8"/>
  <c r="N227" i="8"/>
  <c r="X227" i="8"/>
  <c r="Y227" i="8"/>
  <c r="Z227" i="8"/>
  <c r="T171" i="8"/>
  <c r="S171" i="8"/>
  <c r="G171" i="8"/>
  <c r="O171" i="8"/>
  <c r="N171" i="8"/>
  <c r="M171" i="8"/>
  <c r="J171" i="8"/>
  <c r="I171" i="8"/>
  <c r="L171" i="8"/>
  <c r="K171" i="8"/>
  <c r="Q171" i="8"/>
  <c r="P171" i="8"/>
  <c r="AB171" i="8"/>
  <c r="Z171" i="8"/>
  <c r="Y171" i="8"/>
  <c r="X171" i="8"/>
  <c r="W171" i="8"/>
  <c r="V171" i="8"/>
  <c r="AA171" i="8"/>
  <c r="U171" i="8"/>
  <c r="R171" i="8"/>
  <c r="H171" i="8"/>
  <c r="F171" i="8"/>
  <c r="AE171" i="8"/>
  <c r="AC171" i="8"/>
  <c r="O306" i="8"/>
  <c r="S306" i="8"/>
  <c r="R306" i="8"/>
  <c r="AA306" i="8"/>
  <c r="Z306" i="8"/>
  <c r="J306" i="8"/>
  <c r="I306" i="8"/>
  <c r="X306" i="8"/>
  <c r="W306" i="8"/>
  <c r="N306" i="8"/>
  <c r="M306" i="8"/>
  <c r="L306" i="8"/>
  <c r="Y306" i="8"/>
  <c r="V306" i="8"/>
  <c r="P306" i="8"/>
  <c r="K306" i="8"/>
  <c r="H306" i="8"/>
  <c r="G306" i="8"/>
  <c r="F306" i="8"/>
  <c r="AE306" i="8"/>
  <c r="AC306" i="8"/>
  <c r="AB306" i="8"/>
  <c r="U306" i="8"/>
  <c r="T306" i="8"/>
  <c r="Q306" i="8"/>
  <c r="P190" i="8"/>
  <c r="O190" i="8"/>
  <c r="AB190" i="8"/>
  <c r="J190" i="8"/>
  <c r="I190" i="8"/>
  <c r="AC190" i="8"/>
  <c r="AA190" i="8"/>
  <c r="Z190" i="8"/>
  <c r="AE190" i="8"/>
  <c r="S190" i="8"/>
  <c r="R190" i="8"/>
  <c r="V190" i="8"/>
  <c r="M190" i="8"/>
  <c r="U190" i="8"/>
  <c r="T190" i="8"/>
  <c r="Q190" i="8"/>
  <c r="N190" i="8"/>
  <c r="L190" i="8"/>
  <c r="K190" i="8"/>
  <c r="Y190" i="8"/>
  <c r="X190" i="8"/>
  <c r="W190" i="8"/>
  <c r="H190" i="8"/>
  <c r="F190" i="8"/>
  <c r="G190" i="8"/>
  <c r="K303" i="8"/>
  <c r="L303" i="8"/>
  <c r="J303" i="8"/>
  <c r="M303" i="8"/>
  <c r="I303" i="8"/>
  <c r="P303" i="8"/>
  <c r="O303" i="8"/>
  <c r="U303" i="8"/>
  <c r="T303" i="8"/>
  <c r="AE303" i="8"/>
  <c r="N303" i="8"/>
  <c r="F303" i="8"/>
  <c r="H303" i="8"/>
  <c r="G303" i="8"/>
  <c r="AC303" i="8"/>
  <c r="AB303" i="8"/>
  <c r="AA303" i="8"/>
  <c r="Z303" i="8"/>
  <c r="Y303" i="8"/>
  <c r="X303" i="8"/>
  <c r="R303" i="8"/>
  <c r="S303" i="8"/>
  <c r="Q303" i="8"/>
  <c r="W303" i="8"/>
  <c r="V303" i="8"/>
  <c r="N328" i="8"/>
  <c r="S328" i="8"/>
  <c r="R328" i="8"/>
  <c r="W328" i="8"/>
  <c r="V328" i="8"/>
  <c r="G328" i="8"/>
  <c r="F328" i="8"/>
  <c r="T328" i="8"/>
  <c r="Q328" i="8"/>
  <c r="AE328" i="8"/>
  <c r="AC328" i="8"/>
  <c r="X328" i="8"/>
  <c r="M328" i="8"/>
  <c r="K328" i="8"/>
  <c r="I328" i="8"/>
  <c r="H328" i="8"/>
  <c r="L328" i="8"/>
  <c r="J328" i="8"/>
  <c r="AB328" i="8"/>
  <c r="AA328" i="8"/>
  <c r="Z328" i="8"/>
  <c r="U328" i="8"/>
  <c r="P328" i="8"/>
  <c r="Y328" i="8"/>
  <c r="O328" i="8"/>
  <c r="O339" i="8"/>
  <c r="N339" i="8"/>
  <c r="L339" i="8"/>
  <c r="K339" i="8"/>
  <c r="U339" i="8"/>
  <c r="T339" i="8"/>
  <c r="AE339" i="8"/>
  <c r="AC339" i="8"/>
  <c r="H339" i="8"/>
  <c r="G339" i="8"/>
  <c r="F339" i="8"/>
  <c r="P339" i="8"/>
  <c r="M339" i="8"/>
  <c r="J339" i="8"/>
  <c r="AB339" i="8"/>
  <c r="Y339" i="8"/>
  <c r="X339" i="8"/>
  <c r="W339" i="8"/>
  <c r="V339" i="8"/>
  <c r="S339" i="8"/>
  <c r="R339" i="8"/>
  <c r="Q339" i="8"/>
  <c r="I339" i="8"/>
  <c r="Z339" i="8"/>
  <c r="AA339" i="8"/>
  <c r="AA300" i="8"/>
  <c r="Z300" i="8"/>
  <c r="T300" i="8"/>
  <c r="S300" i="8"/>
  <c r="O300" i="8"/>
  <c r="N300" i="8"/>
  <c r="L300" i="8"/>
  <c r="K300" i="8"/>
  <c r="U300" i="8"/>
  <c r="R300" i="8"/>
  <c r="Q300" i="8"/>
  <c r="J300" i="8"/>
  <c r="V300" i="8"/>
  <c r="I300" i="8"/>
  <c r="P300" i="8"/>
  <c r="M300" i="8"/>
  <c r="H300" i="8"/>
  <c r="G300" i="8"/>
  <c r="AB300" i="8"/>
  <c r="F300" i="8"/>
  <c r="Y300" i="8"/>
  <c r="X300" i="8"/>
  <c r="W300" i="8"/>
  <c r="AE300" i="8"/>
  <c r="AC300" i="8"/>
  <c r="X141" i="8"/>
  <c r="W141" i="8"/>
  <c r="G141" i="8"/>
  <c r="AE141" i="8"/>
  <c r="AC141" i="8"/>
  <c r="I141" i="8"/>
  <c r="F141" i="8"/>
  <c r="H141" i="8"/>
  <c r="V141" i="8"/>
  <c r="U141" i="8"/>
  <c r="AA141" i="8"/>
  <c r="Y141" i="8"/>
  <c r="T141" i="8"/>
  <c r="S141" i="8"/>
  <c r="R141" i="8"/>
  <c r="Z141" i="8"/>
  <c r="Q141" i="8"/>
  <c r="P141" i="8"/>
  <c r="J141" i="8"/>
  <c r="N141" i="8"/>
  <c r="L141" i="8"/>
  <c r="AB141" i="8"/>
  <c r="O141" i="8"/>
  <c r="M141" i="8"/>
  <c r="K141" i="8"/>
  <c r="W242" i="8"/>
  <c r="V242" i="8"/>
  <c r="K242" i="8"/>
  <c r="J242" i="8"/>
  <c r="N242" i="8"/>
  <c r="M242" i="8"/>
  <c r="X242" i="8"/>
  <c r="U242" i="8"/>
  <c r="Y242" i="8"/>
  <c r="AE242" i="8"/>
  <c r="AC242" i="8"/>
  <c r="AB242" i="8"/>
  <c r="AA242" i="8"/>
  <c r="S242" i="8"/>
  <c r="Z242" i="8"/>
  <c r="T242" i="8"/>
  <c r="R242" i="8"/>
  <c r="Q242" i="8"/>
  <c r="P242" i="8"/>
  <c r="O242" i="8"/>
  <c r="L242" i="8"/>
  <c r="I242" i="8"/>
  <c r="F242" i="8"/>
  <c r="H242" i="8"/>
  <c r="G242" i="8"/>
  <c r="M295" i="8"/>
  <c r="L295" i="8"/>
  <c r="Q295" i="8"/>
  <c r="P295" i="8"/>
  <c r="Y295" i="8"/>
  <c r="X295" i="8"/>
  <c r="H295" i="8"/>
  <c r="G295" i="8"/>
  <c r="AC295" i="8"/>
  <c r="J295" i="8"/>
  <c r="F295" i="8"/>
  <c r="AE295" i="8" s="1"/>
  <c r="AA295" i="8"/>
  <c r="Z295" i="8"/>
  <c r="U295" i="8"/>
  <c r="T295" i="8"/>
  <c r="R295" i="8"/>
  <c r="AB295" i="8"/>
  <c r="W295" i="8"/>
  <c r="V295" i="8"/>
  <c r="S295" i="8"/>
  <c r="O295" i="8"/>
  <c r="N295" i="8"/>
  <c r="K295" i="8"/>
  <c r="I295" i="8"/>
  <c r="Y341" i="8"/>
  <c r="X341" i="8"/>
  <c r="AC341" i="8"/>
  <c r="AB341" i="8"/>
  <c r="O341" i="8"/>
  <c r="N341" i="8"/>
  <c r="G341" i="8"/>
  <c r="F341" i="8"/>
  <c r="Q341" i="8"/>
  <c r="P341" i="8"/>
  <c r="M341" i="8"/>
  <c r="AE341" i="8"/>
  <c r="AA341" i="8"/>
  <c r="W341" i="8"/>
  <c r="V341" i="8"/>
  <c r="U341" i="8"/>
  <c r="S341" i="8"/>
  <c r="Z341" i="8"/>
  <c r="T341" i="8"/>
  <c r="R341" i="8"/>
  <c r="L341" i="8"/>
  <c r="K341" i="8"/>
  <c r="J341" i="8"/>
  <c r="H341" i="8"/>
  <c r="I341" i="8"/>
  <c r="K266" i="8"/>
  <c r="J266" i="8"/>
  <c r="M266" i="8"/>
  <c r="L266" i="8"/>
  <c r="X266" i="8"/>
  <c r="W266" i="8"/>
  <c r="T266" i="8"/>
  <c r="S266" i="8"/>
  <c r="F266" i="8"/>
  <c r="AE266" i="8" s="1"/>
  <c r="Q266" i="8"/>
  <c r="P266" i="8"/>
  <c r="Y266" i="8"/>
  <c r="N266" i="8"/>
  <c r="V266" i="8"/>
  <c r="U266" i="8"/>
  <c r="R266" i="8"/>
  <c r="O266" i="8"/>
  <c r="I266" i="8"/>
  <c r="H266" i="8"/>
  <c r="AC266" i="8"/>
  <c r="AA266" i="8"/>
  <c r="G266" i="8"/>
  <c r="AB266" i="8"/>
  <c r="Z266" i="8"/>
  <c r="N95" i="8"/>
  <c r="M95" i="8"/>
  <c r="U95" i="8"/>
  <c r="P95" i="8"/>
  <c r="O95" i="8"/>
  <c r="J95" i="8"/>
  <c r="H95" i="8"/>
  <c r="G95" i="8"/>
  <c r="F95" i="8"/>
  <c r="I95" i="8"/>
  <c r="AE95" i="8"/>
  <c r="AC95" i="8"/>
  <c r="AB95" i="8"/>
  <c r="Y95" i="8"/>
  <c r="X95" i="8"/>
  <c r="W95" i="8"/>
  <c r="V95" i="8"/>
  <c r="T95" i="8"/>
  <c r="S95" i="8"/>
  <c r="R95" i="8"/>
  <c r="Q95" i="8"/>
  <c r="L95" i="8"/>
  <c r="Z95" i="8"/>
  <c r="AA95" i="8"/>
  <c r="K95" i="8"/>
  <c r="T160" i="8"/>
  <c r="S160" i="8"/>
  <c r="AA160" i="8"/>
  <c r="W160" i="8"/>
  <c r="V160" i="8"/>
  <c r="U160" i="8"/>
  <c r="Q160" i="8"/>
  <c r="O160" i="8"/>
  <c r="R160" i="8"/>
  <c r="P160" i="8"/>
  <c r="I160" i="8"/>
  <c r="G160" i="8"/>
  <c r="F160" i="8"/>
  <c r="H160" i="8"/>
  <c r="AE160" i="8"/>
  <c r="L160" i="8"/>
  <c r="AC160" i="8"/>
  <c r="AB160" i="8"/>
  <c r="Y160" i="8"/>
  <c r="X160" i="8"/>
  <c r="M160" i="8"/>
  <c r="K160" i="8"/>
  <c r="Z160" i="8"/>
  <c r="J160" i="8"/>
  <c r="N160" i="8"/>
  <c r="S239" i="8"/>
  <c r="R239" i="8"/>
  <c r="W239" i="8"/>
  <c r="V239" i="8"/>
  <c r="P239" i="8"/>
  <c r="O239" i="8"/>
  <c r="AE239" i="8"/>
  <c r="AC239" i="8"/>
  <c r="K239" i="8"/>
  <c r="J239" i="8"/>
  <c r="H239" i="8"/>
  <c r="F239" i="8"/>
  <c r="G239" i="8"/>
  <c r="T239" i="8"/>
  <c r="Q239" i="8"/>
  <c r="L239" i="8"/>
  <c r="I239" i="8"/>
  <c r="AB239" i="8"/>
  <c r="AA239" i="8"/>
  <c r="Z239" i="8"/>
  <c r="Y239" i="8"/>
  <c r="U239" i="8"/>
  <c r="N239" i="8"/>
  <c r="X239" i="8"/>
  <c r="M239" i="8"/>
  <c r="I59" i="8"/>
  <c r="E5" i="14" s="1"/>
  <c r="J59" i="8"/>
  <c r="F5" i="14" s="1"/>
  <c r="H59" i="8"/>
  <c r="D5" i="14" s="1"/>
  <c r="S59" i="8"/>
  <c r="O5" i="14" s="1"/>
  <c r="Q59" i="8"/>
  <c r="M5" i="14" s="1"/>
  <c r="P59" i="8"/>
  <c r="L5" i="14" s="1"/>
  <c r="O59" i="8"/>
  <c r="K5" i="14" s="1"/>
  <c r="R59" i="8"/>
  <c r="N5" i="14" s="1"/>
  <c r="AE59" i="8"/>
  <c r="AC59" i="8"/>
  <c r="Y5" i="14" s="1"/>
  <c r="AA59" i="8"/>
  <c r="W5" i="14" s="1"/>
  <c r="Y59" i="8"/>
  <c r="U5" i="14" s="1"/>
  <c r="X59" i="8"/>
  <c r="T5" i="14" s="1"/>
  <c r="W59" i="8"/>
  <c r="S5" i="14" s="1"/>
  <c r="Z59" i="8"/>
  <c r="V5" i="14" s="1"/>
  <c r="V59" i="8"/>
  <c r="R5" i="14" s="1"/>
  <c r="U59" i="8"/>
  <c r="Q5" i="14" s="1"/>
  <c r="T59" i="8"/>
  <c r="P5" i="14" s="1"/>
  <c r="N59" i="8"/>
  <c r="J5" i="14" s="1"/>
  <c r="G59" i="8"/>
  <c r="C5" i="14" s="1"/>
  <c r="M59" i="8"/>
  <c r="I5" i="14" s="1"/>
  <c r="F59" i="8"/>
  <c r="B5" i="14" s="1"/>
  <c r="AB59" i="8"/>
  <c r="X5" i="14" s="1"/>
  <c r="L59" i="8"/>
  <c r="H5" i="14" s="1"/>
  <c r="K59" i="8"/>
  <c r="G5" i="14" s="1"/>
  <c r="P179" i="8"/>
  <c r="O179" i="8"/>
  <c r="X179" i="8"/>
  <c r="R179" i="8"/>
  <c r="Q179" i="8"/>
  <c r="I179" i="8"/>
  <c r="H179" i="8"/>
  <c r="G179" i="8"/>
  <c r="F179" i="8"/>
  <c r="AE179" i="8" s="1"/>
  <c r="M179" i="8"/>
  <c r="J179" i="8"/>
  <c r="L179" i="8"/>
  <c r="K179" i="8"/>
  <c r="AA179" i="8"/>
  <c r="Y179" i="8"/>
  <c r="W179" i="8"/>
  <c r="V179" i="8"/>
  <c r="U179" i="8"/>
  <c r="T179" i="8"/>
  <c r="Z179" i="8"/>
  <c r="S179" i="8"/>
  <c r="N179" i="8"/>
  <c r="AB179" i="8"/>
  <c r="AC179" i="8"/>
  <c r="I248" i="8"/>
  <c r="H248" i="8"/>
  <c r="L248" i="8"/>
  <c r="K248" i="8"/>
  <c r="AB248" i="8"/>
  <c r="AA248" i="8"/>
  <c r="F248" i="8"/>
  <c r="AE248" i="8" s="1"/>
  <c r="R248" i="8"/>
  <c r="AC248" i="8"/>
  <c r="Z248" i="8"/>
  <c r="Y248" i="8"/>
  <c r="X248" i="8"/>
  <c r="J248" i="8"/>
  <c r="G248" i="8"/>
  <c r="N248" i="8"/>
  <c r="V248" i="8"/>
  <c r="M248" i="8"/>
  <c r="W248" i="8"/>
  <c r="T248" i="8"/>
  <c r="S248" i="8"/>
  <c r="Q248" i="8"/>
  <c r="U248" i="8"/>
  <c r="P248" i="8"/>
  <c r="O248" i="8"/>
  <c r="N128" i="8"/>
  <c r="M128" i="8"/>
  <c r="I128" i="8"/>
  <c r="S128" i="8"/>
  <c r="R128" i="8"/>
  <c r="Q128" i="8"/>
  <c r="O128" i="8"/>
  <c r="K128" i="8"/>
  <c r="P128" i="8"/>
  <c r="L128" i="8"/>
  <c r="G128" i="8"/>
  <c r="F128" i="8"/>
  <c r="U128" i="8"/>
  <c r="H128" i="8"/>
  <c r="T128" i="8"/>
  <c r="J128" i="8"/>
  <c r="AC128" i="8"/>
  <c r="AB128" i="8"/>
  <c r="AA128" i="8"/>
  <c r="Z128" i="8"/>
  <c r="Y128" i="8"/>
  <c r="X128" i="8"/>
  <c r="AE128" i="8"/>
  <c r="W128" i="8"/>
  <c r="V128" i="8"/>
  <c r="L165" i="8"/>
  <c r="K165" i="8"/>
  <c r="G165" i="8"/>
  <c r="I165" i="8"/>
  <c r="H165" i="8"/>
  <c r="U165" i="8"/>
  <c r="R165" i="8"/>
  <c r="T165" i="8"/>
  <c r="S165" i="8"/>
  <c r="Q165" i="8"/>
  <c r="Z165" i="8"/>
  <c r="W165" i="8"/>
  <c r="Y165" i="8"/>
  <c r="X165" i="8"/>
  <c r="V165" i="8"/>
  <c r="P165" i="8"/>
  <c r="O165" i="8"/>
  <c r="N165" i="8"/>
  <c r="AE165" i="8"/>
  <c r="AC165" i="8"/>
  <c r="AB165" i="8"/>
  <c r="AA165" i="8"/>
  <c r="M165" i="8"/>
  <c r="J165" i="8"/>
  <c r="F165" i="8"/>
  <c r="N183" i="8"/>
  <c r="M183" i="8"/>
  <c r="G183" i="8"/>
  <c r="AE183" i="8"/>
  <c r="AC183" i="8"/>
  <c r="H183" i="8"/>
  <c r="F183" i="8"/>
  <c r="AB183" i="8"/>
  <c r="S183" i="8"/>
  <c r="R183" i="8"/>
  <c r="AA183" i="8"/>
  <c r="Z183" i="8"/>
  <c r="U183" i="8"/>
  <c r="O183" i="8"/>
  <c r="L183" i="8"/>
  <c r="K183" i="8"/>
  <c r="J183" i="8"/>
  <c r="T183" i="8"/>
  <c r="Q183" i="8"/>
  <c r="P183" i="8"/>
  <c r="I183" i="8"/>
  <c r="W183" i="8"/>
  <c r="V183" i="8"/>
  <c r="Y183" i="8"/>
  <c r="X183" i="8"/>
  <c r="R197" i="8"/>
  <c r="Q197" i="8"/>
  <c r="Y197" i="8"/>
  <c r="N197" i="8"/>
  <c r="M197" i="8"/>
  <c r="AA197" i="8"/>
  <c r="W197" i="8"/>
  <c r="Z197" i="8"/>
  <c r="X197" i="8"/>
  <c r="V197" i="8"/>
  <c r="O197" i="8"/>
  <c r="H197" i="8"/>
  <c r="L197" i="8"/>
  <c r="K197" i="8"/>
  <c r="J197" i="8"/>
  <c r="I197" i="8"/>
  <c r="G197" i="8"/>
  <c r="F197" i="8"/>
  <c r="AB197" i="8"/>
  <c r="U197" i="8"/>
  <c r="S197" i="8"/>
  <c r="P197" i="8"/>
  <c r="AE197" i="8"/>
  <c r="AC197" i="8"/>
  <c r="T197" i="8"/>
  <c r="W264" i="8"/>
  <c r="V264" i="8"/>
  <c r="S264" i="8"/>
  <c r="R264" i="8"/>
  <c r="AB264" i="8"/>
  <c r="AA264" i="8"/>
  <c r="P264" i="8"/>
  <c r="O264" i="8"/>
  <c r="AE264" i="8"/>
  <c r="AC264" i="8"/>
  <c r="Z264" i="8"/>
  <c r="X264" i="8"/>
  <c r="Y264" i="8"/>
  <c r="Q264" i="8"/>
  <c r="N264" i="8"/>
  <c r="M264" i="8"/>
  <c r="U264" i="8"/>
  <c r="T264" i="8"/>
  <c r="L264" i="8"/>
  <c r="K264" i="8"/>
  <c r="J264" i="8"/>
  <c r="I264" i="8"/>
  <c r="F264" i="8"/>
  <c r="H264" i="8"/>
  <c r="G264" i="8"/>
  <c r="T116" i="8"/>
  <c r="S116" i="8"/>
  <c r="I116" i="8"/>
  <c r="AB116" i="8"/>
  <c r="AA116" i="8"/>
  <c r="W116" i="8"/>
  <c r="U116" i="8"/>
  <c r="Q116" i="8"/>
  <c r="V116" i="8"/>
  <c r="R116" i="8"/>
  <c r="AC116" i="8"/>
  <c r="Z116" i="8"/>
  <c r="F116" i="8"/>
  <c r="Y116" i="8"/>
  <c r="P116" i="8"/>
  <c r="N116" i="8"/>
  <c r="M116" i="8"/>
  <c r="AE116" i="8"/>
  <c r="X116" i="8"/>
  <c r="O116" i="8"/>
  <c r="L116" i="8"/>
  <c r="G116" i="8"/>
  <c r="J116" i="8"/>
  <c r="H116" i="8"/>
  <c r="K116" i="8"/>
  <c r="Z159" i="8"/>
  <c r="Y159" i="8"/>
  <c r="G159" i="8"/>
  <c r="AA159" i="8"/>
  <c r="X159" i="8"/>
  <c r="U159" i="8"/>
  <c r="R159" i="8"/>
  <c r="T159" i="8"/>
  <c r="S159" i="8"/>
  <c r="Q159" i="8"/>
  <c r="AE159" i="8"/>
  <c r="AC159" i="8"/>
  <c r="W159" i="8"/>
  <c r="V159" i="8"/>
  <c r="N159" i="8"/>
  <c r="AB159" i="8"/>
  <c r="P159" i="8"/>
  <c r="O159" i="8"/>
  <c r="M159" i="8"/>
  <c r="L159" i="8"/>
  <c r="J159" i="8"/>
  <c r="H159" i="8"/>
  <c r="F159" i="8"/>
  <c r="I159" i="8"/>
  <c r="K159" i="8"/>
  <c r="V101" i="8"/>
  <c r="U101" i="8"/>
  <c r="T101" i="8"/>
  <c r="X101" i="8"/>
  <c r="W101" i="8"/>
  <c r="H101" i="8"/>
  <c r="G101" i="8"/>
  <c r="F101" i="8"/>
  <c r="AE101" i="8" s="1"/>
  <c r="J101" i="8"/>
  <c r="I101" i="8"/>
  <c r="S101" i="8"/>
  <c r="O101" i="8"/>
  <c r="R101" i="8"/>
  <c r="Q101" i="8"/>
  <c r="P101" i="8"/>
  <c r="N101" i="8"/>
  <c r="M101" i="8"/>
  <c r="L101" i="8"/>
  <c r="AA101" i="8"/>
  <c r="Z101" i="8"/>
  <c r="Y101" i="8"/>
  <c r="K101" i="8"/>
  <c r="AC101" i="8"/>
  <c r="AB101" i="8"/>
  <c r="X319" i="8"/>
  <c r="Q319" i="8"/>
  <c r="P319" i="8"/>
  <c r="V319" i="8"/>
  <c r="U319" i="8"/>
  <c r="J319" i="8"/>
  <c r="I319" i="8"/>
  <c r="AC319" i="8"/>
  <c r="AB319" i="8"/>
  <c r="O319" i="8"/>
  <c r="N319" i="8"/>
  <c r="AA319" i="8"/>
  <c r="H319" i="8"/>
  <c r="G319" i="8"/>
  <c r="F319" i="8"/>
  <c r="K319" i="8"/>
  <c r="L319" i="8"/>
  <c r="Y319" i="8"/>
  <c r="R319" i="8"/>
  <c r="AE319" i="8"/>
  <c r="W319" i="8"/>
  <c r="Z319" i="8"/>
  <c r="T319" i="8"/>
  <c r="S319" i="8"/>
  <c r="M319" i="8"/>
  <c r="N73" i="8"/>
  <c r="V73" i="8"/>
  <c r="P73" i="8"/>
  <c r="O73" i="8"/>
  <c r="J73" i="8"/>
  <c r="H73" i="8"/>
  <c r="G73" i="8"/>
  <c r="I73" i="8"/>
  <c r="F73" i="8"/>
  <c r="AE73" i="8" s="1"/>
  <c r="AC73" i="8"/>
  <c r="AB73" i="8"/>
  <c r="AA73" i="8"/>
  <c r="X73" i="8"/>
  <c r="W73" i="8"/>
  <c r="U73" i="8"/>
  <c r="S73" i="8"/>
  <c r="R73" i="8"/>
  <c r="K73" i="8"/>
  <c r="Z73" i="8"/>
  <c r="Y73" i="8"/>
  <c r="T73" i="8"/>
  <c r="M73" i="8"/>
  <c r="L73" i="8"/>
  <c r="Q73" i="8"/>
  <c r="X163" i="8"/>
  <c r="W163" i="8"/>
  <c r="O163" i="8"/>
  <c r="N163" i="8"/>
  <c r="M163" i="8"/>
  <c r="U163" i="8"/>
  <c r="T163" i="8"/>
  <c r="S163" i="8"/>
  <c r="R163" i="8"/>
  <c r="Q163" i="8"/>
  <c r="AC163" i="8"/>
  <c r="AB163" i="8"/>
  <c r="Y163" i="8"/>
  <c r="V163" i="8"/>
  <c r="P163" i="8"/>
  <c r="L163" i="8"/>
  <c r="AA163" i="8"/>
  <c r="Z163" i="8"/>
  <c r="K163" i="8"/>
  <c r="J163" i="8"/>
  <c r="G163" i="8"/>
  <c r="F163" i="8"/>
  <c r="AE163" i="8" s="1"/>
  <c r="I163" i="8"/>
  <c r="H163" i="8"/>
  <c r="AB100" i="8"/>
  <c r="F100" i="8"/>
  <c r="AA100" i="8"/>
  <c r="X100" i="8"/>
  <c r="Y100" i="8"/>
  <c r="W100" i="8"/>
  <c r="I100" i="8"/>
  <c r="G100" i="8"/>
  <c r="H100" i="8"/>
  <c r="N100" i="8"/>
  <c r="L100" i="8"/>
  <c r="K100" i="8"/>
  <c r="J100" i="8"/>
  <c r="M100" i="8"/>
  <c r="AE100" i="8"/>
  <c r="AC100" i="8"/>
  <c r="Z100" i="8"/>
  <c r="U100" i="8"/>
  <c r="S100" i="8"/>
  <c r="R100" i="8"/>
  <c r="P100" i="8"/>
  <c r="T100" i="8"/>
  <c r="Q100" i="8"/>
  <c r="O100" i="8"/>
  <c r="V100" i="8"/>
  <c r="X174" i="8"/>
  <c r="W174" i="8"/>
  <c r="S174" i="8"/>
  <c r="G174" i="8"/>
  <c r="F174" i="8"/>
  <c r="M174" i="8"/>
  <c r="K174" i="8"/>
  <c r="L174" i="8"/>
  <c r="J174" i="8"/>
  <c r="I174" i="8"/>
  <c r="AE174" i="8"/>
  <c r="AC174" i="8"/>
  <c r="AB174" i="8"/>
  <c r="AA174" i="8"/>
  <c r="H174" i="8"/>
  <c r="T174" i="8"/>
  <c r="P174" i="8"/>
  <c r="Z174" i="8"/>
  <c r="V174" i="8"/>
  <c r="R174" i="8"/>
  <c r="Q174" i="8"/>
  <c r="O174" i="8"/>
  <c r="N174" i="8"/>
  <c r="Y174" i="8"/>
  <c r="U174" i="8"/>
  <c r="K277" i="8"/>
  <c r="J277" i="8"/>
  <c r="Q277" i="8"/>
  <c r="P277" i="8"/>
  <c r="AE277" i="8"/>
  <c r="AC277" i="8"/>
  <c r="Z277" i="8"/>
  <c r="Y277" i="8"/>
  <c r="L277" i="8"/>
  <c r="I277" i="8"/>
  <c r="H277" i="8"/>
  <c r="U277" i="8"/>
  <c r="AB277" i="8"/>
  <c r="F277" i="8"/>
  <c r="W277" i="8"/>
  <c r="V277" i="8"/>
  <c r="T277" i="8"/>
  <c r="AA277" i="8"/>
  <c r="X277" i="8"/>
  <c r="S277" i="8"/>
  <c r="R277" i="8"/>
  <c r="M277" i="8"/>
  <c r="G277" i="8"/>
  <c r="O277" i="8"/>
  <c r="N277" i="8"/>
  <c r="T204" i="8"/>
  <c r="S204" i="8"/>
  <c r="U204" i="8"/>
  <c r="R204" i="8"/>
  <c r="Q204" i="8"/>
  <c r="W204" i="8"/>
  <c r="P204" i="8"/>
  <c r="O204" i="8"/>
  <c r="N204" i="8"/>
  <c r="V204" i="8"/>
  <c r="J204" i="8"/>
  <c r="I204" i="8"/>
  <c r="H204" i="8"/>
  <c r="G204" i="8"/>
  <c r="F204" i="8"/>
  <c r="AE204" i="8"/>
  <c r="AC204" i="8"/>
  <c r="AB204" i="8"/>
  <c r="AA204" i="8"/>
  <c r="Z204" i="8"/>
  <c r="Y204" i="8"/>
  <c r="X204" i="8"/>
  <c r="M204" i="8"/>
  <c r="L204" i="8"/>
  <c r="K204" i="8"/>
  <c r="AB78" i="8"/>
  <c r="F78" i="8"/>
  <c r="T78" i="8"/>
  <c r="U78" i="8"/>
  <c r="S78" i="8"/>
  <c r="AE78" i="8"/>
  <c r="AA78" i="8"/>
  <c r="Z78" i="8"/>
  <c r="Y78" i="8"/>
  <c r="AC78" i="8"/>
  <c r="X78" i="8"/>
  <c r="W78" i="8"/>
  <c r="V78" i="8"/>
  <c r="G78" i="8"/>
  <c r="Q78" i="8"/>
  <c r="P78" i="8"/>
  <c r="N78" i="8"/>
  <c r="L78" i="8"/>
  <c r="K78" i="8"/>
  <c r="R78" i="8"/>
  <c r="O78" i="8"/>
  <c r="M78" i="8"/>
  <c r="I78" i="8"/>
  <c r="J78" i="8"/>
  <c r="H78" i="8"/>
  <c r="H329" i="8"/>
  <c r="N329" i="8"/>
  <c r="M329" i="8"/>
  <c r="T329" i="8"/>
  <c r="S329" i="8"/>
  <c r="F329" i="8"/>
  <c r="AE329" i="8" s="1"/>
  <c r="V329" i="8"/>
  <c r="U329" i="8"/>
  <c r="J329" i="8"/>
  <c r="I329" i="8"/>
  <c r="G329" i="8"/>
  <c r="AB329" i="8"/>
  <c r="AA329" i="8"/>
  <c r="Z329" i="8"/>
  <c r="Y329" i="8"/>
  <c r="X329" i="8"/>
  <c r="W329" i="8"/>
  <c r="L329" i="8"/>
  <c r="K329" i="8"/>
  <c r="AC329" i="8"/>
  <c r="R329" i="8"/>
  <c r="Q329" i="8"/>
  <c r="P329" i="8"/>
  <c r="O329" i="8"/>
  <c r="AB322" i="8"/>
  <c r="F322" i="8"/>
  <c r="AE322" i="8" s="1"/>
  <c r="Y322" i="8"/>
  <c r="X322" i="8"/>
  <c r="N322" i="8"/>
  <c r="M322" i="8"/>
  <c r="J322" i="8"/>
  <c r="I322" i="8"/>
  <c r="Z322" i="8"/>
  <c r="W322" i="8"/>
  <c r="V322" i="8"/>
  <c r="AC322" i="8"/>
  <c r="O322" i="8"/>
  <c r="L322" i="8"/>
  <c r="K322" i="8"/>
  <c r="H322" i="8"/>
  <c r="G322" i="8"/>
  <c r="P322" i="8"/>
  <c r="U322" i="8"/>
  <c r="AA322" i="8"/>
  <c r="T322" i="8"/>
  <c r="S322" i="8"/>
  <c r="R322" i="8"/>
  <c r="Q322" i="8"/>
  <c r="S342" i="8"/>
  <c r="R342" i="8"/>
  <c r="Y342" i="8"/>
  <c r="X342" i="8"/>
  <c r="M342" i="8"/>
  <c r="L342" i="8"/>
  <c r="G342" i="8"/>
  <c r="F342" i="8"/>
  <c r="I342" i="8"/>
  <c r="H342" i="8"/>
  <c r="W342" i="8"/>
  <c r="V342" i="8"/>
  <c r="U342" i="8"/>
  <c r="N342" i="8"/>
  <c r="K342" i="8"/>
  <c r="J342" i="8"/>
  <c r="Q342" i="8"/>
  <c r="P342" i="8"/>
  <c r="AC342" i="8"/>
  <c r="AA342" i="8"/>
  <c r="Z342" i="8"/>
  <c r="O342" i="8"/>
  <c r="AB342" i="8"/>
  <c r="T342" i="8"/>
  <c r="AE342" i="8"/>
  <c r="Z203" i="8"/>
  <c r="Y203" i="8"/>
  <c r="W203" i="8"/>
  <c r="U203" i="8"/>
  <c r="T203" i="8"/>
  <c r="S203" i="8"/>
  <c r="Q203" i="8"/>
  <c r="P203" i="8"/>
  <c r="R203" i="8"/>
  <c r="O203" i="8"/>
  <c r="F203" i="8"/>
  <c r="AE203" i="8"/>
  <c r="AC203" i="8"/>
  <c r="K203" i="8"/>
  <c r="G203" i="8"/>
  <c r="J203" i="8"/>
  <c r="I203" i="8"/>
  <c r="H203" i="8"/>
  <c r="AA203" i="8"/>
  <c r="X203" i="8"/>
  <c r="L203" i="8"/>
  <c r="AB203" i="8"/>
  <c r="V203" i="8"/>
  <c r="N203" i="8"/>
  <c r="M203" i="8"/>
  <c r="Z220" i="8"/>
  <c r="Y220" i="8"/>
  <c r="W220" i="8"/>
  <c r="V220" i="8"/>
  <c r="N220" i="8"/>
  <c r="M220" i="8"/>
  <c r="G220" i="8"/>
  <c r="F220" i="8"/>
  <c r="Q220" i="8"/>
  <c r="O220" i="8"/>
  <c r="J220" i="8"/>
  <c r="P220" i="8"/>
  <c r="L220" i="8"/>
  <c r="K220" i="8"/>
  <c r="AE220" i="8"/>
  <c r="AC220" i="8"/>
  <c r="AA220" i="8"/>
  <c r="S220" i="8"/>
  <c r="R220" i="8"/>
  <c r="X220" i="8"/>
  <c r="U220" i="8"/>
  <c r="T220" i="8"/>
  <c r="I220" i="8"/>
  <c r="H220" i="8"/>
  <c r="AB220" i="8"/>
  <c r="AA304" i="8"/>
  <c r="AC304" i="8"/>
  <c r="F304" i="8"/>
  <c r="AB304" i="8"/>
  <c r="H304" i="8"/>
  <c r="G304" i="8"/>
  <c r="M304" i="8"/>
  <c r="L304" i="8"/>
  <c r="T304" i="8"/>
  <c r="S304" i="8"/>
  <c r="O304" i="8"/>
  <c r="V304" i="8"/>
  <c r="R304" i="8"/>
  <c r="Q304" i="8"/>
  <c r="N304" i="8"/>
  <c r="U304" i="8"/>
  <c r="P304" i="8"/>
  <c r="AE304" i="8"/>
  <c r="K304" i="8"/>
  <c r="J304" i="8"/>
  <c r="I304" i="8"/>
  <c r="W304" i="8"/>
  <c r="Z304" i="8"/>
  <c r="Y304" i="8"/>
  <c r="X304" i="8"/>
  <c r="K66" i="8"/>
  <c r="T66" i="8"/>
  <c r="S66" i="8"/>
  <c r="X66" i="8"/>
  <c r="V66" i="8"/>
  <c r="U66" i="8"/>
  <c r="R66" i="8"/>
  <c r="W66" i="8"/>
  <c r="AE66" i="8"/>
  <c r="AC66" i="8"/>
  <c r="AB66" i="8"/>
  <c r="Z66" i="8"/>
  <c r="L66" i="8"/>
  <c r="I66" i="8"/>
  <c r="J66" i="8"/>
  <c r="H66" i="8"/>
  <c r="G66" i="8"/>
  <c r="F66" i="8"/>
  <c r="Q66" i="8"/>
  <c r="N66" i="8"/>
  <c r="P66" i="8"/>
  <c r="O66" i="8"/>
  <c r="M66" i="8"/>
  <c r="AA66" i="8"/>
  <c r="Y66" i="8"/>
  <c r="J208" i="8"/>
  <c r="I208" i="8"/>
  <c r="X208" i="8"/>
  <c r="W208" i="8"/>
  <c r="H208" i="8"/>
  <c r="N208" i="8"/>
  <c r="M208" i="8"/>
  <c r="Z208" i="8"/>
  <c r="V208" i="8"/>
  <c r="U208" i="8"/>
  <c r="S208" i="8"/>
  <c r="Y208" i="8"/>
  <c r="T208" i="8"/>
  <c r="O208" i="8"/>
  <c r="L208" i="8"/>
  <c r="AB208" i="8"/>
  <c r="Q208" i="8"/>
  <c r="AA208" i="8"/>
  <c r="R208" i="8"/>
  <c r="P208" i="8"/>
  <c r="K208" i="8"/>
  <c r="G208" i="8"/>
  <c r="F208" i="8"/>
  <c r="AE208" i="8"/>
  <c r="AC208" i="8"/>
  <c r="Q298" i="8"/>
  <c r="P298" i="8"/>
  <c r="AC298" i="8"/>
  <c r="AB298" i="8"/>
  <c r="T298" i="8"/>
  <c r="S298" i="8"/>
  <c r="K298" i="8"/>
  <c r="J298" i="8"/>
  <c r="L298" i="8"/>
  <c r="I298" i="8"/>
  <c r="H298" i="8"/>
  <c r="Z298" i="8"/>
  <c r="AA298" i="8"/>
  <c r="W298" i="8"/>
  <c r="R298" i="8"/>
  <c r="V298" i="8"/>
  <c r="U298" i="8"/>
  <c r="O298" i="8"/>
  <c r="N298" i="8"/>
  <c r="M298" i="8"/>
  <c r="G298" i="8"/>
  <c r="F298" i="8"/>
  <c r="AE298" i="8" s="1"/>
  <c r="Y298" i="8"/>
  <c r="X298" i="8"/>
  <c r="Q243" i="8"/>
  <c r="P243" i="8"/>
  <c r="G243" i="8"/>
  <c r="F243" i="8"/>
  <c r="AE243" i="8" s="1"/>
  <c r="L243" i="8"/>
  <c r="K243" i="8"/>
  <c r="Y243" i="8"/>
  <c r="X243" i="8"/>
  <c r="AB243" i="8"/>
  <c r="AC243" i="8"/>
  <c r="M243" i="8"/>
  <c r="H243" i="8"/>
  <c r="J243" i="8"/>
  <c r="I243" i="8"/>
  <c r="Z243" i="8"/>
  <c r="W243" i="8"/>
  <c r="V243" i="8"/>
  <c r="U243" i="8"/>
  <c r="S243" i="8"/>
  <c r="AA243" i="8"/>
  <c r="T243" i="8"/>
  <c r="R243" i="8"/>
  <c r="N243" i="8"/>
  <c r="O243" i="8"/>
  <c r="Z93" i="8"/>
  <c r="Y93" i="8"/>
  <c r="AC93" i="8"/>
  <c r="T93" i="8"/>
  <c r="S93" i="8"/>
  <c r="L93" i="8"/>
  <c r="J93" i="8"/>
  <c r="I93" i="8"/>
  <c r="K93" i="8"/>
  <c r="H93" i="8"/>
  <c r="AA93" i="8"/>
  <c r="X93" i="8"/>
  <c r="U93" i="8"/>
  <c r="Q93" i="8"/>
  <c r="P93" i="8"/>
  <c r="N93" i="8"/>
  <c r="R93" i="8"/>
  <c r="O93" i="8"/>
  <c r="M93" i="8"/>
  <c r="G93" i="8"/>
  <c r="AE93" i="8"/>
  <c r="W93" i="8"/>
  <c r="V93" i="8"/>
  <c r="F93" i="8"/>
  <c r="AB93" i="8"/>
  <c r="J158" i="8"/>
  <c r="I158" i="8"/>
  <c r="L158" i="8"/>
  <c r="AC158" i="8"/>
  <c r="AB158" i="8"/>
  <c r="W158" i="8"/>
  <c r="U158" i="8"/>
  <c r="S158" i="8"/>
  <c r="V158" i="8"/>
  <c r="T158" i="8"/>
  <c r="Z158" i="8"/>
  <c r="Y158" i="8"/>
  <c r="Q158" i="8"/>
  <c r="AE158" i="8"/>
  <c r="AA158" i="8"/>
  <c r="X158" i="8"/>
  <c r="R158" i="8"/>
  <c r="P158" i="8"/>
  <c r="O158" i="8"/>
  <c r="M158" i="8"/>
  <c r="K158" i="8"/>
  <c r="N158" i="8"/>
  <c r="G158" i="8"/>
  <c r="F158" i="8"/>
  <c r="H158" i="8"/>
  <c r="O236" i="8"/>
  <c r="N236" i="8"/>
  <c r="J236" i="8"/>
  <c r="I236" i="8"/>
  <c r="Y236" i="8"/>
  <c r="X236" i="8"/>
  <c r="AC236" i="8"/>
  <c r="AB236" i="8"/>
  <c r="W236" i="8"/>
  <c r="S236" i="8"/>
  <c r="V236" i="8"/>
  <c r="U236" i="8"/>
  <c r="T236" i="8"/>
  <c r="R236" i="8"/>
  <c r="L236" i="8"/>
  <c r="K236" i="8"/>
  <c r="AE236" i="8"/>
  <c r="AA236" i="8"/>
  <c r="Q236" i="8"/>
  <c r="P236" i="8"/>
  <c r="F236" i="8"/>
  <c r="Z236" i="8"/>
  <c r="M236" i="8"/>
  <c r="H236" i="8"/>
  <c r="G236" i="8"/>
  <c r="Y60" i="8"/>
  <c r="U6" i="14" s="1"/>
  <c r="AA60" i="8"/>
  <c r="W6" i="14" s="1"/>
  <c r="Z60" i="8"/>
  <c r="V6" i="14" s="1"/>
  <c r="N60" i="8"/>
  <c r="J6" i="14" s="1"/>
  <c r="K60" i="8"/>
  <c r="G6" i="14" s="1"/>
  <c r="J60" i="8"/>
  <c r="F6" i="14" s="1"/>
  <c r="M60" i="8"/>
  <c r="I6" i="14" s="1"/>
  <c r="L60" i="8"/>
  <c r="H6" i="14" s="1"/>
  <c r="H60" i="8"/>
  <c r="D6" i="14" s="1"/>
  <c r="F60" i="8"/>
  <c r="B6" i="14" s="1"/>
  <c r="G60" i="8"/>
  <c r="C6" i="14" s="1"/>
  <c r="AE60" i="8"/>
  <c r="AC60" i="8"/>
  <c r="Y6" i="14" s="1"/>
  <c r="AB60" i="8"/>
  <c r="X6" i="14" s="1"/>
  <c r="X60" i="8"/>
  <c r="T6" i="14" s="1"/>
  <c r="V60" i="8"/>
  <c r="R6" i="14" s="1"/>
  <c r="U60" i="8"/>
  <c r="Q6" i="14" s="1"/>
  <c r="W60" i="8"/>
  <c r="S6" i="14" s="1"/>
  <c r="S60" i="8"/>
  <c r="O6" i="14" s="1"/>
  <c r="R60" i="8"/>
  <c r="N6" i="14" s="1"/>
  <c r="I60" i="8"/>
  <c r="E6" i="14" s="1"/>
  <c r="T60" i="8"/>
  <c r="P6" i="14" s="1"/>
  <c r="Q60" i="8"/>
  <c r="M6" i="14" s="1"/>
  <c r="O60" i="8"/>
  <c r="K6" i="14" s="1"/>
  <c r="P60" i="8"/>
  <c r="L6" i="14" s="1"/>
  <c r="J180" i="8"/>
  <c r="I180" i="8"/>
  <c r="T180" i="8"/>
  <c r="O180" i="8"/>
  <c r="N180" i="8"/>
  <c r="H180" i="8"/>
  <c r="F180" i="8"/>
  <c r="AE180" i="8" s="1"/>
  <c r="G180" i="8"/>
  <c r="U180" i="8"/>
  <c r="P180" i="8"/>
  <c r="M180" i="8"/>
  <c r="S180" i="8"/>
  <c r="R180" i="8"/>
  <c r="Q180" i="8"/>
  <c r="L180" i="8"/>
  <c r="K180" i="8"/>
  <c r="X180" i="8"/>
  <c r="AB180" i="8"/>
  <c r="AA180" i="8"/>
  <c r="W180" i="8"/>
  <c r="V180" i="8"/>
  <c r="AC180" i="8"/>
  <c r="Z180" i="8"/>
  <c r="Y180" i="8"/>
  <c r="S250" i="8"/>
  <c r="R250" i="8"/>
  <c r="AA250" i="8"/>
  <c r="Z250" i="8"/>
  <c r="X250" i="8"/>
  <c r="W250" i="8"/>
  <c r="H250" i="8"/>
  <c r="G250" i="8"/>
  <c r="J250" i="8"/>
  <c r="I250" i="8"/>
  <c r="AC250" i="8"/>
  <c r="M250" i="8"/>
  <c r="K250" i="8"/>
  <c r="F250" i="8"/>
  <c r="L250" i="8"/>
  <c r="AE250" i="8"/>
  <c r="AB250" i="8"/>
  <c r="P250" i="8"/>
  <c r="O250" i="8"/>
  <c r="N250" i="8"/>
  <c r="Y250" i="8"/>
  <c r="U250" i="8"/>
  <c r="T250" i="8"/>
  <c r="Q250" i="8"/>
  <c r="V250" i="8"/>
  <c r="R131" i="8"/>
  <c r="Q131" i="8"/>
  <c r="W131" i="8"/>
  <c r="H131" i="8"/>
  <c r="G131" i="8"/>
  <c r="N131" i="8"/>
  <c r="M131" i="8"/>
  <c r="L131" i="8"/>
  <c r="K131" i="8"/>
  <c r="J131" i="8"/>
  <c r="AE131" i="8"/>
  <c r="AC131" i="8"/>
  <c r="F131" i="8"/>
  <c r="O131" i="8"/>
  <c r="I131" i="8"/>
  <c r="Y131" i="8"/>
  <c r="U131" i="8"/>
  <c r="P131" i="8"/>
  <c r="AA131" i="8"/>
  <c r="Z131" i="8"/>
  <c r="X131" i="8"/>
  <c r="V131" i="8"/>
  <c r="AB131" i="8"/>
  <c r="T131" i="8"/>
  <c r="S131" i="8"/>
  <c r="P69" i="8"/>
  <c r="S69" i="8"/>
  <c r="G69" i="8"/>
  <c r="AE69" i="8"/>
  <c r="F69" i="8"/>
  <c r="R69" i="8"/>
  <c r="O69" i="8"/>
  <c r="Q69" i="8"/>
  <c r="N69" i="8"/>
  <c r="M69" i="8"/>
  <c r="T69" i="8"/>
  <c r="H69" i="8"/>
  <c r="L69" i="8"/>
  <c r="K69" i="8"/>
  <c r="J69" i="8"/>
  <c r="I69" i="8"/>
  <c r="W69" i="8"/>
  <c r="U69" i="8"/>
  <c r="V69" i="8"/>
  <c r="AB69" i="8"/>
  <c r="Y69" i="8"/>
  <c r="AC69" i="8"/>
  <c r="AA69" i="8"/>
  <c r="Z69" i="8"/>
  <c r="X69" i="8"/>
  <c r="AB166" i="8"/>
  <c r="F166" i="8"/>
  <c r="AA166" i="8"/>
  <c r="Z166" i="8"/>
  <c r="AE166" i="8"/>
  <c r="Q166" i="8"/>
  <c r="O166" i="8"/>
  <c r="M166" i="8"/>
  <c r="P166" i="8"/>
  <c r="N166" i="8"/>
  <c r="K166" i="8"/>
  <c r="J166" i="8"/>
  <c r="Y166" i="8"/>
  <c r="X166" i="8"/>
  <c r="AC166" i="8"/>
  <c r="W166" i="8"/>
  <c r="V166" i="8"/>
  <c r="T166" i="8"/>
  <c r="U166" i="8"/>
  <c r="L166" i="8"/>
  <c r="H166" i="8"/>
  <c r="G166" i="8"/>
  <c r="S166" i="8"/>
  <c r="R166" i="8"/>
  <c r="I166" i="8"/>
  <c r="X196" i="8"/>
  <c r="W196" i="8"/>
  <c r="AC196" i="8"/>
  <c r="Q196" i="8"/>
  <c r="P196" i="8"/>
  <c r="AA196" i="8"/>
  <c r="Y196" i="8"/>
  <c r="V196" i="8"/>
  <c r="U196" i="8"/>
  <c r="Z196" i="8"/>
  <c r="AB196" i="8"/>
  <c r="T196" i="8"/>
  <c r="G196" i="8"/>
  <c r="F196" i="8"/>
  <c r="S196" i="8"/>
  <c r="AE196" i="8"/>
  <c r="R196" i="8"/>
  <c r="O196" i="8"/>
  <c r="N196" i="8"/>
  <c r="M196" i="8"/>
  <c r="L196" i="8"/>
  <c r="K196" i="8"/>
  <c r="J196" i="8"/>
  <c r="H196" i="8"/>
  <c r="I196" i="8"/>
  <c r="Q265" i="8"/>
  <c r="P265" i="8"/>
  <c r="O265" i="8"/>
  <c r="N265" i="8"/>
  <c r="Z265" i="8"/>
  <c r="Y265" i="8"/>
  <c r="T265" i="8"/>
  <c r="S265" i="8"/>
  <c r="AE265" i="8"/>
  <c r="AB265" i="8"/>
  <c r="AC265" i="8"/>
  <c r="AA265" i="8"/>
  <c r="G265" i="8"/>
  <c r="F265" i="8"/>
  <c r="X265" i="8"/>
  <c r="W265" i="8"/>
  <c r="V265" i="8"/>
  <c r="R265" i="8"/>
  <c r="J265" i="8"/>
  <c r="U265" i="8"/>
  <c r="M265" i="8"/>
  <c r="L265" i="8"/>
  <c r="H265" i="8"/>
  <c r="K265" i="8"/>
  <c r="I265" i="8"/>
  <c r="AE118" i="8"/>
  <c r="H118" i="8"/>
  <c r="AC118" i="8"/>
  <c r="G118" i="8"/>
  <c r="Y118" i="8"/>
  <c r="U118" i="8"/>
  <c r="T118" i="8"/>
  <c r="V118" i="8"/>
  <c r="R118" i="8"/>
  <c r="P118" i="8"/>
  <c r="S118" i="8"/>
  <c r="Q118" i="8"/>
  <c r="AA118" i="8"/>
  <c r="X118" i="8"/>
  <c r="O118" i="8"/>
  <c r="Z118" i="8"/>
  <c r="W118" i="8"/>
  <c r="N118" i="8"/>
  <c r="M118" i="8"/>
  <c r="L118" i="8"/>
  <c r="AB118" i="8"/>
  <c r="K118" i="8"/>
  <c r="J118" i="8"/>
  <c r="I118" i="8"/>
  <c r="F118" i="8"/>
  <c r="AE61" i="8" l="1"/>
  <c r="B4" i="9" s="1"/>
  <c r="B10" i="9" s="1"/>
  <c r="AE57" i="8"/>
</calcChain>
</file>

<file path=xl/sharedStrings.xml><?xml version="1.0" encoding="utf-8"?>
<sst xmlns="http://schemas.openxmlformats.org/spreadsheetml/2006/main" count="7332" uniqueCount="509">
  <si>
    <t>ELCCAfR Effective Load Carrying Capability Adjustment for Reliability</t>
  </si>
  <si>
    <t>Alabama</t>
  </si>
  <si>
    <t>AL</t>
  </si>
  <si>
    <t>Active state: B1 (full name). B2 derives the code used by every tab.</t>
  </si>
  <si>
    <t>Arkansas</t>
  </si>
  <si>
    <t>AR</t>
  </si>
  <si>
    <t>Sources:</t>
  </si>
  <si>
    <t>Firm-tech availability targets (nuclear 0.975; thermal derate relocated to MCF)</t>
  </si>
  <si>
    <t>Arizona</t>
  </si>
  <si>
    <t>AZ</t>
  </si>
  <si>
    <t>NERC / ISO-NE</t>
  </si>
  <si>
    <t>California</t>
  </si>
  <si>
    <t>CA</t>
  </si>
  <si>
    <t>GADS EFORd class averages 2020-2024, all units reporting (ISO-NE compilation, updated 2026-03-12)</t>
  </si>
  <si>
    <t>Colorado</t>
  </si>
  <si>
    <t>CO</t>
  </si>
  <si>
    <t>Connecticut</t>
  </si>
  <si>
    <t>CT</t>
  </si>
  <si>
    <t>https://www.iso-ne.com/static-assets/documents/genrtion_resrcs/gads/class_ave_2010.pdf</t>
  </si>
  <si>
    <t>Delaware</t>
  </si>
  <si>
    <t>DE</t>
  </si>
  <si>
    <t>Basis for nuclear target 0.975 (1 - EFORd, PWR classes) and the NGCC 0.95 that now lives in MCF.csv (not this file). NOT re-verified against the current NERC brochure or PJM Manual 21 / MISO filings — do that before external use. EFORd excludes planned outages by design; do not use these values for energy (annual CF) purposes.</t>
  </si>
  <si>
    <t>Florida</t>
  </si>
  <si>
    <t>FL</t>
  </si>
  <si>
    <t>Georgia</t>
  </si>
  <si>
    <t>GA</t>
  </si>
  <si>
    <t>Hydro peak-credit values (5 researched states) and targets (10 high-MCF states)</t>
  </si>
  <si>
    <t>Iowa</t>
  </si>
  <si>
    <t>IA</t>
  </si>
  <si>
    <t>EIA</t>
  </si>
  <si>
    <t>Idaho</t>
  </si>
  <si>
    <t>ID</t>
  </si>
  <si>
    <t>Open Data API v2: electric-power-operational-data (fueltypeid HYC, sectorid 98) / operating-generator-capacity (WAT, OP, net-summer-capacity-mw)</t>
  </si>
  <si>
    <t>Illinois</t>
  </si>
  <si>
    <t>IL</t>
  </si>
  <si>
    <t>Indiana</t>
  </si>
  <si>
    <t>IN</t>
  </si>
  <si>
    <t>https://www.eia.gov/opendata/</t>
  </si>
  <si>
    <t>Kansas</t>
  </si>
  <si>
    <t>KS</t>
  </si>
  <si>
    <t>August 2020-24 generation over net-summer capacity x 744 h. NET SUMMER basis, not nameplate (model capacity is net summer; ND model 510.0 MW = EIA net summer exactly). Values embedded on Keys with rejected raw values recorded. OR and VT are calibration floors, NOT their raw EIA CFs — a monthly energy CF understates reservoir peak capability. The 10 target-state values arrived as constants from the colleague 2026-08-31 and are PENDING independent EIA re-derivation (plan D1); do not treat them as verified. Do not use any of these as energy CFs.</t>
  </si>
  <si>
    <t>Kentucky</t>
  </si>
  <si>
    <t>KY</t>
  </si>
  <si>
    <t>Louisiana</t>
  </si>
  <si>
    <t>LA</t>
  </si>
  <si>
    <t>VRE passthrough grids, and all layouts/labels</t>
  </si>
  <si>
    <t>Massachusetts</t>
  </si>
  <si>
    <t>MA</t>
  </si>
  <si>
    <t>Energy Innovation</t>
  </si>
  <si>
    <t>Maryland</t>
  </si>
  <si>
    <t>MD</t>
  </si>
  <si>
    <t>state-eps-data-repository, deployed per-state ELCCAfR/SYSHECF/HYECFCA/MCF/BHRaSYC CSVs</t>
  </si>
  <si>
    <t>Maine</t>
  </si>
  <si>
    <t>ME</t>
  </si>
  <si>
    <t>Michigan</t>
  </si>
  <si>
    <t>MI</t>
  </si>
  <si>
    <t>https://github.com/EnergyInnovation</t>
  </si>
  <si>
    <t>Minnesota</t>
  </si>
  <si>
    <t>MN</t>
  </si>
  <si>
    <t>Read 2026-08-31 from state-eps-data-repository @ 3599b4df1a + uncommitted working-tree edits (the recalibration itself). VRE tabs are Robbie's P30 pinned-peak-day builder output, passed through verbatim (Src_VRE tab) — this workbook does not re-derive them. SYSHECF/HYECFCA/MCF/BHRaSYC rows embedded verbatim on the Src_ tabs. These are model inputs, not primary data; their own provenance lives in their generating workbooks/builders.</t>
  </si>
  <si>
    <t>Missouri</t>
  </si>
  <si>
    <t>MO</t>
  </si>
  <si>
    <t>Mississippi</t>
  </si>
  <si>
    <t>MS</t>
  </si>
  <si>
    <t>Montana</t>
  </si>
  <si>
    <t>MT</t>
  </si>
  <si>
    <t>Notes:</t>
  </si>
  <si>
    <t>North Carolina</t>
  </si>
  <si>
    <t>NC</t>
  </si>
  <si>
    <t>Filename</t>
  </si>
  <si>
    <t>Folder/file named per eps-us InputData convention. NOTE: the state tree currently carries a DIFFERENTLY NAMED workbook per state ("ELCCAfR ELCC Adjustment for Reliability.xlsx", Robbie's builder, Parameters!B4 = 0.90) which is SUPERSEDED by this methodology and must not be used to regenerate CSVs.</t>
  </si>
  <si>
    <t>North Dakota</t>
  </si>
  <si>
    <t>ND</t>
  </si>
  <si>
    <t>Deploy state</t>
  </si>
  <si>
    <t>CSVs in state-eps-data-repository were edited 2026-08-31 by qc/firm-credit/_apply_firm_credit_elccafr.py; this workbook documents/derives the same values. Run tree NOT yet updated.</t>
  </si>
  <si>
    <t>Nebraska</t>
  </si>
  <si>
    <t>NE</t>
  </si>
  <si>
    <t>New Hampshire</t>
  </si>
  <si>
    <t>NH</t>
  </si>
  <si>
    <t>New Jersey</t>
  </si>
  <si>
    <t>NJ</t>
  </si>
  <si>
    <t>New Mexico</t>
  </si>
  <si>
    <t>NM</t>
  </si>
  <si>
    <t>Nevada</t>
  </si>
  <si>
    <t>NV</t>
  </si>
  <si>
    <t>New York</t>
  </si>
  <si>
    <t>NY</t>
  </si>
  <si>
    <t>Ohio</t>
  </si>
  <si>
    <t>OH</t>
  </si>
  <si>
    <t>Oklahoma</t>
  </si>
  <si>
    <t>OK</t>
  </si>
  <si>
    <t>Oregon</t>
  </si>
  <si>
    <t>OR</t>
  </si>
  <si>
    <t>Pennsylvania</t>
  </si>
  <si>
    <t>PA</t>
  </si>
  <si>
    <t>Rhode Island</t>
  </si>
  <si>
    <t>RI</t>
  </si>
  <si>
    <t>South Carolina</t>
  </si>
  <si>
    <t>SC</t>
  </si>
  <si>
    <t>South Dakota</t>
  </si>
  <si>
    <t>SD</t>
  </si>
  <si>
    <t>Tennessee</t>
  </si>
  <si>
    <t>TN</t>
  </si>
  <si>
    <t>Texas</t>
  </si>
  <si>
    <t>TX</t>
  </si>
  <si>
    <t>Utah</t>
  </si>
  <si>
    <t>UT</t>
  </si>
  <si>
    <t>Virginia</t>
  </si>
  <si>
    <t>VA</t>
  </si>
  <si>
    <t>Vermont</t>
  </si>
  <si>
    <t>VT</t>
  </si>
  <si>
    <t>Washington</t>
  </si>
  <si>
    <t>WA</t>
  </si>
  <si>
    <t>Wisconsin</t>
  </si>
  <si>
    <t>WI</t>
  </si>
  <si>
    <t>West Virginia</t>
  </si>
  <si>
    <t>WV</t>
  </si>
  <si>
    <t>Wyoming</t>
  </si>
  <si>
    <t>WY</t>
  </si>
  <si>
    <t>category</t>
  </si>
  <si>
    <t>key</t>
  </si>
  <si>
    <t>value</t>
  </si>
  <si>
    <t>description</t>
  </si>
  <si>
    <t>const</t>
  </si>
  <si>
    <t>nuclear_target</t>
  </si>
  <si>
    <t>Peak-hour availability credit for nuclear: 1 - EFORd, GADS PWR classes 2020-24. Robbie/colleague decision 2026-08-31.</t>
  </si>
  <si>
    <t>thermal_elccafr</t>
  </si>
  <si>
    <t>ELCCAfR for the 12 MCF-path thermal techs. The 0.9 availability derate moved into MCF.csv (Olivia edit 2026-08-31), so ELCCAfR = 1.0 here; net credit 0.9 (0.95 for NGCC, whose MCF is 0.95).</t>
  </si>
  <si>
    <t>unchanged_elccafr</t>
  </si>
  <si>
    <t>Value kept for deferred techs (biomass, biomass-CCS, geothermal, MSW, SMR, crude oil), for nuclear in the 20 states with no nuclear fleet, and for demand-altering techs. As committed 2026-08-19 (state-eps-data 3462ef1608).</t>
  </si>
  <si>
    <t>round_dp</t>
  </si>
  <si>
    <t>Decimal places in the deployed CSVs.</t>
  </si>
  <si>
    <t>tol_credit</t>
  </si>
  <si>
    <t>Tolerance on recomputed credits vs their target (covers 4-dp rounding).</t>
  </si>
  <si>
    <t>tol_mcf_vary</t>
  </si>
  <si>
    <t>Threshold above which a hydro MCF row counts as varying across years.</t>
  </si>
  <si>
    <t>hydro_fixed</t>
  </si>
  <si>
    <t>Group 5b: the five states whose hydro MCF is 1.0, so ELCCAfR carries the whole peak derate. Rejected raw EIA values recorded in the description.</t>
  </si>
  <si>
    <t>EIA 2020-24 avg August CF, net-summer basis</t>
  </si>
  <si>
    <t>calibration floor for reservoir hydro; raw EIA Aug CF 0.4041 REJECTED (fails 2025 no-fake-shortfall gate by ~2,600 MW); absorbs unmodeled BPA-region import support — Robbie sign-off pending</t>
  </si>
  <si>
    <t>EIA Aug CF 0.3042 raised to calibration floor 0.3481, rounded up; thin margin, dry-year fragility documented</t>
  </si>
  <si>
    <t>hydro_target</t>
  </si>
  <si>
    <t>Group 5c: high-MCF states whose hydro MCF is an energy CF, not peak availability. The CREDIT target below is divided by the state MCF on Calcs to get the ELCCAfR. Values from the colleague 2026-08-31; EIA re-derivation pending (plan decision D1).</t>
  </si>
  <si>
    <t>target peak-hour CREDIT (not the ELCCAfR itself)</t>
  </si>
  <si>
    <t>Src_HYECFCA_nuclear</t>
  </si>
  <si>
    <t>The nuclear row of each state's HYECFCA.csv, verbatim. Column 2 (2025) is the only year the recalibration divides by; 2026+ are 1.0 by construction.</t>
  </si>
  <si>
    <t>Provenance: state-eps-data-repository @ 3599b4df1a + uncommitted working-tree edits (the recalibration itself), read 2026-08-31. Helper: none needed — 2025 is column B.</t>
  </si>
  <si>
    <t>state</t>
  </si>
  <si>
    <t xml:space="preserve"> %)"</t>
  </si>
  <si>
    <t>2025.0</t>
  </si>
  <si>
    <t>2026.0</t>
  </si>
  <si>
    <t>2027.0</t>
  </si>
  <si>
    <t>2028.0</t>
  </si>
  <si>
    <t>2029.0</t>
  </si>
  <si>
    <t>2030.0</t>
  </si>
  <si>
    <t>2031.0</t>
  </si>
  <si>
    <t>2032.0</t>
  </si>
  <si>
    <t>2033.0</t>
  </si>
  <si>
    <t>2034.0</t>
  </si>
  <si>
    <t>2035.0</t>
  </si>
  <si>
    <t>2036.0</t>
  </si>
  <si>
    <t>2037.0</t>
  </si>
  <si>
    <t>2038.0</t>
  </si>
  <si>
    <t>2039.0</t>
  </si>
  <si>
    <t>2040.0</t>
  </si>
  <si>
    <t>2041.0</t>
  </si>
  <si>
    <t>2042.0</t>
  </si>
  <si>
    <t>2043.0</t>
  </si>
  <si>
    <t>2044.0</t>
  </si>
  <si>
    <t>2045.0</t>
  </si>
  <si>
    <t>2046.0</t>
  </si>
  <si>
    <t>2047.0</t>
  </si>
  <si>
    <t>2048.0</t>
  </si>
  <si>
    <t>2049.0</t>
  </si>
  <si>
    <t>2050.0</t>
  </si>
  <si>
    <t>Src_MCF_hydro</t>
  </si>
  <si>
    <t>The hydro row of each state's MCF.csv, verbatim (post Olivia's 2026-08-31 MCF edit, which left hydro untouched). Helpers at right: the 2025 value the target states divide by, and a constancy check across the 26 years.</t>
  </si>
  <si>
    <t>Provenance: state-eps-data-repository @ 3599b4df1a + uncommitted working-tree edits (the recalibration itself), read 2026-08-31. Helpers in columns AB-AC.</t>
  </si>
  <si>
    <t>MCF used in the division
(= 2025 column)</t>
  </si>
  <si>
    <t>CHECK: does MCF vary across years?
1 = problem</t>
  </si>
  <si>
    <t>Src_BHRaSYC_nuclear</t>
  </si>
  <si>
    <t>The nuclear row of each state's BHRaSYC-StartYearCapacities.csv, verbatim across all vintage columns. The SUM column gates which states get the nuclear ratio treatment.</t>
  </si>
  <si>
    <t>Provenance: state-eps-data-repository @ 3599b4df1a + uncommitted working-tree edits (the recalibration itself), read 2026-08-31. Vintage headers as upstream.</t>
  </si>
  <si>
    <t>Vintage1891</t>
  </si>
  <si>
    <t>Vintage1892</t>
  </si>
  <si>
    <t>Vintage1893</t>
  </si>
  <si>
    <t>Vintage1894</t>
  </si>
  <si>
    <t>Vintage1895</t>
  </si>
  <si>
    <t>Vintage1896</t>
  </si>
  <si>
    <t>Vintage1897</t>
  </si>
  <si>
    <t>Vintage1898</t>
  </si>
  <si>
    <t>Vintage1899</t>
  </si>
  <si>
    <t>Vintage1900</t>
  </si>
  <si>
    <t>Vintage1901</t>
  </si>
  <si>
    <t>Vintage1902</t>
  </si>
  <si>
    <t>Vintage1903</t>
  </si>
  <si>
    <t>Vintage1904</t>
  </si>
  <si>
    <t>Vintage1905</t>
  </si>
  <si>
    <t>Vintage1906</t>
  </si>
  <si>
    <t>Vintage1907</t>
  </si>
  <si>
    <t>Vintage1908</t>
  </si>
  <si>
    <t>Vintage1909</t>
  </si>
  <si>
    <t>Vintage1910</t>
  </si>
  <si>
    <t>Vintage1911</t>
  </si>
  <si>
    <t>Vintage1912</t>
  </si>
  <si>
    <t>Vintage1913</t>
  </si>
  <si>
    <t>Vintage1914</t>
  </si>
  <si>
    <t>Vintage1915</t>
  </si>
  <si>
    <t>Vintage1916</t>
  </si>
  <si>
    <t>Vintage1917</t>
  </si>
  <si>
    <t>Vintage1918</t>
  </si>
  <si>
    <t>Vintage1919</t>
  </si>
  <si>
    <t>Vintage1920</t>
  </si>
  <si>
    <t>Vintage1921</t>
  </si>
  <si>
    <t>Vintage1922</t>
  </si>
  <si>
    <t>Vintage1923</t>
  </si>
  <si>
    <t>Vintage1924</t>
  </si>
  <si>
    <t>Vintage1925</t>
  </si>
  <si>
    <t>Vintage1926</t>
  </si>
  <si>
    <t>Vintage1927</t>
  </si>
  <si>
    <t>Vintage1928</t>
  </si>
  <si>
    <t>Vintage1929</t>
  </si>
  <si>
    <t>Vintage1930</t>
  </si>
  <si>
    <t>Vintage1931</t>
  </si>
  <si>
    <t>Vintage1932</t>
  </si>
  <si>
    <t>Vintage1933</t>
  </si>
  <si>
    <t>Vintage1934</t>
  </si>
  <si>
    <t>Vintage1935</t>
  </si>
  <si>
    <t>Vintage1936</t>
  </si>
  <si>
    <t>Vintage1937</t>
  </si>
  <si>
    <t>Vintage1938</t>
  </si>
  <si>
    <t>Vintage1939</t>
  </si>
  <si>
    <t>Vintage1940</t>
  </si>
  <si>
    <t>Vintage1941</t>
  </si>
  <si>
    <t>Vintage1942</t>
  </si>
  <si>
    <t>Vintage1943</t>
  </si>
  <si>
    <t>Vintage1944</t>
  </si>
  <si>
    <t>Vintage1945</t>
  </si>
  <si>
    <t>Vintage1946</t>
  </si>
  <si>
    <t>Vintage1947</t>
  </si>
  <si>
    <t>Vintage1948</t>
  </si>
  <si>
    <t>Vintage1949</t>
  </si>
  <si>
    <t>Vintage1950</t>
  </si>
  <si>
    <t>Vintage1951</t>
  </si>
  <si>
    <t>Vintage1952</t>
  </si>
  <si>
    <t>Vintage1953</t>
  </si>
  <si>
    <t>Vintage1954</t>
  </si>
  <si>
    <t>Vintage1955</t>
  </si>
  <si>
    <t>Vintage1956</t>
  </si>
  <si>
    <t>Vintage1957</t>
  </si>
  <si>
    <t>Vintage1958</t>
  </si>
  <si>
    <t>Vintage1959</t>
  </si>
  <si>
    <t>Vintage1960</t>
  </si>
  <si>
    <t>Vintage1961</t>
  </si>
  <si>
    <t>Vintage1962</t>
  </si>
  <si>
    <t>Vintage1963</t>
  </si>
  <si>
    <t>Vintage1964</t>
  </si>
  <si>
    <t>Vintage1965</t>
  </si>
  <si>
    <t>Vintage1966</t>
  </si>
  <si>
    <t>Vintage1967</t>
  </si>
  <si>
    <t>Vintage1968</t>
  </si>
  <si>
    <t>Vintage1969</t>
  </si>
  <si>
    <t>Vintage1970</t>
  </si>
  <si>
    <t>Vintage1971</t>
  </si>
  <si>
    <t>Vintage1972</t>
  </si>
  <si>
    <t>Vintage1973</t>
  </si>
  <si>
    <t>Vintage1974</t>
  </si>
  <si>
    <t>Vintage1975</t>
  </si>
  <si>
    <t>Vintage1976</t>
  </si>
  <si>
    <t>Vintage1977</t>
  </si>
  <si>
    <t>Vintage1978</t>
  </si>
  <si>
    <t>Vintage1979</t>
  </si>
  <si>
    <t>Vintage1980</t>
  </si>
  <si>
    <t>Vintage1981</t>
  </si>
  <si>
    <t>Vintage1982</t>
  </si>
  <si>
    <t>Vintage1983</t>
  </si>
  <si>
    <t>Vintage1984</t>
  </si>
  <si>
    <t>Vintage1985</t>
  </si>
  <si>
    <t>Vintage1986</t>
  </si>
  <si>
    <t>Vintage1987</t>
  </si>
  <si>
    <t>Vintage1988</t>
  </si>
  <si>
    <t>Vintage1989</t>
  </si>
  <si>
    <t>Vintage1990</t>
  </si>
  <si>
    <t>Vintage1991</t>
  </si>
  <si>
    <t>Vintage1992</t>
  </si>
  <si>
    <t>Vintage1993</t>
  </si>
  <si>
    <t>Vintage1994</t>
  </si>
  <si>
    <t>Vintage1995</t>
  </si>
  <si>
    <t>Vintage1996</t>
  </si>
  <si>
    <t>Vintage1997</t>
  </si>
  <si>
    <t>Vintage1998</t>
  </si>
  <si>
    <t>Vintage1999</t>
  </si>
  <si>
    <t>Vintage2000</t>
  </si>
  <si>
    <t>Vintage2001</t>
  </si>
  <si>
    <t>Vintage2002</t>
  </si>
  <si>
    <t>Vintage2003</t>
  </si>
  <si>
    <t>Vintage2004</t>
  </si>
  <si>
    <t>Vintage2005</t>
  </si>
  <si>
    <t>Vintage2006</t>
  </si>
  <si>
    <t>Vintage2007</t>
  </si>
  <si>
    <t>Vintage2008</t>
  </si>
  <si>
    <t>Vintage2009</t>
  </si>
  <si>
    <t>Vintage2010</t>
  </si>
  <si>
    <t>Vintage2011</t>
  </si>
  <si>
    <t>Vintage2012</t>
  </si>
  <si>
    <t>Vintage2013</t>
  </si>
  <si>
    <t>Vintage2014</t>
  </si>
  <si>
    <t>Vintage2015</t>
  </si>
  <si>
    <t>Vintage2016</t>
  </si>
  <si>
    <t>Vintage2017</t>
  </si>
  <si>
    <t>Vintage2018</t>
  </si>
  <si>
    <t>Vintage2019</t>
  </si>
  <si>
    <t>Vintage2020</t>
  </si>
  <si>
    <t>Vintage2021</t>
  </si>
  <si>
    <t>Vintage2022</t>
  </si>
  <si>
    <t>Vintage2023</t>
  </si>
  <si>
    <t>Vintage2024</t>
  </si>
  <si>
    <t>Vintage2025</t>
  </si>
  <si>
    <t>Vintage2026</t>
  </si>
  <si>
    <t>Vintage2027</t>
  </si>
  <si>
    <t>Vintage2028</t>
  </si>
  <si>
    <t>Vintage2029</t>
  </si>
  <si>
    <t>Vintage2030</t>
  </si>
  <si>
    <t>Vintage2031</t>
  </si>
  <si>
    <t>Vintage2032</t>
  </si>
  <si>
    <t>Vintage2033</t>
  </si>
  <si>
    <t>Vintage2034</t>
  </si>
  <si>
    <t>Vintage2035</t>
  </si>
  <si>
    <t>Vintage2036</t>
  </si>
  <si>
    <t>Vintage2037</t>
  </si>
  <si>
    <t>Vintage2038</t>
  </si>
  <si>
    <t>Vintage2039</t>
  </si>
  <si>
    <t>Vintage2040</t>
  </si>
  <si>
    <t>Vintage2041</t>
  </si>
  <si>
    <t>Vintage2042</t>
  </si>
  <si>
    <t>Vintage2043</t>
  </si>
  <si>
    <t>Vintage2044</t>
  </si>
  <si>
    <t>Vintage2045</t>
  </si>
  <si>
    <t>Vintage2046</t>
  </si>
  <si>
    <t>Vintage2047</t>
  </si>
  <si>
    <t>Vintage2048</t>
  </si>
  <si>
    <t>Vintage2049</t>
  </si>
  <si>
    <t>Vintage2050</t>
  </si>
  <si>
    <t>Vintage2051</t>
  </si>
  <si>
    <t>Vintage2052</t>
  </si>
  <si>
    <t>Vintage2053</t>
  </si>
  <si>
    <t>Vintage2054</t>
  </si>
  <si>
    <t>Vintage2055</t>
  </si>
  <si>
    <t>Vintage2056</t>
  </si>
  <si>
    <t>Vintage2057</t>
  </si>
  <si>
    <t>Vintage2058</t>
  </si>
  <si>
    <t>Vintage2059</t>
  </si>
  <si>
    <t>Vintage2060</t>
  </si>
  <si>
    <t>Vintage2061</t>
  </si>
  <si>
    <t>Vintage2062</t>
  </si>
  <si>
    <t>Vintage2063</t>
  </si>
  <si>
    <t>Vintage2064</t>
  </si>
  <si>
    <t>Vintage2065</t>
  </si>
  <si>
    <t>Vintage2066</t>
  </si>
  <si>
    <t>Vintage2067</t>
  </si>
  <si>
    <t>Vintage2068</t>
  </si>
  <si>
    <t>Vintage2069</t>
  </si>
  <si>
    <t>Vintage2070</t>
  </si>
  <si>
    <t>Vintage2071</t>
  </si>
  <si>
    <t>Vintage2072</t>
  </si>
  <si>
    <t>Vintage2073</t>
  </si>
  <si>
    <t>Vintage2074</t>
  </si>
  <si>
    <t>Vintage2075</t>
  </si>
  <si>
    <t>Vintage2076</t>
  </si>
  <si>
    <t>Vintage2077</t>
  </si>
  <si>
    <t>Vintage2078</t>
  </si>
  <si>
    <t>Vintage2079</t>
  </si>
  <si>
    <t>Vintage2080</t>
  </si>
  <si>
    <t>Vintage2081</t>
  </si>
  <si>
    <t>Vintage2082</t>
  </si>
  <si>
    <t>Vintage2083</t>
  </si>
  <si>
    <t>Vintage2084</t>
  </si>
  <si>
    <t>Vintage2085</t>
  </si>
  <si>
    <t>Vintage2086</t>
  </si>
  <si>
    <t>Vintage2087</t>
  </si>
  <si>
    <t>Vintage2088</t>
  </si>
  <si>
    <t>Vintage2089</t>
  </si>
  <si>
    <t>Vintage2090</t>
  </si>
  <si>
    <t>Vintage2091</t>
  </si>
  <si>
    <t>Vintage2092</t>
  </si>
  <si>
    <t>Vintage2093</t>
  </si>
  <si>
    <t>Vintage2094</t>
  </si>
  <si>
    <t>Vintage2095</t>
  </si>
  <si>
    <t>Vintage2096</t>
  </si>
  <si>
    <t>Vintage2097</t>
  </si>
  <si>
    <t>Vintage2098</t>
  </si>
  <si>
    <t>Vintage2099</t>
  </si>
  <si>
    <t>Vintage2100</t>
  </si>
  <si>
    <t>Nuclear start-year capacity, MW
(sum across vintages)</t>
  </si>
  <si>
    <t>HAS NUCLEAR FLEET?
1 = gets the ratio ELCCAfR</t>
  </si>
  <si>
    <t>Src_SYSHECF_nuclear</t>
  </si>
  <si>
    <t>Every state's SYSHECF-nuclear.csv, verbatim, tall (48 states x 6 slices). Only the gated states' rows are consumed by Calcs; the rest are embedded for completeness (the file exists in every state folder).</t>
  </si>
  <si>
    <t>Provenance: state-eps-data-repository @ 3599b4df1a + uncommitted working-tree edits (the recalibration itself), read 2026-08-31.</t>
  </si>
  <si>
    <t>slice</t>
  </si>
  <si>
    <t>key
state|slice</t>
  </si>
  <si>
    <t>Hour0</t>
  </si>
  <si>
    <t>Hour1</t>
  </si>
  <si>
    <t>Hour2</t>
  </si>
  <si>
    <t>Hour3</t>
  </si>
  <si>
    <t>Hour4</t>
  </si>
  <si>
    <t>Hour5</t>
  </si>
  <si>
    <t>Hour6</t>
  </si>
  <si>
    <t>Hour7</t>
  </si>
  <si>
    <t>Hour8</t>
  </si>
  <si>
    <t>Hour9</t>
  </si>
  <si>
    <t>Hour10</t>
  </si>
  <si>
    <t>Hour11</t>
  </si>
  <si>
    <t>Hour12</t>
  </si>
  <si>
    <t>Hour13</t>
  </si>
  <si>
    <t>Hour14</t>
  </si>
  <si>
    <t>Hour15</t>
  </si>
  <si>
    <t>Hour16</t>
  </si>
  <si>
    <t>Hour17</t>
  </si>
  <si>
    <t>Hour18</t>
  </si>
  <si>
    <t>Hour19</t>
  </si>
  <si>
    <t>Hour20</t>
  </si>
  <si>
    <t>Hour21</t>
  </si>
  <si>
    <t>Hour22</t>
  </si>
  <si>
    <t>Hour23</t>
  </si>
  <si>
    <t>Winter</t>
  </si>
  <si>
    <t>Spring</t>
  </si>
  <si>
    <t>Summer</t>
  </si>
  <si>
    <t>Fall</t>
  </si>
  <si>
    <t>Summer Peak</t>
  </si>
  <si>
    <t>Winter Peak</t>
  </si>
  <si>
    <t>Src_VRE</t>
  </si>
  <si>
    <t>Deployed VRE ELCCAfR grids (onshore wind, solar pv, solar thermal, offshore wind), verbatim — Robbie's P30 pinned-peak-day builder output. This workbook passes them through unchanged; it does not re-derive them.</t>
  </si>
  <si>
    <t>tech file slug</t>
  </si>
  <si>
    <t>key
state|slug|slice</t>
  </si>
  <si>
    <t>onshore-wind</t>
  </si>
  <si>
    <t>onshore wind</t>
  </si>
  <si>
    <t>solar-pv</t>
  </si>
  <si>
    <t>solar pv</t>
  </si>
  <si>
    <t>solar-thermal</t>
  </si>
  <si>
    <t>solar thermal</t>
  </si>
  <si>
    <t>offshore-wind</t>
  </si>
  <si>
    <t>offshore wind</t>
  </si>
  <si>
    <t>SECTION 1 — hydro ELCCAfR per state</t>
  </si>
  <si>
    <t>What ELCCAfR does each state's hydro file get? Three groups: a researched value (Keys hydro_fixed), a credit target divided by the state's MCF (Keys hydro_target), or 1.0 (the MCF already carries the hydrology). The ALL-CAPS column is what the ELCCAfR-hydro output tab reads.</t>
  </si>
  <si>
    <t>Peak availability already in MCF
(hydro MCF, 2025)</t>
  </si>
  <si>
    <t>Researched value
(blank = not a fixed state)</t>
  </si>
  <si>
    <t>Credit target
(blank = not a target state)</t>
  </si>
  <si>
    <t>HYDRO ELCCAFR USED IN THE OUTPUT FILE
fixed / ROUND(target/MCF,4) / 1.0</t>
  </si>
  <si>
    <t>Resulting peak credit
= MCF x ELCCAfR</t>
  </si>
  <si>
    <t>CHECK: target states land on target?
1 = problem</t>
  </si>
  <si>
    <t>SECTION 2 — nuclear ELCCAfR per state, slice and hour</t>
  </si>
  <si>
    <t>What ELCCAfR makes nuclear's peak credit exactly the availability target in every hour? ELCCAfR = ROUND(target / (SYSHECF x HYECFCA-2025), 4) for states with a nuclear fleet; states without one keep the committed 0.9. Values above 1.0 are corrections to an energy CF, not physical ELCCs. The hour columns are what the ELCCAfR-nuclear output tab reads.</t>
  </si>
  <si>
    <t>Has nuclear fleet?
(from Src_BHRaSYC_nuclear)</t>
  </si>
  <si>
    <t>Energy calibration multiplier
(HYECFCA 2025)</t>
  </si>
  <si>
    <t>CHECK: credit at Hour0 = target?
(gated rows) 1 = problem</t>
  </si>
  <si>
    <t>SECTION 3 — group counts</t>
  </si>
  <si>
    <t>Identities: the hydro groups partition the 48 states; the nuclear gate matches the 28 states with a fleet.</t>
  </si>
  <si>
    <t>states with a researched hydro value</t>
  </si>
  <si>
    <t>states with a hydro credit target</t>
  </si>
  <si>
    <t>states with nuclear fleets (ratio treatment)</t>
  </si>
  <si>
    <t>Checks — every value should be 0</t>
  </si>
  <si>
    <t>Live validation. 1 in column B means a problem; the description says which one. Fix the source or the Keys entry, never the check.</t>
  </si>
  <si>
    <t>Any hydro-target state whose credit misses its target by &gt;0.0002</t>
  </si>
  <si>
    <t>Any gated nuclear row whose Hour0 credit misses the target by &gt;0.0002</t>
  </si>
  <si>
    <t>Any state whose hydro MCF varies across years (breaks the target division)</t>
  </si>
  <si>
    <t>Hydro researched-value count differs from 5</t>
  </si>
  <si>
    <t>Hydro credit-target count differs from 10</t>
  </si>
  <si>
    <t>Nuclear-gated state count differs from 28</t>
  </si>
  <si>
    <t>TOTAL PROBLEMS</t>
  </si>
  <si>
    <t>Methodology</t>
  </si>
  <si>
    <t>What this file is</t>
  </si>
  <si>
    <t>ELCCAfR multiplies each source's bid capacity factor inside the reliability/capacity-market block only (4 usage sites in EPS.mdl; nothing in dispatch, generation, fuel use or emissions reads it). It is therefore the dispatch-neutral instrument for setting peak-hour capacity credits.</t>
  </si>
  <si>
    <t>Thermal (12 techs)</t>
  </si>
  <si>
    <t>ELCCAfR = 1.0. The 0.9 availability derate moved into MCF.csv (Olivia, 2026-08-31), which deliberately also derates the dispatch ceiling and retirement-viability headroom. Net credit unchanged at 0.9, except NGCC: MCF 0.95 (Robbie 2026-08-31 — NGCC "should also be able to dispatch more"), net credit 0.95.</t>
  </si>
  <si>
    <t>Nuclear (28 states)</t>
  </si>
  <si>
    <t>ELCCAfR[slice,hour] = ROUND(0.975 / (SYSHECF[slice,hour] x HYECFCA-2025), 4). Gate: nonzero nuclear in BHRaSYC. This lands the credited CF on exactly 0.975 in 2025-26 while dispatch and the 2025 energy calibration stay untouched; HYECFCA divides out of the credit while keeping its energy job. States without nuclear keep the committed flat 0.9.</t>
  </si>
  <si>
    <t>Nuclear caveat — 2027+ drift</t>
  </si>
  <si>
    <t>HYECFCA is 1.0 from 2026 on, and the credit uses last year's bid CFs, so from model-year 2027 the credit = 0.975 / HYECFCA-2025. Refueling-year states overshoot: MO ~1.21, WA ~1.12 of nameplate; most states are within +/-5%. Known and accepted 2026-08-31 (cannot be fixed with a year-invariant ELCCAfR); flagged to the colleague. Affects nuclear capacity payments from 2027, not energy.</t>
  </si>
  <si>
    <t>Hydro (three groups)</t>
  </si>
  <si>
    <t>33 states: ELCCAfR = 1.0 (their MCF already embeds hydrology; flat 0.9 on top was the same double derate removed for thermal). 5 states with MCF = 1.0: researched values on Keys (OR/VT are calibration floors; raw EIA August CFs rejected for failing the 2025 no-fake-shortfall gate — values retained on Keys). 10 high-MCF states: credit target / MCF, targets from the colleague 2026-08-31, EIA re-derivation PENDING (plan D1) — NV 0.40 and AZ 0.55 are the large cuts (Colorado River drought derate).</t>
  </si>
  <si>
    <t>Deferred (6 techs + demand-altering)</t>
  </si>
  <si>
    <t>biomass, biomass-CCS, geothermal, MSW, SMR, crude oil and demand-altering techs stay at the committed 0.9 (verified flat across all 48 states at build time). Deferred pending per-tech NERC targets in the builder rework; crude oil additionally pending the TX/LA capacity-assignment check.</t>
  </si>
  <si>
    <t>VRE (4 techs)</t>
  </si>
  <si>
    <t>Passthrough of the deployed per-state values (Robbie's P30 builder), embedded verbatim on Src_VRE. Not re-derived here.</t>
  </si>
  <si>
    <t>QC status</t>
  </si>
  <si>
    <t>Built 2026-08-31. CSVs in the data repo were edited independently by qc/firm-credit/_apply_firm_credit_elccafr.py (its --verify-only pass is green); workbook-vs-CSV match verified via COM recalc spot-check. workbook-qc family 1 run. NOT yet run: the paired 48-state BAU gates (plan Phase 4).</t>
  </si>
  <si>
    <t>Superseded artifacts</t>
  </si>
  <si>
    <t>The per-state "ELCCAfR ELCC Adjustment for Reliability.xlsx" workbooks in the state tree (Parameters!B4 = 0.90) and elccafr_builder.py's FIRM_DERATE = 0.90 both predate this methodology and would REVERT the CSVs if used to regenerate. Builder patch owed (plan D4/O37).</t>
  </si>
  <si>
    <t>hard coal</t>
  </si>
  <si>
    <t>natural gas steam turbine</t>
  </si>
  <si>
    <t>natural gas combined cycle</t>
  </si>
  <si>
    <t>nuclear</t>
  </si>
  <si>
    <t>hydro</t>
  </si>
  <si>
    <t>biomass</t>
  </si>
  <si>
    <t>geothermal</t>
  </si>
  <si>
    <t>petroleum</t>
  </si>
  <si>
    <t>natural gas peaker</t>
  </si>
  <si>
    <t>lignite</t>
  </si>
  <si>
    <t>crude oil</t>
  </si>
  <si>
    <t>heavy or residual fuel oil</t>
  </si>
  <si>
    <t>municipal solid waste</t>
  </si>
  <si>
    <t>hard coal w CCS</t>
  </si>
  <si>
    <t>natural gas combined cycle w CCS</t>
  </si>
  <si>
    <t>biomass w CCS</t>
  </si>
  <si>
    <t>lignite w CCS</t>
  </si>
  <si>
    <t>small modular reactor</t>
  </si>
  <si>
    <t>hydrogen combustion turbine</t>
  </si>
  <si>
    <t>hydrogen combined cycle</t>
  </si>
  <si>
    <t>Unit: dimensionless (ELCC fraction at hour)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</si>
</sst>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0.0"/>
  </numFmts>
  <fonts count="6" x14ac:knownFonts="1">
    <font>
      <sz val="11"/>
      <color theme="1"/>
      <name val="Calibri"/>
      <family val="2"/>
      <scheme val="minor"/>
    </font>
    <font>
      <b/>
      <sz val="11"/>
      <name val="Calibri"/>
    </font>
    <font>
      <b/>
      <sz val="11"/>
      <color rgb="FFC00000"/>
      <name val="Calibri"/>
    </font>
    <font>
      <i/>
      <sz val="11"/>
      <name val="Calibri"/>
    </font>
    <font>
      <u/>
      <sz val="11"/>
      <color rgb="FF0563C1"/>
      <name val="Calibri"/>
    </font>
    <font>
      <b/>
      <sz val="11"/>
      <color rgb="FFFFFFFF"/>
      <name val="Calibri"/>
    </font>
  </fonts>
  <fills count="4">
    <fill>
      <patternFill patternType="none"/>
    </fill>
    <fill>
      <patternFill patternType="gray125"/>
    </fill>
    <fill>
      <patternFill patternType="solid">
        <fgColor rgb="FFD9D9D9"/>
        <bgColor rgb="FFD9D9D9"/>
      </patternFill>
    </fill>
    <fill>
      <patternFill patternType="solid">
        <fgColor rgb="FF305496"/>
        <bgColor rgb="FF305496"/>
      </patternFill>
    </fill>
  </fills>
  <borders count="1">
    <border>
      <left/>
      <right/>
      <top/>
      <bottom/>
      <diagonal/>
    </border>
  </borders>
  <cellStyleXfs count="1">
    <xf numFmtId="0" fontId="0" fillId="0" borderId="0"/>
  </cellStyleXfs>
  <cellXfs count="14">
    <xf numFmtId="0" fontId="0" fillId="0" borderId="0" xfId="0"/>
    <xf numFmtId="0" fontId="1" fillId="0" borderId="0" xfId="0" applyFont="1"/>
    <xf numFmtId="0" fontId="2" fillId="0" borderId="0" xfId="0" applyFont="1"/>
    <xf numFmtId="0" fontId="3" fillId="0" borderId="0" xfId="0" applyFont="1"/>
    <xf numFmtId="0" fontId="1" fillId="2" borderId="0" xfId="0" applyFont="1" applyFill="1" applyAlignment="1">
      <alignment horizontal="left" vertical="top" wrapText="1"/>
    </xf>
    <xf numFmtId="0" fontId="0" fillId="0" borderId="0" xfId="0" applyAlignment="1">
      <alignment horizontal="left" vertical="top" wrapText="1"/>
    </xf>
    <xf numFmtId="0" fontId="4" fillId="0" borderId="0" xfId="0" applyFont="1" applyAlignment="1">
      <alignment horizontal="left" vertical="top" wrapText="1"/>
    </xf>
    <xf numFmtId="0" fontId="1" fillId="0" borderId="0" xfId="0" applyFont="1" applyAlignment="1">
      <alignment horizontal="left" vertical="top" wrapText="1"/>
    </xf>
    <xf numFmtId="0" fontId="5" fillId="3" borderId="0" xfId="0" applyFont="1" applyFill="1"/>
    <xf numFmtId="0" fontId="0" fillId="3" borderId="0" xfId="0" applyFill="1"/>
    <xf numFmtId="0" fontId="3" fillId="0" borderId="0" xfId="0" applyFont="1" applyAlignment="1">
      <alignment horizontal="left" vertical="top" wrapText="1"/>
    </xf>
    <xf numFmtId="164" fontId="0" fillId="0" borderId="0" xfId="0" applyNumberFormat="1"/>
    <xf numFmtId="165" fontId="0" fillId="0" borderId="0" xfId="0" applyNumberFormat="1"/>
    <xf numFmtId="1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calcChain" Target="calcChain.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8" Type="http://schemas.openxmlformats.org/officeDocument/2006/relationships/worksheet" Target="worksheets/sheet8.xml"/><Relationship Id="rId3"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github.com/EnergyInnovation" TargetMode="External"/><Relationship Id="rId2" Type="http://schemas.openxmlformats.org/officeDocument/2006/relationships/hyperlink" Target="https://www.eia.gov/opendata/" TargetMode="External"/><Relationship Id="rId1" Type="http://schemas.openxmlformats.org/officeDocument/2006/relationships/hyperlink" Target="https://www.iso-ne.com/static-assets/documents/genrtion_resrcs/gads/class_ave_2010.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48"/>
  <sheetViews>
    <sheetView tabSelected="1" workbookViewId="0"/>
  </sheetViews>
  <sheetFormatPr defaultRowHeight="14.25" x14ac:dyDescent="0.45"/>
  <cols>
    <col min="1" max="1" width="14" customWidth="1"/>
    <col min="2" max="2" width="110" customWidth="1"/>
  </cols>
  <sheetData>
    <row r="1" spans="1:7" x14ac:dyDescent="0.45">
      <c r="A1" s="1" t="s">
        <v>0</v>
      </c>
      <c r="B1" s="2" t="s">
        <v>8</v>
      </c>
      <c r="C1" s="13">
        <v>46265</v>
      </c>
      <c r="F1" t="s">
        <v>1</v>
      </c>
      <c r="G1" t="s">
        <v>2</v>
      </c>
    </row>
    <row r="2" spans="1:7" x14ac:dyDescent="0.45">
      <c r="A2" s="3" t="s">
        <v>3</v>
      </c>
      <c r="B2" s="1" t="str">
        <f>VLOOKUP($B$1,$F$1:$G$48,2,FALSE)</f>
        <v>AZ</v>
      </c>
      <c r="F2" t="s">
        <v>4</v>
      </c>
      <c r="G2" t="s">
        <v>5</v>
      </c>
    </row>
    <row r="3" spans="1:7" x14ac:dyDescent="0.45">
      <c r="A3" s="1" t="s">
        <v>6</v>
      </c>
      <c r="B3" s="4" t="s">
        <v>7</v>
      </c>
      <c r="F3" t="s">
        <v>8</v>
      </c>
      <c r="G3" t="s">
        <v>9</v>
      </c>
    </row>
    <row r="4" spans="1:7" x14ac:dyDescent="0.45">
      <c r="B4" s="5" t="s">
        <v>10</v>
      </c>
      <c r="F4" t="s">
        <v>11</v>
      </c>
      <c r="G4" t="s">
        <v>12</v>
      </c>
    </row>
    <row r="5" spans="1:7" x14ac:dyDescent="0.45">
      <c r="B5" s="5" t="s">
        <v>13</v>
      </c>
      <c r="F5" t="s">
        <v>14</v>
      </c>
      <c r="G5" t="s">
        <v>15</v>
      </c>
    </row>
    <row r="6" spans="1:7" x14ac:dyDescent="0.45">
      <c r="B6" s="5">
        <v>2026</v>
      </c>
      <c r="F6" t="s">
        <v>16</v>
      </c>
      <c r="G6" t="s">
        <v>17</v>
      </c>
    </row>
    <row r="7" spans="1:7" x14ac:dyDescent="0.45">
      <c r="B7" s="6" t="s">
        <v>18</v>
      </c>
      <c r="F7" t="s">
        <v>19</v>
      </c>
      <c r="G7" t="s">
        <v>20</v>
      </c>
    </row>
    <row r="8" spans="1:7" ht="42.75" x14ac:dyDescent="0.45">
      <c r="B8" s="5" t="s">
        <v>21</v>
      </c>
      <c r="F8" t="s">
        <v>22</v>
      </c>
      <c r="G8" t="s">
        <v>23</v>
      </c>
    </row>
    <row r="9" spans="1:7" x14ac:dyDescent="0.45">
      <c r="F9" t="s">
        <v>24</v>
      </c>
      <c r="G9" t="s">
        <v>25</v>
      </c>
    </row>
    <row r="10" spans="1:7" x14ac:dyDescent="0.45">
      <c r="B10" s="4" t="s">
        <v>26</v>
      </c>
      <c r="F10" t="s">
        <v>27</v>
      </c>
      <c r="G10" t="s">
        <v>28</v>
      </c>
    </row>
    <row r="11" spans="1:7" x14ac:dyDescent="0.45">
      <c r="B11" s="5" t="s">
        <v>29</v>
      </c>
      <c r="F11" t="s">
        <v>30</v>
      </c>
      <c r="G11" t="s">
        <v>31</v>
      </c>
    </row>
    <row r="12" spans="1:7" ht="28.5" x14ac:dyDescent="0.45">
      <c r="B12" s="5" t="s">
        <v>32</v>
      </c>
      <c r="F12" t="s">
        <v>33</v>
      </c>
      <c r="G12" t="s">
        <v>34</v>
      </c>
    </row>
    <row r="13" spans="1:7" x14ac:dyDescent="0.45">
      <c r="B13" s="5">
        <v>2026</v>
      </c>
      <c r="F13" t="s">
        <v>35</v>
      </c>
      <c r="G13" t="s">
        <v>36</v>
      </c>
    </row>
    <row r="14" spans="1:7" x14ac:dyDescent="0.45">
      <c r="B14" s="6" t="s">
        <v>37</v>
      </c>
      <c r="F14" t="s">
        <v>38</v>
      </c>
      <c r="G14" t="s">
        <v>39</v>
      </c>
    </row>
    <row r="15" spans="1:7" ht="71.25" x14ac:dyDescent="0.45">
      <c r="B15" s="5" t="s">
        <v>40</v>
      </c>
      <c r="F15" t="s">
        <v>41</v>
      </c>
      <c r="G15" t="s">
        <v>42</v>
      </c>
    </row>
    <row r="16" spans="1:7" x14ac:dyDescent="0.45">
      <c r="F16" t="s">
        <v>43</v>
      </c>
      <c r="G16" t="s">
        <v>44</v>
      </c>
    </row>
    <row r="17" spans="1:7" x14ac:dyDescent="0.45">
      <c r="B17" s="4" t="s">
        <v>45</v>
      </c>
      <c r="F17" t="s">
        <v>46</v>
      </c>
      <c r="G17" t="s">
        <v>47</v>
      </c>
    </row>
    <row r="18" spans="1:7" x14ac:dyDescent="0.45">
      <c r="B18" s="5" t="s">
        <v>48</v>
      </c>
      <c r="F18" t="s">
        <v>49</v>
      </c>
      <c r="G18" t="s">
        <v>50</v>
      </c>
    </row>
    <row r="19" spans="1:7" x14ac:dyDescent="0.45">
      <c r="B19" s="5" t="s">
        <v>51</v>
      </c>
      <c r="F19" t="s">
        <v>52</v>
      </c>
      <c r="G19" t="s">
        <v>53</v>
      </c>
    </row>
    <row r="20" spans="1:7" x14ac:dyDescent="0.45">
      <c r="B20" s="5">
        <v>2026</v>
      </c>
      <c r="F20" t="s">
        <v>54</v>
      </c>
      <c r="G20" t="s">
        <v>55</v>
      </c>
    </row>
    <row r="21" spans="1:7" x14ac:dyDescent="0.45">
      <c r="B21" s="6" t="s">
        <v>56</v>
      </c>
      <c r="F21" t="s">
        <v>57</v>
      </c>
      <c r="G21" t="s">
        <v>58</v>
      </c>
    </row>
    <row r="22" spans="1:7" ht="57" x14ac:dyDescent="0.45">
      <c r="B22" s="5" t="s">
        <v>59</v>
      </c>
      <c r="F22" t="s">
        <v>60</v>
      </c>
      <c r="G22" t="s">
        <v>61</v>
      </c>
    </row>
    <row r="23" spans="1:7" x14ac:dyDescent="0.45">
      <c r="F23" t="s">
        <v>62</v>
      </c>
      <c r="G23" t="s">
        <v>63</v>
      </c>
    </row>
    <row r="24" spans="1:7" x14ac:dyDescent="0.45">
      <c r="F24" t="s">
        <v>64</v>
      </c>
      <c r="G24" t="s">
        <v>65</v>
      </c>
    </row>
    <row r="25" spans="1:7" x14ac:dyDescent="0.45">
      <c r="A25" s="1" t="s">
        <v>66</v>
      </c>
      <c r="F25" t="s">
        <v>67</v>
      </c>
      <c r="G25" t="s">
        <v>68</v>
      </c>
    </row>
    <row r="26" spans="1:7" ht="42.75" x14ac:dyDescent="0.45">
      <c r="A26" s="1" t="s">
        <v>69</v>
      </c>
      <c r="B26" s="5" t="s">
        <v>70</v>
      </c>
      <c r="F26" t="s">
        <v>71</v>
      </c>
      <c r="G26" t="s">
        <v>72</v>
      </c>
    </row>
    <row r="27" spans="1:7" ht="28.5" x14ac:dyDescent="0.45">
      <c r="A27" s="1" t="s">
        <v>73</v>
      </c>
      <c r="B27" s="5" t="s">
        <v>74</v>
      </c>
      <c r="F27" t="s">
        <v>75</v>
      </c>
      <c r="G27" t="s">
        <v>76</v>
      </c>
    </row>
    <row r="28" spans="1:7" x14ac:dyDescent="0.45">
      <c r="F28" t="s">
        <v>77</v>
      </c>
      <c r="G28" t="s">
        <v>78</v>
      </c>
    </row>
    <row r="29" spans="1:7" x14ac:dyDescent="0.45">
      <c r="F29" t="s">
        <v>79</v>
      </c>
      <c r="G29" t="s">
        <v>80</v>
      </c>
    </row>
    <row r="30" spans="1:7" x14ac:dyDescent="0.45">
      <c r="F30" t="s">
        <v>81</v>
      </c>
      <c r="G30" t="s">
        <v>82</v>
      </c>
    </row>
    <row r="31" spans="1:7" x14ac:dyDescent="0.45">
      <c r="F31" t="s">
        <v>83</v>
      </c>
      <c r="G31" t="s">
        <v>84</v>
      </c>
    </row>
    <row r="32" spans="1:7" x14ac:dyDescent="0.45">
      <c r="F32" t="s">
        <v>85</v>
      </c>
      <c r="G32" t="s">
        <v>86</v>
      </c>
    </row>
    <row r="33" spans="6:7" x14ac:dyDescent="0.45">
      <c r="F33" t="s">
        <v>87</v>
      </c>
      <c r="G33" t="s">
        <v>88</v>
      </c>
    </row>
    <row r="34" spans="6:7" x14ac:dyDescent="0.45">
      <c r="F34" t="s">
        <v>89</v>
      </c>
      <c r="G34" t="s">
        <v>90</v>
      </c>
    </row>
    <row r="35" spans="6:7" x14ac:dyDescent="0.45">
      <c r="F35" t="s">
        <v>91</v>
      </c>
      <c r="G35" t="s">
        <v>92</v>
      </c>
    </row>
    <row r="36" spans="6:7" x14ac:dyDescent="0.45">
      <c r="F36" t="s">
        <v>93</v>
      </c>
      <c r="G36" t="s">
        <v>94</v>
      </c>
    </row>
    <row r="37" spans="6:7" x14ac:dyDescent="0.45">
      <c r="F37" t="s">
        <v>95</v>
      </c>
      <c r="G37" t="s">
        <v>96</v>
      </c>
    </row>
    <row r="38" spans="6:7" x14ac:dyDescent="0.45">
      <c r="F38" t="s">
        <v>97</v>
      </c>
      <c r="G38" t="s">
        <v>98</v>
      </c>
    </row>
    <row r="39" spans="6:7" x14ac:dyDescent="0.45">
      <c r="F39" t="s">
        <v>99</v>
      </c>
      <c r="G39" t="s">
        <v>100</v>
      </c>
    </row>
    <row r="40" spans="6:7" x14ac:dyDescent="0.45">
      <c r="F40" t="s">
        <v>101</v>
      </c>
      <c r="G40" t="s">
        <v>102</v>
      </c>
    </row>
    <row r="41" spans="6:7" x14ac:dyDescent="0.45">
      <c r="F41" t="s">
        <v>103</v>
      </c>
      <c r="G41" t="s">
        <v>104</v>
      </c>
    </row>
    <row r="42" spans="6:7" x14ac:dyDescent="0.45">
      <c r="F42" t="s">
        <v>105</v>
      </c>
      <c r="G42" t="s">
        <v>106</v>
      </c>
    </row>
    <row r="43" spans="6:7" x14ac:dyDescent="0.45">
      <c r="F43" t="s">
        <v>107</v>
      </c>
      <c r="G43" t="s">
        <v>108</v>
      </c>
    </row>
    <row r="44" spans="6:7" x14ac:dyDescent="0.45">
      <c r="F44" t="s">
        <v>109</v>
      </c>
      <c r="G44" t="s">
        <v>110</v>
      </c>
    </row>
    <row r="45" spans="6:7" x14ac:dyDescent="0.45">
      <c r="F45" t="s">
        <v>111</v>
      </c>
      <c r="G45" t="s">
        <v>112</v>
      </c>
    </row>
    <row r="46" spans="6:7" x14ac:dyDescent="0.45">
      <c r="F46" t="s">
        <v>113</v>
      </c>
      <c r="G46" t="s">
        <v>114</v>
      </c>
    </row>
    <row r="47" spans="6:7" x14ac:dyDescent="0.45">
      <c r="F47" t="s">
        <v>115</v>
      </c>
      <c r="G47" t="s">
        <v>116</v>
      </c>
    </row>
    <row r="48" spans="6:7" x14ac:dyDescent="0.45">
      <c r="F48" t="s">
        <v>117</v>
      </c>
      <c r="G48" t="s">
        <v>118</v>
      </c>
    </row>
  </sheetData>
  <hyperlinks>
    <hyperlink ref="B7" r:id="rId1" xr:uid="{00000000-0004-0000-0000-000000000000}"/>
    <hyperlink ref="B14" r:id="rId2" xr:uid="{00000000-0004-0000-0000-000001000000}"/>
    <hyperlink ref="B21" r:id="rId3" xr:uid="{00000000-0004-0000-0000-0000020000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26"/>
  <sheetViews>
    <sheetView workbookViewId="0"/>
  </sheetViews>
  <sheetFormatPr defaultRowHeight="14.25" x14ac:dyDescent="0.45"/>
  <cols>
    <col min="1" max="2" width="16" customWidth="1"/>
    <col min="3" max="3" width="12" customWidth="1"/>
    <col min="4" max="4" width="110" customWidth="1"/>
  </cols>
  <sheetData>
    <row r="1" spans="1:4" ht="60" customHeight="1" x14ac:dyDescent="0.45">
      <c r="A1" s="7" t="s">
        <v>119</v>
      </c>
      <c r="B1" s="7" t="s">
        <v>120</v>
      </c>
      <c r="C1" s="7" t="s">
        <v>121</v>
      </c>
      <c r="D1" s="7" t="s">
        <v>122</v>
      </c>
    </row>
    <row r="2" spans="1:4" x14ac:dyDescent="0.45">
      <c r="A2" t="s">
        <v>123</v>
      </c>
      <c r="B2" t="s">
        <v>124</v>
      </c>
      <c r="C2">
        <v>0.97499999999999998</v>
      </c>
      <c r="D2" s="5" t="s">
        <v>125</v>
      </c>
    </row>
    <row r="3" spans="1:4" ht="28.5" x14ac:dyDescent="0.45">
      <c r="A3" t="s">
        <v>123</v>
      </c>
      <c r="B3" t="s">
        <v>126</v>
      </c>
      <c r="C3">
        <v>1</v>
      </c>
      <c r="D3" s="5" t="s">
        <v>127</v>
      </c>
    </row>
    <row r="4" spans="1:4" ht="28.5" x14ac:dyDescent="0.45">
      <c r="A4" t="s">
        <v>123</v>
      </c>
      <c r="B4" t="s">
        <v>128</v>
      </c>
      <c r="C4">
        <v>0.9</v>
      </c>
      <c r="D4" s="5" t="s">
        <v>129</v>
      </c>
    </row>
    <row r="5" spans="1:4" x14ac:dyDescent="0.45">
      <c r="A5" t="s">
        <v>123</v>
      </c>
      <c r="B5" t="s">
        <v>130</v>
      </c>
      <c r="C5">
        <v>4</v>
      </c>
      <c r="D5" s="5" t="s">
        <v>131</v>
      </c>
    </row>
    <row r="6" spans="1:4" x14ac:dyDescent="0.45">
      <c r="A6" t="s">
        <v>123</v>
      </c>
      <c r="B6" t="s">
        <v>132</v>
      </c>
      <c r="C6">
        <v>2.0000000000000001E-4</v>
      </c>
      <c r="D6" s="5" t="s">
        <v>133</v>
      </c>
    </row>
    <row r="7" spans="1:4" x14ac:dyDescent="0.45">
      <c r="A7" t="s">
        <v>123</v>
      </c>
      <c r="B7" t="s">
        <v>134</v>
      </c>
      <c r="C7">
        <v>9.9999999999999995E-7</v>
      </c>
      <c r="D7" s="5" t="s">
        <v>135</v>
      </c>
    </row>
    <row r="9" spans="1:4" ht="28.5" x14ac:dyDescent="0.45">
      <c r="A9" s="1" t="s">
        <v>136</v>
      </c>
      <c r="D9" s="5" t="s">
        <v>137</v>
      </c>
    </row>
    <row r="10" spans="1:4" x14ac:dyDescent="0.45">
      <c r="A10" t="s">
        <v>136</v>
      </c>
      <c r="B10" t="s">
        <v>23</v>
      </c>
      <c r="C10">
        <v>0.50039999999999996</v>
      </c>
      <c r="D10" s="5" t="s">
        <v>138</v>
      </c>
    </row>
    <row r="11" spans="1:4" x14ac:dyDescent="0.45">
      <c r="A11" t="s">
        <v>136</v>
      </c>
      <c r="B11" t="s">
        <v>72</v>
      </c>
      <c r="C11">
        <v>0.47270000000000001</v>
      </c>
      <c r="D11" s="5" t="s">
        <v>138</v>
      </c>
    </row>
    <row r="12" spans="1:4" ht="28.5" x14ac:dyDescent="0.45">
      <c r="A12" t="s">
        <v>136</v>
      </c>
      <c r="B12" t="s">
        <v>92</v>
      </c>
      <c r="C12">
        <v>0.75</v>
      </c>
      <c r="D12" s="5" t="s">
        <v>139</v>
      </c>
    </row>
    <row r="13" spans="1:4" x14ac:dyDescent="0.45">
      <c r="A13" t="s">
        <v>136</v>
      </c>
      <c r="B13" t="s">
        <v>110</v>
      </c>
      <c r="C13">
        <v>0.36</v>
      </c>
      <c r="D13" s="5" t="s">
        <v>140</v>
      </c>
    </row>
    <row r="14" spans="1:4" x14ac:dyDescent="0.45">
      <c r="A14" t="s">
        <v>136</v>
      </c>
      <c r="B14" t="s">
        <v>118</v>
      </c>
      <c r="C14">
        <v>0.4854</v>
      </c>
      <c r="D14" s="5" t="s">
        <v>138</v>
      </c>
    </row>
    <row r="16" spans="1:4" ht="28.5" x14ac:dyDescent="0.45">
      <c r="A16" s="1" t="s">
        <v>141</v>
      </c>
      <c r="D16" s="5" t="s">
        <v>142</v>
      </c>
    </row>
    <row r="17" spans="1:4" x14ac:dyDescent="0.45">
      <c r="A17" t="s">
        <v>141</v>
      </c>
      <c r="B17" t="s">
        <v>9</v>
      </c>
      <c r="C17">
        <v>0.55000000000000004</v>
      </c>
      <c r="D17" t="s">
        <v>143</v>
      </c>
    </row>
    <row r="18" spans="1:4" x14ac:dyDescent="0.45">
      <c r="A18" t="s">
        <v>141</v>
      </c>
      <c r="B18" t="s">
        <v>15</v>
      </c>
      <c r="C18">
        <v>0.7</v>
      </c>
      <c r="D18" t="s">
        <v>143</v>
      </c>
    </row>
    <row r="19" spans="1:4" x14ac:dyDescent="0.45">
      <c r="A19" t="s">
        <v>141</v>
      </c>
      <c r="B19" t="s">
        <v>28</v>
      </c>
      <c r="C19">
        <v>0.75</v>
      </c>
      <c r="D19" t="s">
        <v>143</v>
      </c>
    </row>
    <row r="20" spans="1:4" x14ac:dyDescent="0.45">
      <c r="A20" t="s">
        <v>141</v>
      </c>
      <c r="B20" t="s">
        <v>58</v>
      </c>
      <c r="C20">
        <v>0.75</v>
      </c>
      <c r="D20" t="s">
        <v>143</v>
      </c>
    </row>
    <row r="21" spans="1:4" x14ac:dyDescent="0.45">
      <c r="A21" t="s">
        <v>141</v>
      </c>
      <c r="B21" t="s">
        <v>84</v>
      </c>
      <c r="C21">
        <v>0.4</v>
      </c>
      <c r="D21" t="s">
        <v>143</v>
      </c>
    </row>
    <row r="22" spans="1:4" x14ac:dyDescent="0.45">
      <c r="A22" t="s">
        <v>141</v>
      </c>
      <c r="B22" t="s">
        <v>86</v>
      </c>
      <c r="C22">
        <v>0.9</v>
      </c>
      <c r="D22" t="s">
        <v>143</v>
      </c>
    </row>
    <row r="23" spans="1:4" x14ac:dyDescent="0.45">
      <c r="A23" t="s">
        <v>141</v>
      </c>
      <c r="B23" t="s">
        <v>90</v>
      </c>
      <c r="C23">
        <v>0.75</v>
      </c>
      <c r="D23" t="s">
        <v>143</v>
      </c>
    </row>
    <row r="24" spans="1:4" x14ac:dyDescent="0.45">
      <c r="A24" t="s">
        <v>141</v>
      </c>
      <c r="B24" t="s">
        <v>100</v>
      </c>
      <c r="C24">
        <v>0.75</v>
      </c>
      <c r="D24" t="s">
        <v>143</v>
      </c>
    </row>
    <row r="25" spans="1:4" x14ac:dyDescent="0.45">
      <c r="A25" t="s">
        <v>141</v>
      </c>
      <c r="B25" t="s">
        <v>102</v>
      </c>
      <c r="C25">
        <v>0.75</v>
      </c>
      <c r="D25" t="s">
        <v>143</v>
      </c>
    </row>
    <row r="26" spans="1:4" x14ac:dyDescent="0.45">
      <c r="A26" t="s">
        <v>141</v>
      </c>
      <c r="B26" t="s">
        <v>114</v>
      </c>
      <c r="C26">
        <v>0.75</v>
      </c>
      <c r="D26" t="s">
        <v>143</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D52"/>
  <sheetViews>
    <sheetView workbookViewId="0"/>
  </sheetViews>
  <sheetFormatPr defaultRowHeight="14.25" x14ac:dyDescent="0.45"/>
  <sheetData>
    <row r="1" spans="1:30" x14ac:dyDescent="0.45">
      <c r="A1" s="8" t="s">
        <v>144</v>
      </c>
      <c r="B1" s="9"/>
      <c r="C1" s="9"/>
      <c r="D1" s="9"/>
      <c r="E1" s="9"/>
      <c r="F1" s="9"/>
      <c r="G1" s="9"/>
      <c r="H1" s="9"/>
      <c r="I1" s="9"/>
      <c r="J1" s="9"/>
      <c r="K1" s="9"/>
      <c r="L1" s="9"/>
      <c r="M1" s="9"/>
      <c r="N1" s="9"/>
      <c r="O1" s="9"/>
      <c r="P1" s="9"/>
      <c r="Q1" s="9"/>
      <c r="R1" s="9"/>
      <c r="S1" s="9"/>
      <c r="T1" s="9"/>
      <c r="U1" s="9"/>
      <c r="V1" s="9"/>
      <c r="W1" s="9"/>
      <c r="X1" s="9"/>
      <c r="Y1" s="9"/>
      <c r="Z1" s="9"/>
      <c r="AA1" s="9"/>
      <c r="AB1" s="9"/>
      <c r="AC1" s="9"/>
      <c r="AD1" s="9"/>
    </row>
    <row r="2" spans="1:30" ht="270.75" x14ac:dyDescent="0.45">
      <c r="A2" s="10" t="s">
        <v>145</v>
      </c>
    </row>
    <row r="3" spans="1:30" x14ac:dyDescent="0.45">
      <c r="A3" s="3" t="s">
        <v>146</v>
      </c>
    </row>
    <row r="4" spans="1:30" ht="60" customHeight="1" x14ac:dyDescent="0.45">
      <c r="A4" s="7" t="s">
        <v>147</v>
      </c>
      <c r="B4" s="1" t="s">
        <v>148</v>
      </c>
      <c r="C4" s="1" t="s">
        <v>149</v>
      </c>
      <c r="D4" s="1" t="s">
        <v>150</v>
      </c>
      <c r="E4" s="1" t="s">
        <v>151</v>
      </c>
      <c r="F4" s="1" t="s">
        <v>152</v>
      </c>
      <c r="G4" s="1" t="s">
        <v>153</v>
      </c>
      <c r="H4" s="1" t="s">
        <v>154</v>
      </c>
      <c r="I4" s="1" t="s">
        <v>155</v>
      </c>
      <c r="J4" s="1" t="s">
        <v>156</v>
      </c>
      <c r="K4" s="1" t="s">
        <v>157</v>
      </c>
      <c r="L4" s="1" t="s">
        <v>158</v>
      </c>
      <c r="M4" s="1" t="s">
        <v>159</v>
      </c>
      <c r="N4" s="1" t="s">
        <v>160</v>
      </c>
      <c r="O4" s="1" t="s">
        <v>161</v>
      </c>
      <c r="P4" s="1" t="s">
        <v>162</v>
      </c>
      <c r="Q4" s="1" t="s">
        <v>163</v>
      </c>
      <c r="R4" s="1" t="s">
        <v>164</v>
      </c>
      <c r="S4" s="1" t="s">
        <v>165</v>
      </c>
      <c r="T4" s="1" t="s">
        <v>166</v>
      </c>
      <c r="U4" s="1" t="s">
        <v>167</v>
      </c>
      <c r="V4" s="1" t="s">
        <v>168</v>
      </c>
      <c r="W4" s="1" t="s">
        <v>169</v>
      </c>
      <c r="X4" s="1" t="s">
        <v>170</v>
      </c>
      <c r="Y4" s="1" t="s">
        <v>171</v>
      </c>
      <c r="Z4" s="1" t="s">
        <v>172</v>
      </c>
      <c r="AA4" s="1" t="s">
        <v>173</v>
      </c>
      <c r="AB4" s="1" t="s">
        <v>174</v>
      </c>
    </row>
    <row r="5" spans="1:30" x14ac:dyDescent="0.45">
      <c r="A5" t="s">
        <v>2</v>
      </c>
      <c r="B5">
        <v>0.97914999999999996</v>
      </c>
      <c r="C5">
        <v>1</v>
      </c>
      <c r="D5">
        <v>1</v>
      </c>
      <c r="E5">
        <v>1</v>
      </c>
      <c r="F5">
        <v>1</v>
      </c>
      <c r="G5">
        <v>1</v>
      </c>
      <c r="H5">
        <v>1</v>
      </c>
      <c r="I5">
        <v>1</v>
      </c>
      <c r="J5">
        <v>1</v>
      </c>
      <c r="K5">
        <v>1</v>
      </c>
      <c r="L5">
        <v>1</v>
      </c>
      <c r="M5">
        <v>1</v>
      </c>
      <c r="N5">
        <v>1</v>
      </c>
      <c r="O5">
        <v>1</v>
      </c>
      <c r="P5">
        <v>1</v>
      </c>
      <c r="Q5">
        <v>1</v>
      </c>
      <c r="R5">
        <v>1</v>
      </c>
      <c r="S5">
        <v>1</v>
      </c>
      <c r="T5">
        <v>1</v>
      </c>
      <c r="U5">
        <v>1</v>
      </c>
      <c r="V5">
        <v>1</v>
      </c>
      <c r="W5">
        <v>1</v>
      </c>
      <c r="X5">
        <v>1</v>
      </c>
      <c r="Y5">
        <v>1</v>
      </c>
      <c r="Z5">
        <v>1</v>
      </c>
      <c r="AA5">
        <v>1</v>
      </c>
    </row>
    <row r="6" spans="1:30" x14ac:dyDescent="0.45">
      <c r="A6" t="s">
        <v>5</v>
      </c>
      <c r="B6">
        <v>1.0182500000000001</v>
      </c>
      <c r="C6">
        <v>1</v>
      </c>
      <c r="D6">
        <v>1</v>
      </c>
      <c r="E6">
        <v>1</v>
      </c>
      <c r="F6">
        <v>1</v>
      </c>
      <c r="G6">
        <v>1</v>
      </c>
      <c r="H6">
        <v>1</v>
      </c>
      <c r="I6">
        <v>1</v>
      </c>
      <c r="J6">
        <v>1</v>
      </c>
      <c r="K6">
        <v>1</v>
      </c>
      <c r="L6">
        <v>1</v>
      </c>
      <c r="M6">
        <v>1</v>
      </c>
      <c r="N6">
        <v>1</v>
      </c>
      <c r="O6">
        <v>1</v>
      </c>
      <c r="P6">
        <v>1</v>
      </c>
      <c r="Q6">
        <v>1</v>
      </c>
      <c r="R6">
        <v>1</v>
      </c>
      <c r="S6">
        <v>1</v>
      </c>
      <c r="T6">
        <v>1</v>
      </c>
      <c r="U6">
        <v>1</v>
      </c>
      <c r="V6">
        <v>1</v>
      </c>
      <c r="W6">
        <v>1</v>
      </c>
      <c r="X6">
        <v>1</v>
      </c>
      <c r="Y6">
        <v>1</v>
      </c>
      <c r="Z6">
        <v>1</v>
      </c>
      <c r="AA6">
        <v>1</v>
      </c>
    </row>
    <row r="7" spans="1:30" x14ac:dyDescent="0.45">
      <c r="A7" t="s">
        <v>9</v>
      </c>
      <c r="B7">
        <v>0.98321000000000003</v>
      </c>
      <c r="C7">
        <v>1</v>
      </c>
      <c r="D7">
        <v>1</v>
      </c>
      <c r="E7">
        <v>1</v>
      </c>
      <c r="F7">
        <v>1</v>
      </c>
      <c r="G7">
        <v>1</v>
      </c>
      <c r="H7">
        <v>1</v>
      </c>
      <c r="I7">
        <v>1</v>
      </c>
      <c r="J7">
        <v>1</v>
      </c>
      <c r="K7">
        <v>1</v>
      </c>
      <c r="L7">
        <v>1</v>
      </c>
      <c r="M7">
        <v>1</v>
      </c>
      <c r="N7">
        <v>1</v>
      </c>
      <c r="O7">
        <v>1</v>
      </c>
      <c r="P7">
        <v>1</v>
      </c>
      <c r="Q7">
        <v>1</v>
      </c>
      <c r="R7">
        <v>1</v>
      </c>
      <c r="S7">
        <v>1</v>
      </c>
      <c r="T7">
        <v>1</v>
      </c>
      <c r="U7">
        <v>1</v>
      </c>
      <c r="V7">
        <v>1</v>
      </c>
      <c r="W7">
        <v>1</v>
      </c>
      <c r="X7">
        <v>1</v>
      </c>
      <c r="Y7">
        <v>1</v>
      </c>
      <c r="Z7">
        <v>1</v>
      </c>
      <c r="AA7">
        <v>1</v>
      </c>
    </row>
    <row r="8" spans="1:30" x14ac:dyDescent="0.45">
      <c r="A8" t="s">
        <v>12</v>
      </c>
      <c r="B8">
        <v>0.97719100000000003</v>
      </c>
      <c r="C8">
        <v>1</v>
      </c>
      <c r="D8">
        <v>1</v>
      </c>
      <c r="E8">
        <v>1</v>
      </c>
      <c r="F8">
        <v>1</v>
      </c>
      <c r="G8">
        <v>1</v>
      </c>
      <c r="H8">
        <v>1</v>
      </c>
      <c r="I8">
        <v>1</v>
      </c>
      <c r="J8">
        <v>1</v>
      </c>
      <c r="K8">
        <v>1</v>
      </c>
      <c r="L8">
        <v>1</v>
      </c>
      <c r="M8">
        <v>1</v>
      </c>
      <c r="N8">
        <v>1</v>
      </c>
      <c r="O8">
        <v>1</v>
      </c>
      <c r="P8">
        <v>1</v>
      </c>
      <c r="Q8">
        <v>1</v>
      </c>
      <c r="R8">
        <v>1</v>
      </c>
      <c r="S8">
        <v>1</v>
      </c>
      <c r="T8">
        <v>1</v>
      </c>
      <c r="U8">
        <v>1</v>
      </c>
      <c r="V8">
        <v>1</v>
      </c>
      <c r="W8">
        <v>1</v>
      </c>
      <c r="X8">
        <v>1</v>
      </c>
      <c r="Y8">
        <v>1</v>
      </c>
      <c r="Z8">
        <v>1</v>
      </c>
      <c r="AA8">
        <v>1</v>
      </c>
    </row>
    <row r="9" spans="1:30" x14ac:dyDescent="0.45">
      <c r="A9" t="s">
        <v>15</v>
      </c>
      <c r="B9">
        <v>1</v>
      </c>
      <c r="C9">
        <v>1</v>
      </c>
      <c r="D9">
        <v>1</v>
      </c>
      <c r="E9">
        <v>1</v>
      </c>
      <c r="F9">
        <v>1</v>
      </c>
      <c r="G9">
        <v>1</v>
      </c>
      <c r="H9">
        <v>1</v>
      </c>
      <c r="I9">
        <v>1</v>
      </c>
      <c r="J9">
        <v>1</v>
      </c>
      <c r="K9">
        <v>1</v>
      </c>
      <c r="L9">
        <v>1</v>
      </c>
      <c r="M9">
        <v>1</v>
      </c>
      <c r="N9">
        <v>1</v>
      </c>
      <c r="O9">
        <v>1</v>
      </c>
      <c r="P9">
        <v>1</v>
      </c>
      <c r="Q9">
        <v>1</v>
      </c>
      <c r="R9">
        <v>1</v>
      </c>
      <c r="S9">
        <v>1</v>
      </c>
      <c r="T9">
        <v>1</v>
      </c>
      <c r="U9">
        <v>1</v>
      </c>
      <c r="V9">
        <v>1</v>
      </c>
      <c r="W9">
        <v>1</v>
      </c>
      <c r="X9">
        <v>1</v>
      </c>
      <c r="Y9">
        <v>1</v>
      </c>
      <c r="Z9">
        <v>1</v>
      </c>
      <c r="AA9">
        <v>1</v>
      </c>
    </row>
    <row r="10" spans="1:30" x14ac:dyDescent="0.45">
      <c r="A10" t="s">
        <v>17</v>
      </c>
      <c r="B10">
        <v>0.99424100000000004</v>
      </c>
      <c r="C10">
        <v>1</v>
      </c>
      <c r="D10">
        <v>1</v>
      </c>
      <c r="E10">
        <v>1</v>
      </c>
      <c r="F10">
        <v>1</v>
      </c>
      <c r="G10">
        <v>1</v>
      </c>
      <c r="H10">
        <v>1</v>
      </c>
      <c r="I10">
        <v>1</v>
      </c>
      <c r="J10">
        <v>1</v>
      </c>
      <c r="K10">
        <v>1</v>
      </c>
      <c r="L10">
        <v>1</v>
      </c>
      <c r="M10">
        <v>1</v>
      </c>
      <c r="N10">
        <v>1</v>
      </c>
      <c r="O10">
        <v>1</v>
      </c>
      <c r="P10">
        <v>1</v>
      </c>
      <c r="Q10">
        <v>1</v>
      </c>
      <c r="R10">
        <v>1</v>
      </c>
      <c r="S10">
        <v>1</v>
      </c>
      <c r="T10">
        <v>1</v>
      </c>
      <c r="U10">
        <v>1</v>
      </c>
      <c r="V10">
        <v>1</v>
      </c>
      <c r="W10">
        <v>1</v>
      </c>
      <c r="X10">
        <v>1</v>
      </c>
      <c r="Y10">
        <v>1</v>
      </c>
      <c r="Z10">
        <v>1</v>
      </c>
      <c r="AA10">
        <v>1</v>
      </c>
    </row>
    <row r="11" spans="1:30" x14ac:dyDescent="0.45">
      <c r="A11" t="s">
        <v>20</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row>
    <row r="12" spans="1:30" x14ac:dyDescent="0.45">
      <c r="A12" t="s">
        <v>23</v>
      </c>
      <c r="B12">
        <v>1.0280400000000001</v>
      </c>
      <c r="C12">
        <v>1</v>
      </c>
      <c r="D12">
        <v>1</v>
      </c>
      <c r="E12">
        <v>1</v>
      </c>
      <c r="F12">
        <v>1</v>
      </c>
      <c r="G12">
        <v>1</v>
      </c>
      <c r="H12">
        <v>1</v>
      </c>
      <c r="I12">
        <v>1</v>
      </c>
      <c r="J12">
        <v>1</v>
      </c>
      <c r="K12">
        <v>1</v>
      </c>
      <c r="L12">
        <v>1</v>
      </c>
      <c r="M12">
        <v>1</v>
      </c>
      <c r="N12">
        <v>1</v>
      </c>
      <c r="O12">
        <v>1</v>
      </c>
      <c r="P12">
        <v>1</v>
      </c>
      <c r="Q12">
        <v>1</v>
      </c>
      <c r="R12">
        <v>1</v>
      </c>
      <c r="S12">
        <v>1</v>
      </c>
      <c r="T12">
        <v>1</v>
      </c>
      <c r="U12">
        <v>1</v>
      </c>
      <c r="V12">
        <v>1</v>
      </c>
      <c r="W12">
        <v>1</v>
      </c>
      <c r="X12">
        <v>1</v>
      </c>
      <c r="Y12">
        <v>1</v>
      </c>
      <c r="Z12">
        <v>1</v>
      </c>
      <c r="AA12">
        <v>1</v>
      </c>
    </row>
    <row r="13" spans="1:30" x14ac:dyDescent="0.45">
      <c r="A13" t="s">
        <v>25</v>
      </c>
      <c r="B13">
        <v>1.03278</v>
      </c>
      <c r="C13">
        <v>1</v>
      </c>
      <c r="D13">
        <v>1</v>
      </c>
      <c r="E13">
        <v>1</v>
      </c>
      <c r="F13">
        <v>1</v>
      </c>
      <c r="G13">
        <v>1</v>
      </c>
      <c r="H13">
        <v>1</v>
      </c>
      <c r="I13">
        <v>1</v>
      </c>
      <c r="J13">
        <v>1</v>
      </c>
      <c r="K13">
        <v>1</v>
      </c>
      <c r="L13">
        <v>1</v>
      </c>
      <c r="M13">
        <v>1</v>
      </c>
      <c r="N13">
        <v>1</v>
      </c>
      <c r="O13">
        <v>1</v>
      </c>
      <c r="P13">
        <v>1</v>
      </c>
      <c r="Q13">
        <v>1</v>
      </c>
      <c r="R13">
        <v>1</v>
      </c>
      <c r="S13">
        <v>1</v>
      </c>
      <c r="T13">
        <v>1</v>
      </c>
      <c r="U13">
        <v>1</v>
      </c>
      <c r="V13">
        <v>1</v>
      </c>
      <c r="W13">
        <v>1</v>
      </c>
      <c r="X13">
        <v>1</v>
      </c>
      <c r="Y13">
        <v>1</v>
      </c>
      <c r="Z13">
        <v>1</v>
      </c>
      <c r="AA13">
        <v>1</v>
      </c>
    </row>
    <row r="14" spans="1:30" x14ac:dyDescent="0.45">
      <c r="A14" t="s">
        <v>28</v>
      </c>
      <c r="B14">
        <v>1</v>
      </c>
      <c r="C14">
        <v>1</v>
      </c>
      <c r="D14">
        <v>1</v>
      </c>
      <c r="E14">
        <v>1</v>
      </c>
      <c r="F14">
        <v>1</v>
      </c>
      <c r="G14">
        <v>1</v>
      </c>
      <c r="H14">
        <v>1</v>
      </c>
      <c r="I14">
        <v>1</v>
      </c>
      <c r="J14">
        <v>1</v>
      </c>
      <c r="K14">
        <v>1</v>
      </c>
      <c r="L14">
        <v>1</v>
      </c>
      <c r="M14">
        <v>1</v>
      </c>
      <c r="N14">
        <v>1</v>
      </c>
      <c r="O14">
        <v>1</v>
      </c>
      <c r="P14">
        <v>1</v>
      </c>
      <c r="Q14">
        <v>1</v>
      </c>
      <c r="R14">
        <v>1</v>
      </c>
      <c r="S14">
        <v>1</v>
      </c>
      <c r="T14">
        <v>1</v>
      </c>
      <c r="U14">
        <v>1</v>
      </c>
      <c r="V14">
        <v>1</v>
      </c>
      <c r="W14">
        <v>1</v>
      </c>
      <c r="X14">
        <v>1</v>
      </c>
      <c r="Y14">
        <v>1</v>
      </c>
      <c r="Z14">
        <v>1</v>
      </c>
      <c r="AA14">
        <v>1</v>
      </c>
    </row>
    <row r="15" spans="1:30" x14ac:dyDescent="0.45">
      <c r="A15" t="s">
        <v>31</v>
      </c>
      <c r="B15">
        <v>1</v>
      </c>
      <c r="C15">
        <v>1</v>
      </c>
      <c r="D15">
        <v>1</v>
      </c>
      <c r="E15">
        <v>1</v>
      </c>
      <c r="F15">
        <v>1</v>
      </c>
      <c r="G15">
        <v>1</v>
      </c>
      <c r="H15">
        <v>1</v>
      </c>
      <c r="I15">
        <v>1</v>
      </c>
      <c r="J15">
        <v>1</v>
      </c>
      <c r="K15">
        <v>1</v>
      </c>
      <c r="L15">
        <v>1</v>
      </c>
      <c r="M15">
        <v>1</v>
      </c>
      <c r="N15">
        <v>1</v>
      </c>
      <c r="O15">
        <v>1</v>
      </c>
      <c r="P15">
        <v>1</v>
      </c>
      <c r="Q15">
        <v>1</v>
      </c>
      <c r="R15">
        <v>1</v>
      </c>
      <c r="S15">
        <v>1</v>
      </c>
      <c r="T15">
        <v>1</v>
      </c>
      <c r="U15">
        <v>1</v>
      </c>
      <c r="V15">
        <v>1</v>
      </c>
      <c r="W15">
        <v>1</v>
      </c>
      <c r="X15">
        <v>1</v>
      </c>
      <c r="Y15">
        <v>1</v>
      </c>
      <c r="Z15">
        <v>1</v>
      </c>
      <c r="AA15">
        <v>1</v>
      </c>
    </row>
    <row r="16" spans="1:30" x14ac:dyDescent="0.45">
      <c r="A16" t="s">
        <v>34</v>
      </c>
      <c r="B16">
        <v>0.99198900000000001</v>
      </c>
      <c r="C16">
        <v>1</v>
      </c>
      <c r="D16">
        <v>1</v>
      </c>
      <c r="E16">
        <v>1</v>
      </c>
      <c r="F16">
        <v>1</v>
      </c>
      <c r="G16">
        <v>1</v>
      </c>
      <c r="H16">
        <v>1</v>
      </c>
      <c r="I16">
        <v>1</v>
      </c>
      <c r="J16">
        <v>1</v>
      </c>
      <c r="K16">
        <v>1</v>
      </c>
      <c r="L16">
        <v>1</v>
      </c>
      <c r="M16">
        <v>1</v>
      </c>
      <c r="N16">
        <v>1</v>
      </c>
      <c r="O16">
        <v>1</v>
      </c>
      <c r="P16">
        <v>1</v>
      </c>
      <c r="Q16">
        <v>1</v>
      </c>
      <c r="R16">
        <v>1</v>
      </c>
      <c r="S16">
        <v>1</v>
      </c>
      <c r="T16">
        <v>1</v>
      </c>
      <c r="U16">
        <v>1</v>
      </c>
      <c r="V16">
        <v>1</v>
      </c>
      <c r="W16">
        <v>1</v>
      </c>
      <c r="X16">
        <v>1</v>
      </c>
      <c r="Y16">
        <v>1</v>
      </c>
      <c r="Z16">
        <v>1</v>
      </c>
      <c r="AA16">
        <v>1</v>
      </c>
    </row>
    <row r="17" spans="1:27" x14ac:dyDescent="0.45">
      <c r="A17" t="s">
        <v>36</v>
      </c>
      <c r="B17">
        <v>1</v>
      </c>
      <c r="C17">
        <v>1</v>
      </c>
      <c r="D17">
        <v>1</v>
      </c>
      <c r="E17">
        <v>1</v>
      </c>
      <c r="F17">
        <v>1</v>
      </c>
      <c r="G17">
        <v>1</v>
      </c>
      <c r="H17">
        <v>1</v>
      </c>
      <c r="I17">
        <v>1</v>
      </c>
      <c r="J17">
        <v>1</v>
      </c>
      <c r="K17">
        <v>1</v>
      </c>
      <c r="L17">
        <v>1</v>
      </c>
      <c r="M17">
        <v>1</v>
      </c>
      <c r="N17">
        <v>1</v>
      </c>
      <c r="O17">
        <v>1</v>
      </c>
      <c r="P17">
        <v>1</v>
      </c>
      <c r="Q17">
        <v>1</v>
      </c>
      <c r="R17">
        <v>1</v>
      </c>
      <c r="S17">
        <v>1</v>
      </c>
      <c r="T17">
        <v>1</v>
      </c>
      <c r="U17">
        <v>1</v>
      </c>
      <c r="V17">
        <v>1</v>
      </c>
      <c r="W17">
        <v>1</v>
      </c>
      <c r="X17">
        <v>1</v>
      </c>
      <c r="Y17">
        <v>1</v>
      </c>
      <c r="Z17">
        <v>1</v>
      </c>
      <c r="AA17">
        <v>1</v>
      </c>
    </row>
    <row r="18" spans="1:27" x14ac:dyDescent="0.45">
      <c r="A18" t="s">
        <v>39</v>
      </c>
      <c r="B18">
        <v>1.0034700000000001</v>
      </c>
      <c r="C18">
        <v>1</v>
      </c>
      <c r="D18">
        <v>1</v>
      </c>
      <c r="E18">
        <v>1</v>
      </c>
      <c r="F18">
        <v>1</v>
      </c>
      <c r="G18">
        <v>1</v>
      </c>
      <c r="H18">
        <v>1</v>
      </c>
      <c r="I18">
        <v>1</v>
      </c>
      <c r="J18">
        <v>1</v>
      </c>
      <c r="K18">
        <v>1</v>
      </c>
      <c r="L18">
        <v>1</v>
      </c>
      <c r="M18">
        <v>1</v>
      </c>
      <c r="N18">
        <v>1</v>
      </c>
      <c r="O18">
        <v>1</v>
      </c>
      <c r="P18">
        <v>1</v>
      </c>
      <c r="Q18">
        <v>1</v>
      </c>
      <c r="R18">
        <v>1</v>
      </c>
      <c r="S18">
        <v>1</v>
      </c>
      <c r="T18">
        <v>1</v>
      </c>
      <c r="U18">
        <v>1</v>
      </c>
      <c r="V18">
        <v>1</v>
      </c>
      <c r="W18">
        <v>1</v>
      </c>
      <c r="X18">
        <v>1</v>
      </c>
      <c r="Y18">
        <v>1</v>
      </c>
      <c r="Z18">
        <v>1</v>
      </c>
      <c r="AA18">
        <v>1</v>
      </c>
    </row>
    <row r="19" spans="1:27" x14ac:dyDescent="0.45">
      <c r="A19" t="s">
        <v>42</v>
      </c>
      <c r="B19">
        <v>1</v>
      </c>
      <c r="C19">
        <v>1</v>
      </c>
      <c r="D19">
        <v>1</v>
      </c>
      <c r="E19">
        <v>1</v>
      </c>
      <c r="F19">
        <v>1</v>
      </c>
      <c r="G19">
        <v>1</v>
      </c>
      <c r="H19">
        <v>1</v>
      </c>
      <c r="I19">
        <v>1</v>
      </c>
      <c r="J19">
        <v>1</v>
      </c>
      <c r="K19">
        <v>1</v>
      </c>
      <c r="L19">
        <v>1</v>
      </c>
      <c r="M19">
        <v>1</v>
      </c>
      <c r="N19">
        <v>1</v>
      </c>
      <c r="O19">
        <v>1</v>
      </c>
      <c r="P19">
        <v>1</v>
      </c>
      <c r="Q19">
        <v>1</v>
      </c>
      <c r="R19">
        <v>1</v>
      </c>
      <c r="S19">
        <v>1</v>
      </c>
      <c r="T19">
        <v>1</v>
      </c>
      <c r="U19">
        <v>1</v>
      </c>
      <c r="V19">
        <v>1</v>
      </c>
      <c r="W19">
        <v>1</v>
      </c>
      <c r="X19">
        <v>1</v>
      </c>
      <c r="Y19">
        <v>1</v>
      </c>
      <c r="Z19">
        <v>1</v>
      </c>
      <c r="AA19">
        <v>1</v>
      </c>
    </row>
    <row r="20" spans="1:27" x14ac:dyDescent="0.45">
      <c r="A20" t="s">
        <v>44</v>
      </c>
      <c r="B20">
        <v>1.0192600000000001</v>
      </c>
      <c r="C20">
        <v>1</v>
      </c>
      <c r="D20">
        <v>1</v>
      </c>
      <c r="E20">
        <v>1</v>
      </c>
      <c r="F20">
        <v>1</v>
      </c>
      <c r="G20">
        <v>1</v>
      </c>
      <c r="H20">
        <v>1</v>
      </c>
      <c r="I20">
        <v>1</v>
      </c>
      <c r="J20">
        <v>1</v>
      </c>
      <c r="K20">
        <v>1</v>
      </c>
      <c r="L20">
        <v>1</v>
      </c>
      <c r="M20">
        <v>1</v>
      </c>
      <c r="N20">
        <v>1</v>
      </c>
      <c r="O20">
        <v>1</v>
      </c>
      <c r="P20">
        <v>1</v>
      </c>
      <c r="Q20">
        <v>1</v>
      </c>
      <c r="R20">
        <v>1</v>
      </c>
      <c r="S20">
        <v>1</v>
      </c>
      <c r="T20">
        <v>1</v>
      </c>
      <c r="U20">
        <v>1</v>
      </c>
      <c r="V20">
        <v>1</v>
      </c>
      <c r="W20">
        <v>1</v>
      </c>
      <c r="X20">
        <v>1</v>
      </c>
      <c r="Y20">
        <v>1</v>
      </c>
      <c r="Z20">
        <v>1</v>
      </c>
      <c r="AA20">
        <v>1</v>
      </c>
    </row>
    <row r="21" spans="1:27" x14ac:dyDescent="0.45">
      <c r="A21" t="s">
        <v>47</v>
      </c>
      <c r="B21">
        <v>1</v>
      </c>
      <c r="C21">
        <v>1</v>
      </c>
      <c r="D21">
        <v>1</v>
      </c>
      <c r="E21">
        <v>1</v>
      </c>
      <c r="F21">
        <v>1</v>
      </c>
      <c r="G21">
        <v>1</v>
      </c>
      <c r="H21">
        <v>1</v>
      </c>
      <c r="I21">
        <v>1</v>
      </c>
      <c r="J21">
        <v>1</v>
      </c>
      <c r="K21">
        <v>1</v>
      </c>
      <c r="L21">
        <v>1</v>
      </c>
      <c r="M21">
        <v>1</v>
      </c>
      <c r="N21">
        <v>1</v>
      </c>
      <c r="O21">
        <v>1</v>
      </c>
      <c r="P21">
        <v>1</v>
      </c>
      <c r="Q21">
        <v>1</v>
      </c>
      <c r="R21">
        <v>1</v>
      </c>
      <c r="S21">
        <v>1</v>
      </c>
      <c r="T21">
        <v>1</v>
      </c>
      <c r="U21">
        <v>1</v>
      </c>
      <c r="V21">
        <v>1</v>
      </c>
      <c r="W21">
        <v>1</v>
      </c>
      <c r="X21">
        <v>1</v>
      </c>
      <c r="Y21">
        <v>1</v>
      </c>
      <c r="Z21">
        <v>1</v>
      </c>
      <c r="AA21">
        <v>1</v>
      </c>
    </row>
    <row r="22" spans="1:27" x14ac:dyDescent="0.45">
      <c r="A22" t="s">
        <v>50</v>
      </c>
      <c r="B22">
        <v>1.0024500000000001</v>
      </c>
      <c r="C22">
        <v>1</v>
      </c>
      <c r="D22">
        <v>1</v>
      </c>
      <c r="E22">
        <v>1</v>
      </c>
      <c r="F22">
        <v>1</v>
      </c>
      <c r="G22">
        <v>1</v>
      </c>
      <c r="H22">
        <v>1</v>
      </c>
      <c r="I22">
        <v>1</v>
      </c>
      <c r="J22">
        <v>1</v>
      </c>
      <c r="K22">
        <v>1</v>
      </c>
      <c r="L22">
        <v>1</v>
      </c>
      <c r="M22">
        <v>1</v>
      </c>
      <c r="N22">
        <v>1</v>
      </c>
      <c r="O22">
        <v>1</v>
      </c>
      <c r="P22">
        <v>1</v>
      </c>
      <c r="Q22">
        <v>1</v>
      </c>
      <c r="R22">
        <v>1</v>
      </c>
      <c r="S22">
        <v>1</v>
      </c>
      <c r="T22">
        <v>1</v>
      </c>
      <c r="U22">
        <v>1</v>
      </c>
      <c r="V22">
        <v>1</v>
      </c>
      <c r="W22">
        <v>1</v>
      </c>
      <c r="X22">
        <v>1</v>
      </c>
      <c r="Y22">
        <v>1</v>
      </c>
      <c r="Z22">
        <v>1</v>
      </c>
      <c r="AA22">
        <v>1</v>
      </c>
    </row>
    <row r="23" spans="1:27" x14ac:dyDescent="0.45">
      <c r="A23" t="s">
        <v>53</v>
      </c>
      <c r="B23">
        <v>1</v>
      </c>
      <c r="C23">
        <v>1</v>
      </c>
      <c r="D23">
        <v>1</v>
      </c>
      <c r="E23">
        <v>1</v>
      </c>
      <c r="F23">
        <v>1</v>
      </c>
      <c r="G23">
        <v>1</v>
      </c>
      <c r="H23">
        <v>1</v>
      </c>
      <c r="I23">
        <v>1</v>
      </c>
      <c r="J23">
        <v>1</v>
      </c>
      <c r="K23">
        <v>1</v>
      </c>
      <c r="L23">
        <v>1</v>
      </c>
      <c r="M23">
        <v>1</v>
      </c>
      <c r="N23">
        <v>1</v>
      </c>
      <c r="O23">
        <v>1</v>
      </c>
      <c r="P23">
        <v>1</v>
      </c>
      <c r="Q23">
        <v>1</v>
      </c>
      <c r="R23">
        <v>1</v>
      </c>
      <c r="S23">
        <v>1</v>
      </c>
      <c r="T23">
        <v>1</v>
      </c>
      <c r="U23">
        <v>1</v>
      </c>
      <c r="V23">
        <v>1</v>
      </c>
      <c r="W23">
        <v>1</v>
      </c>
      <c r="X23">
        <v>1</v>
      </c>
      <c r="Y23">
        <v>1</v>
      </c>
      <c r="Z23">
        <v>1</v>
      </c>
      <c r="AA23">
        <v>1</v>
      </c>
    </row>
    <row r="24" spans="1:27" x14ac:dyDescent="0.45">
      <c r="A24" t="s">
        <v>55</v>
      </c>
      <c r="B24">
        <v>1.02336</v>
      </c>
      <c r="C24">
        <v>1</v>
      </c>
      <c r="D24">
        <v>1</v>
      </c>
      <c r="E24">
        <v>1</v>
      </c>
      <c r="F24">
        <v>1</v>
      </c>
      <c r="G24">
        <v>1</v>
      </c>
      <c r="H24">
        <v>1</v>
      </c>
      <c r="I24">
        <v>1</v>
      </c>
      <c r="J24">
        <v>1</v>
      </c>
      <c r="K24">
        <v>1</v>
      </c>
      <c r="L24">
        <v>1</v>
      </c>
      <c r="M24">
        <v>1</v>
      </c>
      <c r="N24">
        <v>1</v>
      </c>
      <c r="O24">
        <v>1</v>
      </c>
      <c r="P24">
        <v>1</v>
      </c>
      <c r="Q24">
        <v>1</v>
      </c>
      <c r="R24">
        <v>1</v>
      </c>
      <c r="S24">
        <v>1</v>
      </c>
      <c r="T24">
        <v>1</v>
      </c>
      <c r="U24">
        <v>1</v>
      </c>
      <c r="V24">
        <v>1</v>
      </c>
      <c r="W24">
        <v>1</v>
      </c>
      <c r="X24">
        <v>1</v>
      </c>
      <c r="Y24">
        <v>1</v>
      </c>
      <c r="Z24">
        <v>1</v>
      </c>
      <c r="AA24">
        <v>1</v>
      </c>
    </row>
    <row r="25" spans="1:27" x14ac:dyDescent="0.45">
      <c r="A25" t="s">
        <v>58</v>
      </c>
      <c r="B25">
        <v>1.0545599999999999</v>
      </c>
      <c r="C25">
        <v>1</v>
      </c>
      <c r="D25">
        <v>1</v>
      </c>
      <c r="E25">
        <v>1</v>
      </c>
      <c r="F25">
        <v>1</v>
      </c>
      <c r="G25">
        <v>1</v>
      </c>
      <c r="H25">
        <v>1</v>
      </c>
      <c r="I25">
        <v>1</v>
      </c>
      <c r="J25">
        <v>1</v>
      </c>
      <c r="K25">
        <v>1</v>
      </c>
      <c r="L25">
        <v>1</v>
      </c>
      <c r="M25">
        <v>1</v>
      </c>
      <c r="N25">
        <v>1</v>
      </c>
      <c r="O25">
        <v>1</v>
      </c>
      <c r="P25">
        <v>1</v>
      </c>
      <c r="Q25">
        <v>1</v>
      </c>
      <c r="R25">
        <v>1</v>
      </c>
      <c r="S25">
        <v>1</v>
      </c>
      <c r="T25">
        <v>1</v>
      </c>
      <c r="U25">
        <v>1</v>
      </c>
      <c r="V25">
        <v>1</v>
      </c>
      <c r="W25">
        <v>1</v>
      </c>
      <c r="X25">
        <v>1</v>
      </c>
      <c r="Y25">
        <v>1</v>
      </c>
      <c r="Z25">
        <v>1</v>
      </c>
      <c r="AA25">
        <v>1</v>
      </c>
    </row>
    <row r="26" spans="1:27" x14ac:dyDescent="0.45">
      <c r="A26" t="s">
        <v>61</v>
      </c>
      <c r="B26">
        <v>0.80672200000000005</v>
      </c>
      <c r="C26">
        <v>1</v>
      </c>
      <c r="D26">
        <v>1</v>
      </c>
      <c r="E26">
        <v>1</v>
      </c>
      <c r="F26">
        <v>1</v>
      </c>
      <c r="G26">
        <v>1</v>
      </c>
      <c r="H26">
        <v>1</v>
      </c>
      <c r="I26">
        <v>1</v>
      </c>
      <c r="J26">
        <v>1</v>
      </c>
      <c r="K26">
        <v>1</v>
      </c>
      <c r="L26">
        <v>1</v>
      </c>
      <c r="M26">
        <v>1</v>
      </c>
      <c r="N26">
        <v>1</v>
      </c>
      <c r="O26">
        <v>1</v>
      </c>
      <c r="P26">
        <v>1</v>
      </c>
      <c r="Q26">
        <v>1</v>
      </c>
      <c r="R26">
        <v>1</v>
      </c>
      <c r="S26">
        <v>1</v>
      </c>
      <c r="T26">
        <v>1</v>
      </c>
      <c r="U26">
        <v>1</v>
      </c>
      <c r="V26">
        <v>1</v>
      </c>
      <c r="W26">
        <v>1</v>
      </c>
      <c r="X26">
        <v>1</v>
      </c>
      <c r="Y26">
        <v>1</v>
      </c>
      <c r="Z26">
        <v>1</v>
      </c>
      <c r="AA26">
        <v>1</v>
      </c>
    </row>
    <row r="27" spans="1:27" x14ac:dyDescent="0.45">
      <c r="A27" t="s">
        <v>63</v>
      </c>
      <c r="B27">
        <v>1.0490600000000001</v>
      </c>
      <c r="C27">
        <v>1</v>
      </c>
      <c r="D27">
        <v>1</v>
      </c>
      <c r="E27">
        <v>1</v>
      </c>
      <c r="F27">
        <v>1</v>
      </c>
      <c r="G27">
        <v>1</v>
      </c>
      <c r="H27">
        <v>1</v>
      </c>
      <c r="I27">
        <v>1</v>
      </c>
      <c r="J27">
        <v>1</v>
      </c>
      <c r="K27">
        <v>1</v>
      </c>
      <c r="L27">
        <v>1</v>
      </c>
      <c r="M27">
        <v>1</v>
      </c>
      <c r="N27">
        <v>1</v>
      </c>
      <c r="O27">
        <v>1</v>
      </c>
      <c r="P27">
        <v>1</v>
      </c>
      <c r="Q27">
        <v>1</v>
      </c>
      <c r="R27">
        <v>1</v>
      </c>
      <c r="S27">
        <v>1</v>
      </c>
      <c r="T27">
        <v>1</v>
      </c>
      <c r="U27">
        <v>1</v>
      </c>
      <c r="V27">
        <v>1</v>
      </c>
      <c r="W27">
        <v>1</v>
      </c>
      <c r="X27">
        <v>1</v>
      </c>
      <c r="Y27">
        <v>1</v>
      </c>
      <c r="Z27">
        <v>1</v>
      </c>
      <c r="AA27">
        <v>1</v>
      </c>
    </row>
    <row r="28" spans="1:27" x14ac:dyDescent="0.45">
      <c r="A28" t="s">
        <v>65</v>
      </c>
      <c r="B28">
        <v>1</v>
      </c>
      <c r="C28">
        <v>1</v>
      </c>
      <c r="D28">
        <v>1</v>
      </c>
      <c r="E28">
        <v>1</v>
      </c>
      <c r="F28">
        <v>1</v>
      </c>
      <c r="G28">
        <v>1</v>
      </c>
      <c r="H28">
        <v>1</v>
      </c>
      <c r="I28">
        <v>1</v>
      </c>
      <c r="J28">
        <v>1</v>
      </c>
      <c r="K28">
        <v>1</v>
      </c>
      <c r="L28">
        <v>1</v>
      </c>
      <c r="M28">
        <v>1</v>
      </c>
      <c r="N28">
        <v>1</v>
      </c>
      <c r="O28">
        <v>1</v>
      </c>
      <c r="P28">
        <v>1</v>
      </c>
      <c r="Q28">
        <v>1</v>
      </c>
      <c r="R28">
        <v>1</v>
      </c>
      <c r="S28">
        <v>1</v>
      </c>
      <c r="T28">
        <v>1</v>
      </c>
      <c r="U28">
        <v>1</v>
      </c>
      <c r="V28">
        <v>1</v>
      </c>
      <c r="W28">
        <v>1</v>
      </c>
      <c r="X28">
        <v>1</v>
      </c>
      <c r="Y28">
        <v>1</v>
      </c>
      <c r="Z28">
        <v>1</v>
      </c>
      <c r="AA28">
        <v>1</v>
      </c>
    </row>
    <row r="29" spans="1:27" x14ac:dyDescent="0.45">
      <c r="A29" t="s">
        <v>68</v>
      </c>
      <c r="B29">
        <v>0.996502</v>
      </c>
      <c r="C29">
        <v>1</v>
      </c>
      <c r="D29">
        <v>1</v>
      </c>
      <c r="E29">
        <v>1</v>
      </c>
      <c r="F29">
        <v>1</v>
      </c>
      <c r="G29">
        <v>1</v>
      </c>
      <c r="H29">
        <v>1</v>
      </c>
      <c r="I29">
        <v>1</v>
      </c>
      <c r="J29">
        <v>1</v>
      </c>
      <c r="K29">
        <v>1</v>
      </c>
      <c r="L29">
        <v>1</v>
      </c>
      <c r="M29">
        <v>1</v>
      </c>
      <c r="N29">
        <v>1</v>
      </c>
      <c r="O29">
        <v>1</v>
      </c>
      <c r="P29">
        <v>1</v>
      </c>
      <c r="Q29">
        <v>1</v>
      </c>
      <c r="R29">
        <v>1</v>
      </c>
      <c r="S29">
        <v>1</v>
      </c>
      <c r="T29">
        <v>1</v>
      </c>
      <c r="U29">
        <v>1</v>
      </c>
      <c r="V29">
        <v>1</v>
      </c>
      <c r="W29">
        <v>1</v>
      </c>
      <c r="X29">
        <v>1</v>
      </c>
      <c r="Y29">
        <v>1</v>
      </c>
      <c r="Z29">
        <v>1</v>
      </c>
      <c r="AA29">
        <v>1</v>
      </c>
    </row>
    <row r="30" spans="1:27" x14ac:dyDescent="0.45">
      <c r="A30" t="s">
        <v>72</v>
      </c>
      <c r="B30">
        <v>1</v>
      </c>
      <c r="C30">
        <v>1</v>
      </c>
      <c r="D30">
        <v>1</v>
      </c>
      <c r="E30">
        <v>1</v>
      </c>
      <c r="F30">
        <v>1</v>
      </c>
      <c r="G30">
        <v>1</v>
      </c>
      <c r="H30">
        <v>1</v>
      </c>
      <c r="I30">
        <v>1</v>
      </c>
      <c r="J30">
        <v>1</v>
      </c>
      <c r="K30">
        <v>1</v>
      </c>
      <c r="L30">
        <v>1</v>
      </c>
      <c r="M30">
        <v>1</v>
      </c>
      <c r="N30">
        <v>1</v>
      </c>
      <c r="O30">
        <v>1</v>
      </c>
      <c r="P30">
        <v>1</v>
      </c>
      <c r="Q30">
        <v>1</v>
      </c>
      <c r="R30">
        <v>1</v>
      </c>
      <c r="S30">
        <v>1</v>
      </c>
      <c r="T30">
        <v>1</v>
      </c>
      <c r="U30">
        <v>1</v>
      </c>
      <c r="V30">
        <v>1</v>
      </c>
      <c r="W30">
        <v>1</v>
      </c>
      <c r="X30">
        <v>1</v>
      </c>
      <c r="Y30">
        <v>1</v>
      </c>
      <c r="Z30">
        <v>1</v>
      </c>
      <c r="AA30">
        <v>1</v>
      </c>
    </row>
    <row r="31" spans="1:27" x14ac:dyDescent="0.45">
      <c r="A31" t="s">
        <v>76</v>
      </c>
      <c r="B31">
        <v>1.06549</v>
      </c>
      <c r="C31">
        <v>1</v>
      </c>
      <c r="D31">
        <v>1</v>
      </c>
      <c r="E31">
        <v>1</v>
      </c>
      <c r="F31">
        <v>1</v>
      </c>
      <c r="G31">
        <v>1</v>
      </c>
      <c r="H31">
        <v>1</v>
      </c>
      <c r="I31">
        <v>1</v>
      </c>
      <c r="J31">
        <v>1</v>
      </c>
      <c r="K31">
        <v>1</v>
      </c>
      <c r="L31">
        <v>1</v>
      </c>
      <c r="M31">
        <v>1</v>
      </c>
      <c r="N31">
        <v>1</v>
      </c>
      <c r="O31">
        <v>1</v>
      </c>
      <c r="P31">
        <v>1</v>
      </c>
      <c r="Q31">
        <v>1</v>
      </c>
      <c r="R31">
        <v>1</v>
      </c>
      <c r="S31">
        <v>1</v>
      </c>
      <c r="T31">
        <v>1</v>
      </c>
      <c r="U31">
        <v>1</v>
      </c>
      <c r="V31">
        <v>1</v>
      </c>
      <c r="W31">
        <v>1</v>
      </c>
      <c r="X31">
        <v>1</v>
      </c>
      <c r="Y31">
        <v>1</v>
      </c>
      <c r="Z31">
        <v>1</v>
      </c>
      <c r="AA31">
        <v>1</v>
      </c>
    </row>
    <row r="32" spans="1:27" x14ac:dyDescent="0.45">
      <c r="A32" t="s">
        <v>78</v>
      </c>
      <c r="B32">
        <v>1.0611600000000001</v>
      </c>
      <c r="C32">
        <v>1</v>
      </c>
      <c r="D32">
        <v>1</v>
      </c>
      <c r="E32">
        <v>1</v>
      </c>
      <c r="F32">
        <v>1</v>
      </c>
      <c r="G32">
        <v>1</v>
      </c>
      <c r="H32">
        <v>1</v>
      </c>
      <c r="I32">
        <v>1</v>
      </c>
      <c r="J32">
        <v>1</v>
      </c>
      <c r="K32">
        <v>1</v>
      </c>
      <c r="L32">
        <v>1</v>
      </c>
      <c r="M32">
        <v>1</v>
      </c>
      <c r="N32">
        <v>1</v>
      </c>
      <c r="O32">
        <v>1</v>
      </c>
      <c r="P32">
        <v>1</v>
      </c>
      <c r="Q32">
        <v>1</v>
      </c>
      <c r="R32">
        <v>1</v>
      </c>
      <c r="S32">
        <v>1</v>
      </c>
      <c r="T32">
        <v>1</v>
      </c>
      <c r="U32">
        <v>1</v>
      </c>
      <c r="V32">
        <v>1</v>
      </c>
      <c r="W32">
        <v>1</v>
      </c>
      <c r="X32">
        <v>1</v>
      </c>
      <c r="Y32">
        <v>1</v>
      </c>
      <c r="Z32">
        <v>1</v>
      </c>
      <c r="AA32">
        <v>1</v>
      </c>
    </row>
    <row r="33" spans="1:27" x14ac:dyDescent="0.45">
      <c r="A33" t="s">
        <v>80</v>
      </c>
      <c r="B33">
        <v>1.0040100000000001</v>
      </c>
      <c r="C33">
        <v>1</v>
      </c>
      <c r="D33">
        <v>1</v>
      </c>
      <c r="E33">
        <v>1</v>
      </c>
      <c r="F33">
        <v>1</v>
      </c>
      <c r="G33">
        <v>1</v>
      </c>
      <c r="H33">
        <v>1</v>
      </c>
      <c r="I33">
        <v>1</v>
      </c>
      <c r="J33">
        <v>1</v>
      </c>
      <c r="K33">
        <v>1</v>
      </c>
      <c r="L33">
        <v>1</v>
      </c>
      <c r="M33">
        <v>1</v>
      </c>
      <c r="N33">
        <v>1</v>
      </c>
      <c r="O33">
        <v>1</v>
      </c>
      <c r="P33">
        <v>1</v>
      </c>
      <c r="Q33">
        <v>1</v>
      </c>
      <c r="R33">
        <v>1</v>
      </c>
      <c r="S33">
        <v>1</v>
      </c>
      <c r="T33">
        <v>1</v>
      </c>
      <c r="U33">
        <v>1</v>
      </c>
      <c r="V33">
        <v>1</v>
      </c>
      <c r="W33">
        <v>1</v>
      </c>
      <c r="X33">
        <v>1</v>
      </c>
      <c r="Y33">
        <v>1</v>
      </c>
      <c r="Z33">
        <v>1</v>
      </c>
      <c r="AA33">
        <v>1</v>
      </c>
    </row>
    <row r="34" spans="1:27" x14ac:dyDescent="0.45">
      <c r="A34" t="s">
        <v>82</v>
      </c>
      <c r="B34">
        <v>1</v>
      </c>
      <c r="C34">
        <v>1</v>
      </c>
      <c r="D34">
        <v>1</v>
      </c>
      <c r="E34">
        <v>1</v>
      </c>
      <c r="F34">
        <v>1</v>
      </c>
      <c r="G34">
        <v>1</v>
      </c>
      <c r="H34">
        <v>1</v>
      </c>
      <c r="I34">
        <v>1</v>
      </c>
      <c r="J34">
        <v>1</v>
      </c>
      <c r="K34">
        <v>1</v>
      </c>
      <c r="L34">
        <v>1</v>
      </c>
      <c r="M34">
        <v>1</v>
      </c>
      <c r="N34">
        <v>1</v>
      </c>
      <c r="O34">
        <v>1</v>
      </c>
      <c r="P34">
        <v>1</v>
      </c>
      <c r="Q34">
        <v>1</v>
      </c>
      <c r="R34">
        <v>1</v>
      </c>
      <c r="S34">
        <v>1</v>
      </c>
      <c r="T34">
        <v>1</v>
      </c>
      <c r="U34">
        <v>1</v>
      </c>
      <c r="V34">
        <v>1</v>
      </c>
      <c r="W34">
        <v>1</v>
      </c>
      <c r="X34">
        <v>1</v>
      </c>
      <c r="Y34">
        <v>1</v>
      </c>
      <c r="Z34">
        <v>1</v>
      </c>
      <c r="AA34">
        <v>1</v>
      </c>
    </row>
    <row r="35" spans="1:27" x14ac:dyDescent="0.45">
      <c r="A35" t="s">
        <v>84</v>
      </c>
      <c r="B35">
        <v>1</v>
      </c>
      <c r="C35">
        <v>1</v>
      </c>
      <c r="D35">
        <v>1</v>
      </c>
      <c r="E35">
        <v>1</v>
      </c>
      <c r="F35">
        <v>1</v>
      </c>
      <c r="G35">
        <v>1</v>
      </c>
      <c r="H35">
        <v>1</v>
      </c>
      <c r="I35">
        <v>1</v>
      </c>
      <c r="J35">
        <v>1</v>
      </c>
      <c r="K35">
        <v>1</v>
      </c>
      <c r="L35">
        <v>1</v>
      </c>
      <c r="M35">
        <v>1</v>
      </c>
      <c r="N35">
        <v>1</v>
      </c>
      <c r="O35">
        <v>1</v>
      </c>
      <c r="P35">
        <v>1</v>
      </c>
      <c r="Q35">
        <v>1</v>
      </c>
      <c r="R35">
        <v>1</v>
      </c>
      <c r="S35">
        <v>1</v>
      </c>
      <c r="T35">
        <v>1</v>
      </c>
      <c r="U35">
        <v>1</v>
      </c>
      <c r="V35">
        <v>1</v>
      </c>
      <c r="W35">
        <v>1</v>
      </c>
      <c r="X35">
        <v>1</v>
      </c>
      <c r="Y35">
        <v>1</v>
      </c>
      <c r="Z35">
        <v>1</v>
      </c>
      <c r="AA35">
        <v>1</v>
      </c>
    </row>
    <row r="36" spans="1:27" x14ac:dyDescent="0.45">
      <c r="A36" t="s">
        <v>86</v>
      </c>
      <c r="B36">
        <v>1.02474</v>
      </c>
      <c r="C36">
        <v>1</v>
      </c>
      <c r="D36">
        <v>1</v>
      </c>
      <c r="E36">
        <v>1</v>
      </c>
      <c r="F36">
        <v>1</v>
      </c>
      <c r="G36">
        <v>1</v>
      </c>
      <c r="H36">
        <v>1</v>
      </c>
      <c r="I36">
        <v>1</v>
      </c>
      <c r="J36">
        <v>1</v>
      </c>
      <c r="K36">
        <v>1</v>
      </c>
      <c r="L36">
        <v>1</v>
      </c>
      <c r="M36">
        <v>1</v>
      </c>
      <c r="N36">
        <v>1</v>
      </c>
      <c r="O36">
        <v>1</v>
      </c>
      <c r="P36">
        <v>1</v>
      </c>
      <c r="Q36">
        <v>1</v>
      </c>
      <c r="R36">
        <v>1</v>
      </c>
      <c r="S36">
        <v>1</v>
      </c>
      <c r="T36">
        <v>1</v>
      </c>
      <c r="U36">
        <v>1</v>
      </c>
      <c r="V36">
        <v>1</v>
      </c>
      <c r="W36">
        <v>1</v>
      </c>
      <c r="X36">
        <v>1</v>
      </c>
      <c r="Y36">
        <v>1</v>
      </c>
      <c r="Z36">
        <v>1</v>
      </c>
      <c r="AA36">
        <v>1</v>
      </c>
    </row>
    <row r="37" spans="1:27" x14ac:dyDescent="0.45">
      <c r="A37" t="s">
        <v>88</v>
      </c>
      <c r="B37">
        <v>0.97707100000000002</v>
      </c>
      <c r="C37">
        <v>1</v>
      </c>
      <c r="D37">
        <v>1</v>
      </c>
      <c r="E37">
        <v>1</v>
      </c>
      <c r="F37">
        <v>1</v>
      </c>
      <c r="G37">
        <v>1</v>
      </c>
      <c r="H37">
        <v>1</v>
      </c>
      <c r="I37">
        <v>1</v>
      </c>
      <c r="J37">
        <v>1</v>
      </c>
      <c r="K37">
        <v>1</v>
      </c>
      <c r="L37">
        <v>1</v>
      </c>
      <c r="M37">
        <v>1</v>
      </c>
      <c r="N37">
        <v>1</v>
      </c>
      <c r="O37">
        <v>1</v>
      </c>
      <c r="P37">
        <v>1</v>
      </c>
      <c r="Q37">
        <v>1</v>
      </c>
      <c r="R37">
        <v>1</v>
      </c>
      <c r="S37">
        <v>1</v>
      </c>
      <c r="T37">
        <v>1</v>
      </c>
      <c r="U37">
        <v>1</v>
      </c>
      <c r="V37">
        <v>1</v>
      </c>
      <c r="W37">
        <v>1</v>
      </c>
      <c r="X37">
        <v>1</v>
      </c>
      <c r="Y37">
        <v>1</v>
      </c>
      <c r="Z37">
        <v>1</v>
      </c>
      <c r="AA37">
        <v>1</v>
      </c>
    </row>
    <row r="38" spans="1:27" x14ac:dyDescent="0.45">
      <c r="A38" t="s">
        <v>90</v>
      </c>
      <c r="B38">
        <v>1</v>
      </c>
      <c r="C38">
        <v>1</v>
      </c>
      <c r="D38">
        <v>1</v>
      </c>
      <c r="E38">
        <v>1</v>
      </c>
      <c r="F38">
        <v>1</v>
      </c>
      <c r="G38">
        <v>1</v>
      </c>
      <c r="H38">
        <v>1</v>
      </c>
      <c r="I38">
        <v>1</v>
      </c>
      <c r="J38">
        <v>1</v>
      </c>
      <c r="K38">
        <v>1</v>
      </c>
      <c r="L38">
        <v>1</v>
      </c>
      <c r="M38">
        <v>1</v>
      </c>
      <c r="N38">
        <v>1</v>
      </c>
      <c r="O38">
        <v>1</v>
      </c>
      <c r="P38">
        <v>1</v>
      </c>
      <c r="Q38">
        <v>1</v>
      </c>
      <c r="R38">
        <v>1</v>
      </c>
      <c r="S38">
        <v>1</v>
      </c>
      <c r="T38">
        <v>1</v>
      </c>
      <c r="U38">
        <v>1</v>
      </c>
      <c r="V38">
        <v>1</v>
      </c>
      <c r="W38">
        <v>1</v>
      </c>
      <c r="X38">
        <v>1</v>
      </c>
      <c r="Y38">
        <v>1</v>
      </c>
      <c r="Z38">
        <v>1</v>
      </c>
      <c r="AA38">
        <v>1</v>
      </c>
    </row>
    <row r="39" spans="1:27" x14ac:dyDescent="0.45">
      <c r="A39" t="s">
        <v>92</v>
      </c>
      <c r="B39">
        <v>1</v>
      </c>
      <c r="C39">
        <v>1</v>
      </c>
      <c r="D39">
        <v>1</v>
      </c>
      <c r="E39">
        <v>1</v>
      </c>
      <c r="F39">
        <v>1</v>
      </c>
      <c r="G39">
        <v>1</v>
      </c>
      <c r="H39">
        <v>1</v>
      </c>
      <c r="I39">
        <v>1</v>
      </c>
      <c r="J39">
        <v>1</v>
      </c>
      <c r="K39">
        <v>1</v>
      </c>
      <c r="L39">
        <v>1</v>
      </c>
      <c r="M39">
        <v>1</v>
      </c>
      <c r="N39">
        <v>1</v>
      </c>
      <c r="O39">
        <v>1</v>
      </c>
      <c r="P39">
        <v>1</v>
      </c>
      <c r="Q39">
        <v>1</v>
      </c>
      <c r="R39">
        <v>1</v>
      </c>
      <c r="S39">
        <v>1</v>
      </c>
      <c r="T39">
        <v>1</v>
      </c>
      <c r="U39">
        <v>1</v>
      </c>
      <c r="V39">
        <v>1</v>
      </c>
      <c r="W39">
        <v>1</v>
      </c>
      <c r="X39">
        <v>1</v>
      </c>
      <c r="Y39">
        <v>1</v>
      </c>
      <c r="Z39">
        <v>1</v>
      </c>
      <c r="AA39">
        <v>1</v>
      </c>
    </row>
    <row r="40" spans="1:27" x14ac:dyDescent="0.45">
      <c r="A40" t="s">
        <v>94</v>
      </c>
      <c r="B40">
        <v>0.997614</v>
      </c>
      <c r="C40">
        <v>1</v>
      </c>
      <c r="D40">
        <v>1</v>
      </c>
      <c r="E40">
        <v>1</v>
      </c>
      <c r="F40">
        <v>1</v>
      </c>
      <c r="G40">
        <v>1</v>
      </c>
      <c r="H40">
        <v>1</v>
      </c>
      <c r="I40">
        <v>1</v>
      </c>
      <c r="J40">
        <v>1</v>
      </c>
      <c r="K40">
        <v>1</v>
      </c>
      <c r="L40">
        <v>1</v>
      </c>
      <c r="M40">
        <v>1</v>
      </c>
      <c r="N40">
        <v>1</v>
      </c>
      <c r="O40">
        <v>1</v>
      </c>
      <c r="P40">
        <v>1</v>
      </c>
      <c r="Q40">
        <v>1</v>
      </c>
      <c r="R40">
        <v>1</v>
      </c>
      <c r="S40">
        <v>1</v>
      </c>
      <c r="T40">
        <v>1</v>
      </c>
      <c r="U40">
        <v>1</v>
      </c>
      <c r="V40">
        <v>1</v>
      </c>
      <c r="W40">
        <v>1</v>
      </c>
      <c r="X40">
        <v>1</v>
      </c>
      <c r="Y40">
        <v>1</v>
      </c>
      <c r="Z40">
        <v>1</v>
      </c>
      <c r="AA40">
        <v>1</v>
      </c>
    </row>
    <row r="41" spans="1:27" x14ac:dyDescent="0.45">
      <c r="A41" t="s">
        <v>96</v>
      </c>
      <c r="B41">
        <v>1</v>
      </c>
      <c r="C41">
        <v>1</v>
      </c>
      <c r="D41">
        <v>1</v>
      </c>
      <c r="E41">
        <v>1</v>
      </c>
      <c r="F41">
        <v>1</v>
      </c>
      <c r="G41">
        <v>1</v>
      </c>
      <c r="H41">
        <v>1</v>
      </c>
      <c r="I41">
        <v>1</v>
      </c>
      <c r="J41">
        <v>1</v>
      </c>
      <c r="K41">
        <v>1</v>
      </c>
      <c r="L41">
        <v>1</v>
      </c>
      <c r="M41">
        <v>1</v>
      </c>
      <c r="N41">
        <v>1</v>
      </c>
      <c r="O41">
        <v>1</v>
      </c>
      <c r="P41">
        <v>1</v>
      </c>
      <c r="Q41">
        <v>1</v>
      </c>
      <c r="R41">
        <v>1</v>
      </c>
      <c r="S41">
        <v>1</v>
      </c>
      <c r="T41">
        <v>1</v>
      </c>
      <c r="U41">
        <v>1</v>
      </c>
      <c r="V41">
        <v>1</v>
      </c>
      <c r="W41">
        <v>1</v>
      </c>
      <c r="X41">
        <v>1</v>
      </c>
      <c r="Y41">
        <v>1</v>
      </c>
      <c r="Z41">
        <v>1</v>
      </c>
      <c r="AA41">
        <v>1</v>
      </c>
    </row>
    <row r="42" spans="1:27" x14ac:dyDescent="0.45">
      <c r="A42" t="s">
        <v>98</v>
      </c>
      <c r="B42">
        <v>1.02277</v>
      </c>
      <c r="C42">
        <v>1</v>
      </c>
      <c r="D42">
        <v>1</v>
      </c>
      <c r="E42">
        <v>1</v>
      </c>
      <c r="F42">
        <v>1</v>
      </c>
      <c r="G42">
        <v>1</v>
      </c>
      <c r="H42">
        <v>1</v>
      </c>
      <c r="I42">
        <v>1</v>
      </c>
      <c r="J42">
        <v>1</v>
      </c>
      <c r="K42">
        <v>1</v>
      </c>
      <c r="L42">
        <v>1</v>
      </c>
      <c r="M42">
        <v>1</v>
      </c>
      <c r="N42">
        <v>1</v>
      </c>
      <c r="O42">
        <v>1</v>
      </c>
      <c r="P42">
        <v>1</v>
      </c>
      <c r="Q42">
        <v>1</v>
      </c>
      <c r="R42">
        <v>1</v>
      </c>
      <c r="S42">
        <v>1</v>
      </c>
      <c r="T42">
        <v>1</v>
      </c>
      <c r="U42">
        <v>1</v>
      </c>
      <c r="V42">
        <v>1</v>
      </c>
      <c r="W42">
        <v>1</v>
      </c>
      <c r="X42">
        <v>1</v>
      </c>
      <c r="Y42">
        <v>1</v>
      </c>
      <c r="Z42">
        <v>1</v>
      </c>
      <c r="AA42">
        <v>1</v>
      </c>
    </row>
    <row r="43" spans="1:27" x14ac:dyDescent="0.45">
      <c r="A43" t="s">
        <v>100</v>
      </c>
      <c r="B43">
        <v>1</v>
      </c>
      <c r="C43">
        <v>1</v>
      </c>
      <c r="D43">
        <v>1</v>
      </c>
      <c r="E43">
        <v>1</v>
      </c>
      <c r="F43">
        <v>1</v>
      </c>
      <c r="G43">
        <v>1</v>
      </c>
      <c r="H43">
        <v>1</v>
      </c>
      <c r="I43">
        <v>1</v>
      </c>
      <c r="J43">
        <v>1</v>
      </c>
      <c r="K43">
        <v>1</v>
      </c>
      <c r="L43">
        <v>1</v>
      </c>
      <c r="M43">
        <v>1</v>
      </c>
      <c r="N43">
        <v>1</v>
      </c>
      <c r="O43">
        <v>1</v>
      </c>
      <c r="P43">
        <v>1</v>
      </c>
      <c r="Q43">
        <v>1</v>
      </c>
      <c r="R43">
        <v>1</v>
      </c>
      <c r="S43">
        <v>1</v>
      </c>
      <c r="T43">
        <v>1</v>
      </c>
      <c r="U43">
        <v>1</v>
      </c>
      <c r="V43">
        <v>1</v>
      </c>
      <c r="W43">
        <v>1</v>
      </c>
      <c r="X43">
        <v>1</v>
      </c>
      <c r="Y43">
        <v>1</v>
      </c>
      <c r="Z43">
        <v>1</v>
      </c>
      <c r="AA43">
        <v>1</v>
      </c>
    </row>
    <row r="44" spans="1:27" x14ac:dyDescent="0.45">
      <c r="A44" t="s">
        <v>102</v>
      </c>
      <c r="B44">
        <v>0.95361300000000004</v>
      </c>
      <c r="C44">
        <v>1</v>
      </c>
      <c r="D44">
        <v>1</v>
      </c>
      <c r="E44">
        <v>1</v>
      </c>
      <c r="F44">
        <v>1</v>
      </c>
      <c r="G44">
        <v>1</v>
      </c>
      <c r="H44">
        <v>1</v>
      </c>
      <c r="I44">
        <v>1</v>
      </c>
      <c r="J44">
        <v>1</v>
      </c>
      <c r="K44">
        <v>1</v>
      </c>
      <c r="L44">
        <v>1</v>
      </c>
      <c r="M44">
        <v>1</v>
      </c>
      <c r="N44">
        <v>1</v>
      </c>
      <c r="O44">
        <v>1</v>
      </c>
      <c r="P44">
        <v>1</v>
      </c>
      <c r="Q44">
        <v>1</v>
      </c>
      <c r="R44">
        <v>1</v>
      </c>
      <c r="S44">
        <v>1</v>
      </c>
      <c r="T44">
        <v>1</v>
      </c>
      <c r="U44">
        <v>1</v>
      </c>
      <c r="V44">
        <v>1</v>
      </c>
      <c r="W44">
        <v>1</v>
      </c>
      <c r="X44">
        <v>1</v>
      </c>
      <c r="Y44">
        <v>1</v>
      </c>
      <c r="Z44">
        <v>1</v>
      </c>
      <c r="AA44">
        <v>1</v>
      </c>
    </row>
    <row r="45" spans="1:27" x14ac:dyDescent="0.45">
      <c r="A45" t="s">
        <v>104</v>
      </c>
      <c r="B45">
        <v>1.04013</v>
      </c>
      <c r="C45">
        <v>1</v>
      </c>
      <c r="D45">
        <v>1</v>
      </c>
      <c r="E45">
        <v>1</v>
      </c>
      <c r="F45">
        <v>1</v>
      </c>
      <c r="G45">
        <v>1</v>
      </c>
      <c r="H45">
        <v>1</v>
      </c>
      <c r="I45">
        <v>1</v>
      </c>
      <c r="J45">
        <v>1</v>
      </c>
      <c r="K45">
        <v>1</v>
      </c>
      <c r="L45">
        <v>1</v>
      </c>
      <c r="M45">
        <v>1</v>
      </c>
      <c r="N45">
        <v>1</v>
      </c>
      <c r="O45">
        <v>1</v>
      </c>
      <c r="P45">
        <v>1</v>
      </c>
      <c r="Q45">
        <v>1</v>
      </c>
      <c r="R45">
        <v>1</v>
      </c>
      <c r="S45">
        <v>1</v>
      </c>
      <c r="T45">
        <v>1</v>
      </c>
      <c r="U45">
        <v>1</v>
      </c>
      <c r="V45">
        <v>1</v>
      </c>
      <c r="W45">
        <v>1</v>
      </c>
      <c r="X45">
        <v>1</v>
      </c>
      <c r="Y45">
        <v>1</v>
      </c>
      <c r="Z45">
        <v>1</v>
      </c>
      <c r="AA45">
        <v>1</v>
      </c>
    </row>
    <row r="46" spans="1:27" x14ac:dyDescent="0.45">
      <c r="A46" t="s">
        <v>106</v>
      </c>
      <c r="B46">
        <v>1</v>
      </c>
      <c r="C46">
        <v>1</v>
      </c>
      <c r="D46">
        <v>1</v>
      </c>
      <c r="E46">
        <v>1</v>
      </c>
      <c r="F46">
        <v>1</v>
      </c>
      <c r="G46">
        <v>1</v>
      </c>
      <c r="H46">
        <v>1</v>
      </c>
      <c r="I46">
        <v>1</v>
      </c>
      <c r="J46">
        <v>1</v>
      </c>
      <c r="K46">
        <v>1</v>
      </c>
      <c r="L46">
        <v>1</v>
      </c>
      <c r="M46">
        <v>1</v>
      </c>
      <c r="N46">
        <v>1</v>
      </c>
      <c r="O46">
        <v>1</v>
      </c>
      <c r="P46">
        <v>1</v>
      </c>
      <c r="Q46">
        <v>1</v>
      </c>
      <c r="R46">
        <v>1</v>
      </c>
      <c r="S46">
        <v>1</v>
      </c>
      <c r="T46">
        <v>1</v>
      </c>
      <c r="U46">
        <v>1</v>
      </c>
      <c r="V46">
        <v>1</v>
      </c>
      <c r="W46">
        <v>1</v>
      </c>
      <c r="X46">
        <v>1</v>
      </c>
      <c r="Y46">
        <v>1</v>
      </c>
      <c r="Z46">
        <v>1</v>
      </c>
      <c r="AA46">
        <v>1</v>
      </c>
    </row>
    <row r="47" spans="1:27" x14ac:dyDescent="0.45">
      <c r="A47" t="s">
        <v>108</v>
      </c>
      <c r="B47">
        <v>0.98719400000000002</v>
      </c>
      <c r="C47">
        <v>1</v>
      </c>
      <c r="D47">
        <v>1</v>
      </c>
      <c r="E47">
        <v>1</v>
      </c>
      <c r="F47">
        <v>1</v>
      </c>
      <c r="G47">
        <v>1</v>
      </c>
      <c r="H47">
        <v>1</v>
      </c>
      <c r="I47">
        <v>1</v>
      </c>
      <c r="J47">
        <v>1</v>
      </c>
      <c r="K47">
        <v>1</v>
      </c>
      <c r="L47">
        <v>1</v>
      </c>
      <c r="M47">
        <v>1</v>
      </c>
      <c r="N47">
        <v>1</v>
      </c>
      <c r="O47">
        <v>1</v>
      </c>
      <c r="P47">
        <v>1</v>
      </c>
      <c r="Q47">
        <v>1</v>
      </c>
      <c r="R47">
        <v>1</v>
      </c>
      <c r="S47">
        <v>1</v>
      </c>
      <c r="T47">
        <v>1</v>
      </c>
      <c r="U47">
        <v>1</v>
      </c>
      <c r="V47">
        <v>1</v>
      </c>
      <c r="W47">
        <v>1</v>
      </c>
      <c r="X47">
        <v>1</v>
      </c>
      <c r="Y47">
        <v>1</v>
      </c>
      <c r="Z47">
        <v>1</v>
      </c>
      <c r="AA47">
        <v>1</v>
      </c>
    </row>
    <row r="48" spans="1:27" x14ac:dyDescent="0.45">
      <c r="A48" t="s">
        <v>110</v>
      </c>
      <c r="B48">
        <v>1</v>
      </c>
      <c r="C48">
        <v>1</v>
      </c>
      <c r="D48">
        <v>1</v>
      </c>
      <c r="E48">
        <v>1</v>
      </c>
      <c r="F48">
        <v>1</v>
      </c>
      <c r="G48">
        <v>1</v>
      </c>
      <c r="H48">
        <v>1</v>
      </c>
      <c r="I48">
        <v>1</v>
      </c>
      <c r="J48">
        <v>1</v>
      </c>
      <c r="K48">
        <v>1</v>
      </c>
      <c r="L48">
        <v>1</v>
      </c>
      <c r="M48">
        <v>1</v>
      </c>
      <c r="N48">
        <v>1</v>
      </c>
      <c r="O48">
        <v>1</v>
      </c>
      <c r="P48">
        <v>1</v>
      </c>
      <c r="Q48">
        <v>1</v>
      </c>
      <c r="R48">
        <v>1</v>
      </c>
      <c r="S48">
        <v>1</v>
      </c>
      <c r="T48">
        <v>1</v>
      </c>
      <c r="U48">
        <v>1</v>
      </c>
      <c r="V48">
        <v>1</v>
      </c>
      <c r="W48">
        <v>1</v>
      </c>
      <c r="X48">
        <v>1</v>
      </c>
      <c r="Y48">
        <v>1</v>
      </c>
      <c r="Z48">
        <v>1</v>
      </c>
      <c r="AA48">
        <v>1</v>
      </c>
    </row>
    <row r="49" spans="1:27" x14ac:dyDescent="0.45">
      <c r="A49" t="s">
        <v>112</v>
      </c>
      <c r="B49">
        <v>0.87473000000000001</v>
      </c>
      <c r="C49">
        <v>1</v>
      </c>
      <c r="D49">
        <v>1</v>
      </c>
      <c r="E49">
        <v>1</v>
      </c>
      <c r="F49">
        <v>1</v>
      </c>
      <c r="G49">
        <v>1</v>
      </c>
      <c r="H49">
        <v>1</v>
      </c>
      <c r="I49">
        <v>1</v>
      </c>
      <c r="J49">
        <v>1</v>
      </c>
      <c r="K49">
        <v>1</v>
      </c>
      <c r="L49">
        <v>1</v>
      </c>
      <c r="M49">
        <v>1</v>
      </c>
      <c r="N49">
        <v>1</v>
      </c>
      <c r="O49">
        <v>1</v>
      </c>
      <c r="P49">
        <v>1</v>
      </c>
      <c r="Q49">
        <v>1</v>
      </c>
      <c r="R49">
        <v>1</v>
      </c>
      <c r="S49">
        <v>1</v>
      </c>
      <c r="T49">
        <v>1</v>
      </c>
      <c r="U49">
        <v>1</v>
      </c>
      <c r="V49">
        <v>1</v>
      </c>
      <c r="W49">
        <v>1</v>
      </c>
      <c r="X49">
        <v>1</v>
      </c>
      <c r="Y49">
        <v>1</v>
      </c>
      <c r="Z49">
        <v>1</v>
      </c>
      <c r="AA49">
        <v>1</v>
      </c>
    </row>
    <row r="50" spans="1:27" x14ac:dyDescent="0.45">
      <c r="A50" t="s">
        <v>114</v>
      </c>
      <c r="B50">
        <v>0.99962499999999999</v>
      </c>
      <c r="C50">
        <v>1</v>
      </c>
      <c r="D50">
        <v>1</v>
      </c>
      <c r="E50">
        <v>1</v>
      </c>
      <c r="F50">
        <v>1</v>
      </c>
      <c r="G50">
        <v>1</v>
      </c>
      <c r="H50">
        <v>1</v>
      </c>
      <c r="I50">
        <v>1</v>
      </c>
      <c r="J50">
        <v>1</v>
      </c>
      <c r="K50">
        <v>1</v>
      </c>
      <c r="L50">
        <v>1</v>
      </c>
      <c r="M50">
        <v>1</v>
      </c>
      <c r="N50">
        <v>1</v>
      </c>
      <c r="O50">
        <v>1</v>
      </c>
      <c r="P50">
        <v>1</v>
      </c>
      <c r="Q50">
        <v>1</v>
      </c>
      <c r="R50">
        <v>1</v>
      </c>
      <c r="S50">
        <v>1</v>
      </c>
      <c r="T50">
        <v>1</v>
      </c>
      <c r="U50">
        <v>1</v>
      </c>
      <c r="V50">
        <v>1</v>
      </c>
      <c r="W50">
        <v>1</v>
      </c>
      <c r="X50">
        <v>1</v>
      </c>
      <c r="Y50">
        <v>1</v>
      </c>
      <c r="Z50">
        <v>1</v>
      </c>
      <c r="AA50">
        <v>1</v>
      </c>
    </row>
    <row r="51" spans="1:27" x14ac:dyDescent="0.45">
      <c r="A51" t="s">
        <v>116</v>
      </c>
      <c r="B51">
        <v>1</v>
      </c>
      <c r="C51">
        <v>1</v>
      </c>
      <c r="D51">
        <v>1</v>
      </c>
      <c r="E51">
        <v>1</v>
      </c>
      <c r="F51">
        <v>1</v>
      </c>
      <c r="G51">
        <v>1</v>
      </c>
      <c r="H51">
        <v>1</v>
      </c>
      <c r="I51">
        <v>1</v>
      </c>
      <c r="J51">
        <v>1</v>
      </c>
      <c r="K51">
        <v>1</v>
      </c>
      <c r="L51">
        <v>1</v>
      </c>
      <c r="M51">
        <v>1</v>
      </c>
      <c r="N51">
        <v>1</v>
      </c>
      <c r="O51">
        <v>1</v>
      </c>
      <c r="P51">
        <v>1</v>
      </c>
      <c r="Q51">
        <v>1</v>
      </c>
      <c r="R51">
        <v>1</v>
      </c>
      <c r="S51">
        <v>1</v>
      </c>
      <c r="T51">
        <v>1</v>
      </c>
      <c r="U51">
        <v>1</v>
      </c>
      <c r="V51">
        <v>1</v>
      </c>
      <c r="W51">
        <v>1</v>
      </c>
      <c r="X51">
        <v>1</v>
      </c>
      <c r="Y51">
        <v>1</v>
      </c>
      <c r="Z51">
        <v>1</v>
      </c>
      <c r="AA51">
        <v>1</v>
      </c>
    </row>
    <row r="52" spans="1:27" x14ac:dyDescent="0.45">
      <c r="A52" t="s">
        <v>118</v>
      </c>
      <c r="B52">
        <v>1</v>
      </c>
      <c r="C52">
        <v>1</v>
      </c>
      <c r="D52">
        <v>1</v>
      </c>
      <c r="E52">
        <v>1</v>
      </c>
      <c r="F52">
        <v>1</v>
      </c>
      <c r="G52">
        <v>1</v>
      </c>
      <c r="H52">
        <v>1</v>
      </c>
      <c r="I52">
        <v>1</v>
      </c>
      <c r="J52">
        <v>1</v>
      </c>
      <c r="K52">
        <v>1</v>
      </c>
      <c r="L52">
        <v>1</v>
      </c>
      <c r="M52">
        <v>1</v>
      </c>
      <c r="N52">
        <v>1</v>
      </c>
      <c r="O52">
        <v>1</v>
      </c>
      <c r="P52">
        <v>1</v>
      </c>
      <c r="Q52">
        <v>1</v>
      </c>
      <c r="R52">
        <v>1</v>
      </c>
      <c r="S52">
        <v>1</v>
      </c>
      <c r="T52">
        <v>1</v>
      </c>
      <c r="U52">
        <v>1</v>
      </c>
      <c r="V52">
        <v>1</v>
      </c>
      <c r="W52">
        <v>1</v>
      </c>
      <c r="X52">
        <v>1</v>
      </c>
      <c r="Y52">
        <v>1</v>
      </c>
      <c r="Z52">
        <v>1</v>
      </c>
      <c r="AA52">
        <v>1</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D52"/>
  <sheetViews>
    <sheetView workbookViewId="0"/>
  </sheetViews>
  <sheetFormatPr defaultRowHeight="14.25" x14ac:dyDescent="0.45"/>
  <sheetData>
    <row r="1" spans="1:30" x14ac:dyDescent="0.45">
      <c r="A1" s="8" t="s">
        <v>175</v>
      </c>
      <c r="B1" s="9"/>
      <c r="C1" s="9"/>
      <c r="D1" s="9"/>
      <c r="E1" s="9"/>
      <c r="F1" s="9"/>
      <c r="G1" s="9"/>
      <c r="H1" s="9"/>
      <c r="I1" s="9"/>
      <c r="J1" s="9"/>
      <c r="K1" s="9"/>
      <c r="L1" s="9"/>
      <c r="M1" s="9"/>
      <c r="N1" s="9"/>
      <c r="O1" s="9"/>
      <c r="P1" s="9"/>
      <c r="Q1" s="9"/>
      <c r="R1" s="9"/>
      <c r="S1" s="9"/>
      <c r="T1" s="9"/>
      <c r="U1" s="9"/>
      <c r="V1" s="9"/>
      <c r="W1" s="9"/>
      <c r="X1" s="9"/>
      <c r="Y1" s="9"/>
      <c r="Z1" s="9"/>
      <c r="AA1" s="9"/>
      <c r="AB1" s="9"/>
      <c r="AC1" s="9"/>
      <c r="AD1" s="9"/>
    </row>
    <row r="2" spans="1:30" ht="384.75" x14ac:dyDescent="0.45">
      <c r="A2" s="10" t="s">
        <v>176</v>
      </c>
    </row>
    <row r="3" spans="1:30" x14ac:dyDescent="0.45">
      <c r="A3" s="3" t="s">
        <v>177</v>
      </c>
    </row>
    <row r="4" spans="1:30" ht="60" customHeight="1" x14ac:dyDescent="0.45">
      <c r="A4" s="7" t="s">
        <v>147</v>
      </c>
      <c r="B4" s="1" t="s">
        <v>149</v>
      </c>
      <c r="C4" s="1" t="s">
        <v>150</v>
      </c>
      <c r="D4" s="1" t="s">
        <v>151</v>
      </c>
      <c r="E4" s="1" t="s">
        <v>152</v>
      </c>
      <c r="F4" s="1" t="s">
        <v>153</v>
      </c>
      <c r="G4" s="1" t="s">
        <v>154</v>
      </c>
      <c r="H4" s="1" t="s">
        <v>155</v>
      </c>
      <c r="I4" s="1" t="s">
        <v>156</v>
      </c>
      <c r="J4" s="1" t="s">
        <v>157</v>
      </c>
      <c r="K4" s="1" t="s">
        <v>158</v>
      </c>
      <c r="L4" s="1" t="s">
        <v>159</v>
      </c>
      <c r="M4" s="1" t="s">
        <v>160</v>
      </c>
      <c r="N4" s="1" t="s">
        <v>161</v>
      </c>
      <c r="O4" s="1" t="s">
        <v>162</v>
      </c>
      <c r="P4" s="1" t="s">
        <v>163</v>
      </c>
      <c r="Q4" s="1" t="s">
        <v>164</v>
      </c>
      <c r="R4" s="1" t="s">
        <v>165</v>
      </c>
      <c r="S4" s="1" t="s">
        <v>166</v>
      </c>
      <c r="T4" s="1" t="s">
        <v>167</v>
      </c>
      <c r="U4" s="1" t="s">
        <v>168</v>
      </c>
      <c r="V4" s="1" t="s">
        <v>169</v>
      </c>
      <c r="W4" s="1" t="s">
        <v>170</v>
      </c>
      <c r="X4" s="1" t="s">
        <v>171</v>
      </c>
      <c r="Y4" s="1" t="s">
        <v>172</v>
      </c>
      <c r="Z4" s="1" t="s">
        <v>173</v>
      </c>
      <c r="AA4" s="1" t="s">
        <v>174</v>
      </c>
      <c r="AC4" s="7" t="s">
        <v>178</v>
      </c>
      <c r="AD4" s="7" t="s">
        <v>179</v>
      </c>
    </row>
    <row r="5" spans="1:30" x14ac:dyDescent="0.45">
      <c r="A5" t="s">
        <v>2</v>
      </c>
      <c r="B5">
        <v>0.78856899999999996</v>
      </c>
      <c r="C5">
        <v>0.78856899999999996</v>
      </c>
      <c r="D5">
        <v>0.78856899999999996</v>
      </c>
      <c r="E5">
        <v>0.78856899999999996</v>
      </c>
      <c r="F5">
        <v>0.78856899999999996</v>
      </c>
      <c r="G5">
        <v>0.78856899999999996</v>
      </c>
      <c r="H5">
        <v>0.78856899999999996</v>
      </c>
      <c r="I5">
        <v>0.78856899999999996</v>
      </c>
      <c r="J5">
        <v>0.78856899999999996</v>
      </c>
      <c r="K5">
        <v>0.78856899999999996</v>
      </c>
      <c r="L5">
        <v>0.78856899999999996</v>
      </c>
      <c r="M5">
        <v>0.78856899999999996</v>
      </c>
      <c r="N5">
        <v>0.78856899999999996</v>
      </c>
      <c r="O5">
        <v>0.78856899999999996</v>
      </c>
      <c r="P5">
        <v>0.78856899999999996</v>
      </c>
      <c r="Q5">
        <v>0.78856899999999996</v>
      </c>
      <c r="R5">
        <v>0.78856899999999996</v>
      </c>
      <c r="S5">
        <v>0.78856899999999996</v>
      </c>
      <c r="T5">
        <v>0.78856899999999996</v>
      </c>
      <c r="U5">
        <v>0.78856899999999996</v>
      </c>
      <c r="V5">
        <v>0.78856899999999996</v>
      </c>
      <c r="W5">
        <v>0.78856899999999996</v>
      </c>
      <c r="X5">
        <v>0.78856899999999996</v>
      </c>
      <c r="Y5">
        <v>0.78856899999999996</v>
      </c>
      <c r="Z5">
        <v>0.78856899999999996</v>
      </c>
      <c r="AA5">
        <v>0.78856899999999996</v>
      </c>
      <c r="AC5">
        <f t="shared" ref="AC5:AC52" si="0">$B5</f>
        <v>0.78856899999999996</v>
      </c>
      <c r="AD5">
        <f>IF(MAX(B5:AA5)-MIN(B5:AA5)&gt;Keys!$C$7,1,0)</f>
        <v>0</v>
      </c>
    </row>
    <row r="6" spans="1:30" x14ac:dyDescent="0.45">
      <c r="A6" t="s">
        <v>5</v>
      </c>
      <c r="B6">
        <v>0.70997100000000002</v>
      </c>
      <c r="C6">
        <v>0.70997100000000002</v>
      </c>
      <c r="D6">
        <v>0.70997100000000002</v>
      </c>
      <c r="E6">
        <v>0.70997100000000002</v>
      </c>
      <c r="F6">
        <v>0.70997100000000002</v>
      </c>
      <c r="G6">
        <v>0.70997100000000002</v>
      </c>
      <c r="H6">
        <v>0.70997100000000002</v>
      </c>
      <c r="I6">
        <v>0.70997100000000002</v>
      </c>
      <c r="J6">
        <v>0.70997100000000002</v>
      </c>
      <c r="K6">
        <v>0.70997100000000002</v>
      </c>
      <c r="L6">
        <v>0.70997100000000002</v>
      </c>
      <c r="M6">
        <v>0.70997100000000002</v>
      </c>
      <c r="N6">
        <v>0.70997100000000002</v>
      </c>
      <c r="O6">
        <v>0.70997100000000002</v>
      </c>
      <c r="P6">
        <v>0.70997100000000002</v>
      </c>
      <c r="Q6">
        <v>0.70997100000000002</v>
      </c>
      <c r="R6">
        <v>0.70997100000000002</v>
      </c>
      <c r="S6">
        <v>0.70997100000000002</v>
      </c>
      <c r="T6">
        <v>0.70997100000000002</v>
      </c>
      <c r="U6">
        <v>0.70997100000000002</v>
      </c>
      <c r="V6">
        <v>0.70997100000000002</v>
      </c>
      <c r="W6">
        <v>0.70997100000000002</v>
      </c>
      <c r="X6">
        <v>0.70997100000000002</v>
      </c>
      <c r="Y6">
        <v>0.70997100000000002</v>
      </c>
      <c r="Z6">
        <v>0.70997100000000002</v>
      </c>
      <c r="AA6">
        <v>0.70997100000000002</v>
      </c>
      <c r="AC6">
        <f t="shared" si="0"/>
        <v>0.70997100000000002</v>
      </c>
      <c r="AD6">
        <f>IF(MAX(B6:AA6)-MIN(B6:AA6)&gt;Keys!$C$7,1,0)</f>
        <v>0</v>
      </c>
    </row>
    <row r="7" spans="1:30" x14ac:dyDescent="0.45">
      <c r="A7" t="s">
        <v>9</v>
      </c>
      <c r="B7">
        <v>0.86868000000000001</v>
      </c>
      <c r="C7">
        <v>0.86868000000000001</v>
      </c>
      <c r="D7">
        <v>0.86868000000000001</v>
      </c>
      <c r="E7">
        <v>0.86868000000000001</v>
      </c>
      <c r="F7">
        <v>0.86868000000000001</v>
      </c>
      <c r="G7">
        <v>0.86868000000000001</v>
      </c>
      <c r="H7">
        <v>0.86868000000000001</v>
      </c>
      <c r="I7">
        <v>0.86868000000000001</v>
      </c>
      <c r="J7">
        <v>0.86868000000000001</v>
      </c>
      <c r="K7">
        <v>0.86868000000000001</v>
      </c>
      <c r="L7">
        <v>0.86868000000000001</v>
      </c>
      <c r="M7">
        <v>0.86868000000000001</v>
      </c>
      <c r="N7">
        <v>0.86868000000000001</v>
      </c>
      <c r="O7">
        <v>0.86868000000000001</v>
      </c>
      <c r="P7">
        <v>0.86868000000000001</v>
      </c>
      <c r="Q7">
        <v>0.86868000000000001</v>
      </c>
      <c r="R7">
        <v>0.86868000000000001</v>
      </c>
      <c r="S7">
        <v>0.86868000000000001</v>
      </c>
      <c r="T7">
        <v>0.86868000000000001</v>
      </c>
      <c r="U7">
        <v>0.86868000000000001</v>
      </c>
      <c r="V7">
        <v>0.86868000000000001</v>
      </c>
      <c r="W7">
        <v>0.86868000000000001</v>
      </c>
      <c r="X7">
        <v>0.86868000000000001</v>
      </c>
      <c r="Y7">
        <v>0.86868000000000001</v>
      </c>
      <c r="Z7">
        <v>0.86868000000000001</v>
      </c>
      <c r="AA7">
        <v>0.86868000000000001</v>
      </c>
      <c r="AC7">
        <f t="shared" si="0"/>
        <v>0.86868000000000001</v>
      </c>
      <c r="AD7">
        <f>IF(MAX(B7:AA7)-MIN(B7:AA7)&gt;Keys!$C$7,1,0)</f>
        <v>0</v>
      </c>
    </row>
    <row r="8" spans="1:30" x14ac:dyDescent="0.45">
      <c r="A8" t="s">
        <v>12</v>
      </c>
      <c r="B8">
        <v>0.77985400000000005</v>
      </c>
      <c r="C8">
        <v>0.77985400000000005</v>
      </c>
      <c r="D8">
        <v>0.77985400000000005</v>
      </c>
      <c r="E8">
        <v>0.77985400000000005</v>
      </c>
      <c r="F8">
        <v>0.77985400000000005</v>
      </c>
      <c r="G8">
        <v>0.77985400000000005</v>
      </c>
      <c r="H8">
        <v>0.77985400000000005</v>
      </c>
      <c r="I8">
        <v>0.77985400000000005</v>
      </c>
      <c r="J8">
        <v>0.77985400000000005</v>
      </c>
      <c r="K8">
        <v>0.77985400000000005</v>
      </c>
      <c r="L8">
        <v>0.77985400000000005</v>
      </c>
      <c r="M8">
        <v>0.77985400000000005</v>
      </c>
      <c r="N8">
        <v>0.77985400000000005</v>
      </c>
      <c r="O8">
        <v>0.77985400000000005</v>
      </c>
      <c r="P8">
        <v>0.77985400000000005</v>
      </c>
      <c r="Q8">
        <v>0.77985400000000005</v>
      </c>
      <c r="R8">
        <v>0.77985400000000005</v>
      </c>
      <c r="S8">
        <v>0.77985400000000005</v>
      </c>
      <c r="T8">
        <v>0.77985400000000005</v>
      </c>
      <c r="U8">
        <v>0.77985400000000005</v>
      </c>
      <c r="V8">
        <v>0.77985400000000005</v>
      </c>
      <c r="W8">
        <v>0.77985400000000005</v>
      </c>
      <c r="X8">
        <v>0.77985400000000005</v>
      </c>
      <c r="Y8">
        <v>0.77985400000000005</v>
      </c>
      <c r="Z8">
        <v>0.77985400000000005</v>
      </c>
      <c r="AA8">
        <v>0.77985400000000005</v>
      </c>
      <c r="AC8">
        <f t="shared" si="0"/>
        <v>0.77985400000000005</v>
      </c>
      <c r="AD8">
        <f>IF(MAX(B8:AA8)-MIN(B8:AA8)&gt;Keys!$C$7,1,0)</f>
        <v>0</v>
      </c>
    </row>
    <row r="9" spans="1:30" x14ac:dyDescent="0.45">
      <c r="A9" t="s">
        <v>15</v>
      </c>
      <c r="B9">
        <v>0.91566599999999998</v>
      </c>
      <c r="C9">
        <v>0.91566599999999998</v>
      </c>
      <c r="D9">
        <v>0.91566599999999998</v>
      </c>
      <c r="E9">
        <v>0.91566599999999998</v>
      </c>
      <c r="F9">
        <v>0.91566599999999998</v>
      </c>
      <c r="G9">
        <v>0.91566599999999998</v>
      </c>
      <c r="H9">
        <v>0.91566599999999998</v>
      </c>
      <c r="I9">
        <v>0.91566599999999998</v>
      </c>
      <c r="J9">
        <v>0.91566599999999998</v>
      </c>
      <c r="K9">
        <v>0.91566599999999998</v>
      </c>
      <c r="L9">
        <v>0.91566599999999998</v>
      </c>
      <c r="M9">
        <v>0.91566599999999998</v>
      </c>
      <c r="N9">
        <v>0.91566599999999998</v>
      </c>
      <c r="O9">
        <v>0.91566599999999998</v>
      </c>
      <c r="P9">
        <v>0.91566599999999998</v>
      </c>
      <c r="Q9">
        <v>0.91566599999999998</v>
      </c>
      <c r="R9">
        <v>0.91566599999999998</v>
      </c>
      <c r="S9">
        <v>0.91566599999999998</v>
      </c>
      <c r="T9">
        <v>0.91566599999999998</v>
      </c>
      <c r="U9">
        <v>0.91566599999999998</v>
      </c>
      <c r="V9">
        <v>0.91566599999999998</v>
      </c>
      <c r="W9">
        <v>0.91566599999999998</v>
      </c>
      <c r="X9">
        <v>0.91566599999999998</v>
      </c>
      <c r="Y9">
        <v>0.91566599999999998</v>
      </c>
      <c r="Z9">
        <v>0.91566599999999998</v>
      </c>
      <c r="AA9">
        <v>0.91566599999999998</v>
      </c>
      <c r="AC9">
        <f t="shared" si="0"/>
        <v>0.91566599999999998</v>
      </c>
      <c r="AD9">
        <f>IF(MAX(B9:AA9)-MIN(B9:AA9)&gt;Keys!$C$7,1,0)</f>
        <v>0</v>
      </c>
    </row>
    <row r="10" spans="1:30" x14ac:dyDescent="0.45">
      <c r="A10" t="s">
        <v>17</v>
      </c>
      <c r="B10">
        <v>0.75283</v>
      </c>
      <c r="C10">
        <v>0.75283</v>
      </c>
      <c r="D10">
        <v>0.75283</v>
      </c>
      <c r="E10">
        <v>0.75283</v>
      </c>
      <c r="F10">
        <v>0.75283</v>
      </c>
      <c r="G10">
        <v>0.75283</v>
      </c>
      <c r="H10">
        <v>0.75283</v>
      </c>
      <c r="I10">
        <v>0.75283</v>
      </c>
      <c r="J10">
        <v>0.75283</v>
      </c>
      <c r="K10">
        <v>0.75283</v>
      </c>
      <c r="L10">
        <v>0.75283</v>
      </c>
      <c r="M10">
        <v>0.75283</v>
      </c>
      <c r="N10">
        <v>0.75283</v>
      </c>
      <c r="O10">
        <v>0.75283</v>
      </c>
      <c r="P10">
        <v>0.75283</v>
      </c>
      <c r="Q10">
        <v>0.75283</v>
      </c>
      <c r="R10">
        <v>0.75283</v>
      </c>
      <c r="S10">
        <v>0.75283</v>
      </c>
      <c r="T10">
        <v>0.75283</v>
      </c>
      <c r="U10">
        <v>0.75283</v>
      </c>
      <c r="V10">
        <v>0.75283</v>
      </c>
      <c r="W10">
        <v>0.75283</v>
      </c>
      <c r="X10">
        <v>0.75283</v>
      </c>
      <c r="Y10">
        <v>0.75283</v>
      </c>
      <c r="Z10">
        <v>0.75283</v>
      </c>
      <c r="AA10">
        <v>0.75283</v>
      </c>
      <c r="AC10">
        <f t="shared" si="0"/>
        <v>0.75283</v>
      </c>
      <c r="AD10">
        <f>IF(MAX(B10:AA10)-MIN(B10:AA10)&gt;Keys!$C$7,1,0)</f>
        <v>0</v>
      </c>
    </row>
    <row r="11" spans="1:30" x14ac:dyDescent="0.45">
      <c r="A11" t="s">
        <v>20</v>
      </c>
      <c r="B11">
        <v>0.73608399999999996</v>
      </c>
      <c r="C11">
        <v>0.73608399999999996</v>
      </c>
      <c r="D11">
        <v>0.73608399999999996</v>
      </c>
      <c r="E11">
        <v>0.73608399999999996</v>
      </c>
      <c r="F11">
        <v>0.73608399999999996</v>
      </c>
      <c r="G11">
        <v>0.73608399999999996</v>
      </c>
      <c r="H11">
        <v>0.73608399999999996</v>
      </c>
      <c r="I11">
        <v>0.73608399999999996</v>
      </c>
      <c r="J11">
        <v>0.73608399999999996</v>
      </c>
      <c r="K11">
        <v>0.73608399999999996</v>
      </c>
      <c r="L11">
        <v>0.73608399999999996</v>
      </c>
      <c r="M11">
        <v>0.73608399999999996</v>
      </c>
      <c r="N11">
        <v>0.73608399999999996</v>
      </c>
      <c r="O11">
        <v>0.73608399999999996</v>
      </c>
      <c r="P11">
        <v>0.73608399999999996</v>
      </c>
      <c r="Q11">
        <v>0.73608399999999996</v>
      </c>
      <c r="R11">
        <v>0.73608399999999996</v>
      </c>
      <c r="S11">
        <v>0.73608399999999996</v>
      </c>
      <c r="T11">
        <v>0.73608399999999996</v>
      </c>
      <c r="U11">
        <v>0.73608399999999996</v>
      </c>
      <c r="V11">
        <v>0.73608399999999996</v>
      </c>
      <c r="W11">
        <v>0.73608399999999996</v>
      </c>
      <c r="X11">
        <v>0.73608399999999996</v>
      </c>
      <c r="Y11">
        <v>0.73608399999999996</v>
      </c>
      <c r="Z11">
        <v>0.73608399999999996</v>
      </c>
      <c r="AA11">
        <v>0.73608399999999996</v>
      </c>
      <c r="AC11">
        <f t="shared" si="0"/>
        <v>0.73608399999999996</v>
      </c>
      <c r="AD11">
        <f>IF(MAX(B11:AA11)-MIN(B11:AA11)&gt;Keys!$C$7,1,0)</f>
        <v>0</v>
      </c>
    </row>
    <row r="12" spans="1:30" x14ac:dyDescent="0.45">
      <c r="A12" t="s">
        <v>23</v>
      </c>
      <c r="B12">
        <v>1</v>
      </c>
      <c r="C12">
        <v>1</v>
      </c>
      <c r="D12">
        <v>1</v>
      </c>
      <c r="E12">
        <v>1</v>
      </c>
      <c r="F12">
        <v>1</v>
      </c>
      <c r="G12">
        <v>1</v>
      </c>
      <c r="H12">
        <v>1</v>
      </c>
      <c r="I12">
        <v>1</v>
      </c>
      <c r="J12">
        <v>1</v>
      </c>
      <c r="K12">
        <v>1</v>
      </c>
      <c r="L12">
        <v>1</v>
      </c>
      <c r="M12">
        <v>1</v>
      </c>
      <c r="N12">
        <v>1</v>
      </c>
      <c r="O12">
        <v>1</v>
      </c>
      <c r="P12">
        <v>1</v>
      </c>
      <c r="Q12">
        <v>1</v>
      </c>
      <c r="R12">
        <v>1</v>
      </c>
      <c r="S12">
        <v>1</v>
      </c>
      <c r="T12">
        <v>1</v>
      </c>
      <c r="U12">
        <v>1</v>
      </c>
      <c r="V12">
        <v>1</v>
      </c>
      <c r="W12">
        <v>1</v>
      </c>
      <c r="X12">
        <v>1</v>
      </c>
      <c r="Y12">
        <v>1</v>
      </c>
      <c r="Z12">
        <v>1</v>
      </c>
      <c r="AA12">
        <v>1</v>
      </c>
      <c r="AC12">
        <f t="shared" si="0"/>
        <v>1</v>
      </c>
      <c r="AD12">
        <f>IF(MAX(B12:AA12)-MIN(B12:AA12)&gt;Keys!$C$7,1,0)</f>
        <v>0</v>
      </c>
    </row>
    <row r="13" spans="1:30" x14ac:dyDescent="0.45">
      <c r="A13" t="s">
        <v>25</v>
      </c>
      <c r="B13">
        <v>0.81289800000000001</v>
      </c>
      <c r="C13">
        <v>0.81289800000000001</v>
      </c>
      <c r="D13">
        <v>0.81289800000000001</v>
      </c>
      <c r="E13">
        <v>0.81289800000000001</v>
      </c>
      <c r="F13">
        <v>0.81289800000000001</v>
      </c>
      <c r="G13">
        <v>0.81289800000000001</v>
      </c>
      <c r="H13">
        <v>0.81289800000000001</v>
      </c>
      <c r="I13">
        <v>0.81289800000000001</v>
      </c>
      <c r="J13">
        <v>0.81289800000000001</v>
      </c>
      <c r="K13">
        <v>0.81289800000000001</v>
      </c>
      <c r="L13">
        <v>0.81289800000000001</v>
      </c>
      <c r="M13">
        <v>0.81289800000000001</v>
      </c>
      <c r="N13">
        <v>0.81289800000000001</v>
      </c>
      <c r="O13">
        <v>0.81289800000000001</v>
      </c>
      <c r="P13">
        <v>0.81289800000000001</v>
      </c>
      <c r="Q13">
        <v>0.81289800000000001</v>
      </c>
      <c r="R13">
        <v>0.81289800000000001</v>
      </c>
      <c r="S13">
        <v>0.81289800000000001</v>
      </c>
      <c r="T13">
        <v>0.81289800000000001</v>
      </c>
      <c r="U13">
        <v>0.81289800000000001</v>
      </c>
      <c r="V13">
        <v>0.81289800000000001</v>
      </c>
      <c r="W13">
        <v>0.81289800000000001</v>
      </c>
      <c r="X13">
        <v>0.81289800000000001</v>
      </c>
      <c r="Y13">
        <v>0.81289800000000001</v>
      </c>
      <c r="Z13">
        <v>0.81289800000000001</v>
      </c>
      <c r="AA13">
        <v>0.81289800000000001</v>
      </c>
      <c r="AC13">
        <f t="shared" si="0"/>
        <v>0.81289800000000001</v>
      </c>
      <c r="AD13">
        <f>IF(MAX(B13:AA13)-MIN(B13:AA13)&gt;Keys!$C$7,1,0)</f>
        <v>0</v>
      </c>
    </row>
    <row r="14" spans="1:30" x14ac:dyDescent="0.45">
      <c r="A14" t="s">
        <v>28</v>
      </c>
      <c r="B14">
        <v>0.86579700000000004</v>
      </c>
      <c r="C14">
        <v>0.86579700000000004</v>
      </c>
      <c r="D14">
        <v>0.86579700000000004</v>
      </c>
      <c r="E14">
        <v>0.86579700000000004</v>
      </c>
      <c r="F14">
        <v>0.86579700000000004</v>
      </c>
      <c r="G14">
        <v>0.86579700000000004</v>
      </c>
      <c r="H14">
        <v>0.86579700000000004</v>
      </c>
      <c r="I14">
        <v>0.86579700000000004</v>
      </c>
      <c r="J14">
        <v>0.86579700000000004</v>
      </c>
      <c r="K14">
        <v>0.86579700000000004</v>
      </c>
      <c r="L14">
        <v>0.86579700000000004</v>
      </c>
      <c r="M14">
        <v>0.86579700000000004</v>
      </c>
      <c r="N14">
        <v>0.86579700000000004</v>
      </c>
      <c r="O14">
        <v>0.86579700000000004</v>
      </c>
      <c r="P14">
        <v>0.86579700000000004</v>
      </c>
      <c r="Q14">
        <v>0.86579700000000004</v>
      </c>
      <c r="R14">
        <v>0.86579700000000004</v>
      </c>
      <c r="S14">
        <v>0.86579700000000004</v>
      </c>
      <c r="T14">
        <v>0.86579700000000004</v>
      </c>
      <c r="U14">
        <v>0.86579700000000004</v>
      </c>
      <c r="V14">
        <v>0.86579700000000004</v>
      </c>
      <c r="W14">
        <v>0.86579700000000004</v>
      </c>
      <c r="X14">
        <v>0.86579700000000004</v>
      </c>
      <c r="Y14">
        <v>0.86579700000000004</v>
      </c>
      <c r="Z14">
        <v>0.86579700000000004</v>
      </c>
      <c r="AA14">
        <v>0.86579700000000004</v>
      </c>
      <c r="AC14">
        <f t="shared" si="0"/>
        <v>0.86579700000000004</v>
      </c>
      <c r="AD14">
        <f>IF(MAX(B14:AA14)-MIN(B14:AA14)&gt;Keys!$C$7,1,0)</f>
        <v>0</v>
      </c>
    </row>
    <row r="15" spans="1:30" x14ac:dyDescent="0.45">
      <c r="A15" t="s">
        <v>31</v>
      </c>
      <c r="B15">
        <v>0.83618999999999999</v>
      </c>
      <c r="C15">
        <v>0.83618999999999999</v>
      </c>
      <c r="D15">
        <v>0.83618999999999999</v>
      </c>
      <c r="E15">
        <v>0.83618999999999999</v>
      </c>
      <c r="F15">
        <v>0.83618999999999999</v>
      </c>
      <c r="G15">
        <v>0.83618999999999999</v>
      </c>
      <c r="H15">
        <v>0.83618999999999999</v>
      </c>
      <c r="I15">
        <v>0.83618999999999999</v>
      </c>
      <c r="J15">
        <v>0.83618999999999999</v>
      </c>
      <c r="K15">
        <v>0.83618999999999999</v>
      </c>
      <c r="L15">
        <v>0.83618999999999999</v>
      </c>
      <c r="M15">
        <v>0.83618999999999999</v>
      </c>
      <c r="N15">
        <v>0.83618999999999999</v>
      </c>
      <c r="O15">
        <v>0.83618999999999999</v>
      </c>
      <c r="P15">
        <v>0.83618999999999999</v>
      </c>
      <c r="Q15">
        <v>0.83618999999999999</v>
      </c>
      <c r="R15">
        <v>0.83618999999999999</v>
      </c>
      <c r="S15">
        <v>0.83618999999999999</v>
      </c>
      <c r="T15">
        <v>0.83618999999999999</v>
      </c>
      <c r="U15">
        <v>0.83618999999999999</v>
      </c>
      <c r="V15">
        <v>0.83618999999999999</v>
      </c>
      <c r="W15">
        <v>0.83618999999999999</v>
      </c>
      <c r="X15">
        <v>0.83618999999999999</v>
      </c>
      <c r="Y15">
        <v>0.83618999999999999</v>
      </c>
      <c r="Z15">
        <v>0.83618999999999999</v>
      </c>
      <c r="AA15">
        <v>0.83618999999999999</v>
      </c>
      <c r="AC15">
        <f t="shared" si="0"/>
        <v>0.83618999999999999</v>
      </c>
      <c r="AD15">
        <f>IF(MAX(B15:AA15)-MIN(B15:AA15)&gt;Keys!$C$7,1,0)</f>
        <v>0</v>
      </c>
    </row>
    <row r="16" spans="1:30" x14ac:dyDescent="0.45">
      <c r="A16" t="s">
        <v>34</v>
      </c>
      <c r="B16">
        <v>0.43059399999999998</v>
      </c>
      <c r="C16">
        <v>0.43059399999999998</v>
      </c>
      <c r="D16">
        <v>0.43059399999999998</v>
      </c>
      <c r="E16">
        <v>0.43059399999999998</v>
      </c>
      <c r="F16">
        <v>0.43059399999999998</v>
      </c>
      <c r="G16">
        <v>0.43059399999999998</v>
      </c>
      <c r="H16">
        <v>0.43059399999999998</v>
      </c>
      <c r="I16">
        <v>0.43059399999999998</v>
      </c>
      <c r="J16">
        <v>0.43059399999999998</v>
      </c>
      <c r="K16">
        <v>0.43059399999999998</v>
      </c>
      <c r="L16">
        <v>0.43059399999999998</v>
      </c>
      <c r="M16">
        <v>0.43059399999999998</v>
      </c>
      <c r="N16">
        <v>0.43059399999999998</v>
      </c>
      <c r="O16">
        <v>0.43059399999999998</v>
      </c>
      <c r="P16">
        <v>0.43059399999999998</v>
      </c>
      <c r="Q16">
        <v>0.43059399999999998</v>
      </c>
      <c r="R16">
        <v>0.43059399999999998</v>
      </c>
      <c r="S16">
        <v>0.43059399999999998</v>
      </c>
      <c r="T16">
        <v>0.43059399999999998</v>
      </c>
      <c r="U16">
        <v>0.43059399999999998</v>
      </c>
      <c r="V16">
        <v>0.43059399999999998</v>
      </c>
      <c r="W16">
        <v>0.43059399999999998</v>
      </c>
      <c r="X16">
        <v>0.43059399999999998</v>
      </c>
      <c r="Y16">
        <v>0.43059399999999998</v>
      </c>
      <c r="Z16">
        <v>0.43059399999999998</v>
      </c>
      <c r="AA16">
        <v>0.43059399999999998</v>
      </c>
      <c r="AC16">
        <f t="shared" si="0"/>
        <v>0.43059399999999998</v>
      </c>
      <c r="AD16">
        <f>IF(MAX(B16:AA16)-MIN(B16:AA16)&gt;Keys!$C$7,1,0)</f>
        <v>0</v>
      </c>
    </row>
    <row r="17" spans="1:30" x14ac:dyDescent="0.45">
      <c r="A17" t="s">
        <v>36</v>
      </c>
      <c r="B17">
        <v>0.75653899999999996</v>
      </c>
      <c r="C17">
        <v>0.75653899999999996</v>
      </c>
      <c r="D17">
        <v>0.75653899999999996</v>
      </c>
      <c r="E17">
        <v>0.75653899999999996</v>
      </c>
      <c r="F17">
        <v>0.75653899999999996</v>
      </c>
      <c r="G17">
        <v>0.75653899999999996</v>
      </c>
      <c r="H17">
        <v>0.75653899999999996</v>
      </c>
      <c r="I17">
        <v>0.75653899999999996</v>
      </c>
      <c r="J17">
        <v>0.75653899999999996</v>
      </c>
      <c r="K17">
        <v>0.75653899999999996</v>
      </c>
      <c r="L17">
        <v>0.75653899999999996</v>
      </c>
      <c r="M17">
        <v>0.75653899999999996</v>
      </c>
      <c r="N17">
        <v>0.75653899999999996</v>
      </c>
      <c r="O17">
        <v>0.75653899999999996</v>
      </c>
      <c r="P17">
        <v>0.75653899999999996</v>
      </c>
      <c r="Q17">
        <v>0.75653899999999996</v>
      </c>
      <c r="R17">
        <v>0.75653899999999996</v>
      </c>
      <c r="S17">
        <v>0.75653899999999996</v>
      </c>
      <c r="T17">
        <v>0.75653899999999996</v>
      </c>
      <c r="U17">
        <v>0.75653899999999996</v>
      </c>
      <c r="V17">
        <v>0.75653899999999996</v>
      </c>
      <c r="W17">
        <v>0.75653899999999996</v>
      </c>
      <c r="X17">
        <v>0.75653899999999996</v>
      </c>
      <c r="Y17">
        <v>0.75653899999999996</v>
      </c>
      <c r="Z17">
        <v>0.75653899999999996</v>
      </c>
      <c r="AA17">
        <v>0.75653899999999996</v>
      </c>
      <c r="AC17">
        <f t="shared" si="0"/>
        <v>0.75653899999999996</v>
      </c>
      <c r="AD17">
        <f>IF(MAX(B17:AA17)-MIN(B17:AA17)&gt;Keys!$C$7,1,0)</f>
        <v>0</v>
      </c>
    </row>
    <row r="18" spans="1:30" x14ac:dyDescent="0.45">
      <c r="A18" t="s">
        <v>39</v>
      </c>
      <c r="B18">
        <v>0.54661800000000005</v>
      </c>
      <c r="C18">
        <v>0.54661800000000005</v>
      </c>
      <c r="D18">
        <v>0.54661800000000005</v>
      </c>
      <c r="E18">
        <v>0.54661800000000005</v>
      </c>
      <c r="F18">
        <v>0.54661800000000005</v>
      </c>
      <c r="G18">
        <v>0.54661800000000005</v>
      </c>
      <c r="H18">
        <v>0.54661800000000005</v>
      </c>
      <c r="I18">
        <v>0.54661800000000005</v>
      </c>
      <c r="J18">
        <v>0.54661800000000005</v>
      </c>
      <c r="K18">
        <v>0.54661800000000005</v>
      </c>
      <c r="L18">
        <v>0.54661800000000005</v>
      </c>
      <c r="M18">
        <v>0.54661800000000005</v>
      </c>
      <c r="N18">
        <v>0.54661800000000005</v>
      </c>
      <c r="O18">
        <v>0.54661800000000005</v>
      </c>
      <c r="P18">
        <v>0.54661800000000005</v>
      </c>
      <c r="Q18">
        <v>0.54661800000000005</v>
      </c>
      <c r="R18">
        <v>0.54661800000000005</v>
      </c>
      <c r="S18">
        <v>0.54661800000000005</v>
      </c>
      <c r="T18">
        <v>0.54661800000000005</v>
      </c>
      <c r="U18">
        <v>0.54661800000000005</v>
      </c>
      <c r="V18">
        <v>0.54661800000000005</v>
      </c>
      <c r="W18">
        <v>0.54661800000000005</v>
      </c>
      <c r="X18">
        <v>0.54661800000000005</v>
      </c>
      <c r="Y18">
        <v>0.54661800000000005</v>
      </c>
      <c r="Z18">
        <v>0.54661800000000005</v>
      </c>
      <c r="AA18">
        <v>0.54661800000000005</v>
      </c>
      <c r="AC18">
        <f t="shared" si="0"/>
        <v>0.54661800000000005</v>
      </c>
      <c r="AD18">
        <f>IF(MAX(B18:AA18)-MIN(B18:AA18)&gt;Keys!$C$7,1,0)</f>
        <v>0</v>
      </c>
    </row>
    <row r="19" spans="1:30" x14ac:dyDescent="0.45">
      <c r="A19" t="s">
        <v>42</v>
      </c>
      <c r="B19">
        <v>0.64640500000000001</v>
      </c>
      <c r="C19">
        <v>0.64640500000000001</v>
      </c>
      <c r="D19">
        <v>0.64640500000000001</v>
      </c>
      <c r="E19">
        <v>0.64640500000000001</v>
      </c>
      <c r="F19">
        <v>0.64640500000000001</v>
      </c>
      <c r="G19">
        <v>0.64640500000000001</v>
      </c>
      <c r="H19">
        <v>0.64640500000000001</v>
      </c>
      <c r="I19">
        <v>0.64640500000000001</v>
      </c>
      <c r="J19">
        <v>0.64640500000000001</v>
      </c>
      <c r="K19">
        <v>0.64640500000000001</v>
      </c>
      <c r="L19">
        <v>0.64640500000000001</v>
      </c>
      <c r="M19">
        <v>0.64640500000000001</v>
      </c>
      <c r="N19">
        <v>0.64640500000000001</v>
      </c>
      <c r="O19">
        <v>0.64640500000000001</v>
      </c>
      <c r="P19">
        <v>0.64640500000000001</v>
      </c>
      <c r="Q19">
        <v>0.64640500000000001</v>
      </c>
      <c r="R19">
        <v>0.64640500000000001</v>
      </c>
      <c r="S19">
        <v>0.64640500000000001</v>
      </c>
      <c r="T19">
        <v>0.64640500000000001</v>
      </c>
      <c r="U19">
        <v>0.64640500000000001</v>
      </c>
      <c r="V19">
        <v>0.64640500000000001</v>
      </c>
      <c r="W19">
        <v>0.64640500000000001</v>
      </c>
      <c r="X19">
        <v>0.64640500000000001</v>
      </c>
      <c r="Y19">
        <v>0.64640500000000001</v>
      </c>
      <c r="Z19">
        <v>0.64640500000000001</v>
      </c>
      <c r="AA19">
        <v>0.64640500000000001</v>
      </c>
      <c r="AC19">
        <f t="shared" si="0"/>
        <v>0.64640500000000001</v>
      </c>
      <c r="AD19">
        <f>IF(MAX(B19:AA19)-MIN(B19:AA19)&gt;Keys!$C$7,1,0)</f>
        <v>0</v>
      </c>
    </row>
    <row r="20" spans="1:30" x14ac:dyDescent="0.45">
      <c r="A20" t="s">
        <v>44</v>
      </c>
      <c r="B20">
        <v>0.75773400000000002</v>
      </c>
      <c r="C20">
        <v>0.75773400000000002</v>
      </c>
      <c r="D20">
        <v>0.75773400000000002</v>
      </c>
      <c r="E20">
        <v>0.75773400000000002</v>
      </c>
      <c r="F20">
        <v>0.75773400000000002</v>
      </c>
      <c r="G20">
        <v>0.75773400000000002</v>
      </c>
      <c r="H20">
        <v>0.75773400000000002</v>
      </c>
      <c r="I20">
        <v>0.75773400000000002</v>
      </c>
      <c r="J20">
        <v>0.75773400000000002</v>
      </c>
      <c r="K20">
        <v>0.75773400000000002</v>
      </c>
      <c r="L20">
        <v>0.75773400000000002</v>
      </c>
      <c r="M20">
        <v>0.75773400000000002</v>
      </c>
      <c r="N20">
        <v>0.75773400000000002</v>
      </c>
      <c r="O20">
        <v>0.75773400000000002</v>
      </c>
      <c r="P20">
        <v>0.75773400000000002</v>
      </c>
      <c r="Q20">
        <v>0.75773400000000002</v>
      </c>
      <c r="R20">
        <v>0.75773400000000002</v>
      </c>
      <c r="S20">
        <v>0.75773400000000002</v>
      </c>
      <c r="T20">
        <v>0.75773400000000002</v>
      </c>
      <c r="U20">
        <v>0.75773400000000002</v>
      </c>
      <c r="V20">
        <v>0.75773400000000002</v>
      </c>
      <c r="W20">
        <v>0.75773400000000002</v>
      </c>
      <c r="X20">
        <v>0.75773400000000002</v>
      </c>
      <c r="Y20">
        <v>0.75773400000000002</v>
      </c>
      <c r="Z20">
        <v>0.75773400000000002</v>
      </c>
      <c r="AA20">
        <v>0.75773400000000002</v>
      </c>
      <c r="AC20">
        <f t="shared" si="0"/>
        <v>0.75773400000000002</v>
      </c>
      <c r="AD20">
        <f>IF(MAX(B20:AA20)-MIN(B20:AA20)&gt;Keys!$C$7,1,0)</f>
        <v>0</v>
      </c>
    </row>
    <row r="21" spans="1:30" x14ac:dyDescent="0.45">
      <c r="A21" t="s">
        <v>47</v>
      </c>
      <c r="B21">
        <v>0.59989700000000001</v>
      </c>
      <c r="C21">
        <v>0.59989700000000001</v>
      </c>
      <c r="D21">
        <v>0.59989700000000001</v>
      </c>
      <c r="E21">
        <v>0.59989700000000001</v>
      </c>
      <c r="F21">
        <v>0.59989700000000001</v>
      </c>
      <c r="G21">
        <v>0.59989700000000001</v>
      </c>
      <c r="H21">
        <v>0.59989700000000001</v>
      </c>
      <c r="I21">
        <v>0.59989700000000001</v>
      </c>
      <c r="J21">
        <v>0.59989700000000001</v>
      </c>
      <c r="K21">
        <v>0.59989700000000001</v>
      </c>
      <c r="L21">
        <v>0.59989700000000001</v>
      </c>
      <c r="M21">
        <v>0.59989700000000001</v>
      </c>
      <c r="N21">
        <v>0.59989700000000001</v>
      </c>
      <c r="O21">
        <v>0.59989700000000001</v>
      </c>
      <c r="P21">
        <v>0.59989700000000001</v>
      </c>
      <c r="Q21">
        <v>0.59989700000000001</v>
      </c>
      <c r="R21">
        <v>0.59989700000000001</v>
      </c>
      <c r="S21">
        <v>0.59989700000000001</v>
      </c>
      <c r="T21">
        <v>0.59989700000000001</v>
      </c>
      <c r="U21">
        <v>0.59989700000000001</v>
      </c>
      <c r="V21">
        <v>0.59989700000000001</v>
      </c>
      <c r="W21">
        <v>0.59989700000000001</v>
      </c>
      <c r="X21">
        <v>0.59989700000000001</v>
      </c>
      <c r="Y21">
        <v>0.59989700000000001</v>
      </c>
      <c r="Z21">
        <v>0.59989700000000001</v>
      </c>
      <c r="AA21">
        <v>0.59989700000000001</v>
      </c>
      <c r="AC21">
        <f t="shared" si="0"/>
        <v>0.59989700000000001</v>
      </c>
      <c r="AD21">
        <f>IF(MAX(B21:AA21)-MIN(B21:AA21)&gt;Keys!$C$7,1,0)</f>
        <v>0</v>
      </c>
    </row>
    <row r="22" spans="1:30" x14ac:dyDescent="0.45">
      <c r="A22" t="s">
        <v>50</v>
      </c>
      <c r="B22">
        <v>0.49823099999999998</v>
      </c>
      <c r="C22">
        <v>0.49823099999999998</v>
      </c>
      <c r="D22">
        <v>0.49823099999999998</v>
      </c>
      <c r="E22">
        <v>0.49823099999999998</v>
      </c>
      <c r="F22">
        <v>0.49823099999999998</v>
      </c>
      <c r="G22">
        <v>0.49823099999999998</v>
      </c>
      <c r="H22">
        <v>0.49823099999999998</v>
      </c>
      <c r="I22">
        <v>0.49823099999999998</v>
      </c>
      <c r="J22">
        <v>0.49823099999999998</v>
      </c>
      <c r="K22">
        <v>0.49823099999999998</v>
      </c>
      <c r="L22">
        <v>0.49823099999999998</v>
      </c>
      <c r="M22">
        <v>0.49823099999999998</v>
      </c>
      <c r="N22">
        <v>0.49823099999999998</v>
      </c>
      <c r="O22">
        <v>0.49823099999999998</v>
      </c>
      <c r="P22">
        <v>0.49823099999999998</v>
      </c>
      <c r="Q22">
        <v>0.49823099999999998</v>
      </c>
      <c r="R22">
        <v>0.49823099999999998</v>
      </c>
      <c r="S22">
        <v>0.49823099999999998</v>
      </c>
      <c r="T22">
        <v>0.49823099999999998</v>
      </c>
      <c r="U22">
        <v>0.49823099999999998</v>
      </c>
      <c r="V22">
        <v>0.49823099999999998</v>
      </c>
      <c r="W22">
        <v>0.49823099999999998</v>
      </c>
      <c r="X22">
        <v>0.49823099999999998</v>
      </c>
      <c r="Y22">
        <v>0.49823099999999998</v>
      </c>
      <c r="Z22">
        <v>0.49823099999999998</v>
      </c>
      <c r="AA22">
        <v>0.49823099999999998</v>
      </c>
      <c r="AC22">
        <f t="shared" si="0"/>
        <v>0.49823099999999998</v>
      </c>
      <c r="AD22">
        <f>IF(MAX(B22:AA22)-MIN(B22:AA22)&gt;Keys!$C$7,1,0)</f>
        <v>0</v>
      </c>
    </row>
    <row r="23" spans="1:30" x14ac:dyDescent="0.45">
      <c r="A23" t="s">
        <v>53</v>
      </c>
      <c r="B23">
        <v>0.74843700000000002</v>
      </c>
      <c r="C23">
        <v>0.74843700000000002</v>
      </c>
      <c r="D23">
        <v>0.74843700000000002</v>
      </c>
      <c r="E23">
        <v>0.74843700000000002</v>
      </c>
      <c r="F23">
        <v>0.74843700000000002</v>
      </c>
      <c r="G23">
        <v>0.74843700000000002</v>
      </c>
      <c r="H23">
        <v>0.74843700000000002</v>
      </c>
      <c r="I23">
        <v>0.74843700000000002</v>
      </c>
      <c r="J23">
        <v>0.74843700000000002</v>
      </c>
      <c r="K23">
        <v>0.74843700000000002</v>
      </c>
      <c r="L23">
        <v>0.74843700000000002</v>
      </c>
      <c r="M23">
        <v>0.74843700000000002</v>
      </c>
      <c r="N23">
        <v>0.74843700000000002</v>
      </c>
      <c r="O23">
        <v>0.74843700000000002</v>
      </c>
      <c r="P23">
        <v>0.74843700000000002</v>
      </c>
      <c r="Q23">
        <v>0.74843700000000002</v>
      </c>
      <c r="R23">
        <v>0.74843700000000002</v>
      </c>
      <c r="S23">
        <v>0.74843700000000002</v>
      </c>
      <c r="T23">
        <v>0.74843700000000002</v>
      </c>
      <c r="U23">
        <v>0.74843700000000002</v>
      </c>
      <c r="V23">
        <v>0.74843700000000002</v>
      </c>
      <c r="W23">
        <v>0.74843700000000002</v>
      </c>
      <c r="X23">
        <v>0.74843700000000002</v>
      </c>
      <c r="Y23">
        <v>0.74843700000000002</v>
      </c>
      <c r="Z23">
        <v>0.74843700000000002</v>
      </c>
      <c r="AA23">
        <v>0.74843700000000002</v>
      </c>
      <c r="AC23">
        <f t="shared" si="0"/>
        <v>0.74843700000000002</v>
      </c>
      <c r="AD23">
        <f>IF(MAX(B23:AA23)-MIN(B23:AA23)&gt;Keys!$C$7,1,0)</f>
        <v>0</v>
      </c>
    </row>
    <row r="24" spans="1:30" x14ac:dyDescent="0.45">
      <c r="A24" t="s">
        <v>55</v>
      </c>
      <c r="B24">
        <v>0.78508500000000003</v>
      </c>
      <c r="C24">
        <v>0.78508500000000003</v>
      </c>
      <c r="D24">
        <v>0.78508500000000003</v>
      </c>
      <c r="E24">
        <v>0.78508500000000003</v>
      </c>
      <c r="F24">
        <v>0.78508500000000003</v>
      </c>
      <c r="G24">
        <v>0.78508500000000003</v>
      </c>
      <c r="H24">
        <v>0.78508500000000003</v>
      </c>
      <c r="I24">
        <v>0.78508500000000003</v>
      </c>
      <c r="J24">
        <v>0.78508500000000003</v>
      </c>
      <c r="K24">
        <v>0.78508500000000003</v>
      </c>
      <c r="L24">
        <v>0.78508500000000003</v>
      </c>
      <c r="M24">
        <v>0.78508500000000003</v>
      </c>
      <c r="N24">
        <v>0.78508500000000003</v>
      </c>
      <c r="O24">
        <v>0.78508500000000003</v>
      </c>
      <c r="P24">
        <v>0.78508500000000003</v>
      </c>
      <c r="Q24">
        <v>0.78508500000000003</v>
      </c>
      <c r="R24">
        <v>0.78508500000000003</v>
      </c>
      <c r="S24">
        <v>0.78508500000000003</v>
      </c>
      <c r="T24">
        <v>0.78508500000000003</v>
      </c>
      <c r="U24">
        <v>0.78508500000000003</v>
      </c>
      <c r="V24">
        <v>0.78508500000000003</v>
      </c>
      <c r="W24">
        <v>0.78508500000000003</v>
      </c>
      <c r="X24">
        <v>0.78508500000000003</v>
      </c>
      <c r="Y24">
        <v>0.78508500000000003</v>
      </c>
      <c r="Z24">
        <v>0.78508500000000003</v>
      </c>
      <c r="AA24">
        <v>0.78508500000000003</v>
      </c>
      <c r="AC24">
        <f t="shared" si="0"/>
        <v>0.78508500000000003</v>
      </c>
      <c r="AD24">
        <f>IF(MAX(B24:AA24)-MIN(B24:AA24)&gt;Keys!$C$7,1,0)</f>
        <v>0</v>
      </c>
    </row>
    <row r="25" spans="1:30" x14ac:dyDescent="0.45">
      <c r="A25" t="s">
        <v>58</v>
      </c>
      <c r="B25">
        <v>0.88971599999999995</v>
      </c>
      <c r="C25">
        <v>0.88971599999999995</v>
      </c>
      <c r="D25">
        <v>0.88971599999999995</v>
      </c>
      <c r="E25">
        <v>0.88971599999999995</v>
      </c>
      <c r="F25">
        <v>0.88971599999999995</v>
      </c>
      <c r="G25">
        <v>0.88971599999999995</v>
      </c>
      <c r="H25">
        <v>0.88971599999999995</v>
      </c>
      <c r="I25">
        <v>0.88971599999999995</v>
      </c>
      <c r="J25">
        <v>0.88971599999999995</v>
      </c>
      <c r="K25">
        <v>0.88971599999999995</v>
      </c>
      <c r="L25">
        <v>0.88971599999999995</v>
      </c>
      <c r="M25">
        <v>0.88971599999999995</v>
      </c>
      <c r="N25">
        <v>0.88971599999999995</v>
      </c>
      <c r="O25">
        <v>0.88971599999999995</v>
      </c>
      <c r="P25">
        <v>0.88971599999999995</v>
      </c>
      <c r="Q25">
        <v>0.88971599999999995</v>
      </c>
      <c r="R25">
        <v>0.88971599999999995</v>
      </c>
      <c r="S25">
        <v>0.88971599999999995</v>
      </c>
      <c r="T25">
        <v>0.88971599999999995</v>
      </c>
      <c r="U25">
        <v>0.88971599999999995</v>
      </c>
      <c r="V25">
        <v>0.88971599999999995</v>
      </c>
      <c r="W25">
        <v>0.88971599999999995</v>
      </c>
      <c r="X25">
        <v>0.88971599999999995</v>
      </c>
      <c r="Y25">
        <v>0.88971599999999995</v>
      </c>
      <c r="Z25">
        <v>0.88971599999999995</v>
      </c>
      <c r="AA25">
        <v>0.88971599999999995</v>
      </c>
      <c r="AC25">
        <f t="shared" si="0"/>
        <v>0.88971599999999995</v>
      </c>
      <c r="AD25">
        <f>IF(MAX(B25:AA25)-MIN(B25:AA25)&gt;Keys!$C$7,1,0)</f>
        <v>0</v>
      </c>
    </row>
    <row r="26" spans="1:30" x14ac:dyDescent="0.45">
      <c r="A26" t="s">
        <v>61</v>
      </c>
      <c r="B26">
        <v>0.54088199999999997</v>
      </c>
      <c r="C26">
        <v>0.54088199999999997</v>
      </c>
      <c r="D26">
        <v>0.54088199999999997</v>
      </c>
      <c r="E26">
        <v>0.54088199999999997</v>
      </c>
      <c r="F26">
        <v>0.54088199999999997</v>
      </c>
      <c r="G26">
        <v>0.54088199999999997</v>
      </c>
      <c r="H26">
        <v>0.54088199999999997</v>
      </c>
      <c r="I26">
        <v>0.54088199999999997</v>
      </c>
      <c r="J26">
        <v>0.54088199999999997</v>
      </c>
      <c r="K26">
        <v>0.54088199999999997</v>
      </c>
      <c r="L26">
        <v>0.54088199999999997</v>
      </c>
      <c r="M26">
        <v>0.54088199999999997</v>
      </c>
      <c r="N26">
        <v>0.54088199999999997</v>
      </c>
      <c r="O26">
        <v>0.54088199999999997</v>
      </c>
      <c r="P26">
        <v>0.54088199999999997</v>
      </c>
      <c r="Q26">
        <v>0.54088199999999997</v>
      </c>
      <c r="R26">
        <v>0.54088199999999997</v>
      </c>
      <c r="S26">
        <v>0.54088199999999997</v>
      </c>
      <c r="T26">
        <v>0.54088199999999997</v>
      </c>
      <c r="U26">
        <v>0.54088199999999997</v>
      </c>
      <c r="V26">
        <v>0.54088199999999997</v>
      </c>
      <c r="W26">
        <v>0.54088199999999997</v>
      </c>
      <c r="X26">
        <v>0.54088199999999997</v>
      </c>
      <c r="Y26">
        <v>0.54088199999999997</v>
      </c>
      <c r="Z26">
        <v>0.54088199999999997</v>
      </c>
      <c r="AA26">
        <v>0.54088199999999997</v>
      </c>
      <c r="AC26">
        <f t="shared" si="0"/>
        <v>0.54088199999999997</v>
      </c>
      <c r="AD26">
        <f>IF(MAX(B26:AA26)-MIN(B26:AA26)&gt;Keys!$C$7,1,0)</f>
        <v>0</v>
      </c>
    </row>
    <row r="27" spans="1:30" x14ac:dyDescent="0.45">
      <c r="A27" t="s">
        <v>63</v>
      </c>
      <c r="B27">
        <v>0.70353600000000005</v>
      </c>
      <c r="C27">
        <v>0.70353600000000005</v>
      </c>
      <c r="D27">
        <v>0.70353600000000005</v>
      </c>
      <c r="E27">
        <v>0.70353600000000005</v>
      </c>
      <c r="F27">
        <v>0.70353600000000005</v>
      </c>
      <c r="G27">
        <v>0.70353600000000005</v>
      </c>
      <c r="H27">
        <v>0.70353600000000005</v>
      </c>
      <c r="I27">
        <v>0.70353600000000005</v>
      </c>
      <c r="J27">
        <v>0.70353600000000005</v>
      </c>
      <c r="K27">
        <v>0.70353600000000005</v>
      </c>
      <c r="L27">
        <v>0.70353600000000005</v>
      </c>
      <c r="M27">
        <v>0.70353600000000005</v>
      </c>
      <c r="N27">
        <v>0.70353600000000005</v>
      </c>
      <c r="O27">
        <v>0.70353600000000005</v>
      </c>
      <c r="P27">
        <v>0.70353600000000005</v>
      </c>
      <c r="Q27">
        <v>0.70353600000000005</v>
      </c>
      <c r="R27">
        <v>0.70353600000000005</v>
      </c>
      <c r="S27">
        <v>0.70353600000000005</v>
      </c>
      <c r="T27">
        <v>0.70353600000000005</v>
      </c>
      <c r="U27">
        <v>0.70353600000000005</v>
      </c>
      <c r="V27">
        <v>0.70353600000000005</v>
      </c>
      <c r="W27">
        <v>0.70353600000000005</v>
      </c>
      <c r="X27">
        <v>0.70353600000000005</v>
      </c>
      <c r="Y27">
        <v>0.70353600000000005</v>
      </c>
      <c r="Z27">
        <v>0.70353600000000005</v>
      </c>
      <c r="AA27">
        <v>0.70353600000000005</v>
      </c>
      <c r="AC27">
        <f t="shared" si="0"/>
        <v>0.70353600000000005</v>
      </c>
      <c r="AD27">
        <f>IF(MAX(B27:AA27)-MIN(B27:AA27)&gt;Keys!$C$7,1,0)</f>
        <v>0</v>
      </c>
    </row>
    <row r="28" spans="1:30" x14ac:dyDescent="0.45">
      <c r="A28" t="s">
        <v>65</v>
      </c>
      <c r="B28">
        <v>0.77946300000000002</v>
      </c>
      <c r="C28">
        <v>0.77946300000000002</v>
      </c>
      <c r="D28">
        <v>0.77946300000000002</v>
      </c>
      <c r="E28">
        <v>0.77946300000000002</v>
      </c>
      <c r="F28">
        <v>0.77946300000000002</v>
      </c>
      <c r="G28">
        <v>0.77946300000000002</v>
      </c>
      <c r="H28">
        <v>0.77946300000000002</v>
      </c>
      <c r="I28">
        <v>0.77946300000000002</v>
      </c>
      <c r="J28">
        <v>0.77946300000000002</v>
      </c>
      <c r="K28">
        <v>0.77946300000000002</v>
      </c>
      <c r="L28">
        <v>0.77946300000000002</v>
      </c>
      <c r="M28">
        <v>0.77946300000000002</v>
      </c>
      <c r="N28">
        <v>0.77946300000000002</v>
      </c>
      <c r="O28">
        <v>0.77946300000000002</v>
      </c>
      <c r="P28">
        <v>0.77946300000000002</v>
      </c>
      <c r="Q28">
        <v>0.77946300000000002</v>
      </c>
      <c r="R28">
        <v>0.77946300000000002</v>
      </c>
      <c r="S28">
        <v>0.77946300000000002</v>
      </c>
      <c r="T28">
        <v>0.77946300000000002</v>
      </c>
      <c r="U28">
        <v>0.77946300000000002</v>
      </c>
      <c r="V28">
        <v>0.77946300000000002</v>
      </c>
      <c r="W28">
        <v>0.77946300000000002</v>
      </c>
      <c r="X28">
        <v>0.77946300000000002</v>
      </c>
      <c r="Y28">
        <v>0.77946300000000002</v>
      </c>
      <c r="Z28">
        <v>0.77946300000000002</v>
      </c>
      <c r="AA28">
        <v>0.77946300000000002</v>
      </c>
      <c r="AC28">
        <f t="shared" si="0"/>
        <v>0.77946300000000002</v>
      </c>
      <c r="AD28">
        <f>IF(MAX(B28:AA28)-MIN(B28:AA28)&gt;Keys!$C$7,1,0)</f>
        <v>0</v>
      </c>
    </row>
    <row r="29" spans="1:30" x14ac:dyDescent="0.45">
      <c r="A29" t="s">
        <v>68</v>
      </c>
      <c r="B29">
        <v>0.78747199999999995</v>
      </c>
      <c r="C29">
        <v>0.78747199999999995</v>
      </c>
      <c r="D29">
        <v>0.78747199999999995</v>
      </c>
      <c r="E29">
        <v>0.78747199999999995</v>
      </c>
      <c r="F29">
        <v>0.78747199999999995</v>
      </c>
      <c r="G29">
        <v>0.78747199999999995</v>
      </c>
      <c r="H29">
        <v>0.78747199999999995</v>
      </c>
      <c r="I29">
        <v>0.78747199999999995</v>
      </c>
      <c r="J29">
        <v>0.78747199999999995</v>
      </c>
      <c r="K29">
        <v>0.78747199999999995</v>
      </c>
      <c r="L29">
        <v>0.78747199999999995</v>
      </c>
      <c r="M29">
        <v>0.78747199999999995</v>
      </c>
      <c r="N29">
        <v>0.78747199999999995</v>
      </c>
      <c r="O29">
        <v>0.78747199999999995</v>
      </c>
      <c r="P29">
        <v>0.78747199999999995</v>
      </c>
      <c r="Q29">
        <v>0.78747199999999995</v>
      </c>
      <c r="R29">
        <v>0.78747199999999995</v>
      </c>
      <c r="S29">
        <v>0.78747199999999995</v>
      </c>
      <c r="T29">
        <v>0.78747199999999995</v>
      </c>
      <c r="U29">
        <v>0.78747199999999995</v>
      </c>
      <c r="V29">
        <v>0.78747199999999995</v>
      </c>
      <c r="W29">
        <v>0.78747199999999995</v>
      </c>
      <c r="X29">
        <v>0.78747199999999995</v>
      </c>
      <c r="Y29">
        <v>0.78747199999999995</v>
      </c>
      <c r="Z29">
        <v>0.78747199999999995</v>
      </c>
      <c r="AA29">
        <v>0.78747199999999995</v>
      </c>
      <c r="AC29">
        <f t="shared" si="0"/>
        <v>0.78747199999999995</v>
      </c>
      <c r="AD29">
        <f>IF(MAX(B29:AA29)-MIN(B29:AA29)&gt;Keys!$C$7,1,0)</f>
        <v>0</v>
      </c>
    </row>
    <row r="30" spans="1:30" x14ac:dyDescent="0.45">
      <c r="A30" t="s">
        <v>72</v>
      </c>
      <c r="B30">
        <v>1</v>
      </c>
      <c r="C30">
        <v>1</v>
      </c>
      <c r="D30">
        <v>1</v>
      </c>
      <c r="E30">
        <v>1</v>
      </c>
      <c r="F30">
        <v>1</v>
      </c>
      <c r="G30">
        <v>1</v>
      </c>
      <c r="H30">
        <v>1</v>
      </c>
      <c r="I30">
        <v>1</v>
      </c>
      <c r="J30">
        <v>1</v>
      </c>
      <c r="K30">
        <v>1</v>
      </c>
      <c r="L30">
        <v>1</v>
      </c>
      <c r="M30">
        <v>1</v>
      </c>
      <c r="N30">
        <v>1</v>
      </c>
      <c r="O30">
        <v>1</v>
      </c>
      <c r="P30">
        <v>1</v>
      </c>
      <c r="Q30">
        <v>1</v>
      </c>
      <c r="R30">
        <v>1</v>
      </c>
      <c r="S30">
        <v>1</v>
      </c>
      <c r="T30">
        <v>1</v>
      </c>
      <c r="U30">
        <v>1</v>
      </c>
      <c r="V30">
        <v>1</v>
      </c>
      <c r="W30">
        <v>1</v>
      </c>
      <c r="X30">
        <v>1</v>
      </c>
      <c r="Y30">
        <v>1</v>
      </c>
      <c r="Z30">
        <v>1</v>
      </c>
      <c r="AA30">
        <v>1</v>
      </c>
      <c r="AC30">
        <f t="shared" si="0"/>
        <v>1</v>
      </c>
      <c r="AD30">
        <f>IF(MAX(B30:AA30)-MIN(B30:AA30)&gt;Keys!$C$7,1,0)</f>
        <v>0</v>
      </c>
    </row>
    <row r="31" spans="1:30" x14ac:dyDescent="0.45">
      <c r="A31" t="s">
        <v>76</v>
      </c>
      <c r="B31">
        <v>0.80720800000000004</v>
      </c>
      <c r="C31">
        <v>0.80720800000000004</v>
      </c>
      <c r="D31">
        <v>0.80720800000000004</v>
      </c>
      <c r="E31">
        <v>0.80720800000000004</v>
      </c>
      <c r="F31">
        <v>0.80720800000000004</v>
      </c>
      <c r="G31">
        <v>0.80720800000000004</v>
      </c>
      <c r="H31">
        <v>0.80720800000000004</v>
      </c>
      <c r="I31">
        <v>0.80720800000000004</v>
      </c>
      <c r="J31">
        <v>0.80720800000000004</v>
      </c>
      <c r="K31">
        <v>0.80720800000000004</v>
      </c>
      <c r="L31">
        <v>0.80720800000000004</v>
      </c>
      <c r="M31">
        <v>0.80720800000000004</v>
      </c>
      <c r="N31">
        <v>0.80720800000000004</v>
      </c>
      <c r="O31">
        <v>0.80720800000000004</v>
      </c>
      <c r="P31">
        <v>0.80720800000000004</v>
      </c>
      <c r="Q31">
        <v>0.80720800000000004</v>
      </c>
      <c r="R31">
        <v>0.80720800000000004</v>
      </c>
      <c r="S31">
        <v>0.80720800000000004</v>
      </c>
      <c r="T31">
        <v>0.80720800000000004</v>
      </c>
      <c r="U31">
        <v>0.80720800000000004</v>
      </c>
      <c r="V31">
        <v>0.80720800000000004</v>
      </c>
      <c r="W31">
        <v>0.80720800000000004</v>
      </c>
      <c r="X31">
        <v>0.80720800000000004</v>
      </c>
      <c r="Y31">
        <v>0.80720800000000004</v>
      </c>
      <c r="Z31">
        <v>0.80720800000000004</v>
      </c>
      <c r="AA31">
        <v>0.80720800000000004</v>
      </c>
      <c r="AC31">
        <f t="shared" si="0"/>
        <v>0.80720800000000004</v>
      </c>
      <c r="AD31">
        <f>IF(MAX(B31:AA31)-MIN(B31:AA31)&gt;Keys!$C$7,1,0)</f>
        <v>0</v>
      </c>
    </row>
    <row r="32" spans="1:30" x14ac:dyDescent="0.45">
      <c r="A32" t="s">
        <v>78</v>
      </c>
      <c r="B32">
        <v>0.35567900000000002</v>
      </c>
      <c r="C32">
        <v>0.35567900000000002</v>
      </c>
      <c r="D32">
        <v>0.35567900000000002</v>
      </c>
      <c r="E32">
        <v>0.35567900000000002</v>
      </c>
      <c r="F32">
        <v>0.35567900000000002</v>
      </c>
      <c r="G32">
        <v>0.35567900000000002</v>
      </c>
      <c r="H32">
        <v>0.35567900000000002</v>
      </c>
      <c r="I32">
        <v>0.35567900000000002</v>
      </c>
      <c r="J32">
        <v>0.35567900000000002</v>
      </c>
      <c r="K32">
        <v>0.35567900000000002</v>
      </c>
      <c r="L32">
        <v>0.35567900000000002</v>
      </c>
      <c r="M32">
        <v>0.35567900000000002</v>
      </c>
      <c r="N32">
        <v>0.35567900000000002</v>
      </c>
      <c r="O32">
        <v>0.35567900000000002</v>
      </c>
      <c r="P32">
        <v>0.35567900000000002</v>
      </c>
      <c r="Q32">
        <v>0.35567900000000002</v>
      </c>
      <c r="R32">
        <v>0.35567900000000002</v>
      </c>
      <c r="S32">
        <v>0.35567900000000002</v>
      </c>
      <c r="T32">
        <v>0.35567900000000002</v>
      </c>
      <c r="U32">
        <v>0.35567900000000002</v>
      </c>
      <c r="V32">
        <v>0.35567900000000002</v>
      </c>
      <c r="W32">
        <v>0.35567900000000002</v>
      </c>
      <c r="X32">
        <v>0.35567900000000002</v>
      </c>
      <c r="Y32">
        <v>0.35567900000000002</v>
      </c>
      <c r="Z32">
        <v>0.35567900000000002</v>
      </c>
      <c r="AA32">
        <v>0.35567900000000002</v>
      </c>
      <c r="AC32">
        <f t="shared" si="0"/>
        <v>0.35567900000000002</v>
      </c>
      <c r="AD32">
        <f>IF(MAX(B32:AA32)-MIN(B32:AA32)&gt;Keys!$C$7,1,0)</f>
        <v>0</v>
      </c>
    </row>
    <row r="33" spans="1:30" x14ac:dyDescent="0.45">
      <c r="A33" t="s">
        <v>80</v>
      </c>
      <c r="B33">
        <v>0.45816699999999999</v>
      </c>
      <c r="C33">
        <v>0.45816699999999999</v>
      </c>
      <c r="D33">
        <v>0.45816699999999999</v>
      </c>
      <c r="E33">
        <v>0.45816699999999999</v>
      </c>
      <c r="F33">
        <v>0.45816699999999999</v>
      </c>
      <c r="G33">
        <v>0.45816699999999999</v>
      </c>
      <c r="H33">
        <v>0.45816699999999999</v>
      </c>
      <c r="I33">
        <v>0.45816699999999999</v>
      </c>
      <c r="J33">
        <v>0.45816699999999999</v>
      </c>
      <c r="K33">
        <v>0.45816699999999999</v>
      </c>
      <c r="L33">
        <v>0.45816699999999999</v>
      </c>
      <c r="M33">
        <v>0.45816699999999999</v>
      </c>
      <c r="N33">
        <v>0.45816699999999999</v>
      </c>
      <c r="O33">
        <v>0.45816699999999999</v>
      </c>
      <c r="P33">
        <v>0.45816699999999999</v>
      </c>
      <c r="Q33">
        <v>0.45816699999999999</v>
      </c>
      <c r="R33">
        <v>0.45816699999999999</v>
      </c>
      <c r="S33">
        <v>0.45816699999999999</v>
      </c>
      <c r="T33">
        <v>0.45816699999999999</v>
      </c>
      <c r="U33">
        <v>0.45816699999999999</v>
      </c>
      <c r="V33">
        <v>0.45816699999999999</v>
      </c>
      <c r="W33">
        <v>0.45816699999999999</v>
      </c>
      <c r="X33">
        <v>0.45816699999999999</v>
      </c>
      <c r="Y33">
        <v>0.45816699999999999</v>
      </c>
      <c r="Z33">
        <v>0.45816699999999999</v>
      </c>
      <c r="AA33">
        <v>0.45816699999999999</v>
      </c>
      <c r="AC33">
        <f t="shared" si="0"/>
        <v>0.45816699999999999</v>
      </c>
      <c r="AD33">
        <f>IF(MAX(B33:AA33)-MIN(B33:AA33)&gt;Keys!$C$7,1,0)</f>
        <v>0</v>
      </c>
    </row>
    <row r="34" spans="1:30" x14ac:dyDescent="0.45">
      <c r="A34" t="s">
        <v>82</v>
      </c>
      <c r="B34">
        <v>0.29959599999999997</v>
      </c>
      <c r="C34">
        <v>0.29959599999999997</v>
      </c>
      <c r="D34">
        <v>0.29959599999999997</v>
      </c>
      <c r="E34">
        <v>0.29959599999999997</v>
      </c>
      <c r="F34">
        <v>0.29959599999999997</v>
      </c>
      <c r="G34">
        <v>0.29959599999999997</v>
      </c>
      <c r="H34">
        <v>0.29959599999999997</v>
      </c>
      <c r="I34">
        <v>0.29959599999999997</v>
      </c>
      <c r="J34">
        <v>0.29959599999999997</v>
      </c>
      <c r="K34">
        <v>0.29959599999999997</v>
      </c>
      <c r="L34">
        <v>0.29959599999999997</v>
      </c>
      <c r="M34">
        <v>0.29959599999999997</v>
      </c>
      <c r="N34">
        <v>0.29959599999999997</v>
      </c>
      <c r="O34">
        <v>0.29959599999999997</v>
      </c>
      <c r="P34">
        <v>0.29959599999999997</v>
      </c>
      <c r="Q34">
        <v>0.29959599999999997</v>
      </c>
      <c r="R34">
        <v>0.29959599999999997</v>
      </c>
      <c r="S34">
        <v>0.29959599999999997</v>
      </c>
      <c r="T34">
        <v>0.29959599999999997</v>
      </c>
      <c r="U34">
        <v>0.29959599999999997</v>
      </c>
      <c r="V34">
        <v>0.29959599999999997</v>
      </c>
      <c r="W34">
        <v>0.29959599999999997</v>
      </c>
      <c r="X34">
        <v>0.29959599999999997</v>
      </c>
      <c r="Y34">
        <v>0.29959599999999997</v>
      </c>
      <c r="Z34">
        <v>0.29959599999999997</v>
      </c>
      <c r="AA34">
        <v>0.29959599999999997</v>
      </c>
      <c r="AC34">
        <f t="shared" si="0"/>
        <v>0.29959599999999997</v>
      </c>
      <c r="AD34">
        <f>IF(MAX(B34:AA34)-MIN(B34:AA34)&gt;Keys!$C$7,1,0)</f>
        <v>0</v>
      </c>
    </row>
    <row r="35" spans="1:30" x14ac:dyDescent="0.45">
      <c r="A35" t="s">
        <v>84</v>
      </c>
      <c r="B35">
        <v>0.96957099999999996</v>
      </c>
      <c r="C35">
        <v>0.96957099999999996</v>
      </c>
      <c r="D35">
        <v>0.96957099999999996</v>
      </c>
      <c r="E35">
        <v>0.96957099999999996</v>
      </c>
      <c r="F35">
        <v>0.96957099999999996</v>
      </c>
      <c r="G35">
        <v>0.96957099999999996</v>
      </c>
      <c r="H35">
        <v>0.96957099999999996</v>
      </c>
      <c r="I35">
        <v>0.96957099999999996</v>
      </c>
      <c r="J35">
        <v>0.96957099999999996</v>
      </c>
      <c r="K35">
        <v>0.96957099999999996</v>
      </c>
      <c r="L35">
        <v>0.96957099999999996</v>
      </c>
      <c r="M35">
        <v>0.96957099999999996</v>
      </c>
      <c r="N35">
        <v>0.96957099999999996</v>
      </c>
      <c r="O35">
        <v>0.96957099999999996</v>
      </c>
      <c r="P35">
        <v>0.96957099999999996</v>
      </c>
      <c r="Q35">
        <v>0.96957099999999996</v>
      </c>
      <c r="R35">
        <v>0.96957099999999996</v>
      </c>
      <c r="S35">
        <v>0.96957099999999996</v>
      </c>
      <c r="T35">
        <v>0.96957099999999996</v>
      </c>
      <c r="U35">
        <v>0.96957099999999996</v>
      </c>
      <c r="V35">
        <v>0.96957099999999996</v>
      </c>
      <c r="W35">
        <v>0.96957099999999996</v>
      </c>
      <c r="X35">
        <v>0.96957099999999996</v>
      </c>
      <c r="Y35">
        <v>0.96957099999999996</v>
      </c>
      <c r="Z35">
        <v>0.96957099999999996</v>
      </c>
      <c r="AA35">
        <v>0.96957099999999996</v>
      </c>
      <c r="AC35">
        <f t="shared" si="0"/>
        <v>0.96957099999999996</v>
      </c>
      <c r="AD35">
        <f>IF(MAX(B35:AA35)-MIN(B35:AA35)&gt;Keys!$C$7,1,0)</f>
        <v>0</v>
      </c>
    </row>
    <row r="36" spans="1:30" x14ac:dyDescent="0.45">
      <c r="A36" t="s">
        <v>86</v>
      </c>
      <c r="B36">
        <v>0.90315699999999999</v>
      </c>
      <c r="C36">
        <v>0.90315699999999999</v>
      </c>
      <c r="D36">
        <v>0.90315699999999999</v>
      </c>
      <c r="E36">
        <v>0.90315699999999999</v>
      </c>
      <c r="F36">
        <v>0.90315699999999999</v>
      </c>
      <c r="G36">
        <v>0.90315699999999999</v>
      </c>
      <c r="H36">
        <v>0.90315699999999999</v>
      </c>
      <c r="I36">
        <v>0.90315699999999999</v>
      </c>
      <c r="J36">
        <v>0.90315699999999999</v>
      </c>
      <c r="K36">
        <v>0.90315699999999999</v>
      </c>
      <c r="L36">
        <v>0.90315699999999999</v>
      </c>
      <c r="M36">
        <v>0.90315699999999999</v>
      </c>
      <c r="N36">
        <v>0.90315699999999999</v>
      </c>
      <c r="O36">
        <v>0.90315699999999999</v>
      </c>
      <c r="P36">
        <v>0.90315699999999999</v>
      </c>
      <c r="Q36">
        <v>0.90315699999999999</v>
      </c>
      <c r="R36">
        <v>0.90315699999999999</v>
      </c>
      <c r="S36">
        <v>0.90315699999999999</v>
      </c>
      <c r="T36">
        <v>0.90315699999999999</v>
      </c>
      <c r="U36">
        <v>0.90315699999999999</v>
      </c>
      <c r="V36">
        <v>0.90315699999999999</v>
      </c>
      <c r="W36">
        <v>0.90315699999999999</v>
      </c>
      <c r="X36">
        <v>0.90315699999999999</v>
      </c>
      <c r="Y36">
        <v>0.90315699999999999</v>
      </c>
      <c r="Z36">
        <v>0.90315699999999999</v>
      </c>
      <c r="AA36">
        <v>0.90315699999999999</v>
      </c>
      <c r="AC36">
        <f t="shared" si="0"/>
        <v>0.90315699999999999</v>
      </c>
      <c r="AD36">
        <f>IF(MAX(B36:AA36)-MIN(B36:AA36)&gt;Keys!$C$7,1,0)</f>
        <v>0</v>
      </c>
    </row>
    <row r="37" spans="1:30" x14ac:dyDescent="0.45">
      <c r="A37" t="s">
        <v>88</v>
      </c>
      <c r="B37">
        <v>0.80702200000000002</v>
      </c>
      <c r="C37">
        <v>0.80702200000000002</v>
      </c>
      <c r="D37">
        <v>0.80702200000000002</v>
      </c>
      <c r="E37">
        <v>0.80702200000000002</v>
      </c>
      <c r="F37">
        <v>0.80702200000000002</v>
      </c>
      <c r="G37">
        <v>0.80702200000000002</v>
      </c>
      <c r="H37">
        <v>0.80702200000000002</v>
      </c>
      <c r="I37">
        <v>0.80702200000000002</v>
      </c>
      <c r="J37">
        <v>0.80702200000000002</v>
      </c>
      <c r="K37">
        <v>0.80702200000000002</v>
      </c>
      <c r="L37">
        <v>0.80702200000000002</v>
      </c>
      <c r="M37">
        <v>0.80702200000000002</v>
      </c>
      <c r="N37">
        <v>0.80702200000000002</v>
      </c>
      <c r="O37">
        <v>0.80702200000000002</v>
      </c>
      <c r="P37">
        <v>0.80702200000000002</v>
      </c>
      <c r="Q37">
        <v>0.80702200000000002</v>
      </c>
      <c r="R37">
        <v>0.80702200000000002</v>
      </c>
      <c r="S37">
        <v>0.80702200000000002</v>
      </c>
      <c r="T37">
        <v>0.80702200000000002</v>
      </c>
      <c r="U37">
        <v>0.80702200000000002</v>
      </c>
      <c r="V37">
        <v>0.80702200000000002</v>
      </c>
      <c r="W37">
        <v>0.80702200000000002</v>
      </c>
      <c r="X37">
        <v>0.80702200000000002</v>
      </c>
      <c r="Y37">
        <v>0.80702200000000002</v>
      </c>
      <c r="Z37">
        <v>0.80702200000000002</v>
      </c>
      <c r="AA37">
        <v>0.80702200000000002</v>
      </c>
      <c r="AC37">
        <f t="shared" si="0"/>
        <v>0.80702200000000002</v>
      </c>
      <c r="AD37">
        <f>IF(MAX(B37:AA37)-MIN(B37:AA37)&gt;Keys!$C$7,1,0)</f>
        <v>0</v>
      </c>
    </row>
    <row r="38" spans="1:30" x14ac:dyDescent="0.45">
      <c r="A38" t="s">
        <v>90</v>
      </c>
      <c r="B38">
        <v>0.87068299999999998</v>
      </c>
      <c r="C38">
        <v>0.87068299999999998</v>
      </c>
      <c r="D38">
        <v>0.87068299999999998</v>
      </c>
      <c r="E38">
        <v>0.87068299999999998</v>
      </c>
      <c r="F38">
        <v>0.87068299999999998</v>
      </c>
      <c r="G38">
        <v>0.87068299999999998</v>
      </c>
      <c r="H38">
        <v>0.87068299999999998</v>
      </c>
      <c r="I38">
        <v>0.87068299999999998</v>
      </c>
      <c r="J38">
        <v>0.87068299999999998</v>
      </c>
      <c r="K38">
        <v>0.87068299999999998</v>
      </c>
      <c r="L38">
        <v>0.87068299999999998</v>
      </c>
      <c r="M38">
        <v>0.87068299999999998</v>
      </c>
      <c r="N38">
        <v>0.87068299999999998</v>
      </c>
      <c r="O38">
        <v>0.87068299999999998</v>
      </c>
      <c r="P38">
        <v>0.87068299999999998</v>
      </c>
      <c r="Q38">
        <v>0.87068299999999998</v>
      </c>
      <c r="R38">
        <v>0.87068299999999998</v>
      </c>
      <c r="S38">
        <v>0.87068299999999998</v>
      </c>
      <c r="T38">
        <v>0.87068299999999998</v>
      </c>
      <c r="U38">
        <v>0.87068299999999998</v>
      </c>
      <c r="V38">
        <v>0.87068299999999998</v>
      </c>
      <c r="W38">
        <v>0.87068299999999998</v>
      </c>
      <c r="X38">
        <v>0.87068299999999998</v>
      </c>
      <c r="Y38">
        <v>0.87068299999999998</v>
      </c>
      <c r="Z38">
        <v>0.87068299999999998</v>
      </c>
      <c r="AA38">
        <v>0.87068299999999998</v>
      </c>
      <c r="AC38">
        <f t="shared" si="0"/>
        <v>0.87068299999999998</v>
      </c>
      <c r="AD38">
        <f>IF(MAX(B38:AA38)-MIN(B38:AA38)&gt;Keys!$C$7,1,0)</f>
        <v>0</v>
      </c>
    </row>
    <row r="39" spans="1:30" x14ac:dyDescent="0.45">
      <c r="A39" t="s">
        <v>92</v>
      </c>
      <c r="B39">
        <v>1</v>
      </c>
      <c r="C39">
        <v>1</v>
      </c>
      <c r="D39">
        <v>1</v>
      </c>
      <c r="E39">
        <v>1</v>
      </c>
      <c r="F39">
        <v>1</v>
      </c>
      <c r="G39">
        <v>1</v>
      </c>
      <c r="H39">
        <v>1</v>
      </c>
      <c r="I39">
        <v>1</v>
      </c>
      <c r="J39">
        <v>1</v>
      </c>
      <c r="K39">
        <v>1</v>
      </c>
      <c r="L39">
        <v>1</v>
      </c>
      <c r="M39">
        <v>1</v>
      </c>
      <c r="N39">
        <v>1</v>
      </c>
      <c r="O39">
        <v>1</v>
      </c>
      <c r="P39">
        <v>1</v>
      </c>
      <c r="Q39">
        <v>1</v>
      </c>
      <c r="R39">
        <v>1</v>
      </c>
      <c r="S39">
        <v>1</v>
      </c>
      <c r="T39">
        <v>1</v>
      </c>
      <c r="U39">
        <v>1</v>
      </c>
      <c r="V39">
        <v>1</v>
      </c>
      <c r="W39">
        <v>1</v>
      </c>
      <c r="X39">
        <v>1</v>
      </c>
      <c r="Y39">
        <v>1</v>
      </c>
      <c r="Z39">
        <v>1</v>
      </c>
      <c r="AA39">
        <v>1</v>
      </c>
      <c r="AC39">
        <f t="shared" si="0"/>
        <v>1</v>
      </c>
      <c r="AD39">
        <f>IF(MAX(B39:AA39)-MIN(B39:AA39)&gt;Keys!$C$7,1,0)</f>
        <v>0</v>
      </c>
    </row>
    <row r="40" spans="1:30" x14ac:dyDescent="0.45">
      <c r="A40" t="s">
        <v>94</v>
      </c>
      <c r="B40">
        <v>0.44725300000000001</v>
      </c>
      <c r="C40">
        <v>0.44725300000000001</v>
      </c>
      <c r="D40">
        <v>0.44725300000000001</v>
      </c>
      <c r="E40">
        <v>0.44725300000000001</v>
      </c>
      <c r="F40">
        <v>0.44725300000000001</v>
      </c>
      <c r="G40">
        <v>0.44725300000000001</v>
      </c>
      <c r="H40">
        <v>0.44725300000000001</v>
      </c>
      <c r="I40">
        <v>0.44725300000000001</v>
      </c>
      <c r="J40">
        <v>0.44725300000000001</v>
      </c>
      <c r="K40">
        <v>0.44725300000000001</v>
      </c>
      <c r="L40">
        <v>0.44725300000000001</v>
      </c>
      <c r="M40">
        <v>0.44725300000000001</v>
      </c>
      <c r="N40">
        <v>0.44725300000000001</v>
      </c>
      <c r="O40">
        <v>0.44725300000000001</v>
      </c>
      <c r="P40">
        <v>0.44725300000000001</v>
      </c>
      <c r="Q40">
        <v>0.44725300000000001</v>
      </c>
      <c r="R40">
        <v>0.44725300000000001</v>
      </c>
      <c r="S40">
        <v>0.44725300000000001</v>
      </c>
      <c r="T40">
        <v>0.44725300000000001</v>
      </c>
      <c r="U40">
        <v>0.44725300000000001</v>
      </c>
      <c r="V40">
        <v>0.44725300000000001</v>
      </c>
      <c r="W40">
        <v>0.44725300000000001</v>
      </c>
      <c r="X40">
        <v>0.44725300000000001</v>
      </c>
      <c r="Y40">
        <v>0.44725300000000001</v>
      </c>
      <c r="Z40">
        <v>0.44725300000000001</v>
      </c>
      <c r="AA40">
        <v>0.44725300000000001</v>
      </c>
      <c r="AC40">
        <f t="shared" si="0"/>
        <v>0.44725300000000001</v>
      </c>
      <c r="AD40">
        <f>IF(MAX(B40:AA40)-MIN(B40:AA40)&gt;Keys!$C$7,1,0)</f>
        <v>0</v>
      </c>
    </row>
    <row r="41" spans="1:30" x14ac:dyDescent="0.45">
      <c r="A41" t="s">
        <v>96</v>
      </c>
      <c r="B41">
        <v>0.43117499999999997</v>
      </c>
      <c r="C41">
        <v>0.43117499999999997</v>
      </c>
      <c r="D41">
        <v>0.43117499999999997</v>
      </c>
      <c r="E41">
        <v>0.43117499999999997</v>
      </c>
      <c r="F41">
        <v>0.43117499999999997</v>
      </c>
      <c r="G41">
        <v>0.43117499999999997</v>
      </c>
      <c r="H41">
        <v>0.43117499999999997</v>
      </c>
      <c r="I41">
        <v>0.43117499999999997</v>
      </c>
      <c r="J41">
        <v>0.43117499999999997</v>
      </c>
      <c r="K41">
        <v>0.43117499999999997</v>
      </c>
      <c r="L41">
        <v>0.43117499999999997</v>
      </c>
      <c r="M41">
        <v>0.43117499999999997</v>
      </c>
      <c r="N41">
        <v>0.43117499999999997</v>
      </c>
      <c r="O41">
        <v>0.43117499999999997</v>
      </c>
      <c r="P41">
        <v>0.43117499999999997</v>
      </c>
      <c r="Q41">
        <v>0.43117499999999997</v>
      </c>
      <c r="R41">
        <v>0.43117499999999997</v>
      </c>
      <c r="S41">
        <v>0.43117499999999997</v>
      </c>
      <c r="T41">
        <v>0.43117499999999997</v>
      </c>
      <c r="U41">
        <v>0.43117499999999997</v>
      </c>
      <c r="V41">
        <v>0.43117499999999997</v>
      </c>
      <c r="W41">
        <v>0.43117499999999997</v>
      </c>
      <c r="X41">
        <v>0.43117499999999997</v>
      </c>
      <c r="Y41">
        <v>0.43117499999999997</v>
      </c>
      <c r="Z41">
        <v>0.43117499999999997</v>
      </c>
      <c r="AA41">
        <v>0.43117499999999997</v>
      </c>
      <c r="AC41">
        <f t="shared" si="0"/>
        <v>0.43117499999999997</v>
      </c>
      <c r="AD41">
        <f>IF(MAX(B41:AA41)-MIN(B41:AA41)&gt;Keys!$C$7,1,0)</f>
        <v>0</v>
      </c>
    </row>
    <row r="42" spans="1:30" x14ac:dyDescent="0.45">
      <c r="A42" t="s">
        <v>98</v>
      </c>
      <c r="B42">
        <v>0.29378199999999999</v>
      </c>
      <c r="C42">
        <v>0.29378199999999999</v>
      </c>
      <c r="D42">
        <v>0.29378199999999999</v>
      </c>
      <c r="E42">
        <v>0.29378199999999999</v>
      </c>
      <c r="F42">
        <v>0.29378199999999999</v>
      </c>
      <c r="G42">
        <v>0.29378199999999999</v>
      </c>
      <c r="H42">
        <v>0.29378199999999999</v>
      </c>
      <c r="I42">
        <v>0.29378199999999999</v>
      </c>
      <c r="J42">
        <v>0.29378199999999999</v>
      </c>
      <c r="K42">
        <v>0.29378199999999999</v>
      </c>
      <c r="L42">
        <v>0.29378199999999999</v>
      </c>
      <c r="M42">
        <v>0.29378199999999999</v>
      </c>
      <c r="N42">
        <v>0.29378199999999999</v>
      </c>
      <c r="O42">
        <v>0.29378199999999999</v>
      </c>
      <c r="P42">
        <v>0.29378199999999999</v>
      </c>
      <c r="Q42">
        <v>0.29378199999999999</v>
      </c>
      <c r="R42">
        <v>0.29378199999999999</v>
      </c>
      <c r="S42">
        <v>0.29378199999999999</v>
      </c>
      <c r="T42">
        <v>0.29378199999999999</v>
      </c>
      <c r="U42">
        <v>0.29378199999999999</v>
      </c>
      <c r="V42">
        <v>0.29378199999999999</v>
      </c>
      <c r="W42">
        <v>0.29378199999999999</v>
      </c>
      <c r="X42">
        <v>0.29378199999999999</v>
      </c>
      <c r="Y42">
        <v>0.29378199999999999</v>
      </c>
      <c r="Z42">
        <v>0.29378199999999999</v>
      </c>
      <c r="AA42">
        <v>0.29378199999999999</v>
      </c>
      <c r="AC42">
        <f t="shared" si="0"/>
        <v>0.29378199999999999</v>
      </c>
      <c r="AD42">
        <f>IF(MAX(B42:AA42)-MIN(B42:AA42)&gt;Keys!$C$7,1,0)</f>
        <v>0</v>
      </c>
    </row>
    <row r="43" spans="1:30" x14ac:dyDescent="0.45">
      <c r="A43" t="s">
        <v>100</v>
      </c>
      <c r="B43">
        <v>0.93392299999999995</v>
      </c>
      <c r="C43">
        <v>0.93392299999999995</v>
      </c>
      <c r="D43">
        <v>0.93392299999999995</v>
      </c>
      <c r="E43">
        <v>0.93392299999999995</v>
      </c>
      <c r="F43">
        <v>0.93392299999999995</v>
      </c>
      <c r="G43">
        <v>0.93392299999999995</v>
      </c>
      <c r="H43">
        <v>0.93392299999999995</v>
      </c>
      <c r="I43">
        <v>0.93392299999999995</v>
      </c>
      <c r="J43">
        <v>0.93392299999999995</v>
      </c>
      <c r="K43">
        <v>0.93392299999999995</v>
      </c>
      <c r="L43">
        <v>0.93392299999999995</v>
      </c>
      <c r="M43">
        <v>0.93392299999999995</v>
      </c>
      <c r="N43">
        <v>0.93392299999999995</v>
      </c>
      <c r="O43">
        <v>0.93392299999999995</v>
      </c>
      <c r="P43">
        <v>0.93392299999999995</v>
      </c>
      <c r="Q43">
        <v>0.93392299999999995</v>
      </c>
      <c r="R43">
        <v>0.93392299999999995</v>
      </c>
      <c r="S43">
        <v>0.93392299999999995</v>
      </c>
      <c r="T43">
        <v>0.93392299999999995</v>
      </c>
      <c r="U43">
        <v>0.93392299999999995</v>
      </c>
      <c r="V43">
        <v>0.93392299999999995</v>
      </c>
      <c r="W43">
        <v>0.93392299999999995</v>
      </c>
      <c r="X43">
        <v>0.93392299999999995</v>
      </c>
      <c r="Y43">
        <v>0.93392299999999995</v>
      </c>
      <c r="Z43">
        <v>0.93392299999999995</v>
      </c>
      <c r="AA43">
        <v>0.93392299999999995</v>
      </c>
      <c r="AC43">
        <f t="shared" si="0"/>
        <v>0.93392299999999995</v>
      </c>
      <c r="AD43">
        <f>IF(MAX(B43:AA43)-MIN(B43:AA43)&gt;Keys!$C$7,1,0)</f>
        <v>0</v>
      </c>
    </row>
    <row r="44" spans="1:30" x14ac:dyDescent="0.45">
      <c r="A44" t="s">
        <v>102</v>
      </c>
      <c r="B44">
        <v>0.92208000000000001</v>
      </c>
      <c r="C44">
        <v>0.92208000000000001</v>
      </c>
      <c r="D44">
        <v>0.92208000000000001</v>
      </c>
      <c r="E44">
        <v>0.92208000000000001</v>
      </c>
      <c r="F44">
        <v>0.92208000000000001</v>
      </c>
      <c r="G44">
        <v>0.92208000000000001</v>
      </c>
      <c r="H44">
        <v>0.92208000000000001</v>
      </c>
      <c r="I44">
        <v>0.92208000000000001</v>
      </c>
      <c r="J44">
        <v>0.92208000000000001</v>
      </c>
      <c r="K44">
        <v>0.92208000000000001</v>
      </c>
      <c r="L44">
        <v>0.92208000000000001</v>
      </c>
      <c r="M44">
        <v>0.92208000000000001</v>
      </c>
      <c r="N44">
        <v>0.92208000000000001</v>
      </c>
      <c r="O44">
        <v>0.92208000000000001</v>
      </c>
      <c r="P44">
        <v>0.92208000000000001</v>
      </c>
      <c r="Q44">
        <v>0.92208000000000001</v>
      </c>
      <c r="R44">
        <v>0.92208000000000001</v>
      </c>
      <c r="S44">
        <v>0.92208000000000001</v>
      </c>
      <c r="T44">
        <v>0.92208000000000001</v>
      </c>
      <c r="U44">
        <v>0.92208000000000001</v>
      </c>
      <c r="V44">
        <v>0.92208000000000001</v>
      </c>
      <c r="W44">
        <v>0.92208000000000001</v>
      </c>
      <c r="X44">
        <v>0.92208000000000001</v>
      </c>
      <c r="Y44">
        <v>0.92208000000000001</v>
      </c>
      <c r="Z44">
        <v>0.92208000000000001</v>
      </c>
      <c r="AA44">
        <v>0.92208000000000001</v>
      </c>
      <c r="AC44">
        <f t="shared" si="0"/>
        <v>0.92208000000000001</v>
      </c>
      <c r="AD44">
        <f>IF(MAX(B44:AA44)-MIN(B44:AA44)&gt;Keys!$C$7,1,0)</f>
        <v>0</v>
      </c>
    </row>
    <row r="45" spans="1:30" x14ac:dyDescent="0.45">
      <c r="A45" t="s">
        <v>104</v>
      </c>
      <c r="B45">
        <v>0.485819</v>
      </c>
      <c r="C45">
        <v>0.485819</v>
      </c>
      <c r="D45">
        <v>0.485819</v>
      </c>
      <c r="E45">
        <v>0.485819</v>
      </c>
      <c r="F45">
        <v>0.485819</v>
      </c>
      <c r="G45">
        <v>0.485819</v>
      </c>
      <c r="H45">
        <v>0.485819</v>
      </c>
      <c r="I45">
        <v>0.485819</v>
      </c>
      <c r="J45">
        <v>0.485819</v>
      </c>
      <c r="K45">
        <v>0.485819</v>
      </c>
      <c r="L45">
        <v>0.485819</v>
      </c>
      <c r="M45">
        <v>0.485819</v>
      </c>
      <c r="N45">
        <v>0.485819</v>
      </c>
      <c r="O45">
        <v>0.485819</v>
      </c>
      <c r="P45">
        <v>0.485819</v>
      </c>
      <c r="Q45">
        <v>0.485819</v>
      </c>
      <c r="R45">
        <v>0.485819</v>
      </c>
      <c r="S45">
        <v>0.485819</v>
      </c>
      <c r="T45">
        <v>0.485819</v>
      </c>
      <c r="U45">
        <v>0.485819</v>
      </c>
      <c r="V45">
        <v>0.485819</v>
      </c>
      <c r="W45">
        <v>0.485819</v>
      </c>
      <c r="X45">
        <v>0.485819</v>
      </c>
      <c r="Y45">
        <v>0.485819</v>
      </c>
      <c r="Z45">
        <v>0.485819</v>
      </c>
      <c r="AA45">
        <v>0.485819</v>
      </c>
      <c r="AC45">
        <f t="shared" si="0"/>
        <v>0.485819</v>
      </c>
      <c r="AD45">
        <f>IF(MAX(B45:AA45)-MIN(B45:AA45)&gt;Keys!$C$7,1,0)</f>
        <v>0</v>
      </c>
    </row>
    <row r="46" spans="1:30" x14ac:dyDescent="0.45">
      <c r="A46" t="s">
        <v>106</v>
      </c>
      <c r="B46">
        <v>0.73715699999999995</v>
      </c>
      <c r="C46">
        <v>0.73715699999999995</v>
      </c>
      <c r="D46">
        <v>0.73715699999999995</v>
      </c>
      <c r="E46">
        <v>0.73715699999999995</v>
      </c>
      <c r="F46">
        <v>0.73715699999999995</v>
      </c>
      <c r="G46">
        <v>0.73715699999999995</v>
      </c>
      <c r="H46">
        <v>0.73715699999999995</v>
      </c>
      <c r="I46">
        <v>0.73715699999999995</v>
      </c>
      <c r="J46">
        <v>0.73715699999999995</v>
      </c>
      <c r="K46">
        <v>0.73715699999999995</v>
      </c>
      <c r="L46">
        <v>0.73715699999999995</v>
      </c>
      <c r="M46">
        <v>0.73715699999999995</v>
      </c>
      <c r="N46">
        <v>0.73715699999999995</v>
      </c>
      <c r="O46">
        <v>0.73715699999999995</v>
      </c>
      <c r="P46">
        <v>0.73715699999999995</v>
      </c>
      <c r="Q46">
        <v>0.73715699999999995</v>
      </c>
      <c r="R46">
        <v>0.73715699999999995</v>
      </c>
      <c r="S46">
        <v>0.73715699999999995</v>
      </c>
      <c r="T46">
        <v>0.73715699999999995</v>
      </c>
      <c r="U46">
        <v>0.73715699999999995</v>
      </c>
      <c r="V46">
        <v>0.73715699999999995</v>
      </c>
      <c r="W46">
        <v>0.73715699999999995</v>
      </c>
      <c r="X46">
        <v>0.73715699999999995</v>
      </c>
      <c r="Y46">
        <v>0.73715699999999995</v>
      </c>
      <c r="Z46">
        <v>0.73715699999999995</v>
      </c>
      <c r="AA46">
        <v>0.73715699999999995</v>
      </c>
      <c r="AC46">
        <f t="shared" si="0"/>
        <v>0.73715699999999995</v>
      </c>
      <c r="AD46">
        <f>IF(MAX(B46:AA46)-MIN(B46:AA46)&gt;Keys!$C$7,1,0)</f>
        <v>0</v>
      </c>
    </row>
    <row r="47" spans="1:30" x14ac:dyDescent="0.45">
      <c r="A47" t="s">
        <v>108</v>
      </c>
      <c r="B47">
        <v>0.62505100000000002</v>
      </c>
      <c r="C47">
        <v>0.62505100000000002</v>
      </c>
      <c r="D47">
        <v>0.62505100000000002</v>
      </c>
      <c r="E47">
        <v>0.62505100000000002</v>
      </c>
      <c r="F47">
        <v>0.62505100000000002</v>
      </c>
      <c r="G47">
        <v>0.62505100000000002</v>
      </c>
      <c r="H47">
        <v>0.62505100000000002</v>
      </c>
      <c r="I47">
        <v>0.62505100000000002</v>
      </c>
      <c r="J47">
        <v>0.62505100000000002</v>
      </c>
      <c r="K47">
        <v>0.62505100000000002</v>
      </c>
      <c r="L47">
        <v>0.62505100000000002</v>
      </c>
      <c r="M47">
        <v>0.62505100000000002</v>
      </c>
      <c r="N47">
        <v>0.62505100000000002</v>
      </c>
      <c r="O47">
        <v>0.62505100000000002</v>
      </c>
      <c r="P47">
        <v>0.62505100000000002</v>
      </c>
      <c r="Q47">
        <v>0.62505100000000002</v>
      </c>
      <c r="R47">
        <v>0.62505100000000002</v>
      </c>
      <c r="S47">
        <v>0.62505100000000002</v>
      </c>
      <c r="T47">
        <v>0.62505100000000002</v>
      </c>
      <c r="U47">
        <v>0.62505100000000002</v>
      </c>
      <c r="V47">
        <v>0.62505100000000002</v>
      </c>
      <c r="W47">
        <v>0.62505100000000002</v>
      </c>
      <c r="X47">
        <v>0.62505100000000002</v>
      </c>
      <c r="Y47">
        <v>0.62505100000000002</v>
      </c>
      <c r="Z47">
        <v>0.62505100000000002</v>
      </c>
      <c r="AA47">
        <v>0.62505100000000002</v>
      </c>
      <c r="AC47">
        <f t="shared" si="0"/>
        <v>0.62505100000000002</v>
      </c>
      <c r="AD47">
        <f>IF(MAX(B47:AA47)-MIN(B47:AA47)&gt;Keys!$C$7,1,0)</f>
        <v>0</v>
      </c>
    </row>
    <row r="48" spans="1:30" x14ac:dyDescent="0.45">
      <c r="A48" t="s">
        <v>110</v>
      </c>
      <c r="B48">
        <v>1</v>
      </c>
      <c r="C48">
        <v>1</v>
      </c>
      <c r="D48">
        <v>1</v>
      </c>
      <c r="E48">
        <v>1</v>
      </c>
      <c r="F48">
        <v>1</v>
      </c>
      <c r="G48">
        <v>1</v>
      </c>
      <c r="H48">
        <v>1</v>
      </c>
      <c r="I48">
        <v>1</v>
      </c>
      <c r="J48">
        <v>1</v>
      </c>
      <c r="K48">
        <v>1</v>
      </c>
      <c r="L48">
        <v>1</v>
      </c>
      <c r="M48">
        <v>1</v>
      </c>
      <c r="N48">
        <v>1</v>
      </c>
      <c r="O48">
        <v>1</v>
      </c>
      <c r="P48">
        <v>1</v>
      </c>
      <c r="Q48">
        <v>1</v>
      </c>
      <c r="R48">
        <v>1</v>
      </c>
      <c r="S48">
        <v>1</v>
      </c>
      <c r="T48">
        <v>1</v>
      </c>
      <c r="U48">
        <v>1</v>
      </c>
      <c r="V48">
        <v>1</v>
      </c>
      <c r="W48">
        <v>1</v>
      </c>
      <c r="X48">
        <v>1</v>
      </c>
      <c r="Y48">
        <v>1</v>
      </c>
      <c r="Z48">
        <v>1</v>
      </c>
      <c r="AA48">
        <v>1</v>
      </c>
      <c r="AC48">
        <f t="shared" si="0"/>
        <v>1</v>
      </c>
      <c r="AD48">
        <f>IF(MAX(B48:AA48)-MIN(B48:AA48)&gt;Keys!$C$7,1,0)</f>
        <v>0</v>
      </c>
    </row>
    <row r="49" spans="1:30" x14ac:dyDescent="0.45">
      <c r="A49" t="s">
        <v>112</v>
      </c>
      <c r="B49">
        <v>0.71941200000000005</v>
      </c>
      <c r="C49">
        <v>0.71941200000000005</v>
      </c>
      <c r="D49">
        <v>0.71941200000000005</v>
      </c>
      <c r="E49">
        <v>0.71941200000000005</v>
      </c>
      <c r="F49">
        <v>0.71941200000000005</v>
      </c>
      <c r="G49">
        <v>0.71941200000000005</v>
      </c>
      <c r="H49">
        <v>0.71941200000000005</v>
      </c>
      <c r="I49">
        <v>0.71941200000000005</v>
      </c>
      <c r="J49">
        <v>0.71941200000000005</v>
      </c>
      <c r="K49">
        <v>0.71941200000000005</v>
      </c>
      <c r="L49">
        <v>0.71941200000000005</v>
      </c>
      <c r="M49">
        <v>0.71941200000000005</v>
      </c>
      <c r="N49">
        <v>0.71941200000000005</v>
      </c>
      <c r="O49">
        <v>0.71941200000000005</v>
      </c>
      <c r="P49">
        <v>0.71941200000000005</v>
      </c>
      <c r="Q49">
        <v>0.71941200000000005</v>
      </c>
      <c r="R49">
        <v>0.71941200000000005</v>
      </c>
      <c r="S49">
        <v>0.71941200000000005</v>
      </c>
      <c r="T49">
        <v>0.71941200000000005</v>
      </c>
      <c r="U49">
        <v>0.71941200000000005</v>
      </c>
      <c r="V49">
        <v>0.71941200000000005</v>
      </c>
      <c r="W49">
        <v>0.71941200000000005</v>
      </c>
      <c r="X49">
        <v>0.71941200000000005</v>
      </c>
      <c r="Y49">
        <v>0.71941200000000005</v>
      </c>
      <c r="Z49">
        <v>0.71941200000000005</v>
      </c>
      <c r="AA49">
        <v>0.71941200000000005</v>
      </c>
      <c r="AC49">
        <f t="shared" si="0"/>
        <v>0.71941200000000005</v>
      </c>
      <c r="AD49">
        <f>IF(MAX(B49:AA49)-MIN(B49:AA49)&gt;Keys!$C$7,1,0)</f>
        <v>0</v>
      </c>
    </row>
    <row r="50" spans="1:30" x14ac:dyDescent="0.45">
      <c r="A50" t="s">
        <v>114</v>
      </c>
      <c r="B50">
        <v>0.91465099999999999</v>
      </c>
      <c r="C50">
        <v>0.91465099999999999</v>
      </c>
      <c r="D50">
        <v>0.91465099999999999</v>
      </c>
      <c r="E50">
        <v>0.91465099999999999</v>
      </c>
      <c r="F50">
        <v>0.91465099999999999</v>
      </c>
      <c r="G50">
        <v>0.91465099999999999</v>
      </c>
      <c r="H50">
        <v>0.91465099999999999</v>
      </c>
      <c r="I50">
        <v>0.91465099999999999</v>
      </c>
      <c r="J50">
        <v>0.91465099999999999</v>
      </c>
      <c r="K50">
        <v>0.91465099999999999</v>
      </c>
      <c r="L50">
        <v>0.91465099999999999</v>
      </c>
      <c r="M50">
        <v>0.91465099999999999</v>
      </c>
      <c r="N50">
        <v>0.91465099999999999</v>
      </c>
      <c r="O50">
        <v>0.91465099999999999</v>
      </c>
      <c r="P50">
        <v>0.91465099999999999</v>
      </c>
      <c r="Q50">
        <v>0.91465099999999999</v>
      </c>
      <c r="R50">
        <v>0.91465099999999999</v>
      </c>
      <c r="S50">
        <v>0.91465099999999999</v>
      </c>
      <c r="T50">
        <v>0.91465099999999999</v>
      </c>
      <c r="U50">
        <v>0.91465099999999999</v>
      </c>
      <c r="V50">
        <v>0.91465099999999999</v>
      </c>
      <c r="W50">
        <v>0.91465099999999999</v>
      </c>
      <c r="X50">
        <v>0.91465099999999999</v>
      </c>
      <c r="Y50">
        <v>0.91465099999999999</v>
      </c>
      <c r="Z50">
        <v>0.91465099999999999</v>
      </c>
      <c r="AA50">
        <v>0.91465099999999999</v>
      </c>
      <c r="AC50">
        <f t="shared" si="0"/>
        <v>0.91465099999999999</v>
      </c>
      <c r="AD50">
        <f>IF(MAX(B50:AA50)-MIN(B50:AA50)&gt;Keys!$C$7,1,0)</f>
        <v>0</v>
      </c>
    </row>
    <row r="51" spans="1:30" x14ac:dyDescent="0.45">
      <c r="A51" t="s">
        <v>116</v>
      </c>
      <c r="B51">
        <v>0.64201799999999998</v>
      </c>
      <c r="C51">
        <v>0.64201799999999998</v>
      </c>
      <c r="D51">
        <v>0.64201799999999998</v>
      </c>
      <c r="E51">
        <v>0.64201799999999998</v>
      </c>
      <c r="F51">
        <v>0.64201799999999998</v>
      </c>
      <c r="G51">
        <v>0.64201799999999998</v>
      </c>
      <c r="H51">
        <v>0.64201799999999998</v>
      </c>
      <c r="I51">
        <v>0.64201799999999998</v>
      </c>
      <c r="J51">
        <v>0.64201799999999998</v>
      </c>
      <c r="K51">
        <v>0.64201799999999998</v>
      </c>
      <c r="L51">
        <v>0.64201799999999998</v>
      </c>
      <c r="M51">
        <v>0.64201799999999998</v>
      </c>
      <c r="N51">
        <v>0.64201799999999998</v>
      </c>
      <c r="O51">
        <v>0.64201799999999998</v>
      </c>
      <c r="P51">
        <v>0.64201799999999998</v>
      </c>
      <c r="Q51">
        <v>0.64201799999999998</v>
      </c>
      <c r="R51">
        <v>0.64201799999999998</v>
      </c>
      <c r="S51">
        <v>0.64201799999999998</v>
      </c>
      <c r="T51">
        <v>0.64201799999999998</v>
      </c>
      <c r="U51">
        <v>0.64201799999999998</v>
      </c>
      <c r="V51">
        <v>0.64201799999999998</v>
      </c>
      <c r="W51">
        <v>0.64201799999999998</v>
      </c>
      <c r="X51">
        <v>0.64201799999999998</v>
      </c>
      <c r="Y51">
        <v>0.64201799999999998</v>
      </c>
      <c r="Z51">
        <v>0.64201799999999998</v>
      </c>
      <c r="AA51">
        <v>0.64201799999999998</v>
      </c>
      <c r="AC51">
        <f t="shared" si="0"/>
        <v>0.64201799999999998</v>
      </c>
      <c r="AD51">
        <f>IF(MAX(B51:AA51)-MIN(B51:AA51)&gt;Keys!$C$7,1,0)</f>
        <v>0</v>
      </c>
    </row>
    <row r="52" spans="1:30" x14ac:dyDescent="0.45">
      <c r="A52" t="s">
        <v>118</v>
      </c>
      <c r="B52">
        <v>1</v>
      </c>
      <c r="C52">
        <v>1</v>
      </c>
      <c r="D52">
        <v>1</v>
      </c>
      <c r="E52">
        <v>1</v>
      </c>
      <c r="F52">
        <v>1</v>
      </c>
      <c r="G52">
        <v>1</v>
      </c>
      <c r="H52">
        <v>1</v>
      </c>
      <c r="I52">
        <v>1</v>
      </c>
      <c r="J52">
        <v>1</v>
      </c>
      <c r="K52">
        <v>1</v>
      </c>
      <c r="L52">
        <v>1</v>
      </c>
      <c r="M52">
        <v>1</v>
      </c>
      <c r="N52">
        <v>1</v>
      </c>
      <c r="O52">
        <v>1</v>
      </c>
      <c r="P52">
        <v>1</v>
      </c>
      <c r="Q52">
        <v>1</v>
      </c>
      <c r="R52">
        <v>1</v>
      </c>
      <c r="S52">
        <v>1</v>
      </c>
      <c r="T52">
        <v>1</v>
      </c>
      <c r="U52">
        <v>1</v>
      </c>
      <c r="V52">
        <v>1</v>
      </c>
      <c r="W52">
        <v>1</v>
      </c>
      <c r="X52">
        <v>1</v>
      </c>
      <c r="Y52">
        <v>1</v>
      </c>
      <c r="Z52">
        <v>1</v>
      </c>
      <c r="AA52">
        <v>1</v>
      </c>
      <c r="AC52">
        <f t="shared" si="0"/>
        <v>1</v>
      </c>
      <c r="AD52">
        <f>IF(MAX(B52:AA52)-MIN(B52:AA52)&gt;Keys!$C$7,1,0)</f>
        <v>0</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F52"/>
  <sheetViews>
    <sheetView workbookViewId="0"/>
  </sheetViews>
  <sheetFormatPr defaultRowHeight="14.25" x14ac:dyDescent="0.45"/>
  <sheetData>
    <row r="1" spans="1:214" x14ac:dyDescent="0.45">
      <c r="A1" s="8" t="s">
        <v>180</v>
      </c>
      <c r="B1" s="9"/>
      <c r="C1" s="9"/>
      <c r="D1" s="9"/>
      <c r="E1" s="9"/>
      <c r="F1" s="9"/>
      <c r="G1" s="9"/>
      <c r="H1" s="9"/>
      <c r="I1" s="9"/>
      <c r="J1" s="9"/>
      <c r="K1" s="9"/>
      <c r="L1" s="9"/>
      <c r="M1" s="9"/>
      <c r="N1" s="9"/>
      <c r="O1" s="9"/>
      <c r="P1" s="9"/>
      <c r="Q1" s="9"/>
      <c r="R1" s="9"/>
      <c r="S1" s="9"/>
      <c r="T1" s="9"/>
      <c r="U1" s="9"/>
      <c r="V1" s="9"/>
      <c r="W1" s="9"/>
      <c r="X1" s="9"/>
      <c r="Y1" s="9"/>
      <c r="Z1" s="9"/>
      <c r="AA1" s="9"/>
      <c r="AB1" s="9"/>
      <c r="AC1" s="9"/>
      <c r="AD1" s="9"/>
    </row>
    <row r="2" spans="1:214" ht="327.75" x14ac:dyDescent="0.45">
      <c r="A2" s="10" t="s">
        <v>181</v>
      </c>
    </row>
    <row r="3" spans="1:214" x14ac:dyDescent="0.45">
      <c r="A3" s="3" t="s">
        <v>182</v>
      </c>
    </row>
    <row r="4" spans="1:214" ht="60" customHeight="1" x14ac:dyDescent="0.45">
      <c r="A4" s="7" t="s">
        <v>147</v>
      </c>
      <c r="B4" s="1" t="s">
        <v>183</v>
      </c>
      <c r="C4" s="1" t="s">
        <v>184</v>
      </c>
      <c r="D4" s="1" t="s">
        <v>185</v>
      </c>
      <c r="E4" s="1" t="s">
        <v>186</v>
      </c>
      <c r="F4" s="1" t="s">
        <v>187</v>
      </c>
      <c r="G4" s="1" t="s">
        <v>188</v>
      </c>
      <c r="H4" s="1" t="s">
        <v>189</v>
      </c>
      <c r="I4" s="1" t="s">
        <v>190</v>
      </c>
      <c r="J4" s="1" t="s">
        <v>191</v>
      </c>
      <c r="K4" s="1" t="s">
        <v>192</v>
      </c>
      <c r="L4" s="1" t="s">
        <v>193</v>
      </c>
      <c r="M4" s="1" t="s">
        <v>194</v>
      </c>
      <c r="N4" s="1" t="s">
        <v>195</v>
      </c>
      <c r="O4" s="1" t="s">
        <v>196</v>
      </c>
      <c r="P4" s="1" t="s">
        <v>197</v>
      </c>
      <c r="Q4" s="1" t="s">
        <v>198</v>
      </c>
      <c r="R4" s="1" t="s">
        <v>199</v>
      </c>
      <c r="S4" s="1" t="s">
        <v>200</v>
      </c>
      <c r="T4" s="1" t="s">
        <v>201</v>
      </c>
      <c r="U4" s="1" t="s">
        <v>202</v>
      </c>
      <c r="V4" s="1" t="s">
        <v>203</v>
      </c>
      <c r="W4" s="1" t="s">
        <v>204</v>
      </c>
      <c r="X4" s="1" t="s">
        <v>205</v>
      </c>
      <c r="Y4" s="1" t="s">
        <v>206</v>
      </c>
      <c r="Z4" s="1" t="s">
        <v>207</v>
      </c>
      <c r="AA4" s="1" t="s">
        <v>208</v>
      </c>
      <c r="AB4" s="1" t="s">
        <v>209</v>
      </c>
      <c r="AC4" s="1" t="s">
        <v>210</v>
      </c>
      <c r="AD4" s="1" t="s">
        <v>211</v>
      </c>
      <c r="AE4" s="1" t="s">
        <v>212</v>
      </c>
      <c r="AF4" s="1" t="s">
        <v>213</v>
      </c>
      <c r="AG4" s="1" t="s">
        <v>214</v>
      </c>
      <c r="AH4" s="1" t="s">
        <v>215</v>
      </c>
      <c r="AI4" s="1" t="s">
        <v>216</v>
      </c>
      <c r="AJ4" s="1" t="s">
        <v>217</v>
      </c>
      <c r="AK4" s="1" t="s">
        <v>218</v>
      </c>
      <c r="AL4" s="1" t="s">
        <v>219</v>
      </c>
      <c r="AM4" s="1" t="s">
        <v>220</v>
      </c>
      <c r="AN4" s="1" t="s">
        <v>221</v>
      </c>
      <c r="AO4" s="1" t="s">
        <v>222</v>
      </c>
      <c r="AP4" s="1" t="s">
        <v>223</v>
      </c>
      <c r="AQ4" s="1" t="s">
        <v>224</v>
      </c>
      <c r="AR4" s="1" t="s">
        <v>225</v>
      </c>
      <c r="AS4" s="1" t="s">
        <v>226</v>
      </c>
      <c r="AT4" s="1" t="s">
        <v>227</v>
      </c>
      <c r="AU4" s="1" t="s">
        <v>228</v>
      </c>
      <c r="AV4" s="1" t="s">
        <v>229</v>
      </c>
      <c r="AW4" s="1" t="s">
        <v>230</v>
      </c>
      <c r="AX4" s="1" t="s">
        <v>231</v>
      </c>
      <c r="AY4" s="1" t="s">
        <v>232</v>
      </c>
      <c r="AZ4" s="1" t="s">
        <v>233</v>
      </c>
      <c r="BA4" s="1" t="s">
        <v>234</v>
      </c>
      <c r="BB4" s="1" t="s">
        <v>235</v>
      </c>
      <c r="BC4" s="1" t="s">
        <v>236</v>
      </c>
      <c r="BD4" s="1" t="s">
        <v>237</v>
      </c>
      <c r="BE4" s="1" t="s">
        <v>238</v>
      </c>
      <c r="BF4" s="1" t="s">
        <v>239</v>
      </c>
      <c r="BG4" s="1" t="s">
        <v>240</v>
      </c>
      <c r="BH4" s="1" t="s">
        <v>241</v>
      </c>
      <c r="BI4" s="1" t="s">
        <v>242</v>
      </c>
      <c r="BJ4" s="1" t="s">
        <v>243</v>
      </c>
      <c r="BK4" s="1" t="s">
        <v>244</v>
      </c>
      <c r="BL4" s="1" t="s">
        <v>245</v>
      </c>
      <c r="BM4" s="1" t="s">
        <v>246</v>
      </c>
      <c r="BN4" s="1" t="s">
        <v>247</v>
      </c>
      <c r="BO4" s="1" t="s">
        <v>248</v>
      </c>
      <c r="BP4" s="1" t="s">
        <v>249</v>
      </c>
      <c r="BQ4" s="1" t="s">
        <v>250</v>
      </c>
      <c r="BR4" s="1" t="s">
        <v>251</v>
      </c>
      <c r="BS4" s="1" t="s">
        <v>252</v>
      </c>
      <c r="BT4" s="1" t="s">
        <v>253</v>
      </c>
      <c r="BU4" s="1" t="s">
        <v>254</v>
      </c>
      <c r="BV4" s="1" t="s">
        <v>255</v>
      </c>
      <c r="BW4" s="1" t="s">
        <v>256</v>
      </c>
      <c r="BX4" s="1" t="s">
        <v>257</v>
      </c>
      <c r="BY4" s="1" t="s">
        <v>258</v>
      </c>
      <c r="BZ4" s="1" t="s">
        <v>259</v>
      </c>
      <c r="CA4" s="1" t="s">
        <v>260</v>
      </c>
      <c r="CB4" s="1" t="s">
        <v>261</v>
      </c>
      <c r="CC4" s="1" t="s">
        <v>262</v>
      </c>
      <c r="CD4" s="1" t="s">
        <v>263</v>
      </c>
      <c r="CE4" s="1" t="s">
        <v>264</v>
      </c>
      <c r="CF4" s="1" t="s">
        <v>265</v>
      </c>
      <c r="CG4" s="1" t="s">
        <v>266</v>
      </c>
      <c r="CH4" s="1" t="s">
        <v>267</v>
      </c>
      <c r="CI4" s="1" t="s">
        <v>268</v>
      </c>
      <c r="CJ4" s="1" t="s">
        <v>269</v>
      </c>
      <c r="CK4" s="1" t="s">
        <v>270</v>
      </c>
      <c r="CL4" s="1" t="s">
        <v>271</v>
      </c>
      <c r="CM4" s="1" t="s">
        <v>272</v>
      </c>
      <c r="CN4" s="1" t="s">
        <v>273</v>
      </c>
      <c r="CO4" s="1" t="s">
        <v>274</v>
      </c>
      <c r="CP4" s="1" t="s">
        <v>275</v>
      </c>
      <c r="CQ4" s="1" t="s">
        <v>276</v>
      </c>
      <c r="CR4" s="1" t="s">
        <v>277</v>
      </c>
      <c r="CS4" s="1" t="s">
        <v>278</v>
      </c>
      <c r="CT4" s="1" t="s">
        <v>279</v>
      </c>
      <c r="CU4" s="1" t="s">
        <v>280</v>
      </c>
      <c r="CV4" s="1" t="s">
        <v>281</v>
      </c>
      <c r="CW4" s="1" t="s">
        <v>282</v>
      </c>
      <c r="CX4" s="1" t="s">
        <v>283</v>
      </c>
      <c r="CY4" s="1" t="s">
        <v>284</v>
      </c>
      <c r="CZ4" s="1" t="s">
        <v>285</v>
      </c>
      <c r="DA4" s="1" t="s">
        <v>286</v>
      </c>
      <c r="DB4" s="1" t="s">
        <v>287</v>
      </c>
      <c r="DC4" s="1" t="s">
        <v>288</v>
      </c>
      <c r="DD4" s="1" t="s">
        <v>289</v>
      </c>
      <c r="DE4" s="1" t="s">
        <v>290</v>
      </c>
      <c r="DF4" s="1" t="s">
        <v>291</v>
      </c>
      <c r="DG4" s="1" t="s">
        <v>292</v>
      </c>
      <c r="DH4" s="1" t="s">
        <v>293</v>
      </c>
      <c r="DI4" s="1" t="s">
        <v>294</v>
      </c>
      <c r="DJ4" s="1" t="s">
        <v>295</v>
      </c>
      <c r="DK4" s="1" t="s">
        <v>296</v>
      </c>
      <c r="DL4" s="1" t="s">
        <v>297</v>
      </c>
      <c r="DM4" s="1" t="s">
        <v>298</v>
      </c>
      <c r="DN4" s="1" t="s">
        <v>299</v>
      </c>
      <c r="DO4" s="1" t="s">
        <v>300</v>
      </c>
      <c r="DP4" s="1" t="s">
        <v>301</v>
      </c>
      <c r="DQ4" s="1" t="s">
        <v>302</v>
      </c>
      <c r="DR4" s="1" t="s">
        <v>303</v>
      </c>
      <c r="DS4" s="1" t="s">
        <v>304</v>
      </c>
      <c r="DT4" s="1" t="s">
        <v>305</v>
      </c>
      <c r="DU4" s="1" t="s">
        <v>306</v>
      </c>
      <c r="DV4" s="1" t="s">
        <v>307</v>
      </c>
      <c r="DW4" s="1" t="s">
        <v>308</v>
      </c>
      <c r="DX4" s="1" t="s">
        <v>309</v>
      </c>
      <c r="DY4" s="1" t="s">
        <v>310</v>
      </c>
      <c r="DZ4" s="1" t="s">
        <v>311</v>
      </c>
      <c r="EA4" s="1" t="s">
        <v>312</v>
      </c>
      <c r="EB4" s="1" t="s">
        <v>313</v>
      </c>
      <c r="EC4" s="1" t="s">
        <v>314</v>
      </c>
      <c r="ED4" s="1" t="s">
        <v>315</v>
      </c>
      <c r="EE4" s="1" t="s">
        <v>316</v>
      </c>
      <c r="EF4" s="1" t="s">
        <v>317</v>
      </c>
      <c r="EG4" s="1" t="s">
        <v>318</v>
      </c>
      <c r="EH4" s="1" t="s">
        <v>319</v>
      </c>
      <c r="EI4" s="1" t="s">
        <v>320</v>
      </c>
      <c r="EJ4" s="1" t="s">
        <v>321</v>
      </c>
      <c r="EK4" s="1" t="s">
        <v>322</v>
      </c>
      <c r="EL4" s="1" t="s">
        <v>323</v>
      </c>
      <c r="EM4" s="1" t="s">
        <v>324</v>
      </c>
      <c r="EN4" s="1" t="s">
        <v>325</v>
      </c>
      <c r="EO4" s="1" t="s">
        <v>326</v>
      </c>
      <c r="EP4" s="1" t="s">
        <v>327</v>
      </c>
      <c r="EQ4" s="1" t="s">
        <v>328</v>
      </c>
      <c r="ER4" s="1" t="s">
        <v>329</v>
      </c>
      <c r="ES4" s="1" t="s">
        <v>330</v>
      </c>
      <c r="ET4" s="1" t="s">
        <v>331</v>
      </c>
      <c r="EU4" s="1" t="s">
        <v>332</v>
      </c>
      <c r="EV4" s="1" t="s">
        <v>333</v>
      </c>
      <c r="EW4" s="1" t="s">
        <v>334</v>
      </c>
      <c r="EX4" s="1" t="s">
        <v>335</v>
      </c>
      <c r="EY4" s="1" t="s">
        <v>336</v>
      </c>
      <c r="EZ4" s="1" t="s">
        <v>337</v>
      </c>
      <c r="FA4" s="1" t="s">
        <v>338</v>
      </c>
      <c r="FB4" s="1" t="s">
        <v>339</v>
      </c>
      <c r="FC4" s="1" t="s">
        <v>340</v>
      </c>
      <c r="FD4" s="1" t="s">
        <v>341</v>
      </c>
      <c r="FE4" s="1" t="s">
        <v>342</v>
      </c>
      <c r="FF4" s="1" t="s">
        <v>343</v>
      </c>
      <c r="FG4" s="1" t="s">
        <v>344</v>
      </c>
      <c r="FH4" s="1" t="s">
        <v>345</v>
      </c>
      <c r="FI4" s="1" t="s">
        <v>346</v>
      </c>
      <c r="FJ4" s="1" t="s">
        <v>347</v>
      </c>
      <c r="FK4" s="1" t="s">
        <v>348</v>
      </c>
      <c r="FL4" s="1" t="s">
        <v>349</v>
      </c>
      <c r="FM4" s="1" t="s">
        <v>350</v>
      </c>
      <c r="FN4" s="1" t="s">
        <v>351</v>
      </c>
      <c r="FO4" s="1" t="s">
        <v>352</v>
      </c>
      <c r="FP4" s="1" t="s">
        <v>353</v>
      </c>
      <c r="FQ4" s="1" t="s">
        <v>354</v>
      </c>
      <c r="FR4" s="1" t="s">
        <v>355</v>
      </c>
      <c r="FS4" s="1" t="s">
        <v>356</v>
      </c>
      <c r="FT4" s="1" t="s">
        <v>357</v>
      </c>
      <c r="FU4" s="1" t="s">
        <v>358</v>
      </c>
      <c r="FV4" s="1" t="s">
        <v>359</v>
      </c>
      <c r="FW4" s="1" t="s">
        <v>360</v>
      </c>
      <c r="FX4" s="1" t="s">
        <v>361</v>
      </c>
      <c r="FY4" s="1" t="s">
        <v>362</v>
      </c>
      <c r="FZ4" s="1" t="s">
        <v>363</v>
      </c>
      <c r="GA4" s="1" t="s">
        <v>364</v>
      </c>
      <c r="GB4" s="1" t="s">
        <v>365</v>
      </c>
      <c r="GC4" s="1" t="s">
        <v>366</v>
      </c>
      <c r="GD4" s="1" t="s">
        <v>367</v>
      </c>
      <c r="GE4" s="1" t="s">
        <v>368</v>
      </c>
      <c r="GF4" s="1" t="s">
        <v>369</v>
      </c>
      <c r="GG4" s="1" t="s">
        <v>370</v>
      </c>
      <c r="GH4" s="1" t="s">
        <v>371</v>
      </c>
      <c r="GI4" s="1" t="s">
        <v>372</v>
      </c>
      <c r="GJ4" s="1" t="s">
        <v>373</v>
      </c>
      <c r="GK4" s="1" t="s">
        <v>374</v>
      </c>
      <c r="GL4" s="1" t="s">
        <v>375</v>
      </c>
      <c r="GM4" s="1" t="s">
        <v>376</v>
      </c>
      <c r="GN4" s="1" t="s">
        <v>377</v>
      </c>
      <c r="GO4" s="1" t="s">
        <v>378</v>
      </c>
      <c r="GP4" s="1" t="s">
        <v>379</v>
      </c>
      <c r="GQ4" s="1" t="s">
        <v>380</v>
      </c>
      <c r="GR4" s="1" t="s">
        <v>381</v>
      </c>
      <c r="GS4" s="1" t="s">
        <v>382</v>
      </c>
      <c r="GT4" s="1" t="s">
        <v>383</v>
      </c>
      <c r="GU4" s="1" t="s">
        <v>384</v>
      </c>
      <c r="GV4" s="1" t="s">
        <v>385</v>
      </c>
      <c r="GW4" s="1" t="s">
        <v>386</v>
      </c>
      <c r="GX4" s="1" t="s">
        <v>387</v>
      </c>
      <c r="GY4" s="1" t="s">
        <v>388</v>
      </c>
      <c r="GZ4" s="1" t="s">
        <v>389</v>
      </c>
      <c r="HA4" s="1" t="s">
        <v>390</v>
      </c>
      <c r="HB4" s="1" t="s">
        <v>391</v>
      </c>
      <c r="HC4" s="1" t="s">
        <v>392</v>
      </c>
      <c r="HE4" s="7" t="s">
        <v>393</v>
      </c>
      <c r="HF4" s="7" t="s">
        <v>394</v>
      </c>
    </row>
    <row r="5" spans="1:214" x14ac:dyDescent="0.45">
      <c r="A5" t="s">
        <v>2</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v>0</v>
      </c>
      <c r="AI5">
        <v>0</v>
      </c>
      <c r="AJ5">
        <v>0</v>
      </c>
      <c r="AK5">
        <v>0</v>
      </c>
      <c r="AL5">
        <v>0</v>
      </c>
      <c r="AM5">
        <v>0</v>
      </c>
      <c r="AN5">
        <v>0</v>
      </c>
      <c r="AO5">
        <v>0</v>
      </c>
      <c r="AP5">
        <v>0</v>
      </c>
      <c r="AQ5">
        <v>0</v>
      </c>
      <c r="AR5">
        <v>0</v>
      </c>
      <c r="AS5">
        <v>0</v>
      </c>
      <c r="AT5">
        <v>0</v>
      </c>
      <c r="AU5">
        <v>0</v>
      </c>
      <c r="AV5">
        <v>0</v>
      </c>
      <c r="AW5">
        <v>0</v>
      </c>
      <c r="AX5">
        <v>0</v>
      </c>
      <c r="AY5">
        <v>0</v>
      </c>
      <c r="AZ5">
        <v>0</v>
      </c>
      <c r="BA5">
        <v>0</v>
      </c>
      <c r="BB5">
        <v>0</v>
      </c>
      <c r="BC5">
        <v>0</v>
      </c>
      <c r="BD5">
        <v>0</v>
      </c>
      <c r="BE5">
        <v>0</v>
      </c>
      <c r="BF5">
        <v>0</v>
      </c>
      <c r="BG5">
        <v>0</v>
      </c>
      <c r="BH5">
        <v>0</v>
      </c>
      <c r="BI5">
        <v>0</v>
      </c>
      <c r="BJ5">
        <v>0</v>
      </c>
      <c r="BK5">
        <v>0</v>
      </c>
      <c r="BL5">
        <v>0</v>
      </c>
      <c r="BM5">
        <v>0</v>
      </c>
      <c r="BN5">
        <v>0</v>
      </c>
      <c r="BO5">
        <v>0</v>
      </c>
      <c r="BP5">
        <v>0</v>
      </c>
      <c r="BQ5">
        <v>0</v>
      </c>
      <c r="BR5">
        <v>0</v>
      </c>
      <c r="BS5">
        <v>0</v>
      </c>
      <c r="BT5">
        <v>0</v>
      </c>
      <c r="BU5">
        <v>0</v>
      </c>
      <c r="BV5">
        <v>0</v>
      </c>
      <c r="BW5">
        <v>0</v>
      </c>
      <c r="BX5">
        <v>0</v>
      </c>
      <c r="BY5">
        <v>0</v>
      </c>
      <c r="BZ5">
        <v>0</v>
      </c>
      <c r="CA5">
        <v>0</v>
      </c>
      <c r="CB5">
        <v>0</v>
      </c>
      <c r="CC5">
        <v>0</v>
      </c>
      <c r="CD5">
        <v>0</v>
      </c>
      <c r="CE5">
        <v>0</v>
      </c>
      <c r="CF5">
        <v>0</v>
      </c>
      <c r="CG5">
        <v>1227.4000000000001</v>
      </c>
      <c r="CH5">
        <v>1207.7</v>
      </c>
      <c r="CI5">
        <v>0</v>
      </c>
      <c r="CJ5">
        <v>2121.6</v>
      </c>
      <c r="CK5">
        <v>0</v>
      </c>
      <c r="CL5">
        <v>0</v>
      </c>
      <c r="CM5">
        <v>0</v>
      </c>
      <c r="CN5">
        <v>896</v>
      </c>
      <c r="CO5">
        <v>0</v>
      </c>
      <c r="CP5">
        <v>0</v>
      </c>
      <c r="CQ5">
        <v>0</v>
      </c>
      <c r="CR5">
        <v>0</v>
      </c>
      <c r="CS5">
        <v>0</v>
      </c>
      <c r="CT5">
        <v>0</v>
      </c>
      <c r="CU5">
        <v>0</v>
      </c>
      <c r="CV5">
        <v>0</v>
      </c>
      <c r="CW5">
        <v>0</v>
      </c>
      <c r="CX5">
        <v>0</v>
      </c>
      <c r="CY5">
        <v>0</v>
      </c>
      <c r="CZ5">
        <v>0</v>
      </c>
      <c r="DA5">
        <v>0</v>
      </c>
      <c r="DB5">
        <v>0</v>
      </c>
      <c r="DC5">
        <v>0</v>
      </c>
      <c r="DD5">
        <v>0</v>
      </c>
      <c r="DE5">
        <v>0</v>
      </c>
      <c r="DF5">
        <v>0</v>
      </c>
      <c r="DG5">
        <v>0</v>
      </c>
      <c r="DH5">
        <v>0</v>
      </c>
      <c r="DI5">
        <v>0</v>
      </c>
      <c r="DJ5">
        <v>0</v>
      </c>
      <c r="DK5">
        <v>0</v>
      </c>
      <c r="DL5">
        <v>0</v>
      </c>
      <c r="DM5">
        <v>0</v>
      </c>
      <c r="DN5">
        <v>0</v>
      </c>
      <c r="DO5">
        <v>0</v>
      </c>
      <c r="DP5">
        <v>0</v>
      </c>
      <c r="DQ5">
        <v>0</v>
      </c>
      <c r="DR5">
        <v>0</v>
      </c>
      <c r="DS5">
        <v>0</v>
      </c>
      <c r="DT5">
        <v>0</v>
      </c>
      <c r="DU5">
        <v>0</v>
      </c>
      <c r="DV5">
        <v>0</v>
      </c>
      <c r="DW5">
        <v>0</v>
      </c>
      <c r="DX5">
        <v>0</v>
      </c>
      <c r="DY5">
        <v>0</v>
      </c>
      <c r="DZ5">
        <v>0</v>
      </c>
      <c r="EA5">
        <v>0</v>
      </c>
      <c r="EB5">
        <v>0</v>
      </c>
      <c r="EC5">
        <v>0</v>
      </c>
      <c r="ED5">
        <v>0</v>
      </c>
      <c r="EE5">
        <v>0</v>
      </c>
      <c r="EF5">
        <v>0</v>
      </c>
      <c r="EG5">
        <v>0</v>
      </c>
      <c r="EH5">
        <v>0</v>
      </c>
      <c r="EI5">
        <v>0</v>
      </c>
      <c r="EJ5">
        <v>0</v>
      </c>
      <c r="EK5">
        <v>0</v>
      </c>
      <c r="EL5">
        <v>0</v>
      </c>
      <c r="EM5">
        <v>0</v>
      </c>
      <c r="EN5">
        <v>0</v>
      </c>
      <c r="EO5">
        <v>0</v>
      </c>
      <c r="EP5">
        <v>0</v>
      </c>
      <c r="EQ5">
        <v>0</v>
      </c>
      <c r="ER5">
        <v>0</v>
      </c>
      <c r="ES5">
        <v>0</v>
      </c>
      <c r="ET5">
        <v>0</v>
      </c>
      <c r="EU5">
        <v>0</v>
      </c>
      <c r="EV5">
        <v>0</v>
      </c>
      <c r="EW5">
        <v>0</v>
      </c>
      <c r="EX5">
        <v>0</v>
      </c>
      <c r="EY5">
        <v>0</v>
      </c>
      <c r="EZ5">
        <v>0</v>
      </c>
      <c r="FA5">
        <v>0</v>
      </c>
      <c r="FB5">
        <v>0</v>
      </c>
      <c r="FC5">
        <v>0</v>
      </c>
      <c r="FD5">
        <v>0</v>
      </c>
      <c r="FE5">
        <v>0</v>
      </c>
      <c r="FF5">
        <v>0</v>
      </c>
      <c r="FG5">
        <v>0</v>
      </c>
      <c r="FH5">
        <v>0</v>
      </c>
      <c r="FI5">
        <v>0</v>
      </c>
      <c r="FJ5">
        <v>0</v>
      </c>
      <c r="FK5">
        <v>0</v>
      </c>
      <c r="FL5">
        <v>0</v>
      </c>
      <c r="FM5">
        <v>0</v>
      </c>
      <c r="FN5">
        <v>0</v>
      </c>
      <c r="FO5">
        <v>0</v>
      </c>
      <c r="FP5">
        <v>0</v>
      </c>
      <c r="FQ5">
        <v>0</v>
      </c>
      <c r="FR5">
        <v>0</v>
      </c>
      <c r="FS5">
        <v>0</v>
      </c>
      <c r="FT5">
        <v>0</v>
      </c>
      <c r="FU5">
        <v>0</v>
      </c>
      <c r="FV5">
        <v>0</v>
      </c>
      <c r="FW5">
        <v>0</v>
      </c>
      <c r="FX5">
        <v>0</v>
      </c>
      <c r="FY5">
        <v>0</v>
      </c>
      <c r="FZ5">
        <v>0</v>
      </c>
      <c r="GA5">
        <v>0</v>
      </c>
      <c r="GB5">
        <v>0</v>
      </c>
      <c r="GC5">
        <v>0</v>
      </c>
      <c r="GD5">
        <v>0</v>
      </c>
      <c r="GE5">
        <v>0</v>
      </c>
      <c r="GF5">
        <v>0</v>
      </c>
      <c r="GG5">
        <v>0</v>
      </c>
      <c r="GH5">
        <v>0</v>
      </c>
      <c r="GI5">
        <v>0</v>
      </c>
      <c r="GJ5">
        <v>0</v>
      </c>
      <c r="GK5">
        <v>0</v>
      </c>
      <c r="GL5">
        <v>0</v>
      </c>
      <c r="GM5">
        <v>0</v>
      </c>
      <c r="GN5">
        <v>0</v>
      </c>
      <c r="GO5">
        <v>0</v>
      </c>
      <c r="GP5">
        <v>0</v>
      </c>
      <c r="GQ5">
        <v>0</v>
      </c>
      <c r="GR5">
        <v>0</v>
      </c>
      <c r="GS5">
        <v>0</v>
      </c>
      <c r="GT5">
        <v>0</v>
      </c>
      <c r="GU5">
        <v>0</v>
      </c>
      <c r="GV5">
        <v>0</v>
      </c>
      <c r="GW5">
        <v>0</v>
      </c>
      <c r="GX5">
        <v>0</v>
      </c>
      <c r="GY5">
        <v>0</v>
      </c>
      <c r="GZ5">
        <v>0</v>
      </c>
      <c r="HA5">
        <v>0</v>
      </c>
      <c r="HB5">
        <v>0</v>
      </c>
      <c r="HC5">
        <v>0</v>
      </c>
      <c r="HE5">
        <f t="shared" ref="HE5:HE52" si="0">SUM(B5:HC5)</f>
        <v>5452.7000000000007</v>
      </c>
      <c r="HF5">
        <f t="shared" ref="HF5:HF52" si="1">IF(HE5&gt;0,1,0)</f>
        <v>1</v>
      </c>
    </row>
    <row r="6" spans="1:214" x14ac:dyDescent="0.45">
      <c r="A6" t="s">
        <v>5</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v>0</v>
      </c>
      <c r="AI6">
        <v>0</v>
      </c>
      <c r="AJ6">
        <v>0</v>
      </c>
      <c r="AK6">
        <v>0</v>
      </c>
      <c r="AL6">
        <v>0</v>
      </c>
      <c r="AM6">
        <v>0</v>
      </c>
      <c r="AN6">
        <v>0</v>
      </c>
      <c r="AO6">
        <v>0</v>
      </c>
      <c r="AP6">
        <v>0</v>
      </c>
      <c r="AQ6">
        <v>0</v>
      </c>
      <c r="AR6">
        <v>0</v>
      </c>
      <c r="AS6">
        <v>0</v>
      </c>
      <c r="AT6">
        <v>0</v>
      </c>
      <c r="AU6">
        <v>0</v>
      </c>
      <c r="AV6">
        <v>0</v>
      </c>
      <c r="AW6">
        <v>0</v>
      </c>
      <c r="AX6">
        <v>0</v>
      </c>
      <c r="AY6">
        <v>0</v>
      </c>
      <c r="AZ6">
        <v>0</v>
      </c>
      <c r="BA6">
        <v>0</v>
      </c>
      <c r="BB6">
        <v>0</v>
      </c>
      <c r="BC6">
        <v>0</v>
      </c>
      <c r="BD6">
        <v>0</v>
      </c>
      <c r="BE6">
        <v>0</v>
      </c>
      <c r="BF6">
        <v>0</v>
      </c>
      <c r="BG6">
        <v>0</v>
      </c>
      <c r="BH6">
        <v>0</v>
      </c>
      <c r="BI6">
        <v>0</v>
      </c>
      <c r="BJ6">
        <v>0</v>
      </c>
      <c r="BK6">
        <v>0</v>
      </c>
      <c r="BL6">
        <v>0</v>
      </c>
      <c r="BM6">
        <v>0</v>
      </c>
      <c r="BN6">
        <v>0</v>
      </c>
      <c r="BO6">
        <v>0</v>
      </c>
      <c r="BP6">
        <v>0</v>
      </c>
      <c r="BQ6">
        <v>0</v>
      </c>
      <c r="BR6">
        <v>0</v>
      </c>
      <c r="BS6">
        <v>0</v>
      </c>
      <c r="BT6">
        <v>0</v>
      </c>
      <c r="BU6">
        <v>0</v>
      </c>
      <c r="BV6">
        <v>0</v>
      </c>
      <c r="BW6">
        <v>0</v>
      </c>
      <c r="BX6">
        <v>0</v>
      </c>
      <c r="BY6">
        <v>0</v>
      </c>
      <c r="BZ6">
        <v>0</v>
      </c>
      <c r="CA6">
        <v>0</v>
      </c>
      <c r="CB6">
        <v>0</v>
      </c>
      <c r="CC6">
        <v>0</v>
      </c>
      <c r="CD6">
        <v>0</v>
      </c>
      <c r="CE6">
        <v>0</v>
      </c>
      <c r="CF6">
        <v>0</v>
      </c>
      <c r="CG6">
        <v>833.8</v>
      </c>
      <c r="CH6">
        <v>0</v>
      </c>
      <c r="CI6">
        <v>0</v>
      </c>
      <c r="CJ6">
        <v>0</v>
      </c>
      <c r="CK6">
        <v>0</v>
      </c>
      <c r="CL6">
        <v>0</v>
      </c>
      <c r="CM6">
        <v>987.2</v>
      </c>
      <c r="CN6">
        <v>0</v>
      </c>
      <c r="CO6">
        <v>0</v>
      </c>
      <c r="CP6">
        <v>0</v>
      </c>
      <c r="CQ6">
        <v>0</v>
      </c>
      <c r="CR6">
        <v>0</v>
      </c>
      <c r="CS6">
        <v>0</v>
      </c>
      <c r="CT6">
        <v>0</v>
      </c>
      <c r="CU6">
        <v>0</v>
      </c>
      <c r="CV6">
        <v>0</v>
      </c>
      <c r="CW6">
        <v>0</v>
      </c>
      <c r="CX6">
        <v>0</v>
      </c>
      <c r="CY6">
        <v>0</v>
      </c>
      <c r="CZ6">
        <v>0</v>
      </c>
      <c r="DA6">
        <v>0</v>
      </c>
      <c r="DB6">
        <v>0</v>
      </c>
      <c r="DC6">
        <v>0</v>
      </c>
      <c r="DD6">
        <v>0</v>
      </c>
      <c r="DE6">
        <v>0</v>
      </c>
      <c r="DF6">
        <v>0</v>
      </c>
      <c r="DG6">
        <v>0</v>
      </c>
      <c r="DH6">
        <v>0</v>
      </c>
      <c r="DI6">
        <v>0</v>
      </c>
      <c r="DJ6">
        <v>0</v>
      </c>
      <c r="DK6">
        <v>0</v>
      </c>
      <c r="DL6">
        <v>0</v>
      </c>
      <c r="DM6">
        <v>0</v>
      </c>
      <c r="DN6">
        <v>0</v>
      </c>
      <c r="DO6">
        <v>0</v>
      </c>
      <c r="DP6">
        <v>0</v>
      </c>
      <c r="DQ6">
        <v>0</v>
      </c>
      <c r="DR6">
        <v>0</v>
      </c>
      <c r="DS6">
        <v>0</v>
      </c>
      <c r="DT6">
        <v>0</v>
      </c>
      <c r="DU6">
        <v>0</v>
      </c>
      <c r="DV6">
        <v>0</v>
      </c>
      <c r="DW6">
        <v>0</v>
      </c>
      <c r="DX6">
        <v>0</v>
      </c>
      <c r="DY6">
        <v>0</v>
      </c>
      <c r="DZ6">
        <v>0</v>
      </c>
      <c r="EA6">
        <v>0</v>
      </c>
      <c r="EB6">
        <v>0</v>
      </c>
      <c r="EC6">
        <v>0</v>
      </c>
      <c r="ED6">
        <v>0</v>
      </c>
      <c r="EE6">
        <v>0</v>
      </c>
      <c r="EF6">
        <v>0</v>
      </c>
      <c r="EG6">
        <v>0</v>
      </c>
      <c r="EH6">
        <v>0</v>
      </c>
      <c r="EI6">
        <v>0</v>
      </c>
      <c r="EJ6">
        <v>0</v>
      </c>
      <c r="EK6">
        <v>0</v>
      </c>
      <c r="EL6">
        <v>0</v>
      </c>
      <c r="EM6">
        <v>0</v>
      </c>
      <c r="EN6">
        <v>0</v>
      </c>
      <c r="EO6">
        <v>0</v>
      </c>
      <c r="EP6">
        <v>0</v>
      </c>
      <c r="EQ6">
        <v>0</v>
      </c>
      <c r="ER6">
        <v>0</v>
      </c>
      <c r="ES6">
        <v>0</v>
      </c>
      <c r="ET6">
        <v>0</v>
      </c>
      <c r="EU6">
        <v>0</v>
      </c>
      <c r="EV6">
        <v>0</v>
      </c>
      <c r="EW6">
        <v>0</v>
      </c>
      <c r="EX6">
        <v>0</v>
      </c>
      <c r="EY6">
        <v>0</v>
      </c>
      <c r="EZ6">
        <v>0</v>
      </c>
      <c r="FA6">
        <v>0</v>
      </c>
      <c r="FB6">
        <v>0</v>
      </c>
      <c r="FC6">
        <v>0</v>
      </c>
      <c r="FD6">
        <v>0</v>
      </c>
      <c r="FE6">
        <v>0</v>
      </c>
      <c r="FF6">
        <v>0</v>
      </c>
      <c r="FG6">
        <v>0</v>
      </c>
      <c r="FH6">
        <v>0</v>
      </c>
      <c r="FI6">
        <v>0</v>
      </c>
      <c r="FJ6">
        <v>0</v>
      </c>
      <c r="FK6">
        <v>0</v>
      </c>
      <c r="FL6">
        <v>0</v>
      </c>
      <c r="FM6">
        <v>0</v>
      </c>
      <c r="FN6">
        <v>0</v>
      </c>
      <c r="FO6">
        <v>0</v>
      </c>
      <c r="FP6">
        <v>0</v>
      </c>
      <c r="FQ6">
        <v>0</v>
      </c>
      <c r="FR6">
        <v>0</v>
      </c>
      <c r="FS6">
        <v>0</v>
      </c>
      <c r="FT6">
        <v>0</v>
      </c>
      <c r="FU6">
        <v>0</v>
      </c>
      <c r="FV6">
        <v>0</v>
      </c>
      <c r="FW6">
        <v>0</v>
      </c>
      <c r="FX6">
        <v>0</v>
      </c>
      <c r="FY6">
        <v>0</v>
      </c>
      <c r="FZ6">
        <v>0</v>
      </c>
      <c r="GA6">
        <v>0</v>
      </c>
      <c r="GB6">
        <v>0</v>
      </c>
      <c r="GC6">
        <v>0</v>
      </c>
      <c r="GD6">
        <v>0</v>
      </c>
      <c r="GE6">
        <v>0</v>
      </c>
      <c r="GF6">
        <v>0</v>
      </c>
      <c r="GG6">
        <v>0</v>
      </c>
      <c r="GH6">
        <v>0</v>
      </c>
      <c r="GI6">
        <v>0</v>
      </c>
      <c r="GJ6">
        <v>0</v>
      </c>
      <c r="GK6">
        <v>0</v>
      </c>
      <c r="GL6">
        <v>0</v>
      </c>
      <c r="GM6">
        <v>0</v>
      </c>
      <c r="GN6">
        <v>0</v>
      </c>
      <c r="GO6">
        <v>0</v>
      </c>
      <c r="GP6">
        <v>0</v>
      </c>
      <c r="GQ6">
        <v>0</v>
      </c>
      <c r="GR6">
        <v>0</v>
      </c>
      <c r="GS6">
        <v>0</v>
      </c>
      <c r="GT6">
        <v>0</v>
      </c>
      <c r="GU6">
        <v>0</v>
      </c>
      <c r="GV6">
        <v>0</v>
      </c>
      <c r="GW6">
        <v>0</v>
      </c>
      <c r="GX6">
        <v>0</v>
      </c>
      <c r="GY6">
        <v>0</v>
      </c>
      <c r="GZ6">
        <v>0</v>
      </c>
      <c r="HA6">
        <v>0</v>
      </c>
      <c r="HB6">
        <v>0</v>
      </c>
      <c r="HC6">
        <v>0</v>
      </c>
      <c r="HE6">
        <f t="shared" si="0"/>
        <v>1821</v>
      </c>
      <c r="HF6">
        <f t="shared" si="1"/>
        <v>1</v>
      </c>
    </row>
    <row r="7" spans="1:214" x14ac:dyDescent="0.45">
      <c r="A7" t="s">
        <v>9</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v>0</v>
      </c>
      <c r="AI7">
        <v>0</v>
      </c>
      <c r="AJ7">
        <v>0</v>
      </c>
      <c r="AK7">
        <v>0</v>
      </c>
      <c r="AL7">
        <v>0</v>
      </c>
      <c r="AM7">
        <v>0</v>
      </c>
      <c r="AN7">
        <v>0</v>
      </c>
      <c r="AO7">
        <v>0</v>
      </c>
      <c r="AP7">
        <v>0</v>
      </c>
      <c r="AQ7">
        <v>0</v>
      </c>
      <c r="AR7">
        <v>0</v>
      </c>
      <c r="AS7">
        <v>0</v>
      </c>
      <c r="AT7">
        <v>0</v>
      </c>
      <c r="AU7">
        <v>0</v>
      </c>
      <c r="AV7">
        <v>0</v>
      </c>
      <c r="AW7">
        <v>0</v>
      </c>
      <c r="AX7">
        <v>0</v>
      </c>
      <c r="AY7">
        <v>0</v>
      </c>
      <c r="AZ7">
        <v>0</v>
      </c>
      <c r="BA7">
        <v>0</v>
      </c>
      <c r="BB7">
        <v>0</v>
      </c>
      <c r="BC7">
        <v>0</v>
      </c>
      <c r="BD7">
        <v>0</v>
      </c>
      <c r="BE7">
        <v>0</v>
      </c>
      <c r="BF7">
        <v>0</v>
      </c>
      <c r="BG7">
        <v>0</v>
      </c>
      <c r="BH7">
        <v>0</v>
      </c>
      <c r="BI7">
        <v>0</v>
      </c>
      <c r="BJ7">
        <v>0</v>
      </c>
      <c r="BK7">
        <v>0</v>
      </c>
      <c r="BL7">
        <v>0</v>
      </c>
      <c r="BM7">
        <v>0</v>
      </c>
      <c r="BN7">
        <v>0</v>
      </c>
      <c r="BO7">
        <v>0</v>
      </c>
      <c r="BP7">
        <v>0</v>
      </c>
      <c r="BQ7">
        <v>0</v>
      </c>
      <c r="BR7">
        <v>0</v>
      </c>
      <c r="BS7">
        <v>0</v>
      </c>
      <c r="BT7">
        <v>0</v>
      </c>
      <c r="BU7">
        <v>0</v>
      </c>
      <c r="BV7">
        <v>0</v>
      </c>
      <c r="BW7">
        <v>0</v>
      </c>
      <c r="BX7">
        <v>0</v>
      </c>
      <c r="BY7">
        <v>0</v>
      </c>
      <c r="BZ7">
        <v>0</v>
      </c>
      <c r="CA7">
        <v>0</v>
      </c>
      <c r="CB7">
        <v>0</v>
      </c>
      <c r="CC7">
        <v>0</v>
      </c>
      <c r="CD7">
        <v>0</v>
      </c>
      <c r="CE7">
        <v>0</v>
      </c>
      <c r="CF7">
        <v>0</v>
      </c>
      <c r="CG7">
        <v>0</v>
      </c>
      <c r="CH7">
        <v>0</v>
      </c>
      <c r="CI7">
        <v>0</v>
      </c>
      <c r="CJ7">
        <v>0</v>
      </c>
      <c r="CK7">
        <v>0</v>
      </c>
      <c r="CL7">
        <v>0</v>
      </c>
      <c r="CM7">
        <v>0</v>
      </c>
      <c r="CN7">
        <v>0</v>
      </c>
      <c r="CO7">
        <v>0</v>
      </c>
      <c r="CP7">
        <v>0</v>
      </c>
      <c r="CQ7">
        <v>0</v>
      </c>
      <c r="CR7">
        <v>0</v>
      </c>
      <c r="CS7">
        <v>2625</v>
      </c>
      <c r="CT7">
        <v>0</v>
      </c>
      <c r="CU7">
        <v>1312</v>
      </c>
      <c r="CV7">
        <v>0</v>
      </c>
      <c r="CW7">
        <v>0</v>
      </c>
      <c r="CX7">
        <v>0</v>
      </c>
      <c r="CY7">
        <v>0</v>
      </c>
      <c r="CZ7">
        <v>0</v>
      </c>
      <c r="DA7">
        <v>0</v>
      </c>
      <c r="DB7">
        <v>0</v>
      </c>
      <c r="DC7">
        <v>0</v>
      </c>
      <c r="DD7">
        <v>0</v>
      </c>
      <c r="DE7">
        <v>0</v>
      </c>
      <c r="DF7">
        <v>0</v>
      </c>
      <c r="DG7">
        <v>0</v>
      </c>
      <c r="DH7">
        <v>0</v>
      </c>
      <c r="DI7">
        <v>0</v>
      </c>
      <c r="DJ7">
        <v>0</v>
      </c>
      <c r="DK7">
        <v>0</v>
      </c>
      <c r="DL7">
        <v>0</v>
      </c>
      <c r="DM7">
        <v>0</v>
      </c>
      <c r="DN7">
        <v>0</v>
      </c>
      <c r="DO7">
        <v>0</v>
      </c>
      <c r="DP7">
        <v>0</v>
      </c>
      <c r="DQ7">
        <v>0</v>
      </c>
      <c r="DR7">
        <v>0</v>
      </c>
      <c r="DS7">
        <v>0</v>
      </c>
      <c r="DT7">
        <v>0</v>
      </c>
      <c r="DU7">
        <v>0</v>
      </c>
      <c r="DV7">
        <v>0</v>
      </c>
      <c r="DW7">
        <v>0</v>
      </c>
      <c r="DX7">
        <v>0</v>
      </c>
      <c r="DY7">
        <v>0</v>
      </c>
      <c r="DZ7">
        <v>0</v>
      </c>
      <c r="EA7">
        <v>0</v>
      </c>
      <c r="EB7">
        <v>0</v>
      </c>
      <c r="EC7">
        <v>0</v>
      </c>
      <c r="ED7">
        <v>0</v>
      </c>
      <c r="EE7">
        <v>0</v>
      </c>
      <c r="EF7">
        <v>0</v>
      </c>
      <c r="EG7">
        <v>0</v>
      </c>
      <c r="EH7">
        <v>0</v>
      </c>
      <c r="EI7">
        <v>0</v>
      </c>
      <c r="EJ7">
        <v>0</v>
      </c>
      <c r="EK7">
        <v>0</v>
      </c>
      <c r="EL7">
        <v>0</v>
      </c>
      <c r="EM7">
        <v>0</v>
      </c>
      <c r="EN7">
        <v>0</v>
      </c>
      <c r="EO7">
        <v>0</v>
      </c>
      <c r="EP7">
        <v>0</v>
      </c>
      <c r="EQ7">
        <v>0</v>
      </c>
      <c r="ER7">
        <v>0</v>
      </c>
      <c r="ES7">
        <v>0</v>
      </c>
      <c r="ET7">
        <v>0</v>
      </c>
      <c r="EU7">
        <v>0</v>
      </c>
      <c r="EV7">
        <v>0</v>
      </c>
      <c r="EW7">
        <v>0</v>
      </c>
      <c r="EX7">
        <v>0</v>
      </c>
      <c r="EY7">
        <v>0</v>
      </c>
      <c r="EZ7">
        <v>0</v>
      </c>
      <c r="FA7">
        <v>0</v>
      </c>
      <c r="FB7">
        <v>0</v>
      </c>
      <c r="FC7">
        <v>0</v>
      </c>
      <c r="FD7">
        <v>0</v>
      </c>
      <c r="FE7">
        <v>0</v>
      </c>
      <c r="FF7">
        <v>0</v>
      </c>
      <c r="FG7">
        <v>0</v>
      </c>
      <c r="FH7">
        <v>0</v>
      </c>
      <c r="FI7">
        <v>0</v>
      </c>
      <c r="FJ7">
        <v>0</v>
      </c>
      <c r="FK7">
        <v>0</v>
      </c>
      <c r="FL7">
        <v>0</v>
      </c>
      <c r="FM7">
        <v>0</v>
      </c>
      <c r="FN7">
        <v>0</v>
      </c>
      <c r="FO7">
        <v>0</v>
      </c>
      <c r="FP7">
        <v>0</v>
      </c>
      <c r="FQ7">
        <v>0</v>
      </c>
      <c r="FR7">
        <v>0</v>
      </c>
      <c r="FS7">
        <v>0</v>
      </c>
      <c r="FT7">
        <v>0</v>
      </c>
      <c r="FU7">
        <v>0</v>
      </c>
      <c r="FV7">
        <v>0</v>
      </c>
      <c r="FW7">
        <v>0</v>
      </c>
      <c r="FX7">
        <v>0</v>
      </c>
      <c r="FY7">
        <v>0</v>
      </c>
      <c r="FZ7">
        <v>0</v>
      </c>
      <c r="GA7">
        <v>0</v>
      </c>
      <c r="GB7">
        <v>0</v>
      </c>
      <c r="GC7">
        <v>0</v>
      </c>
      <c r="GD7">
        <v>0</v>
      </c>
      <c r="GE7">
        <v>0</v>
      </c>
      <c r="GF7">
        <v>0</v>
      </c>
      <c r="GG7">
        <v>0</v>
      </c>
      <c r="GH7">
        <v>0</v>
      </c>
      <c r="GI7">
        <v>0</v>
      </c>
      <c r="GJ7">
        <v>0</v>
      </c>
      <c r="GK7">
        <v>0</v>
      </c>
      <c r="GL7">
        <v>0</v>
      </c>
      <c r="GM7">
        <v>0</v>
      </c>
      <c r="GN7">
        <v>0</v>
      </c>
      <c r="GO7">
        <v>0</v>
      </c>
      <c r="GP7">
        <v>0</v>
      </c>
      <c r="GQ7">
        <v>0</v>
      </c>
      <c r="GR7">
        <v>0</v>
      </c>
      <c r="GS7">
        <v>0</v>
      </c>
      <c r="GT7">
        <v>0</v>
      </c>
      <c r="GU7">
        <v>0</v>
      </c>
      <c r="GV7">
        <v>0</v>
      </c>
      <c r="GW7">
        <v>0</v>
      </c>
      <c r="GX7">
        <v>0</v>
      </c>
      <c r="GY7">
        <v>0</v>
      </c>
      <c r="GZ7">
        <v>0</v>
      </c>
      <c r="HA7">
        <v>0</v>
      </c>
      <c r="HB7">
        <v>0</v>
      </c>
      <c r="HC7">
        <v>0</v>
      </c>
      <c r="HE7">
        <f t="shared" si="0"/>
        <v>3937</v>
      </c>
      <c r="HF7">
        <f t="shared" si="1"/>
        <v>1</v>
      </c>
    </row>
    <row r="8" spans="1:214" x14ac:dyDescent="0.45">
      <c r="A8" t="s">
        <v>12</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v>0</v>
      </c>
      <c r="AI8">
        <v>0</v>
      </c>
      <c r="AJ8">
        <v>0</v>
      </c>
      <c r="AK8">
        <v>0</v>
      </c>
      <c r="AL8">
        <v>0</v>
      </c>
      <c r="AM8">
        <v>0</v>
      </c>
      <c r="AN8">
        <v>0</v>
      </c>
      <c r="AO8">
        <v>0</v>
      </c>
      <c r="AP8">
        <v>0</v>
      </c>
      <c r="AQ8">
        <v>0</v>
      </c>
      <c r="AR8">
        <v>0</v>
      </c>
      <c r="AS8">
        <v>0</v>
      </c>
      <c r="AT8">
        <v>0</v>
      </c>
      <c r="AU8">
        <v>0</v>
      </c>
      <c r="AV8">
        <v>0</v>
      </c>
      <c r="AW8">
        <v>0</v>
      </c>
      <c r="AX8">
        <v>0</v>
      </c>
      <c r="AY8">
        <v>0</v>
      </c>
      <c r="AZ8">
        <v>0</v>
      </c>
      <c r="BA8">
        <v>0</v>
      </c>
      <c r="BB8">
        <v>0</v>
      </c>
      <c r="BC8">
        <v>0</v>
      </c>
      <c r="BD8">
        <v>0</v>
      </c>
      <c r="BE8">
        <v>0</v>
      </c>
      <c r="BF8">
        <v>0</v>
      </c>
      <c r="BG8">
        <v>0</v>
      </c>
      <c r="BH8">
        <v>0</v>
      </c>
      <c r="BI8">
        <v>0</v>
      </c>
      <c r="BJ8">
        <v>0</v>
      </c>
      <c r="BK8">
        <v>0</v>
      </c>
      <c r="BL8">
        <v>0</v>
      </c>
      <c r="BM8">
        <v>0</v>
      </c>
      <c r="BN8">
        <v>0</v>
      </c>
      <c r="BO8">
        <v>0</v>
      </c>
      <c r="BP8">
        <v>0</v>
      </c>
      <c r="BQ8">
        <v>0</v>
      </c>
      <c r="BR8">
        <v>0</v>
      </c>
      <c r="BS8">
        <v>0</v>
      </c>
      <c r="BT8">
        <v>0</v>
      </c>
      <c r="BU8">
        <v>0</v>
      </c>
      <c r="BV8">
        <v>0</v>
      </c>
      <c r="BW8">
        <v>0</v>
      </c>
      <c r="BX8">
        <v>0</v>
      </c>
      <c r="BY8">
        <v>0</v>
      </c>
      <c r="BZ8">
        <v>0</v>
      </c>
      <c r="CA8">
        <v>0</v>
      </c>
      <c r="CB8">
        <v>0</v>
      </c>
      <c r="CC8">
        <v>0</v>
      </c>
      <c r="CD8">
        <v>0</v>
      </c>
      <c r="CE8">
        <v>0</v>
      </c>
      <c r="CF8">
        <v>0</v>
      </c>
      <c r="CG8">
        <v>0</v>
      </c>
      <c r="CH8">
        <v>0</v>
      </c>
      <c r="CI8">
        <v>0</v>
      </c>
      <c r="CJ8">
        <v>0</v>
      </c>
      <c r="CK8">
        <v>0</v>
      </c>
      <c r="CL8">
        <v>0</v>
      </c>
      <c r="CM8">
        <v>0</v>
      </c>
      <c r="CN8">
        <v>0</v>
      </c>
      <c r="CO8">
        <v>0</v>
      </c>
      <c r="CP8">
        <v>0</v>
      </c>
      <c r="CQ8">
        <v>0</v>
      </c>
      <c r="CR8">
        <v>1122</v>
      </c>
      <c r="CS8">
        <v>1118</v>
      </c>
      <c r="CT8">
        <v>0</v>
      </c>
      <c r="CU8">
        <v>0</v>
      </c>
      <c r="CV8">
        <v>0</v>
      </c>
      <c r="CW8">
        <v>0</v>
      </c>
      <c r="CX8">
        <v>0</v>
      </c>
      <c r="CY8">
        <v>0</v>
      </c>
      <c r="CZ8">
        <v>0</v>
      </c>
      <c r="DA8">
        <v>0</v>
      </c>
      <c r="DB8">
        <v>0</v>
      </c>
      <c r="DC8">
        <v>0</v>
      </c>
      <c r="DD8">
        <v>0</v>
      </c>
      <c r="DE8">
        <v>0</v>
      </c>
      <c r="DF8">
        <v>0</v>
      </c>
      <c r="DG8">
        <v>0</v>
      </c>
      <c r="DH8">
        <v>0</v>
      </c>
      <c r="DI8">
        <v>0</v>
      </c>
      <c r="DJ8">
        <v>0</v>
      </c>
      <c r="DK8">
        <v>0</v>
      </c>
      <c r="DL8">
        <v>0</v>
      </c>
      <c r="DM8">
        <v>0</v>
      </c>
      <c r="DN8">
        <v>0</v>
      </c>
      <c r="DO8">
        <v>0</v>
      </c>
      <c r="DP8">
        <v>0</v>
      </c>
      <c r="DQ8">
        <v>0</v>
      </c>
      <c r="DR8">
        <v>0</v>
      </c>
      <c r="DS8">
        <v>0</v>
      </c>
      <c r="DT8">
        <v>0</v>
      </c>
      <c r="DU8">
        <v>0</v>
      </c>
      <c r="DV8">
        <v>0</v>
      </c>
      <c r="DW8">
        <v>0</v>
      </c>
      <c r="DX8">
        <v>0</v>
      </c>
      <c r="DY8">
        <v>0</v>
      </c>
      <c r="DZ8">
        <v>0</v>
      </c>
      <c r="EA8">
        <v>0</v>
      </c>
      <c r="EB8">
        <v>0</v>
      </c>
      <c r="EC8">
        <v>0</v>
      </c>
      <c r="ED8">
        <v>0</v>
      </c>
      <c r="EE8">
        <v>0</v>
      </c>
      <c r="EF8">
        <v>0</v>
      </c>
      <c r="EG8">
        <v>0</v>
      </c>
      <c r="EH8">
        <v>0</v>
      </c>
      <c r="EI8">
        <v>0</v>
      </c>
      <c r="EJ8">
        <v>0</v>
      </c>
      <c r="EK8">
        <v>0</v>
      </c>
      <c r="EL8">
        <v>0</v>
      </c>
      <c r="EM8">
        <v>0</v>
      </c>
      <c r="EN8">
        <v>0</v>
      </c>
      <c r="EO8">
        <v>0</v>
      </c>
      <c r="EP8">
        <v>0</v>
      </c>
      <c r="EQ8">
        <v>0</v>
      </c>
      <c r="ER8">
        <v>0</v>
      </c>
      <c r="ES8">
        <v>0</v>
      </c>
      <c r="ET8">
        <v>0</v>
      </c>
      <c r="EU8">
        <v>0</v>
      </c>
      <c r="EV8">
        <v>0</v>
      </c>
      <c r="EW8">
        <v>0</v>
      </c>
      <c r="EX8">
        <v>0</v>
      </c>
      <c r="EY8">
        <v>0</v>
      </c>
      <c r="EZ8">
        <v>0</v>
      </c>
      <c r="FA8">
        <v>0</v>
      </c>
      <c r="FB8">
        <v>0</v>
      </c>
      <c r="FC8">
        <v>0</v>
      </c>
      <c r="FD8">
        <v>0</v>
      </c>
      <c r="FE8">
        <v>0</v>
      </c>
      <c r="FF8">
        <v>0</v>
      </c>
      <c r="FG8">
        <v>0</v>
      </c>
      <c r="FH8">
        <v>0</v>
      </c>
      <c r="FI8">
        <v>0</v>
      </c>
      <c r="FJ8">
        <v>0</v>
      </c>
      <c r="FK8">
        <v>0</v>
      </c>
      <c r="FL8">
        <v>0</v>
      </c>
      <c r="FM8">
        <v>0</v>
      </c>
      <c r="FN8">
        <v>0</v>
      </c>
      <c r="FO8">
        <v>0</v>
      </c>
      <c r="FP8">
        <v>0</v>
      </c>
      <c r="FQ8">
        <v>0</v>
      </c>
      <c r="FR8">
        <v>0</v>
      </c>
      <c r="FS8">
        <v>0</v>
      </c>
      <c r="FT8">
        <v>0</v>
      </c>
      <c r="FU8">
        <v>0</v>
      </c>
      <c r="FV8">
        <v>0</v>
      </c>
      <c r="FW8">
        <v>0</v>
      </c>
      <c r="FX8">
        <v>0</v>
      </c>
      <c r="FY8">
        <v>0</v>
      </c>
      <c r="FZ8">
        <v>0</v>
      </c>
      <c r="GA8">
        <v>0</v>
      </c>
      <c r="GB8">
        <v>0</v>
      </c>
      <c r="GC8">
        <v>0</v>
      </c>
      <c r="GD8">
        <v>0</v>
      </c>
      <c r="GE8">
        <v>0</v>
      </c>
      <c r="GF8">
        <v>0</v>
      </c>
      <c r="GG8">
        <v>0</v>
      </c>
      <c r="GH8">
        <v>0</v>
      </c>
      <c r="GI8">
        <v>0</v>
      </c>
      <c r="GJ8">
        <v>0</v>
      </c>
      <c r="GK8">
        <v>0</v>
      </c>
      <c r="GL8">
        <v>0</v>
      </c>
      <c r="GM8">
        <v>0</v>
      </c>
      <c r="GN8">
        <v>0</v>
      </c>
      <c r="GO8">
        <v>0</v>
      </c>
      <c r="GP8">
        <v>0</v>
      </c>
      <c r="GQ8">
        <v>0</v>
      </c>
      <c r="GR8">
        <v>0</v>
      </c>
      <c r="GS8">
        <v>0</v>
      </c>
      <c r="GT8">
        <v>0</v>
      </c>
      <c r="GU8">
        <v>0</v>
      </c>
      <c r="GV8">
        <v>0</v>
      </c>
      <c r="GW8">
        <v>0</v>
      </c>
      <c r="GX8">
        <v>0</v>
      </c>
      <c r="GY8">
        <v>0</v>
      </c>
      <c r="GZ8">
        <v>0</v>
      </c>
      <c r="HA8">
        <v>0</v>
      </c>
      <c r="HB8">
        <v>0</v>
      </c>
      <c r="HC8">
        <v>0</v>
      </c>
      <c r="HE8">
        <f t="shared" si="0"/>
        <v>2240</v>
      </c>
      <c r="HF8">
        <f t="shared" si="1"/>
        <v>1</v>
      </c>
    </row>
    <row r="9" spans="1:214" x14ac:dyDescent="0.45">
      <c r="A9" t="s">
        <v>15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v>0</v>
      </c>
      <c r="AJ9">
        <v>0</v>
      </c>
      <c r="AK9">
        <v>0</v>
      </c>
      <c r="AL9">
        <v>0</v>
      </c>
      <c r="AM9">
        <v>0</v>
      </c>
      <c r="AN9">
        <v>0</v>
      </c>
      <c r="AO9">
        <v>0</v>
      </c>
      <c r="AP9">
        <v>0</v>
      </c>
      <c r="AQ9">
        <v>0</v>
      </c>
      <c r="AR9">
        <v>0</v>
      </c>
      <c r="AS9">
        <v>0</v>
      </c>
      <c r="AT9">
        <v>0</v>
      </c>
      <c r="AU9">
        <v>0</v>
      </c>
      <c r="AV9">
        <v>0</v>
      </c>
      <c r="AW9">
        <v>0</v>
      </c>
      <c r="AX9">
        <v>0</v>
      </c>
      <c r="AY9">
        <v>0</v>
      </c>
      <c r="AZ9">
        <v>0</v>
      </c>
      <c r="BA9">
        <v>0</v>
      </c>
      <c r="BB9">
        <v>0</v>
      </c>
      <c r="BC9">
        <v>0</v>
      </c>
      <c r="BD9">
        <v>0</v>
      </c>
      <c r="BE9">
        <v>0</v>
      </c>
      <c r="BF9">
        <v>0</v>
      </c>
      <c r="BG9">
        <v>0</v>
      </c>
      <c r="BH9">
        <v>0</v>
      </c>
      <c r="BI9">
        <v>0</v>
      </c>
      <c r="BJ9">
        <v>0</v>
      </c>
      <c r="BK9">
        <v>0</v>
      </c>
      <c r="BL9">
        <v>0</v>
      </c>
      <c r="BM9">
        <v>0</v>
      </c>
      <c r="BN9">
        <v>0</v>
      </c>
      <c r="BO9">
        <v>0</v>
      </c>
      <c r="BP9">
        <v>0</v>
      </c>
      <c r="BQ9">
        <v>0</v>
      </c>
      <c r="BR9">
        <v>0</v>
      </c>
      <c r="BS9">
        <v>0</v>
      </c>
      <c r="BT9">
        <v>0</v>
      </c>
      <c r="BU9">
        <v>0</v>
      </c>
      <c r="BV9">
        <v>0</v>
      </c>
      <c r="BW9">
        <v>0</v>
      </c>
      <c r="BX9">
        <v>0</v>
      </c>
      <c r="BY9">
        <v>0</v>
      </c>
      <c r="BZ9">
        <v>0</v>
      </c>
      <c r="CA9">
        <v>0</v>
      </c>
      <c r="CB9">
        <v>0</v>
      </c>
      <c r="CC9">
        <v>0</v>
      </c>
      <c r="CD9">
        <v>0</v>
      </c>
      <c r="CE9">
        <v>0</v>
      </c>
      <c r="CF9">
        <v>0</v>
      </c>
      <c r="CG9">
        <v>0</v>
      </c>
      <c r="CH9">
        <v>0</v>
      </c>
      <c r="CI9">
        <v>0</v>
      </c>
      <c r="CJ9">
        <v>0</v>
      </c>
      <c r="CK9">
        <v>0</v>
      </c>
      <c r="CL9">
        <v>0</v>
      </c>
      <c r="CM9">
        <v>0</v>
      </c>
      <c r="CN9">
        <v>0</v>
      </c>
      <c r="CO9">
        <v>0</v>
      </c>
      <c r="CP9">
        <v>0</v>
      </c>
      <c r="CQ9">
        <v>0</v>
      </c>
      <c r="CR9">
        <v>0</v>
      </c>
      <c r="CS9">
        <v>0</v>
      </c>
      <c r="CT9">
        <v>0</v>
      </c>
      <c r="CU9">
        <v>0</v>
      </c>
      <c r="CV9">
        <v>0</v>
      </c>
      <c r="CW9">
        <v>0</v>
      </c>
      <c r="CX9">
        <v>0</v>
      </c>
      <c r="CY9">
        <v>0</v>
      </c>
      <c r="CZ9">
        <v>0</v>
      </c>
      <c r="DA9">
        <v>0</v>
      </c>
      <c r="DB9">
        <v>0</v>
      </c>
      <c r="DC9">
        <v>0</v>
      </c>
      <c r="DD9">
        <v>0</v>
      </c>
      <c r="DE9">
        <v>0</v>
      </c>
      <c r="DF9">
        <v>0</v>
      </c>
      <c r="DG9">
        <v>0</v>
      </c>
      <c r="DH9">
        <v>0</v>
      </c>
      <c r="DI9">
        <v>0</v>
      </c>
      <c r="DJ9">
        <v>0</v>
      </c>
      <c r="DK9">
        <v>0</v>
      </c>
      <c r="DL9">
        <v>0</v>
      </c>
      <c r="DM9">
        <v>0</v>
      </c>
      <c r="DN9">
        <v>0</v>
      </c>
      <c r="DO9">
        <v>0</v>
      </c>
      <c r="DP9">
        <v>0</v>
      </c>
      <c r="DQ9">
        <v>0</v>
      </c>
      <c r="DR9">
        <v>0</v>
      </c>
      <c r="DS9">
        <v>0</v>
      </c>
      <c r="DT9">
        <v>0</v>
      </c>
      <c r="DU9">
        <v>0</v>
      </c>
      <c r="DV9">
        <v>0</v>
      </c>
      <c r="DW9">
        <v>0</v>
      </c>
      <c r="DX9">
        <v>0</v>
      </c>
      <c r="DY9">
        <v>0</v>
      </c>
      <c r="DZ9">
        <v>0</v>
      </c>
      <c r="EA9">
        <v>0</v>
      </c>
      <c r="EB9">
        <v>0</v>
      </c>
      <c r="EC9">
        <v>0</v>
      </c>
      <c r="ED9">
        <v>0</v>
      </c>
      <c r="EE9">
        <v>0</v>
      </c>
      <c r="EF9">
        <v>0</v>
      </c>
      <c r="EG9">
        <v>0</v>
      </c>
      <c r="EH9">
        <v>0</v>
      </c>
      <c r="EI9">
        <v>0</v>
      </c>
      <c r="EJ9">
        <v>0</v>
      </c>
      <c r="EK9">
        <v>0</v>
      </c>
      <c r="EL9">
        <v>0</v>
      </c>
      <c r="EM9">
        <v>0</v>
      </c>
      <c r="EN9">
        <v>0</v>
      </c>
      <c r="EO9">
        <v>0</v>
      </c>
      <c r="EP9">
        <v>0</v>
      </c>
      <c r="EQ9">
        <v>0</v>
      </c>
      <c r="ER9">
        <v>0</v>
      </c>
      <c r="ES9">
        <v>0</v>
      </c>
      <c r="ET9">
        <v>0</v>
      </c>
      <c r="EU9">
        <v>0</v>
      </c>
      <c r="EV9">
        <v>0</v>
      </c>
      <c r="EW9">
        <v>0</v>
      </c>
      <c r="EX9">
        <v>0</v>
      </c>
      <c r="EY9">
        <v>0</v>
      </c>
      <c r="EZ9">
        <v>0</v>
      </c>
      <c r="FA9">
        <v>0</v>
      </c>
      <c r="FB9">
        <v>0</v>
      </c>
      <c r="FC9">
        <v>0</v>
      </c>
      <c r="FD9">
        <v>0</v>
      </c>
      <c r="FE9">
        <v>0</v>
      </c>
      <c r="FF9">
        <v>0</v>
      </c>
      <c r="FG9">
        <v>0</v>
      </c>
      <c r="FH9">
        <v>0</v>
      </c>
      <c r="FI9">
        <v>0</v>
      </c>
      <c r="FJ9">
        <v>0</v>
      </c>
      <c r="FK9">
        <v>0</v>
      </c>
      <c r="FL9">
        <v>0</v>
      </c>
      <c r="FM9">
        <v>0</v>
      </c>
      <c r="FN9">
        <v>0</v>
      </c>
      <c r="FO9">
        <v>0</v>
      </c>
      <c r="FP9">
        <v>0</v>
      </c>
      <c r="FQ9">
        <v>0</v>
      </c>
      <c r="FR9">
        <v>0</v>
      </c>
      <c r="FS9">
        <v>0</v>
      </c>
      <c r="FT9">
        <v>0</v>
      </c>
      <c r="FU9">
        <v>0</v>
      </c>
      <c r="FV9">
        <v>0</v>
      </c>
      <c r="FW9">
        <v>0</v>
      </c>
      <c r="FX9">
        <v>0</v>
      </c>
      <c r="FY9">
        <v>0</v>
      </c>
      <c r="FZ9">
        <v>0</v>
      </c>
      <c r="GA9">
        <v>0</v>
      </c>
      <c r="GB9">
        <v>0</v>
      </c>
      <c r="GC9">
        <v>0</v>
      </c>
      <c r="GD9">
        <v>0</v>
      </c>
      <c r="GE9">
        <v>0</v>
      </c>
      <c r="GF9">
        <v>0</v>
      </c>
      <c r="GG9">
        <v>0</v>
      </c>
      <c r="GH9">
        <v>0</v>
      </c>
      <c r="GI9">
        <v>0</v>
      </c>
      <c r="GJ9">
        <v>0</v>
      </c>
      <c r="GK9">
        <v>0</v>
      </c>
      <c r="GL9">
        <v>0</v>
      </c>
      <c r="GM9">
        <v>0</v>
      </c>
      <c r="GN9">
        <v>0</v>
      </c>
      <c r="GO9">
        <v>0</v>
      </c>
      <c r="GP9">
        <v>0</v>
      </c>
      <c r="GQ9">
        <v>0</v>
      </c>
      <c r="GR9">
        <v>0</v>
      </c>
      <c r="GS9">
        <v>0</v>
      </c>
      <c r="GT9">
        <v>0</v>
      </c>
      <c r="GU9">
        <v>0</v>
      </c>
      <c r="GV9">
        <v>0</v>
      </c>
      <c r="GW9">
        <v>0</v>
      </c>
      <c r="GX9">
        <v>0</v>
      </c>
      <c r="GY9">
        <v>0</v>
      </c>
      <c r="GZ9">
        <v>0</v>
      </c>
      <c r="HA9">
        <v>0</v>
      </c>
      <c r="HB9">
        <v>0</v>
      </c>
      <c r="HC9">
        <v>0</v>
      </c>
      <c r="HE9">
        <f t="shared" si="0"/>
        <v>0</v>
      </c>
      <c r="HF9">
        <f t="shared" si="1"/>
        <v>0</v>
      </c>
    </row>
    <row r="10" spans="1:214" x14ac:dyDescent="0.45">
      <c r="A10" t="s">
        <v>17</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v>0</v>
      </c>
      <c r="AI10">
        <v>0</v>
      </c>
      <c r="AJ10">
        <v>0</v>
      </c>
      <c r="AK10">
        <v>0</v>
      </c>
      <c r="AL10">
        <v>0</v>
      </c>
      <c r="AM10">
        <v>0</v>
      </c>
      <c r="AN10">
        <v>0</v>
      </c>
      <c r="AO10">
        <v>0</v>
      </c>
      <c r="AP10">
        <v>0</v>
      </c>
      <c r="AQ10">
        <v>0</v>
      </c>
      <c r="AR10">
        <v>0</v>
      </c>
      <c r="AS10">
        <v>0</v>
      </c>
      <c r="AT10">
        <v>0</v>
      </c>
      <c r="AU10">
        <v>0</v>
      </c>
      <c r="AV10">
        <v>0</v>
      </c>
      <c r="AW10">
        <v>0</v>
      </c>
      <c r="AX10">
        <v>0</v>
      </c>
      <c r="AY10">
        <v>0</v>
      </c>
      <c r="AZ10">
        <v>0</v>
      </c>
      <c r="BA10">
        <v>0</v>
      </c>
      <c r="BB10">
        <v>0</v>
      </c>
      <c r="BC10">
        <v>0</v>
      </c>
      <c r="BD10">
        <v>0</v>
      </c>
      <c r="BE10">
        <v>0</v>
      </c>
      <c r="BF10">
        <v>0</v>
      </c>
      <c r="BG10">
        <v>0</v>
      </c>
      <c r="BH10">
        <v>0</v>
      </c>
      <c r="BI10">
        <v>0</v>
      </c>
      <c r="BJ10">
        <v>0</v>
      </c>
      <c r="BK10">
        <v>0</v>
      </c>
      <c r="BL10">
        <v>0</v>
      </c>
      <c r="BM10">
        <v>0</v>
      </c>
      <c r="BN10">
        <v>0</v>
      </c>
      <c r="BO10">
        <v>0</v>
      </c>
      <c r="BP10">
        <v>0</v>
      </c>
      <c r="BQ10">
        <v>0</v>
      </c>
      <c r="BR10">
        <v>0</v>
      </c>
      <c r="BS10">
        <v>0</v>
      </c>
      <c r="BT10">
        <v>0</v>
      </c>
      <c r="BU10">
        <v>0</v>
      </c>
      <c r="BV10">
        <v>0</v>
      </c>
      <c r="BW10">
        <v>0</v>
      </c>
      <c r="BX10">
        <v>0</v>
      </c>
      <c r="BY10">
        <v>0</v>
      </c>
      <c r="BZ10">
        <v>0</v>
      </c>
      <c r="CA10">
        <v>0</v>
      </c>
      <c r="CB10">
        <v>0</v>
      </c>
      <c r="CC10">
        <v>0</v>
      </c>
      <c r="CD10">
        <v>0</v>
      </c>
      <c r="CE10">
        <v>0</v>
      </c>
      <c r="CF10">
        <v>0</v>
      </c>
      <c r="CG10">
        <v>0</v>
      </c>
      <c r="CH10">
        <v>861</v>
      </c>
      <c r="CI10">
        <v>0</v>
      </c>
      <c r="CJ10">
        <v>0</v>
      </c>
      <c r="CK10">
        <v>0</v>
      </c>
      <c r="CL10">
        <v>0</v>
      </c>
      <c r="CM10">
        <v>0</v>
      </c>
      <c r="CN10">
        <v>0</v>
      </c>
      <c r="CO10">
        <v>0</v>
      </c>
      <c r="CP10">
        <v>0</v>
      </c>
      <c r="CQ10">
        <v>0</v>
      </c>
      <c r="CR10">
        <v>0</v>
      </c>
      <c r="CS10">
        <v>1243.2</v>
      </c>
      <c r="CT10">
        <v>0</v>
      </c>
      <c r="CU10">
        <v>0</v>
      </c>
      <c r="CV10">
        <v>0</v>
      </c>
      <c r="CW10">
        <v>0</v>
      </c>
      <c r="CX10">
        <v>0</v>
      </c>
      <c r="CY10">
        <v>0</v>
      </c>
      <c r="CZ10">
        <v>0</v>
      </c>
      <c r="DA10">
        <v>0</v>
      </c>
      <c r="DB10">
        <v>0</v>
      </c>
      <c r="DC10">
        <v>0</v>
      </c>
      <c r="DD10">
        <v>0</v>
      </c>
      <c r="DE10">
        <v>0</v>
      </c>
      <c r="DF10">
        <v>0</v>
      </c>
      <c r="DG10">
        <v>0</v>
      </c>
      <c r="DH10">
        <v>0</v>
      </c>
      <c r="DI10">
        <v>0</v>
      </c>
      <c r="DJ10">
        <v>0</v>
      </c>
      <c r="DK10">
        <v>0</v>
      </c>
      <c r="DL10">
        <v>0</v>
      </c>
      <c r="DM10">
        <v>0</v>
      </c>
      <c r="DN10">
        <v>0</v>
      </c>
      <c r="DO10">
        <v>0</v>
      </c>
      <c r="DP10">
        <v>0</v>
      </c>
      <c r="DQ10">
        <v>0</v>
      </c>
      <c r="DR10">
        <v>0</v>
      </c>
      <c r="DS10">
        <v>0</v>
      </c>
      <c r="DT10">
        <v>0</v>
      </c>
      <c r="DU10">
        <v>0</v>
      </c>
      <c r="DV10">
        <v>0</v>
      </c>
      <c r="DW10">
        <v>0</v>
      </c>
      <c r="DX10">
        <v>0</v>
      </c>
      <c r="DY10">
        <v>0</v>
      </c>
      <c r="DZ10">
        <v>0</v>
      </c>
      <c r="EA10">
        <v>0</v>
      </c>
      <c r="EB10">
        <v>0</v>
      </c>
      <c r="EC10">
        <v>0</v>
      </c>
      <c r="ED10">
        <v>0</v>
      </c>
      <c r="EE10">
        <v>0</v>
      </c>
      <c r="EF10">
        <v>0</v>
      </c>
      <c r="EG10">
        <v>0</v>
      </c>
      <c r="EH10">
        <v>0</v>
      </c>
      <c r="EI10">
        <v>0</v>
      </c>
      <c r="EJ10">
        <v>0</v>
      </c>
      <c r="EK10">
        <v>0</v>
      </c>
      <c r="EL10">
        <v>0</v>
      </c>
      <c r="EM10">
        <v>0</v>
      </c>
      <c r="EN10">
        <v>0</v>
      </c>
      <c r="EO10">
        <v>0</v>
      </c>
      <c r="EP10">
        <v>0</v>
      </c>
      <c r="EQ10">
        <v>0</v>
      </c>
      <c r="ER10">
        <v>0</v>
      </c>
      <c r="ES10">
        <v>0</v>
      </c>
      <c r="ET10">
        <v>0</v>
      </c>
      <c r="EU10">
        <v>0</v>
      </c>
      <c r="EV10">
        <v>0</v>
      </c>
      <c r="EW10">
        <v>0</v>
      </c>
      <c r="EX10">
        <v>0</v>
      </c>
      <c r="EY10">
        <v>0</v>
      </c>
      <c r="EZ10">
        <v>0</v>
      </c>
      <c r="FA10">
        <v>0</v>
      </c>
      <c r="FB10">
        <v>0</v>
      </c>
      <c r="FC10">
        <v>0</v>
      </c>
      <c r="FD10">
        <v>0</v>
      </c>
      <c r="FE10">
        <v>0</v>
      </c>
      <c r="FF10">
        <v>0</v>
      </c>
      <c r="FG10">
        <v>0</v>
      </c>
      <c r="FH10">
        <v>0</v>
      </c>
      <c r="FI10">
        <v>0</v>
      </c>
      <c r="FJ10">
        <v>0</v>
      </c>
      <c r="FK10">
        <v>0</v>
      </c>
      <c r="FL10">
        <v>0</v>
      </c>
      <c r="FM10">
        <v>0</v>
      </c>
      <c r="FN10">
        <v>0</v>
      </c>
      <c r="FO10">
        <v>0</v>
      </c>
      <c r="FP10">
        <v>0</v>
      </c>
      <c r="FQ10">
        <v>0</v>
      </c>
      <c r="FR10">
        <v>0</v>
      </c>
      <c r="FS10">
        <v>0</v>
      </c>
      <c r="FT10">
        <v>0</v>
      </c>
      <c r="FU10">
        <v>0</v>
      </c>
      <c r="FV10">
        <v>0</v>
      </c>
      <c r="FW10">
        <v>0</v>
      </c>
      <c r="FX10">
        <v>0</v>
      </c>
      <c r="FY10">
        <v>0</v>
      </c>
      <c r="FZ10">
        <v>0</v>
      </c>
      <c r="GA10">
        <v>0</v>
      </c>
      <c r="GB10">
        <v>0</v>
      </c>
      <c r="GC10">
        <v>0</v>
      </c>
      <c r="GD10">
        <v>0</v>
      </c>
      <c r="GE10">
        <v>0</v>
      </c>
      <c r="GF10">
        <v>0</v>
      </c>
      <c r="GG10">
        <v>0</v>
      </c>
      <c r="GH10">
        <v>0</v>
      </c>
      <c r="GI10">
        <v>0</v>
      </c>
      <c r="GJ10">
        <v>0</v>
      </c>
      <c r="GK10">
        <v>0</v>
      </c>
      <c r="GL10">
        <v>0</v>
      </c>
      <c r="GM10">
        <v>0</v>
      </c>
      <c r="GN10">
        <v>0</v>
      </c>
      <c r="GO10">
        <v>0</v>
      </c>
      <c r="GP10">
        <v>0</v>
      </c>
      <c r="GQ10">
        <v>0</v>
      </c>
      <c r="GR10">
        <v>0</v>
      </c>
      <c r="GS10">
        <v>0</v>
      </c>
      <c r="GT10">
        <v>0</v>
      </c>
      <c r="GU10">
        <v>0</v>
      </c>
      <c r="GV10">
        <v>0</v>
      </c>
      <c r="GW10">
        <v>0</v>
      </c>
      <c r="GX10">
        <v>0</v>
      </c>
      <c r="GY10">
        <v>0</v>
      </c>
      <c r="GZ10">
        <v>0</v>
      </c>
      <c r="HA10">
        <v>0</v>
      </c>
      <c r="HB10">
        <v>0</v>
      </c>
      <c r="HC10">
        <v>0</v>
      </c>
      <c r="HE10">
        <f t="shared" si="0"/>
        <v>2104.1999999999998</v>
      </c>
      <c r="HF10">
        <f t="shared" si="1"/>
        <v>1</v>
      </c>
    </row>
    <row r="11" spans="1:214" x14ac:dyDescent="0.45">
      <c r="A11" t="s">
        <v>20</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v>0</v>
      </c>
      <c r="AI11">
        <v>0</v>
      </c>
      <c r="AJ11">
        <v>0</v>
      </c>
      <c r="AK11">
        <v>0</v>
      </c>
      <c r="AL11">
        <v>0</v>
      </c>
      <c r="AM11">
        <v>0</v>
      </c>
      <c r="AN11">
        <v>0</v>
      </c>
      <c r="AO11">
        <v>0</v>
      </c>
      <c r="AP11">
        <v>0</v>
      </c>
      <c r="AQ11">
        <v>0</v>
      </c>
      <c r="AR11">
        <v>0</v>
      </c>
      <c r="AS11">
        <v>0</v>
      </c>
      <c r="AT11">
        <v>0</v>
      </c>
      <c r="AU11">
        <v>0</v>
      </c>
      <c r="AV11">
        <v>0</v>
      </c>
      <c r="AW11">
        <v>0</v>
      </c>
      <c r="AX11">
        <v>0</v>
      </c>
      <c r="AY11">
        <v>0</v>
      </c>
      <c r="AZ11">
        <v>0</v>
      </c>
      <c r="BA11">
        <v>0</v>
      </c>
      <c r="BB11">
        <v>0</v>
      </c>
      <c r="BC11">
        <v>0</v>
      </c>
      <c r="BD11">
        <v>0</v>
      </c>
      <c r="BE11">
        <v>0</v>
      </c>
      <c r="BF11">
        <v>0</v>
      </c>
      <c r="BG11">
        <v>0</v>
      </c>
      <c r="BH11">
        <v>0</v>
      </c>
      <c r="BI11">
        <v>0</v>
      </c>
      <c r="BJ11">
        <v>0</v>
      </c>
      <c r="BK11">
        <v>0</v>
      </c>
      <c r="BL11">
        <v>0</v>
      </c>
      <c r="BM11">
        <v>0</v>
      </c>
      <c r="BN11">
        <v>0</v>
      </c>
      <c r="BO11">
        <v>0</v>
      </c>
      <c r="BP11">
        <v>0</v>
      </c>
      <c r="BQ11">
        <v>0</v>
      </c>
      <c r="BR11">
        <v>0</v>
      </c>
      <c r="BS11">
        <v>0</v>
      </c>
      <c r="BT11">
        <v>0</v>
      </c>
      <c r="BU11">
        <v>0</v>
      </c>
      <c r="BV11">
        <v>0</v>
      </c>
      <c r="BW11">
        <v>0</v>
      </c>
      <c r="BX11">
        <v>0</v>
      </c>
      <c r="BY11">
        <v>0</v>
      </c>
      <c r="BZ11">
        <v>0</v>
      </c>
      <c r="CA11">
        <v>0</v>
      </c>
      <c r="CB11">
        <v>0</v>
      </c>
      <c r="CC11">
        <v>0</v>
      </c>
      <c r="CD11">
        <v>0</v>
      </c>
      <c r="CE11">
        <v>0</v>
      </c>
      <c r="CF11">
        <v>0</v>
      </c>
      <c r="CG11">
        <v>0</v>
      </c>
      <c r="CH11">
        <v>0</v>
      </c>
      <c r="CI11">
        <v>0</v>
      </c>
      <c r="CJ11">
        <v>0</v>
      </c>
      <c r="CK11">
        <v>0</v>
      </c>
      <c r="CL11">
        <v>0</v>
      </c>
      <c r="CM11">
        <v>0</v>
      </c>
      <c r="CN11">
        <v>0</v>
      </c>
      <c r="CO11">
        <v>0</v>
      </c>
      <c r="CP11">
        <v>0</v>
      </c>
      <c r="CQ11">
        <v>0</v>
      </c>
      <c r="CR11">
        <v>0</v>
      </c>
      <c r="CS11">
        <v>0</v>
      </c>
      <c r="CT11">
        <v>0</v>
      </c>
      <c r="CU11">
        <v>0</v>
      </c>
      <c r="CV11">
        <v>0</v>
      </c>
      <c r="CW11">
        <v>0</v>
      </c>
      <c r="CX11">
        <v>0</v>
      </c>
      <c r="CY11">
        <v>0</v>
      </c>
      <c r="CZ11">
        <v>0</v>
      </c>
      <c r="DA11">
        <v>0</v>
      </c>
      <c r="DB11">
        <v>0</v>
      </c>
      <c r="DC11">
        <v>0</v>
      </c>
      <c r="DD11">
        <v>0</v>
      </c>
      <c r="DE11">
        <v>0</v>
      </c>
      <c r="DF11">
        <v>0</v>
      </c>
      <c r="DG11">
        <v>0</v>
      </c>
      <c r="DH11">
        <v>0</v>
      </c>
      <c r="DI11">
        <v>0</v>
      </c>
      <c r="DJ11">
        <v>0</v>
      </c>
      <c r="DK11">
        <v>0</v>
      </c>
      <c r="DL11">
        <v>0</v>
      </c>
      <c r="DM11">
        <v>0</v>
      </c>
      <c r="DN11">
        <v>0</v>
      </c>
      <c r="DO11">
        <v>0</v>
      </c>
      <c r="DP11">
        <v>0</v>
      </c>
      <c r="DQ11">
        <v>0</v>
      </c>
      <c r="DR11">
        <v>0</v>
      </c>
      <c r="DS11">
        <v>0</v>
      </c>
      <c r="DT11">
        <v>0</v>
      </c>
      <c r="DU11">
        <v>0</v>
      </c>
      <c r="DV11">
        <v>0</v>
      </c>
      <c r="DW11">
        <v>0</v>
      </c>
      <c r="DX11">
        <v>0</v>
      </c>
      <c r="DY11">
        <v>0</v>
      </c>
      <c r="DZ11">
        <v>0</v>
      </c>
      <c r="EA11">
        <v>0</v>
      </c>
      <c r="EB11">
        <v>0</v>
      </c>
      <c r="EC11">
        <v>0</v>
      </c>
      <c r="ED11">
        <v>0</v>
      </c>
      <c r="EE11">
        <v>0</v>
      </c>
      <c r="EF11">
        <v>0</v>
      </c>
      <c r="EG11">
        <v>0</v>
      </c>
      <c r="EH11">
        <v>0</v>
      </c>
      <c r="EI11">
        <v>0</v>
      </c>
      <c r="EJ11">
        <v>0</v>
      </c>
      <c r="EK11">
        <v>0</v>
      </c>
      <c r="EL11">
        <v>0</v>
      </c>
      <c r="EM11">
        <v>0</v>
      </c>
      <c r="EN11">
        <v>0</v>
      </c>
      <c r="EO11">
        <v>0</v>
      </c>
      <c r="EP11">
        <v>0</v>
      </c>
      <c r="EQ11">
        <v>0</v>
      </c>
      <c r="ER11">
        <v>0</v>
      </c>
      <c r="ES11">
        <v>0</v>
      </c>
      <c r="ET11">
        <v>0</v>
      </c>
      <c r="EU11">
        <v>0</v>
      </c>
      <c r="EV11">
        <v>0</v>
      </c>
      <c r="EW11">
        <v>0</v>
      </c>
      <c r="EX11">
        <v>0</v>
      </c>
      <c r="EY11">
        <v>0</v>
      </c>
      <c r="EZ11">
        <v>0</v>
      </c>
      <c r="FA11">
        <v>0</v>
      </c>
      <c r="FB11">
        <v>0</v>
      </c>
      <c r="FC11">
        <v>0</v>
      </c>
      <c r="FD11">
        <v>0</v>
      </c>
      <c r="FE11">
        <v>0</v>
      </c>
      <c r="FF11">
        <v>0</v>
      </c>
      <c r="FG11">
        <v>0</v>
      </c>
      <c r="FH11">
        <v>0</v>
      </c>
      <c r="FI11">
        <v>0</v>
      </c>
      <c r="FJ11">
        <v>0</v>
      </c>
      <c r="FK11">
        <v>0</v>
      </c>
      <c r="FL11">
        <v>0</v>
      </c>
      <c r="FM11">
        <v>0</v>
      </c>
      <c r="FN11">
        <v>0</v>
      </c>
      <c r="FO11">
        <v>0</v>
      </c>
      <c r="FP11">
        <v>0</v>
      </c>
      <c r="FQ11">
        <v>0</v>
      </c>
      <c r="FR11">
        <v>0</v>
      </c>
      <c r="FS11">
        <v>0</v>
      </c>
      <c r="FT11">
        <v>0</v>
      </c>
      <c r="FU11">
        <v>0</v>
      </c>
      <c r="FV11">
        <v>0</v>
      </c>
      <c r="FW11">
        <v>0</v>
      </c>
      <c r="FX11">
        <v>0</v>
      </c>
      <c r="FY11">
        <v>0</v>
      </c>
      <c r="FZ11">
        <v>0</v>
      </c>
      <c r="GA11">
        <v>0</v>
      </c>
      <c r="GB11">
        <v>0</v>
      </c>
      <c r="GC11">
        <v>0</v>
      </c>
      <c r="GD11">
        <v>0</v>
      </c>
      <c r="GE11">
        <v>0</v>
      </c>
      <c r="GF11">
        <v>0</v>
      </c>
      <c r="GG11">
        <v>0</v>
      </c>
      <c r="GH11">
        <v>0</v>
      </c>
      <c r="GI11">
        <v>0</v>
      </c>
      <c r="GJ11">
        <v>0</v>
      </c>
      <c r="GK11">
        <v>0</v>
      </c>
      <c r="GL11">
        <v>0</v>
      </c>
      <c r="GM11">
        <v>0</v>
      </c>
      <c r="GN11">
        <v>0</v>
      </c>
      <c r="GO11">
        <v>0</v>
      </c>
      <c r="GP11">
        <v>0</v>
      </c>
      <c r="GQ11">
        <v>0</v>
      </c>
      <c r="GR11">
        <v>0</v>
      </c>
      <c r="GS11">
        <v>0</v>
      </c>
      <c r="GT11">
        <v>0</v>
      </c>
      <c r="GU11">
        <v>0</v>
      </c>
      <c r="GV11">
        <v>0</v>
      </c>
      <c r="GW11">
        <v>0</v>
      </c>
      <c r="GX11">
        <v>0</v>
      </c>
      <c r="GY11">
        <v>0</v>
      </c>
      <c r="GZ11">
        <v>0</v>
      </c>
      <c r="HA11">
        <v>0</v>
      </c>
      <c r="HB11">
        <v>0</v>
      </c>
      <c r="HC11">
        <v>0</v>
      </c>
      <c r="HE11">
        <f t="shared" si="0"/>
        <v>0</v>
      </c>
      <c r="HF11">
        <f t="shared" si="1"/>
        <v>0</v>
      </c>
    </row>
    <row r="12" spans="1:214" x14ac:dyDescent="0.45">
      <c r="A12" t="s">
        <v>23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v>0</v>
      </c>
      <c r="AF12">
        <v>0</v>
      </c>
      <c r="AG12">
        <v>0</v>
      </c>
      <c r="AH12">
        <v>0</v>
      </c>
      <c r="AI12">
        <v>0</v>
      </c>
      <c r="AJ12">
        <v>0</v>
      </c>
      <c r="AK12">
        <v>0</v>
      </c>
      <c r="AL12">
        <v>0</v>
      </c>
      <c r="AM12">
        <v>0</v>
      </c>
      <c r="AN12">
        <v>0</v>
      </c>
      <c r="AO12">
        <v>0</v>
      </c>
      <c r="AP12">
        <v>0</v>
      </c>
      <c r="AQ12">
        <v>0</v>
      </c>
      <c r="AR12">
        <v>0</v>
      </c>
      <c r="AS12">
        <v>0</v>
      </c>
      <c r="AT12">
        <v>0</v>
      </c>
      <c r="AU12">
        <v>0</v>
      </c>
      <c r="AV12">
        <v>0</v>
      </c>
      <c r="AW12">
        <v>0</v>
      </c>
      <c r="AX12">
        <v>0</v>
      </c>
      <c r="AY12">
        <v>0</v>
      </c>
      <c r="AZ12">
        <v>0</v>
      </c>
      <c r="BA12">
        <v>0</v>
      </c>
      <c r="BB12">
        <v>0</v>
      </c>
      <c r="BC12">
        <v>0</v>
      </c>
      <c r="BD12">
        <v>0</v>
      </c>
      <c r="BE12">
        <v>0</v>
      </c>
      <c r="BF12">
        <v>0</v>
      </c>
      <c r="BG12">
        <v>0</v>
      </c>
      <c r="BH12">
        <v>0</v>
      </c>
      <c r="BI12">
        <v>0</v>
      </c>
      <c r="BJ12">
        <v>0</v>
      </c>
      <c r="BK12">
        <v>0</v>
      </c>
      <c r="BL12">
        <v>0</v>
      </c>
      <c r="BM12">
        <v>0</v>
      </c>
      <c r="BN12">
        <v>0</v>
      </c>
      <c r="BO12">
        <v>0</v>
      </c>
      <c r="BP12">
        <v>0</v>
      </c>
      <c r="BQ12">
        <v>0</v>
      </c>
      <c r="BR12">
        <v>0</v>
      </c>
      <c r="BS12">
        <v>0</v>
      </c>
      <c r="BT12">
        <v>0</v>
      </c>
      <c r="BU12">
        <v>0</v>
      </c>
      <c r="BV12">
        <v>0</v>
      </c>
      <c r="BW12">
        <v>0</v>
      </c>
      <c r="BX12">
        <v>0</v>
      </c>
      <c r="BY12">
        <v>0</v>
      </c>
      <c r="BZ12">
        <v>0</v>
      </c>
      <c r="CA12">
        <v>0</v>
      </c>
      <c r="CB12">
        <v>0</v>
      </c>
      <c r="CC12">
        <v>0</v>
      </c>
      <c r="CD12">
        <v>0</v>
      </c>
      <c r="CE12">
        <v>837</v>
      </c>
      <c r="CF12">
        <v>861</v>
      </c>
      <c r="CG12">
        <v>0</v>
      </c>
      <c r="CH12">
        <v>0</v>
      </c>
      <c r="CI12">
        <v>981</v>
      </c>
      <c r="CJ12">
        <v>0</v>
      </c>
      <c r="CK12">
        <v>0</v>
      </c>
      <c r="CL12">
        <v>0</v>
      </c>
      <c r="CM12">
        <v>0</v>
      </c>
      <c r="CN12">
        <v>0</v>
      </c>
      <c r="CO12">
        <v>0</v>
      </c>
      <c r="CP12">
        <v>987</v>
      </c>
      <c r="CQ12">
        <v>0</v>
      </c>
      <c r="CR12">
        <v>0</v>
      </c>
      <c r="CS12">
        <v>0</v>
      </c>
      <c r="CT12">
        <v>0</v>
      </c>
      <c r="CU12">
        <v>0</v>
      </c>
      <c r="CV12">
        <v>0</v>
      </c>
      <c r="CW12">
        <v>0</v>
      </c>
      <c r="CX12">
        <v>0</v>
      </c>
      <c r="CY12">
        <v>0</v>
      </c>
      <c r="CZ12">
        <v>0</v>
      </c>
      <c r="DA12">
        <v>0</v>
      </c>
      <c r="DB12">
        <v>0</v>
      </c>
      <c r="DC12">
        <v>0</v>
      </c>
      <c r="DD12">
        <v>0</v>
      </c>
      <c r="DE12">
        <v>0</v>
      </c>
      <c r="DF12">
        <v>0</v>
      </c>
      <c r="DG12">
        <v>0</v>
      </c>
      <c r="DH12">
        <v>0</v>
      </c>
      <c r="DI12">
        <v>0</v>
      </c>
      <c r="DJ12">
        <v>0</v>
      </c>
      <c r="DK12">
        <v>0</v>
      </c>
      <c r="DL12">
        <v>0</v>
      </c>
      <c r="DM12">
        <v>0</v>
      </c>
      <c r="DN12">
        <v>0</v>
      </c>
      <c r="DO12">
        <v>0</v>
      </c>
      <c r="DP12">
        <v>0</v>
      </c>
      <c r="DQ12">
        <v>0</v>
      </c>
      <c r="DR12">
        <v>0</v>
      </c>
      <c r="DS12">
        <v>0</v>
      </c>
      <c r="DT12">
        <v>0</v>
      </c>
      <c r="DU12">
        <v>0</v>
      </c>
      <c r="DV12">
        <v>0</v>
      </c>
      <c r="DW12">
        <v>0</v>
      </c>
      <c r="DX12">
        <v>0</v>
      </c>
      <c r="DY12">
        <v>0</v>
      </c>
      <c r="DZ12">
        <v>0</v>
      </c>
      <c r="EA12">
        <v>0</v>
      </c>
      <c r="EB12">
        <v>0</v>
      </c>
      <c r="EC12">
        <v>0</v>
      </c>
      <c r="ED12">
        <v>0</v>
      </c>
      <c r="EE12">
        <v>0</v>
      </c>
      <c r="EF12">
        <v>0</v>
      </c>
      <c r="EG12">
        <v>0</v>
      </c>
      <c r="EH12">
        <v>0</v>
      </c>
      <c r="EI12">
        <v>0</v>
      </c>
      <c r="EJ12">
        <v>0</v>
      </c>
      <c r="EK12">
        <v>0</v>
      </c>
      <c r="EL12">
        <v>0</v>
      </c>
      <c r="EM12">
        <v>0</v>
      </c>
      <c r="EN12">
        <v>0</v>
      </c>
      <c r="EO12">
        <v>0</v>
      </c>
      <c r="EP12">
        <v>0</v>
      </c>
      <c r="EQ12">
        <v>0</v>
      </c>
      <c r="ER12">
        <v>0</v>
      </c>
      <c r="ES12">
        <v>0</v>
      </c>
      <c r="ET12">
        <v>0</v>
      </c>
      <c r="EU12">
        <v>0</v>
      </c>
      <c r="EV12">
        <v>0</v>
      </c>
      <c r="EW12">
        <v>0</v>
      </c>
      <c r="EX12">
        <v>0</v>
      </c>
      <c r="EY12">
        <v>0</v>
      </c>
      <c r="EZ12">
        <v>0</v>
      </c>
      <c r="FA12">
        <v>0</v>
      </c>
      <c r="FB12">
        <v>0</v>
      </c>
      <c r="FC12">
        <v>0</v>
      </c>
      <c r="FD12">
        <v>0</v>
      </c>
      <c r="FE12">
        <v>0</v>
      </c>
      <c r="FF12">
        <v>0</v>
      </c>
      <c r="FG12">
        <v>0</v>
      </c>
      <c r="FH12">
        <v>0</v>
      </c>
      <c r="FI12">
        <v>0</v>
      </c>
      <c r="FJ12">
        <v>0</v>
      </c>
      <c r="FK12">
        <v>0</v>
      </c>
      <c r="FL12">
        <v>0</v>
      </c>
      <c r="FM12">
        <v>0</v>
      </c>
      <c r="FN12">
        <v>0</v>
      </c>
      <c r="FO12">
        <v>0</v>
      </c>
      <c r="FP12">
        <v>0</v>
      </c>
      <c r="FQ12">
        <v>0</v>
      </c>
      <c r="FR12">
        <v>0</v>
      </c>
      <c r="FS12">
        <v>0</v>
      </c>
      <c r="FT12">
        <v>0</v>
      </c>
      <c r="FU12">
        <v>0</v>
      </c>
      <c r="FV12">
        <v>0</v>
      </c>
      <c r="FW12">
        <v>0</v>
      </c>
      <c r="FX12">
        <v>0</v>
      </c>
      <c r="FY12">
        <v>0</v>
      </c>
      <c r="FZ12">
        <v>0</v>
      </c>
      <c r="GA12">
        <v>0</v>
      </c>
      <c r="GB12">
        <v>0</v>
      </c>
      <c r="GC12">
        <v>0</v>
      </c>
      <c r="GD12">
        <v>0</v>
      </c>
      <c r="GE12">
        <v>0</v>
      </c>
      <c r="GF12">
        <v>0</v>
      </c>
      <c r="GG12">
        <v>0</v>
      </c>
      <c r="GH12">
        <v>0</v>
      </c>
      <c r="GI12">
        <v>0</v>
      </c>
      <c r="GJ12">
        <v>0</v>
      </c>
      <c r="GK12">
        <v>0</v>
      </c>
      <c r="GL12">
        <v>0</v>
      </c>
      <c r="GM12">
        <v>0</v>
      </c>
      <c r="GN12">
        <v>0</v>
      </c>
      <c r="GO12">
        <v>0</v>
      </c>
      <c r="GP12">
        <v>0</v>
      </c>
      <c r="GQ12">
        <v>0</v>
      </c>
      <c r="GR12">
        <v>0</v>
      </c>
      <c r="GS12">
        <v>0</v>
      </c>
      <c r="GT12">
        <v>0</v>
      </c>
      <c r="GU12">
        <v>0</v>
      </c>
      <c r="GV12">
        <v>0</v>
      </c>
      <c r="GW12">
        <v>0</v>
      </c>
      <c r="GX12">
        <v>0</v>
      </c>
      <c r="GY12">
        <v>0</v>
      </c>
      <c r="GZ12">
        <v>0</v>
      </c>
      <c r="HA12">
        <v>0</v>
      </c>
      <c r="HB12">
        <v>0</v>
      </c>
      <c r="HC12">
        <v>0</v>
      </c>
      <c r="HE12">
        <f t="shared" si="0"/>
        <v>3666</v>
      </c>
      <c r="HF12">
        <f t="shared" si="1"/>
        <v>1</v>
      </c>
    </row>
    <row r="13" spans="1:214" x14ac:dyDescent="0.45">
      <c r="A13" t="s">
        <v>25</v>
      </c>
      <c r="B13">
        <v>0</v>
      </c>
      <c r="C13">
        <v>0</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c r="AC13">
        <v>0</v>
      </c>
      <c r="AD13">
        <v>0</v>
      </c>
      <c r="AE13">
        <v>0</v>
      </c>
      <c r="AF13">
        <v>0</v>
      </c>
      <c r="AG13">
        <v>0</v>
      </c>
      <c r="AH13">
        <v>0</v>
      </c>
      <c r="AI13">
        <v>0</v>
      </c>
      <c r="AJ13">
        <v>0</v>
      </c>
      <c r="AK13">
        <v>0</v>
      </c>
      <c r="AL13">
        <v>0</v>
      </c>
      <c r="AM13">
        <v>0</v>
      </c>
      <c r="AN13">
        <v>0</v>
      </c>
      <c r="AO13">
        <v>0</v>
      </c>
      <c r="AP13">
        <v>0</v>
      </c>
      <c r="AQ13">
        <v>0</v>
      </c>
      <c r="AR13">
        <v>0</v>
      </c>
      <c r="AS13">
        <v>0</v>
      </c>
      <c r="AT13">
        <v>0</v>
      </c>
      <c r="AU13">
        <v>0</v>
      </c>
      <c r="AV13">
        <v>0</v>
      </c>
      <c r="AW13">
        <v>0</v>
      </c>
      <c r="AX13">
        <v>0</v>
      </c>
      <c r="AY13">
        <v>0</v>
      </c>
      <c r="AZ13">
        <v>0</v>
      </c>
      <c r="BA13">
        <v>0</v>
      </c>
      <c r="BB13">
        <v>0</v>
      </c>
      <c r="BC13">
        <v>0</v>
      </c>
      <c r="BD13">
        <v>0</v>
      </c>
      <c r="BE13">
        <v>0</v>
      </c>
      <c r="BF13">
        <v>0</v>
      </c>
      <c r="BG13">
        <v>0</v>
      </c>
      <c r="BH13">
        <v>0</v>
      </c>
      <c r="BI13">
        <v>0</v>
      </c>
      <c r="BJ13">
        <v>0</v>
      </c>
      <c r="BK13">
        <v>0</v>
      </c>
      <c r="BL13">
        <v>0</v>
      </c>
      <c r="BM13">
        <v>0</v>
      </c>
      <c r="BN13">
        <v>0</v>
      </c>
      <c r="BO13">
        <v>0</v>
      </c>
      <c r="BP13">
        <v>0</v>
      </c>
      <c r="BQ13">
        <v>0</v>
      </c>
      <c r="BR13">
        <v>0</v>
      </c>
      <c r="BS13">
        <v>0</v>
      </c>
      <c r="BT13">
        <v>0</v>
      </c>
      <c r="BU13">
        <v>0</v>
      </c>
      <c r="BV13">
        <v>0</v>
      </c>
      <c r="BW13">
        <v>0</v>
      </c>
      <c r="BX13">
        <v>0</v>
      </c>
      <c r="BY13">
        <v>0</v>
      </c>
      <c r="BZ13">
        <v>0</v>
      </c>
      <c r="CA13">
        <v>0</v>
      </c>
      <c r="CB13">
        <v>0</v>
      </c>
      <c r="CC13">
        <v>0</v>
      </c>
      <c r="CD13">
        <v>0</v>
      </c>
      <c r="CE13">
        <v>0</v>
      </c>
      <c r="CF13">
        <v>0</v>
      </c>
      <c r="CG13">
        <v>0</v>
      </c>
      <c r="CH13">
        <v>876</v>
      </c>
      <c r="CI13">
        <v>0</v>
      </c>
      <c r="CJ13">
        <v>0</v>
      </c>
      <c r="CK13">
        <v>0</v>
      </c>
      <c r="CL13">
        <v>883</v>
      </c>
      <c r="CM13">
        <v>0</v>
      </c>
      <c r="CN13">
        <v>0</v>
      </c>
      <c r="CO13">
        <v>0</v>
      </c>
      <c r="CP13">
        <v>0</v>
      </c>
      <c r="CQ13">
        <v>0</v>
      </c>
      <c r="CR13">
        <v>0</v>
      </c>
      <c r="CS13">
        <v>0</v>
      </c>
      <c r="CT13">
        <v>1150</v>
      </c>
      <c r="CU13">
        <v>0</v>
      </c>
      <c r="CV13">
        <v>1152</v>
      </c>
      <c r="CW13">
        <v>0</v>
      </c>
      <c r="CX13">
        <v>0</v>
      </c>
      <c r="CY13">
        <v>0</v>
      </c>
      <c r="CZ13">
        <v>0</v>
      </c>
      <c r="DA13">
        <v>0</v>
      </c>
      <c r="DB13">
        <v>0</v>
      </c>
      <c r="DC13">
        <v>0</v>
      </c>
      <c r="DD13">
        <v>0</v>
      </c>
      <c r="DE13">
        <v>0</v>
      </c>
      <c r="DF13">
        <v>0</v>
      </c>
      <c r="DG13">
        <v>0</v>
      </c>
      <c r="DH13">
        <v>0</v>
      </c>
      <c r="DI13">
        <v>0</v>
      </c>
      <c r="DJ13">
        <v>0</v>
      </c>
      <c r="DK13">
        <v>0</v>
      </c>
      <c r="DL13">
        <v>0</v>
      </c>
      <c r="DM13">
        <v>0</v>
      </c>
      <c r="DN13">
        <v>0</v>
      </c>
      <c r="DO13">
        <v>0</v>
      </c>
      <c r="DP13">
        <v>0</v>
      </c>
      <c r="DQ13">
        <v>0</v>
      </c>
      <c r="DR13">
        <v>0</v>
      </c>
      <c r="DS13">
        <v>0</v>
      </c>
      <c r="DT13">
        <v>0</v>
      </c>
      <c r="DU13">
        <v>0</v>
      </c>
      <c r="DV13">
        <v>0</v>
      </c>
      <c r="DW13">
        <v>0</v>
      </c>
      <c r="DX13">
        <v>0</v>
      </c>
      <c r="DY13">
        <v>0</v>
      </c>
      <c r="DZ13">
        <v>0</v>
      </c>
      <c r="EA13">
        <v>0</v>
      </c>
      <c r="EB13">
        <v>0</v>
      </c>
      <c r="EC13">
        <v>0</v>
      </c>
      <c r="ED13">
        <v>1114</v>
      </c>
      <c r="EE13">
        <v>1114</v>
      </c>
      <c r="EF13">
        <v>0</v>
      </c>
      <c r="EG13">
        <v>0</v>
      </c>
      <c r="EH13">
        <v>0</v>
      </c>
      <c r="EI13">
        <v>0</v>
      </c>
      <c r="EJ13">
        <v>0</v>
      </c>
      <c r="EK13">
        <v>0</v>
      </c>
      <c r="EL13">
        <v>0</v>
      </c>
      <c r="EM13">
        <v>0</v>
      </c>
      <c r="EN13">
        <v>0</v>
      </c>
      <c r="EO13">
        <v>0</v>
      </c>
      <c r="EP13">
        <v>0</v>
      </c>
      <c r="EQ13">
        <v>0</v>
      </c>
      <c r="ER13">
        <v>0</v>
      </c>
      <c r="ES13">
        <v>0</v>
      </c>
      <c r="ET13">
        <v>0</v>
      </c>
      <c r="EU13">
        <v>0</v>
      </c>
      <c r="EV13">
        <v>0</v>
      </c>
      <c r="EW13">
        <v>0</v>
      </c>
      <c r="EX13">
        <v>0</v>
      </c>
      <c r="EY13">
        <v>0</v>
      </c>
      <c r="EZ13">
        <v>0</v>
      </c>
      <c r="FA13">
        <v>0</v>
      </c>
      <c r="FB13">
        <v>0</v>
      </c>
      <c r="FC13">
        <v>0</v>
      </c>
      <c r="FD13">
        <v>0</v>
      </c>
      <c r="FE13">
        <v>0</v>
      </c>
      <c r="FF13">
        <v>0</v>
      </c>
      <c r="FG13">
        <v>0</v>
      </c>
      <c r="FH13">
        <v>0</v>
      </c>
      <c r="FI13">
        <v>0</v>
      </c>
      <c r="FJ13">
        <v>0</v>
      </c>
      <c r="FK13">
        <v>0</v>
      </c>
      <c r="FL13">
        <v>0</v>
      </c>
      <c r="FM13">
        <v>0</v>
      </c>
      <c r="FN13">
        <v>0</v>
      </c>
      <c r="FO13">
        <v>0</v>
      </c>
      <c r="FP13">
        <v>0</v>
      </c>
      <c r="FQ13">
        <v>0</v>
      </c>
      <c r="FR13">
        <v>0</v>
      </c>
      <c r="FS13">
        <v>0</v>
      </c>
      <c r="FT13">
        <v>0</v>
      </c>
      <c r="FU13">
        <v>0</v>
      </c>
      <c r="FV13">
        <v>0</v>
      </c>
      <c r="FW13">
        <v>0</v>
      </c>
      <c r="FX13">
        <v>0</v>
      </c>
      <c r="FY13">
        <v>0</v>
      </c>
      <c r="FZ13">
        <v>0</v>
      </c>
      <c r="GA13">
        <v>0</v>
      </c>
      <c r="GB13">
        <v>0</v>
      </c>
      <c r="GC13">
        <v>0</v>
      </c>
      <c r="GD13">
        <v>0</v>
      </c>
      <c r="GE13">
        <v>0</v>
      </c>
      <c r="GF13">
        <v>0</v>
      </c>
      <c r="GG13">
        <v>0</v>
      </c>
      <c r="GH13">
        <v>0</v>
      </c>
      <c r="GI13">
        <v>0</v>
      </c>
      <c r="GJ13">
        <v>0</v>
      </c>
      <c r="GK13">
        <v>0</v>
      </c>
      <c r="GL13">
        <v>0</v>
      </c>
      <c r="GM13">
        <v>0</v>
      </c>
      <c r="GN13">
        <v>0</v>
      </c>
      <c r="GO13">
        <v>0</v>
      </c>
      <c r="GP13">
        <v>0</v>
      </c>
      <c r="GQ13">
        <v>0</v>
      </c>
      <c r="GR13">
        <v>0</v>
      </c>
      <c r="GS13">
        <v>0</v>
      </c>
      <c r="GT13">
        <v>0</v>
      </c>
      <c r="GU13">
        <v>0</v>
      </c>
      <c r="GV13">
        <v>0</v>
      </c>
      <c r="GW13">
        <v>0</v>
      </c>
      <c r="GX13">
        <v>0</v>
      </c>
      <c r="GY13">
        <v>0</v>
      </c>
      <c r="GZ13">
        <v>0</v>
      </c>
      <c r="HA13">
        <v>0</v>
      </c>
      <c r="HB13">
        <v>0</v>
      </c>
      <c r="HC13">
        <v>0</v>
      </c>
      <c r="HE13">
        <f t="shared" si="0"/>
        <v>6289</v>
      </c>
      <c r="HF13">
        <f t="shared" si="1"/>
        <v>1</v>
      </c>
    </row>
    <row r="14" spans="1:214" x14ac:dyDescent="0.45">
      <c r="A14" t="s">
        <v>28</v>
      </c>
      <c r="B14">
        <v>0</v>
      </c>
      <c r="C14">
        <v>0</v>
      </c>
      <c r="D14">
        <v>0</v>
      </c>
      <c r="E14">
        <v>0</v>
      </c>
      <c r="F14">
        <v>0</v>
      </c>
      <c r="G14">
        <v>0</v>
      </c>
      <c r="H14">
        <v>0</v>
      </c>
      <c r="I14">
        <v>0</v>
      </c>
      <c r="J14">
        <v>0</v>
      </c>
      <c r="K14">
        <v>0</v>
      </c>
      <c r="L14">
        <v>0</v>
      </c>
      <c r="M14">
        <v>0</v>
      </c>
      <c r="N14">
        <v>0</v>
      </c>
      <c r="O14">
        <v>0</v>
      </c>
      <c r="P14">
        <v>0</v>
      </c>
      <c r="Q14">
        <v>0</v>
      </c>
      <c r="R14">
        <v>0</v>
      </c>
      <c r="S14">
        <v>0</v>
      </c>
      <c r="T14">
        <v>0</v>
      </c>
      <c r="U14">
        <v>0</v>
      </c>
      <c r="V14">
        <v>0</v>
      </c>
      <c r="W14">
        <v>0</v>
      </c>
      <c r="X14">
        <v>0</v>
      </c>
      <c r="Y14">
        <v>0</v>
      </c>
      <c r="Z14">
        <v>0</v>
      </c>
      <c r="AA14">
        <v>0</v>
      </c>
      <c r="AB14">
        <v>0</v>
      </c>
      <c r="AC14">
        <v>0</v>
      </c>
      <c r="AD14">
        <v>0</v>
      </c>
      <c r="AE14">
        <v>0</v>
      </c>
      <c r="AF14">
        <v>0</v>
      </c>
      <c r="AG14">
        <v>0</v>
      </c>
      <c r="AH14">
        <v>0</v>
      </c>
      <c r="AI14">
        <v>0</v>
      </c>
      <c r="AJ14">
        <v>0</v>
      </c>
      <c r="AK14">
        <v>0</v>
      </c>
      <c r="AL14">
        <v>0</v>
      </c>
      <c r="AM14">
        <v>0</v>
      </c>
      <c r="AN14">
        <v>0</v>
      </c>
      <c r="AO14">
        <v>0</v>
      </c>
      <c r="AP14">
        <v>0</v>
      </c>
      <c r="AQ14">
        <v>0</v>
      </c>
      <c r="AR14">
        <v>0</v>
      </c>
      <c r="AS14">
        <v>0</v>
      </c>
      <c r="AT14">
        <v>0</v>
      </c>
      <c r="AU14">
        <v>0</v>
      </c>
      <c r="AV14">
        <v>0</v>
      </c>
      <c r="AW14">
        <v>0</v>
      </c>
      <c r="AX14">
        <v>0</v>
      </c>
      <c r="AY14">
        <v>0</v>
      </c>
      <c r="AZ14">
        <v>0</v>
      </c>
      <c r="BA14">
        <v>0</v>
      </c>
      <c r="BB14">
        <v>0</v>
      </c>
      <c r="BC14">
        <v>0</v>
      </c>
      <c r="BD14">
        <v>0</v>
      </c>
      <c r="BE14">
        <v>0</v>
      </c>
      <c r="BF14">
        <v>0</v>
      </c>
      <c r="BG14">
        <v>0</v>
      </c>
      <c r="BH14">
        <v>0</v>
      </c>
      <c r="BI14">
        <v>0</v>
      </c>
      <c r="BJ14">
        <v>0</v>
      </c>
      <c r="BK14">
        <v>0</v>
      </c>
      <c r="BL14">
        <v>0</v>
      </c>
      <c r="BM14">
        <v>0</v>
      </c>
      <c r="BN14">
        <v>0</v>
      </c>
      <c r="BO14">
        <v>0</v>
      </c>
      <c r="BP14">
        <v>0</v>
      </c>
      <c r="BQ14">
        <v>0</v>
      </c>
      <c r="BR14">
        <v>0</v>
      </c>
      <c r="BS14">
        <v>0</v>
      </c>
      <c r="BT14">
        <v>0</v>
      </c>
      <c r="BU14">
        <v>0</v>
      </c>
      <c r="BV14">
        <v>0</v>
      </c>
      <c r="BW14">
        <v>0</v>
      </c>
      <c r="BX14">
        <v>0</v>
      </c>
      <c r="BY14">
        <v>0</v>
      </c>
      <c r="BZ14">
        <v>0</v>
      </c>
      <c r="CA14">
        <v>0</v>
      </c>
      <c r="CB14">
        <v>0</v>
      </c>
      <c r="CC14">
        <v>0</v>
      </c>
      <c r="CD14">
        <v>0</v>
      </c>
      <c r="CE14">
        <v>0</v>
      </c>
      <c r="CF14">
        <v>0</v>
      </c>
      <c r="CG14">
        <v>0</v>
      </c>
      <c r="CH14">
        <v>0</v>
      </c>
      <c r="CI14">
        <v>0</v>
      </c>
      <c r="CJ14">
        <v>0</v>
      </c>
      <c r="CK14">
        <v>0</v>
      </c>
      <c r="CL14">
        <v>0</v>
      </c>
      <c r="CM14">
        <v>0</v>
      </c>
      <c r="CN14">
        <v>0</v>
      </c>
      <c r="CO14">
        <v>0</v>
      </c>
      <c r="CP14">
        <v>0</v>
      </c>
      <c r="CQ14">
        <v>0</v>
      </c>
      <c r="CR14">
        <v>0</v>
      </c>
      <c r="CS14">
        <v>0</v>
      </c>
      <c r="CT14">
        <v>0</v>
      </c>
      <c r="CU14">
        <v>0</v>
      </c>
      <c r="CV14">
        <v>0</v>
      </c>
      <c r="CW14">
        <v>0</v>
      </c>
      <c r="CX14">
        <v>0</v>
      </c>
      <c r="CY14">
        <v>0</v>
      </c>
      <c r="CZ14">
        <v>0</v>
      </c>
      <c r="DA14">
        <v>0</v>
      </c>
      <c r="DB14">
        <v>0</v>
      </c>
      <c r="DC14">
        <v>0</v>
      </c>
      <c r="DD14">
        <v>0</v>
      </c>
      <c r="DE14">
        <v>0</v>
      </c>
      <c r="DF14">
        <v>0</v>
      </c>
      <c r="DG14">
        <v>0</v>
      </c>
      <c r="DH14">
        <v>0</v>
      </c>
      <c r="DI14">
        <v>0</v>
      </c>
      <c r="DJ14">
        <v>0</v>
      </c>
      <c r="DK14">
        <v>0</v>
      </c>
      <c r="DL14">
        <v>0</v>
      </c>
      <c r="DM14">
        <v>0</v>
      </c>
      <c r="DN14">
        <v>0</v>
      </c>
      <c r="DO14">
        <v>0</v>
      </c>
      <c r="DP14">
        <v>0</v>
      </c>
      <c r="DQ14">
        <v>0</v>
      </c>
      <c r="DR14">
        <v>0</v>
      </c>
      <c r="DS14">
        <v>0</v>
      </c>
      <c r="DT14">
        <v>0</v>
      </c>
      <c r="DU14">
        <v>0</v>
      </c>
      <c r="DV14">
        <v>0</v>
      </c>
      <c r="DW14">
        <v>0</v>
      </c>
      <c r="DX14">
        <v>0</v>
      </c>
      <c r="DY14">
        <v>0</v>
      </c>
      <c r="DZ14">
        <v>0</v>
      </c>
      <c r="EA14">
        <v>0</v>
      </c>
      <c r="EB14">
        <v>0</v>
      </c>
      <c r="EC14">
        <v>0</v>
      </c>
      <c r="ED14">
        <v>0</v>
      </c>
      <c r="EE14">
        <v>0</v>
      </c>
      <c r="EF14">
        <v>0</v>
      </c>
      <c r="EG14">
        <v>0</v>
      </c>
      <c r="EH14">
        <v>0</v>
      </c>
      <c r="EI14">
        <v>0</v>
      </c>
      <c r="EJ14">
        <v>0</v>
      </c>
      <c r="EK14">
        <v>0</v>
      </c>
      <c r="EL14">
        <v>0</v>
      </c>
      <c r="EM14">
        <v>0</v>
      </c>
      <c r="EN14">
        <v>0</v>
      </c>
      <c r="EO14">
        <v>0</v>
      </c>
      <c r="EP14">
        <v>0</v>
      </c>
      <c r="EQ14">
        <v>0</v>
      </c>
      <c r="ER14">
        <v>0</v>
      </c>
      <c r="ES14">
        <v>0</v>
      </c>
      <c r="ET14">
        <v>0</v>
      </c>
      <c r="EU14">
        <v>0</v>
      </c>
      <c r="EV14">
        <v>0</v>
      </c>
      <c r="EW14">
        <v>0</v>
      </c>
      <c r="EX14">
        <v>0</v>
      </c>
      <c r="EY14">
        <v>0</v>
      </c>
      <c r="EZ14">
        <v>0</v>
      </c>
      <c r="FA14">
        <v>0</v>
      </c>
      <c r="FB14">
        <v>0</v>
      </c>
      <c r="FC14">
        <v>0</v>
      </c>
      <c r="FD14">
        <v>0</v>
      </c>
      <c r="FE14">
        <v>0</v>
      </c>
      <c r="FF14">
        <v>0</v>
      </c>
      <c r="FG14">
        <v>0</v>
      </c>
      <c r="FH14">
        <v>0</v>
      </c>
      <c r="FI14">
        <v>0</v>
      </c>
      <c r="FJ14">
        <v>0</v>
      </c>
      <c r="FK14">
        <v>0</v>
      </c>
      <c r="FL14">
        <v>0</v>
      </c>
      <c r="FM14">
        <v>0</v>
      </c>
      <c r="FN14">
        <v>0</v>
      </c>
      <c r="FO14">
        <v>0</v>
      </c>
      <c r="FP14">
        <v>0</v>
      </c>
      <c r="FQ14">
        <v>0</v>
      </c>
      <c r="FR14">
        <v>0</v>
      </c>
      <c r="FS14">
        <v>0</v>
      </c>
      <c r="FT14">
        <v>0</v>
      </c>
      <c r="FU14">
        <v>0</v>
      </c>
      <c r="FV14">
        <v>0</v>
      </c>
      <c r="FW14">
        <v>0</v>
      </c>
      <c r="FX14">
        <v>0</v>
      </c>
      <c r="FY14">
        <v>0</v>
      </c>
      <c r="FZ14">
        <v>0</v>
      </c>
      <c r="GA14">
        <v>0</v>
      </c>
      <c r="GB14">
        <v>0</v>
      </c>
      <c r="GC14">
        <v>0</v>
      </c>
      <c r="GD14">
        <v>0</v>
      </c>
      <c r="GE14">
        <v>0</v>
      </c>
      <c r="GF14">
        <v>0</v>
      </c>
      <c r="GG14">
        <v>0</v>
      </c>
      <c r="GH14">
        <v>0</v>
      </c>
      <c r="GI14">
        <v>0</v>
      </c>
      <c r="GJ14">
        <v>0</v>
      </c>
      <c r="GK14">
        <v>0</v>
      </c>
      <c r="GL14">
        <v>0</v>
      </c>
      <c r="GM14">
        <v>0</v>
      </c>
      <c r="GN14">
        <v>0</v>
      </c>
      <c r="GO14">
        <v>0</v>
      </c>
      <c r="GP14">
        <v>0</v>
      </c>
      <c r="GQ14">
        <v>0</v>
      </c>
      <c r="GR14">
        <v>0</v>
      </c>
      <c r="GS14">
        <v>0</v>
      </c>
      <c r="GT14">
        <v>0</v>
      </c>
      <c r="GU14">
        <v>0</v>
      </c>
      <c r="GV14">
        <v>0</v>
      </c>
      <c r="GW14">
        <v>0</v>
      </c>
      <c r="GX14">
        <v>0</v>
      </c>
      <c r="GY14">
        <v>0</v>
      </c>
      <c r="GZ14">
        <v>0</v>
      </c>
      <c r="HA14">
        <v>0</v>
      </c>
      <c r="HB14">
        <v>0</v>
      </c>
      <c r="HC14">
        <v>0</v>
      </c>
      <c r="HE14">
        <f t="shared" si="0"/>
        <v>0</v>
      </c>
      <c r="HF14">
        <f t="shared" si="1"/>
        <v>0</v>
      </c>
    </row>
    <row r="15" spans="1:214" x14ac:dyDescent="0.45">
      <c r="A15" t="s">
        <v>31</v>
      </c>
      <c r="B15">
        <v>0</v>
      </c>
      <c r="C15">
        <v>0</v>
      </c>
      <c r="D15">
        <v>0</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v>0</v>
      </c>
      <c r="AF15">
        <v>0</v>
      </c>
      <c r="AG15">
        <v>0</v>
      </c>
      <c r="AH15">
        <v>0</v>
      </c>
      <c r="AI15">
        <v>0</v>
      </c>
      <c r="AJ15">
        <v>0</v>
      </c>
      <c r="AK15">
        <v>0</v>
      </c>
      <c r="AL15">
        <v>0</v>
      </c>
      <c r="AM15">
        <v>0</v>
      </c>
      <c r="AN15">
        <v>0</v>
      </c>
      <c r="AO15">
        <v>0</v>
      </c>
      <c r="AP15">
        <v>0</v>
      </c>
      <c r="AQ15">
        <v>0</v>
      </c>
      <c r="AR15">
        <v>0</v>
      </c>
      <c r="AS15">
        <v>0</v>
      </c>
      <c r="AT15">
        <v>0</v>
      </c>
      <c r="AU15">
        <v>0</v>
      </c>
      <c r="AV15">
        <v>0</v>
      </c>
      <c r="AW15">
        <v>0</v>
      </c>
      <c r="AX15">
        <v>0</v>
      </c>
      <c r="AY15">
        <v>0</v>
      </c>
      <c r="AZ15">
        <v>0</v>
      </c>
      <c r="BA15">
        <v>0</v>
      </c>
      <c r="BB15">
        <v>0</v>
      </c>
      <c r="BC15">
        <v>0</v>
      </c>
      <c r="BD15">
        <v>0</v>
      </c>
      <c r="BE15">
        <v>0</v>
      </c>
      <c r="BF15">
        <v>0</v>
      </c>
      <c r="BG15">
        <v>0</v>
      </c>
      <c r="BH15">
        <v>0</v>
      </c>
      <c r="BI15">
        <v>0</v>
      </c>
      <c r="BJ15">
        <v>0</v>
      </c>
      <c r="BK15">
        <v>0</v>
      </c>
      <c r="BL15">
        <v>0</v>
      </c>
      <c r="BM15">
        <v>0</v>
      </c>
      <c r="BN15">
        <v>0</v>
      </c>
      <c r="BO15">
        <v>0</v>
      </c>
      <c r="BP15">
        <v>0</v>
      </c>
      <c r="BQ15">
        <v>0</v>
      </c>
      <c r="BR15">
        <v>0</v>
      </c>
      <c r="BS15">
        <v>0</v>
      </c>
      <c r="BT15">
        <v>0</v>
      </c>
      <c r="BU15">
        <v>0</v>
      </c>
      <c r="BV15">
        <v>0</v>
      </c>
      <c r="BW15">
        <v>0</v>
      </c>
      <c r="BX15">
        <v>0</v>
      </c>
      <c r="BY15">
        <v>0</v>
      </c>
      <c r="BZ15">
        <v>0</v>
      </c>
      <c r="CA15">
        <v>0</v>
      </c>
      <c r="CB15">
        <v>0</v>
      </c>
      <c r="CC15">
        <v>0</v>
      </c>
      <c r="CD15">
        <v>0</v>
      </c>
      <c r="CE15">
        <v>0</v>
      </c>
      <c r="CF15">
        <v>0</v>
      </c>
      <c r="CG15">
        <v>0</v>
      </c>
      <c r="CH15">
        <v>0</v>
      </c>
      <c r="CI15">
        <v>0</v>
      </c>
      <c r="CJ15">
        <v>0</v>
      </c>
      <c r="CK15">
        <v>0</v>
      </c>
      <c r="CL15">
        <v>0</v>
      </c>
      <c r="CM15">
        <v>0</v>
      </c>
      <c r="CN15">
        <v>0</v>
      </c>
      <c r="CO15">
        <v>0</v>
      </c>
      <c r="CP15">
        <v>0</v>
      </c>
      <c r="CQ15">
        <v>0</v>
      </c>
      <c r="CR15">
        <v>0</v>
      </c>
      <c r="CS15">
        <v>0</v>
      </c>
      <c r="CT15">
        <v>0</v>
      </c>
      <c r="CU15">
        <v>0</v>
      </c>
      <c r="CV15">
        <v>0</v>
      </c>
      <c r="CW15">
        <v>0</v>
      </c>
      <c r="CX15">
        <v>0</v>
      </c>
      <c r="CY15">
        <v>0</v>
      </c>
      <c r="CZ15">
        <v>0</v>
      </c>
      <c r="DA15">
        <v>0</v>
      </c>
      <c r="DB15">
        <v>0</v>
      </c>
      <c r="DC15">
        <v>0</v>
      </c>
      <c r="DD15">
        <v>0</v>
      </c>
      <c r="DE15">
        <v>0</v>
      </c>
      <c r="DF15">
        <v>0</v>
      </c>
      <c r="DG15">
        <v>0</v>
      </c>
      <c r="DH15">
        <v>0</v>
      </c>
      <c r="DI15">
        <v>0</v>
      </c>
      <c r="DJ15">
        <v>0</v>
      </c>
      <c r="DK15">
        <v>0</v>
      </c>
      <c r="DL15">
        <v>0</v>
      </c>
      <c r="DM15">
        <v>0</v>
      </c>
      <c r="DN15">
        <v>0</v>
      </c>
      <c r="DO15">
        <v>0</v>
      </c>
      <c r="DP15">
        <v>0</v>
      </c>
      <c r="DQ15">
        <v>0</v>
      </c>
      <c r="DR15">
        <v>0</v>
      </c>
      <c r="DS15">
        <v>0</v>
      </c>
      <c r="DT15">
        <v>0</v>
      </c>
      <c r="DU15">
        <v>0</v>
      </c>
      <c r="DV15">
        <v>0</v>
      </c>
      <c r="DW15">
        <v>0</v>
      </c>
      <c r="DX15">
        <v>0</v>
      </c>
      <c r="DY15">
        <v>0</v>
      </c>
      <c r="DZ15">
        <v>0</v>
      </c>
      <c r="EA15">
        <v>0</v>
      </c>
      <c r="EB15">
        <v>0</v>
      </c>
      <c r="EC15">
        <v>0</v>
      </c>
      <c r="ED15">
        <v>0</v>
      </c>
      <c r="EE15">
        <v>0</v>
      </c>
      <c r="EF15">
        <v>0</v>
      </c>
      <c r="EG15">
        <v>0</v>
      </c>
      <c r="EH15">
        <v>0</v>
      </c>
      <c r="EI15">
        <v>0</v>
      </c>
      <c r="EJ15">
        <v>0</v>
      </c>
      <c r="EK15">
        <v>0</v>
      </c>
      <c r="EL15">
        <v>0</v>
      </c>
      <c r="EM15">
        <v>0</v>
      </c>
      <c r="EN15">
        <v>0</v>
      </c>
      <c r="EO15">
        <v>0</v>
      </c>
      <c r="EP15">
        <v>0</v>
      </c>
      <c r="EQ15">
        <v>0</v>
      </c>
      <c r="ER15">
        <v>0</v>
      </c>
      <c r="ES15">
        <v>0</v>
      </c>
      <c r="ET15">
        <v>0</v>
      </c>
      <c r="EU15">
        <v>0</v>
      </c>
      <c r="EV15">
        <v>0</v>
      </c>
      <c r="EW15">
        <v>0</v>
      </c>
      <c r="EX15">
        <v>0</v>
      </c>
      <c r="EY15">
        <v>0</v>
      </c>
      <c r="EZ15">
        <v>0</v>
      </c>
      <c r="FA15">
        <v>0</v>
      </c>
      <c r="FB15">
        <v>0</v>
      </c>
      <c r="FC15">
        <v>0</v>
      </c>
      <c r="FD15">
        <v>0</v>
      </c>
      <c r="FE15">
        <v>0</v>
      </c>
      <c r="FF15">
        <v>0</v>
      </c>
      <c r="FG15">
        <v>0</v>
      </c>
      <c r="FH15">
        <v>0</v>
      </c>
      <c r="FI15">
        <v>0</v>
      </c>
      <c r="FJ15">
        <v>0</v>
      </c>
      <c r="FK15">
        <v>0</v>
      </c>
      <c r="FL15">
        <v>0</v>
      </c>
      <c r="FM15">
        <v>0</v>
      </c>
      <c r="FN15">
        <v>0</v>
      </c>
      <c r="FO15">
        <v>0</v>
      </c>
      <c r="FP15">
        <v>0</v>
      </c>
      <c r="FQ15">
        <v>0</v>
      </c>
      <c r="FR15">
        <v>0</v>
      </c>
      <c r="FS15">
        <v>0</v>
      </c>
      <c r="FT15">
        <v>0</v>
      </c>
      <c r="FU15">
        <v>0</v>
      </c>
      <c r="FV15">
        <v>0</v>
      </c>
      <c r="FW15">
        <v>0</v>
      </c>
      <c r="FX15">
        <v>0</v>
      </c>
      <c r="FY15">
        <v>0</v>
      </c>
      <c r="FZ15">
        <v>0</v>
      </c>
      <c r="GA15">
        <v>0</v>
      </c>
      <c r="GB15">
        <v>0</v>
      </c>
      <c r="GC15">
        <v>0</v>
      </c>
      <c r="GD15">
        <v>0</v>
      </c>
      <c r="GE15">
        <v>0</v>
      </c>
      <c r="GF15">
        <v>0</v>
      </c>
      <c r="GG15">
        <v>0</v>
      </c>
      <c r="GH15">
        <v>0</v>
      </c>
      <c r="GI15">
        <v>0</v>
      </c>
      <c r="GJ15">
        <v>0</v>
      </c>
      <c r="GK15">
        <v>0</v>
      </c>
      <c r="GL15">
        <v>0</v>
      </c>
      <c r="GM15">
        <v>0</v>
      </c>
      <c r="GN15">
        <v>0</v>
      </c>
      <c r="GO15">
        <v>0</v>
      </c>
      <c r="GP15">
        <v>0</v>
      </c>
      <c r="GQ15">
        <v>0</v>
      </c>
      <c r="GR15">
        <v>0</v>
      </c>
      <c r="GS15">
        <v>0</v>
      </c>
      <c r="GT15">
        <v>0</v>
      </c>
      <c r="GU15">
        <v>0</v>
      </c>
      <c r="GV15">
        <v>0</v>
      </c>
      <c r="GW15">
        <v>0</v>
      </c>
      <c r="GX15">
        <v>0</v>
      </c>
      <c r="GY15">
        <v>0</v>
      </c>
      <c r="GZ15">
        <v>0</v>
      </c>
      <c r="HA15">
        <v>0</v>
      </c>
      <c r="HB15">
        <v>0</v>
      </c>
      <c r="HC15">
        <v>0</v>
      </c>
      <c r="HE15">
        <f t="shared" si="0"/>
        <v>0</v>
      </c>
      <c r="HF15">
        <f t="shared" si="1"/>
        <v>0</v>
      </c>
    </row>
    <row r="16" spans="1:214" x14ac:dyDescent="0.45">
      <c r="A16" t="s">
        <v>34</v>
      </c>
      <c r="B16">
        <v>0</v>
      </c>
      <c r="C16">
        <v>0</v>
      </c>
      <c r="D16">
        <v>0</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v>0</v>
      </c>
      <c r="AF16">
        <v>0</v>
      </c>
      <c r="AG16">
        <v>0</v>
      </c>
      <c r="AH16">
        <v>0</v>
      </c>
      <c r="AI16">
        <v>0</v>
      </c>
      <c r="AJ16">
        <v>0</v>
      </c>
      <c r="AK16">
        <v>0</v>
      </c>
      <c r="AL16">
        <v>0</v>
      </c>
      <c r="AM16">
        <v>0</v>
      </c>
      <c r="AN16">
        <v>0</v>
      </c>
      <c r="AO16">
        <v>0</v>
      </c>
      <c r="AP16">
        <v>0</v>
      </c>
      <c r="AQ16">
        <v>0</v>
      </c>
      <c r="AR16">
        <v>0</v>
      </c>
      <c r="AS16">
        <v>0</v>
      </c>
      <c r="AT16">
        <v>0</v>
      </c>
      <c r="AU16">
        <v>0</v>
      </c>
      <c r="AV16">
        <v>0</v>
      </c>
      <c r="AW16">
        <v>0</v>
      </c>
      <c r="AX16">
        <v>0</v>
      </c>
      <c r="AY16">
        <v>0</v>
      </c>
      <c r="AZ16">
        <v>0</v>
      </c>
      <c r="BA16">
        <v>0</v>
      </c>
      <c r="BB16">
        <v>0</v>
      </c>
      <c r="BC16">
        <v>0</v>
      </c>
      <c r="BD16">
        <v>0</v>
      </c>
      <c r="BE16">
        <v>0</v>
      </c>
      <c r="BF16">
        <v>0</v>
      </c>
      <c r="BG16">
        <v>0</v>
      </c>
      <c r="BH16">
        <v>0</v>
      </c>
      <c r="BI16">
        <v>0</v>
      </c>
      <c r="BJ16">
        <v>0</v>
      </c>
      <c r="BK16">
        <v>0</v>
      </c>
      <c r="BL16">
        <v>0</v>
      </c>
      <c r="BM16">
        <v>0</v>
      </c>
      <c r="BN16">
        <v>0</v>
      </c>
      <c r="BO16">
        <v>0</v>
      </c>
      <c r="BP16">
        <v>0</v>
      </c>
      <c r="BQ16">
        <v>0</v>
      </c>
      <c r="BR16">
        <v>0</v>
      </c>
      <c r="BS16">
        <v>0</v>
      </c>
      <c r="BT16">
        <v>0</v>
      </c>
      <c r="BU16">
        <v>0</v>
      </c>
      <c r="BV16">
        <v>0</v>
      </c>
      <c r="BW16">
        <v>0</v>
      </c>
      <c r="BX16">
        <v>0</v>
      </c>
      <c r="BY16">
        <v>0</v>
      </c>
      <c r="BZ16">
        <v>0</v>
      </c>
      <c r="CA16">
        <v>0</v>
      </c>
      <c r="CB16">
        <v>0</v>
      </c>
      <c r="CC16">
        <v>902</v>
      </c>
      <c r="CD16">
        <v>895</v>
      </c>
      <c r="CE16">
        <v>1819</v>
      </c>
      <c r="CF16">
        <v>0</v>
      </c>
      <c r="CG16">
        <v>0</v>
      </c>
      <c r="CH16">
        <v>0</v>
      </c>
      <c r="CI16">
        <v>0</v>
      </c>
      <c r="CJ16">
        <v>0</v>
      </c>
      <c r="CK16">
        <v>0</v>
      </c>
      <c r="CL16">
        <v>0</v>
      </c>
      <c r="CM16">
        <v>0</v>
      </c>
      <c r="CN16">
        <v>0</v>
      </c>
      <c r="CO16">
        <v>0</v>
      </c>
      <c r="CP16">
        <v>0</v>
      </c>
      <c r="CQ16">
        <v>2264.4</v>
      </c>
      <c r="CR16">
        <v>1164</v>
      </c>
      <c r="CS16">
        <v>0</v>
      </c>
      <c r="CT16">
        <v>2214.9</v>
      </c>
      <c r="CU16">
        <v>2332.3000000000002</v>
      </c>
      <c r="CV16">
        <v>0</v>
      </c>
      <c r="CW16">
        <v>0</v>
      </c>
      <c r="CX16">
        <v>0</v>
      </c>
      <c r="CY16">
        <v>0</v>
      </c>
      <c r="CZ16">
        <v>0</v>
      </c>
      <c r="DA16">
        <v>0</v>
      </c>
      <c r="DB16">
        <v>0</v>
      </c>
      <c r="DC16">
        <v>0</v>
      </c>
      <c r="DD16">
        <v>0</v>
      </c>
      <c r="DE16">
        <v>0</v>
      </c>
      <c r="DF16">
        <v>0</v>
      </c>
      <c r="DG16">
        <v>0</v>
      </c>
      <c r="DH16">
        <v>0</v>
      </c>
      <c r="DI16">
        <v>0</v>
      </c>
      <c r="DJ16">
        <v>0</v>
      </c>
      <c r="DK16">
        <v>0</v>
      </c>
      <c r="DL16">
        <v>0</v>
      </c>
      <c r="DM16">
        <v>0</v>
      </c>
      <c r="DN16">
        <v>0</v>
      </c>
      <c r="DO16">
        <v>0</v>
      </c>
      <c r="DP16">
        <v>0</v>
      </c>
      <c r="DQ16">
        <v>0</v>
      </c>
      <c r="DR16">
        <v>0</v>
      </c>
      <c r="DS16">
        <v>0</v>
      </c>
      <c r="DT16">
        <v>0</v>
      </c>
      <c r="DU16">
        <v>0</v>
      </c>
      <c r="DV16">
        <v>0</v>
      </c>
      <c r="DW16">
        <v>0</v>
      </c>
      <c r="DX16">
        <v>0</v>
      </c>
      <c r="DY16">
        <v>0</v>
      </c>
      <c r="DZ16">
        <v>0</v>
      </c>
      <c r="EA16">
        <v>0</v>
      </c>
      <c r="EB16">
        <v>0</v>
      </c>
      <c r="EC16">
        <v>0</v>
      </c>
      <c r="ED16">
        <v>0</v>
      </c>
      <c r="EE16">
        <v>0</v>
      </c>
      <c r="EF16">
        <v>0</v>
      </c>
      <c r="EG16">
        <v>0</v>
      </c>
      <c r="EH16">
        <v>0</v>
      </c>
      <c r="EI16">
        <v>0</v>
      </c>
      <c r="EJ16">
        <v>0</v>
      </c>
      <c r="EK16">
        <v>0</v>
      </c>
      <c r="EL16">
        <v>0</v>
      </c>
      <c r="EM16">
        <v>0</v>
      </c>
      <c r="EN16">
        <v>0</v>
      </c>
      <c r="EO16">
        <v>0</v>
      </c>
      <c r="EP16">
        <v>0</v>
      </c>
      <c r="EQ16">
        <v>0</v>
      </c>
      <c r="ER16">
        <v>0</v>
      </c>
      <c r="ES16">
        <v>0</v>
      </c>
      <c r="ET16">
        <v>0</v>
      </c>
      <c r="EU16">
        <v>0</v>
      </c>
      <c r="EV16">
        <v>0</v>
      </c>
      <c r="EW16">
        <v>0</v>
      </c>
      <c r="EX16">
        <v>0</v>
      </c>
      <c r="EY16">
        <v>0</v>
      </c>
      <c r="EZ16">
        <v>0</v>
      </c>
      <c r="FA16">
        <v>0</v>
      </c>
      <c r="FB16">
        <v>0</v>
      </c>
      <c r="FC16">
        <v>0</v>
      </c>
      <c r="FD16">
        <v>0</v>
      </c>
      <c r="FE16">
        <v>0</v>
      </c>
      <c r="FF16">
        <v>0</v>
      </c>
      <c r="FG16">
        <v>0</v>
      </c>
      <c r="FH16">
        <v>0</v>
      </c>
      <c r="FI16">
        <v>0</v>
      </c>
      <c r="FJ16">
        <v>0</v>
      </c>
      <c r="FK16">
        <v>0</v>
      </c>
      <c r="FL16">
        <v>0</v>
      </c>
      <c r="FM16">
        <v>0</v>
      </c>
      <c r="FN16">
        <v>0</v>
      </c>
      <c r="FO16">
        <v>0</v>
      </c>
      <c r="FP16">
        <v>0</v>
      </c>
      <c r="FQ16">
        <v>0</v>
      </c>
      <c r="FR16">
        <v>0</v>
      </c>
      <c r="FS16">
        <v>0</v>
      </c>
      <c r="FT16">
        <v>0</v>
      </c>
      <c r="FU16">
        <v>0</v>
      </c>
      <c r="FV16">
        <v>0</v>
      </c>
      <c r="FW16">
        <v>0</v>
      </c>
      <c r="FX16">
        <v>0</v>
      </c>
      <c r="FY16">
        <v>0</v>
      </c>
      <c r="FZ16">
        <v>0</v>
      </c>
      <c r="GA16">
        <v>0</v>
      </c>
      <c r="GB16">
        <v>0</v>
      </c>
      <c r="GC16">
        <v>0</v>
      </c>
      <c r="GD16">
        <v>0</v>
      </c>
      <c r="GE16">
        <v>0</v>
      </c>
      <c r="GF16">
        <v>0</v>
      </c>
      <c r="GG16">
        <v>0</v>
      </c>
      <c r="GH16">
        <v>0</v>
      </c>
      <c r="GI16">
        <v>0</v>
      </c>
      <c r="GJ16">
        <v>0</v>
      </c>
      <c r="GK16">
        <v>0</v>
      </c>
      <c r="GL16">
        <v>0</v>
      </c>
      <c r="GM16">
        <v>0</v>
      </c>
      <c r="GN16">
        <v>0</v>
      </c>
      <c r="GO16">
        <v>0</v>
      </c>
      <c r="GP16">
        <v>0</v>
      </c>
      <c r="GQ16">
        <v>0</v>
      </c>
      <c r="GR16">
        <v>0</v>
      </c>
      <c r="GS16">
        <v>0</v>
      </c>
      <c r="GT16">
        <v>0</v>
      </c>
      <c r="GU16">
        <v>0</v>
      </c>
      <c r="GV16">
        <v>0</v>
      </c>
      <c r="GW16">
        <v>0</v>
      </c>
      <c r="GX16">
        <v>0</v>
      </c>
      <c r="GY16">
        <v>0</v>
      </c>
      <c r="GZ16">
        <v>0</v>
      </c>
      <c r="HA16">
        <v>0</v>
      </c>
      <c r="HB16">
        <v>0</v>
      </c>
      <c r="HC16">
        <v>0</v>
      </c>
      <c r="HE16">
        <f t="shared" si="0"/>
        <v>11591.599999999999</v>
      </c>
      <c r="HF16">
        <f t="shared" si="1"/>
        <v>1</v>
      </c>
    </row>
    <row r="17" spans="1:214" x14ac:dyDescent="0.45">
      <c r="A17" t="s">
        <v>36</v>
      </c>
      <c r="B17">
        <v>0</v>
      </c>
      <c r="C17">
        <v>0</v>
      </c>
      <c r="D17">
        <v>0</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c r="AF17">
        <v>0</v>
      </c>
      <c r="AG17">
        <v>0</v>
      </c>
      <c r="AH17">
        <v>0</v>
      </c>
      <c r="AI17">
        <v>0</v>
      </c>
      <c r="AJ17">
        <v>0</v>
      </c>
      <c r="AK17">
        <v>0</v>
      </c>
      <c r="AL17">
        <v>0</v>
      </c>
      <c r="AM17">
        <v>0</v>
      </c>
      <c r="AN17">
        <v>0</v>
      </c>
      <c r="AO17">
        <v>0</v>
      </c>
      <c r="AP17">
        <v>0</v>
      </c>
      <c r="AQ17">
        <v>0</v>
      </c>
      <c r="AR17">
        <v>0</v>
      </c>
      <c r="AS17">
        <v>0</v>
      </c>
      <c r="AT17">
        <v>0</v>
      </c>
      <c r="AU17">
        <v>0</v>
      </c>
      <c r="AV17">
        <v>0</v>
      </c>
      <c r="AW17">
        <v>0</v>
      </c>
      <c r="AX17">
        <v>0</v>
      </c>
      <c r="AY17">
        <v>0</v>
      </c>
      <c r="AZ17">
        <v>0</v>
      </c>
      <c r="BA17">
        <v>0</v>
      </c>
      <c r="BB17">
        <v>0</v>
      </c>
      <c r="BC17">
        <v>0</v>
      </c>
      <c r="BD17">
        <v>0</v>
      </c>
      <c r="BE17">
        <v>0</v>
      </c>
      <c r="BF17">
        <v>0</v>
      </c>
      <c r="BG17">
        <v>0</v>
      </c>
      <c r="BH17">
        <v>0</v>
      </c>
      <c r="BI17">
        <v>0</v>
      </c>
      <c r="BJ17">
        <v>0</v>
      </c>
      <c r="BK17">
        <v>0</v>
      </c>
      <c r="BL17">
        <v>0</v>
      </c>
      <c r="BM17">
        <v>0</v>
      </c>
      <c r="BN17">
        <v>0</v>
      </c>
      <c r="BO17">
        <v>0</v>
      </c>
      <c r="BP17">
        <v>0</v>
      </c>
      <c r="BQ17">
        <v>0</v>
      </c>
      <c r="BR17">
        <v>0</v>
      </c>
      <c r="BS17">
        <v>0</v>
      </c>
      <c r="BT17">
        <v>0</v>
      </c>
      <c r="BU17">
        <v>0</v>
      </c>
      <c r="BV17">
        <v>0</v>
      </c>
      <c r="BW17">
        <v>0</v>
      </c>
      <c r="BX17">
        <v>0</v>
      </c>
      <c r="BY17">
        <v>0</v>
      </c>
      <c r="BZ17">
        <v>0</v>
      </c>
      <c r="CA17">
        <v>0</v>
      </c>
      <c r="CB17">
        <v>0</v>
      </c>
      <c r="CC17">
        <v>0</v>
      </c>
      <c r="CD17">
        <v>0</v>
      </c>
      <c r="CE17">
        <v>0</v>
      </c>
      <c r="CF17">
        <v>0</v>
      </c>
      <c r="CG17">
        <v>0</v>
      </c>
      <c r="CH17">
        <v>0</v>
      </c>
      <c r="CI17">
        <v>0</v>
      </c>
      <c r="CJ17">
        <v>0</v>
      </c>
      <c r="CK17">
        <v>0</v>
      </c>
      <c r="CL17">
        <v>0</v>
      </c>
      <c r="CM17">
        <v>0</v>
      </c>
      <c r="CN17">
        <v>0</v>
      </c>
      <c r="CO17">
        <v>0</v>
      </c>
      <c r="CP17">
        <v>0</v>
      </c>
      <c r="CQ17">
        <v>0</v>
      </c>
      <c r="CR17">
        <v>0</v>
      </c>
      <c r="CS17">
        <v>0</v>
      </c>
      <c r="CT17">
        <v>0</v>
      </c>
      <c r="CU17">
        <v>0</v>
      </c>
      <c r="CV17">
        <v>0</v>
      </c>
      <c r="CW17">
        <v>0</v>
      </c>
      <c r="CX17">
        <v>0</v>
      </c>
      <c r="CY17">
        <v>0</v>
      </c>
      <c r="CZ17">
        <v>0</v>
      </c>
      <c r="DA17">
        <v>0</v>
      </c>
      <c r="DB17">
        <v>0</v>
      </c>
      <c r="DC17">
        <v>0</v>
      </c>
      <c r="DD17">
        <v>0</v>
      </c>
      <c r="DE17">
        <v>0</v>
      </c>
      <c r="DF17">
        <v>0</v>
      </c>
      <c r="DG17">
        <v>0</v>
      </c>
      <c r="DH17">
        <v>0</v>
      </c>
      <c r="DI17">
        <v>0</v>
      </c>
      <c r="DJ17">
        <v>0</v>
      </c>
      <c r="DK17">
        <v>0</v>
      </c>
      <c r="DL17">
        <v>0</v>
      </c>
      <c r="DM17">
        <v>0</v>
      </c>
      <c r="DN17">
        <v>0</v>
      </c>
      <c r="DO17">
        <v>0</v>
      </c>
      <c r="DP17">
        <v>0</v>
      </c>
      <c r="DQ17">
        <v>0</v>
      </c>
      <c r="DR17">
        <v>0</v>
      </c>
      <c r="DS17">
        <v>0</v>
      </c>
      <c r="DT17">
        <v>0</v>
      </c>
      <c r="DU17">
        <v>0</v>
      </c>
      <c r="DV17">
        <v>0</v>
      </c>
      <c r="DW17">
        <v>0</v>
      </c>
      <c r="DX17">
        <v>0</v>
      </c>
      <c r="DY17">
        <v>0</v>
      </c>
      <c r="DZ17">
        <v>0</v>
      </c>
      <c r="EA17">
        <v>0</v>
      </c>
      <c r="EB17">
        <v>0</v>
      </c>
      <c r="EC17">
        <v>0</v>
      </c>
      <c r="ED17">
        <v>0</v>
      </c>
      <c r="EE17">
        <v>0</v>
      </c>
      <c r="EF17">
        <v>0</v>
      </c>
      <c r="EG17">
        <v>0</v>
      </c>
      <c r="EH17">
        <v>0</v>
      </c>
      <c r="EI17">
        <v>0</v>
      </c>
      <c r="EJ17">
        <v>0</v>
      </c>
      <c r="EK17">
        <v>0</v>
      </c>
      <c r="EL17">
        <v>0</v>
      </c>
      <c r="EM17">
        <v>0</v>
      </c>
      <c r="EN17">
        <v>0</v>
      </c>
      <c r="EO17">
        <v>0</v>
      </c>
      <c r="EP17">
        <v>0</v>
      </c>
      <c r="EQ17">
        <v>0</v>
      </c>
      <c r="ER17">
        <v>0</v>
      </c>
      <c r="ES17">
        <v>0</v>
      </c>
      <c r="ET17">
        <v>0</v>
      </c>
      <c r="EU17">
        <v>0</v>
      </c>
      <c r="EV17">
        <v>0</v>
      </c>
      <c r="EW17">
        <v>0</v>
      </c>
      <c r="EX17">
        <v>0</v>
      </c>
      <c r="EY17">
        <v>0</v>
      </c>
      <c r="EZ17">
        <v>0</v>
      </c>
      <c r="FA17">
        <v>0</v>
      </c>
      <c r="FB17">
        <v>0</v>
      </c>
      <c r="FC17">
        <v>0</v>
      </c>
      <c r="FD17">
        <v>0</v>
      </c>
      <c r="FE17">
        <v>0</v>
      </c>
      <c r="FF17">
        <v>0</v>
      </c>
      <c r="FG17">
        <v>0</v>
      </c>
      <c r="FH17">
        <v>0</v>
      </c>
      <c r="FI17">
        <v>0</v>
      </c>
      <c r="FJ17">
        <v>0</v>
      </c>
      <c r="FK17">
        <v>0</v>
      </c>
      <c r="FL17">
        <v>0</v>
      </c>
      <c r="FM17">
        <v>0</v>
      </c>
      <c r="FN17">
        <v>0</v>
      </c>
      <c r="FO17">
        <v>0</v>
      </c>
      <c r="FP17">
        <v>0</v>
      </c>
      <c r="FQ17">
        <v>0</v>
      </c>
      <c r="FR17">
        <v>0</v>
      </c>
      <c r="FS17">
        <v>0</v>
      </c>
      <c r="FT17">
        <v>0</v>
      </c>
      <c r="FU17">
        <v>0</v>
      </c>
      <c r="FV17">
        <v>0</v>
      </c>
      <c r="FW17">
        <v>0</v>
      </c>
      <c r="FX17">
        <v>0</v>
      </c>
      <c r="FY17">
        <v>0</v>
      </c>
      <c r="FZ17">
        <v>0</v>
      </c>
      <c r="GA17">
        <v>0</v>
      </c>
      <c r="GB17">
        <v>0</v>
      </c>
      <c r="GC17">
        <v>0</v>
      </c>
      <c r="GD17">
        <v>0</v>
      </c>
      <c r="GE17">
        <v>0</v>
      </c>
      <c r="GF17">
        <v>0</v>
      </c>
      <c r="GG17">
        <v>0</v>
      </c>
      <c r="GH17">
        <v>0</v>
      </c>
      <c r="GI17">
        <v>0</v>
      </c>
      <c r="GJ17">
        <v>0</v>
      </c>
      <c r="GK17">
        <v>0</v>
      </c>
      <c r="GL17">
        <v>0</v>
      </c>
      <c r="GM17">
        <v>0</v>
      </c>
      <c r="GN17">
        <v>0</v>
      </c>
      <c r="GO17">
        <v>0</v>
      </c>
      <c r="GP17">
        <v>0</v>
      </c>
      <c r="GQ17">
        <v>0</v>
      </c>
      <c r="GR17">
        <v>0</v>
      </c>
      <c r="GS17">
        <v>0</v>
      </c>
      <c r="GT17">
        <v>0</v>
      </c>
      <c r="GU17">
        <v>0</v>
      </c>
      <c r="GV17">
        <v>0</v>
      </c>
      <c r="GW17">
        <v>0</v>
      </c>
      <c r="GX17">
        <v>0</v>
      </c>
      <c r="GY17">
        <v>0</v>
      </c>
      <c r="GZ17">
        <v>0</v>
      </c>
      <c r="HA17">
        <v>0</v>
      </c>
      <c r="HB17">
        <v>0</v>
      </c>
      <c r="HC17">
        <v>0</v>
      </c>
      <c r="HE17">
        <f t="shared" si="0"/>
        <v>0</v>
      </c>
      <c r="HF17">
        <f t="shared" si="1"/>
        <v>0</v>
      </c>
    </row>
    <row r="18" spans="1:214" x14ac:dyDescent="0.45">
      <c r="A18" t="s">
        <v>39</v>
      </c>
      <c r="B18">
        <v>0</v>
      </c>
      <c r="C18">
        <v>0</v>
      </c>
      <c r="D18">
        <v>0</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v>0</v>
      </c>
      <c r="AJ18">
        <v>0</v>
      </c>
      <c r="AK18">
        <v>0</v>
      </c>
      <c r="AL18">
        <v>0</v>
      </c>
      <c r="AM18">
        <v>0</v>
      </c>
      <c r="AN18">
        <v>0</v>
      </c>
      <c r="AO18">
        <v>0</v>
      </c>
      <c r="AP18">
        <v>0</v>
      </c>
      <c r="AQ18">
        <v>0</v>
      </c>
      <c r="AR18">
        <v>0</v>
      </c>
      <c r="AS18">
        <v>0</v>
      </c>
      <c r="AT18">
        <v>0</v>
      </c>
      <c r="AU18">
        <v>0</v>
      </c>
      <c r="AV18">
        <v>0</v>
      </c>
      <c r="AW18">
        <v>0</v>
      </c>
      <c r="AX18">
        <v>0</v>
      </c>
      <c r="AY18">
        <v>0</v>
      </c>
      <c r="AZ18">
        <v>0</v>
      </c>
      <c r="BA18">
        <v>0</v>
      </c>
      <c r="BB18">
        <v>0</v>
      </c>
      <c r="BC18">
        <v>0</v>
      </c>
      <c r="BD18">
        <v>0</v>
      </c>
      <c r="BE18">
        <v>0</v>
      </c>
      <c r="BF18">
        <v>0</v>
      </c>
      <c r="BG18">
        <v>0</v>
      </c>
      <c r="BH18">
        <v>0</v>
      </c>
      <c r="BI18">
        <v>0</v>
      </c>
      <c r="BJ18">
        <v>0</v>
      </c>
      <c r="BK18">
        <v>0</v>
      </c>
      <c r="BL18">
        <v>0</v>
      </c>
      <c r="BM18">
        <v>0</v>
      </c>
      <c r="BN18">
        <v>0</v>
      </c>
      <c r="BO18">
        <v>0</v>
      </c>
      <c r="BP18">
        <v>0</v>
      </c>
      <c r="BQ18">
        <v>0</v>
      </c>
      <c r="BR18">
        <v>0</v>
      </c>
      <c r="BS18">
        <v>0</v>
      </c>
      <c r="BT18">
        <v>0</v>
      </c>
      <c r="BU18">
        <v>0</v>
      </c>
      <c r="BV18">
        <v>0</v>
      </c>
      <c r="BW18">
        <v>0</v>
      </c>
      <c r="BX18">
        <v>0</v>
      </c>
      <c r="BY18">
        <v>0</v>
      </c>
      <c r="BZ18">
        <v>0</v>
      </c>
      <c r="CA18">
        <v>0</v>
      </c>
      <c r="CB18">
        <v>0</v>
      </c>
      <c r="CC18">
        <v>0</v>
      </c>
      <c r="CD18">
        <v>0</v>
      </c>
      <c r="CE18">
        <v>0</v>
      </c>
      <c r="CF18">
        <v>0</v>
      </c>
      <c r="CG18">
        <v>0</v>
      </c>
      <c r="CH18">
        <v>0</v>
      </c>
      <c r="CI18">
        <v>0</v>
      </c>
      <c r="CJ18">
        <v>0</v>
      </c>
      <c r="CK18">
        <v>0</v>
      </c>
      <c r="CL18">
        <v>0</v>
      </c>
      <c r="CM18">
        <v>0</v>
      </c>
      <c r="CN18">
        <v>0</v>
      </c>
      <c r="CO18">
        <v>0</v>
      </c>
      <c r="CP18">
        <v>0</v>
      </c>
      <c r="CQ18">
        <v>0</v>
      </c>
      <c r="CR18">
        <v>1176.7</v>
      </c>
      <c r="CS18">
        <v>0</v>
      </c>
      <c r="CT18">
        <v>0</v>
      </c>
      <c r="CU18">
        <v>0</v>
      </c>
      <c r="CV18">
        <v>0</v>
      </c>
      <c r="CW18">
        <v>0</v>
      </c>
      <c r="CX18">
        <v>0</v>
      </c>
      <c r="CY18">
        <v>0</v>
      </c>
      <c r="CZ18">
        <v>0</v>
      </c>
      <c r="DA18">
        <v>0</v>
      </c>
      <c r="DB18">
        <v>0</v>
      </c>
      <c r="DC18">
        <v>0</v>
      </c>
      <c r="DD18">
        <v>0</v>
      </c>
      <c r="DE18">
        <v>0</v>
      </c>
      <c r="DF18">
        <v>0</v>
      </c>
      <c r="DG18">
        <v>0</v>
      </c>
      <c r="DH18">
        <v>0</v>
      </c>
      <c r="DI18">
        <v>0</v>
      </c>
      <c r="DJ18">
        <v>0</v>
      </c>
      <c r="DK18">
        <v>0</v>
      </c>
      <c r="DL18">
        <v>0</v>
      </c>
      <c r="DM18">
        <v>0</v>
      </c>
      <c r="DN18">
        <v>0</v>
      </c>
      <c r="DO18">
        <v>0</v>
      </c>
      <c r="DP18">
        <v>0</v>
      </c>
      <c r="DQ18">
        <v>0</v>
      </c>
      <c r="DR18">
        <v>0</v>
      </c>
      <c r="DS18">
        <v>0</v>
      </c>
      <c r="DT18">
        <v>0</v>
      </c>
      <c r="DU18">
        <v>0</v>
      </c>
      <c r="DV18">
        <v>0</v>
      </c>
      <c r="DW18">
        <v>0</v>
      </c>
      <c r="DX18">
        <v>0</v>
      </c>
      <c r="DY18">
        <v>0</v>
      </c>
      <c r="DZ18">
        <v>0</v>
      </c>
      <c r="EA18">
        <v>0</v>
      </c>
      <c r="EB18">
        <v>0</v>
      </c>
      <c r="EC18">
        <v>0</v>
      </c>
      <c r="ED18">
        <v>0</v>
      </c>
      <c r="EE18">
        <v>0</v>
      </c>
      <c r="EF18">
        <v>0</v>
      </c>
      <c r="EG18">
        <v>0</v>
      </c>
      <c r="EH18">
        <v>0</v>
      </c>
      <c r="EI18">
        <v>0</v>
      </c>
      <c r="EJ18">
        <v>0</v>
      </c>
      <c r="EK18">
        <v>0</v>
      </c>
      <c r="EL18">
        <v>0</v>
      </c>
      <c r="EM18">
        <v>0</v>
      </c>
      <c r="EN18">
        <v>0</v>
      </c>
      <c r="EO18">
        <v>0</v>
      </c>
      <c r="EP18">
        <v>0</v>
      </c>
      <c r="EQ18">
        <v>0</v>
      </c>
      <c r="ER18">
        <v>0</v>
      </c>
      <c r="ES18">
        <v>0</v>
      </c>
      <c r="ET18">
        <v>0</v>
      </c>
      <c r="EU18">
        <v>0</v>
      </c>
      <c r="EV18">
        <v>0</v>
      </c>
      <c r="EW18">
        <v>0</v>
      </c>
      <c r="EX18">
        <v>0</v>
      </c>
      <c r="EY18">
        <v>0</v>
      </c>
      <c r="EZ18">
        <v>0</v>
      </c>
      <c r="FA18">
        <v>0</v>
      </c>
      <c r="FB18">
        <v>0</v>
      </c>
      <c r="FC18">
        <v>0</v>
      </c>
      <c r="FD18">
        <v>0</v>
      </c>
      <c r="FE18">
        <v>0</v>
      </c>
      <c r="FF18">
        <v>0</v>
      </c>
      <c r="FG18">
        <v>0</v>
      </c>
      <c r="FH18">
        <v>0</v>
      </c>
      <c r="FI18">
        <v>0</v>
      </c>
      <c r="FJ18">
        <v>0</v>
      </c>
      <c r="FK18">
        <v>0</v>
      </c>
      <c r="FL18">
        <v>0</v>
      </c>
      <c r="FM18">
        <v>0</v>
      </c>
      <c r="FN18">
        <v>0</v>
      </c>
      <c r="FO18">
        <v>0</v>
      </c>
      <c r="FP18">
        <v>0</v>
      </c>
      <c r="FQ18">
        <v>0</v>
      </c>
      <c r="FR18">
        <v>0</v>
      </c>
      <c r="FS18">
        <v>0</v>
      </c>
      <c r="FT18">
        <v>0</v>
      </c>
      <c r="FU18">
        <v>0</v>
      </c>
      <c r="FV18">
        <v>0</v>
      </c>
      <c r="FW18">
        <v>0</v>
      </c>
      <c r="FX18">
        <v>0</v>
      </c>
      <c r="FY18">
        <v>0</v>
      </c>
      <c r="FZ18">
        <v>0</v>
      </c>
      <c r="GA18">
        <v>0</v>
      </c>
      <c r="GB18">
        <v>0</v>
      </c>
      <c r="GC18">
        <v>0</v>
      </c>
      <c r="GD18">
        <v>0</v>
      </c>
      <c r="GE18">
        <v>0</v>
      </c>
      <c r="GF18">
        <v>0</v>
      </c>
      <c r="GG18">
        <v>0</v>
      </c>
      <c r="GH18">
        <v>0</v>
      </c>
      <c r="GI18">
        <v>0</v>
      </c>
      <c r="GJ18">
        <v>0</v>
      </c>
      <c r="GK18">
        <v>0</v>
      </c>
      <c r="GL18">
        <v>0</v>
      </c>
      <c r="GM18">
        <v>0</v>
      </c>
      <c r="GN18">
        <v>0</v>
      </c>
      <c r="GO18">
        <v>0</v>
      </c>
      <c r="GP18">
        <v>0</v>
      </c>
      <c r="GQ18">
        <v>0</v>
      </c>
      <c r="GR18">
        <v>0</v>
      </c>
      <c r="GS18">
        <v>0</v>
      </c>
      <c r="GT18">
        <v>0</v>
      </c>
      <c r="GU18">
        <v>0</v>
      </c>
      <c r="GV18">
        <v>0</v>
      </c>
      <c r="GW18">
        <v>0</v>
      </c>
      <c r="GX18">
        <v>0</v>
      </c>
      <c r="GY18">
        <v>0</v>
      </c>
      <c r="GZ18">
        <v>0</v>
      </c>
      <c r="HA18">
        <v>0</v>
      </c>
      <c r="HB18">
        <v>0</v>
      </c>
      <c r="HC18">
        <v>0</v>
      </c>
      <c r="HE18">
        <f t="shared" si="0"/>
        <v>1176.7</v>
      </c>
      <c r="HF18">
        <f t="shared" si="1"/>
        <v>1</v>
      </c>
    </row>
    <row r="19" spans="1:214" x14ac:dyDescent="0.45">
      <c r="A19" t="s">
        <v>42</v>
      </c>
      <c r="B19">
        <v>0</v>
      </c>
      <c r="C19">
        <v>0</v>
      </c>
      <c r="D19">
        <v>0</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v>0</v>
      </c>
      <c r="AF19">
        <v>0</v>
      </c>
      <c r="AG19">
        <v>0</v>
      </c>
      <c r="AH19">
        <v>0</v>
      </c>
      <c r="AI19">
        <v>0</v>
      </c>
      <c r="AJ19">
        <v>0</v>
      </c>
      <c r="AK19">
        <v>0</v>
      </c>
      <c r="AL19">
        <v>0</v>
      </c>
      <c r="AM19">
        <v>0</v>
      </c>
      <c r="AN19">
        <v>0</v>
      </c>
      <c r="AO19">
        <v>0</v>
      </c>
      <c r="AP19">
        <v>0</v>
      </c>
      <c r="AQ19">
        <v>0</v>
      </c>
      <c r="AR19">
        <v>0</v>
      </c>
      <c r="AS19">
        <v>0</v>
      </c>
      <c r="AT19">
        <v>0</v>
      </c>
      <c r="AU19">
        <v>0</v>
      </c>
      <c r="AV19">
        <v>0</v>
      </c>
      <c r="AW19">
        <v>0</v>
      </c>
      <c r="AX19">
        <v>0</v>
      </c>
      <c r="AY19">
        <v>0</v>
      </c>
      <c r="AZ19">
        <v>0</v>
      </c>
      <c r="BA19">
        <v>0</v>
      </c>
      <c r="BB19">
        <v>0</v>
      </c>
      <c r="BC19">
        <v>0</v>
      </c>
      <c r="BD19">
        <v>0</v>
      </c>
      <c r="BE19">
        <v>0</v>
      </c>
      <c r="BF19">
        <v>0</v>
      </c>
      <c r="BG19">
        <v>0</v>
      </c>
      <c r="BH19">
        <v>0</v>
      </c>
      <c r="BI19">
        <v>0</v>
      </c>
      <c r="BJ19">
        <v>0</v>
      </c>
      <c r="BK19">
        <v>0</v>
      </c>
      <c r="BL19">
        <v>0</v>
      </c>
      <c r="BM19">
        <v>0</v>
      </c>
      <c r="BN19">
        <v>0</v>
      </c>
      <c r="BO19">
        <v>0</v>
      </c>
      <c r="BP19">
        <v>0</v>
      </c>
      <c r="BQ19">
        <v>0</v>
      </c>
      <c r="BR19">
        <v>0</v>
      </c>
      <c r="BS19">
        <v>0</v>
      </c>
      <c r="BT19">
        <v>0</v>
      </c>
      <c r="BU19">
        <v>0</v>
      </c>
      <c r="BV19">
        <v>0</v>
      </c>
      <c r="BW19">
        <v>0</v>
      </c>
      <c r="BX19">
        <v>0</v>
      </c>
      <c r="BY19">
        <v>0</v>
      </c>
      <c r="BZ19">
        <v>0</v>
      </c>
      <c r="CA19">
        <v>0</v>
      </c>
      <c r="CB19">
        <v>0</v>
      </c>
      <c r="CC19">
        <v>0</v>
      </c>
      <c r="CD19">
        <v>0</v>
      </c>
      <c r="CE19">
        <v>0</v>
      </c>
      <c r="CF19">
        <v>0</v>
      </c>
      <c r="CG19">
        <v>0</v>
      </c>
      <c r="CH19">
        <v>0</v>
      </c>
      <c r="CI19">
        <v>0</v>
      </c>
      <c r="CJ19">
        <v>0</v>
      </c>
      <c r="CK19">
        <v>0</v>
      </c>
      <c r="CL19">
        <v>0</v>
      </c>
      <c r="CM19">
        <v>0</v>
      </c>
      <c r="CN19">
        <v>0</v>
      </c>
      <c r="CO19">
        <v>0</v>
      </c>
      <c r="CP19">
        <v>0</v>
      </c>
      <c r="CQ19">
        <v>0</v>
      </c>
      <c r="CR19">
        <v>0</v>
      </c>
      <c r="CS19">
        <v>0</v>
      </c>
      <c r="CT19">
        <v>0</v>
      </c>
      <c r="CU19">
        <v>0</v>
      </c>
      <c r="CV19">
        <v>0</v>
      </c>
      <c r="CW19">
        <v>0</v>
      </c>
      <c r="CX19">
        <v>0</v>
      </c>
      <c r="CY19">
        <v>0</v>
      </c>
      <c r="CZ19">
        <v>0</v>
      </c>
      <c r="DA19">
        <v>0</v>
      </c>
      <c r="DB19">
        <v>0</v>
      </c>
      <c r="DC19">
        <v>0</v>
      </c>
      <c r="DD19">
        <v>0</v>
      </c>
      <c r="DE19">
        <v>0</v>
      </c>
      <c r="DF19">
        <v>0</v>
      </c>
      <c r="DG19">
        <v>0</v>
      </c>
      <c r="DH19">
        <v>0</v>
      </c>
      <c r="DI19">
        <v>0</v>
      </c>
      <c r="DJ19">
        <v>0</v>
      </c>
      <c r="DK19">
        <v>0</v>
      </c>
      <c r="DL19">
        <v>0</v>
      </c>
      <c r="DM19">
        <v>0</v>
      </c>
      <c r="DN19">
        <v>0</v>
      </c>
      <c r="DO19">
        <v>0</v>
      </c>
      <c r="DP19">
        <v>0</v>
      </c>
      <c r="DQ19">
        <v>0</v>
      </c>
      <c r="DR19">
        <v>0</v>
      </c>
      <c r="DS19">
        <v>0</v>
      </c>
      <c r="DT19">
        <v>0</v>
      </c>
      <c r="DU19">
        <v>0</v>
      </c>
      <c r="DV19">
        <v>0</v>
      </c>
      <c r="DW19">
        <v>0</v>
      </c>
      <c r="DX19">
        <v>0</v>
      </c>
      <c r="DY19">
        <v>0</v>
      </c>
      <c r="DZ19">
        <v>0</v>
      </c>
      <c r="EA19">
        <v>0</v>
      </c>
      <c r="EB19">
        <v>0</v>
      </c>
      <c r="EC19">
        <v>0</v>
      </c>
      <c r="ED19">
        <v>0</v>
      </c>
      <c r="EE19">
        <v>0</v>
      </c>
      <c r="EF19">
        <v>0</v>
      </c>
      <c r="EG19">
        <v>0</v>
      </c>
      <c r="EH19">
        <v>0</v>
      </c>
      <c r="EI19">
        <v>0</v>
      </c>
      <c r="EJ19">
        <v>0</v>
      </c>
      <c r="EK19">
        <v>0</v>
      </c>
      <c r="EL19">
        <v>0</v>
      </c>
      <c r="EM19">
        <v>0</v>
      </c>
      <c r="EN19">
        <v>0</v>
      </c>
      <c r="EO19">
        <v>0</v>
      </c>
      <c r="EP19">
        <v>0</v>
      </c>
      <c r="EQ19">
        <v>0</v>
      </c>
      <c r="ER19">
        <v>0</v>
      </c>
      <c r="ES19">
        <v>0</v>
      </c>
      <c r="ET19">
        <v>0</v>
      </c>
      <c r="EU19">
        <v>0</v>
      </c>
      <c r="EV19">
        <v>0</v>
      </c>
      <c r="EW19">
        <v>0</v>
      </c>
      <c r="EX19">
        <v>0</v>
      </c>
      <c r="EY19">
        <v>0</v>
      </c>
      <c r="EZ19">
        <v>0</v>
      </c>
      <c r="FA19">
        <v>0</v>
      </c>
      <c r="FB19">
        <v>0</v>
      </c>
      <c r="FC19">
        <v>0</v>
      </c>
      <c r="FD19">
        <v>0</v>
      </c>
      <c r="FE19">
        <v>0</v>
      </c>
      <c r="FF19">
        <v>0</v>
      </c>
      <c r="FG19">
        <v>0</v>
      </c>
      <c r="FH19">
        <v>0</v>
      </c>
      <c r="FI19">
        <v>0</v>
      </c>
      <c r="FJ19">
        <v>0</v>
      </c>
      <c r="FK19">
        <v>0</v>
      </c>
      <c r="FL19">
        <v>0</v>
      </c>
      <c r="FM19">
        <v>0</v>
      </c>
      <c r="FN19">
        <v>0</v>
      </c>
      <c r="FO19">
        <v>0</v>
      </c>
      <c r="FP19">
        <v>0</v>
      </c>
      <c r="FQ19">
        <v>0</v>
      </c>
      <c r="FR19">
        <v>0</v>
      </c>
      <c r="FS19">
        <v>0</v>
      </c>
      <c r="FT19">
        <v>0</v>
      </c>
      <c r="FU19">
        <v>0</v>
      </c>
      <c r="FV19">
        <v>0</v>
      </c>
      <c r="FW19">
        <v>0</v>
      </c>
      <c r="FX19">
        <v>0</v>
      </c>
      <c r="FY19">
        <v>0</v>
      </c>
      <c r="FZ19">
        <v>0</v>
      </c>
      <c r="GA19">
        <v>0</v>
      </c>
      <c r="GB19">
        <v>0</v>
      </c>
      <c r="GC19">
        <v>0</v>
      </c>
      <c r="GD19">
        <v>0</v>
      </c>
      <c r="GE19">
        <v>0</v>
      </c>
      <c r="GF19">
        <v>0</v>
      </c>
      <c r="GG19">
        <v>0</v>
      </c>
      <c r="GH19">
        <v>0</v>
      </c>
      <c r="GI19">
        <v>0</v>
      </c>
      <c r="GJ19">
        <v>0</v>
      </c>
      <c r="GK19">
        <v>0</v>
      </c>
      <c r="GL19">
        <v>0</v>
      </c>
      <c r="GM19">
        <v>0</v>
      </c>
      <c r="GN19">
        <v>0</v>
      </c>
      <c r="GO19">
        <v>0</v>
      </c>
      <c r="GP19">
        <v>0</v>
      </c>
      <c r="GQ19">
        <v>0</v>
      </c>
      <c r="GR19">
        <v>0</v>
      </c>
      <c r="GS19">
        <v>0</v>
      </c>
      <c r="GT19">
        <v>0</v>
      </c>
      <c r="GU19">
        <v>0</v>
      </c>
      <c r="GV19">
        <v>0</v>
      </c>
      <c r="GW19">
        <v>0</v>
      </c>
      <c r="GX19">
        <v>0</v>
      </c>
      <c r="GY19">
        <v>0</v>
      </c>
      <c r="GZ19">
        <v>0</v>
      </c>
      <c r="HA19">
        <v>0</v>
      </c>
      <c r="HB19">
        <v>0</v>
      </c>
      <c r="HC19">
        <v>0</v>
      </c>
      <c r="HE19">
        <f t="shared" si="0"/>
        <v>0</v>
      </c>
      <c r="HF19">
        <f t="shared" si="1"/>
        <v>0</v>
      </c>
    </row>
    <row r="20" spans="1:214" x14ac:dyDescent="0.45">
      <c r="A20" t="s">
        <v>44</v>
      </c>
      <c r="B20">
        <v>0</v>
      </c>
      <c r="C20">
        <v>0</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v>0</v>
      </c>
      <c r="AH20">
        <v>0</v>
      </c>
      <c r="AI20">
        <v>0</v>
      </c>
      <c r="AJ20">
        <v>0</v>
      </c>
      <c r="AK20">
        <v>0</v>
      </c>
      <c r="AL20">
        <v>0</v>
      </c>
      <c r="AM20">
        <v>0</v>
      </c>
      <c r="AN20">
        <v>0</v>
      </c>
      <c r="AO20">
        <v>0</v>
      </c>
      <c r="AP20">
        <v>0</v>
      </c>
      <c r="AQ20">
        <v>0</v>
      </c>
      <c r="AR20">
        <v>0</v>
      </c>
      <c r="AS20">
        <v>0</v>
      </c>
      <c r="AT20">
        <v>0</v>
      </c>
      <c r="AU20">
        <v>0</v>
      </c>
      <c r="AV20">
        <v>0</v>
      </c>
      <c r="AW20">
        <v>0</v>
      </c>
      <c r="AX20">
        <v>0</v>
      </c>
      <c r="AY20">
        <v>0</v>
      </c>
      <c r="AZ20">
        <v>0</v>
      </c>
      <c r="BA20">
        <v>0</v>
      </c>
      <c r="BB20">
        <v>0</v>
      </c>
      <c r="BC20">
        <v>0</v>
      </c>
      <c r="BD20">
        <v>0</v>
      </c>
      <c r="BE20">
        <v>0</v>
      </c>
      <c r="BF20">
        <v>0</v>
      </c>
      <c r="BG20">
        <v>0</v>
      </c>
      <c r="BH20">
        <v>0</v>
      </c>
      <c r="BI20">
        <v>0</v>
      </c>
      <c r="BJ20">
        <v>0</v>
      </c>
      <c r="BK20">
        <v>0</v>
      </c>
      <c r="BL20">
        <v>0</v>
      </c>
      <c r="BM20">
        <v>0</v>
      </c>
      <c r="BN20">
        <v>0</v>
      </c>
      <c r="BO20">
        <v>0</v>
      </c>
      <c r="BP20">
        <v>0</v>
      </c>
      <c r="BQ20">
        <v>0</v>
      </c>
      <c r="BR20">
        <v>0</v>
      </c>
      <c r="BS20">
        <v>0</v>
      </c>
      <c r="BT20">
        <v>0</v>
      </c>
      <c r="BU20">
        <v>0</v>
      </c>
      <c r="BV20">
        <v>0</v>
      </c>
      <c r="BW20">
        <v>0</v>
      </c>
      <c r="BX20">
        <v>0</v>
      </c>
      <c r="BY20">
        <v>0</v>
      </c>
      <c r="BZ20">
        <v>0</v>
      </c>
      <c r="CA20">
        <v>0</v>
      </c>
      <c r="CB20">
        <v>0</v>
      </c>
      <c r="CC20">
        <v>0</v>
      </c>
      <c r="CD20">
        <v>0</v>
      </c>
      <c r="CE20">
        <v>0</v>
      </c>
      <c r="CF20">
        <v>0</v>
      </c>
      <c r="CG20">
        <v>0</v>
      </c>
      <c r="CH20">
        <v>0</v>
      </c>
      <c r="CI20">
        <v>0</v>
      </c>
      <c r="CJ20">
        <v>0</v>
      </c>
      <c r="CK20">
        <v>0</v>
      </c>
      <c r="CL20">
        <v>0</v>
      </c>
      <c r="CM20">
        <v>0</v>
      </c>
      <c r="CN20">
        <v>0</v>
      </c>
      <c r="CO20">
        <v>0</v>
      </c>
      <c r="CP20">
        <v>0</v>
      </c>
      <c r="CQ20">
        <v>0</v>
      </c>
      <c r="CR20">
        <v>1076</v>
      </c>
      <c r="CS20">
        <v>975.5</v>
      </c>
      <c r="CT20">
        <v>0</v>
      </c>
      <c r="CU20">
        <v>0</v>
      </c>
      <c r="CV20">
        <v>0</v>
      </c>
      <c r="CW20">
        <v>0</v>
      </c>
      <c r="CX20">
        <v>0</v>
      </c>
      <c r="CY20">
        <v>0</v>
      </c>
      <c r="CZ20">
        <v>0</v>
      </c>
      <c r="DA20">
        <v>0</v>
      </c>
      <c r="DB20">
        <v>0</v>
      </c>
      <c r="DC20">
        <v>0</v>
      </c>
      <c r="DD20">
        <v>0</v>
      </c>
      <c r="DE20">
        <v>0</v>
      </c>
      <c r="DF20">
        <v>0</v>
      </c>
      <c r="DG20">
        <v>0</v>
      </c>
      <c r="DH20">
        <v>0</v>
      </c>
      <c r="DI20">
        <v>0</v>
      </c>
      <c r="DJ20">
        <v>0</v>
      </c>
      <c r="DK20">
        <v>0</v>
      </c>
      <c r="DL20">
        <v>0</v>
      </c>
      <c r="DM20">
        <v>0</v>
      </c>
      <c r="DN20">
        <v>0</v>
      </c>
      <c r="DO20">
        <v>0</v>
      </c>
      <c r="DP20">
        <v>0</v>
      </c>
      <c r="DQ20">
        <v>0</v>
      </c>
      <c r="DR20">
        <v>0</v>
      </c>
      <c r="DS20">
        <v>0</v>
      </c>
      <c r="DT20">
        <v>0</v>
      </c>
      <c r="DU20">
        <v>0</v>
      </c>
      <c r="DV20">
        <v>0</v>
      </c>
      <c r="DW20">
        <v>0</v>
      </c>
      <c r="DX20">
        <v>0</v>
      </c>
      <c r="DY20">
        <v>0</v>
      </c>
      <c r="DZ20">
        <v>0</v>
      </c>
      <c r="EA20">
        <v>0</v>
      </c>
      <c r="EB20">
        <v>0</v>
      </c>
      <c r="EC20">
        <v>0</v>
      </c>
      <c r="ED20">
        <v>0</v>
      </c>
      <c r="EE20">
        <v>0</v>
      </c>
      <c r="EF20">
        <v>0</v>
      </c>
      <c r="EG20">
        <v>0</v>
      </c>
      <c r="EH20">
        <v>0</v>
      </c>
      <c r="EI20">
        <v>0</v>
      </c>
      <c r="EJ20">
        <v>0</v>
      </c>
      <c r="EK20">
        <v>0</v>
      </c>
      <c r="EL20">
        <v>0</v>
      </c>
      <c r="EM20">
        <v>0</v>
      </c>
      <c r="EN20">
        <v>0</v>
      </c>
      <c r="EO20">
        <v>0</v>
      </c>
      <c r="EP20">
        <v>0</v>
      </c>
      <c r="EQ20">
        <v>0</v>
      </c>
      <c r="ER20">
        <v>0</v>
      </c>
      <c r="ES20">
        <v>0</v>
      </c>
      <c r="ET20">
        <v>0</v>
      </c>
      <c r="EU20">
        <v>0</v>
      </c>
      <c r="EV20">
        <v>0</v>
      </c>
      <c r="EW20">
        <v>0</v>
      </c>
      <c r="EX20">
        <v>0</v>
      </c>
      <c r="EY20">
        <v>0</v>
      </c>
      <c r="EZ20">
        <v>0</v>
      </c>
      <c r="FA20">
        <v>0</v>
      </c>
      <c r="FB20">
        <v>0</v>
      </c>
      <c r="FC20">
        <v>0</v>
      </c>
      <c r="FD20">
        <v>0</v>
      </c>
      <c r="FE20">
        <v>0</v>
      </c>
      <c r="FF20">
        <v>0</v>
      </c>
      <c r="FG20">
        <v>0</v>
      </c>
      <c r="FH20">
        <v>0</v>
      </c>
      <c r="FI20">
        <v>0</v>
      </c>
      <c r="FJ20">
        <v>0</v>
      </c>
      <c r="FK20">
        <v>0</v>
      </c>
      <c r="FL20">
        <v>0</v>
      </c>
      <c r="FM20">
        <v>0</v>
      </c>
      <c r="FN20">
        <v>0</v>
      </c>
      <c r="FO20">
        <v>0</v>
      </c>
      <c r="FP20">
        <v>0</v>
      </c>
      <c r="FQ20">
        <v>0</v>
      </c>
      <c r="FR20">
        <v>0</v>
      </c>
      <c r="FS20">
        <v>0</v>
      </c>
      <c r="FT20">
        <v>0</v>
      </c>
      <c r="FU20">
        <v>0</v>
      </c>
      <c r="FV20">
        <v>0</v>
      </c>
      <c r="FW20">
        <v>0</v>
      </c>
      <c r="FX20">
        <v>0</v>
      </c>
      <c r="FY20">
        <v>0</v>
      </c>
      <c r="FZ20">
        <v>0</v>
      </c>
      <c r="GA20">
        <v>0</v>
      </c>
      <c r="GB20">
        <v>0</v>
      </c>
      <c r="GC20">
        <v>0</v>
      </c>
      <c r="GD20">
        <v>0</v>
      </c>
      <c r="GE20">
        <v>0</v>
      </c>
      <c r="GF20">
        <v>0</v>
      </c>
      <c r="GG20">
        <v>0</v>
      </c>
      <c r="GH20">
        <v>0</v>
      </c>
      <c r="GI20">
        <v>0</v>
      </c>
      <c r="GJ20">
        <v>0</v>
      </c>
      <c r="GK20">
        <v>0</v>
      </c>
      <c r="GL20">
        <v>0</v>
      </c>
      <c r="GM20">
        <v>0</v>
      </c>
      <c r="GN20">
        <v>0</v>
      </c>
      <c r="GO20">
        <v>0</v>
      </c>
      <c r="GP20">
        <v>0</v>
      </c>
      <c r="GQ20">
        <v>0</v>
      </c>
      <c r="GR20">
        <v>0</v>
      </c>
      <c r="GS20">
        <v>0</v>
      </c>
      <c r="GT20">
        <v>0</v>
      </c>
      <c r="GU20">
        <v>0</v>
      </c>
      <c r="GV20">
        <v>0</v>
      </c>
      <c r="GW20">
        <v>0</v>
      </c>
      <c r="GX20">
        <v>0</v>
      </c>
      <c r="GY20">
        <v>0</v>
      </c>
      <c r="GZ20">
        <v>0</v>
      </c>
      <c r="HA20">
        <v>0</v>
      </c>
      <c r="HB20">
        <v>0</v>
      </c>
      <c r="HC20">
        <v>0</v>
      </c>
      <c r="HE20">
        <f t="shared" si="0"/>
        <v>2051.5</v>
      </c>
      <c r="HF20">
        <f t="shared" si="1"/>
        <v>1</v>
      </c>
    </row>
    <row r="21" spans="1:214" x14ac:dyDescent="0.45">
      <c r="A21" t="s">
        <v>47</v>
      </c>
      <c r="B21">
        <v>0</v>
      </c>
      <c r="C21">
        <v>0</v>
      </c>
      <c r="D21">
        <v>0</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v>0</v>
      </c>
      <c r="AJ21">
        <v>0</v>
      </c>
      <c r="AK21">
        <v>0</v>
      </c>
      <c r="AL21">
        <v>0</v>
      </c>
      <c r="AM21">
        <v>0</v>
      </c>
      <c r="AN21">
        <v>0</v>
      </c>
      <c r="AO21">
        <v>0</v>
      </c>
      <c r="AP21">
        <v>0</v>
      </c>
      <c r="AQ21">
        <v>0</v>
      </c>
      <c r="AR21">
        <v>0</v>
      </c>
      <c r="AS21">
        <v>0</v>
      </c>
      <c r="AT21">
        <v>0</v>
      </c>
      <c r="AU21">
        <v>0</v>
      </c>
      <c r="AV21">
        <v>0</v>
      </c>
      <c r="AW21">
        <v>0</v>
      </c>
      <c r="AX21">
        <v>0</v>
      </c>
      <c r="AY21">
        <v>0</v>
      </c>
      <c r="AZ21">
        <v>0</v>
      </c>
      <c r="BA21">
        <v>0</v>
      </c>
      <c r="BB21">
        <v>0</v>
      </c>
      <c r="BC21">
        <v>0</v>
      </c>
      <c r="BD21">
        <v>0</v>
      </c>
      <c r="BE21">
        <v>0</v>
      </c>
      <c r="BF21">
        <v>0</v>
      </c>
      <c r="BG21">
        <v>0</v>
      </c>
      <c r="BH21">
        <v>0</v>
      </c>
      <c r="BI21">
        <v>0</v>
      </c>
      <c r="BJ21">
        <v>0</v>
      </c>
      <c r="BK21">
        <v>0</v>
      </c>
      <c r="BL21">
        <v>0</v>
      </c>
      <c r="BM21">
        <v>0</v>
      </c>
      <c r="BN21">
        <v>0</v>
      </c>
      <c r="BO21">
        <v>0</v>
      </c>
      <c r="BP21">
        <v>0</v>
      </c>
      <c r="BQ21">
        <v>0</v>
      </c>
      <c r="BR21">
        <v>0</v>
      </c>
      <c r="BS21">
        <v>0</v>
      </c>
      <c r="BT21">
        <v>0</v>
      </c>
      <c r="BU21">
        <v>0</v>
      </c>
      <c r="BV21">
        <v>0</v>
      </c>
      <c r="BW21">
        <v>0</v>
      </c>
      <c r="BX21">
        <v>0</v>
      </c>
      <c r="BY21">
        <v>0</v>
      </c>
      <c r="BZ21">
        <v>0</v>
      </c>
      <c r="CA21">
        <v>0</v>
      </c>
      <c r="CB21">
        <v>0</v>
      </c>
      <c r="CC21">
        <v>0</v>
      </c>
      <c r="CD21">
        <v>0</v>
      </c>
      <c r="CE21">
        <v>0</v>
      </c>
      <c r="CF21">
        <v>0</v>
      </c>
      <c r="CG21">
        <v>0</v>
      </c>
      <c r="CH21">
        <v>0</v>
      </c>
      <c r="CI21">
        <v>0</v>
      </c>
      <c r="CJ21">
        <v>0</v>
      </c>
      <c r="CK21">
        <v>0</v>
      </c>
      <c r="CL21">
        <v>0</v>
      </c>
      <c r="CM21">
        <v>0</v>
      </c>
      <c r="CN21">
        <v>0</v>
      </c>
      <c r="CO21">
        <v>0</v>
      </c>
      <c r="CP21">
        <v>0</v>
      </c>
      <c r="CQ21">
        <v>0</v>
      </c>
      <c r="CR21">
        <v>0</v>
      </c>
      <c r="CS21">
        <v>0</v>
      </c>
      <c r="CT21">
        <v>0</v>
      </c>
      <c r="CU21">
        <v>0</v>
      </c>
      <c r="CV21">
        <v>0</v>
      </c>
      <c r="CW21">
        <v>0</v>
      </c>
      <c r="CX21">
        <v>0</v>
      </c>
      <c r="CY21">
        <v>0</v>
      </c>
      <c r="CZ21">
        <v>0</v>
      </c>
      <c r="DA21">
        <v>0</v>
      </c>
      <c r="DB21">
        <v>0</v>
      </c>
      <c r="DC21">
        <v>0</v>
      </c>
      <c r="DD21">
        <v>0</v>
      </c>
      <c r="DE21">
        <v>0</v>
      </c>
      <c r="DF21">
        <v>0</v>
      </c>
      <c r="DG21">
        <v>0</v>
      </c>
      <c r="DH21">
        <v>0</v>
      </c>
      <c r="DI21">
        <v>0</v>
      </c>
      <c r="DJ21">
        <v>0</v>
      </c>
      <c r="DK21">
        <v>0</v>
      </c>
      <c r="DL21">
        <v>0</v>
      </c>
      <c r="DM21">
        <v>0</v>
      </c>
      <c r="DN21">
        <v>0</v>
      </c>
      <c r="DO21">
        <v>0</v>
      </c>
      <c r="DP21">
        <v>0</v>
      </c>
      <c r="DQ21">
        <v>0</v>
      </c>
      <c r="DR21">
        <v>0</v>
      </c>
      <c r="DS21">
        <v>0</v>
      </c>
      <c r="DT21">
        <v>0</v>
      </c>
      <c r="DU21">
        <v>0</v>
      </c>
      <c r="DV21">
        <v>0</v>
      </c>
      <c r="DW21">
        <v>0</v>
      </c>
      <c r="DX21">
        <v>0</v>
      </c>
      <c r="DY21">
        <v>0</v>
      </c>
      <c r="DZ21">
        <v>0</v>
      </c>
      <c r="EA21">
        <v>0</v>
      </c>
      <c r="EB21">
        <v>0</v>
      </c>
      <c r="EC21">
        <v>0</v>
      </c>
      <c r="ED21">
        <v>0</v>
      </c>
      <c r="EE21">
        <v>0</v>
      </c>
      <c r="EF21">
        <v>0</v>
      </c>
      <c r="EG21">
        <v>0</v>
      </c>
      <c r="EH21">
        <v>0</v>
      </c>
      <c r="EI21">
        <v>0</v>
      </c>
      <c r="EJ21">
        <v>0</v>
      </c>
      <c r="EK21">
        <v>0</v>
      </c>
      <c r="EL21">
        <v>0</v>
      </c>
      <c r="EM21">
        <v>0</v>
      </c>
      <c r="EN21">
        <v>0</v>
      </c>
      <c r="EO21">
        <v>0</v>
      </c>
      <c r="EP21">
        <v>0</v>
      </c>
      <c r="EQ21">
        <v>0</v>
      </c>
      <c r="ER21">
        <v>0</v>
      </c>
      <c r="ES21">
        <v>0</v>
      </c>
      <c r="ET21">
        <v>0</v>
      </c>
      <c r="EU21">
        <v>0</v>
      </c>
      <c r="EV21">
        <v>0</v>
      </c>
      <c r="EW21">
        <v>0</v>
      </c>
      <c r="EX21">
        <v>0</v>
      </c>
      <c r="EY21">
        <v>0</v>
      </c>
      <c r="EZ21">
        <v>0</v>
      </c>
      <c r="FA21">
        <v>0</v>
      </c>
      <c r="FB21">
        <v>0</v>
      </c>
      <c r="FC21">
        <v>0</v>
      </c>
      <c r="FD21">
        <v>0</v>
      </c>
      <c r="FE21">
        <v>0</v>
      </c>
      <c r="FF21">
        <v>0</v>
      </c>
      <c r="FG21">
        <v>0</v>
      </c>
      <c r="FH21">
        <v>0</v>
      </c>
      <c r="FI21">
        <v>0</v>
      </c>
      <c r="FJ21">
        <v>0</v>
      </c>
      <c r="FK21">
        <v>0</v>
      </c>
      <c r="FL21">
        <v>0</v>
      </c>
      <c r="FM21">
        <v>0</v>
      </c>
      <c r="FN21">
        <v>0</v>
      </c>
      <c r="FO21">
        <v>0</v>
      </c>
      <c r="FP21">
        <v>0</v>
      </c>
      <c r="FQ21">
        <v>0</v>
      </c>
      <c r="FR21">
        <v>0</v>
      </c>
      <c r="FS21">
        <v>0</v>
      </c>
      <c r="FT21">
        <v>0</v>
      </c>
      <c r="FU21">
        <v>0</v>
      </c>
      <c r="FV21">
        <v>0</v>
      </c>
      <c r="FW21">
        <v>0</v>
      </c>
      <c r="FX21">
        <v>0</v>
      </c>
      <c r="FY21">
        <v>0</v>
      </c>
      <c r="FZ21">
        <v>0</v>
      </c>
      <c r="GA21">
        <v>0</v>
      </c>
      <c r="GB21">
        <v>0</v>
      </c>
      <c r="GC21">
        <v>0</v>
      </c>
      <c r="GD21">
        <v>0</v>
      </c>
      <c r="GE21">
        <v>0</v>
      </c>
      <c r="GF21">
        <v>0</v>
      </c>
      <c r="GG21">
        <v>0</v>
      </c>
      <c r="GH21">
        <v>0</v>
      </c>
      <c r="GI21">
        <v>0</v>
      </c>
      <c r="GJ21">
        <v>0</v>
      </c>
      <c r="GK21">
        <v>0</v>
      </c>
      <c r="GL21">
        <v>0</v>
      </c>
      <c r="GM21">
        <v>0</v>
      </c>
      <c r="GN21">
        <v>0</v>
      </c>
      <c r="GO21">
        <v>0</v>
      </c>
      <c r="GP21">
        <v>0</v>
      </c>
      <c r="GQ21">
        <v>0</v>
      </c>
      <c r="GR21">
        <v>0</v>
      </c>
      <c r="GS21">
        <v>0</v>
      </c>
      <c r="GT21">
        <v>0</v>
      </c>
      <c r="GU21">
        <v>0</v>
      </c>
      <c r="GV21">
        <v>0</v>
      </c>
      <c r="GW21">
        <v>0</v>
      </c>
      <c r="GX21">
        <v>0</v>
      </c>
      <c r="GY21">
        <v>0</v>
      </c>
      <c r="GZ21">
        <v>0</v>
      </c>
      <c r="HA21">
        <v>0</v>
      </c>
      <c r="HB21">
        <v>0</v>
      </c>
      <c r="HC21">
        <v>0</v>
      </c>
      <c r="HE21">
        <f t="shared" si="0"/>
        <v>0</v>
      </c>
      <c r="HF21">
        <f t="shared" si="1"/>
        <v>0</v>
      </c>
    </row>
    <row r="22" spans="1:214" x14ac:dyDescent="0.45">
      <c r="A22" t="s">
        <v>50</v>
      </c>
      <c r="B22">
        <v>0</v>
      </c>
      <c r="C22">
        <v>0</v>
      </c>
      <c r="D22">
        <v>0</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v>0</v>
      </c>
      <c r="AH22">
        <v>0</v>
      </c>
      <c r="AI22">
        <v>0</v>
      </c>
      <c r="AJ22">
        <v>0</v>
      </c>
      <c r="AK22">
        <v>0</v>
      </c>
      <c r="AL22">
        <v>0</v>
      </c>
      <c r="AM22">
        <v>0</v>
      </c>
      <c r="AN22">
        <v>0</v>
      </c>
      <c r="AO22">
        <v>0</v>
      </c>
      <c r="AP22">
        <v>0</v>
      </c>
      <c r="AQ22">
        <v>0</v>
      </c>
      <c r="AR22">
        <v>0</v>
      </c>
      <c r="AS22">
        <v>0</v>
      </c>
      <c r="AT22">
        <v>0</v>
      </c>
      <c r="AU22">
        <v>0</v>
      </c>
      <c r="AV22">
        <v>0</v>
      </c>
      <c r="AW22">
        <v>0</v>
      </c>
      <c r="AX22">
        <v>0</v>
      </c>
      <c r="AY22">
        <v>0</v>
      </c>
      <c r="AZ22">
        <v>0</v>
      </c>
      <c r="BA22">
        <v>0</v>
      </c>
      <c r="BB22">
        <v>0</v>
      </c>
      <c r="BC22">
        <v>0</v>
      </c>
      <c r="BD22">
        <v>0</v>
      </c>
      <c r="BE22">
        <v>0</v>
      </c>
      <c r="BF22">
        <v>0</v>
      </c>
      <c r="BG22">
        <v>0</v>
      </c>
      <c r="BH22">
        <v>0</v>
      </c>
      <c r="BI22">
        <v>0</v>
      </c>
      <c r="BJ22">
        <v>0</v>
      </c>
      <c r="BK22">
        <v>0</v>
      </c>
      <c r="BL22">
        <v>0</v>
      </c>
      <c r="BM22">
        <v>0</v>
      </c>
      <c r="BN22">
        <v>0</v>
      </c>
      <c r="BO22">
        <v>0</v>
      </c>
      <c r="BP22">
        <v>0</v>
      </c>
      <c r="BQ22">
        <v>0</v>
      </c>
      <c r="BR22">
        <v>0</v>
      </c>
      <c r="BS22">
        <v>0</v>
      </c>
      <c r="BT22">
        <v>0</v>
      </c>
      <c r="BU22">
        <v>0</v>
      </c>
      <c r="BV22">
        <v>0</v>
      </c>
      <c r="BW22">
        <v>0</v>
      </c>
      <c r="BX22">
        <v>0</v>
      </c>
      <c r="BY22">
        <v>0</v>
      </c>
      <c r="BZ22">
        <v>0</v>
      </c>
      <c r="CA22">
        <v>0</v>
      </c>
      <c r="CB22">
        <v>0</v>
      </c>
      <c r="CC22">
        <v>0</v>
      </c>
      <c r="CD22">
        <v>0</v>
      </c>
      <c r="CE22">
        <v>0</v>
      </c>
      <c r="CF22">
        <v>0</v>
      </c>
      <c r="CG22">
        <v>0</v>
      </c>
      <c r="CH22">
        <v>884.2</v>
      </c>
      <c r="CI22">
        <v>0</v>
      </c>
      <c r="CJ22">
        <v>861</v>
      </c>
      <c r="CK22">
        <v>0</v>
      </c>
      <c r="CL22">
        <v>0</v>
      </c>
      <c r="CM22">
        <v>0</v>
      </c>
      <c r="CN22">
        <v>0</v>
      </c>
      <c r="CO22">
        <v>0</v>
      </c>
      <c r="CP22">
        <v>0</v>
      </c>
      <c r="CQ22">
        <v>0</v>
      </c>
      <c r="CR22">
        <v>0</v>
      </c>
      <c r="CS22">
        <v>0</v>
      </c>
      <c r="CT22">
        <v>0</v>
      </c>
      <c r="CU22">
        <v>0</v>
      </c>
      <c r="CV22">
        <v>0</v>
      </c>
      <c r="CW22">
        <v>0</v>
      </c>
      <c r="CX22">
        <v>0</v>
      </c>
      <c r="CY22">
        <v>0</v>
      </c>
      <c r="CZ22">
        <v>0</v>
      </c>
      <c r="DA22">
        <v>0</v>
      </c>
      <c r="DB22">
        <v>0</v>
      </c>
      <c r="DC22">
        <v>0</v>
      </c>
      <c r="DD22">
        <v>0</v>
      </c>
      <c r="DE22">
        <v>0</v>
      </c>
      <c r="DF22">
        <v>0</v>
      </c>
      <c r="DG22">
        <v>0</v>
      </c>
      <c r="DH22">
        <v>0</v>
      </c>
      <c r="DI22">
        <v>0</v>
      </c>
      <c r="DJ22">
        <v>0</v>
      </c>
      <c r="DK22">
        <v>0</v>
      </c>
      <c r="DL22">
        <v>0</v>
      </c>
      <c r="DM22">
        <v>0</v>
      </c>
      <c r="DN22">
        <v>0</v>
      </c>
      <c r="DO22">
        <v>0</v>
      </c>
      <c r="DP22">
        <v>0</v>
      </c>
      <c r="DQ22">
        <v>0</v>
      </c>
      <c r="DR22">
        <v>0</v>
      </c>
      <c r="DS22">
        <v>0</v>
      </c>
      <c r="DT22">
        <v>0</v>
      </c>
      <c r="DU22">
        <v>0</v>
      </c>
      <c r="DV22">
        <v>0</v>
      </c>
      <c r="DW22">
        <v>0</v>
      </c>
      <c r="DX22">
        <v>0</v>
      </c>
      <c r="DY22">
        <v>0</v>
      </c>
      <c r="DZ22">
        <v>0</v>
      </c>
      <c r="EA22">
        <v>0</v>
      </c>
      <c r="EB22">
        <v>0</v>
      </c>
      <c r="EC22">
        <v>0</v>
      </c>
      <c r="ED22">
        <v>0</v>
      </c>
      <c r="EE22">
        <v>0</v>
      </c>
      <c r="EF22">
        <v>0</v>
      </c>
      <c r="EG22">
        <v>0</v>
      </c>
      <c r="EH22">
        <v>0</v>
      </c>
      <c r="EI22">
        <v>0</v>
      </c>
      <c r="EJ22">
        <v>0</v>
      </c>
      <c r="EK22">
        <v>0</v>
      </c>
      <c r="EL22">
        <v>0</v>
      </c>
      <c r="EM22">
        <v>0</v>
      </c>
      <c r="EN22">
        <v>0</v>
      </c>
      <c r="EO22">
        <v>0</v>
      </c>
      <c r="EP22">
        <v>0</v>
      </c>
      <c r="EQ22">
        <v>0</v>
      </c>
      <c r="ER22">
        <v>0</v>
      </c>
      <c r="ES22">
        <v>0</v>
      </c>
      <c r="ET22">
        <v>0</v>
      </c>
      <c r="EU22">
        <v>0</v>
      </c>
      <c r="EV22">
        <v>0</v>
      </c>
      <c r="EW22">
        <v>0</v>
      </c>
      <c r="EX22">
        <v>0</v>
      </c>
      <c r="EY22">
        <v>0</v>
      </c>
      <c r="EZ22">
        <v>0</v>
      </c>
      <c r="FA22">
        <v>0</v>
      </c>
      <c r="FB22">
        <v>0</v>
      </c>
      <c r="FC22">
        <v>0</v>
      </c>
      <c r="FD22">
        <v>0</v>
      </c>
      <c r="FE22">
        <v>0</v>
      </c>
      <c r="FF22">
        <v>0</v>
      </c>
      <c r="FG22">
        <v>0</v>
      </c>
      <c r="FH22">
        <v>0</v>
      </c>
      <c r="FI22">
        <v>0</v>
      </c>
      <c r="FJ22">
        <v>0</v>
      </c>
      <c r="FK22">
        <v>0</v>
      </c>
      <c r="FL22">
        <v>0</v>
      </c>
      <c r="FM22">
        <v>0</v>
      </c>
      <c r="FN22">
        <v>0</v>
      </c>
      <c r="FO22">
        <v>0</v>
      </c>
      <c r="FP22">
        <v>0</v>
      </c>
      <c r="FQ22">
        <v>0</v>
      </c>
      <c r="FR22">
        <v>0</v>
      </c>
      <c r="FS22">
        <v>0</v>
      </c>
      <c r="FT22">
        <v>0</v>
      </c>
      <c r="FU22">
        <v>0</v>
      </c>
      <c r="FV22">
        <v>0</v>
      </c>
      <c r="FW22">
        <v>0</v>
      </c>
      <c r="FX22">
        <v>0</v>
      </c>
      <c r="FY22">
        <v>0</v>
      </c>
      <c r="FZ22">
        <v>0</v>
      </c>
      <c r="GA22">
        <v>0</v>
      </c>
      <c r="GB22">
        <v>0</v>
      </c>
      <c r="GC22">
        <v>0</v>
      </c>
      <c r="GD22">
        <v>0</v>
      </c>
      <c r="GE22">
        <v>0</v>
      </c>
      <c r="GF22">
        <v>0</v>
      </c>
      <c r="GG22">
        <v>0</v>
      </c>
      <c r="GH22">
        <v>0</v>
      </c>
      <c r="GI22">
        <v>0</v>
      </c>
      <c r="GJ22">
        <v>0</v>
      </c>
      <c r="GK22">
        <v>0</v>
      </c>
      <c r="GL22">
        <v>0</v>
      </c>
      <c r="GM22">
        <v>0</v>
      </c>
      <c r="GN22">
        <v>0</v>
      </c>
      <c r="GO22">
        <v>0</v>
      </c>
      <c r="GP22">
        <v>0</v>
      </c>
      <c r="GQ22">
        <v>0</v>
      </c>
      <c r="GR22">
        <v>0</v>
      </c>
      <c r="GS22">
        <v>0</v>
      </c>
      <c r="GT22">
        <v>0</v>
      </c>
      <c r="GU22">
        <v>0</v>
      </c>
      <c r="GV22">
        <v>0</v>
      </c>
      <c r="GW22">
        <v>0</v>
      </c>
      <c r="GX22">
        <v>0</v>
      </c>
      <c r="GY22">
        <v>0</v>
      </c>
      <c r="GZ22">
        <v>0</v>
      </c>
      <c r="HA22">
        <v>0</v>
      </c>
      <c r="HB22">
        <v>0</v>
      </c>
      <c r="HC22">
        <v>0</v>
      </c>
      <c r="HE22">
        <f t="shared" si="0"/>
        <v>1745.2</v>
      </c>
      <c r="HF22">
        <f t="shared" si="1"/>
        <v>1</v>
      </c>
    </row>
    <row r="23" spans="1:214" x14ac:dyDescent="0.45">
      <c r="A23" t="s">
        <v>53</v>
      </c>
      <c r="B23">
        <v>0</v>
      </c>
      <c r="C23">
        <v>0</v>
      </c>
      <c r="D23">
        <v>0</v>
      </c>
      <c r="E23">
        <v>0</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v>0</v>
      </c>
      <c r="AH23">
        <v>0</v>
      </c>
      <c r="AI23">
        <v>0</v>
      </c>
      <c r="AJ23">
        <v>0</v>
      </c>
      <c r="AK23">
        <v>0</v>
      </c>
      <c r="AL23">
        <v>0</v>
      </c>
      <c r="AM23">
        <v>0</v>
      </c>
      <c r="AN23">
        <v>0</v>
      </c>
      <c r="AO23">
        <v>0</v>
      </c>
      <c r="AP23">
        <v>0</v>
      </c>
      <c r="AQ23">
        <v>0</v>
      </c>
      <c r="AR23">
        <v>0</v>
      </c>
      <c r="AS23">
        <v>0</v>
      </c>
      <c r="AT23">
        <v>0</v>
      </c>
      <c r="AU23">
        <v>0</v>
      </c>
      <c r="AV23">
        <v>0</v>
      </c>
      <c r="AW23">
        <v>0</v>
      </c>
      <c r="AX23">
        <v>0</v>
      </c>
      <c r="AY23">
        <v>0</v>
      </c>
      <c r="AZ23">
        <v>0</v>
      </c>
      <c r="BA23">
        <v>0</v>
      </c>
      <c r="BB23">
        <v>0</v>
      </c>
      <c r="BC23">
        <v>0</v>
      </c>
      <c r="BD23">
        <v>0</v>
      </c>
      <c r="BE23">
        <v>0</v>
      </c>
      <c r="BF23">
        <v>0</v>
      </c>
      <c r="BG23">
        <v>0</v>
      </c>
      <c r="BH23">
        <v>0</v>
      </c>
      <c r="BI23">
        <v>0</v>
      </c>
      <c r="BJ23">
        <v>0</v>
      </c>
      <c r="BK23">
        <v>0</v>
      </c>
      <c r="BL23">
        <v>0</v>
      </c>
      <c r="BM23">
        <v>0</v>
      </c>
      <c r="BN23">
        <v>0</v>
      </c>
      <c r="BO23">
        <v>0</v>
      </c>
      <c r="BP23">
        <v>0</v>
      </c>
      <c r="BQ23">
        <v>0</v>
      </c>
      <c r="BR23">
        <v>0</v>
      </c>
      <c r="BS23">
        <v>0</v>
      </c>
      <c r="BT23">
        <v>0</v>
      </c>
      <c r="BU23">
        <v>0</v>
      </c>
      <c r="BV23">
        <v>0</v>
      </c>
      <c r="BW23">
        <v>0</v>
      </c>
      <c r="BX23">
        <v>0</v>
      </c>
      <c r="BY23">
        <v>0</v>
      </c>
      <c r="BZ23">
        <v>0</v>
      </c>
      <c r="CA23">
        <v>0</v>
      </c>
      <c r="CB23">
        <v>0</v>
      </c>
      <c r="CC23">
        <v>0</v>
      </c>
      <c r="CD23">
        <v>0</v>
      </c>
      <c r="CE23">
        <v>0</v>
      </c>
      <c r="CF23">
        <v>0</v>
      </c>
      <c r="CG23">
        <v>0</v>
      </c>
      <c r="CH23">
        <v>0</v>
      </c>
      <c r="CI23">
        <v>0</v>
      </c>
      <c r="CJ23">
        <v>0</v>
      </c>
      <c r="CK23">
        <v>0</v>
      </c>
      <c r="CL23">
        <v>0</v>
      </c>
      <c r="CM23">
        <v>0</v>
      </c>
      <c r="CN23">
        <v>0</v>
      </c>
      <c r="CO23">
        <v>0</v>
      </c>
      <c r="CP23">
        <v>0</v>
      </c>
      <c r="CQ23">
        <v>0</v>
      </c>
      <c r="CR23">
        <v>0</v>
      </c>
      <c r="CS23">
        <v>0</v>
      </c>
      <c r="CT23">
        <v>0</v>
      </c>
      <c r="CU23">
        <v>0</v>
      </c>
      <c r="CV23">
        <v>0</v>
      </c>
      <c r="CW23">
        <v>0</v>
      </c>
      <c r="CX23">
        <v>0</v>
      </c>
      <c r="CY23">
        <v>0</v>
      </c>
      <c r="CZ23">
        <v>0</v>
      </c>
      <c r="DA23">
        <v>0</v>
      </c>
      <c r="DB23">
        <v>0</v>
      </c>
      <c r="DC23">
        <v>0</v>
      </c>
      <c r="DD23">
        <v>0</v>
      </c>
      <c r="DE23">
        <v>0</v>
      </c>
      <c r="DF23">
        <v>0</v>
      </c>
      <c r="DG23">
        <v>0</v>
      </c>
      <c r="DH23">
        <v>0</v>
      </c>
      <c r="DI23">
        <v>0</v>
      </c>
      <c r="DJ23">
        <v>0</v>
      </c>
      <c r="DK23">
        <v>0</v>
      </c>
      <c r="DL23">
        <v>0</v>
      </c>
      <c r="DM23">
        <v>0</v>
      </c>
      <c r="DN23">
        <v>0</v>
      </c>
      <c r="DO23">
        <v>0</v>
      </c>
      <c r="DP23">
        <v>0</v>
      </c>
      <c r="DQ23">
        <v>0</v>
      </c>
      <c r="DR23">
        <v>0</v>
      </c>
      <c r="DS23">
        <v>0</v>
      </c>
      <c r="DT23">
        <v>0</v>
      </c>
      <c r="DU23">
        <v>0</v>
      </c>
      <c r="DV23">
        <v>0</v>
      </c>
      <c r="DW23">
        <v>0</v>
      </c>
      <c r="DX23">
        <v>0</v>
      </c>
      <c r="DY23">
        <v>0</v>
      </c>
      <c r="DZ23">
        <v>0</v>
      </c>
      <c r="EA23">
        <v>0</v>
      </c>
      <c r="EB23">
        <v>0</v>
      </c>
      <c r="EC23">
        <v>0</v>
      </c>
      <c r="ED23">
        <v>0</v>
      </c>
      <c r="EE23">
        <v>0</v>
      </c>
      <c r="EF23">
        <v>0</v>
      </c>
      <c r="EG23">
        <v>0</v>
      </c>
      <c r="EH23">
        <v>0</v>
      </c>
      <c r="EI23">
        <v>0</v>
      </c>
      <c r="EJ23">
        <v>0</v>
      </c>
      <c r="EK23">
        <v>0</v>
      </c>
      <c r="EL23">
        <v>0</v>
      </c>
      <c r="EM23">
        <v>0</v>
      </c>
      <c r="EN23">
        <v>0</v>
      </c>
      <c r="EO23">
        <v>0</v>
      </c>
      <c r="EP23">
        <v>0</v>
      </c>
      <c r="EQ23">
        <v>0</v>
      </c>
      <c r="ER23">
        <v>0</v>
      </c>
      <c r="ES23">
        <v>0</v>
      </c>
      <c r="ET23">
        <v>0</v>
      </c>
      <c r="EU23">
        <v>0</v>
      </c>
      <c r="EV23">
        <v>0</v>
      </c>
      <c r="EW23">
        <v>0</v>
      </c>
      <c r="EX23">
        <v>0</v>
      </c>
      <c r="EY23">
        <v>0</v>
      </c>
      <c r="EZ23">
        <v>0</v>
      </c>
      <c r="FA23">
        <v>0</v>
      </c>
      <c r="FB23">
        <v>0</v>
      </c>
      <c r="FC23">
        <v>0</v>
      </c>
      <c r="FD23">
        <v>0</v>
      </c>
      <c r="FE23">
        <v>0</v>
      </c>
      <c r="FF23">
        <v>0</v>
      </c>
      <c r="FG23">
        <v>0</v>
      </c>
      <c r="FH23">
        <v>0</v>
      </c>
      <c r="FI23">
        <v>0</v>
      </c>
      <c r="FJ23">
        <v>0</v>
      </c>
      <c r="FK23">
        <v>0</v>
      </c>
      <c r="FL23">
        <v>0</v>
      </c>
      <c r="FM23">
        <v>0</v>
      </c>
      <c r="FN23">
        <v>0</v>
      </c>
      <c r="FO23">
        <v>0</v>
      </c>
      <c r="FP23">
        <v>0</v>
      </c>
      <c r="FQ23">
        <v>0</v>
      </c>
      <c r="FR23">
        <v>0</v>
      </c>
      <c r="FS23">
        <v>0</v>
      </c>
      <c r="FT23">
        <v>0</v>
      </c>
      <c r="FU23">
        <v>0</v>
      </c>
      <c r="FV23">
        <v>0</v>
      </c>
      <c r="FW23">
        <v>0</v>
      </c>
      <c r="FX23">
        <v>0</v>
      </c>
      <c r="FY23">
        <v>0</v>
      </c>
      <c r="FZ23">
        <v>0</v>
      </c>
      <c r="GA23">
        <v>0</v>
      </c>
      <c r="GB23">
        <v>0</v>
      </c>
      <c r="GC23">
        <v>0</v>
      </c>
      <c r="GD23">
        <v>0</v>
      </c>
      <c r="GE23">
        <v>0</v>
      </c>
      <c r="GF23">
        <v>0</v>
      </c>
      <c r="GG23">
        <v>0</v>
      </c>
      <c r="GH23">
        <v>0</v>
      </c>
      <c r="GI23">
        <v>0</v>
      </c>
      <c r="GJ23">
        <v>0</v>
      </c>
      <c r="GK23">
        <v>0</v>
      </c>
      <c r="GL23">
        <v>0</v>
      </c>
      <c r="GM23">
        <v>0</v>
      </c>
      <c r="GN23">
        <v>0</v>
      </c>
      <c r="GO23">
        <v>0</v>
      </c>
      <c r="GP23">
        <v>0</v>
      </c>
      <c r="GQ23">
        <v>0</v>
      </c>
      <c r="GR23">
        <v>0</v>
      </c>
      <c r="GS23">
        <v>0</v>
      </c>
      <c r="GT23">
        <v>0</v>
      </c>
      <c r="GU23">
        <v>0</v>
      </c>
      <c r="GV23">
        <v>0</v>
      </c>
      <c r="GW23">
        <v>0</v>
      </c>
      <c r="GX23">
        <v>0</v>
      </c>
      <c r="GY23">
        <v>0</v>
      </c>
      <c r="GZ23">
        <v>0</v>
      </c>
      <c r="HA23">
        <v>0</v>
      </c>
      <c r="HB23">
        <v>0</v>
      </c>
      <c r="HC23">
        <v>0</v>
      </c>
      <c r="HE23">
        <f t="shared" si="0"/>
        <v>0</v>
      </c>
      <c r="HF23">
        <f t="shared" si="1"/>
        <v>0</v>
      </c>
    </row>
    <row r="24" spans="1:214" x14ac:dyDescent="0.45">
      <c r="A24" t="s">
        <v>55</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v>0</v>
      </c>
      <c r="AJ24">
        <v>0</v>
      </c>
      <c r="AK24">
        <v>0</v>
      </c>
      <c r="AL24">
        <v>0</v>
      </c>
      <c r="AM24">
        <v>0</v>
      </c>
      <c r="AN24">
        <v>0</v>
      </c>
      <c r="AO24">
        <v>0</v>
      </c>
      <c r="AP24">
        <v>0</v>
      </c>
      <c r="AQ24">
        <v>0</v>
      </c>
      <c r="AR24">
        <v>0</v>
      </c>
      <c r="AS24">
        <v>0</v>
      </c>
      <c r="AT24">
        <v>0</v>
      </c>
      <c r="AU24">
        <v>0</v>
      </c>
      <c r="AV24">
        <v>0</v>
      </c>
      <c r="AW24">
        <v>0</v>
      </c>
      <c r="AX24">
        <v>0</v>
      </c>
      <c r="AY24">
        <v>0</v>
      </c>
      <c r="AZ24">
        <v>0</v>
      </c>
      <c r="BA24">
        <v>0</v>
      </c>
      <c r="BB24">
        <v>0</v>
      </c>
      <c r="BC24">
        <v>0</v>
      </c>
      <c r="BD24">
        <v>0</v>
      </c>
      <c r="BE24">
        <v>0</v>
      </c>
      <c r="BF24">
        <v>0</v>
      </c>
      <c r="BG24">
        <v>0</v>
      </c>
      <c r="BH24">
        <v>0</v>
      </c>
      <c r="BI24">
        <v>0</v>
      </c>
      <c r="BJ24">
        <v>0</v>
      </c>
      <c r="BK24">
        <v>0</v>
      </c>
      <c r="BL24">
        <v>0</v>
      </c>
      <c r="BM24">
        <v>0</v>
      </c>
      <c r="BN24">
        <v>0</v>
      </c>
      <c r="BO24">
        <v>0</v>
      </c>
      <c r="BP24">
        <v>0</v>
      </c>
      <c r="BQ24">
        <v>0</v>
      </c>
      <c r="BR24">
        <v>0</v>
      </c>
      <c r="BS24">
        <v>0</v>
      </c>
      <c r="BT24">
        <v>0</v>
      </c>
      <c r="BU24">
        <v>0</v>
      </c>
      <c r="BV24">
        <v>0</v>
      </c>
      <c r="BW24">
        <v>0</v>
      </c>
      <c r="BX24">
        <v>0</v>
      </c>
      <c r="BY24">
        <v>0</v>
      </c>
      <c r="BZ24">
        <v>0</v>
      </c>
      <c r="CA24">
        <v>0</v>
      </c>
      <c r="CB24">
        <v>0</v>
      </c>
      <c r="CC24">
        <v>0</v>
      </c>
      <c r="CD24">
        <v>0</v>
      </c>
      <c r="CE24">
        <v>768.5</v>
      </c>
      <c r="CF24">
        <v>0</v>
      </c>
      <c r="CG24">
        <v>0</v>
      </c>
      <c r="CH24">
        <v>1009</v>
      </c>
      <c r="CI24">
        <v>0</v>
      </c>
      <c r="CJ24">
        <v>0</v>
      </c>
      <c r="CK24">
        <v>1168</v>
      </c>
      <c r="CL24">
        <v>0</v>
      </c>
      <c r="CM24">
        <v>0</v>
      </c>
      <c r="CN24">
        <v>0</v>
      </c>
      <c r="CO24">
        <v>0</v>
      </c>
      <c r="CP24">
        <v>0</v>
      </c>
      <c r="CQ24">
        <v>0</v>
      </c>
      <c r="CR24">
        <v>0</v>
      </c>
      <c r="CS24">
        <v>0</v>
      </c>
      <c r="CT24">
        <v>0</v>
      </c>
      <c r="CU24">
        <v>1141</v>
      </c>
      <c r="CV24">
        <v>0</v>
      </c>
      <c r="CW24">
        <v>0</v>
      </c>
      <c r="CX24">
        <v>0</v>
      </c>
      <c r="CY24">
        <v>0</v>
      </c>
      <c r="CZ24">
        <v>0</v>
      </c>
      <c r="DA24">
        <v>0</v>
      </c>
      <c r="DB24">
        <v>0</v>
      </c>
      <c r="DC24">
        <v>0</v>
      </c>
      <c r="DD24">
        <v>0</v>
      </c>
      <c r="DE24">
        <v>0</v>
      </c>
      <c r="DF24">
        <v>0</v>
      </c>
      <c r="DG24">
        <v>0</v>
      </c>
      <c r="DH24">
        <v>0</v>
      </c>
      <c r="DI24">
        <v>0</v>
      </c>
      <c r="DJ24">
        <v>0</v>
      </c>
      <c r="DK24">
        <v>0</v>
      </c>
      <c r="DL24">
        <v>0</v>
      </c>
      <c r="DM24">
        <v>0</v>
      </c>
      <c r="DN24">
        <v>0</v>
      </c>
      <c r="DO24">
        <v>0</v>
      </c>
      <c r="DP24">
        <v>0</v>
      </c>
      <c r="DQ24">
        <v>0</v>
      </c>
      <c r="DR24">
        <v>0</v>
      </c>
      <c r="DS24">
        <v>0</v>
      </c>
      <c r="DT24">
        <v>0</v>
      </c>
      <c r="DU24">
        <v>0</v>
      </c>
      <c r="DV24">
        <v>0</v>
      </c>
      <c r="DW24">
        <v>0</v>
      </c>
      <c r="DX24">
        <v>0</v>
      </c>
      <c r="DY24">
        <v>0</v>
      </c>
      <c r="DZ24">
        <v>0</v>
      </c>
      <c r="EA24">
        <v>0</v>
      </c>
      <c r="EB24">
        <v>0</v>
      </c>
      <c r="EC24">
        <v>0</v>
      </c>
      <c r="ED24">
        <v>0</v>
      </c>
      <c r="EE24">
        <v>0</v>
      </c>
      <c r="EF24">
        <v>0</v>
      </c>
      <c r="EG24">
        <v>0</v>
      </c>
      <c r="EH24">
        <v>0</v>
      </c>
      <c r="EI24">
        <v>0</v>
      </c>
      <c r="EJ24">
        <v>0</v>
      </c>
      <c r="EK24">
        <v>0</v>
      </c>
      <c r="EL24">
        <v>0</v>
      </c>
      <c r="EM24">
        <v>0</v>
      </c>
      <c r="EN24">
        <v>0</v>
      </c>
      <c r="EO24">
        <v>0</v>
      </c>
      <c r="EP24">
        <v>0</v>
      </c>
      <c r="EQ24">
        <v>0</v>
      </c>
      <c r="ER24">
        <v>0</v>
      </c>
      <c r="ES24">
        <v>0</v>
      </c>
      <c r="ET24">
        <v>0</v>
      </c>
      <c r="EU24">
        <v>0</v>
      </c>
      <c r="EV24">
        <v>0</v>
      </c>
      <c r="EW24">
        <v>0</v>
      </c>
      <c r="EX24">
        <v>0</v>
      </c>
      <c r="EY24">
        <v>0</v>
      </c>
      <c r="EZ24">
        <v>0</v>
      </c>
      <c r="FA24">
        <v>0</v>
      </c>
      <c r="FB24">
        <v>0</v>
      </c>
      <c r="FC24">
        <v>0</v>
      </c>
      <c r="FD24">
        <v>0</v>
      </c>
      <c r="FE24">
        <v>0</v>
      </c>
      <c r="FF24">
        <v>0</v>
      </c>
      <c r="FG24">
        <v>0</v>
      </c>
      <c r="FH24">
        <v>0</v>
      </c>
      <c r="FI24">
        <v>0</v>
      </c>
      <c r="FJ24">
        <v>0</v>
      </c>
      <c r="FK24">
        <v>0</v>
      </c>
      <c r="FL24">
        <v>0</v>
      </c>
      <c r="FM24">
        <v>0</v>
      </c>
      <c r="FN24">
        <v>0</v>
      </c>
      <c r="FO24">
        <v>0</v>
      </c>
      <c r="FP24">
        <v>0</v>
      </c>
      <c r="FQ24">
        <v>0</v>
      </c>
      <c r="FR24">
        <v>0</v>
      </c>
      <c r="FS24">
        <v>0</v>
      </c>
      <c r="FT24">
        <v>0</v>
      </c>
      <c r="FU24">
        <v>0</v>
      </c>
      <c r="FV24">
        <v>0</v>
      </c>
      <c r="FW24">
        <v>0</v>
      </c>
      <c r="FX24">
        <v>0</v>
      </c>
      <c r="FY24">
        <v>0</v>
      </c>
      <c r="FZ24">
        <v>0</v>
      </c>
      <c r="GA24">
        <v>0</v>
      </c>
      <c r="GB24">
        <v>0</v>
      </c>
      <c r="GC24">
        <v>0</v>
      </c>
      <c r="GD24">
        <v>0</v>
      </c>
      <c r="GE24">
        <v>0</v>
      </c>
      <c r="GF24">
        <v>0</v>
      </c>
      <c r="GG24">
        <v>0</v>
      </c>
      <c r="GH24">
        <v>0</v>
      </c>
      <c r="GI24">
        <v>0</v>
      </c>
      <c r="GJ24">
        <v>0</v>
      </c>
      <c r="GK24">
        <v>0</v>
      </c>
      <c r="GL24">
        <v>0</v>
      </c>
      <c r="GM24">
        <v>0</v>
      </c>
      <c r="GN24">
        <v>0</v>
      </c>
      <c r="GO24">
        <v>0</v>
      </c>
      <c r="GP24">
        <v>0</v>
      </c>
      <c r="GQ24">
        <v>0</v>
      </c>
      <c r="GR24">
        <v>0</v>
      </c>
      <c r="GS24">
        <v>0</v>
      </c>
      <c r="GT24">
        <v>0</v>
      </c>
      <c r="GU24">
        <v>0</v>
      </c>
      <c r="GV24">
        <v>0</v>
      </c>
      <c r="GW24">
        <v>0</v>
      </c>
      <c r="GX24">
        <v>0</v>
      </c>
      <c r="GY24">
        <v>0</v>
      </c>
      <c r="GZ24">
        <v>0</v>
      </c>
      <c r="HA24">
        <v>0</v>
      </c>
      <c r="HB24">
        <v>0</v>
      </c>
      <c r="HC24">
        <v>0</v>
      </c>
      <c r="HE24">
        <f t="shared" si="0"/>
        <v>4086.5</v>
      </c>
      <c r="HF24">
        <f t="shared" si="1"/>
        <v>1</v>
      </c>
    </row>
    <row r="25" spans="1:214" x14ac:dyDescent="0.45">
      <c r="A25" t="s">
        <v>58</v>
      </c>
      <c r="B25">
        <v>0</v>
      </c>
      <c r="C25">
        <v>0</v>
      </c>
      <c r="D25">
        <v>0</v>
      </c>
      <c r="E25">
        <v>0</v>
      </c>
      <c r="F25">
        <v>0</v>
      </c>
      <c r="G25">
        <v>0</v>
      </c>
      <c r="H25">
        <v>0</v>
      </c>
      <c r="I25">
        <v>0</v>
      </c>
      <c r="J25">
        <v>0</v>
      </c>
      <c r="K25">
        <v>0</v>
      </c>
      <c r="L25">
        <v>0</v>
      </c>
      <c r="M25">
        <v>0</v>
      </c>
      <c r="N25">
        <v>0</v>
      </c>
      <c r="O25">
        <v>0</v>
      </c>
      <c r="P25">
        <v>0</v>
      </c>
      <c r="Q25">
        <v>0</v>
      </c>
      <c r="R25">
        <v>0</v>
      </c>
      <c r="S25">
        <v>0</v>
      </c>
      <c r="T25">
        <v>0</v>
      </c>
      <c r="U25">
        <v>0</v>
      </c>
      <c r="V25">
        <v>0</v>
      </c>
      <c r="W25">
        <v>0</v>
      </c>
      <c r="X25">
        <v>0</v>
      </c>
      <c r="Y25">
        <v>0</v>
      </c>
      <c r="Z25">
        <v>0</v>
      </c>
      <c r="AA25">
        <v>0</v>
      </c>
      <c r="AB25">
        <v>0</v>
      </c>
      <c r="AC25">
        <v>0</v>
      </c>
      <c r="AD25">
        <v>0</v>
      </c>
      <c r="AE25">
        <v>0</v>
      </c>
      <c r="AF25">
        <v>0</v>
      </c>
      <c r="AG25">
        <v>0</v>
      </c>
      <c r="AH25">
        <v>0</v>
      </c>
      <c r="AI25">
        <v>0</v>
      </c>
      <c r="AJ25">
        <v>0</v>
      </c>
      <c r="AK25">
        <v>0</v>
      </c>
      <c r="AL25">
        <v>0</v>
      </c>
      <c r="AM25">
        <v>0</v>
      </c>
      <c r="AN25">
        <v>0</v>
      </c>
      <c r="AO25">
        <v>0</v>
      </c>
      <c r="AP25">
        <v>0</v>
      </c>
      <c r="AQ25">
        <v>0</v>
      </c>
      <c r="AR25">
        <v>0</v>
      </c>
      <c r="AS25">
        <v>0</v>
      </c>
      <c r="AT25">
        <v>0</v>
      </c>
      <c r="AU25">
        <v>0</v>
      </c>
      <c r="AV25">
        <v>0</v>
      </c>
      <c r="AW25">
        <v>0</v>
      </c>
      <c r="AX25">
        <v>0</v>
      </c>
      <c r="AY25">
        <v>0</v>
      </c>
      <c r="AZ25">
        <v>0</v>
      </c>
      <c r="BA25">
        <v>0</v>
      </c>
      <c r="BB25">
        <v>0</v>
      </c>
      <c r="BC25">
        <v>0</v>
      </c>
      <c r="BD25">
        <v>0</v>
      </c>
      <c r="BE25">
        <v>0</v>
      </c>
      <c r="BF25">
        <v>0</v>
      </c>
      <c r="BG25">
        <v>0</v>
      </c>
      <c r="BH25">
        <v>0</v>
      </c>
      <c r="BI25">
        <v>0</v>
      </c>
      <c r="BJ25">
        <v>0</v>
      </c>
      <c r="BK25">
        <v>0</v>
      </c>
      <c r="BL25">
        <v>0</v>
      </c>
      <c r="BM25">
        <v>0</v>
      </c>
      <c r="BN25">
        <v>0</v>
      </c>
      <c r="BO25">
        <v>0</v>
      </c>
      <c r="BP25">
        <v>0</v>
      </c>
      <c r="BQ25">
        <v>0</v>
      </c>
      <c r="BR25">
        <v>0</v>
      </c>
      <c r="BS25">
        <v>0</v>
      </c>
      <c r="BT25">
        <v>0</v>
      </c>
      <c r="BU25">
        <v>0</v>
      </c>
      <c r="BV25">
        <v>0</v>
      </c>
      <c r="BW25">
        <v>0</v>
      </c>
      <c r="BX25">
        <v>0</v>
      </c>
      <c r="BY25">
        <v>0</v>
      </c>
      <c r="BZ25">
        <v>0</v>
      </c>
      <c r="CA25">
        <v>0</v>
      </c>
      <c r="CB25">
        <v>0</v>
      </c>
      <c r="CC25">
        <v>0</v>
      </c>
      <c r="CD25">
        <v>617</v>
      </c>
      <c r="CE25">
        <v>0</v>
      </c>
      <c r="CF25">
        <v>0</v>
      </c>
      <c r="CG25">
        <v>1040</v>
      </c>
      <c r="CH25">
        <v>0</v>
      </c>
      <c r="CI25">
        <v>0</v>
      </c>
      <c r="CJ25">
        <v>0</v>
      </c>
      <c r="CK25">
        <v>0</v>
      </c>
      <c r="CL25">
        <v>0</v>
      </c>
      <c r="CM25">
        <v>0</v>
      </c>
      <c r="CN25">
        <v>0</v>
      </c>
      <c r="CO25">
        <v>0</v>
      </c>
      <c r="CP25">
        <v>0</v>
      </c>
      <c r="CQ25">
        <v>0</v>
      </c>
      <c r="CR25">
        <v>0</v>
      </c>
      <c r="CS25">
        <v>0</v>
      </c>
      <c r="CT25">
        <v>0</v>
      </c>
      <c r="CU25">
        <v>0</v>
      </c>
      <c r="CV25">
        <v>0</v>
      </c>
      <c r="CW25">
        <v>0</v>
      </c>
      <c r="CX25">
        <v>0</v>
      </c>
      <c r="CY25">
        <v>0</v>
      </c>
      <c r="CZ25">
        <v>0</v>
      </c>
      <c r="DA25">
        <v>0</v>
      </c>
      <c r="DB25">
        <v>0</v>
      </c>
      <c r="DC25">
        <v>0</v>
      </c>
      <c r="DD25">
        <v>0</v>
      </c>
      <c r="DE25">
        <v>0</v>
      </c>
      <c r="DF25">
        <v>0</v>
      </c>
      <c r="DG25">
        <v>0</v>
      </c>
      <c r="DH25">
        <v>0</v>
      </c>
      <c r="DI25">
        <v>0</v>
      </c>
      <c r="DJ25">
        <v>0</v>
      </c>
      <c r="DK25">
        <v>0</v>
      </c>
      <c r="DL25">
        <v>0</v>
      </c>
      <c r="DM25">
        <v>0</v>
      </c>
      <c r="DN25">
        <v>0</v>
      </c>
      <c r="DO25">
        <v>0</v>
      </c>
      <c r="DP25">
        <v>0</v>
      </c>
      <c r="DQ25">
        <v>0</v>
      </c>
      <c r="DR25">
        <v>0</v>
      </c>
      <c r="DS25">
        <v>0</v>
      </c>
      <c r="DT25">
        <v>0</v>
      </c>
      <c r="DU25">
        <v>0</v>
      </c>
      <c r="DV25">
        <v>0</v>
      </c>
      <c r="DW25">
        <v>0</v>
      </c>
      <c r="DX25">
        <v>0</v>
      </c>
      <c r="DY25">
        <v>0</v>
      </c>
      <c r="DZ25">
        <v>0</v>
      </c>
      <c r="EA25">
        <v>0</v>
      </c>
      <c r="EB25">
        <v>0</v>
      </c>
      <c r="EC25">
        <v>0</v>
      </c>
      <c r="ED25">
        <v>0</v>
      </c>
      <c r="EE25">
        <v>0</v>
      </c>
      <c r="EF25">
        <v>0</v>
      </c>
      <c r="EG25">
        <v>0</v>
      </c>
      <c r="EH25">
        <v>0</v>
      </c>
      <c r="EI25">
        <v>0</v>
      </c>
      <c r="EJ25">
        <v>0</v>
      </c>
      <c r="EK25">
        <v>0</v>
      </c>
      <c r="EL25">
        <v>0</v>
      </c>
      <c r="EM25">
        <v>0</v>
      </c>
      <c r="EN25">
        <v>0</v>
      </c>
      <c r="EO25">
        <v>0</v>
      </c>
      <c r="EP25">
        <v>0</v>
      </c>
      <c r="EQ25">
        <v>0</v>
      </c>
      <c r="ER25">
        <v>0</v>
      </c>
      <c r="ES25">
        <v>0</v>
      </c>
      <c r="ET25">
        <v>0</v>
      </c>
      <c r="EU25">
        <v>0</v>
      </c>
      <c r="EV25">
        <v>0</v>
      </c>
      <c r="EW25">
        <v>0</v>
      </c>
      <c r="EX25">
        <v>0</v>
      </c>
      <c r="EY25">
        <v>0</v>
      </c>
      <c r="EZ25">
        <v>0</v>
      </c>
      <c r="FA25">
        <v>0</v>
      </c>
      <c r="FB25">
        <v>0</v>
      </c>
      <c r="FC25">
        <v>0</v>
      </c>
      <c r="FD25">
        <v>0</v>
      </c>
      <c r="FE25">
        <v>0</v>
      </c>
      <c r="FF25">
        <v>0</v>
      </c>
      <c r="FG25">
        <v>0</v>
      </c>
      <c r="FH25">
        <v>0</v>
      </c>
      <c r="FI25">
        <v>0</v>
      </c>
      <c r="FJ25">
        <v>0</v>
      </c>
      <c r="FK25">
        <v>0</v>
      </c>
      <c r="FL25">
        <v>0</v>
      </c>
      <c r="FM25">
        <v>0</v>
      </c>
      <c r="FN25">
        <v>0</v>
      </c>
      <c r="FO25">
        <v>0</v>
      </c>
      <c r="FP25">
        <v>0</v>
      </c>
      <c r="FQ25">
        <v>0</v>
      </c>
      <c r="FR25">
        <v>0</v>
      </c>
      <c r="FS25">
        <v>0</v>
      </c>
      <c r="FT25">
        <v>0</v>
      </c>
      <c r="FU25">
        <v>0</v>
      </c>
      <c r="FV25">
        <v>0</v>
      </c>
      <c r="FW25">
        <v>0</v>
      </c>
      <c r="FX25">
        <v>0</v>
      </c>
      <c r="FY25">
        <v>0</v>
      </c>
      <c r="FZ25">
        <v>0</v>
      </c>
      <c r="GA25">
        <v>0</v>
      </c>
      <c r="GB25">
        <v>0</v>
      </c>
      <c r="GC25">
        <v>0</v>
      </c>
      <c r="GD25">
        <v>0</v>
      </c>
      <c r="GE25">
        <v>0</v>
      </c>
      <c r="GF25">
        <v>0</v>
      </c>
      <c r="GG25">
        <v>0</v>
      </c>
      <c r="GH25">
        <v>0</v>
      </c>
      <c r="GI25">
        <v>0</v>
      </c>
      <c r="GJ25">
        <v>0</v>
      </c>
      <c r="GK25">
        <v>0</v>
      </c>
      <c r="GL25">
        <v>0</v>
      </c>
      <c r="GM25">
        <v>0</v>
      </c>
      <c r="GN25">
        <v>0</v>
      </c>
      <c r="GO25">
        <v>0</v>
      </c>
      <c r="GP25">
        <v>0</v>
      </c>
      <c r="GQ25">
        <v>0</v>
      </c>
      <c r="GR25">
        <v>0</v>
      </c>
      <c r="GS25">
        <v>0</v>
      </c>
      <c r="GT25">
        <v>0</v>
      </c>
      <c r="GU25">
        <v>0</v>
      </c>
      <c r="GV25">
        <v>0</v>
      </c>
      <c r="GW25">
        <v>0</v>
      </c>
      <c r="GX25">
        <v>0</v>
      </c>
      <c r="GY25">
        <v>0</v>
      </c>
      <c r="GZ25">
        <v>0</v>
      </c>
      <c r="HA25">
        <v>0</v>
      </c>
      <c r="HB25">
        <v>0</v>
      </c>
      <c r="HC25">
        <v>0</v>
      </c>
      <c r="HE25">
        <f t="shared" si="0"/>
        <v>1657</v>
      </c>
      <c r="HF25">
        <f t="shared" si="1"/>
        <v>1</v>
      </c>
    </row>
    <row r="26" spans="1:214" x14ac:dyDescent="0.45">
      <c r="A26" t="s">
        <v>61</v>
      </c>
      <c r="B26">
        <v>0</v>
      </c>
      <c r="C26">
        <v>0</v>
      </c>
      <c r="D26">
        <v>0</v>
      </c>
      <c r="E26">
        <v>0</v>
      </c>
      <c r="F26">
        <v>0</v>
      </c>
      <c r="G26">
        <v>0</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c r="AE26">
        <v>0</v>
      </c>
      <c r="AF26">
        <v>0</v>
      </c>
      <c r="AG26">
        <v>0</v>
      </c>
      <c r="AH26">
        <v>0</v>
      </c>
      <c r="AI26">
        <v>0</v>
      </c>
      <c r="AJ26">
        <v>0</v>
      </c>
      <c r="AK26">
        <v>0</v>
      </c>
      <c r="AL26">
        <v>0</v>
      </c>
      <c r="AM26">
        <v>0</v>
      </c>
      <c r="AN26">
        <v>0</v>
      </c>
      <c r="AO26">
        <v>0</v>
      </c>
      <c r="AP26">
        <v>0</v>
      </c>
      <c r="AQ26">
        <v>0</v>
      </c>
      <c r="AR26">
        <v>0</v>
      </c>
      <c r="AS26">
        <v>0</v>
      </c>
      <c r="AT26">
        <v>0</v>
      </c>
      <c r="AU26">
        <v>0</v>
      </c>
      <c r="AV26">
        <v>0</v>
      </c>
      <c r="AW26">
        <v>0</v>
      </c>
      <c r="AX26">
        <v>0</v>
      </c>
      <c r="AY26">
        <v>0</v>
      </c>
      <c r="AZ26">
        <v>0</v>
      </c>
      <c r="BA26">
        <v>0</v>
      </c>
      <c r="BB26">
        <v>0</v>
      </c>
      <c r="BC26">
        <v>0</v>
      </c>
      <c r="BD26">
        <v>0</v>
      </c>
      <c r="BE26">
        <v>0</v>
      </c>
      <c r="BF26">
        <v>0</v>
      </c>
      <c r="BG26">
        <v>0</v>
      </c>
      <c r="BH26">
        <v>0</v>
      </c>
      <c r="BI26">
        <v>0</v>
      </c>
      <c r="BJ26">
        <v>0</v>
      </c>
      <c r="BK26">
        <v>0</v>
      </c>
      <c r="BL26">
        <v>0</v>
      </c>
      <c r="BM26">
        <v>0</v>
      </c>
      <c r="BN26">
        <v>0</v>
      </c>
      <c r="BO26">
        <v>0</v>
      </c>
      <c r="BP26">
        <v>0</v>
      </c>
      <c r="BQ26">
        <v>0</v>
      </c>
      <c r="BR26">
        <v>0</v>
      </c>
      <c r="BS26">
        <v>0</v>
      </c>
      <c r="BT26">
        <v>0</v>
      </c>
      <c r="BU26">
        <v>0</v>
      </c>
      <c r="BV26">
        <v>0</v>
      </c>
      <c r="BW26">
        <v>0</v>
      </c>
      <c r="BX26">
        <v>0</v>
      </c>
      <c r="BY26">
        <v>0</v>
      </c>
      <c r="BZ26">
        <v>0</v>
      </c>
      <c r="CA26">
        <v>0</v>
      </c>
      <c r="CB26">
        <v>0</v>
      </c>
      <c r="CC26">
        <v>0</v>
      </c>
      <c r="CD26">
        <v>0</v>
      </c>
      <c r="CE26">
        <v>0</v>
      </c>
      <c r="CF26">
        <v>0</v>
      </c>
      <c r="CG26">
        <v>0</v>
      </c>
      <c r="CH26">
        <v>0</v>
      </c>
      <c r="CI26">
        <v>0</v>
      </c>
      <c r="CJ26">
        <v>0</v>
      </c>
      <c r="CK26">
        <v>0</v>
      </c>
      <c r="CL26">
        <v>0</v>
      </c>
      <c r="CM26">
        <v>0</v>
      </c>
      <c r="CN26">
        <v>0</v>
      </c>
      <c r="CO26">
        <v>0</v>
      </c>
      <c r="CP26">
        <v>0</v>
      </c>
      <c r="CQ26">
        <v>1190</v>
      </c>
      <c r="CR26">
        <v>0</v>
      </c>
      <c r="CS26">
        <v>0</v>
      </c>
      <c r="CT26">
        <v>0</v>
      </c>
      <c r="CU26">
        <v>0</v>
      </c>
      <c r="CV26">
        <v>0</v>
      </c>
      <c r="CW26">
        <v>0</v>
      </c>
      <c r="CX26">
        <v>0</v>
      </c>
      <c r="CY26">
        <v>0</v>
      </c>
      <c r="CZ26">
        <v>0</v>
      </c>
      <c r="DA26">
        <v>0</v>
      </c>
      <c r="DB26">
        <v>0</v>
      </c>
      <c r="DC26">
        <v>0</v>
      </c>
      <c r="DD26">
        <v>0</v>
      </c>
      <c r="DE26">
        <v>0</v>
      </c>
      <c r="DF26">
        <v>0</v>
      </c>
      <c r="DG26">
        <v>0</v>
      </c>
      <c r="DH26">
        <v>0</v>
      </c>
      <c r="DI26">
        <v>0</v>
      </c>
      <c r="DJ26">
        <v>0</v>
      </c>
      <c r="DK26">
        <v>0</v>
      </c>
      <c r="DL26">
        <v>0</v>
      </c>
      <c r="DM26">
        <v>0</v>
      </c>
      <c r="DN26">
        <v>0</v>
      </c>
      <c r="DO26">
        <v>0</v>
      </c>
      <c r="DP26">
        <v>0</v>
      </c>
      <c r="DQ26">
        <v>0</v>
      </c>
      <c r="DR26">
        <v>0</v>
      </c>
      <c r="DS26">
        <v>0</v>
      </c>
      <c r="DT26">
        <v>0</v>
      </c>
      <c r="DU26">
        <v>0</v>
      </c>
      <c r="DV26">
        <v>0</v>
      </c>
      <c r="DW26">
        <v>0</v>
      </c>
      <c r="DX26">
        <v>0</v>
      </c>
      <c r="DY26">
        <v>0</v>
      </c>
      <c r="DZ26">
        <v>0</v>
      </c>
      <c r="EA26">
        <v>0</v>
      </c>
      <c r="EB26">
        <v>0</v>
      </c>
      <c r="EC26">
        <v>0</v>
      </c>
      <c r="ED26">
        <v>0</v>
      </c>
      <c r="EE26">
        <v>0</v>
      </c>
      <c r="EF26">
        <v>0</v>
      </c>
      <c r="EG26">
        <v>0</v>
      </c>
      <c r="EH26">
        <v>0</v>
      </c>
      <c r="EI26">
        <v>0</v>
      </c>
      <c r="EJ26">
        <v>0</v>
      </c>
      <c r="EK26">
        <v>0</v>
      </c>
      <c r="EL26">
        <v>0</v>
      </c>
      <c r="EM26">
        <v>0</v>
      </c>
      <c r="EN26">
        <v>0</v>
      </c>
      <c r="EO26">
        <v>0</v>
      </c>
      <c r="EP26">
        <v>0</v>
      </c>
      <c r="EQ26">
        <v>0</v>
      </c>
      <c r="ER26">
        <v>0</v>
      </c>
      <c r="ES26">
        <v>0</v>
      </c>
      <c r="ET26">
        <v>0</v>
      </c>
      <c r="EU26">
        <v>0</v>
      </c>
      <c r="EV26">
        <v>0</v>
      </c>
      <c r="EW26">
        <v>0</v>
      </c>
      <c r="EX26">
        <v>0</v>
      </c>
      <c r="EY26">
        <v>0</v>
      </c>
      <c r="EZ26">
        <v>0</v>
      </c>
      <c r="FA26">
        <v>0</v>
      </c>
      <c r="FB26">
        <v>0</v>
      </c>
      <c r="FC26">
        <v>0</v>
      </c>
      <c r="FD26">
        <v>0</v>
      </c>
      <c r="FE26">
        <v>0</v>
      </c>
      <c r="FF26">
        <v>0</v>
      </c>
      <c r="FG26">
        <v>0</v>
      </c>
      <c r="FH26">
        <v>0</v>
      </c>
      <c r="FI26">
        <v>0</v>
      </c>
      <c r="FJ26">
        <v>0</v>
      </c>
      <c r="FK26">
        <v>0</v>
      </c>
      <c r="FL26">
        <v>0</v>
      </c>
      <c r="FM26">
        <v>0</v>
      </c>
      <c r="FN26">
        <v>0</v>
      </c>
      <c r="FO26">
        <v>0</v>
      </c>
      <c r="FP26">
        <v>0</v>
      </c>
      <c r="FQ26">
        <v>0</v>
      </c>
      <c r="FR26">
        <v>0</v>
      </c>
      <c r="FS26">
        <v>0</v>
      </c>
      <c r="FT26">
        <v>0</v>
      </c>
      <c r="FU26">
        <v>0</v>
      </c>
      <c r="FV26">
        <v>0</v>
      </c>
      <c r="FW26">
        <v>0</v>
      </c>
      <c r="FX26">
        <v>0</v>
      </c>
      <c r="FY26">
        <v>0</v>
      </c>
      <c r="FZ26">
        <v>0</v>
      </c>
      <c r="GA26">
        <v>0</v>
      </c>
      <c r="GB26">
        <v>0</v>
      </c>
      <c r="GC26">
        <v>0</v>
      </c>
      <c r="GD26">
        <v>0</v>
      </c>
      <c r="GE26">
        <v>0</v>
      </c>
      <c r="GF26">
        <v>0</v>
      </c>
      <c r="GG26">
        <v>0</v>
      </c>
      <c r="GH26">
        <v>0</v>
      </c>
      <c r="GI26">
        <v>0</v>
      </c>
      <c r="GJ26">
        <v>0</v>
      </c>
      <c r="GK26">
        <v>0</v>
      </c>
      <c r="GL26">
        <v>0</v>
      </c>
      <c r="GM26">
        <v>0</v>
      </c>
      <c r="GN26">
        <v>0</v>
      </c>
      <c r="GO26">
        <v>0</v>
      </c>
      <c r="GP26">
        <v>0</v>
      </c>
      <c r="GQ26">
        <v>0</v>
      </c>
      <c r="GR26">
        <v>0</v>
      </c>
      <c r="GS26">
        <v>0</v>
      </c>
      <c r="GT26">
        <v>0</v>
      </c>
      <c r="GU26">
        <v>0</v>
      </c>
      <c r="GV26">
        <v>0</v>
      </c>
      <c r="GW26">
        <v>0</v>
      </c>
      <c r="GX26">
        <v>0</v>
      </c>
      <c r="GY26">
        <v>0</v>
      </c>
      <c r="GZ26">
        <v>0</v>
      </c>
      <c r="HA26">
        <v>0</v>
      </c>
      <c r="HB26">
        <v>0</v>
      </c>
      <c r="HC26">
        <v>0</v>
      </c>
      <c r="HE26">
        <f t="shared" si="0"/>
        <v>1190</v>
      </c>
      <c r="HF26">
        <f t="shared" si="1"/>
        <v>1</v>
      </c>
    </row>
    <row r="27" spans="1:214" x14ac:dyDescent="0.45">
      <c r="A27" t="s">
        <v>63</v>
      </c>
      <c r="B27">
        <v>0</v>
      </c>
      <c r="C27">
        <v>0</v>
      </c>
      <c r="D27">
        <v>0</v>
      </c>
      <c r="E27">
        <v>0</v>
      </c>
      <c r="F27">
        <v>0</v>
      </c>
      <c r="G27">
        <v>0</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c r="AG27">
        <v>0</v>
      </c>
      <c r="AH27">
        <v>0</v>
      </c>
      <c r="AI27">
        <v>0</v>
      </c>
      <c r="AJ27">
        <v>0</v>
      </c>
      <c r="AK27">
        <v>0</v>
      </c>
      <c r="AL27">
        <v>0</v>
      </c>
      <c r="AM27">
        <v>0</v>
      </c>
      <c r="AN27">
        <v>0</v>
      </c>
      <c r="AO27">
        <v>0</v>
      </c>
      <c r="AP27">
        <v>0</v>
      </c>
      <c r="AQ27">
        <v>0</v>
      </c>
      <c r="AR27">
        <v>0</v>
      </c>
      <c r="AS27">
        <v>0</v>
      </c>
      <c r="AT27">
        <v>0</v>
      </c>
      <c r="AU27">
        <v>0</v>
      </c>
      <c r="AV27">
        <v>0</v>
      </c>
      <c r="AW27">
        <v>0</v>
      </c>
      <c r="AX27">
        <v>0</v>
      </c>
      <c r="AY27">
        <v>0</v>
      </c>
      <c r="AZ27">
        <v>0</v>
      </c>
      <c r="BA27">
        <v>0</v>
      </c>
      <c r="BB27">
        <v>0</v>
      </c>
      <c r="BC27">
        <v>0</v>
      </c>
      <c r="BD27">
        <v>0</v>
      </c>
      <c r="BE27">
        <v>0</v>
      </c>
      <c r="BF27">
        <v>0</v>
      </c>
      <c r="BG27">
        <v>0</v>
      </c>
      <c r="BH27">
        <v>0</v>
      </c>
      <c r="BI27">
        <v>0</v>
      </c>
      <c r="BJ27">
        <v>0</v>
      </c>
      <c r="BK27">
        <v>0</v>
      </c>
      <c r="BL27">
        <v>0</v>
      </c>
      <c r="BM27">
        <v>0</v>
      </c>
      <c r="BN27">
        <v>0</v>
      </c>
      <c r="BO27">
        <v>0</v>
      </c>
      <c r="BP27">
        <v>0</v>
      </c>
      <c r="BQ27">
        <v>0</v>
      </c>
      <c r="BR27">
        <v>0</v>
      </c>
      <c r="BS27">
        <v>0</v>
      </c>
      <c r="BT27">
        <v>0</v>
      </c>
      <c r="BU27">
        <v>0</v>
      </c>
      <c r="BV27">
        <v>0</v>
      </c>
      <c r="BW27">
        <v>0</v>
      </c>
      <c r="BX27">
        <v>0</v>
      </c>
      <c r="BY27">
        <v>0</v>
      </c>
      <c r="BZ27">
        <v>0</v>
      </c>
      <c r="CA27">
        <v>0</v>
      </c>
      <c r="CB27">
        <v>0</v>
      </c>
      <c r="CC27">
        <v>0</v>
      </c>
      <c r="CD27">
        <v>0</v>
      </c>
      <c r="CE27">
        <v>0</v>
      </c>
      <c r="CF27">
        <v>0</v>
      </c>
      <c r="CG27">
        <v>0</v>
      </c>
      <c r="CH27">
        <v>0</v>
      </c>
      <c r="CI27">
        <v>0</v>
      </c>
      <c r="CJ27">
        <v>0</v>
      </c>
      <c r="CK27">
        <v>0</v>
      </c>
      <c r="CL27">
        <v>0</v>
      </c>
      <c r="CM27">
        <v>0</v>
      </c>
      <c r="CN27">
        <v>0</v>
      </c>
      <c r="CO27">
        <v>0</v>
      </c>
      <c r="CP27">
        <v>0</v>
      </c>
      <c r="CQ27">
        <v>0</v>
      </c>
      <c r="CR27">
        <v>1390.3</v>
      </c>
      <c r="CS27">
        <v>0</v>
      </c>
      <c r="CT27">
        <v>0</v>
      </c>
      <c r="CU27">
        <v>0</v>
      </c>
      <c r="CV27">
        <v>0</v>
      </c>
      <c r="CW27">
        <v>0</v>
      </c>
      <c r="CX27">
        <v>0</v>
      </c>
      <c r="CY27">
        <v>0</v>
      </c>
      <c r="CZ27">
        <v>0</v>
      </c>
      <c r="DA27">
        <v>0</v>
      </c>
      <c r="DB27">
        <v>0</v>
      </c>
      <c r="DC27">
        <v>0</v>
      </c>
      <c r="DD27">
        <v>0</v>
      </c>
      <c r="DE27">
        <v>0</v>
      </c>
      <c r="DF27">
        <v>0</v>
      </c>
      <c r="DG27">
        <v>0</v>
      </c>
      <c r="DH27">
        <v>0</v>
      </c>
      <c r="DI27">
        <v>0</v>
      </c>
      <c r="DJ27">
        <v>0</v>
      </c>
      <c r="DK27">
        <v>0</v>
      </c>
      <c r="DL27">
        <v>0</v>
      </c>
      <c r="DM27">
        <v>0</v>
      </c>
      <c r="DN27">
        <v>0</v>
      </c>
      <c r="DO27">
        <v>0</v>
      </c>
      <c r="DP27">
        <v>0</v>
      </c>
      <c r="DQ27">
        <v>0</v>
      </c>
      <c r="DR27">
        <v>0</v>
      </c>
      <c r="DS27">
        <v>0</v>
      </c>
      <c r="DT27">
        <v>0</v>
      </c>
      <c r="DU27">
        <v>0</v>
      </c>
      <c r="DV27">
        <v>0</v>
      </c>
      <c r="DW27">
        <v>0</v>
      </c>
      <c r="DX27">
        <v>0</v>
      </c>
      <c r="DY27">
        <v>0</v>
      </c>
      <c r="DZ27">
        <v>0</v>
      </c>
      <c r="EA27">
        <v>0</v>
      </c>
      <c r="EB27">
        <v>0</v>
      </c>
      <c r="EC27">
        <v>0</v>
      </c>
      <c r="ED27">
        <v>0</v>
      </c>
      <c r="EE27">
        <v>0</v>
      </c>
      <c r="EF27">
        <v>0</v>
      </c>
      <c r="EG27">
        <v>0</v>
      </c>
      <c r="EH27">
        <v>0</v>
      </c>
      <c r="EI27">
        <v>0</v>
      </c>
      <c r="EJ27">
        <v>0</v>
      </c>
      <c r="EK27">
        <v>0</v>
      </c>
      <c r="EL27">
        <v>0</v>
      </c>
      <c r="EM27">
        <v>0</v>
      </c>
      <c r="EN27">
        <v>0</v>
      </c>
      <c r="EO27">
        <v>0</v>
      </c>
      <c r="EP27">
        <v>0</v>
      </c>
      <c r="EQ27">
        <v>0</v>
      </c>
      <c r="ER27">
        <v>0</v>
      </c>
      <c r="ES27">
        <v>0</v>
      </c>
      <c r="ET27">
        <v>0</v>
      </c>
      <c r="EU27">
        <v>0</v>
      </c>
      <c r="EV27">
        <v>0</v>
      </c>
      <c r="EW27">
        <v>0</v>
      </c>
      <c r="EX27">
        <v>0</v>
      </c>
      <c r="EY27">
        <v>0</v>
      </c>
      <c r="EZ27">
        <v>0</v>
      </c>
      <c r="FA27">
        <v>0</v>
      </c>
      <c r="FB27">
        <v>0</v>
      </c>
      <c r="FC27">
        <v>0</v>
      </c>
      <c r="FD27">
        <v>0</v>
      </c>
      <c r="FE27">
        <v>0</v>
      </c>
      <c r="FF27">
        <v>0</v>
      </c>
      <c r="FG27">
        <v>0</v>
      </c>
      <c r="FH27">
        <v>0</v>
      </c>
      <c r="FI27">
        <v>0</v>
      </c>
      <c r="FJ27">
        <v>0</v>
      </c>
      <c r="FK27">
        <v>0</v>
      </c>
      <c r="FL27">
        <v>0</v>
      </c>
      <c r="FM27">
        <v>0</v>
      </c>
      <c r="FN27">
        <v>0</v>
      </c>
      <c r="FO27">
        <v>0</v>
      </c>
      <c r="FP27">
        <v>0</v>
      </c>
      <c r="FQ27">
        <v>0</v>
      </c>
      <c r="FR27">
        <v>0</v>
      </c>
      <c r="FS27">
        <v>0</v>
      </c>
      <c r="FT27">
        <v>0</v>
      </c>
      <c r="FU27">
        <v>0</v>
      </c>
      <c r="FV27">
        <v>0</v>
      </c>
      <c r="FW27">
        <v>0</v>
      </c>
      <c r="FX27">
        <v>0</v>
      </c>
      <c r="FY27">
        <v>0</v>
      </c>
      <c r="FZ27">
        <v>0</v>
      </c>
      <c r="GA27">
        <v>0</v>
      </c>
      <c r="GB27">
        <v>0</v>
      </c>
      <c r="GC27">
        <v>0</v>
      </c>
      <c r="GD27">
        <v>0</v>
      </c>
      <c r="GE27">
        <v>0</v>
      </c>
      <c r="GF27">
        <v>0</v>
      </c>
      <c r="GG27">
        <v>0</v>
      </c>
      <c r="GH27">
        <v>0</v>
      </c>
      <c r="GI27">
        <v>0</v>
      </c>
      <c r="GJ27">
        <v>0</v>
      </c>
      <c r="GK27">
        <v>0</v>
      </c>
      <c r="GL27">
        <v>0</v>
      </c>
      <c r="GM27">
        <v>0</v>
      </c>
      <c r="GN27">
        <v>0</v>
      </c>
      <c r="GO27">
        <v>0</v>
      </c>
      <c r="GP27">
        <v>0</v>
      </c>
      <c r="GQ27">
        <v>0</v>
      </c>
      <c r="GR27">
        <v>0</v>
      </c>
      <c r="GS27">
        <v>0</v>
      </c>
      <c r="GT27">
        <v>0</v>
      </c>
      <c r="GU27">
        <v>0</v>
      </c>
      <c r="GV27">
        <v>0</v>
      </c>
      <c r="GW27">
        <v>0</v>
      </c>
      <c r="GX27">
        <v>0</v>
      </c>
      <c r="GY27">
        <v>0</v>
      </c>
      <c r="GZ27">
        <v>0</v>
      </c>
      <c r="HA27">
        <v>0</v>
      </c>
      <c r="HB27">
        <v>0</v>
      </c>
      <c r="HC27">
        <v>0</v>
      </c>
      <c r="HE27">
        <f t="shared" si="0"/>
        <v>1390.3</v>
      </c>
      <c r="HF27">
        <f t="shared" si="1"/>
        <v>1</v>
      </c>
    </row>
    <row r="28" spans="1:214" x14ac:dyDescent="0.45">
      <c r="A28" t="s">
        <v>65</v>
      </c>
      <c r="B28">
        <v>0</v>
      </c>
      <c r="C28">
        <v>0</v>
      </c>
      <c r="D28">
        <v>0</v>
      </c>
      <c r="E28">
        <v>0</v>
      </c>
      <c r="F28">
        <v>0</v>
      </c>
      <c r="G28">
        <v>0</v>
      </c>
      <c r="H28">
        <v>0</v>
      </c>
      <c r="I28">
        <v>0</v>
      </c>
      <c r="J28">
        <v>0</v>
      </c>
      <c r="K28">
        <v>0</v>
      </c>
      <c r="L28">
        <v>0</v>
      </c>
      <c r="M28">
        <v>0</v>
      </c>
      <c r="N28">
        <v>0</v>
      </c>
      <c r="O28">
        <v>0</v>
      </c>
      <c r="P28">
        <v>0</v>
      </c>
      <c r="Q28">
        <v>0</v>
      </c>
      <c r="R28">
        <v>0</v>
      </c>
      <c r="S28">
        <v>0</v>
      </c>
      <c r="T28">
        <v>0</v>
      </c>
      <c r="U28">
        <v>0</v>
      </c>
      <c r="V28">
        <v>0</v>
      </c>
      <c r="W28">
        <v>0</v>
      </c>
      <c r="X28">
        <v>0</v>
      </c>
      <c r="Y28">
        <v>0</v>
      </c>
      <c r="Z28">
        <v>0</v>
      </c>
      <c r="AA28">
        <v>0</v>
      </c>
      <c r="AB28">
        <v>0</v>
      </c>
      <c r="AC28">
        <v>0</v>
      </c>
      <c r="AD28">
        <v>0</v>
      </c>
      <c r="AE28">
        <v>0</v>
      </c>
      <c r="AF28">
        <v>0</v>
      </c>
      <c r="AG28">
        <v>0</v>
      </c>
      <c r="AH28">
        <v>0</v>
      </c>
      <c r="AI28">
        <v>0</v>
      </c>
      <c r="AJ28">
        <v>0</v>
      </c>
      <c r="AK28">
        <v>0</v>
      </c>
      <c r="AL28">
        <v>0</v>
      </c>
      <c r="AM28">
        <v>0</v>
      </c>
      <c r="AN28">
        <v>0</v>
      </c>
      <c r="AO28">
        <v>0</v>
      </c>
      <c r="AP28">
        <v>0</v>
      </c>
      <c r="AQ28">
        <v>0</v>
      </c>
      <c r="AR28">
        <v>0</v>
      </c>
      <c r="AS28">
        <v>0</v>
      </c>
      <c r="AT28">
        <v>0</v>
      </c>
      <c r="AU28">
        <v>0</v>
      </c>
      <c r="AV28">
        <v>0</v>
      </c>
      <c r="AW28">
        <v>0</v>
      </c>
      <c r="AX28">
        <v>0</v>
      </c>
      <c r="AY28">
        <v>0</v>
      </c>
      <c r="AZ28">
        <v>0</v>
      </c>
      <c r="BA28">
        <v>0</v>
      </c>
      <c r="BB28">
        <v>0</v>
      </c>
      <c r="BC28">
        <v>0</v>
      </c>
      <c r="BD28">
        <v>0</v>
      </c>
      <c r="BE28">
        <v>0</v>
      </c>
      <c r="BF28">
        <v>0</v>
      </c>
      <c r="BG28">
        <v>0</v>
      </c>
      <c r="BH28">
        <v>0</v>
      </c>
      <c r="BI28">
        <v>0</v>
      </c>
      <c r="BJ28">
        <v>0</v>
      </c>
      <c r="BK28">
        <v>0</v>
      </c>
      <c r="BL28">
        <v>0</v>
      </c>
      <c r="BM28">
        <v>0</v>
      </c>
      <c r="BN28">
        <v>0</v>
      </c>
      <c r="BO28">
        <v>0</v>
      </c>
      <c r="BP28">
        <v>0</v>
      </c>
      <c r="BQ28">
        <v>0</v>
      </c>
      <c r="BR28">
        <v>0</v>
      </c>
      <c r="BS28">
        <v>0</v>
      </c>
      <c r="BT28">
        <v>0</v>
      </c>
      <c r="BU28">
        <v>0</v>
      </c>
      <c r="BV28">
        <v>0</v>
      </c>
      <c r="BW28">
        <v>0</v>
      </c>
      <c r="BX28">
        <v>0</v>
      </c>
      <c r="BY28">
        <v>0</v>
      </c>
      <c r="BZ28">
        <v>0</v>
      </c>
      <c r="CA28">
        <v>0</v>
      </c>
      <c r="CB28">
        <v>0</v>
      </c>
      <c r="CC28">
        <v>0</v>
      </c>
      <c r="CD28">
        <v>0</v>
      </c>
      <c r="CE28">
        <v>0</v>
      </c>
      <c r="CF28">
        <v>0</v>
      </c>
      <c r="CG28">
        <v>0</v>
      </c>
      <c r="CH28">
        <v>0</v>
      </c>
      <c r="CI28">
        <v>0</v>
      </c>
      <c r="CJ28">
        <v>0</v>
      </c>
      <c r="CK28">
        <v>0</v>
      </c>
      <c r="CL28">
        <v>0</v>
      </c>
      <c r="CM28">
        <v>0</v>
      </c>
      <c r="CN28">
        <v>0</v>
      </c>
      <c r="CO28">
        <v>0</v>
      </c>
      <c r="CP28">
        <v>0</v>
      </c>
      <c r="CQ28">
        <v>0</v>
      </c>
      <c r="CR28">
        <v>0</v>
      </c>
      <c r="CS28">
        <v>0</v>
      </c>
      <c r="CT28">
        <v>0</v>
      </c>
      <c r="CU28">
        <v>0</v>
      </c>
      <c r="CV28">
        <v>0</v>
      </c>
      <c r="CW28">
        <v>0</v>
      </c>
      <c r="CX28">
        <v>0</v>
      </c>
      <c r="CY28">
        <v>0</v>
      </c>
      <c r="CZ28">
        <v>0</v>
      </c>
      <c r="DA28">
        <v>0</v>
      </c>
      <c r="DB28">
        <v>0</v>
      </c>
      <c r="DC28">
        <v>0</v>
      </c>
      <c r="DD28">
        <v>0</v>
      </c>
      <c r="DE28">
        <v>0</v>
      </c>
      <c r="DF28">
        <v>0</v>
      </c>
      <c r="DG28">
        <v>0</v>
      </c>
      <c r="DH28">
        <v>0</v>
      </c>
      <c r="DI28">
        <v>0</v>
      </c>
      <c r="DJ28">
        <v>0</v>
      </c>
      <c r="DK28">
        <v>0</v>
      </c>
      <c r="DL28">
        <v>0</v>
      </c>
      <c r="DM28">
        <v>0</v>
      </c>
      <c r="DN28">
        <v>0</v>
      </c>
      <c r="DO28">
        <v>0</v>
      </c>
      <c r="DP28">
        <v>0</v>
      </c>
      <c r="DQ28">
        <v>0</v>
      </c>
      <c r="DR28">
        <v>0</v>
      </c>
      <c r="DS28">
        <v>0</v>
      </c>
      <c r="DT28">
        <v>0</v>
      </c>
      <c r="DU28">
        <v>0</v>
      </c>
      <c r="DV28">
        <v>0</v>
      </c>
      <c r="DW28">
        <v>0</v>
      </c>
      <c r="DX28">
        <v>0</v>
      </c>
      <c r="DY28">
        <v>0</v>
      </c>
      <c r="DZ28">
        <v>0</v>
      </c>
      <c r="EA28">
        <v>0</v>
      </c>
      <c r="EB28">
        <v>0</v>
      </c>
      <c r="EC28">
        <v>0</v>
      </c>
      <c r="ED28">
        <v>0</v>
      </c>
      <c r="EE28">
        <v>0</v>
      </c>
      <c r="EF28">
        <v>0</v>
      </c>
      <c r="EG28">
        <v>0</v>
      </c>
      <c r="EH28">
        <v>0</v>
      </c>
      <c r="EI28">
        <v>0</v>
      </c>
      <c r="EJ28">
        <v>0</v>
      </c>
      <c r="EK28">
        <v>0</v>
      </c>
      <c r="EL28">
        <v>0</v>
      </c>
      <c r="EM28">
        <v>0</v>
      </c>
      <c r="EN28">
        <v>0</v>
      </c>
      <c r="EO28">
        <v>0</v>
      </c>
      <c r="EP28">
        <v>0</v>
      </c>
      <c r="EQ28">
        <v>0</v>
      </c>
      <c r="ER28">
        <v>0</v>
      </c>
      <c r="ES28">
        <v>0</v>
      </c>
      <c r="ET28">
        <v>0</v>
      </c>
      <c r="EU28">
        <v>0</v>
      </c>
      <c r="EV28">
        <v>0</v>
      </c>
      <c r="EW28">
        <v>0</v>
      </c>
      <c r="EX28">
        <v>0</v>
      </c>
      <c r="EY28">
        <v>0</v>
      </c>
      <c r="EZ28">
        <v>0</v>
      </c>
      <c r="FA28">
        <v>0</v>
      </c>
      <c r="FB28">
        <v>0</v>
      </c>
      <c r="FC28">
        <v>0</v>
      </c>
      <c r="FD28">
        <v>0</v>
      </c>
      <c r="FE28">
        <v>0</v>
      </c>
      <c r="FF28">
        <v>0</v>
      </c>
      <c r="FG28">
        <v>0</v>
      </c>
      <c r="FH28">
        <v>0</v>
      </c>
      <c r="FI28">
        <v>0</v>
      </c>
      <c r="FJ28">
        <v>0</v>
      </c>
      <c r="FK28">
        <v>0</v>
      </c>
      <c r="FL28">
        <v>0</v>
      </c>
      <c r="FM28">
        <v>0</v>
      </c>
      <c r="FN28">
        <v>0</v>
      </c>
      <c r="FO28">
        <v>0</v>
      </c>
      <c r="FP28">
        <v>0</v>
      </c>
      <c r="FQ28">
        <v>0</v>
      </c>
      <c r="FR28">
        <v>0</v>
      </c>
      <c r="FS28">
        <v>0</v>
      </c>
      <c r="FT28">
        <v>0</v>
      </c>
      <c r="FU28">
        <v>0</v>
      </c>
      <c r="FV28">
        <v>0</v>
      </c>
      <c r="FW28">
        <v>0</v>
      </c>
      <c r="FX28">
        <v>0</v>
      </c>
      <c r="FY28">
        <v>0</v>
      </c>
      <c r="FZ28">
        <v>0</v>
      </c>
      <c r="GA28">
        <v>0</v>
      </c>
      <c r="GB28">
        <v>0</v>
      </c>
      <c r="GC28">
        <v>0</v>
      </c>
      <c r="GD28">
        <v>0</v>
      </c>
      <c r="GE28">
        <v>0</v>
      </c>
      <c r="GF28">
        <v>0</v>
      </c>
      <c r="GG28">
        <v>0</v>
      </c>
      <c r="GH28">
        <v>0</v>
      </c>
      <c r="GI28">
        <v>0</v>
      </c>
      <c r="GJ28">
        <v>0</v>
      </c>
      <c r="GK28">
        <v>0</v>
      </c>
      <c r="GL28">
        <v>0</v>
      </c>
      <c r="GM28">
        <v>0</v>
      </c>
      <c r="GN28">
        <v>0</v>
      </c>
      <c r="GO28">
        <v>0</v>
      </c>
      <c r="GP28">
        <v>0</v>
      </c>
      <c r="GQ28">
        <v>0</v>
      </c>
      <c r="GR28">
        <v>0</v>
      </c>
      <c r="GS28">
        <v>0</v>
      </c>
      <c r="GT28">
        <v>0</v>
      </c>
      <c r="GU28">
        <v>0</v>
      </c>
      <c r="GV28">
        <v>0</v>
      </c>
      <c r="GW28">
        <v>0</v>
      </c>
      <c r="GX28">
        <v>0</v>
      </c>
      <c r="GY28">
        <v>0</v>
      </c>
      <c r="GZ28">
        <v>0</v>
      </c>
      <c r="HA28">
        <v>0</v>
      </c>
      <c r="HB28">
        <v>0</v>
      </c>
      <c r="HC28">
        <v>0</v>
      </c>
      <c r="HE28">
        <f t="shared" si="0"/>
        <v>0</v>
      </c>
      <c r="HF28">
        <f t="shared" si="1"/>
        <v>0</v>
      </c>
    </row>
    <row r="29" spans="1:214" x14ac:dyDescent="0.45">
      <c r="A29" t="s">
        <v>68</v>
      </c>
      <c r="B29">
        <v>0</v>
      </c>
      <c r="C29">
        <v>0</v>
      </c>
      <c r="D29">
        <v>0</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v>0</v>
      </c>
      <c r="AF29">
        <v>0</v>
      </c>
      <c r="AG29">
        <v>0</v>
      </c>
      <c r="AH29">
        <v>0</v>
      </c>
      <c r="AI29">
        <v>0</v>
      </c>
      <c r="AJ29">
        <v>0</v>
      </c>
      <c r="AK29">
        <v>0</v>
      </c>
      <c r="AL29">
        <v>0</v>
      </c>
      <c r="AM29">
        <v>0</v>
      </c>
      <c r="AN29">
        <v>0</v>
      </c>
      <c r="AO29">
        <v>0</v>
      </c>
      <c r="AP29">
        <v>0</v>
      </c>
      <c r="AQ29">
        <v>0</v>
      </c>
      <c r="AR29">
        <v>0</v>
      </c>
      <c r="AS29">
        <v>0</v>
      </c>
      <c r="AT29">
        <v>0</v>
      </c>
      <c r="AU29">
        <v>0</v>
      </c>
      <c r="AV29">
        <v>0</v>
      </c>
      <c r="AW29">
        <v>0</v>
      </c>
      <c r="AX29">
        <v>0</v>
      </c>
      <c r="AY29">
        <v>0</v>
      </c>
      <c r="AZ29">
        <v>0</v>
      </c>
      <c r="BA29">
        <v>0</v>
      </c>
      <c r="BB29">
        <v>0</v>
      </c>
      <c r="BC29">
        <v>0</v>
      </c>
      <c r="BD29">
        <v>0</v>
      </c>
      <c r="BE29">
        <v>0</v>
      </c>
      <c r="BF29">
        <v>0</v>
      </c>
      <c r="BG29">
        <v>0</v>
      </c>
      <c r="BH29">
        <v>0</v>
      </c>
      <c r="BI29">
        <v>0</v>
      </c>
      <c r="BJ29">
        <v>0</v>
      </c>
      <c r="BK29">
        <v>0</v>
      </c>
      <c r="BL29">
        <v>0</v>
      </c>
      <c r="BM29">
        <v>0</v>
      </c>
      <c r="BN29">
        <v>0</v>
      </c>
      <c r="BO29">
        <v>0</v>
      </c>
      <c r="BP29">
        <v>0</v>
      </c>
      <c r="BQ29">
        <v>0</v>
      </c>
      <c r="BR29">
        <v>0</v>
      </c>
      <c r="BS29">
        <v>0</v>
      </c>
      <c r="BT29">
        <v>0</v>
      </c>
      <c r="BU29">
        <v>0</v>
      </c>
      <c r="BV29">
        <v>0</v>
      </c>
      <c r="BW29">
        <v>0</v>
      </c>
      <c r="BX29">
        <v>0</v>
      </c>
      <c r="BY29">
        <v>0</v>
      </c>
      <c r="BZ29">
        <v>0</v>
      </c>
      <c r="CA29">
        <v>0</v>
      </c>
      <c r="CB29">
        <v>0</v>
      </c>
      <c r="CC29">
        <v>0</v>
      </c>
      <c r="CD29">
        <v>0</v>
      </c>
      <c r="CE29">
        <v>0</v>
      </c>
      <c r="CF29">
        <v>0</v>
      </c>
      <c r="CG29">
        <v>0</v>
      </c>
      <c r="CH29">
        <v>932</v>
      </c>
      <c r="CI29">
        <v>0</v>
      </c>
      <c r="CJ29">
        <v>938</v>
      </c>
      <c r="CK29">
        <v>0</v>
      </c>
      <c r="CL29">
        <v>0</v>
      </c>
      <c r="CM29">
        <v>0</v>
      </c>
      <c r="CN29">
        <v>1158</v>
      </c>
      <c r="CO29">
        <v>0</v>
      </c>
      <c r="CP29">
        <v>0</v>
      </c>
      <c r="CQ29">
        <v>1157.5999999999999</v>
      </c>
      <c r="CR29">
        <v>0</v>
      </c>
      <c r="CS29">
        <v>0</v>
      </c>
      <c r="CT29">
        <v>964</v>
      </c>
      <c r="CU29">
        <v>0</v>
      </c>
      <c r="CV29">
        <v>0</v>
      </c>
      <c r="CW29">
        <v>0</v>
      </c>
      <c r="CX29">
        <v>0</v>
      </c>
      <c r="CY29">
        <v>0</v>
      </c>
      <c r="CZ29">
        <v>0</v>
      </c>
      <c r="DA29">
        <v>0</v>
      </c>
      <c r="DB29">
        <v>0</v>
      </c>
      <c r="DC29">
        <v>0</v>
      </c>
      <c r="DD29">
        <v>0</v>
      </c>
      <c r="DE29">
        <v>0</v>
      </c>
      <c r="DF29">
        <v>0</v>
      </c>
      <c r="DG29">
        <v>0</v>
      </c>
      <c r="DH29">
        <v>0</v>
      </c>
      <c r="DI29">
        <v>0</v>
      </c>
      <c r="DJ29">
        <v>0</v>
      </c>
      <c r="DK29">
        <v>0</v>
      </c>
      <c r="DL29">
        <v>0</v>
      </c>
      <c r="DM29">
        <v>0</v>
      </c>
      <c r="DN29">
        <v>0</v>
      </c>
      <c r="DO29">
        <v>0</v>
      </c>
      <c r="DP29">
        <v>0</v>
      </c>
      <c r="DQ29">
        <v>0</v>
      </c>
      <c r="DR29">
        <v>0</v>
      </c>
      <c r="DS29">
        <v>0</v>
      </c>
      <c r="DT29">
        <v>0</v>
      </c>
      <c r="DU29">
        <v>0</v>
      </c>
      <c r="DV29">
        <v>0</v>
      </c>
      <c r="DW29">
        <v>0</v>
      </c>
      <c r="DX29">
        <v>0</v>
      </c>
      <c r="DY29">
        <v>0</v>
      </c>
      <c r="DZ29">
        <v>0</v>
      </c>
      <c r="EA29">
        <v>0</v>
      </c>
      <c r="EB29">
        <v>0</v>
      </c>
      <c r="EC29">
        <v>0</v>
      </c>
      <c r="ED29">
        <v>0</v>
      </c>
      <c r="EE29">
        <v>0</v>
      </c>
      <c r="EF29">
        <v>0</v>
      </c>
      <c r="EG29">
        <v>0</v>
      </c>
      <c r="EH29">
        <v>0</v>
      </c>
      <c r="EI29">
        <v>0</v>
      </c>
      <c r="EJ29">
        <v>0</v>
      </c>
      <c r="EK29">
        <v>0</v>
      </c>
      <c r="EL29">
        <v>0</v>
      </c>
      <c r="EM29">
        <v>0</v>
      </c>
      <c r="EN29">
        <v>0</v>
      </c>
      <c r="EO29">
        <v>0</v>
      </c>
      <c r="EP29">
        <v>0</v>
      </c>
      <c r="EQ29">
        <v>0</v>
      </c>
      <c r="ER29">
        <v>0</v>
      </c>
      <c r="ES29">
        <v>0</v>
      </c>
      <c r="ET29">
        <v>0</v>
      </c>
      <c r="EU29">
        <v>0</v>
      </c>
      <c r="EV29">
        <v>0</v>
      </c>
      <c r="EW29">
        <v>0</v>
      </c>
      <c r="EX29">
        <v>0</v>
      </c>
      <c r="EY29">
        <v>0</v>
      </c>
      <c r="EZ29">
        <v>0</v>
      </c>
      <c r="FA29">
        <v>0</v>
      </c>
      <c r="FB29">
        <v>0</v>
      </c>
      <c r="FC29">
        <v>0</v>
      </c>
      <c r="FD29">
        <v>0</v>
      </c>
      <c r="FE29">
        <v>0</v>
      </c>
      <c r="FF29">
        <v>0</v>
      </c>
      <c r="FG29">
        <v>0</v>
      </c>
      <c r="FH29">
        <v>0</v>
      </c>
      <c r="FI29">
        <v>0</v>
      </c>
      <c r="FJ29">
        <v>0</v>
      </c>
      <c r="FK29">
        <v>0</v>
      </c>
      <c r="FL29">
        <v>0</v>
      </c>
      <c r="FM29">
        <v>0</v>
      </c>
      <c r="FN29">
        <v>0</v>
      </c>
      <c r="FO29">
        <v>0</v>
      </c>
      <c r="FP29">
        <v>0</v>
      </c>
      <c r="FQ29">
        <v>0</v>
      </c>
      <c r="FR29">
        <v>0</v>
      </c>
      <c r="FS29">
        <v>0</v>
      </c>
      <c r="FT29">
        <v>0</v>
      </c>
      <c r="FU29">
        <v>0</v>
      </c>
      <c r="FV29">
        <v>0</v>
      </c>
      <c r="FW29">
        <v>0</v>
      </c>
      <c r="FX29">
        <v>0</v>
      </c>
      <c r="FY29">
        <v>0</v>
      </c>
      <c r="FZ29">
        <v>0</v>
      </c>
      <c r="GA29">
        <v>0</v>
      </c>
      <c r="GB29">
        <v>0</v>
      </c>
      <c r="GC29">
        <v>0</v>
      </c>
      <c r="GD29">
        <v>0</v>
      </c>
      <c r="GE29">
        <v>0</v>
      </c>
      <c r="GF29">
        <v>0</v>
      </c>
      <c r="GG29">
        <v>0</v>
      </c>
      <c r="GH29">
        <v>0</v>
      </c>
      <c r="GI29">
        <v>0</v>
      </c>
      <c r="GJ29">
        <v>0</v>
      </c>
      <c r="GK29">
        <v>0</v>
      </c>
      <c r="GL29">
        <v>0</v>
      </c>
      <c r="GM29">
        <v>0</v>
      </c>
      <c r="GN29">
        <v>0</v>
      </c>
      <c r="GO29">
        <v>0</v>
      </c>
      <c r="GP29">
        <v>0</v>
      </c>
      <c r="GQ29">
        <v>0</v>
      </c>
      <c r="GR29">
        <v>0</v>
      </c>
      <c r="GS29">
        <v>0</v>
      </c>
      <c r="GT29">
        <v>0</v>
      </c>
      <c r="GU29">
        <v>0</v>
      </c>
      <c r="GV29">
        <v>0</v>
      </c>
      <c r="GW29">
        <v>0</v>
      </c>
      <c r="GX29">
        <v>0</v>
      </c>
      <c r="GY29">
        <v>0</v>
      </c>
      <c r="GZ29">
        <v>0</v>
      </c>
      <c r="HA29">
        <v>0</v>
      </c>
      <c r="HB29">
        <v>0</v>
      </c>
      <c r="HC29">
        <v>0</v>
      </c>
      <c r="HE29">
        <f t="shared" si="0"/>
        <v>5149.6000000000004</v>
      </c>
      <c r="HF29">
        <f t="shared" si="1"/>
        <v>1</v>
      </c>
    </row>
    <row r="30" spans="1:214" x14ac:dyDescent="0.45">
      <c r="A30" t="s">
        <v>72</v>
      </c>
      <c r="B30">
        <v>0</v>
      </c>
      <c r="C30">
        <v>0</v>
      </c>
      <c r="D30">
        <v>0</v>
      </c>
      <c r="E30">
        <v>0</v>
      </c>
      <c r="F30">
        <v>0</v>
      </c>
      <c r="G30">
        <v>0</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c r="AE30">
        <v>0</v>
      </c>
      <c r="AF30">
        <v>0</v>
      </c>
      <c r="AG30">
        <v>0</v>
      </c>
      <c r="AH30">
        <v>0</v>
      </c>
      <c r="AI30">
        <v>0</v>
      </c>
      <c r="AJ30">
        <v>0</v>
      </c>
      <c r="AK30">
        <v>0</v>
      </c>
      <c r="AL30">
        <v>0</v>
      </c>
      <c r="AM30">
        <v>0</v>
      </c>
      <c r="AN30">
        <v>0</v>
      </c>
      <c r="AO30">
        <v>0</v>
      </c>
      <c r="AP30">
        <v>0</v>
      </c>
      <c r="AQ30">
        <v>0</v>
      </c>
      <c r="AR30">
        <v>0</v>
      </c>
      <c r="AS30">
        <v>0</v>
      </c>
      <c r="AT30">
        <v>0</v>
      </c>
      <c r="AU30">
        <v>0</v>
      </c>
      <c r="AV30">
        <v>0</v>
      </c>
      <c r="AW30">
        <v>0</v>
      </c>
      <c r="AX30">
        <v>0</v>
      </c>
      <c r="AY30">
        <v>0</v>
      </c>
      <c r="AZ30">
        <v>0</v>
      </c>
      <c r="BA30">
        <v>0</v>
      </c>
      <c r="BB30">
        <v>0</v>
      </c>
      <c r="BC30">
        <v>0</v>
      </c>
      <c r="BD30">
        <v>0</v>
      </c>
      <c r="BE30">
        <v>0</v>
      </c>
      <c r="BF30">
        <v>0</v>
      </c>
      <c r="BG30">
        <v>0</v>
      </c>
      <c r="BH30">
        <v>0</v>
      </c>
      <c r="BI30">
        <v>0</v>
      </c>
      <c r="BJ30">
        <v>0</v>
      </c>
      <c r="BK30">
        <v>0</v>
      </c>
      <c r="BL30">
        <v>0</v>
      </c>
      <c r="BM30">
        <v>0</v>
      </c>
      <c r="BN30">
        <v>0</v>
      </c>
      <c r="BO30">
        <v>0</v>
      </c>
      <c r="BP30">
        <v>0</v>
      </c>
      <c r="BQ30">
        <v>0</v>
      </c>
      <c r="BR30">
        <v>0</v>
      </c>
      <c r="BS30">
        <v>0</v>
      </c>
      <c r="BT30">
        <v>0</v>
      </c>
      <c r="BU30">
        <v>0</v>
      </c>
      <c r="BV30">
        <v>0</v>
      </c>
      <c r="BW30">
        <v>0</v>
      </c>
      <c r="BX30">
        <v>0</v>
      </c>
      <c r="BY30">
        <v>0</v>
      </c>
      <c r="BZ30">
        <v>0</v>
      </c>
      <c r="CA30">
        <v>0</v>
      </c>
      <c r="CB30">
        <v>0</v>
      </c>
      <c r="CC30">
        <v>0</v>
      </c>
      <c r="CD30">
        <v>0</v>
      </c>
      <c r="CE30">
        <v>0</v>
      </c>
      <c r="CF30">
        <v>0</v>
      </c>
      <c r="CG30">
        <v>0</v>
      </c>
      <c r="CH30">
        <v>0</v>
      </c>
      <c r="CI30">
        <v>0</v>
      </c>
      <c r="CJ30">
        <v>0</v>
      </c>
      <c r="CK30">
        <v>0</v>
      </c>
      <c r="CL30">
        <v>0</v>
      </c>
      <c r="CM30">
        <v>0</v>
      </c>
      <c r="CN30">
        <v>0</v>
      </c>
      <c r="CO30">
        <v>0</v>
      </c>
      <c r="CP30">
        <v>0</v>
      </c>
      <c r="CQ30">
        <v>0</v>
      </c>
      <c r="CR30">
        <v>0</v>
      </c>
      <c r="CS30">
        <v>0</v>
      </c>
      <c r="CT30">
        <v>0</v>
      </c>
      <c r="CU30">
        <v>0</v>
      </c>
      <c r="CV30">
        <v>0</v>
      </c>
      <c r="CW30">
        <v>0</v>
      </c>
      <c r="CX30">
        <v>0</v>
      </c>
      <c r="CY30">
        <v>0</v>
      </c>
      <c r="CZ30">
        <v>0</v>
      </c>
      <c r="DA30">
        <v>0</v>
      </c>
      <c r="DB30">
        <v>0</v>
      </c>
      <c r="DC30">
        <v>0</v>
      </c>
      <c r="DD30">
        <v>0</v>
      </c>
      <c r="DE30">
        <v>0</v>
      </c>
      <c r="DF30">
        <v>0</v>
      </c>
      <c r="DG30">
        <v>0</v>
      </c>
      <c r="DH30">
        <v>0</v>
      </c>
      <c r="DI30">
        <v>0</v>
      </c>
      <c r="DJ30">
        <v>0</v>
      </c>
      <c r="DK30">
        <v>0</v>
      </c>
      <c r="DL30">
        <v>0</v>
      </c>
      <c r="DM30">
        <v>0</v>
      </c>
      <c r="DN30">
        <v>0</v>
      </c>
      <c r="DO30">
        <v>0</v>
      </c>
      <c r="DP30">
        <v>0</v>
      </c>
      <c r="DQ30">
        <v>0</v>
      </c>
      <c r="DR30">
        <v>0</v>
      </c>
      <c r="DS30">
        <v>0</v>
      </c>
      <c r="DT30">
        <v>0</v>
      </c>
      <c r="DU30">
        <v>0</v>
      </c>
      <c r="DV30">
        <v>0</v>
      </c>
      <c r="DW30">
        <v>0</v>
      </c>
      <c r="DX30">
        <v>0</v>
      </c>
      <c r="DY30">
        <v>0</v>
      </c>
      <c r="DZ30">
        <v>0</v>
      </c>
      <c r="EA30">
        <v>0</v>
      </c>
      <c r="EB30">
        <v>0</v>
      </c>
      <c r="EC30">
        <v>0</v>
      </c>
      <c r="ED30">
        <v>0</v>
      </c>
      <c r="EE30">
        <v>0</v>
      </c>
      <c r="EF30">
        <v>0</v>
      </c>
      <c r="EG30">
        <v>0</v>
      </c>
      <c r="EH30">
        <v>0</v>
      </c>
      <c r="EI30">
        <v>0</v>
      </c>
      <c r="EJ30">
        <v>0</v>
      </c>
      <c r="EK30">
        <v>0</v>
      </c>
      <c r="EL30">
        <v>0</v>
      </c>
      <c r="EM30">
        <v>0</v>
      </c>
      <c r="EN30">
        <v>0</v>
      </c>
      <c r="EO30">
        <v>0</v>
      </c>
      <c r="EP30">
        <v>0</v>
      </c>
      <c r="EQ30">
        <v>0</v>
      </c>
      <c r="ER30">
        <v>0</v>
      </c>
      <c r="ES30">
        <v>0</v>
      </c>
      <c r="ET30">
        <v>0</v>
      </c>
      <c r="EU30">
        <v>0</v>
      </c>
      <c r="EV30">
        <v>0</v>
      </c>
      <c r="EW30">
        <v>0</v>
      </c>
      <c r="EX30">
        <v>0</v>
      </c>
      <c r="EY30">
        <v>0</v>
      </c>
      <c r="EZ30">
        <v>0</v>
      </c>
      <c r="FA30">
        <v>0</v>
      </c>
      <c r="FB30">
        <v>0</v>
      </c>
      <c r="FC30">
        <v>0</v>
      </c>
      <c r="FD30">
        <v>0</v>
      </c>
      <c r="FE30">
        <v>0</v>
      </c>
      <c r="FF30">
        <v>0</v>
      </c>
      <c r="FG30">
        <v>0</v>
      </c>
      <c r="FH30">
        <v>0</v>
      </c>
      <c r="FI30">
        <v>0</v>
      </c>
      <c r="FJ30">
        <v>0</v>
      </c>
      <c r="FK30">
        <v>0</v>
      </c>
      <c r="FL30">
        <v>0</v>
      </c>
      <c r="FM30">
        <v>0</v>
      </c>
      <c r="FN30">
        <v>0</v>
      </c>
      <c r="FO30">
        <v>0</v>
      </c>
      <c r="FP30">
        <v>0</v>
      </c>
      <c r="FQ30">
        <v>0</v>
      </c>
      <c r="FR30">
        <v>0</v>
      </c>
      <c r="FS30">
        <v>0</v>
      </c>
      <c r="FT30">
        <v>0</v>
      </c>
      <c r="FU30">
        <v>0</v>
      </c>
      <c r="FV30">
        <v>0</v>
      </c>
      <c r="FW30">
        <v>0</v>
      </c>
      <c r="FX30">
        <v>0</v>
      </c>
      <c r="FY30">
        <v>0</v>
      </c>
      <c r="FZ30">
        <v>0</v>
      </c>
      <c r="GA30">
        <v>0</v>
      </c>
      <c r="GB30">
        <v>0</v>
      </c>
      <c r="GC30">
        <v>0</v>
      </c>
      <c r="GD30">
        <v>0</v>
      </c>
      <c r="GE30">
        <v>0</v>
      </c>
      <c r="GF30">
        <v>0</v>
      </c>
      <c r="GG30">
        <v>0</v>
      </c>
      <c r="GH30">
        <v>0</v>
      </c>
      <c r="GI30">
        <v>0</v>
      </c>
      <c r="GJ30">
        <v>0</v>
      </c>
      <c r="GK30">
        <v>0</v>
      </c>
      <c r="GL30">
        <v>0</v>
      </c>
      <c r="GM30">
        <v>0</v>
      </c>
      <c r="GN30">
        <v>0</v>
      </c>
      <c r="GO30">
        <v>0</v>
      </c>
      <c r="GP30">
        <v>0</v>
      </c>
      <c r="GQ30">
        <v>0</v>
      </c>
      <c r="GR30">
        <v>0</v>
      </c>
      <c r="GS30">
        <v>0</v>
      </c>
      <c r="GT30">
        <v>0</v>
      </c>
      <c r="GU30">
        <v>0</v>
      </c>
      <c r="GV30">
        <v>0</v>
      </c>
      <c r="GW30">
        <v>0</v>
      </c>
      <c r="GX30">
        <v>0</v>
      </c>
      <c r="GY30">
        <v>0</v>
      </c>
      <c r="GZ30">
        <v>0</v>
      </c>
      <c r="HA30">
        <v>0</v>
      </c>
      <c r="HB30">
        <v>0</v>
      </c>
      <c r="HC30">
        <v>0</v>
      </c>
      <c r="HE30">
        <f t="shared" si="0"/>
        <v>0</v>
      </c>
      <c r="HF30">
        <f t="shared" si="1"/>
        <v>0</v>
      </c>
    </row>
    <row r="31" spans="1:214" x14ac:dyDescent="0.45">
      <c r="A31" t="s">
        <v>76</v>
      </c>
      <c r="B31">
        <v>0</v>
      </c>
      <c r="C31">
        <v>0</v>
      </c>
      <c r="D31">
        <v>0</v>
      </c>
      <c r="E31">
        <v>0</v>
      </c>
      <c r="F31">
        <v>0</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0</v>
      </c>
      <c r="AC31">
        <v>0</v>
      </c>
      <c r="AD31">
        <v>0</v>
      </c>
      <c r="AE31">
        <v>0</v>
      </c>
      <c r="AF31">
        <v>0</v>
      </c>
      <c r="AG31">
        <v>0</v>
      </c>
      <c r="AH31">
        <v>0</v>
      </c>
      <c r="AI31">
        <v>0</v>
      </c>
      <c r="AJ31">
        <v>0</v>
      </c>
      <c r="AK31">
        <v>0</v>
      </c>
      <c r="AL31">
        <v>0</v>
      </c>
      <c r="AM31">
        <v>0</v>
      </c>
      <c r="AN31">
        <v>0</v>
      </c>
      <c r="AO31">
        <v>0</v>
      </c>
      <c r="AP31">
        <v>0</v>
      </c>
      <c r="AQ31">
        <v>0</v>
      </c>
      <c r="AR31">
        <v>0</v>
      </c>
      <c r="AS31">
        <v>0</v>
      </c>
      <c r="AT31">
        <v>0</v>
      </c>
      <c r="AU31">
        <v>0</v>
      </c>
      <c r="AV31">
        <v>0</v>
      </c>
      <c r="AW31">
        <v>0</v>
      </c>
      <c r="AX31">
        <v>0</v>
      </c>
      <c r="AY31">
        <v>0</v>
      </c>
      <c r="AZ31">
        <v>0</v>
      </c>
      <c r="BA31">
        <v>0</v>
      </c>
      <c r="BB31">
        <v>0</v>
      </c>
      <c r="BC31">
        <v>0</v>
      </c>
      <c r="BD31">
        <v>0</v>
      </c>
      <c r="BE31">
        <v>0</v>
      </c>
      <c r="BF31">
        <v>0</v>
      </c>
      <c r="BG31">
        <v>0</v>
      </c>
      <c r="BH31">
        <v>0</v>
      </c>
      <c r="BI31">
        <v>0</v>
      </c>
      <c r="BJ31">
        <v>0</v>
      </c>
      <c r="BK31">
        <v>0</v>
      </c>
      <c r="BL31">
        <v>0</v>
      </c>
      <c r="BM31">
        <v>0</v>
      </c>
      <c r="BN31">
        <v>0</v>
      </c>
      <c r="BO31">
        <v>0</v>
      </c>
      <c r="BP31">
        <v>0</v>
      </c>
      <c r="BQ31">
        <v>0</v>
      </c>
      <c r="BR31">
        <v>0</v>
      </c>
      <c r="BS31">
        <v>0</v>
      </c>
      <c r="BT31">
        <v>0</v>
      </c>
      <c r="BU31">
        <v>0</v>
      </c>
      <c r="BV31">
        <v>0</v>
      </c>
      <c r="BW31">
        <v>0</v>
      </c>
      <c r="BX31">
        <v>0</v>
      </c>
      <c r="BY31">
        <v>0</v>
      </c>
      <c r="BZ31">
        <v>0</v>
      </c>
      <c r="CA31">
        <v>0</v>
      </c>
      <c r="CB31">
        <v>0</v>
      </c>
      <c r="CC31">
        <v>0</v>
      </c>
      <c r="CD31">
        <v>0</v>
      </c>
      <c r="CE31">
        <v>0</v>
      </c>
      <c r="CF31">
        <v>0</v>
      </c>
      <c r="CG31">
        <v>768.5</v>
      </c>
      <c r="CH31">
        <v>0</v>
      </c>
      <c r="CI31">
        <v>0</v>
      </c>
      <c r="CJ31">
        <v>0</v>
      </c>
      <c r="CK31">
        <v>0</v>
      </c>
      <c r="CL31">
        <v>0</v>
      </c>
      <c r="CM31">
        <v>0</v>
      </c>
      <c r="CN31">
        <v>0</v>
      </c>
      <c r="CO31">
        <v>0</v>
      </c>
      <c r="CP31">
        <v>0</v>
      </c>
      <c r="CQ31">
        <v>0</v>
      </c>
      <c r="CR31">
        <v>0</v>
      </c>
      <c r="CS31">
        <v>0</v>
      </c>
      <c r="CT31">
        <v>0</v>
      </c>
      <c r="CU31">
        <v>0</v>
      </c>
      <c r="CV31">
        <v>0</v>
      </c>
      <c r="CW31">
        <v>0</v>
      </c>
      <c r="CX31">
        <v>0</v>
      </c>
      <c r="CY31">
        <v>0</v>
      </c>
      <c r="CZ31">
        <v>0</v>
      </c>
      <c r="DA31">
        <v>0</v>
      </c>
      <c r="DB31">
        <v>0</v>
      </c>
      <c r="DC31">
        <v>0</v>
      </c>
      <c r="DD31">
        <v>0</v>
      </c>
      <c r="DE31">
        <v>0</v>
      </c>
      <c r="DF31">
        <v>0</v>
      </c>
      <c r="DG31">
        <v>0</v>
      </c>
      <c r="DH31">
        <v>0</v>
      </c>
      <c r="DI31">
        <v>0</v>
      </c>
      <c r="DJ31">
        <v>0</v>
      </c>
      <c r="DK31">
        <v>0</v>
      </c>
      <c r="DL31">
        <v>0</v>
      </c>
      <c r="DM31">
        <v>0</v>
      </c>
      <c r="DN31">
        <v>0</v>
      </c>
      <c r="DO31">
        <v>0</v>
      </c>
      <c r="DP31">
        <v>0</v>
      </c>
      <c r="DQ31">
        <v>0</v>
      </c>
      <c r="DR31">
        <v>0</v>
      </c>
      <c r="DS31">
        <v>0</v>
      </c>
      <c r="DT31">
        <v>0</v>
      </c>
      <c r="DU31">
        <v>0</v>
      </c>
      <c r="DV31">
        <v>0</v>
      </c>
      <c r="DW31">
        <v>0</v>
      </c>
      <c r="DX31">
        <v>0</v>
      </c>
      <c r="DY31">
        <v>0</v>
      </c>
      <c r="DZ31">
        <v>0</v>
      </c>
      <c r="EA31">
        <v>0</v>
      </c>
      <c r="EB31">
        <v>0</v>
      </c>
      <c r="EC31">
        <v>0</v>
      </c>
      <c r="ED31">
        <v>0</v>
      </c>
      <c r="EE31">
        <v>0</v>
      </c>
      <c r="EF31">
        <v>0</v>
      </c>
      <c r="EG31">
        <v>0</v>
      </c>
      <c r="EH31">
        <v>0</v>
      </c>
      <c r="EI31">
        <v>0</v>
      </c>
      <c r="EJ31">
        <v>0</v>
      </c>
      <c r="EK31">
        <v>0</v>
      </c>
      <c r="EL31">
        <v>0</v>
      </c>
      <c r="EM31">
        <v>0</v>
      </c>
      <c r="EN31">
        <v>0</v>
      </c>
      <c r="EO31">
        <v>0</v>
      </c>
      <c r="EP31">
        <v>0</v>
      </c>
      <c r="EQ31">
        <v>0</v>
      </c>
      <c r="ER31">
        <v>0</v>
      </c>
      <c r="ES31">
        <v>0</v>
      </c>
      <c r="ET31">
        <v>0</v>
      </c>
      <c r="EU31">
        <v>0</v>
      </c>
      <c r="EV31">
        <v>0</v>
      </c>
      <c r="EW31">
        <v>0</v>
      </c>
      <c r="EX31">
        <v>0</v>
      </c>
      <c r="EY31">
        <v>0</v>
      </c>
      <c r="EZ31">
        <v>0</v>
      </c>
      <c r="FA31">
        <v>0</v>
      </c>
      <c r="FB31">
        <v>0</v>
      </c>
      <c r="FC31">
        <v>0</v>
      </c>
      <c r="FD31">
        <v>0</v>
      </c>
      <c r="FE31">
        <v>0</v>
      </c>
      <c r="FF31">
        <v>0</v>
      </c>
      <c r="FG31">
        <v>0</v>
      </c>
      <c r="FH31">
        <v>0</v>
      </c>
      <c r="FI31">
        <v>0</v>
      </c>
      <c r="FJ31">
        <v>0</v>
      </c>
      <c r="FK31">
        <v>0</v>
      </c>
      <c r="FL31">
        <v>0</v>
      </c>
      <c r="FM31">
        <v>0</v>
      </c>
      <c r="FN31">
        <v>0</v>
      </c>
      <c r="FO31">
        <v>0</v>
      </c>
      <c r="FP31">
        <v>0</v>
      </c>
      <c r="FQ31">
        <v>0</v>
      </c>
      <c r="FR31">
        <v>0</v>
      </c>
      <c r="FS31">
        <v>0</v>
      </c>
      <c r="FT31">
        <v>0</v>
      </c>
      <c r="FU31">
        <v>0</v>
      </c>
      <c r="FV31">
        <v>0</v>
      </c>
      <c r="FW31">
        <v>0</v>
      </c>
      <c r="FX31">
        <v>0</v>
      </c>
      <c r="FY31">
        <v>0</v>
      </c>
      <c r="FZ31">
        <v>0</v>
      </c>
      <c r="GA31">
        <v>0</v>
      </c>
      <c r="GB31">
        <v>0</v>
      </c>
      <c r="GC31">
        <v>0</v>
      </c>
      <c r="GD31">
        <v>0</v>
      </c>
      <c r="GE31">
        <v>0</v>
      </c>
      <c r="GF31">
        <v>0</v>
      </c>
      <c r="GG31">
        <v>0</v>
      </c>
      <c r="GH31">
        <v>0</v>
      </c>
      <c r="GI31">
        <v>0</v>
      </c>
      <c r="GJ31">
        <v>0</v>
      </c>
      <c r="GK31">
        <v>0</v>
      </c>
      <c r="GL31">
        <v>0</v>
      </c>
      <c r="GM31">
        <v>0</v>
      </c>
      <c r="GN31">
        <v>0</v>
      </c>
      <c r="GO31">
        <v>0</v>
      </c>
      <c r="GP31">
        <v>0</v>
      </c>
      <c r="GQ31">
        <v>0</v>
      </c>
      <c r="GR31">
        <v>0</v>
      </c>
      <c r="GS31">
        <v>0</v>
      </c>
      <c r="GT31">
        <v>0</v>
      </c>
      <c r="GU31">
        <v>0</v>
      </c>
      <c r="GV31">
        <v>0</v>
      </c>
      <c r="GW31">
        <v>0</v>
      </c>
      <c r="GX31">
        <v>0</v>
      </c>
      <c r="GY31">
        <v>0</v>
      </c>
      <c r="GZ31">
        <v>0</v>
      </c>
      <c r="HA31">
        <v>0</v>
      </c>
      <c r="HB31">
        <v>0</v>
      </c>
      <c r="HC31">
        <v>0</v>
      </c>
      <c r="HE31">
        <f t="shared" si="0"/>
        <v>768.5</v>
      </c>
      <c r="HF31">
        <f t="shared" si="1"/>
        <v>1</v>
      </c>
    </row>
    <row r="32" spans="1:214" x14ac:dyDescent="0.45">
      <c r="A32" t="s">
        <v>78</v>
      </c>
      <c r="B32">
        <v>0</v>
      </c>
      <c r="C32">
        <v>0</v>
      </c>
      <c r="D32">
        <v>0</v>
      </c>
      <c r="E32">
        <v>0</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v>0</v>
      </c>
      <c r="AJ32">
        <v>0</v>
      </c>
      <c r="AK32">
        <v>0</v>
      </c>
      <c r="AL32">
        <v>0</v>
      </c>
      <c r="AM32">
        <v>0</v>
      </c>
      <c r="AN32">
        <v>0</v>
      </c>
      <c r="AO32">
        <v>0</v>
      </c>
      <c r="AP32">
        <v>0</v>
      </c>
      <c r="AQ32">
        <v>0</v>
      </c>
      <c r="AR32">
        <v>0</v>
      </c>
      <c r="AS32">
        <v>0</v>
      </c>
      <c r="AT32">
        <v>0</v>
      </c>
      <c r="AU32">
        <v>0</v>
      </c>
      <c r="AV32">
        <v>0</v>
      </c>
      <c r="AW32">
        <v>0</v>
      </c>
      <c r="AX32">
        <v>0</v>
      </c>
      <c r="AY32">
        <v>0</v>
      </c>
      <c r="AZ32">
        <v>0</v>
      </c>
      <c r="BA32">
        <v>0</v>
      </c>
      <c r="BB32">
        <v>0</v>
      </c>
      <c r="BC32">
        <v>0</v>
      </c>
      <c r="BD32">
        <v>0</v>
      </c>
      <c r="BE32">
        <v>0</v>
      </c>
      <c r="BF32">
        <v>0</v>
      </c>
      <c r="BG32">
        <v>0</v>
      </c>
      <c r="BH32">
        <v>0</v>
      </c>
      <c r="BI32">
        <v>0</v>
      </c>
      <c r="BJ32">
        <v>0</v>
      </c>
      <c r="BK32">
        <v>0</v>
      </c>
      <c r="BL32">
        <v>0</v>
      </c>
      <c r="BM32">
        <v>0</v>
      </c>
      <c r="BN32">
        <v>0</v>
      </c>
      <c r="BO32">
        <v>0</v>
      </c>
      <c r="BP32">
        <v>0</v>
      </c>
      <c r="BQ32">
        <v>0</v>
      </c>
      <c r="BR32">
        <v>0</v>
      </c>
      <c r="BS32">
        <v>0</v>
      </c>
      <c r="BT32">
        <v>0</v>
      </c>
      <c r="BU32">
        <v>0</v>
      </c>
      <c r="BV32">
        <v>0</v>
      </c>
      <c r="BW32">
        <v>0</v>
      </c>
      <c r="BX32">
        <v>0</v>
      </c>
      <c r="BY32">
        <v>0</v>
      </c>
      <c r="BZ32">
        <v>0</v>
      </c>
      <c r="CA32">
        <v>0</v>
      </c>
      <c r="CB32">
        <v>0</v>
      </c>
      <c r="CC32">
        <v>0</v>
      </c>
      <c r="CD32">
        <v>0</v>
      </c>
      <c r="CE32">
        <v>0</v>
      </c>
      <c r="CF32">
        <v>0</v>
      </c>
      <c r="CG32">
        <v>0</v>
      </c>
      <c r="CH32">
        <v>0</v>
      </c>
      <c r="CI32">
        <v>0</v>
      </c>
      <c r="CJ32">
        <v>0</v>
      </c>
      <c r="CK32">
        <v>0</v>
      </c>
      <c r="CL32">
        <v>0</v>
      </c>
      <c r="CM32">
        <v>0</v>
      </c>
      <c r="CN32">
        <v>0</v>
      </c>
      <c r="CO32">
        <v>0</v>
      </c>
      <c r="CP32">
        <v>0</v>
      </c>
      <c r="CQ32">
        <v>0</v>
      </c>
      <c r="CR32">
        <v>0</v>
      </c>
      <c r="CS32">
        <v>0</v>
      </c>
      <c r="CT32">
        <v>0</v>
      </c>
      <c r="CU32">
        <v>0</v>
      </c>
      <c r="CV32">
        <v>0</v>
      </c>
      <c r="CW32">
        <v>1250</v>
      </c>
      <c r="CX32">
        <v>0</v>
      </c>
      <c r="CY32">
        <v>0</v>
      </c>
      <c r="CZ32">
        <v>0</v>
      </c>
      <c r="DA32">
        <v>0</v>
      </c>
      <c r="DB32">
        <v>0</v>
      </c>
      <c r="DC32">
        <v>0</v>
      </c>
      <c r="DD32">
        <v>0</v>
      </c>
      <c r="DE32">
        <v>0</v>
      </c>
      <c r="DF32">
        <v>0</v>
      </c>
      <c r="DG32">
        <v>0</v>
      </c>
      <c r="DH32">
        <v>0</v>
      </c>
      <c r="DI32">
        <v>0</v>
      </c>
      <c r="DJ32">
        <v>0</v>
      </c>
      <c r="DK32">
        <v>0</v>
      </c>
      <c r="DL32">
        <v>0</v>
      </c>
      <c r="DM32">
        <v>0</v>
      </c>
      <c r="DN32">
        <v>0</v>
      </c>
      <c r="DO32">
        <v>0</v>
      </c>
      <c r="DP32">
        <v>0</v>
      </c>
      <c r="DQ32">
        <v>0</v>
      </c>
      <c r="DR32">
        <v>0</v>
      </c>
      <c r="DS32">
        <v>0</v>
      </c>
      <c r="DT32">
        <v>0</v>
      </c>
      <c r="DU32">
        <v>0</v>
      </c>
      <c r="DV32">
        <v>0</v>
      </c>
      <c r="DW32">
        <v>0</v>
      </c>
      <c r="DX32">
        <v>0</v>
      </c>
      <c r="DY32">
        <v>0</v>
      </c>
      <c r="DZ32">
        <v>0</v>
      </c>
      <c r="EA32">
        <v>0</v>
      </c>
      <c r="EB32">
        <v>0</v>
      </c>
      <c r="EC32">
        <v>0</v>
      </c>
      <c r="ED32">
        <v>0</v>
      </c>
      <c r="EE32">
        <v>0</v>
      </c>
      <c r="EF32">
        <v>0</v>
      </c>
      <c r="EG32">
        <v>0</v>
      </c>
      <c r="EH32">
        <v>0</v>
      </c>
      <c r="EI32">
        <v>0</v>
      </c>
      <c r="EJ32">
        <v>0</v>
      </c>
      <c r="EK32">
        <v>0</v>
      </c>
      <c r="EL32">
        <v>0</v>
      </c>
      <c r="EM32">
        <v>0</v>
      </c>
      <c r="EN32">
        <v>0</v>
      </c>
      <c r="EO32">
        <v>0</v>
      </c>
      <c r="EP32">
        <v>0</v>
      </c>
      <c r="EQ32">
        <v>0</v>
      </c>
      <c r="ER32">
        <v>0</v>
      </c>
      <c r="ES32">
        <v>0</v>
      </c>
      <c r="ET32">
        <v>0</v>
      </c>
      <c r="EU32">
        <v>0</v>
      </c>
      <c r="EV32">
        <v>0</v>
      </c>
      <c r="EW32">
        <v>0</v>
      </c>
      <c r="EX32">
        <v>0</v>
      </c>
      <c r="EY32">
        <v>0</v>
      </c>
      <c r="EZ32">
        <v>0</v>
      </c>
      <c r="FA32">
        <v>0</v>
      </c>
      <c r="FB32">
        <v>0</v>
      </c>
      <c r="FC32">
        <v>0</v>
      </c>
      <c r="FD32">
        <v>0</v>
      </c>
      <c r="FE32">
        <v>0</v>
      </c>
      <c r="FF32">
        <v>0</v>
      </c>
      <c r="FG32">
        <v>0</v>
      </c>
      <c r="FH32">
        <v>0</v>
      </c>
      <c r="FI32">
        <v>0</v>
      </c>
      <c r="FJ32">
        <v>0</v>
      </c>
      <c r="FK32">
        <v>0</v>
      </c>
      <c r="FL32">
        <v>0</v>
      </c>
      <c r="FM32">
        <v>0</v>
      </c>
      <c r="FN32">
        <v>0</v>
      </c>
      <c r="FO32">
        <v>0</v>
      </c>
      <c r="FP32">
        <v>0</v>
      </c>
      <c r="FQ32">
        <v>0</v>
      </c>
      <c r="FR32">
        <v>0</v>
      </c>
      <c r="FS32">
        <v>0</v>
      </c>
      <c r="FT32">
        <v>0</v>
      </c>
      <c r="FU32">
        <v>0</v>
      </c>
      <c r="FV32">
        <v>0</v>
      </c>
      <c r="FW32">
        <v>0</v>
      </c>
      <c r="FX32">
        <v>0</v>
      </c>
      <c r="FY32">
        <v>0</v>
      </c>
      <c r="FZ32">
        <v>0</v>
      </c>
      <c r="GA32">
        <v>0</v>
      </c>
      <c r="GB32">
        <v>0</v>
      </c>
      <c r="GC32">
        <v>0</v>
      </c>
      <c r="GD32">
        <v>0</v>
      </c>
      <c r="GE32">
        <v>0</v>
      </c>
      <c r="GF32">
        <v>0</v>
      </c>
      <c r="GG32">
        <v>0</v>
      </c>
      <c r="GH32">
        <v>0</v>
      </c>
      <c r="GI32">
        <v>0</v>
      </c>
      <c r="GJ32">
        <v>0</v>
      </c>
      <c r="GK32">
        <v>0</v>
      </c>
      <c r="GL32">
        <v>0</v>
      </c>
      <c r="GM32">
        <v>0</v>
      </c>
      <c r="GN32">
        <v>0</v>
      </c>
      <c r="GO32">
        <v>0</v>
      </c>
      <c r="GP32">
        <v>0</v>
      </c>
      <c r="GQ32">
        <v>0</v>
      </c>
      <c r="GR32">
        <v>0</v>
      </c>
      <c r="GS32">
        <v>0</v>
      </c>
      <c r="GT32">
        <v>0</v>
      </c>
      <c r="GU32">
        <v>0</v>
      </c>
      <c r="GV32">
        <v>0</v>
      </c>
      <c r="GW32">
        <v>0</v>
      </c>
      <c r="GX32">
        <v>0</v>
      </c>
      <c r="GY32">
        <v>0</v>
      </c>
      <c r="GZ32">
        <v>0</v>
      </c>
      <c r="HA32">
        <v>0</v>
      </c>
      <c r="HB32">
        <v>0</v>
      </c>
      <c r="HC32">
        <v>0</v>
      </c>
      <c r="HE32">
        <f t="shared" si="0"/>
        <v>1250</v>
      </c>
      <c r="HF32">
        <f t="shared" si="1"/>
        <v>1</v>
      </c>
    </row>
    <row r="33" spans="1:214" x14ac:dyDescent="0.45">
      <c r="A33" t="s">
        <v>80</v>
      </c>
      <c r="B33">
        <v>0</v>
      </c>
      <c r="C33">
        <v>0</v>
      </c>
      <c r="D33">
        <v>0</v>
      </c>
      <c r="E33">
        <v>0</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v>0</v>
      </c>
      <c r="AK33">
        <v>0</v>
      </c>
      <c r="AL33">
        <v>0</v>
      </c>
      <c r="AM33">
        <v>0</v>
      </c>
      <c r="AN33">
        <v>0</v>
      </c>
      <c r="AO33">
        <v>0</v>
      </c>
      <c r="AP33">
        <v>0</v>
      </c>
      <c r="AQ33">
        <v>0</v>
      </c>
      <c r="AR33">
        <v>0</v>
      </c>
      <c r="AS33">
        <v>0</v>
      </c>
      <c r="AT33">
        <v>0</v>
      </c>
      <c r="AU33">
        <v>0</v>
      </c>
      <c r="AV33">
        <v>0</v>
      </c>
      <c r="AW33">
        <v>0</v>
      </c>
      <c r="AX33">
        <v>0</v>
      </c>
      <c r="AY33">
        <v>0</v>
      </c>
      <c r="AZ33">
        <v>0</v>
      </c>
      <c r="BA33">
        <v>0</v>
      </c>
      <c r="BB33">
        <v>0</v>
      </c>
      <c r="BC33">
        <v>0</v>
      </c>
      <c r="BD33">
        <v>0</v>
      </c>
      <c r="BE33">
        <v>0</v>
      </c>
      <c r="BF33">
        <v>0</v>
      </c>
      <c r="BG33">
        <v>0</v>
      </c>
      <c r="BH33">
        <v>0</v>
      </c>
      <c r="BI33">
        <v>0</v>
      </c>
      <c r="BJ33">
        <v>0</v>
      </c>
      <c r="BK33">
        <v>0</v>
      </c>
      <c r="BL33">
        <v>0</v>
      </c>
      <c r="BM33">
        <v>0</v>
      </c>
      <c r="BN33">
        <v>0</v>
      </c>
      <c r="BO33">
        <v>0</v>
      </c>
      <c r="BP33">
        <v>0</v>
      </c>
      <c r="BQ33">
        <v>0</v>
      </c>
      <c r="BR33">
        <v>0</v>
      </c>
      <c r="BS33">
        <v>0</v>
      </c>
      <c r="BT33">
        <v>0</v>
      </c>
      <c r="BU33">
        <v>0</v>
      </c>
      <c r="BV33">
        <v>0</v>
      </c>
      <c r="BW33">
        <v>0</v>
      </c>
      <c r="BX33">
        <v>0</v>
      </c>
      <c r="BY33">
        <v>0</v>
      </c>
      <c r="BZ33">
        <v>0</v>
      </c>
      <c r="CA33">
        <v>0</v>
      </c>
      <c r="CB33">
        <v>0</v>
      </c>
      <c r="CC33">
        <v>0</v>
      </c>
      <c r="CD33">
        <v>0</v>
      </c>
      <c r="CE33">
        <v>0</v>
      </c>
      <c r="CF33">
        <v>0</v>
      </c>
      <c r="CG33">
        <v>0</v>
      </c>
      <c r="CH33">
        <v>0</v>
      </c>
      <c r="CI33">
        <v>0</v>
      </c>
      <c r="CJ33">
        <v>1145.8</v>
      </c>
      <c r="CK33">
        <v>0</v>
      </c>
      <c r="CL33">
        <v>0</v>
      </c>
      <c r="CM33">
        <v>0</v>
      </c>
      <c r="CN33">
        <v>1138.9000000000001</v>
      </c>
      <c r="CO33">
        <v>0</v>
      </c>
      <c r="CP33">
        <v>0</v>
      </c>
      <c r="CQ33">
        <v>0</v>
      </c>
      <c r="CR33">
        <v>0</v>
      </c>
      <c r="CS33">
        <v>1172</v>
      </c>
      <c r="CT33">
        <v>0</v>
      </c>
      <c r="CU33">
        <v>0</v>
      </c>
      <c r="CV33">
        <v>0</v>
      </c>
      <c r="CW33">
        <v>0</v>
      </c>
      <c r="CX33">
        <v>0</v>
      </c>
      <c r="CY33">
        <v>0</v>
      </c>
      <c r="CZ33">
        <v>0</v>
      </c>
      <c r="DA33">
        <v>0</v>
      </c>
      <c r="DB33">
        <v>0</v>
      </c>
      <c r="DC33">
        <v>0</v>
      </c>
      <c r="DD33">
        <v>0</v>
      </c>
      <c r="DE33">
        <v>0</v>
      </c>
      <c r="DF33">
        <v>0</v>
      </c>
      <c r="DG33">
        <v>0</v>
      </c>
      <c r="DH33">
        <v>0</v>
      </c>
      <c r="DI33">
        <v>0</v>
      </c>
      <c r="DJ33">
        <v>0</v>
      </c>
      <c r="DK33">
        <v>0</v>
      </c>
      <c r="DL33">
        <v>0</v>
      </c>
      <c r="DM33">
        <v>0</v>
      </c>
      <c r="DN33">
        <v>0</v>
      </c>
      <c r="DO33">
        <v>0</v>
      </c>
      <c r="DP33">
        <v>0</v>
      </c>
      <c r="DQ33">
        <v>0</v>
      </c>
      <c r="DR33">
        <v>0</v>
      </c>
      <c r="DS33">
        <v>0</v>
      </c>
      <c r="DT33">
        <v>0</v>
      </c>
      <c r="DU33">
        <v>0</v>
      </c>
      <c r="DV33">
        <v>0</v>
      </c>
      <c r="DW33">
        <v>0</v>
      </c>
      <c r="DX33">
        <v>0</v>
      </c>
      <c r="DY33">
        <v>0</v>
      </c>
      <c r="DZ33">
        <v>0</v>
      </c>
      <c r="EA33">
        <v>0</v>
      </c>
      <c r="EB33">
        <v>0</v>
      </c>
      <c r="EC33">
        <v>0</v>
      </c>
      <c r="ED33">
        <v>0</v>
      </c>
      <c r="EE33">
        <v>0</v>
      </c>
      <c r="EF33">
        <v>0</v>
      </c>
      <c r="EG33">
        <v>0</v>
      </c>
      <c r="EH33">
        <v>0</v>
      </c>
      <c r="EI33">
        <v>0</v>
      </c>
      <c r="EJ33">
        <v>0</v>
      </c>
      <c r="EK33">
        <v>0</v>
      </c>
      <c r="EL33">
        <v>0</v>
      </c>
      <c r="EM33">
        <v>0</v>
      </c>
      <c r="EN33">
        <v>0</v>
      </c>
      <c r="EO33">
        <v>0</v>
      </c>
      <c r="EP33">
        <v>0</v>
      </c>
      <c r="EQ33">
        <v>0</v>
      </c>
      <c r="ER33">
        <v>0</v>
      </c>
      <c r="ES33">
        <v>0</v>
      </c>
      <c r="ET33">
        <v>0</v>
      </c>
      <c r="EU33">
        <v>0</v>
      </c>
      <c r="EV33">
        <v>0</v>
      </c>
      <c r="EW33">
        <v>0</v>
      </c>
      <c r="EX33">
        <v>0</v>
      </c>
      <c r="EY33">
        <v>0</v>
      </c>
      <c r="EZ33">
        <v>0</v>
      </c>
      <c r="FA33">
        <v>0</v>
      </c>
      <c r="FB33">
        <v>0</v>
      </c>
      <c r="FC33">
        <v>0</v>
      </c>
      <c r="FD33">
        <v>0</v>
      </c>
      <c r="FE33">
        <v>0</v>
      </c>
      <c r="FF33">
        <v>0</v>
      </c>
      <c r="FG33">
        <v>0</v>
      </c>
      <c r="FH33">
        <v>0</v>
      </c>
      <c r="FI33">
        <v>0</v>
      </c>
      <c r="FJ33">
        <v>0</v>
      </c>
      <c r="FK33">
        <v>0</v>
      </c>
      <c r="FL33">
        <v>0</v>
      </c>
      <c r="FM33">
        <v>0</v>
      </c>
      <c r="FN33">
        <v>0</v>
      </c>
      <c r="FO33">
        <v>0</v>
      </c>
      <c r="FP33">
        <v>0</v>
      </c>
      <c r="FQ33">
        <v>0</v>
      </c>
      <c r="FR33">
        <v>0</v>
      </c>
      <c r="FS33">
        <v>0</v>
      </c>
      <c r="FT33">
        <v>0</v>
      </c>
      <c r="FU33">
        <v>0</v>
      </c>
      <c r="FV33">
        <v>0</v>
      </c>
      <c r="FW33">
        <v>0</v>
      </c>
      <c r="FX33">
        <v>0</v>
      </c>
      <c r="FY33">
        <v>0</v>
      </c>
      <c r="FZ33">
        <v>0</v>
      </c>
      <c r="GA33">
        <v>0</v>
      </c>
      <c r="GB33">
        <v>0</v>
      </c>
      <c r="GC33">
        <v>0</v>
      </c>
      <c r="GD33">
        <v>0</v>
      </c>
      <c r="GE33">
        <v>0</v>
      </c>
      <c r="GF33">
        <v>0</v>
      </c>
      <c r="GG33">
        <v>0</v>
      </c>
      <c r="GH33">
        <v>0</v>
      </c>
      <c r="GI33">
        <v>0</v>
      </c>
      <c r="GJ33">
        <v>0</v>
      </c>
      <c r="GK33">
        <v>0</v>
      </c>
      <c r="GL33">
        <v>0</v>
      </c>
      <c r="GM33">
        <v>0</v>
      </c>
      <c r="GN33">
        <v>0</v>
      </c>
      <c r="GO33">
        <v>0</v>
      </c>
      <c r="GP33">
        <v>0</v>
      </c>
      <c r="GQ33">
        <v>0</v>
      </c>
      <c r="GR33">
        <v>0</v>
      </c>
      <c r="GS33">
        <v>0</v>
      </c>
      <c r="GT33">
        <v>0</v>
      </c>
      <c r="GU33">
        <v>0</v>
      </c>
      <c r="GV33">
        <v>0</v>
      </c>
      <c r="GW33">
        <v>0</v>
      </c>
      <c r="GX33">
        <v>0</v>
      </c>
      <c r="GY33">
        <v>0</v>
      </c>
      <c r="GZ33">
        <v>0</v>
      </c>
      <c r="HA33">
        <v>0</v>
      </c>
      <c r="HB33">
        <v>0</v>
      </c>
      <c r="HC33">
        <v>0</v>
      </c>
      <c r="HE33">
        <f t="shared" si="0"/>
        <v>3456.7</v>
      </c>
      <c r="HF33">
        <f t="shared" si="1"/>
        <v>1</v>
      </c>
    </row>
    <row r="34" spans="1:214" x14ac:dyDescent="0.45">
      <c r="A34" t="s">
        <v>82</v>
      </c>
      <c r="B34">
        <v>0</v>
      </c>
      <c r="C34">
        <v>0</v>
      </c>
      <c r="D34">
        <v>0</v>
      </c>
      <c r="E34">
        <v>0</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v>0</v>
      </c>
      <c r="AF34">
        <v>0</v>
      </c>
      <c r="AG34">
        <v>0</v>
      </c>
      <c r="AH34">
        <v>0</v>
      </c>
      <c r="AI34">
        <v>0</v>
      </c>
      <c r="AJ34">
        <v>0</v>
      </c>
      <c r="AK34">
        <v>0</v>
      </c>
      <c r="AL34">
        <v>0</v>
      </c>
      <c r="AM34">
        <v>0</v>
      </c>
      <c r="AN34">
        <v>0</v>
      </c>
      <c r="AO34">
        <v>0</v>
      </c>
      <c r="AP34">
        <v>0</v>
      </c>
      <c r="AQ34">
        <v>0</v>
      </c>
      <c r="AR34">
        <v>0</v>
      </c>
      <c r="AS34">
        <v>0</v>
      </c>
      <c r="AT34">
        <v>0</v>
      </c>
      <c r="AU34">
        <v>0</v>
      </c>
      <c r="AV34">
        <v>0</v>
      </c>
      <c r="AW34">
        <v>0</v>
      </c>
      <c r="AX34">
        <v>0</v>
      </c>
      <c r="AY34">
        <v>0</v>
      </c>
      <c r="AZ34">
        <v>0</v>
      </c>
      <c r="BA34">
        <v>0</v>
      </c>
      <c r="BB34">
        <v>0</v>
      </c>
      <c r="BC34">
        <v>0</v>
      </c>
      <c r="BD34">
        <v>0</v>
      </c>
      <c r="BE34">
        <v>0</v>
      </c>
      <c r="BF34">
        <v>0</v>
      </c>
      <c r="BG34">
        <v>0</v>
      </c>
      <c r="BH34">
        <v>0</v>
      </c>
      <c r="BI34">
        <v>0</v>
      </c>
      <c r="BJ34">
        <v>0</v>
      </c>
      <c r="BK34">
        <v>0</v>
      </c>
      <c r="BL34">
        <v>0</v>
      </c>
      <c r="BM34">
        <v>0</v>
      </c>
      <c r="BN34">
        <v>0</v>
      </c>
      <c r="BO34">
        <v>0</v>
      </c>
      <c r="BP34">
        <v>0</v>
      </c>
      <c r="BQ34">
        <v>0</v>
      </c>
      <c r="BR34">
        <v>0</v>
      </c>
      <c r="BS34">
        <v>0</v>
      </c>
      <c r="BT34">
        <v>0</v>
      </c>
      <c r="BU34">
        <v>0</v>
      </c>
      <c r="BV34">
        <v>0</v>
      </c>
      <c r="BW34">
        <v>0</v>
      </c>
      <c r="BX34">
        <v>0</v>
      </c>
      <c r="BY34">
        <v>0</v>
      </c>
      <c r="BZ34">
        <v>0</v>
      </c>
      <c r="CA34">
        <v>0</v>
      </c>
      <c r="CB34">
        <v>0</v>
      </c>
      <c r="CC34">
        <v>0</v>
      </c>
      <c r="CD34">
        <v>0</v>
      </c>
      <c r="CE34">
        <v>0</v>
      </c>
      <c r="CF34">
        <v>0</v>
      </c>
      <c r="CG34">
        <v>0</v>
      </c>
      <c r="CH34">
        <v>0</v>
      </c>
      <c r="CI34">
        <v>0</v>
      </c>
      <c r="CJ34">
        <v>0</v>
      </c>
      <c r="CK34">
        <v>0</v>
      </c>
      <c r="CL34">
        <v>0</v>
      </c>
      <c r="CM34">
        <v>0</v>
      </c>
      <c r="CN34">
        <v>0</v>
      </c>
      <c r="CO34">
        <v>0</v>
      </c>
      <c r="CP34">
        <v>0</v>
      </c>
      <c r="CQ34">
        <v>0</v>
      </c>
      <c r="CR34">
        <v>0</v>
      </c>
      <c r="CS34">
        <v>0</v>
      </c>
      <c r="CT34">
        <v>0</v>
      </c>
      <c r="CU34">
        <v>0</v>
      </c>
      <c r="CV34">
        <v>0</v>
      </c>
      <c r="CW34">
        <v>0</v>
      </c>
      <c r="CX34">
        <v>0</v>
      </c>
      <c r="CY34">
        <v>0</v>
      </c>
      <c r="CZ34">
        <v>0</v>
      </c>
      <c r="DA34">
        <v>0</v>
      </c>
      <c r="DB34">
        <v>0</v>
      </c>
      <c r="DC34">
        <v>0</v>
      </c>
      <c r="DD34">
        <v>0</v>
      </c>
      <c r="DE34">
        <v>0</v>
      </c>
      <c r="DF34">
        <v>0</v>
      </c>
      <c r="DG34">
        <v>0</v>
      </c>
      <c r="DH34">
        <v>0</v>
      </c>
      <c r="DI34">
        <v>0</v>
      </c>
      <c r="DJ34">
        <v>0</v>
      </c>
      <c r="DK34">
        <v>0</v>
      </c>
      <c r="DL34">
        <v>0</v>
      </c>
      <c r="DM34">
        <v>0</v>
      </c>
      <c r="DN34">
        <v>0</v>
      </c>
      <c r="DO34">
        <v>0</v>
      </c>
      <c r="DP34">
        <v>0</v>
      </c>
      <c r="DQ34">
        <v>0</v>
      </c>
      <c r="DR34">
        <v>0</v>
      </c>
      <c r="DS34">
        <v>0</v>
      </c>
      <c r="DT34">
        <v>0</v>
      </c>
      <c r="DU34">
        <v>0</v>
      </c>
      <c r="DV34">
        <v>0</v>
      </c>
      <c r="DW34">
        <v>0</v>
      </c>
      <c r="DX34">
        <v>0</v>
      </c>
      <c r="DY34">
        <v>0</v>
      </c>
      <c r="DZ34">
        <v>0</v>
      </c>
      <c r="EA34">
        <v>0</v>
      </c>
      <c r="EB34">
        <v>0</v>
      </c>
      <c r="EC34">
        <v>0</v>
      </c>
      <c r="ED34">
        <v>0</v>
      </c>
      <c r="EE34">
        <v>0</v>
      </c>
      <c r="EF34">
        <v>0</v>
      </c>
      <c r="EG34">
        <v>0</v>
      </c>
      <c r="EH34">
        <v>0</v>
      </c>
      <c r="EI34">
        <v>0</v>
      </c>
      <c r="EJ34">
        <v>0</v>
      </c>
      <c r="EK34">
        <v>0</v>
      </c>
      <c r="EL34">
        <v>0</v>
      </c>
      <c r="EM34">
        <v>0</v>
      </c>
      <c r="EN34">
        <v>0</v>
      </c>
      <c r="EO34">
        <v>0</v>
      </c>
      <c r="EP34">
        <v>0</v>
      </c>
      <c r="EQ34">
        <v>0</v>
      </c>
      <c r="ER34">
        <v>0</v>
      </c>
      <c r="ES34">
        <v>0</v>
      </c>
      <c r="ET34">
        <v>0</v>
      </c>
      <c r="EU34">
        <v>0</v>
      </c>
      <c r="EV34">
        <v>0</v>
      </c>
      <c r="EW34">
        <v>0</v>
      </c>
      <c r="EX34">
        <v>0</v>
      </c>
      <c r="EY34">
        <v>0</v>
      </c>
      <c r="EZ34">
        <v>0</v>
      </c>
      <c r="FA34">
        <v>0</v>
      </c>
      <c r="FB34">
        <v>0</v>
      </c>
      <c r="FC34">
        <v>0</v>
      </c>
      <c r="FD34">
        <v>0</v>
      </c>
      <c r="FE34">
        <v>0</v>
      </c>
      <c r="FF34">
        <v>0</v>
      </c>
      <c r="FG34">
        <v>0</v>
      </c>
      <c r="FH34">
        <v>0</v>
      </c>
      <c r="FI34">
        <v>0</v>
      </c>
      <c r="FJ34">
        <v>0</v>
      </c>
      <c r="FK34">
        <v>0</v>
      </c>
      <c r="FL34">
        <v>0</v>
      </c>
      <c r="FM34">
        <v>0</v>
      </c>
      <c r="FN34">
        <v>0</v>
      </c>
      <c r="FO34">
        <v>0</v>
      </c>
      <c r="FP34">
        <v>0</v>
      </c>
      <c r="FQ34">
        <v>0</v>
      </c>
      <c r="FR34">
        <v>0</v>
      </c>
      <c r="FS34">
        <v>0</v>
      </c>
      <c r="FT34">
        <v>0</v>
      </c>
      <c r="FU34">
        <v>0</v>
      </c>
      <c r="FV34">
        <v>0</v>
      </c>
      <c r="FW34">
        <v>0</v>
      </c>
      <c r="FX34">
        <v>0</v>
      </c>
      <c r="FY34">
        <v>0</v>
      </c>
      <c r="FZ34">
        <v>0</v>
      </c>
      <c r="GA34">
        <v>0</v>
      </c>
      <c r="GB34">
        <v>0</v>
      </c>
      <c r="GC34">
        <v>0</v>
      </c>
      <c r="GD34">
        <v>0</v>
      </c>
      <c r="GE34">
        <v>0</v>
      </c>
      <c r="GF34">
        <v>0</v>
      </c>
      <c r="GG34">
        <v>0</v>
      </c>
      <c r="GH34">
        <v>0</v>
      </c>
      <c r="GI34">
        <v>0</v>
      </c>
      <c r="GJ34">
        <v>0</v>
      </c>
      <c r="GK34">
        <v>0</v>
      </c>
      <c r="GL34">
        <v>0</v>
      </c>
      <c r="GM34">
        <v>0</v>
      </c>
      <c r="GN34">
        <v>0</v>
      </c>
      <c r="GO34">
        <v>0</v>
      </c>
      <c r="GP34">
        <v>0</v>
      </c>
      <c r="GQ34">
        <v>0</v>
      </c>
      <c r="GR34">
        <v>0</v>
      </c>
      <c r="GS34">
        <v>0</v>
      </c>
      <c r="GT34">
        <v>0</v>
      </c>
      <c r="GU34">
        <v>0</v>
      </c>
      <c r="GV34">
        <v>0</v>
      </c>
      <c r="GW34">
        <v>0</v>
      </c>
      <c r="GX34">
        <v>0</v>
      </c>
      <c r="GY34">
        <v>0</v>
      </c>
      <c r="GZ34">
        <v>0</v>
      </c>
      <c r="HA34">
        <v>0</v>
      </c>
      <c r="HB34">
        <v>0</v>
      </c>
      <c r="HC34">
        <v>0</v>
      </c>
      <c r="HE34">
        <f t="shared" si="0"/>
        <v>0</v>
      </c>
      <c r="HF34">
        <f t="shared" si="1"/>
        <v>0</v>
      </c>
    </row>
    <row r="35" spans="1:214" x14ac:dyDescent="0.45">
      <c r="A35" t="s">
        <v>84</v>
      </c>
      <c r="B35">
        <v>0</v>
      </c>
      <c r="C35">
        <v>0</v>
      </c>
      <c r="D35">
        <v>0</v>
      </c>
      <c r="E35">
        <v>0</v>
      </c>
      <c r="F35">
        <v>0</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v>0</v>
      </c>
      <c r="AF35">
        <v>0</v>
      </c>
      <c r="AG35">
        <v>0</v>
      </c>
      <c r="AH35">
        <v>0</v>
      </c>
      <c r="AI35">
        <v>0</v>
      </c>
      <c r="AJ35">
        <v>0</v>
      </c>
      <c r="AK35">
        <v>0</v>
      </c>
      <c r="AL35">
        <v>0</v>
      </c>
      <c r="AM35">
        <v>0</v>
      </c>
      <c r="AN35">
        <v>0</v>
      </c>
      <c r="AO35">
        <v>0</v>
      </c>
      <c r="AP35">
        <v>0</v>
      </c>
      <c r="AQ35">
        <v>0</v>
      </c>
      <c r="AR35">
        <v>0</v>
      </c>
      <c r="AS35">
        <v>0</v>
      </c>
      <c r="AT35">
        <v>0</v>
      </c>
      <c r="AU35">
        <v>0</v>
      </c>
      <c r="AV35">
        <v>0</v>
      </c>
      <c r="AW35">
        <v>0</v>
      </c>
      <c r="AX35">
        <v>0</v>
      </c>
      <c r="AY35">
        <v>0</v>
      </c>
      <c r="AZ35">
        <v>0</v>
      </c>
      <c r="BA35">
        <v>0</v>
      </c>
      <c r="BB35">
        <v>0</v>
      </c>
      <c r="BC35">
        <v>0</v>
      </c>
      <c r="BD35">
        <v>0</v>
      </c>
      <c r="BE35">
        <v>0</v>
      </c>
      <c r="BF35">
        <v>0</v>
      </c>
      <c r="BG35">
        <v>0</v>
      </c>
      <c r="BH35">
        <v>0</v>
      </c>
      <c r="BI35">
        <v>0</v>
      </c>
      <c r="BJ35">
        <v>0</v>
      </c>
      <c r="BK35">
        <v>0</v>
      </c>
      <c r="BL35">
        <v>0</v>
      </c>
      <c r="BM35">
        <v>0</v>
      </c>
      <c r="BN35">
        <v>0</v>
      </c>
      <c r="BO35">
        <v>0</v>
      </c>
      <c r="BP35">
        <v>0</v>
      </c>
      <c r="BQ35">
        <v>0</v>
      </c>
      <c r="BR35">
        <v>0</v>
      </c>
      <c r="BS35">
        <v>0</v>
      </c>
      <c r="BT35">
        <v>0</v>
      </c>
      <c r="BU35">
        <v>0</v>
      </c>
      <c r="BV35">
        <v>0</v>
      </c>
      <c r="BW35">
        <v>0</v>
      </c>
      <c r="BX35">
        <v>0</v>
      </c>
      <c r="BY35">
        <v>0</v>
      </c>
      <c r="BZ35">
        <v>0</v>
      </c>
      <c r="CA35">
        <v>0</v>
      </c>
      <c r="CB35">
        <v>0</v>
      </c>
      <c r="CC35">
        <v>0</v>
      </c>
      <c r="CD35">
        <v>0</v>
      </c>
      <c r="CE35">
        <v>0</v>
      </c>
      <c r="CF35">
        <v>0</v>
      </c>
      <c r="CG35">
        <v>0</v>
      </c>
      <c r="CH35">
        <v>0</v>
      </c>
      <c r="CI35">
        <v>0</v>
      </c>
      <c r="CJ35">
        <v>0</v>
      </c>
      <c r="CK35">
        <v>0</v>
      </c>
      <c r="CL35">
        <v>0</v>
      </c>
      <c r="CM35">
        <v>0</v>
      </c>
      <c r="CN35">
        <v>0</v>
      </c>
      <c r="CO35">
        <v>0</v>
      </c>
      <c r="CP35">
        <v>0</v>
      </c>
      <c r="CQ35">
        <v>0</v>
      </c>
      <c r="CR35">
        <v>0</v>
      </c>
      <c r="CS35">
        <v>0</v>
      </c>
      <c r="CT35">
        <v>0</v>
      </c>
      <c r="CU35">
        <v>0</v>
      </c>
      <c r="CV35">
        <v>0</v>
      </c>
      <c r="CW35">
        <v>0</v>
      </c>
      <c r="CX35">
        <v>0</v>
      </c>
      <c r="CY35">
        <v>0</v>
      </c>
      <c r="CZ35">
        <v>0</v>
      </c>
      <c r="DA35">
        <v>0</v>
      </c>
      <c r="DB35">
        <v>0</v>
      </c>
      <c r="DC35">
        <v>0</v>
      </c>
      <c r="DD35">
        <v>0</v>
      </c>
      <c r="DE35">
        <v>0</v>
      </c>
      <c r="DF35">
        <v>0</v>
      </c>
      <c r="DG35">
        <v>0</v>
      </c>
      <c r="DH35">
        <v>0</v>
      </c>
      <c r="DI35">
        <v>0</v>
      </c>
      <c r="DJ35">
        <v>0</v>
      </c>
      <c r="DK35">
        <v>0</v>
      </c>
      <c r="DL35">
        <v>0</v>
      </c>
      <c r="DM35">
        <v>0</v>
      </c>
      <c r="DN35">
        <v>0</v>
      </c>
      <c r="DO35">
        <v>0</v>
      </c>
      <c r="DP35">
        <v>0</v>
      </c>
      <c r="DQ35">
        <v>0</v>
      </c>
      <c r="DR35">
        <v>0</v>
      </c>
      <c r="DS35">
        <v>0</v>
      </c>
      <c r="DT35">
        <v>0</v>
      </c>
      <c r="DU35">
        <v>0</v>
      </c>
      <c r="DV35">
        <v>0</v>
      </c>
      <c r="DW35">
        <v>0</v>
      </c>
      <c r="DX35">
        <v>0</v>
      </c>
      <c r="DY35">
        <v>0</v>
      </c>
      <c r="DZ35">
        <v>0</v>
      </c>
      <c r="EA35">
        <v>0</v>
      </c>
      <c r="EB35">
        <v>0</v>
      </c>
      <c r="EC35">
        <v>0</v>
      </c>
      <c r="ED35">
        <v>0</v>
      </c>
      <c r="EE35">
        <v>0</v>
      </c>
      <c r="EF35">
        <v>0</v>
      </c>
      <c r="EG35">
        <v>0</v>
      </c>
      <c r="EH35">
        <v>0</v>
      </c>
      <c r="EI35">
        <v>0</v>
      </c>
      <c r="EJ35">
        <v>0</v>
      </c>
      <c r="EK35">
        <v>0</v>
      </c>
      <c r="EL35">
        <v>0</v>
      </c>
      <c r="EM35">
        <v>0</v>
      </c>
      <c r="EN35">
        <v>0</v>
      </c>
      <c r="EO35">
        <v>0</v>
      </c>
      <c r="EP35">
        <v>0</v>
      </c>
      <c r="EQ35">
        <v>0</v>
      </c>
      <c r="ER35">
        <v>0</v>
      </c>
      <c r="ES35">
        <v>0</v>
      </c>
      <c r="ET35">
        <v>0</v>
      </c>
      <c r="EU35">
        <v>0</v>
      </c>
      <c r="EV35">
        <v>0</v>
      </c>
      <c r="EW35">
        <v>0</v>
      </c>
      <c r="EX35">
        <v>0</v>
      </c>
      <c r="EY35">
        <v>0</v>
      </c>
      <c r="EZ35">
        <v>0</v>
      </c>
      <c r="FA35">
        <v>0</v>
      </c>
      <c r="FB35">
        <v>0</v>
      </c>
      <c r="FC35">
        <v>0</v>
      </c>
      <c r="FD35">
        <v>0</v>
      </c>
      <c r="FE35">
        <v>0</v>
      </c>
      <c r="FF35">
        <v>0</v>
      </c>
      <c r="FG35">
        <v>0</v>
      </c>
      <c r="FH35">
        <v>0</v>
      </c>
      <c r="FI35">
        <v>0</v>
      </c>
      <c r="FJ35">
        <v>0</v>
      </c>
      <c r="FK35">
        <v>0</v>
      </c>
      <c r="FL35">
        <v>0</v>
      </c>
      <c r="FM35">
        <v>0</v>
      </c>
      <c r="FN35">
        <v>0</v>
      </c>
      <c r="FO35">
        <v>0</v>
      </c>
      <c r="FP35">
        <v>0</v>
      </c>
      <c r="FQ35">
        <v>0</v>
      </c>
      <c r="FR35">
        <v>0</v>
      </c>
      <c r="FS35">
        <v>0</v>
      </c>
      <c r="FT35">
        <v>0</v>
      </c>
      <c r="FU35">
        <v>0</v>
      </c>
      <c r="FV35">
        <v>0</v>
      </c>
      <c r="FW35">
        <v>0</v>
      </c>
      <c r="FX35">
        <v>0</v>
      </c>
      <c r="FY35">
        <v>0</v>
      </c>
      <c r="FZ35">
        <v>0</v>
      </c>
      <c r="GA35">
        <v>0</v>
      </c>
      <c r="GB35">
        <v>0</v>
      </c>
      <c r="GC35">
        <v>0</v>
      </c>
      <c r="GD35">
        <v>0</v>
      </c>
      <c r="GE35">
        <v>0</v>
      </c>
      <c r="GF35">
        <v>0</v>
      </c>
      <c r="GG35">
        <v>0</v>
      </c>
      <c r="GH35">
        <v>0</v>
      </c>
      <c r="GI35">
        <v>0</v>
      </c>
      <c r="GJ35">
        <v>0</v>
      </c>
      <c r="GK35">
        <v>0</v>
      </c>
      <c r="GL35">
        <v>0</v>
      </c>
      <c r="GM35">
        <v>0</v>
      </c>
      <c r="GN35">
        <v>0</v>
      </c>
      <c r="GO35">
        <v>0</v>
      </c>
      <c r="GP35">
        <v>0</v>
      </c>
      <c r="GQ35">
        <v>0</v>
      </c>
      <c r="GR35">
        <v>0</v>
      </c>
      <c r="GS35">
        <v>0</v>
      </c>
      <c r="GT35">
        <v>0</v>
      </c>
      <c r="GU35">
        <v>0</v>
      </c>
      <c r="GV35">
        <v>0</v>
      </c>
      <c r="GW35">
        <v>0</v>
      </c>
      <c r="GX35">
        <v>0</v>
      </c>
      <c r="GY35">
        <v>0</v>
      </c>
      <c r="GZ35">
        <v>0</v>
      </c>
      <c r="HA35">
        <v>0</v>
      </c>
      <c r="HB35">
        <v>0</v>
      </c>
      <c r="HC35">
        <v>0</v>
      </c>
      <c r="HE35">
        <f t="shared" si="0"/>
        <v>0</v>
      </c>
      <c r="HF35">
        <f t="shared" si="1"/>
        <v>0</v>
      </c>
    </row>
    <row r="36" spans="1:214" x14ac:dyDescent="0.45">
      <c r="A36" t="s">
        <v>86</v>
      </c>
      <c r="B36">
        <v>0</v>
      </c>
      <c r="C36">
        <v>0</v>
      </c>
      <c r="D36">
        <v>0</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c r="AG36">
        <v>0</v>
      </c>
      <c r="AH36">
        <v>0</v>
      </c>
      <c r="AI36">
        <v>0</v>
      </c>
      <c r="AJ36">
        <v>0</v>
      </c>
      <c r="AK36">
        <v>0</v>
      </c>
      <c r="AL36">
        <v>0</v>
      </c>
      <c r="AM36">
        <v>0</v>
      </c>
      <c r="AN36">
        <v>0</v>
      </c>
      <c r="AO36">
        <v>0</v>
      </c>
      <c r="AP36">
        <v>0</v>
      </c>
      <c r="AQ36">
        <v>0</v>
      </c>
      <c r="AR36">
        <v>0</v>
      </c>
      <c r="AS36">
        <v>0</v>
      </c>
      <c r="AT36">
        <v>0</v>
      </c>
      <c r="AU36">
        <v>0</v>
      </c>
      <c r="AV36">
        <v>0</v>
      </c>
      <c r="AW36">
        <v>0</v>
      </c>
      <c r="AX36">
        <v>0</v>
      </c>
      <c r="AY36">
        <v>0</v>
      </c>
      <c r="AZ36">
        <v>0</v>
      </c>
      <c r="BA36">
        <v>0</v>
      </c>
      <c r="BB36">
        <v>0</v>
      </c>
      <c r="BC36">
        <v>0</v>
      </c>
      <c r="BD36">
        <v>0</v>
      </c>
      <c r="BE36">
        <v>0</v>
      </c>
      <c r="BF36">
        <v>0</v>
      </c>
      <c r="BG36">
        <v>0</v>
      </c>
      <c r="BH36">
        <v>0</v>
      </c>
      <c r="BI36">
        <v>0</v>
      </c>
      <c r="BJ36">
        <v>0</v>
      </c>
      <c r="BK36">
        <v>0</v>
      </c>
      <c r="BL36">
        <v>0</v>
      </c>
      <c r="BM36">
        <v>0</v>
      </c>
      <c r="BN36">
        <v>0</v>
      </c>
      <c r="BO36">
        <v>0</v>
      </c>
      <c r="BP36">
        <v>0</v>
      </c>
      <c r="BQ36">
        <v>0</v>
      </c>
      <c r="BR36">
        <v>0</v>
      </c>
      <c r="BS36">
        <v>0</v>
      </c>
      <c r="BT36">
        <v>0</v>
      </c>
      <c r="BU36">
        <v>0</v>
      </c>
      <c r="BV36">
        <v>0</v>
      </c>
      <c r="BW36">
        <v>0</v>
      </c>
      <c r="BX36">
        <v>0</v>
      </c>
      <c r="BY36">
        <v>0</v>
      </c>
      <c r="BZ36">
        <v>0</v>
      </c>
      <c r="CA36">
        <v>0</v>
      </c>
      <c r="CB36">
        <v>621.4</v>
      </c>
      <c r="CC36">
        <v>581.5</v>
      </c>
      <c r="CD36">
        <v>0</v>
      </c>
      <c r="CE36">
        <v>0</v>
      </c>
      <c r="CF36">
        <v>0</v>
      </c>
      <c r="CG36">
        <v>0</v>
      </c>
      <c r="CH36">
        <v>0</v>
      </c>
      <c r="CI36">
        <v>852.8</v>
      </c>
      <c r="CJ36">
        <v>0</v>
      </c>
      <c r="CK36">
        <v>0</v>
      </c>
      <c r="CL36">
        <v>0</v>
      </c>
      <c r="CM36">
        <v>0</v>
      </c>
      <c r="CN36">
        <v>0</v>
      </c>
      <c r="CO36">
        <v>0</v>
      </c>
      <c r="CP36">
        <v>0</v>
      </c>
      <c r="CQ36">
        <v>0</v>
      </c>
      <c r="CR36">
        <v>0</v>
      </c>
      <c r="CS36">
        <v>0</v>
      </c>
      <c r="CT36">
        <v>1274.7</v>
      </c>
      <c r="CU36">
        <v>0</v>
      </c>
      <c r="CV36">
        <v>0</v>
      </c>
      <c r="CW36">
        <v>0</v>
      </c>
      <c r="CX36">
        <v>0</v>
      </c>
      <c r="CY36">
        <v>0</v>
      </c>
      <c r="CZ36">
        <v>0</v>
      </c>
      <c r="DA36">
        <v>0</v>
      </c>
      <c r="DB36">
        <v>0</v>
      </c>
      <c r="DC36">
        <v>0</v>
      </c>
      <c r="DD36">
        <v>0</v>
      </c>
      <c r="DE36">
        <v>0</v>
      </c>
      <c r="DF36">
        <v>0</v>
      </c>
      <c r="DG36">
        <v>0</v>
      </c>
      <c r="DH36">
        <v>0</v>
      </c>
      <c r="DI36">
        <v>0</v>
      </c>
      <c r="DJ36">
        <v>0</v>
      </c>
      <c r="DK36">
        <v>0</v>
      </c>
      <c r="DL36">
        <v>0</v>
      </c>
      <c r="DM36">
        <v>0</v>
      </c>
      <c r="DN36">
        <v>0</v>
      </c>
      <c r="DO36">
        <v>0</v>
      </c>
      <c r="DP36">
        <v>0</v>
      </c>
      <c r="DQ36">
        <v>0</v>
      </c>
      <c r="DR36">
        <v>0</v>
      </c>
      <c r="DS36">
        <v>0</v>
      </c>
      <c r="DT36">
        <v>0</v>
      </c>
      <c r="DU36">
        <v>0</v>
      </c>
      <c r="DV36">
        <v>0</v>
      </c>
      <c r="DW36">
        <v>0</v>
      </c>
      <c r="DX36">
        <v>0</v>
      </c>
      <c r="DY36">
        <v>0</v>
      </c>
      <c r="DZ36">
        <v>0</v>
      </c>
      <c r="EA36">
        <v>0</v>
      </c>
      <c r="EB36">
        <v>0</v>
      </c>
      <c r="EC36">
        <v>0</v>
      </c>
      <c r="ED36">
        <v>0</v>
      </c>
      <c r="EE36">
        <v>0</v>
      </c>
      <c r="EF36">
        <v>0</v>
      </c>
      <c r="EG36">
        <v>0</v>
      </c>
      <c r="EH36">
        <v>0</v>
      </c>
      <c r="EI36">
        <v>0</v>
      </c>
      <c r="EJ36">
        <v>0</v>
      </c>
      <c r="EK36">
        <v>0</v>
      </c>
      <c r="EL36">
        <v>0</v>
      </c>
      <c r="EM36">
        <v>0</v>
      </c>
      <c r="EN36">
        <v>0</v>
      </c>
      <c r="EO36">
        <v>0</v>
      </c>
      <c r="EP36">
        <v>0</v>
      </c>
      <c r="EQ36">
        <v>0</v>
      </c>
      <c r="ER36">
        <v>0</v>
      </c>
      <c r="ES36">
        <v>0</v>
      </c>
      <c r="ET36">
        <v>0</v>
      </c>
      <c r="EU36">
        <v>0</v>
      </c>
      <c r="EV36">
        <v>0</v>
      </c>
      <c r="EW36">
        <v>0</v>
      </c>
      <c r="EX36">
        <v>0</v>
      </c>
      <c r="EY36">
        <v>0</v>
      </c>
      <c r="EZ36">
        <v>0</v>
      </c>
      <c r="FA36">
        <v>0</v>
      </c>
      <c r="FB36">
        <v>0</v>
      </c>
      <c r="FC36">
        <v>0</v>
      </c>
      <c r="FD36">
        <v>0</v>
      </c>
      <c r="FE36">
        <v>0</v>
      </c>
      <c r="FF36">
        <v>0</v>
      </c>
      <c r="FG36">
        <v>0</v>
      </c>
      <c r="FH36">
        <v>0</v>
      </c>
      <c r="FI36">
        <v>0</v>
      </c>
      <c r="FJ36">
        <v>0</v>
      </c>
      <c r="FK36">
        <v>0</v>
      </c>
      <c r="FL36">
        <v>0</v>
      </c>
      <c r="FM36">
        <v>0</v>
      </c>
      <c r="FN36">
        <v>0</v>
      </c>
      <c r="FO36">
        <v>0</v>
      </c>
      <c r="FP36">
        <v>0</v>
      </c>
      <c r="FQ36">
        <v>0</v>
      </c>
      <c r="FR36">
        <v>0</v>
      </c>
      <c r="FS36">
        <v>0</v>
      </c>
      <c r="FT36">
        <v>0</v>
      </c>
      <c r="FU36">
        <v>0</v>
      </c>
      <c r="FV36">
        <v>0</v>
      </c>
      <c r="FW36">
        <v>0</v>
      </c>
      <c r="FX36">
        <v>0</v>
      </c>
      <c r="FY36">
        <v>0</v>
      </c>
      <c r="FZ36">
        <v>0</v>
      </c>
      <c r="GA36">
        <v>0</v>
      </c>
      <c r="GB36">
        <v>0</v>
      </c>
      <c r="GC36">
        <v>0</v>
      </c>
      <c r="GD36">
        <v>0</v>
      </c>
      <c r="GE36">
        <v>0</v>
      </c>
      <c r="GF36">
        <v>0</v>
      </c>
      <c r="GG36">
        <v>0</v>
      </c>
      <c r="GH36">
        <v>0</v>
      </c>
      <c r="GI36">
        <v>0</v>
      </c>
      <c r="GJ36">
        <v>0</v>
      </c>
      <c r="GK36">
        <v>0</v>
      </c>
      <c r="GL36">
        <v>0</v>
      </c>
      <c r="GM36">
        <v>0</v>
      </c>
      <c r="GN36">
        <v>0</v>
      </c>
      <c r="GO36">
        <v>0</v>
      </c>
      <c r="GP36">
        <v>0</v>
      </c>
      <c r="GQ36">
        <v>0</v>
      </c>
      <c r="GR36">
        <v>0</v>
      </c>
      <c r="GS36">
        <v>0</v>
      </c>
      <c r="GT36">
        <v>0</v>
      </c>
      <c r="GU36">
        <v>0</v>
      </c>
      <c r="GV36">
        <v>0</v>
      </c>
      <c r="GW36">
        <v>0</v>
      </c>
      <c r="GX36">
        <v>0</v>
      </c>
      <c r="GY36">
        <v>0</v>
      </c>
      <c r="GZ36">
        <v>0</v>
      </c>
      <c r="HA36">
        <v>0</v>
      </c>
      <c r="HB36">
        <v>0</v>
      </c>
      <c r="HC36">
        <v>0</v>
      </c>
      <c r="HE36">
        <f t="shared" si="0"/>
        <v>3330.3999999999996</v>
      </c>
      <c r="HF36">
        <f t="shared" si="1"/>
        <v>1</v>
      </c>
    </row>
    <row r="37" spans="1:214" x14ac:dyDescent="0.45">
      <c r="A37" t="s">
        <v>88</v>
      </c>
      <c r="B37">
        <v>0</v>
      </c>
      <c r="C37">
        <v>0</v>
      </c>
      <c r="D37">
        <v>0</v>
      </c>
      <c r="E37">
        <v>0</v>
      </c>
      <c r="F37">
        <v>0</v>
      </c>
      <c r="G37">
        <v>0</v>
      </c>
      <c r="H37">
        <v>0</v>
      </c>
      <c r="I37">
        <v>0</v>
      </c>
      <c r="J37">
        <v>0</v>
      </c>
      <c r="K37">
        <v>0</v>
      </c>
      <c r="L37">
        <v>0</v>
      </c>
      <c r="M37">
        <v>0</v>
      </c>
      <c r="N37">
        <v>0</v>
      </c>
      <c r="O37">
        <v>0</v>
      </c>
      <c r="P37">
        <v>0</v>
      </c>
      <c r="Q37">
        <v>0</v>
      </c>
      <c r="R37">
        <v>0</v>
      </c>
      <c r="S37">
        <v>0</v>
      </c>
      <c r="T37">
        <v>0</v>
      </c>
      <c r="U37">
        <v>0</v>
      </c>
      <c r="V37">
        <v>0</v>
      </c>
      <c r="W37">
        <v>0</v>
      </c>
      <c r="X37">
        <v>0</v>
      </c>
      <c r="Y37">
        <v>0</v>
      </c>
      <c r="Z37">
        <v>0</v>
      </c>
      <c r="AA37">
        <v>0</v>
      </c>
      <c r="AB37">
        <v>0</v>
      </c>
      <c r="AC37">
        <v>0</v>
      </c>
      <c r="AD37">
        <v>0</v>
      </c>
      <c r="AE37">
        <v>0</v>
      </c>
      <c r="AF37">
        <v>0</v>
      </c>
      <c r="AG37">
        <v>0</v>
      </c>
      <c r="AH37">
        <v>0</v>
      </c>
      <c r="AI37">
        <v>0</v>
      </c>
      <c r="AJ37">
        <v>0</v>
      </c>
      <c r="AK37">
        <v>0</v>
      </c>
      <c r="AL37">
        <v>0</v>
      </c>
      <c r="AM37">
        <v>0</v>
      </c>
      <c r="AN37">
        <v>0</v>
      </c>
      <c r="AO37">
        <v>0</v>
      </c>
      <c r="AP37">
        <v>0</v>
      </c>
      <c r="AQ37">
        <v>0</v>
      </c>
      <c r="AR37">
        <v>0</v>
      </c>
      <c r="AS37">
        <v>0</v>
      </c>
      <c r="AT37">
        <v>0</v>
      </c>
      <c r="AU37">
        <v>0</v>
      </c>
      <c r="AV37">
        <v>0</v>
      </c>
      <c r="AW37">
        <v>0</v>
      </c>
      <c r="AX37">
        <v>0</v>
      </c>
      <c r="AY37">
        <v>0</v>
      </c>
      <c r="AZ37">
        <v>0</v>
      </c>
      <c r="BA37">
        <v>0</v>
      </c>
      <c r="BB37">
        <v>0</v>
      </c>
      <c r="BC37">
        <v>0</v>
      </c>
      <c r="BD37">
        <v>0</v>
      </c>
      <c r="BE37">
        <v>0</v>
      </c>
      <c r="BF37">
        <v>0</v>
      </c>
      <c r="BG37">
        <v>0</v>
      </c>
      <c r="BH37">
        <v>0</v>
      </c>
      <c r="BI37">
        <v>0</v>
      </c>
      <c r="BJ37">
        <v>0</v>
      </c>
      <c r="BK37">
        <v>0</v>
      </c>
      <c r="BL37">
        <v>0</v>
      </c>
      <c r="BM37">
        <v>0</v>
      </c>
      <c r="BN37">
        <v>0</v>
      </c>
      <c r="BO37">
        <v>0</v>
      </c>
      <c r="BP37">
        <v>0</v>
      </c>
      <c r="BQ37">
        <v>0</v>
      </c>
      <c r="BR37">
        <v>0</v>
      </c>
      <c r="BS37">
        <v>0</v>
      </c>
      <c r="BT37">
        <v>0</v>
      </c>
      <c r="BU37">
        <v>0</v>
      </c>
      <c r="BV37">
        <v>0</v>
      </c>
      <c r="BW37">
        <v>0</v>
      </c>
      <c r="BX37">
        <v>0</v>
      </c>
      <c r="BY37">
        <v>0</v>
      </c>
      <c r="BZ37">
        <v>0</v>
      </c>
      <c r="CA37">
        <v>0</v>
      </c>
      <c r="CB37">
        <v>0</v>
      </c>
      <c r="CC37">
        <v>0</v>
      </c>
      <c r="CD37">
        <v>0</v>
      </c>
      <c r="CE37">
        <v>0</v>
      </c>
      <c r="CF37">
        <v>0</v>
      </c>
      <c r="CG37">
        <v>0</v>
      </c>
      <c r="CH37">
        <v>0</v>
      </c>
      <c r="CI37">
        <v>0</v>
      </c>
      <c r="CJ37">
        <v>894</v>
      </c>
      <c r="CK37">
        <v>0</v>
      </c>
      <c r="CL37">
        <v>0</v>
      </c>
      <c r="CM37">
        <v>0</v>
      </c>
      <c r="CN37">
        <v>0</v>
      </c>
      <c r="CO37">
        <v>0</v>
      </c>
      <c r="CP37">
        <v>0</v>
      </c>
      <c r="CQ37">
        <v>0</v>
      </c>
      <c r="CR37">
        <v>0</v>
      </c>
      <c r="CS37">
        <v>0</v>
      </c>
      <c r="CT37">
        <v>1240</v>
      </c>
      <c r="CU37">
        <v>0</v>
      </c>
      <c r="CV37">
        <v>0</v>
      </c>
      <c r="CW37">
        <v>0</v>
      </c>
      <c r="CX37">
        <v>0</v>
      </c>
      <c r="CY37">
        <v>0</v>
      </c>
      <c r="CZ37">
        <v>0</v>
      </c>
      <c r="DA37">
        <v>0</v>
      </c>
      <c r="DB37">
        <v>0</v>
      </c>
      <c r="DC37">
        <v>0</v>
      </c>
      <c r="DD37">
        <v>0</v>
      </c>
      <c r="DE37">
        <v>0</v>
      </c>
      <c r="DF37">
        <v>0</v>
      </c>
      <c r="DG37">
        <v>0</v>
      </c>
      <c r="DH37">
        <v>0</v>
      </c>
      <c r="DI37">
        <v>0</v>
      </c>
      <c r="DJ37">
        <v>0</v>
      </c>
      <c r="DK37">
        <v>0</v>
      </c>
      <c r="DL37">
        <v>0</v>
      </c>
      <c r="DM37">
        <v>0</v>
      </c>
      <c r="DN37">
        <v>0</v>
      </c>
      <c r="DO37">
        <v>0</v>
      </c>
      <c r="DP37">
        <v>0</v>
      </c>
      <c r="DQ37">
        <v>0</v>
      </c>
      <c r="DR37">
        <v>0</v>
      </c>
      <c r="DS37">
        <v>0</v>
      </c>
      <c r="DT37">
        <v>0</v>
      </c>
      <c r="DU37">
        <v>0</v>
      </c>
      <c r="DV37">
        <v>0</v>
      </c>
      <c r="DW37">
        <v>0</v>
      </c>
      <c r="DX37">
        <v>0</v>
      </c>
      <c r="DY37">
        <v>0</v>
      </c>
      <c r="DZ37">
        <v>0</v>
      </c>
      <c r="EA37">
        <v>0</v>
      </c>
      <c r="EB37">
        <v>0</v>
      </c>
      <c r="EC37">
        <v>0</v>
      </c>
      <c r="ED37">
        <v>0</v>
      </c>
      <c r="EE37">
        <v>0</v>
      </c>
      <c r="EF37">
        <v>0</v>
      </c>
      <c r="EG37">
        <v>0</v>
      </c>
      <c r="EH37">
        <v>0</v>
      </c>
      <c r="EI37">
        <v>0</v>
      </c>
      <c r="EJ37">
        <v>0</v>
      </c>
      <c r="EK37">
        <v>0</v>
      </c>
      <c r="EL37">
        <v>0</v>
      </c>
      <c r="EM37">
        <v>0</v>
      </c>
      <c r="EN37">
        <v>0</v>
      </c>
      <c r="EO37">
        <v>0</v>
      </c>
      <c r="EP37">
        <v>0</v>
      </c>
      <c r="EQ37">
        <v>0</v>
      </c>
      <c r="ER37">
        <v>0</v>
      </c>
      <c r="ES37">
        <v>0</v>
      </c>
      <c r="ET37">
        <v>0</v>
      </c>
      <c r="EU37">
        <v>0</v>
      </c>
      <c r="EV37">
        <v>0</v>
      </c>
      <c r="EW37">
        <v>0</v>
      </c>
      <c r="EX37">
        <v>0</v>
      </c>
      <c r="EY37">
        <v>0</v>
      </c>
      <c r="EZ37">
        <v>0</v>
      </c>
      <c r="FA37">
        <v>0</v>
      </c>
      <c r="FB37">
        <v>0</v>
      </c>
      <c r="FC37">
        <v>0</v>
      </c>
      <c r="FD37">
        <v>0</v>
      </c>
      <c r="FE37">
        <v>0</v>
      </c>
      <c r="FF37">
        <v>0</v>
      </c>
      <c r="FG37">
        <v>0</v>
      </c>
      <c r="FH37">
        <v>0</v>
      </c>
      <c r="FI37">
        <v>0</v>
      </c>
      <c r="FJ37">
        <v>0</v>
      </c>
      <c r="FK37">
        <v>0</v>
      </c>
      <c r="FL37">
        <v>0</v>
      </c>
      <c r="FM37">
        <v>0</v>
      </c>
      <c r="FN37">
        <v>0</v>
      </c>
      <c r="FO37">
        <v>0</v>
      </c>
      <c r="FP37">
        <v>0</v>
      </c>
      <c r="FQ37">
        <v>0</v>
      </c>
      <c r="FR37">
        <v>0</v>
      </c>
      <c r="FS37">
        <v>0</v>
      </c>
      <c r="FT37">
        <v>0</v>
      </c>
      <c r="FU37">
        <v>0</v>
      </c>
      <c r="FV37">
        <v>0</v>
      </c>
      <c r="FW37">
        <v>0</v>
      </c>
      <c r="FX37">
        <v>0</v>
      </c>
      <c r="FY37">
        <v>0</v>
      </c>
      <c r="FZ37">
        <v>0</v>
      </c>
      <c r="GA37">
        <v>0</v>
      </c>
      <c r="GB37">
        <v>0</v>
      </c>
      <c r="GC37">
        <v>0</v>
      </c>
      <c r="GD37">
        <v>0</v>
      </c>
      <c r="GE37">
        <v>0</v>
      </c>
      <c r="GF37">
        <v>0</v>
      </c>
      <c r="GG37">
        <v>0</v>
      </c>
      <c r="GH37">
        <v>0</v>
      </c>
      <c r="GI37">
        <v>0</v>
      </c>
      <c r="GJ37">
        <v>0</v>
      </c>
      <c r="GK37">
        <v>0</v>
      </c>
      <c r="GL37">
        <v>0</v>
      </c>
      <c r="GM37">
        <v>0</v>
      </c>
      <c r="GN37">
        <v>0</v>
      </c>
      <c r="GO37">
        <v>0</v>
      </c>
      <c r="GP37">
        <v>0</v>
      </c>
      <c r="GQ37">
        <v>0</v>
      </c>
      <c r="GR37">
        <v>0</v>
      </c>
      <c r="GS37">
        <v>0</v>
      </c>
      <c r="GT37">
        <v>0</v>
      </c>
      <c r="GU37">
        <v>0</v>
      </c>
      <c r="GV37">
        <v>0</v>
      </c>
      <c r="GW37">
        <v>0</v>
      </c>
      <c r="GX37">
        <v>0</v>
      </c>
      <c r="GY37">
        <v>0</v>
      </c>
      <c r="GZ37">
        <v>0</v>
      </c>
      <c r="HA37">
        <v>0</v>
      </c>
      <c r="HB37">
        <v>0</v>
      </c>
      <c r="HC37">
        <v>0</v>
      </c>
      <c r="HE37">
        <f t="shared" si="0"/>
        <v>2134</v>
      </c>
      <c r="HF37">
        <f t="shared" si="1"/>
        <v>1</v>
      </c>
    </row>
    <row r="38" spans="1:214" x14ac:dyDescent="0.45">
      <c r="A38" t="s">
        <v>90</v>
      </c>
      <c r="B38">
        <v>0</v>
      </c>
      <c r="C38">
        <v>0</v>
      </c>
      <c r="D38">
        <v>0</v>
      </c>
      <c r="E38">
        <v>0</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v>0</v>
      </c>
      <c r="AF38">
        <v>0</v>
      </c>
      <c r="AG38">
        <v>0</v>
      </c>
      <c r="AH38">
        <v>0</v>
      </c>
      <c r="AI38">
        <v>0</v>
      </c>
      <c r="AJ38">
        <v>0</v>
      </c>
      <c r="AK38">
        <v>0</v>
      </c>
      <c r="AL38">
        <v>0</v>
      </c>
      <c r="AM38">
        <v>0</v>
      </c>
      <c r="AN38">
        <v>0</v>
      </c>
      <c r="AO38">
        <v>0</v>
      </c>
      <c r="AP38">
        <v>0</v>
      </c>
      <c r="AQ38">
        <v>0</v>
      </c>
      <c r="AR38">
        <v>0</v>
      </c>
      <c r="AS38">
        <v>0</v>
      </c>
      <c r="AT38">
        <v>0</v>
      </c>
      <c r="AU38">
        <v>0</v>
      </c>
      <c r="AV38">
        <v>0</v>
      </c>
      <c r="AW38">
        <v>0</v>
      </c>
      <c r="AX38">
        <v>0</v>
      </c>
      <c r="AY38">
        <v>0</v>
      </c>
      <c r="AZ38">
        <v>0</v>
      </c>
      <c r="BA38">
        <v>0</v>
      </c>
      <c r="BB38">
        <v>0</v>
      </c>
      <c r="BC38">
        <v>0</v>
      </c>
      <c r="BD38">
        <v>0</v>
      </c>
      <c r="BE38">
        <v>0</v>
      </c>
      <c r="BF38">
        <v>0</v>
      </c>
      <c r="BG38">
        <v>0</v>
      </c>
      <c r="BH38">
        <v>0</v>
      </c>
      <c r="BI38">
        <v>0</v>
      </c>
      <c r="BJ38">
        <v>0</v>
      </c>
      <c r="BK38">
        <v>0</v>
      </c>
      <c r="BL38">
        <v>0</v>
      </c>
      <c r="BM38">
        <v>0</v>
      </c>
      <c r="BN38">
        <v>0</v>
      </c>
      <c r="BO38">
        <v>0</v>
      </c>
      <c r="BP38">
        <v>0</v>
      </c>
      <c r="BQ38">
        <v>0</v>
      </c>
      <c r="BR38">
        <v>0</v>
      </c>
      <c r="BS38">
        <v>0</v>
      </c>
      <c r="BT38">
        <v>0</v>
      </c>
      <c r="BU38">
        <v>0</v>
      </c>
      <c r="BV38">
        <v>0</v>
      </c>
      <c r="BW38">
        <v>0</v>
      </c>
      <c r="BX38">
        <v>0</v>
      </c>
      <c r="BY38">
        <v>0</v>
      </c>
      <c r="BZ38">
        <v>0</v>
      </c>
      <c r="CA38">
        <v>0</v>
      </c>
      <c r="CB38">
        <v>0</v>
      </c>
      <c r="CC38">
        <v>0</v>
      </c>
      <c r="CD38">
        <v>0</v>
      </c>
      <c r="CE38">
        <v>0</v>
      </c>
      <c r="CF38">
        <v>0</v>
      </c>
      <c r="CG38">
        <v>0</v>
      </c>
      <c r="CH38">
        <v>0</v>
      </c>
      <c r="CI38">
        <v>0</v>
      </c>
      <c r="CJ38">
        <v>0</v>
      </c>
      <c r="CK38">
        <v>0</v>
      </c>
      <c r="CL38">
        <v>0</v>
      </c>
      <c r="CM38">
        <v>0</v>
      </c>
      <c r="CN38">
        <v>0</v>
      </c>
      <c r="CO38">
        <v>0</v>
      </c>
      <c r="CP38">
        <v>0</v>
      </c>
      <c r="CQ38">
        <v>0</v>
      </c>
      <c r="CR38">
        <v>0</v>
      </c>
      <c r="CS38">
        <v>0</v>
      </c>
      <c r="CT38">
        <v>0</v>
      </c>
      <c r="CU38">
        <v>0</v>
      </c>
      <c r="CV38">
        <v>0</v>
      </c>
      <c r="CW38">
        <v>0</v>
      </c>
      <c r="CX38">
        <v>0</v>
      </c>
      <c r="CY38">
        <v>0</v>
      </c>
      <c r="CZ38">
        <v>0</v>
      </c>
      <c r="DA38">
        <v>0</v>
      </c>
      <c r="DB38">
        <v>0</v>
      </c>
      <c r="DC38">
        <v>0</v>
      </c>
      <c r="DD38">
        <v>0</v>
      </c>
      <c r="DE38">
        <v>0</v>
      </c>
      <c r="DF38">
        <v>0</v>
      </c>
      <c r="DG38">
        <v>0</v>
      </c>
      <c r="DH38">
        <v>0</v>
      </c>
      <c r="DI38">
        <v>0</v>
      </c>
      <c r="DJ38">
        <v>0</v>
      </c>
      <c r="DK38">
        <v>0</v>
      </c>
      <c r="DL38">
        <v>0</v>
      </c>
      <c r="DM38">
        <v>0</v>
      </c>
      <c r="DN38">
        <v>0</v>
      </c>
      <c r="DO38">
        <v>0</v>
      </c>
      <c r="DP38">
        <v>0</v>
      </c>
      <c r="DQ38">
        <v>0</v>
      </c>
      <c r="DR38">
        <v>0</v>
      </c>
      <c r="DS38">
        <v>0</v>
      </c>
      <c r="DT38">
        <v>0</v>
      </c>
      <c r="DU38">
        <v>0</v>
      </c>
      <c r="DV38">
        <v>0</v>
      </c>
      <c r="DW38">
        <v>0</v>
      </c>
      <c r="DX38">
        <v>0</v>
      </c>
      <c r="DY38">
        <v>0</v>
      </c>
      <c r="DZ38">
        <v>0</v>
      </c>
      <c r="EA38">
        <v>0</v>
      </c>
      <c r="EB38">
        <v>0</v>
      </c>
      <c r="EC38">
        <v>0</v>
      </c>
      <c r="ED38">
        <v>0</v>
      </c>
      <c r="EE38">
        <v>0</v>
      </c>
      <c r="EF38">
        <v>0</v>
      </c>
      <c r="EG38">
        <v>0</v>
      </c>
      <c r="EH38">
        <v>0</v>
      </c>
      <c r="EI38">
        <v>0</v>
      </c>
      <c r="EJ38">
        <v>0</v>
      </c>
      <c r="EK38">
        <v>0</v>
      </c>
      <c r="EL38">
        <v>0</v>
      </c>
      <c r="EM38">
        <v>0</v>
      </c>
      <c r="EN38">
        <v>0</v>
      </c>
      <c r="EO38">
        <v>0</v>
      </c>
      <c r="EP38">
        <v>0</v>
      </c>
      <c r="EQ38">
        <v>0</v>
      </c>
      <c r="ER38">
        <v>0</v>
      </c>
      <c r="ES38">
        <v>0</v>
      </c>
      <c r="ET38">
        <v>0</v>
      </c>
      <c r="EU38">
        <v>0</v>
      </c>
      <c r="EV38">
        <v>0</v>
      </c>
      <c r="EW38">
        <v>0</v>
      </c>
      <c r="EX38">
        <v>0</v>
      </c>
      <c r="EY38">
        <v>0</v>
      </c>
      <c r="EZ38">
        <v>0</v>
      </c>
      <c r="FA38">
        <v>0</v>
      </c>
      <c r="FB38">
        <v>0</v>
      </c>
      <c r="FC38">
        <v>0</v>
      </c>
      <c r="FD38">
        <v>0</v>
      </c>
      <c r="FE38">
        <v>0</v>
      </c>
      <c r="FF38">
        <v>0</v>
      </c>
      <c r="FG38">
        <v>0</v>
      </c>
      <c r="FH38">
        <v>0</v>
      </c>
      <c r="FI38">
        <v>0</v>
      </c>
      <c r="FJ38">
        <v>0</v>
      </c>
      <c r="FK38">
        <v>0</v>
      </c>
      <c r="FL38">
        <v>0</v>
      </c>
      <c r="FM38">
        <v>0</v>
      </c>
      <c r="FN38">
        <v>0</v>
      </c>
      <c r="FO38">
        <v>0</v>
      </c>
      <c r="FP38">
        <v>0</v>
      </c>
      <c r="FQ38">
        <v>0</v>
      </c>
      <c r="FR38">
        <v>0</v>
      </c>
      <c r="FS38">
        <v>0</v>
      </c>
      <c r="FT38">
        <v>0</v>
      </c>
      <c r="FU38">
        <v>0</v>
      </c>
      <c r="FV38">
        <v>0</v>
      </c>
      <c r="FW38">
        <v>0</v>
      </c>
      <c r="FX38">
        <v>0</v>
      </c>
      <c r="FY38">
        <v>0</v>
      </c>
      <c r="FZ38">
        <v>0</v>
      </c>
      <c r="GA38">
        <v>0</v>
      </c>
      <c r="GB38">
        <v>0</v>
      </c>
      <c r="GC38">
        <v>0</v>
      </c>
      <c r="GD38">
        <v>0</v>
      </c>
      <c r="GE38">
        <v>0</v>
      </c>
      <c r="GF38">
        <v>0</v>
      </c>
      <c r="GG38">
        <v>0</v>
      </c>
      <c r="GH38">
        <v>0</v>
      </c>
      <c r="GI38">
        <v>0</v>
      </c>
      <c r="GJ38">
        <v>0</v>
      </c>
      <c r="GK38">
        <v>0</v>
      </c>
      <c r="GL38">
        <v>0</v>
      </c>
      <c r="GM38">
        <v>0</v>
      </c>
      <c r="GN38">
        <v>0</v>
      </c>
      <c r="GO38">
        <v>0</v>
      </c>
      <c r="GP38">
        <v>0</v>
      </c>
      <c r="GQ38">
        <v>0</v>
      </c>
      <c r="GR38">
        <v>0</v>
      </c>
      <c r="GS38">
        <v>0</v>
      </c>
      <c r="GT38">
        <v>0</v>
      </c>
      <c r="GU38">
        <v>0</v>
      </c>
      <c r="GV38">
        <v>0</v>
      </c>
      <c r="GW38">
        <v>0</v>
      </c>
      <c r="GX38">
        <v>0</v>
      </c>
      <c r="GY38">
        <v>0</v>
      </c>
      <c r="GZ38">
        <v>0</v>
      </c>
      <c r="HA38">
        <v>0</v>
      </c>
      <c r="HB38">
        <v>0</v>
      </c>
      <c r="HC38">
        <v>0</v>
      </c>
      <c r="HE38">
        <f t="shared" si="0"/>
        <v>0</v>
      </c>
      <c r="HF38">
        <f t="shared" si="1"/>
        <v>0</v>
      </c>
    </row>
    <row r="39" spans="1:214" x14ac:dyDescent="0.45">
      <c r="A39" t="s">
        <v>92</v>
      </c>
      <c r="B39">
        <v>0</v>
      </c>
      <c r="C39">
        <v>0</v>
      </c>
      <c r="D39">
        <v>0</v>
      </c>
      <c r="E39">
        <v>0</v>
      </c>
      <c r="F39">
        <v>0</v>
      </c>
      <c r="G39">
        <v>0</v>
      </c>
      <c r="H39">
        <v>0</v>
      </c>
      <c r="I39">
        <v>0</v>
      </c>
      <c r="J39">
        <v>0</v>
      </c>
      <c r="K39">
        <v>0</v>
      </c>
      <c r="L39">
        <v>0</v>
      </c>
      <c r="M39">
        <v>0</v>
      </c>
      <c r="N39">
        <v>0</v>
      </c>
      <c r="O39">
        <v>0</v>
      </c>
      <c r="P39">
        <v>0</v>
      </c>
      <c r="Q39">
        <v>0</v>
      </c>
      <c r="R39">
        <v>0</v>
      </c>
      <c r="S39">
        <v>0</v>
      </c>
      <c r="T39">
        <v>0</v>
      </c>
      <c r="U39">
        <v>0</v>
      </c>
      <c r="V39">
        <v>0</v>
      </c>
      <c r="W39">
        <v>0</v>
      </c>
      <c r="X39">
        <v>0</v>
      </c>
      <c r="Y39">
        <v>0</v>
      </c>
      <c r="Z39">
        <v>0</v>
      </c>
      <c r="AA39">
        <v>0</v>
      </c>
      <c r="AB39">
        <v>0</v>
      </c>
      <c r="AC39">
        <v>0</v>
      </c>
      <c r="AD39">
        <v>0</v>
      </c>
      <c r="AE39">
        <v>0</v>
      </c>
      <c r="AF39">
        <v>0</v>
      </c>
      <c r="AG39">
        <v>0</v>
      </c>
      <c r="AH39">
        <v>0</v>
      </c>
      <c r="AI39">
        <v>0</v>
      </c>
      <c r="AJ39">
        <v>0</v>
      </c>
      <c r="AK39">
        <v>0</v>
      </c>
      <c r="AL39">
        <v>0</v>
      </c>
      <c r="AM39">
        <v>0</v>
      </c>
      <c r="AN39">
        <v>0</v>
      </c>
      <c r="AO39">
        <v>0</v>
      </c>
      <c r="AP39">
        <v>0</v>
      </c>
      <c r="AQ39">
        <v>0</v>
      </c>
      <c r="AR39">
        <v>0</v>
      </c>
      <c r="AS39">
        <v>0</v>
      </c>
      <c r="AT39">
        <v>0</v>
      </c>
      <c r="AU39">
        <v>0</v>
      </c>
      <c r="AV39">
        <v>0</v>
      </c>
      <c r="AW39">
        <v>0</v>
      </c>
      <c r="AX39">
        <v>0</v>
      </c>
      <c r="AY39">
        <v>0</v>
      </c>
      <c r="AZ39">
        <v>0</v>
      </c>
      <c r="BA39">
        <v>0</v>
      </c>
      <c r="BB39">
        <v>0</v>
      </c>
      <c r="BC39">
        <v>0</v>
      </c>
      <c r="BD39">
        <v>0</v>
      </c>
      <c r="BE39">
        <v>0</v>
      </c>
      <c r="BF39">
        <v>0</v>
      </c>
      <c r="BG39">
        <v>0</v>
      </c>
      <c r="BH39">
        <v>0</v>
      </c>
      <c r="BI39">
        <v>0</v>
      </c>
      <c r="BJ39">
        <v>0</v>
      </c>
      <c r="BK39">
        <v>0</v>
      </c>
      <c r="BL39">
        <v>0</v>
      </c>
      <c r="BM39">
        <v>0</v>
      </c>
      <c r="BN39">
        <v>0</v>
      </c>
      <c r="BO39">
        <v>0</v>
      </c>
      <c r="BP39">
        <v>0</v>
      </c>
      <c r="BQ39">
        <v>0</v>
      </c>
      <c r="BR39">
        <v>0</v>
      </c>
      <c r="BS39">
        <v>0</v>
      </c>
      <c r="BT39">
        <v>0</v>
      </c>
      <c r="BU39">
        <v>0</v>
      </c>
      <c r="BV39">
        <v>0</v>
      </c>
      <c r="BW39">
        <v>0</v>
      </c>
      <c r="BX39">
        <v>0</v>
      </c>
      <c r="BY39">
        <v>0</v>
      </c>
      <c r="BZ39">
        <v>0</v>
      </c>
      <c r="CA39">
        <v>0</v>
      </c>
      <c r="CB39">
        <v>0</v>
      </c>
      <c r="CC39">
        <v>0</v>
      </c>
      <c r="CD39">
        <v>0</v>
      </c>
      <c r="CE39">
        <v>0</v>
      </c>
      <c r="CF39">
        <v>0</v>
      </c>
      <c r="CG39">
        <v>0</v>
      </c>
      <c r="CH39">
        <v>0</v>
      </c>
      <c r="CI39">
        <v>0</v>
      </c>
      <c r="CJ39">
        <v>0</v>
      </c>
      <c r="CK39">
        <v>0</v>
      </c>
      <c r="CL39">
        <v>0</v>
      </c>
      <c r="CM39">
        <v>0</v>
      </c>
      <c r="CN39">
        <v>0</v>
      </c>
      <c r="CO39">
        <v>0</v>
      </c>
      <c r="CP39">
        <v>0</v>
      </c>
      <c r="CQ39">
        <v>0</v>
      </c>
      <c r="CR39">
        <v>0</v>
      </c>
      <c r="CS39">
        <v>0</v>
      </c>
      <c r="CT39">
        <v>0</v>
      </c>
      <c r="CU39">
        <v>0</v>
      </c>
      <c r="CV39">
        <v>0</v>
      </c>
      <c r="CW39">
        <v>0</v>
      </c>
      <c r="CX39">
        <v>0</v>
      </c>
      <c r="CY39">
        <v>0</v>
      </c>
      <c r="CZ39">
        <v>0</v>
      </c>
      <c r="DA39">
        <v>0</v>
      </c>
      <c r="DB39">
        <v>0</v>
      </c>
      <c r="DC39">
        <v>0</v>
      </c>
      <c r="DD39">
        <v>0</v>
      </c>
      <c r="DE39">
        <v>0</v>
      </c>
      <c r="DF39">
        <v>0</v>
      </c>
      <c r="DG39">
        <v>0</v>
      </c>
      <c r="DH39">
        <v>0</v>
      </c>
      <c r="DI39">
        <v>0</v>
      </c>
      <c r="DJ39">
        <v>0</v>
      </c>
      <c r="DK39">
        <v>0</v>
      </c>
      <c r="DL39">
        <v>0</v>
      </c>
      <c r="DM39">
        <v>0</v>
      </c>
      <c r="DN39">
        <v>0</v>
      </c>
      <c r="DO39">
        <v>0</v>
      </c>
      <c r="DP39">
        <v>0</v>
      </c>
      <c r="DQ39">
        <v>0</v>
      </c>
      <c r="DR39">
        <v>0</v>
      </c>
      <c r="DS39">
        <v>0</v>
      </c>
      <c r="DT39">
        <v>0</v>
      </c>
      <c r="DU39">
        <v>0</v>
      </c>
      <c r="DV39">
        <v>0</v>
      </c>
      <c r="DW39">
        <v>0</v>
      </c>
      <c r="DX39">
        <v>0</v>
      </c>
      <c r="DY39">
        <v>0</v>
      </c>
      <c r="DZ39">
        <v>0</v>
      </c>
      <c r="EA39">
        <v>0</v>
      </c>
      <c r="EB39">
        <v>0</v>
      </c>
      <c r="EC39">
        <v>0</v>
      </c>
      <c r="ED39">
        <v>0</v>
      </c>
      <c r="EE39">
        <v>0</v>
      </c>
      <c r="EF39">
        <v>0</v>
      </c>
      <c r="EG39">
        <v>0</v>
      </c>
      <c r="EH39">
        <v>0</v>
      </c>
      <c r="EI39">
        <v>0</v>
      </c>
      <c r="EJ39">
        <v>0</v>
      </c>
      <c r="EK39">
        <v>0</v>
      </c>
      <c r="EL39">
        <v>0</v>
      </c>
      <c r="EM39">
        <v>0</v>
      </c>
      <c r="EN39">
        <v>0</v>
      </c>
      <c r="EO39">
        <v>0</v>
      </c>
      <c r="EP39">
        <v>0</v>
      </c>
      <c r="EQ39">
        <v>0</v>
      </c>
      <c r="ER39">
        <v>0</v>
      </c>
      <c r="ES39">
        <v>0</v>
      </c>
      <c r="ET39">
        <v>0</v>
      </c>
      <c r="EU39">
        <v>0</v>
      </c>
      <c r="EV39">
        <v>0</v>
      </c>
      <c r="EW39">
        <v>0</v>
      </c>
      <c r="EX39">
        <v>0</v>
      </c>
      <c r="EY39">
        <v>0</v>
      </c>
      <c r="EZ39">
        <v>0</v>
      </c>
      <c r="FA39">
        <v>0</v>
      </c>
      <c r="FB39">
        <v>0</v>
      </c>
      <c r="FC39">
        <v>0</v>
      </c>
      <c r="FD39">
        <v>0</v>
      </c>
      <c r="FE39">
        <v>0</v>
      </c>
      <c r="FF39">
        <v>0</v>
      </c>
      <c r="FG39">
        <v>0</v>
      </c>
      <c r="FH39">
        <v>0</v>
      </c>
      <c r="FI39">
        <v>0</v>
      </c>
      <c r="FJ39">
        <v>0</v>
      </c>
      <c r="FK39">
        <v>0</v>
      </c>
      <c r="FL39">
        <v>0</v>
      </c>
      <c r="FM39">
        <v>0</v>
      </c>
      <c r="FN39">
        <v>0</v>
      </c>
      <c r="FO39">
        <v>0</v>
      </c>
      <c r="FP39">
        <v>0</v>
      </c>
      <c r="FQ39">
        <v>0</v>
      </c>
      <c r="FR39">
        <v>0</v>
      </c>
      <c r="FS39">
        <v>0</v>
      </c>
      <c r="FT39">
        <v>0</v>
      </c>
      <c r="FU39">
        <v>0</v>
      </c>
      <c r="FV39">
        <v>0</v>
      </c>
      <c r="FW39">
        <v>0</v>
      </c>
      <c r="FX39">
        <v>0</v>
      </c>
      <c r="FY39">
        <v>0</v>
      </c>
      <c r="FZ39">
        <v>0</v>
      </c>
      <c r="GA39">
        <v>0</v>
      </c>
      <c r="GB39">
        <v>0</v>
      </c>
      <c r="GC39">
        <v>0</v>
      </c>
      <c r="GD39">
        <v>0</v>
      </c>
      <c r="GE39">
        <v>0</v>
      </c>
      <c r="GF39">
        <v>0</v>
      </c>
      <c r="GG39">
        <v>0</v>
      </c>
      <c r="GH39">
        <v>0</v>
      </c>
      <c r="GI39">
        <v>0</v>
      </c>
      <c r="GJ39">
        <v>0</v>
      </c>
      <c r="GK39">
        <v>0</v>
      </c>
      <c r="GL39">
        <v>0</v>
      </c>
      <c r="GM39">
        <v>0</v>
      </c>
      <c r="GN39">
        <v>0</v>
      </c>
      <c r="GO39">
        <v>0</v>
      </c>
      <c r="GP39">
        <v>0</v>
      </c>
      <c r="GQ39">
        <v>0</v>
      </c>
      <c r="GR39">
        <v>0</v>
      </c>
      <c r="GS39">
        <v>0</v>
      </c>
      <c r="GT39">
        <v>0</v>
      </c>
      <c r="GU39">
        <v>0</v>
      </c>
      <c r="GV39">
        <v>0</v>
      </c>
      <c r="GW39">
        <v>0</v>
      </c>
      <c r="GX39">
        <v>0</v>
      </c>
      <c r="GY39">
        <v>0</v>
      </c>
      <c r="GZ39">
        <v>0</v>
      </c>
      <c r="HA39">
        <v>0</v>
      </c>
      <c r="HB39">
        <v>0</v>
      </c>
      <c r="HC39">
        <v>0</v>
      </c>
      <c r="HE39">
        <f t="shared" si="0"/>
        <v>0</v>
      </c>
      <c r="HF39">
        <f t="shared" si="1"/>
        <v>0</v>
      </c>
    </row>
    <row r="40" spans="1:214" x14ac:dyDescent="0.45">
      <c r="A40" t="s">
        <v>94</v>
      </c>
      <c r="B40">
        <v>0</v>
      </c>
      <c r="C40">
        <v>0</v>
      </c>
      <c r="D40">
        <v>0</v>
      </c>
      <c r="E40">
        <v>0</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c r="AG40">
        <v>0</v>
      </c>
      <c r="AH40">
        <v>0</v>
      </c>
      <c r="AI40">
        <v>0</v>
      </c>
      <c r="AJ40">
        <v>0</v>
      </c>
      <c r="AK40">
        <v>0</v>
      </c>
      <c r="AL40">
        <v>0</v>
      </c>
      <c r="AM40">
        <v>0</v>
      </c>
      <c r="AN40">
        <v>0</v>
      </c>
      <c r="AO40">
        <v>0</v>
      </c>
      <c r="AP40">
        <v>0</v>
      </c>
      <c r="AQ40">
        <v>0</v>
      </c>
      <c r="AR40">
        <v>0</v>
      </c>
      <c r="AS40">
        <v>0</v>
      </c>
      <c r="AT40">
        <v>0</v>
      </c>
      <c r="AU40">
        <v>0</v>
      </c>
      <c r="AV40">
        <v>0</v>
      </c>
      <c r="AW40">
        <v>0</v>
      </c>
      <c r="AX40">
        <v>0</v>
      </c>
      <c r="AY40">
        <v>0</v>
      </c>
      <c r="AZ40">
        <v>0</v>
      </c>
      <c r="BA40">
        <v>0</v>
      </c>
      <c r="BB40">
        <v>0</v>
      </c>
      <c r="BC40">
        <v>0</v>
      </c>
      <c r="BD40">
        <v>0</v>
      </c>
      <c r="BE40">
        <v>0</v>
      </c>
      <c r="BF40">
        <v>0</v>
      </c>
      <c r="BG40">
        <v>0</v>
      </c>
      <c r="BH40">
        <v>0</v>
      </c>
      <c r="BI40">
        <v>0</v>
      </c>
      <c r="BJ40">
        <v>0</v>
      </c>
      <c r="BK40">
        <v>0</v>
      </c>
      <c r="BL40">
        <v>0</v>
      </c>
      <c r="BM40">
        <v>0</v>
      </c>
      <c r="BN40">
        <v>0</v>
      </c>
      <c r="BO40">
        <v>0</v>
      </c>
      <c r="BP40">
        <v>0</v>
      </c>
      <c r="BQ40">
        <v>0</v>
      </c>
      <c r="BR40">
        <v>0</v>
      </c>
      <c r="BS40">
        <v>0</v>
      </c>
      <c r="BT40">
        <v>0</v>
      </c>
      <c r="BU40">
        <v>0</v>
      </c>
      <c r="BV40">
        <v>0</v>
      </c>
      <c r="BW40">
        <v>0</v>
      </c>
      <c r="BX40">
        <v>0</v>
      </c>
      <c r="BY40">
        <v>0</v>
      </c>
      <c r="BZ40">
        <v>0</v>
      </c>
      <c r="CA40">
        <v>0</v>
      </c>
      <c r="CB40">
        <v>0</v>
      </c>
      <c r="CC40">
        <v>0</v>
      </c>
      <c r="CD40">
        <v>0</v>
      </c>
      <c r="CE40">
        <v>0</v>
      </c>
      <c r="CF40">
        <v>0</v>
      </c>
      <c r="CG40">
        <v>3352.2</v>
      </c>
      <c r="CH40">
        <v>0</v>
      </c>
      <c r="CI40">
        <v>907</v>
      </c>
      <c r="CJ40">
        <v>0</v>
      </c>
      <c r="CK40">
        <v>0</v>
      </c>
      <c r="CL40">
        <v>0</v>
      </c>
      <c r="CM40">
        <v>0</v>
      </c>
      <c r="CN40">
        <v>0</v>
      </c>
      <c r="CO40">
        <v>0</v>
      </c>
      <c r="CP40">
        <v>1247</v>
      </c>
      <c r="CQ40">
        <v>0</v>
      </c>
      <c r="CR40">
        <v>1247</v>
      </c>
      <c r="CS40">
        <v>1119.7</v>
      </c>
      <c r="CT40">
        <v>901</v>
      </c>
      <c r="CU40">
        <v>0</v>
      </c>
      <c r="CV40">
        <v>0</v>
      </c>
      <c r="CW40">
        <v>1122.0999999999999</v>
      </c>
      <c r="CX40">
        <v>0</v>
      </c>
      <c r="CY40">
        <v>0</v>
      </c>
      <c r="CZ40">
        <v>0</v>
      </c>
      <c r="DA40">
        <v>0</v>
      </c>
      <c r="DB40">
        <v>0</v>
      </c>
      <c r="DC40">
        <v>0</v>
      </c>
      <c r="DD40">
        <v>0</v>
      </c>
      <c r="DE40">
        <v>0</v>
      </c>
      <c r="DF40">
        <v>0</v>
      </c>
      <c r="DG40">
        <v>0</v>
      </c>
      <c r="DH40">
        <v>0</v>
      </c>
      <c r="DI40">
        <v>0</v>
      </c>
      <c r="DJ40">
        <v>0</v>
      </c>
      <c r="DK40">
        <v>0</v>
      </c>
      <c r="DL40">
        <v>0</v>
      </c>
      <c r="DM40">
        <v>0</v>
      </c>
      <c r="DN40">
        <v>0</v>
      </c>
      <c r="DO40">
        <v>0</v>
      </c>
      <c r="DP40">
        <v>0</v>
      </c>
      <c r="DQ40">
        <v>0</v>
      </c>
      <c r="DR40">
        <v>0</v>
      </c>
      <c r="DS40">
        <v>0</v>
      </c>
      <c r="DT40">
        <v>0</v>
      </c>
      <c r="DU40">
        <v>0</v>
      </c>
      <c r="DV40">
        <v>0</v>
      </c>
      <c r="DW40">
        <v>0</v>
      </c>
      <c r="DX40">
        <v>0</v>
      </c>
      <c r="DY40">
        <v>0</v>
      </c>
      <c r="DZ40">
        <v>0</v>
      </c>
      <c r="EA40">
        <v>0</v>
      </c>
      <c r="EB40">
        <v>0</v>
      </c>
      <c r="EC40">
        <v>0</v>
      </c>
      <c r="ED40">
        <v>0</v>
      </c>
      <c r="EE40">
        <v>0</v>
      </c>
      <c r="EF40">
        <v>0</v>
      </c>
      <c r="EG40">
        <v>0</v>
      </c>
      <c r="EH40">
        <v>0</v>
      </c>
      <c r="EI40">
        <v>0</v>
      </c>
      <c r="EJ40">
        <v>0</v>
      </c>
      <c r="EK40">
        <v>0</v>
      </c>
      <c r="EL40">
        <v>0</v>
      </c>
      <c r="EM40">
        <v>0</v>
      </c>
      <c r="EN40">
        <v>0</v>
      </c>
      <c r="EO40">
        <v>0</v>
      </c>
      <c r="EP40">
        <v>0</v>
      </c>
      <c r="EQ40">
        <v>0</v>
      </c>
      <c r="ER40">
        <v>0</v>
      </c>
      <c r="ES40">
        <v>0</v>
      </c>
      <c r="ET40">
        <v>0</v>
      </c>
      <c r="EU40">
        <v>0</v>
      </c>
      <c r="EV40">
        <v>0</v>
      </c>
      <c r="EW40">
        <v>0</v>
      </c>
      <c r="EX40">
        <v>0</v>
      </c>
      <c r="EY40">
        <v>0</v>
      </c>
      <c r="EZ40">
        <v>0</v>
      </c>
      <c r="FA40">
        <v>0</v>
      </c>
      <c r="FB40">
        <v>0</v>
      </c>
      <c r="FC40">
        <v>0</v>
      </c>
      <c r="FD40">
        <v>0</v>
      </c>
      <c r="FE40">
        <v>0</v>
      </c>
      <c r="FF40">
        <v>0</v>
      </c>
      <c r="FG40">
        <v>0</v>
      </c>
      <c r="FH40">
        <v>0</v>
      </c>
      <c r="FI40">
        <v>0</v>
      </c>
      <c r="FJ40">
        <v>0</v>
      </c>
      <c r="FK40">
        <v>0</v>
      </c>
      <c r="FL40">
        <v>0</v>
      </c>
      <c r="FM40">
        <v>0</v>
      </c>
      <c r="FN40">
        <v>0</v>
      </c>
      <c r="FO40">
        <v>0</v>
      </c>
      <c r="FP40">
        <v>0</v>
      </c>
      <c r="FQ40">
        <v>0</v>
      </c>
      <c r="FR40">
        <v>0</v>
      </c>
      <c r="FS40">
        <v>0</v>
      </c>
      <c r="FT40">
        <v>0</v>
      </c>
      <c r="FU40">
        <v>0</v>
      </c>
      <c r="FV40">
        <v>0</v>
      </c>
      <c r="FW40">
        <v>0</v>
      </c>
      <c r="FX40">
        <v>0</v>
      </c>
      <c r="FY40">
        <v>0</v>
      </c>
      <c r="FZ40">
        <v>0</v>
      </c>
      <c r="GA40">
        <v>0</v>
      </c>
      <c r="GB40">
        <v>0</v>
      </c>
      <c r="GC40">
        <v>0</v>
      </c>
      <c r="GD40">
        <v>0</v>
      </c>
      <c r="GE40">
        <v>0</v>
      </c>
      <c r="GF40">
        <v>0</v>
      </c>
      <c r="GG40">
        <v>0</v>
      </c>
      <c r="GH40">
        <v>0</v>
      </c>
      <c r="GI40">
        <v>0</v>
      </c>
      <c r="GJ40">
        <v>0</v>
      </c>
      <c r="GK40">
        <v>0</v>
      </c>
      <c r="GL40">
        <v>0</v>
      </c>
      <c r="GM40">
        <v>0</v>
      </c>
      <c r="GN40">
        <v>0</v>
      </c>
      <c r="GO40">
        <v>0</v>
      </c>
      <c r="GP40">
        <v>0</v>
      </c>
      <c r="GQ40">
        <v>0</v>
      </c>
      <c r="GR40">
        <v>0</v>
      </c>
      <c r="GS40">
        <v>0</v>
      </c>
      <c r="GT40">
        <v>0</v>
      </c>
      <c r="GU40">
        <v>0</v>
      </c>
      <c r="GV40">
        <v>0</v>
      </c>
      <c r="GW40">
        <v>0</v>
      </c>
      <c r="GX40">
        <v>0</v>
      </c>
      <c r="GY40">
        <v>0</v>
      </c>
      <c r="GZ40">
        <v>0</v>
      </c>
      <c r="HA40">
        <v>0</v>
      </c>
      <c r="HB40">
        <v>0</v>
      </c>
      <c r="HC40">
        <v>0</v>
      </c>
      <c r="HE40">
        <f t="shared" si="0"/>
        <v>9896</v>
      </c>
      <c r="HF40">
        <f t="shared" si="1"/>
        <v>1</v>
      </c>
    </row>
    <row r="41" spans="1:214" x14ac:dyDescent="0.45">
      <c r="A41" t="s">
        <v>96</v>
      </c>
      <c r="B41">
        <v>0</v>
      </c>
      <c r="C41">
        <v>0</v>
      </c>
      <c r="D41">
        <v>0</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v>0</v>
      </c>
      <c r="AL41">
        <v>0</v>
      </c>
      <c r="AM41">
        <v>0</v>
      </c>
      <c r="AN41">
        <v>0</v>
      </c>
      <c r="AO41">
        <v>0</v>
      </c>
      <c r="AP41">
        <v>0</v>
      </c>
      <c r="AQ41">
        <v>0</v>
      </c>
      <c r="AR41">
        <v>0</v>
      </c>
      <c r="AS41">
        <v>0</v>
      </c>
      <c r="AT41">
        <v>0</v>
      </c>
      <c r="AU41">
        <v>0</v>
      </c>
      <c r="AV41">
        <v>0</v>
      </c>
      <c r="AW41">
        <v>0</v>
      </c>
      <c r="AX41">
        <v>0</v>
      </c>
      <c r="AY41">
        <v>0</v>
      </c>
      <c r="AZ41">
        <v>0</v>
      </c>
      <c r="BA41">
        <v>0</v>
      </c>
      <c r="BB41">
        <v>0</v>
      </c>
      <c r="BC41">
        <v>0</v>
      </c>
      <c r="BD41">
        <v>0</v>
      </c>
      <c r="BE41">
        <v>0</v>
      </c>
      <c r="BF41">
        <v>0</v>
      </c>
      <c r="BG41">
        <v>0</v>
      </c>
      <c r="BH41">
        <v>0</v>
      </c>
      <c r="BI41">
        <v>0</v>
      </c>
      <c r="BJ41">
        <v>0</v>
      </c>
      <c r="BK41">
        <v>0</v>
      </c>
      <c r="BL41">
        <v>0</v>
      </c>
      <c r="BM41">
        <v>0</v>
      </c>
      <c r="BN41">
        <v>0</v>
      </c>
      <c r="BO41">
        <v>0</v>
      </c>
      <c r="BP41">
        <v>0</v>
      </c>
      <c r="BQ41">
        <v>0</v>
      </c>
      <c r="BR41">
        <v>0</v>
      </c>
      <c r="BS41">
        <v>0</v>
      </c>
      <c r="BT41">
        <v>0</v>
      </c>
      <c r="BU41">
        <v>0</v>
      </c>
      <c r="BV41">
        <v>0</v>
      </c>
      <c r="BW41">
        <v>0</v>
      </c>
      <c r="BX41">
        <v>0</v>
      </c>
      <c r="BY41">
        <v>0</v>
      </c>
      <c r="BZ41">
        <v>0</v>
      </c>
      <c r="CA41">
        <v>0</v>
      </c>
      <c r="CB41">
        <v>0</v>
      </c>
      <c r="CC41">
        <v>0</v>
      </c>
      <c r="CD41">
        <v>0</v>
      </c>
      <c r="CE41">
        <v>0</v>
      </c>
      <c r="CF41">
        <v>0</v>
      </c>
      <c r="CG41">
        <v>0</v>
      </c>
      <c r="CH41">
        <v>0</v>
      </c>
      <c r="CI41">
        <v>0</v>
      </c>
      <c r="CJ41">
        <v>0</v>
      </c>
      <c r="CK41">
        <v>0</v>
      </c>
      <c r="CL41">
        <v>0</v>
      </c>
      <c r="CM41">
        <v>0</v>
      </c>
      <c r="CN41">
        <v>0</v>
      </c>
      <c r="CO41">
        <v>0</v>
      </c>
      <c r="CP41">
        <v>0</v>
      </c>
      <c r="CQ41">
        <v>0</v>
      </c>
      <c r="CR41">
        <v>0</v>
      </c>
      <c r="CS41">
        <v>0</v>
      </c>
      <c r="CT41">
        <v>0</v>
      </c>
      <c r="CU41">
        <v>0</v>
      </c>
      <c r="CV41">
        <v>0</v>
      </c>
      <c r="CW41">
        <v>0</v>
      </c>
      <c r="CX41">
        <v>0</v>
      </c>
      <c r="CY41">
        <v>0</v>
      </c>
      <c r="CZ41">
        <v>0</v>
      </c>
      <c r="DA41">
        <v>0</v>
      </c>
      <c r="DB41">
        <v>0</v>
      </c>
      <c r="DC41">
        <v>0</v>
      </c>
      <c r="DD41">
        <v>0</v>
      </c>
      <c r="DE41">
        <v>0</v>
      </c>
      <c r="DF41">
        <v>0</v>
      </c>
      <c r="DG41">
        <v>0</v>
      </c>
      <c r="DH41">
        <v>0</v>
      </c>
      <c r="DI41">
        <v>0</v>
      </c>
      <c r="DJ41">
        <v>0</v>
      </c>
      <c r="DK41">
        <v>0</v>
      </c>
      <c r="DL41">
        <v>0</v>
      </c>
      <c r="DM41">
        <v>0</v>
      </c>
      <c r="DN41">
        <v>0</v>
      </c>
      <c r="DO41">
        <v>0</v>
      </c>
      <c r="DP41">
        <v>0</v>
      </c>
      <c r="DQ41">
        <v>0</v>
      </c>
      <c r="DR41">
        <v>0</v>
      </c>
      <c r="DS41">
        <v>0</v>
      </c>
      <c r="DT41">
        <v>0</v>
      </c>
      <c r="DU41">
        <v>0</v>
      </c>
      <c r="DV41">
        <v>0</v>
      </c>
      <c r="DW41">
        <v>0</v>
      </c>
      <c r="DX41">
        <v>0</v>
      </c>
      <c r="DY41">
        <v>0</v>
      </c>
      <c r="DZ41">
        <v>0</v>
      </c>
      <c r="EA41">
        <v>0</v>
      </c>
      <c r="EB41">
        <v>0</v>
      </c>
      <c r="EC41">
        <v>0</v>
      </c>
      <c r="ED41">
        <v>0</v>
      </c>
      <c r="EE41">
        <v>0</v>
      </c>
      <c r="EF41">
        <v>0</v>
      </c>
      <c r="EG41">
        <v>0</v>
      </c>
      <c r="EH41">
        <v>0</v>
      </c>
      <c r="EI41">
        <v>0</v>
      </c>
      <c r="EJ41">
        <v>0</v>
      </c>
      <c r="EK41">
        <v>0</v>
      </c>
      <c r="EL41">
        <v>0</v>
      </c>
      <c r="EM41">
        <v>0</v>
      </c>
      <c r="EN41">
        <v>0</v>
      </c>
      <c r="EO41">
        <v>0</v>
      </c>
      <c r="EP41">
        <v>0</v>
      </c>
      <c r="EQ41">
        <v>0</v>
      </c>
      <c r="ER41">
        <v>0</v>
      </c>
      <c r="ES41">
        <v>0</v>
      </c>
      <c r="ET41">
        <v>0</v>
      </c>
      <c r="EU41">
        <v>0</v>
      </c>
      <c r="EV41">
        <v>0</v>
      </c>
      <c r="EW41">
        <v>0</v>
      </c>
      <c r="EX41">
        <v>0</v>
      </c>
      <c r="EY41">
        <v>0</v>
      </c>
      <c r="EZ41">
        <v>0</v>
      </c>
      <c r="FA41">
        <v>0</v>
      </c>
      <c r="FB41">
        <v>0</v>
      </c>
      <c r="FC41">
        <v>0</v>
      </c>
      <c r="FD41">
        <v>0</v>
      </c>
      <c r="FE41">
        <v>0</v>
      </c>
      <c r="FF41">
        <v>0</v>
      </c>
      <c r="FG41">
        <v>0</v>
      </c>
      <c r="FH41">
        <v>0</v>
      </c>
      <c r="FI41">
        <v>0</v>
      </c>
      <c r="FJ41">
        <v>0</v>
      </c>
      <c r="FK41">
        <v>0</v>
      </c>
      <c r="FL41">
        <v>0</v>
      </c>
      <c r="FM41">
        <v>0</v>
      </c>
      <c r="FN41">
        <v>0</v>
      </c>
      <c r="FO41">
        <v>0</v>
      </c>
      <c r="FP41">
        <v>0</v>
      </c>
      <c r="FQ41">
        <v>0</v>
      </c>
      <c r="FR41">
        <v>0</v>
      </c>
      <c r="FS41">
        <v>0</v>
      </c>
      <c r="FT41">
        <v>0</v>
      </c>
      <c r="FU41">
        <v>0</v>
      </c>
      <c r="FV41">
        <v>0</v>
      </c>
      <c r="FW41">
        <v>0</v>
      </c>
      <c r="FX41">
        <v>0</v>
      </c>
      <c r="FY41">
        <v>0</v>
      </c>
      <c r="FZ41">
        <v>0</v>
      </c>
      <c r="GA41">
        <v>0</v>
      </c>
      <c r="GB41">
        <v>0</v>
      </c>
      <c r="GC41">
        <v>0</v>
      </c>
      <c r="GD41">
        <v>0</v>
      </c>
      <c r="GE41">
        <v>0</v>
      </c>
      <c r="GF41">
        <v>0</v>
      </c>
      <c r="GG41">
        <v>0</v>
      </c>
      <c r="GH41">
        <v>0</v>
      </c>
      <c r="GI41">
        <v>0</v>
      </c>
      <c r="GJ41">
        <v>0</v>
      </c>
      <c r="GK41">
        <v>0</v>
      </c>
      <c r="GL41">
        <v>0</v>
      </c>
      <c r="GM41">
        <v>0</v>
      </c>
      <c r="GN41">
        <v>0</v>
      </c>
      <c r="GO41">
        <v>0</v>
      </c>
      <c r="GP41">
        <v>0</v>
      </c>
      <c r="GQ41">
        <v>0</v>
      </c>
      <c r="GR41">
        <v>0</v>
      </c>
      <c r="GS41">
        <v>0</v>
      </c>
      <c r="GT41">
        <v>0</v>
      </c>
      <c r="GU41">
        <v>0</v>
      </c>
      <c r="GV41">
        <v>0</v>
      </c>
      <c r="GW41">
        <v>0</v>
      </c>
      <c r="GX41">
        <v>0</v>
      </c>
      <c r="GY41">
        <v>0</v>
      </c>
      <c r="GZ41">
        <v>0</v>
      </c>
      <c r="HA41">
        <v>0</v>
      </c>
      <c r="HB41">
        <v>0</v>
      </c>
      <c r="HC41">
        <v>0</v>
      </c>
      <c r="HE41">
        <f t="shared" si="0"/>
        <v>0</v>
      </c>
      <c r="HF41">
        <f t="shared" si="1"/>
        <v>0</v>
      </c>
    </row>
    <row r="42" spans="1:214" x14ac:dyDescent="0.45">
      <c r="A42" t="s">
        <v>98</v>
      </c>
      <c r="B42">
        <v>0</v>
      </c>
      <c r="C42">
        <v>0</v>
      </c>
      <c r="D42">
        <v>0</v>
      </c>
      <c r="E42">
        <v>0</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v>0</v>
      </c>
      <c r="AH42">
        <v>0</v>
      </c>
      <c r="AI42">
        <v>0</v>
      </c>
      <c r="AJ42">
        <v>0</v>
      </c>
      <c r="AK42">
        <v>0</v>
      </c>
      <c r="AL42">
        <v>0</v>
      </c>
      <c r="AM42">
        <v>0</v>
      </c>
      <c r="AN42">
        <v>0</v>
      </c>
      <c r="AO42">
        <v>0</v>
      </c>
      <c r="AP42">
        <v>0</v>
      </c>
      <c r="AQ42">
        <v>0</v>
      </c>
      <c r="AR42">
        <v>0</v>
      </c>
      <c r="AS42">
        <v>0</v>
      </c>
      <c r="AT42">
        <v>0</v>
      </c>
      <c r="AU42">
        <v>0</v>
      </c>
      <c r="AV42">
        <v>0</v>
      </c>
      <c r="AW42">
        <v>0</v>
      </c>
      <c r="AX42">
        <v>0</v>
      </c>
      <c r="AY42">
        <v>0</v>
      </c>
      <c r="AZ42">
        <v>0</v>
      </c>
      <c r="BA42">
        <v>0</v>
      </c>
      <c r="BB42">
        <v>0</v>
      </c>
      <c r="BC42">
        <v>0</v>
      </c>
      <c r="BD42">
        <v>0</v>
      </c>
      <c r="BE42">
        <v>0</v>
      </c>
      <c r="BF42">
        <v>0</v>
      </c>
      <c r="BG42">
        <v>0</v>
      </c>
      <c r="BH42">
        <v>0</v>
      </c>
      <c r="BI42">
        <v>0</v>
      </c>
      <c r="BJ42">
        <v>0</v>
      </c>
      <c r="BK42">
        <v>0</v>
      </c>
      <c r="BL42">
        <v>0</v>
      </c>
      <c r="BM42">
        <v>0</v>
      </c>
      <c r="BN42">
        <v>0</v>
      </c>
      <c r="BO42">
        <v>0</v>
      </c>
      <c r="BP42">
        <v>0</v>
      </c>
      <c r="BQ42">
        <v>0</v>
      </c>
      <c r="BR42">
        <v>0</v>
      </c>
      <c r="BS42">
        <v>0</v>
      </c>
      <c r="BT42">
        <v>0</v>
      </c>
      <c r="BU42">
        <v>0</v>
      </c>
      <c r="BV42">
        <v>0</v>
      </c>
      <c r="BW42">
        <v>0</v>
      </c>
      <c r="BX42">
        <v>0</v>
      </c>
      <c r="BY42">
        <v>0</v>
      </c>
      <c r="BZ42">
        <v>0</v>
      </c>
      <c r="CA42">
        <v>0</v>
      </c>
      <c r="CB42">
        <v>0</v>
      </c>
      <c r="CC42">
        <v>0</v>
      </c>
      <c r="CD42">
        <v>759</v>
      </c>
      <c r="CE42">
        <v>0</v>
      </c>
      <c r="CF42">
        <v>847</v>
      </c>
      <c r="CG42">
        <v>1707</v>
      </c>
      <c r="CH42">
        <v>0</v>
      </c>
      <c r="CI42">
        <v>0</v>
      </c>
      <c r="CJ42">
        <v>0</v>
      </c>
      <c r="CK42">
        <v>0</v>
      </c>
      <c r="CL42">
        <v>0</v>
      </c>
      <c r="CM42">
        <v>0</v>
      </c>
      <c r="CN42">
        <v>0</v>
      </c>
      <c r="CO42">
        <v>0</v>
      </c>
      <c r="CP42">
        <v>0</v>
      </c>
      <c r="CQ42">
        <v>977.2</v>
      </c>
      <c r="CR42">
        <v>1160</v>
      </c>
      <c r="CS42">
        <v>1150.0999999999999</v>
      </c>
      <c r="CT42">
        <v>0</v>
      </c>
      <c r="CU42">
        <v>0</v>
      </c>
      <c r="CV42">
        <v>0</v>
      </c>
      <c r="CW42">
        <v>0</v>
      </c>
      <c r="CX42">
        <v>0</v>
      </c>
      <c r="CY42">
        <v>0</v>
      </c>
      <c r="CZ42">
        <v>0</v>
      </c>
      <c r="DA42">
        <v>0</v>
      </c>
      <c r="DB42">
        <v>0</v>
      </c>
      <c r="DC42">
        <v>0</v>
      </c>
      <c r="DD42">
        <v>0</v>
      </c>
      <c r="DE42">
        <v>0</v>
      </c>
      <c r="DF42">
        <v>0</v>
      </c>
      <c r="DG42">
        <v>0</v>
      </c>
      <c r="DH42">
        <v>0</v>
      </c>
      <c r="DI42">
        <v>0</v>
      </c>
      <c r="DJ42">
        <v>0</v>
      </c>
      <c r="DK42">
        <v>0</v>
      </c>
      <c r="DL42">
        <v>0</v>
      </c>
      <c r="DM42">
        <v>0</v>
      </c>
      <c r="DN42">
        <v>0</v>
      </c>
      <c r="DO42">
        <v>0</v>
      </c>
      <c r="DP42">
        <v>0</v>
      </c>
      <c r="DQ42">
        <v>0</v>
      </c>
      <c r="DR42">
        <v>0</v>
      </c>
      <c r="DS42">
        <v>0</v>
      </c>
      <c r="DT42">
        <v>0</v>
      </c>
      <c r="DU42">
        <v>0</v>
      </c>
      <c r="DV42">
        <v>0</v>
      </c>
      <c r="DW42">
        <v>0</v>
      </c>
      <c r="DX42">
        <v>0</v>
      </c>
      <c r="DY42">
        <v>0</v>
      </c>
      <c r="DZ42">
        <v>0</v>
      </c>
      <c r="EA42">
        <v>0</v>
      </c>
      <c r="EB42">
        <v>0</v>
      </c>
      <c r="EC42">
        <v>0</v>
      </c>
      <c r="ED42">
        <v>0</v>
      </c>
      <c r="EE42">
        <v>0</v>
      </c>
      <c r="EF42">
        <v>0</v>
      </c>
      <c r="EG42">
        <v>0</v>
      </c>
      <c r="EH42">
        <v>0</v>
      </c>
      <c r="EI42">
        <v>0</v>
      </c>
      <c r="EJ42">
        <v>0</v>
      </c>
      <c r="EK42">
        <v>0</v>
      </c>
      <c r="EL42">
        <v>0</v>
      </c>
      <c r="EM42">
        <v>0</v>
      </c>
      <c r="EN42">
        <v>0</v>
      </c>
      <c r="EO42">
        <v>0</v>
      </c>
      <c r="EP42">
        <v>0</v>
      </c>
      <c r="EQ42">
        <v>0</v>
      </c>
      <c r="ER42">
        <v>0</v>
      </c>
      <c r="ES42">
        <v>0</v>
      </c>
      <c r="ET42">
        <v>0</v>
      </c>
      <c r="EU42">
        <v>0</v>
      </c>
      <c r="EV42">
        <v>0</v>
      </c>
      <c r="EW42">
        <v>0</v>
      </c>
      <c r="EX42">
        <v>0</v>
      </c>
      <c r="EY42">
        <v>0</v>
      </c>
      <c r="EZ42">
        <v>0</v>
      </c>
      <c r="FA42">
        <v>0</v>
      </c>
      <c r="FB42">
        <v>0</v>
      </c>
      <c r="FC42">
        <v>0</v>
      </c>
      <c r="FD42">
        <v>0</v>
      </c>
      <c r="FE42">
        <v>0</v>
      </c>
      <c r="FF42">
        <v>0</v>
      </c>
      <c r="FG42">
        <v>0</v>
      </c>
      <c r="FH42">
        <v>0</v>
      </c>
      <c r="FI42">
        <v>0</v>
      </c>
      <c r="FJ42">
        <v>0</v>
      </c>
      <c r="FK42">
        <v>0</v>
      </c>
      <c r="FL42">
        <v>0</v>
      </c>
      <c r="FM42">
        <v>0</v>
      </c>
      <c r="FN42">
        <v>0</v>
      </c>
      <c r="FO42">
        <v>0</v>
      </c>
      <c r="FP42">
        <v>0</v>
      </c>
      <c r="FQ42">
        <v>0</v>
      </c>
      <c r="FR42">
        <v>0</v>
      </c>
      <c r="FS42">
        <v>0</v>
      </c>
      <c r="FT42">
        <v>0</v>
      </c>
      <c r="FU42">
        <v>0</v>
      </c>
      <c r="FV42">
        <v>0</v>
      </c>
      <c r="FW42">
        <v>0</v>
      </c>
      <c r="FX42">
        <v>0</v>
      </c>
      <c r="FY42">
        <v>0</v>
      </c>
      <c r="FZ42">
        <v>0</v>
      </c>
      <c r="GA42">
        <v>0</v>
      </c>
      <c r="GB42">
        <v>0</v>
      </c>
      <c r="GC42">
        <v>0</v>
      </c>
      <c r="GD42">
        <v>0</v>
      </c>
      <c r="GE42">
        <v>0</v>
      </c>
      <c r="GF42">
        <v>0</v>
      </c>
      <c r="GG42">
        <v>0</v>
      </c>
      <c r="GH42">
        <v>0</v>
      </c>
      <c r="GI42">
        <v>0</v>
      </c>
      <c r="GJ42">
        <v>0</v>
      </c>
      <c r="GK42">
        <v>0</v>
      </c>
      <c r="GL42">
        <v>0</v>
      </c>
      <c r="GM42">
        <v>0</v>
      </c>
      <c r="GN42">
        <v>0</v>
      </c>
      <c r="GO42">
        <v>0</v>
      </c>
      <c r="GP42">
        <v>0</v>
      </c>
      <c r="GQ42">
        <v>0</v>
      </c>
      <c r="GR42">
        <v>0</v>
      </c>
      <c r="GS42">
        <v>0</v>
      </c>
      <c r="GT42">
        <v>0</v>
      </c>
      <c r="GU42">
        <v>0</v>
      </c>
      <c r="GV42">
        <v>0</v>
      </c>
      <c r="GW42">
        <v>0</v>
      </c>
      <c r="GX42">
        <v>0</v>
      </c>
      <c r="GY42">
        <v>0</v>
      </c>
      <c r="GZ42">
        <v>0</v>
      </c>
      <c r="HA42">
        <v>0</v>
      </c>
      <c r="HB42">
        <v>0</v>
      </c>
      <c r="HC42">
        <v>0</v>
      </c>
      <c r="HE42">
        <f t="shared" si="0"/>
        <v>6600.2999999999993</v>
      </c>
      <c r="HF42">
        <f t="shared" si="1"/>
        <v>1</v>
      </c>
    </row>
    <row r="43" spans="1:214" x14ac:dyDescent="0.45">
      <c r="A43" t="s">
        <v>100</v>
      </c>
      <c r="B43">
        <v>0</v>
      </c>
      <c r="C43">
        <v>0</v>
      </c>
      <c r="D43">
        <v>0</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v>0</v>
      </c>
      <c r="AH43">
        <v>0</v>
      </c>
      <c r="AI43">
        <v>0</v>
      </c>
      <c r="AJ43">
        <v>0</v>
      </c>
      <c r="AK43">
        <v>0</v>
      </c>
      <c r="AL43">
        <v>0</v>
      </c>
      <c r="AM43">
        <v>0</v>
      </c>
      <c r="AN43">
        <v>0</v>
      </c>
      <c r="AO43">
        <v>0</v>
      </c>
      <c r="AP43">
        <v>0</v>
      </c>
      <c r="AQ43">
        <v>0</v>
      </c>
      <c r="AR43">
        <v>0</v>
      </c>
      <c r="AS43">
        <v>0</v>
      </c>
      <c r="AT43">
        <v>0</v>
      </c>
      <c r="AU43">
        <v>0</v>
      </c>
      <c r="AV43">
        <v>0</v>
      </c>
      <c r="AW43">
        <v>0</v>
      </c>
      <c r="AX43">
        <v>0</v>
      </c>
      <c r="AY43">
        <v>0</v>
      </c>
      <c r="AZ43">
        <v>0</v>
      </c>
      <c r="BA43">
        <v>0</v>
      </c>
      <c r="BB43">
        <v>0</v>
      </c>
      <c r="BC43">
        <v>0</v>
      </c>
      <c r="BD43">
        <v>0</v>
      </c>
      <c r="BE43">
        <v>0</v>
      </c>
      <c r="BF43">
        <v>0</v>
      </c>
      <c r="BG43">
        <v>0</v>
      </c>
      <c r="BH43">
        <v>0</v>
      </c>
      <c r="BI43">
        <v>0</v>
      </c>
      <c r="BJ43">
        <v>0</v>
      </c>
      <c r="BK43">
        <v>0</v>
      </c>
      <c r="BL43">
        <v>0</v>
      </c>
      <c r="BM43">
        <v>0</v>
      </c>
      <c r="BN43">
        <v>0</v>
      </c>
      <c r="BO43">
        <v>0</v>
      </c>
      <c r="BP43">
        <v>0</v>
      </c>
      <c r="BQ43">
        <v>0</v>
      </c>
      <c r="BR43">
        <v>0</v>
      </c>
      <c r="BS43">
        <v>0</v>
      </c>
      <c r="BT43">
        <v>0</v>
      </c>
      <c r="BU43">
        <v>0</v>
      </c>
      <c r="BV43">
        <v>0</v>
      </c>
      <c r="BW43">
        <v>0</v>
      </c>
      <c r="BX43">
        <v>0</v>
      </c>
      <c r="BY43">
        <v>0</v>
      </c>
      <c r="BZ43">
        <v>0</v>
      </c>
      <c r="CA43">
        <v>0</v>
      </c>
      <c r="CB43">
        <v>0</v>
      </c>
      <c r="CC43">
        <v>0</v>
      </c>
      <c r="CD43">
        <v>0</v>
      </c>
      <c r="CE43">
        <v>0</v>
      </c>
      <c r="CF43">
        <v>0</v>
      </c>
      <c r="CG43">
        <v>0</v>
      </c>
      <c r="CH43">
        <v>0</v>
      </c>
      <c r="CI43">
        <v>0</v>
      </c>
      <c r="CJ43">
        <v>0</v>
      </c>
      <c r="CK43">
        <v>0</v>
      </c>
      <c r="CL43">
        <v>0</v>
      </c>
      <c r="CM43">
        <v>0</v>
      </c>
      <c r="CN43">
        <v>0</v>
      </c>
      <c r="CO43">
        <v>0</v>
      </c>
      <c r="CP43">
        <v>0</v>
      </c>
      <c r="CQ43">
        <v>0</v>
      </c>
      <c r="CR43">
        <v>0</v>
      </c>
      <c r="CS43">
        <v>0</v>
      </c>
      <c r="CT43">
        <v>0</v>
      </c>
      <c r="CU43">
        <v>0</v>
      </c>
      <c r="CV43">
        <v>0</v>
      </c>
      <c r="CW43">
        <v>0</v>
      </c>
      <c r="CX43">
        <v>0</v>
      </c>
      <c r="CY43">
        <v>0</v>
      </c>
      <c r="CZ43">
        <v>0</v>
      </c>
      <c r="DA43">
        <v>0</v>
      </c>
      <c r="DB43">
        <v>0</v>
      </c>
      <c r="DC43">
        <v>0</v>
      </c>
      <c r="DD43">
        <v>0</v>
      </c>
      <c r="DE43">
        <v>0</v>
      </c>
      <c r="DF43">
        <v>0</v>
      </c>
      <c r="DG43">
        <v>0</v>
      </c>
      <c r="DH43">
        <v>0</v>
      </c>
      <c r="DI43">
        <v>0</v>
      </c>
      <c r="DJ43">
        <v>0</v>
      </c>
      <c r="DK43">
        <v>0</v>
      </c>
      <c r="DL43">
        <v>0</v>
      </c>
      <c r="DM43">
        <v>0</v>
      </c>
      <c r="DN43">
        <v>0</v>
      </c>
      <c r="DO43">
        <v>0</v>
      </c>
      <c r="DP43">
        <v>0</v>
      </c>
      <c r="DQ43">
        <v>0</v>
      </c>
      <c r="DR43">
        <v>0</v>
      </c>
      <c r="DS43">
        <v>0</v>
      </c>
      <c r="DT43">
        <v>0</v>
      </c>
      <c r="DU43">
        <v>0</v>
      </c>
      <c r="DV43">
        <v>0</v>
      </c>
      <c r="DW43">
        <v>0</v>
      </c>
      <c r="DX43">
        <v>0</v>
      </c>
      <c r="DY43">
        <v>0</v>
      </c>
      <c r="DZ43">
        <v>0</v>
      </c>
      <c r="EA43">
        <v>0</v>
      </c>
      <c r="EB43">
        <v>0</v>
      </c>
      <c r="EC43">
        <v>0</v>
      </c>
      <c r="ED43">
        <v>0</v>
      </c>
      <c r="EE43">
        <v>0</v>
      </c>
      <c r="EF43">
        <v>0</v>
      </c>
      <c r="EG43">
        <v>0</v>
      </c>
      <c r="EH43">
        <v>0</v>
      </c>
      <c r="EI43">
        <v>0</v>
      </c>
      <c r="EJ43">
        <v>0</v>
      </c>
      <c r="EK43">
        <v>0</v>
      </c>
      <c r="EL43">
        <v>0</v>
      </c>
      <c r="EM43">
        <v>0</v>
      </c>
      <c r="EN43">
        <v>0</v>
      </c>
      <c r="EO43">
        <v>0</v>
      </c>
      <c r="EP43">
        <v>0</v>
      </c>
      <c r="EQ43">
        <v>0</v>
      </c>
      <c r="ER43">
        <v>0</v>
      </c>
      <c r="ES43">
        <v>0</v>
      </c>
      <c r="ET43">
        <v>0</v>
      </c>
      <c r="EU43">
        <v>0</v>
      </c>
      <c r="EV43">
        <v>0</v>
      </c>
      <c r="EW43">
        <v>0</v>
      </c>
      <c r="EX43">
        <v>0</v>
      </c>
      <c r="EY43">
        <v>0</v>
      </c>
      <c r="EZ43">
        <v>0</v>
      </c>
      <c r="FA43">
        <v>0</v>
      </c>
      <c r="FB43">
        <v>0</v>
      </c>
      <c r="FC43">
        <v>0</v>
      </c>
      <c r="FD43">
        <v>0</v>
      </c>
      <c r="FE43">
        <v>0</v>
      </c>
      <c r="FF43">
        <v>0</v>
      </c>
      <c r="FG43">
        <v>0</v>
      </c>
      <c r="FH43">
        <v>0</v>
      </c>
      <c r="FI43">
        <v>0</v>
      </c>
      <c r="FJ43">
        <v>0</v>
      </c>
      <c r="FK43">
        <v>0</v>
      </c>
      <c r="FL43">
        <v>0</v>
      </c>
      <c r="FM43">
        <v>0</v>
      </c>
      <c r="FN43">
        <v>0</v>
      </c>
      <c r="FO43">
        <v>0</v>
      </c>
      <c r="FP43">
        <v>0</v>
      </c>
      <c r="FQ43">
        <v>0</v>
      </c>
      <c r="FR43">
        <v>0</v>
      </c>
      <c r="FS43">
        <v>0</v>
      </c>
      <c r="FT43">
        <v>0</v>
      </c>
      <c r="FU43">
        <v>0</v>
      </c>
      <c r="FV43">
        <v>0</v>
      </c>
      <c r="FW43">
        <v>0</v>
      </c>
      <c r="FX43">
        <v>0</v>
      </c>
      <c r="FY43">
        <v>0</v>
      </c>
      <c r="FZ43">
        <v>0</v>
      </c>
      <c r="GA43">
        <v>0</v>
      </c>
      <c r="GB43">
        <v>0</v>
      </c>
      <c r="GC43">
        <v>0</v>
      </c>
      <c r="GD43">
        <v>0</v>
      </c>
      <c r="GE43">
        <v>0</v>
      </c>
      <c r="GF43">
        <v>0</v>
      </c>
      <c r="GG43">
        <v>0</v>
      </c>
      <c r="GH43">
        <v>0</v>
      </c>
      <c r="GI43">
        <v>0</v>
      </c>
      <c r="GJ43">
        <v>0</v>
      </c>
      <c r="GK43">
        <v>0</v>
      </c>
      <c r="GL43">
        <v>0</v>
      </c>
      <c r="GM43">
        <v>0</v>
      </c>
      <c r="GN43">
        <v>0</v>
      </c>
      <c r="GO43">
        <v>0</v>
      </c>
      <c r="GP43">
        <v>0</v>
      </c>
      <c r="GQ43">
        <v>0</v>
      </c>
      <c r="GR43">
        <v>0</v>
      </c>
      <c r="GS43">
        <v>0</v>
      </c>
      <c r="GT43">
        <v>0</v>
      </c>
      <c r="GU43">
        <v>0</v>
      </c>
      <c r="GV43">
        <v>0</v>
      </c>
      <c r="GW43">
        <v>0</v>
      </c>
      <c r="GX43">
        <v>0</v>
      </c>
      <c r="GY43">
        <v>0</v>
      </c>
      <c r="GZ43">
        <v>0</v>
      </c>
      <c r="HA43">
        <v>0</v>
      </c>
      <c r="HB43">
        <v>0</v>
      </c>
      <c r="HC43">
        <v>0</v>
      </c>
      <c r="HE43">
        <f t="shared" si="0"/>
        <v>0</v>
      </c>
      <c r="HF43">
        <f t="shared" si="1"/>
        <v>0</v>
      </c>
    </row>
    <row r="44" spans="1:214" x14ac:dyDescent="0.45">
      <c r="A44" t="s">
        <v>102</v>
      </c>
      <c r="B44">
        <v>0</v>
      </c>
      <c r="C44">
        <v>0</v>
      </c>
      <c r="D44">
        <v>0</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v>0</v>
      </c>
      <c r="AH44">
        <v>0</v>
      </c>
      <c r="AI44">
        <v>0</v>
      </c>
      <c r="AJ44">
        <v>0</v>
      </c>
      <c r="AK44">
        <v>0</v>
      </c>
      <c r="AL44">
        <v>0</v>
      </c>
      <c r="AM44">
        <v>0</v>
      </c>
      <c r="AN44">
        <v>0</v>
      </c>
      <c r="AO44">
        <v>0</v>
      </c>
      <c r="AP44">
        <v>0</v>
      </c>
      <c r="AQ44">
        <v>0</v>
      </c>
      <c r="AR44">
        <v>0</v>
      </c>
      <c r="AS44">
        <v>0</v>
      </c>
      <c r="AT44">
        <v>0</v>
      </c>
      <c r="AU44">
        <v>0</v>
      </c>
      <c r="AV44">
        <v>0</v>
      </c>
      <c r="AW44">
        <v>0</v>
      </c>
      <c r="AX44">
        <v>0</v>
      </c>
      <c r="AY44">
        <v>0</v>
      </c>
      <c r="AZ44">
        <v>0</v>
      </c>
      <c r="BA44">
        <v>0</v>
      </c>
      <c r="BB44">
        <v>0</v>
      </c>
      <c r="BC44">
        <v>0</v>
      </c>
      <c r="BD44">
        <v>0</v>
      </c>
      <c r="BE44">
        <v>0</v>
      </c>
      <c r="BF44">
        <v>0</v>
      </c>
      <c r="BG44">
        <v>0</v>
      </c>
      <c r="BH44">
        <v>0</v>
      </c>
      <c r="BI44">
        <v>0</v>
      </c>
      <c r="BJ44">
        <v>0</v>
      </c>
      <c r="BK44">
        <v>0</v>
      </c>
      <c r="BL44">
        <v>0</v>
      </c>
      <c r="BM44">
        <v>0</v>
      </c>
      <c r="BN44">
        <v>0</v>
      </c>
      <c r="BO44">
        <v>0</v>
      </c>
      <c r="BP44">
        <v>0</v>
      </c>
      <c r="BQ44">
        <v>0</v>
      </c>
      <c r="BR44">
        <v>0</v>
      </c>
      <c r="BS44">
        <v>0</v>
      </c>
      <c r="BT44">
        <v>0</v>
      </c>
      <c r="BU44">
        <v>0</v>
      </c>
      <c r="BV44">
        <v>0</v>
      </c>
      <c r="BW44">
        <v>0</v>
      </c>
      <c r="BX44">
        <v>0</v>
      </c>
      <c r="BY44">
        <v>0</v>
      </c>
      <c r="BZ44">
        <v>0</v>
      </c>
      <c r="CA44">
        <v>0</v>
      </c>
      <c r="CB44">
        <v>0</v>
      </c>
      <c r="CC44">
        <v>0</v>
      </c>
      <c r="CD44">
        <v>0</v>
      </c>
      <c r="CE44">
        <v>0</v>
      </c>
      <c r="CF44">
        <v>0</v>
      </c>
      <c r="CG44">
        <v>0</v>
      </c>
      <c r="CH44">
        <v>0</v>
      </c>
      <c r="CI44">
        <v>0</v>
      </c>
      <c r="CJ44">
        <v>0</v>
      </c>
      <c r="CK44">
        <v>0</v>
      </c>
      <c r="CL44">
        <v>0</v>
      </c>
      <c r="CM44">
        <v>0</v>
      </c>
      <c r="CN44">
        <v>1152</v>
      </c>
      <c r="CO44">
        <v>1125.7</v>
      </c>
      <c r="CP44">
        <v>0</v>
      </c>
      <c r="CQ44">
        <v>0</v>
      </c>
      <c r="CR44">
        <v>0</v>
      </c>
      <c r="CS44">
        <v>0</v>
      </c>
      <c r="CT44">
        <v>0</v>
      </c>
      <c r="CU44">
        <v>0</v>
      </c>
      <c r="CV44">
        <v>0</v>
      </c>
      <c r="CW44">
        <v>0</v>
      </c>
      <c r="CX44">
        <v>0</v>
      </c>
      <c r="CY44">
        <v>0</v>
      </c>
      <c r="CZ44">
        <v>0</v>
      </c>
      <c r="DA44">
        <v>0</v>
      </c>
      <c r="DB44">
        <v>0</v>
      </c>
      <c r="DC44">
        <v>1123</v>
      </c>
      <c r="DD44">
        <v>0</v>
      </c>
      <c r="DE44">
        <v>0</v>
      </c>
      <c r="DF44">
        <v>0</v>
      </c>
      <c r="DG44">
        <v>0</v>
      </c>
      <c r="DH44">
        <v>0</v>
      </c>
      <c r="DI44">
        <v>0</v>
      </c>
      <c r="DJ44">
        <v>0</v>
      </c>
      <c r="DK44">
        <v>0</v>
      </c>
      <c r="DL44">
        <v>0</v>
      </c>
      <c r="DM44">
        <v>0</v>
      </c>
      <c r="DN44">
        <v>0</v>
      </c>
      <c r="DO44">
        <v>0</v>
      </c>
      <c r="DP44">
        <v>0</v>
      </c>
      <c r="DQ44">
        <v>0</v>
      </c>
      <c r="DR44">
        <v>0</v>
      </c>
      <c r="DS44">
        <v>0</v>
      </c>
      <c r="DT44">
        <v>0</v>
      </c>
      <c r="DU44">
        <v>0</v>
      </c>
      <c r="DV44">
        <v>0</v>
      </c>
      <c r="DW44">
        <v>1122</v>
      </c>
      <c r="DX44">
        <v>0</v>
      </c>
      <c r="DY44">
        <v>0</v>
      </c>
      <c r="DZ44">
        <v>0</v>
      </c>
      <c r="EA44">
        <v>0</v>
      </c>
      <c r="EB44">
        <v>0</v>
      </c>
      <c r="EC44">
        <v>0</v>
      </c>
      <c r="ED44">
        <v>0</v>
      </c>
      <c r="EE44">
        <v>0</v>
      </c>
      <c r="EF44">
        <v>0</v>
      </c>
      <c r="EG44">
        <v>0</v>
      </c>
      <c r="EH44">
        <v>0</v>
      </c>
      <c r="EI44">
        <v>0</v>
      </c>
      <c r="EJ44">
        <v>0</v>
      </c>
      <c r="EK44">
        <v>0</v>
      </c>
      <c r="EL44">
        <v>0</v>
      </c>
      <c r="EM44">
        <v>0</v>
      </c>
      <c r="EN44">
        <v>0</v>
      </c>
      <c r="EO44">
        <v>0</v>
      </c>
      <c r="EP44">
        <v>0</v>
      </c>
      <c r="EQ44">
        <v>0</v>
      </c>
      <c r="ER44">
        <v>0</v>
      </c>
      <c r="ES44">
        <v>0</v>
      </c>
      <c r="ET44">
        <v>0</v>
      </c>
      <c r="EU44">
        <v>0</v>
      </c>
      <c r="EV44">
        <v>0</v>
      </c>
      <c r="EW44">
        <v>0</v>
      </c>
      <c r="EX44">
        <v>0</v>
      </c>
      <c r="EY44">
        <v>0</v>
      </c>
      <c r="EZ44">
        <v>0</v>
      </c>
      <c r="FA44">
        <v>0</v>
      </c>
      <c r="FB44">
        <v>0</v>
      </c>
      <c r="FC44">
        <v>0</v>
      </c>
      <c r="FD44">
        <v>0</v>
      </c>
      <c r="FE44">
        <v>0</v>
      </c>
      <c r="FF44">
        <v>0</v>
      </c>
      <c r="FG44">
        <v>0</v>
      </c>
      <c r="FH44">
        <v>0</v>
      </c>
      <c r="FI44">
        <v>0</v>
      </c>
      <c r="FJ44">
        <v>0</v>
      </c>
      <c r="FK44">
        <v>0</v>
      </c>
      <c r="FL44">
        <v>0</v>
      </c>
      <c r="FM44">
        <v>0</v>
      </c>
      <c r="FN44">
        <v>0</v>
      </c>
      <c r="FO44">
        <v>0</v>
      </c>
      <c r="FP44">
        <v>0</v>
      </c>
      <c r="FQ44">
        <v>0</v>
      </c>
      <c r="FR44">
        <v>0</v>
      </c>
      <c r="FS44">
        <v>0</v>
      </c>
      <c r="FT44">
        <v>0</v>
      </c>
      <c r="FU44">
        <v>0</v>
      </c>
      <c r="FV44">
        <v>0</v>
      </c>
      <c r="FW44">
        <v>0</v>
      </c>
      <c r="FX44">
        <v>0</v>
      </c>
      <c r="FY44">
        <v>0</v>
      </c>
      <c r="FZ44">
        <v>0</v>
      </c>
      <c r="GA44">
        <v>0</v>
      </c>
      <c r="GB44">
        <v>0</v>
      </c>
      <c r="GC44">
        <v>0</v>
      </c>
      <c r="GD44">
        <v>0</v>
      </c>
      <c r="GE44">
        <v>0</v>
      </c>
      <c r="GF44">
        <v>0</v>
      </c>
      <c r="GG44">
        <v>0</v>
      </c>
      <c r="GH44">
        <v>0</v>
      </c>
      <c r="GI44">
        <v>0</v>
      </c>
      <c r="GJ44">
        <v>0</v>
      </c>
      <c r="GK44">
        <v>0</v>
      </c>
      <c r="GL44">
        <v>0</v>
      </c>
      <c r="GM44">
        <v>0</v>
      </c>
      <c r="GN44">
        <v>0</v>
      </c>
      <c r="GO44">
        <v>0</v>
      </c>
      <c r="GP44">
        <v>0</v>
      </c>
      <c r="GQ44">
        <v>0</v>
      </c>
      <c r="GR44">
        <v>0</v>
      </c>
      <c r="GS44">
        <v>0</v>
      </c>
      <c r="GT44">
        <v>0</v>
      </c>
      <c r="GU44">
        <v>0</v>
      </c>
      <c r="GV44">
        <v>0</v>
      </c>
      <c r="GW44">
        <v>0</v>
      </c>
      <c r="GX44">
        <v>0</v>
      </c>
      <c r="GY44">
        <v>0</v>
      </c>
      <c r="GZ44">
        <v>0</v>
      </c>
      <c r="HA44">
        <v>0</v>
      </c>
      <c r="HB44">
        <v>0</v>
      </c>
      <c r="HC44">
        <v>0</v>
      </c>
      <c r="HE44">
        <f t="shared" si="0"/>
        <v>4522.7</v>
      </c>
      <c r="HF44">
        <f t="shared" si="1"/>
        <v>1</v>
      </c>
    </row>
    <row r="45" spans="1:214" x14ac:dyDescent="0.45">
      <c r="A45" t="s">
        <v>104</v>
      </c>
      <c r="B45">
        <v>0</v>
      </c>
      <c r="C45">
        <v>0</v>
      </c>
      <c r="D45">
        <v>0</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v>0</v>
      </c>
      <c r="AL45">
        <v>0</v>
      </c>
      <c r="AM45">
        <v>0</v>
      </c>
      <c r="AN45">
        <v>0</v>
      </c>
      <c r="AO45">
        <v>0</v>
      </c>
      <c r="AP45">
        <v>0</v>
      </c>
      <c r="AQ45">
        <v>0</v>
      </c>
      <c r="AR45">
        <v>0</v>
      </c>
      <c r="AS45">
        <v>0</v>
      </c>
      <c r="AT45">
        <v>0</v>
      </c>
      <c r="AU45">
        <v>0</v>
      </c>
      <c r="AV45">
        <v>0</v>
      </c>
      <c r="AW45">
        <v>0</v>
      </c>
      <c r="AX45">
        <v>0</v>
      </c>
      <c r="AY45">
        <v>0</v>
      </c>
      <c r="AZ45">
        <v>0</v>
      </c>
      <c r="BA45">
        <v>0</v>
      </c>
      <c r="BB45">
        <v>0</v>
      </c>
      <c r="BC45">
        <v>0</v>
      </c>
      <c r="BD45">
        <v>0</v>
      </c>
      <c r="BE45">
        <v>0</v>
      </c>
      <c r="BF45">
        <v>0</v>
      </c>
      <c r="BG45">
        <v>0</v>
      </c>
      <c r="BH45">
        <v>0</v>
      </c>
      <c r="BI45">
        <v>0</v>
      </c>
      <c r="BJ45">
        <v>0</v>
      </c>
      <c r="BK45">
        <v>0</v>
      </c>
      <c r="BL45">
        <v>0</v>
      </c>
      <c r="BM45">
        <v>0</v>
      </c>
      <c r="BN45">
        <v>0</v>
      </c>
      <c r="BO45">
        <v>0</v>
      </c>
      <c r="BP45">
        <v>0</v>
      </c>
      <c r="BQ45">
        <v>0</v>
      </c>
      <c r="BR45">
        <v>0</v>
      </c>
      <c r="BS45">
        <v>0</v>
      </c>
      <c r="BT45">
        <v>0</v>
      </c>
      <c r="BU45">
        <v>0</v>
      </c>
      <c r="BV45">
        <v>0</v>
      </c>
      <c r="BW45">
        <v>0</v>
      </c>
      <c r="BX45">
        <v>0</v>
      </c>
      <c r="BY45">
        <v>0</v>
      </c>
      <c r="BZ45">
        <v>0</v>
      </c>
      <c r="CA45">
        <v>0</v>
      </c>
      <c r="CB45">
        <v>0</v>
      </c>
      <c r="CC45">
        <v>0</v>
      </c>
      <c r="CD45">
        <v>0</v>
      </c>
      <c r="CE45">
        <v>0</v>
      </c>
      <c r="CF45">
        <v>0</v>
      </c>
      <c r="CG45">
        <v>0</v>
      </c>
      <c r="CH45">
        <v>0</v>
      </c>
      <c r="CI45">
        <v>0</v>
      </c>
      <c r="CJ45">
        <v>0</v>
      </c>
      <c r="CK45">
        <v>0</v>
      </c>
      <c r="CL45">
        <v>0</v>
      </c>
      <c r="CM45">
        <v>0</v>
      </c>
      <c r="CN45">
        <v>0</v>
      </c>
      <c r="CO45">
        <v>0</v>
      </c>
      <c r="CP45">
        <v>0</v>
      </c>
      <c r="CQ45">
        <v>0</v>
      </c>
      <c r="CR45">
        <v>0</v>
      </c>
      <c r="CS45">
        <v>0</v>
      </c>
      <c r="CT45">
        <v>0</v>
      </c>
      <c r="CU45">
        <v>1300</v>
      </c>
      <c r="CV45">
        <v>1280</v>
      </c>
      <c r="CW45">
        <v>1205</v>
      </c>
      <c r="CX45">
        <v>0</v>
      </c>
      <c r="CY45">
        <v>0</v>
      </c>
      <c r="CZ45">
        <v>1195</v>
      </c>
      <c r="DA45">
        <v>0</v>
      </c>
      <c r="DB45">
        <v>0</v>
      </c>
      <c r="DC45">
        <v>0</v>
      </c>
      <c r="DD45">
        <v>0</v>
      </c>
      <c r="DE45">
        <v>0</v>
      </c>
      <c r="DF45">
        <v>0</v>
      </c>
      <c r="DG45">
        <v>0</v>
      </c>
      <c r="DH45">
        <v>0</v>
      </c>
      <c r="DI45">
        <v>0</v>
      </c>
      <c r="DJ45">
        <v>0</v>
      </c>
      <c r="DK45">
        <v>0</v>
      </c>
      <c r="DL45">
        <v>0</v>
      </c>
      <c r="DM45">
        <v>0</v>
      </c>
      <c r="DN45">
        <v>0</v>
      </c>
      <c r="DO45">
        <v>0</v>
      </c>
      <c r="DP45">
        <v>0</v>
      </c>
      <c r="DQ45">
        <v>0</v>
      </c>
      <c r="DR45">
        <v>0</v>
      </c>
      <c r="DS45">
        <v>0</v>
      </c>
      <c r="DT45">
        <v>0</v>
      </c>
      <c r="DU45">
        <v>0</v>
      </c>
      <c r="DV45">
        <v>0</v>
      </c>
      <c r="DW45">
        <v>0</v>
      </c>
      <c r="DX45">
        <v>0</v>
      </c>
      <c r="DY45">
        <v>0</v>
      </c>
      <c r="DZ45">
        <v>0</v>
      </c>
      <c r="EA45">
        <v>0</v>
      </c>
      <c r="EB45">
        <v>0</v>
      </c>
      <c r="EC45">
        <v>0</v>
      </c>
      <c r="ED45">
        <v>0</v>
      </c>
      <c r="EE45">
        <v>0</v>
      </c>
      <c r="EF45">
        <v>0</v>
      </c>
      <c r="EG45">
        <v>0</v>
      </c>
      <c r="EH45">
        <v>0</v>
      </c>
      <c r="EI45">
        <v>0</v>
      </c>
      <c r="EJ45">
        <v>0</v>
      </c>
      <c r="EK45">
        <v>0</v>
      </c>
      <c r="EL45">
        <v>0</v>
      </c>
      <c r="EM45">
        <v>0</v>
      </c>
      <c r="EN45">
        <v>0</v>
      </c>
      <c r="EO45">
        <v>0</v>
      </c>
      <c r="EP45">
        <v>0</v>
      </c>
      <c r="EQ45">
        <v>0</v>
      </c>
      <c r="ER45">
        <v>0</v>
      </c>
      <c r="ES45">
        <v>0</v>
      </c>
      <c r="ET45">
        <v>0</v>
      </c>
      <c r="EU45">
        <v>0</v>
      </c>
      <c r="EV45">
        <v>0</v>
      </c>
      <c r="EW45">
        <v>0</v>
      </c>
      <c r="EX45">
        <v>0</v>
      </c>
      <c r="EY45">
        <v>0</v>
      </c>
      <c r="EZ45">
        <v>0</v>
      </c>
      <c r="FA45">
        <v>0</v>
      </c>
      <c r="FB45">
        <v>0</v>
      </c>
      <c r="FC45">
        <v>0</v>
      </c>
      <c r="FD45">
        <v>0</v>
      </c>
      <c r="FE45">
        <v>0</v>
      </c>
      <c r="FF45">
        <v>0</v>
      </c>
      <c r="FG45">
        <v>0</v>
      </c>
      <c r="FH45">
        <v>0</v>
      </c>
      <c r="FI45">
        <v>0</v>
      </c>
      <c r="FJ45">
        <v>0</v>
      </c>
      <c r="FK45">
        <v>0</v>
      </c>
      <c r="FL45">
        <v>0</v>
      </c>
      <c r="FM45">
        <v>0</v>
      </c>
      <c r="FN45">
        <v>0</v>
      </c>
      <c r="FO45">
        <v>0</v>
      </c>
      <c r="FP45">
        <v>0</v>
      </c>
      <c r="FQ45">
        <v>0</v>
      </c>
      <c r="FR45">
        <v>0</v>
      </c>
      <c r="FS45">
        <v>0</v>
      </c>
      <c r="FT45">
        <v>0</v>
      </c>
      <c r="FU45">
        <v>0</v>
      </c>
      <c r="FV45">
        <v>0</v>
      </c>
      <c r="FW45">
        <v>0</v>
      </c>
      <c r="FX45">
        <v>0</v>
      </c>
      <c r="FY45">
        <v>0</v>
      </c>
      <c r="FZ45">
        <v>0</v>
      </c>
      <c r="GA45">
        <v>0</v>
      </c>
      <c r="GB45">
        <v>0</v>
      </c>
      <c r="GC45">
        <v>0</v>
      </c>
      <c r="GD45">
        <v>0</v>
      </c>
      <c r="GE45">
        <v>0</v>
      </c>
      <c r="GF45">
        <v>0</v>
      </c>
      <c r="GG45">
        <v>0</v>
      </c>
      <c r="GH45">
        <v>0</v>
      </c>
      <c r="GI45">
        <v>0</v>
      </c>
      <c r="GJ45">
        <v>0</v>
      </c>
      <c r="GK45">
        <v>0</v>
      </c>
      <c r="GL45">
        <v>0</v>
      </c>
      <c r="GM45">
        <v>0</v>
      </c>
      <c r="GN45">
        <v>0</v>
      </c>
      <c r="GO45">
        <v>0</v>
      </c>
      <c r="GP45">
        <v>0</v>
      </c>
      <c r="GQ45">
        <v>0</v>
      </c>
      <c r="GR45">
        <v>0</v>
      </c>
      <c r="GS45">
        <v>0</v>
      </c>
      <c r="GT45">
        <v>0</v>
      </c>
      <c r="GU45">
        <v>0</v>
      </c>
      <c r="GV45">
        <v>0</v>
      </c>
      <c r="GW45">
        <v>0</v>
      </c>
      <c r="GX45">
        <v>0</v>
      </c>
      <c r="GY45">
        <v>0</v>
      </c>
      <c r="GZ45">
        <v>0</v>
      </c>
      <c r="HA45">
        <v>0</v>
      </c>
      <c r="HB45">
        <v>0</v>
      </c>
      <c r="HC45">
        <v>0</v>
      </c>
      <c r="HE45">
        <f t="shared" si="0"/>
        <v>4980</v>
      </c>
      <c r="HF45">
        <f t="shared" si="1"/>
        <v>1</v>
      </c>
    </row>
    <row r="46" spans="1:214" x14ac:dyDescent="0.45">
      <c r="A46" t="s">
        <v>106</v>
      </c>
      <c r="B46">
        <v>0</v>
      </c>
      <c r="C46">
        <v>0</v>
      </c>
      <c r="D46">
        <v>0</v>
      </c>
      <c r="E46">
        <v>0</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v>0</v>
      </c>
      <c r="AJ46">
        <v>0</v>
      </c>
      <c r="AK46">
        <v>0</v>
      </c>
      <c r="AL46">
        <v>0</v>
      </c>
      <c r="AM46">
        <v>0</v>
      </c>
      <c r="AN46">
        <v>0</v>
      </c>
      <c r="AO46">
        <v>0</v>
      </c>
      <c r="AP46">
        <v>0</v>
      </c>
      <c r="AQ46">
        <v>0</v>
      </c>
      <c r="AR46">
        <v>0</v>
      </c>
      <c r="AS46">
        <v>0</v>
      </c>
      <c r="AT46">
        <v>0</v>
      </c>
      <c r="AU46">
        <v>0</v>
      </c>
      <c r="AV46">
        <v>0</v>
      </c>
      <c r="AW46">
        <v>0</v>
      </c>
      <c r="AX46">
        <v>0</v>
      </c>
      <c r="AY46">
        <v>0</v>
      </c>
      <c r="AZ46">
        <v>0</v>
      </c>
      <c r="BA46">
        <v>0</v>
      </c>
      <c r="BB46">
        <v>0</v>
      </c>
      <c r="BC46">
        <v>0</v>
      </c>
      <c r="BD46">
        <v>0</v>
      </c>
      <c r="BE46">
        <v>0</v>
      </c>
      <c r="BF46">
        <v>0</v>
      </c>
      <c r="BG46">
        <v>0</v>
      </c>
      <c r="BH46">
        <v>0</v>
      </c>
      <c r="BI46">
        <v>0</v>
      </c>
      <c r="BJ46">
        <v>0</v>
      </c>
      <c r="BK46">
        <v>0</v>
      </c>
      <c r="BL46">
        <v>0</v>
      </c>
      <c r="BM46">
        <v>0</v>
      </c>
      <c r="BN46">
        <v>0</v>
      </c>
      <c r="BO46">
        <v>0</v>
      </c>
      <c r="BP46">
        <v>0</v>
      </c>
      <c r="BQ46">
        <v>0</v>
      </c>
      <c r="BR46">
        <v>0</v>
      </c>
      <c r="BS46">
        <v>0</v>
      </c>
      <c r="BT46">
        <v>0</v>
      </c>
      <c r="BU46">
        <v>0</v>
      </c>
      <c r="BV46">
        <v>0</v>
      </c>
      <c r="BW46">
        <v>0</v>
      </c>
      <c r="BX46">
        <v>0</v>
      </c>
      <c r="BY46">
        <v>0</v>
      </c>
      <c r="BZ46">
        <v>0</v>
      </c>
      <c r="CA46">
        <v>0</v>
      </c>
      <c r="CB46">
        <v>0</v>
      </c>
      <c r="CC46">
        <v>0</v>
      </c>
      <c r="CD46">
        <v>0</v>
      </c>
      <c r="CE46">
        <v>0</v>
      </c>
      <c r="CF46">
        <v>0</v>
      </c>
      <c r="CG46">
        <v>0</v>
      </c>
      <c r="CH46">
        <v>0</v>
      </c>
      <c r="CI46">
        <v>0</v>
      </c>
      <c r="CJ46">
        <v>0</v>
      </c>
      <c r="CK46">
        <v>0</v>
      </c>
      <c r="CL46">
        <v>0</v>
      </c>
      <c r="CM46">
        <v>0</v>
      </c>
      <c r="CN46">
        <v>0</v>
      </c>
      <c r="CO46">
        <v>0</v>
      </c>
      <c r="CP46">
        <v>0</v>
      </c>
      <c r="CQ46">
        <v>0</v>
      </c>
      <c r="CR46">
        <v>0</v>
      </c>
      <c r="CS46">
        <v>0</v>
      </c>
      <c r="CT46">
        <v>0</v>
      </c>
      <c r="CU46">
        <v>0</v>
      </c>
      <c r="CV46">
        <v>0</v>
      </c>
      <c r="CW46">
        <v>0</v>
      </c>
      <c r="CX46">
        <v>0</v>
      </c>
      <c r="CY46">
        <v>0</v>
      </c>
      <c r="CZ46">
        <v>0</v>
      </c>
      <c r="DA46">
        <v>0</v>
      </c>
      <c r="DB46">
        <v>0</v>
      </c>
      <c r="DC46">
        <v>0</v>
      </c>
      <c r="DD46">
        <v>0</v>
      </c>
      <c r="DE46">
        <v>0</v>
      </c>
      <c r="DF46">
        <v>0</v>
      </c>
      <c r="DG46">
        <v>0</v>
      </c>
      <c r="DH46">
        <v>0</v>
      </c>
      <c r="DI46">
        <v>0</v>
      </c>
      <c r="DJ46">
        <v>0</v>
      </c>
      <c r="DK46">
        <v>0</v>
      </c>
      <c r="DL46">
        <v>0</v>
      </c>
      <c r="DM46">
        <v>0</v>
      </c>
      <c r="DN46">
        <v>0</v>
      </c>
      <c r="DO46">
        <v>0</v>
      </c>
      <c r="DP46">
        <v>0</v>
      </c>
      <c r="DQ46">
        <v>0</v>
      </c>
      <c r="DR46">
        <v>0</v>
      </c>
      <c r="DS46">
        <v>0</v>
      </c>
      <c r="DT46">
        <v>0</v>
      </c>
      <c r="DU46">
        <v>0</v>
      </c>
      <c r="DV46">
        <v>0</v>
      </c>
      <c r="DW46">
        <v>0</v>
      </c>
      <c r="DX46">
        <v>0</v>
      </c>
      <c r="DY46">
        <v>0</v>
      </c>
      <c r="DZ46">
        <v>0</v>
      </c>
      <c r="EA46">
        <v>0</v>
      </c>
      <c r="EB46">
        <v>0</v>
      </c>
      <c r="EC46">
        <v>0</v>
      </c>
      <c r="ED46">
        <v>0</v>
      </c>
      <c r="EE46">
        <v>0</v>
      </c>
      <c r="EF46">
        <v>0</v>
      </c>
      <c r="EG46">
        <v>0</v>
      </c>
      <c r="EH46">
        <v>0</v>
      </c>
      <c r="EI46">
        <v>0</v>
      </c>
      <c r="EJ46">
        <v>0</v>
      </c>
      <c r="EK46">
        <v>0</v>
      </c>
      <c r="EL46">
        <v>0</v>
      </c>
      <c r="EM46">
        <v>0</v>
      </c>
      <c r="EN46">
        <v>0</v>
      </c>
      <c r="EO46">
        <v>0</v>
      </c>
      <c r="EP46">
        <v>0</v>
      </c>
      <c r="EQ46">
        <v>0</v>
      </c>
      <c r="ER46">
        <v>0</v>
      </c>
      <c r="ES46">
        <v>0</v>
      </c>
      <c r="ET46">
        <v>0</v>
      </c>
      <c r="EU46">
        <v>0</v>
      </c>
      <c r="EV46">
        <v>0</v>
      </c>
      <c r="EW46">
        <v>0</v>
      </c>
      <c r="EX46">
        <v>0</v>
      </c>
      <c r="EY46">
        <v>0</v>
      </c>
      <c r="EZ46">
        <v>0</v>
      </c>
      <c r="FA46">
        <v>0</v>
      </c>
      <c r="FB46">
        <v>0</v>
      </c>
      <c r="FC46">
        <v>0</v>
      </c>
      <c r="FD46">
        <v>0</v>
      </c>
      <c r="FE46">
        <v>0</v>
      </c>
      <c r="FF46">
        <v>0</v>
      </c>
      <c r="FG46">
        <v>0</v>
      </c>
      <c r="FH46">
        <v>0</v>
      </c>
      <c r="FI46">
        <v>0</v>
      </c>
      <c r="FJ46">
        <v>0</v>
      </c>
      <c r="FK46">
        <v>0</v>
      </c>
      <c r="FL46">
        <v>0</v>
      </c>
      <c r="FM46">
        <v>0</v>
      </c>
      <c r="FN46">
        <v>0</v>
      </c>
      <c r="FO46">
        <v>0</v>
      </c>
      <c r="FP46">
        <v>0</v>
      </c>
      <c r="FQ46">
        <v>0</v>
      </c>
      <c r="FR46">
        <v>0</v>
      </c>
      <c r="FS46">
        <v>0</v>
      </c>
      <c r="FT46">
        <v>0</v>
      </c>
      <c r="FU46">
        <v>0</v>
      </c>
      <c r="FV46">
        <v>0</v>
      </c>
      <c r="FW46">
        <v>0</v>
      </c>
      <c r="FX46">
        <v>0</v>
      </c>
      <c r="FY46">
        <v>0</v>
      </c>
      <c r="FZ46">
        <v>0</v>
      </c>
      <c r="GA46">
        <v>0</v>
      </c>
      <c r="GB46">
        <v>0</v>
      </c>
      <c r="GC46">
        <v>0</v>
      </c>
      <c r="GD46">
        <v>0</v>
      </c>
      <c r="GE46">
        <v>0</v>
      </c>
      <c r="GF46">
        <v>0</v>
      </c>
      <c r="GG46">
        <v>0</v>
      </c>
      <c r="GH46">
        <v>0</v>
      </c>
      <c r="GI46">
        <v>0</v>
      </c>
      <c r="GJ46">
        <v>0</v>
      </c>
      <c r="GK46">
        <v>0</v>
      </c>
      <c r="GL46">
        <v>0</v>
      </c>
      <c r="GM46">
        <v>0</v>
      </c>
      <c r="GN46">
        <v>0</v>
      </c>
      <c r="GO46">
        <v>0</v>
      </c>
      <c r="GP46">
        <v>0</v>
      </c>
      <c r="GQ46">
        <v>0</v>
      </c>
      <c r="GR46">
        <v>0</v>
      </c>
      <c r="GS46">
        <v>0</v>
      </c>
      <c r="GT46">
        <v>0</v>
      </c>
      <c r="GU46">
        <v>0</v>
      </c>
      <c r="GV46">
        <v>0</v>
      </c>
      <c r="GW46">
        <v>0</v>
      </c>
      <c r="GX46">
        <v>0</v>
      </c>
      <c r="GY46">
        <v>0</v>
      </c>
      <c r="GZ46">
        <v>0</v>
      </c>
      <c r="HA46">
        <v>0</v>
      </c>
      <c r="HB46">
        <v>0</v>
      </c>
      <c r="HC46">
        <v>0</v>
      </c>
      <c r="HE46">
        <f t="shared" si="0"/>
        <v>0</v>
      </c>
      <c r="HF46">
        <f t="shared" si="1"/>
        <v>0</v>
      </c>
    </row>
    <row r="47" spans="1:214" x14ac:dyDescent="0.45">
      <c r="A47" t="s">
        <v>108</v>
      </c>
      <c r="B47">
        <v>0</v>
      </c>
      <c r="C47">
        <v>0</v>
      </c>
      <c r="D47">
        <v>0</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v>0</v>
      </c>
      <c r="AK47">
        <v>0</v>
      </c>
      <c r="AL47">
        <v>0</v>
      </c>
      <c r="AM47">
        <v>0</v>
      </c>
      <c r="AN47">
        <v>0</v>
      </c>
      <c r="AO47">
        <v>0</v>
      </c>
      <c r="AP47">
        <v>0</v>
      </c>
      <c r="AQ47">
        <v>0</v>
      </c>
      <c r="AR47">
        <v>0</v>
      </c>
      <c r="AS47">
        <v>0</v>
      </c>
      <c r="AT47">
        <v>0</v>
      </c>
      <c r="AU47">
        <v>0</v>
      </c>
      <c r="AV47">
        <v>0</v>
      </c>
      <c r="AW47">
        <v>0</v>
      </c>
      <c r="AX47">
        <v>0</v>
      </c>
      <c r="AY47">
        <v>0</v>
      </c>
      <c r="AZ47">
        <v>0</v>
      </c>
      <c r="BA47">
        <v>0</v>
      </c>
      <c r="BB47">
        <v>0</v>
      </c>
      <c r="BC47">
        <v>0</v>
      </c>
      <c r="BD47">
        <v>0</v>
      </c>
      <c r="BE47">
        <v>0</v>
      </c>
      <c r="BF47">
        <v>0</v>
      </c>
      <c r="BG47">
        <v>0</v>
      </c>
      <c r="BH47">
        <v>0</v>
      </c>
      <c r="BI47">
        <v>0</v>
      </c>
      <c r="BJ47">
        <v>0</v>
      </c>
      <c r="BK47">
        <v>0</v>
      </c>
      <c r="BL47">
        <v>0</v>
      </c>
      <c r="BM47">
        <v>0</v>
      </c>
      <c r="BN47">
        <v>0</v>
      </c>
      <c r="BO47">
        <v>0</v>
      </c>
      <c r="BP47">
        <v>0</v>
      </c>
      <c r="BQ47">
        <v>0</v>
      </c>
      <c r="BR47">
        <v>0</v>
      </c>
      <c r="BS47">
        <v>0</v>
      </c>
      <c r="BT47">
        <v>0</v>
      </c>
      <c r="BU47">
        <v>0</v>
      </c>
      <c r="BV47">
        <v>0</v>
      </c>
      <c r="BW47">
        <v>0</v>
      </c>
      <c r="BX47">
        <v>0</v>
      </c>
      <c r="BY47">
        <v>0</v>
      </c>
      <c r="BZ47">
        <v>0</v>
      </c>
      <c r="CA47">
        <v>0</v>
      </c>
      <c r="CB47">
        <v>0</v>
      </c>
      <c r="CC47">
        <v>0</v>
      </c>
      <c r="CD47">
        <v>0</v>
      </c>
      <c r="CE47">
        <v>838</v>
      </c>
      <c r="CF47">
        <v>838</v>
      </c>
      <c r="CG47">
        <v>0</v>
      </c>
      <c r="CH47">
        <v>0</v>
      </c>
      <c r="CI47">
        <v>0</v>
      </c>
      <c r="CJ47">
        <v>0</v>
      </c>
      <c r="CK47">
        <v>948</v>
      </c>
      <c r="CL47">
        <v>0</v>
      </c>
      <c r="CM47">
        <v>944</v>
      </c>
      <c r="CN47">
        <v>0</v>
      </c>
      <c r="CO47">
        <v>0</v>
      </c>
      <c r="CP47">
        <v>0</v>
      </c>
      <c r="CQ47">
        <v>0</v>
      </c>
      <c r="CR47">
        <v>0</v>
      </c>
      <c r="CS47">
        <v>0</v>
      </c>
      <c r="CT47">
        <v>0</v>
      </c>
      <c r="CU47">
        <v>0</v>
      </c>
      <c r="CV47">
        <v>0</v>
      </c>
      <c r="CW47">
        <v>0</v>
      </c>
      <c r="CX47">
        <v>0</v>
      </c>
      <c r="CY47">
        <v>0</v>
      </c>
      <c r="CZ47">
        <v>0</v>
      </c>
      <c r="DA47">
        <v>0</v>
      </c>
      <c r="DB47">
        <v>0</v>
      </c>
      <c r="DC47">
        <v>0</v>
      </c>
      <c r="DD47">
        <v>0</v>
      </c>
      <c r="DE47">
        <v>0</v>
      </c>
      <c r="DF47">
        <v>0</v>
      </c>
      <c r="DG47">
        <v>0</v>
      </c>
      <c r="DH47">
        <v>0</v>
      </c>
      <c r="DI47">
        <v>0</v>
      </c>
      <c r="DJ47">
        <v>0</v>
      </c>
      <c r="DK47">
        <v>0</v>
      </c>
      <c r="DL47">
        <v>0</v>
      </c>
      <c r="DM47">
        <v>0</v>
      </c>
      <c r="DN47">
        <v>0</v>
      </c>
      <c r="DO47">
        <v>0</v>
      </c>
      <c r="DP47">
        <v>0</v>
      </c>
      <c r="DQ47">
        <v>0</v>
      </c>
      <c r="DR47">
        <v>0</v>
      </c>
      <c r="DS47">
        <v>0</v>
      </c>
      <c r="DT47">
        <v>0</v>
      </c>
      <c r="DU47">
        <v>0</v>
      </c>
      <c r="DV47">
        <v>0</v>
      </c>
      <c r="DW47">
        <v>0</v>
      </c>
      <c r="DX47">
        <v>0</v>
      </c>
      <c r="DY47">
        <v>0</v>
      </c>
      <c r="DZ47">
        <v>0</v>
      </c>
      <c r="EA47">
        <v>0</v>
      </c>
      <c r="EB47">
        <v>0</v>
      </c>
      <c r="EC47">
        <v>0</v>
      </c>
      <c r="ED47">
        <v>0</v>
      </c>
      <c r="EE47">
        <v>0</v>
      </c>
      <c r="EF47">
        <v>0</v>
      </c>
      <c r="EG47">
        <v>0</v>
      </c>
      <c r="EH47">
        <v>0</v>
      </c>
      <c r="EI47">
        <v>0</v>
      </c>
      <c r="EJ47">
        <v>0</v>
      </c>
      <c r="EK47">
        <v>0</v>
      </c>
      <c r="EL47">
        <v>0</v>
      </c>
      <c r="EM47">
        <v>0</v>
      </c>
      <c r="EN47">
        <v>0</v>
      </c>
      <c r="EO47">
        <v>0</v>
      </c>
      <c r="EP47">
        <v>0</v>
      </c>
      <c r="EQ47">
        <v>0</v>
      </c>
      <c r="ER47">
        <v>0</v>
      </c>
      <c r="ES47">
        <v>0</v>
      </c>
      <c r="ET47">
        <v>0</v>
      </c>
      <c r="EU47">
        <v>0</v>
      </c>
      <c r="EV47">
        <v>0</v>
      </c>
      <c r="EW47">
        <v>0</v>
      </c>
      <c r="EX47">
        <v>0</v>
      </c>
      <c r="EY47">
        <v>0</v>
      </c>
      <c r="EZ47">
        <v>0</v>
      </c>
      <c r="FA47">
        <v>0</v>
      </c>
      <c r="FB47">
        <v>0</v>
      </c>
      <c r="FC47">
        <v>0</v>
      </c>
      <c r="FD47">
        <v>0</v>
      </c>
      <c r="FE47">
        <v>0</v>
      </c>
      <c r="FF47">
        <v>0</v>
      </c>
      <c r="FG47">
        <v>0</v>
      </c>
      <c r="FH47">
        <v>0</v>
      </c>
      <c r="FI47">
        <v>0</v>
      </c>
      <c r="FJ47">
        <v>0</v>
      </c>
      <c r="FK47">
        <v>0</v>
      </c>
      <c r="FL47">
        <v>0</v>
      </c>
      <c r="FM47">
        <v>0</v>
      </c>
      <c r="FN47">
        <v>0</v>
      </c>
      <c r="FO47">
        <v>0</v>
      </c>
      <c r="FP47">
        <v>0</v>
      </c>
      <c r="FQ47">
        <v>0</v>
      </c>
      <c r="FR47">
        <v>0</v>
      </c>
      <c r="FS47">
        <v>0</v>
      </c>
      <c r="FT47">
        <v>0</v>
      </c>
      <c r="FU47">
        <v>0</v>
      </c>
      <c r="FV47">
        <v>0</v>
      </c>
      <c r="FW47">
        <v>0</v>
      </c>
      <c r="FX47">
        <v>0</v>
      </c>
      <c r="FY47">
        <v>0</v>
      </c>
      <c r="FZ47">
        <v>0</v>
      </c>
      <c r="GA47">
        <v>0</v>
      </c>
      <c r="GB47">
        <v>0</v>
      </c>
      <c r="GC47">
        <v>0</v>
      </c>
      <c r="GD47">
        <v>0</v>
      </c>
      <c r="GE47">
        <v>0</v>
      </c>
      <c r="GF47">
        <v>0</v>
      </c>
      <c r="GG47">
        <v>0</v>
      </c>
      <c r="GH47">
        <v>0</v>
      </c>
      <c r="GI47">
        <v>0</v>
      </c>
      <c r="GJ47">
        <v>0</v>
      </c>
      <c r="GK47">
        <v>0</v>
      </c>
      <c r="GL47">
        <v>0</v>
      </c>
      <c r="GM47">
        <v>0</v>
      </c>
      <c r="GN47">
        <v>0</v>
      </c>
      <c r="GO47">
        <v>0</v>
      </c>
      <c r="GP47">
        <v>0</v>
      </c>
      <c r="GQ47">
        <v>0</v>
      </c>
      <c r="GR47">
        <v>0</v>
      </c>
      <c r="GS47">
        <v>0</v>
      </c>
      <c r="GT47">
        <v>0</v>
      </c>
      <c r="GU47">
        <v>0</v>
      </c>
      <c r="GV47">
        <v>0</v>
      </c>
      <c r="GW47">
        <v>0</v>
      </c>
      <c r="GX47">
        <v>0</v>
      </c>
      <c r="GY47">
        <v>0</v>
      </c>
      <c r="GZ47">
        <v>0</v>
      </c>
      <c r="HA47">
        <v>0</v>
      </c>
      <c r="HB47">
        <v>0</v>
      </c>
      <c r="HC47">
        <v>0</v>
      </c>
      <c r="HE47">
        <f t="shared" si="0"/>
        <v>3568</v>
      </c>
      <c r="HF47">
        <f t="shared" si="1"/>
        <v>1</v>
      </c>
    </row>
    <row r="48" spans="1:214" x14ac:dyDescent="0.45">
      <c r="A48" t="s">
        <v>110</v>
      </c>
      <c r="B48">
        <v>0</v>
      </c>
      <c r="C48">
        <v>0</v>
      </c>
      <c r="D48">
        <v>0</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v>0</v>
      </c>
      <c r="AF48">
        <v>0</v>
      </c>
      <c r="AG48">
        <v>0</v>
      </c>
      <c r="AH48">
        <v>0</v>
      </c>
      <c r="AI48">
        <v>0</v>
      </c>
      <c r="AJ48">
        <v>0</v>
      </c>
      <c r="AK48">
        <v>0</v>
      </c>
      <c r="AL48">
        <v>0</v>
      </c>
      <c r="AM48">
        <v>0</v>
      </c>
      <c r="AN48">
        <v>0</v>
      </c>
      <c r="AO48">
        <v>0</v>
      </c>
      <c r="AP48">
        <v>0</v>
      </c>
      <c r="AQ48">
        <v>0</v>
      </c>
      <c r="AR48">
        <v>0</v>
      </c>
      <c r="AS48">
        <v>0</v>
      </c>
      <c r="AT48">
        <v>0</v>
      </c>
      <c r="AU48">
        <v>0</v>
      </c>
      <c r="AV48">
        <v>0</v>
      </c>
      <c r="AW48">
        <v>0</v>
      </c>
      <c r="AX48">
        <v>0</v>
      </c>
      <c r="AY48">
        <v>0</v>
      </c>
      <c r="AZ48">
        <v>0</v>
      </c>
      <c r="BA48">
        <v>0</v>
      </c>
      <c r="BB48">
        <v>0</v>
      </c>
      <c r="BC48">
        <v>0</v>
      </c>
      <c r="BD48">
        <v>0</v>
      </c>
      <c r="BE48">
        <v>0</v>
      </c>
      <c r="BF48">
        <v>0</v>
      </c>
      <c r="BG48">
        <v>0</v>
      </c>
      <c r="BH48">
        <v>0</v>
      </c>
      <c r="BI48">
        <v>0</v>
      </c>
      <c r="BJ48">
        <v>0</v>
      </c>
      <c r="BK48">
        <v>0</v>
      </c>
      <c r="BL48">
        <v>0</v>
      </c>
      <c r="BM48">
        <v>0</v>
      </c>
      <c r="BN48">
        <v>0</v>
      </c>
      <c r="BO48">
        <v>0</v>
      </c>
      <c r="BP48">
        <v>0</v>
      </c>
      <c r="BQ48">
        <v>0</v>
      </c>
      <c r="BR48">
        <v>0</v>
      </c>
      <c r="BS48">
        <v>0</v>
      </c>
      <c r="BT48">
        <v>0</v>
      </c>
      <c r="BU48">
        <v>0</v>
      </c>
      <c r="BV48">
        <v>0</v>
      </c>
      <c r="BW48">
        <v>0</v>
      </c>
      <c r="BX48">
        <v>0</v>
      </c>
      <c r="BY48">
        <v>0</v>
      </c>
      <c r="BZ48">
        <v>0</v>
      </c>
      <c r="CA48">
        <v>0</v>
      </c>
      <c r="CB48">
        <v>0</v>
      </c>
      <c r="CC48">
        <v>0</v>
      </c>
      <c r="CD48">
        <v>0</v>
      </c>
      <c r="CE48">
        <v>0</v>
      </c>
      <c r="CF48">
        <v>0</v>
      </c>
      <c r="CG48">
        <v>0</v>
      </c>
      <c r="CH48">
        <v>0</v>
      </c>
      <c r="CI48">
        <v>0</v>
      </c>
      <c r="CJ48">
        <v>0</v>
      </c>
      <c r="CK48">
        <v>0</v>
      </c>
      <c r="CL48">
        <v>0</v>
      </c>
      <c r="CM48">
        <v>0</v>
      </c>
      <c r="CN48">
        <v>0</v>
      </c>
      <c r="CO48">
        <v>0</v>
      </c>
      <c r="CP48">
        <v>0</v>
      </c>
      <c r="CQ48">
        <v>0</v>
      </c>
      <c r="CR48">
        <v>0</v>
      </c>
      <c r="CS48">
        <v>0</v>
      </c>
      <c r="CT48">
        <v>0</v>
      </c>
      <c r="CU48">
        <v>0</v>
      </c>
      <c r="CV48">
        <v>0</v>
      </c>
      <c r="CW48">
        <v>0</v>
      </c>
      <c r="CX48">
        <v>0</v>
      </c>
      <c r="CY48">
        <v>0</v>
      </c>
      <c r="CZ48">
        <v>0</v>
      </c>
      <c r="DA48">
        <v>0</v>
      </c>
      <c r="DB48">
        <v>0</v>
      </c>
      <c r="DC48">
        <v>0</v>
      </c>
      <c r="DD48">
        <v>0</v>
      </c>
      <c r="DE48">
        <v>0</v>
      </c>
      <c r="DF48">
        <v>0</v>
      </c>
      <c r="DG48">
        <v>0</v>
      </c>
      <c r="DH48">
        <v>0</v>
      </c>
      <c r="DI48">
        <v>0</v>
      </c>
      <c r="DJ48">
        <v>0</v>
      </c>
      <c r="DK48">
        <v>0</v>
      </c>
      <c r="DL48">
        <v>0</v>
      </c>
      <c r="DM48">
        <v>0</v>
      </c>
      <c r="DN48">
        <v>0</v>
      </c>
      <c r="DO48">
        <v>0</v>
      </c>
      <c r="DP48">
        <v>0</v>
      </c>
      <c r="DQ48">
        <v>0</v>
      </c>
      <c r="DR48">
        <v>0</v>
      </c>
      <c r="DS48">
        <v>0</v>
      </c>
      <c r="DT48">
        <v>0</v>
      </c>
      <c r="DU48">
        <v>0</v>
      </c>
      <c r="DV48">
        <v>0</v>
      </c>
      <c r="DW48">
        <v>0</v>
      </c>
      <c r="DX48">
        <v>0</v>
      </c>
      <c r="DY48">
        <v>0</v>
      </c>
      <c r="DZ48">
        <v>0</v>
      </c>
      <c r="EA48">
        <v>0</v>
      </c>
      <c r="EB48">
        <v>0</v>
      </c>
      <c r="EC48">
        <v>0</v>
      </c>
      <c r="ED48">
        <v>0</v>
      </c>
      <c r="EE48">
        <v>0</v>
      </c>
      <c r="EF48">
        <v>0</v>
      </c>
      <c r="EG48">
        <v>0</v>
      </c>
      <c r="EH48">
        <v>0</v>
      </c>
      <c r="EI48">
        <v>0</v>
      </c>
      <c r="EJ48">
        <v>0</v>
      </c>
      <c r="EK48">
        <v>0</v>
      </c>
      <c r="EL48">
        <v>0</v>
      </c>
      <c r="EM48">
        <v>0</v>
      </c>
      <c r="EN48">
        <v>0</v>
      </c>
      <c r="EO48">
        <v>0</v>
      </c>
      <c r="EP48">
        <v>0</v>
      </c>
      <c r="EQ48">
        <v>0</v>
      </c>
      <c r="ER48">
        <v>0</v>
      </c>
      <c r="ES48">
        <v>0</v>
      </c>
      <c r="ET48">
        <v>0</v>
      </c>
      <c r="EU48">
        <v>0</v>
      </c>
      <c r="EV48">
        <v>0</v>
      </c>
      <c r="EW48">
        <v>0</v>
      </c>
      <c r="EX48">
        <v>0</v>
      </c>
      <c r="EY48">
        <v>0</v>
      </c>
      <c r="EZ48">
        <v>0</v>
      </c>
      <c r="FA48">
        <v>0</v>
      </c>
      <c r="FB48">
        <v>0</v>
      </c>
      <c r="FC48">
        <v>0</v>
      </c>
      <c r="FD48">
        <v>0</v>
      </c>
      <c r="FE48">
        <v>0</v>
      </c>
      <c r="FF48">
        <v>0</v>
      </c>
      <c r="FG48">
        <v>0</v>
      </c>
      <c r="FH48">
        <v>0</v>
      </c>
      <c r="FI48">
        <v>0</v>
      </c>
      <c r="FJ48">
        <v>0</v>
      </c>
      <c r="FK48">
        <v>0</v>
      </c>
      <c r="FL48">
        <v>0</v>
      </c>
      <c r="FM48">
        <v>0</v>
      </c>
      <c r="FN48">
        <v>0</v>
      </c>
      <c r="FO48">
        <v>0</v>
      </c>
      <c r="FP48">
        <v>0</v>
      </c>
      <c r="FQ48">
        <v>0</v>
      </c>
      <c r="FR48">
        <v>0</v>
      </c>
      <c r="FS48">
        <v>0</v>
      </c>
      <c r="FT48">
        <v>0</v>
      </c>
      <c r="FU48">
        <v>0</v>
      </c>
      <c r="FV48">
        <v>0</v>
      </c>
      <c r="FW48">
        <v>0</v>
      </c>
      <c r="FX48">
        <v>0</v>
      </c>
      <c r="FY48">
        <v>0</v>
      </c>
      <c r="FZ48">
        <v>0</v>
      </c>
      <c r="GA48">
        <v>0</v>
      </c>
      <c r="GB48">
        <v>0</v>
      </c>
      <c r="GC48">
        <v>0</v>
      </c>
      <c r="GD48">
        <v>0</v>
      </c>
      <c r="GE48">
        <v>0</v>
      </c>
      <c r="GF48">
        <v>0</v>
      </c>
      <c r="GG48">
        <v>0</v>
      </c>
      <c r="GH48">
        <v>0</v>
      </c>
      <c r="GI48">
        <v>0</v>
      </c>
      <c r="GJ48">
        <v>0</v>
      </c>
      <c r="GK48">
        <v>0</v>
      </c>
      <c r="GL48">
        <v>0</v>
      </c>
      <c r="GM48">
        <v>0</v>
      </c>
      <c r="GN48">
        <v>0</v>
      </c>
      <c r="GO48">
        <v>0</v>
      </c>
      <c r="GP48">
        <v>0</v>
      </c>
      <c r="GQ48">
        <v>0</v>
      </c>
      <c r="GR48">
        <v>0</v>
      </c>
      <c r="GS48">
        <v>0</v>
      </c>
      <c r="GT48">
        <v>0</v>
      </c>
      <c r="GU48">
        <v>0</v>
      </c>
      <c r="GV48">
        <v>0</v>
      </c>
      <c r="GW48">
        <v>0</v>
      </c>
      <c r="GX48">
        <v>0</v>
      </c>
      <c r="GY48">
        <v>0</v>
      </c>
      <c r="GZ48">
        <v>0</v>
      </c>
      <c r="HA48">
        <v>0</v>
      </c>
      <c r="HB48">
        <v>0</v>
      </c>
      <c r="HC48">
        <v>0</v>
      </c>
      <c r="HE48">
        <f t="shared" si="0"/>
        <v>0</v>
      </c>
      <c r="HF48">
        <f t="shared" si="1"/>
        <v>0</v>
      </c>
    </row>
    <row r="49" spans="1:214" x14ac:dyDescent="0.45">
      <c r="A49" t="s">
        <v>112</v>
      </c>
      <c r="B49">
        <v>0</v>
      </c>
      <c r="C49">
        <v>0</v>
      </c>
      <c r="D49">
        <v>0</v>
      </c>
      <c r="E49">
        <v>0</v>
      </c>
      <c r="F49">
        <v>0</v>
      </c>
      <c r="G49">
        <v>0</v>
      </c>
      <c r="H49">
        <v>0</v>
      </c>
      <c r="I49">
        <v>0</v>
      </c>
      <c r="J49">
        <v>0</v>
      </c>
      <c r="K49">
        <v>0</v>
      </c>
      <c r="L49">
        <v>0</v>
      </c>
      <c r="M49">
        <v>0</v>
      </c>
      <c r="N49">
        <v>0</v>
      </c>
      <c r="O49">
        <v>0</v>
      </c>
      <c r="P49">
        <v>0</v>
      </c>
      <c r="Q49">
        <v>0</v>
      </c>
      <c r="R49">
        <v>0</v>
      </c>
      <c r="S49">
        <v>0</v>
      </c>
      <c r="T49">
        <v>0</v>
      </c>
      <c r="U49">
        <v>0</v>
      </c>
      <c r="V49">
        <v>0</v>
      </c>
      <c r="W49">
        <v>0</v>
      </c>
      <c r="X49">
        <v>0</v>
      </c>
      <c r="Y49">
        <v>0</v>
      </c>
      <c r="Z49">
        <v>0</v>
      </c>
      <c r="AA49">
        <v>0</v>
      </c>
      <c r="AB49">
        <v>0</v>
      </c>
      <c r="AC49">
        <v>0</v>
      </c>
      <c r="AD49">
        <v>0</v>
      </c>
      <c r="AE49">
        <v>0</v>
      </c>
      <c r="AF49">
        <v>0</v>
      </c>
      <c r="AG49">
        <v>0</v>
      </c>
      <c r="AH49">
        <v>0</v>
      </c>
      <c r="AI49">
        <v>0</v>
      </c>
      <c r="AJ49">
        <v>0</v>
      </c>
      <c r="AK49">
        <v>0</v>
      </c>
      <c r="AL49">
        <v>0</v>
      </c>
      <c r="AM49">
        <v>0</v>
      </c>
      <c r="AN49">
        <v>0</v>
      </c>
      <c r="AO49">
        <v>0</v>
      </c>
      <c r="AP49">
        <v>0</v>
      </c>
      <c r="AQ49">
        <v>0</v>
      </c>
      <c r="AR49">
        <v>0</v>
      </c>
      <c r="AS49">
        <v>0</v>
      </c>
      <c r="AT49">
        <v>0</v>
      </c>
      <c r="AU49">
        <v>0</v>
      </c>
      <c r="AV49">
        <v>0</v>
      </c>
      <c r="AW49">
        <v>0</v>
      </c>
      <c r="AX49">
        <v>0</v>
      </c>
      <c r="AY49">
        <v>0</v>
      </c>
      <c r="AZ49">
        <v>0</v>
      </c>
      <c r="BA49">
        <v>0</v>
      </c>
      <c r="BB49">
        <v>0</v>
      </c>
      <c r="BC49">
        <v>0</v>
      </c>
      <c r="BD49">
        <v>0</v>
      </c>
      <c r="BE49">
        <v>0</v>
      </c>
      <c r="BF49">
        <v>0</v>
      </c>
      <c r="BG49">
        <v>0</v>
      </c>
      <c r="BH49">
        <v>0</v>
      </c>
      <c r="BI49">
        <v>0</v>
      </c>
      <c r="BJ49">
        <v>0</v>
      </c>
      <c r="BK49">
        <v>0</v>
      </c>
      <c r="BL49">
        <v>0</v>
      </c>
      <c r="BM49">
        <v>0</v>
      </c>
      <c r="BN49">
        <v>0</v>
      </c>
      <c r="BO49">
        <v>0</v>
      </c>
      <c r="BP49">
        <v>0</v>
      </c>
      <c r="BQ49">
        <v>0</v>
      </c>
      <c r="BR49">
        <v>0</v>
      </c>
      <c r="BS49">
        <v>0</v>
      </c>
      <c r="BT49">
        <v>0</v>
      </c>
      <c r="BU49">
        <v>0</v>
      </c>
      <c r="BV49">
        <v>0</v>
      </c>
      <c r="BW49">
        <v>0</v>
      </c>
      <c r="BX49">
        <v>0</v>
      </c>
      <c r="BY49">
        <v>0</v>
      </c>
      <c r="BZ49">
        <v>0</v>
      </c>
      <c r="CA49">
        <v>0</v>
      </c>
      <c r="CB49">
        <v>0</v>
      </c>
      <c r="CC49">
        <v>0</v>
      </c>
      <c r="CD49">
        <v>0</v>
      </c>
      <c r="CE49">
        <v>0</v>
      </c>
      <c r="CF49">
        <v>0</v>
      </c>
      <c r="CG49">
        <v>0</v>
      </c>
      <c r="CH49">
        <v>0</v>
      </c>
      <c r="CI49">
        <v>0</v>
      </c>
      <c r="CJ49">
        <v>0</v>
      </c>
      <c r="CK49">
        <v>0</v>
      </c>
      <c r="CL49">
        <v>0</v>
      </c>
      <c r="CM49">
        <v>0</v>
      </c>
      <c r="CN49">
        <v>0</v>
      </c>
      <c r="CO49">
        <v>0</v>
      </c>
      <c r="CP49">
        <v>0</v>
      </c>
      <c r="CQ49">
        <v>1151</v>
      </c>
      <c r="CR49">
        <v>0</v>
      </c>
      <c r="CS49">
        <v>0</v>
      </c>
      <c r="CT49">
        <v>0</v>
      </c>
      <c r="CU49">
        <v>0</v>
      </c>
      <c r="CV49">
        <v>0</v>
      </c>
      <c r="CW49">
        <v>0</v>
      </c>
      <c r="CX49">
        <v>0</v>
      </c>
      <c r="CY49">
        <v>0</v>
      </c>
      <c r="CZ49">
        <v>0</v>
      </c>
      <c r="DA49">
        <v>0</v>
      </c>
      <c r="DB49">
        <v>0</v>
      </c>
      <c r="DC49">
        <v>0</v>
      </c>
      <c r="DD49">
        <v>0</v>
      </c>
      <c r="DE49">
        <v>0</v>
      </c>
      <c r="DF49">
        <v>0</v>
      </c>
      <c r="DG49">
        <v>0</v>
      </c>
      <c r="DH49">
        <v>0</v>
      </c>
      <c r="DI49">
        <v>0</v>
      </c>
      <c r="DJ49">
        <v>0</v>
      </c>
      <c r="DK49">
        <v>0</v>
      </c>
      <c r="DL49">
        <v>0</v>
      </c>
      <c r="DM49">
        <v>0</v>
      </c>
      <c r="DN49">
        <v>0</v>
      </c>
      <c r="DO49">
        <v>0</v>
      </c>
      <c r="DP49">
        <v>0</v>
      </c>
      <c r="DQ49">
        <v>0</v>
      </c>
      <c r="DR49">
        <v>0</v>
      </c>
      <c r="DS49">
        <v>0</v>
      </c>
      <c r="DT49">
        <v>0</v>
      </c>
      <c r="DU49">
        <v>0</v>
      </c>
      <c r="DV49">
        <v>0</v>
      </c>
      <c r="DW49">
        <v>0</v>
      </c>
      <c r="DX49">
        <v>0</v>
      </c>
      <c r="DY49">
        <v>0</v>
      </c>
      <c r="DZ49">
        <v>0</v>
      </c>
      <c r="EA49">
        <v>0</v>
      </c>
      <c r="EB49">
        <v>0</v>
      </c>
      <c r="EC49">
        <v>0</v>
      </c>
      <c r="ED49">
        <v>0</v>
      </c>
      <c r="EE49">
        <v>0</v>
      </c>
      <c r="EF49">
        <v>0</v>
      </c>
      <c r="EG49">
        <v>0</v>
      </c>
      <c r="EH49">
        <v>0</v>
      </c>
      <c r="EI49">
        <v>0</v>
      </c>
      <c r="EJ49">
        <v>0</v>
      </c>
      <c r="EK49">
        <v>0</v>
      </c>
      <c r="EL49">
        <v>0</v>
      </c>
      <c r="EM49">
        <v>0</v>
      </c>
      <c r="EN49">
        <v>0</v>
      </c>
      <c r="EO49">
        <v>0</v>
      </c>
      <c r="EP49">
        <v>0</v>
      </c>
      <c r="EQ49">
        <v>0</v>
      </c>
      <c r="ER49">
        <v>0</v>
      </c>
      <c r="ES49">
        <v>0</v>
      </c>
      <c r="ET49">
        <v>0</v>
      </c>
      <c r="EU49">
        <v>0</v>
      </c>
      <c r="EV49">
        <v>0</v>
      </c>
      <c r="EW49">
        <v>0</v>
      </c>
      <c r="EX49">
        <v>0</v>
      </c>
      <c r="EY49">
        <v>0</v>
      </c>
      <c r="EZ49">
        <v>0</v>
      </c>
      <c r="FA49">
        <v>0</v>
      </c>
      <c r="FB49">
        <v>0</v>
      </c>
      <c r="FC49">
        <v>0</v>
      </c>
      <c r="FD49">
        <v>0</v>
      </c>
      <c r="FE49">
        <v>0</v>
      </c>
      <c r="FF49">
        <v>0</v>
      </c>
      <c r="FG49">
        <v>0</v>
      </c>
      <c r="FH49">
        <v>0</v>
      </c>
      <c r="FI49">
        <v>0</v>
      </c>
      <c r="FJ49">
        <v>0</v>
      </c>
      <c r="FK49">
        <v>0</v>
      </c>
      <c r="FL49">
        <v>0</v>
      </c>
      <c r="FM49">
        <v>0</v>
      </c>
      <c r="FN49">
        <v>0</v>
      </c>
      <c r="FO49">
        <v>0</v>
      </c>
      <c r="FP49">
        <v>0</v>
      </c>
      <c r="FQ49">
        <v>0</v>
      </c>
      <c r="FR49">
        <v>0</v>
      </c>
      <c r="FS49">
        <v>0</v>
      </c>
      <c r="FT49">
        <v>0</v>
      </c>
      <c r="FU49">
        <v>0</v>
      </c>
      <c r="FV49">
        <v>0</v>
      </c>
      <c r="FW49">
        <v>0</v>
      </c>
      <c r="FX49">
        <v>0</v>
      </c>
      <c r="FY49">
        <v>0</v>
      </c>
      <c r="FZ49">
        <v>0</v>
      </c>
      <c r="GA49">
        <v>0</v>
      </c>
      <c r="GB49">
        <v>0</v>
      </c>
      <c r="GC49">
        <v>0</v>
      </c>
      <c r="GD49">
        <v>0</v>
      </c>
      <c r="GE49">
        <v>0</v>
      </c>
      <c r="GF49">
        <v>0</v>
      </c>
      <c r="GG49">
        <v>0</v>
      </c>
      <c r="GH49">
        <v>0</v>
      </c>
      <c r="GI49">
        <v>0</v>
      </c>
      <c r="GJ49">
        <v>0</v>
      </c>
      <c r="GK49">
        <v>0</v>
      </c>
      <c r="GL49">
        <v>0</v>
      </c>
      <c r="GM49">
        <v>0</v>
      </c>
      <c r="GN49">
        <v>0</v>
      </c>
      <c r="GO49">
        <v>0</v>
      </c>
      <c r="GP49">
        <v>0</v>
      </c>
      <c r="GQ49">
        <v>0</v>
      </c>
      <c r="GR49">
        <v>0</v>
      </c>
      <c r="GS49">
        <v>0</v>
      </c>
      <c r="GT49">
        <v>0</v>
      </c>
      <c r="GU49">
        <v>0</v>
      </c>
      <c r="GV49">
        <v>0</v>
      </c>
      <c r="GW49">
        <v>0</v>
      </c>
      <c r="GX49">
        <v>0</v>
      </c>
      <c r="GY49">
        <v>0</v>
      </c>
      <c r="GZ49">
        <v>0</v>
      </c>
      <c r="HA49">
        <v>0</v>
      </c>
      <c r="HB49">
        <v>0</v>
      </c>
      <c r="HC49">
        <v>0</v>
      </c>
      <c r="HE49">
        <f t="shared" si="0"/>
        <v>1151</v>
      </c>
      <c r="HF49">
        <f t="shared" si="1"/>
        <v>1</v>
      </c>
    </row>
    <row r="50" spans="1:214" x14ac:dyDescent="0.45">
      <c r="A50" t="s">
        <v>114</v>
      </c>
      <c r="B50">
        <v>0</v>
      </c>
      <c r="C50">
        <v>0</v>
      </c>
      <c r="D50">
        <v>0</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v>0</v>
      </c>
      <c r="AH50">
        <v>0</v>
      </c>
      <c r="AI50">
        <v>0</v>
      </c>
      <c r="AJ50">
        <v>0</v>
      </c>
      <c r="AK50">
        <v>0</v>
      </c>
      <c r="AL50">
        <v>0</v>
      </c>
      <c r="AM50">
        <v>0</v>
      </c>
      <c r="AN50">
        <v>0</v>
      </c>
      <c r="AO50">
        <v>0</v>
      </c>
      <c r="AP50">
        <v>0</v>
      </c>
      <c r="AQ50">
        <v>0</v>
      </c>
      <c r="AR50">
        <v>0</v>
      </c>
      <c r="AS50">
        <v>0</v>
      </c>
      <c r="AT50">
        <v>0</v>
      </c>
      <c r="AU50">
        <v>0</v>
      </c>
      <c r="AV50">
        <v>0</v>
      </c>
      <c r="AW50">
        <v>0</v>
      </c>
      <c r="AX50">
        <v>0</v>
      </c>
      <c r="AY50">
        <v>0</v>
      </c>
      <c r="AZ50">
        <v>0</v>
      </c>
      <c r="BA50">
        <v>0</v>
      </c>
      <c r="BB50">
        <v>0</v>
      </c>
      <c r="BC50">
        <v>0</v>
      </c>
      <c r="BD50">
        <v>0</v>
      </c>
      <c r="BE50">
        <v>0</v>
      </c>
      <c r="BF50">
        <v>0</v>
      </c>
      <c r="BG50">
        <v>0</v>
      </c>
      <c r="BH50">
        <v>0</v>
      </c>
      <c r="BI50">
        <v>0</v>
      </c>
      <c r="BJ50">
        <v>0</v>
      </c>
      <c r="BK50">
        <v>0</v>
      </c>
      <c r="BL50">
        <v>0</v>
      </c>
      <c r="BM50">
        <v>0</v>
      </c>
      <c r="BN50">
        <v>0</v>
      </c>
      <c r="BO50">
        <v>0</v>
      </c>
      <c r="BP50">
        <v>0</v>
      </c>
      <c r="BQ50">
        <v>0</v>
      </c>
      <c r="BR50">
        <v>0</v>
      </c>
      <c r="BS50">
        <v>0</v>
      </c>
      <c r="BT50">
        <v>0</v>
      </c>
      <c r="BU50">
        <v>0</v>
      </c>
      <c r="BV50">
        <v>0</v>
      </c>
      <c r="BW50">
        <v>0</v>
      </c>
      <c r="BX50">
        <v>0</v>
      </c>
      <c r="BY50">
        <v>0</v>
      </c>
      <c r="BZ50">
        <v>0</v>
      </c>
      <c r="CA50">
        <v>0</v>
      </c>
      <c r="CB50">
        <v>0</v>
      </c>
      <c r="CC50">
        <v>589</v>
      </c>
      <c r="CD50">
        <v>0</v>
      </c>
      <c r="CE50">
        <v>596.29999999999995</v>
      </c>
      <c r="CF50">
        <v>0</v>
      </c>
      <c r="CG50">
        <v>0</v>
      </c>
      <c r="CH50">
        <v>0</v>
      </c>
      <c r="CI50">
        <v>0</v>
      </c>
      <c r="CJ50">
        <v>0</v>
      </c>
      <c r="CK50">
        <v>0</v>
      </c>
      <c r="CL50">
        <v>0</v>
      </c>
      <c r="CM50">
        <v>0</v>
      </c>
      <c r="CN50">
        <v>0</v>
      </c>
      <c r="CO50">
        <v>0</v>
      </c>
      <c r="CP50">
        <v>0</v>
      </c>
      <c r="CQ50">
        <v>0</v>
      </c>
      <c r="CR50">
        <v>0</v>
      </c>
      <c r="CS50">
        <v>0</v>
      </c>
      <c r="CT50">
        <v>0</v>
      </c>
      <c r="CU50">
        <v>0</v>
      </c>
      <c r="CV50">
        <v>0</v>
      </c>
      <c r="CW50">
        <v>0</v>
      </c>
      <c r="CX50">
        <v>0</v>
      </c>
      <c r="CY50">
        <v>0</v>
      </c>
      <c r="CZ50">
        <v>0</v>
      </c>
      <c r="DA50">
        <v>0</v>
      </c>
      <c r="DB50">
        <v>0</v>
      </c>
      <c r="DC50">
        <v>0</v>
      </c>
      <c r="DD50">
        <v>0</v>
      </c>
      <c r="DE50">
        <v>0</v>
      </c>
      <c r="DF50">
        <v>0</v>
      </c>
      <c r="DG50">
        <v>0</v>
      </c>
      <c r="DH50">
        <v>0</v>
      </c>
      <c r="DI50">
        <v>0</v>
      </c>
      <c r="DJ50">
        <v>0</v>
      </c>
      <c r="DK50">
        <v>0</v>
      </c>
      <c r="DL50">
        <v>0</v>
      </c>
      <c r="DM50">
        <v>0</v>
      </c>
      <c r="DN50">
        <v>0</v>
      </c>
      <c r="DO50">
        <v>0</v>
      </c>
      <c r="DP50">
        <v>0</v>
      </c>
      <c r="DQ50">
        <v>0</v>
      </c>
      <c r="DR50">
        <v>0</v>
      </c>
      <c r="DS50">
        <v>0</v>
      </c>
      <c r="DT50">
        <v>0</v>
      </c>
      <c r="DU50">
        <v>0</v>
      </c>
      <c r="DV50">
        <v>0</v>
      </c>
      <c r="DW50">
        <v>0</v>
      </c>
      <c r="DX50">
        <v>0</v>
      </c>
      <c r="DY50">
        <v>0</v>
      </c>
      <c r="DZ50">
        <v>0</v>
      </c>
      <c r="EA50">
        <v>0</v>
      </c>
      <c r="EB50">
        <v>0</v>
      </c>
      <c r="EC50">
        <v>0</v>
      </c>
      <c r="ED50">
        <v>0</v>
      </c>
      <c r="EE50">
        <v>0</v>
      </c>
      <c r="EF50">
        <v>0</v>
      </c>
      <c r="EG50">
        <v>0</v>
      </c>
      <c r="EH50">
        <v>0</v>
      </c>
      <c r="EI50">
        <v>0</v>
      </c>
      <c r="EJ50">
        <v>0</v>
      </c>
      <c r="EK50">
        <v>0</v>
      </c>
      <c r="EL50">
        <v>0</v>
      </c>
      <c r="EM50">
        <v>0</v>
      </c>
      <c r="EN50">
        <v>0</v>
      </c>
      <c r="EO50">
        <v>0</v>
      </c>
      <c r="EP50">
        <v>0</v>
      </c>
      <c r="EQ50">
        <v>0</v>
      </c>
      <c r="ER50">
        <v>0</v>
      </c>
      <c r="ES50">
        <v>0</v>
      </c>
      <c r="ET50">
        <v>0</v>
      </c>
      <c r="EU50">
        <v>0</v>
      </c>
      <c r="EV50">
        <v>0</v>
      </c>
      <c r="EW50">
        <v>0</v>
      </c>
      <c r="EX50">
        <v>0</v>
      </c>
      <c r="EY50">
        <v>0</v>
      </c>
      <c r="EZ50">
        <v>0</v>
      </c>
      <c r="FA50">
        <v>0</v>
      </c>
      <c r="FB50">
        <v>0</v>
      </c>
      <c r="FC50">
        <v>0</v>
      </c>
      <c r="FD50">
        <v>0</v>
      </c>
      <c r="FE50">
        <v>0</v>
      </c>
      <c r="FF50">
        <v>0</v>
      </c>
      <c r="FG50">
        <v>0</v>
      </c>
      <c r="FH50">
        <v>0</v>
      </c>
      <c r="FI50">
        <v>0</v>
      </c>
      <c r="FJ50">
        <v>0</v>
      </c>
      <c r="FK50">
        <v>0</v>
      </c>
      <c r="FL50">
        <v>0</v>
      </c>
      <c r="FM50">
        <v>0</v>
      </c>
      <c r="FN50">
        <v>0</v>
      </c>
      <c r="FO50">
        <v>0</v>
      </c>
      <c r="FP50">
        <v>0</v>
      </c>
      <c r="FQ50">
        <v>0</v>
      </c>
      <c r="FR50">
        <v>0</v>
      </c>
      <c r="FS50">
        <v>0</v>
      </c>
      <c r="FT50">
        <v>0</v>
      </c>
      <c r="FU50">
        <v>0</v>
      </c>
      <c r="FV50">
        <v>0</v>
      </c>
      <c r="FW50">
        <v>0</v>
      </c>
      <c r="FX50">
        <v>0</v>
      </c>
      <c r="FY50">
        <v>0</v>
      </c>
      <c r="FZ50">
        <v>0</v>
      </c>
      <c r="GA50">
        <v>0</v>
      </c>
      <c r="GB50">
        <v>0</v>
      </c>
      <c r="GC50">
        <v>0</v>
      </c>
      <c r="GD50">
        <v>0</v>
      </c>
      <c r="GE50">
        <v>0</v>
      </c>
      <c r="GF50">
        <v>0</v>
      </c>
      <c r="GG50">
        <v>0</v>
      </c>
      <c r="GH50">
        <v>0</v>
      </c>
      <c r="GI50">
        <v>0</v>
      </c>
      <c r="GJ50">
        <v>0</v>
      </c>
      <c r="GK50">
        <v>0</v>
      </c>
      <c r="GL50">
        <v>0</v>
      </c>
      <c r="GM50">
        <v>0</v>
      </c>
      <c r="GN50">
        <v>0</v>
      </c>
      <c r="GO50">
        <v>0</v>
      </c>
      <c r="GP50">
        <v>0</v>
      </c>
      <c r="GQ50">
        <v>0</v>
      </c>
      <c r="GR50">
        <v>0</v>
      </c>
      <c r="GS50">
        <v>0</v>
      </c>
      <c r="GT50">
        <v>0</v>
      </c>
      <c r="GU50">
        <v>0</v>
      </c>
      <c r="GV50">
        <v>0</v>
      </c>
      <c r="GW50">
        <v>0</v>
      </c>
      <c r="GX50">
        <v>0</v>
      </c>
      <c r="GY50">
        <v>0</v>
      </c>
      <c r="GZ50">
        <v>0</v>
      </c>
      <c r="HA50">
        <v>0</v>
      </c>
      <c r="HB50">
        <v>0</v>
      </c>
      <c r="HC50">
        <v>0</v>
      </c>
      <c r="HE50">
        <f t="shared" si="0"/>
        <v>1185.3</v>
      </c>
      <c r="HF50">
        <f t="shared" si="1"/>
        <v>1</v>
      </c>
    </row>
    <row r="51" spans="1:214" x14ac:dyDescent="0.45">
      <c r="A51" t="s">
        <v>116</v>
      </c>
      <c r="B51">
        <v>0</v>
      </c>
      <c r="C51">
        <v>0</v>
      </c>
      <c r="D51">
        <v>0</v>
      </c>
      <c r="E51">
        <v>0</v>
      </c>
      <c r="F51">
        <v>0</v>
      </c>
      <c r="G51">
        <v>0</v>
      </c>
      <c r="H51">
        <v>0</v>
      </c>
      <c r="I51">
        <v>0</v>
      </c>
      <c r="J51">
        <v>0</v>
      </c>
      <c r="K51">
        <v>0</v>
      </c>
      <c r="L51">
        <v>0</v>
      </c>
      <c r="M51">
        <v>0</v>
      </c>
      <c r="N51">
        <v>0</v>
      </c>
      <c r="O51">
        <v>0</v>
      </c>
      <c r="P51">
        <v>0</v>
      </c>
      <c r="Q51">
        <v>0</v>
      </c>
      <c r="R51">
        <v>0</v>
      </c>
      <c r="S51">
        <v>0</v>
      </c>
      <c r="T51">
        <v>0</v>
      </c>
      <c r="U51">
        <v>0</v>
      </c>
      <c r="V51">
        <v>0</v>
      </c>
      <c r="W51">
        <v>0</v>
      </c>
      <c r="X51">
        <v>0</v>
      </c>
      <c r="Y51">
        <v>0</v>
      </c>
      <c r="Z51">
        <v>0</v>
      </c>
      <c r="AA51">
        <v>0</v>
      </c>
      <c r="AB51">
        <v>0</v>
      </c>
      <c r="AC51">
        <v>0</v>
      </c>
      <c r="AD51">
        <v>0</v>
      </c>
      <c r="AE51">
        <v>0</v>
      </c>
      <c r="AF51">
        <v>0</v>
      </c>
      <c r="AG51">
        <v>0</v>
      </c>
      <c r="AH51">
        <v>0</v>
      </c>
      <c r="AI51">
        <v>0</v>
      </c>
      <c r="AJ51">
        <v>0</v>
      </c>
      <c r="AK51">
        <v>0</v>
      </c>
      <c r="AL51">
        <v>0</v>
      </c>
      <c r="AM51">
        <v>0</v>
      </c>
      <c r="AN51">
        <v>0</v>
      </c>
      <c r="AO51">
        <v>0</v>
      </c>
      <c r="AP51">
        <v>0</v>
      </c>
      <c r="AQ51">
        <v>0</v>
      </c>
      <c r="AR51">
        <v>0</v>
      </c>
      <c r="AS51">
        <v>0</v>
      </c>
      <c r="AT51">
        <v>0</v>
      </c>
      <c r="AU51">
        <v>0</v>
      </c>
      <c r="AV51">
        <v>0</v>
      </c>
      <c r="AW51">
        <v>0</v>
      </c>
      <c r="AX51">
        <v>0</v>
      </c>
      <c r="AY51">
        <v>0</v>
      </c>
      <c r="AZ51">
        <v>0</v>
      </c>
      <c r="BA51">
        <v>0</v>
      </c>
      <c r="BB51">
        <v>0</v>
      </c>
      <c r="BC51">
        <v>0</v>
      </c>
      <c r="BD51">
        <v>0</v>
      </c>
      <c r="BE51">
        <v>0</v>
      </c>
      <c r="BF51">
        <v>0</v>
      </c>
      <c r="BG51">
        <v>0</v>
      </c>
      <c r="BH51">
        <v>0</v>
      </c>
      <c r="BI51">
        <v>0</v>
      </c>
      <c r="BJ51">
        <v>0</v>
      </c>
      <c r="BK51">
        <v>0</v>
      </c>
      <c r="BL51">
        <v>0</v>
      </c>
      <c r="BM51">
        <v>0</v>
      </c>
      <c r="BN51">
        <v>0</v>
      </c>
      <c r="BO51">
        <v>0</v>
      </c>
      <c r="BP51">
        <v>0</v>
      </c>
      <c r="BQ51">
        <v>0</v>
      </c>
      <c r="BR51">
        <v>0</v>
      </c>
      <c r="BS51">
        <v>0</v>
      </c>
      <c r="BT51">
        <v>0</v>
      </c>
      <c r="BU51">
        <v>0</v>
      </c>
      <c r="BV51">
        <v>0</v>
      </c>
      <c r="BW51">
        <v>0</v>
      </c>
      <c r="BX51">
        <v>0</v>
      </c>
      <c r="BY51">
        <v>0</v>
      </c>
      <c r="BZ51">
        <v>0</v>
      </c>
      <c r="CA51">
        <v>0</v>
      </c>
      <c r="CB51">
        <v>0</v>
      </c>
      <c r="CC51">
        <v>0</v>
      </c>
      <c r="CD51">
        <v>0</v>
      </c>
      <c r="CE51">
        <v>0</v>
      </c>
      <c r="CF51">
        <v>0</v>
      </c>
      <c r="CG51">
        <v>0</v>
      </c>
      <c r="CH51">
        <v>0</v>
      </c>
      <c r="CI51">
        <v>0</v>
      </c>
      <c r="CJ51">
        <v>0</v>
      </c>
      <c r="CK51">
        <v>0</v>
      </c>
      <c r="CL51">
        <v>0</v>
      </c>
      <c r="CM51">
        <v>0</v>
      </c>
      <c r="CN51">
        <v>0</v>
      </c>
      <c r="CO51">
        <v>0</v>
      </c>
      <c r="CP51">
        <v>0</v>
      </c>
      <c r="CQ51">
        <v>0</v>
      </c>
      <c r="CR51">
        <v>0</v>
      </c>
      <c r="CS51">
        <v>0</v>
      </c>
      <c r="CT51">
        <v>0</v>
      </c>
      <c r="CU51">
        <v>0</v>
      </c>
      <c r="CV51">
        <v>0</v>
      </c>
      <c r="CW51">
        <v>0</v>
      </c>
      <c r="CX51">
        <v>0</v>
      </c>
      <c r="CY51">
        <v>0</v>
      </c>
      <c r="CZ51">
        <v>0</v>
      </c>
      <c r="DA51">
        <v>0</v>
      </c>
      <c r="DB51">
        <v>0</v>
      </c>
      <c r="DC51">
        <v>0</v>
      </c>
      <c r="DD51">
        <v>0</v>
      </c>
      <c r="DE51">
        <v>0</v>
      </c>
      <c r="DF51">
        <v>0</v>
      </c>
      <c r="DG51">
        <v>0</v>
      </c>
      <c r="DH51">
        <v>0</v>
      </c>
      <c r="DI51">
        <v>0</v>
      </c>
      <c r="DJ51">
        <v>0</v>
      </c>
      <c r="DK51">
        <v>0</v>
      </c>
      <c r="DL51">
        <v>0</v>
      </c>
      <c r="DM51">
        <v>0</v>
      </c>
      <c r="DN51">
        <v>0</v>
      </c>
      <c r="DO51">
        <v>0</v>
      </c>
      <c r="DP51">
        <v>0</v>
      </c>
      <c r="DQ51">
        <v>0</v>
      </c>
      <c r="DR51">
        <v>0</v>
      </c>
      <c r="DS51">
        <v>0</v>
      </c>
      <c r="DT51">
        <v>0</v>
      </c>
      <c r="DU51">
        <v>0</v>
      </c>
      <c r="DV51">
        <v>0</v>
      </c>
      <c r="DW51">
        <v>0</v>
      </c>
      <c r="DX51">
        <v>0</v>
      </c>
      <c r="DY51">
        <v>0</v>
      </c>
      <c r="DZ51">
        <v>0</v>
      </c>
      <c r="EA51">
        <v>0</v>
      </c>
      <c r="EB51">
        <v>0</v>
      </c>
      <c r="EC51">
        <v>0</v>
      </c>
      <c r="ED51">
        <v>0</v>
      </c>
      <c r="EE51">
        <v>0</v>
      </c>
      <c r="EF51">
        <v>0</v>
      </c>
      <c r="EG51">
        <v>0</v>
      </c>
      <c r="EH51">
        <v>0</v>
      </c>
      <c r="EI51">
        <v>0</v>
      </c>
      <c r="EJ51">
        <v>0</v>
      </c>
      <c r="EK51">
        <v>0</v>
      </c>
      <c r="EL51">
        <v>0</v>
      </c>
      <c r="EM51">
        <v>0</v>
      </c>
      <c r="EN51">
        <v>0</v>
      </c>
      <c r="EO51">
        <v>0</v>
      </c>
      <c r="EP51">
        <v>0</v>
      </c>
      <c r="EQ51">
        <v>0</v>
      </c>
      <c r="ER51">
        <v>0</v>
      </c>
      <c r="ES51">
        <v>0</v>
      </c>
      <c r="ET51">
        <v>0</v>
      </c>
      <c r="EU51">
        <v>0</v>
      </c>
      <c r="EV51">
        <v>0</v>
      </c>
      <c r="EW51">
        <v>0</v>
      </c>
      <c r="EX51">
        <v>0</v>
      </c>
      <c r="EY51">
        <v>0</v>
      </c>
      <c r="EZ51">
        <v>0</v>
      </c>
      <c r="FA51">
        <v>0</v>
      </c>
      <c r="FB51">
        <v>0</v>
      </c>
      <c r="FC51">
        <v>0</v>
      </c>
      <c r="FD51">
        <v>0</v>
      </c>
      <c r="FE51">
        <v>0</v>
      </c>
      <c r="FF51">
        <v>0</v>
      </c>
      <c r="FG51">
        <v>0</v>
      </c>
      <c r="FH51">
        <v>0</v>
      </c>
      <c r="FI51">
        <v>0</v>
      </c>
      <c r="FJ51">
        <v>0</v>
      </c>
      <c r="FK51">
        <v>0</v>
      </c>
      <c r="FL51">
        <v>0</v>
      </c>
      <c r="FM51">
        <v>0</v>
      </c>
      <c r="FN51">
        <v>0</v>
      </c>
      <c r="FO51">
        <v>0</v>
      </c>
      <c r="FP51">
        <v>0</v>
      </c>
      <c r="FQ51">
        <v>0</v>
      </c>
      <c r="FR51">
        <v>0</v>
      </c>
      <c r="FS51">
        <v>0</v>
      </c>
      <c r="FT51">
        <v>0</v>
      </c>
      <c r="FU51">
        <v>0</v>
      </c>
      <c r="FV51">
        <v>0</v>
      </c>
      <c r="FW51">
        <v>0</v>
      </c>
      <c r="FX51">
        <v>0</v>
      </c>
      <c r="FY51">
        <v>0</v>
      </c>
      <c r="FZ51">
        <v>0</v>
      </c>
      <c r="GA51">
        <v>0</v>
      </c>
      <c r="GB51">
        <v>0</v>
      </c>
      <c r="GC51">
        <v>0</v>
      </c>
      <c r="GD51">
        <v>0</v>
      </c>
      <c r="GE51">
        <v>0</v>
      </c>
      <c r="GF51">
        <v>0</v>
      </c>
      <c r="GG51">
        <v>0</v>
      </c>
      <c r="GH51">
        <v>0</v>
      </c>
      <c r="GI51">
        <v>0</v>
      </c>
      <c r="GJ51">
        <v>0</v>
      </c>
      <c r="GK51">
        <v>0</v>
      </c>
      <c r="GL51">
        <v>0</v>
      </c>
      <c r="GM51">
        <v>0</v>
      </c>
      <c r="GN51">
        <v>0</v>
      </c>
      <c r="GO51">
        <v>0</v>
      </c>
      <c r="GP51">
        <v>0</v>
      </c>
      <c r="GQ51">
        <v>0</v>
      </c>
      <c r="GR51">
        <v>0</v>
      </c>
      <c r="GS51">
        <v>0</v>
      </c>
      <c r="GT51">
        <v>0</v>
      </c>
      <c r="GU51">
        <v>0</v>
      </c>
      <c r="GV51">
        <v>0</v>
      </c>
      <c r="GW51">
        <v>0</v>
      </c>
      <c r="GX51">
        <v>0</v>
      </c>
      <c r="GY51">
        <v>0</v>
      </c>
      <c r="GZ51">
        <v>0</v>
      </c>
      <c r="HA51">
        <v>0</v>
      </c>
      <c r="HB51">
        <v>0</v>
      </c>
      <c r="HC51">
        <v>0</v>
      </c>
      <c r="HE51">
        <f t="shared" si="0"/>
        <v>0</v>
      </c>
      <c r="HF51">
        <f t="shared" si="1"/>
        <v>0</v>
      </c>
    </row>
    <row r="52" spans="1:214" x14ac:dyDescent="0.45">
      <c r="A52" t="s">
        <v>118</v>
      </c>
      <c r="B52">
        <v>0</v>
      </c>
      <c r="C52">
        <v>0</v>
      </c>
      <c r="D52">
        <v>0</v>
      </c>
      <c r="E52">
        <v>0</v>
      </c>
      <c r="F52">
        <v>0</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v>0</v>
      </c>
      <c r="AL52">
        <v>0</v>
      </c>
      <c r="AM52">
        <v>0</v>
      </c>
      <c r="AN52">
        <v>0</v>
      </c>
      <c r="AO52">
        <v>0</v>
      </c>
      <c r="AP52">
        <v>0</v>
      </c>
      <c r="AQ52">
        <v>0</v>
      </c>
      <c r="AR52">
        <v>0</v>
      </c>
      <c r="AS52">
        <v>0</v>
      </c>
      <c r="AT52">
        <v>0</v>
      </c>
      <c r="AU52">
        <v>0</v>
      </c>
      <c r="AV52">
        <v>0</v>
      </c>
      <c r="AW52">
        <v>0</v>
      </c>
      <c r="AX52">
        <v>0</v>
      </c>
      <c r="AY52">
        <v>0</v>
      </c>
      <c r="AZ52">
        <v>0</v>
      </c>
      <c r="BA52">
        <v>0</v>
      </c>
      <c r="BB52">
        <v>0</v>
      </c>
      <c r="BC52">
        <v>0</v>
      </c>
      <c r="BD52">
        <v>0</v>
      </c>
      <c r="BE52">
        <v>0</v>
      </c>
      <c r="BF52">
        <v>0</v>
      </c>
      <c r="BG52">
        <v>0</v>
      </c>
      <c r="BH52">
        <v>0</v>
      </c>
      <c r="BI52">
        <v>0</v>
      </c>
      <c r="BJ52">
        <v>0</v>
      </c>
      <c r="BK52">
        <v>0</v>
      </c>
      <c r="BL52">
        <v>0</v>
      </c>
      <c r="BM52">
        <v>0</v>
      </c>
      <c r="BN52">
        <v>0</v>
      </c>
      <c r="BO52">
        <v>0</v>
      </c>
      <c r="BP52">
        <v>0</v>
      </c>
      <c r="BQ52">
        <v>0</v>
      </c>
      <c r="BR52">
        <v>0</v>
      </c>
      <c r="BS52">
        <v>0</v>
      </c>
      <c r="BT52">
        <v>0</v>
      </c>
      <c r="BU52">
        <v>0</v>
      </c>
      <c r="BV52">
        <v>0</v>
      </c>
      <c r="BW52">
        <v>0</v>
      </c>
      <c r="BX52">
        <v>0</v>
      </c>
      <c r="BY52">
        <v>0</v>
      </c>
      <c r="BZ52">
        <v>0</v>
      </c>
      <c r="CA52">
        <v>0</v>
      </c>
      <c r="CB52">
        <v>0</v>
      </c>
      <c r="CC52">
        <v>0</v>
      </c>
      <c r="CD52">
        <v>0</v>
      </c>
      <c r="CE52">
        <v>0</v>
      </c>
      <c r="CF52">
        <v>0</v>
      </c>
      <c r="CG52">
        <v>0</v>
      </c>
      <c r="CH52">
        <v>0</v>
      </c>
      <c r="CI52">
        <v>0</v>
      </c>
      <c r="CJ52">
        <v>0</v>
      </c>
      <c r="CK52">
        <v>0</v>
      </c>
      <c r="CL52">
        <v>0</v>
      </c>
      <c r="CM52">
        <v>0</v>
      </c>
      <c r="CN52">
        <v>0</v>
      </c>
      <c r="CO52">
        <v>0</v>
      </c>
      <c r="CP52">
        <v>0</v>
      </c>
      <c r="CQ52">
        <v>0</v>
      </c>
      <c r="CR52">
        <v>0</v>
      </c>
      <c r="CS52">
        <v>0</v>
      </c>
      <c r="CT52">
        <v>0</v>
      </c>
      <c r="CU52">
        <v>0</v>
      </c>
      <c r="CV52">
        <v>0</v>
      </c>
      <c r="CW52">
        <v>0</v>
      </c>
      <c r="CX52">
        <v>0</v>
      </c>
      <c r="CY52">
        <v>0</v>
      </c>
      <c r="CZ52">
        <v>0</v>
      </c>
      <c r="DA52">
        <v>0</v>
      </c>
      <c r="DB52">
        <v>0</v>
      </c>
      <c r="DC52">
        <v>0</v>
      </c>
      <c r="DD52">
        <v>0</v>
      </c>
      <c r="DE52">
        <v>0</v>
      </c>
      <c r="DF52">
        <v>0</v>
      </c>
      <c r="DG52">
        <v>0</v>
      </c>
      <c r="DH52">
        <v>0</v>
      </c>
      <c r="DI52">
        <v>0</v>
      </c>
      <c r="DJ52">
        <v>0</v>
      </c>
      <c r="DK52">
        <v>0</v>
      </c>
      <c r="DL52">
        <v>0</v>
      </c>
      <c r="DM52">
        <v>0</v>
      </c>
      <c r="DN52">
        <v>0</v>
      </c>
      <c r="DO52">
        <v>0</v>
      </c>
      <c r="DP52">
        <v>0</v>
      </c>
      <c r="DQ52">
        <v>0</v>
      </c>
      <c r="DR52">
        <v>0</v>
      </c>
      <c r="DS52">
        <v>0</v>
      </c>
      <c r="DT52">
        <v>0</v>
      </c>
      <c r="DU52">
        <v>0</v>
      </c>
      <c r="DV52">
        <v>0</v>
      </c>
      <c r="DW52">
        <v>0</v>
      </c>
      <c r="DX52">
        <v>0</v>
      </c>
      <c r="DY52">
        <v>0</v>
      </c>
      <c r="DZ52">
        <v>0</v>
      </c>
      <c r="EA52">
        <v>0</v>
      </c>
      <c r="EB52">
        <v>0</v>
      </c>
      <c r="EC52">
        <v>0</v>
      </c>
      <c r="ED52">
        <v>0</v>
      </c>
      <c r="EE52">
        <v>0</v>
      </c>
      <c r="EF52">
        <v>0</v>
      </c>
      <c r="EG52">
        <v>0</v>
      </c>
      <c r="EH52">
        <v>0</v>
      </c>
      <c r="EI52">
        <v>0</v>
      </c>
      <c r="EJ52">
        <v>0</v>
      </c>
      <c r="EK52">
        <v>0</v>
      </c>
      <c r="EL52">
        <v>0</v>
      </c>
      <c r="EM52">
        <v>0</v>
      </c>
      <c r="EN52">
        <v>0</v>
      </c>
      <c r="EO52">
        <v>0</v>
      </c>
      <c r="EP52">
        <v>0</v>
      </c>
      <c r="EQ52">
        <v>0</v>
      </c>
      <c r="ER52">
        <v>0</v>
      </c>
      <c r="ES52">
        <v>0</v>
      </c>
      <c r="ET52">
        <v>0</v>
      </c>
      <c r="EU52">
        <v>0</v>
      </c>
      <c r="EV52">
        <v>0</v>
      </c>
      <c r="EW52">
        <v>0</v>
      </c>
      <c r="EX52">
        <v>0</v>
      </c>
      <c r="EY52">
        <v>0</v>
      </c>
      <c r="EZ52">
        <v>0</v>
      </c>
      <c r="FA52">
        <v>0</v>
      </c>
      <c r="FB52">
        <v>0</v>
      </c>
      <c r="FC52">
        <v>0</v>
      </c>
      <c r="FD52">
        <v>0</v>
      </c>
      <c r="FE52">
        <v>0</v>
      </c>
      <c r="FF52">
        <v>0</v>
      </c>
      <c r="FG52">
        <v>0</v>
      </c>
      <c r="FH52">
        <v>0</v>
      </c>
      <c r="FI52">
        <v>0</v>
      </c>
      <c r="FJ52">
        <v>0</v>
      </c>
      <c r="FK52">
        <v>0</v>
      </c>
      <c r="FL52">
        <v>0</v>
      </c>
      <c r="FM52">
        <v>0</v>
      </c>
      <c r="FN52">
        <v>0</v>
      </c>
      <c r="FO52">
        <v>0</v>
      </c>
      <c r="FP52">
        <v>0</v>
      </c>
      <c r="FQ52">
        <v>0</v>
      </c>
      <c r="FR52">
        <v>0</v>
      </c>
      <c r="FS52">
        <v>0</v>
      </c>
      <c r="FT52">
        <v>0</v>
      </c>
      <c r="FU52">
        <v>0</v>
      </c>
      <c r="FV52">
        <v>0</v>
      </c>
      <c r="FW52">
        <v>0</v>
      </c>
      <c r="FX52">
        <v>0</v>
      </c>
      <c r="FY52">
        <v>0</v>
      </c>
      <c r="FZ52">
        <v>0</v>
      </c>
      <c r="GA52">
        <v>0</v>
      </c>
      <c r="GB52">
        <v>0</v>
      </c>
      <c r="GC52">
        <v>0</v>
      </c>
      <c r="GD52">
        <v>0</v>
      </c>
      <c r="GE52">
        <v>0</v>
      </c>
      <c r="GF52">
        <v>0</v>
      </c>
      <c r="GG52">
        <v>0</v>
      </c>
      <c r="GH52">
        <v>0</v>
      </c>
      <c r="GI52">
        <v>0</v>
      </c>
      <c r="GJ52">
        <v>0</v>
      </c>
      <c r="GK52">
        <v>0</v>
      </c>
      <c r="GL52">
        <v>0</v>
      </c>
      <c r="GM52">
        <v>0</v>
      </c>
      <c r="GN52">
        <v>0</v>
      </c>
      <c r="GO52">
        <v>0</v>
      </c>
      <c r="GP52">
        <v>0</v>
      </c>
      <c r="GQ52">
        <v>0</v>
      </c>
      <c r="GR52">
        <v>0</v>
      </c>
      <c r="GS52">
        <v>0</v>
      </c>
      <c r="GT52">
        <v>0</v>
      </c>
      <c r="GU52">
        <v>0</v>
      </c>
      <c r="GV52">
        <v>0</v>
      </c>
      <c r="GW52">
        <v>0</v>
      </c>
      <c r="GX52">
        <v>0</v>
      </c>
      <c r="GY52">
        <v>0</v>
      </c>
      <c r="GZ52">
        <v>0</v>
      </c>
      <c r="HA52">
        <v>0</v>
      </c>
      <c r="HB52">
        <v>0</v>
      </c>
      <c r="HC52">
        <v>0</v>
      </c>
      <c r="HE52">
        <f t="shared" si="0"/>
        <v>0</v>
      </c>
      <c r="HF52">
        <f t="shared" si="1"/>
        <v>0</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B292"/>
  <sheetViews>
    <sheetView workbookViewId="0"/>
  </sheetViews>
  <sheetFormatPr defaultRowHeight="14.25" x14ac:dyDescent="0.45"/>
  <sheetData>
    <row r="1" spans="1:28" x14ac:dyDescent="0.45">
      <c r="A1" s="8" t="s">
        <v>395</v>
      </c>
      <c r="B1" s="9"/>
      <c r="C1" s="9"/>
      <c r="D1" s="9"/>
      <c r="E1" s="9"/>
      <c r="F1" s="9"/>
      <c r="G1" s="9"/>
      <c r="H1" s="9"/>
      <c r="I1" s="9"/>
      <c r="J1" s="9"/>
      <c r="K1" s="9"/>
      <c r="L1" s="9"/>
      <c r="M1" s="9"/>
      <c r="N1" s="9"/>
      <c r="O1" s="9"/>
      <c r="P1" s="9"/>
      <c r="Q1" s="9"/>
      <c r="R1" s="9"/>
      <c r="S1" s="9"/>
      <c r="T1" s="9"/>
      <c r="U1" s="9"/>
      <c r="V1" s="9"/>
      <c r="W1" s="9"/>
      <c r="X1" s="9"/>
      <c r="Y1" s="9"/>
      <c r="Z1" s="9"/>
      <c r="AA1" s="9"/>
      <c r="AB1" s="9"/>
    </row>
    <row r="2" spans="1:28" ht="356.25" x14ac:dyDescent="0.45">
      <c r="A2" s="10" t="s">
        <v>396</v>
      </c>
    </row>
    <row r="3" spans="1:28" x14ac:dyDescent="0.45">
      <c r="A3" s="3" t="s">
        <v>397</v>
      </c>
    </row>
    <row r="4" spans="1:28" ht="60" customHeight="1" x14ac:dyDescent="0.45">
      <c r="A4" s="7" t="s">
        <v>147</v>
      </c>
      <c r="B4" s="7" t="s">
        <v>398</v>
      </c>
      <c r="C4" s="7" t="s">
        <v>399</v>
      </c>
      <c r="D4" s="1" t="s">
        <v>400</v>
      </c>
      <c r="E4" s="1" t="s">
        <v>401</v>
      </c>
      <c r="F4" s="1" t="s">
        <v>402</v>
      </c>
      <c r="G4" s="1" t="s">
        <v>403</v>
      </c>
      <c r="H4" s="1" t="s">
        <v>404</v>
      </c>
      <c r="I4" s="1" t="s">
        <v>405</v>
      </c>
      <c r="J4" s="1" t="s">
        <v>406</v>
      </c>
      <c r="K4" s="1" t="s">
        <v>407</v>
      </c>
      <c r="L4" s="1" t="s">
        <v>408</v>
      </c>
      <c r="M4" s="1" t="s">
        <v>409</v>
      </c>
      <c r="N4" s="1" t="s">
        <v>410</v>
      </c>
      <c r="O4" s="1" t="s">
        <v>411</v>
      </c>
      <c r="P4" s="1" t="s">
        <v>412</v>
      </c>
      <c r="Q4" s="1" t="s">
        <v>413</v>
      </c>
      <c r="R4" s="1" t="s">
        <v>414</v>
      </c>
      <c r="S4" s="1" t="s">
        <v>415</v>
      </c>
      <c r="T4" s="1" t="s">
        <v>416</v>
      </c>
      <c r="U4" s="1" t="s">
        <v>417</v>
      </c>
      <c r="V4" s="1" t="s">
        <v>418</v>
      </c>
      <c r="W4" s="1" t="s">
        <v>419</v>
      </c>
      <c r="X4" s="1" t="s">
        <v>420</v>
      </c>
      <c r="Y4" s="1" t="s">
        <v>421</v>
      </c>
      <c r="Z4" s="1" t="s">
        <v>422</v>
      </c>
      <c r="AA4" s="1" t="s">
        <v>423</v>
      </c>
    </row>
    <row r="5" spans="1:28" x14ac:dyDescent="0.45">
      <c r="A5" t="s">
        <v>2</v>
      </c>
      <c r="B5" t="s">
        <v>424</v>
      </c>
      <c r="C5" t="str">
        <f t="shared" ref="C5:C68" si="0">A5&amp;"|"&amp;B5</f>
        <v>AL|Winter</v>
      </c>
      <c r="D5">
        <v>0.91246672357465985</v>
      </c>
      <c r="E5">
        <v>0.91246672357465985</v>
      </c>
      <c r="F5">
        <v>0.91246672357465985</v>
      </c>
      <c r="G5">
        <v>0.91246672357465985</v>
      </c>
      <c r="H5">
        <v>0.91246672357465985</v>
      </c>
      <c r="I5">
        <v>0.91246672357465985</v>
      </c>
      <c r="J5">
        <v>0.91246672357465985</v>
      </c>
      <c r="K5">
        <v>0.91246672357465985</v>
      </c>
      <c r="L5">
        <v>0.91246672357465985</v>
      </c>
      <c r="M5">
        <v>0.91246672357465985</v>
      </c>
      <c r="N5">
        <v>0.91246672357465985</v>
      </c>
      <c r="O5">
        <v>0.91246672357465985</v>
      </c>
      <c r="P5">
        <v>0.91246672357465985</v>
      </c>
      <c r="Q5">
        <v>0.91246672357465985</v>
      </c>
      <c r="R5">
        <v>0.91246672357465985</v>
      </c>
      <c r="S5">
        <v>0.91246672357465985</v>
      </c>
      <c r="T5">
        <v>0.91246672357465985</v>
      </c>
      <c r="U5">
        <v>0.91246672357465985</v>
      </c>
      <c r="V5">
        <v>0.91246672357465985</v>
      </c>
      <c r="W5">
        <v>0.91246672357465985</v>
      </c>
      <c r="X5">
        <v>0.91246672357465985</v>
      </c>
      <c r="Y5">
        <v>0.91246672357465985</v>
      </c>
      <c r="Z5">
        <v>0.91246672357465985</v>
      </c>
      <c r="AA5">
        <v>0.91246672357465985</v>
      </c>
    </row>
    <row r="6" spans="1:28" x14ac:dyDescent="0.45">
      <c r="A6" t="s">
        <v>2</v>
      </c>
      <c r="B6" t="s">
        <v>425</v>
      </c>
      <c r="C6" t="str">
        <f t="shared" si="0"/>
        <v>AL|Spring</v>
      </c>
      <c r="D6">
        <v>0.91246672357465974</v>
      </c>
      <c r="E6">
        <v>0.91246672357465974</v>
      </c>
      <c r="F6">
        <v>0.91246672357465974</v>
      </c>
      <c r="G6">
        <v>0.91246672357465974</v>
      </c>
      <c r="H6">
        <v>0.91246672357465974</v>
      </c>
      <c r="I6">
        <v>0.91246672357465974</v>
      </c>
      <c r="J6">
        <v>0.91246672357465974</v>
      </c>
      <c r="K6">
        <v>0.91246672357465974</v>
      </c>
      <c r="L6">
        <v>0.91246672357465974</v>
      </c>
      <c r="M6">
        <v>0.91246672357465974</v>
      </c>
      <c r="N6">
        <v>0.91246672357465974</v>
      </c>
      <c r="O6">
        <v>0.91246672357465974</v>
      </c>
      <c r="P6">
        <v>0.91246672357465974</v>
      </c>
      <c r="Q6">
        <v>0.91246672357465974</v>
      </c>
      <c r="R6">
        <v>0.91246672357465974</v>
      </c>
      <c r="S6">
        <v>0.91246672357465974</v>
      </c>
      <c r="T6">
        <v>0.91246672357465974</v>
      </c>
      <c r="U6">
        <v>0.91246672357465974</v>
      </c>
      <c r="V6">
        <v>0.91246672357465974</v>
      </c>
      <c r="W6">
        <v>0.91246672357465974</v>
      </c>
      <c r="X6">
        <v>0.91246672357465974</v>
      </c>
      <c r="Y6">
        <v>0.91246672357465974</v>
      </c>
      <c r="Z6">
        <v>0.91246672357465974</v>
      </c>
      <c r="AA6">
        <v>0.91246672357465974</v>
      </c>
    </row>
    <row r="7" spans="1:28" x14ac:dyDescent="0.45">
      <c r="A7" t="s">
        <v>2</v>
      </c>
      <c r="B7" t="s">
        <v>426</v>
      </c>
      <c r="C7" t="str">
        <f t="shared" si="0"/>
        <v>AL|Summer</v>
      </c>
      <c r="D7">
        <v>0.91246672357465974</v>
      </c>
      <c r="E7">
        <v>0.91246672357465974</v>
      </c>
      <c r="F7">
        <v>0.91246672357465974</v>
      </c>
      <c r="G7">
        <v>0.91246672357465974</v>
      </c>
      <c r="H7">
        <v>0.91246672357465974</v>
      </c>
      <c r="I7">
        <v>0.91246672357465974</v>
      </c>
      <c r="J7">
        <v>0.91228855425242517</v>
      </c>
      <c r="K7">
        <v>0.91246672357465974</v>
      </c>
      <c r="L7">
        <v>0.91246672357465974</v>
      </c>
      <c r="M7">
        <v>0.91246672357465974</v>
      </c>
      <c r="N7">
        <v>0.91246672357465974</v>
      </c>
      <c r="O7">
        <v>0.91246672357465974</v>
      </c>
      <c r="P7">
        <v>0.91246672357465974</v>
      </c>
      <c r="Q7">
        <v>0.91246672357465974</v>
      </c>
      <c r="R7">
        <v>0.91246672357465974</v>
      </c>
      <c r="S7">
        <v>0.91246672357465974</v>
      </c>
      <c r="T7">
        <v>0.91246672357465974</v>
      </c>
      <c r="U7">
        <v>0.91246672357465974</v>
      </c>
      <c r="V7">
        <v>0.91246672357465974</v>
      </c>
      <c r="W7">
        <v>0.91246672357465974</v>
      </c>
      <c r="X7">
        <v>0.91246672357465974</v>
      </c>
      <c r="Y7">
        <v>0.91246672357465974</v>
      </c>
      <c r="Z7">
        <v>0.91246672357465974</v>
      </c>
      <c r="AA7">
        <v>0.91246672357465974</v>
      </c>
    </row>
    <row r="8" spans="1:28" x14ac:dyDescent="0.45">
      <c r="A8" t="s">
        <v>2</v>
      </c>
      <c r="B8" t="s">
        <v>427</v>
      </c>
      <c r="C8" t="str">
        <f t="shared" si="0"/>
        <v>AL|Fall</v>
      </c>
      <c r="D8">
        <v>0.91246672357465974</v>
      </c>
      <c r="E8">
        <v>0.91246672357465974</v>
      </c>
      <c r="F8">
        <v>0.91246672357465974</v>
      </c>
      <c r="G8">
        <v>0.91246672357465974</v>
      </c>
      <c r="H8">
        <v>0.91246672357465974</v>
      </c>
      <c r="I8">
        <v>0.90806540199443297</v>
      </c>
      <c r="J8">
        <v>0.91090943409798231</v>
      </c>
      <c r="K8">
        <v>0.91246672357465974</v>
      </c>
      <c r="L8">
        <v>0.91246672357465974</v>
      </c>
      <c r="M8">
        <v>0.91246672357465974</v>
      </c>
      <c r="N8">
        <v>0.91246672357465974</v>
      </c>
      <c r="O8">
        <v>0.91246672357465974</v>
      </c>
      <c r="P8">
        <v>0.91246672357465974</v>
      </c>
      <c r="Q8">
        <v>0.91246672357465974</v>
      </c>
      <c r="R8">
        <v>0.91246672357465974</v>
      </c>
      <c r="S8">
        <v>0.91246672357465974</v>
      </c>
      <c r="T8">
        <v>0.91246672357465974</v>
      </c>
      <c r="U8">
        <v>0.91246672357465974</v>
      </c>
      <c r="V8">
        <v>0.91246672357465974</v>
      </c>
      <c r="W8">
        <v>0.91246672357465974</v>
      </c>
      <c r="X8">
        <v>0.91246672357465974</v>
      </c>
      <c r="Y8">
        <v>0.91246672357465974</v>
      </c>
      <c r="Z8">
        <v>0.91246672357465974</v>
      </c>
      <c r="AA8">
        <v>0.91246672357465974</v>
      </c>
    </row>
    <row r="9" spans="1:28" x14ac:dyDescent="0.45">
      <c r="A9" t="s">
        <v>2</v>
      </c>
      <c r="B9" t="s">
        <v>428</v>
      </c>
      <c r="C9" t="str">
        <f t="shared" si="0"/>
        <v>AL|Summer Peak</v>
      </c>
      <c r="D9">
        <v>0.91246672357465974</v>
      </c>
      <c r="E9">
        <v>0.91246672357465974</v>
      </c>
      <c r="F9">
        <v>0.91246672357465974</v>
      </c>
      <c r="G9">
        <v>0.91246672357465974</v>
      </c>
      <c r="H9">
        <v>0.91246672357465974</v>
      </c>
      <c r="I9">
        <v>0.91246672357465974</v>
      </c>
      <c r="J9">
        <v>0.91246672357465974</v>
      </c>
      <c r="K9">
        <v>0.91246672357465974</v>
      </c>
      <c r="L9">
        <v>0.91246672357465974</v>
      </c>
      <c r="M9">
        <v>0.91246672357465974</v>
      </c>
      <c r="N9">
        <v>0.91246672357465974</v>
      </c>
      <c r="O9">
        <v>0.91246672357465974</v>
      </c>
      <c r="P9">
        <v>0.91246672357465974</v>
      </c>
      <c r="Q9">
        <v>0.91246672357465974</v>
      </c>
      <c r="R9">
        <v>0.91246672357465974</v>
      </c>
      <c r="S9">
        <v>0.91246672357465974</v>
      </c>
      <c r="T9">
        <v>0.91246672357465974</v>
      </c>
      <c r="U9">
        <v>0.91246672357465974</v>
      </c>
      <c r="V9">
        <v>0.91246672357465974</v>
      </c>
      <c r="W9">
        <v>0.91246672357465974</v>
      </c>
      <c r="X9">
        <v>0.91246672357465974</v>
      </c>
      <c r="Y9">
        <v>0.91246672357465974</v>
      </c>
      <c r="Z9">
        <v>0.91246672357465974</v>
      </c>
      <c r="AA9">
        <v>0.91246672357465974</v>
      </c>
    </row>
    <row r="10" spans="1:28" x14ac:dyDescent="0.45">
      <c r="A10" t="s">
        <v>2</v>
      </c>
      <c r="B10" t="s">
        <v>429</v>
      </c>
      <c r="C10" t="str">
        <f t="shared" si="0"/>
        <v>AL|Winter Peak</v>
      </c>
      <c r="D10">
        <v>0.91246672357465974</v>
      </c>
      <c r="E10">
        <v>0.91246672357465974</v>
      </c>
      <c r="F10">
        <v>0.91246672357465974</v>
      </c>
      <c r="G10">
        <v>0.91246672357465974</v>
      </c>
      <c r="H10">
        <v>0.91246672357465974</v>
      </c>
      <c r="I10">
        <v>0.91246672357465974</v>
      </c>
      <c r="J10">
        <v>0.91246672357465974</v>
      </c>
      <c r="K10">
        <v>0.91246672357465974</v>
      </c>
      <c r="L10">
        <v>0.91246672357465974</v>
      </c>
      <c r="M10">
        <v>0.91246672357465974</v>
      </c>
      <c r="N10">
        <v>0.91246672357465974</v>
      </c>
      <c r="O10">
        <v>0.91246672357465974</v>
      </c>
      <c r="P10">
        <v>0.91246672357465974</v>
      </c>
      <c r="Q10">
        <v>0.91246672357465974</v>
      </c>
      <c r="R10">
        <v>0.91246672357465974</v>
      </c>
      <c r="S10">
        <v>0.91246672357465974</v>
      </c>
      <c r="T10">
        <v>0.91246672357465974</v>
      </c>
      <c r="U10">
        <v>0.91246672357465974</v>
      </c>
      <c r="V10">
        <v>0.91246672357465974</v>
      </c>
      <c r="W10">
        <v>0.91246672357465974</v>
      </c>
      <c r="X10">
        <v>0.91246672357465974</v>
      </c>
      <c r="Y10">
        <v>0.91246672357465974</v>
      </c>
      <c r="Z10">
        <v>0.91246672357465974</v>
      </c>
      <c r="AA10">
        <v>0.91246672357465974</v>
      </c>
    </row>
    <row r="11" spans="1:28" x14ac:dyDescent="0.45">
      <c r="A11" t="s">
        <v>5</v>
      </c>
      <c r="B11" t="s">
        <v>424</v>
      </c>
      <c r="C11" t="str">
        <f t="shared" si="0"/>
        <v>AR|Winter</v>
      </c>
      <c r="D11">
        <v>0.94288092197968865</v>
      </c>
      <c r="E11">
        <v>0.94288092197968865</v>
      </c>
      <c r="F11">
        <v>0.94288092197968865</v>
      </c>
      <c r="G11">
        <v>0.94288092197968865</v>
      </c>
      <c r="H11">
        <v>0.94288092197968865</v>
      </c>
      <c r="I11">
        <v>0.94288092197968865</v>
      </c>
      <c r="J11">
        <v>0.94288092197968865</v>
      </c>
      <c r="K11">
        <v>0.94288092197968865</v>
      </c>
      <c r="L11">
        <v>0.94288092197968865</v>
      </c>
      <c r="M11">
        <v>0.94288092197968865</v>
      </c>
      <c r="N11">
        <v>0.94288092197968865</v>
      </c>
      <c r="O11">
        <v>0.94288092197968865</v>
      </c>
      <c r="P11">
        <v>0.94288092197968865</v>
      </c>
      <c r="Q11">
        <v>0.94288092197968865</v>
      </c>
      <c r="R11">
        <v>0.94288092197968865</v>
      </c>
      <c r="S11">
        <v>0.94288092197968865</v>
      </c>
      <c r="T11">
        <v>0.94288092197968865</v>
      </c>
      <c r="U11">
        <v>0.94288092197968865</v>
      </c>
      <c r="V11">
        <v>0.94288092197968865</v>
      </c>
      <c r="W11">
        <v>0.94288092197968865</v>
      </c>
      <c r="X11">
        <v>0.94288092197968865</v>
      </c>
      <c r="Y11">
        <v>0.94288092197968865</v>
      </c>
      <c r="Z11">
        <v>0.94288092197968865</v>
      </c>
      <c r="AA11">
        <v>0.94288092197968865</v>
      </c>
    </row>
    <row r="12" spans="1:28" x14ac:dyDescent="0.45">
      <c r="A12" t="s">
        <v>5</v>
      </c>
      <c r="B12" t="s">
        <v>425</v>
      </c>
      <c r="C12" t="str">
        <f t="shared" si="0"/>
        <v>AR|Spring</v>
      </c>
      <c r="D12">
        <v>0.94288092197968865</v>
      </c>
      <c r="E12">
        <v>0.94288092197968865</v>
      </c>
      <c r="F12">
        <v>0.94288092197968865</v>
      </c>
      <c r="G12">
        <v>0.94288092197968865</v>
      </c>
      <c r="H12">
        <v>0.94288092197968865</v>
      </c>
      <c r="I12">
        <v>0.93673108025235574</v>
      </c>
      <c r="J12">
        <v>0.93673108025235574</v>
      </c>
      <c r="K12">
        <v>0.94288092197968865</v>
      </c>
      <c r="L12">
        <v>0.94288092197968865</v>
      </c>
      <c r="M12">
        <v>0.94288092197968865</v>
      </c>
      <c r="N12">
        <v>0.94288092197968865</v>
      </c>
      <c r="O12">
        <v>0.94288092197968865</v>
      </c>
      <c r="P12">
        <v>0.94288092197968865</v>
      </c>
      <c r="Q12">
        <v>0.94288092197968865</v>
      </c>
      <c r="R12">
        <v>0.94288092197968865</v>
      </c>
      <c r="S12">
        <v>0.94288092197968865</v>
      </c>
      <c r="T12">
        <v>0.94288092197968865</v>
      </c>
      <c r="U12">
        <v>0.94288092197968865</v>
      </c>
      <c r="V12">
        <v>0.94288092197968865</v>
      </c>
      <c r="W12">
        <v>0.94288092197968865</v>
      </c>
      <c r="X12">
        <v>0.94288092197968865</v>
      </c>
      <c r="Y12">
        <v>0.94288092197968865</v>
      </c>
      <c r="Z12">
        <v>0.94288092197968865</v>
      </c>
      <c r="AA12">
        <v>0.94288092197968865</v>
      </c>
    </row>
    <row r="13" spans="1:28" x14ac:dyDescent="0.45">
      <c r="A13" t="s">
        <v>5</v>
      </c>
      <c r="B13" t="s">
        <v>426</v>
      </c>
      <c r="C13" t="str">
        <f t="shared" si="0"/>
        <v>AR|Summer</v>
      </c>
      <c r="D13">
        <v>0.94288092197968865</v>
      </c>
      <c r="E13">
        <v>0.94288092197968865</v>
      </c>
      <c r="F13">
        <v>0.94288092197968865</v>
      </c>
      <c r="G13">
        <v>0.94288092197968865</v>
      </c>
      <c r="H13">
        <v>0.94288092197968865</v>
      </c>
      <c r="I13">
        <v>0.93782926627509378</v>
      </c>
      <c r="J13">
        <v>0.93782926627509378</v>
      </c>
      <c r="K13">
        <v>0.94288092197968865</v>
      </c>
      <c r="L13">
        <v>0.94288092197968865</v>
      </c>
      <c r="M13">
        <v>0.94288092197968865</v>
      </c>
      <c r="N13">
        <v>0.94288092197968865</v>
      </c>
      <c r="O13">
        <v>0.94288092197968865</v>
      </c>
      <c r="P13">
        <v>0.94288092197968865</v>
      </c>
      <c r="Q13">
        <v>0.94288092197968865</v>
      </c>
      <c r="R13">
        <v>0.94288092197968865</v>
      </c>
      <c r="S13">
        <v>0.94288092197968865</v>
      </c>
      <c r="T13">
        <v>0.94288092197968865</v>
      </c>
      <c r="U13">
        <v>0.94288092197968865</v>
      </c>
      <c r="V13">
        <v>0.94288092197968865</v>
      </c>
      <c r="W13">
        <v>0.94288092197968865</v>
      </c>
      <c r="X13">
        <v>0.94288092197968865</v>
      </c>
      <c r="Y13">
        <v>0.94288092197968865</v>
      </c>
      <c r="Z13">
        <v>0.94288092197968865</v>
      </c>
      <c r="AA13">
        <v>0.94288092197968865</v>
      </c>
    </row>
    <row r="14" spans="1:28" x14ac:dyDescent="0.45">
      <c r="A14" t="s">
        <v>5</v>
      </c>
      <c r="B14" t="s">
        <v>427</v>
      </c>
      <c r="C14" t="str">
        <f t="shared" si="0"/>
        <v>AR|Fall</v>
      </c>
      <c r="D14">
        <v>0.94288092197968876</v>
      </c>
      <c r="E14">
        <v>0.94288092197968876</v>
      </c>
      <c r="F14">
        <v>0.94288092197968876</v>
      </c>
      <c r="G14">
        <v>0.94288092197968876</v>
      </c>
      <c r="H14">
        <v>0.94288092197968876</v>
      </c>
      <c r="I14">
        <v>0.93900567924739653</v>
      </c>
      <c r="J14">
        <v>0.94152657412754237</v>
      </c>
      <c r="K14">
        <v>0.94288092197968876</v>
      </c>
      <c r="L14">
        <v>0.94288092197968876</v>
      </c>
      <c r="M14">
        <v>0.94288092197968876</v>
      </c>
      <c r="N14">
        <v>0.94288092197968876</v>
      </c>
      <c r="O14">
        <v>0.94288092197968876</v>
      </c>
      <c r="P14">
        <v>0.94288092197968876</v>
      </c>
      <c r="Q14">
        <v>0.94288092197968876</v>
      </c>
      <c r="R14">
        <v>0.94288092197968876</v>
      </c>
      <c r="S14">
        <v>0.94288092197968876</v>
      </c>
      <c r="T14">
        <v>0.94288092197968876</v>
      </c>
      <c r="U14">
        <v>0.94288092197968876</v>
      </c>
      <c r="V14">
        <v>0.94288092197968876</v>
      </c>
      <c r="W14">
        <v>0.94288092197968876</v>
      </c>
      <c r="X14">
        <v>0.94288092197968876</v>
      </c>
      <c r="Y14">
        <v>0.94288092197968876</v>
      </c>
      <c r="Z14">
        <v>0.94288092197968876</v>
      </c>
      <c r="AA14">
        <v>0.94288092197968876</v>
      </c>
    </row>
    <row r="15" spans="1:28" x14ac:dyDescent="0.45">
      <c r="A15" t="s">
        <v>5</v>
      </c>
      <c r="B15" t="s">
        <v>428</v>
      </c>
      <c r="C15" t="str">
        <f t="shared" si="0"/>
        <v>AR|Summer Peak</v>
      </c>
      <c r="D15">
        <v>0.94288092197968865</v>
      </c>
      <c r="E15">
        <v>0.94288092197968865</v>
      </c>
      <c r="F15">
        <v>0.94288092197968865</v>
      </c>
      <c r="G15">
        <v>0.94288092197968865</v>
      </c>
      <c r="H15">
        <v>0.94288092197968865</v>
      </c>
      <c r="I15">
        <v>0.94288092197968865</v>
      </c>
      <c r="J15">
        <v>0.94288092197968865</v>
      </c>
      <c r="K15">
        <v>0.94288092197968865</v>
      </c>
      <c r="L15">
        <v>0.94288092197968865</v>
      </c>
      <c r="M15">
        <v>0.94288092197968865</v>
      </c>
      <c r="N15">
        <v>0.94288092197968865</v>
      </c>
      <c r="O15">
        <v>0.94288092197968865</v>
      </c>
      <c r="P15">
        <v>0.94288092197968865</v>
      </c>
      <c r="Q15">
        <v>0.94288092197968865</v>
      </c>
      <c r="R15">
        <v>0.94288092197968865</v>
      </c>
      <c r="S15">
        <v>0.94288092197968865</v>
      </c>
      <c r="T15">
        <v>0.94288092197968865</v>
      </c>
      <c r="U15">
        <v>0.94288092197968865</v>
      </c>
      <c r="V15">
        <v>0.94288092197968865</v>
      </c>
      <c r="W15">
        <v>0.94288092197968865</v>
      </c>
      <c r="X15">
        <v>0.94288092197968865</v>
      </c>
      <c r="Y15">
        <v>0.94288092197968865</v>
      </c>
      <c r="Z15">
        <v>0.94288092197968865</v>
      </c>
      <c r="AA15">
        <v>0.94288092197968865</v>
      </c>
    </row>
    <row r="16" spans="1:28" x14ac:dyDescent="0.45">
      <c r="A16" t="s">
        <v>5</v>
      </c>
      <c r="B16" t="s">
        <v>429</v>
      </c>
      <c r="C16" t="str">
        <f t="shared" si="0"/>
        <v>AR|Winter Peak</v>
      </c>
      <c r="D16">
        <v>0.94288092197968865</v>
      </c>
      <c r="E16">
        <v>0.94288092197968865</v>
      </c>
      <c r="F16">
        <v>0.94288092197968865</v>
      </c>
      <c r="G16">
        <v>0.94288092197968865</v>
      </c>
      <c r="H16">
        <v>0.94288092197968865</v>
      </c>
      <c r="I16">
        <v>0.94288092197968865</v>
      </c>
      <c r="J16">
        <v>0.94288092197968865</v>
      </c>
      <c r="K16">
        <v>0.94288092197968865</v>
      </c>
      <c r="L16">
        <v>0.94288092197968865</v>
      </c>
      <c r="M16">
        <v>0.94288092197968865</v>
      </c>
      <c r="N16">
        <v>0.94288092197968865</v>
      </c>
      <c r="O16">
        <v>0.94288092197968865</v>
      </c>
      <c r="P16">
        <v>0.94288092197968865</v>
      </c>
      <c r="Q16">
        <v>0.94288092197968865</v>
      </c>
      <c r="R16">
        <v>0.94288092197968865</v>
      </c>
      <c r="S16">
        <v>0.94288092197968865</v>
      </c>
      <c r="T16">
        <v>0.94288092197968865</v>
      </c>
      <c r="U16">
        <v>0.94288092197968865</v>
      </c>
      <c r="V16">
        <v>0.94288092197968865</v>
      </c>
      <c r="W16">
        <v>0.94288092197968865</v>
      </c>
      <c r="X16">
        <v>0.94288092197968865</v>
      </c>
      <c r="Y16">
        <v>0.94288092197968865</v>
      </c>
      <c r="Z16">
        <v>0.94288092197968865</v>
      </c>
      <c r="AA16">
        <v>0.94288092197968865</v>
      </c>
    </row>
    <row r="17" spans="1:27" x14ac:dyDescent="0.45">
      <c r="A17" t="s">
        <v>9</v>
      </c>
      <c r="B17" t="s">
        <v>424</v>
      </c>
      <c r="C17" t="str">
        <f t="shared" si="0"/>
        <v>AZ|Winter</v>
      </c>
      <c r="D17">
        <v>0.94109616292236142</v>
      </c>
      <c r="E17">
        <v>0.94109616292236142</v>
      </c>
      <c r="F17">
        <v>0.94109616292236142</v>
      </c>
      <c r="G17">
        <v>0.94109616292236142</v>
      </c>
      <c r="H17">
        <v>0.94109616292236142</v>
      </c>
      <c r="I17">
        <v>0.94109616292236142</v>
      </c>
      <c r="J17">
        <v>0.93870341225812692</v>
      </c>
      <c r="K17">
        <v>0.85257416374300987</v>
      </c>
      <c r="L17">
        <v>0.81602772999037032</v>
      </c>
      <c r="M17">
        <v>0.8154067700918991</v>
      </c>
      <c r="N17">
        <v>0.83800815521940608</v>
      </c>
      <c r="O17">
        <v>0.84987815359347529</v>
      </c>
      <c r="P17">
        <v>0.85062241679915651</v>
      </c>
      <c r="Q17">
        <v>0.85366278753639424</v>
      </c>
      <c r="R17">
        <v>0.84273522633202624</v>
      </c>
      <c r="S17">
        <v>0.85320401036632509</v>
      </c>
      <c r="T17">
        <v>0.91062269475995916</v>
      </c>
      <c r="U17">
        <v>0.94076135556386553</v>
      </c>
      <c r="V17">
        <v>0.94109616292236142</v>
      </c>
      <c r="W17">
        <v>0.94109616292236142</v>
      </c>
      <c r="X17">
        <v>0.94109616292236142</v>
      </c>
      <c r="Y17">
        <v>0.94109616292236142</v>
      </c>
      <c r="Z17">
        <v>0.94109616292236142</v>
      </c>
      <c r="AA17">
        <v>0.94109616292236142</v>
      </c>
    </row>
    <row r="18" spans="1:27" x14ac:dyDescent="0.45">
      <c r="A18" t="s">
        <v>9</v>
      </c>
      <c r="B18" t="s">
        <v>425</v>
      </c>
      <c r="C18" t="str">
        <f t="shared" si="0"/>
        <v>AZ|Spring</v>
      </c>
      <c r="D18">
        <v>0.94109616292236142</v>
      </c>
      <c r="E18">
        <v>0.94109616292236142</v>
      </c>
      <c r="F18">
        <v>0.94109616292236142</v>
      </c>
      <c r="G18">
        <v>0.94109616292236142</v>
      </c>
      <c r="H18">
        <v>0.94109616292236142</v>
      </c>
      <c r="I18">
        <v>0.94109616292236142</v>
      </c>
      <c r="J18">
        <v>0.94109616292236142</v>
      </c>
      <c r="K18">
        <v>0.94109616292236142</v>
      </c>
      <c r="L18">
        <v>0.93532087616581117</v>
      </c>
      <c r="M18">
        <v>0.93666849509122507</v>
      </c>
      <c r="N18">
        <v>0.93952196425172974</v>
      </c>
      <c r="O18">
        <v>0.94030063706759526</v>
      </c>
      <c r="P18">
        <v>0.93997574792879146</v>
      </c>
      <c r="Q18">
        <v>0.93997574792879146</v>
      </c>
      <c r="R18">
        <v>0.93437367296094054</v>
      </c>
      <c r="S18">
        <v>0.9376284941219275</v>
      </c>
      <c r="T18">
        <v>0.94109616292236142</v>
      </c>
      <c r="U18">
        <v>0.94109616292236142</v>
      </c>
      <c r="V18">
        <v>0.94109616292236142</v>
      </c>
      <c r="W18">
        <v>0.94109616292236142</v>
      </c>
      <c r="X18">
        <v>0.94109616292236142</v>
      </c>
      <c r="Y18">
        <v>0.94109616292236142</v>
      </c>
      <c r="Z18">
        <v>0.94109616292236142</v>
      </c>
      <c r="AA18">
        <v>0.94109616292236142</v>
      </c>
    </row>
    <row r="19" spans="1:27" x14ac:dyDescent="0.45">
      <c r="A19" t="s">
        <v>9</v>
      </c>
      <c r="B19" t="s">
        <v>426</v>
      </c>
      <c r="C19" t="str">
        <f t="shared" si="0"/>
        <v>AZ|Summer</v>
      </c>
      <c r="D19">
        <v>0.94109616292236142</v>
      </c>
      <c r="E19">
        <v>0.94109616292236142</v>
      </c>
      <c r="F19">
        <v>0.94109616292236142</v>
      </c>
      <c r="G19">
        <v>0.94109616292236142</v>
      </c>
      <c r="H19">
        <v>0.94109616292236142</v>
      </c>
      <c r="I19">
        <v>0.94109616292236142</v>
      </c>
      <c r="J19">
        <v>0.94109616292236142</v>
      </c>
      <c r="K19">
        <v>0.94109616292236142</v>
      </c>
      <c r="L19">
        <v>0.94109616292236142</v>
      </c>
      <c r="M19">
        <v>0.94109616292236142</v>
      </c>
      <c r="N19">
        <v>0.94109616292236142</v>
      </c>
      <c r="O19">
        <v>0.94109616292236142</v>
      </c>
      <c r="P19">
        <v>0.94109616292236142</v>
      </c>
      <c r="Q19">
        <v>0.94109616292236142</v>
      </c>
      <c r="R19">
        <v>0.94109616292236142</v>
      </c>
      <c r="S19">
        <v>0.94109616292236142</v>
      </c>
      <c r="T19">
        <v>0.94109616292236142</v>
      </c>
      <c r="U19">
        <v>0.94109616292236142</v>
      </c>
      <c r="V19">
        <v>0.94109616292236142</v>
      </c>
      <c r="W19">
        <v>0.94109616292236142</v>
      </c>
      <c r="X19">
        <v>0.94109616292236142</v>
      </c>
      <c r="Y19">
        <v>0.94109616292236142</v>
      </c>
      <c r="Z19">
        <v>0.94109616292236142</v>
      </c>
      <c r="AA19">
        <v>0.94109616292236142</v>
      </c>
    </row>
    <row r="20" spans="1:27" x14ac:dyDescent="0.45">
      <c r="A20" t="s">
        <v>9</v>
      </c>
      <c r="B20" t="s">
        <v>427</v>
      </c>
      <c r="C20" t="str">
        <f t="shared" si="0"/>
        <v>AZ|Fall</v>
      </c>
      <c r="D20">
        <v>0.94109616292236131</v>
      </c>
      <c r="E20">
        <v>0.94109616292236131</v>
      </c>
      <c r="F20">
        <v>0.94109616292236131</v>
      </c>
      <c r="G20">
        <v>0.94109616292236131</v>
      </c>
      <c r="H20">
        <v>0.94109616292236131</v>
      </c>
      <c r="I20">
        <v>0.94109616292236131</v>
      </c>
      <c r="J20">
        <v>0.93751185770656509</v>
      </c>
      <c r="K20">
        <v>0.83200669029002194</v>
      </c>
      <c r="L20">
        <v>0.81924810508673651</v>
      </c>
      <c r="M20">
        <v>0.88157831366798967</v>
      </c>
      <c r="N20">
        <v>0.92068571147322775</v>
      </c>
      <c r="O20">
        <v>0.92748919528960572</v>
      </c>
      <c r="P20">
        <v>0.92762753911094153</v>
      </c>
      <c r="Q20">
        <v>0.93089093719779459</v>
      </c>
      <c r="R20">
        <v>0.93089093719779459</v>
      </c>
      <c r="S20">
        <v>0.93429267910598357</v>
      </c>
      <c r="T20">
        <v>0.93769442101417244</v>
      </c>
      <c r="U20">
        <v>0.94109616292236131</v>
      </c>
      <c r="V20">
        <v>0.94109616292236131</v>
      </c>
      <c r="W20">
        <v>0.94109616292236131</v>
      </c>
      <c r="X20">
        <v>0.94109616292236131</v>
      </c>
      <c r="Y20">
        <v>0.94109616292236131</v>
      </c>
      <c r="Z20">
        <v>0.94109616292236131</v>
      </c>
      <c r="AA20">
        <v>0.94109616292236131</v>
      </c>
    </row>
    <row r="21" spans="1:27" x14ac:dyDescent="0.45">
      <c r="A21" t="s">
        <v>9</v>
      </c>
      <c r="B21" t="s">
        <v>428</v>
      </c>
      <c r="C21" t="str">
        <f t="shared" si="0"/>
        <v>AZ|Summer Peak</v>
      </c>
      <c r="D21">
        <v>0.94109616292236142</v>
      </c>
      <c r="E21">
        <v>0.94109616292236142</v>
      </c>
      <c r="F21">
        <v>0.94109616292236142</v>
      </c>
      <c r="G21">
        <v>0.94109616292236142</v>
      </c>
      <c r="H21">
        <v>0.94109616292236142</v>
      </c>
      <c r="I21">
        <v>0.94109616292236142</v>
      </c>
      <c r="J21">
        <v>0.94109616292236142</v>
      </c>
      <c r="K21">
        <v>0.9047726625365714</v>
      </c>
      <c r="L21">
        <v>0.91387101485854538</v>
      </c>
      <c r="M21">
        <v>0.94086458968413611</v>
      </c>
      <c r="N21">
        <v>0.94109616292236142</v>
      </c>
      <c r="O21">
        <v>0.94109616292236142</v>
      </c>
      <c r="P21">
        <v>0.94109616292236142</v>
      </c>
      <c r="Q21">
        <v>0.94109616292236142</v>
      </c>
      <c r="R21">
        <v>0.94109616292236142</v>
      </c>
      <c r="S21">
        <v>0.94109616292236142</v>
      </c>
      <c r="T21">
        <v>0.94109616292236142</v>
      </c>
      <c r="U21">
        <v>0.94109616292236142</v>
      </c>
      <c r="V21">
        <v>0.94109616292236142</v>
      </c>
      <c r="W21">
        <v>0.94109616292236142</v>
      </c>
      <c r="X21">
        <v>0.94109616292236142</v>
      </c>
      <c r="Y21">
        <v>0.94109616292236142</v>
      </c>
      <c r="Z21">
        <v>0.94109616292236142</v>
      </c>
      <c r="AA21">
        <v>0.94109616292236142</v>
      </c>
    </row>
    <row r="22" spans="1:27" x14ac:dyDescent="0.45">
      <c r="A22" t="s">
        <v>9</v>
      </c>
      <c r="B22" t="s">
        <v>429</v>
      </c>
      <c r="C22" t="str">
        <f t="shared" si="0"/>
        <v>AZ|Winter Peak</v>
      </c>
      <c r="D22">
        <v>0.94109616292236142</v>
      </c>
      <c r="E22">
        <v>0.94109616292236142</v>
      </c>
      <c r="F22">
        <v>0.94109616292236142</v>
      </c>
      <c r="G22">
        <v>0.94109616292236142</v>
      </c>
      <c r="H22">
        <v>0.94109616292236142</v>
      </c>
      <c r="I22">
        <v>0.94109616292236142</v>
      </c>
      <c r="J22">
        <v>0.94109616292236142</v>
      </c>
      <c r="K22">
        <v>0.94109616292236142</v>
      </c>
      <c r="L22">
        <v>0.91129940497131856</v>
      </c>
      <c r="M22">
        <v>0.90268504435832431</v>
      </c>
      <c r="N22">
        <v>0.91462635869926623</v>
      </c>
      <c r="O22">
        <v>0.91462635869926623</v>
      </c>
      <c r="P22">
        <v>0.91462635869926623</v>
      </c>
      <c r="Q22">
        <v>0.91462635869926623</v>
      </c>
      <c r="R22">
        <v>0.88789685382811412</v>
      </c>
      <c r="S22">
        <v>0.91462635869926623</v>
      </c>
      <c r="T22">
        <v>0.93227289484799636</v>
      </c>
      <c r="U22">
        <v>0.94109616292236142</v>
      </c>
      <c r="V22">
        <v>0.94109616292236142</v>
      </c>
      <c r="W22">
        <v>0.94109616292236142</v>
      </c>
      <c r="X22">
        <v>0.94109616292236142</v>
      </c>
      <c r="Y22">
        <v>0.94109616292236142</v>
      </c>
      <c r="Z22">
        <v>0.94109616292236142</v>
      </c>
      <c r="AA22">
        <v>0.94109616292236142</v>
      </c>
    </row>
    <row r="23" spans="1:27" x14ac:dyDescent="0.45">
      <c r="A23" t="s">
        <v>12</v>
      </c>
      <c r="B23" t="s">
        <v>424</v>
      </c>
      <c r="C23" t="str">
        <f t="shared" si="0"/>
        <v>CA|Winter</v>
      </c>
      <c r="D23">
        <v>0.92960903452880095</v>
      </c>
      <c r="E23">
        <v>0.92960903452880095</v>
      </c>
      <c r="F23">
        <v>0.92960903452880095</v>
      </c>
      <c r="G23">
        <v>0.92960903452880095</v>
      </c>
      <c r="H23">
        <v>0.92960903452880095</v>
      </c>
      <c r="I23">
        <v>0.92960903452880095</v>
      </c>
      <c r="J23">
        <v>0.85588468813524321</v>
      </c>
      <c r="K23">
        <v>0.84136292206245233</v>
      </c>
      <c r="L23">
        <v>0.84783152642498694</v>
      </c>
      <c r="M23">
        <v>0.86569135464168789</v>
      </c>
      <c r="N23">
        <v>0.87406158211139584</v>
      </c>
      <c r="O23">
        <v>0.8721036431880671</v>
      </c>
      <c r="P23">
        <v>0.87102477101144149</v>
      </c>
      <c r="Q23">
        <v>0.8602156058324727</v>
      </c>
      <c r="R23">
        <v>0.8645634954195025</v>
      </c>
      <c r="S23">
        <v>0.90990119894770494</v>
      </c>
      <c r="T23">
        <v>0.92960903452880095</v>
      </c>
      <c r="U23">
        <v>0.92960903452880095</v>
      </c>
      <c r="V23">
        <v>0.92960903452880095</v>
      </c>
      <c r="W23">
        <v>0.92960903452880095</v>
      </c>
      <c r="X23">
        <v>0.92960903452880095</v>
      </c>
      <c r="Y23">
        <v>0.92960903452880095</v>
      </c>
      <c r="Z23">
        <v>0.92960903452880095</v>
      </c>
      <c r="AA23">
        <v>0.92960903452880095</v>
      </c>
    </row>
    <row r="24" spans="1:27" x14ac:dyDescent="0.45">
      <c r="A24" t="s">
        <v>12</v>
      </c>
      <c r="B24" t="s">
        <v>425</v>
      </c>
      <c r="C24" t="str">
        <f t="shared" si="0"/>
        <v>CA|Spring</v>
      </c>
      <c r="D24">
        <v>0.92960903452880095</v>
      </c>
      <c r="E24">
        <v>0.92960903452880095</v>
      </c>
      <c r="F24">
        <v>0.92960903452880095</v>
      </c>
      <c r="G24">
        <v>0.92960903452880095</v>
      </c>
      <c r="H24">
        <v>0.92960903452880095</v>
      </c>
      <c r="I24">
        <v>0.92960903452880095</v>
      </c>
      <c r="J24">
        <v>0.92960903452880095</v>
      </c>
      <c r="K24">
        <v>0.90850426377198312</v>
      </c>
      <c r="L24">
        <v>0.91600544393103944</v>
      </c>
      <c r="M24">
        <v>0.91940634158047985</v>
      </c>
      <c r="N24">
        <v>0.91940634158047985</v>
      </c>
      <c r="O24">
        <v>0.91940634158047985</v>
      </c>
      <c r="P24">
        <v>0.91940634158047985</v>
      </c>
      <c r="Q24">
        <v>0.90920364863215875</v>
      </c>
      <c r="R24">
        <v>0.91600544393103944</v>
      </c>
      <c r="S24">
        <v>0.92280723922992014</v>
      </c>
      <c r="T24">
        <v>0.92960903452880095</v>
      </c>
      <c r="U24">
        <v>0.92960903452880095</v>
      </c>
      <c r="V24">
        <v>0.92960903452880095</v>
      </c>
      <c r="W24">
        <v>0.92960903452880095</v>
      </c>
      <c r="X24">
        <v>0.92960903452880095</v>
      </c>
      <c r="Y24">
        <v>0.92960903452880095</v>
      </c>
      <c r="Z24">
        <v>0.92960903452880095</v>
      </c>
      <c r="AA24">
        <v>0.92960903452880095</v>
      </c>
    </row>
    <row r="25" spans="1:27" x14ac:dyDescent="0.45">
      <c r="A25" t="s">
        <v>12</v>
      </c>
      <c r="B25" t="s">
        <v>426</v>
      </c>
      <c r="C25" t="str">
        <f t="shared" si="0"/>
        <v>CA|Summer</v>
      </c>
      <c r="D25">
        <v>0.92960903452880095</v>
      </c>
      <c r="E25">
        <v>0.92960903452880095</v>
      </c>
      <c r="F25">
        <v>0.92960903452880095</v>
      </c>
      <c r="G25">
        <v>0.92960903452880095</v>
      </c>
      <c r="H25">
        <v>0.92960903452880095</v>
      </c>
      <c r="I25">
        <v>0.92407747616718816</v>
      </c>
      <c r="J25">
        <v>0.84934857390234275</v>
      </c>
      <c r="K25">
        <v>0.83590916760095646</v>
      </c>
      <c r="L25">
        <v>0.87519285660496637</v>
      </c>
      <c r="M25">
        <v>0.89559234491102191</v>
      </c>
      <c r="N25">
        <v>0.90927450066652205</v>
      </c>
      <c r="O25">
        <v>0.90927450066652205</v>
      </c>
      <c r="P25">
        <v>0.90927450066652205</v>
      </c>
      <c r="Q25">
        <v>0.90636956725762496</v>
      </c>
      <c r="R25">
        <v>0.91217943407541902</v>
      </c>
      <c r="S25">
        <v>0.92670410111990387</v>
      </c>
      <c r="T25">
        <v>0.92960903452880095</v>
      </c>
      <c r="U25">
        <v>0.92960903452880095</v>
      </c>
      <c r="V25">
        <v>0.92960903452880095</v>
      </c>
      <c r="W25">
        <v>0.92960903452880095</v>
      </c>
      <c r="X25">
        <v>0.92960903452880095</v>
      </c>
      <c r="Y25">
        <v>0.92960903452880095</v>
      </c>
      <c r="Z25">
        <v>0.92960903452880095</v>
      </c>
      <c r="AA25">
        <v>0.92960903452880095</v>
      </c>
    </row>
    <row r="26" spans="1:27" x14ac:dyDescent="0.45">
      <c r="A26" t="s">
        <v>12</v>
      </c>
      <c r="B26" t="s">
        <v>427</v>
      </c>
      <c r="C26" t="str">
        <f t="shared" si="0"/>
        <v>CA|Fall</v>
      </c>
      <c r="D26">
        <v>0.92960903452880095</v>
      </c>
      <c r="E26">
        <v>0.92960903452880095</v>
      </c>
      <c r="F26">
        <v>0.92960903452880095</v>
      </c>
      <c r="G26">
        <v>0.92960903452880095</v>
      </c>
      <c r="H26">
        <v>0.92960903452880095</v>
      </c>
      <c r="I26">
        <v>0.92960903452880095</v>
      </c>
      <c r="J26">
        <v>0.92960903452880095</v>
      </c>
      <c r="K26">
        <v>0.92960903452880095</v>
      </c>
      <c r="L26">
        <v>0.92960903452880095</v>
      </c>
      <c r="M26">
        <v>0.92960903452880095</v>
      </c>
      <c r="N26">
        <v>0.92960903452880095</v>
      </c>
      <c r="O26">
        <v>0.92960903452880095</v>
      </c>
      <c r="P26">
        <v>0.92960903452880095</v>
      </c>
      <c r="Q26">
        <v>0.92960903452880095</v>
      </c>
      <c r="R26">
        <v>0.92960903452880095</v>
      </c>
      <c r="S26">
        <v>0.92960903452880095</v>
      </c>
      <c r="T26">
        <v>0.92960903452880095</v>
      </c>
      <c r="U26">
        <v>0.92960903452880095</v>
      </c>
      <c r="V26">
        <v>0.92960903452880095</v>
      </c>
      <c r="W26">
        <v>0.92960903452880095</v>
      </c>
      <c r="X26">
        <v>0.92960903452880095</v>
      </c>
      <c r="Y26">
        <v>0.92960903452880095</v>
      </c>
      <c r="Z26">
        <v>0.92960903452880095</v>
      </c>
      <c r="AA26">
        <v>0.92960903452880095</v>
      </c>
    </row>
    <row r="27" spans="1:27" x14ac:dyDescent="0.45">
      <c r="A27" t="s">
        <v>12</v>
      </c>
      <c r="B27" t="s">
        <v>428</v>
      </c>
      <c r="C27" t="str">
        <f t="shared" si="0"/>
        <v>CA|Summer Peak</v>
      </c>
      <c r="D27">
        <v>0.92960903452880095</v>
      </c>
      <c r="E27">
        <v>0.92960903452880095</v>
      </c>
      <c r="F27">
        <v>0.92960903452880095</v>
      </c>
      <c r="G27">
        <v>0.92960903452880095</v>
      </c>
      <c r="H27">
        <v>0.92960903452880095</v>
      </c>
      <c r="I27">
        <v>0.92960903452880095</v>
      </c>
      <c r="J27">
        <v>0.89862307816723319</v>
      </c>
      <c r="K27">
        <v>0.87626484198729315</v>
      </c>
      <c r="L27">
        <v>0.91411605634801696</v>
      </c>
      <c r="M27">
        <v>0.92960903452880095</v>
      </c>
      <c r="N27">
        <v>0.92960903452880095</v>
      </c>
      <c r="O27">
        <v>0.92960903452880095</v>
      </c>
      <c r="P27">
        <v>0.92960903452880095</v>
      </c>
      <c r="Q27">
        <v>0.92960903452880095</v>
      </c>
      <c r="R27">
        <v>0.92960903452880095</v>
      </c>
      <c r="S27">
        <v>0.92960903452880095</v>
      </c>
      <c r="T27">
        <v>0.92960903452880095</v>
      </c>
      <c r="U27">
        <v>0.92960903452880095</v>
      </c>
      <c r="V27">
        <v>0.92960903452880095</v>
      </c>
      <c r="W27">
        <v>0.92960903452880095</v>
      </c>
      <c r="X27">
        <v>0.92960903452880095</v>
      </c>
      <c r="Y27">
        <v>0.92960903452880095</v>
      </c>
      <c r="Z27">
        <v>0.92960903452880095</v>
      </c>
      <c r="AA27">
        <v>0.92960903452880095</v>
      </c>
    </row>
    <row r="28" spans="1:27" x14ac:dyDescent="0.45">
      <c r="A28" t="s">
        <v>12</v>
      </c>
      <c r="B28" t="s">
        <v>429</v>
      </c>
      <c r="C28" t="str">
        <f t="shared" si="0"/>
        <v>CA|Winter Peak</v>
      </c>
      <c r="D28">
        <v>0.92960903452880095</v>
      </c>
      <c r="E28">
        <v>0.92960903452880095</v>
      </c>
      <c r="F28">
        <v>0.92960903452880095</v>
      </c>
      <c r="G28">
        <v>0.92960903452880095</v>
      </c>
      <c r="H28">
        <v>0.92960903452880095</v>
      </c>
      <c r="I28">
        <v>0.92960903452880095</v>
      </c>
      <c r="J28">
        <v>0.92960903452880095</v>
      </c>
      <c r="K28">
        <v>0.92960903452880095</v>
      </c>
      <c r="L28">
        <v>0.92960903452880095</v>
      </c>
      <c r="M28">
        <v>0.92960903452880095</v>
      </c>
      <c r="N28">
        <v>0.92960903452880095</v>
      </c>
      <c r="O28">
        <v>0.92960903452880095</v>
      </c>
      <c r="P28">
        <v>0.92960903452880095</v>
      </c>
      <c r="Q28">
        <v>0.92960903452880095</v>
      </c>
      <c r="R28">
        <v>0.92960903452880095</v>
      </c>
      <c r="S28">
        <v>0.92960903452880095</v>
      </c>
      <c r="T28">
        <v>0.92960903452880095</v>
      </c>
      <c r="U28">
        <v>0.92960903452880095</v>
      </c>
      <c r="V28">
        <v>0.92960903452880095</v>
      </c>
      <c r="W28">
        <v>0.92960903452880095</v>
      </c>
      <c r="X28">
        <v>0.92960903452880095</v>
      </c>
      <c r="Y28">
        <v>0.92960903452880095</v>
      </c>
      <c r="Z28">
        <v>0.92960903452880095</v>
      </c>
      <c r="AA28">
        <v>0.92960903452880095</v>
      </c>
    </row>
    <row r="29" spans="1:27" x14ac:dyDescent="0.45">
      <c r="A29" t="s">
        <v>15</v>
      </c>
      <c r="B29" t="s">
        <v>424</v>
      </c>
      <c r="C29" t="str">
        <f t="shared" si="0"/>
        <v>CO|Winter</v>
      </c>
      <c r="D29">
        <v>0.90900000000000003</v>
      </c>
      <c r="E29">
        <v>0.90900000000000003</v>
      </c>
      <c r="F29">
        <v>0.90900000000000003</v>
      </c>
      <c r="G29">
        <v>0.90900000000000003</v>
      </c>
      <c r="H29">
        <v>0.90900000000000003</v>
      </c>
      <c r="I29">
        <v>0.90900000000000003</v>
      </c>
      <c r="J29">
        <v>0.90900000000000003</v>
      </c>
      <c r="K29">
        <v>0.90900000000000003</v>
      </c>
      <c r="L29">
        <v>0.90900000000000003</v>
      </c>
      <c r="M29">
        <v>0.90900000000000003</v>
      </c>
      <c r="N29">
        <v>0.90900000000000003</v>
      </c>
      <c r="O29">
        <v>0.90900000000000003</v>
      </c>
      <c r="P29">
        <v>0.90900000000000003</v>
      </c>
      <c r="Q29">
        <v>0.90900000000000003</v>
      </c>
      <c r="R29">
        <v>0.90900000000000003</v>
      </c>
      <c r="S29">
        <v>0.90900000000000003</v>
      </c>
      <c r="T29">
        <v>0.90900000000000003</v>
      </c>
      <c r="U29">
        <v>0.90900000000000003</v>
      </c>
      <c r="V29">
        <v>0.90900000000000003</v>
      </c>
      <c r="W29">
        <v>0.90900000000000003</v>
      </c>
      <c r="X29">
        <v>0.90900000000000003</v>
      </c>
      <c r="Y29">
        <v>0.90900000000000003</v>
      </c>
      <c r="Z29">
        <v>0.90900000000000003</v>
      </c>
      <c r="AA29">
        <v>0.90900000000000003</v>
      </c>
    </row>
    <row r="30" spans="1:27" x14ac:dyDescent="0.45">
      <c r="A30" t="s">
        <v>15</v>
      </c>
      <c r="B30" t="s">
        <v>425</v>
      </c>
      <c r="C30" t="str">
        <f t="shared" si="0"/>
        <v>CO|Spring</v>
      </c>
      <c r="D30">
        <v>0.90900000000000003</v>
      </c>
      <c r="E30">
        <v>0.90900000000000003</v>
      </c>
      <c r="F30">
        <v>0.90900000000000003</v>
      </c>
      <c r="G30">
        <v>0.90900000000000003</v>
      </c>
      <c r="H30">
        <v>0.90900000000000003</v>
      </c>
      <c r="I30">
        <v>0.90900000000000003</v>
      </c>
      <c r="J30">
        <v>0.90900000000000003</v>
      </c>
      <c r="K30">
        <v>0.90900000000000003</v>
      </c>
      <c r="L30">
        <v>0.90900000000000003</v>
      </c>
      <c r="M30">
        <v>0.90900000000000003</v>
      </c>
      <c r="N30">
        <v>0.90900000000000003</v>
      </c>
      <c r="O30">
        <v>0.90900000000000003</v>
      </c>
      <c r="P30">
        <v>0.90900000000000003</v>
      </c>
      <c r="Q30">
        <v>0.90900000000000003</v>
      </c>
      <c r="R30">
        <v>0.90900000000000003</v>
      </c>
      <c r="S30">
        <v>0.90900000000000003</v>
      </c>
      <c r="T30">
        <v>0.90900000000000003</v>
      </c>
      <c r="U30">
        <v>0.90900000000000003</v>
      </c>
      <c r="V30">
        <v>0.90900000000000003</v>
      </c>
      <c r="W30">
        <v>0.90900000000000003</v>
      </c>
      <c r="X30">
        <v>0.90900000000000003</v>
      </c>
      <c r="Y30">
        <v>0.90900000000000003</v>
      </c>
      <c r="Z30">
        <v>0.90900000000000003</v>
      </c>
      <c r="AA30">
        <v>0.90900000000000003</v>
      </c>
    </row>
    <row r="31" spans="1:27" x14ac:dyDescent="0.45">
      <c r="A31" t="s">
        <v>15</v>
      </c>
      <c r="B31" t="s">
        <v>426</v>
      </c>
      <c r="C31" t="str">
        <f t="shared" si="0"/>
        <v>CO|Summer</v>
      </c>
      <c r="D31">
        <v>0.90900000000000003</v>
      </c>
      <c r="E31">
        <v>0.90900000000000003</v>
      </c>
      <c r="F31">
        <v>0.90900000000000003</v>
      </c>
      <c r="G31">
        <v>0.90900000000000003</v>
      </c>
      <c r="H31">
        <v>0.90900000000000003</v>
      </c>
      <c r="I31">
        <v>0.90900000000000003</v>
      </c>
      <c r="J31">
        <v>0.90900000000000003</v>
      </c>
      <c r="K31">
        <v>0.90900000000000003</v>
      </c>
      <c r="L31">
        <v>0.90900000000000003</v>
      </c>
      <c r="M31">
        <v>0.90900000000000003</v>
      </c>
      <c r="N31">
        <v>0.90900000000000003</v>
      </c>
      <c r="O31">
        <v>0.90900000000000003</v>
      </c>
      <c r="P31">
        <v>0.90900000000000003</v>
      </c>
      <c r="Q31">
        <v>0.90900000000000003</v>
      </c>
      <c r="R31">
        <v>0.90900000000000003</v>
      </c>
      <c r="S31">
        <v>0.90900000000000003</v>
      </c>
      <c r="T31">
        <v>0.90900000000000003</v>
      </c>
      <c r="U31">
        <v>0.90900000000000003</v>
      </c>
      <c r="V31">
        <v>0.90900000000000003</v>
      </c>
      <c r="W31">
        <v>0.90900000000000003</v>
      </c>
      <c r="X31">
        <v>0.90900000000000003</v>
      </c>
      <c r="Y31">
        <v>0.90900000000000003</v>
      </c>
      <c r="Z31">
        <v>0.90900000000000003</v>
      </c>
      <c r="AA31">
        <v>0.90900000000000003</v>
      </c>
    </row>
    <row r="32" spans="1:27" x14ac:dyDescent="0.45">
      <c r="A32" t="s">
        <v>15</v>
      </c>
      <c r="B32" t="s">
        <v>427</v>
      </c>
      <c r="C32" t="str">
        <f t="shared" si="0"/>
        <v>CO|Fall</v>
      </c>
      <c r="D32">
        <v>0.90900000000000003</v>
      </c>
      <c r="E32">
        <v>0.90900000000000003</v>
      </c>
      <c r="F32">
        <v>0.90900000000000003</v>
      </c>
      <c r="G32">
        <v>0.90900000000000003</v>
      </c>
      <c r="H32">
        <v>0.90900000000000003</v>
      </c>
      <c r="I32">
        <v>0.90900000000000003</v>
      </c>
      <c r="J32">
        <v>0.90900000000000003</v>
      </c>
      <c r="K32">
        <v>0.90900000000000003</v>
      </c>
      <c r="L32">
        <v>0.90900000000000003</v>
      </c>
      <c r="M32">
        <v>0.90900000000000003</v>
      </c>
      <c r="N32">
        <v>0.90900000000000003</v>
      </c>
      <c r="O32">
        <v>0.90900000000000003</v>
      </c>
      <c r="P32">
        <v>0.90900000000000003</v>
      </c>
      <c r="Q32">
        <v>0.90900000000000003</v>
      </c>
      <c r="R32">
        <v>0.90900000000000003</v>
      </c>
      <c r="S32">
        <v>0.90900000000000003</v>
      </c>
      <c r="T32">
        <v>0.90900000000000003</v>
      </c>
      <c r="U32">
        <v>0.90900000000000003</v>
      </c>
      <c r="V32">
        <v>0.90900000000000003</v>
      </c>
      <c r="W32">
        <v>0.90900000000000003</v>
      </c>
      <c r="X32">
        <v>0.90900000000000003</v>
      </c>
      <c r="Y32">
        <v>0.90900000000000003</v>
      </c>
      <c r="Z32">
        <v>0.90900000000000003</v>
      </c>
      <c r="AA32">
        <v>0.90900000000000003</v>
      </c>
    </row>
    <row r="33" spans="1:27" x14ac:dyDescent="0.45">
      <c r="A33" t="s">
        <v>15</v>
      </c>
      <c r="B33" t="s">
        <v>428</v>
      </c>
      <c r="C33" t="str">
        <f t="shared" si="0"/>
        <v>CO|Summer Peak</v>
      </c>
      <c r="D33">
        <v>0.90900000000000003</v>
      </c>
      <c r="E33">
        <v>0.90900000000000003</v>
      </c>
      <c r="F33">
        <v>0.90900000000000003</v>
      </c>
      <c r="G33">
        <v>0.90900000000000003</v>
      </c>
      <c r="H33">
        <v>0.90900000000000003</v>
      </c>
      <c r="I33">
        <v>0.90900000000000003</v>
      </c>
      <c r="J33">
        <v>0.90900000000000003</v>
      </c>
      <c r="K33">
        <v>0.90900000000000003</v>
      </c>
      <c r="L33">
        <v>0.90900000000000003</v>
      </c>
      <c r="M33">
        <v>0.90900000000000003</v>
      </c>
      <c r="N33">
        <v>0.90900000000000003</v>
      </c>
      <c r="O33">
        <v>0.90900000000000003</v>
      </c>
      <c r="P33">
        <v>0.90900000000000003</v>
      </c>
      <c r="Q33">
        <v>0.90900000000000003</v>
      </c>
      <c r="R33">
        <v>0.90900000000000003</v>
      </c>
      <c r="S33">
        <v>0.90900000000000003</v>
      </c>
      <c r="T33">
        <v>0.90900000000000003</v>
      </c>
      <c r="U33">
        <v>0.90900000000000003</v>
      </c>
      <c r="V33">
        <v>0.90900000000000003</v>
      </c>
      <c r="W33">
        <v>0.90900000000000003</v>
      </c>
      <c r="X33">
        <v>0.90900000000000003</v>
      </c>
      <c r="Y33">
        <v>0.90900000000000003</v>
      </c>
      <c r="Z33">
        <v>0.90900000000000003</v>
      </c>
      <c r="AA33">
        <v>0.90900000000000003</v>
      </c>
    </row>
    <row r="34" spans="1:27" x14ac:dyDescent="0.45">
      <c r="A34" t="s">
        <v>15</v>
      </c>
      <c r="B34" t="s">
        <v>429</v>
      </c>
      <c r="C34" t="str">
        <f t="shared" si="0"/>
        <v>CO|Winter Peak</v>
      </c>
      <c r="D34">
        <v>0.90900000000000003</v>
      </c>
      <c r="E34">
        <v>0.90900000000000003</v>
      </c>
      <c r="F34">
        <v>0.90900000000000003</v>
      </c>
      <c r="G34">
        <v>0.90900000000000003</v>
      </c>
      <c r="H34">
        <v>0.90900000000000003</v>
      </c>
      <c r="I34">
        <v>0.90900000000000003</v>
      </c>
      <c r="J34">
        <v>0.90900000000000003</v>
      </c>
      <c r="K34">
        <v>0.90900000000000003</v>
      </c>
      <c r="L34">
        <v>0.90900000000000003</v>
      </c>
      <c r="M34">
        <v>0.90900000000000003</v>
      </c>
      <c r="N34">
        <v>0.90900000000000003</v>
      </c>
      <c r="O34">
        <v>0.90900000000000003</v>
      </c>
      <c r="P34">
        <v>0.90900000000000003</v>
      </c>
      <c r="Q34">
        <v>0.90900000000000003</v>
      </c>
      <c r="R34">
        <v>0.90900000000000003</v>
      </c>
      <c r="S34">
        <v>0.90900000000000003</v>
      </c>
      <c r="T34">
        <v>0.90900000000000003</v>
      </c>
      <c r="U34">
        <v>0.90900000000000003</v>
      </c>
      <c r="V34">
        <v>0.90900000000000003</v>
      </c>
      <c r="W34">
        <v>0.90900000000000003</v>
      </c>
      <c r="X34">
        <v>0.90900000000000003</v>
      </c>
      <c r="Y34">
        <v>0.90900000000000003</v>
      </c>
      <c r="Z34">
        <v>0.90900000000000003</v>
      </c>
      <c r="AA34">
        <v>0.90900000000000003</v>
      </c>
    </row>
    <row r="35" spans="1:27" x14ac:dyDescent="0.45">
      <c r="A35" t="s">
        <v>17</v>
      </c>
      <c r="B35" t="s">
        <v>424</v>
      </c>
      <c r="C35" t="str">
        <f t="shared" si="0"/>
        <v>CT|Winter</v>
      </c>
      <c r="D35">
        <v>0.91024776694003706</v>
      </c>
      <c r="E35">
        <v>0.91024776694003706</v>
      </c>
      <c r="F35">
        <v>0.91024776694003706</v>
      </c>
      <c r="G35">
        <v>0.91024776694003706</v>
      </c>
      <c r="H35">
        <v>0.91024776694003706</v>
      </c>
      <c r="I35">
        <v>0.91024776694003706</v>
      </c>
      <c r="J35">
        <v>0.91024776694003706</v>
      </c>
      <c r="K35">
        <v>0.91024776694003706</v>
      </c>
      <c r="L35">
        <v>0.91024776694003706</v>
      </c>
      <c r="M35">
        <v>0.91024776694003706</v>
      </c>
      <c r="N35">
        <v>0.91024776694003706</v>
      </c>
      <c r="O35">
        <v>0.91024776694003706</v>
      </c>
      <c r="P35">
        <v>0.91024776694003706</v>
      </c>
      <c r="Q35">
        <v>0.91024776694003706</v>
      </c>
      <c r="R35">
        <v>0.91024776694003706</v>
      </c>
      <c r="S35">
        <v>0.91024776694003706</v>
      </c>
      <c r="T35">
        <v>0.91024776694003706</v>
      </c>
      <c r="U35">
        <v>0.91024776694003706</v>
      </c>
      <c r="V35">
        <v>0.91024776694003706</v>
      </c>
      <c r="W35">
        <v>0.91024776694003706</v>
      </c>
      <c r="X35">
        <v>0.91024776694003706</v>
      </c>
      <c r="Y35">
        <v>0.91024776694003706</v>
      </c>
      <c r="Z35">
        <v>0.91024776694003706</v>
      </c>
      <c r="AA35">
        <v>0.91024776694003706</v>
      </c>
    </row>
    <row r="36" spans="1:27" x14ac:dyDescent="0.45">
      <c r="A36" t="s">
        <v>17</v>
      </c>
      <c r="B36" t="s">
        <v>425</v>
      </c>
      <c r="C36" t="str">
        <f t="shared" si="0"/>
        <v>CT|Spring</v>
      </c>
      <c r="D36">
        <v>0.90598090529248376</v>
      </c>
      <c r="E36">
        <v>0.91024776694003706</v>
      </c>
      <c r="F36">
        <v>0.91024776694003706</v>
      </c>
      <c r="G36">
        <v>0.91024776694003706</v>
      </c>
      <c r="H36">
        <v>0.91024776694003706</v>
      </c>
      <c r="I36">
        <v>0.91024776694003706</v>
      </c>
      <c r="J36">
        <v>0.91024776694003706</v>
      </c>
      <c r="K36">
        <v>0.91024776694003706</v>
      </c>
      <c r="L36">
        <v>0.91024776694003706</v>
      </c>
      <c r="M36">
        <v>0.91024776694003706</v>
      </c>
      <c r="N36">
        <v>0.91024776694003706</v>
      </c>
      <c r="O36">
        <v>0.91024776694003706</v>
      </c>
      <c r="P36">
        <v>0.91024776694003706</v>
      </c>
      <c r="Q36">
        <v>0.91024776694003706</v>
      </c>
      <c r="R36">
        <v>0.91024776694003706</v>
      </c>
      <c r="S36">
        <v>0.91024776694003706</v>
      </c>
      <c r="T36">
        <v>0.91024776694003706</v>
      </c>
      <c r="U36">
        <v>0.91024776694003706</v>
      </c>
      <c r="V36">
        <v>0.91024776694003706</v>
      </c>
      <c r="W36">
        <v>0.91024776694003706</v>
      </c>
      <c r="X36">
        <v>0.91024776694003706</v>
      </c>
      <c r="Y36">
        <v>0.91024776694003706</v>
      </c>
      <c r="Z36">
        <v>0.91024776694003706</v>
      </c>
      <c r="AA36">
        <v>0.91024776694003706</v>
      </c>
    </row>
    <row r="37" spans="1:27" x14ac:dyDescent="0.45">
      <c r="A37" t="s">
        <v>17</v>
      </c>
      <c r="B37" t="s">
        <v>426</v>
      </c>
      <c r="C37" t="str">
        <f t="shared" si="0"/>
        <v>CT|Summer</v>
      </c>
      <c r="D37">
        <v>0.91024776694003706</v>
      </c>
      <c r="E37">
        <v>0.91024776694003706</v>
      </c>
      <c r="F37">
        <v>0.91024776694003706</v>
      </c>
      <c r="G37">
        <v>0.91024776694003706</v>
      </c>
      <c r="H37">
        <v>0.91024776694003706</v>
      </c>
      <c r="I37">
        <v>0.91024776694003706</v>
      </c>
      <c r="J37">
        <v>0.89616025516395981</v>
      </c>
      <c r="K37">
        <v>0.90537135362854737</v>
      </c>
      <c r="L37">
        <v>0.91024776694003706</v>
      </c>
      <c r="M37">
        <v>0.91024776694003706</v>
      </c>
      <c r="N37">
        <v>0.91024776694003706</v>
      </c>
      <c r="O37">
        <v>0.91024776694003706</v>
      </c>
      <c r="P37">
        <v>0.91024776694003706</v>
      </c>
      <c r="Q37">
        <v>0.91024776694003706</v>
      </c>
      <c r="R37">
        <v>0.91024776694003706</v>
      </c>
      <c r="S37">
        <v>0.91024776694003706</v>
      </c>
      <c r="T37">
        <v>0.91024776694003706</v>
      </c>
      <c r="U37">
        <v>0.91024776694003706</v>
      </c>
      <c r="V37">
        <v>0.91024776694003706</v>
      </c>
      <c r="W37">
        <v>0.91024776694003706</v>
      </c>
      <c r="X37">
        <v>0.91024776694003706</v>
      </c>
      <c r="Y37">
        <v>0.91024776694003706</v>
      </c>
      <c r="Z37">
        <v>0.91024776694003706</v>
      </c>
      <c r="AA37">
        <v>0.91024776694003706</v>
      </c>
    </row>
    <row r="38" spans="1:27" x14ac:dyDescent="0.45">
      <c r="A38" t="s">
        <v>17</v>
      </c>
      <c r="B38" t="s">
        <v>427</v>
      </c>
      <c r="C38" t="str">
        <f t="shared" si="0"/>
        <v>CT|Fall</v>
      </c>
      <c r="D38">
        <v>0.91024776694003706</v>
      </c>
      <c r="E38">
        <v>0.91024776694003706</v>
      </c>
      <c r="F38">
        <v>0.91024776694003706</v>
      </c>
      <c r="G38">
        <v>0.91024776694003706</v>
      </c>
      <c r="H38">
        <v>0.91024776694003706</v>
      </c>
      <c r="I38">
        <v>0.91024776694003706</v>
      </c>
      <c r="J38">
        <v>0.90298777677206388</v>
      </c>
      <c r="K38">
        <v>0.90674436437608275</v>
      </c>
      <c r="L38">
        <v>0.91024776694003706</v>
      </c>
      <c r="M38">
        <v>0.91024776694003706</v>
      </c>
      <c r="N38">
        <v>0.91024776694003706</v>
      </c>
      <c r="O38">
        <v>0.91024776694003706</v>
      </c>
      <c r="P38">
        <v>0.91024776694003706</v>
      </c>
      <c r="Q38">
        <v>0.91024776694003706</v>
      </c>
      <c r="R38">
        <v>0.91024776694003706</v>
      </c>
      <c r="S38">
        <v>0.91024776694003706</v>
      </c>
      <c r="T38">
        <v>0.91024776694003706</v>
      </c>
      <c r="U38">
        <v>0.91024776694003706</v>
      </c>
      <c r="V38">
        <v>0.91024776694003706</v>
      </c>
      <c r="W38">
        <v>0.91024776694003706</v>
      </c>
      <c r="X38">
        <v>0.91024776694003706</v>
      </c>
      <c r="Y38">
        <v>0.91024776694003706</v>
      </c>
      <c r="Z38">
        <v>0.91024776694003706</v>
      </c>
      <c r="AA38">
        <v>0.91024776694003706</v>
      </c>
    </row>
    <row r="39" spans="1:27" x14ac:dyDescent="0.45">
      <c r="A39" t="s">
        <v>17</v>
      </c>
      <c r="B39" t="s">
        <v>428</v>
      </c>
      <c r="C39" t="str">
        <f t="shared" si="0"/>
        <v>CT|Summer Peak</v>
      </c>
      <c r="D39">
        <v>0.91024776694003706</v>
      </c>
      <c r="E39">
        <v>0.91024776694003706</v>
      </c>
      <c r="F39">
        <v>0.91024776694003706</v>
      </c>
      <c r="G39">
        <v>0.91024776694003706</v>
      </c>
      <c r="H39">
        <v>0.91024776694003706</v>
      </c>
      <c r="I39">
        <v>0.91024776694003706</v>
      </c>
      <c r="J39">
        <v>0.91024776694003706</v>
      </c>
      <c r="K39">
        <v>0.91024776694003706</v>
      </c>
      <c r="L39">
        <v>0.91024776694003706</v>
      </c>
      <c r="M39">
        <v>0.91024776694003706</v>
      </c>
      <c r="N39">
        <v>0.91024776694003706</v>
      </c>
      <c r="O39">
        <v>0.91024776694003706</v>
      </c>
      <c r="P39">
        <v>0.91024776694003706</v>
      </c>
      <c r="Q39">
        <v>0.91024776694003706</v>
      </c>
      <c r="R39">
        <v>0.91024776694003706</v>
      </c>
      <c r="S39">
        <v>0.91024776694003706</v>
      </c>
      <c r="T39">
        <v>0.91024776694003706</v>
      </c>
      <c r="U39">
        <v>0.91024776694003706</v>
      </c>
      <c r="V39">
        <v>0.91024776694003706</v>
      </c>
      <c r="W39">
        <v>0.91024776694003706</v>
      </c>
      <c r="X39">
        <v>0.91024776694003706</v>
      </c>
      <c r="Y39">
        <v>0.91024776694003706</v>
      </c>
      <c r="Z39">
        <v>0.91024776694003706</v>
      </c>
      <c r="AA39">
        <v>0.91024776694003706</v>
      </c>
    </row>
    <row r="40" spans="1:27" x14ac:dyDescent="0.45">
      <c r="A40" t="s">
        <v>17</v>
      </c>
      <c r="B40" t="s">
        <v>429</v>
      </c>
      <c r="C40" t="str">
        <f t="shared" si="0"/>
        <v>CT|Winter Peak</v>
      </c>
      <c r="D40">
        <v>0.91024776694003706</v>
      </c>
      <c r="E40">
        <v>0.91024776694003706</v>
      </c>
      <c r="F40">
        <v>0.91024776694003706</v>
      </c>
      <c r="G40">
        <v>0.91024776694003706</v>
      </c>
      <c r="H40">
        <v>0.91024776694003706</v>
      </c>
      <c r="I40">
        <v>0.91024776694003706</v>
      </c>
      <c r="J40">
        <v>0.91024776694003706</v>
      </c>
      <c r="K40">
        <v>0.91024776694003706</v>
      </c>
      <c r="L40">
        <v>0.91024776694003706</v>
      </c>
      <c r="M40">
        <v>0.91024776694003706</v>
      </c>
      <c r="N40">
        <v>0.91024776694003706</v>
      </c>
      <c r="O40">
        <v>0.91024776694003706</v>
      </c>
      <c r="P40">
        <v>0.91024776694003706</v>
      </c>
      <c r="Q40">
        <v>0.91024776694003706</v>
      </c>
      <c r="R40">
        <v>0.91024776694003706</v>
      </c>
      <c r="S40">
        <v>0.91024776694003706</v>
      </c>
      <c r="T40">
        <v>0.91024776694003706</v>
      </c>
      <c r="U40">
        <v>0.91024776694003706</v>
      </c>
      <c r="V40">
        <v>0.91024776694003706</v>
      </c>
      <c r="W40">
        <v>0.91024776694003706</v>
      </c>
      <c r="X40">
        <v>0.91024776694003706</v>
      </c>
      <c r="Y40">
        <v>0.91024776694003706</v>
      </c>
      <c r="Z40">
        <v>0.91024776694003706</v>
      </c>
      <c r="AA40">
        <v>0.91024776694003706</v>
      </c>
    </row>
    <row r="41" spans="1:27" x14ac:dyDescent="0.45">
      <c r="A41" t="s">
        <v>20</v>
      </c>
      <c r="B41" t="s">
        <v>424</v>
      </c>
      <c r="C41" t="str">
        <f t="shared" si="0"/>
        <v>DE|Winter</v>
      </c>
      <c r="D41">
        <v>0.90899999999999992</v>
      </c>
      <c r="E41">
        <v>0.90899999999999992</v>
      </c>
      <c r="F41">
        <v>0.90899999999999992</v>
      </c>
      <c r="G41">
        <v>0.90899999999999992</v>
      </c>
      <c r="H41">
        <v>0.90899999999999992</v>
      </c>
      <c r="I41">
        <v>0.90899999999999992</v>
      </c>
      <c r="J41">
        <v>0.90899999999999992</v>
      </c>
      <c r="K41">
        <v>0.90899999999999992</v>
      </c>
      <c r="L41">
        <v>0.90899999999999992</v>
      </c>
      <c r="M41">
        <v>0.90899999999999992</v>
      </c>
      <c r="N41">
        <v>0.90899999999999992</v>
      </c>
      <c r="O41">
        <v>0.90899999999999992</v>
      </c>
      <c r="P41">
        <v>0.90899999999999992</v>
      </c>
      <c r="Q41">
        <v>0.90899999999999992</v>
      </c>
      <c r="R41">
        <v>0.90899999999999992</v>
      </c>
      <c r="S41">
        <v>0.90899999999999992</v>
      </c>
      <c r="T41">
        <v>0.90899999999999992</v>
      </c>
      <c r="U41">
        <v>0.90899999999999992</v>
      </c>
      <c r="V41">
        <v>0.90899999999999992</v>
      </c>
      <c r="W41">
        <v>0.90899999999999992</v>
      </c>
      <c r="X41">
        <v>0.90899999999999992</v>
      </c>
      <c r="Y41">
        <v>0.90899999999999992</v>
      </c>
      <c r="Z41">
        <v>0.90899999999999992</v>
      </c>
      <c r="AA41">
        <v>0.90899999999999992</v>
      </c>
    </row>
    <row r="42" spans="1:27" x14ac:dyDescent="0.45">
      <c r="A42" t="s">
        <v>20</v>
      </c>
      <c r="B42" t="s">
        <v>425</v>
      </c>
      <c r="C42" t="str">
        <f t="shared" si="0"/>
        <v>DE|Spring</v>
      </c>
      <c r="D42">
        <v>0.90899999999999992</v>
      </c>
      <c r="E42">
        <v>0.90899999999999992</v>
      </c>
      <c r="F42">
        <v>0.90899999999999992</v>
      </c>
      <c r="G42">
        <v>0.90899999999999992</v>
      </c>
      <c r="H42">
        <v>0.90899999999999992</v>
      </c>
      <c r="I42">
        <v>0.90899999999999992</v>
      </c>
      <c r="J42">
        <v>0.90899999999999992</v>
      </c>
      <c r="K42">
        <v>0.90899999999999992</v>
      </c>
      <c r="L42">
        <v>0.90899999999999992</v>
      </c>
      <c r="M42">
        <v>0.90899999999999992</v>
      </c>
      <c r="N42">
        <v>0.90899999999999992</v>
      </c>
      <c r="O42">
        <v>0.90899999999999992</v>
      </c>
      <c r="P42">
        <v>0.90899999999999992</v>
      </c>
      <c r="Q42">
        <v>0.90899999999999992</v>
      </c>
      <c r="R42">
        <v>0.90899999999999992</v>
      </c>
      <c r="S42">
        <v>0.90899999999999992</v>
      </c>
      <c r="T42">
        <v>0.90899999999999992</v>
      </c>
      <c r="U42">
        <v>0.90899999999999992</v>
      </c>
      <c r="V42">
        <v>0.90899999999999992</v>
      </c>
      <c r="W42">
        <v>0.90899999999999992</v>
      </c>
      <c r="X42">
        <v>0.90899999999999992</v>
      </c>
      <c r="Y42">
        <v>0.90899999999999992</v>
      </c>
      <c r="Z42">
        <v>0.90899999999999992</v>
      </c>
      <c r="AA42">
        <v>0.90899999999999992</v>
      </c>
    </row>
    <row r="43" spans="1:27" x14ac:dyDescent="0.45">
      <c r="A43" t="s">
        <v>20</v>
      </c>
      <c r="B43" t="s">
        <v>426</v>
      </c>
      <c r="C43" t="str">
        <f t="shared" si="0"/>
        <v>DE|Summer</v>
      </c>
      <c r="D43">
        <v>0.90899999999999992</v>
      </c>
      <c r="E43">
        <v>0.90899999999999992</v>
      </c>
      <c r="F43">
        <v>0.90899999999999992</v>
      </c>
      <c r="G43">
        <v>0.90899999999999992</v>
      </c>
      <c r="H43">
        <v>0.90899999999999992</v>
      </c>
      <c r="I43">
        <v>0.90899999999999992</v>
      </c>
      <c r="J43">
        <v>0.90899999999999992</v>
      </c>
      <c r="K43">
        <v>0.90899999999999992</v>
      </c>
      <c r="L43">
        <v>0.90899999999999992</v>
      </c>
      <c r="M43">
        <v>0.90899999999999992</v>
      </c>
      <c r="N43">
        <v>0.90899999999999992</v>
      </c>
      <c r="O43">
        <v>0.90899999999999992</v>
      </c>
      <c r="P43">
        <v>0.90899999999999992</v>
      </c>
      <c r="Q43">
        <v>0.90899999999999992</v>
      </c>
      <c r="R43">
        <v>0.90899999999999992</v>
      </c>
      <c r="S43">
        <v>0.90899999999999992</v>
      </c>
      <c r="T43">
        <v>0.90899999999999992</v>
      </c>
      <c r="U43">
        <v>0.90899999999999992</v>
      </c>
      <c r="V43">
        <v>0.90899999999999992</v>
      </c>
      <c r="W43">
        <v>0.90899999999999992</v>
      </c>
      <c r="X43">
        <v>0.90899999999999992</v>
      </c>
      <c r="Y43">
        <v>0.90899999999999992</v>
      </c>
      <c r="Z43">
        <v>0.90899999999999992</v>
      </c>
      <c r="AA43">
        <v>0.90899999999999992</v>
      </c>
    </row>
    <row r="44" spans="1:27" x14ac:dyDescent="0.45">
      <c r="A44" t="s">
        <v>20</v>
      </c>
      <c r="B44" t="s">
        <v>427</v>
      </c>
      <c r="C44" t="str">
        <f t="shared" si="0"/>
        <v>DE|Fall</v>
      </c>
      <c r="D44">
        <v>0.90899999999999992</v>
      </c>
      <c r="E44">
        <v>0.90899999999999992</v>
      </c>
      <c r="F44">
        <v>0.90899999999999992</v>
      </c>
      <c r="G44">
        <v>0.90899999999999992</v>
      </c>
      <c r="H44">
        <v>0.90899999999999992</v>
      </c>
      <c r="I44">
        <v>0.90899999999999992</v>
      </c>
      <c r="J44">
        <v>0.90899999999999992</v>
      </c>
      <c r="K44">
        <v>0.90899999999999992</v>
      </c>
      <c r="L44">
        <v>0.90899999999999992</v>
      </c>
      <c r="M44">
        <v>0.90899999999999992</v>
      </c>
      <c r="N44">
        <v>0.90899999999999992</v>
      </c>
      <c r="O44">
        <v>0.90899999999999992</v>
      </c>
      <c r="P44">
        <v>0.90899999999999992</v>
      </c>
      <c r="Q44">
        <v>0.90899999999999992</v>
      </c>
      <c r="R44">
        <v>0.90899999999999992</v>
      </c>
      <c r="S44">
        <v>0.90899999999999992</v>
      </c>
      <c r="T44">
        <v>0.90899999999999992</v>
      </c>
      <c r="U44">
        <v>0.90899999999999992</v>
      </c>
      <c r="V44">
        <v>0.90899999999999992</v>
      </c>
      <c r="W44">
        <v>0.90899999999999992</v>
      </c>
      <c r="X44">
        <v>0.90899999999999992</v>
      </c>
      <c r="Y44">
        <v>0.90899999999999992</v>
      </c>
      <c r="Z44">
        <v>0.90899999999999992</v>
      </c>
      <c r="AA44">
        <v>0.90899999999999992</v>
      </c>
    </row>
    <row r="45" spans="1:27" x14ac:dyDescent="0.45">
      <c r="A45" t="s">
        <v>20</v>
      </c>
      <c r="B45" t="s">
        <v>428</v>
      </c>
      <c r="C45" t="str">
        <f t="shared" si="0"/>
        <v>DE|Summer Peak</v>
      </c>
      <c r="D45">
        <v>0.90899999999999992</v>
      </c>
      <c r="E45">
        <v>0.90899999999999992</v>
      </c>
      <c r="F45">
        <v>0.90899999999999992</v>
      </c>
      <c r="G45">
        <v>0.90899999999999992</v>
      </c>
      <c r="H45">
        <v>0.90899999999999992</v>
      </c>
      <c r="I45">
        <v>0.90899999999999992</v>
      </c>
      <c r="J45">
        <v>0.90899999999999992</v>
      </c>
      <c r="K45">
        <v>0.90899999999999992</v>
      </c>
      <c r="L45">
        <v>0.90899999999999992</v>
      </c>
      <c r="M45">
        <v>0.90899999999999992</v>
      </c>
      <c r="N45">
        <v>0.90899999999999992</v>
      </c>
      <c r="O45">
        <v>0.90899999999999992</v>
      </c>
      <c r="P45">
        <v>0.90899999999999992</v>
      </c>
      <c r="Q45">
        <v>0.90899999999999992</v>
      </c>
      <c r="R45">
        <v>0.90899999999999992</v>
      </c>
      <c r="S45">
        <v>0.90899999999999992</v>
      </c>
      <c r="T45">
        <v>0.90899999999999992</v>
      </c>
      <c r="U45">
        <v>0.90899999999999992</v>
      </c>
      <c r="V45">
        <v>0.90899999999999992</v>
      </c>
      <c r="W45">
        <v>0.90899999999999992</v>
      </c>
      <c r="X45">
        <v>0.90899999999999992</v>
      </c>
      <c r="Y45">
        <v>0.90899999999999992</v>
      </c>
      <c r="Z45">
        <v>0.90899999999999992</v>
      </c>
      <c r="AA45">
        <v>0.90899999999999992</v>
      </c>
    </row>
    <row r="46" spans="1:27" x14ac:dyDescent="0.45">
      <c r="A46" t="s">
        <v>20</v>
      </c>
      <c r="B46" t="s">
        <v>429</v>
      </c>
      <c r="C46" t="str">
        <f t="shared" si="0"/>
        <v>DE|Winter Peak</v>
      </c>
      <c r="D46">
        <v>0.90899999999999992</v>
      </c>
      <c r="E46">
        <v>0.90899999999999992</v>
      </c>
      <c r="F46">
        <v>0.90899999999999992</v>
      </c>
      <c r="G46">
        <v>0.90899999999999992</v>
      </c>
      <c r="H46">
        <v>0.90899999999999992</v>
      </c>
      <c r="I46">
        <v>0.90899999999999992</v>
      </c>
      <c r="J46">
        <v>0.90899999999999992</v>
      </c>
      <c r="K46">
        <v>0.90899999999999992</v>
      </c>
      <c r="L46">
        <v>0.90899999999999992</v>
      </c>
      <c r="M46">
        <v>0.90899999999999992</v>
      </c>
      <c r="N46">
        <v>0.90899999999999992</v>
      </c>
      <c r="O46">
        <v>0.90899999999999992</v>
      </c>
      <c r="P46">
        <v>0.90899999999999992</v>
      </c>
      <c r="Q46">
        <v>0.90899999999999992</v>
      </c>
      <c r="R46">
        <v>0.90899999999999992</v>
      </c>
      <c r="S46">
        <v>0.90899999999999992</v>
      </c>
      <c r="T46">
        <v>0.90899999999999992</v>
      </c>
      <c r="U46">
        <v>0.90899999999999992</v>
      </c>
      <c r="V46">
        <v>0.90899999999999992</v>
      </c>
      <c r="W46">
        <v>0.90899999999999992</v>
      </c>
      <c r="X46">
        <v>0.90899999999999992</v>
      </c>
      <c r="Y46">
        <v>0.90899999999999992</v>
      </c>
      <c r="Z46">
        <v>0.90899999999999992</v>
      </c>
      <c r="AA46">
        <v>0.90899999999999992</v>
      </c>
    </row>
    <row r="47" spans="1:27" x14ac:dyDescent="0.45">
      <c r="A47" t="s">
        <v>23</v>
      </c>
      <c r="B47" t="s">
        <v>424</v>
      </c>
      <c r="C47" t="str">
        <f t="shared" si="0"/>
        <v>FL|Winter</v>
      </c>
      <c r="D47">
        <v>0.93252431981709927</v>
      </c>
      <c r="E47">
        <v>0.93252431981709927</v>
      </c>
      <c r="F47">
        <v>0.93252431981709927</v>
      </c>
      <c r="G47">
        <v>0.93252431981709927</v>
      </c>
      <c r="H47">
        <v>0.93252431981709927</v>
      </c>
      <c r="I47">
        <v>0.93252431981709927</v>
      </c>
      <c r="J47">
        <v>0.93252431981709927</v>
      </c>
      <c r="K47">
        <v>0.91566078920602145</v>
      </c>
      <c r="L47">
        <v>0.90673200000228715</v>
      </c>
      <c r="M47">
        <v>0.91604848015426299</v>
      </c>
      <c r="N47">
        <v>0.91812519082092814</v>
      </c>
      <c r="O47">
        <v>0.92335635196487309</v>
      </c>
      <c r="P47">
        <v>0.92819161706114273</v>
      </c>
      <c r="Q47">
        <v>0.92430732298923701</v>
      </c>
      <c r="R47">
        <v>0.92138220504112889</v>
      </c>
      <c r="S47">
        <v>0.9277432083770919</v>
      </c>
      <c r="T47">
        <v>0.93252431981709927</v>
      </c>
      <c r="U47">
        <v>0.93252431981709927</v>
      </c>
      <c r="V47">
        <v>0.93252431981709927</v>
      </c>
      <c r="W47">
        <v>0.93252431981709927</v>
      </c>
      <c r="X47">
        <v>0.93252431981709927</v>
      </c>
      <c r="Y47">
        <v>0.93252431981709927</v>
      </c>
      <c r="Z47">
        <v>0.93252431981709927</v>
      </c>
      <c r="AA47">
        <v>0.93252431981709927</v>
      </c>
    </row>
    <row r="48" spans="1:27" x14ac:dyDescent="0.45">
      <c r="A48" t="s">
        <v>23</v>
      </c>
      <c r="B48" t="s">
        <v>425</v>
      </c>
      <c r="C48" t="str">
        <f t="shared" si="0"/>
        <v>FL|Spring</v>
      </c>
      <c r="D48">
        <v>0.93252431981709927</v>
      </c>
      <c r="E48">
        <v>0.93252431981709927</v>
      </c>
      <c r="F48">
        <v>0.93252431981709927</v>
      </c>
      <c r="G48">
        <v>0.93252431981709927</v>
      </c>
      <c r="H48">
        <v>0.93252431981709927</v>
      </c>
      <c r="I48">
        <v>0.93252431981709927</v>
      </c>
      <c r="J48">
        <v>0.9263075530124032</v>
      </c>
      <c r="K48">
        <v>0.90754721309813213</v>
      </c>
      <c r="L48">
        <v>0.91941567062630358</v>
      </c>
      <c r="M48">
        <v>0.92760911881879116</v>
      </c>
      <c r="N48">
        <v>0.93252431981709927</v>
      </c>
      <c r="O48">
        <v>0.93252431981709927</v>
      </c>
      <c r="P48">
        <v>0.9324818538691414</v>
      </c>
      <c r="Q48">
        <v>0.93075810834655881</v>
      </c>
      <c r="R48">
        <v>0.92952690582620323</v>
      </c>
      <c r="S48">
        <v>0.92953961461354828</v>
      </c>
      <c r="T48">
        <v>0.93252431981709927</v>
      </c>
      <c r="U48">
        <v>0.93252431981709927</v>
      </c>
      <c r="V48">
        <v>0.93252431981709927</v>
      </c>
      <c r="W48">
        <v>0.93252431981709927</v>
      </c>
      <c r="X48">
        <v>0.93252431981709927</v>
      </c>
      <c r="Y48">
        <v>0.93252431981709927</v>
      </c>
      <c r="Z48">
        <v>0.93252431981709927</v>
      </c>
      <c r="AA48">
        <v>0.93252431981709927</v>
      </c>
    </row>
    <row r="49" spans="1:27" x14ac:dyDescent="0.45">
      <c r="A49" t="s">
        <v>23</v>
      </c>
      <c r="B49" t="s">
        <v>426</v>
      </c>
      <c r="C49" t="str">
        <f t="shared" si="0"/>
        <v>FL|Summer</v>
      </c>
      <c r="D49">
        <v>0.93252431981709927</v>
      </c>
      <c r="E49">
        <v>0.93252431981709927</v>
      </c>
      <c r="F49">
        <v>0.93252431981709927</v>
      </c>
      <c r="G49">
        <v>0.93252431981709927</v>
      </c>
      <c r="H49">
        <v>0.93252431981709927</v>
      </c>
      <c r="I49">
        <v>0.93252431981709927</v>
      </c>
      <c r="J49">
        <v>0.92663475126528205</v>
      </c>
      <c r="K49">
        <v>0.92301602603273081</v>
      </c>
      <c r="L49">
        <v>0.93252431981709927</v>
      </c>
      <c r="M49">
        <v>0.93252431981709927</v>
      </c>
      <c r="N49">
        <v>0.93252431981709927</v>
      </c>
      <c r="O49">
        <v>0.93252431981709927</v>
      </c>
      <c r="P49">
        <v>0.93252431981709927</v>
      </c>
      <c r="Q49">
        <v>0.93252431981709927</v>
      </c>
      <c r="R49">
        <v>0.93252431981709927</v>
      </c>
      <c r="S49">
        <v>0.93252431981709927</v>
      </c>
      <c r="T49">
        <v>0.93252431981709927</v>
      </c>
      <c r="U49">
        <v>0.93252431981709927</v>
      </c>
      <c r="V49">
        <v>0.93252431981709927</v>
      </c>
      <c r="W49">
        <v>0.93252431981709927</v>
      </c>
      <c r="X49">
        <v>0.93252431981709927</v>
      </c>
      <c r="Y49">
        <v>0.93252431981709927</v>
      </c>
      <c r="Z49">
        <v>0.93252431981709927</v>
      </c>
      <c r="AA49">
        <v>0.93252431981709927</v>
      </c>
    </row>
    <row r="50" spans="1:27" x14ac:dyDescent="0.45">
      <c r="A50" t="s">
        <v>23</v>
      </c>
      <c r="B50" t="s">
        <v>427</v>
      </c>
      <c r="C50" t="str">
        <f t="shared" si="0"/>
        <v>FL|Fall</v>
      </c>
      <c r="D50">
        <v>0.93252431981709916</v>
      </c>
      <c r="E50">
        <v>0.93252431981709916</v>
      </c>
      <c r="F50">
        <v>0.93252431981709916</v>
      </c>
      <c r="G50">
        <v>0.93252431981709916</v>
      </c>
      <c r="H50">
        <v>0.93252431981709916</v>
      </c>
      <c r="I50">
        <v>0.93252431981709916</v>
      </c>
      <c r="J50">
        <v>0.92923309033226009</v>
      </c>
      <c r="K50">
        <v>0.92923309033226009</v>
      </c>
      <c r="L50">
        <v>0.93252431981709916</v>
      </c>
      <c r="M50">
        <v>0.93252431981709916</v>
      </c>
      <c r="N50">
        <v>0.93252431981709916</v>
      </c>
      <c r="O50">
        <v>0.93252431981709916</v>
      </c>
      <c r="P50">
        <v>0.93252431981709916</v>
      </c>
      <c r="Q50">
        <v>0.93252431981709916</v>
      </c>
      <c r="R50">
        <v>0.93252431981709916</v>
      </c>
      <c r="S50">
        <v>0.93252431981709916</v>
      </c>
      <c r="T50">
        <v>0.93252431981709916</v>
      </c>
      <c r="U50">
        <v>0.93252431981709916</v>
      </c>
      <c r="V50">
        <v>0.93252431981709916</v>
      </c>
      <c r="W50">
        <v>0.93252431981709916</v>
      </c>
      <c r="X50">
        <v>0.93252431981709916</v>
      </c>
      <c r="Y50">
        <v>0.93252431981709916</v>
      </c>
      <c r="Z50">
        <v>0.93252431981709916</v>
      </c>
      <c r="AA50">
        <v>0.93252431981709916</v>
      </c>
    </row>
    <row r="51" spans="1:27" x14ac:dyDescent="0.45">
      <c r="A51" t="s">
        <v>23</v>
      </c>
      <c r="B51" t="s">
        <v>428</v>
      </c>
      <c r="C51" t="str">
        <f t="shared" si="0"/>
        <v>FL|Summer Peak</v>
      </c>
      <c r="D51">
        <v>0.93252431981709927</v>
      </c>
      <c r="E51">
        <v>0.93252431981709927</v>
      </c>
      <c r="F51">
        <v>0.93252431981709927</v>
      </c>
      <c r="G51">
        <v>0.93252431981709927</v>
      </c>
      <c r="H51">
        <v>0.93252431981709927</v>
      </c>
      <c r="I51">
        <v>0.93252431981709927</v>
      </c>
      <c r="J51">
        <v>0.93252431981709927</v>
      </c>
      <c r="K51">
        <v>0.93252431981709927</v>
      </c>
      <c r="L51">
        <v>0.93252431981709927</v>
      </c>
      <c r="M51">
        <v>0.93252431981709927</v>
      </c>
      <c r="N51">
        <v>0.93252431981709927</v>
      </c>
      <c r="O51">
        <v>0.93252431981709927</v>
      </c>
      <c r="P51">
        <v>0.93252431981709927</v>
      </c>
      <c r="Q51">
        <v>0.93252431981709927</v>
      </c>
      <c r="R51">
        <v>0.93252431981709927</v>
      </c>
      <c r="S51">
        <v>0.93252431981709927</v>
      </c>
      <c r="T51">
        <v>0.93252431981709927</v>
      </c>
      <c r="U51">
        <v>0.93252431981709927</v>
      </c>
      <c r="V51">
        <v>0.93252431981709927</v>
      </c>
      <c r="W51">
        <v>0.93252431981709927</v>
      </c>
      <c r="X51">
        <v>0.93252431981709927</v>
      </c>
      <c r="Y51">
        <v>0.93252431981709927</v>
      </c>
      <c r="Z51">
        <v>0.93252431981709927</v>
      </c>
      <c r="AA51">
        <v>0.93252431981709927</v>
      </c>
    </row>
    <row r="52" spans="1:27" x14ac:dyDescent="0.45">
      <c r="A52" t="s">
        <v>23</v>
      </c>
      <c r="B52" t="s">
        <v>429</v>
      </c>
      <c r="C52" t="str">
        <f t="shared" si="0"/>
        <v>FL|Winter Peak</v>
      </c>
      <c r="D52">
        <v>0.93252431981709916</v>
      </c>
      <c r="E52">
        <v>0.93252431981709916</v>
      </c>
      <c r="F52">
        <v>0.93252431981709916</v>
      </c>
      <c r="G52">
        <v>0.93252431981709916</v>
      </c>
      <c r="H52">
        <v>0.93252431981709916</v>
      </c>
      <c r="I52">
        <v>0.93252431981709916</v>
      </c>
      <c r="J52">
        <v>0.93252431981709916</v>
      </c>
      <c r="K52">
        <v>0.93252431981709916</v>
      </c>
      <c r="L52">
        <v>0.93252431981709916</v>
      </c>
      <c r="M52">
        <v>0.93252431981709916</v>
      </c>
      <c r="N52">
        <v>0.93252431981709916</v>
      </c>
      <c r="O52">
        <v>0.93252431981709916</v>
      </c>
      <c r="P52">
        <v>0.93252431981709916</v>
      </c>
      <c r="Q52">
        <v>0.92660127445959239</v>
      </c>
      <c r="R52">
        <v>0.91780039843755612</v>
      </c>
      <c r="S52">
        <v>0.93252431981709916</v>
      </c>
      <c r="T52">
        <v>0.93252431981709916</v>
      </c>
      <c r="U52">
        <v>0.93252431981709916</v>
      </c>
      <c r="V52">
        <v>0.93252431981709916</v>
      </c>
      <c r="W52">
        <v>0.93252431981709916</v>
      </c>
      <c r="X52">
        <v>0.93252431981709916</v>
      </c>
      <c r="Y52">
        <v>0.93252431981709916</v>
      </c>
      <c r="Z52">
        <v>0.93252431981709916</v>
      </c>
      <c r="AA52">
        <v>0.93252431981709916</v>
      </c>
    </row>
    <row r="53" spans="1:27" x14ac:dyDescent="0.45">
      <c r="A53" t="s">
        <v>25</v>
      </c>
      <c r="B53" t="s">
        <v>424</v>
      </c>
      <c r="C53" t="str">
        <f t="shared" si="0"/>
        <v>GA|Winter</v>
      </c>
      <c r="D53">
        <v>0.90049046508113817</v>
      </c>
      <c r="E53">
        <v>0.90049046508113817</v>
      </c>
      <c r="F53">
        <v>0.90049046508113817</v>
      </c>
      <c r="G53">
        <v>0.90049046508113817</v>
      </c>
      <c r="H53">
        <v>0.90049046508113817</v>
      </c>
      <c r="I53">
        <v>0.90049046508113817</v>
      </c>
      <c r="J53">
        <v>0.90049046508113817</v>
      </c>
      <c r="K53">
        <v>0.89899518969491932</v>
      </c>
      <c r="L53">
        <v>0.90049046508113817</v>
      </c>
      <c r="M53">
        <v>0.90049046508113817</v>
      </c>
      <c r="N53">
        <v>0.90049046508113817</v>
      </c>
      <c r="O53">
        <v>0.90049046508113817</v>
      </c>
      <c r="P53">
        <v>0.90049046508113817</v>
      </c>
      <c r="Q53">
        <v>0.90049046508113817</v>
      </c>
      <c r="R53">
        <v>0.90049046508113817</v>
      </c>
      <c r="S53">
        <v>0.90049046508113817</v>
      </c>
      <c r="T53">
        <v>0.90049046508113817</v>
      </c>
      <c r="U53">
        <v>0.90049046508113817</v>
      </c>
      <c r="V53">
        <v>0.90049046508113817</v>
      </c>
      <c r="W53">
        <v>0.90049046508113817</v>
      </c>
      <c r="X53">
        <v>0.90049046508113817</v>
      </c>
      <c r="Y53">
        <v>0.90049046508113817</v>
      </c>
      <c r="Z53">
        <v>0.90049046508113817</v>
      </c>
      <c r="AA53">
        <v>0.90049046508113817</v>
      </c>
    </row>
    <row r="54" spans="1:27" x14ac:dyDescent="0.45">
      <c r="A54" t="s">
        <v>25</v>
      </c>
      <c r="B54" t="s">
        <v>425</v>
      </c>
      <c r="C54" t="str">
        <f t="shared" si="0"/>
        <v>GA|Spring</v>
      </c>
      <c r="D54">
        <v>0.90049046508113817</v>
      </c>
      <c r="E54">
        <v>0.90049046508113817</v>
      </c>
      <c r="F54">
        <v>0.90049046508113817</v>
      </c>
      <c r="G54">
        <v>0.90049046508113817</v>
      </c>
      <c r="H54">
        <v>0.90049046508113817</v>
      </c>
      <c r="I54">
        <v>0.90049046508113817</v>
      </c>
      <c r="J54">
        <v>0.8990181939316304</v>
      </c>
      <c r="K54">
        <v>0.8990181939316304</v>
      </c>
      <c r="L54">
        <v>0.90049046508113817</v>
      </c>
      <c r="M54">
        <v>0.90049046508113817</v>
      </c>
      <c r="N54">
        <v>0.90049046508113817</v>
      </c>
      <c r="O54">
        <v>0.90049046508113817</v>
      </c>
      <c r="P54">
        <v>0.90049046508113817</v>
      </c>
      <c r="Q54">
        <v>0.90049046508113817</v>
      </c>
      <c r="R54">
        <v>0.90049046508113817</v>
      </c>
      <c r="S54">
        <v>0.90049046508113817</v>
      </c>
      <c r="T54">
        <v>0.90049046508113817</v>
      </c>
      <c r="U54">
        <v>0.90049046508113817</v>
      </c>
      <c r="V54">
        <v>0.90049046508113817</v>
      </c>
      <c r="W54">
        <v>0.90049046508113817</v>
      </c>
      <c r="X54">
        <v>0.90049046508113817</v>
      </c>
      <c r="Y54">
        <v>0.90049046508113817</v>
      </c>
      <c r="Z54">
        <v>0.90049046508113817</v>
      </c>
      <c r="AA54">
        <v>0.90049046508113817</v>
      </c>
    </row>
    <row r="55" spans="1:27" x14ac:dyDescent="0.45">
      <c r="A55" t="s">
        <v>25</v>
      </c>
      <c r="B55" t="s">
        <v>426</v>
      </c>
      <c r="C55" t="str">
        <f t="shared" si="0"/>
        <v>GA|Summer</v>
      </c>
      <c r="D55">
        <v>0.90049046508113828</v>
      </c>
      <c r="E55">
        <v>0.90049046508113828</v>
      </c>
      <c r="F55">
        <v>0.90049046508113828</v>
      </c>
      <c r="G55">
        <v>0.90049046508113828</v>
      </c>
      <c r="H55">
        <v>0.90049046508113828</v>
      </c>
      <c r="I55">
        <v>0.90049046508113828</v>
      </c>
      <c r="J55">
        <v>0.89586075147401334</v>
      </c>
      <c r="K55">
        <v>0.89701293406737104</v>
      </c>
      <c r="L55">
        <v>0.90049046508113828</v>
      </c>
      <c r="M55">
        <v>0.90049046508113828</v>
      </c>
      <c r="N55">
        <v>0.90049046508113828</v>
      </c>
      <c r="O55">
        <v>0.90049046508113828</v>
      </c>
      <c r="P55">
        <v>0.90049046508113828</v>
      </c>
      <c r="Q55">
        <v>0.90049046508113828</v>
      </c>
      <c r="R55">
        <v>0.90049046508113828</v>
      </c>
      <c r="S55">
        <v>0.90049046508113828</v>
      </c>
      <c r="T55">
        <v>0.90049046508113828</v>
      </c>
      <c r="U55">
        <v>0.90049046508113828</v>
      </c>
      <c r="V55">
        <v>0.90049046508113828</v>
      </c>
      <c r="W55">
        <v>0.90049046508113828</v>
      </c>
      <c r="X55">
        <v>0.90049046508113828</v>
      </c>
      <c r="Y55">
        <v>0.90049046508113828</v>
      </c>
      <c r="Z55">
        <v>0.90049046508113828</v>
      </c>
      <c r="AA55">
        <v>0.90049046508113828</v>
      </c>
    </row>
    <row r="56" spans="1:27" x14ac:dyDescent="0.45">
      <c r="A56" t="s">
        <v>25</v>
      </c>
      <c r="B56" t="s">
        <v>427</v>
      </c>
      <c r="C56" t="str">
        <f t="shared" si="0"/>
        <v>GA|Fall</v>
      </c>
      <c r="D56">
        <v>0.89919725393630023</v>
      </c>
      <c r="E56">
        <v>0.90049046508113817</v>
      </c>
      <c r="F56">
        <v>0.90049046508113817</v>
      </c>
      <c r="G56">
        <v>0.90049046508113817</v>
      </c>
      <c r="H56">
        <v>0.90049046508113817</v>
      </c>
      <c r="I56">
        <v>0.90049046508113817</v>
      </c>
      <c r="J56">
        <v>0.8979040427914623</v>
      </c>
      <c r="K56">
        <v>0.89841143823736114</v>
      </c>
      <c r="L56">
        <v>0.90049046508113817</v>
      </c>
      <c r="M56">
        <v>0.90049046508113817</v>
      </c>
      <c r="N56">
        <v>0.90049046508113817</v>
      </c>
      <c r="O56">
        <v>0.90049046508113817</v>
      </c>
      <c r="P56">
        <v>0.90049046508113817</v>
      </c>
      <c r="Q56">
        <v>0.90049046508113817</v>
      </c>
      <c r="R56">
        <v>0.90049046508113817</v>
      </c>
      <c r="S56">
        <v>0.90049046508113817</v>
      </c>
      <c r="T56">
        <v>0.90049046508113817</v>
      </c>
      <c r="U56">
        <v>0.90049046508113817</v>
      </c>
      <c r="V56">
        <v>0.90049046508113817</v>
      </c>
      <c r="W56">
        <v>0.90049046508113817</v>
      </c>
      <c r="X56">
        <v>0.90049046508113817</v>
      </c>
      <c r="Y56">
        <v>0.90049046508113817</v>
      </c>
      <c r="Z56">
        <v>0.90049046508113817</v>
      </c>
      <c r="AA56">
        <v>0.90049046508113817</v>
      </c>
    </row>
    <row r="57" spans="1:27" x14ac:dyDescent="0.45">
      <c r="A57" t="s">
        <v>25</v>
      </c>
      <c r="B57" t="s">
        <v>428</v>
      </c>
      <c r="C57" t="str">
        <f t="shared" si="0"/>
        <v>GA|Summer Peak</v>
      </c>
      <c r="D57">
        <v>0.90049046508113817</v>
      </c>
      <c r="E57">
        <v>0.90049046508113817</v>
      </c>
      <c r="F57">
        <v>0.90049046508113817</v>
      </c>
      <c r="G57">
        <v>0.90049046508113817</v>
      </c>
      <c r="H57">
        <v>0.90049046508113817</v>
      </c>
      <c r="I57">
        <v>0.90049046508113817</v>
      </c>
      <c r="J57">
        <v>0.90049046508113817</v>
      </c>
      <c r="K57">
        <v>0.90049046508113817</v>
      </c>
      <c r="L57">
        <v>0.90049046508113817</v>
      </c>
      <c r="M57">
        <v>0.90049046508113817</v>
      </c>
      <c r="N57">
        <v>0.90049046508113817</v>
      </c>
      <c r="O57">
        <v>0.90049046508113817</v>
      </c>
      <c r="P57">
        <v>0.90049046508113817</v>
      </c>
      <c r="Q57">
        <v>0.90049046508113817</v>
      </c>
      <c r="R57">
        <v>0.90049046508113817</v>
      </c>
      <c r="S57">
        <v>0.90049046508113817</v>
      </c>
      <c r="T57">
        <v>0.90049046508113817</v>
      </c>
      <c r="U57">
        <v>0.90049046508113817</v>
      </c>
      <c r="V57">
        <v>0.90049046508113817</v>
      </c>
      <c r="W57">
        <v>0.90049046508113817</v>
      </c>
      <c r="X57">
        <v>0.90049046508113817</v>
      </c>
      <c r="Y57">
        <v>0.90049046508113817</v>
      </c>
      <c r="Z57">
        <v>0.90049046508113817</v>
      </c>
      <c r="AA57">
        <v>0.90049046508113817</v>
      </c>
    </row>
    <row r="58" spans="1:27" x14ac:dyDescent="0.45">
      <c r="A58" t="s">
        <v>25</v>
      </c>
      <c r="B58" t="s">
        <v>429</v>
      </c>
      <c r="C58" t="str">
        <f t="shared" si="0"/>
        <v>GA|Winter Peak</v>
      </c>
      <c r="D58">
        <v>0.90049046508113817</v>
      </c>
      <c r="E58">
        <v>0.90049046508113817</v>
      </c>
      <c r="F58">
        <v>0.90049046508113817</v>
      </c>
      <c r="G58">
        <v>0.90049046508113817</v>
      </c>
      <c r="H58">
        <v>0.90049046508113817</v>
      </c>
      <c r="I58">
        <v>0.90049046508113817</v>
      </c>
      <c r="J58">
        <v>0.90049046508113817</v>
      </c>
      <c r="K58">
        <v>0.90049046508113817</v>
      </c>
      <c r="L58">
        <v>0.90049046508113817</v>
      </c>
      <c r="M58">
        <v>0.90049046508113817</v>
      </c>
      <c r="N58">
        <v>0.90049046508113817</v>
      </c>
      <c r="O58">
        <v>0.90049046508113817</v>
      </c>
      <c r="P58">
        <v>0.90049046508113817</v>
      </c>
      <c r="Q58">
        <v>0.90049046508113817</v>
      </c>
      <c r="R58">
        <v>0.90049046508113817</v>
      </c>
      <c r="S58">
        <v>0.90049046508113817</v>
      </c>
      <c r="T58">
        <v>0.90049046508113817</v>
      </c>
      <c r="U58">
        <v>0.90049046508113817</v>
      </c>
      <c r="V58">
        <v>0.90049046508113817</v>
      </c>
      <c r="W58">
        <v>0.90049046508113817</v>
      </c>
      <c r="X58">
        <v>0.90049046508113817</v>
      </c>
      <c r="Y58">
        <v>0.90049046508113817</v>
      </c>
      <c r="Z58">
        <v>0.90049046508113817</v>
      </c>
      <c r="AA58">
        <v>0.90049046508113817</v>
      </c>
    </row>
    <row r="59" spans="1:27" x14ac:dyDescent="0.45">
      <c r="A59" t="s">
        <v>28</v>
      </c>
      <c r="B59" t="s">
        <v>424</v>
      </c>
      <c r="C59" t="str">
        <f t="shared" si="0"/>
        <v>IA|Winter</v>
      </c>
      <c r="D59">
        <v>0.90900000000000003</v>
      </c>
      <c r="E59">
        <v>0.90900000000000003</v>
      </c>
      <c r="F59">
        <v>0.90900000000000003</v>
      </c>
      <c r="G59">
        <v>0.90900000000000003</v>
      </c>
      <c r="H59">
        <v>0.90900000000000003</v>
      </c>
      <c r="I59">
        <v>0.90900000000000003</v>
      </c>
      <c r="J59">
        <v>0.90900000000000003</v>
      </c>
      <c r="K59">
        <v>0.90900000000000003</v>
      </c>
      <c r="L59">
        <v>0.90900000000000003</v>
      </c>
      <c r="M59">
        <v>0.90900000000000003</v>
      </c>
      <c r="N59">
        <v>0.90900000000000003</v>
      </c>
      <c r="O59">
        <v>0.90900000000000003</v>
      </c>
      <c r="P59">
        <v>0.90900000000000003</v>
      </c>
      <c r="Q59">
        <v>0.90900000000000003</v>
      </c>
      <c r="R59">
        <v>0.90900000000000003</v>
      </c>
      <c r="S59">
        <v>0.90900000000000003</v>
      </c>
      <c r="T59">
        <v>0.90900000000000003</v>
      </c>
      <c r="U59">
        <v>0.90900000000000003</v>
      </c>
      <c r="V59">
        <v>0.90900000000000003</v>
      </c>
      <c r="W59">
        <v>0.90900000000000003</v>
      </c>
      <c r="X59">
        <v>0.90900000000000003</v>
      </c>
      <c r="Y59">
        <v>0.90900000000000003</v>
      </c>
      <c r="Z59">
        <v>0.90900000000000003</v>
      </c>
      <c r="AA59">
        <v>0.90900000000000003</v>
      </c>
    </row>
    <row r="60" spans="1:27" x14ac:dyDescent="0.45">
      <c r="A60" t="s">
        <v>28</v>
      </c>
      <c r="B60" t="s">
        <v>425</v>
      </c>
      <c r="C60" t="str">
        <f t="shared" si="0"/>
        <v>IA|Spring</v>
      </c>
      <c r="D60">
        <v>0.90900000000000003</v>
      </c>
      <c r="E60">
        <v>0.90900000000000003</v>
      </c>
      <c r="F60">
        <v>0.90900000000000003</v>
      </c>
      <c r="G60">
        <v>0.90900000000000003</v>
      </c>
      <c r="H60">
        <v>0.90900000000000003</v>
      </c>
      <c r="I60">
        <v>0.90900000000000003</v>
      </c>
      <c r="J60">
        <v>0.90900000000000003</v>
      </c>
      <c r="K60">
        <v>0.90900000000000003</v>
      </c>
      <c r="L60">
        <v>0.90900000000000003</v>
      </c>
      <c r="M60">
        <v>0.90900000000000003</v>
      </c>
      <c r="N60">
        <v>0.90900000000000003</v>
      </c>
      <c r="O60">
        <v>0.90900000000000003</v>
      </c>
      <c r="P60">
        <v>0.90900000000000003</v>
      </c>
      <c r="Q60">
        <v>0.90900000000000003</v>
      </c>
      <c r="R60">
        <v>0.90900000000000003</v>
      </c>
      <c r="S60">
        <v>0.90900000000000003</v>
      </c>
      <c r="T60">
        <v>0.90900000000000003</v>
      </c>
      <c r="U60">
        <v>0.90900000000000003</v>
      </c>
      <c r="V60">
        <v>0.90900000000000003</v>
      </c>
      <c r="W60">
        <v>0.90900000000000003</v>
      </c>
      <c r="X60">
        <v>0.90900000000000003</v>
      </c>
      <c r="Y60">
        <v>0.90900000000000003</v>
      </c>
      <c r="Z60">
        <v>0.90900000000000003</v>
      </c>
      <c r="AA60">
        <v>0.90900000000000003</v>
      </c>
    </row>
    <row r="61" spans="1:27" x14ac:dyDescent="0.45">
      <c r="A61" t="s">
        <v>28</v>
      </c>
      <c r="B61" t="s">
        <v>426</v>
      </c>
      <c r="C61" t="str">
        <f t="shared" si="0"/>
        <v>IA|Summer</v>
      </c>
      <c r="D61">
        <v>0.90900000000000003</v>
      </c>
      <c r="E61">
        <v>0.90900000000000003</v>
      </c>
      <c r="F61">
        <v>0.90900000000000003</v>
      </c>
      <c r="G61">
        <v>0.90900000000000003</v>
      </c>
      <c r="H61">
        <v>0.90900000000000003</v>
      </c>
      <c r="I61">
        <v>0.90900000000000003</v>
      </c>
      <c r="J61">
        <v>0.90900000000000003</v>
      </c>
      <c r="K61">
        <v>0.90900000000000003</v>
      </c>
      <c r="L61">
        <v>0.90900000000000003</v>
      </c>
      <c r="M61">
        <v>0.90900000000000003</v>
      </c>
      <c r="N61">
        <v>0.90900000000000003</v>
      </c>
      <c r="O61">
        <v>0.90900000000000003</v>
      </c>
      <c r="P61">
        <v>0.90900000000000003</v>
      </c>
      <c r="Q61">
        <v>0.90900000000000003</v>
      </c>
      <c r="R61">
        <v>0.90900000000000003</v>
      </c>
      <c r="S61">
        <v>0.90900000000000003</v>
      </c>
      <c r="T61">
        <v>0.90900000000000003</v>
      </c>
      <c r="U61">
        <v>0.90900000000000003</v>
      </c>
      <c r="V61">
        <v>0.90900000000000003</v>
      </c>
      <c r="W61">
        <v>0.90900000000000003</v>
      </c>
      <c r="X61">
        <v>0.90900000000000003</v>
      </c>
      <c r="Y61">
        <v>0.90900000000000003</v>
      </c>
      <c r="Z61">
        <v>0.90900000000000003</v>
      </c>
      <c r="AA61">
        <v>0.90900000000000003</v>
      </c>
    </row>
    <row r="62" spans="1:27" x14ac:dyDescent="0.45">
      <c r="A62" t="s">
        <v>28</v>
      </c>
      <c r="B62" t="s">
        <v>427</v>
      </c>
      <c r="C62" t="str">
        <f t="shared" si="0"/>
        <v>IA|Fall</v>
      </c>
      <c r="D62">
        <v>0.90900000000000003</v>
      </c>
      <c r="E62">
        <v>0.90900000000000003</v>
      </c>
      <c r="F62">
        <v>0.90900000000000003</v>
      </c>
      <c r="G62">
        <v>0.90900000000000003</v>
      </c>
      <c r="H62">
        <v>0.90900000000000003</v>
      </c>
      <c r="I62">
        <v>0.90900000000000003</v>
      </c>
      <c r="J62">
        <v>0.90900000000000003</v>
      </c>
      <c r="K62">
        <v>0.90900000000000003</v>
      </c>
      <c r="L62">
        <v>0.90900000000000003</v>
      </c>
      <c r="M62">
        <v>0.90900000000000003</v>
      </c>
      <c r="N62">
        <v>0.90900000000000003</v>
      </c>
      <c r="O62">
        <v>0.90900000000000003</v>
      </c>
      <c r="P62">
        <v>0.90900000000000003</v>
      </c>
      <c r="Q62">
        <v>0.90900000000000003</v>
      </c>
      <c r="R62">
        <v>0.90900000000000003</v>
      </c>
      <c r="S62">
        <v>0.90900000000000003</v>
      </c>
      <c r="T62">
        <v>0.90900000000000003</v>
      </c>
      <c r="U62">
        <v>0.90900000000000003</v>
      </c>
      <c r="V62">
        <v>0.90900000000000003</v>
      </c>
      <c r="W62">
        <v>0.90900000000000003</v>
      </c>
      <c r="X62">
        <v>0.90900000000000003</v>
      </c>
      <c r="Y62">
        <v>0.90900000000000003</v>
      </c>
      <c r="Z62">
        <v>0.90900000000000003</v>
      </c>
      <c r="AA62">
        <v>0.90900000000000003</v>
      </c>
    </row>
    <row r="63" spans="1:27" x14ac:dyDescent="0.45">
      <c r="A63" t="s">
        <v>28</v>
      </c>
      <c r="B63" t="s">
        <v>428</v>
      </c>
      <c r="C63" t="str">
        <f t="shared" si="0"/>
        <v>IA|Summer Peak</v>
      </c>
      <c r="D63">
        <v>0.90900000000000003</v>
      </c>
      <c r="E63">
        <v>0.90900000000000003</v>
      </c>
      <c r="F63">
        <v>0.90900000000000003</v>
      </c>
      <c r="G63">
        <v>0.90900000000000003</v>
      </c>
      <c r="H63">
        <v>0.90900000000000003</v>
      </c>
      <c r="I63">
        <v>0.90900000000000003</v>
      </c>
      <c r="J63">
        <v>0.90900000000000003</v>
      </c>
      <c r="K63">
        <v>0.90900000000000003</v>
      </c>
      <c r="L63">
        <v>0.90900000000000003</v>
      </c>
      <c r="M63">
        <v>0.90900000000000003</v>
      </c>
      <c r="N63">
        <v>0.90900000000000003</v>
      </c>
      <c r="O63">
        <v>0.90900000000000003</v>
      </c>
      <c r="P63">
        <v>0.90900000000000003</v>
      </c>
      <c r="Q63">
        <v>0.90900000000000003</v>
      </c>
      <c r="R63">
        <v>0.90900000000000003</v>
      </c>
      <c r="S63">
        <v>0.90900000000000003</v>
      </c>
      <c r="T63">
        <v>0.90900000000000003</v>
      </c>
      <c r="U63">
        <v>0.90900000000000003</v>
      </c>
      <c r="V63">
        <v>0.90900000000000003</v>
      </c>
      <c r="W63">
        <v>0.90900000000000003</v>
      </c>
      <c r="X63">
        <v>0.90900000000000003</v>
      </c>
      <c r="Y63">
        <v>0.90900000000000003</v>
      </c>
      <c r="Z63">
        <v>0.90900000000000003</v>
      </c>
      <c r="AA63">
        <v>0.90900000000000003</v>
      </c>
    </row>
    <row r="64" spans="1:27" x14ac:dyDescent="0.45">
      <c r="A64" t="s">
        <v>28</v>
      </c>
      <c r="B64" t="s">
        <v>429</v>
      </c>
      <c r="C64" t="str">
        <f t="shared" si="0"/>
        <v>IA|Winter Peak</v>
      </c>
      <c r="D64">
        <v>0.90900000000000003</v>
      </c>
      <c r="E64">
        <v>0.90900000000000003</v>
      </c>
      <c r="F64">
        <v>0.90900000000000003</v>
      </c>
      <c r="G64">
        <v>0.90900000000000003</v>
      </c>
      <c r="H64">
        <v>0.90900000000000003</v>
      </c>
      <c r="I64">
        <v>0.90900000000000003</v>
      </c>
      <c r="J64">
        <v>0.90900000000000003</v>
      </c>
      <c r="K64">
        <v>0.90900000000000003</v>
      </c>
      <c r="L64">
        <v>0.90900000000000003</v>
      </c>
      <c r="M64">
        <v>0.90900000000000003</v>
      </c>
      <c r="N64">
        <v>0.90900000000000003</v>
      </c>
      <c r="O64">
        <v>0.90900000000000003</v>
      </c>
      <c r="P64">
        <v>0.90900000000000003</v>
      </c>
      <c r="Q64">
        <v>0.90900000000000003</v>
      </c>
      <c r="R64">
        <v>0.90900000000000003</v>
      </c>
      <c r="S64">
        <v>0.90900000000000003</v>
      </c>
      <c r="T64">
        <v>0.90900000000000003</v>
      </c>
      <c r="U64">
        <v>0.90900000000000003</v>
      </c>
      <c r="V64">
        <v>0.90900000000000003</v>
      </c>
      <c r="W64">
        <v>0.90900000000000003</v>
      </c>
      <c r="X64">
        <v>0.90900000000000003</v>
      </c>
      <c r="Y64">
        <v>0.90900000000000003</v>
      </c>
      <c r="Z64">
        <v>0.90900000000000003</v>
      </c>
      <c r="AA64">
        <v>0.90900000000000003</v>
      </c>
    </row>
    <row r="65" spans="1:27" x14ac:dyDescent="0.45">
      <c r="A65" t="s">
        <v>31</v>
      </c>
      <c r="B65" t="s">
        <v>424</v>
      </c>
      <c r="C65" t="str">
        <f t="shared" si="0"/>
        <v>ID|Winter</v>
      </c>
      <c r="D65">
        <v>0.90899999999999992</v>
      </c>
      <c r="E65">
        <v>0.90899999999999992</v>
      </c>
      <c r="F65">
        <v>0.90899999999999992</v>
      </c>
      <c r="G65">
        <v>0.90899999999999992</v>
      </c>
      <c r="H65">
        <v>0.90899999999999992</v>
      </c>
      <c r="I65">
        <v>0.90899999999999992</v>
      </c>
      <c r="J65">
        <v>0.90899999999999992</v>
      </c>
      <c r="K65">
        <v>0.90899999999999992</v>
      </c>
      <c r="L65">
        <v>0.90899999999999992</v>
      </c>
      <c r="M65">
        <v>0.90899999999999992</v>
      </c>
      <c r="N65">
        <v>0.90899999999999992</v>
      </c>
      <c r="O65">
        <v>0.90899999999999992</v>
      </c>
      <c r="P65">
        <v>0.90899999999999992</v>
      </c>
      <c r="Q65">
        <v>0.90899999999999992</v>
      </c>
      <c r="R65">
        <v>0.90899999999999992</v>
      </c>
      <c r="S65">
        <v>0.90899999999999992</v>
      </c>
      <c r="T65">
        <v>0.90899999999999992</v>
      </c>
      <c r="U65">
        <v>0.90899999999999992</v>
      </c>
      <c r="V65">
        <v>0.90899999999999992</v>
      </c>
      <c r="W65">
        <v>0.90899999999999992</v>
      </c>
      <c r="X65">
        <v>0.90899999999999992</v>
      </c>
      <c r="Y65">
        <v>0.90899999999999992</v>
      </c>
      <c r="Z65">
        <v>0.90899999999999992</v>
      </c>
      <c r="AA65">
        <v>0.90899999999999992</v>
      </c>
    </row>
    <row r="66" spans="1:27" x14ac:dyDescent="0.45">
      <c r="A66" t="s">
        <v>31</v>
      </c>
      <c r="B66" t="s">
        <v>425</v>
      </c>
      <c r="C66" t="str">
        <f t="shared" si="0"/>
        <v>ID|Spring</v>
      </c>
      <c r="D66">
        <v>0.90899999999999992</v>
      </c>
      <c r="E66">
        <v>0.90899999999999992</v>
      </c>
      <c r="F66">
        <v>0.90899999999999992</v>
      </c>
      <c r="G66">
        <v>0.90899999999999992</v>
      </c>
      <c r="H66">
        <v>0.90899999999999992</v>
      </c>
      <c r="I66">
        <v>0.90899999999999992</v>
      </c>
      <c r="J66">
        <v>0.90899999999999992</v>
      </c>
      <c r="K66">
        <v>0.90899999999999992</v>
      </c>
      <c r="L66">
        <v>0.90899999999999992</v>
      </c>
      <c r="M66">
        <v>0.90899999999999992</v>
      </c>
      <c r="N66">
        <v>0.90899999999999992</v>
      </c>
      <c r="O66">
        <v>0.90899999999999992</v>
      </c>
      <c r="P66">
        <v>0.90899999999999992</v>
      </c>
      <c r="Q66">
        <v>0.90899999999999992</v>
      </c>
      <c r="R66">
        <v>0.90899999999999992</v>
      </c>
      <c r="S66">
        <v>0.90899999999999992</v>
      </c>
      <c r="T66">
        <v>0.90899999999999992</v>
      </c>
      <c r="U66">
        <v>0.90899999999999992</v>
      </c>
      <c r="V66">
        <v>0.90899999999999992</v>
      </c>
      <c r="W66">
        <v>0.90899999999999992</v>
      </c>
      <c r="X66">
        <v>0.90899999999999992</v>
      </c>
      <c r="Y66">
        <v>0.90899999999999992</v>
      </c>
      <c r="Z66">
        <v>0.90899999999999992</v>
      </c>
      <c r="AA66">
        <v>0.90899999999999992</v>
      </c>
    </row>
    <row r="67" spans="1:27" x14ac:dyDescent="0.45">
      <c r="A67" t="s">
        <v>31</v>
      </c>
      <c r="B67" t="s">
        <v>426</v>
      </c>
      <c r="C67" t="str">
        <f t="shared" si="0"/>
        <v>ID|Summer</v>
      </c>
      <c r="D67">
        <v>0.90899999999999992</v>
      </c>
      <c r="E67">
        <v>0.90899999999999992</v>
      </c>
      <c r="F67">
        <v>0.90899999999999992</v>
      </c>
      <c r="G67">
        <v>0.90899999999999992</v>
      </c>
      <c r="H67">
        <v>0.90899999999999992</v>
      </c>
      <c r="I67">
        <v>0.90899999999999992</v>
      </c>
      <c r="J67">
        <v>0.90899999999999992</v>
      </c>
      <c r="K67">
        <v>0.90899999999999992</v>
      </c>
      <c r="L67">
        <v>0.90899999999999992</v>
      </c>
      <c r="M67">
        <v>0.90899999999999992</v>
      </c>
      <c r="N67">
        <v>0.90899999999999992</v>
      </c>
      <c r="O67">
        <v>0.90899999999999992</v>
      </c>
      <c r="P67">
        <v>0.90899999999999992</v>
      </c>
      <c r="Q67">
        <v>0.90899999999999992</v>
      </c>
      <c r="R67">
        <v>0.90899999999999992</v>
      </c>
      <c r="S67">
        <v>0.90899999999999992</v>
      </c>
      <c r="T67">
        <v>0.90899999999999992</v>
      </c>
      <c r="U67">
        <v>0.90899999999999992</v>
      </c>
      <c r="V67">
        <v>0.90899999999999992</v>
      </c>
      <c r="W67">
        <v>0.90899999999999992</v>
      </c>
      <c r="X67">
        <v>0.90899999999999992</v>
      </c>
      <c r="Y67">
        <v>0.90899999999999992</v>
      </c>
      <c r="Z67">
        <v>0.90899999999999992</v>
      </c>
      <c r="AA67">
        <v>0.90899999999999992</v>
      </c>
    </row>
    <row r="68" spans="1:27" x14ac:dyDescent="0.45">
      <c r="A68" t="s">
        <v>31</v>
      </c>
      <c r="B68" t="s">
        <v>427</v>
      </c>
      <c r="C68" t="str">
        <f t="shared" si="0"/>
        <v>ID|Fall</v>
      </c>
      <c r="D68">
        <v>0.90899999999999992</v>
      </c>
      <c r="E68">
        <v>0.90899999999999992</v>
      </c>
      <c r="F68">
        <v>0.90899999999999992</v>
      </c>
      <c r="G68">
        <v>0.90899999999999992</v>
      </c>
      <c r="H68">
        <v>0.90899999999999992</v>
      </c>
      <c r="I68">
        <v>0.90899999999999992</v>
      </c>
      <c r="J68">
        <v>0.90899999999999992</v>
      </c>
      <c r="K68">
        <v>0.90899999999999992</v>
      </c>
      <c r="L68">
        <v>0.90899999999999992</v>
      </c>
      <c r="M68">
        <v>0.90899999999999992</v>
      </c>
      <c r="N68">
        <v>0.90899999999999992</v>
      </c>
      <c r="O68">
        <v>0.90899999999999992</v>
      </c>
      <c r="P68">
        <v>0.90899999999999992</v>
      </c>
      <c r="Q68">
        <v>0.90899999999999992</v>
      </c>
      <c r="R68">
        <v>0.90899999999999992</v>
      </c>
      <c r="S68">
        <v>0.90899999999999992</v>
      </c>
      <c r="T68">
        <v>0.90899999999999992</v>
      </c>
      <c r="U68">
        <v>0.90899999999999992</v>
      </c>
      <c r="V68">
        <v>0.90899999999999992</v>
      </c>
      <c r="W68">
        <v>0.90899999999999992</v>
      </c>
      <c r="X68">
        <v>0.90899999999999992</v>
      </c>
      <c r="Y68">
        <v>0.90899999999999992</v>
      </c>
      <c r="Z68">
        <v>0.90899999999999992</v>
      </c>
      <c r="AA68">
        <v>0.90899999999999992</v>
      </c>
    </row>
    <row r="69" spans="1:27" x14ac:dyDescent="0.45">
      <c r="A69" t="s">
        <v>31</v>
      </c>
      <c r="B69" t="s">
        <v>428</v>
      </c>
      <c r="C69" t="str">
        <f t="shared" ref="C69:C132" si="1">A69&amp;"|"&amp;B69</f>
        <v>ID|Summer Peak</v>
      </c>
      <c r="D69">
        <v>0.90899999999999992</v>
      </c>
      <c r="E69">
        <v>0.90899999999999992</v>
      </c>
      <c r="F69">
        <v>0.90899999999999992</v>
      </c>
      <c r="G69">
        <v>0.90899999999999992</v>
      </c>
      <c r="H69">
        <v>0.90899999999999992</v>
      </c>
      <c r="I69">
        <v>0.90899999999999992</v>
      </c>
      <c r="J69">
        <v>0.90899999999999992</v>
      </c>
      <c r="K69">
        <v>0.90899999999999992</v>
      </c>
      <c r="L69">
        <v>0.90899999999999992</v>
      </c>
      <c r="M69">
        <v>0.90899999999999992</v>
      </c>
      <c r="N69">
        <v>0.90899999999999992</v>
      </c>
      <c r="O69">
        <v>0.90899999999999992</v>
      </c>
      <c r="P69">
        <v>0.90899999999999992</v>
      </c>
      <c r="Q69">
        <v>0.90899999999999992</v>
      </c>
      <c r="R69">
        <v>0.90899999999999992</v>
      </c>
      <c r="S69">
        <v>0.90899999999999992</v>
      </c>
      <c r="T69">
        <v>0.90899999999999992</v>
      </c>
      <c r="U69">
        <v>0.90899999999999992</v>
      </c>
      <c r="V69">
        <v>0.90899999999999992</v>
      </c>
      <c r="W69">
        <v>0.90899999999999992</v>
      </c>
      <c r="X69">
        <v>0.90899999999999992</v>
      </c>
      <c r="Y69">
        <v>0.90899999999999992</v>
      </c>
      <c r="Z69">
        <v>0.90899999999999992</v>
      </c>
      <c r="AA69">
        <v>0.90899999999999992</v>
      </c>
    </row>
    <row r="70" spans="1:27" x14ac:dyDescent="0.45">
      <c r="A70" t="s">
        <v>31</v>
      </c>
      <c r="B70" t="s">
        <v>429</v>
      </c>
      <c r="C70" t="str">
        <f t="shared" si="1"/>
        <v>ID|Winter Peak</v>
      </c>
      <c r="D70">
        <v>0.90899999999999992</v>
      </c>
      <c r="E70">
        <v>0.90899999999999992</v>
      </c>
      <c r="F70">
        <v>0.90899999999999992</v>
      </c>
      <c r="G70">
        <v>0.90899999999999992</v>
      </c>
      <c r="H70">
        <v>0.90899999999999992</v>
      </c>
      <c r="I70">
        <v>0.90899999999999992</v>
      </c>
      <c r="J70">
        <v>0.90899999999999992</v>
      </c>
      <c r="K70">
        <v>0.90899999999999992</v>
      </c>
      <c r="L70">
        <v>0.90899999999999992</v>
      </c>
      <c r="M70">
        <v>0.90899999999999992</v>
      </c>
      <c r="N70">
        <v>0.90899999999999992</v>
      </c>
      <c r="O70">
        <v>0.90899999999999992</v>
      </c>
      <c r="P70">
        <v>0.90899999999999992</v>
      </c>
      <c r="Q70">
        <v>0.90899999999999992</v>
      </c>
      <c r="R70">
        <v>0.90899999999999992</v>
      </c>
      <c r="S70">
        <v>0.90899999999999992</v>
      </c>
      <c r="T70">
        <v>0.90899999999999992</v>
      </c>
      <c r="U70">
        <v>0.90899999999999992</v>
      </c>
      <c r="V70">
        <v>0.90899999999999992</v>
      </c>
      <c r="W70">
        <v>0.90899999999999992</v>
      </c>
      <c r="X70">
        <v>0.90899999999999992</v>
      </c>
      <c r="Y70">
        <v>0.90899999999999992</v>
      </c>
      <c r="Z70">
        <v>0.90899999999999992</v>
      </c>
      <c r="AA70">
        <v>0.90899999999999992</v>
      </c>
    </row>
    <row r="71" spans="1:27" x14ac:dyDescent="0.45">
      <c r="A71" t="s">
        <v>34</v>
      </c>
      <c r="B71" t="s">
        <v>424</v>
      </c>
      <c r="C71" t="str">
        <f t="shared" si="1"/>
        <v>IL|Winter</v>
      </c>
      <c r="D71">
        <v>0.96971615595074512</v>
      </c>
      <c r="E71">
        <v>0.96756811738130655</v>
      </c>
      <c r="F71">
        <v>0.96593576316157037</v>
      </c>
      <c r="G71">
        <v>0.96762862407291184</v>
      </c>
      <c r="H71">
        <v>0.96773116914047241</v>
      </c>
      <c r="I71">
        <v>0.96513489128566676</v>
      </c>
      <c r="J71">
        <v>0.96573771343407278</v>
      </c>
      <c r="K71">
        <v>0.96871233667247514</v>
      </c>
      <c r="L71">
        <v>0.96752383423770305</v>
      </c>
      <c r="M71">
        <v>0.96855387648349855</v>
      </c>
      <c r="N71">
        <v>0.96981308909918562</v>
      </c>
      <c r="O71">
        <v>0.96981308909918562</v>
      </c>
      <c r="P71">
        <v>0.96981308909918562</v>
      </c>
      <c r="Q71">
        <v>0.96934270824201696</v>
      </c>
      <c r="R71">
        <v>0.96916588177228313</v>
      </c>
      <c r="S71">
        <v>0.96981308909918562</v>
      </c>
      <c r="T71">
        <v>0.96981308909918562</v>
      </c>
      <c r="U71">
        <v>0.96981308909918562</v>
      </c>
      <c r="V71">
        <v>0.96981308909918562</v>
      </c>
      <c r="W71">
        <v>0.96981308909918562</v>
      </c>
      <c r="X71">
        <v>0.96981308909918562</v>
      </c>
      <c r="Y71">
        <v>0.96981308909918562</v>
      </c>
      <c r="Z71">
        <v>0.96981308909918562</v>
      </c>
      <c r="AA71">
        <v>0.96981308909918562</v>
      </c>
    </row>
    <row r="72" spans="1:27" x14ac:dyDescent="0.45">
      <c r="A72" t="s">
        <v>34</v>
      </c>
      <c r="B72" t="s">
        <v>425</v>
      </c>
      <c r="C72" t="str">
        <f t="shared" si="1"/>
        <v>IL|Spring</v>
      </c>
      <c r="D72">
        <v>0.96840864256753934</v>
      </c>
      <c r="E72">
        <v>0.96964943241886759</v>
      </c>
      <c r="F72">
        <v>0.96943125084255199</v>
      </c>
      <c r="G72">
        <v>0.96977389676792702</v>
      </c>
      <c r="H72">
        <v>0.96981308909918551</v>
      </c>
      <c r="I72">
        <v>0.96532605912403546</v>
      </c>
      <c r="J72">
        <v>0.96805148400067298</v>
      </c>
      <c r="K72">
        <v>0.96981308909918551</v>
      </c>
      <c r="L72">
        <v>0.96981308909918551</v>
      </c>
      <c r="M72">
        <v>0.96981308909918551</v>
      </c>
      <c r="N72">
        <v>0.96981308909918551</v>
      </c>
      <c r="O72">
        <v>0.96981308909918551</v>
      </c>
      <c r="P72">
        <v>0.96981308909918551</v>
      </c>
      <c r="Q72">
        <v>0.96981308909918551</v>
      </c>
      <c r="R72">
        <v>0.96981308909918551</v>
      </c>
      <c r="S72">
        <v>0.96981308909918551</v>
      </c>
      <c r="T72">
        <v>0.96981308909918551</v>
      </c>
      <c r="U72">
        <v>0.96981308909918551</v>
      </c>
      <c r="V72">
        <v>0.96981308909918551</v>
      </c>
      <c r="W72">
        <v>0.96981308909918551</v>
      </c>
      <c r="X72">
        <v>0.96981308909918551</v>
      </c>
      <c r="Y72">
        <v>0.96981308909918551</v>
      </c>
      <c r="Z72">
        <v>0.96981308909918551</v>
      </c>
      <c r="AA72">
        <v>0.96981308909918551</v>
      </c>
    </row>
    <row r="73" spans="1:27" x14ac:dyDescent="0.45">
      <c r="A73" t="s">
        <v>34</v>
      </c>
      <c r="B73" t="s">
        <v>426</v>
      </c>
      <c r="C73" t="str">
        <f t="shared" si="1"/>
        <v>IL|Summer</v>
      </c>
      <c r="D73">
        <v>0.96967942338923097</v>
      </c>
      <c r="E73">
        <v>0.96816101663635901</v>
      </c>
      <c r="F73">
        <v>0.96546244880122534</v>
      </c>
      <c r="G73">
        <v>0.96876200215668928</v>
      </c>
      <c r="H73">
        <v>0.96875307410354339</v>
      </c>
      <c r="I73">
        <v>0.96173141539158535</v>
      </c>
      <c r="J73">
        <v>0.96795720193740142</v>
      </c>
      <c r="K73">
        <v>0.96964409380749672</v>
      </c>
      <c r="L73">
        <v>0.96981308909918551</v>
      </c>
      <c r="M73">
        <v>0.96981308909918551</v>
      </c>
      <c r="N73">
        <v>0.96981308909918551</v>
      </c>
      <c r="O73">
        <v>0.96981308909918551</v>
      </c>
      <c r="P73">
        <v>0.96981308909918551</v>
      </c>
      <c r="Q73">
        <v>0.96981308909918551</v>
      </c>
      <c r="R73">
        <v>0.96981308909918551</v>
      </c>
      <c r="S73">
        <v>0.96981308909918551</v>
      </c>
      <c r="T73">
        <v>0.96981308909918551</v>
      </c>
      <c r="U73">
        <v>0.96981308909918551</v>
      </c>
      <c r="V73">
        <v>0.96981308909918551</v>
      </c>
      <c r="W73">
        <v>0.96981308909918551</v>
      </c>
      <c r="X73">
        <v>0.96981308909918551</v>
      </c>
      <c r="Y73">
        <v>0.96981308909918551</v>
      </c>
      <c r="Z73">
        <v>0.96981308909918551</v>
      </c>
      <c r="AA73">
        <v>0.96981308909918551</v>
      </c>
    </row>
    <row r="74" spans="1:27" x14ac:dyDescent="0.45">
      <c r="A74" t="s">
        <v>34</v>
      </c>
      <c r="B74" t="s">
        <v>427</v>
      </c>
      <c r="C74" t="str">
        <f t="shared" si="1"/>
        <v>IL|Fall</v>
      </c>
      <c r="D74">
        <v>0.96981308909918551</v>
      </c>
      <c r="E74">
        <v>0.96981308909918551</v>
      </c>
      <c r="F74">
        <v>0.96981308909918551</v>
      </c>
      <c r="G74">
        <v>0.96981308909918551</v>
      </c>
      <c r="H74">
        <v>0.96981308909918551</v>
      </c>
      <c r="I74">
        <v>0.96981308909918551</v>
      </c>
      <c r="J74">
        <v>0.96981308909918551</v>
      </c>
      <c r="K74">
        <v>0.96981308909918551</v>
      </c>
      <c r="L74">
        <v>0.96981308909918551</v>
      </c>
      <c r="M74">
        <v>0.96981308909918551</v>
      </c>
      <c r="N74">
        <v>0.96981308909918551</v>
      </c>
      <c r="O74">
        <v>0.96981308909918551</v>
      </c>
      <c r="P74">
        <v>0.96981308909918551</v>
      </c>
      <c r="Q74">
        <v>0.96981308909918551</v>
      </c>
      <c r="R74">
        <v>0.96981308909918551</v>
      </c>
      <c r="S74">
        <v>0.96981308909918551</v>
      </c>
      <c r="T74">
        <v>0.96981308909918551</v>
      </c>
      <c r="U74">
        <v>0.96981308909918551</v>
      </c>
      <c r="V74">
        <v>0.96981308909918551</v>
      </c>
      <c r="W74">
        <v>0.96981308909918551</v>
      </c>
      <c r="X74">
        <v>0.96981308909918551</v>
      </c>
      <c r="Y74">
        <v>0.96981308909918551</v>
      </c>
      <c r="Z74">
        <v>0.96981308909918551</v>
      </c>
      <c r="AA74">
        <v>0.96981308909918551</v>
      </c>
    </row>
    <row r="75" spans="1:27" x14ac:dyDescent="0.45">
      <c r="A75" t="s">
        <v>34</v>
      </c>
      <c r="B75" t="s">
        <v>428</v>
      </c>
      <c r="C75" t="str">
        <f t="shared" si="1"/>
        <v>IL|Summer Peak</v>
      </c>
      <c r="D75">
        <v>0.9698130890991854</v>
      </c>
      <c r="E75">
        <v>0.9698130890991854</v>
      </c>
      <c r="F75">
        <v>0.9698130890991854</v>
      </c>
      <c r="G75">
        <v>0.9698130890991854</v>
      </c>
      <c r="H75">
        <v>0.9698130890991854</v>
      </c>
      <c r="I75">
        <v>0.9698130890991854</v>
      </c>
      <c r="J75">
        <v>0.9698130890991854</v>
      </c>
      <c r="K75">
        <v>0.9698130890991854</v>
      </c>
      <c r="L75">
        <v>0.9698130890991854</v>
      </c>
      <c r="M75">
        <v>0.9698130890991854</v>
      </c>
      <c r="N75">
        <v>0.9698130890991854</v>
      </c>
      <c r="O75">
        <v>0.9698130890991854</v>
      </c>
      <c r="P75">
        <v>0.9698130890991854</v>
      </c>
      <c r="Q75">
        <v>0.9698130890991854</v>
      </c>
      <c r="R75">
        <v>0.9698130890991854</v>
      </c>
      <c r="S75">
        <v>0.9698130890991854</v>
      </c>
      <c r="T75">
        <v>0.9698130890991854</v>
      </c>
      <c r="U75">
        <v>0.9698130890991854</v>
      </c>
      <c r="V75">
        <v>0.9698130890991854</v>
      </c>
      <c r="W75">
        <v>0.9698130890991854</v>
      </c>
      <c r="X75">
        <v>0.9698130890991854</v>
      </c>
      <c r="Y75">
        <v>0.9698130890991854</v>
      </c>
      <c r="Z75">
        <v>0.9698130890991854</v>
      </c>
      <c r="AA75">
        <v>0.9698130890991854</v>
      </c>
    </row>
    <row r="76" spans="1:27" x14ac:dyDescent="0.45">
      <c r="A76" t="s">
        <v>34</v>
      </c>
      <c r="B76" t="s">
        <v>429</v>
      </c>
      <c r="C76" t="str">
        <f t="shared" si="1"/>
        <v>IL|Winter Peak</v>
      </c>
      <c r="D76">
        <v>0.9698130890991854</v>
      </c>
      <c r="E76">
        <v>0.9698130890991854</v>
      </c>
      <c r="F76">
        <v>0.9698130890991854</v>
      </c>
      <c r="G76">
        <v>0.9698130890991854</v>
      </c>
      <c r="H76">
        <v>0.9698130890991854</v>
      </c>
      <c r="I76">
        <v>0.9698130890991854</v>
      </c>
      <c r="J76">
        <v>0.9698130890991854</v>
      </c>
      <c r="K76">
        <v>0.9698130890991854</v>
      </c>
      <c r="L76">
        <v>0.9698130890991854</v>
      </c>
      <c r="M76">
        <v>0.9698130890991854</v>
      </c>
      <c r="N76">
        <v>0.9698130890991854</v>
      </c>
      <c r="O76">
        <v>0.9698130890991854</v>
      </c>
      <c r="P76">
        <v>0.9698130890991854</v>
      </c>
      <c r="Q76">
        <v>0.9698130890991854</v>
      </c>
      <c r="R76">
        <v>0.9698130890991854</v>
      </c>
      <c r="S76">
        <v>0.9698130890991854</v>
      </c>
      <c r="T76">
        <v>0.9698130890991854</v>
      </c>
      <c r="U76">
        <v>0.9698130890991854</v>
      </c>
      <c r="V76">
        <v>0.9698130890991854</v>
      </c>
      <c r="W76">
        <v>0.9698130890991854</v>
      </c>
      <c r="X76">
        <v>0.9698130890991854</v>
      </c>
      <c r="Y76">
        <v>0.9698130890991854</v>
      </c>
      <c r="Z76">
        <v>0.9698130890991854</v>
      </c>
      <c r="AA76">
        <v>0.9698130890991854</v>
      </c>
    </row>
    <row r="77" spans="1:27" x14ac:dyDescent="0.45">
      <c r="A77" t="s">
        <v>36</v>
      </c>
      <c r="B77" t="s">
        <v>424</v>
      </c>
      <c r="C77" t="str">
        <f t="shared" si="1"/>
        <v>IN|Winter</v>
      </c>
      <c r="D77">
        <v>0.90900000000000014</v>
      </c>
      <c r="E77">
        <v>0.90900000000000014</v>
      </c>
      <c r="F77">
        <v>0.90900000000000014</v>
      </c>
      <c r="G77">
        <v>0.90900000000000014</v>
      </c>
      <c r="H77">
        <v>0.90900000000000014</v>
      </c>
      <c r="I77">
        <v>0.90900000000000014</v>
      </c>
      <c r="J77">
        <v>0.90900000000000014</v>
      </c>
      <c r="K77">
        <v>0.90900000000000014</v>
      </c>
      <c r="L77">
        <v>0.90900000000000014</v>
      </c>
      <c r="M77">
        <v>0.90900000000000014</v>
      </c>
      <c r="N77">
        <v>0.90900000000000014</v>
      </c>
      <c r="O77">
        <v>0.90900000000000014</v>
      </c>
      <c r="P77">
        <v>0.90900000000000014</v>
      </c>
      <c r="Q77">
        <v>0.90900000000000014</v>
      </c>
      <c r="R77">
        <v>0.90900000000000014</v>
      </c>
      <c r="S77">
        <v>0.90900000000000014</v>
      </c>
      <c r="T77">
        <v>0.90900000000000014</v>
      </c>
      <c r="U77">
        <v>0.90900000000000014</v>
      </c>
      <c r="V77">
        <v>0.90900000000000014</v>
      </c>
      <c r="W77">
        <v>0.90900000000000014</v>
      </c>
      <c r="X77">
        <v>0.90900000000000014</v>
      </c>
      <c r="Y77">
        <v>0.90900000000000014</v>
      </c>
      <c r="Z77">
        <v>0.90900000000000014</v>
      </c>
      <c r="AA77">
        <v>0.90900000000000014</v>
      </c>
    </row>
    <row r="78" spans="1:27" x14ac:dyDescent="0.45">
      <c r="A78" t="s">
        <v>36</v>
      </c>
      <c r="B78" t="s">
        <v>425</v>
      </c>
      <c r="C78" t="str">
        <f t="shared" si="1"/>
        <v>IN|Spring</v>
      </c>
      <c r="D78">
        <v>0.90900000000000014</v>
      </c>
      <c r="E78">
        <v>0.90900000000000014</v>
      </c>
      <c r="F78">
        <v>0.90900000000000014</v>
      </c>
      <c r="G78">
        <v>0.90900000000000014</v>
      </c>
      <c r="H78">
        <v>0.90900000000000014</v>
      </c>
      <c r="I78">
        <v>0.90900000000000014</v>
      </c>
      <c r="J78">
        <v>0.90900000000000014</v>
      </c>
      <c r="K78">
        <v>0.90900000000000014</v>
      </c>
      <c r="L78">
        <v>0.90900000000000014</v>
      </c>
      <c r="M78">
        <v>0.90900000000000014</v>
      </c>
      <c r="N78">
        <v>0.90900000000000014</v>
      </c>
      <c r="O78">
        <v>0.90900000000000014</v>
      </c>
      <c r="P78">
        <v>0.90900000000000014</v>
      </c>
      <c r="Q78">
        <v>0.90900000000000014</v>
      </c>
      <c r="R78">
        <v>0.90900000000000014</v>
      </c>
      <c r="S78">
        <v>0.90900000000000014</v>
      </c>
      <c r="T78">
        <v>0.90900000000000014</v>
      </c>
      <c r="U78">
        <v>0.90900000000000014</v>
      </c>
      <c r="V78">
        <v>0.90900000000000014</v>
      </c>
      <c r="W78">
        <v>0.90900000000000014</v>
      </c>
      <c r="X78">
        <v>0.90900000000000014</v>
      </c>
      <c r="Y78">
        <v>0.90900000000000014</v>
      </c>
      <c r="Z78">
        <v>0.90900000000000014</v>
      </c>
      <c r="AA78">
        <v>0.90900000000000014</v>
      </c>
    </row>
    <row r="79" spans="1:27" x14ac:dyDescent="0.45">
      <c r="A79" t="s">
        <v>36</v>
      </c>
      <c r="B79" t="s">
        <v>426</v>
      </c>
      <c r="C79" t="str">
        <f t="shared" si="1"/>
        <v>IN|Summer</v>
      </c>
      <c r="D79">
        <v>0.90900000000000014</v>
      </c>
      <c r="E79">
        <v>0.90900000000000014</v>
      </c>
      <c r="F79">
        <v>0.90900000000000014</v>
      </c>
      <c r="G79">
        <v>0.90900000000000014</v>
      </c>
      <c r="H79">
        <v>0.90900000000000014</v>
      </c>
      <c r="I79">
        <v>0.90900000000000014</v>
      </c>
      <c r="J79">
        <v>0.90900000000000014</v>
      </c>
      <c r="K79">
        <v>0.90900000000000014</v>
      </c>
      <c r="L79">
        <v>0.90900000000000014</v>
      </c>
      <c r="M79">
        <v>0.90900000000000014</v>
      </c>
      <c r="N79">
        <v>0.90900000000000014</v>
      </c>
      <c r="O79">
        <v>0.90900000000000014</v>
      </c>
      <c r="P79">
        <v>0.90900000000000014</v>
      </c>
      <c r="Q79">
        <v>0.90900000000000014</v>
      </c>
      <c r="R79">
        <v>0.90900000000000014</v>
      </c>
      <c r="S79">
        <v>0.90900000000000014</v>
      </c>
      <c r="T79">
        <v>0.90900000000000014</v>
      </c>
      <c r="U79">
        <v>0.90900000000000014</v>
      </c>
      <c r="V79">
        <v>0.90900000000000014</v>
      </c>
      <c r="W79">
        <v>0.90900000000000014</v>
      </c>
      <c r="X79">
        <v>0.90900000000000014</v>
      </c>
      <c r="Y79">
        <v>0.90900000000000014</v>
      </c>
      <c r="Z79">
        <v>0.90900000000000014</v>
      </c>
      <c r="AA79">
        <v>0.90900000000000014</v>
      </c>
    </row>
    <row r="80" spans="1:27" x14ac:dyDescent="0.45">
      <c r="A80" t="s">
        <v>36</v>
      </c>
      <c r="B80" t="s">
        <v>427</v>
      </c>
      <c r="C80" t="str">
        <f t="shared" si="1"/>
        <v>IN|Fall</v>
      </c>
      <c r="D80">
        <v>0.90900000000000014</v>
      </c>
      <c r="E80">
        <v>0.90900000000000014</v>
      </c>
      <c r="F80">
        <v>0.90900000000000014</v>
      </c>
      <c r="G80">
        <v>0.90900000000000014</v>
      </c>
      <c r="H80">
        <v>0.90900000000000014</v>
      </c>
      <c r="I80">
        <v>0.90900000000000014</v>
      </c>
      <c r="J80">
        <v>0.90900000000000014</v>
      </c>
      <c r="K80">
        <v>0.90900000000000014</v>
      </c>
      <c r="L80">
        <v>0.90900000000000014</v>
      </c>
      <c r="M80">
        <v>0.90900000000000014</v>
      </c>
      <c r="N80">
        <v>0.90900000000000014</v>
      </c>
      <c r="O80">
        <v>0.90900000000000014</v>
      </c>
      <c r="P80">
        <v>0.90900000000000014</v>
      </c>
      <c r="Q80">
        <v>0.90900000000000014</v>
      </c>
      <c r="R80">
        <v>0.90900000000000014</v>
      </c>
      <c r="S80">
        <v>0.90900000000000014</v>
      </c>
      <c r="T80">
        <v>0.90900000000000014</v>
      </c>
      <c r="U80">
        <v>0.90900000000000014</v>
      </c>
      <c r="V80">
        <v>0.90900000000000014</v>
      </c>
      <c r="W80">
        <v>0.90900000000000014</v>
      </c>
      <c r="X80">
        <v>0.90900000000000014</v>
      </c>
      <c r="Y80">
        <v>0.90900000000000014</v>
      </c>
      <c r="Z80">
        <v>0.90900000000000014</v>
      </c>
      <c r="AA80">
        <v>0.90900000000000014</v>
      </c>
    </row>
    <row r="81" spans="1:27" x14ac:dyDescent="0.45">
      <c r="A81" t="s">
        <v>36</v>
      </c>
      <c r="B81" t="s">
        <v>428</v>
      </c>
      <c r="C81" t="str">
        <f t="shared" si="1"/>
        <v>IN|Summer Peak</v>
      </c>
      <c r="D81">
        <v>0.90900000000000014</v>
      </c>
      <c r="E81">
        <v>0.90900000000000014</v>
      </c>
      <c r="F81">
        <v>0.90900000000000014</v>
      </c>
      <c r="G81">
        <v>0.90900000000000014</v>
      </c>
      <c r="H81">
        <v>0.90900000000000014</v>
      </c>
      <c r="I81">
        <v>0.90900000000000014</v>
      </c>
      <c r="J81">
        <v>0.90900000000000014</v>
      </c>
      <c r="K81">
        <v>0.90900000000000014</v>
      </c>
      <c r="L81">
        <v>0.90900000000000014</v>
      </c>
      <c r="M81">
        <v>0.90900000000000014</v>
      </c>
      <c r="N81">
        <v>0.90900000000000014</v>
      </c>
      <c r="O81">
        <v>0.90900000000000014</v>
      </c>
      <c r="P81">
        <v>0.90900000000000014</v>
      </c>
      <c r="Q81">
        <v>0.90900000000000014</v>
      </c>
      <c r="R81">
        <v>0.90900000000000014</v>
      </c>
      <c r="S81">
        <v>0.90900000000000014</v>
      </c>
      <c r="T81">
        <v>0.90900000000000014</v>
      </c>
      <c r="U81">
        <v>0.90900000000000014</v>
      </c>
      <c r="V81">
        <v>0.90900000000000014</v>
      </c>
      <c r="W81">
        <v>0.90900000000000014</v>
      </c>
      <c r="X81">
        <v>0.90900000000000014</v>
      </c>
      <c r="Y81">
        <v>0.90900000000000014</v>
      </c>
      <c r="Z81">
        <v>0.90900000000000014</v>
      </c>
      <c r="AA81">
        <v>0.90900000000000014</v>
      </c>
    </row>
    <row r="82" spans="1:27" x14ac:dyDescent="0.45">
      <c r="A82" t="s">
        <v>36</v>
      </c>
      <c r="B82" t="s">
        <v>429</v>
      </c>
      <c r="C82" t="str">
        <f t="shared" si="1"/>
        <v>IN|Winter Peak</v>
      </c>
      <c r="D82">
        <v>0.90900000000000014</v>
      </c>
      <c r="E82">
        <v>0.90900000000000014</v>
      </c>
      <c r="F82">
        <v>0.90900000000000014</v>
      </c>
      <c r="G82">
        <v>0.90900000000000014</v>
      </c>
      <c r="H82">
        <v>0.90900000000000014</v>
      </c>
      <c r="I82">
        <v>0.90900000000000014</v>
      </c>
      <c r="J82">
        <v>0.90900000000000014</v>
      </c>
      <c r="K82">
        <v>0.90900000000000014</v>
      </c>
      <c r="L82">
        <v>0.90900000000000014</v>
      </c>
      <c r="M82">
        <v>0.90900000000000014</v>
      </c>
      <c r="N82">
        <v>0.90900000000000014</v>
      </c>
      <c r="O82">
        <v>0.90900000000000014</v>
      </c>
      <c r="P82">
        <v>0.90900000000000014</v>
      </c>
      <c r="Q82">
        <v>0.90900000000000014</v>
      </c>
      <c r="R82">
        <v>0.90900000000000014</v>
      </c>
      <c r="S82">
        <v>0.90900000000000014</v>
      </c>
      <c r="T82">
        <v>0.90900000000000014</v>
      </c>
      <c r="U82">
        <v>0.90900000000000014</v>
      </c>
      <c r="V82">
        <v>0.90900000000000014</v>
      </c>
      <c r="W82">
        <v>0.90900000000000014</v>
      </c>
      <c r="X82">
        <v>0.90900000000000014</v>
      </c>
      <c r="Y82">
        <v>0.90900000000000014</v>
      </c>
      <c r="Z82">
        <v>0.90900000000000014</v>
      </c>
      <c r="AA82">
        <v>0.90900000000000014</v>
      </c>
    </row>
    <row r="83" spans="1:27" x14ac:dyDescent="0.45">
      <c r="A83" t="s">
        <v>39</v>
      </c>
      <c r="B83" t="s">
        <v>424</v>
      </c>
      <c r="C83" t="str">
        <f t="shared" si="1"/>
        <v>KS|Winter</v>
      </c>
      <c r="D83">
        <v>0.76412016638493918</v>
      </c>
      <c r="E83">
        <v>0.74655651241916698</v>
      </c>
      <c r="F83">
        <v>0.7350504932574502</v>
      </c>
      <c r="G83">
        <v>0.73399859185079785</v>
      </c>
      <c r="H83">
        <v>0.72979970363916025</v>
      </c>
      <c r="I83">
        <v>0.75335803330085516</v>
      </c>
      <c r="J83">
        <v>0.78697625984053565</v>
      </c>
      <c r="K83">
        <v>0.80013083903367266</v>
      </c>
      <c r="L83">
        <v>0.79421462007250043</v>
      </c>
      <c r="M83">
        <v>0.79423980371575353</v>
      </c>
      <c r="N83">
        <v>0.81112059350869892</v>
      </c>
      <c r="O83">
        <v>0.79314915824255772</v>
      </c>
      <c r="P83">
        <v>0.79567139697453104</v>
      </c>
      <c r="Q83">
        <v>0.79111122034237658</v>
      </c>
      <c r="R83">
        <v>0.79956711286546667</v>
      </c>
      <c r="S83">
        <v>0.80964928758171451</v>
      </c>
      <c r="T83">
        <v>0.8363303890068049</v>
      </c>
      <c r="U83">
        <v>0.85782947153171996</v>
      </c>
      <c r="V83">
        <v>0.88088993993833253</v>
      </c>
      <c r="W83">
        <v>0.8768528082045135</v>
      </c>
      <c r="X83">
        <v>0.86163026445962421</v>
      </c>
      <c r="Y83">
        <v>0.82987659612234344</v>
      </c>
      <c r="Z83">
        <v>0.8119400305160912</v>
      </c>
      <c r="AA83">
        <v>0.78743925143572879</v>
      </c>
    </row>
    <row r="84" spans="1:27" x14ac:dyDescent="0.45">
      <c r="A84" t="s">
        <v>39</v>
      </c>
      <c r="B84" t="s">
        <v>425</v>
      </c>
      <c r="C84" t="str">
        <f t="shared" si="1"/>
        <v>KS|Spring</v>
      </c>
      <c r="D84">
        <v>0.81891467470100299</v>
      </c>
      <c r="E84">
        <v>0.81242812978577972</v>
      </c>
      <c r="F84">
        <v>0.80715015284824621</v>
      </c>
      <c r="G84">
        <v>0.81547828491269059</v>
      </c>
      <c r="H84">
        <v>0.83408178024479418</v>
      </c>
      <c r="I84">
        <v>0.8568163806642739</v>
      </c>
      <c r="J84">
        <v>0.89387208904316207</v>
      </c>
      <c r="K84">
        <v>0.9218990339915184</v>
      </c>
      <c r="L84">
        <v>0.9204343848269475</v>
      </c>
      <c r="M84">
        <v>0.94722656207222355</v>
      </c>
      <c r="N84">
        <v>0.95185884255174658</v>
      </c>
      <c r="O84">
        <v>0.95169572813238001</v>
      </c>
      <c r="P84">
        <v>0.9432391328982791</v>
      </c>
      <c r="Q84">
        <v>0.93742701962375252</v>
      </c>
      <c r="R84">
        <v>0.93742701962375252</v>
      </c>
      <c r="S84">
        <v>0.9402591254232201</v>
      </c>
      <c r="T84">
        <v>0.93773042934682316</v>
      </c>
      <c r="U84">
        <v>0.94592333702215525</v>
      </c>
      <c r="V84">
        <v>0.94592333702215525</v>
      </c>
      <c r="W84">
        <v>0.93171294403133254</v>
      </c>
      <c r="X84">
        <v>0.91656612214590805</v>
      </c>
      <c r="Y84">
        <v>0.89212853957604721</v>
      </c>
      <c r="Z84">
        <v>0.85593657698261305</v>
      </c>
      <c r="AA84">
        <v>0.82611537342122487</v>
      </c>
    </row>
    <row r="85" spans="1:27" x14ac:dyDescent="0.45">
      <c r="A85" t="s">
        <v>39</v>
      </c>
      <c r="B85" t="s">
        <v>426</v>
      </c>
      <c r="C85" t="str">
        <f t="shared" si="1"/>
        <v>KS|Summer</v>
      </c>
      <c r="D85">
        <v>0.89201150571077414</v>
      </c>
      <c r="E85">
        <v>0.89431246875055448</v>
      </c>
      <c r="F85">
        <v>0.89939779042670742</v>
      </c>
      <c r="G85">
        <v>0.90414151254793507</v>
      </c>
      <c r="H85">
        <v>0.90919057955434357</v>
      </c>
      <c r="I85">
        <v>0.91923392873288023</v>
      </c>
      <c r="J85">
        <v>0.93450439562923693</v>
      </c>
      <c r="K85">
        <v>0.94112288700591573</v>
      </c>
      <c r="L85">
        <v>0.94557415479120499</v>
      </c>
      <c r="M85">
        <v>0.94671738537714611</v>
      </c>
      <c r="N85">
        <v>0.94941714978411518</v>
      </c>
      <c r="O85">
        <v>0.95366700273749083</v>
      </c>
      <c r="P85">
        <v>0.95751644300502237</v>
      </c>
      <c r="Q85">
        <v>0.96021620741199132</v>
      </c>
      <c r="R85">
        <v>0.96021620741199132</v>
      </c>
      <c r="S85">
        <v>0.96021620741199132</v>
      </c>
      <c r="T85">
        <v>0.96021620741199132</v>
      </c>
      <c r="U85">
        <v>0.96188150524225247</v>
      </c>
      <c r="V85">
        <v>0.95980209851757714</v>
      </c>
      <c r="W85">
        <v>0.94531312116904487</v>
      </c>
      <c r="X85">
        <v>0.93619628021731061</v>
      </c>
      <c r="Y85">
        <v>0.9287334578652503</v>
      </c>
      <c r="Z85">
        <v>0.92473577628143044</v>
      </c>
      <c r="AA85">
        <v>0.90594618944188032</v>
      </c>
    </row>
    <row r="86" spans="1:27" x14ac:dyDescent="0.45">
      <c r="A86" t="s">
        <v>39</v>
      </c>
      <c r="B86" t="s">
        <v>427</v>
      </c>
      <c r="C86" t="str">
        <f t="shared" si="1"/>
        <v>KS|Fall</v>
      </c>
      <c r="D86">
        <v>0.95702056790986467</v>
      </c>
      <c r="E86">
        <v>0.95702056790986467</v>
      </c>
      <c r="F86">
        <v>0.95112516400076907</v>
      </c>
      <c r="G86">
        <v>0.95702056790986467</v>
      </c>
      <c r="H86">
        <v>0.95702056790986467</v>
      </c>
      <c r="I86">
        <v>0.96061305217795601</v>
      </c>
      <c r="J86">
        <v>0.96291597181896027</v>
      </c>
      <c r="K86">
        <v>0.96291597181896027</v>
      </c>
      <c r="L86">
        <v>0.96291597181896027</v>
      </c>
      <c r="M86">
        <v>0.96291597181896027</v>
      </c>
      <c r="N86">
        <v>0.96291597181896027</v>
      </c>
      <c r="O86">
        <v>0.96291597181896027</v>
      </c>
      <c r="P86">
        <v>0.96291597181896027</v>
      </c>
      <c r="Q86">
        <v>0.96291597181896027</v>
      </c>
      <c r="R86">
        <v>0.96291597181896027</v>
      </c>
      <c r="S86">
        <v>0.96291597181896027</v>
      </c>
      <c r="T86">
        <v>0.96291597181896027</v>
      </c>
      <c r="U86">
        <v>0.96291597181896027</v>
      </c>
      <c r="V86">
        <v>0.96291597181896027</v>
      </c>
      <c r="W86">
        <v>0.9627294863476491</v>
      </c>
      <c r="X86">
        <v>0.96291597181896027</v>
      </c>
      <c r="Y86">
        <v>0.96291597181896027</v>
      </c>
      <c r="Z86">
        <v>0.96291597181896027</v>
      </c>
      <c r="AA86">
        <v>0.96291597181896027</v>
      </c>
    </row>
    <row r="87" spans="1:27" x14ac:dyDescent="0.45">
      <c r="A87" t="s">
        <v>39</v>
      </c>
      <c r="B87" t="s">
        <v>428</v>
      </c>
      <c r="C87" t="str">
        <f t="shared" si="1"/>
        <v>KS|Summer Peak</v>
      </c>
      <c r="D87">
        <v>0.96291597181896038</v>
      </c>
      <c r="E87">
        <v>0.96291597181896038</v>
      </c>
      <c r="F87">
        <v>0.96291597181896038</v>
      </c>
      <c r="G87">
        <v>0.96291597181896038</v>
      </c>
      <c r="H87">
        <v>0.96291597181896038</v>
      </c>
      <c r="I87">
        <v>0.96291597181896038</v>
      </c>
      <c r="J87">
        <v>0.96291597181896038</v>
      </c>
      <c r="K87">
        <v>0.96291597181896038</v>
      </c>
      <c r="L87">
        <v>0.96291597181896038</v>
      </c>
      <c r="M87">
        <v>0.96291597181896038</v>
      </c>
      <c r="N87">
        <v>0.96291597181896038</v>
      </c>
      <c r="O87">
        <v>0.96291597181896038</v>
      </c>
      <c r="P87">
        <v>0.96291597181896038</v>
      </c>
      <c r="Q87">
        <v>0.96291597181896038</v>
      </c>
      <c r="R87">
        <v>0.96291597181896038</v>
      </c>
      <c r="S87">
        <v>0.96291597181896038</v>
      </c>
      <c r="T87">
        <v>0.96291597181896038</v>
      </c>
      <c r="U87">
        <v>0.96291597181896038</v>
      </c>
      <c r="V87">
        <v>0.96291597181896038</v>
      </c>
      <c r="W87">
        <v>0.96291597181896038</v>
      </c>
      <c r="X87">
        <v>0.96291597181896038</v>
      </c>
      <c r="Y87">
        <v>0.96291597181896038</v>
      </c>
      <c r="Z87">
        <v>0.96291597181896038</v>
      </c>
      <c r="AA87">
        <v>0.96291597181896038</v>
      </c>
    </row>
    <row r="88" spans="1:27" x14ac:dyDescent="0.45">
      <c r="A88" t="s">
        <v>39</v>
      </c>
      <c r="B88" t="s">
        <v>429</v>
      </c>
      <c r="C88" t="str">
        <f t="shared" si="1"/>
        <v>KS|Winter Peak</v>
      </c>
      <c r="D88">
        <v>0.88413193776104537</v>
      </c>
      <c r="E88">
        <v>0.88413193776104537</v>
      </c>
      <c r="F88">
        <v>0.89741542903013582</v>
      </c>
      <c r="G88">
        <v>0.91039328244701712</v>
      </c>
      <c r="H88">
        <v>0.93665462713298886</v>
      </c>
      <c r="I88">
        <v>0.96291597181896038</v>
      </c>
      <c r="J88">
        <v>0.96291597181896038</v>
      </c>
      <c r="K88">
        <v>0.96291597181896038</v>
      </c>
      <c r="L88">
        <v>0.96291597181896038</v>
      </c>
      <c r="M88">
        <v>0.96291597181896038</v>
      </c>
      <c r="N88">
        <v>0.96291597181896038</v>
      </c>
      <c r="O88">
        <v>0.96291597181896038</v>
      </c>
      <c r="P88">
        <v>0.96291597181896038</v>
      </c>
      <c r="Q88">
        <v>0.96291597181896038</v>
      </c>
      <c r="R88">
        <v>0.96291597181896038</v>
      </c>
      <c r="S88">
        <v>0.96291597181896038</v>
      </c>
      <c r="T88">
        <v>0.96291597181896038</v>
      </c>
      <c r="U88">
        <v>0.96291597181896038</v>
      </c>
      <c r="V88">
        <v>0.96291597181896038</v>
      </c>
      <c r="W88">
        <v>0.96291597181896038</v>
      </c>
      <c r="X88">
        <v>0.96291597181896038</v>
      </c>
      <c r="Y88">
        <v>0.96291597181896038</v>
      </c>
      <c r="Z88">
        <v>0.96291597181896038</v>
      </c>
      <c r="AA88">
        <v>0.96291597181896038</v>
      </c>
    </row>
    <row r="89" spans="1:27" x14ac:dyDescent="0.45">
      <c r="A89" t="s">
        <v>42</v>
      </c>
      <c r="B89" t="s">
        <v>424</v>
      </c>
      <c r="C89" t="str">
        <f t="shared" si="1"/>
        <v>KY|Winter</v>
      </c>
      <c r="D89">
        <v>0.90899999999999992</v>
      </c>
      <c r="E89">
        <v>0.90899999999999992</v>
      </c>
      <c r="F89">
        <v>0.90899999999999992</v>
      </c>
      <c r="G89">
        <v>0.90899999999999992</v>
      </c>
      <c r="H89">
        <v>0.90899999999999992</v>
      </c>
      <c r="I89">
        <v>0.90899999999999992</v>
      </c>
      <c r="J89">
        <v>0.90899999999999992</v>
      </c>
      <c r="K89">
        <v>0.90899999999999992</v>
      </c>
      <c r="L89">
        <v>0.90899999999999992</v>
      </c>
      <c r="M89">
        <v>0.90899999999999992</v>
      </c>
      <c r="N89">
        <v>0.90899999999999992</v>
      </c>
      <c r="O89">
        <v>0.90899999999999992</v>
      </c>
      <c r="P89">
        <v>0.90899999999999992</v>
      </c>
      <c r="Q89">
        <v>0.90899999999999992</v>
      </c>
      <c r="R89">
        <v>0.90899999999999992</v>
      </c>
      <c r="S89">
        <v>0.90899999999999992</v>
      </c>
      <c r="T89">
        <v>0.90899999999999992</v>
      </c>
      <c r="U89">
        <v>0.90899999999999992</v>
      </c>
      <c r="V89">
        <v>0.90899999999999992</v>
      </c>
      <c r="W89">
        <v>0.90899999999999992</v>
      </c>
      <c r="X89">
        <v>0.90899999999999992</v>
      </c>
      <c r="Y89">
        <v>0.90899999999999992</v>
      </c>
      <c r="Z89">
        <v>0.90899999999999992</v>
      </c>
      <c r="AA89">
        <v>0.90899999999999992</v>
      </c>
    </row>
    <row r="90" spans="1:27" x14ac:dyDescent="0.45">
      <c r="A90" t="s">
        <v>42</v>
      </c>
      <c r="B90" t="s">
        <v>425</v>
      </c>
      <c r="C90" t="str">
        <f t="shared" si="1"/>
        <v>KY|Spring</v>
      </c>
      <c r="D90">
        <v>0.90899999999999992</v>
      </c>
      <c r="E90">
        <v>0.90899999999999992</v>
      </c>
      <c r="F90">
        <v>0.90899999999999992</v>
      </c>
      <c r="G90">
        <v>0.90899999999999992</v>
      </c>
      <c r="H90">
        <v>0.90899999999999992</v>
      </c>
      <c r="I90">
        <v>0.90899999999999992</v>
      </c>
      <c r="J90">
        <v>0.90899999999999992</v>
      </c>
      <c r="K90">
        <v>0.90899999999999992</v>
      </c>
      <c r="L90">
        <v>0.90899999999999992</v>
      </c>
      <c r="M90">
        <v>0.90899999999999992</v>
      </c>
      <c r="N90">
        <v>0.90899999999999992</v>
      </c>
      <c r="O90">
        <v>0.90899999999999992</v>
      </c>
      <c r="P90">
        <v>0.90899999999999992</v>
      </c>
      <c r="Q90">
        <v>0.90899999999999992</v>
      </c>
      <c r="R90">
        <v>0.90899999999999992</v>
      </c>
      <c r="S90">
        <v>0.90899999999999992</v>
      </c>
      <c r="T90">
        <v>0.90899999999999992</v>
      </c>
      <c r="U90">
        <v>0.90899999999999992</v>
      </c>
      <c r="V90">
        <v>0.90899999999999992</v>
      </c>
      <c r="W90">
        <v>0.90899999999999992</v>
      </c>
      <c r="X90">
        <v>0.90899999999999992</v>
      </c>
      <c r="Y90">
        <v>0.90899999999999992</v>
      </c>
      <c r="Z90">
        <v>0.90899999999999992</v>
      </c>
      <c r="AA90">
        <v>0.90899999999999992</v>
      </c>
    </row>
    <row r="91" spans="1:27" x14ac:dyDescent="0.45">
      <c r="A91" t="s">
        <v>42</v>
      </c>
      <c r="B91" t="s">
        <v>426</v>
      </c>
      <c r="C91" t="str">
        <f t="shared" si="1"/>
        <v>KY|Summer</v>
      </c>
      <c r="D91">
        <v>0.90899999999999992</v>
      </c>
      <c r="E91">
        <v>0.90899999999999992</v>
      </c>
      <c r="F91">
        <v>0.90899999999999992</v>
      </c>
      <c r="G91">
        <v>0.90899999999999992</v>
      </c>
      <c r="H91">
        <v>0.90899999999999992</v>
      </c>
      <c r="I91">
        <v>0.90899999999999992</v>
      </c>
      <c r="J91">
        <v>0.90899999999999992</v>
      </c>
      <c r="K91">
        <v>0.90899999999999992</v>
      </c>
      <c r="L91">
        <v>0.90899999999999992</v>
      </c>
      <c r="M91">
        <v>0.90899999999999992</v>
      </c>
      <c r="N91">
        <v>0.90899999999999992</v>
      </c>
      <c r="O91">
        <v>0.90899999999999992</v>
      </c>
      <c r="P91">
        <v>0.90899999999999992</v>
      </c>
      <c r="Q91">
        <v>0.90899999999999992</v>
      </c>
      <c r="R91">
        <v>0.90899999999999992</v>
      </c>
      <c r="S91">
        <v>0.90899999999999992</v>
      </c>
      <c r="T91">
        <v>0.90899999999999992</v>
      </c>
      <c r="U91">
        <v>0.90899999999999992</v>
      </c>
      <c r="V91">
        <v>0.90899999999999992</v>
      </c>
      <c r="W91">
        <v>0.90899999999999992</v>
      </c>
      <c r="X91">
        <v>0.90899999999999992</v>
      </c>
      <c r="Y91">
        <v>0.90899999999999992</v>
      </c>
      <c r="Z91">
        <v>0.90899999999999992</v>
      </c>
      <c r="AA91">
        <v>0.90899999999999992</v>
      </c>
    </row>
    <row r="92" spans="1:27" x14ac:dyDescent="0.45">
      <c r="A92" t="s">
        <v>42</v>
      </c>
      <c r="B92" t="s">
        <v>427</v>
      </c>
      <c r="C92" t="str">
        <f t="shared" si="1"/>
        <v>KY|Fall</v>
      </c>
      <c r="D92">
        <v>0.90899999999999992</v>
      </c>
      <c r="E92">
        <v>0.90899999999999992</v>
      </c>
      <c r="F92">
        <v>0.90899999999999992</v>
      </c>
      <c r="G92">
        <v>0.90899999999999992</v>
      </c>
      <c r="H92">
        <v>0.90899999999999992</v>
      </c>
      <c r="I92">
        <v>0.90899999999999992</v>
      </c>
      <c r="J92">
        <v>0.90899999999999992</v>
      </c>
      <c r="K92">
        <v>0.90899999999999992</v>
      </c>
      <c r="L92">
        <v>0.90899999999999992</v>
      </c>
      <c r="M92">
        <v>0.90899999999999992</v>
      </c>
      <c r="N92">
        <v>0.90899999999999992</v>
      </c>
      <c r="O92">
        <v>0.90899999999999992</v>
      </c>
      <c r="P92">
        <v>0.90899999999999992</v>
      </c>
      <c r="Q92">
        <v>0.90899999999999992</v>
      </c>
      <c r="R92">
        <v>0.90899999999999992</v>
      </c>
      <c r="S92">
        <v>0.90899999999999992</v>
      </c>
      <c r="T92">
        <v>0.90899999999999992</v>
      </c>
      <c r="U92">
        <v>0.90899999999999992</v>
      </c>
      <c r="V92">
        <v>0.90899999999999992</v>
      </c>
      <c r="W92">
        <v>0.90899999999999992</v>
      </c>
      <c r="X92">
        <v>0.90899999999999992</v>
      </c>
      <c r="Y92">
        <v>0.90899999999999992</v>
      </c>
      <c r="Z92">
        <v>0.90899999999999992</v>
      </c>
      <c r="AA92">
        <v>0.90899999999999992</v>
      </c>
    </row>
    <row r="93" spans="1:27" x14ac:dyDescent="0.45">
      <c r="A93" t="s">
        <v>42</v>
      </c>
      <c r="B93" t="s">
        <v>428</v>
      </c>
      <c r="C93" t="str">
        <f t="shared" si="1"/>
        <v>KY|Summer Peak</v>
      </c>
      <c r="D93">
        <v>0.90899999999999992</v>
      </c>
      <c r="E93">
        <v>0.90899999999999992</v>
      </c>
      <c r="F93">
        <v>0.90899999999999992</v>
      </c>
      <c r="G93">
        <v>0.90899999999999992</v>
      </c>
      <c r="H93">
        <v>0.90899999999999992</v>
      </c>
      <c r="I93">
        <v>0.90899999999999992</v>
      </c>
      <c r="J93">
        <v>0.90899999999999992</v>
      </c>
      <c r="K93">
        <v>0.90899999999999992</v>
      </c>
      <c r="L93">
        <v>0.90899999999999992</v>
      </c>
      <c r="M93">
        <v>0.90899999999999992</v>
      </c>
      <c r="N93">
        <v>0.90899999999999992</v>
      </c>
      <c r="O93">
        <v>0.90899999999999992</v>
      </c>
      <c r="P93">
        <v>0.90899999999999992</v>
      </c>
      <c r="Q93">
        <v>0.90899999999999992</v>
      </c>
      <c r="R93">
        <v>0.90899999999999992</v>
      </c>
      <c r="S93">
        <v>0.90899999999999992</v>
      </c>
      <c r="T93">
        <v>0.90899999999999992</v>
      </c>
      <c r="U93">
        <v>0.90899999999999992</v>
      </c>
      <c r="V93">
        <v>0.90899999999999992</v>
      </c>
      <c r="W93">
        <v>0.90899999999999992</v>
      </c>
      <c r="X93">
        <v>0.90899999999999992</v>
      </c>
      <c r="Y93">
        <v>0.90899999999999992</v>
      </c>
      <c r="Z93">
        <v>0.90899999999999992</v>
      </c>
      <c r="AA93">
        <v>0.90899999999999992</v>
      </c>
    </row>
    <row r="94" spans="1:27" x14ac:dyDescent="0.45">
      <c r="A94" t="s">
        <v>42</v>
      </c>
      <c r="B94" t="s">
        <v>429</v>
      </c>
      <c r="C94" t="str">
        <f t="shared" si="1"/>
        <v>KY|Winter Peak</v>
      </c>
      <c r="D94">
        <v>0.90899999999999992</v>
      </c>
      <c r="E94">
        <v>0.90899999999999992</v>
      </c>
      <c r="F94">
        <v>0.90899999999999992</v>
      </c>
      <c r="G94">
        <v>0.90899999999999992</v>
      </c>
      <c r="H94">
        <v>0.90899999999999992</v>
      </c>
      <c r="I94">
        <v>0.90899999999999992</v>
      </c>
      <c r="J94">
        <v>0.90899999999999992</v>
      </c>
      <c r="K94">
        <v>0.90899999999999992</v>
      </c>
      <c r="L94">
        <v>0.90899999999999992</v>
      </c>
      <c r="M94">
        <v>0.90899999999999992</v>
      </c>
      <c r="N94">
        <v>0.90899999999999992</v>
      </c>
      <c r="O94">
        <v>0.90899999999999992</v>
      </c>
      <c r="P94">
        <v>0.90899999999999992</v>
      </c>
      <c r="Q94">
        <v>0.90899999999999992</v>
      </c>
      <c r="R94">
        <v>0.90899999999999992</v>
      </c>
      <c r="S94">
        <v>0.90899999999999992</v>
      </c>
      <c r="T94">
        <v>0.90899999999999992</v>
      </c>
      <c r="U94">
        <v>0.90899999999999992</v>
      </c>
      <c r="V94">
        <v>0.90899999999999992</v>
      </c>
      <c r="W94">
        <v>0.90899999999999992</v>
      </c>
      <c r="X94">
        <v>0.90899999999999992</v>
      </c>
      <c r="Y94">
        <v>0.90899999999999992</v>
      </c>
      <c r="Z94">
        <v>0.90899999999999992</v>
      </c>
      <c r="AA94">
        <v>0.90899999999999992</v>
      </c>
    </row>
    <row r="95" spans="1:27" x14ac:dyDescent="0.45">
      <c r="A95" t="s">
        <v>44</v>
      </c>
      <c r="B95" t="s">
        <v>424</v>
      </c>
      <c r="C95" t="str">
        <f t="shared" si="1"/>
        <v>LA|Winter</v>
      </c>
      <c r="D95">
        <v>0.83136505421516127</v>
      </c>
      <c r="E95">
        <v>0.83136505421516127</v>
      </c>
      <c r="F95">
        <v>0.83136505421516127</v>
      </c>
      <c r="G95">
        <v>0.83136505421516127</v>
      </c>
      <c r="H95">
        <v>0.83136505421516127</v>
      </c>
      <c r="I95">
        <v>0.83136505421516127</v>
      </c>
      <c r="J95">
        <v>0.83136505421516127</v>
      </c>
      <c r="K95">
        <v>0.83136505421516127</v>
      </c>
      <c r="L95">
        <v>0.83136505421516127</v>
      </c>
      <c r="M95">
        <v>0.83136505421516127</v>
      </c>
      <c r="N95">
        <v>0.83136505421516127</v>
      </c>
      <c r="O95">
        <v>0.83136505421516127</v>
      </c>
      <c r="P95">
        <v>0.83136505421516127</v>
      </c>
      <c r="Q95">
        <v>0.83136505421516127</v>
      </c>
      <c r="R95">
        <v>0.83136505421516127</v>
      </c>
      <c r="S95">
        <v>0.83136505421516127</v>
      </c>
      <c r="T95">
        <v>0.83136505421516127</v>
      </c>
      <c r="U95">
        <v>0.83136505421516127</v>
      </c>
      <c r="V95">
        <v>0.83136505421516127</v>
      </c>
      <c r="W95">
        <v>0.83136505421516127</v>
      </c>
      <c r="X95">
        <v>0.83136505421516127</v>
      </c>
      <c r="Y95">
        <v>0.83136505421516127</v>
      </c>
      <c r="Z95">
        <v>0.83136505421516127</v>
      </c>
      <c r="AA95">
        <v>0.83136505421516127</v>
      </c>
    </row>
    <row r="96" spans="1:27" x14ac:dyDescent="0.45">
      <c r="A96" t="s">
        <v>44</v>
      </c>
      <c r="B96" t="s">
        <v>425</v>
      </c>
      <c r="C96" t="str">
        <f t="shared" si="1"/>
        <v>LA|Spring</v>
      </c>
      <c r="D96">
        <v>0.83136505421516127</v>
      </c>
      <c r="E96">
        <v>0.83136505421516127</v>
      </c>
      <c r="F96">
        <v>0.83136505421516127</v>
      </c>
      <c r="G96">
        <v>0.83136505421516127</v>
      </c>
      <c r="H96">
        <v>0.83136505421516127</v>
      </c>
      <c r="I96">
        <v>0.83136505421516127</v>
      </c>
      <c r="J96">
        <v>0.83136505421516127</v>
      </c>
      <c r="K96">
        <v>0.83136505421516127</v>
      </c>
      <c r="L96">
        <v>0.83136505421516127</v>
      </c>
      <c r="M96">
        <v>0.83136505421516127</v>
      </c>
      <c r="N96">
        <v>0.83136505421516127</v>
      </c>
      <c r="O96">
        <v>0.83136505421516127</v>
      </c>
      <c r="P96">
        <v>0.83136505421516127</v>
      </c>
      <c r="Q96">
        <v>0.83136505421516127</v>
      </c>
      <c r="R96">
        <v>0.83136505421516127</v>
      </c>
      <c r="S96">
        <v>0.83136505421516127</v>
      </c>
      <c r="T96">
        <v>0.83136505421516127</v>
      </c>
      <c r="U96">
        <v>0.83136505421516127</v>
      </c>
      <c r="V96">
        <v>0.83136505421516127</v>
      </c>
      <c r="W96">
        <v>0.83136505421516127</v>
      </c>
      <c r="X96">
        <v>0.83136505421516127</v>
      </c>
      <c r="Y96">
        <v>0.83136505421516127</v>
      </c>
      <c r="Z96">
        <v>0.83136505421516127</v>
      </c>
      <c r="AA96">
        <v>0.83136505421516127</v>
      </c>
    </row>
    <row r="97" spans="1:27" x14ac:dyDescent="0.45">
      <c r="A97" t="s">
        <v>44</v>
      </c>
      <c r="B97" t="s">
        <v>426</v>
      </c>
      <c r="C97" t="str">
        <f t="shared" si="1"/>
        <v>LA|Summer</v>
      </c>
      <c r="D97">
        <v>0.83136505421516127</v>
      </c>
      <c r="E97">
        <v>0.83136505421516127</v>
      </c>
      <c r="F97">
        <v>0.83136505421516127</v>
      </c>
      <c r="G97">
        <v>0.83136505421516127</v>
      </c>
      <c r="H97">
        <v>0.83136505421516127</v>
      </c>
      <c r="I97">
        <v>0.83136505421516127</v>
      </c>
      <c r="J97">
        <v>0.83136505421516127</v>
      </c>
      <c r="K97">
        <v>0.83136505421516127</v>
      </c>
      <c r="L97">
        <v>0.83136505421516127</v>
      </c>
      <c r="M97">
        <v>0.83136505421516127</v>
      </c>
      <c r="N97">
        <v>0.83136505421516127</v>
      </c>
      <c r="O97">
        <v>0.83136505421516127</v>
      </c>
      <c r="P97">
        <v>0.83136505421516127</v>
      </c>
      <c r="Q97">
        <v>0.83136505421516127</v>
      </c>
      <c r="R97">
        <v>0.83136505421516127</v>
      </c>
      <c r="S97">
        <v>0.83136505421516127</v>
      </c>
      <c r="T97">
        <v>0.83136505421516127</v>
      </c>
      <c r="U97">
        <v>0.83136505421516127</v>
      </c>
      <c r="V97">
        <v>0.83136505421516127</v>
      </c>
      <c r="W97">
        <v>0.83136505421516127</v>
      </c>
      <c r="X97">
        <v>0.83136505421516127</v>
      </c>
      <c r="Y97">
        <v>0.83136505421516127</v>
      </c>
      <c r="Z97">
        <v>0.83136505421516127</v>
      </c>
      <c r="AA97">
        <v>0.83136505421516127</v>
      </c>
    </row>
    <row r="98" spans="1:27" x14ac:dyDescent="0.45">
      <c r="A98" t="s">
        <v>44</v>
      </c>
      <c r="B98" t="s">
        <v>427</v>
      </c>
      <c r="C98" t="str">
        <f t="shared" si="1"/>
        <v>LA|Fall</v>
      </c>
      <c r="D98">
        <v>0.83136505421516116</v>
      </c>
      <c r="E98">
        <v>0.83136505421516116</v>
      </c>
      <c r="F98">
        <v>0.83136505421516116</v>
      </c>
      <c r="G98">
        <v>0.83136505421516116</v>
      </c>
      <c r="H98">
        <v>0.83136505421516116</v>
      </c>
      <c r="I98">
        <v>0.82569607318959959</v>
      </c>
      <c r="J98">
        <v>0.83055818382240565</v>
      </c>
      <c r="K98">
        <v>0.83136505421516116</v>
      </c>
      <c r="L98">
        <v>0.83136505421516116</v>
      </c>
      <c r="M98">
        <v>0.83136505421516116</v>
      </c>
      <c r="N98">
        <v>0.83136505421516116</v>
      </c>
      <c r="O98">
        <v>0.83136505421516116</v>
      </c>
      <c r="P98">
        <v>0.83136505421516116</v>
      </c>
      <c r="Q98">
        <v>0.83136505421516116</v>
      </c>
      <c r="R98">
        <v>0.83136505421516116</v>
      </c>
      <c r="S98">
        <v>0.83136505421516116</v>
      </c>
      <c r="T98">
        <v>0.83136505421516116</v>
      </c>
      <c r="U98">
        <v>0.83136505421516116</v>
      </c>
      <c r="V98">
        <v>0.83136505421516116</v>
      </c>
      <c r="W98">
        <v>0.83136505421516116</v>
      </c>
      <c r="X98">
        <v>0.83136505421516116</v>
      </c>
      <c r="Y98">
        <v>0.83136505421516116</v>
      </c>
      <c r="Z98">
        <v>0.83136505421516116</v>
      </c>
      <c r="AA98">
        <v>0.83136505421516116</v>
      </c>
    </row>
    <row r="99" spans="1:27" x14ac:dyDescent="0.45">
      <c r="A99" t="s">
        <v>44</v>
      </c>
      <c r="B99" t="s">
        <v>428</v>
      </c>
      <c r="C99" t="str">
        <f t="shared" si="1"/>
        <v>LA|Summer Peak</v>
      </c>
      <c r="D99">
        <v>0.83136505421516138</v>
      </c>
      <c r="E99">
        <v>0.83136505421516138</v>
      </c>
      <c r="F99">
        <v>0.83136505421516138</v>
      </c>
      <c r="G99">
        <v>0.83136505421516138</v>
      </c>
      <c r="H99">
        <v>0.83136505421516138</v>
      </c>
      <c r="I99">
        <v>0.83136505421516138</v>
      </c>
      <c r="J99">
        <v>0.83136505421516138</v>
      </c>
      <c r="K99">
        <v>0.83136505421516138</v>
      </c>
      <c r="L99">
        <v>0.83136505421516138</v>
      </c>
      <c r="M99">
        <v>0.83136505421516138</v>
      </c>
      <c r="N99">
        <v>0.83136505421516138</v>
      </c>
      <c r="O99">
        <v>0.83136505421516138</v>
      </c>
      <c r="P99">
        <v>0.83136505421516138</v>
      </c>
      <c r="Q99">
        <v>0.83136505421516138</v>
      </c>
      <c r="R99">
        <v>0.83136505421516138</v>
      </c>
      <c r="S99">
        <v>0.83136505421516138</v>
      </c>
      <c r="T99">
        <v>0.83136505421516138</v>
      </c>
      <c r="U99">
        <v>0.83136505421516138</v>
      </c>
      <c r="V99">
        <v>0.83136505421516138</v>
      </c>
      <c r="W99">
        <v>0.83136505421516138</v>
      </c>
      <c r="X99">
        <v>0.83136505421516138</v>
      </c>
      <c r="Y99">
        <v>0.83136505421516138</v>
      </c>
      <c r="Z99">
        <v>0.83136505421516138</v>
      </c>
      <c r="AA99">
        <v>0.83136505421516138</v>
      </c>
    </row>
    <row r="100" spans="1:27" x14ac:dyDescent="0.45">
      <c r="A100" t="s">
        <v>44</v>
      </c>
      <c r="B100" t="s">
        <v>429</v>
      </c>
      <c r="C100" t="str">
        <f t="shared" si="1"/>
        <v>LA|Winter Peak</v>
      </c>
      <c r="D100">
        <v>0.83136505421516127</v>
      </c>
      <c r="E100">
        <v>0.83136505421516127</v>
      </c>
      <c r="F100">
        <v>0.83136505421516127</v>
      </c>
      <c r="G100">
        <v>0.83136505421516127</v>
      </c>
      <c r="H100">
        <v>0.83136505421516127</v>
      </c>
      <c r="I100">
        <v>0.83136505421516127</v>
      </c>
      <c r="J100">
        <v>0.83136505421516127</v>
      </c>
      <c r="K100">
        <v>0.83136505421516127</v>
      </c>
      <c r="L100">
        <v>0.83136505421516127</v>
      </c>
      <c r="M100">
        <v>0.83136505421516127</v>
      </c>
      <c r="N100">
        <v>0.83136505421516127</v>
      </c>
      <c r="O100">
        <v>0.83136505421516127</v>
      </c>
      <c r="P100">
        <v>0.83136505421516127</v>
      </c>
      <c r="Q100">
        <v>0.83136505421516127</v>
      </c>
      <c r="R100">
        <v>0.83136505421516127</v>
      </c>
      <c r="S100">
        <v>0.83136505421516127</v>
      </c>
      <c r="T100">
        <v>0.83136505421516127</v>
      </c>
      <c r="U100">
        <v>0.83136505421516127</v>
      </c>
      <c r="V100">
        <v>0.83136505421516127</v>
      </c>
      <c r="W100">
        <v>0.83136505421516127</v>
      </c>
      <c r="X100">
        <v>0.83136505421516127</v>
      </c>
      <c r="Y100">
        <v>0.83136505421516127</v>
      </c>
      <c r="Z100">
        <v>0.83136505421516127</v>
      </c>
      <c r="AA100">
        <v>0.83136505421516127</v>
      </c>
    </row>
    <row r="101" spans="1:27" x14ac:dyDescent="0.45">
      <c r="A101" t="s">
        <v>47</v>
      </c>
      <c r="B101" t="s">
        <v>424</v>
      </c>
      <c r="C101" t="str">
        <f t="shared" si="1"/>
        <v>MA|Winter</v>
      </c>
      <c r="D101">
        <v>0.90900000000000003</v>
      </c>
      <c r="E101">
        <v>0.90900000000000003</v>
      </c>
      <c r="F101">
        <v>0.90900000000000003</v>
      </c>
      <c r="G101">
        <v>0.90900000000000003</v>
      </c>
      <c r="H101">
        <v>0.90900000000000003</v>
      </c>
      <c r="I101">
        <v>0.90900000000000003</v>
      </c>
      <c r="J101">
        <v>0.90900000000000003</v>
      </c>
      <c r="K101">
        <v>0.90900000000000003</v>
      </c>
      <c r="L101">
        <v>0.90900000000000003</v>
      </c>
      <c r="M101">
        <v>0.90900000000000003</v>
      </c>
      <c r="N101">
        <v>0.90900000000000003</v>
      </c>
      <c r="O101">
        <v>0.90900000000000003</v>
      </c>
      <c r="P101">
        <v>0.90900000000000003</v>
      </c>
      <c r="Q101">
        <v>0.90900000000000003</v>
      </c>
      <c r="R101">
        <v>0.90900000000000003</v>
      </c>
      <c r="S101">
        <v>0.90900000000000003</v>
      </c>
      <c r="T101">
        <v>0.90900000000000003</v>
      </c>
      <c r="U101">
        <v>0.90900000000000003</v>
      </c>
      <c r="V101">
        <v>0.90900000000000003</v>
      </c>
      <c r="W101">
        <v>0.90900000000000003</v>
      </c>
      <c r="X101">
        <v>0.90900000000000003</v>
      </c>
      <c r="Y101">
        <v>0.90900000000000003</v>
      </c>
      <c r="Z101">
        <v>0.90900000000000003</v>
      </c>
      <c r="AA101">
        <v>0.90900000000000003</v>
      </c>
    </row>
    <row r="102" spans="1:27" x14ac:dyDescent="0.45">
      <c r="A102" t="s">
        <v>47</v>
      </c>
      <c r="B102" t="s">
        <v>425</v>
      </c>
      <c r="C102" t="str">
        <f t="shared" si="1"/>
        <v>MA|Spring</v>
      </c>
      <c r="D102">
        <v>0.90900000000000003</v>
      </c>
      <c r="E102">
        <v>0.90900000000000003</v>
      </c>
      <c r="F102">
        <v>0.90900000000000003</v>
      </c>
      <c r="G102">
        <v>0.90900000000000003</v>
      </c>
      <c r="H102">
        <v>0.90900000000000003</v>
      </c>
      <c r="I102">
        <v>0.90900000000000003</v>
      </c>
      <c r="J102">
        <v>0.90900000000000003</v>
      </c>
      <c r="K102">
        <v>0.90900000000000003</v>
      </c>
      <c r="L102">
        <v>0.90900000000000003</v>
      </c>
      <c r="M102">
        <v>0.90900000000000003</v>
      </c>
      <c r="N102">
        <v>0.90900000000000003</v>
      </c>
      <c r="O102">
        <v>0.90900000000000003</v>
      </c>
      <c r="P102">
        <v>0.90900000000000003</v>
      </c>
      <c r="Q102">
        <v>0.90900000000000003</v>
      </c>
      <c r="R102">
        <v>0.90900000000000003</v>
      </c>
      <c r="S102">
        <v>0.90900000000000003</v>
      </c>
      <c r="T102">
        <v>0.90900000000000003</v>
      </c>
      <c r="U102">
        <v>0.90900000000000003</v>
      </c>
      <c r="V102">
        <v>0.90900000000000003</v>
      </c>
      <c r="W102">
        <v>0.90900000000000003</v>
      </c>
      <c r="X102">
        <v>0.90900000000000003</v>
      </c>
      <c r="Y102">
        <v>0.90900000000000003</v>
      </c>
      <c r="Z102">
        <v>0.90900000000000003</v>
      </c>
      <c r="AA102">
        <v>0.90900000000000003</v>
      </c>
    </row>
    <row r="103" spans="1:27" x14ac:dyDescent="0.45">
      <c r="A103" t="s">
        <v>47</v>
      </c>
      <c r="B103" t="s">
        <v>426</v>
      </c>
      <c r="C103" t="str">
        <f t="shared" si="1"/>
        <v>MA|Summer</v>
      </c>
      <c r="D103">
        <v>0.90900000000000003</v>
      </c>
      <c r="E103">
        <v>0.90900000000000003</v>
      </c>
      <c r="F103">
        <v>0.90900000000000003</v>
      </c>
      <c r="G103">
        <v>0.90900000000000003</v>
      </c>
      <c r="H103">
        <v>0.90900000000000003</v>
      </c>
      <c r="I103">
        <v>0.90900000000000003</v>
      </c>
      <c r="J103">
        <v>0.90900000000000003</v>
      </c>
      <c r="K103">
        <v>0.90900000000000003</v>
      </c>
      <c r="L103">
        <v>0.90900000000000003</v>
      </c>
      <c r="M103">
        <v>0.90900000000000003</v>
      </c>
      <c r="N103">
        <v>0.90900000000000003</v>
      </c>
      <c r="O103">
        <v>0.90900000000000003</v>
      </c>
      <c r="P103">
        <v>0.90900000000000003</v>
      </c>
      <c r="Q103">
        <v>0.90900000000000003</v>
      </c>
      <c r="R103">
        <v>0.90900000000000003</v>
      </c>
      <c r="S103">
        <v>0.90900000000000003</v>
      </c>
      <c r="T103">
        <v>0.90900000000000003</v>
      </c>
      <c r="U103">
        <v>0.90900000000000003</v>
      </c>
      <c r="V103">
        <v>0.90900000000000003</v>
      </c>
      <c r="W103">
        <v>0.90900000000000003</v>
      </c>
      <c r="X103">
        <v>0.90900000000000003</v>
      </c>
      <c r="Y103">
        <v>0.90900000000000003</v>
      </c>
      <c r="Z103">
        <v>0.90900000000000003</v>
      </c>
      <c r="AA103">
        <v>0.90900000000000003</v>
      </c>
    </row>
    <row r="104" spans="1:27" x14ac:dyDescent="0.45">
      <c r="A104" t="s">
        <v>47</v>
      </c>
      <c r="B104" t="s">
        <v>427</v>
      </c>
      <c r="C104" t="str">
        <f t="shared" si="1"/>
        <v>MA|Fall</v>
      </c>
      <c r="D104">
        <v>0.90900000000000003</v>
      </c>
      <c r="E104">
        <v>0.90900000000000003</v>
      </c>
      <c r="F104">
        <v>0.90900000000000003</v>
      </c>
      <c r="G104">
        <v>0.90900000000000003</v>
      </c>
      <c r="H104">
        <v>0.90900000000000003</v>
      </c>
      <c r="I104">
        <v>0.90900000000000003</v>
      </c>
      <c r="J104">
        <v>0.90900000000000003</v>
      </c>
      <c r="K104">
        <v>0.90900000000000003</v>
      </c>
      <c r="L104">
        <v>0.90900000000000003</v>
      </c>
      <c r="M104">
        <v>0.90900000000000003</v>
      </c>
      <c r="N104">
        <v>0.90900000000000003</v>
      </c>
      <c r="O104">
        <v>0.90900000000000003</v>
      </c>
      <c r="P104">
        <v>0.90900000000000003</v>
      </c>
      <c r="Q104">
        <v>0.90900000000000003</v>
      </c>
      <c r="R104">
        <v>0.90900000000000003</v>
      </c>
      <c r="S104">
        <v>0.90900000000000003</v>
      </c>
      <c r="T104">
        <v>0.90900000000000003</v>
      </c>
      <c r="U104">
        <v>0.90900000000000003</v>
      </c>
      <c r="V104">
        <v>0.90900000000000003</v>
      </c>
      <c r="W104">
        <v>0.90900000000000003</v>
      </c>
      <c r="X104">
        <v>0.90900000000000003</v>
      </c>
      <c r="Y104">
        <v>0.90900000000000003</v>
      </c>
      <c r="Z104">
        <v>0.90900000000000003</v>
      </c>
      <c r="AA104">
        <v>0.90900000000000003</v>
      </c>
    </row>
    <row r="105" spans="1:27" x14ac:dyDescent="0.45">
      <c r="A105" t="s">
        <v>47</v>
      </c>
      <c r="B105" t="s">
        <v>428</v>
      </c>
      <c r="C105" t="str">
        <f t="shared" si="1"/>
        <v>MA|Summer Peak</v>
      </c>
      <c r="D105">
        <v>0.90900000000000003</v>
      </c>
      <c r="E105">
        <v>0.90900000000000003</v>
      </c>
      <c r="F105">
        <v>0.90900000000000003</v>
      </c>
      <c r="G105">
        <v>0.90900000000000003</v>
      </c>
      <c r="H105">
        <v>0.90900000000000003</v>
      </c>
      <c r="I105">
        <v>0.90900000000000003</v>
      </c>
      <c r="J105">
        <v>0.90900000000000003</v>
      </c>
      <c r="K105">
        <v>0.90900000000000003</v>
      </c>
      <c r="L105">
        <v>0.90900000000000003</v>
      </c>
      <c r="M105">
        <v>0.90900000000000003</v>
      </c>
      <c r="N105">
        <v>0.90900000000000003</v>
      </c>
      <c r="O105">
        <v>0.90900000000000003</v>
      </c>
      <c r="P105">
        <v>0.90900000000000003</v>
      </c>
      <c r="Q105">
        <v>0.90900000000000003</v>
      </c>
      <c r="R105">
        <v>0.90900000000000003</v>
      </c>
      <c r="S105">
        <v>0.90900000000000003</v>
      </c>
      <c r="T105">
        <v>0.90900000000000003</v>
      </c>
      <c r="U105">
        <v>0.90900000000000003</v>
      </c>
      <c r="V105">
        <v>0.90900000000000003</v>
      </c>
      <c r="W105">
        <v>0.90900000000000003</v>
      </c>
      <c r="X105">
        <v>0.90900000000000003</v>
      </c>
      <c r="Y105">
        <v>0.90900000000000003</v>
      </c>
      <c r="Z105">
        <v>0.90900000000000003</v>
      </c>
      <c r="AA105">
        <v>0.90900000000000003</v>
      </c>
    </row>
    <row r="106" spans="1:27" x14ac:dyDescent="0.45">
      <c r="A106" t="s">
        <v>47</v>
      </c>
      <c r="B106" t="s">
        <v>429</v>
      </c>
      <c r="C106" t="str">
        <f t="shared" si="1"/>
        <v>MA|Winter Peak</v>
      </c>
      <c r="D106">
        <v>0.90900000000000003</v>
      </c>
      <c r="E106">
        <v>0.90900000000000003</v>
      </c>
      <c r="F106">
        <v>0.90900000000000003</v>
      </c>
      <c r="G106">
        <v>0.90900000000000003</v>
      </c>
      <c r="H106">
        <v>0.90900000000000003</v>
      </c>
      <c r="I106">
        <v>0.90900000000000003</v>
      </c>
      <c r="J106">
        <v>0.90900000000000003</v>
      </c>
      <c r="K106">
        <v>0.90900000000000003</v>
      </c>
      <c r="L106">
        <v>0.90900000000000003</v>
      </c>
      <c r="M106">
        <v>0.90900000000000003</v>
      </c>
      <c r="N106">
        <v>0.90900000000000003</v>
      </c>
      <c r="O106">
        <v>0.90900000000000003</v>
      </c>
      <c r="P106">
        <v>0.90900000000000003</v>
      </c>
      <c r="Q106">
        <v>0.90900000000000003</v>
      </c>
      <c r="R106">
        <v>0.90900000000000003</v>
      </c>
      <c r="S106">
        <v>0.90900000000000003</v>
      </c>
      <c r="T106">
        <v>0.90900000000000003</v>
      </c>
      <c r="U106">
        <v>0.90900000000000003</v>
      </c>
      <c r="V106">
        <v>0.90900000000000003</v>
      </c>
      <c r="W106">
        <v>0.90900000000000003</v>
      </c>
      <c r="X106">
        <v>0.90900000000000003</v>
      </c>
      <c r="Y106">
        <v>0.90900000000000003</v>
      </c>
      <c r="Z106">
        <v>0.90900000000000003</v>
      </c>
      <c r="AA106">
        <v>0.90900000000000003</v>
      </c>
    </row>
    <row r="107" spans="1:27" x14ac:dyDescent="0.45">
      <c r="A107" t="s">
        <v>50</v>
      </c>
      <c r="B107" t="s">
        <v>424</v>
      </c>
      <c r="C107" t="str">
        <f t="shared" si="1"/>
        <v>MD|Winter</v>
      </c>
      <c r="D107">
        <v>0.96569447765534477</v>
      </c>
      <c r="E107">
        <v>0.96569447765534477</v>
      </c>
      <c r="F107">
        <v>0.96569447765534477</v>
      </c>
      <c r="G107">
        <v>0.96569447765534477</v>
      </c>
      <c r="H107">
        <v>0.96569447765534477</v>
      </c>
      <c r="I107">
        <v>0.96569447765534477</v>
      </c>
      <c r="J107">
        <v>0.96569447765534477</v>
      </c>
      <c r="K107">
        <v>0.96569447765534477</v>
      </c>
      <c r="L107">
        <v>0.96569447765534477</v>
      </c>
      <c r="M107">
        <v>0.96569447765534477</v>
      </c>
      <c r="N107">
        <v>0.96569447765534477</v>
      </c>
      <c r="O107">
        <v>0.96569447765534477</v>
      </c>
      <c r="P107">
        <v>0.96569447765534477</v>
      </c>
      <c r="Q107">
        <v>0.96569447765534477</v>
      </c>
      <c r="R107">
        <v>0.96569447765534477</v>
      </c>
      <c r="S107">
        <v>0.96569447765534477</v>
      </c>
      <c r="T107">
        <v>0.96569447765534477</v>
      </c>
      <c r="U107">
        <v>0.96569447765534477</v>
      </c>
      <c r="V107">
        <v>0.96569447765534477</v>
      </c>
      <c r="W107">
        <v>0.96569447765534477</v>
      </c>
      <c r="X107">
        <v>0.96569447765534477</v>
      </c>
      <c r="Y107">
        <v>0.96569447765534477</v>
      </c>
      <c r="Z107">
        <v>0.96569447765534477</v>
      </c>
      <c r="AA107">
        <v>0.96569447765534477</v>
      </c>
    </row>
    <row r="108" spans="1:27" x14ac:dyDescent="0.45">
      <c r="A108" t="s">
        <v>50</v>
      </c>
      <c r="B108" t="s">
        <v>425</v>
      </c>
      <c r="C108" t="str">
        <f t="shared" si="1"/>
        <v>MD|Spring</v>
      </c>
      <c r="D108">
        <v>0.96569447765534477</v>
      </c>
      <c r="E108">
        <v>0.96569447765534477</v>
      </c>
      <c r="F108">
        <v>0.96569447765534477</v>
      </c>
      <c r="G108">
        <v>0.96569447765534477</v>
      </c>
      <c r="H108">
        <v>0.96569447765534477</v>
      </c>
      <c r="I108">
        <v>0.96569447765534477</v>
      </c>
      <c r="J108">
        <v>0.96569447765534477</v>
      </c>
      <c r="K108">
        <v>0.96569447765534477</v>
      </c>
      <c r="L108">
        <v>0.96569447765534477</v>
      </c>
      <c r="M108">
        <v>0.96569447765534477</v>
      </c>
      <c r="N108">
        <v>0.96569447765534477</v>
      </c>
      <c r="O108">
        <v>0.96569447765534477</v>
      </c>
      <c r="P108">
        <v>0.96569447765534477</v>
      </c>
      <c r="Q108">
        <v>0.96569447765534477</v>
      </c>
      <c r="R108">
        <v>0.96569447765534477</v>
      </c>
      <c r="S108">
        <v>0.96569447765534477</v>
      </c>
      <c r="T108">
        <v>0.96569447765534477</v>
      </c>
      <c r="U108">
        <v>0.96569447765534477</v>
      </c>
      <c r="V108">
        <v>0.96569447765534477</v>
      </c>
      <c r="W108">
        <v>0.96569447765534477</v>
      </c>
      <c r="X108">
        <v>0.96569447765534477</v>
      </c>
      <c r="Y108">
        <v>0.96569447765534477</v>
      </c>
      <c r="Z108">
        <v>0.96569447765534477</v>
      </c>
      <c r="AA108">
        <v>0.96569447765534477</v>
      </c>
    </row>
    <row r="109" spans="1:27" x14ac:dyDescent="0.45">
      <c r="A109" t="s">
        <v>50</v>
      </c>
      <c r="B109" t="s">
        <v>426</v>
      </c>
      <c r="C109" t="str">
        <f t="shared" si="1"/>
        <v>MD|Summer</v>
      </c>
      <c r="D109">
        <v>0.96569447765534477</v>
      </c>
      <c r="E109">
        <v>0.96569447765534477</v>
      </c>
      <c r="F109">
        <v>0.96569447765534477</v>
      </c>
      <c r="G109">
        <v>0.96569447765534477</v>
      </c>
      <c r="H109">
        <v>0.96569447765534477</v>
      </c>
      <c r="I109">
        <v>0.96569447765534477</v>
      </c>
      <c r="J109">
        <v>0.95472021186013356</v>
      </c>
      <c r="K109">
        <v>0.95712613541405089</v>
      </c>
      <c r="L109">
        <v>0.96569447765534477</v>
      </c>
      <c r="M109">
        <v>0.96569447765534477</v>
      </c>
      <c r="N109">
        <v>0.96569447765534477</v>
      </c>
      <c r="O109">
        <v>0.96569447765534477</v>
      </c>
      <c r="P109">
        <v>0.96569447765534477</v>
      </c>
      <c r="Q109">
        <v>0.96569447765534477</v>
      </c>
      <c r="R109">
        <v>0.96569447765534477</v>
      </c>
      <c r="S109">
        <v>0.96569447765534477</v>
      </c>
      <c r="T109">
        <v>0.96569447765534477</v>
      </c>
      <c r="U109">
        <v>0.96569447765534477</v>
      </c>
      <c r="V109">
        <v>0.96569447765534477</v>
      </c>
      <c r="W109">
        <v>0.96569447765534477</v>
      </c>
      <c r="X109">
        <v>0.96569447765534477</v>
      </c>
      <c r="Y109">
        <v>0.96569447765534477</v>
      </c>
      <c r="Z109">
        <v>0.96569447765534477</v>
      </c>
      <c r="AA109">
        <v>0.96569447765534477</v>
      </c>
    </row>
    <row r="110" spans="1:27" x14ac:dyDescent="0.45">
      <c r="A110" t="s">
        <v>50</v>
      </c>
      <c r="B110" t="s">
        <v>427</v>
      </c>
      <c r="C110" t="str">
        <f t="shared" si="1"/>
        <v>MD|Fall</v>
      </c>
      <c r="D110">
        <v>0.96569447765534477</v>
      </c>
      <c r="E110">
        <v>0.96569447765534477</v>
      </c>
      <c r="F110">
        <v>0.96569447765534477</v>
      </c>
      <c r="G110">
        <v>0.96569447765534477</v>
      </c>
      <c r="H110">
        <v>0.96569447765534477</v>
      </c>
      <c r="I110">
        <v>0.96569447765534477</v>
      </c>
      <c r="J110">
        <v>0.96569447765534477</v>
      </c>
      <c r="K110">
        <v>0.96569447765534477</v>
      </c>
      <c r="L110">
        <v>0.96569447765534477</v>
      </c>
      <c r="M110">
        <v>0.96569447765534477</v>
      </c>
      <c r="N110">
        <v>0.96569447765534477</v>
      </c>
      <c r="O110">
        <v>0.96569447765534477</v>
      </c>
      <c r="P110">
        <v>0.96569447765534477</v>
      </c>
      <c r="Q110">
        <v>0.96569447765534477</v>
      </c>
      <c r="R110">
        <v>0.96569447765534477</v>
      </c>
      <c r="S110">
        <v>0.96569447765534477</v>
      </c>
      <c r="T110">
        <v>0.96569447765534477</v>
      </c>
      <c r="U110">
        <v>0.96569447765534477</v>
      </c>
      <c r="V110">
        <v>0.96569447765534477</v>
      </c>
      <c r="W110">
        <v>0.96569447765534477</v>
      </c>
      <c r="X110">
        <v>0.96569447765534477</v>
      </c>
      <c r="Y110">
        <v>0.96569447765534477</v>
      </c>
      <c r="Z110">
        <v>0.96569447765534477</v>
      </c>
      <c r="AA110">
        <v>0.96569447765534477</v>
      </c>
    </row>
    <row r="111" spans="1:27" x14ac:dyDescent="0.45">
      <c r="A111" t="s">
        <v>50</v>
      </c>
      <c r="B111" t="s">
        <v>428</v>
      </c>
      <c r="C111" t="str">
        <f t="shared" si="1"/>
        <v>MD|Summer Peak</v>
      </c>
      <c r="D111">
        <v>0.96569447765534477</v>
      </c>
      <c r="E111">
        <v>0.96569447765534477</v>
      </c>
      <c r="F111">
        <v>0.96569447765534477</v>
      </c>
      <c r="G111">
        <v>0.96569447765534477</v>
      </c>
      <c r="H111">
        <v>0.96569447765534477</v>
      </c>
      <c r="I111">
        <v>0.96569447765534477</v>
      </c>
      <c r="J111">
        <v>0.96569447765534477</v>
      </c>
      <c r="K111">
        <v>0.96569447765534477</v>
      </c>
      <c r="L111">
        <v>0.96569447765534477</v>
      </c>
      <c r="M111">
        <v>0.96569447765534477</v>
      </c>
      <c r="N111">
        <v>0.96569447765534477</v>
      </c>
      <c r="O111">
        <v>0.96569447765534477</v>
      </c>
      <c r="P111">
        <v>0.96569447765534477</v>
      </c>
      <c r="Q111">
        <v>0.96569447765534477</v>
      </c>
      <c r="R111">
        <v>0.96569447765534477</v>
      </c>
      <c r="S111">
        <v>0.96569447765534477</v>
      </c>
      <c r="T111">
        <v>0.96569447765534477</v>
      </c>
      <c r="U111">
        <v>0.96569447765534477</v>
      </c>
      <c r="V111">
        <v>0.96569447765534477</v>
      </c>
      <c r="W111">
        <v>0.96569447765534477</v>
      </c>
      <c r="X111">
        <v>0.96569447765534477</v>
      </c>
      <c r="Y111">
        <v>0.96569447765534477</v>
      </c>
      <c r="Z111">
        <v>0.96569447765534477</v>
      </c>
      <c r="AA111">
        <v>0.96569447765534477</v>
      </c>
    </row>
    <row r="112" spans="1:27" x14ac:dyDescent="0.45">
      <c r="A112" t="s">
        <v>50</v>
      </c>
      <c r="B112" t="s">
        <v>429</v>
      </c>
      <c r="C112" t="str">
        <f t="shared" si="1"/>
        <v>MD|Winter Peak</v>
      </c>
      <c r="D112">
        <v>0.96569447765534477</v>
      </c>
      <c r="E112">
        <v>0.96569447765534477</v>
      </c>
      <c r="F112">
        <v>0.96569447765534477</v>
      </c>
      <c r="G112">
        <v>0.96569447765534477</v>
      </c>
      <c r="H112">
        <v>0.96569447765534477</v>
      </c>
      <c r="I112">
        <v>0.96569447765534477</v>
      </c>
      <c r="J112">
        <v>0.96569447765534477</v>
      </c>
      <c r="K112">
        <v>0.96569447765534477</v>
      </c>
      <c r="L112">
        <v>0.96569447765534477</v>
      </c>
      <c r="M112">
        <v>0.96569447765534477</v>
      </c>
      <c r="N112">
        <v>0.96569447765534477</v>
      </c>
      <c r="O112">
        <v>0.96569447765534477</v>
      </c>
      <c r="P112">
        <v>0.96569447765534477</v>
      </c>
      <c r="Q112">
        <v>0.96569447765534477</v>
      </c>
      <c r="R112">
        <v>0.96569447765534477</v>
      </c>
      <c r="S112">
        <v>0.96569447765534477</v>
      </c>
      <c r="T112">
        <v>0.96569447765534477</v>
      </c>
      <c r="U112">
        <v>0.96569447765534477</v>
      </c>
      <c r="V112">
        <v>0.96569447765534477</v>
      </c>
      <c r="W112">
        <v>0.96569447765534477</v>
      </c>
      <c r="X112">
        <v>0.96569447765534477</v>
      </c>
      <c r="Y112">
        <v>0.96569447765534477</v>
      </c>
      <c r="Z112">
        <v>0.96569447765534477</v>
      </c>
      <c r="AA112">
        <v>0.96569447765534477</v>
      </c>
    </row>
    <row r="113" spans="1:27" x14ac:dyDescent="0.45">
      <c r="A113" t="s">
        <v>53</v>
      </c>
      <c r="B113" t="s">
        <v>424</v>
      </c>
      <c r="C113" t="str">
        <f t="shared" si="1"/>
        <v>ME|Winter</v>
      </c>
      <c r="D113">
        <v>0.90900000000000003</v>
      </c>
      <c r="E113">
        <v>0.90900000000000003</v>
      </c>
      <c r="F113">
        <v>0.90900000000000003</v>
      </c>
      <c r="G113">
        <v>0.90900000000000003</v>
      </c>
      <c r="H113">
        <v>0.90900000000000003</v>
      </c>
      <c r="I113">
        <v>0.90900000000000003</v>
      </c>
      <c r="J113">
        <v>0.90900000000000003</v>
      </c>
      <c r="K113">
        <v>0.90900000000000003</v>
      </c>
      <c r="L113">
        <v>0.90900000000000003</v>
      </c>
      <c r="M113">
        <v>0.90900000000000003</v>
      </c>
      <c r="N113">
        <v>0.90900000000000003</v>
      </c>
      <c r="O113">
        <v>0.90900000000000003</v>
      </c>
      <c r="P113">
        <v>0.90900000000000003</v>
      </c>
      <c r="Q113">
        <v>0.90900000000000003</v>
      </c>
      <c r="R113">
        <v>0.90900000000000003</v>
      </c>
      <c r="S113">
        <v>0.90900000000000003</v>
      </c>
      <c r="T113">
        <v>0.90900000000000003</v>
      </c>
      <c r="U113">
        <v>0.90900000000000003</v>
      </c>
      <c r="V113">
        <v>0.90900000000000003</v>
      </c>
      <c r="W113">
        <v>0.90900000000000003</v>
      </c>
      <c r="X113">
        <v>0.90900000000000003</v>
      </c>
      <c r="Y113">
        <v>0.90900000000000003</v>
      </c>
      <c r="Z113">
        <v>0.90900000000000003</v>
      </c>
      <c r="AA113">
        <v>0.90900000000000003</v>
      </c>
    </row>
    <row r="114" spans="1:27" x14ac:dyDescent="0.45">
      <c r="A114" t="s">
        <v>53</v>
      </c>
      <c r="B114" t="s">
        <v>425</v>
      </c>
      <c r="C114" t="str">
        <f t="shared" si="1"/>
        <v>ME|Spring</v>
      </c>
      <c r="D114">
        <v>0.90900000000000003</v>
      </c>
      <c r="E114">
        <v>0.90900000000000003</v>
      </c>
      <c r="F114">
        <v>0.90900000000000003</v>
      </c>
      <c r="G114">
        <v>0.90900000000000003</v>
      </c>
      <c r="H114">
        <v>0.90900000000000003</v>
      </c>
      <c r="I114">
        <v>0.90900000000000003</v>
      </c>
      <c r="J114">
        <v>0.90900000000000003</v>
      </c>
      <c r="K114">
        <v>0.90900000000000003</v>
      </c>
      <c r="L114">
        <v>0.90900000000000003</v>
      </c>
      <c r="M114">
        <v>0.90900000000000003</v>
      </c>
      <c r="N114">
        <v>0.90900000000000003</v>
      </c>
      <c r="O114">
        <v>0.90900000000000003</v>
      </c>
      <c r="P114">
        <v>0.90900000000000003</v>
      </c>
      <c r="Q114">
        <v>0.90900000000000003</v>
      </c>
      <c r="R114">
        <v>0.90900000000000003</v>
      </c>
      <c r="S114">
        <v>0.90900000000000003</v>
      </c>
      <c r="T114">
        <v>0.90900000000000003</v>
      </c>
      <c r="U114">
        <v>0.90900000000000003</v>
      </c>
      <c r="V114">
        <v>0.90900000000000003</v>
      </c>
      <c r="W114">
        <v>0.90900000000000003</v>
      </c>
      <c r="X114">
        <v>0.90900000000000003</v>
      </c>
      <c r="Y114">
        <v>0.90900000000000003</v>
      </c>
      <c r="Z114">
        <v>0.90900000000000003</v>
      </c>
      <c r="AA114">
        <v>0.90900000000000003</v>
      </c>
    </row>
    <row r="115" spans="1:27" x14ac:dyDescent="0.45">
      <c r="A115" t="s">
        <v>53</v>
      </c>
      <c r="B115" t="s">
        <v>426</v>
      </c>
      <c r="C115" t="str">
        <f t="shared" si="1"/>
        <v>ME|Summer</v>
      </c>
      <c r="D115">
        <v>0.90900000000000003</v>
      </c>
      <c r="E115">
        <v>0.90900000000000003</v>
      </c>
      <c r="F115">
        <v>0.90900000000000003</v>
      </c>
      <c r="G115">
        <v>0.90900000000000003</v>
      </c>
      <c r="H115">
        <v>0.90900000000000003</v>
      </c>
      <c r="I115">
        <v>0.90900000000000003</v>
      </c>
      <c r="J115">
        <v>0.90900000000000003</v>
      </c>
      <c r="K115">
        <v>0.90900000000000003</v>
      </c>
      <c r="L115">
        <v>0.90900000000000003</v>
      </c>
      <c r="M115">
        <v>0.90900000000000003</v>
      </c>
      <c r="N115">
        <v>0.90900000000000003</v>
      </c>
      <c r="O115">
        <v>0.90900000000000003</v>
      </c>
      <c r="P115">
        <v>0.90900000000000003</v>
      </c>
      <c r="Q115">
        <v>0.90900000000000003</v>
      </c>
      <c r="R115">
        <v>0.90900000000000003</v>
      </c>
      <c r="S115">
        <v>0.90900000000000003</v>
      </c>
      <c r="T115">
        <v>0.90900000000000003</v>
      </c>
      <c r="U115">
        <v>0.90900000000000003</v>
      </c>
      <c r="V115">
        <v>0.90900000000000003</v>
      </c>
      <c r="W115">
        <v>0.90900000000000003</v>
      </c>
      <c r="X115">
        <v>0.90900000000000003</v>
      </c>
      <c r="Y115">
        <v>0.90900000000000003</v>
      </c>
      <c r="Z115">
        <v>0.90900000000000003</v>
      </c>
      <c r="AA115">
        <v>0.90900000000000003</v>
      </c>
    </row>
    <row r="116" spans="1:27" x14ac:dyDescent="0.45">
      <c r="A116" t="s">
        <v>53</v>
      </c>
      <c r="B116" t="s">
        <v>427</v>
      </c>
      <c r="C116" t="str">
        <f t="shared" si="1"/>
        <v>ME|Fall</v>
      </c>
      <c r="D116">
        <v>0.90900000000000003</v>
      </c>
      <c r="E116">
        <v>0.90900000000000003</v>
      </c>
      <c r="F116">
        <v>0.90900000000000003</v>
      </c>
      <c r="G116">
        <v>0.90900000000000003</v>
      </c>
      <c r="H116">
        <v>0.90900000000000003</v>
      </c>
      <c r="I116">
        <v>0.90900000000000003</v>
      </c>
      <c r="J116">
        <v>0.90900000000000003</v>
      </c>
      <c r="K116">
        <v>0.90900000000000003</v>
      </c>
      <c r="L116">
        <v>0.90900000000000003</v>
      </c>
      <c r="M116">
        <v>0.90900000000000003</v>
      </c>
      <c r="N116">
        <v>0.90900000000000003</v>
      </c>
      <c r="O116">
        <v>0.90900000000000003</v>
      </c>
      <c r="P116">
        <v>0.90900000000000003</v>
      </c>
      <c r="Q116">
        <v>0.90900000000000003</v>
      </c>
      <c r="R116">
        <v>0.90900000000000003</v>
      </c>
      <c r="S116">
        <v>0.90900000000000003</v>
      </c>
      <c r="T116">
        <v>0.90900000000000003</v>
      </c>
      <c r="U116">
        <v>0.90900000000000003</v>
      </c>
      <c r="V116">
        <v>0.90900000000000003</v>
      </c>
      <c r="W116">
        <v>0.90900000000000003</v>
      </c>
      <c r="X116">
        <v>0.90900000000000003</v>
      </c>
      <c r="Y116">
        <v>0.90900000000000003</v>
      </c>
      <c r="Z116">
        <v>0.90900000000000003</v>
      </c>
      <c r="AA116">
        <v>0.90900000000000003</v>
      </c>
    </row>
    <row r="117" spans="1:27" x14ac:dyDescent="0.45">
      <c r="A117" t="s">
        <v>53</v>
      </c>
      <c r="B117" t="s">
        <v>428</v>
      </c>
      <c r="C117" t="str">
        <f t="shared" si="1"/>
        <v>ME|Summer Peak</v>
      </c>
      <c r="D117">
        <v>0.90900000000000003</v>
      </c>
      <c r="E117">
        <v>0.90900000000000003</v>
      </c>
      <c r="F117">
        <v>0.90900000000000003</v>
      </c>
      <c r="G117">
        <v>0.90900000000000003</v>
      </c>
      <c r="H117">
        <v>0.90900000000000003</v>
      </c>
      <c r="I117">
        <v>0.90900000000000003</v>
      </c>
      <c r="J117">
        <v>0.90900000000000003</v>
      </c>
      <c r="K117">
        <v>0.90900000000000003</v>
      </c>
      <c r="L117">
        <v>0.90900000000000003</v>
      </c>
      <c r="M117">
        <v>0.90900000000000003</v>
      </c>
      <c r="N117">
        <v>0.90900000000000003</v>
      </c>
      <c r="O117">
        <v>0.90900000000000003</v>
      </c>
      <c r="P117">
        <v>0.90900000000000003</v>
      </c>
      <c r="Q117">
        <v>0.90900000000000003</v>
      </c>
      <c r="R117">
        <v>0.90900000000000003</v>
      </c>
      <c r="S117">
        <v>0.90900000000000003</v>
      </c>
      <c r="T117">
        <v>0.90900000000000003</v>
      </c>
      <c r="U117">
        <v>0.90900000000000003</v>
      </c>
      <c r="V117">
        <v>0.90900000000000003</v>
      </c>
      <c r="W117">
        <v>0.90900000000000003</v>
      </c>
      <c r="X117">
        <v>0.90900000000000003</v>
      </c>
      <c r="Y117">
        <v>0.90900000000000003</v>
      </c>
      <c r="Z117">
        <v>0.90900000000000003</v>
      </c>
      <c r="AA117">
        <v>0.90900000000000003</v>
      </c>
    </row>
    <row r="118" spans="1:27" x14ac:dyDescent="0.45">
      <c r="A118" t="s">
        <v>53</v>
      </c>
      <c r="B118" t="s">
        <v>429</v>
      </c>
      <c r="C118" t="str">
        <f t="shared" si="1"/>
        <v>ME|Winter Peak</v>
      </c>
      <c r="D118">
        <v>0.90900000000000003</v>
      </c>
      <c r="E118">
        <v>0.90900000000000003</v>
      </c>
      <c r="F118">
        <v>0.90900000000000003</v>
      </c>
      <c r="G118">
        <v>0.90900000000000003</v>
      </c>
      <c r="H118">
        <v>0.90900000000000003</v>
      </c>
      <c r="I118">
        <v>0.90900000000000003</v>
      </c>
      <c r="J118">
        <v>0.90900000000000003</v>
      </c>
      <c r="K118">
        <v>0.90900000000000003</v>
      </c>
      <c r="L118">
        <v>0.90900000000000003</v>
      </c>
      <c r="M118">
        <v>0.90900000000000003</v>
      </c>
      <c r="N118">
        <v>0.90900000000000003</v>
      </c>
      <c r="O118">
        <v>0.90900000000000003</v>
      </c>
      <c r="P118">
        <v>0.90900000000000003</v>
      </c>
      <c r="Q118">
        <v>0.90900000000000003</v>
      </c>
      <c r="R118">
        <v>0.90900000000000003</v>
      </c>
      <c r="S118">
        <v>0.90900000000000003</v>
      </c>
      <c r="T118">
        <v>0.90900000000000003</v>
      </c>
      <c r="U118">
        <v>0.90900000000000003</v>
      </c>
      <c r="V118">
        <v>0.90900000000000003</v>
      </c>
      <c r="W118">
        <v>0.90900000000000003</v>
      </c>
      <c r="X118">
        <v>0.90900000000000003</v>
      </c>
      <c r="Y118">
        <v>0.90900000000000003</v>
      </c>
      <c r="Z118">
        <v>0.90900000000000003</v>
      </c>
      <c r="AA118">
        <v>0.90900000000000003</v>
      </c>
    </row>
    <row r="119" spans="1:27" x14ac:dyDescent="0.45">
      <c r="A119" t="s">
        <v>55</v>
      </c>
      <c r="B119" t="s">
        <v>424</v>
      </c>
      <c r="C119" t="str">
        <f t="shared" si="1"/>
        <v>MI|Winter</v>
      </c>
      <c r="D119">
        <v>0.75161107458090093</v>
      </c>
      <c r="E119">
        <v>0.75161107458090093</v>
      </c>
      <c r="F119">
        <v>0.75161107458090093</v>
      </c>
      <c r="G119">
        <v>0.75161107458090093</v>
      </c>
      <c r="H119">
        <v>0.75161107458090093</v>
      </c>
      <c r="I119">
        <v>0.75161107458090093</v>
      </c>
      <c r="J119">
        <v>0.75161107458090093</v>
      </c>
      <c r="K119">
        <v>0.75161107458090093</v>
      </c>
      <c r="L119">
        <v>0.75161107458090093</v>
      </c>
      <c r="M119">
        <v>0.75161107458090093</v>
      </c>
      <c r="N119">
        <v>0.75161107458090093</v>
      </c>
      <c r="O119">
        <v>0.75161107458090093</v>
      </c>
      <c r="P119">
        <v>0.75161107458090093</v>
      </c>
      <c r="Q119">
        <v>0.75161107458090093</v>
      </c>
      <c r="R119">
        <v>0.75161107458090093</v>
      </c>
      <c r="S119">
        <v>0.75161107458090093</v>
      </c>
      <c r="T119">
        <v>0.75161107458090093</v>
      </c>
      <c r="U119">
        <v>0.75161107458090093</v>
      </c>
      <c r="V119">
        <v>0.75161107458090093</v>
      </c>
      <c r="W119">
        <v>0.75161107458090093</v>
      </c>
      <c r="X119">
        <v>0.75161107458090093</v>
      </c>
      <c r="Y119">
        <v>0.75161107458090093</v>
      </c>
      <c r="Z119">
        <v>0.75161107458090093</v>
      </c>
      <c r="AA119">
        <v>0.75161107458090093</v>
      </c>
    </row>
    <row r="120" spans="1:27" x14ac:dyDescent="0.45">
      <c r="A120" t="s">
        <v>55</v>
      </c>
      <c r="B120" t="s">
        <v>425</v>
      </c>
      <c r="C120" t="str">
        <f t="shared" si="1"/>
        <v>MI|Spring</v>
      </c>
      <c r="D120">
        <v>0.75161107458090082</v>
      </c>
      <c r="E120">
        <v>0.75161107458090082</v>
      </c>
      <c r="F120">
        <v>0.75161107458090082</v>
      </c>
      <c r="G120">
        <v>0.75161107458090082</v>
      </c>
      <c r="H120">
        <v>0.75161107458090082</v>
      </c>
      <c r="I120">
        <v>0.75161107458090082</v>
      </c>
      <c r="J120">
        <v>0.75161107458090082</v>
      </c>
      <c r="K120">
        <v>0.75161107458090082</v>
      </c>
      <c r="L120">
        <v>0.75161107458090082</v>
      </c>
      <c r="M120">
        <v>0.75161107458090082</v>
      </c>
      <c r="N120">
        <v>0.75161107458090082</v>
      </c>
      <c r="O120">
        <v>0.75161107458090082</v>
      </c>
      <c r="P120">
        <v>0.75161107458090082</v>
      </c>
      <c r="Q120">
        <v>0.75161107458090082</v>
      </c>
      <c r="R120">
        <v>0.75161107458090082</v>
      </c>
      <c r="S120">
        <v>0.75161107458090082</v>
      </c>
      <c r="T120">
        <v>0.75161107458090082</v>
      </c>
      <c r="U120">
        <v>0.75161107458090082</v>
      </c>
      <c r="V120">
        <v>0.75161107458090082</v>
      </c>
      <c r="W120">
        <v>0.75161107458090082</v>
      </c>
      <c r="X120">
        <v>0.75161107458090082</v>
      </c>
      <c r="Y120">
        <v>0.75161107458090082</v>
      </c>
      <c r="Z120">
        <v>0.75161107458090082</v>
      </c>
      <c r="AA120">
        <v>0.75161107458090082</v>
      </c>
    </row>
    <row r="121" spans="1:27" x14ac:dyDescent="0.45">
      <c r="A121" t="s">
        <v>55</v>
      </c>
      <c r="B121" t="s">
        <v>426</v>
      </c>
      <c r="C121" t="str">
        <f t="shared" si="1"/>
        <v>MI|Summer</v>
      </c>
      <c r="D121">
        <v>0.75161107458090093</v>
      </c>
      <c r="E121">
        <v>0.75161107458090093</v>
      </c>
      <c r="F121">
        <v>0.75161107458090093</v>
      </c>
      <c r="G121">
        <v>0.75161107458090093</v>
      </c>
      <c r="H121">
        <v>0.75161107458090093</v>
      </c>
      <c r="I121">
        <v>0.75161107458090093</v>
      </c>
      <c r="J121">
        <v>0.75072104404244511</v>
      </c>
      <c r="K121">
        <v>0.75161107458090093</v>
      </c>
      <c r="L121">
        <v>0.75161107458090093</v>
      </c>
      <c r="M121">
        <v>0.75161107458090093</v>
      </c>
      <c r="N121">
        <v>0.75161107458090093</v>
      </c>
      <c r="O121">
        <v>0.75161107458090093</v>
      </c>
      <c r="P121">
        <v>0.75161107458090093</v>
      </c>
      <c r="Q121">
        <v>0.75161107458090093</v>
      </c>
      <c r="R121">
        <v>0.75161107458090093</v>
      </c>
      <c r="S121">
        <v>0.75161107458090093</v>
      </c>
      <c r="T121">
        <v>0.75161107458090093</v>
      </c>
      <c r="U121">
        <v>0.75161107458090093</v>
      </c>
      <c r="V121">
        <v>0.75161107458090093</v>
      </c>
      <c r="W121">
        <v>0.75161107458090093</v>
      </c>
      <c r="X121">
        <v>0.75161107458090093</v>
      </c>
      <c r="Y121">
        <v>0.75161107458090093</v>
      </c>
      <c r="Z121">
        <v>0.75161107458090093</v>
      </c>
      <c r="AA121">
        <v>0.75161107458090093</v>
      </c>
    </row>
    <row r="122" spans="1:27" x14ac:dyDescent="0.45">
      <c r="A122" t="s">
        <v>55</v>
      </c>
      <c r="B122" t="s">
        <v>427</v>
      </c>
      <c r="C122" t="str">
        <f t="shared" si="1"/>
        <v>MI|Fall</v>
      </c>
      <c r="D122">
        <v>0.75161107458090093</v>
      </c>
      <c r="E122">
        <v>0.75161107458090093</v>
      </c>
      <c r="F122">
        <v>0.75161107458090093</v>
      </c>
      <c r="G122">
        <v>0.75161107458090093</v>
      </c>
      <c r="H122">
        <v>0.75161107458090093</v>
      </c>
      <c r="I122">
        <v>0.75161107458090093</v>
      </c>
      <c r="J122">
        <v>0.75161107458090093</v>
      </c>
      <c r="K122">
        <v>0.75161107458090093</v>
      </c>
      <c r="L122">
        <v>0.75161107458090093</v>
      </c>
      <c r="M122">
        <v>0.75161107458090093</v>
      </c>
      <c r="N122">
        <v>0.75161107458090093</v>
      </c>
      <c r="O122">
        <v>0.75161107458090093</v>
      </c>
      <c r="P122">
        <v>0.75161107458090093</v>
      </c>
      <c r="Q122">
        <v>0.75161107458090093</v>
      </c>
      <c r="R122">
        <v>0.75161107458090093</v>
      </c>
      <c r="S122">
        <v>0.75161107458090093</v>
      </c>
      <c r="T122">
        <v>0.75161107458090093</v>
      </c>
      <c r="U122">
        <v>0.75161107458090093</v>
      </c>
      <c r="V122">
        <v>0.75161107458090093</v>
      </c>
      <c r="W122">
        <v>0.75161107458090093</v>
      </c>
      <c r="X122">
        <v>0.75161107458090093</v>
      </c>
      <c r="Y122">
        <v>0.75161107458090093</v>
      </c>
      <c r="Z122">
        <v>0.75161107458090093</v>
      </c>
      <c r="AA122">
        <v>0.75161107458090093</v>
      </c>
    </row>
    <row r="123" spans="1:27" x14ac:dyDescent="0.45">
      <c r="A123" t="s">
        <v>55</v>
      </c>
      <c r="B123" t="s">
        <v>428</v>
      </c>
      <c r="C123" t="str">
        <f t="shared" si="1"/>
        <v>MI|Summer Peak</v>
      </c>
      <c r="D123">
        <v>0.75161107458090082</v>
      </c>
      <c r="E123">
        <v>0.75161107458090082</v>
      </c>
      <c r="F123">
        <v>0.75161107458090082</v>
      </c>
      <c r="G123">
        <v>0.75161107458090082</v>
      </c>
      <c r="H123">
        <v>0.75161107458090082</v>
      </c>
      <c r="I123">
        <v>0.75161107458090082</v>
      </c>
      <c r="J123">
        <v>0.75161107458090082</v>
      </c>
      <c r="K123">
        <v>0.75161107458090082</v>
      </c>
      <c r="L123">
        <v>0.75161107458090082</v>
      </c>
      <c r="M123">
        <v>0.75161107458090082</v>
      </c>
      <c r="N123">
        <v>0.75161107458090082</v>
      </c>
      <c r="O123">
        <v>0.75161107458090082</v>
      </c>
      <c r="P123">
        <v>0.75161107458090082</v>
      </c>
      <c r="Q123">
        <v>0.75161107458090082</v>
      </c>
      <c r="R123">
        <v>0.75161107458090082</v>
      </c>
      <c r="S123">
        <v>0.75161107458090082</v>
      </c>
      <c r="T123">
        <v>0.75161107458090082</v>
      </c>
      <c r="U123">
        <v>0.75161107458090082</v>
      </c>
      <c r="V123">
        <v>0.75161107458090082</v>
      </c>
      <c r="W123">
        <v>0.75161107458090082</v>
      </c>
      <c r="X123">
        <v>0.75161107458090082</v>
      </c>
      <c r="Y123">
        <v>0.75161107458090082</v>
      </c>
      <c r="Z123">
        <v>0.75161107458090082</v>
      </c>
      <c r="AA123">
        <v>0.75161107458090082</v>
      </c>
    </row>
    <row r="124" spans="1:27" x14ac:dyDescent="0.45">
      <c r="A124" t="s">
        <v>55</v>
      </c>
      <c r="B124" t="s">
        <v>429</v>
      </c>
      <c r="C124" t="str">
        <f t="shared" si="1"/>
        <v>MI|Winter Peak</v>
      </c>
      <c r="D124">
        <v>0.75161107458090093</v>
      </c>
      <c r="E124">
        <v>0.75161107458090093</v>
      </c>
      <c r="F124">
        <v>0.75161107458090093</v>
      </c>
      <c r="G124">
        <v>0.75161107458090093</v>
      </c>
      <c r="H124">
        <v>0.75161107458090093</v>
      </c>
      <c r="I124">
        <v>0.75161107458090093</v>
      </c>
      <c r="J124">
        <v>0.75161107458090093</v>
      </c>
      <c r="K124">
        <v>0.75161107458090093</v>
      </c>
      <c r="L124">
        <v>0.75161107458090093</v>
      </c>
      <c r="M124">
        <v>0.75161107458090093</v>
      </c>
      <c r="N124">
        <v>0.75161107458090093</v>
      </c>
      <c r="O124">
        <v>0.75161107458090093</v>
      </c>
      <c r="P124">
        <v>0.75161107458090093</v>
      </c>
      <c r="Q124">
        <v>0.75161107458090093</v>
      </c>
      <c r="R124">
        <v>0.75161107458090093</v>
      </c>
      <c r="S124">
        <v>0.75161107458090093</v>
      </c>
      <c r="T124">
        <v>0.75161107458090093</v>
      </c>
      <c r="U124">
        <v>0.75161107458090093</v>
      </c>
      <c r="V124">
        <v>0.75161107458090093</v>
      </c>
      <c r="W124">
        <v>0.75161107458090093</v>
      </c>
      <c r="X124">
        <v>0.75161107458090093</v>
      </c>
      <c r="Y124">
        <v>0.75161107458090093</v>
      </c>
      <c r="Z124">
        <v>0.75161107458090093</v>
      </c>
      <c r="AA124">
        <v>0.75161107458090093</v>
      </c>
    </row>
    <row r="125" spans="1:27" x14ac:dyDescent="0.45">
      <c r="A125" t="s">
        <v>58</v>
      </c>
      <c r="B125" t="s">
        <v>424</v>
      </c>
      <c r="C125" t="str">
        <f t="shared" si="1"/>
        <v>MN|Winter</v>
      </c>
      <c r="D125">
        <v>0.80453208570274048</v>
      </c>
      <c r="E125">
        <v>0.79408560878199286</v>
      </c>
      <c r="F125">
        <v>0.79032276332601792</v>
      </c>
      <c r="G125">
        <v>0.80559011674073555</v>
      </c>
      <c r="H125">
        <v>0.81761444993801535</v>
      </c>
      <c r="I125">
        <v>0.8580511095709239</v>
      </c>
      <c r="J125">
        <v>0.88086655520621338</v>
      </c>
      <c r="K125">
        <v>0.88347027653912968</v>
      </c>
      <c r="L125">
        <v>0.88336171635119209</v>
      </c>
      <c r="M125">
        <v>0.88347027653912968</v>
      </c>
      <c r="N125">
        <v>0.88379021317765483</v>
      </c>
      <c r="O125">
        <v>0.88882935883255776</v>
      </c>
      <c r="P125">
        <v>0.88694018180543177</v>
      </c>
      <c r="Q125">
        <v>0.88230483409825455</v>
      </c>
      <c r="R125">
        <v>0.87531160506047478</v>
      </c>
      <c r="S125">
        <v>0.88104404249760337</v>
      </c>
      <c r="T125">
        <v>0.88572419282202486</v>
      </c>
      <c r="U125">
        <v>0.89238140223047391</v>
      </c>
      <c r="V125">
        <v>0.89388516187079481</v>
      </c>
      <c r="W125">
        <v>0.89288801644084936</v>
      </c>
      <c r="X125">
        <v>0.88779430349571342</v>
      </c>
      <c r="Y125">
        <v>0.87576078001797319</v>
      </c>
      <c r="Z125">
        <v>0.84261718232286276</v>
      </c>
      <c r="AA125">
        <v>0.80811629508226779</v>
      </c>
    </row>
    <row r="126" spans="1:27" x14ac:dyDescent="0.45">
      <c r="A126" t="s">
        <v>58</v>
      </c>
      <c r="B126" t="s">
        <v>425</v>
      </c>
      <c r="C126" t="str">
        <f t="shared" si="1"/>
        <v>MN|Spring</v>
      </c>
      <c r="D126">
        <v>0.78946266165872458</v>
      </c>
      <c r="E126">
        <v>0.7842895959923194</v>
      </c>
      <c r="F126">
        <v>0.78413642202851697</v>
      </c>
      <c r="G126">
        <v>0.79202366549795999</v>
      </c>
      <c r="H126">
        <v>0.81855112678462383</v>
      </c>
      <c r="I126">
        <v>0.84339448491371438</v>
      </c>
      <c r="J126">
        <v>0.86866008449857779</v>
      </c>
      <c r="K126">
        <v>0.87330311962357154</v>
      </c>
      <c r="L126">
        <v>0.88447509365011012</v>
      </c>
      <c r="M126">
        <v>0.89021141807229653</v>
      </c>
      <c r="N126">
        <v>0.89128201493040737</v>
      </c>
      <c r="O126">
        <v>0.89045293045966745</v>
      </c>
      <c r="P126">
        <v>0.88874127219749477</v>
      </c>
      <c r="Q126">
        <v>0.89014171986654511</v>
      </c>
      <c r="R126">
        <v>0.8914684171085796</v>
      </c>
      <c r="S126">
        <v>0.8938851618707947</v>
      </c>
      <c r="T126">
        <v>0.8938851618707947</v>
      </c>
      <c r="U126">
        <v>0.89021141807229653</v>
      </c>
      <c r="V126">
        <v>0.89098458188958474</v>
      </c>
      <c r="W126">
        <v>0.88857513112564568</v>
      </c>
      <c r="X126">
        <v>0.87919018667680138</v>
      </c>
      <c r="Y126">
        <v>0.87919018667680138</v>
      </c>
      <c r="Z126">
        <v>0.85987081657563169</v>
      </c>
      <c r="AA126">
        <v>0.83674803159549593</v>
      </c>
    </row>
    <row r="127" spans="1:27" x14ac:dyDescent="0.45">
      <c r="A127" t="s">
        <v>58</v>
      </c>
      <c r="B127" t="s">
        <v>426</v>
      </c>
      <c r="C127" t="str">
        <f t="shared" si="1"/>
        <v>MN|Summer</v>
      </c>
      <c r="D127">
        <v>0.73242815856259169</v>
      </c>
      <c r="E127">
        <v>0.70530719024695299</v>
      </c>
      <c r="F127">
        <v>0.68745196873311321</v>
      </c>
      <c r="G127">
        <v>0.68707605975186148</v>
      </c>
      <c r="H127">
        <v>0.70169737179745062</v>
      </c>
      <c r="I127">
        <v>0.77874414989425578</v>
      </c>
      <c r="J127">
        <v>0.82889113614623144</v>
      </c>
      <c r="K127">
        <v>0.83897150410594878</v>
      </c>
      <c r="L127">
        <v>0.85778424680205712</v>
      </c>
      <c r="M127">
        <v>0.86245443804371036</v>
      </c>
      <c r="N127">
        <v>0.86190104177106841</v>
      </c>
      <c r="O127">
        <v>0.85576271206268617</v>
      </c>
      <c r="P127">
        <v>0.84235741551092846</v>
      </c>
      <c r="Q127">
        <v>0.82811565321154268</v>
      </c>
      <c r="R127">
        <v>0.82627706691098912</v>
      </c>
      <c r="S127">
        <v>0.83142965950872816</v>
      </c>
      <c r="T127">
        <v>0.86228605266469927</v>
      </c>
      <c r="U127">
        <v>0.88697407980143728</v>
      </c>
      <c r="V127">
        <v>0.89369675228454992</v>
      </c>
      <c r="W127">
        <v>0.88855144121671414</v>
      </c>
      <c r="X127">
        <v>0.87628752447727998</v>
      </c>
      <c r="Y127">
        <v>0.83458529253051972</v>
      </c>
      <c r="Z127">
        <v>0.79549439924528786</v>
      </c>
      <c r="AA127">
        <v>0.76784552001166828</v>
      </c>
    </row>
    <row r="128" spans="1:27" x14ac:dyDescent="0.45">
      <c r="A128" t="s">
        <v>58</v>
      </c>
      <c r="B128" t="s">
        <v>427</v>
      </c>
      <c r="C128" t="str">
        <f t="shared" si="1"/>
        <v>MN|Fall</v>
      </c>
      <c r="D128">
        <v>0.87280854601822555</v>
      </c>
      <c r="E128">
        <v>0.87927589996572475</v>
      </c>
      <c r="F128">
        <v>0.88451627655100584</v>
      </c>
      <c r="G128">
        <v>0.8892370526600436</v>
      </c>
      <c r="H128">
        <v>0.89388516187079492</v>
      </c>
      <c r="I128">
        <v>0.89097012603068193</v>
      </c>
      <c r="J128">
        <v>0.89097012603068193</v>
      </c>
      <c r="K128">
        <v>0.89388516187079492</v>
      </c>
      <c r="L128">
        <v>0.89388516187079492</v>
      </c>
      <c r="M128">
        <v>0.89388516187079492</v>
      </c>
      <c r="N128">
        <v>0.89388516187079492</v>
      </c>
      <c r="O128">
        <v>0.89388516187079492</v>
      </c>
      <c r="P128">
        <v>0.89388516187079492</v>
      </c>
      <c r="Q128">
        <v>0.89388516187079492</v>
      </c>
      <c r="R128">
        <v>0.89388516187079492</v>
      </c>
      <c r="S128">
        <v>0.89388516187079492</v>
      </c>
      <c r="T128">
        <v>0.89388516187079492</v>
      </c>
      <c r="U128">
        <v>0.89388516187079492</v>
      </c>
      <c r="V128">
        <v>0.89388516187079492</v>
      </c>
      <c r="W128">
        <v>0.89388516187079492</v>
      </c>
      <c r="X128">
        <v>0.89387744503203881</v>
      </c>
      <c r="Y128">
        <v>0.88818241803004461</v>
      </c>
      <c r="Z128">
        <v>0.8851400543504564</v>
      </c>
      <c r="AA128">
        <v>0.87644703549172176</v>
      </c>
    </row>
    <row r="129" spans="1:27" x14ac:dyDescent="0.45">
      <c r="A129" t="s">
        <v>58</v>
      </c>
      <c r="B129" t="s">
        <v>428</v>
      </c>
      <c r="C129" t="str">
        <f t="shared" si="1"/>
        <v>MN|Summer Peak</v>
      </c>
      <c r="D129">
        <v>0.89388516187079492</v>
      </c>
      <c r="E129">
        <v>0.89388516187079492</v>
      </c>
      <c r="F129">
        <v>0.89388516187079492</v>
      </c>
      <c r="G129">
        <v>0.89388516187079492</v>
      </c>
      <c r="H129">
        <v>0.89388516187079492</v>
      </c>
      <c r="I129">
        <v>0.89388516187079492</v>
      </c>
      <c r="J129">
        <v>0.89388516187079492</v>
      </c>
      <c r="K129">
        <v>0.89388516187079492</v>
      </c>
      <c r="L129">
        <v>0.89388516187079492</v>
      </c>
      <c r="M129">
        <v>0.89388516187079492</v>
      </c>
      <c r="N129">
        <v>0.89388516187079492</v>
      </c>
      <c r="O129">
        <v>0.89388516187079492</v>
      </c>
      <c r="P129">
        <v>0.89388516187079492</v>
      </c>
      <c r="Q129">
        <v>0.89388516187079492</v>
      </c>
      <c r="R129">
        <v>0.89388516187079492</v>
      </c>
      <c r="S129">
        <v>0.89388516187079492</v>
      </c>
      <c r="T129">
        <v>0.89388516187079492</v>
      </c>
      <c r="U129">
        <v>0.89388516187079492</v>
      </c>
      <c r="V129">
        <v>0.89388516187079492</v>
      </c>
      <c r="W129">
        <v>0.89388516187079492</v>
      </c>
      <c r="X129">
        <v>0.89388516187079492</v>
      </c>
      <c r="Y129">
        <v>0.89388516187079492</v>
      </c>
      <c r="Z129">
        <v>0.89349173170821361</v>
      </c>
      <c r="AA129">
        <v>0.86805188660897203</v>
      </c>
    </row>
    <row r="130" spans="1:27" x14ac:dyDescent="0.45">
      <c r="A130" t="s">
        <v>58</v>
      </c>
      <c r="B130" t="s">
        <v>429</v>
      </c>
      <c r="C130" t="str">
        <f t="shared" si="1"/>
        <v>MN|Winter Peak</v>
      </c>
      <c r="D130">
        <v>0.89388516187079481</v>
      </c>
      <c r="E130">
        <v>0.89388516187079481</v>
      </c>
      <c r="F130">
        <v>0.89388516187079481</v>
      </c>
      <c r="G130">
        <v>0.89388516187079481</v>
      </c>
      <c r="H130">
        <v>0.89388516187079481</v>
      </c>
      <c r="I130">
        <v>0.89388516187079481</v>
      </c>
      <c r="J130">
        <v>0.89388516187079481</v>
      </c>
      <c r="K130">
        <v>0.89388516187079481</v>
      </c>
      <c r="L130">
        <v>0.89388516187079481</v>
      </c>
      <c r="M130">
        <v>0.89388516187079481</v>
      </c>
      <c r="N130">
        <v>0.89388516187079481</v>
      </c>
      <c r="O130">
        <v>0.89388516187079481</v>
      </c>
      <c r="P130">
        <v>0.89388516187079481</v>
      </c>
      <c r="Q130">
        <v>0.89388516187079481</v>
      </c>
      <c r="R130">
        <v>0.89388516187079481</v>
      </c>
      <c r="S130">
        <v>0.89388516187079481</v>
      </c>
      <c r="T130">
        <v>0.89388516187079481</v>
      </c>
      <c r="U130">
        <v>0.89388516187079481</v>
      </c>
      <c r="V130">
        <v>0.89388516187079481</v>
      </c>
      <c r="W130">
        <v>0.89388516187079481</v>
      </c>
      <c r="X130">
        <v>0.89388516187079481</v>
      </c>
      <c r="Y130">
        <v>0.89388516187079481</v>
      </c>
      <c r="Z130">
        <v>0.89388516187079481</v>
      </c>
      <c r="AA130">
        <v>0.88414308165449618</v>
      </c>
    </row>
    <row r="131" spans="1:27" x14ac:dyDescent="0.45">
      <c r="A131" t="s">
        <v>61</v>
      </c>
      <c r="B131" t="s">
        <v>424</v>
      </c>
      <c r="C131" t="str">
        <f t="shared" si="1"/>
        <v>MO|Winter</v>
      </c>
      <c r="D131">
        <v>0.8453129342831085</v>
      </c>
      <c r="E131">
        <v>0.83553048816252584</v>
      </c>
      <c r="F131">
        <v>0.82895169024552839</v>
      </c>
      <c r="G131">
        <v>0.83524751067130987</v>
      </c>
      <c r="H131">
        <v>0.84377199321730501</v>
      </c>
      <c r="I131">
        <v>0.84238797603299387</v>
      </c>
      <c r="J131">
        <v>0.8453129342831085</v>
      </c>
      <c r="K131">
        <v>0.84823789253322301</v>
      </c>
      <c r="L131">
        <v>0.84823789253322301</v>
      </c>
      <c r="M131">
        <v>0.84823789253322301</v>
      </c>
      <c r="N131">
        <v>0.84823789253322301</v>
      </c>
      <c r="O131">
        <v>0.84823789253322301</v>
      </c>
      <c r="P131">
        <v>0.84823789253322301</v>
      </c>
      <c r="Q131">
        <v>0.84823789253322301</v>
      </c>
      <c r="R131">
        <v>0.84823789253322301</v>
      </c>
      <c r="S131">
        <v>0.84823789253322301</v>
      </c>
      <c r="T131">
        <v>0.84823789253322301</v>
      </c>
      <c r="U131">
        <v>0.84823789253322301</v>
      </c>
      <c r="V131">
        <v>0.84823789253322301</v>
      </c>
      <c r="W131">
        <v>0.84823789253322301</v>
      </c>
      <c r="X131">
        <v>0.84823789253322301</v>
      </c>
      <c r="Y131">
        <v>0.84823789253322301</v>
      </c>
      <c r="Z131">
        <v>0.84823789253322301</v>
      </c>
      <c r="AA131">
        <v>0.84823789253322301</v>
      </c>
    </row>
    <row r="132" spans="1:27" x14ac:dyDescent="0.45">
      <c r="A132" t="s">
        <v>61</v>
      </c>
      <c r="B132" t="s">
        <v>425</v>
      </c>
      <c r="C132" t="str">
        <f t="shared" si="1"/>
        <v>MO|Spring</v>
      </c>
      <c r="D132">
        <v>0.84823789253322301</v>
      </c>
      <c r="E132">
        <v>0.84823789253322301</v>
      </c>
      <c r="F132">
        <v>0.84823789253322301</v>
      </c>
      <c r="G132">
        <v>0.84823789253322301</v>
      </c>
      <c r="H132">
        <v>0.84823789253322301</v>
      </c>
      <c r="I132">
        <v>0.84823789253322301</v>
      </c>
      <c r="J132">
        <v>0.84823789253322301</v>
      </c>
      <c r="K132">
        <v>0.84823789253322301</v>
      </c>
      <c r="L132">
        <v>0.84823789253322301</v>
      </c>
      <c r="M132">
        <v>0.84823789253322301</v>
      </c>
      <c r="N132">
        <v>0.84823789253322301</v>
      </c>
      <c r="O132">
        <v>0.84823789253322301</v>
      </c>
      <c r="P132">
        <v>0.84823789253322301</v>
      </c>
      <c r="Q132">
        <v>0.84823789253322301</v>
      </c>
      <c r="R132">
        <v>0.84823789253322301</v>
      </c>
      <c r="S132">
        <v>0.84823789253322301</v>
      </c>
      <c r="T132">
        <v>0.84823789253322301</v>
      </c>
      <c r="U132">
        <v>0.84823789253322301</v>
      </c>
      <c r="V132">
        <v>0.84823789253322301</v>
      </c>
      <c r="W132">
        <v>0.84823789253322301</v>
      </c>
      <c r="X132">
        <v>0.84823789253322301</v>
      </c>
      <c r="Y132">
        <v>0.84823789253322301</v>
      </c>
      <c r="Z132">
        <v>0.84823789253322301</v>
      </c>
      <c r="AA132">
        <v>0.84823789253322301</v>
      </c>
    </row>
    <row r="133" spans="1:27" x14ac:dyDescent="0.45">
      <c r="A133" t="s">
        <v>61</v>
      </c>
      <c r="B133" t="s">
        <v>426</v>
      </c>
      <c r="C133" t="str">
        <f t="shared" ref="C133:C196" si="2">A133&amp;"|"&amp;B133</f>
        <v>MO|Summer</v>
      </c>
      <c r="D133">
        <v>0.8482378925332229</v>
      </c>
      <c r="E133">
        <v>0.8482378925332229</v>
      </c>
      <c r="F133">
        <v>0.8482378925332229</v>
      </c>
      <c r="G133">
        <v>0.8482378925332229</v>
      </c>
      <c r="H133">
        <v>0.8482378925332229</v>
      </c>
      <c r="I133">
        <v>0.84501673597929927</v>
      </c>
      <c r="J133">
        <v>0.84501673597929927</v>
      </c>
      <c r="K133">
        <v>0.8482378925332229</v>
      </c>
      <c r="L133">
        <v>0.8482378925332229</v>
      </c>
      <c r="M133">
        <v>0.8482378925332229</v>
      </c>
      <c r="N133">
        <v>0.8482378925332229</v>
      </c>
      <c r="O133">
        <v>0.8482378925332229</v>
      </c>
      <c r="P133">
        <v>0.8482378925332229</v>
      </c>
      <c r="Q133">
        <v>0.8482378925332229</v>
      </c>
      <c r="R133">
        <v>0.8482378925332229</v>
      </c>
      <c r="S133">
        <v>0.8482378925332229</v>
      </c>
      <c r="T133">
        <v>0.8482378925332229</v>
      </c>
      <c r="U133">
        <v>0.8482378925332229</v>
      </c>
      <c r="V133">
        <v>0.8482378925332229</v>
      </c>
      <c r="W133">
        <v>0.8482378925332229</v>
      </c>
      <c r="X133">
        <v>0.8482378925332229</v>
      </c>
      <c r="Y133">
        <v>0.8482378925332229</v>
      </c>
      <c r="Z133">
        <v>0.8482378925332229</v>
      </c>
      <c r="AA133">
        <v>0.8482378925332229</v>
      </c>
    </row>
    <row r="134" spans="1:27" x14ac:dyDescent="0.45">
      <c r="A134" t="s">
        <v>61</v>
      </c>
      <c r="B134" t="s">
        <v>427</v>
      </c>
      <c r="C134" t="str">
        <f t="shared" si="2"/>
        <v>MO|Fall</v>
      </c>
      <c r="D134">
        <v>0.84063836203637077</v>
      </c>
      <c r="E134">
        <v>0.82188832400009293</v>
      </c>
      <c r="F134">
        <v>0.81766258804847303</v>
      </c>
      <c r="G134">
        <v>0.82824557871671634</v>
      </c>
      <c r="H134">
        <v>0.84099938802719332</v>
      </c>
      <c r="I134">
        <v>0.84142169518250964</v>
      </c>
      <c r="J134">
        <v>0.84072295668735686</v>
      </c>
      <c r="K134">
        <v>0.84744789839094359</v>
      </c>
      <c r="L134">
        <v>0.84823789253322301</v>
      </c>
      <c r="M134">
        <v>0.84823789253322301</v>
      </c>
      <c r="N134">
        <v>0.84823789253322301</v>
      </c>
      <c r="O134">
        <v>0.84823789253322301</v>
      </c>
      <c r="P134">
        <v>0.84823789253322301</v>
      </c>
      <c r="Q134">
        <v>0.84823789253322301</v>
      </c>
      <c r="R134">
        <v>0.84823789253322301</v>
      </c>
      <c r="S134">
        <v>0.84823789253322301</v>
      </c>
      <c r="T134">
        <v>0.84823789253322301</v>
      </c>
      <c r="U134">
        <v>0.84823789253322301</v>
      </c>
      <c r="V134">
        <v>0.84823789253322301</v>
      </c>
      <c r="W134">
        <v>0.84823789253322301</v>
      </c>
      <c r="X134">
        <v>0.84823789253322301</v>
      </c>
      <c r="Y134">
        <v>0.84823789253322301</v>
      </c>
      <c r="Z134">
        <v>0.84823789253322301</v>
      </c>
      <c r="AA134">
        <v>0.84776629400646597</v>
      </c>
    </row>
    <row r="135" spans="1:27" x14ac:dyDescent="0.45">
      <c r="A135" t="s">
        <v>61</v>
      </c>
      <c r="B135" t="s">
        <v>428</v>
      </c>
      <c r="C135" t="str">
        <f t="shared" si="2"/>
        <v>MO|Summer Peak</v>
      </c>
      <c r="D135">
        <v>0.84823789253322313</v>
      </c>
      <c r="E135">
        <v>0.84823789253322313</v>
      </c>
      <c r="F135">
        <v>0.84823789253322313</v>
      </c>
      <c r="G135">
        <v>0.84823789253322313</v>
      </c>
      <c r="H135">
        <v>0.84823789253322313</v>
      </c>
      <c r="I135">
        <v>0.84823789253322313</v>
      </c>
      <c r="J135">
        <v>0.84823789253322313</v>
      </c>
      <c r="K135">
        <v>0.84823789253322313</v>
      </c>
      <c r="L135">
        <v>0.84823789253322313</v>
      </c>
      <c r="M135">
        <v>0.84823789253322313</v>
      </c>
      <c r="N135">
        <v>0.84823789253322313</v>
      </c>
      <c r="O135">
        <v>0.84823789253322313</v>
      </c>
      <c r="P135">
        <v>0.84823789253322313</v>
      </c>
      <c r="Q135">
        <v>0.84823789253322313</v>
      </c>
      <c r="R135">
        <v>0.84823789253322313</v>
      </c>
      <c r="S135">
        <v>0.84823789253322313</v>
      </c>
      <c r="T135">
        <v>0.84823789253322313</v>
      </c>
      <c r="U135">
        <v>0.84823789253322313</v>
      </c>
      <c r="V135">
        <v>0.84823789253322313</v>
      </c>
      <c r="W135">
        <v>0.84823789253322313</v>
      </c>
      <c r="X135">
        <v>0.84823789253322313</v>
      </c>
      <c r="Y135">
        <v>0.84823789253322313</v>
      </c>
      <c r="Z135">
        <v>0.84823789253322313</v>
      </c>
      <c r="AA135">
        <v>0.84823789253322313</v>
      </c>
    </row>
    <row r="136" spans="1:27" x14ac:dyDescent="0.45">
      <c r="A136" t="s">
        <v>61</v>
      </c>
      <c r="B136" t="s">
        <v>429</v>
      </c>
      <c r="C136" t="str">
        <f t="shared" si="2"/>
        <v>MO|Winter Peak</v>
      </c>
      <c r="D136">
        <v>0.84823789253322313</v>
      </c>
      <c r="E136">
        <v>0.84823789253322313</v>
      </c>
      <c r="F136">
        <v>0.84823789253322313</v>
      </c>
      <c r="G136">
        <v>0.84823789253322313</v>
      </c>
      <c r="H136">
        <v>0.84823789253322313</v>
      </c>
      <c r="I136">
        <v>0.84823789253322313</v>
      </c>
      <c r="J136">
        <v>0.84823789253322313</v>
      </c>
      <c r="K136">
        <v>0.84823789253322313</v>
      </c>
      <c r="L136">
        <v>0.84823789253322313</v>
      </c>
      <c r="M136">
        <v>0.84823789253322313</v>
      </c>
      <c r="N136">
        <v>0.84823789253322313</v>
      </c>
      <c r="O136">
        <v>0.84823789253322313</v>
      </c>
      <c r="P136">
        <v>0.84823789253322313</v>
      </c>
      <c r="Q136">
        <v>0.84823789253322313</v>
      </c>
      <c r="R136">
        <v>0.84823789253322313</v>
      </c>
      <c r="S136">
        <v>0.84823789253322313</v>
      </c>
      <c r="T136">
        <v>0.84823789253322313</v>
      </c>
      <c r="U136">
        <v>0.84823789253322313</v>
      </c>
      <c r="V136">
        <v>0.84823789253322313</v>
      </c>
      <c r="W136">
        <v>0.84823789253322313</v>
      </c>
      <c r="X136">
        <v>0.84823789253322313</v>
      </c>
      <c r="Y136">
        <v>0.84823789253322313</v>
      </c>
      <c r="Z136">
        <v>0.84823789253322313</v>
      </c>
      <c r="AA136">
        <v>0.84823789253322313</v>
      </c>
    </row>
    <row r="137" spans="1:27" x14ac:dyDescent="0.45">
      <c r="A137" t="s">
        <v>63</v>
      </c>
      <c r="B137" t="s">
        <v>424</v>
      </c>
      <c r="C137" t="str">
        <f t="shared" si="2"/>
        <v>MS|Winter</v>
      </c>
      <c r="D137">
        <v>0.91993150285932335</v>
      </c>
      <c r="E137">
        <v>0.91993150285932335</v>
      </c>
      <c r="F137">
        <v>0.91993150285932335</v>
      </c>
      <c r="G137">
        <v>0.91993150285932335</v>
      </c>
      <c r="H137">
        <v>0.91993150285932335</v>
      </c>
      <c r="I137">
        <v>0.91993150285932335</v>
      </c>
      <c r="J137">
        <v>0.91993150285932335</v>
      </c>
      <c r="K137">
        <v>0.91993150285932335</v>
      </c>
      <c r="L137">
        <v>0.91993150285932335</v>
      </c>
      <c r="M137">
        <v>0.91993150285932335</v>
      </c>
      <c r="N137">
        <v>0.91993150285932335</v>
      </c>
      <c r="O137">
        <v>0.91993150285932335</v>
      </c>
      <c r="P137">
        <v>0.91993150285932335</v>
      </c>
      <c r="Q137">
        <v>0.91993150285932335</v>
      </c>
      <c r="R137">
        <v>0.91993150285932335</v>
      </c>
      <c r="S137">
        <v>0.91993150285932335</v>
      </c>
      <c r="T137">
        <v>0.91993150285932335</v>
      </c>
      <c r="U137">
        <v>0.91993150285932335</v>
      </c>
      <c r="V137">
        <v>0.91993150285932335</v>
      </c>
      <c r="W137">
        <v>0.91993150285932335</v>
      </c>
      <c r="X137">
        <v>0.91993150285932335</v>
      </c>
      <c r="Y137">
        <v>0.91993150285932335</v>
      </c>
      <c r="Z137">
        <v>0.91993150285932335</v>
      </c>
      <c r="AA137">
        <v>0.91993150285932335</v>
      </c>
    </row>
    <row r="138" spans="1:27" x14ac:dyDescent="0.45">
      <c r="A138" t="s">
        <v>63</v>
      </c>
      <c r="B138" t="s">
        <v>425</v>
      </c>
      <c r="C138" t="str">
        <f t="shared" si="2"/>
        <v>MS|Spring</v>
      </c>
      <c r="D138">
        <v>0.91993150285932335</v>
      </c>
      <c r="E138">
        <v>0.91993150285932335</v>
      </c>
      <c r="F138">
        <v>0.91993150285932335</v>
      </c>
      <c r="G138">
        <v>0.91993150285932335</v>
      </c>
      <c r="H138">
        <v>0.91993150285932335</v>
      </c>
      <c r="I138">
        <v>0.91993150285932335</v>
      </c>
      <c r="J138">
        <v>0.91993150285932335</v>
      </c>
      <c r="K138">
        <v>0.91993150285932335</v>
      </c>
      <c r="L138">
        <v>0.91993150285932335</v>
      </c>
      <c r="M138">
        <v>0.91993150285932335</v>
      </c>
      <c r="N138">
        <v>0.91993150285932335</v>
      </c>
      <c r="O138">
        <v>0.91993150285932335</v>
      </c>
      <c r="P138">
        <v>0.91993150285932335</v>
      </c>
      <c r="Q138">
        <v>0.91993150285932335</v>
      </c>
      <c r="R138">
        <v>0.91993150285932335</v>
      </c>
      <c r="S138">
        <v>0.91993150285932335</v>
      </c>
      <c r="T138">
        <v>0.91993150285932335</v>
      </c>
      <c r="U138">
        <v>0.91993150285932335</v>
      </c>
      <c r="V138">
        <v>0.91993150285932335</v>
      </c>
      <c r="W138">
        <v>0.91993150285932335</v>
      </c>
      <c r="X138">
        <v>0.91993150285932335</v>
      </c>
      <c r="Y138">
        <v>0.91993150285932335</v>
      </c>
      <c r="Z138">
        <v>0.91993150285932335</v>
      </c>
      <c r="AA138">
        <v>0.91993150285932335</v>
      </c>
    </row>
    <row r="139" spans="1:27" x14ac:dyDescent="0.45">
      <c r="A139" t="s">
        <v>63</v>
      </c>
      <c r="B139" t="s">
        <v>426</v>
      </c>
      <c r="C139" t="str">
        <f t="shared" si="2"/>
        <v>MS|Summer</v>
      </c>
      <c r="D139">
        <v>0.91993150285932335</v>
      </c>
      <c r="E139">
        <v>0.91993150285932335</v>
      </c>
      <c r="F139">
        <v>0.91993150285932335</v>
      </c>
      <c r="G139">
        <v>0.91993150285932335</v>
      </c>
      <c r="H139">
        <v>0.91993150285932335</v>
      </c>
      <c r="I139">
        <v>0.91993150285932335</v>
      </c>
      <c r="J139">
        <v>0.91993150285932335</v>
      </c>
      <c r="K139">
        <v>0.91993150285932335</v>
      </c>
      <c r="L139">
        <v>0.91993150285932335</v>
      </c>
      <c r="M139">
        <v>0.91993150285932335</v>
      </c>
      <c r="N139">
        <v>0.91993150285932335</v>
      </c>
      <c r="O139">
        <v>0.91993150285932335</v>
      </c>
      <c r="P139">
        <v>0.91993150285932335</v>
      </c>
      <c r="Q139">
        <v>0.91993150285932335</v>
      </c>
      <c r="R139">
        <v>0.91993150285932335</v>
      </c>
      <c r="S139">
        <v>0.91993150285932335</v>
      </c>
      <c r="T139">
        <v>0.91993150285932335</v>
      </c>
      <c r="U139">
        <v>0.91993150285932335</v>
      </c>
      <c r="V139">
        <v>0.91993150285932335</v>
      </c>
      <c r="W139">
        <v>0.91993150285932335</v>
      </c>
      <c r="X139">
        <v>0.91993150285932335</v>
      </c>
      <c r="Y139">
        <v>0.91993150285932335</v>
      </c>
      <c r="Z139">
        <v>0.91993150285932335</v>
      </c>
      <c r="AA139">
        <v>0.91993150285932335</v>
      </c>
    </row>
    <row r="140" spans="1:27" x14ac:dyDescent="0.45">
      <c r="A140" t="s">
        <v>63</v>
      </c>
      <c r="B140" t="s">
        <v>427</v>
      </c>
      <c r="C140" t="str">
        <f t="shared" si="2"/>
        <v>MS|Fall</v>
      </c>
      <c r="D140">
        <v>0.91993150285932335</v>
      </c>
      <c r="E140">
        <v>0.91993150285932335</v>
      </c>
      <c r="F140">
        <v>0.91993150285932335</v>
      </c>
      <c r="G140">
        <v>0.91993150285932335</v>
      </c>
      <c r="H140">
        <v>0.91993150285932335</v>
      </c>
      <c r="I140">
        <v>0.91660662276689442</v>
      </c>
      <c r="J140">
        <v>0.91993150285932335</v>
      </c>
      <c r="K140">
        <v>0.91993150285932335</v>
      </c>
      <c r="L140">
        <v>0.91993150285932335</v>
      </c>
      <c r="M140">
        <v>0.91993150285932335</v>
      </c>
      <c r="N140">
        <v>0.91993150285932335</v>
      </c>
      <c r="O140">
        <v>0.91993150285932335</v>
      </c>
      <c r="P140">
        <v>0.91993150285932335</v>
      </c>
      <c r="Q140">
        <v>0.91993150285932335</v>
      </c>
      <c r="R140">
        <v>0.91993150285932335</v>
      </c>
      <c r="S140">
        <v>0.91993150285932335</v>
      </c>
      <c r="T140">
        <v>0.91993150285932335</v>
      </c>
      <c r="U140">
        <v>0.91993150285932335</v>
      </c>
      <c r="V140">
        <v>0.91993150285932335</v>
      </c>
      <c r="W140">
        <v>0.91993150285932335</v>
      </c>
      <c r="X140">
        <v>0.91993150285932335</v>
      </c>
      <c r="Y140">
        <v>0.91993150285932335</v>
      </c>
      <c r="Z140">
        <v>0.91993150285932335</v>
      </c>
      <c r="AA140">
        <v>0.91993150285932335</v>
      </c>
    </row>
    <row r="141" spans="1:27" x14ac:dyDescent="0.45">
      <c r="A141" t="s">
        <v>63</v>
      </c>
      <c r="B141" t="s">
        <v>428</v>
      </c>
      <c r="C141" t="str">
        <f t="shared" si="2"/>
        <v>MS|Summer Peak</v>
      </c>
      <c r="D141">
        <v>0.91993150285932324</v>
      </c>
      <c r="E141">
        <v>0.91993150285932324</v>
      </c>
      <c r="F141">
        <v>0.91993150285932324</v>
      </c>
      <c r="G141">
        <v>0.91993150285932324</v>
      </c>
      <c r="H141">
        <v>0.91993150285932324</v>
      </c>
      <c r="I141">
        <v>0.91993150285932324</v>
      </c>
      <c r="J141">
        <v>0.91993150285932324</v>
      </c>
      <c r="K141">
        <v>0.91993150285932324</v>
      </c>
      <c r="L141">
        <v>0.91993150285932324</v>
      </c>
      <c r="M141">
        <v>0.91993150285932324</v>
      </c>
      <c r="N141">
        <v>0.91993150285932324</v>
      </c>
      <c r="O141">
        <v>0.91993150285932324</v>
      </c>
      <c r="P141">
        <v>0.91993150285932324</v>
      </c>
      <c r="Q141">
        <v>0.91993150285932324</v>
      </c>
      <c r="R141">
        <v>0.91993150285932324</v>
      </c>
      <c r="S141">
        <v>0.91993150285932324</v>
      </c>
      <c r="T141">
        <v>0.91993150285932324</v>
      </c>
      <c r="U141">
        <v>0.91993150285932324</v>
      </c>
      <c r="V141">
        <v>0.91993150285932324</v>
      </c>
      <c r="W141">
        <v>0.91993150285932324</v>
      </c>
      <c r="X141">
        <v>0.91993150285932324</v>
      </c>
      <c r="Y141">
        <v>0.91993150285932324</v>
      </c>
      <c r="Z141">
        <v>0.91993150285932324</v>
      </c>
      <c r="AA141">
        <v>0.91993150285932324</v>
      </c>
    </row>
    <row r="142" spans="1:27" x14ac:dyDescent="0.45">
      <c r="A142" t="s">
        <v>63</v>
      </c>
      <c r="B142" t="s">
        <v>429</v>
      </c>
      <c r="C142" t="str">
        <f t="shared" si="2"/>
        <v>MS|Winter Peak</v>
      </c>
      <c r="D142">
        <v>0.91993150285932335</v>
      </c>
      <c r="E142">
        <v>0.91993150285932335</v>
      </c>
      <c r="F142">
        <v>0.91993150285932335</v>
      </c>
      <c r="G142">
        <v>0.91993150285932335</v>
      </c>
      <c r="H142">
        <v>0.91993150285932335</v>
      </c>
      <c r="I142">
        <v>0.91993150285932335</v>
      </c>
      <c r="J142">
        <v>0.91993150285932335</v>
      </c>
      <c r="K142">
        <v>0.91993150285932335</v>
      </c>
      <c r="L142">
        <v>0.91993150285932335</v>
      </c>
      <c r="M142">
        <v>0.91993150285932335</v>
      </c>
      <c r="N142">
        <v>0.91993150285932335</v>
      </c>
      <c r="O142">
        <v>0.91993150285932335</v>
      </c>
      <c r="P142">
        <v>0.91993150285932335</v>
      </c>
      <c r="Q142">
        <v>0.91993150285932335</v>
      </c>
      <c r="R142">
        <v>0.91993150285932335</v>
      </c>
      <c r="S142">
        <v>0.91993150285932335</v>
      </c>
      <c r="T142">
        <v>0.91993150285932335</v>
      </c>
      <c r="U142">
        <v>0.91993150285932335</v>
      </c>
      <c r="V142">
        <v>0.91993150285932335</v>
      </c>
      <c r="W142">
        <v>0.91993150285932335</v>
      </c>
      <c r="X142">
        <v>0.91993150285932335</v>
      </c>
      <c r="Y142">
        <v>0.91993150285932335</v>
      </c>
      <c r="Z142">
        <v>0.91993150285932335</v>
      </c>
      <c r="AA142">
        <v>0.91993150285932335</v>
      </c>
    </row>
    <row r="143" spans="1:27" x14ac:dyDescent="0.45">
      <c r="A143" t="s">
        <v>65</v>
      </c>
      <c r="B143" t="s">
        <v>424</v>
      </c>
      <c r="C143" t="str">
        <f t="shared" si="2"/>
        <v>MT|Winter</v>
      </c>
      <c r="D143">
        <v>0.90899999999999992</v>
      </c>
      <c r="E143">
        <v>0.90899999999999992</v>
      </c>
      <c r="F143">
        <v>0.90899999999999992</v>
      </c>
      <c r="G143">
        <v>0.90899999999999992</v>
      </c>
      <c r="H143">
        <v>0.90899999999999992</v>
      </c>
      <c r="I143">
        <v>0.90899999999999992</v>
      </c>
      <c r="J143">
        <v>0.90899999999999992</v>
      </c>
      <c r="K143">
        <v>0.90899999999999992</v>
      </c>
      <c r="L143">
        <v>0.90899999999999992</v>
      </c>
      <c r="M143">
        <v>0.90899999999999992</v>
      </c>
      <c r="N143">
        <v>0.90899999999999992</v>
      </c>
      <c r="O143">
        <v>0.90899999999999992</v>
      </c>
      <c r="P143">
        <v>0.90899999999999992</v>
      </c>
      <c r="Q143">
        <v>0.90899999999999992</v>
      </c>
      <c r="R143">
        <v>0.90899999999999992</v>
      </c>
      <c r="S143">
        <v>0.90899999999999992</v>
      </c>
      <c r="T143">
        <v>0.90899999999999992</v>
      </c>
      <c r="U143">
        <v>0.90899999999999992</v>
      </c>
      <c r="V143">
        <v>0.90899999999999992</v>
      </c>
      <c r="W143">
        <v>0.90899999999999992</v>
      </c>
      <c r="X143">
        <v>0.90899999999999992</v>
      </c>
      <c r="Y143">
        <v>0.90899999999999992</v>
      </c>
      <c r="Z143">
        <v>0.90899999999999992</v>
      </c>
      <c r="AA143">
        <v>0.90899999999999992</v>
      </c>
    </row>
    <row r="144" spans="1:27" x14ac:dyDescent="0.45">
      <c r="A144" t="s">
        <v>65</v>
      </c>
      <c r="B144" t="s">
        <v>425</v>
      </c>
      <c r="C144" t="str">
        <f t="shared" si="2"/>
        <v>MT|Spring</v>
      </c>
      <c r="D144">
        <v>0.90899999999999992</v>
      </c>
      <c r="E144">
        <v>0.90899999999999992</v>
      </c>
      <c r="F144">
        <v>0.90899999999999992</v>
      </c>
      <c r="G144">
        <v>0.90899999999999992</v>
      </c>
      <c r="H144">
        <v>0.90899999999999992</v>
      </c>
      <c r="I144">
        <v>0.90899999999999992</v>
      </c>
      <c r="J144">
        <v>0.90899999999999992</v>
      </c>
      <c r="K144">
        <v>0.90899999999999992</v>
      </c>
      <c r="L144">
        <v>0.90899999999999992</v>
      </c>
      <c r="M144">
        <v>0.90899999999999992</v>
      </c>
      <c r="N144">
        <v>0.90899999999999992</v>
      </c>
      <c r="O144">
        <v>0.90899999999999992</v>
      </c>
      <c r="P144">
        <v>0.90899999999999992</v>
      </c>
      <c r="Q144">
        <v>0.90899999999999992</v>
      </c>
      <c r="R144">
        <v>0.90899999999999992</v>
      </c>
      <c r="S144">
        <v>0.90899999999999992</v>
      </c>
      <c r="T144">
        <v>0.90899999999999992</v>
      </c>
      <c r="U144">
        <v>0.90899999999999992</v>
      </c>
      <c r="V144">
        <v>0.90899999999999992</v>
      </c>
      <c r="W144">
        <v>0.90899999999999992</v>
      </c>
      <c r="X144">
        <v>0.90899999999999992</v>
      </c>
      <c r="Y144">
        <v>0.90899999999999992</v>
      </c>
      <c r="Z144">
        <v>0.90899999999999992</v>
      </c>
      <c r="AA144">
        <v>0.90899999999999992</v>
      </c>
    </row>
    <row r="145" spans="1:27" x14ac:dyDescent="0.45">
      <c r="A145" t="s">
        <v>65</v>
      </c>
      <c r="B145" t="s">
        <v>426</v>
      </c>
      <c r="C145" t="str">
        <f t="shared" si="2"/>
        <v>MT|Summer</v>
      </c>
      <c r="D145">
        <v>0.90899999999999992</v>
      </c>
      <c r="E145">
        <v>0.90899999999999992</v>
      </c>
      <c r="F145">
        <v>0.90899999999999992</v>
      </c>
      <c r="G145">
        <v>0.90899999999999992</v>
      </c>
      <c r="H145">
        <v>0.90899999999999992</v>
      </c>
      <c r="I145">
        <v>0.90899999999999992</v>
      </c>
      <c r="J145">
        <v>0.90899999999999992</v>
      </c>
      <c r="K145">
        <v>0.90899999999999992</v>
      </c>
      <c r="L145">
        <v>0.90899999999999992</v>
      </c>
      <c r="M145">
        <v>0.90899999999999992</v>
      </c>
      <c r="N145">
        <v>0.90899999999999992</v>
      </c>
      <c r="O145">
        <v>0.90899999999999992</v>
      </c>
      <c r="P145">
        <v>0.90899999999999992</v>
      </c>
      <c r="Q145">
        <v>0.90899999999999992</v>
      </c>
      <c r="R145">
        <v>0.90899999999999992</v>
      </c>
      <c r="S145">
        <v>0.90899999999999992</v>
      </c>
      <c r="T145">
        <v>0.90899999999999992</v>
      </c>
      <c r="U145">
        <v>0.90899999999999992</v>
      </c>
      <c r="V145">
        <v>0.90899999999999992</v>
      </c>
      <c r="W145">
        <v>0.90899999999999992</v>
      </c>
      <c r="X145">
        <v>0.90899999999999992</v>
      </c>
      <c r="Y145">
        <v>0.90899999999999992</v>
      </c>
      <c r="Z145">
        <v>0.90899999999999992</v>
      </c>
      <c r="AA145">
        <v>0.90899999999999992</v>
      </c>
    </row>
    <row r="146" spans="1:27" x14ac:dyDescent="0.45">
      <c r="A146" t="s">
        <v>65</v>
      </c>
      <c r="B146" t="s">
        <v>427</v>
      </c>
      <c r="C146" t="str">
        <f t="shared" si="2"/>
        <v>MT|Fall</v>
      </c>
      <c r="D146">
        <v>0.90899999999999992</v>
      </c>
      <c r="E146">
        <v>0.90899999999999992</v>
      </c>
      <c r="F146">
        <v>0.90899999999999992</v>
      </c>
      <c r="G146">
        <v>0.90899999999999992</v>
      </c>
      <c r="H146">
        <v>0.90899999999999992</v>
      </c>
      <c r="I146">
        <v>0.90899999999999992</v>
      </c>
      <c r="J146">
        <v>0.90899999999999992</v>
      </c>
      <c r="K146">
        <v>0.90899999999999992</v>
      </c>
      <c r="L146">
        <v>0.90899999999999992</v>
      </c>
      <c r="M146">
        <v>0.90899999999999992</v>
      </c>
      <c r="N146">
        <v>0.90899999999999992</v>
      </c>
      <c r="O146">
        <v>0.90899999999999992</v>
      </c>
      <c r="P146">
        <v>0.90899999999999992</v>
      </c>
      <c r="Q146">
        <v>0.90899999999999992</v>
      </c>
      <c r="R146">
        <v>0.90899999999999992</v>
      </c>
      <c r="S146">
        <v>0.90899999999999992</v>
      </c>
      <c r="T146">
        <v>0.90899999999999992</v>
      </c>
      <c r="U146">
        <v>0.90899999999999992</v>
      </c>
      <c r="V146">
        <v>0.90899999999999992</v>
      </c>
      <c r="W146">
        <v>0.90899999999999992</v>
      </c>
      <c r="X146">
        <v>0.90899999999999992</v>
      </c>
      <c r="Y146">
        <v>0.90899999999999992</v>
      </c>
      <c r="Z146">
        <v>0.90899999999999992</v>
      </c>
      <c r="AA146">
        <v>0.90899999999999992</v>
      </c>
    </row>
    <row r="147" spans="1:27" x14ac:dyDescent="0.45">
      <c r="A147" t="s">
        <v>65</v>
      </c>
      <c r="B147" t="s">
        <v>428</v>
      </c>
      <c r="C147" t="str">
        <f t="shared" si="2"/>
        <v>MT|Summer Peak</v>
      </c>
      <c r="D147">
        <v>0.90899999999999992</v>
      </c>
      <c r="E147">
        <v>0.90899999999999992</v>
      </c>
      <c r="F147">
        <v>0.90899999999999992</v>
      </c>
      <c r="G147">
        <v>0.90899999999999992</v>
      </c>
      <c r="H147">
        <v>0.90899999999999992</v>
      </c>
      <c r="I147">
        <v>0.90899999999999992</v>
      </c>
      <c r="J147">
        <v>0.90899999999999992</v>
      </c>
      <c r="K147">
        <v>0.90899999999999992</v>
      </c>
      <c r="L147">
        <v>0.90899999999999992</v>
      </c>
      <c r="M147">
        <v>0.90899999999999992</v>
      </c>
      <c r="N147">
        <v>0.90899999999999992</v>
      </c>
      <c r="O147">
        <v>0.90899999999999992</v>
      </c>
      <c r="P147">
        <v>0.90899999999999992</v>
      </c>
      <c r="Q147">
        <v>0.90899999999999992</v>
      </c>
      <c r="R147">
        <v>0.90899999999999992</v>
      </c>
      <c r="S147">
        <v>0.90899999999999992</v>
      </c>
      <c r="T147">
        <v>0.90899999999999992</v>
      </c>
      <c r="U147">
        <v>0.90899999999999992</v>
      </c>
      <c r="V147">
        <v>0.90899999999999992</v>
      </c>
      <c r="W147">
        <v>0.90899999999999992</v>
      </c>
      <c r="X147">
        <v>0.90899999999999992</v>
      </c>
      <c r="Y147">
        <v>0.90899999999999992</v>
      </c>
      <c r="Z147">
        <v>0.90899999999999992</v>
      </c>
      <c r="AA147">
        <v>0.90899999999999992</v>
      </c>
    </row>
    <row r="148" spans="1:27" x14ac:dyDescent="0.45">
      <c r="A148" t="s">
        <v>65</v>
      </c>
      <c r="B148" t="s">
        <v>429</v>
      </c>
      <c r="C148" t="str">
        <f t="shared" si="2"/>
        <v>MT|Winter Peak</v>
      </c>
      <c r="D148">
        <v>0.90899999999999992</v>
      </c>
      <c r="E148">
        <v>0.90899999999999992</v>
      </c>
      <c r="F148">
        <v>0.90899999999999992</v>
      </c>
      <c r="G148">
        <v>0.90899999999999992</v>
      </c>
      <c r="H148">
        <v>0.90899999999999992</v>
      </c>
      <c r="I148">
        <v>0.90899999999999992</v>
      </c>
      <c r="J148">
        <v>0.90899999999999992</v>
      </c>
      <c r="K148">
        <v>0.90899999999999992</v>
      </c>
      <c r="L148">
        <v>0.90899999999999992</v>
      </c>
      <c r="M148">
        <v>0.90899999999999992</v>
      </c>
      <c r="N148">
        <v>0.90899999999999992</v>
      </c>
      <c r="O148">
        <v>0.90899999999999992</v>
      </c>
      <c r="P148">
        <v>0.90899999999999992</v>
      </c>
      <c r="Q148">
        <v>0.90899999999999992</v>
      </c>
      <c r="R148">
        <v>0.90899999999999992</v>
      </c>
      <c r="S148">
        <v>0.90899999999999992</v>
      </c>
      <c r="T148">
        <v>0.90899999999999992</v>
      </c>
      <c r="U148">
        <v>0.90899999999999992</v>
      </c>
      <c r="V148">
        <v>0.90899999999999992</v>
      </c>
      <c r="W148">
        <v>0.90899999999999992</v>
      </c>
      <c r="X148">
        <v>0.90899999999999992</v>
      </c>
      <c r="Y148">
        <v>0.90899999999999992</v>
      </c>
      <c r="Z148">
        <v>0.90899999999999992</v>
      </c>
      <c r="AA148">
        <v>0.90899999999999992</v>
      </c>
    </row>
    <row r="149" spans="1:27" x14ac:dyDescent="0.45">
      <c r="A149" t="s">
        <v>68</v>
      </c>
      <c r="B149" t="s">
        <v>424</v>
      </c>
      <c r="C149" t="str">
        <f t="shared" si="2"/>
        <v>NC|Winter</v>
      </c>
      <c r="D149">
        <v>0.95764724942414203</v>
      </c>
      <c r="E149">
        <v>0.95764724942414203</v>
      </c>
      <c r="F149">
        <v>0.95764724942414203</v>
      </c>
      <c r="G149">
        <v>0.95764724942414203</v>
      </c>
      <c r="H149">
        <v>0.95764724942414203</v>
      </c>
      <c r="I149">
        <v>0.95764724942414203</v>
      </c>
      <c r="J149">
        <v>0.95764724942414203</v>
      </c>
      <c r="K149">
        <v>0.95764724942414203</v>
      </c>
      <c r="L149">
        <v>0.95764724942414203</v>
      </c>
      <c r="M149">
        <v>0.95764724942414203</v>
      </c>
      <c r="N149">
        <v>0.95764724942414203</v>
      </c>
      <c r="O149">
        <v>0.95764724942414203</v>
      </c>
      <c r="P149">
        <v>0.95764724942414203</v>
      </c>
      <c r="Q149">
        <v>0.95764724942414203</v>
      </c>
      <c r="R149">
        <v>0.95764724942414203</v>
      </c>
      <c r="S149">
        <v>0.95764724942414203</v>
      </c>
      <c r="T149">
        <v>0.95764724942414203</v>
      </c>
      <c r="U149">
        <v>0.95764724942414203</v>
      </c>
      <c r="V149">
        <v>0.95764724942414203</v>
      </c>
      <c r="W149">
        <v>0.95764724942414203</v>
      </c>
      <c r="X149">
        <v>0.95764724942414203</v>
      </c>
      <c r="Y149">
        <v>0.95764724942414203</v>
      </c>
      <c r="Z149">
        <v>0.95764724942414203</v>
      </c>
      <c r="AA149">
        <v>0.95764724942414203</v>
      </c>
    </row>
    <row r="150" spans="1:27" x14ac:dyDescent="0.45">
      <c r="A150" t="s">
        <v>68</v>
      </c>
      <c r="B150" t="s">
        <v>425</v>
      </c>
      <c r="C150" t="str">
        <f t="shared" si="2"/>
        <v>NC|Spring</v>
      </c>
      <c r="D150">
        <v>0.95764724942414203</v>
      </c>
      <c r="E150">
        <v>0.95764724942414203</v>
      </c>
      <c r="F150">
        <v>0.95764724942414203</v>
      </c>
      <c r="G150">
        <v>0.95764724942414203</v>
      </c>
      <c r="H150">
        <v>0.95764724942414203</v>
      </c>
      <c r="I150">
        <v>0.95764724942414203</v>
      </c>
      <c r="J150">
        <v>0.95764724942414203</v>
      </c>
      <c r="K150">
        <v>0.95693506288720009</v>
      </c>
      <c r="L150">
        <v>0.95764724942414203</v>
      </c>
      <c r="M150">
        <v>0.95764724942414203</v>
      </c>
      <c r="N150">
        <v>0.95764724942414203</v>
      </c>
      <c r="O150">
        <v>0.95764724942414203</v>
      </c>
      <c r="P150">
        <v>0.95764724942414203</v>
      </c>
      <c r="Q150">
        <v>0.95764724942414203</v>
      </c>
      <c r="R150">
        <v>0.95764724942414203</v>
      </c>
      <c r="S150">
        <v>0.95764724942414203</v>
      </c>
      <c r="T150">
        <v>0.95764724942414203</v>
      </c>
      <c r="U150">
        <v>0.95764724942414203</v>
      </c>
      <c r="V150">
        <v>0.95764724942414203</v>
      </c>
      <c r="W150">
        <v>0.95764724942414203</v>
      </c>
      <c r="X150">
        <v>0.95764724942414203</v>
      </c>
      <c r="Y150">
        <v>0.95764724942414203</v>
      </c>
      <c r="Z150">
        <v>0.95764724942414203</v>
      </c>
      <c r="AA150">
        <v>0.95764724942414203</v>
      </c>
    </row>
    <row r="151" spans="1:27" x14ac:dyDescent="0.45">
      <c r="A151" t="s">
        <v>68</v>
      </c>
      <c r="B151" t="s">
        <v>426</v>
      </c>
      <c r="C151" t="str">
        <f t="shared" si="2"/>
        <v>NC|Summer</v>
      </c>
      <c r="D151">
        <v>0.95764724942414203</v>
      </c>
      <c r="E151">
        <v>0.95764724942414203</v>
      </c>
      <c r="F151">
        <v>0.95764724942414203</v>
      </c>
      <c r="G151">
        <v>0.95764724942414203</v>
      </c>
      <c r="H151">
        <v>0.95764724942414203</v>
      </c>
      <c r="I151">
        <v>0.95764724942414203</v>
      </c>
      <c r="J151">
        <v>0.95764724942414203</v>
      </c>
      <c r="K151">
        <v>0.95764724942414203</v>
      </c>
      <c r="L151">
        <v>0.95764724942414203</v>
      </c>
      <c r="M151">
        <v>0.95764724942414203</v>
      </c>
      <c r="N151">
        <v>0.95764724942414203</v>
      </c>
      <c r="O151">
        <v>0.95764724942414203</v>
      </c>
      <c r="P151">
        <v>0.95764724942414203</v>
      </c>
      <c r="Q151">
        <v>0.95764724942414203</v>
      </c>
      <c r="R151">
        <v>0.95764724942414203</v>
      </c>
      <c r="S151">
        <v>0.95764724942414203</v>
      </c>
      <c r="T151">
        <v>0.95764724942414203</v>
      </c>
      <c r="U151">
        <v>0.95764724942414203</v>
      </c>
      <c r="V151">
        <v>0.95764724942414203</v>
      </c>
      <c r="W151">
        <v>0.95764724942414203</v>
      </c>
      <c r="X151">
        <v>0.95764724942414203</v>
      </c>
      <c r="Y151">
        <v>0.95764724942414203</v>
      </c>
      <c r="Z151">
        <v>0.95764724942414203</v>
      </c>
      <c r="AA151">
        <v>0.95764724942414203</v>
      </c>
    </row>
    <row r="152" spans="1:27" x14ac:dyDescent="0.45">
      <c r="A152" t="s">
        <v>68</v>
      </c>
      <c r="B152" t="s">
        <v>427</v>
      </c>
      <c r="C152" t="str">
        <f t="shared" si="2"/>
        <v>NC|Fall</v>
      </c>
      <c r="D152">
        <v>0.95764724942414203</v>
      </c>
      <c r="E152">
        <v>0.95764724942414203</v>
      </c>
      <c r="F152">
        <v>0.95764724942414203</v>
      </c>
      <c r="G152">
        <v>0.95764724942414203</v>
      </c>
      <c r="H152">
        <v>0.95764724942414203</v>
      </c>
      <c r="I152">
        <v>0.95764724942414203</v>
      </c>
      <c r="J152">
        <v>0.95616198187218604</v>
      </c>
      <c r="K152">
        <v>0.95631863252329252</v>
      </c>
      <c r="L152">
        <v>0.95764724942414203</v>
      </c>
      <c r="M152">
        <v>0.95764724942414203</v>
      </c>
      <c r="N152">
        <v>0.95764724942414203</v>
      </c>
      <c r="O152">
        <v>0.95764724942414203</v>
      </c>
      <c r="P152">
        <v>0.95764724942414203</v>
      </c>
      <c r="Q152">
        <v>0.95764724942414203</v>
      </c>
      <c r="R152">
        <v>0.95764724942414203</v>
      </c>
      <c r="S152">
        <v>0.95764724942414203</v>
      </c>
      <c r="T152">
        <v>0.95764724942414203</v>
      </c>
      <c r="U152">
        <v>0.95764724942414203</v>
      </c>
      <c r="V152">
        <v>0.95764724942414203</v>
      </c>
      <c r="W152">
        <v>0.95764724942414203</v>
      </c>
      <c r="X152">
        <v>0.95764724942414203</v>
      </c>
      <c r="Y152">
        <v>0.95764724942414203</v>
      </c>
      <c r="Z152">
        <v>0.95764724942414203</v>
      </c>
      <c r="AA152">
        <v>0.95764724942414203</v>
      </c>
    </row>
    <row r="153" spans="1:27" x14ac:dyDescent="0.45">
      <c r="A153" t="s">
        <v>68</v>
      </c>
      <c r="B153" t="s">
        <v>428</v>
      </c>
      <c r="C153" t="str">
        <f t="shared" si="2"/>
        <v>NC|Summer Peak</v>
      </c>
      <c r="D153">
        <v>0.95764724942414214</v>
      </c>
      <c r="E153">
        <v>0.95764724942414214</v>
      </c>
      <c r="F153">
        <v>0.95764724942414214</v>
      </c>
      <c r="G153">
        <v>0.95764724942414214</v>
      </c>
      <c r="H153">
        <v>0.95764724942414214</v>
      </c>
      <c r="I153">
        <v>0.95764724942414214</v>
      </c>
      <c r="J153">
        <v>0.95764724942414214</v>
      </c>
      <c r="K153">
        <v>0.95764724942414214</v>
      </c>
      <c r="L153">
        <v>0.95764724942414214</v>
      </c>
      <c r="M153">
        <v>0.95764724942414214</v>
      </c>
      <c r="N153">
        <v>0.95764724942414214</v>
      </c>
      <c r="O153">
        <v>0.95764724942414214</v>
      </c>
      <c r="P153">
        <v>0.95764724942414214</v>
      </c>
      <c r="Q153">
        <v>0.95764724942414214</v>
      </c>
      <c r="R153">
        <v>0.95764724942414214</v>
      </c>
      <c r="S153">
        <v>0.95764724942414214</v>
      </c>
      <c r="T153">
        <v>0.95764724942414214</v>
      </c>
      <c r="U153">
        <v>0.95764724942414214</v>
      </c>
      <c r="V153">
        <v>0.95764724942414214</v>
      </c>
      <c r="W153">
        <v>0.95764724942414214</v>
      </c>
      <c r="X153">
        <v>0.95764724942414214</v>
      </c>
      <c r="Y153">
        <v>0.95764724942414214</v>
      </c>
      <c r="Z153">
        <v>0.95764724942414214</v>
      </c>
      <c r="AA153">
        <v>0.95764724942414214</v>
      </c>
    </row>
    <row r="154" spans="1:27" x14ac:dyDescent="0.45">
      <c r="A154" t="s">
        <v>68</v>
      </c>
      <c r="B154" t="s">
        <v>429</v>
      </c>
      <c r="C154" t="str">
        <f t="shared" si="2"/>
        <v>NC|Winter Peak</v>
      </c>
      <c r="D154">
        <v>0.95764724942414203</v>
      </c>
      <c r="E154">
        <v>0.95764724942414203</v>
      </c>
      <c r="F154">
        <v>0.95764724942414203</v>
      </c>
      <c r="G154">
        <v>0.95764724942414203</v>
      </c>
      <c r="H154">
        <v>0.95764724942414203</v>
      </c>
      <c r="I154">
        <v>0.95764724942414203</v>
      </c>
      <c r="J154">
        <v>0.95764724942414203</v>
      </c>
      <c r="K154">
        <v>0.95764724942414203</v>
      </c>
      <c r="L154">
        <v>0.95764724942414203</v>
      </c>
      <c r="M154">
        <v>0.95764724942414203</v>
      </c>
      <c r="N154">
        <v>0.95764724942414203</v>
      </c>
      <c r="O154">
        <v>0.95764724942414203</v>
      </c>
      <c r="P154">
        <v>0.95764724942414203</v>
      </c>
      <c r="Q154">
        <v>0.95764724942414203</v>
      </c>
      <c r="R154">
        <v>0.95764724942414203</v>
      </c>
      <c r="S154">
        <v>0.95764724942414203</v>
      </c>
      <c r="T154">
        <v>0.95764724942414203</v>
      </c>
      <c r="U154">
        <v>0.95764724942414203</v>
      </c>
      <c r="V154">
        <v>0.95764724942414203</v>
      </c>
      <c r="W154">
        <v>0.95764724942414203</v>
      </c>
      <c r="X154">
        <v>0.95764724942414203</v>
      </c>
      <c r="Y154">
        <v>0.95764724942414203</v>
      </c>
      <c r="Z154">
        <v>0.95764724942414203</v>
      </c>
      <c r="AA154">
        <v>0.95764724942414203</v>
      </c>
    </row>
    <row r="155" spans="1:27" x14ac:dyDescent="0.45">
      <c r="A155" t="s">
        <v>72</v>
      </c>
      <c r="B155" t="s">
        <v>424</v>
      </c>
      <c r="C155" t="str">
        <f t="shared" si="2"/>
        <v>ND|Winter</v>
      </c>
      <c r="D155">
        <v>0.90900000000000003</v>
      </c>
      <c r="E155">
        <v>0.90900000000000003</v>
      </c>
      <c r="F155">
        <v>0.90900000000000003</v>
      </c>
      <c r="G155">
        <v>0.90900000000000003</v>
      </c>
      <c r="H155">
        <v>0.90900000000000003</v>
      </c>
      <c r="I155">
        <v>0.90900000000000003</v>
      </c>
      <c r="J155">
        <v>0.90900000000000003</v>
      </c>
      <c r="K155">
        <v>0.90900000000000003</v>
      </c>
      <c r="L155">
        <v>0.90900000000000003</v>
      </c>
      <c r="M155">
        <v>0.90900000000000003</v>
      </c>
      <c r="N155">
        <v>0.90900000000000003</v>
      </c>
      <c r="O155">
        <v>0.90900000000000003</v>
      </c>
      <c r="P155">
        <v>0.90900000000000003</v>
      </c>
      <c r="Q155">
        <v>0.90900000000000003</v>
      </c>
      <c r="R155">
        <v>0.90900000000000003</v>
      </c>
      <c r="S155">
        <v>0.90900000000000003</v>
      </c>
      <c r="T155">
        <v>0.90900000000000003</v>
      </c>
      <c r="U155">
        <v>0.90900000000000003</v>
      </c>
      <c r="V155">
        <v>0.90900000000000003</v>
      </c>
      <c r="W155">
        <v>0.90900000000000003</v>
      </c>
      <c r="X155">
        <v>0.90900000000000003</v>
      </c>
      <c r="Y155">
        <v>0.90900000000000003</v>
      </c>
      <c r="Z155">
        <v>0.90900000000000003</v>
      </c>
      <c r="AA155">
        <v>0.90900000000000003</v>
      </c>
    </row>
    <row r="156" spans="1:27" x14ac:dyDescent="0.45">
      <c r="A156" t="s">
        <v>72</v>
      </c>
      <c r="B156" t="s">
        <v>425</v>
      </c>
      <c r="C156" t="str">
        <f t="shared" si="2"/>
        <v>ND|Spring</v>
      </c>
      <c r="D156">
        <v>0.90900000000000003</v>
      </c>
      <c r="E156">
        <v>0.90900000000000003</v>
      </c>
      <c r="F156">
        <v>0.90900000000000003</v>
      </c>
      <c r="G156">
        <v>0.90900000000000003</v>
      </c>
      <c r="H156">
        <v>0.90900000000000003</v>
      </c>
      <c r="I156">
        <v>0.90900000000000003</v>
      </c>
      <c r="J156">
        <v>0.90900000000000003</v>
      </c>
      <c r="K156">
        <v>0.90900000000000003</v>
      </c>
      <c r="L156">
        <v>0.90900000000000003</v>
      </c>
      <c r="M156">
        <v>0.90900000000000003</v>
      </c>
      <c r="N156">
        <v>0.90900000000000003</v>
      </c>
      <c r="O156">
        <v>0.90900000000000003</v>
      </c>
      <c r="P156">
        <v>0.90900000000000003</v>
      </c>
      <c r="Q156">
        <v>0.90900000000000003</v>
      </c>
      <c r="R156">
        <v>0.90900000000000003</v>
      </c>
      <c r="S156">
        <v>0.90900000000000003</v>
      </c>
      <c r="T156">
        <v>0.90900000000000003</v>
      </c>
      <c r="U156">
        <v>0.90900000000000003</v>
      </c>
      <c r="V156">
        <v>0.90900000000000003</v>
      </c>
      <c r="W156">
        <v>0.90900000000000003</v>
      </c>
      <c r="X156">
        <v>0.90900000000000003</v>
      </c>
      <c r="Y156">
        <v>0.90900000000000003</v>
      </c>
      <c r="Z156">
        <v>0.90900000000000003</v>
      </c>
      <c r="AA156">
        <v>0.90900000000000003</v>
      </c>
    </row>
    <row r="157" spans="1:27" x14ac:dyDescent="0.45">
      <c r="A157" t="s">
        <v>72</v>
      </c>
      <c r="B157" t="s">
        <v>426</v>
      </c>
      <c r="C157" t="str">
        <f t="shared" si="2"/>
        <v>ND|Summer</v>
      </c>
      <c r="D157">
        <v>0.90900000000000003</v>
      </c>
      <c r="E157">
        <v>0.90900000000000003</v>
      </c>
      <c r="F157">
        <v>0.90900000000000003</v>
      </c>
      <c r="G157">
        <v>0.90900000000000003</v>
      </c>
      <c r="H157">
        <v>0.90900000000000003</v>
      </c>
      <c r="I157">
        <v>0.90900000000000003</v>
      </c>
      <c r="J157">
        <v>0.90900000000000003</v>
      </c>
      <c r="K157">
        <v>0.90900000000000003</v>
      </c>
      <c r="L157">
        <v>0.90900000000000003</v>
      </c>
      <c r="M157">
        <v>0.90900000000000003</v>
      </c>
      <c r="N157">
        <v>0.90900000000000003</v>
      </c>
      <c r="O157">
        <v>0.90900000000000003</v>
      </c>
      <c r="P157">
        <v>0.90900000000000003</v>
      </c>
      <c r="Q157">
        <v>0.90900000000000003</v>
      </c>
      <c r="R157">
        <v>0.90900000000000003</v>
      </c>
      <c r="S157">
        <v>0.90900000000000003</v>
      </c>
      <c r="T157">
        <v>0.90900000000000003</v>
      </c>
      <c r="U157">
        <v>0.90900000000000003</v>
      </c>
      <c r="V157">
        <v>0.90900000000000003</v>
      </c>
      <c r="W157">
        <v>0.90900000000000003</v>
      </c>
      <c r="X157">
        <v>0.90900000000000003</v>
      </c>
      <c r="Y157">
        <v>0.90900000000000003</v>
      </c>
      <c r="Z157">
        <v>0.90900000000000003</v>
      </c>
      <c r="AA157">
        <v>0.90900000000000003</v>
      </c>
    </row>
    <row r="158" spans="1:27" x14ac:dyDescent="0.45">
      <c r="A158" t="s">
        <v>72</v>
      </c>
      <c r="B158" t="s">
        <v>427</v>
      </c>
      <c r="C158" t="str">
        <f t="shared" si="2"/>
        <v>ND|Fall</v>
      </c>
      <c r="D158">
        <v>0.90900000000000003</v>
      </c>
      <c r="E158">
        <v>0.90900000000000003</v>
      </c>
      <c r="F158">
        <v>0.90900000000000003</v>
      </c>
      <c r="G158">
        <v>0.90900000000000003</v>
      </c>
      <c r="H158">
        <v>0.90900000000000003</v>
      </c>
      <c r="I158">
        <v>0.90900000000000003</v>
      </c>
      <c r="J158">
        <v>0.90900000000000003</v>
      </c>
      <c r="K158">
        <v>0.90900000000000003</v>
      </c>
      <c r="L158">
        <v>0.90900000000000003</v>
      </c>
      <c r="M158">
        <v>0.90900000000000003</v>
      </c>
      <c r="N158">
        <v>0.90900000000000003</v>
      </c>
      <c r="O158">
        <v>0.90900000000000003</v>
      </c>
      <c r="P158">
        <v>0.90900000000000003</v>
      </c>
      <c r="Q158">
        <v>0.90900000000000003</v>
      </c>
      <c r="R158">
        <v>0.90900000000000003</v>
      </c>
      <c r="S158">
        <v>0.90900000000000003</v>
      </c>
      <c r="T158">
        <v>0.90900000000000003</v>
      </c>
      <c r="U158">
        <v>0.90900000000000003</v>
      </c>
      <c r="V158">
        <v>0.90900000000000003</v>
      </c>
      <c r="W158">
        <v>0.90900000000000003</v>
      </c>
      <c r="X158">
        <v>0.90900000000000003</v>
      </c>
      <c r="Y158">
        <v>0.90900000000000003</v>
      </c>
      <c r="Z158">
        <v>0.90900000000000003</v>
      </c>
      <c r="AA158">
        <v>0.90900000000000003</v>
      </c>
    </row>
    <row r="159" spans="1:27" x14ac:dyDescent="0.45">
      <c r="A159" t="s">
        <v>72</v>
      </c>
      <c r="B159" t="s">
        <v>428</v>
      </c>
      <c r="C159" t="str">
        <f t="shared" si="2"/>
        <v>ND|Summer Peak</v>
      </c>
      <c r="D159">
        <v>0.90900000000000003</v>
      </c>
      <c r="E159">
        <v>0.90900000000000003</v>
      </c>
      <c r="F159">
        <v>0.90900000000000003</v>
      </c>
      <c r="G159">
        <v>0.90900000000000003</v>
      </c>
      <c r="H159">
        <v>0.90900000000000003</v>
      </c>
      <c r="I159">
        <v>0.90900000000000003</v>
      </c>
      <c r="J159">
        <v>0.90900000000000003</v>
      </c>
      <c r="K159">
        <v>0.90900000000000003</v>
      </c>
      <c r="L159">
        <v>0.90900000000000003</v>
      </c>
      <c r="M159">
        <v>0.90900000000000003</v>
      </c>
      <c r="N159">
        <v>0.90900000000000003</v>
      </c>
      <c r="O159">
        <v>0.90900000000000003</v>
      </c>
      <c r="P159">
        <v>0.90900000000000003</v>
      </c>
      <c r="Q159">
        <v>0.90900000000000003</v>
      </c>
      <c r="R159">
        <v>0.90900000000000003</v>
      </c>
      <c r="S159">
        <v>0.90900000000000003</v>
      </c>
      <c r="T159">
        <v>0.90900000000000003</v>
      </c>
      <c r="U159">
        <v>0.90900000000000003</v>
      </c>
      <c r="V159">
        <v>0.90900000000000003</v>
      </c>
      <c r="W159">
        <v>0.90900000000000003</v>
      </c>
      <c r="X159">
        <v>0.90900000000000003</v>
      </c>
      <c r="Y159">
        <v>0.90900000000000003</v>
      </c>
      <c r="Z159">
        <v>0.90900000000000003</v>
      </c>
      <c r="AA159">
        <v>0.90900000000000003</v>
      </c>
    </row>
    <row r="160" spans="1:27" x14ac:dyDescent="0.45">
      <c r="A160" t="s">
        <v>72</v>
      </c>
      <c r="B160" t="s">
        <v>429</v>
      </c>
      <c r="C160" t="str">
        <f t="shared" si="2"/>
        <v>ND|Winter Peak</v>
      </c>
      <c r="D160">
        <v>0.90900000000000003</v>
      </c>
      <c r="E160">
        <v>0.90900000000000003</v>
      </c>
      <c r="F160">
        <v>0.90900000000000003</v>
      </c>
      <c r="G160">
        <v>0.90900000000000003</v>
      </c>
      <c r="H160">
        <v>0.90900000000000003</v>
      </c>
      <c r="I160">
        <v>0.90900000000000003</v>
      </c>
      <c r="J160">
        <v>0.90900000000000003</v>
      </c>
      <c r="K160">
        <v>0.90900000000000003</v>
      </c>
      <c r="L160">
        <v>0.90900000000000003</v>
      </c>
      <c r="M160">
        <v>0.90900000000000003</v>
      </c>
      <c r="N160">
        <v>0.90900000000000003</v>
      </c>
      <c r="O160">
        <v>0.90900000000000003</v>
      </c>
      <c r="P160">
        <v>0.90900000000000003</v>
      </c>
      <c r="Q160">
        <v>0.90900000000000003</v>
      </c>
      <c r="R160">
        <v>0.90900000000000003</v>
      </c>
      <c r="S160">
        <v>0.90900000000000003</v>
      </c>
      <c r="T160">
        <v>0.90900000000000003</v>
      </c>
      <c r="U160">
        <v>0.90900000000000003</v>
      </c>
      <c r="V160">
        <v>0.90900000000000003</v>
      </c>
      <c r="W160">
        <v>0.90900000000000003</v>
      </c>
      <c r="X160">
        <v>0.90900000000000003</v>
      </c>
      <c r="Y160">
        <v>0.90900000000000003</v>
      </c>
      <c r="Z160">
        <v>0.90900000000000003</v>
      </c>
      <c r="AA160">
        <v>0.90900000000000003</v>
      </c>
    </row>
    <row r="161" spans="1:27" x14ac:dyDescent="0.45">
      <c r="A161" t="s">
        <v>76</v>
      </c>
      <c r="B161" t="s">
        <v>424</v>
      </c>
      <c r="C161" t="str">
        <f t="shared" si="2"/>
        <v>NE|Winter</v>
      </c>
      <c r="D161">
        <v>0.87147183955761554</v>
      </c>
      <c r="E161">
        <v>0.86027487793530133</v>
      </c>
      <c r="F161">
        <v>0.84091803366406459</v>
      </c>
      <c r="G161">
        <v>0.84570118572802189</v>
      </c>
      <c r="H161">
        <v>0.86182639330661592</v>
      </c>
      <c r="I161">
        <v>0.91635366731803569</v>
      </c>
      <c r="J161">
        <v>0.96080515978418046</v>
      </c>
      <c r="K161">
        <v>0.96360151479985501</v>
      </c>
      <c r="L161">
        <v>0.96978943954857311</v>
      </c>
      <c r="M161">
        <v>0.97022801881400311</v>
      </c>
      <c r="N161">
        <v>0.96543992036735304</v>
      </c>
      <c r="O161">
        <v>0.96660396909439683</v>
      </c>
      <c r="P161">
        <v>0.96483481288459816</v>
      </c>
      <c r="Q161">
        <v>0.95072937823890546</v>
      </c>
      <c r="R161">
        <v>0.94459586369980852</v>
      </c>
      <c r="S161">
        <v>0.94204847661300595</v>
      </c>
      <c r="T161">
        <v>0.96059411412262019</v>
      </c>
      <c r="U161">
        <v>1</v>
      </c>
      <c r="V161">
        <v>0.99457741201652639</v>
      </c>
      <c r="W161">
        <v>0.97876547534181091</v>
      </c>
      <c r="X161">
        <v>0.95302120221991227</v>
      </c>
      <c r="Y161">
        <v>0.91702802415849005</v>
      </c>
      <c r="Z161">
        <v>0.8616648114719837</v>
      </c>
      <c r="AA161">
        <v>0.82420750413348676</v>
      </c>
    </row>
    <row r="162" spans="1:27" x14ac:dyDescent="0.45">
      <c r="A162" t="s">
        <v>76</v>
      </c>
      <c r="B162" t="s">
        <v>425</v>
      </c>
      <c r="C162" t="str">
        <f t="shared" si="2"/>
        <v>NE|Spring</v>
      </c>
      <c r="D162">
        <v>0.92514851399389508</v>
      </c>
      <c r="E162">
        <v>0.91887699092146757</v>
      </c>
      <c r="F162">
        <v>0.92049107134954544</v>
      </c>
      <c r="G162">
        <v>0.94372917724041516</v>
      </c>
      <c r="H162">
        <v>0.96628494969171308</v>
      </c>
      <c r="I162">
        <v>0.97717643876124072</v>
      </c>
      <c r="J162">
        <v>0.98806792783076858</v>
      </c>
      <c r="K162">
        <v>0.99895941690029644</v>
      </c>
      <c r="L162">
        <v>0.99953836648538763</v>
      </c>
      <c r="M162">
        <v>1</v>
      </c>
      <c r="N162">
        <v>1</v>
      </c>
      <c r="O162">
        <v>1</v>
      </c>
      <c r="P162">
        <v>1</v>
      </c>
      <c r="Q162">
        <v>1</v>
      </c>
      <c r="R162">
        <v>1</v>
      </c>
      <c r="S162">
        <v>1</v>
      </c>
      <c r="T162">
        <v>1</v>
      </c>
      <c r="U162">
        <v>1</v>
      </c>
      <c r="V162">
        <v>1</v>
      </c>
      <c r="W162">
        <v>1</v>
      </c>
      <c r="X162">
        <v>0.99472197116477423</v>
      </c>
      <c r="Y162">
        <v>0.99254574102795812</v>
      </c>
      <c r="Z162">
        <v>0.97318065278556698</v>
      </c>
      <c r="AA162">
        <v>0.94994771608742135</v>
      </c>
    </row>
    <row r="163" spans="1:27" x14ac:dyDescent="0.45">
      <c r="A163" t="s">
        <v>76</v>
      </c>
      <c r="B163" t="s">
        <v>426</v>
      </c>
      <c r="C163" t="str">
        <f t="shared" si="2"/>
        <v>NE|Summer</v>
      </c>
      <c r="D163">
        <v>0.88772504242169303</v>
      </c>
      <c r="E163">
        <v>0.87438110644488287</v>
      </c>
      <c r="F163">
        <v>0.8690311355642002</v>
      </c>
      <c r="G163">
        <v>0.86671476286908833</v>
      </c>
      <c r="H163">
        <v>0.87394900022347055</v>
      </c>
      <c r="I163">
        <v>0.94176488400528446</v>
      </c>
      <c r="J163">
        <v>0.95846649783372451</v>
      </c>
      <c r="K163">
        <v>0.9623519119721613</v>
      </c>
      <c r="L163">
        <v>0.96899288873567002</v>
      </c>
      <c r="M163">
        <v>0.98710947334652166</v>
      </c>
      <c r="N163">
        <v>0.9871218698364802</v>
      </c>
      <c r="O163">
        <v>0.98830662009109005</v>
      </c>
      <c r="P163">
        <v>0.9699757532966693</v>
      </c>
      <c r="Q163">
        <v>0.96608325544968465</v>
      </c>
      <c r="R163">
        <v>0.96608325544968465</v>
      </c>
      <c r="S163">
        <v>0.96981459892720823</v>
      </c>
      <c r="T163">
        <v>0.99029360033873204</v>
      </c>
      <c r="U163">
        <v>0.99629173055153308</v>
      </c>
      <c r="V163">
        <v>0.99966534674739538</v>
      </c>
      <c r="W163">
        <v>0.99220265979234867</v>
      </c>
      <c r="X163">
        <v>0.98473997283730175</v>
      </c>
      <c r="Y163">
        <v>0.97912082103180487</v>
      </c>
      <c r="Z163">
        <v>0.95115788153959091</v>
      </c>
      <c r="AA163">
        <v>0.93623250762949728</v>
      </c>
    </row>
    <row r="164" spans="1:27" x14ac:dyDescent="0.45">
      <c r="A164" t="s">
        <v>76</v>
      </c>
      <c r="B164" t="s">
        <v>427</v>
      </c>
      <c r="C164" t="str">
        <f t="shared" si="2"/>
        <v>NE|Fall</v>
      </c>
      <c r="D164">
        <v>0.9796517771861335</v>
      </c>
      <c r="E164">
        <v>0.99613753109591863</v>
      </c>
      <c r="F164">
        <v>0.98883487155670047</v>
      </c>
      <c r="G164">
        <v>0.99613753109591863</v>
      </c>
      <c r="H164">
        <v>1</v>
      </c>
      <c r="I164">
        <v>1</v>
      </c>
      <c r="J164">
        <v>1</v>
      </c>
      <c r="K164">
        <v>1</v>
      </c>
      <c r="L164">
        <v>1</v>
      </c>
      <c r="M164">
        <v>1</v>
      </c>
      <c r="N164">
        <v>1</v>
      </c>
      <c r="O164">
        <v>1</v>
      </c>
      <c r="P164">
        <v>1</v>
      </c>
      <c r="Q164">
        <v>1</v>
      </c>
      <c r="R164">
        <v>1</v>
      </c>
      <c r="S164">
        <v>1</v>
      </c>
      <c r="T164">
        <v>1</v>
      </c>
      <c r="U164">
        <v>1</v>
      </c>
      <c r="V164">
        <v>1</v>
      </c>
      <c r="W164">
        <v>1</v>
      </c>
      <c r="X164">
        <v>1</v>
      </c>
      <c r="Y164">
        <v>1</v>
      </c>
      <c r="Z164">
        <v>1</v>
      </c>
      <c r="AA164">
        <v>1</v>
      </c>
    </row>
    <row r="165" spans="1:27" x14ac:dyDescent="0.45">
      <c r="A165" t="s">
        <v>76</v>
      </c>
      <c r="B165" t="s">
        <v>428</v>
      </c>
      <c r="C165" t="str">
        <f t="shared" si="2"/>
        <v>NE|Summer Peak</v>
      </c>
      <c r="D165">
        <v>1</v>
      </c>
      <c r="E165">
        <v>1</v>
      </c>
      <c r="F165">
        <v>1</v>
      </c>
      <c r="G165">
        <v>1</v>
      </c>
      <c r="H165">
        <v>1</v>
      </c>
      <c r="I165">
        <v>1</v>
      </c>
      <c r="J165">
        <v>1</v>
      </c>
      <c r="K165">
        <v>1</v>
      </c>
      <c r="L165">
        <v>1</v>
      </c>
      <c r="M165">
        <v>1</v>
      </c>
      <c r="N165">
        <v>1</v>
      </c>
      <c r="O165">
        <v>1</v>
      </c>
      <c r="P165">
        <v>1</v>
      </c>
      <c r="Q165">
        <v>1</v>
      </c>
      <c r="R165">
        <v>1</v>
      </c>
      <c r="S165">
        <v>1</v>
      </c>
      <c r="T165">
        <v>1</v>
      </c>
      <c r="U165">
        <v>1</v>
      </c>
      <c r="V165">
        <v>1</v>
      </c>
      <c r="W165">
        <v>1</v>
      </c>
      <c r="X165">
        <v>1</v>
      </c>
      <c r="Y165">
        <v>1</v>
      </c>
      <c r="Z165">
        <v>1</v>
      </c>
      <c r="AA165">
        <v>1</v>
      </c>
    </row>
    <row r="166" spans="1:27" x14ac:dyDescent="0.45">
      <c r="A166" t="s">
        <v>76</v>
      </c>
      <c r="B166" t="s">
        <v>429</v>
      </c>
      <c r="C166" t="str">
        <f t="shared" si="2"/>
        <v>NE|Winter Peak</v>
      </c>
      <c r="D166">
        <v>0.89378847557266838</v>
      </c>
      <c r="E166">
        <v>0.85098804442953124</v>
      </c>
      <c r="F166">
        <v>0.83711869650778159</v>
      </c>
      <c r="G166">
        <v>0.85600862286274382</v>
      </c>
      <c r="H166">
        <v>0.85600862286274382</v>
      </c>
      <c r="I166">
        <v>0.91267840192763072</v>
      </c>
      <c r="J166">
        <v>0.98823810734748008</v>
      </c>
      <c r="K166">
        <v>0.98842637903872543</v>
      </c>
      <c r="L166">
        <v>0.98823810734748008</v>
      </c>
      <c r="M166">
        <v>1</v>
      </c>
      <c r="N166">
        <v>1</v>
      </c>
      <c r="O166">
        <v>1</v>
      </c>
      <c r="P166">
        <v>1</v>
      </c>
      <c r="Q166">
        <v>1</v>
      </c>
      <c r="R166">
        <v>1</v>
      </c>
      <c r="S166">
        <v>1</v>
      </c>
      <c r="T166">
        <v>1</v>
      </c>
      <c r="U166">
        <v>1</v>
      </c>
      <c r="V166">
        <v>1</v>
      </c>
      <c r="W166">
        <v>1</v>
      </c>
      <c r="X166">
        <v>1</v>
      </c>
      <c r="Y166">
        <v>1</v>
      </c>
      <c r="Z166">
        <v>1</v>
      </c>
      <c r="AA166">
        <v>1</v>
      </c>
    </row>
    <row r="167" spans="1:27" x14ac:dyDescent="0.45">
      <c r="A167" t="s">
        <v>78</v>
      </c>
      <c r="B167" t="s">
        <v>424</v>
      </c>
      <c r="C167" t="str">
        <f t="shared" si="2"/>
        <v>NH|Winter</v>
      </c>
      <c r="D167">
        <v>0.94171599364516356</v>
      </c>
      <c r="E167">
        <v>0.94171599364516356</v>
      </c>
      <c r="F167">
        <v>0.94171599364516356</v>
      </c>
      <c r="G167">
        <v>0.94171599364516356</v>
      </c>
      <c r="H167">
        <v>0.94171599364516356</v>
      </c>
      <c r="I167">
        <v>0.94171599364516356</v>
      </c>
      <c r="J167">
        <v>0.94171599364516356</v>
      </c>
      <c r="K167">
        <v>0.94171599364516356</v>
      </c>
      <c r="L167">
        <v>0.94171599364516356</v>
      </c>
      <c r="M167">
        <v>0.94171599364516356</v>
      </c>
      <c r="N167">
        <v>0.94171599364516356</v>
      </c>
      <c r="O167">
        <v>0.94171599364516356</v>
      </c>
      <c r="P167">
        <v>0.94171599364516356</v>
      </c>
      <c r="Q167">
        <v>0.94171599364516356</v>
      </c>
      <c r="R167">
        <v>0.94171599364516356</v>
      </c>
      <c r="S167">
        <v>0.94171599364516356</v>
      </c>
      <c r="T167">
        <v>0.94171599364516356</v>
      </c>
      <c r="U167">
        <v>0.94171599364516356</v>
      </c>
      <c r="V167">
        <v>0.94171599364516356</v>
      </c>
      <c r="W167">
        <v>0.94171599364516356</v>
      </c>
      <c r="X167">
        <v>0.94171599364516356</v>
      </c>
      <c r="Y167">
        <v>0.94171599364516356</v>
      </c>
      <c r="Z167">
        <v>0.94171599364516356</v>
      </c>
      <c r="AA167">
        <v>0.94171599364516356</v>
      </c>
    </row>
    <row r="168" spans="1:27" x14ac:dyDescent="0.45">
      <c r="A168" t="s">
        <v>78</v>
      </c>
      <c r="B168" t="s">
        <v>425</v>
      </c>
      <c r="C168" t="str">
        <f t="shared" si="2"/>
        <v>NH|Spring</v>
      </c>
      <c r="D168">
        <v>0.94171599364516356</v>
      </c>
      <c r="E168">
        <v>0.94171599364516356</v>
      </c>
      <c r="F168">
        <v>0.94171599364516356</v>
      </c>
      <c r="G168">
        <v>0.94171599364516356</v>
      </c>
      <c r="H168">
        <v>0.94171599364516356</v>
      </c>
      <c r="I168">
        <v>0.94171599364516356</v>
      </c>
      <c r="J168">
        <v>0.93188967988074656</v>
      </c>
      <c r="K168">
        <v>0.93680283676295517</v>
      </c>
      <c r="L168">
        <v>0.94171599364516356</v>
      </c>
      <c r="M168">
        <v>0.94171599364516356</v>
      </c>
      <c r="N168">
        <v>0.94171599364516356</v>
      </c>
      <c r="O168">
        <v>0.94171599364516356</v>
      </c>
      <c r="P168">
        <v>0.94171599364516356</v>
      </c>
      <c r="Q168">
        <v>0.94171599364516356</v>
      </c>
      <c r="R168">
        <v>0.94171599364516356</v>
      </c>
      <c r="S168">
        <v>0.94171599364516356</v>
      </c>
      <c r="T168">
        <v>0.94171599364516356</v>
      </c>
      <c r="U168">
        <v>0.94171599364516356</v>
      </c>
      <c r="V168">
        <v>0.94171599364516356</v>
      </c>
      <c r="W168">
        <v>0.94171599364516356</v>
      </c>
      <c r="X168">
        <v>0.94171599364516356</v>
      </c>
      <c r="Y168">
        <v>0.94171599364516356</v>
      </c>
      <c r="Z168">
        <v>0.94171599364516356</v>
      </c>
      <c r="AA168">
        <v>0.94171599364516356</v>
      </c>
    </row>
    <row r="169" spans="1:27" x14ac:dyDescent="0.45">
      <c r="A169" t="s">
        <v>78</v>
      </c>
      <c r="B169" t="s">
        <v>426</v>
      </c>
      <c r="C169" t="str">
        <f t="shared" si="2"/>
        <v>NH|Summer</v>
      </c>
      <c r="D169">
        <v>0.93891889938053996</v>
      </c>
      <c r="E169">
        <v>0.94171599364516356</v>
      </c>
      <c r="F169">
        <v>0.94171599364516356</v>
      </c>
      <c r="G169">
        <v>0.94171599364516356</v>
      </c>
      <c r="H169">
        <v>0.94171599364516356</v>
      </c>
      <c r="I169">
        <v>0.94171599364516356</v>
      </c>
      <c r="J169">
        <v>0.93612180511591625</v>
      </c>
      <c r="K169">
        <v>0.93332471085129265</v>
      </c>
      <c r="L169">
        <v>0.94171599364516356</v>
      </c>
      <c r="M169">
        <v>0.94171599364516356</v>
      </c>
      <c r="N169">
        <v>0.94171599364516356</v>
      </c>
      <c r="O169">
        <v>0.94171599364516356</v>
      </c>
      <c r="P169">
        <v>0.94171599364516356</v>
      </c>
      <c r="Q169">
        <v>0.94171599364516356</v>
      </c>
      <c r="R169">
        <v>0.94171599364516356</v>
      </c>
      <c r="S169">
        <v>0.94171599364516356</v>
      </c>
      <c r="T169">
        <v>0.94171599364516356</v>
      </c>
      <c r="U169">
        <v>0.94171599364516356</v>
      </c>
      <c r="V169">
        <v>0.94171599364516356</v>
      </c>
      <c r="W169">
        <v>0.94171599364516356</v>
      </c>
      <c r="X169">
        <v>0.94171599364516356</v>
      </c>
      <c r="Y169">
        <v>0.94171599364516356</v>
      </c>
      <c r="Z169">
        <v>0.94171599364516356</v>
      </c>
      <c r="AA169">
        <v>0.94171599364516356</v>
      </c>
    </row>
    <row r="170" spans="1:27" x14ac:dyDescent="0.45">
      <c r="A170" t="s">
        <v>78</v>
      </c>
      <c r="B170" t="s">
        <v>427</v>
      </c>
      <c r="C170" t="str">
        <f t="shared" si="2"/>
        <v>NH|Fall</v>
      </c>
      <c r="D170">
        <v>0.94171599364516356</v>
      </c>
      <c r="E170">
        <v>0.94171599364516356</v>
      </c>
      <c r="F170">
        <v>0.94171599364516356</v>
      </c>
      <c r="G170">
        <v>0.94171599364516356</v>
      </c>
      <c r="H170">
        <v>0.94171599364516356</v>
      </c>
      <c r="I170">
        <v>0.94171599364516356</v>
      </c>
      <c r="J170">
        <v>0.92960857132829255</v>
      </c>
      <c r="K170">
        <v>0.93768018620620663</v>
      </c>
      <c r="L170">
        <v>0.94171599364516356</v>
      </c>
      <c r="M170">
        <v>0.94171599364516356</v>
      </c>
      <c r="N170">
        <v>0.94171599364516356</v>
      </c>
      <c r="O170">
        <v>0.94171599364516356</v>
      </c>
      <c r="P170">
        <v>0.94171599364516356</v>
      </c>
      <c r="Q170">
        <v>0.94171599364516356</v>
      </c>
      <c r="R170">
        <v>0.94171599364516356</v>
      </c>
      <c r="S170">
        <v>0.94171599364516356</v>
      </c>
      <c r="T170">
        <v>0.94171599364516356</v>
      </c>
      <c r="U170">
        <v>0.94171599364516356</v>
      </c>
      <c r="V170">
        <v>0.94171599364516356</v>
      </c>
      <c r="W170">
        <v>0.94171599364516356</v>
      </c>
      <c r="X170">
        <v>0.94171599364516356</v>
      </c>
      <c r="Y170">
        <v>0.94171599364516356</v>
      </c>
      <c r="Z170">
        <v>0.94171599364516356</v>
      </c>
      <c r="AA170">
        <v>0.94171599364516356</v>
      </c>
    </row>
    <row r="171" spans="1:27" x14ac:dyDescent="0.45">
      <c r="A171" t="s">
        <v>78</v>
      </c>
      <c r="B171" t="s">
        <v>428</v>
      </c>
      <c r="C171" t="str">
        <f t="shared" si="2"/>
        <v>NH|Summer Peak</v>
      </c>
      <c r="D171">
        <v>0.94171599364516356</v>
      </c>
      <c r="E171">
        <v>0.94171599364516356</v>
      </c>
      <c r="F171">
        <v>0.94171599364516356</v>
      </c>
      <c r="G171">
        <v>0.94171599364516356</v>
      </c>
      <c r="H171">
        <v>0.94171599364516356</v>
      </c>
      <c r="I171">
        <v>0.94171599364516356</v>
      </c>
      <c r="J171">
        <v>0.94171599364516356</v>
      </c>
      <c r="K171">
        <v>0.94171599364516356</v>
      </c>
      <c r="L171">
        <v>0.94171599364516356</v>
      </c>
      <c r="M171">
        <v>0.94171599364516356</v>
      </c>
      <c r="N171">
        <v>0.94171599364516356</v>
      </c>
      <c r="O171">
        <v>0.94171599364516356</v>
      </c>
      <c r="P171">
        <v>0.94171599364516356</v>
      </c>
      <c r="Q171">
        <v>0.94171599364516356</v>
      </c>
      <c r="R171">
        <v>0.94171599364516356</v>
      </c>
      <c r="S171">
        <v>0.94171599364516356</v>
      </c>
      <c r="T171">
        <v>0.94171599364516356</v>
      </c>
      <c r="U171">
        <v>0.94171599364516356</v>
      </c>
      <c r="V171">
        <v>0.94171599364516356</v>
      </c>
      <c r="W171">
        <v>0.94171599364516356</v>
      </c>
      <c r="X171">
        <v>0.94171599364516356</v>
      </c>
      <c r="Y171">
        <v>0.94171599364516356</v>
      </c>
      <c r="Z171">
        <v>0.94171599364516356</v>
      </c>
      <c r="AA171">
        <v>0.94171599364516356</v>
      </c>
    </row>
    <row r="172" spans="1:27" x14ac:dyDescent="0.45">
      <c r="A172" t="s">
        <v>78</v>
      </c>
      <c r="B172" t="s">
        <v>429</v>
      </c>
      <c r="C172" t="str">
        <f t="shared" si="2"/>
        <v>NH|Winter Peak</v>
      </c>
      <c r="D172">
        <v>0.94171599364516356</v>
      </c>
      <c r="E172">
        <v>0.94171599364516356</v>
      </c>
      <c r="F172">
        <v>0.94171599364516356</v>
      </c>
      <c r="G172">
        <v>0.94171599364516356</v>
      </c>
      <c r="H172">
        <v>0.94171599364516356</v>
      </c>
      <c r="I172">
        <v>0.94171599364516356</v>
      </c>
      <c r="J172">
        <v>0.94171599364516356</v>
      </c>
      <c r="K172">
        <v>0.94171599364516356</v>
      </c>
      <c r="L172">
        <v>0.94171599364516356</v>
      </c>
      <c r="M172">
        <v>0.94171599364516356</v>
      </c>
      <c r="N172">
        <v>0.94171599364516356</v>
      </c>
      <c r="O172">
        <v>0.94171599364516356</v>
      </c>
      <c r="P172">
        <v>0.94171599364516356</v>
      </c>
      <c r="Q172">
        <v>0.94171599364516356</v>
      </c>
      <c r="R172">
        <v>0.94171599364516356</v>
      </c>
      <c r="S172">
        <v>0.94171599364516356</v>
      </c>
      <c r="T172">
        <v>0.94171599364516356</v>
      </c>
      <c r="U172">
        <v>0.94171599364516356</v>
      </c>
      <c r="V172">
        <v>0.94171599364516356</v>
      </c>
      <c r="W172">
        <v>0.94171599364516356</v>
      </c>
      <c r="X172">
        <v>0.94171599364516356</v>
      </c>
      <c r="Y172">
        <v>0.94171599364516356</v>
      </c>
      <c r="Z172">
        <v>0.94171599364516356</v>
      </c>
      <c r="AA172">
        <v>0.94171599364516356</v>
      </c>
    </row>
    <row r="173" spans="1:27" x14ac:dyDescent="0.45">
      <c r="A173" t="s">
        <v>80</v>
      </c>
      <c r="B173" t="s">
        <v>424</v>
      </c>
      <c r="C173" t="str">
        <f t="shared" si="2"/>
        <v>NJ|Winter</v>
      </c>
      <c r="D173">
        <v>0.91792133360506101</v>
      </c>
      <c r="E173">
        <v>0.91792133360506101</v>
      </c>
      <c r="F173">
        <v>0.91792133360506101</v>
      </c>
      <c r="G173">
        <v>0.91792133360506101</v>
      </c>
      <c r="H173">
        <v>0.91792133360506101</v>
      </c>
      <c r="I173">
        <v>0.91792133360506101</v>
      </c>
      <c r="J173">
        <v>0.91792133360506101</v>
      </c>
      <c r="K173">
        <v>0.91792133360506101</v>
      </c>
      <c r="L173">
        <v>0.91792133360506101</v>
      </c>
      <c r="M173">
        <v>0.91792133360506101</v>
      </c>
      <c r="N173">
        <v>0.91792133360506101</v>
      </c>
      <c r="O173">
        <v>0.91792133360506101</v>
      </c>
      <c r="P173">
        <v>0.91792133360506101</v>
      </c>
      <c r="Q173">
        <v>0.91792133360506101</v>
      </c>
      <c r="R173">
        <v>0.91792133360506101</v>
      </c>
      <c r="S173">
        <v>0.91792133360506101</v>
      </c>
      <c r="T173">
        <v>0.91792133360506101</v>
      </c>
      <c r="U173">
        <v>0.91792133360506101</v>
      </c>
      <c r="V173">
        <v>0.91792133360506101</v>
      </c>
      <c r="W173">
        <v>0.91792133360506101</v>
      </c>
      <c r="X173">
        <v>0.91792133360506101</v>
      </c>
      <c r="Y173">
        <v>0.91792133360506101</v>
      </c>
      <c r="Z173">
        <v>0.91792133360506101</v>
      </c>
      <c r="AA173">
        <v>0.91792133360506101</v>
      </c>
    </row>
    <row r="174" spans="1:27" x14ac:dyDescent="0.45">
      <c r="A174" t="s">
        <v>80</v>
      </c>
      <c r="B174" t="s">
        <v>425</v>
      </c>
      <c r="C174" t="str">
        <f t="shared" si="2"/>
        <v>NJ|Spring</v>
      </c>
      <c r="D174">
        <v>0.91792133360506101</v>
      </c>
      <c r="E174">
        <v>0.91792133360506101</v>
      </c>
      <c r="F174">
        <v>0.91792133360506101</v>
      </c>
      <c r="G174">
        <v>0.91792133360506101</v>
      </c>
      <c r="H174">
        <v>0.91792133360506101</v>
      </c>
      <c r="I174">
        <v>0.91792133360506101</v>
      </c>
      <c r="J174">
        <v>0.90842499311153946</v>
      </c>
      <c r="K174">
        <v>0.91214680337687282</v>
      </c>
      <c r="L174">
        <v>0.91792133360506101</v>
      </c>
      <c r="M174">
        <v>0.91792133360506101</v>
      </c>
      <c r="N174">
        <v>0.91792133360506101</v>
      </c>
      <c r="O174">
        <v>0.91792133360506101</v>
      </c>
      <c r="P174">
        <v>0.91792133360506101</v>
      </c>
      <c r="Q174">
        <v>0.91792133360506101</v>
      </c>
      <c r="R174">
        <v>0.91792133360506101</v>
      </c>
      <c r="S174">
        <v>0.91792133360506101</v>
      </c>
      <c r="T174">
        <v>0.91792133360506101</v>
      </c>
      <c r="U174">
        <v>0.91792133360506101</v>
      </c>
      <c r="V174">
        <v>0.91792133360506101</v>
      </c>
      <c r="W174">
        <v>0.91792133360506101</v>
      </c>
      <c r="X174">
        <v>0.91792133360506101</v>
      </c>
      <c r="Y174">
        <v>0.91792133360506101</v>
      </c>
      <c r="Z174">
        <v>0.91792133360506101</v>
      </c>
      <c r="AA174">
        <v>0.91792133360506101</v>
      </c>
    </row>
    <row r="175" spans="1:27" x14ac:dyDescent="0.45">
      <c r="A175" t="s">
        <v>80</v>
      </c>
      <c r="B175" t="s">
        <v>426</v>
      </c>
      <c r="C175" t="str">
        <f t="shared" si="2"/>
        <v>NJ|Summer</v>
      </c>
      <c r="D175">
        <v>0.91792133360506101</v>
      </c>
      <c r="E175">
        <v>0.91792133360506101</v>
      </c>
      <c r="F175">
        <v>0.91792133360506101</v>
      </c>
      <c r="G175">
        <v>0.91792133360506101</v>
      </c>
      <c r="H175">
        <v>0.91792133360506101</v>
      </c>
      <c r="I175">
        <v>0.91792133360506101</v>
      </c>
      <c r="J175">
        <v>0.91792133360506101</v>
      </c>
      <c r="K175">
        <v>0.91792133360506101</v>
      </c>
      <c r="L175">
        <v>0.91792133360506101</v>
      </c>
      <c r="M175">
        <v>0.91792133360506101</v>
      </c>
      <c r="N175">
        <v>0.91792133360506101</v>
      </c>
      <c r="O175">
        <v>0.91792133360506101</v>
      </c>
      <c r="P175">
        <v>0.91792133360506101</v>
      </c>
      <c r="Q175">
        <v>0.91792133360506101</v>
      </c>
      <c r="R175">
        <v>0.91792133360506101</v>
      </c>
      <c r="S175">
        <v>0.91792133360506101</v>
      </c>
      <c r="T175">
        <v>0.91792133360506101</v>
      </c>
      <c r="U175">
        <v>0.91792133360506101</v>
      </c>
      <c r="V175">
        <v>0.91792133360506101</v>
      </c>
      <c r="W175">
        <v>0.91792133360506101</v>
      </c>
      <c r="X175">
        <v>0.91792133360506101</v>
      </c>
      <c r="Y175">
        <v>0.91792133360506101</v>
      </c>
      <c r="Z175">
        <v>0.91792133360506101</v>
      </c>
      <c r="AA175">
        <v>0.91792133360506101</v>
      </c>
    </row>
    <row r="176" spans="1:27" x14ac:dyDescent="0.45">
      <c r="A176" t="s">
        <v>80</v>
      </c>
      <c r="B176" t="s">
        <v>427</v>
      </c>
      <c r="C176" t="str">
        <f t="shared" si="2"/>
        <v>NJ|Fall</v>
      </c>
      <c r="D176">
        <v>0.91792133360506101</v>
      </c>
      <c r="E176">
        <v>0.91792133360506101</v>
      </c>
      <c r="F176">
        <v>0.91792133360506101</v>
      </c>
      <c r="G176">
        <v>0.91792133360506101</v>
      </c>
      <c r="H176">
        <v>0.91792133360506101</v>
      </c>
      <c r="I176">
        <v>0.91792133360506101</v>
      </c>
      <c r="J176">
        <v>0.91426137285357689</v>
      </c>
      <c r="K176">
        <v>0.91287739453442429</v>
      </c>
      <c r="L176">
        <v>0.91792133360506101</v>
      </c>
      <c r="M176">
        <v>0.91792133360506101</v>
      </c>
      <c r="N176">
        <v>0.91792133360506101</v>
      </c>
      <c r="O176">
        <v>0.91792133360506101</v>
      </c>
      <c r="P176">
        <v>0.91792133360506101</v>
      </c>
      <c r="Q176">
        <v>0.91792133360506101</v>
      </c>
      <c r="R176">
        <v>0.91792133360506101</v>
      </c>
      <c r="S176">
        <v>0.91792133360506101</v>
      </c>
      <c r="T176">
        <v>0.91792133360506101</v>
      </c>
      <c r="U176">
        <v>0.91792133360506101</v>
      </c>
      <c r="V176">
        <v>0.91792133360506101</v>
      </c>
      <c r="W176">
        <v>0.91792133360506101</v>
      </c>
      <c r="X176">
        <v>0.91792133360506101</v>
      </c>
      <c r="Y176">
        <v>0.91792133360506101</v>
      </c>
      <c r="Z176">
        <v>0.91792133360506101</v>
      </c>
      <c r="AA176">
        <v>0.91792133360506101</v>
      </c>
    </row>
    <row r="177" spans="1:27" x14ac:dyDescent="0.45">
      <c r="A177" t="s">
        <v>80</v>
      </c>
      <c r="B177" t="s">
        <v>428</v>
      </c>
      <c r="C177" t="str">
        <f t="shared" si="2"/>
        <v>NJ|Summer Peak</v>
      </c>
      <c r="D177">
        <v>0.91792133360506112</v>
      </c>
      <c r="E177">
        <v>0.91792133360506112</v>
      </c>
      <c r="F177">
        <v>0.91792133360506112</v>
      </c>
      <c r="G177">
        <v>0.91792133360506112</v>
      </c>
      <c r="H177">
        <v>0.91792133360506112</v>
      </c>
      <c r="I177">
        <v>0.91792133360506112</v>
      </c>
      <c r="J177">
        <v>0.91792133360506112</v>
      </c>
      <c r="K177">
        <v>0.91792133360506112</v>
      </c>
      <c r="L177">
        <v>0.91792133360506112</v>
      </c>
      <c r="M177">
        <v>0.91792133360506112</v>
      </c>
      <c r="N177">
        <v>0.91792133360506112</v>
      </c>
      <c r="O177">
        <v>0.91792133360506112</v>
      </c>
      <c r="P177">
        <v>0.91792133360506112</v>
      </c>
      <c r="Q177">
        <v>0.91792133360506112</v>
      </c>
      <c r="R177">
        <v>0.91792133360506112</v>
      </c>
      <c r="S177">
        <v>0.91792133360506112</v>
      </c>
      <c r="T177">
        <v>0.91792133360506112</v>
      </c>
      <c r="U177">
        <v>0.91792133360506112</v>
      </c>
      <c r="V177">
        <v>0.91792133360506112</v>
      </c>
      <c r="W177">
        <v>0.91792133360506112</v>
      </c>
      <c r="X177">
        <v>0.91792133360506112</v>
      </c>
      <c r="Y177">
        <v>0.91792133360506112</v>
      </c>
      <c r="Z177">
        <v>0.91792133360506112</v>
      </c>
      <c r="AA177">
        <v>0.91792133360506112</v>
      </c>
    </row>
    <row r="178" spans="1:27" x14ac:dyDescent="0.45">
      <c r="A178" t="s">
        <v>80</v>
      </c>
      <c r="B178" t="s">
        <v>429</v>
      </c>
      <c r="C178" t="str">
        <f t="shared" si="2"/>
        <v>NJ|Winter Peak</v>
      </c>
      <c r="D178">
        <v>0.91792133360506101</v>
      </c>
      <c r="E178">
        <v>0.91792133360506101</v>
      </c>
      <c r="F178">
        <v>0.91792133360506101</v>
      </c>
      <c r="G178">
        <v>0.91792133360506101</v>
      </c>
      <c r="H178">
        <v>0.91792133360506101</v>
      </c>
      <c r="I178">
        <v>0.91792133360506101</v>
      </c>
      <c r="J178">
        <v>0.91792133360506101</v>
      </c>
      <c r="K178">
        <v>0.91792133360506101</v>
      </c>
      <c r="L178">
        <v>0.91792133360506101</v>
      </c>
      <c r="M178">
        <v>0.91792133360506101</v>
      </c>
      <c r="N178">
        <v>0.91792133360506101</v>
      </c>
      <c r="O178">
        <v>0.91792133360506101</v>
      </c>
      <c r="P178">
        <v>0.91792133360506101</v>
      </c>
      <c r="Q178">
        <v>0.91792133360506101</v>
      </c>
      <c r="R178">
        <v>0.91792133360506101</v>
      </c>
      <c r="S178">
        <v>0.91792133360506101</v>
      </c>
      <c r="T178">
        <v>0.91792133360506101</v>
      </c>
      <c r="U178">
        <v>0.91792133360506101</v>
      </c>
      <c r="V178">
        <v>0.91792133360506101</v>
      </c>
      <c r="W178">
        <v>0.91792133360506101</v>
      </c>
      <c r="X178">
        <v>0.91792133360506101</v>
      </c>
      <c r="Y178">
        <v>0.91792133360506101</v>
      </c>
      <c r="Z178">
        <v>0.91792133360506101</v>
      </c>
      <c r="AA178">
        <v>0.91792133360506101</v>
      </c>
    </row>
    <row r="179" spans="1:27" x14ac:dyDescent="0.45">
      <c r="A179" t="s">
        <v>82</v>
      </c>
      <c r="B179" t="s">
        <v>424</v>
      </c>
      <c r="C179" t="str">
        <f t="shared" si="2"/>
        <v>NM|Winter</v>
      </c>
      <c r="D179">
        <v>0.90900000000000003</v>
      </c>
      <c r="E179">
        <v>0.90900000000000003</v>
      </c>
      <c r="F179">
        <v>0.90900000000000003</v>
      </c>
      <c r="G179">
        <v>0.90900000000000003</v>
      </c>
      <c r="H179">
        <v>0.90900000000000003</v>
      </c>
      <c r="I179">
        <v>0.90900000000000003</v>
      </c>
      <c r="J179">
        <v>0.90900000000000003</v>
      </c>
      <c r="K179">
        <v>0.90900000000000003</v>
      </c>
      <c r="L179">
        <v>0.90900000000000003</v>
      </c>
      <c r="M179">
        <v>0.90900000000000003</v>
      </c>
      <c r="N179">
        <v>0.90900000000000003</v>
      </c>
      <c r="O179">
        <v>0.90900000000000003</v>
      </c>
      <c r="P179">
        <v>0.90900000000000003</v>
      </c>
      <c r="Q179">
        <v>0.90900000000000003</v>
      </c>
      <c r="R179">
        <v>0.90900000000000003</v>
      </c>
      <c r="S179">
        <v>0.90900000000000003</v>
      </c>
      <c r="T179">
        <v>0.90900000000000003</v>
      </c>
      <c r="U179">
        <v>0.90900000000000003</v>
      </c>
      <c r="V179">
        <v>0.90900000000000003</v>
      </c>
      <c r="W179">
        <v>0.90900000000000003</v>
      </c>
      <c r="X179">
        <v>0.90900000000000003</v>
      </c>
      <c r="Y179">
        <v>0.90900000000000003</v>
      </c>
      <c r="Z179">
        <v>0.90900000000000003</v>
      </c>
      <c r="AA179">
        <v>0.90900000000000003</v>
      </c>
    </row>
    <row r="180" spans="1:27" x14ac:dyDescent="0.45">
      <c r="A180" t="s">
        <v>82</v>
      </c>
      <c r="B180" t="s">
        <v>425</v>
      </c>
      <c r="C180" t="str">
        <f t="shared" si="2"/>
        <v>NM|Spring</v>
      </c>
      <c r="D180">
        <v>0.90900000000000003</v>
      </c>
      <c r="E180">
        <v>0.90900000000000003</v>
      </c>
      <c r="F180">
        <v>0.90900000000000003</v>
      </c>
      <c r="G180">
        <v>0.90900000000000003</v>
      </c>
      <c r="H180">
        <v>0.90900000000000003</v>
      </c>
      <c r="I180">
        <v>0.90900000000000003</v>
      </c>
      <c r="J180">
        <v>0.90900000000000003</v>
      </c>
      <c r="K180">
        <v>0.90900000000000003</v>
      </c>
      <c r="L180">
        <v>0.90900000000000003</v>
      </c>
      <c r="M180">
        <v>0.90900000000000003</v>
      </c>
      <c r="N180">
        <v>0.90900000000000003</v>
      </c>
      <c r="O180">
        <v>0.90900000000000003</v>
      </c>
      <c r="P180">
        <v>0.90900000000000003</v>
      </c>
      <c r="Q180">
        <v>0.90900000000000003</v>
      </c>
      <c r="R180">
        <v>0.90900000000000003</v>
      </c>
      <c r="S180">
        <v>0.90900000000000003</v>
      </c>
      <c r="T180">
        <v>0.90900000000000003</v>
      </c>
      <c r="U180">
        <v>0.90900000000000003</v>
      </c>
      <c r="V180">
        <v>0.90900000000000003</v>
      </c>
      <c r="W180">
        <v>0.90900000000000003</v>
      </c>
      <c r="X180">
        <v>0.90900000000000003</v>
      </c>
      <c r="Y180">
        <v>0.90900000000000003</v>
      </c>
      <c r="Z180">
        <v>0.90900000000000003</v>
      </c>
      <c r="AA180">
        <v>0.90900000000000003</v>
      </c>
    </row>
    <row r="181" spans="1:27" x14ac:dyDescent="0.45">
      <c r="A181" t="s">
        <v>82</v>
      </c>
      <c r="B181" t="s">
        <v>426</v>
      </c>
      <c r="C181" t="str">
        <f t="shared" si="2"/>
        <v>NM|Summer</v>
      </c>
      <c r="D181">
        <v>0.90900000000000003</v>
      </c>
      <c r="E181">
        <v>0.90900000000000003</v>
      </c>
      <c r="F181">
        <v>0.90900000000000003</v>
      </c>
      <c r="G181">
        <v>0.90900000000000003</v>
      </c>
      <c r="H181">
        <v>0.90900000000000003</v>
      </c>
      <c r="I181">
        <v>0.90900000000000003</v>
      </c>
      <c r="J181">
        <v>0.90900000000000003</v>
      </c>
      <c r="K181">
        <v>0.90900000000000003</v>
      </c>
      <c r="L181">
        <v>0.90900000000000003</v>
      </c>
      <c r="M181">
        <v>0.90900000000000003</v>
      </c>
      <c r="N181">
        <v>0.90900000000000003</v>
      </c>
      <c r="O181">
        <v>0.90900000000000003</v>
      </c>
      <c r="P181">
        <v>0.90900000000000003</v>
      </c>
      <c r="Q181">
        <v>0.90900000000000003</v>
      </c>
      <c r="R181">
        <v>0.90900000000000003</v>
      </c>
      <c r="S181">
        <v>0.90900000000000003</v>
      </c>
      <c r="T181">
        <v>0.90900000000000003</v>
      </c>
      <c r="U181">
        <v>0.90900000000000003</v>
      </c>
      <c r="V181">
        <v>0.90900000000000003</v>
      </c>
      <c r="W181">
        <v>0.90900000000000003</v>
      </c>
      <c r="X181">
        <v>0.90900000000000003</v>
      </c>
      <c r="Y181">
        <v>0.90900000000000003</v>
      </c>
      <c r="Z181">
        <v>0.90900000000000003</v>
      </c>
      <c r="AA181">
        <v>0.90900000000000003</v>
      </c>
    </row>
    <row r="182" spans="1:27" x14ac:dyDescent="0.45">
      <c r="A182" t="s">
        <v>82</v>
      </c>
      <c r="B182" t="s">
        <v>427</v>
      </c>
      <c r="C182" t="str">
        <f t="shared" si="2"/>
        <v>NM|Fall</v>
      </c>
      <c r="D182">
        <v>0.90900000000000003</v>
      </c>
      <c r="E182">
        <v>0.90900000000000003</v>
      </c>
      <c r="F182">
        <v>0.90900000000000003</v>
      </c>
      <c r="G182">
        <v>0.90900000000000003</v>
      </c>
      <c r="H182">
        <v>0.90900000000000003</v>
      </c>
      <c r="I182">
        <v>0.90900000000000003</v>
      </c>
      <c r="J182">
        <v>0.90900000000000003</v>
      </c>
      <c r="K182">
        <v>0.90900000000000003</v>
      </c>
      <c r="L182">
        <v>0.90900000000000003</v>
      </c>
      <c r="M182">
        <v>0.90900000000000003</v>
      </c>
      <c r="N182">
        <v>0.90900000000000003</v>
      </c>
      <c r="O182">
        <v>0.90900000000000003</v>
      </c>
      <c r="P182">
        <v>0.90900000000000003</v>
      </c>
      <c r="Q182">
        <v>0.90900000000000003</v>
      </c>
      <c r="R182">
        <v>0.90900000000000003</v>
      </c>
      <c r="S182">
        <v>0.90900000000000003</v>
      </c>
      <c r="T182">
        <v>0.90900000000000003</v>
      </c>
      <c r="U182">
        <v>0.90900000000000003</v>
      </c>
      <c r="V182">
        <v>0.90900000000000003</v>
      </c>
      <c r="W182">
        <v>0.90900000000000003</v>
      </c>
      <c r="X182">
        <v>0.90900000000000003</v>
      </c>
      <c r="Y182">
        <v>0.90900000000000003</v>
      </c>
      <c r="Z182">
        <v>0.90900000000000003</v>
      </c>
      <c r="AA182">
        <v>0.90900000000000003</v>
      </c>
    </row>
    <row r="183" spans="1:27" x14ac:dyDescent="0.45">
      <c r="A183" t="s">
        <v>82</v>
      </c>
      <c r="B183" t="s">
        <v>428</v>
      </c>
      <c r="C183" t="str">
        <f t="shared" si="2"/>
        <v>NM|Summer Peak</v>
      </c>
      <c r="D183">
        <v>0.90900000000000003</v>
      </c>
      <c r="E183">
        <v>0.90900000000000003</v>
      </c>
      <c r="F183">
        <v>0.90900000000000003</v>
      </c>
      <c r="G183">
        <v>0.90900000000000003</v>
      </c>
      <c r="H183">
        <v>0.90900000000000003</v>
      </c>
      <c r="I183">
        <v>0.90900000000000003</v>
      </c>
      <c r="J183">
        <v>0.90900000000000003</v>
      </c>
      <c r="K183">
        <v>0.90900000000000003</v>
      </c>
      <c r="L183">
        <v>0.90900000000000003</v>
      </c>
      <c r="M183">
        <v>0.90900000000000003</v>
      </c>
      <c r="N183">
        <v>0.90900000000000003</v>
      </c>
      <c r="O183">
        <v>0.90900000000000003</v>
      </c>
      <c r="P183">
        <v>0.90900000000000003</v>
      </c>
      <c r="Q183">
        <v>0.90900000000000003</v>
      </c>
      <c r="R183">
        <v>0.90900000000000003</v>
      </c>
      <c r="S183">
        <v>0.90900000000000003</v>
      </c>
      <c r="T183">
        <v>0.90900000000000003</v>
      </c>
      <c r="U183">
        <v>0.90900000000000003</v>
      </c>
      <c r="V183">
        <v>0.90900000000000003</v>
      </c>
      <c r="W183">
        <v>0.90900000000000003</v>
      </c>
      <c r="X183">
        <v>0.90900000000000003</v>
      </c>
      <c r="Y183">
        <v>0.90900000000000003</v>
      </c>
      <c r="Z183">
        <v>0.90900000000000003</v>
      </c>
      <c r="AA183">
        <v>0.90900000000000003</v>
      </c>
    </row>
    <row r="184" spans="1:27" x14ac:dyDescent="0.45">
      <c r="A184" t="s">
        <v>82</v>
      </c>
      <c r="B184" t="s">
        <v>429</v>
      </c>
      <c r="C184" t="str">
        <f t="shared" si="2"/>
        <v>NM|Winter Peak</v>
      </c>
      <c r="D184">
        <v>0.90900000000000003</v>
      </c>
      <c r="E184">
        <v>0.90900000000000003</v>
      </c>
      <c r="F184">
        <v>0.90900000000000003</v>
      </c>
      <c r="G184">
        <v>0.90900000000000003</v>
      </c>
      <c r="H184">
        <v>0.90900000000000003</v>
      </c>
      <c r="I184">
        <v>0.90900000000000003</v>
      </c>
      <c r="J184">
        <v>0.90900000000000003</v>
      </c>
      <c r="K184">
        <v>0.90900000000000003</v>
      </c>
      <c r="L184">
        <v>0.90900000000000003</v>
      </c>
      <c r="M184">
        <v>0.90900000000000003</v>
      </c>
      <c r="N184">
        <v>0.90900000000000003</v>
      </c>
      <c r="O184">
        <v>0.90900000000000003</v>
      </c>
      <c r="P184">
        <v>0.90900000000000003</v>
      </c>
      <c r="Q184">
        <v>0.90900000000000003</v>
      </c>
      <c r="R184">
        <v>0.90900000000000003</v>
      </c>
      <c r="S184">
        <v>0.90900000000000003</v>
      </c>
      <c r="T184">
        <v>0.90900000000000003</v>
      </c>
      <c r="U184">
        <v>0.90900000000000003</v>
      </c>
      <c r="V184">
        <v>0.90900000000000003</v>
      </c>
      <c r="W184">
        <v>0.90900000000000003</v>
      </c>
      <c r="X184">
        <v>0.90900000000000003</v>
      </c>
      <c r="Y184">
        <v>0.90900000000000003</v>
      </c>
      <c r="Z184">
        <v>0.90900000000000003</v>
      </c>
      <c r="AA184">
        <v>0.90900000000000003</v>
      </c>
    </row>
    <row r="185" spans="1:27" x14ac:dyDescent="0.45">
      <c r="A185" t="s">
        <v>84</v>
      </c>
      <c r="B185" t="s">
        <v>424</v>
      </c>
      <c r="C185" t="str">
        <f t="shared" si="2"/>
        <v>NV|Winter</v>
      </c>
      <c r="D185">
        <v>0.90900000000000014</v>
      </c>
      <c r="E185">
        <v>0.90900000000000014</v>
      </c>
      <c r="F185">
        <v>0.90900000000000014</v>
      </c>
      <c r="G185">
        <v>0.90900000000000014</v>
      </c>
      <c r="H185">
        <v>0.90900000000000014</v>
      </c>
      <c r="I185">
        <v>0.90900000000000014</v>
      </c>
      <c r="J185">
        <v>0.90900000000000014</v>
      </c>
      <c r="K185">
        <v>0.90900000000000014</v>
      </c>
      <c r="L185">
        <v>0.90900000000000014</v>
      </c>
      <c r="M185">
        <v>0.90900000000000014</v>
      </c>
      <c r="N185">
        <v>0.90900000000000014</v>
      </c>
      <c r="O185">
        <v>0.90900000000000014</v>
      </c>
      <c r="P185">
        <v>0.90900000000000014</v>
      </c>
      <c r="Q185">
        <v>0.90900000000000014</v>
      </c>
      <c r="R185">
        <v>0.90900000000000014</v>
      </c>
      <c r="S185">
        <v>0.90900000000000014</v>
      </c>
      <c r="T185">
        <v>0.90900000000000014</v>
      </c>
      <c r="U185">
        <v>0.90900000000000014</v>
      </c>
      <c r="V185">
        <v>0.90900000000000014</v>
      </c>
      <c r="W185">
        <v>0.90900000000000014</v>
      </c>
      <c r="X185">
        <v>0.90900000000000014</v>
      </c>
      <c r="Y185">
        <v>0.90900000000000014</v>
      </c>
      <c r="Z185">
        <v>0.90900000000000014</v>
      </c>
      <c r="AA185">
        <v>0.90900000000000014</v>
      </c>
    </row>
    <row r="186" spans="1:27" x14ac:dyDescent="0.45">
      <c r="A186" t="s">
        <v>84</v>
      </c>
      <c r="B186" t="s">
        <v>425</v>
      </c>
      <c r="C186" t="str">
        <f t="shared" si="2"/>
        <v>NV|Spring</v>
      </c>
      <c r="D186">
        <v>0.90900000000000014</v>
      </c>
      <c r="E186">
        <v>0.90900000000000014</v>
      </c>
      <c r="F186">
        <v>0.90900000000000014</v>
      </c>
      <c r="G186">
        <v>0.90900000000000014</v>
      </c>
      <c r="H186">
        <v>0.90900000000000014</v>
      </c>
      <c r="I186">
        <v>0.90900000000000014</v>
      </c>
      <c r="J186">
        <v>0.90900000000000014</v>
      </c>
      <c r="K186">
        <v>0.90900000000000014</v>
      </c>
      <c r="L186">
        <v>0.90900000000000014</v>
      </c>
      <c r="M186">
        <v>0.90900000000000014</v>
      </c>
      <c r="N186">
        <v>0.90900000000000014</v>
      </c>
      <c r="O186">
        <v>0.90900000000000014</v>
      </c>
      <c r="P186">
        <v>0.90900000000000014</v>
      </c>
      <c r="Q186">
        <v>0.90900000000000014</v>
      </c>
      <c r="R186">
        <v>0.90900000000000014</v>
      </c>
      <c r="S186">
        <v>0.90900000000000014</v>
      </c>
      <c r="T186">
        <v>0.90900000000000014</v>
      </c>
      <c r="U186">
        <v>0.90900000000000014</v>
      </c>
      <c r="V186">
        <v>0.90900000000000014</v>
      </c>
      <c r="W186">
        <v>0.90900000000000014</v>
      </c>
      <c r="X186">
        <v>0.90900000000000014</v>
      </c>
      <c r="Y186">
        <v>0.90900000000000014</v>
      </c>
      <c r="Z186">
        <v>0.90900000000000014</v>
      </c>
      <c r="AA186">
        <v>0.90900000000000014</v>
      </c>
    </row>
    <row r="187" spans="1:27" x14ac:dyDescent="0.45">
      <c r="A187" t="s">
        <v>84</v>
      </c>
      <c r="B187" t="s">
        <v>426</v>
      </c>
      <c r="C187" t="str">
        <f t="shared" si="2"/>
        <v>NV|Summer</v>
      </c>
      <c r="D187">
        <v>0.90900000000000014</v>
      </c>
      <c r="E187">
        <v>0.90900000000000014</v>
      </c>
      <c r="F187">
        <v>0.90900000000000014</v>
      </c>
      <c r="G187">
        <v>0.90900000000000014</v>
      </c>
      <c r="H187">
        <v>0.90900000000000014</v>
      </c>
      <c r="I187">
        <v>0.90900000000000014</v>
      </c>
      <c r="J187">
        <v>0.90900000000000014</v>
      </c>
      <c r="K187">
        <v>0.90900000000000014</v>
      </c>
      <c r="L187">
        <v>0.90900000000000014</v>
      </c>
      <c r="M187">
        <v>0.90900000000000014</v>
      </c>
      <c r="N187">
        <v>0.90900000000000014</v>
      </c>
      <c r="O187">
        <v>0.90900000000000014</v>
      </c>
      <c r="P187">
        <v>0.90900000000000014</v>
      </c>
      <c r="Q187">
        <v>0.90900000000000014</v>
      </c>
      <c r="R187">
        <v>0.90900000000000014</v>
      </c>
      <c r="S187">
        <v>0.90900000000000014</v>
      </c>
      <c r="T187">
        <v>0.90900000000000014</v>
      </c>
      <c r="U187">
        <v>0.90900000000000014</v>
      </c>
      <c r="V187">
        <v>0.90900000000000014</v>
      </c>
      <c r="W187">
        <v>0.90900000000000014</v>
      </c>
      <c r="X187">
        <v>0.90900000000000014</v>
      </c>
      <c r="Y187">
        <v>0.90900000000000014</v>
      </c>
      <c r="Z187">
        <v>0.90900000000000014</v>
      </c>
      <c r="AA187">
        <v>0.90900000000000014</v>
      </c>
    </row>
    <row r="188" spans="1:27" x14ac:dyDescent="0.45">
      <c r="A188" t="s">
        <v>84</v>
      </c>
      <c r="B188" t="s">
        <v>427</v>
      </c>
      <c r="C188" t="str">
        <f t="shared" si="2"/>
        <v>NV|Fall</v>
      </c>
      <c r="D188">
        <v>0.90900000000000014</v>
      </c>
      <c r="E188">
        <v>0.90900000000000014</v>
      </c>
      <c r="F188">
        <v>0.90900000000000014</v>
      </c>
      <c r="G188">
        <v>0.90900000000000014</v>
      </c>
      <c r="H188">
        <v>0.90900000000000014</v>
      </c>
      <c r="I188">
        <v>0.90900000000000014</v>
      </c>
      <c r="J188">
        <v>0.90900000000000014</v>
      </c>
      <c r="K188">
        <v>0.90900000000000014</v>
      </c>
      <c r="L188">
        <v>0.90900000000000014</v>
      </c>
      <c r="M188">
        <v>0.90900000000000014</v>
      </c>
      <c r="N188">
        <v>0.90900000000000014</v>
      </c>
      <c r="O188">
        <v>0.90900000000000014</v>
      </c>
      <c r="P188">
        <v>0.90900000000000014</v>
      </c>
      <c r="Q188">
        <v>0.90900000000000014</v>
      </c>
      <c r="R188">
        <v>0.90900000000000014</v>
      </c>
      <c r="S188">
        <v>0.90900000000000014</v>
      </c>
      <c r="T188">
        <v>0.90900000000000014</v>
      </c>
      <c r="U188">
        <v>0.90900000000000014</v>
      </c>
      <c r="V188">
        <v>0.90900000000000014</v>
      </c>
      <c r="W188">
        <v>0.90900000000000014</v>
      </c>
      <c r="X188">
        <v>0.90900000000000014</v>
      </c>
      <c r="Y188">
        <v>0.90900000000000014</v>
      </c>
      <c r="Z188">
        <v>0.90900000000000014</v>
      </c>
      <c r="AA188">
        <v>0.90900000000000014</v>
      </c>
    </row>
    <row r="189" spans="1:27" x14ac:dyDescent="0.45">
      <c r="A189" t="s">
        <v>84</v>
      </c>
      <c r="B189" t="s">
        <v>428</v>
      </c>
      <c r="C189" t="str">
        <f t="shared" si="2"/>
        <v>NV|Summer Peak</v>
      </c>
      <c r="D189">
        <v>0.90900000000000014</v>
      </c>
      <c r="E189">
        <v>0.90900000000000014</v>
      </c>
      <c r="F189">
        <v>0.90900000000000014</v>
      </c>
      <c r="G189">
        <v>0.90900000000000014</v>
      </c>
      <c r="H189">
        <v>0.90900000000000014</v>
      </c>
      <c r="I189">
        <v>0.90900000000000014</v>
      </c>
      <c r="J189">
        <v>0.90900000000000014</v>
      </c>
      <c r="K189">
        <v>0.90900000000000014</v>
      </c>
      <c r="L189">
        <v>0.90900000000000014</v>
      </c>
      <c r="M189">
        <v>0.90900000000000014</v>
      </c>
      <c r="N189">
        <v>0.90900000000000014</v>
      </c>
      <c r="O189">
        <v>0.90900000000000014</v>
      </c>
      <c r="P189">
        <v>0.90900000000000014</v>
      </c>
      <c r="Q189">
        <v>0.90900000000000014</v>
      </c>
      <c r="R189">
        <v>0.90900000000000014</v>
      </c>
      <c r="S189">
        <v>0.90900000000000014</v>
      </c>
      <c r="T189">
        <v>0.90900000000000014</v>
      </c>
      <c r="U189">
        <v>0.90900000000000014</v>
      </c>
      <c r="V189">
        <v>0.90900000000000014</v>
      </c>
      <c r="W189">
        <v>0.90900000000000014</v>
      </c>
      <c r="X189">
        <v>0.90900000000000014</v>
      </c>
      <c r="Y189">
        <v>0.90900000000000014</v>
      </c>
      <c r="Z189">
        <v>0.90900000000000014</v>
      </c>
      <c r="AA189">
        <v>0.90900000000000014</v>
      </c>
    </row>
    <row r="190" spans="1:27" x14ac:dyDescent="0.45">
      <c r="A190" t="s">
        <v>84</v>
      </c>
      <c r="B190" t="s">
        <v>429</v>
      </c>
      <c r="C190" t="str">
        <f t="shared" si="2"/>
        <v>NV|Winter Peak</v>
      </c>
      <c r="D190">
        <v>0.90900000000000014</v>
      </c>
      <c r="E190">
        <v>0.90900000000000014</v>
      </c>
      <c r="F190">
        <v>0.90900000000000014</v>
      </c>
      <c r="G190">
        <v>0.90900000000000014</v>
      </c>
      <c r="H190">
        <v>0.90900000000000014</v>
      </c>
      <c r="I190">
        <v>0.90900000000000014</v>
      </c>
      <c r="J190">
        <v>0.90900000000000014</v>
      </c>
      <c r="K190">
        <v>0.90900000000000014</v>
      </c>
      <c r="L190">
        <v>0.90900000000000014</v>
      </c>
      <c r="M190">
        <v>0.90900000000000014</v>
      </c>
      <c r="N190">
        <v>0.90900000000000014</v>
      </c>
      <c r="O190">
        <v>0.90900000000000014</v>
      </c>
      <c r="P190">
        <v>0.90900000000000014</v>
      </c>
      <c r="Q190">
        <v>0.90900000000000014</v>
      </c>
      <c r="R190">
        <v>0.90900000000000014</v>
      </c>
      <c r="S190">
        <v>0.90900000000000014</v>
      </c>
      <c r="T190">
        <v>0.90900000000000014</v>
      </c>
      <c r="U190">
        <v>0.90900000000000014</v>
      </c>
      <c r="V190">
        <v>0.90900000000000014</v>
      </c>
      <c r="W190">
        <v>0.90900000000000014</v>
      </c>
      <c r="X190">
        <v>0.90900000000000014</v>
      </c>
      <c r="Y190">
        <v>0.90900000000000014</v>
      </c>
      <c r="Z190">
        <v>0.90900000000000014</v>
      </c>
      <c r="AA190">
        <v>0.90900000000000014</v>
      </c>
    </row>
    <row r="191" spans="1:27" x14ac:dyDescent="0.45">
      <c r="A191" t="s">
        <v>86</v>
      </c>
      <c r="B191" t="s">
        <v>424</v>
      </c>
      <c r="C191" t="str">
        <f t="shared" si="2"/>
        <v>NY|Winter</v>
      </c>
      <c r="D191">
        <v>0.95159797707089466</v>
      </c>
      <c r="E191">
        <v>0.95159797707089466</v>
      </c>
      <c r="F191">
        <v>0.95159797707089466</v>
      </c>
      <c r="G191">
        <v>0.95159797707089466</v>
      </c>
      <c r="H191">
        <v>0.95159797707089466</v>
      </c>
      <c r="I191">
        <v>0.95159797707089466</v>
      </c>
      <c r="J191">
        <v>0.95159797707089466</v>
      </c>
      <c r="K191">
        <v>0.95159797707089466</v>
      </c>
      <c r="L191">
        <v>0.95159797707089466</v>
      </c>
      <c r="M191">
        <v>0.95159797707089466</v>
      </c>
      <c r="N191">
        <v>0.95159797707089466</v>
      </c>
      <c r="O191">
        <v>0.95159797707089466</v>
      </c>
      <c r="P191">
        <v>0.95159797707089466</v>
      </c>
      <c r="Q191">
        <v>0.95159797707089466</v>
      </c>
      <c r="R191">
        <v>0.95159797707089466</v>
      </c>
      <c r="S191">
        <v>0.95159797707089466</v>
      </c>
      <c r="T191">
        <v>0.95159797707089466</v>
      </c>
      <c r="U191">
        <v>0.95159797707089466</v>
      </c>
      <c r="V191">
        <v>0.95159797707089466</v>
      </c>
      <c r="W191">
        <v>0.95159797707089466</v>
      </c>
      <c r="X191">
        <v>0.95159797707089466</v>
      </c>
      <c r="Y191">
        <v>0.95159797707089466</v>
      </c>
      <c r="Z191">
        <v>0.95159797707089466</v>
      </c>
      <c r="AA191">
        <v>0.95159797707089466</v>
      </c>
    </row>
    <row r="192" spans="1:27" x14ac:dyDescent="0.45">
      <c r="A192" t="s">
        <v>86</v>
      </c>
      <c r="B192" t="s">
        <v>425</v>
      </c>
      <c r="C192" t="str">
        <f t="shared" si="2"/>
        <v>NY|Spring</v>
      </c>
      <c r="D192">
        <v>0.95159797707089477</v>
      </c>
      <c r="E192">
        <v>0.95159797707089477</v>
      </c>
      <c r="F192">
        <v>0.95159797707089477</v>
      </c>
      <c r="G192">
        <v>0.95159797707089477</v>
      </c>
      <c r="H192">
        <v>0.95159797707089477</v>
      </c>
      <c r="I192">
        <v>0.95159797707089477</v>
      </c>
      <c r="J192">
        <v>0.95052451870063914</v>
      </c>
      <c r="K192">
        <v>0.95159797707089477</v>
      </c>
      <c r="L192">
        <v>0.95159797707089477</v>
      </c>
      <c r="M192">
        <v>0.95159797707089477</v>
      </c>
      <c r="N192">
        <v>0.95159797707089477</v>
      </c>
      <c r="O192">
        <v>0.95159797707089477</v>
      </c>
      <c r="P192">
        <v>0.95159797707089477</v>
      </c>
      <c r="Q192">
        <v>0.95159797707089477</v>
      </c>
      <c r="R192">
        <v>0.95159797707089477</v>
      </c>
      <c r="S192">
        <v>0.95159797707089477</v>
      </c>
      <c r="T192">
        <v>0.95159797707089477</v>
      </c>
      <c r="U192">
        <v>0.95159797707089477</v>
      </c>
      <c r="V192">
        <v>0.95159797707089477</v>
      </c>
      <c r="W192">
        <v>0.95159797707089477</v>
      </c>
      <c r="X192">
        <v>0.95159797707089477</v>
      </c>
      <c r="Y192">
        <v>0.95159797707089477</v>
      </c>
      <c r="Z192">
        <v>0.95159797707089477</v>
      </c>
      <c r="AA192">
        <v>0.95159797707089477</v>
      </c>
    </row>
    <row r="193" spans="1:27" x14ac:dyDescent="0.45">
      <c r="A193" t="s">
        <v>86</v>
      </c>
      <c r="B193" t="s">
        <v>426</v>
      </c>
      <c r="C193" t="str">
        <f t="shared" si="2"/>
        <v>NY|Summer</v>
      </c>
      <c r="D193">
        <v>0.95024325986860636</v>
      </c>
      <c r="E193">
        <v>0.95159797707089477</v>
      </c>
      <c r="F193">
        <v>0.95159797707089477</v>
      </c>
      <c r="G193">
        <v>0.95159797707089477</v>
      </c>
      <c r="H193">
        <v>0.95159797707089477</v>
      </c>
      <c r="I193">
        <v>0.95159797707089477</v>
      </c>
      <c r="J193">
        <v>0.94643768672249262</v>
      </c>
      <c r="K193">
        <v>0.9486094951513232</v>
      </c>
      <c r="L193">
        <v>0.95159797707089477</v>
      </c>
      <c r="M193">
        <v>0.95159797707089477</v>
      </c>
      <c r="N193">
        <v>0.95159797707089477</v>
      </c>
      <c r="O193">
        <v>0.95159797707089477</v>
      </c>
      <c r="P193">
        <v>0.95159797707089477</v>
      </c>
      <c r="Q193">
        <v>0.95159797707089477</v>
      </c>
      <c r="R193">
        <v>0.95159797707089477</v>
      </c>
      <c r="S193">
        <v>0.95159797707089477</v>
      </c>
      <c r="T193">
        <v>0.95159797707089477</v>
      </c>
      <c r="U193">
        <v>0.95159797707089477</v>
      </c>
      <c r="V193">
        <v>0.95159797707089477</v>
      </c>
      <c r="W193">
        <v>0.95159797707089477</v>
      </c>
      <c r="X193">
        <v>0.95159797707089477</v>
      </c>
      <c r="Y193">
        <v>0.95159797707089477</v>
      </c>
      <c r="Z193">
        <v>0.95159797707089477</v>
      </c>
      <c r="AA193">
        <v>0.95159797707089477</v>
      </c>
    </row>
    <row r="194" spans="1:27" x14ac:dyDescent="0.45">
      <c r="A194" t="s">
        <v>86</v>
      </c>
      <c r="B194" t="s">
        <v>427</v>
      </c>
      <c r="C194" t="str">
        <f t="shared" si="2"/>
        <v>NY|Fall</v>
      </c>
      <c r="D194">
        <v>0.95159797707089477</v>
      </c>
      <c r="E194">
        <v>0.95159797707089477</v>
      </c>
      <c r="F194">
        <v>0.95159797707089477</v>
      </c>
      <c r="G194">
        <v>0.95159797707089477</v>
      </c>
      <c r="H194">
        <v>0.95159797707089477</v>
      </c>
      <c r="I194">
        <v>0.95159797707089477</v>
      </c>
      <c r="J194">
        <v>0.95159797707089477</v>
      </c>
      <c r="K194">
        <v>0.95159797707089477</v>
      </c>
      <c r="L194">
        <v>0.95159797707089477</v>
      </c>
      <c r="M194">
        <v>0.95159797707089477</v>
      </c>
      <c r="N194">
        <v>0.95159797707089477</v>
      </c>
      <c r="O194">
        <v>0.95159797707089477</v>
      </c>
      <c r="P194">
        <v>0.95159797707089477</v>
      </c>
      <c r="Q194">
        <v>0.95159797707089477</v>
      </c>
      <c r="R194">
        <v>0.95159797707089477</v>
      </c>
      <c r="S194">
        <v>0.95159797707089477</v>
      </c>
      <c r="T194">
        <v>0.95159797707089477</v>
      </c>
      <c r="U194">
        <v>0.95159797707089477</v>
      </c>
      <c r="V194">
        <v>0.95159797707089477</v>
      </c>
      <c r="W194">
        <v>0.95159797707089477</v>
      </c>
      <c r="X194">
        <v>0.95159797707089477</v>
      </c>
      <c r="Y194">
        <v>0.95159797707089477</v>
      </c>
      <c r="Z194">
        <v>0.95159797707089477</v>
      </c>
      <c r="AA194">
        <v>0.95159797707089477</v>
      </c>
    </row>
    <row r="195" spans="1:27" x14ac:dyDescent="0.45">
      <c r="A195" t="s">
        <v>86</v>
      </c>
      <c r="B195" t="s">
        <v>428</v>
      </c>
      <c r="C195" t="str">
        <f t="shared" si="2"/>
        <v>NY|Summer Peak</v>
      </c>
      <c r="D195">
        <v>0.95159797707089477</v>
      </c>
      <c r="E195">
        <v>0.95159797707089477</v>
      </c>
      <c r="F195">
        <v>0.95159797707089477</v>
      </c>
      <c r="G195">
        <v>0.95159797707089477</v>
      </c>
      <c r="H195">
        <v>0.95159797707089477</v>
      </c>
      <c r="I195">
        <v>0.95159797707089477</v>
      </c>
      <c r="J195">
        <v>0.95159797707089477</v>
      </c>
      <c r="K195">
        <v>0.95159797707089477</v>
      </c>
      <c r="L195">
        <v>0.95159797707089477</v>
      </c>
      <c r="M195">
        <v>0.95159797707089477</v>
      </c>
      <c r="N195">
        <v>0.95159797707089477</v>
      </c>
      <c r="O195">
        <v>0.95159797707089477</v>
      </c>
      <c r="P195">
        <v>0.95159797707089477</v>
      </c>
      <c r="Q195">
        <v>0.95159797707089477</v>
      </c>
      <c r="R195">
        <v>0.95159797707089477</v>
      </c>
      <c r="S195">
        <v>0.95159797707089477</v>
      </c>
      <c r="T195">
        <v>0.95159797707089477</v>
      </c>
      <c r="U195">
        <v>0.95159797707089477</v>
      </c>
      <c r="V195">
        <v>0.95159797707089477</v>
      </c>
      <c r="W195">
        <v>0.95159797707089477</v>
      </c>
      <c r="X195">
        <v>0.95159797707089477</v>
      </c>
      <c r="Y195">
        <v>0.95159797707089477</v>
      </c>
      <c r="Z195">
        <v>0.95159797707089477</v>
      </c>
      <c r="AA195">
        <v>0.95159797707089477</v>
      </c>
    </row>
    <row r="196" spans="1:27" x14ac:dyDescent="0.45">
      <c r="A196" t="s">
        <v>86</v>
      </c>
      <c r="B196" t="s">
        <v>429</v>
      </c>
      <c r="C196" t="str">
        <f t="shared" si="2"/>
        <v>NY|Winter Peak</v>
      </c>
      <c r="D196">
        <v>0.95159797707089477</v>
      </c>
      <c r="E196">
        <v>0.95159797707089477</v>
      </c>
      <c r="F196">
        <v>0.95159797707089477</v>
      </c>
      <c r="G196">
        <v>0.95159797707089477</v>
      </c>
      <c r="H196">
        <v>0.95159797707089477</v>
      </c>
      <c r="I196">
        <v>0.95159797707089477</v>
      </c>
      <c r="J196">
        <v>0.95159797707089477</v>
      </c>
      <c r="K196">
        <v>0.95159797707089477</v>
      </c>
      <c r="L196">
        <v>0.95159797707089477</v>
      </c>
      <c r="M196">
        <v>0.95159797707089477</v>
      </c>
      <c r="N196">
        <v>0.95159797707089477</v>
      </c>
      <c r="O196">
        <v>0.95159797707089477</v>
      </c>
      <c r="P196">
        <v>0.95159797707089477</v>
      </c>
      <c r="Q196">
        <v>0.95159797707089477</v>
      </c>
      <c r="R196">
        <v>0.95159797707089477</v>
      </c>
      <c r="S196">
        <v>0.95159797707089477</v>
      </c>
      <c r="T196">
        <v>0.95159797707089477</v>
      </c>
      <c r="U196">
        <v>0.95159797707089477</v>
      </c>
      <c r="V196">
        <v>0.95159797707089477</v>
      </c>
      <c r="W196">
        <v>0.95159797707089477</v>
      </c>
      <c r="X196">
        <v>0.95159797707089477</v>
      </c>
      <c r="Y196">
        <v>0.95159797707089477</v>
      </c>
      <c r="Z196">
        <v>0.95159797707089477</v>
      </c>
      <c r="AA196">
        <v>0.95159797707089477</v>
      </c>
    </row>
    <row r="197" spans="1:27" x14ac:dyDescent="0.45">
      <c r="A197" t="s">
        <v>88</v>
      </c>
      <c r="B197" t="s">
        <v>424</v>
      </c>
      <c r="C197" t="str">
        <f t="shared" ref="C197:C260" si="3">A197&amp;"|"&amp;B197</f>
        <v>OH|Winter</v>
      </c>
      <c r="D197">
        <v>0.93858128031220678</v>
      </c>
      <c r="E197">
        <v>0.93858128031220678</v>
      </c>
      <c r="F197">
        <v>0.93858128031220678</v>
      </c>
      <c r="G197">
        <v>0.93858128031220678</v>
      </c>
      <c r="H197">
        <v>0.93858128031220678</v>
      </c>
      <c r="I197">
        <v>0.93858128031220678</v>
      </c>
      <c r="J197">
        <v>0.93858128031220678</v>
      </c>
      <c r="K197">
        <v>0.93858128031220678</v>
      </c>
      <c r="L197">
        <v>0.93858128031220678</v>
      </c>
      <c r="M197">
        <v>0.93858128031220678</v>
      </c>
      <c r="N197">
        <v>0.93858128031220678</v>
      </c>
      <c r="O197">
        <v>0.93858128031220678</v>
      </c>
      <c r="P197">
        <v>0.93858128031220678</v>
      </c>
      <c r="Q197">
        <v>0.93858128031220678</v>
      </c>
      <c r="R197">
        <v>0.93858128031220678</v>
      </c>
      <c r="S197">
        <v>0.93858128031220678</v>
      </c>
      <c r="T197">
        <v>0.93858128031220678</v>
      </c>
      <c r="U197">
        <v>0.93858128031220678</v>
      </c>
      <c r="V197">
        <v>0.93858128031220678</v>
      </c>
      <c r="W197">
        <v>0.93858128031220678</v>
      </c>
      <c r="X197">
        <v>0.93858128031220678</v>
      </c>
      <c r="Y197">
        <v>0.93858128031220678</v>
      </c>
      <c r="Z197">
        <v>0.93858128031220678</v>
      </c>
      <c r="AA197">
        <v>0.93858128031220678</v>
      </c>
    </row>
    <row r="198" spans="1:27" x14ac:dyDescent="0.45">
      <c r="A198" t="s">
        <v>88</v>
      </c>
      <c r="B198" t="s">
        <v>425</v>
      </c>
      <c r="C198" t="str">
        <f t="shared" si="3"/>
        <v>OH|Spring</v>
      </c>
      <c r="D198">
        <v>0.93858128031220689</v>
      </c>
      <c r="E198">
        <v>0.93858128031220689</v>
      </c>
      <c r="F198">
        <v>0.93858128031220689</v>
      </c>
      <c r="G198">
        <v>0.93858128031220689</v>
      </c>
      <c r="H198">
        <v>0.93858128031220689</v>
      </c>
      <c r="I198">
        <v>0.93858128031220689</v>
      </c>
      <c r="J198">
        <v>0.93710792503276608</v>
      </c>
      <c r="K198">
        <v>0.93858128031220689</v>
      </c>
      <c r="L198">
        <v>0.93858128031220689</v>
      </c>
      <c r="M198">
        <v>0.93858128031220689</v>
      </c>
      <c r="N198">
        <v>0.93858128031220689</v>
      </c>
      <c r="O198">
        <v>0.93858128031220689</v>
      </c>
      <c r="P198">
        <v>0.93858128031220689</v>
      </c>
      <c r="Q198">
        <v>0.93858128031220689</v>
      </c>
      <c r="R198">
        <v>0.93858128031220689</v>
      </c>
      <c r="S198">
        <v>0.93858128031220689</v>
      </c>
      <c r="T198">
        <v>0.93858128031220689</v>
      </c>
      <c r="U198">
        <v>0.93858128031220689</v>
      </c>
      <c r="V198">
        <v>0.93858128031220689</v>
      </c>
      <c r="W198">
        <v>0.93858128031220689</v>
      </c>
      <c r="X198">
        <v>0.93858128031220689</v>
      </c>
      <c r="Y198">
        <v>0.93858128031220689</v>
      </c>
      <c r="Z198">
        <v>0.93858128031220689</v>
      </c>
      <c r="AA198">
        <v>0.93858128031220689</v>
      </c>
    </row>
    <row r="199" spans="1:27" x14ac:dyDescent="0.45">
      <c r="A199" t="s">
        <v>88</v>
      </c>
      <c r="B199" t="s">
        <v>426</v>
      </c>
      <c r="C199" t="str">
        <f t="shared" si="3"/>
        <v>OH|Summer</v>
      </c>
      <c r="D199">
        <v>0.93858128031220689</v>
      </c>
      <c r="E199">
        <v>0.93858128031220689</v>
      </c>
      <c r="F199">
        <v>0.93858128031220689</v>
      </c>
      <c r="G199">
        <v>0.93858128031220689</v>
      </c>
      <c r="H199">
        <v>0.93858128031220689</v>
      </c>
      <c r="I199">
        <v>0.93858128031220689</v>
      </c>
      <c r="J199">
        <v>0.93858128031220689</v>
      </c>
      <c r="K199">
        <v>0.93858128031220689</v>
      </c>
      <c r="L199">
        <v>0.93858128031220689</v>
      </c>
      <c r="M199">
        <v>0.93858128031220689</v>
      </c>
      <c r="N199">
        <v>0.93858128031220689</v>
      </c>
      <c r="O199">
        <v>0.93858128031220689</v>
      </c>
      <c r="P199">
        <v>0.93858128031220689</v>
      </c>
      <c r="Q199">
        <v>0.93858128031220689</v>
      </c>
      <c r="R199">
        <v>0.93858128031220689</v>
      </c>
      <c r="S199">
        <v>0.93858128031220689</v>
      </c>
      <c r="T199">
        <v>0.93858128031220689</v>
      </c>
      <c r="U199">
        <v>0.93858128031220689</v>
      </c>
      <c r="V199">
        <v>0.93858128031220689</v>
      </c>
      <c r="W199">
        <v>0.93858128031220689</v>
      </c>
      <c r="X199">
        <v>0.93858128031220689</v>
      </c>
      <c r="Y199">
        <v>0.93858128031220689</v>
      </c>
      <c r="Z199">
        <v>0.93858128031220689</v>
      </c>
      <c r="AA199">
        <v>0.93858128031220689</v>
      </c>
    </row>
    <row r="200" spans="1:27" x14ac:dyDescent="0.45">
      <c r="A200" t="s">
        <v>88</v>
      </c>
      <c r="B200" t="s">
        <v>427</v>
      </c>
      <c r="C200" t="str">
        <f t="shared" si="3"/>
        <v>OH|Fall</v>
      </c>
      <c r="D200">
        <v>0.93858128031220678</v>
      </c>
      <c r="E200">
        <v>0.93858128031220678</v>
      </c>
      <c r="F200">
        <v>0.93858128031220678</v>
      </c>
      <c r="G200">
        <v>0.93858128031220678</v>
      </c>
      <c r="H200">
        <v>0.93858128031220678</v>
      </c>
      <c r="I200">
        <v>0.93858128031220678</v>
      </c>
      <c r="J200">
        <v>0.93552037459640491</v>
      </c>
      <c r="K200">
        <v>0.93552037459640491</v>
      </c>
      <c r="L200">
        <v>0.93858128031220678</v>
      </c>
      <c r="M200">
        <v>0.93858128031220678</v>
      </c>
      <c r="N200">
        <v>0.93858128031220678</v>
      </c>
      <c r="O200">
        <v>0.93858128031220678</v>
      </c>
      <c r="P200">
        <v>0.93858128031220678</v>
      </c>
      <c r="Q200">
        <v>0.93858128031220678</v>
      </c>
      <c r="R200">
        <v>0.93858128031220678</v>
      </c>
      <c r="S200">
        <v>0.93858128031220678</v>
      </c>
      <c r="T200">
        <v>0.93858128031220678</v>
      </c>
      <c r="U200">
        <v>0.93858128031220678</v>
      </c>
      <c r="V200">
        <v>0.93858128031220678</v>
      </c>
      <c r="W200">
        <v>0.93858128031220678</v>
      </c>
      <c r="X200">
        <v>0.93858128031220678</v>
      </c>
      <c r="Y200">
        <v>0.93858128031220678</v>
      </c>
      <c r="Z200">
        <v>0.93858128031220678</v>
      </c>
      <c r="AA200">
        <v>0.93858128031220678</v>
      </c>
    </row>
    <row r="201" spans="1:27" x14ac:dyDescent="0.45">
      <c r="A201" t="s">
        <v>88</v>
      </c>
      <c r="B201" t="s">
        <v>428</v>
      </c>
      <c r="C201" t="str">
        <f t="shared" si="3"/>
        <v>OH|Summer Peak</v>
      </c>
      <c r="D201">
        <v>0.93858128031220678</v>
      </c>
      <c r="E201">
        <v>0.93858128031220678</v>
      </c>
      <c r="F201">
        <v>0.93858128031220678</v>
      </c>
      <c r="G201">
        <v>0.93858128031220678</v>
      </c>
      <c r="H201">
        <v>0.93858128031220678</v>
      </c>
      <c r="I201">
        <v>0.93858128031220678</v>
      </c>
      <c r="J201">
        <v>0.93858128031220678</v>
      </c>
      <c r="K201">
        <v>0.93858128031220678</v>
      </c>
      <c r="L201">
        <v>0.93858128031220678</v>
      </c>
      <c r="M201">
        <v>0.93858128031220678</v>
      </c>
      <c r="N201">
        <v>0.93858128031220678</v>
      </c>
      <c r="O201">
        <v>0.93858128031220678</v>
      </c>
      <c r="P201">
        <v>0.93858128031220678</v>
      </c>
      <c r="Q201">
        <v>0.93858128031220678</v>
      </c>
      <c r="R201">
        <v>0.93858128031220678</v>
      </c>
      <c r="S201">
        <v>0.93858128031220678</v>
      </c>
      <c r="T201">
        <v>0.93858128031220678</v>
      </c>
      <c r="U201">
        <v>0.93858128031220678</v>
      </c>
      <c r="V201">
        <v>0.93858128031220678</v>
      </c>
      <c r="W201">
        <v>0.93858128031220678</v>
      </c>
      <c r="X201">
        <v>0.93858128031220678</v>
      </c>
      <c r="Y201">
        <v>0.93858128031220678</v>
      </c>
      <c r="Z201">
        <v>0.93858128031220678</v>
      </c>
      <c r="AA201">
        <v>0.93858128031220678</v>
      </c>
    </row>
    <row r="202" spans="1:27" x14ac:dyDescent="0.45">
      <c r="A202" t="s">
        <v>88</v>
      </c>
      <c r="B202" t="s">
        <v>429</v>
      </c>
      <c r="C202" t="str">
        <f t="shared" si="3"/>
        <v>OH|Winter Peak</v>
      </c>
      <c r="D202">
        <v>0.93858128031220689</v>
      </c>
      <c r="E202">
        <v>0.93858128031220689</v>
      </c>
      <c r="F202">
        <v>0.93858128031220689</v>
      </c>
      <c r="G202">
        <v>0.93858128031220689</v>
      </c>
      <c r="H202">
        <v>0.93858128031220689</v>
      </c>
      <c r="I202">
        <v>0.93858128031220689</v>
      </c>
      <c r="J202">
        <v>0.93858128031220689</v>
      </c>
      <c r="K202">
        <v>0.93858128031220689</v>
      </c>
      <c r="L202">
        <v>0.93858128031220689</v>
      </c>
      <c r="M202">
        <v>0.93858128031220689</v>
      </c>
      <c r="N202">
        <v>0.93858128031220689</v>
      </c>
      <c r="O202">
        <v>0.93858128031220689</v>
      </c>
      <c r="P202">
        <v>0.93858128031220689</v>
      </c>
      <c r="Q202">
        <v>0.93858128031220689</v>
      </c>
      <c r="R202">
        <v>0.93858128031220689</v>
      </c>
      <c r="S202">
        <v>0.93858128031220689</v>
      </c>
      <c r="T202">
        <v>0.93858128031220689</v>
      </c>
      <c r="U202">
        <v>0.93858128031220689</v>
      </c>
      <c r="V202">
        <v>0.93858128031220689</v>
      </c>
      <c r="W202">
        <v>0.93858128031220689</v>
      </c>
      <c r="X202">
        <v>0.93858128031220689</v>
      </c>
      <c r="Y202">
        <v>0.93858128031220689</v>
      </c>
      <c r="Z202">
        <v>0.93858128031220689</v>
      </c>
      <c r="AA202">
        <v>0.93858128031220689</v>
      </c>
    </row>
    <row r="203" spans="1:27" x14ac:dyDescent="0.45">
      <c r="A203" t="s">
        <v>90</v>
      </c>
      <c r="B203" t="s">
        <v>424</v>
      </c>
      <c r="C203" t="str">
        <f t="shared" si="3"/>
        <v>OK|Winter</v>
      </c>
      <c r="D203">
        <v>0.90900000000000003</v>
      </c>
      <c r="E203">
        <v>0.90900000000000003</v>
      </c>
      <c r="F203">
        <v>0.90900000000000003</v>
      </c>
      <c r="G203">
        <v>0.90900000000000003</v>
      </c>
      <c r="H203">
        <v>0.90900000000000003</v>
      </c>
      <c r="I203">
        <v>0.90900000000000003</v>
      </c>
      <c r="J203">
        <v>0.90900000000000003</v>
      </c>
      <c r="K203">
        <v>0.90900000000000003</v>
      </c>
      <c r="L203">
        <v>0.90900000000000003</v>
      </c>
      <c r="M203">
        <v>0.90900000000000003</v>
      </c>
      <c r="N203">
        <v>0.90900000000000003</v>
      </c>
      <c r="O203">
        <v>0.90900000000000003</v>
      </c>
      <c r="P203">
        <v>0.90900000000000003</v>
      </c>
      <c r="Q203">
        <v>0.90900000000000003</v>
      </c>
      <c r="R203">
        <v>0.90900000000000003</v>
      </c>
      <c r="S203">
        <v>0.90900000000000003</v>
      </c>
      <c r="T203">
        <v>0.90900000000000003</v>
      </c>
      <c r="U203">
        <v>0.90900000000000003</v>
      </c>
      <c r="V203">
        <v>0.90900000000000003</v>
      </c>
      <c r="W203">
        <v>0.90900000000000003</v>
      </c>
      <c r="X203">
        <v>0.90900000000000003</v>
      </c>
      <c r="Y203">
        <v>0.90900000000000003</v>
      </c>
      <c r="Z203">
        <v>0.90900000000000003</v>
      </c>
      <c r="AA203">
        <v>0.90900000000000003</v>
      </c>
    </row>
    <row r="204" spans="1:27" x14ac:dyDescent="0.45">
      <c r="A204" t="s">
        <v>90</v>
      </c>
      <c r="B204" t="s">
        <v>425</v>
      </c>
      <c r="C204" t="str">
        <f t="shared" si="3"/>
        <v>OK|Spring</v>
      </c>
      <c r="D204">
        <v>0.90900000000000003</v>
      </c>
      <c r="E204">
        <v>0.90900000000000003</v>
      </c>
      <c r="F204">
        <v>0.90900000000000003</v>
      </c>
      <c r="G204">
        <v>0.90900000000000003</v>
      </c>
      <c r="H204">
        <v>0.90900000000000003</v>
      </c>
      <c r="I204">
        <v>0.90900000000000003</v>
      </c>
      <c r="J204">
        <v>0.90900000000000003</v>
      </c>
      <c r="K204">
        <v>0.90900000000000003</v>
      </c>
      <c r="L204">
        <v>0.90900000000000003</v>
      </c>
      <c r="M204">
        <v>0.90900000000000003</v>
      </c>
      <c r="N204">
        <v>0.90900000000000003</v>
      </c>
      <c r="O204">
        <v>0.90900000000000003</v>
      </c>
      <c r="P204">
        <v>0.90900000000000003</v>
      </c>
      <c r="Q204">
        <v>0.90900000000000003</v>
      </c>
      <c r="R204">
        <v>0.90900000000000003</v>
      </c>
      <c r="S204">
        <v>0.90900000000000003</v>
      </c>
      <c r="T204">
        <v>0.90900000000000003</v>
      </c>
      <c r="U204">
        <v>0.90900000000000003</v>
      </c>
      <c r="V204">
        <v>0.90900000000000003</v>
      </c>
      <c r="W204">
        <v>0.90900000000000003</v>
      </c>
      <c r="X204">
        <v>0.90900000000000003</v>
      </c>
      <c r="Y204">
        <v>0.90900000000000003</v>
      </c>
      <c r="Z204">
        <v>0.90900000000000003</v>
      </c>
      <c r="AA204">
        <v>0.90900000000000003</v>
      </c>
    </row>
    <row r="205" spans="1:27" x14ac:dyDescent="0.45">
      <c r="A205" t="s">
        <v>90</v>
      </c>
      <c r="B205" t="s">
        <v>426</v>
      </c>
      <c r="C205" t="str">
        <f t="shared" si="3"/>
        <v>OK|Summer</v>
      </c>
      <c r="D205">
        <v>0.90900000000000003</v>
      </c>
      <c r="E205">
        <v>0.90900000000000003</v>
      </c>
      <c r="F205">
        <v>0.90900000000000003</v>
      </c>
      <c r="G205">
        <v>0.90900000000000003</v>
      </c>
      <c r="H205">
        <v>0.90900000000000003</v>
      </c>
      <c r="I205">
        <v>0.90900000000000003</v>
      </c>
      <c r="J205">
        <v>0.90900000000000003</v>
      </c>
      <c r="K205">
        <v>0.90900000000000003</v>
      </c>
      <c r="L205">
        <v>0.90900000000000003</v>
      </c>
      <c r="M205">
        <v>0.90900000000000003</v>
      </c>
      <c r="N205">
        <v>0.90900000000000003</v>
      </c>
      <c r="O205">
        <v>0.90900000000000003</v>
      </c>
      <c r="P205">
        <v>0.90900000000000003</v>
      </c>
      <c r="Q205">
        <v>0.90900000000000003</v>
      </c>
      <c r="R205">
        <v>0.90900000000000003</v>
      </c>
      <c r="S205">
        <v>0.90900000000000003</v>
      </c>
      <c r="T205">
        <v>0.90900000000000003</v>
      </c>
      <c r="U205">
        <v>0.90900000000000003</v>
      </c>
      <c r="V205">
        <v>0.90900000000000003</v>
      </c>
      <c r="W205">
        <v>0.90900000000000003</v>
      </c>
      <c r="X205">
        <v>0.90900000000000003</v>
      </c>
      <c r="Y205">
        <v>0.90900000000000003</v>
      </c>
      <c r="Z205">
        <v>0.90900000000000003</v>
      </c>
      <c r="AA205">
        <v>0.90900000000000003</v>
      </c>
    </row>
    <row r="206" spans="1:27" x14ac:dyDescent="0.45">
      <c r="A206" t="s">
        <v>90</v>
      </c>
      <c r="B206" t="s">
        <v>427</v>
      </c>
      <c r="C206" t="str">
        <f t="shared" si="3"/>
        <v>OK|Fall</v>
      </c>
      <c r="D206">
        <v>0.90900000000000003</v>
      </c>
      <c r="E206">
        <v>0.90900000000000003</v>
      </c>
      <c r="F206">
        <v>0.90900000000000003</v>
      </c>
      <c r="G206">
        <v>0.90900000000000003</v>
      </c>
      <c r="H206">
        <v>0.90900000000000003</v>
      </c>
      <c r="I206">
        <v>0.90900000000000003</v>
      </c>
      <c r="J206">
        <v>0.90900000000000003</v>
      </c>
      <c r="K206">
        <v>0.90900000000000003</v>
      </c>
      <c r="L206">
        <v>0.90900000000000003</v>
      </c>
      <c r="M206">
        <v>0.90900000000000003</v>
      </c>
      <c r="N206">
        <v>0.90900000000000003</v>
      </c>
      <c r="O206">
        <v>0.90900000000000003</v>
      </c>
      <c r="P206">
        <v>0.90900000000000003</v>
      </c>
      <c r="Q206">
        <v>0.90900000000000003</v>
      </c>
      <c r="R206">
        <v>0.90900000000000003</v>
      </c>
      <c r="S206">
        <v>0.90900000000000003</v>
      </c>
      <c r="T206">
        <v>0.90900000000000003</v>
      </c>
      <c r="U206">
        <v>0.90900000000000003</v>
      </c>
      <c r="V206">
        <v>0.90900000000000003</v>
      </c>
      <c r="W206">
        <v>0.90900000000000003</v>
      </c>
      <c r="X206">
        <v>0.90900000000000003</v>
      </c>
      <c r="Y206">
        <v>0.90900000000000003</v>
      </c>
      <c r="Z206">
        <v>0.90900000000000003</v>
      </c>
      <c r="AA206">
        <v>0.90900000000000003</v>
      </c>
    </row>
    <row r="207" spans="1:27" x14ac:dyDescent="0.45">
      <c r="A207" t="s">
        <v>90</v>
      </c>
      <c r="B207" t="s">
        <v>428</v>
      </c>
      <c r="C207" t="str">
        <f t="shared" si="3"/>
        <v>OK|Summer Peak</v>
      </c>
      <c r="D207">
        <v>0.90900000000000003</v>
      </c>
      <c r="E207">
        <v>0.90900000000000003</v>
      </c>
      <c r="F207">
        <v>0.90900000000000003</v>
      </c>
      <c r="G207">
        <v>0.90900000000000003</v>
      </c>
      <c r="H207">
        <v>0.90900000000000003</v>
      </c>
      <c r="I207">
        <v>0.90900000000000003</v>
      </c>
      <c r="J207">
        <v>0.90900000000000003</v>
      </c>
      <c r="K207">
        <v>0.90900000000000003</v>
      </c>
      <c r="L207">
        <v>0.90900000000000003</v>
      </c>
      <c r="M207">
        <v>0.90900000000000003</v>
      </c>
      <c r="N207">
        <v>0.90900000000000003</v>
      </c>
      <c r="O207">
        <v>0.90900000000000003</v>
      </c>
      <c r="P207">
        <v>0.90900000000000003</v>
      </c>
      <c r="Q207">
        <v>0.90900000000000003</v>
      </c>
      <c r="R207">
        <v>0.90900000000000003</v>
      </c>
      <c r="S207">
        <v>0.90900000000000003</v>
      </c>
      <c r="T207">
        <v>0.90900000000000003</v>
      </c>
      <c r="U207">
        <v>0.90900000000000003</v>
      </c>
      <c r="V207">
        <v>0.90900000000000003</v>
      </c>
      <c r="W207">
        <v>0.90900000000000003</v>
      </c>
      <c r="X207">
        <v>0.90900000000000003</v>
      </c>
      <c r="Y207">
        <v>0.90900000000000003</v>
      </c>
      <c r="Z207">
        <v>0.90900000000000003</v>
      </c>
      <c r="AA207">
        <v>0.90900000000000003</v>
      </c>
    </row>
    <row r="208" spans="1:27" x14ac:dyDescent="0.45">
      <c r="A208" t="s">
        <v>90</v>
      </c>
      <c r="B208" t="s">
        <v>429</v>
      </c>
      <c r="C208" t="str">
        <f t="shared" si="3"/>
        <v>OK|Winter Peak</v>
      </c>
      <c r="D208">
        <v>0.90900000000000003</v>
      </c>
      <c r="E208">
        <v>0.90900000000000003</v>
      </c>
      <c r="F208">
        <v>0.90900000000000003</v>
      </c>
      <c r="G208">
        <v>0.90900000000000003</v>
      </c>
      <c r="H208">
        <v>0.90900000000000003</v>
      </c>
      <c r="I208">
        <v>0.90900000000000003</v>
      </c>
      <c r="J208">
        <v>0.90900000000000003</v>
      </c>
      <c r="K208">
        <v>0.90900000000000003</v>
      </c>
      <c r="L208">
        <v>0.90900000000000003</v>
      </c>
      <c r="M208">
        <v>0.90900000000000003</v>
      </c>
      <c r="N208">
        <v>0.90900000000000003</v>
      </c>
      <c r="O208">
        <v>0.90900000000000003</v>
      </c>
      <c r="P208">
        <v>0.90900000000000003</v>
      </c>
      <c r="Q208">
        <v>0.90900000000000003</v>
      </c>
      <c r="R208">
        <v>0.90900000000000003</v>
      </c>
      <c r="S208">
        <v>0.90900000000000003</v>
      </c>
      <c r="T208">
        <v>0.90900000000000003</v>
      </c>
      <c r="U208">
        <v>0.90900000000000003</v>
      </c>
      <c r="V208">
        <v>0.90900000000000003</v>
      </c>
      <c r="W208">
        <v>0.90900000000000003</v>
      </c>
      <c r="X208">
        <v>0.90900000000000003</v>
      </c>
      <c r="Y208">
        <v>0.90900000000000003</v>
      </c>
      <c r="Z208">
        <v>0.90900000000000003</v>
      </c>
      <c r="AA208">
        <v>0.90900000000000003</v>
      </c>
    </row>
    <row r="209" spans="1:27" x14ac:dyDescent="0.45">
      <c r="A209" t="s">
        <v>92</v>
      </c>
      <c r="B209" t="s">
        <v>424</v>
      </c>
      <c r="C209" t="str">
        <f t="shared" si="3"/>
        <v>OR|Winter</v>
      </c>
      <c r="D209">
        <v>0.90900000000000003</v>
      </c>
      <c r="E209">
        <v>0.90900000000000003</v>
      </c>
      <c r="F209">
        <v>0.90900000000000003</v>
      </c>
      <c r="G209">
        <v>0.90900000000000003</v>
      </c>
      <c r="H209">
        <v>0.90900000000000003</v>
      </c>
      <c r="I209">
        <v>0.90900000000000003</v>
      </c>
      <c r="J209">
        <v>0.90900000000000003</v>
      </c>
      <c r="K209">
        <v>0.90900000000000003</v>
      </c>
      <c r="L209">
        <v>0.90900000000000003</v>
      </c>
      <c r="M209">
        <v>0.90900000000000003</v>
      </c>
      <c r="N209">
        <v>0.90900000000000003</v>
      </c>
      <c r="O209">
        <v>0.90900000000000003</v>
      </c>
      <c r="P209">
        <v>0.90900000000000003</v>
      </c>
      <c r="Q209">
        <v>0.90900000000000003</v>
      </c>
      <c r="R209">
        <v>0.90900000000000003</v>
      </c>
      <c r="S209">
        <v>0.90900000000000003</v>
      </c>
      <c r="T209">
        <v>0.90900000000000003</v>
      </c>
      <c r="U209">
        <v>0.90900000000000003</v>
      </c>
      <c r="V209">
        <v>0.90900000000000003</v>
      </c>
      <c r="W209">
        <v>0.90900000000000003</v>
      </c>
      <c r="X209">
        <v>0.90900000000000003</v>
      </c>
      <c r="Y209">
        <v>0.90900000000000003</v>
      </c>
      <c r="Z209">
        <v>0.90900000000000003</v>
      </c>
      <c r="AA209">
        <v>0.90900000000000003</v>
      </c>
    </row>
    <row r="210" spans="1:27" x14ac:dyDescent="0.45">
      <c r="A210" t="s">
        <v>92</v>
      </c>
      <c r="B210" t="s">
        <v>425</v>
      </c>
      <c r="C210" t="str">
        <f t="shared" si="3"/>
        <v>OR|Spring</v>
      </c>
      <c r="D210">
        <v>0.90900000000000003</v>
      </c>
      <c r="E210">
        <v>0.90900000000000003</v>
      </c>
      <c r="F210">
        <v>0.90900000000000003</v>
      </c>
      <c r="G210">
        <v>0.90900000000000003</v>
      </c>
      <c r="H210">
        <v>0.90900000000000003</v>
      </c>
      <c r="I210">
        <v>0.90900000000000003</v>
      </c>
      <c r="J210">
        <v>0.90900000000000003</v>
      </c>
      <c r="K210">
        <v>0.90900000000000003</v>
      </c>
      <c r="L210">
        <v>0.90900000000000003</v>
      </c>
      <c r="M210">
        <v>0.90900000000000003</v>
      </c>
      <c r="N210">
        <v>0.90900000000000003</v>
      </c>
      <c r="O210">
        <v>0.90900000000000003</v>
      </c>
      <c r="P210">
        <v>0.90900000000000003</v>
      </c>
      <c r="Q210">
        <v>0.90900000000000003</v>
      </c>
      <c r="R210">
        <v>0.90900000000000003</v>
      </c>
      <c r="S210">
        <v>0.90900000000000003</v>
      </c>
      <c r="T210">
        <v>0.90900000000000003</v>
      </c>
      <c r="U210">
        <v>0.90900000000000003</v>
      </c>
      <c r="V210">
        <v>0.90900000000000003</v>
      </c>
      <c r="W210">
        <v>0.90900000000000003</v>
      </c>
      <c r="X210">
        <v>0.90900000000000003</v>
      </c>
      <c r="Y210">
        <v>0.90900000000000003</v>
      </c>
      <c r="Z210">
        <v>0.90900000000000003</v>
      </c>
      <c r="AA210">
        <v>0.90900000000000003</v>
      </c>
    </row>
    <row r="211" spans="1:27" x14ac:dyDescent="0.45">
      <c r="A211" t="s">
        <v>92</v>
      </c>
      <c r="B211" t="s">
        <v>426</v>
      </c>
      <c r="C211" t="str">
        <f t="shared" si="3"/>
        <v>OR|Summer</v>
      </c>
      <c r="D211">
        <v>0.90900000000000003</v>
      </c>
      <c r="E211">
        <v>0.90900000000000003</v>
      </c>
      <c r="F211">
        <v>0.90900000000000003</v>
      </c>
      <c r="G211">
        <v>0.90900000000000003</v>
      </c>
      <c r="H211">
        <v>0.90900000000000003</v>
      </c>
      <c r="I211">
        <v>0.90900000000000003</v>
      </c>
      <c r="J211">
        <v>0.90900000000000003</v>
      </c>
      <c r="K211">
        <v>0.90900000000000003</v>
      </c>
      <c r="L211">
        <v>0.90900000000000003</v>
      </c>
      <c r="M211">
        <v>0.90900000000000003</v>
      </c>
      <c r="N211">
        <v>0.90900000000000003</v>
      </c>
      <c r="O211">
        <v>0.90900000000000003</v>
      </c>
      <c r="P211">
        <v>0.90900000000000003</v>
      </c>
      <c r="Q211">
        <v>0.90900000000000003</v>
      </c>
      <c r="R211">
        <v>0.90900000000000003</v>
      </c>
      <c r="S211">
        <v>0.90900000000000003</v>
      </c>
      <c r="T211">
        <v>0.90900000000000003</v>
      </c>
      <c r="U211">
        <v>0.90900000000000003</v>
      </c>
      <c r="V211">
        <v>0.90900000000000003</v>
      </c>
      <c r="W211">
        <v>0.90900000000000003</v>
      </c>
      <c r="X211">
        <v>0.90900000000000003</v>
      </c>
      <c r="Y211">
        <v>0.90900000000000003</v>
      </c>
      <c r="Z211">
        <v>0.90900000000000003</v>
      </c>
      <c r="AA211">
        <v>0.90900000000000003</v>
      </c>
    </row>
    <row r="212" spans="1:27" x14ac:dyDescent="0.45">
      <c r="A212" t="s">
        <v>92</v>
      </c>
      <c r="B212" t="s">
        <v>427</v>
      </c>
      <c r="C212" t="str">
        <f t="shared" si="3"/>
        <v>OR|Fall</v>
      </c>
      <c r="D212">
        <v>0.90900000000000003</v>
      </c>
      <c r="E212">
        <v>0.90900000000000003</v>
      </c>
      <c r="F212">
        <v>0.90900000000000003</v>
      </c>
      <c r="G212">
        <v>0.90900000000000003</v>
      </c>
      <c r="H212">
        <v>0.90900000000000003</v>
      </c>
      <c r="I212">
        <v>0.90900000000000003</v>
      </c>
      <c r="J212">
        <v>0.90900000000000003</v>
      </c>
      <c r="K212">
        <v>0.90900000000000003</v>
      </c>
      <c r="L212">
        <v>0.90900000000000003</v>
      </c>
      <c r="M212">
        <v>0.90900000000000003</v>
      </c>
      <c r="N212">
        <v>0.90900000000000003</v>
      </c>
      <c r="O212">
        <v>0.90900000000000003</v>
      </c>
      <c r="P212">
        <v>0.90900000000000003</v>
      </c>
      <c r="Q212">
        <v>0.90900000000000003</v>
      </c>
      <c r="R212">
        <v>0.90900000000000003</v>
      </c>
      <c r="S212">
        <v>0.90900000000000003</v>
      </c>
      <c r="T212">
        <v>0.90900000000000003</v>
      </c>
      <c r="U212">
        <v>0.90900000000000003</v>
      </c>
      <c r="V212">
        <v>0.90900000000000003</v>
      </c>
      <c r="W212">
        <v>0.90900000000000003</v>
      </c>
      <c r="X212">
        <v>0.90900000000000003</v>
      </c>
      <c r="Y212">
        <v>0.90900000000000003</v>
      </c>
      <c r="Z212">
        <v>0.90900000000000003</v>
      </c>
      <c r="AA212">
        <v>0.90900000000000003</v>
      </c>
    </row>
    <row r="213" spans="1:27" x14ac:dyDescent="0.45">
      <c r="A213" t="s">
        <v>92</v>
      </c>
      <c r="B213" t="s">
        <v>428</v>
      </c>
      <c r="C213" t="str">
        <f t="shared" si="3"/>
        <v>OR|Summer Peak</v>
      </c>
      <c r="D213">
        <v>0.90900000000000003</v>
      </c>
      <c r="E213">
        <v>0.90900000000000003</v>
      </c>
      <c r="F213">
        <v>0.90900000000000003</v>
      </c>
      <c r="G213">
        <v>0.90900000000000003</v>
      </c>
      <c r="H213">
        <v>0.90900000000000003</v>
      </c>
      <c r="I213">
        <v>0.90900000000000003</v>
      </c>
      <c r="J213">
        <v>0.90900000000000003</v>
      </c>
      <c r="K213">
        <v>0.90900000000000003</v>
      </c>
      <c r="L213">
        <v>0.90900000000000003</v>
      </c>
      <c r="M213">
        <v>0.90900000000000003</v>
      </c>
      <c r="N213">
        <v>0.90900000000000003</v>
      </c>
      <c r="O213">
        <v>0.90900000000000003</v>
      </c>
      <c r="P213">
        <v>0.90900000000000003</v>
      </c>
      <c r="Q213">
        <v>0.90900000000000003</v>
      </c>
      <c r="R213">
        <v>0.90900000000000003</v>
      </c>
      <c r="S213">
        <v>0.90900000000000003</v>
      </c>
      <c r="T213">
        <v>0.90900000000000003</v>
      </c>
      <c r="U213">
        <v>0.90900000000000003</v>
      </c>
      <c r="V213">
        <v>0.90900000000000003</v>
      </c>
      <c r="W213">
        <v>0.90900000000000003</v>
      </c>
      <c r="X213">
        <v>0.90900000000000003</v>
      </c>
      <c r="Y213">
        <v>0.90900000000000003</v>
      </c>
      <c r="Z213">
        <v>0.90900000000000003</v>
      </c>
      <c r="AA213">
        <v>0.90900000000000003</v>
      </c>
    </row>
    <row r="214" spans="1:27" x14ac:dyDescent="0.45">
      <c r="A214" t="s">
        <v>92</v>
      </c>
      <c r="B214" t="s">
        <v>429</v>
      </c>
      <c r="C214" t="str">
        <f t="shared" si="3"/>
        <v>OR|Winter Peak</v>
      </c>
      <c r="D214">
        <v>0.90900000000000003</v>
      </c>
      <c r="E214">
        <v>0.90900000000000003</v>
      </c>
      <c r="F214">
        <v>0.90900000000000003</v>
      </c>
      <c r="G214">
        <v>0.90900000000000003</v>
      </c>
      <c r="H214">
        <v>0.90900000000000003</v>
      </c>
      <c r="I214">
        <v>0.90900000000000003</v>
      </c>
      <c r="J214">
        <v>0.90900000000000003</v>
      </c>
      <c r="K214">
        <v>0.90900000000000003</v>
      </c>
      <c r="L214">
        <v>0.90900000000000003</v>
      </c>
      <c r="M214">
        <v>0.90900000000000003</v>
      </c>
      <c r="N214">
        <v>0.90900000000000003</v>
      </c>
      <c r="O214">
        <v>0.90900000000000003</v>
      </c>
      <c r="P214">
        <v>0.90900000000000003</v>
      </c>
      <c r="Q214">
        <v>0.90900000000000003</v>
      </c>
      <c r="R214">
        <v>0.90900000000000003</v>
      </c>
      <c r="S214">
        <v>0.90900000000000003</v>
      </c>
      <c r="T214">
        <v>0.90900000000000003</v>
      </c>
      <c r="U214">
        <v>0.90900000000000003</v>
      </c>
      <c r="V214">
        <v>0.90900000000000003</v>
      </c>
      <c r="W214">
        <v>0.90900000000000003</v>
      </c>
      <c r="X214">
        <v>0.90900000000000003</v>
      </c>
      <c r="Y214">
        <v>0.90900000000000003</v>
      </c>
      <c r="Z214">
        <v>0.90900000000000003</v>
      </c>
      <c r="AA214">
        <v>0.90900000000000003</v>
      </c>
    </row>
    <row r="215" spans="1:27" x14ac:dyDescent="0.45">
      <c r="A215" t="s">
        <v>94</v>
      </c>
      <c r="B215" t="s">
        <v>424</v>
      </c>
      <c r="C215" t="str">
        <f t="shared" si="3"/>
        <v>PA|Winter</v>
      </c>
      <c r="D215">
        <v>0.8679766154279015</v>
      </c>
      <c r="E215">
        <v>0.8679766154279015</v>
      </c>
      <c r="F215">
        <v>0.8679766154279015</v>
      </c>
      <c r="G215">
        <v>0.8679766154279015</v>
      </c>
      <c r="H215">
        <v>0.8679766154279015</v>
      </c>
      <c r="I215">
        <v>0.8679766154279015</v>
      </c>
      <c r="J215">
        <v>0.8679766154279015</v>
      </c>
      <c r="K215">
        <v>0.8679766154279015</v>
      </c>
      <c r="L215">
        <v>0.8679766154279015</v>
      </c>
      <c r="M215">
        <v>0.8679766154279015</v>
      </c>
      <c r="N215">
        <v>0.8679766154279015</v>
      </c>
      <c r="O215">
        <v>0.8679766154279015</v>
      </c>
      <c r="P215">
        <v>0.8679766154279015</v>
      </c>
      <c r="Q215">
        <v>0.8679766154279015</v>
      </c>
      <c r="R215">
        <v>0.8679766154279015</v>
      </c>
      <c r="S215">
        <v>0.8679766154279015</v>
      </c>
      <c r="T215">
        <v>0.8679766154279015</v>
      </c>
      <c r="U215">
        <v>0.8679766154279015</v>
      </c>
      <c r="V215">
        <v>0.8679766154279015</v>
      </c>
      <c r="W215">
        <v>0.8679766154279015</v>
      </c>
      <c r="X215">
        <v>0.8679766154279015</v>
      </c>
      <c r="Y215">
        <v>0.8679766154279015</v>
      </c>
      <c r="Z215">
        <v>0.8679766154279015</v>
      </c>
      <c r="AA215">
        <v>0.8679766154279015</v>
      </c>
    </row>
    <row r="216" spans="1:27" x14ac:dyDescent="0.45">
      <c r="A216" t="s">
        <v>94</v>
      </c>
      <c r="B216" t="s">
        <v>425</v>
      </c>
      <c r="C216" t="str">
        <f t="shared" si="3"/>
        <v>PA|Spring</v>
      </c>
      <c r="D216">
        <v>0.8679766154279015</v>
      </c>
      <c r="E216">
        <v>0.8679766154279015</v>
      </c>
      <c r="F216">
        <v>0.8679766154279015</v>
      </c>
      <c r="G216">
        <v>0.8679766154279015</v>
      </c>
      <c r="H216">
        <v>0.8679766154279015</v>
      </c>
      <c r="I216">
        <v>0.8679766154279015</v>
      </c>
      <c r="J216">
        <v>0.86403538905649846</v>
      </c>
      <c r="K216">
        <v>0.8644909952121087</v>
      </c>
      <c r="L216">
        <v>0.8679766154279015</v>
      </c>
      <c r="M216">
        <v>0.8679766154279015</v>
      </c>
      <c r="N216">
        <v>0.8679766154279015</v>
      </c>
      <c r="O216">
        <v>0.8679766154279015</v>
      </c>
      <c r="P216">
        <v>0.8679766154279015</v>
      </c>
      <c r="Q216">
        <v>0.8679766154279015</v>
      </c>
      <c r="R216">
        <v>0.8679766154279015</v>
      </c>
      <c r="S216">
        <v>0.8679766154279015</v>
      </c>
      <c r="T216">
        <v>0.8679766154279015</v>
      </c>
      <c r="U216">
        <v>0.8679766154279015</v>
      </c>
      <c r="V216">
        <v>0.8679766154279015</v>
      </c>
      <c r="W216">
        <v>0.8679766154279015</v>
      </c>
      <c r="X216">
        <v>0.8679766154279015</v>
      </c>
      <c r="Y216">
        <v>0.8679766154279015</v>
      </c>
      <c r="Z216">
        <v>0.8679766154279015</v>
      </c>
      <c r="AA216">
        <v>0.8679766154279015</v>
      </c>
    </row>
    <row r="217" spans="1:27" x14ac:dyDescent="0.45">
      <c r="A217" t="s">
        <v>94</v>
      </c>
      <c r="B217" t="s">
        <v>426</v>
      </c>
      <c r="C217" t="str">
        <f t="shared" si="3"/>
        <v>PA|Summer</v>
      </c>
      <c r="D217">
        <v>0.86797661542790161</v>
      </c>
      <c r="E217">
        <v>0.86797661542790161</v>
      </c>
      <c r="F217">
        <v>0.86797661542790161</v>
      </c>
      <c r="G217">
        <v>0.86797661542790161</v>
      </c>
      <c r="H217">
        <v>0.86797661542790161</v>
      </c>
      <c r="I217">
        <v>0.86797661542790161</v>
      </c>
      <c r="J217">
        <v>0.86596652227800708</v>
      </c>
      <c r="K217">
        <v>0.86756158415480633</v>
      </c>
      <c r="L217">
        <v>0.86797661542790161</v>
      </c>
      <c r="M217">
        <v>0.86797661542790161</v>
      </c>
      <c r="N217">
        <v>0.86797661542790161</v>
      </c>
      <c r="O217">
        <v>0.86797661542790161</v>
      </c>
      <c r="P217">
        <v>0.86797661542790161</v>
      </c>
      <c r="Q217">
        <v>0.86797661542790161</v>
      </c>
      <c r="R217">
        <v>0.86797661542790161</v>
      </c>
      <c r="S217">
        <v>0.86797661542790161</v>
      </c>
      <c r="T217">
        <v>0.86797661542790161</v>
      </c>
      <c r="U217">
        <v>0.86797661542790161</v>
      </c>
      <c r="V217">
        <v>0.86797661542790161</v>
      </c>
      <c r="W217">
        <v>0.86797661542790161</v>
      </c>
      <c r="X217">
        <v>0.86797661542790161</v>
      </c>
      <c r="Y217">
        <v>0.86797661542790161</v>
      </c>
      <c r="Z217">
        <v>0.86797661542790161</v>
      </c>
      <c r="AA217">
        <v>0.86797661542790161</v>
      </c>
    </row>
    <row r="218" spans="1:27" x14ac:dyDescent="0.45">
      <c r="A218" t="s">
        <v>94</v>
      </c>
      <c r="B218" t="s">
        <v>427</v>
      </c>
      <c r="C218" t="str">
        <f t="shared" si="3"/>
        <v>PA|Fall</v>
      </c>
      <c r="D218">
        <v>0.8679766154279015</v>
      </c>
      <c r="E218">
        <v>0.8679766154279015</v>
      </c>
      <c r="F218">
        <v>0.8679766154279015</v>
      </c>
      <c r="G218">
        <v>0.8679766154279015</v>
      </c>
      <c r="H218">
        <v>0.8679766154279015</v>
      </c>
      <c r="I218">
        <v>0.8679766154279015</v>
      </c>
      <c r="J218">
        <v>0.86516732971022248</v>
      </c>
      <c r="K218">
        <v>0.86581067576828763</v>
      </c>
      <c r="L218">
        <v>0.8679766154279015</v>
      </c>
      <c r="M218">
        <v>0.8679766154279015</v>
      </c>
      <c r="N218">
        <v>0.8679766154279015</v>
      </c>
      <c r="O218">
        <v>0.8679766154279015</v>
      </c>
      <c r="P218">
        <v>0.8679766154279015</v>
      </c>
      <c r="Q218">
        <v>0.8679766154279015</v>
      </c>
      <c r="R218">
        <v>0.8679766154279015</v>
      </c>
      <c r="S218">
        <v>0.8679766154279015</v>
      </c>
      <c r="T218">
        <v>0.8679766154279015</v>
      </c>
      <c r="U218">
        <v>0.8679766154279015</v>
      </c>
      <c r="V218">
        <v>0.8679766154279015</v>
      </c>
      <c r="W218">
        <v>0.8679766154279015</v>
      </c>
      <c r="X218">
        <v>0.8679766154279015</v>
      </c>
      <c r="Y218">
        <v>0.8679766154279015</v>
      </c>
      <c r="Z218">
        <v>0.8679766154279015</v>
      </c>
      <c r="AA218">
        <v>0.8679766154279015</v>
      </c>
    </row>
    <row r="219" spans="1:27" x14ac:dyDescent="0.45">
      <c r="A219" t="s">
        <v>94</v>
      </c>
      <c r="B219" t="s">
        <v>428</v>
      </c>
      <c r="C219" t="str">
        <f t="shared" si="3"/>
        <v>PA|Summer Peak</v>
      </c>
      <c r="D219">
        <v>0.8679766154279015</v>
      </c>
      <c r="E219">
        <v>0.8679766154279015</v>
      </c>
      <c r="F219">
        <v>0.8679766154279015</v>
      </c>
      <c r="G219">
        <v>0.8679766154279015</v>
      </c>
      <c r="H219">
        <v>0.8679766154279015</v>
      </c>
      <c r="I219">
        <v>0.8679766154279015</v>
      </c>
      <c r="J219">
        <v>0.8679766154279015</v>
      </c>
      <c r="K219">
        <v>0.8679766154279015</v>
      </c>
      <c r="L219">
        <v>0.8679766154279015</v>
      </c>
      <c r="M219">
        <v>0.8679766154279015</v>
      </c>
      <c r="N219">
        <v>0.8679766154279015</v>
      </c>
      <c r="O219">
        <v>0.8679766154279015</v>
      </c>
      <c r="P219">
        <v>0.8679766154279015</v>
      </c>
      <c r="Q219">
        <v>0.8679766154279015</v>
      </c>
      <c r="R219">
        <v>0.8679766154279015</v>
      </c>
      <c r="S219">
        <v>0.8679766154279015</v>
      </c>
      <c r="T219">
        <v>0.8679766154279015</v>
      </c>
      <c r="U219">
        <v>0.8679766154279015</v>
      </c>
      <c r="V219">
        <v>0.8679766154279015</v>
      </c>
      <c r="W219">
        <v>0.8679766154279015</v>
      </c>
      <c r="X219">
        <v>0.8679766154279015</v>
      </c>
      <c r="Y219">
        <v>0.8679766154279015</v>
      </c>
      <c r="Z219">
        <v>0.8679766154279015</v>
      </c>
      <c r="AA219">
        <v>0.8679766154279015</v>
      </c>
    </row>
    <row r="220" spans="1:27" x14ac:dyDescent="0.45">
      <c r="A220" t="s">
        <v>94</v>
      </c>
      <c r="B220" t="s">
        <v>429</v>
      </c>
      <c r="C220" t="str">
        <f t="shared" si="3"/>
        <v>PA|Winter Peak</v>
      </c>
      <c r="D220">
        <v>0.8679766154279015</v>
      </c>
      <c r="E220">
        <v>0.8679766154279015</v>
      </c>
      <c r="F220">
        <v>0.8679766154279015</v>
      </c>
      <c r="G220">
        <v>0.8679766154279015</v>
      </c>
      <c r="H220">
        <v>0.8679766154279015</v>
      </c>
      <c r="I220">
        <v>0.8679766154279015</v>
      </c>
      <c r="J220">
        <v>0.8679766154279015</v>
      </c>
      <c r="K220">
        <v>0.8679766154279015</v>
      </c>
      <c r="L220">
        <v>0.8679766154279015</v>
      </c>
      <c r="M220">
        <v>0.8679766154279015</v>
      </c>
      <c r="N220">
        <v>0.8679766154279015</v>
      </c>
      <c r="O220">
        <v>0.8679766154279015</v>
      </c>
      <c r="P220">
        <v>0.8679766154279015</v>
      </c>
      <c r="Q220">
        <v>0.8679766154279015</v>
      </c>
      <c r="R220">
        <v>0.8679766154279015</v>
      </c>
      <c r="S220">
        <v>0.8679766154279015</v>
      </c>
      <c r="T220">
        <v>0.8679766154279015</v>
      </c>
      <c r="U220">
        <v>0.8679766154279015</v>
      </c>
      <c r="V220">
        <v>0.8679766154279015</v>
      </c>
      <c r="W220">
        <v>0.8679766154279015</v>
      </c>
      <c r="X220">
        <v>0.8679766154279015</v>
      </c>
      <c r="Y220">
        <v>0.8679766154279015</v>
      </c>
      <c r="Z220">
        <v>0.8679766154279015</v>
      </c>
      <c r="AA220">
        <v>0.8679766154279015</v>
      </c>
    </row>
    <row r="221" spans="1:27" x14ac:dyDescent="0.45">
      <c r="A221" t="s">
        <v>96</v>
      </c>
      <c r="B221" t="s">
        <v>424</v>
      </c>
      <c r="C221" t="str">
        <f t="shared" si="3"/>
        <v>RI|Winter</v>
      </c>
      <c r="D221">
        <v>0.90900000000000003</v>
      </c>
      <c r="E221">
        <v>0.90900000000000003</v>
      </c>
      <c r="F221">
        <v>0.90900000000000003</v>
      </c>
      <c r="G221">
        <v>0.90900000000000003</v>
      </c>
      <c r="H221">
        <v>0.90900000000000003</v>
      </c>
      <c r="I221">
        <v>0.90900000000000003</v>
      </c>
      <c r="J221">
        <v>0.90900000000000003</v>
      </c>
      <c r="K221">
        <v>0.90900000000000003</v>
      </c>
      <c r="L221">
        <v>0.90900000000000003</v>
      </c>
      <c r="M221">
        <v>0.90900000000000003</v>
      </c>
      <c r="N221">
        <v>0.90900000000000003</v>
      </c>
      <c r="O221">
        <v>0.90900000000000003</v>
      </c>
      <c r="P221">
        <v>0.90900000000000003</v>
      </c>
      <c r="Q221">
        <v>0.90900000000000003</v>
      </c>
      <c r="R221">
        <v>0.90900000000000003</v>
      </c>
      <c r="S221">
        <v>0.90900000000000003</v>
      </c>
      <c r="T221">
        <v>0.90900000000000003</v>
      </c>
      <c r="U221">
        <v>0.90900000000000003</v>
      </c>
      <c r="V221">
        <v>0.90900000000000003</v>
      </c>
      <c r="W221">
        <v>0.90900000000000003</v>
      </c>
      <c r="X221">
        <v>0.90900000000000003</v>
      </c>
      <c r="Y221">
        <v>0.90900000000000003</v>
      </c>
      <c r="Z221">
        <v>0.90900000000000003</v>
      </c>
      <c r="AA221">
        <v>0.90900000000000003</v>
      </c>
    </row>
    <row r="222" spans="1:27" x14ac:dyDescent="0.45">
      <c r="A222" t="s">
        <v>96</v>
      </c>
      <c r="B222" t="s">
        <v>425</v>
      </c>
      <c r="C222" t="str">
        <f t="shared" si="3"/>
        <v>RI|Spring</v>
      </c>
      <c r="D222">
        <v>0.90900000000000003</v>
      </c>
      <c r="E222">
        <v>0.90900000000000003</v>
      </c>
      <c r="F222">
        <v>0.90900000000000003</v>
      </c>
      <c r="G222">
        <v>0.90900000000000003</v>
      </c>
      <c r="H222">
        <v>0.90900000000000003</v>
      </c>
      <c r="I222">
        <v>0.90900000000000003</v>
      </c>
      <c r="J222">
        <v>0.90900000000000003</v>
      </c>
      <c r="K222">
        <v>0.90900000000000003</v>
      </c>
      <c r="L222">
        <v>0.90900000000000003</v>
      </c>
      <c r="M222">
        <v>0.90900000000000003</v>
      </c>
      <c r="N222">
        <v>0.90900000000000003</v>
      </c>
      <c r="O222">
        <v>0.90900000000000003</v>
      </c>
      <c r="P222">
        <v>0.90900000000000003</v>
      </c>
      <c r="Q222">
        <v>0.90900000000000003</v>
      </c>
      <c r="R222">
        <v>0.90900000000000003</v>
      </c>
      <c r="S222">
        <v>0.90900000000000003</v>
      </c>
      <c r="T222">
        <v>0.90900000000000003</v>
      </c>
      <c r="U222">
        <v>0.90900000000000003</v>
      </c>
      <c r="V222">
        <v>0.90900000000000003</v>
      </c>
      <c r="W222">
        <v>0.90900000000000003</v>
      </c>
      <c r="X222">
        <v>0.90900000000000003</v>
      </c>
      <c r="Y222">
        <v>0.90900000000000003</v>
      </c>
      <c r="Z222">
        <v>0.90900000000000003</v>
      </c>
      <c r="AA222">
        <v>0.90900000000000003</v>
      </c>
    </row>
    <row r="223" spans="1:27" x14ac:dyDescent="0.45">
      <c r="A223" t="s">
        <v>96</v>
      </c>
      <c r="B223" t="s">
        <v>426</v>
      </c>
      <c r="C223" t="str">
        <f t="shared" si="3"/>
        <v>RI|Summer</v>
      </c>
      <c r="D223">
        <v>0.90900000000000003</v>
      </c>
      <c r="E223">
        <v>0.90900000000000003</v>
      </c>
      <c r="F223">
        <v>0.90900000000000003</v>
      </c>
      <c r="G223">
        <v>0.90900000000000003</v>
      </c>
      <c r="H223">
        <v>0.90900000000000003</v>
      </c>
      <c r="I223">
        <v>0.90900000000000003</v>
      </c>
      <c r="J223">
        <v>0.90900000000000003</v>
      </c>
      <c r="K223">
        <v>0.90900000000000003</v>
      </c>
      <c r="L223">
        <v>0.90900000000000003</v>
      </c>
      <c r="M223">
        <v>0.90900000000000003</v>
      </c>
      <c r="N223">
        <v>0.90900000000000003</v>
      </c>
      <c r="O223">
        <v>0.90900000000000003</v>
      </c>
      <c r="P223">
        <v>0.90900000000000003</v>
      </c>
      <c r="Q223">
        <v>0.90900000000000003</v>
      </c>
      <c r="R223">
        <v>0.90900000000000003</v>
      </c>
      <c r="S223">
        <v>0.90900000000000003</v>
      </c>
      <c r="T223">
        <v>0.90900000000000003</v>
      </c>
      <c r="U223">
        <v>0.90900000000000003</v>
      </c>
      <c r="V223">
        <v>0.90900000000000003</v>
      </c>
      <c r="W223">
        <v>0.90900000000000003</v>
      </c>
      <c r="X223">
        <v>0.90900000000000003</v>
      </c>
      <c r="Y223">
        <v>0.90900000000000003</v>
      </c>
      <c r="Z223">
        <v>0.90900000000000003</v>
      </c>
      <c r="AA223">
        <v>0.90900000000000003</v>
      </c>
    </row>
    <row r="224" spans="1:27" x14ac:dyDescent="0.45">
      <c r="A224" t="s">
        <v>96</v>
      </c>
      <c r="B224" t="s">
        <v>427</v>
      </c>
      <c r="C224" t="str">
        <f t="shared" si="3"/>
        <v>RI|Fall</v>
      </c>
      <c r="D224">
        <v>0.90900000000000003</v>
      </c>
      <c r="E224">
        <v>0.90900000000000003</v>
      </c>
      <c r="F224">
        <v>0.90900000000000003</v>
      </c>
      <c r="G224">
        <v>0.90900000000000003</v>
      </c>
      <c r="H224">
        <v>0.90900000000000003</v>
      </c>
      <c r="I224">
        <v>0.90900000000000003</v>
      </c>
      <c r="J224">
        <v>0.90900000000000003</v>
      </c>
      <c r="K224">
        <v>0.90900000000000003</v>
      </c>
      <c r="L224">
        <v>0.90900000000000003</v>
      </c>
      <c r="M224">
        <v>0.90900000000000003</v>
      </c>
      <c r="N224">
        <v>0.90900000000000003</v>
      </c>
      <c r="O224">
        <v>0.90900000000000003</v>
      </c>
      <c r="P224">
        <v>0.90900000000000003</v>
      </c>
      <c r="Q224">
        <v>0.90900000000000003</v>
      </c>
      <c r="R224">
        <v>0.90900000000000003</v>
      </c>
      <c r="S224">
        <v>0.90900000000000003</v>
      </c>
      <c r="T224">
        <v>0.90900000000000003</v>
      </c>
      <c r="U224">
        <v>0.90900000000000003</v>
      </c>
      <c r="V224">
        <v>0.90900000000000003</v>
      </c>
      <c r="W224">
        <v>0.90900000000000003</v>
      </c>
      <c r="X224">
        <v>0.90900000000000003</v>
      </c>
      <c r="Y224">
        <v>0.90900000000000003</v>
      </c>
      <c r="Z224">
        <v>0.90900000000000003</v>
      </c>
      <c r="AA224">
        <v>0.90900000000000003</v>
      </c>
    </row>
    <row r="225" spans="1:27" x14ac:dyDescent="0.45">
      <c r="A225" t="s">
        <v>96</v>
      </c>
      <c r="B225" t="s">
        <v>428</v>
      </c>
      <c r="C225" t="str">
        <f t="shared" si="3"/>
        <v>RI|Summer Peak</v>
      </c>
      <c r="D225">
        <v>0.90900000000000003</v>
      </c>
      <c r="E225">
        <v>0.90900000000000003</v>
      </c>
      <c r="F225">
        <v>0.90900000000000003</v>
      </c>
      <c r="G225">
        <v>0.90900000000000003</v>
      </c>
      <c r="H225">
        <v>0.90900000000000003</v>
      </c>
      <c r="I225">
        <v>0.90900000000000003</v>
      </c>
      <c r="J225">
        <v>0.90900000000000003</v>
      </c>
      <c r="K225">
        <v>0.90900000000000003</v>
      </c>
      <c r="L225">
        <v>0.90900000000000003</v>
      </c>
      <c r="M225">
        <v>0.90900000000000003</v>
      </c>
      <c r="N225">
        <v>0.90900000000000003</v>
      </c>
      <c r="O225">
        <v>0.90900000000000003</v>
      </c>
      <c r="P225">
        <v>0.90900000000000003</v>
      </c>
      <c r="Q225">
        <v>0.90900000000000003</v>
      </c>
      <c r="R225">
        <v>0.90900000000000003</v>
      </c>
      <c r="S225">
        <v>0.90900000000000003</v>
      </c>
      <c r="T225">
        <v>0.90900000000000003</v>
      </c>
      <c r="U225">
        <v>0.90900000000000003</v>
      </c>
      <c r="V225">
        <v>0.90900000000000003</v>
      </c>
      <c r="W225">
        <v>0.90900000000000003</v>
      </c>
      <c r="X225">
        <v>0.90900000000000003</v>
      </c>
      <c r="Y225">
        <v>0.90900000000000003</v>
      </c>
      <c r="Z225">
        <v>0.90900000000000003</v>
      </c>
      <c r="AA225">
        <v>0.90900000000000003</v>
      </c>
    </row>
    <row r="226" spans="1:27" x14ac:dyDescent="0.45">
      <c r="A226" t="s">
        <v>96</v>
      </c>
      <c r="B226" t="s">
        <v>429</v>
      </c>
      <c r="C226" t="str">
        <f t="shared" si="3"/>
        <v>RI|Winter Peak</v>
      </c>
      <c r="D226">
        <v>0.90900000000000003</v>
      </c>
      <c r="E226">
        <v>0.90900000000000003</v>
      </c>
      <c r="F226">
        <v>0.90900000000000003</v>
      </c>
      <c r="G226">
        <v>0.90900000000000003</v>
      </c>
      <c r="H226">
        <v>0.90900000000000003</v>
      </c>
      <c r="I226">
        <v>0.90900000000000003</v>
      </c>
      <c r="J226">
        <v>0.90900000000000003</v>
      </c>
      <c r="K226">
        <v>0.90900000000000003</v>
      </c>
      <c r="L226">
        <v>0.90900000000000003</v>
      </c>
      <c r="M226">
        <v>0.90900000000000003</v>
      </c>
      <c r="N226">
        <v>0.90900000000000003</v>
      </c>
      <c r="O226">
        <v>0.90900000000000003</v>
      </c>
      <c r="P226">
        <v>0.90900000000000003</v>
      </c>
      <c r="Q226">
        <v>0.90900000000000003</v>
      </c>
      <c r="R226">
        <v>0.90900000000000003</v>
      </c>
      <c r="S226">
        <v>0.90900000000000003</v>
      </c>
      <c r="T226">
        <v>0.90900000000000003</v>
      </c>
      <c r="U226">
        <v>0.90900000000000003</v>
      </c>
      <c r="V226">
        <v>0.90900000000000003</v>
      </c>
      <c r="W226">
        <v>0.90900000000000003</v>
      </c>
      <c r="X226">
        <v>0.90900000000000003</v>
      </c>
      <c r="Y226">
        <v>0.90900000000000003</v>
      </c>
      <c r="Z226">
        <v>0.90900000000000003</v>
      </c>
      <c r="AA226">
        <v>0.90900000000000003</v>
      </c>
    </row>
    <row r="227" spans="1:27" x14ac:dyDescent="0.45">
      <c r="A227" t="s">
        <v>98</v>
      </c>
      <c r="B227" t="s">
        <v>424</v>
      </c>
      <c r="C227" t="str">
        <f t="shared" si="3"/>
        <v>SC|Winter</v>
      </c>
      <c r="D227">
        <v>0.95174175615711731</v>
      </c>
      <c r="E227">
        <v>0.95174175615711731</v>
      </c>
      <c r="F227">
        <v>0.95174175615711731</v>
      </c>
      <c r="G227">
        <v>0.95174175615711731</v>
      </c>
      <c r="H227">
        <v>0.95174175615711731</v>
      </c>
      <c r="I227">
        <v>0.95174175615711731</v>
      </c>
      <c r="J227">
        <v>0.95174175615711731</v>
      </c>
      <c r="K227">
        <v>0.95174175615711731</v>
      </c>
      <c r="L227">
        <v>0.95174175615711731</v>
      </c>
      <c r="M227">
        <v>0.95174175615711731</v>
      </c>
      <c r="N227">
        <v>0.95174175615711731</v>
      </c>
      <c r="O227">
        <v>0.95174175615711731</v>
      </c>
      <c r="P227">
        <v>0.95174175615711731</v>
      </c>
      <c r="Q227">
        <v>0.95174175615711731</v>
      </c>
      <c r="R227">
        <v>0.95174175615711731</v>
      </c>
      <c r="S227">
        <v>0.95174175615711731</v>
      </c>
      <c r="T227">
        <v>0.95174175615711731</v>
      </c>
      <c r="U227">
        <v>0.95174175615711731</v>
      </c>
      <c r="V227">
        <v>0.95174175615711731</v>
      </c>
      <c r="W227">
        <v>0.95174175615711731</v>
      </c>
      <c r="X227">
        <v>0.95174175615711731</v>
      </c>
      <c r="Y227">
        <v>0.95174175615711731</v>
      </c>
      <c r="Z227">
        <v>0.95174175615711731</v>
      </c>
      <c r="AA227">
        <v>0.95174175615711731</v>
      </c>
    </row>
    <row r="228" spans="1:27" x14ac:dyDescent="0.45">
      <c r="A228" t="s">
        <v>98</v>
      </c>
      <c r="B228" t="s">
        <v>425</v>
      </c>
      <c r="C228" t="str">
        <f t="shared" si="3"/>
        <v>SC|Spring</v>
      </c>
      <c r="D228">
        <v>0.95173612257567242</v>
      </c>
      <c r="E228">
        <v>0.95174175615711731</v>
      </c>
      <c r="F228">
        <v>0.95174175615711731</v>
      </c>
      <c r="G228">
        <v>0.95174175615711731</v>
      </c>
      <c r="H228">
        <v>0.95174175615711731</v>
      </c>
      <c r="I228">
        <v>0.95174175615711731</v>
      </c>
      <c r="J228">
        <v>0.95121907247066462</v>
      </c>
      <c r="K228">
        <v>0.95171922183133784</v>
      </c>
      <c r="L228">
        <v>0.95174175615711731</v>
      </c>
      <c r="M228">
        <v>0.95174175615711731</v>
      </c>
      <c r="N228">
        <v>0.95174175615711731</v>
      </c>
      <c r="O228">
        <v>0.95174175615711731</v>
      </c>
      <c r="P228">
        <v>0.95174175615711731</v>
      </c>
      <c r="Q228">
        <v>0.95174175615711731</v>
      </c>
      <c r="R228">
        <v>0.95174175615711731</v>
      </c>
      <c r="S228">
        <v>0.95174175615711731</v>
      </c>
      <c r="T228">
        <v>0.95174175615711731</v>
      </c>
      <c r="U228">
        <v>0.95174175615711731</v>
      </c>
      <c r="V228">
        <v>0.95174175615711731</v>
      </c>
      <c r="W228">
        <v>0.95174175615711731</v>
      </c>
      <c r="X228">
        <v>0.95174175615711731</v>
      </c>
      <c r="Y228">
        <v>0.95174175615711731</v>
      </c>
      <c r="Z228">
        <v>0.95174175615711731</v>
      </c>
      <c r="AA228">
        <v>0.95174175615711731</v>
      </c>
    </row>
    <row r="229" spans="1:27" x14ac:dyDescent="0.45">
      <c r="A229" t="s">
        <v>98</v>
      </c>
      <c r="B229" t="s">
        <v>426</v>
      </c>
      <c r="C229" t="str">
        <f t="shared" si="3"/>
        <v>SC|Summer</v>
      </c>
      <c r="D229">
        <v>0.95174175615711731</v>
      </c>
      <c r="E229">
        <v>0.95174175615711731</v>
      </c>
      <c r="F229">
        <v>0.95174175615711731</v>
      </c>
      <c r="G229">
        <v>0.95174175615711731</v>
      </c>
      <c r="H229">
        <v>0.95174175615711731</v>
      </c>
      <c r="I229">
        <v>0.95174175615711731</v>
      </c>
      <c r="J229">
        <v>0.94946514880414123</v>
      </c>
      <c r="K229">
        <v>0.95098808970134019</v>
      </c>
      <c r="L229">
        <v>0.95174175615711731</v>
      </c>
      <c r="M229">
        <v>0.95174175615711731</v>
      </c>
      <c r="N229">
        <v>0.95174175615711731</v>
      </c>
      <c r="O229">
        <v>0.95174175615711731</v>
      </c>
      <c r="P229">
        <v>0.95174175615711731</v>
      </c>
      <c r="Q229">
        <v>0.95174175615711731</v>
      </c>
      <c r="R229">
        <v>0.95174175615711731</v>
      </c>
      <c r="S229">
        <v>0.95174175615711731</v>
      </c>
      <c r="T229">
        <v>0.95174175615711731</v>
      </c>
      <c r="U229">
        <v>0.95174175615711731</v>
      </c>
      <c r="V229">
        <v>0.95174175615711731</v>
      </c>
      <c r="W229">
        <v>0.95174175615711731</v>
      </c>
      <c r="X229">
        <v>0.95174175615711731</v>
      </c>
      <c r="Y229">
        <v>0.95174175615711731</v>
      </c>
      <c r="Z229">
        <v>0.95174175615711731</v>
      </c>
      <c r="AA229">
        <v>0.95174175615711731</v>
      </c>
    </row>
    <row r="230" spans="1:27" x14ac:dyDescent="0.45">
      <c r="A230" t="s">
        <v>98</v>
      </c>
      <c r="B230" t="s">
        <v>427</v>
      </c>
      <c r="C230" t="str">
        <f t="shared" si="3"/>
        <v>SC|Fall</v>
      </c>
      <c r="D230">
        <v>0.95174175615711731</v>
      </c>
      <c r="E230">
        <v>0.95174175615711731</v>
      </c>
      <c r="F230">
        <v>0.95174175615711731</v>
      </c>
      <c r="G230">
        <v>0.95174175615711731</v>
      </c>
      <c r="H230">
        <v>0.95174175615711731</v>
      </c>
      <c r="I230">
        <v>0.95174175615711731</v>
      </c>
      <c r="J230">
        <v>0.95172962228938995</v>
      </c>
      <c r="K230">
        <v>0.95174175615711731</v>
      </c>
      <c r="L230">
        <v>0.95174175615711731</v>
      </c>
      <c r="M230">
        <v>0.95174175615711731</v>
      </c>
      <c r="N230">
        <v>0.95174175615711731</v>
      </c>
      <c r="O230">
        <v>0.95174175615711731</v>
      </c>
      <c r="P230">
        <v>0.95174175615711731</v>
      </c>
      <c r="Q230">
        <v>0.95174175615711731</v>
      </c>
      <c r="R230">
        <v>0.95174175615711731</v>
      </c>
      <c r="S230">
        <v>0.95174175615711731</v>
      </c>
      <c r="T230">
        <v>0.95174175615711731</v>
      </c>
      <c r="U230">
        <v>0.95174175615711731</v>
      </c>
      <c r="V230">
        <v>0.95174175615711731</v>
      </c>
      <c r="W230">
        <v>0.95174175615711731</v>
      </c>
      <c r="X230">
        <v>0.95174175615711731</v>
      </c>
      <c r="Y230">
        <v>0.95174175615711731</v>
      </c>
      <c r="Z230">
        <v>0.95174175615711731</v>
      </c>
      <c r="AA230">
        <v>0.95174175615711731</v>
      </c>
    </row>
    <row r="231" spans="1:27" x14ac:dyDescent="0.45">
      <c r="A231" t="s">
        <v>98</v>
      </c>
      <c r="B231" t="s">
        <v>428</v>
      </c>
      <c r="C231" t="str">
        <f t="shared" si="3"/>
        <v>SC|Summer Peak</v>
      </c>
      <c r="D231">
        <v>0.95174175615711731</v>
      </c>
      <c r="E231">
        <v>0.95174175615711731</v>
      </c>
      <c r="F231">
        <v>0.95174175615711731</v>
      </c>
      <c r="G231">
        <v>0.95174175615711731</v>
      </c>
      <c r="H231">
        <v>0.95174175615711731</v>
      </c>
      <c r="I231">
        <v>0.95174175615711731</v>
      </c>
      <c r="J231">
        <v>0.95174175615711731</v>
      </c>
      <c r="K231">
        <v>0.95174175615711731</v>
      </c>
      <c r="L231">
        <v>0.95174175615711731</v>
      </c>
      <c r="M231">
        <v>0.95174175615711731</v>
      </c>
      <c r="N231">
        <v>0.95174175615711731</v>
      </c>
      <c r="O231">
        <v>0.95174175615711731</v>
      </c>
      <c r="P231">
        <v>0.95174175615711731</v>
      </c>
      <c r="Q231">
        <v>0.95174175615711731</v>
      </c>
      <c r="R231">
        <v>0.95174175615711731</v>
      </c>
      <c r="S231">
        <v>0.95174175615711731</v>
      </c>
      <c r="T231">
        <v>0.95174175615711731</v>
      </c>
      <c r="U231">
        <v>0.95174175615711731</v>
      </c>
      <c r="V231">
        <v>0.95174175615711731</v>
      </c>
      <c r="W231">
        <v>0.95174175615711731</v>
      </c>
      <c r="X231">
        <v>0.95174175615711731</v>
      </c>
      <c r="Y231">
        <v>0.95174175615711731</v>
      </c>
      <c r="Z231">
        <v>0.95174175615711731</v>
      </c>
      <c r="AA231">
        <v>0.95174175615711731</v>
      </c>
    </row>
    <row r="232" spans="1:27" x14ac:dyDescent="0.45">
      <c r="A232" t="s">
        <v>98</v>
      </c>
      <c r="B232" t="s">
        <v>429</v>
      </c>
      <c r="C232" t="str">
        <f t="shared" si="3"/>
        <v>SC|Winter Peak</v>
      </c>
      <c r="D232">
        <v>0.95174175615711731</v>
      </c>
      <c r="E232">
        <v>0.95174175615711731</v>
      </c>
      <c r="F232">
        <v>0.95174175615711731</v>
      </c>
      <c r="G232">
        <v>0.95174175615711731</v>
      </c>
      <c r="H232">
        <v>0.95174175615711731</v>
      </c>
      <c r="I232">
        <v>0.95174175615711731</v>
      </c>
      <c r="J232">
        <v>0.95174175615711731</v>
      </c>
      <c r="K232">
        <v>0.95174175615711731</v>
      </c>
      <c r="L232">
        <v>0.95174175615711731</v>
      </c>
      <c r="M232">
        <v>0.95174175615711731</v>
      </c>
      <c r="N232">
        <v>0.95174175615711731</v>
      </c>
      <c r="O232">
        <v>0.95174175615711731</v>
      </c>
      <c r="P232">
        <v>0.95174175615711731</v>
      </c>
      <c r="Q232">
        <v>0.95174175615711731</v>
      </c>
      <c r="R232">
        <v>0.95174175615711731</v>
      </c>
      <c r="S232">
        <v>0.95174175615711731</v>
      </c>
      <c r="T232">
        <v>0.95174175615711731</v>
      </c>
      <c r="U232">
        <v>0.95174175615711731</v>
      </c>
      <c r="V232">
        <v>0.95174175615711731</v>
      </c>
      <c r="W232">
        <v>0.95174175615711731</v>
      </c>
      <c r="X232">
        <v>0.95174175615711731</v>
      </c>
      <c r="Y232">
        <v>0.95174175615711731</v>
      </c>
      <c r="Z232">
        <v>0.95174175615711731</v>
      </c>
      <c r="AA232">
        <v>0.95174175615711731</v>
      </c>
    </row>
    <row r="233" spans="1:27" x14ac:dyDescent="0.45">
      <c r="A233" t="s">
        <v>100</v>
      </c>
      <c r="B233" t="s">
        <v>424</v>
      </c>
      <c r="C233" t="str">
        <f t="shared" si="3"/>
        <v>SD|Winter</v>
      </c>
      <c r="D233">
        <v>0.90900000000000014</v>
      </c>
      <c r="E233">
        <v>0.90900000000000014</v>
      </c>
      <c r="F233">
        <v>0.90900000000000014</v>
      </c>
      <c r="G233">
        <v>0.90900000000000014</v>
      </c>
      <c r="H233">
        <v>0.90900000000000014</v>
      </c>
      <c r="I233">
        <v>0.90900000000000014</v>
      </c>
      <c r="J233">
        <v>0.90900000000000014</v>
      </c>
      <c r="K233">
        <v>0.90900000000000014</v>
      </c>
      <c r="L233">
        <v>0.90900000000000014</v>
      </c>
      <c r="M233">
        <v>0.90900000000000014</v>
      </c>
      <c r="N233">
        <v>0.90900000000000014</v>
      </c>
      <c r="O233">
        <v>0.90900000000000014</v>
      </c>
      <c r="P233">
        <v>0.90900000000000014</v>
      </c>
      <c r="Q233">
        <v>0.90900000000000014</v>
      </c>
      <c r="R233">
        <v>0.90900000000000014</v>
      </c>
      <c r="S233">
        <v>0.90900000000000014</v>
      </c>
      <c r="T233">
        <v>0.90900000000000014</v>
      </c>
      <c r="U233">
        <v>0.90900000000000014</v>
      </c>
      <c r="V233">
        <v>0.90900000000000014</v>
      </c>
      <c r="W233">
        <v>0.90900000000000014</v>
      </c>
      <c r="X233">
        <v>0.90900000000000014</v>
      </c>
      <c r="Y233">
        <v>0.90900000000000014</v>
      </c>
      <c r="Z233">
        <v>0.90900000000000014</v>
      </c>
      <c r="AA233">
        <v>0.90900000000000014</v>
      </c>
    </row>
    <row r="234" spans="1:27" x14ac:dyDescent="0.45">
      <c r="A234" t="s">
        <v>100</v>
      </c>
      <c r="B234" t="s">
        <v>425</v>
      </c>
      <c r="C234" t="str">
        <f t="shared" si="3"/>
        <v>SD|Spring</v>
      </c>
      <c r="D234">
        <v>0.90900000000000014</v>
      </c>
      <c r="E234">
        <v>0.90900000000000014</v>
      </c>
      <c r="F234">
        <v>0.90900000000000014</v>
      </c>
      <c r="G234">
        <v>0.90900000000000014</v>
      </c>
      <c r="H234">
        <v>0.90900000000000014</v>
      </c>
      <c r="I234">
        <v>0.90900000000000014</v>
      </c>
      <c r="J234">
        <v>0.90900000000000014</v>
      </c>
      <c r="K234">
        <v>0.90900000000000014</v>
      </c>
      <c r="L234">
        <v>0.90900000000000014</v>
      </c>
      <c r="M234">
        <v>0.90900000000000014</v>
      </c>
      <c r="N234">
        <v>0.90900000000000014</v>
      </c>
      <c r="O234">
        <v>0.90900000000000014</v>
      </c>
      <c r="P234">
        <v>0.90900000000000014</v>
      </c>
      <c r="Q234">
        <v>0.90900000000000014</v>
      </c>
      <c r="R234">
        <v>0.90900000000000014</v>
      </c>
      <c r="S234">
        <v>0.90900000000000014</v>
      </c>
      <c r="T234">
        <v>0.90900000000000014</v>
      </c>
      <c r="U234">
        <v>0.90900000000000014</v>
      </c>
      <c r="V234">
        <v>0.90900000000000014</v>
      </c>
      <c r="W234">
        <v>0.90900000000000014</v>
      </c>
      <c r="X234">
        <v>0.90900000000000014</v>
      </c>
      <c r="Y234">
        <v>0.90900000000000014</v>
      </c>
      <c r="Z234">
        <v>0.90900000000000014</v>
      </c>
      <c r="AA234">
        <v>0.90900000000000014</v>
      </c>
    </row>
    <row r="235" spans="1:27" x14ac:dyDescent="0.45">
      <c r="A235" t="s">
        <v>100</v>
      </c>
      <c r="B235" t="s">
        <v>426</v>
      </c>
      <c r="C235" t="str">
        <f t="shared" si="3"/>
        <v>SD|Summer</v>
      </c>
      <c r="D235">
        <v>0.90900000000000014</v>
      </c>
      <c r="E235">
        <v>0.90900000000000014</v>
      </c>
      <c r="F235">
        <v>0.90900000000000014</v>
      </c>
      <c r="G235">
        <v>0.90900000000000014</v>
      </c>
      <c r="H235">
        <v>0.90900000000000014</v>
      </c>
      <c r="I235">
        <v>0.90900000000000014</v>
      </c>
      <c r="J235">
        <v>0.90900000000000014</v>
      </c>
      <c r="K235">
        <v>0.90900000000000014</v>
      </c>
      <c r="L235">
        <v>0.90900000000000014</v>
      </c>
      <c r="M235">
        <v>0.90900000000000014</v>
      </c>
      <c r="N235">
        <v>0.90900000000000014</v>
      </c>
      <c r="O235">
        <v>0.90900000000000014</v>
      </c>
      <c r="P235">
        <v>0.90900000000000014</v>
      </c>
      <c r="Q235">
        <v>0.90900000000000014</v>
      </c>
      <c r="R235">
        <v>0.90900000000000014</v>
      </c>
      <c r="S235">
        <v>0.90900000000000014</v>
      </c>
      <c r="T235">
        <v>0.90900000000000014</v>
      </c>
      <c r="U235">
        <v>0.90900000000000014</v>
      </c>
      <c r="V235">
        <v>0.90900000000000014</v>
      </c>
      <c r="W235">
        <v>0.90900000000000014</v>
      </c>
      <c r="X235">
        <v>0.90900000000000014</v>
      </c>
      <c r="Y235">
        <v>0.90900000000000014</v>
      </c>
      <c r="Z235">
        <v>0.90900000000000014</v>
      </c>
      <c r="AA235">
        <v>0.90900000000000014</v>
      </c>
    </row>
    <row r="236" spans="1:27" x14ac:dyDescent="0.45">
      <c r="A236" t="s">
        <v>100</v>
      </c>
      <c r="B236" t="s">
        <v>427</v>
      </c>
      <c r="C236" t="str">
        <f t="shared" si="3"/>
        <v>SD|Fall</v>
      </c>
      <c r="D236">
        <v>0.90900000000000014</v>
      </c>
      <c r="E236">
        <v>0.90900000000000014</v>
      </c>
      <c r="F236">
        <v>0.90900000000000014</v>
      </c>
      <c r="G236">
        <v>0.90900000000000014</v>
      </c>
      <c r="H236">
        <v>0.90900000000000014</v>
      </c>
      <c r="I236">
        <v>0.90900000000000014</v>
      </c>
      <c r="J236">
        <v>0.90900000000000014</v>
      </c>
      <c r="K236">
        <v>0.90900000000000014</v>
      </c>
      <c r="L236">
        <v>0.90900000000000014</v>
      </c>
      <c r="M236">
        <v>0.90900000000000014</v>
      </c>
      <c r="N236">
        <v>0.90900000000000014</v>
      </c>
      <c r="O236">
        <v>0.90900000000000014</v>
      </c>
      <c r="P236">
        <v>0.90900000000000014</v>
      </c>
      <c r="Q236">
        <v>0.90900000000000014</v>
      </c>
      <c r="R236">
        <v>0.90900000000000014</v>
      </c>
      <c r="S236">
        <v>0.90900000000000014</v>
      </c>
      <c r="T236">
        <v>0.90900000000000014</v>
      </c>
      <c r="U236">
        <v>0.90900000000000014</v>
      </c>
      <c r="V236">
        <v>0.90900000000000014</v>
      </c>
      <c r="W236">
        <v>0.90900000000000014</v>
      </c>
      <c r="X236">
        <v>0.90900000000000014</v>
      </c>
      <c r="Y236">
        <v>0.90900000000000014</v>
      </c>
      <c r="Z236">
        <v>0.90900000000000014</v>
      </c>
      <c r="AA236">
        <v>0.90900000000000014</v>
      </c>
    </row>
    <row r="237" spans="1:27" x14ac:dyDescent="0.45">
      <c r="A237" t="s">
        <v>100</v>
      </c>
      <c r="B237" t="s">
        <v>428</v>
      </c>
      <c r="C237" t="str">
        <f t="shared" si="3"/>
        <v>SD|Summer Peak</v>
      </c>
      <c r="D237">
        <v>0.90900000000000014</v>
      </c>
      <c r="E237">
        <v>0.90900000000000014</v>
      </c>
      <c r="F237">
        <v>0.90900000000000014</v>
      </c>
      <c r="G237">
        <v>0.90900000000000014</v>
      </c>
      <c r="H237">
        <v>0.90900000000000014</v>
      </c>
      <c r="I237">
        <v>0.90900000000000014</v>
      </c>
      <c r="J237">
        <v>0.90900000000000014</v>
      </c>
      <c r="K237">
        <v>0.90900000000000014</v>
      </c>
      <c r="L237">
        <v>0.90900000000000014</v>
      </c>
      <c r="M237">
        <v>0.90900000000000014</v>
      </c>
      <c r="N237">
        <v>0.90900000000000014</v>
      </c>
      <c r="O237">
        <v>0.90900000000000014</v>
      </c>
      <c r="P237">
        <v>0.90900000000000014</v>
      </c>
      <c r="Q237">
        <v>0.90900000000000014</v>
      </c>
      <c r="R237">
        <v>0.90900000000000014</v>
      </c>
      <c r="S237">
        <v>0.90900000000000014</v>
      </c>
      <c r="T237">
        <v>0.90900000000000014</v>
      </c>
      <c r="U237">
        <v>0.90900000000000014</v>
      </c>
      <c r="V237">
        <v>0.90900000000000014</v>
      </c>
      <c r="W237">
        <v>0.90900000000000014</v>
      </c>
      <c r="X237">
        <v>0.90900000000000014</v>
      </c>
      <c r="Y237">
        <v>0.90900000000000014</v>
      </c>
      <c r="Z237">
        <v>0.90900000000000014</v>
      </c>
      <c r="AA237">
        <v>0.90900000000000014</v>
      </c>
    </row>
    <row r="238" spans="1:27" x14ac:dyDescent="0.45">
      <c r="A238" t="s">
        <v>100</v>
      </c>
      <c r="B238" t="s">
        <v>429</v>
      </c>
      <c r="C238" t="str">
        <f t="shared" si="3"/>
        <v>SD|Winter Peak</v>
      </c>
      <c r="D238">
        <v>0.90900000000000014</v>
      </c>
      <c r="E238">
        <v>0.90900000000000014</v>
      </c>
      <c r="F238">
        <v>0.90900000000000014</v>
      </c>
      <c r="G238">
        <v>0.90900000000000014</v>
      </c>
      <c r="H238">
        <v>0.90900000000000014</v>
      </c>
      <c r="I238">
        <v>0.90900000000000014</v>
      </c>
      <c r="J238">
        <v>0.90900000000000014</v>
      </c>
      <c r="K238">
        <v>0.90900000000000014</v>
      </c>
      <c r="L238">
        <v>0.90900000000000014</v>
      </c>
      <c r="M238">
        <v>0.90900000000000014</v>
      </c>
      <c r="N238">
        <v>0.90900000000000014</v>
      </c>
      <c r="O238">
        <v>0.90900000000000014</v>
      </c>
      <c r="P238">
        <v>0.90900000000000014</v>
      </c>
      <c r="Q238">
        <v>0.90900000000000014</v>
      </c>
      <c r="R238">
        <v>0.90900000000000014</v>
      </c>
      <c r="S238">
        <v>0.90900000000000014</v>
      </c>
      <c r="T238">
        <v>0.90900000000000014</v>
      </c>
      <c r="U238">
        <v>0.90900000000000014</v>
      </c>
      <c r="V238">
        <v>0.90900000000000014</v>
      </c>
      <c r="W238">
        <v>0.90900000000000014</v>
      </c>
      <c r="X238">
        <v>0.90900000000000014</v>
      </c>
      <c r="Y238">
        <v>0.90900000000000014</v>
      </c>
      <c r="Z238">
        <v>0.90900000000000014</v>
      </c>
      <c r="AA238">
        <v>0.90900000000000014</v>
      </c>
    </row>
    <row r="239" spans="1:27" x14ac:dyDescent="0.45">
      <c r="A239" t="s">
        <v>102</v>
      </c>
      <c r="B239" t="s">
        <v>424</v>
      </c>
      <c r="C239" t="str">
        <f t="shared" si="3"/>
        <v>TN|Winter</v>
      </c>
      <c r="D239">
        <v>0.77650895139250209</v>
      </c>
      <c r="E239">
        <v>0.77650895139250209</v>
      </c>
      <c r="F239">
        <v>0.77650895139250209</v>
      </c>
      <c r="G239">
        <v>0.77650895139250209</v>
      </c>
      <c r="H239">
        <v>0.77650895139250209</v>
      </c>
      <c r="I239">
        <v>0.77650895139250209</v>
      </c>
      <c r="J239">
        <v>0.77650895139250209</v>
      </c>
      <c r="K239">
        <v>0.77650895139250209</v>
      </c>
      <c r="L239">
        <v>0.77650895139250209</v>
      </c>
      <c r="M239">
        <v>0.77650895139250209</v>
      </c>
      <c r="N239">
        <v>0.77650895139250209</v>
      </c>
      <c r="O239">
        <v>0.77650895139250209</v>
      </c>
      <c r="P239">
        <v>0.77650895139250209</v>
      </c>
      <c r="Q239">
        <v>0.77650895139250209</v>
      </c>
      <c r="R239">
        <v>0.77650895139250209</v>
      </c>
      <c r="S239">
        <v>0.77650895139250209</v>
      </c>
      <c r="T239">
        <v>0.77650895139250209</v>
      </c>
      <c r="U239">
        <v>0.77650895139250209</v>
      </c>
      <c r="V239">
        <v>0.77650895139250209</v>
      </c>
      <c r="W239">
        <v>0.77650895139250209</v>
      </c>
      <c r="X239">
        <v>0.77650895139250209</v>
      </c>
      <c r="Y239">
        <v>0.77650895139250209</v>
      </c>
      <c r="Z239">
        <v>0.77650895139250209</v>
      </c>
      <c r="AA239">
        <v>0.77650895139250209</v>
      </c>
    </row>
    <row r="240" spans="1:27" x14ac:dyDescent="0.45">
      <c r="A240" t="s">
        <v>102</v>
      </c>
      <c r="B240" t="s">
        <v>425</v>
      </c>
      <c r="C240" t="str">
        <f t="shared" si="3"/>
        <v>TN|Spring</v>
      </c>
      <c r="D240">
        <v>0.77650895139250209</v>
      </c>
      <c r="E240">
        <v>0.77650895139250209</v>
      </c>
      <c r="F240">
        <v>0.77650895139250209</v>
      </c>
      <c r="G240">
        <v>0.77650895139250209</v>
      </c>
      <c r="H240">
        <v>0.77650895139250209</v>
      </c>
      <c r="I240">
        <v>0.77650895139250209</v>
      </c>
      <c r="J240">
        <v>0.77650895139250209</v>
      </c>
      <c r="K240">
        <v>0.77650895139250209</v>
      </c>
      <c r="L240">
        <v>0.77650895139250209</v>
      </c>
      <c r="M240">
        <v>0.77650895139250209</v>
      </c>
      <c r="N240">
        <v>0.77650895139250209</v>
      </c>
      <c r="O240">
        <v>0.77650895139250209</v>
      </c>
      <c r="P240">
        <v>0.77650895139250209</v>
      </c>
      <c r="Q240">
        <v>0.77650895139250209</v>
      </c>
      <c r="R240">
        <v>0.77650895139250209</v>
      </c>
      <c r="S240">
        <v>0.77650895139250209</v>
      </c>
      <c r="T240">
        <v>0.77650895139250209</v>
      </c>
      <c r="U240">
        <v>0.77650895139250209</v>
      </c>
      <c r="V240">
        <v>0.77650895139250209</v>
      </c>
      <c r="W240">
        <v>0.77650895139250209</v>
      </c>
      <c r="X240">
        <v>0.77650895139250209</v>
      </c>
      <c r="Y240">
        <v>0.77650895139250209</v>
      </c>
      <c r="Z240">
        <v>0.77650895139250209</v>
      </c>
      <c r="AA240">
        <v>0.77650895139250209</v>
      </c>
    </row>
    <row r="241" spans="1:27" x14ac:dyDescent="0.45">
      <c r="A241" t="s">
        <v>102</v>
      </c>
      <c r="B241" t="s">
        <v>426</v>
      </c>
      <c r="C241" t="str">
        <f t="shared" si="3"/>
        <v>TN|Summer</v>
      </c>
      <c r="D241">
        <v>0.77650895139250209</v>
      </c>
      <c r="E241">
        <v>0.77650895139250209</v>
      </c>
      <c r="F241">
        <v>0.77650895139250209</v>
      </c>
      <c r="G241">
        <v>0.77650895139250209</v>
      </c>
      <c r="H241">
        <v>0.77650895139250209</v>
      </c>
      <c r="I241">
        <v>0.77353012571538171</v>
      </c>
      <c r="J241">
        <v>0.77488869688731821</v>
      </c>
      <c r="K241">
        <v>0.77650895139250209</v>
      </c>
      <c r="L241">
        <v>0.77650895139250209</v>
      </c>
      <c r="M241">
        <v>0.77650895139250209</v>
      </c>
      <c r="N241">
        <v>0.77650895139250209</v>
      </c>
      <c r="O241">
        <v>0.77650895139250209</v>
      </c>
      <c r="P241">
        <v>0.77650895139250209</v>
      </c>
      <c r="Q241">
        <v>0.77650895139250209</v>
      </c>
      <c r="R241">
        <v>0.77650895139250209</v>
      </c>
      <c r="S241">
        <v>0.77650895139250209</v>
      </c>
      <c r="T241">
        <v>0.77650895139250209</v>
      </c>
      <c r="U241">
        <v>0.77650895139250209</v>
      </c>
      <c r="V241">
        <v>0.77650895139250209</v>
      </c>
      <c r="W241">
        <v>0.77650895139250209</v>
      </c>
      <c r="X241">
        <v>0.77650895139250209</v>
      </c>
      <c r="Y241">
        <v>0.77650895139250209</v>
      </c>
      <c r="Z241">
        <v>0.77650895139250209</v>
      </c>
      <c r="AA241">
        <v>0.77650895139250209</v>
      </c>
    </row>
    <row r="242" spans="1:27" x14ac:dyDescent="0.45">
      <c r="A242" t="s">
        <v>102</v>
      </c>
      <c r="B242" t="s">
        <v>427</v>
      </c>
      <c r="C242" t="str">
        <f t="shared" si="3"/>
        <v>TN|Fall</v>
      </c>
      <c r="D242">
        <v>0.7765089513925022</v>
      </c>
      <c r="E242">
        <v>0.7765089513925022</v>
      </c>
      <c r="F242">
        <v>0.7765089513925022</v>
      </c>
      <c r="G242">
        <v>0.7765089513925022</v>
      </c>
      <c r="H242">
        <v>0.7765089513925022</v>
      </c>
      <c r="I242">
        <v>0.77498818619904009</v>
      </c>
      <c r="J242">
        <v>0.77536837749740561</v>
      </c>
      <c r="K242">
        <v>0.7765089513925022</v>
      </c>
      <c r="L242">
        <v>0.7765089513925022</v>
      </c>
      <c r="M242">
        <v>0.7765089513925022</v>
      </c>
      <c r="N242">
        <v>0.7765089513925022</v>
      </c>
      <c r="O242">
        <v>0.7765089513925022</v>
      </c>
      <c r="P242">
        <v>0.7765089513925022</v>
      </c>
      <c r="Q242">
        <v>0.7765089513925022</v>
      </c>
      <c r="R242">
        <v>0.7765089513925022</v>
      </c>
      <c r="S242">
        <v>0.7765089513925022</v>
      </c>
      <c r="T242">
        <v>0.7765089513925022</v>
      </c>
      <c r="U242">
        <v>0.7765089513925022</v>
      </c>
      <c r="V242">
        <v>0.7765089513925022</v>
      </c>
      <c r="W242">
        <v>0.7765089513925022</v>
      </c>
      <c r="X242">
        <v>0.7765089513925022</v>
      </c>
      <c r="Y242">
        <v>0.7765089513925022</v>
      </c>
      <c r="Z242">
        <v>0.7765089513925022</v>
      </c>
      <c r="AA242">
        <v>0.77612876009413667</v>
      </c>
    </row>
    <row r="243" spans="1:27" x14ac:dyDescent="0.45">
      <c r="A243" t="s">
        <v>102</v>
      </c>
      <c r="B243" t="s">
        <v>428</v>
      </c>
      <c r="C243" t="str">
        <f t="shared" si="3"/>
        <v>TN|Summer Peak</v>
      </c>
      <c r="D243">
        <v>0.7765089513925022</v>
      </c>
      <c r="E243">
        <v>0.7765089513925022</v>
      </c>
      <c r="F243">
        <v>0.7765089513925022</v>
      </c>
      <c r="G243">
        <v>0.7765089513925022</v>
      </c>
      <c r="H243">
        <v>0.7765089513925022</v>
      </c>
      <c r="I243">
        <v>0.7765089513925022</v>
      </c>
      <c r="J243">
        <v>0.7765089513925022</v>
      </c>
      <c r="K243">
        <v>0.7765089513925022</v>
      </c>
      <c r="L243">
        <v>0.7765089513925022</v>
      </c>
      <c r="M243">
        <v>0.7765089513925022</v>
      </c>
      <c r="N243">
        <v>0.7765089513925022</v>
      </c>
      <c r="O243">
        <v>0.7765089513925022</v>
      </c>
      <c r="P243">
        <v>0.7765089513925022</v>
      </c>
      <c r="Q243">
        <v>0.7765089513925022</v>
      </c>
      <c r="R243">
        <v>0.7765089513925022</v>
      </c>
      <c r="S243">
        <v>0.7765089513925022</v>
      </c>
      <c r="T243">
        <v>0.7765089513925022</v>
      </c>
      <c r="U243">
        <v>0.7765089513925022</v>
      </c>
      <c r="V243">
        <v>0.7765089513925022</v>
      </c>
      <c r="W243">
        <v>0.7765089513925022</v>
      </c>
      <c r="X243">
        <v>0.7765089513925022</v>
      </c>
      <c r="Y243">
        <v>0.7765089513925022</v>
      </c>
      <c r="Z243">
        <v>0.7765089513925022</v>
      </c>
      <c r="AA243">
        <v>0.7765089513925022</v>
      </c>
    </row>
    <row r="244" spans="1:27" x14ac:dyDescent="0.45">
      <c r="A244" t="s">
        <v>102</v>
      </c>
      <c r="B244" t="s">
        <v>429</v>
      </c>
      <c r="C244" t="str">
        <f t="shared" si="3"/>
        <v>TN|Winter Peak</v>
      </c>
      <c r="D244">
        <v>0.77650895139250209</v>
      </c>
      <c r="E244">
        <v>0.77650895139250209</v>
      </c>
      <c r="F244">
        <v>0.77650895139250209</v>
      </c>
      <c r="G244">
        <v>0.77650895139250209</v>
      </c>
      <c r="H244">
        <v>0.77650895139250209</v>
      </c>
      <c r="I244">
        <v>0.77650895139250209</v>
      </c>
      <c r="J244">
        <v>0.77650895139250209</v>
      </c>
      <c r="K244">
        <v>0.77650895139250209</v>
      </c>
      <c r="L244">
        <v>0.77650895139250209</v>
      </c>
      <c r="M244">
        <v>0.77650895139250209</v>
      </c>
      <c r="N244">
        <v>0.77650895139250209</v>
      </c>
      <c r="O244">
        <v>0.77650895139250209</v>
      </c>
      <c r="P244">
        <v>0.77650895139250209</v>
      </c>
      <c r="Q244">
        <v>0.77650895139250209</v>
      </c>
      <c r="R244">
        <v>0.77650895139250209</v>
      </c>
      <c r="S244">
        <v>0.77650895139250209</v>
      </c>
      <c r="T244">
        <v>0.77650895139250209</v>
      </c>
      <c r="U244">
        <v>0.77650895139250209</v>
      </c>
      <c r="V244">
        <v>0.77650895139250209</v>
      </c>
      <c r="W244">
        <v>0.77650895139250209</v>
      </c>
      <c r="X244">
        <v>0.77650895139250209</v>
      </c>
      <c r="Y244">
        <v>0.77650895139250209</v>
      </c>
      <c r="Z244">
        <v>0.77650895139250209</v>
      </c>
      <c r="AA244">
        <v>0.77650895139250209</v>
      </c>
    </row>
    <row r="245" spans="1:27" x14ac:dyDescent="0.45">
      <c r="A245" t="s">
        <v>104</v>
      </c>
      <c r="B245" t="s">
        <v>424</v>
      </c>
      <c r="C245" t="str">
        <f t="shared" si="3"/>
        <v>TX|Winter</v>
      </c>
      <c r="D245">
        <v>0.82988641043749234</v>
      </c>
      <c r="E245">
        <v>0.78207774920413753</v>
      </c>
      <c r="F245">
        <v>0.76950277479913021</v>
      </c>
      <c r="G245">
        <v>0.7706983118492805</v>
      </c>
      <c r="H245">
        <v>0.80621906379037378</v>
      </c>
      <c r="I245">
        <v>0.88123881336273013</v>
      </c>
      <c r="J245">
        <v>0.90248563819735439</v>
      </c>
      <c r="K245">
        <v>0.86667882276637942</v>
      </c>
      <c r="L245">
        <v>0.8613622086056909</v>
      </c>
      <c r="M245">
        <v>0.89728881813116845</v>
      </c>
      <c r="N245">
        <v>0.92657627066668591</v>
      </c>
      <c r="O245">
        <v>0.93571427637708382</v>
      </c>
      <c r="P245">
        <v>0.92922756638698412</v>
      </c>
      <c r="Q245">
        <v>0.92052706954346419</v>
      </c>
      <c r="R245">
        <v>0.92042590563422733</v>
      </c>
      <c r="S245">
        <v>0.92508004643284336</v>
      </c>
      <c r="T245">
        <v>0.95202290016893754</v>
      </c>
      <c r="U245">
        <v>0.97069916008608048</v>
      </c>
      <c r="V245">
        <v>0.97330818732152913</v>
      </c>
      <c r="W245">
        <v>0.97330818732152913</v>
      </c>
      <c r="X245">
        <v>0.97330818732152913</v>
      </c>
      <c r="Y245">
        <v>0.97330818732152913</v>
      </c>
      <c r="Z245">
        <v>0.96046237409416901</v>
      </c>
      <c r="AA245">
        <v>0.910431312050766</v>
      </c>
    </row>
    <row r="246" spans="1:27" x14ac:dyDescent="0.45">
      <c r="A246" t="s">
        <v>104</v>
      </c>
      <c r="B246" t="s">
        <v>425</v>
      </c>
      <c r="C246" t="str">
        <f t="shared" si="3"/>
        <v>TX|Spring</v>
      </c>
      <c r="D246">
        <v>0.93045607139841091</v>
      </c>
      <c r="E246">
        <v>0.8876043451976432</v>
      </c>
      <c r="F246">
        <v>0.87570982419567844</v>
      </c>
      <c r="G246">
        <v>0.87297884482373933</v>
      </c>
      <c r="H246">
        <v>0.88751919086403375</v>
      </c>
      <c r="I246">
        <v>0.93276615063168511</v>
      </c>
      <c r="J246">
        <v>0.9129314264582773</v>
      </c>
      <c r="K246">
        <v>0.87593547343668499</v>
      </c>
      <c r="L246">
        <v>0.91266816901043635</v>
      </c>
      <c r="M246">
        <v>0.94750876257194894</v>
      </c>
      <c r="N246">
        <v>0.95537316474619738</v>
      </c>
      <c r="O246">
        <v>0.95581023836241275</v>
      </c>
      <c r="P246">
        <v>0.94522089751265981</v>
      </c>
      <c r="Q246">
        <v>0.93057337782594618</v>
      </c>
      <c r="R246">
        <v>0.92982939785862095</v>
      </c>
      <c r="S246">
        <v>0.94109958365489943</v>
      </c>
      <c r="T246">
        <v>0.96255906030802385</v>
      </c>
      <c r="U246">
        <v>0.97330818732152913</v>
      </c>
      <c r="V246">
        <v>0.97330818732152913</v>
      </c>
      <c r="W246">
        <v>0.97330818732152913</v>
      </c>
      <c r="X246">
        <v>0.97330818732152913</v>
      </c>
      <c r="Y246">
        <v>0.97330818732152913</v>
      </c>
      <c r="Z246">
        <v>0.9685518208934405</v>
      </c>
      <c r="AA246">
        <v>0.94441163905160641</v>
      </c>
    </row>
    <row r="247" spans="1:27" x14ac:dyDescent="0.45">
      <c r="A247" t="s">
        <v>104</v>
      </c>
      <c r="B247" t="s">
        <v>426</v>
      </c>
      <c r="C247" t="str">
        <f t="shared" si="3"/>
        <v>TX|Summer</v>
      </c>
      <c r="D247">
        <v>0.8601103612720683</v>
      </c>
      <c r="E247">
        <v>0.84443817182758496</v>
      </c>
      <c r="F247">
        <v>0.84311262094996708</v>
      </c>
      <c r="G247">
        <v>0.85594555934883443</v>
      </c>
      <c r="H247">
        <v>0.89625816092340882</v>
      </c>
      <c r="I247">
        <v>0.94452883103686414</v>
      </c>
      <c r="J247">
        <v>0.93670991812142923</v>
      </c>
      <c r="K247">
        <v>0.87723296739809298</v>
      </c>
      <c r="L247">
        <v>0.85143576035426993</v>
      </c>
      <c r="M247">
        <v>0.87948905771366881</v>
      </c>
      <c r="N247">
        <v>0.88073839622049943</v>
      </c>
      <c r="O247">
        <v>0.88354804692567601</v>
      </c>
      <c r="P247">
        <v>0.8731430169104536</v>
      </c>
      <c r="Q247">
        <v>0.87332742362905436</v>
      </c>
      <c r="R247">
        <v>0.87368568981851313</v>
      </c>
      <c r="S247">
        <v>0.89208247151863396</v>
      </c>
      <c r="T247">
        <v>0.95635433715939011</v>
      </c>
      <c r="U247">
        <v>0.97309315956109421</v>
      </c>
      <c r="V247">
        <v>0.97330818732152913</v>
      </c>
      <c r="W247">
        <v>0.97330818732152913</v>
      </c>
      <c r="X247">
        <v>0.97330818732152913</v>
      </c>
      <c r="Y247">
        <v>0.97261445060708795</v>
      </c>
      <c r="Z247">
        <v>0.96243465536624517</v>
      </c>
      <c r="AA247">
        <v>0.92985012428299774</v>
      </c>
    </row>
    <row r="248" spans="1:27" x14ac:dyDescent="0.45">
      <c r="A248" t="s">
        <v>104</v>
      </c>
      <c r="B248" t="s">
        <v>427</v>
      </c>
      <c r="C248" t="str">
        <f t="shared" si="3"/>
        <v>TX|Fall</v>
      </c>
      <c r="D248">
        <v>0.97100716913290674</v>
      </c>
      <c r="E248">
        <v>0.95636260484068536</v>
      </c>
      <c r="F248">
        <v>0.95143904752418251</v>
      </c>
      <c r="G248">
        <v>0.94713852633886408</v>
      </c>
      <c r="H248">
        <v>0.95004864808463607</v>
      </c>
      <c r="I248">
        <v>0.96785447770073896</v>
      </c>
      <c r="J248">
        <v>0.95188739061170335</v>
      </c>
      <c r="K248">
        <v>0.86800936522358918</v>
      </c>
      <c r="L248">
        <v>0.91392005463120152</v>
      </c>
      <c r="M248">
        <v>0.91803802337211915</v>
      </c>
      <c r="N248">
        <v>0.93458563437925934</v>
      </c>
      <c r="O248">
        <v>0.94396618640485264</v>
      </c>
      <c r="P248">
        <v>0.94929557459579661</v>
      </c>
      <c r="Q248">
        <v>0.94386472868624238</v>
      </c>
      <c r="R248">
        <v>0.94690738850808642</v>
      </c>
      <c r="S248">
        <v>0.94914624598178565</v>
      </c>
      <c r="T248">
        <v>0.97330818732152913</v>
      </c>
      <c r="U248">
        <v>0.97330818732152913</v>
      </c>
      <c r="V248">
        <v>0.97330818732152913</v>
      </c>
      <c r="W248">
        <v>0.97330818732152913</v>
      </c>
      <c r="X248">
        <v>0.97330818732152913</v>
      </c>
      <c r="Y248">
        <v>0.97330818732152913</v>
      </c>
      <c r="Z248">
        <v>0.97330818732152913</v>
      </c>
      <c r="AA248">
        <v>0.96811490966153779</v>
      </c>
    </row>
    <row r="249" spans="1:27" x14ac:dyDescent="0.45">
      <c r="A249" t="s">
        <v>104</v>
      </c>
      <c r="B249" t="s">
        <v>428</v>
      </c>
      <c r="C249" t="str">
        <f t="shared" si="3"/>
        <v>TX|Summer Peak</v>
      </c>
      <c r="D249">
        <v>0.97330818732152902</v>
      </c>
      <c r="E249">
        <v>0.97330818732152902</v>
      </c>
      <c r="F249">
        <v>0.97330818732152902</v>
      </c>
      <c r="G249">
        <v>0.97330818732152902</v>
      </c>
      <c r="H249">
        <v>0.97330818732152902</v>
      </c>
      <c r="I249">
        <v>0.97330818732152902</v>
      </c>
      <c r="J249">
        <v>0.97330818732152902</v>
      </c>
      <c r="K249">
        <v>0.97330818732152902</v>
      </c>
      <c r="L249">
        <v>0.97330818732152902</v>
      </c>
      <c r="M249">
        <v>0.97330818732152902</v>
      </c>
      <c r="N249">
        <v>0.97330818732152902</v>
      </c>
      <c r="O249">
        <v>0.97330818732152902</v>
      </c>
      <c r="P249">
        <v>0.97330818732152902</v>
      </c>
      <c r="Q249">
        <v>0.97330818732152902</v>
      </c>
      <c r="R249">
        <v>0.97330818732152902</v>
      </c>
      <c r="S249">
        <v>0.97330818732152902</v>
      </c>
      <c r="T249">
        <v>0.97330818732152902</v>
      </c>
      <c r="U249">
        <v>0.97330818732152902</v>
      </c>
      <c r="V249">
        <v>0.97330818732152902</v>
      </c>
      <c r="W249">
        <v>0.97330818732152902</v>
      </c>
      <c r="X249">
        <v>0.97330818732152902</v>
      </c>
      <c r="Y249">
        <v>0.97330818732152902</v>
      </c>
      <c r="Z249">
        <v>0.97330818732152902</v>
      </c>
      <c r="AA249">
        <v>0.97330818732152902</v>
      </c>
    </row>
    <row r="250" spans="1:27" x14ac:dyDescent="0.45">
      <c r="A250" t="s">
        <v>104</v>
      </c>
      <c r="B250" t="s">
        <v>429</v>
      </c>
      <c r="C250" t="str">
        <f t="shared" si="3"/>
        <v>TX|Winter Peak</v>
      </c>
      <c r="D250">
        <v>0.85783930066937353</v>
      </c>
      <c r="E250">
        <v>0.8716082938751375</v>
      </c>
      <c r="F250">
        <v>0.87659130436181176</v>
      </c>
      <c r="G250">
        <v>0.89646468283888991</v>
      </c>
      <c r="H250">
        <v>0.89646468283888991</v>
      </c>
      <c r="I250">
        <v>0.92131543108440961</v>
      </c>
      <c r="J250">
        <v>0.97330818732152913</v>
      </c>
      <c r="K250">
        <v>0.94188374604774339</v>
      </c>
      <c r="L250">
        <v>0.84882204850274745</v>
      </c>
      <c r="M250">
        <v>0.84517701638084475</v>
      </c>
      <c r="N250">
        <v>0.8685465120184851</v>
      </c>
      <c r="O250">
        <v>0.85828830184068805</v>
      </c>
      <c r="P250">
        <v>0.85027396937581745</v>
      </c>
      <c r="Q250">
        <v>0.84093745255722641</v>
      </c>
      <c r="R250">
        <v>0.83753609946297181</v>
      </c>
      <c r="S250">
        <v>0.85433979907787183</v>
      </c>
      <c r="T250">
        <v>0.95793948642500126</v>
      </c>
      <c r="U250">
        <v>0.97330818732152913</v>
      </c>
      <c r="V250">
        <v>0.97330818732152913</v>
      </c>
      <c r="W250">
        <v>0.97330818732152913</v>
      </c>
      <c r="X250">
        <v>0.97330818732152913</v>
      </c>
      <c r="Y250">
        <v>0.97330818732152913</v>
      </c>
      <c r="Z250">
        <v>0.97330818732152913</v>
      </c>
      <c r="AA250">
        <v>0.96172892093365847</v>
      </c>
    </row>
    <row r="251" spans="1:27" x14ac:dyDescent="0.45">
      <c r="A251" t="s">
        <v>106</v>
      </c>
      <c r="B251" t="s">
        <v>424</v>
      </c>
      <c r="C251" t="str">
        <f t="shared" si="3"/>
        <v>UT|Winter</v>
      </c>
      <c r="D251">
        <v>0.90900000000000003</v>
      </c>
      <c r="E251">
        <v>0.90900000000000003</v>
      </c>
      <c r="F251">
        <v>0.90900000000000003</v>
      </c>
      <c r="G251">
        <v>0.90900000000000003</v>
      </c>
      <c r="H251">
        <v>0.90900000000000003</v>
      </c>
      <c r="I251">
        <v>0.90900000000000003</v>
      </c>
      <c r="J251">
        <v>0.90900000000000003</v>
      </c>
      <c r="K251">
        <v>0.90900000000000003</v>
      </c>
      <c r="L251">
        <v>0.90900000000000003</v>
      </c>
      <c r="M251">
        <v>0.90900000000000003</v>
      </c>
      <c r="N251">
        <v>0.90900000000000003</v>
      </c>
      <c r="O251">
        <v>0.90900000000000003</v>
      </c>
      <c r="P251">
        <v>0.90900000000000003</v>
      </c>
      <c r="Q251">
        <v>0.90900000000000003</v>
      </c>
      <c r="R251">
        <v>0.90900000000000003</v>
      </c>
      <c r="S251">
        <v>0.90900000000000003</v>
      </c>
      <c r="T251">
        <v>0.90900000000000003</v>
      </c>
      <c r="U251">
        <v>0.90900000000000003</v>
      </c>
      <c r="V251">
        <v>0.90900000000000003</v>
      </c>
      <c r="W251">
        <v>0.90900000000000003</v>
      </c>
      <c r="X251">
        <v>0.90900000000000003</v>
      </c>
      <c r="Y251">
        <v>0.90900000000000003</v>
      </c>
      <c r="Z251">
        <v>0.90900000000000003</v>
      </c>
      <c r="AA251">
        <v>0.90900000000000003</v>
      </c>
    </row>
    <row r="252" spans="1:27" x14ac:dyDescent="0.45">
      <c r="A252" t="s">
        <v>106</v>
      </c>
      <c r="B252" t="s">
        <v>425</v>
      </c>
      <c r="C252" t="str">
        <f t="shared" si="3"/>
        <v>UT|Spring</v>
      </c>
      <c r="D252">
        <v>0.90900000000000003</v>
      </c>
      <c r="E252">
        <v>0.90900000000000003</v>
      </c>
      <c r="F252">
        <v>0.90900000000000003</v>
      </c>
      <c r="G252">
        <v>0.90900000000000003</v>
      </c>
      <c r="H252">
        <v>0.90900000000000003</v>
      </c>
      <c r="I252">
        <v>0.90900000000000003</v>
      </c>
      <c r="J252">
        <v>0.90900000000000003</v>
      </c>
      <c r="K252">
        <v>0.90900000000000003</v>
      </c>
      <c r="L252">
        <v>0.90900000000000003</v>
      </c>
      <c r="M252">
        <v>0.90900000000000003</v>
      </c>
      <c r="N252">
        <v>0.90900000000000003</v>
      </c>
      <c r="O252">
        <v>0.90900000000000003</v>
      </c>
      <c r="P252">
        <v>0.90900000000000003</v>
      </c>
      <c r="Q252">
        <v>0.90900000000000003</v>
      </c>
      <c r="R252">
        <v>0.90900000000000003</v>
      </c>
      <c r="S252">
        <v>0.90900000000000003</v>
      </c>
      <c r="T252">
        <v>0.90900000000000003</v>
      </c>
      <c r="U252">
        <v>0.90900000000000003</v>
      </c>
      <c r="V252">
        <v>0.90900000000000003</v>
      </c>
      <c r="W252">
        <v>0.90900000000000003</v>
      </c>
      <c r="X252">
        <v>0.90900000000000003</v>
      </c>
      <c r="Y252">
        <v>0.90900000000000003</v>
      </c>
      <c r="Z252">
        <v>0.90900000000000003</v>
      </c>
      <c r="AA252">
        <v>0.90900000000000003</v>
      </c>
    </row>
    <row r="253" spans="1:27" x14ac:dyDescent="0.45">
      <c r="A253" t="s">
        <v>106</v>
      </c>
      <c r="B253" t="s">
        <v>426</v>
      </c>
      <c r="C253" t="str">
        <f t="shared" si="3"/>
        <v>UT|Summer</v>
      </c>
      <c r="D253">
        <v>0.90900000000000003</v>
      </c>
      <c r="E253">
        <v>0.90900000000000003</v>
      </c>
      <c r="F253">
        <v>0.90900000000000003</v>
      </c>
      <c r="G253">
        <v>0.90900000000000003</v>
      </c>
      <c r="H253">
        <v>0.90900000000000003</v>
      </c>
      <c r="I253">
        <v>0.90900000000000003</v>
      </c>
      <c r="J253">
        <v>0.90900000000000003</v>
      </c>
      <c r="K253">
        <v>0.90900000000000003</v>
      </c>
      <c r="L253">
        <v>0.90900000000000003</v>
      </c>
      <c r="M253">
        <v>0.90900000000000003</v>
      </c>
      <c r="N253">
        <v>0.90900000000000003</v>
      </c>
      <c r="O253">
        <v>0.90900000000000003</v>
      </c>
      <c r="P253">
        <v>0.90900000000000003</v>
      </c>
      <c r="Q253">
        <v>0.90900000000000003</v>
      </c>
      <c r="R253">
        <v>0.90900000000000003</v>
      </c>
      <c r="S253">
        <v>0.90900000000000003</v>
      </c>
      <c r="T253">
        <v>0.90900000000000003</v>
      </c>
      <c r="U253">
        <v>0.90900000000000003</v>
      </c>
      <c r="V253">
        <v>0.90900000000000003</v>
      </c>
      <c r="W253">
        <v>0.90900000000000003</v>
      </c>
      <c r="X253">
        <v>0.90900000000000003</v>
      </c>
      <c r="Y253">
        <v>0.90900000000000003</v>
      </c>
      <c r="Z253">
        <v>0.90900000000000003</v>
      </c>
      <c r="AA253">
        <v>0.90900000000000003</v>
      </c>
    </row>
    <row r="254" spans="1:27" x14ac:dyDescent="0.45">
      <c r="A254" t="s">
        <v>106</v>
      </c>
      <c r="B254" t="s">
        <v>427</v>
      </c>
      <c r="C254" t="str">
        <f t="shared" si="3"/>
        <v>UT|Fall</v>
      </c>
      <c r="D254">
        <v>0.90900000000000003</v>
      </c>
      <c r="E254">
        <v>0.90900000000000003</v>
      </c>
      <c r="F254">
        <v>0.90900000000000003</v>
      </c>
      <c r="G254">
        <v>0.90900000000000003</v>
      </c>
      <c r="H254">
        <v>0.90900000000000003</v>
      </c>
      <c r="I254">
        <v>0.90900000000000003</v>
      </c>
      <c r="J254">
        <v>0.90900000000000003</v>
      </c>
      <c r="K254">
        <v>0.90900000000000003</v>
      </c>
      <c r="L254">
        <v>0.90900000000000003</v>
      </c>
      <c r="M254">
        <v>0.90900000000000003</v>
      </c>
      <c r="N254">
        <v>0.90900000000000003</v>
      </c>
      <c r="O254">
        <v>0.90900000000000003</v>
      </c>
      <c r="P254">
        <v>0.90900000000000003</v>
      </c>
      <c r="Q254">
        <v>0.90900000000000003</v>
      </c>
      <c r="R254">
        <v>0.90900000000000003</v>
      </c>
      <c r="S254">
        <v>0.90900000000000003</v>
      </c>
      <c r="T254">
        <v>0.90900000000000003</v>
      </c>
      <c r="U254">
        <v>0.90900000000000003</v>
      </c>
      <c r="V254">
        <v>0.90900000000000003</v>
      </c>
      <c r="W254">
        <v>0.90900000000000003</v>
      </c>
      <c r="X254">
        <v>0.90900000000000003</v>
      </c>
      <c r="Y254">
        <v>0.90900000000000003</v>
      </c>
      <c r="Z254">
        <v>0.90900000000000003</v>
      </c>
      <c r="AA254">
        <v>0.90900000000000003</v>
      </c>
    </row>
    <row r="255" spans="1:27" x14ac:dyDescent="0.45">
      <c r="A255" t="s">
        <v>106</v>
      </c>
      <c r="B255" t="s">
        <v>428</v>
      </c>
      <c r="C255" t="str">
        <f t="shared" si="3"/>
        <v>UT|Summer Peak</v>
      </c>
      <c r="D255">
        <v>0.90900000000000003</v>
      </c>
      <c r="E255">
        <v>0.90900000000000003</v>
      </c>
      <c r="F255">
        <v>0.90900000000000003</v>
      </c>
      <c r="G255">
        <v>0.90900000000000003</v>
      </c>
      <c r="H255">
        <v>0.90900000000000003</v>
      </c>
      <c r="I255">
        <v>0.90900000000000003</v>
      </c>
      <c r="J255">
        <v>0.90900000000000003</v>
      </c>
      <c r="K255">
        <v>0.90900000000000003</v>
      </c>
      <c r="L255">
        <v>0.90900000000000003</v>
      </c>
      <c r="M255">
        <v>0.90900000000000003</v>
      </c>
      <c r="N255">
        <v>0.90900000000000003</v>
      </c>
      <c r="O255">
        <v>0.90900000000000003</v>
      </c>
      <c r="P255">
        <v>0.90900000000000003</v>
      </c>
      <c r="Q255">
        <v>0.90900000000000003</v>
      </c>
      <c r="R255">
        <v>0.90900000000000003</v>
      </c>
      <c r="S255">
        <v>0.90900000000000003</v>
      </c>
      <c r="T255">
        <v>0.90900000000000003</v>
      </c>
      <c r="U255">
        <v>0.90900000000000003</v>
      </c>
      <c r="V255">
        <v>0.90900000000000003</v>
      </c>
      <c r="W255">
        <v>0.90900000000000003</v>
      </c>
      <c r="X255">
        <v>0.90900000000000003</v>
      </c>
      <c r="Y255">
        <v>0.90900000000000003</v>
      </c>
      <c r="Z255">
        <v>0.90900000000000003</v>
      </c>
      <c r="AA255">
        <v>0.90900000000000003</v>
      </c>
    </row>
    <row r="256" spans="1:27" x14ac:dyDescent="0.45">
      <c r="A256" t="s">
        <v>106</v>
      </c>
      <c r="B256" t="s">
        <v>429</v>
      </c>
      <c r="C256" t="str">
        <f t="shared" si="3"/>
        <v>UT|Winter Peak</v>
      </c>
      <c r="D256">
        <v>0.90900000000000003</v>
      </c>
      <c r="E256">
        <v>0.90900000000000003</v>
      </c>
      <c r="F256">
        <v>0.90900000000000003</v>
      </c>
      <c r="G256">
        <v>0.90900000000000003</v>
      </c>
      <c r="H256">
        <v>0.90900000000000003</v>
      </c>
      <c r="I256">
        <v>0.90900000000000003</v>
      </c>
      <c r="J256">
        <v>0.90900000000000003</v>
      </c>
      <c r="K256">
        <v>0.90900000000000003</v>
      </c>
      <c r="L256">
        <v>0.90900000000000003</v>
      </c>
      <c r="M256">
        <v>0.90900000000000003</v>
      </c>
      <c r="N256">
        <v>0.90900000000000003</v>
      </c>
      <c r="O256">
        <v>0.90900000000000003</v>
      </c>
      <c r="P256">
        <v>0.90900000000000003</v>
      </c>
      <c r="Q256">
        <v>0.90900000000000003</v>
      </c>
      <c r="R256">
        <v>0.90900000000000003</v>
      </c>
      <c r="S256">
        <v>0.90900000000000003</v>
      </c>
      <c r="T256">
        <v>0.90900000000000003</v>
      </c>
      <c r="U256">
        <v>0.90900000000000003</v>
      </c>
      <c r="V256">
        <v>0.90900000000000003</v>
      </c>
      <c r="W256">
        <v>0.90900000000000003</v>
      </c>
      <c r="X256">
        <v>0.90900000000000003</v>
      </c>
      <c r="Y256">
        <v>0.90900000000000003</v>
      </c>
      <c r="Z256">
        <v>0.90900000000000003</v>
      </c>
      <c r="AA256">
        <v>0.90900000000000003</v>
      </c>
    </row>
    <row r="257" spans="1:27" x14ac:dyDescent="0.45">
      <c r="A257" t="s">
        <v>108</v>
      </c>
      <c r="B257" t="s">
        <v>424</v>
      </c>
      <c r="C257" t="str">
        <f t="shared" si="3"/>
        <v>VA|Winter</v>
      </c>
      <c r="D257">
        <v>0.91451168380431691</v>
      </c>
      <c r="E257">
        <v>0.91451168380431691</v>
      </c>
      <c r="F257">
        <v>0.91451168380431691</v>
      </c>
      <c r="G257">
        <v>0.91451168380431691</v>
      </c>
      <c r="H257">
        <v>0.91451168380431691</v>
      </c>
      <c r="I257">
        <v>0.91451168380431691</v>
      </c>
      <c r="J257">
        <v>0.91451168380431691</v>
      </c>
      <c r="K257">
        <v>0.91451168380431691</v>
      </c>
      <c r="L257">
        <v>0.91451168380431691</v>
      </c>
      <c r="M257">
        <v>0.91451168380431691</v>
      </c>
      <c r="N257">
        <v>0.91451168380431691</v>
      </c>
      <c r="O257">
        <v>0.91451168380431691</v>
      </c>
      <c r="P257">
        <v>0.91451168380431691</v>
      </c>
      <c r="Q257">
        <v>0.91451168380431691</v>
      </c>
      <c r="R257">
        <v>0.91451168380431691</v>
      </c>
      <c r="S257">
        <v>0.91451168380431691</v>
      </c>
      <c r="T257">
        <v>0.91451168380431691</v>
      </c>
      <c r="U257">
        <v>0.91451168380431691</v>
      </c>
      <c r="V257">
        <v>0.91451168380431691</v>
      </c>
      <c r="W257">
        <v>0.91451168380431691</v>
      </c>
      <c r="X257">
        <v>0.91451168380431691</v>
      </c>
      <c r="Y257">
        <v>0.91451168380431691</v>
      </c>
      <c r="Z257">
        <v>0.91451168380431691</v>
      </c>
      <c r="AA257">
        <v>0.91451168380431691</v>
      </c>
    </row>
    <row r="258" spans="1:27" x14ac:dyDescent="0.45">
      <c r="A258" t="s">
        <v>108</v>
      </c>
      <c r="B258" t="s">
        <v>425</v>
      </c>
      <c r="C258" t="str">
        <f t="shared" si="3"/>
        <v>VA|Spring</v>
      </c>
      <c r="D258">
        <v>0.9145116838043168</v>
      </c>
      <c r="E258">
        <v>0.9145116838043168</v>
      </c>
      <c r="F258">
        <v>0.9145116838043168</v>
      </c>
      <c r="G258">
        <v>0.9145116838043168</v>
      </c>
      <c r="H258">
        <v>0.9145116838043168</v>
      </c>
      <c r="I258">
        <v>0.9145116838043168</v>
      </c>
      <c r="J258">
        <v>0.90821360351119074</v>
      </c>
      <c r="K258">
        <v>0.91121809619730021</v>
      </c>
      <c r="L258">
        <v>0.9145116838043168</v>
      </c>
      <c r="M258">
        <v>0.9145116838043168</v>
      </c>
      <c r="N258">
        <v>0.9145116838043168</v>
      </c>
      <c r="O258">
        <v>0.9145116838043168</v>
      </c>
      <c r="P258">
        <v>0.9145116838043168</v>
      </c>
      <c r="Q258">
        <v>0.9145116838043168</v>
      </c>
      <c r="R258">
        <v>0.9145116838043168</v>
      </c>
      <c r="S258">
        <v>0.9145116838043168</v>
      </c>
      <c r="T258">
        <v>0.9145116838043168</v>
      </c>
      <c r="U258">
        <v>0.9145116838043168</v>
      </c>
      <c r="V258">
        <v>0.9145116838043168</v>
      </c>
      <c r="W258">
        <v>0.9145116838043168</v>
      </c>
      <c r="X258">
        <v>0.9145116838043168</v>
      </c>
      <c r="Y258">
        <v>0.9145116838043168</v>
      </c>
      <c r="Z258">
        <v>0.9145116838043168</v>
      </c>
      <c r="AA258">
        <v>0.9145116838043168</v>
      </c>
    </row>
    <row r="259" spans="1:27" x14ac:dyDescent="0.45">
      <c r="A259" t="s">
        <v>108</v>
      </c>
      <c r="B259" t="s">
        <v>426</v>
      </c>
      <c r="C259" t="str">
        <f t="shared" si="3"/>
        <v>VA|Summer</v>
      </c>
      <c r="D259">
        <v>0.91451168380431669</v>
      </c>
      <c r="E259">
        <v>0.91451168380431669</v>
      </c>
      <c r="F259">
        <v>0.91451168380431669</v>
      </c>
      <c r="G259">
        <v>0.91451168380431669</v>
      </c>
      <c r="H259">
        <v>0.91451168380431669</v>
      </c>
      <c r="I259">
        <v>0.91451168380431669</v>
      </c>
      <c r="J259">
        <v>0.91451168380431669</v>
      </c>
      <c r="K259">
        <v>0.91451168380431669</v>
      </c>
      <c r="L259">
        <v>0.91451168380431669</v>
      </c>
      <c r="M259">
        <v>0.91451168380431669</v>
      </c>
      <c r="N259">
        <v>0.91451168380431669</v>
      </c>
      <c r="O259">
        <v>0.91451168380431669</v>
      </c>
      <c r="P259">
        <v>0.91451168380431669</v>
      </c>
      <c r="Q259">
        <v>0.91451168380431669</v>
      </c>
      <c r="R259">
        <v>0.91451168380431669</v>
      </c>
      <c r="S259">
        <v>0.91451168380431669</v>
      </c>
      <c r="T259">
        <v>0.91451168380431669</v>
      </c>
      <c r="U259">
        <v>0.91451168380431669</v>
      </c>
      <c r="V259">
        <v>0.91451168380431669</v>
      </c>
      <c r="W259">
        <v>0.91451168380431669</v>
      </c>
      <c r="X259">
        <v>0.91451168380431669</v>
      </c>
      <c r="Y259">
        <v>0.91451168380431669</v>
      </c>
      <c r="Z259">
        <v>0.91451168380431669</v>
      </c>
      <c r="AA259">
        <v>0.91451168380431669</v>
      </c>
    </row>
    <row r="260" spans="1:27" x14ac:dyDescent="0.45">
      <c r="A260" t="s">
        <v>108</v>
      </c>
      <c r="B260" t="s">
        <v>427</v>
      </c>
      <c r="C260" t="str">
        <f t="shared" si="3"/>
        <v>VA|Fall</v>
      </c>
      <c r="D260">
        <v>0.9145116838043168</v>
      </c>
      <c r="E260">
        <v>0.9145116838043168</v>
      </c>
      <c r="F260">
        <v>0.9145116838043168</v>
      </c>
      <c r="G260">
        <v>0.9145116838043168</v>
      </c>
      <c r="H260">
        <v>0.9145116838043168</v>
      </c>
      <c r="I260">
        <v>0.9145116838043168</v>
      </c>
      <c r="J260">
        <v>0.9145116838043168</v>
      </c>
      <c r="K260">
        <v>0.9145116838043168</v>
      </c>
      <c r="L260">
        <v>0.9145116838043168</v>
      </c>
      <c r="M260">
        <v>0.9145116838043168</v>
      </c>
      <c r="N260">
        <v>0.9145116838043168</v>
      </c>
      <c r="O260">
        <v>0.9145116838043168</v>
      </c>
      <c r="P260">
        <v>0.9145116838043168</v>
      </c>
      <c r="Q260">
        <v>0.9145116838043168</v>
      </c>
      <c r="R260">
        <v>0.9145116838043168</v>
      </c>
      <c r="S260">
        <v>0.9145116838043168</v>
      </c>
      <c r="T260">
        <v>0.9145116838043168</v>
      </c>
      <c r="U260">
        <v>0.9145116838043168</v>
      </c>
      <c r="V260">
        <v>0.9145116838043168</v>
      </c>
      <c r="W260">
        <v>0.9145116838043168</v>
      </c>
      <c r="X260">
        <v>0.9145116838043168</v>
      </c>
      <c r="Y260">
        <v>0.9145116838043168</v>
      </c>
      <c r="Z260">
        <v>0.9145116838043168</v>
      </c>
      <c r="AA260">
        <v>0.9145116838043168</v>
      </c>
    </row>
    <row r="261" spans="1:27" x14ac:dyDescent="0.45">
      <c r="A261" t="s">
        <v>108</v>
      </c>
      <c r="B261" t="s">
        <v>428</v>
      </c>
      <c r="C261" t="str">
        <f t="shared" ref="C261:C324" si="4">A261&amp;"|"&amp;B261</f>
        <v>VA|Summer Peak</v>
      </c>
      <c r="D261">
        <v>0.9145116838043168</v>
      </c>
      <c r="E261">
        <v>0.9145116838043168</v>
      </c>
      <c r="F261">
        <v>0.9145116838043168</v>
      </c>
      <c r="G261">
        <v>0.9145116838043168</v>
      </c>
      <c r="H261">
        <v>0.9145116838043168</v>
      </c>
      <c r="I261">
        <v>0.9145116838043168</v>
      </c>
      <c r="J261">
        <v>0.9145116838043168</v>
      </c>
      <c r="K261">
        <v>0.9145116838043168</v>
      </c>
      <c r="L261">
        <v>0.9145116838043168</v>
      </c>
      <c r="M261">
        <v>0.9145116838043168</v>
      </c>
      <c r="N261">
        <v>0.9145116838043168</v>
      </c>
      <c r="O261">
        <v>0.9145116838043168</v>
      </c>
      <c r="P261">
        <v>0.9145116838043168</v>
      </c>
      <c r="Q261">
        <v>0.9145116838043168</v>
      </c>
      <c r="R261">
        <v>0.9145116838043168</v>
      </c>
      <c r="S261">
        <v>0.9145116838043168</v>
      </c>
      <c r="T261">
        <v>0.9145116838043168</v>
      </c>
      <c r="U261">
        <v>0.9145116838043168</v>
      </c>
      <c r="V261">
        <v>0.9145116838043168</v>
      </c>
      <c r="W261">
        <v>0.9145116838043168</v>
      </c>
      <c r="X261">
        <v>0.9145116838043168</v>
      </c>
      <c r="Y261">
        <v>0.9145116838043168</v>
      </c>
      <c r="Z261">
        <v>0.9145116838043168</v>
      </c>
      <c r="AA261">
        <v>0.9145116838043168</v>
      </c>
    </row>
    <row r="262" spans="1:27" x14ac:dyDescent="0.45">
      <c r="A262" t="s">
        <v>108</v>
      </c>
      <c r="B262" t="s">
        <v>429</v>
      </c>
      <c r="C262" t="str">
        <f t="shared" si="4"/>
        <v>VA|Winter Peak</v>
      </c>
      <c r="D262">
        <v>0.91451168380431669</v>
      </c>
      <c r="E262">
        <v>0.91451168380431669</v>
      </c>
      <c r="F262">
        <v>0.91451168380431669</v>
      </c>
      <c r="G262">
        <v>0.91451168380431669</v>
      </c>
      <c r="H262">
        <v>0.91451168380431669</v>
      </c>
      <c r="I262">
        <v>0.91451168380431669</v>
      </c>
      <c r="J262">
        <v>0.91451168380431669</v>
      </c>
      <c r="K262">
        <v>0.91451168380431669</v>
      </c>
      <c r="L262">
        <v>0.91451168380431669</v>
      </c>
      <c r="M262">
        <v>0.91451168380431669</v>
      </c>
      <c r="N262">
        <v>0.91451168380431669</v>
      </c>
      <c r="O262">
        <v>0.91451168380431669</v>
      </c>
      <c r="P262">
        <v>0.91451168380431669</v>
      </c>
      <c r="Q262">
        <v>0.91451168380431669</v>
      </c>
      <c r="R262">
        <v>0.91451168380431669</v>
      </c>
      <c r="S262">
        <v>0.91451168380431669</v>
      </c>
      <c r="T262">
        <v>0.91451168380431669</v>
      </c>
      <c r="U262">
        <v>0.91451168380431669</v>
      </c>
      <c r="V262">
        <v>0.91451168380431669</v>
      </c>
      <c r="W262">
        <v>0.91451168380431669</v>
      </c>
      <c r="X262">
        <v>0.91451168380431669</v>
      </c>
      <c r="Y262">
        <v>0.91451168380431669</v>
      </c>
      <c r="Z262">
        <v>0.91451168380431669</v>
      </c>
      <c r="AA262">
        <v>0.91451168380431669</v>
      </c>
    </row>
    <row r="263" spans="1:27" x14ac:dyDescent="0.45">
      <c r="A263" t="s">
        <v>110</v>
      </c>
      <c r="B263" t="s">
        <v>424</v>
      </c>
      <c r="C263" t="str">
        <f t="shared" si="4"/>
        <v>VT|Winter</v>
      </c>
      <c r="D263">
        <v>0.90900000000000003</v>
      </c>
      <c r="E263">
        <v>0.90900000000000003</v>
      </c>
      <c r="F263">
        <v>0.90900000000000003</v>
      </c>
      <c r="G263">
        <v>0.90900000000000003</v>
      </c>
      <c r="H263">
        <v>0.90900000000000003</v>
      </c>
      <c r="I263">
        <v>0.90900000000000003</v>
      </c>
      <c r="J263">
        <v>0.90900000000000003</v>
      </c>
      <c r="K263">
        <v>0.90900000000000003</v>
      </c>
      <c r="L263">
        <v>0.90900000000000003</v>
      </c>
      <c r="M263">
        <v>0.90900000000000003</v>
      </c>
      <c r="N263">
        <v>0.90900000000000003</v>
      </c>
      <c r="O263">
        <v>0.90900000000000003</v>
      </c>
      <c r="P263">
        <v>0.90900000000000003</v>
      </c>
      <c r="Q263">
        <v>0.90900000000000003</v>
      </c>
      <c r="R263">
        <v>0.90900000000000003</v>
      </c>
      <c r="S263">
        <v>0.90900000000000003</v>
      </c>
      <c r="T263">
        <v>0.90900000000000003</v>
      </c>
      <c r="U263">
        <v>0.90900000000000003</v>
      </c>
      <c r="V263">
        <v>0.90900000000000003</v>
      </c>
      <c r="W263">
        <v>0.90900000000000003</v>
      </c>
      <c r="X263">
        <v>0.90900000000000003</v>
      </c>
      <c r="Y263">
        <v>0.90900000000000003</v>
      </c>
      <c r="Z263">
        <v>0.90900000000000003</v>
      </c>
      <c r="AA263">
        <v>0.90900000000000003</v>
      </c>
    </row>
    <row r="264" spans="1:27" x14ac:dyDescent="0.45">
      <c r="A264" t="s">
        <v>110</v>
      </c>
      <c r="B264" t="s">
        <v>425</v>
      </c>
      <c r="C264" t="str">
        <f t="shared" si="4"/>
        <v>VT|Spring</v>
      </c>
      <c r="D264">
        <v>0.90900000000000003</v>
      </c>
      <c r="E264">
        <v>0.90900000000000003</v>
      </c>
      <c r="F264">
        <v>0.90900000000000003</v>
      </c>
      <c r="G264">
        <v>0.90900000000000003</v>
      </c>
      <c r="H264">
        <v>0.90900000000000003</v>
      </c>
      <c r="I264">
        <v>0.90900000000000003</v>
      </c>
      <c r="J264">
        <v>0.90900000000000003</v>
      </c>
      <c r="K264">
        <v>0.90900000000000003</v>
      </c>
      <c r="L264">
        <v>0.90900000000000003</v>
      </c>
      <c r="M264">
        <v>0.90900000000000003</v>
      </c>
      <c r="N264">
        <v>0.90900000000000003</v>
      </c>
      <c r="O264">
        <v>0.90900000000000003</v>
      </c>
      <c r="P264">
        <v>0.90900000000000003</v>
      </c>
      <c r="Q264">
        <v>0.90900000000000003</v>
      </c>
      <c r="R264">
        <v>0.90900000000000003</v>
      </c>
      <c r="S264">
        <v>0.90900000000000003</v>
      </c>
      <c r="T264">
        <v>0.90900000000000003</v>
      </c>
      <c r="U264">
        <v>0.90900000000000003</v>
      </c>
      <c r="V264">
        <v>0.90900000000000003</v>
      </c>
      <c r="W264">
        <v>0.90900000000000003</v>
      </c>
      <c r="X264">
        <v>0.90900000000000003</v>
      </c>
      <c r="Y264">
        <v>0.90900000000000003</v>
      </c>
      <c r="Z264">
        <v>0.90900000000000003</v>
      </c>
      <c r="AA264">
        <v>0.90900000000000003</v>
      </c>
    </row>
    <row r="265" spans="1:27" x14ac:dyDescent="0.45">
      <c r="A265" t="s">
        <v>110</v>
      </c>
      <c r="B265" t="s">
        <v>426</v>
      </c>
      <c r="C265" t="str">
        <f t="shared" si="4"/>
        <v>VT|Summer</v>
      </c>
      <c r="D265">
        <v>0.90900000000000003</v>
      </c>
      <c r="E265">
        <v>0.90900000000000003</v>
      </c>
      <c r="F265">
        <v>0.90900000000000003</v>
      </c>
      <c r="G265">
        <v>0.90900000000000003</v>
      </c>
      <c r="H265">
        <v>0.90900000000000003</v>
      </c>
      <c r="I265">
        <v>0.90900000000000003</v>
      </c>
      <c r="J265">
        <v>0.90900000000000003</v>
      </c>
      <c r="K265">
        <v>0.90900000000000003</v>
      </c>
      <c r="L265">
        <v>0.90900000000000003</v>
      </c>
      <c r="M265">
        <v>0.90900000000000003</v>
      </c>
      <c r="N265">
        <v>0.90900000000000003</v>
      </c>
      <c r="O265">
        <v>0.90900000000000003</v>
      </c>
      <c r="P265">
        <v>0.90900000000000003</v>
      </c>
      <c r="Q265">
        <v>0.90900000000000003</v>
      </c>
      <c r="R265">
        <v>0.90900000000000003</v>
      </c>
      <c r="S265">
        <v>0.90900000000000003</v>
      </c>
      <c r="T265">
        <v>0.90900000000000003</v>
      </c>
      <c r="U265">
        <v>0.90900000000000003</v>
      </c>
      <c r="V265">
        <v>0.90900000000000003</v>
      </c>
      <c r="W265">
        <v>0.90900000000000003</v>
      </c>
      <c r="X265">
        <v>0.90900000000000003</v>
      </c>
      <c r="Y265">
        <v>0.90900000000000003</v>
      </c>
      <c r="Z265">
        <v>0.90900000000000003</v>
      </c>
      <c r="AA265">
        <v>0.90900000000000003</v>
      </c>
    </row>
    <row r="266" spans="1:27" x14ac:dyDescent="0.45">
      <c r="A266" t="s">
        <v>110</v>
      </c>
      <c r="B266" t="s">
        <v>427</v>
      </c>
      <c r="C266" t="str">
        <f t="shared" si="4"/>
        <v>VT|Fall</v>
      </c>
      <c r="D266">
        <v>0.90900000000000003</v>
      </c>
      <c r="E266">
        <v>0.90900000000000003</v>
      </c>
      <c r="F266">
        <v>0.90900000000000003</v>
      </c>
      <c r="G266">
        <v>0.90900000000000003</v>
      </c>
      <c r="H266">
        <v>0.90900000000000003</v>
      </c>
      <c r="I266">
        <v>0.90900000000000003</v>
      </c>
      <c r="J266">
        <v>0.90900000000000003</v>
      </c>
      <c r="K266">
        <v>0.90900000000000003</v>
      </c>
      <c r="L266">
        <v>0.90900000000000003</v>
      </c>
      <c r="M266">
        <v>0.90900000000000003</v>
      </c>
      <c r="N266">
        <v>0.90900000000000003</v>
      </c>
      <c r="O266">
        <v>0.90900000000000003</v>
      </c>
      <c r="P266">
        <v>0.90900000000000003</v>
      </c>
      <c r="Q266">
        <v>0.90900000000000003</v>
      </c>
      <c r="R266">
        <v>0.90900000000000003</v>
      </c>
      <c r="S266">
        <v>0.90900000000000003</v>
      </c>
      <c r="T266">
        <v>0.90900000000000003</v>
      </c>
      <c r="U266">
        <v>0.90900000000000003</v>
      </c>
      <c r="V266">
        <v>0.90900000000000003</v>
      </c>
      <c r="W266">
        <v>0.90900000000000003</v>
      </c>
      <c r="X266">
        <v>0.90900000000000003</v>
      </c>
      <c r="Y266">
        <v>0.90900000000000003</v>
      </c>
      <c r="Z266">
        <v>0.90900000000000003</v>
      </c>
      <c r="AA266">
        <v>0.90900000000000003</v>
      </c>
    </row>
    <row r="267" spans="1:27" x14ac:dyDescent="0.45">
      <c r="A267" t="s">
        <v>110</v>
      </c>
      <c r="B267" t="s">
        <v>428</v>
      </c>
      <c r="C267" t="str">
        <f t="shared" si="4"/>
        <v>VT|Summer Peak</v>
      </c>
      <c r="D267">
        <v>0.90900000000000003</v>
      </c>
      <c r="E267">
        <v>0.90900000000000003</v>
      </c>
      <c r="F267">
        <v>0.90900000000000003</v>
      </c>
      <c r="G267">
        <v>0.90900000000000003</v>
      </c>
      <c r="H267">
        <v>0.90900000000000003</v>
      </c>
      <c r="I267">
        <v>0.90900000000000003</v>
      </c>
      <c r="J267">
        <v>0.90900000000000003</v>
      </c>
      <c r="K267">
        <v>0.90900000000000003</v>
      </c>
      <c r="L267">
        <v>0.90900000000000003</v>
      </c>
      <c r="M267">
        <v>0.90900000000000003</v>
      </c>
      <c r="N267">
        <v>0.90900000000000003</v>
      </c>
      <c r="O267">
        <v>0.90900000000000003</v>
      </c>
      <c r="P267">
        <v>0.90900000000000003</v>
      </c>
      <c r="Q267">
        <v>0.90900000000000003</v>
      </c>
      <c r="R267">
        <v>0.90900000000000003</v>
      </c>
      <c r="S267">
        <v>0.90900000000000003</v>
      </c>
      <c r="T267">
        <v>0.90900000000000003</v>
      </c>
      <c r="U267">
        <v>0.90900000000000003</v>
      </c>
      <c r="V267">
        <v>0.90900000000000003</v>
      </c>
      <c r="W267">
        <v>0.90900000000000003</v>
      </c>
      <c r="X267">
        <v>0.90900000000000003</v>
      </c>
      <c r="Y267">
        <v>0.90900000000000003</v>
      </c>
      <c r="Z267">
        <v>0.90900000000000003</v>
      </c>
      <c r="AA267">
        <v>0.90900000000000003</v>
      </c>
    </row>
    <row r="268" spans="1:27" x14ac:dyDescent="0.45">
      <c r="A268" t="s">
        <v>110</v>
      </c>
      <c r="B268" t="s">
        <v>429</v>
      </c>
      <c r="C268" t="str">
        <f t="shared" si="4"/>
        <v>VT|Winter Peak</v>
      </c>
      <c r="D268">
        <v>0.90900000000000003</v>
      </c>
      <c r="E268">
        <v>0.90900000000000003</v>
      </c>
      <c r="F268">
        <v>0.90900000000000003</v>
      </c>
      <c r="G268">
        <v>0.90900000000000003</v>
      </c>
      <c r="H268">
        <v>0.90900000000000003</v>
      </c>
      <c r="I268">
        <v>0.90900000000000003</v>
      </c>
      <c r="J268">
        <v>0.90900000000000003</v>
      </c>
      <c r="K268">
        <v>0.90900000000000003</v>
      </c>
      <c r="L268">
        <v>0.90900000000000003</v>
      </c>
      <c r="M268">
        <v>0.90900000000000003</v>
      </c>
      <c r="N268">
        <v>0.90900000000000003</v>
      </c>
      <c r="O268">
        <v>0.90900000000000003</v>
      </c>
      <c r="P268">
        <v>0.90900000000000003</v>
      </c>
      <c r="Q268">
        <v>0.90900000000000003</v>
      </c>
      <c r="R268">
        <v>0.90900000000000003</v>
      </c>
      <c r="S268">
        <v>0.90900000000000003</v>
      </c>
      <c r="T268">
        <v>0.90900000000000003</v>
      </c>
      <c r="U268">
        <v>0.90900000000000003</v>
      </c>
      <c r="V268">
        <v>0.90900000000000003</v>
      </c>
      <c r="W268">
        <v>0.90900000000000003</v>
      </c>
      <c r="X268">
        <v>0.90900000000000003</v>
      </c>
      <c r="Y268">
        <v>0.90900000000000003</v>
      </c>
      <c r="Z268">
        <v>0.90900000000000003</v>
      </c>
      <c r="AA268">
        <v>0.90900000000000003</v>
      </c>
    </row>
    <row r="269" spans="1:27" x14ac:dyDescent="0.45">
      <c r="A269" t="s">
        <v>112</v>
      </c>
      <c r="B269" t="s">
        <v>424</v>
      </c>
      <c r="C269" t="str">
        <f t="shared" si="4"/>
        <v>WA|Winter</v>
      </c>
      <c r="D269">
        <v>0.89031399830162727</v>
      </c>
      <c r="E269">
        <v>0.89031399830162727</v>
      </c>
      <c r="F269">
        <v>0.89031399830162727</v>
      </c>
      <c r="G269">
        <v>0.89031399830162727</v>
      </c>
      <c r="H269">
        <v>0.89031399830162727</v>
      </c>
      <c r="I269">
        <v>0.89031399830162727</v>
      </c>
      <c r="J269">
        <v>0.89031399830162727</v>
      </c>
      <c r="K269">
        <v>0.87798461604347444</v>
      </c>
      <c r="L269">
        <v>0.87916574136830006</v>
      </c>
      <c r="M269">
        <v>0.87798461604347444</v>
      </c>
      <c r="N269">
        <v>0.87798461604347444</v>
      </c>
      <c r="O269">
        <v>0.87798461604347444</v>
      </c>
      <c r="P269">
        <v>0.87798461604347444</v>
      </c>
      <c r="Q269">
        <v>0.86676196779134596</v>
      </c>
      <c r="R269">
        <v>0.87387482195742339</v>
      </c>
      <c r="S269">
        <v>0.89031399830162727</v>
      </c>
      <c r="T269">
        <v>0.89031399830162727</v>
      </c>
      <c r="U269">
        <v>0.89031399830162727</v>
      </c>
      <c r="V269">
        <v>0.89031399830162727</v>
      </c>
      <c r="W269">
        <v>0.89031399830162727</v>
      </c>
      <c r="X269">
        <v>0.89031399830162727</v>
      </c>
      <c r="Y269">
        <v>0.89031399830162727</v>
      </c>
      <c r="Z269">
        <v>0.89031399830162727</v>
      </c>
      <c r="AA269">
        <v>0.89031399830162727</v>
      </c>
    </row>
    <row r="270" spans="1:27" x14ac:dyDescent="0.45">
      <c r="A270" t="s">
        <v>112</v>
      </c>
      <c r="B270" t="s">
        <v>425</v>
      </c>
      <c r="C270" t="str">
        <f t="shared" si="4"/>
        <v>WA|Spring</v>
      </c>
      <c r="D270">
        <v>0.89031399830162727</v>
      </c>
      <c r="E270">
        <v>0.89031399830162727</v>
      </c>
      <c r="F270">
        <v>0.89031399830162727</v>
      </c>
      <c r="G270">
        <v>0.89031399830162727</v>
      </c>
      <c r="H270">
        <v>0.89031399830162727</v>
      </c>
      <c r="I270">
        <v>0.89031399830162727</v>
      </c>
      <c r="J270">
        <v>0.86299320807049307</v>
      </c>
      <c r="K270">
        <v>0.83567241783935864</v>
      </c>
      <c r="L270">
        <v>0.84062931785588924</v>
      </c>
      <c r="M270">
        <v>0.85372432560084277</v>
      </c>
      <c r="N270">
        <v>0.85388627799344818</v>
      </c>
      <c r="O270">
        <v>0.85388627799344818</v>
      </c>
      <c r="P270">
        <v>0.85692192135246315</v>
      </c>
      <c r="Q270">
        <v>0.84477934791640341</v>
      </c>
      <c r="R270">
        <v>0.85250871865396494</v>
      </c>
      <c r="S270">
        <v>0.86906449478852277</v>
      </c>
      <c r="T270">
        <v>0.89031399830162727</v>
      </c>
      <c r="U270">
        <v>0.89031399830162727</v>
      </c>
      <c r="V270">
        <v>0.89031399830162727</v>
      </c>
      <c r="W270">
        <v>0.89031399830162727</v>
      </c>
      <c r="X270">
        <v>0.89031399830162727</v>
      </c>
      <c r="Y270">
        <v>0.89031399830162727</v>
      </c>
      <c r="Z270">
        <v>0.89031399830162727</v>
      </c>
      <c r="AA270">
        <v>0.89031399830162727</v>
      </c>
    </row>
    <row r="271" spans="1:27" x14ac:dyDescent="0.45">
      <c r="A271" t="s">
        <v>112</v>
      </c>
      <c r="B271" t="s">
        <v>426</v>
      </c>
      <c r="C271" t="str">
        <f t="shared" si="4"/>
        <v>WA|Summer</v>
      </c>
      <c r="D271">
        <v>0.89031399830162727</v>
      </c>
      <c r="E271">
        <v>0.89031399830162727</v>
      </c>
      <c r="F271">
        <v>0.89031399830162727</v>
      </c>
      <c r="G271">
        <v>0.89031399830162727</v>
      </c>
      <c r="H271">
        <v>0.89031399830162727</v>
      </c>
      <c r="I271">
        <v>0.88497126598976095</v>
      </c>
      <c r="J271">
        <v>0.79189761156035376</v>
      </c>
      <c r="K271">
        <v>0.78401076140102988</v>
      </c>
      <c r="L271">
        <v>0.82566846430774721</v>
      </c>
      <c r="M271">
        <v>0.83955804133889778</v>
      </c>
      <c r="N271">
        <v>0.85291487211856343</v>
      </c>
      <c r="O271">
        <v>0.85291487211856343</v>
      </c>
      <c r="P271">
        <v>0.85291487211856343</v>
      </c>
      <c r="Q271">
        <v>0.85024350596263021</v>
      </c>
      <c r="R271">
        <v>0.85740673740775553</v>
      </c>
      <c r="S271">
        <v>0.88497126598976095</v>
      </c>
      <c r="T271">
        <v>0.89031399830162727</v>
      </c>
      <c r="U271">
        <v>0.89031399830162727</v>
      </c>
      <c r="V271">
        <v>0.89031399830162727</v>
      </c>
      <c r="W271">
        <v>0.89031399830162727</v>
      </c>
      <c r="X271">
        <v>0.89031399830162727</v>
      </c>
      <c r="Y271">
        <v>0.89031399830162727</v>
      </c>
      <c r="Z271">
        <v>0.89031399830162727</v>
      </c>
      <c r="AA271">
        <v>0.89031399830162727</v>
      </c>
    </row>
    <row r="272" spans="1:27" x14ac:dyDescent="0.45">
      <c r="A272" t="s">
        <v>112</v>
      </c>
      <c r="B272" t="s">
        <v>427</v>
      </c>
      <c r="C272" t="str">
        <f t="shared" si="4"/>
        <v>WA|Fall</v>
      </c>
      <c r="D272">
        <v>0.89031399830162727</v>
      </c>
      <c r="E272">
        <v>0.89031399830162727</v>
      </c>
      <c r="F272">
        <v>0.89031399830162727</v>
      </c>
      <c r="G272">
        <v>0.89031399830162727</v>
      </c>
      <c r="H272">
        <v>0.89031399830162727</v>
      </c>
      <c r="I272">
        <v>0.89031399830162727</v>
      </c>
      <c r="J272">
        <v>0.86330018324162938</v>
      </c>
      <c r="K272">
        <v>0.85742293178049711</v>
      </c>
      <c r="L272">
        <v>0.87326844399098391</v>
      </c>
      <c r="M272">
        <v>0.88353885989979009</v>
      </c>
      <c r="N272">
        <v>0.88731246329496094</v>
      </c>
      <c r="O272">
        <v>0.88600852557215359</v>
      </c>
      <c r="P272">
        <v>0.88431092828829438</v>
      </c>
      <c r="Q272">
        <v>0.87833740657131165</v>
      </c>
      <c r="R272">
        <v>0.88265336418013529</v>
      </c>
      <c r="S272">
        <v>0.88731246329496094</v>
      </c>
      <c r="T272">
        <v>0.89031399830162727</v>
      </c>
      <c r="U272">
        <v>0.89031399830162727</v>
      </c>
      <c r="V272">
        <v>0.89031399830162727</v>
      </c>
      <c r="W272">
        <v>0.89031399830162727</v>
      </c>
      <c r="X272">
        <v>0.89031399830162727</v>
      </c>
      <c r="Y272">
        <v>0.89031399830162727</v>
      </c>
      <c r="Z272">
        <v>0.89031399830162727</v>
      </c>
      <c r="AA272">
        <v>0.89031399830162727</v>
      </c>
    </row>
    <row r="273" spans="1:27" x14ac:dyDescent="0.45">
      <c r="A273" t="s">
        <v>112</v>
      </c>
      <c r="B273" t="s">
        <v>428</v>
      </c>
      <c r="C273" t="str">
        <f t="shared" si="4"/>
        <v>WA|Summer Peak</v>
      </c>
      <c r="D273">
        <v>0.89031399830162727</v>
      </c>
      <c r="E273">
        <v>0.89031399830162727</v>
      </c>
      <c r="F273">
        <v>0.89031399830162727</v>
      </c>
      <c r="G273">
        <v>0.89031399830162727</v>
      </c>
      <c r="H273">
        <v>0.89031399830162727</v>
      </c>
      <c r="I273">
        <v>0.89031399830162727</v>
      </c>
      <c r="J273">
        <v>0.78345935206430184</v>
      </c>
      <c r="K273">
        <v>0.88680194498769804</v>
      </c>
      <c r="L273">
        <v>0.89031399830162727</v>
      </c>
      <c r="M273">
        <v>0.89031399830162727</v>
      </c>
      <c r="N273">
        <v>0.89031399830162727</v>
      </c>
      <c r="O273">
        <v>0.89031399830162727</v>
      </c>
      <c r="P273">
        <v>0.89031399830162727</v>
      </c>
      <c r="Q273">
        <v>0.89031399830162727</v>
      </c>
      <c r="R273">
        <v>0.89031399830162727</v>
      </c>
      <c r="S273">
        <v>0.89031399830162727</v>
      </c>
      <c r="T273">
        <v>0.89031399830162727</v>
      </c>
      <c r="U273">
        <v>0.89031399830162727</v>
      </c>
      <c r="V273">
        <v>0.89031399830162727</v>
      </c>
      <c r="W273">
        <v>0.89031399830162727</v>
      </c>
      <c r="X273">
        <v>0.89031399830162727</v>
      </c>
      <c r="Y273">
        <v>0.89031399830162727</v>
      </c>
      <c r="Z273">
        <v>0.89031399830162727</v>
      </c>
      <c r="AA273">
        <v>0.89031399830162727</v>
      </c>
    </row>
    <row r="274" spans="1:27" x14ac:dyDescent="0.45">
      <c r="A274" t="s">
        <v>112</v>
      </c>
      <c r="B274" t="s">
        <v>429</v>
      </c>
      <c r="C274" t="str">
        <f t="shared" si="4"/>
        <v>WA|Winter Peak</v>
      </c>
      <c r="D274">
        <v>0.89031399830162739</v>
      </c>
      <c r="E274">
        <v>0.89031399830162739</v>
      </c>
      <c r="F274">
        <v>0.89031399830162739</v>
      </c>
      <c r="G274">
        <v>0.89031399830162739</v>
      </c>
      <c r="H274">
        <v>0.89031399830162739</v>
      </c>
      <c r="I274">
        <v>0.89031399830162739</v>
      </c>
      <c r="J274">
        <v>0.89031399830162739</v>
      </c>
      <c r="K274">
        <v>0.89031399830162739</v>
      </c>
      <c r="L274">
        <v>0.89031399830162739</v>
      </c>
      <c r="M274">
        <v>0.89031399830162739</v>
      </c>
      <c r="N274">
        <v>0.89031399830162739</v>
      </c>
      <c r="O274">
        <v>0.89031399830162739</v>
      </c>
      <c r="P274">
        <v>0.89031399830162739</v>
      </c>
      <c r="Q274">
        <v>0.89031399830162739</v>
      </c>
      <c r="R274">
        <v>0.89031399830162739</v>
      </c>
      <c r="S274">
        <v>0.89031399830162739</v>
      </c>
      <c r="T274">
        <v>0.89031399830162739</v>
      </c>
      <c r="U274">
        <v>0.89031399830162739</v>
      </c>
      <c r="V274">
        <v>0.89031399830162739</v>
      </c>
      <c r="W274">
        <v>0.89031399830162739</v>
      </c>
      <c r="X274">
        <v>0.89031399830162739</v>
      </c>
      <c r="Y274">
        <v>0.89031399830162739</v>
      </c>
      <c r="Z274">
        <v>0.89031399830162739</v>
      </c>
      <c r="AA274">
        <v>0.89031399830162739</v>
      </c>
    </row>
    <row r="275" spans="1:27" x14ac:dyDescent="0.45">
      <c r="A275" t="s">
        <v>114</v>
      </c>
      <c r="B275" t="s">
        <v>424</v>
      </c>
      <c r="C275" t="str">
        <f t="shared" si="4"/>
        <v>WI|Winter</v>
      </c>
      <c r="D275">
        <v>0.97716773353741004</v>
      </c>
      <c r="E275">
        <v>0.97716773353741004</v>
      </c>
      <c r="F275">
        <v>0.97716773353741004</v>
      </c>
      <c r="G275">
        <v>0.97716773353741004</v>
      </c>
      <c r="H275">
        <v>0.97716773353741004</v>
      </c>
      <c r="I275">
        <v>0.97716773353741004</v>
      </c>
      <c r="J275">
        <v>0.97716773353741004</v>
      </c>
      <c r="K275">
        <v>0.97716773353741004</v>
      </c>
      <c r="L275">
        <v>0.97716773353741004</v>
      </c>
      <c r="M275">
        <v>0.97716773353741004</v>
      </c>
      <c r="N275">
        <v>0.97716773353741004</v>
      </c>
      <c r="O275">
        <v>0.97716773353741004</v>
      </c>
      <c r="P275">
        <v>0.97716773353741004</v>
      </c>
      <c r="Q275">
        <v>0.97716773353741004</v>
      </c>
      <c r="R275">
        <v>0.97716773353741004</v>
      </c>
      <c r="S275">
        <v>0.97716773353741004</v>
      </c>
      <c r="T275">
        <v>0.97716773353741004</v>
      </c>
      <c r="U275">
        <v>0.97716773353741004</v>
      </c>
      <c r="V275">
        <v>0.97716773353741004</v>
      </c>
      <c r="W275">
        <v>0.97716773353741004</v>
      </c>
      <c r="X275">
        <v>0.97716773353741004</v>
      </c>
      <c r="Y275">
        <v>0.97716773353741004</v>
      </c>
      <c r="Z275">
        <v>0.97716773353741004</v>
      </c>
      <c r="AA275">
        <v>0.97716773353741004</v>
      </c>
    </row>
    <row r="276" spans="1:27" x14ac:dyDescent="0.45">
      <c r="A276" t="s">
        <v>114</v>
      </c>
      <c r="B276" t="s">
        <v>425</v>
      </c>
      <c r="C276" t="str">
        <f t="shared" si="4"/>
        <v>WI|Spring</v>
      </c>
      <c r="D276">
        <v>0.97426507785954697</v>
      </c>
      <c r="E276">
        <v>0.97716773353741004</v>
      </c>
      <c r="F276">
        <v>0.97716773353741004</v>
      </c>
      <c r="G276">
        <v>0.97716773353741004</v>
      </c>
      <c r="H276">
        <v>0.97716773353741004</v>
      </c>
      <c r="I276">
        <v>0.97716773353741004</v>
      </c>
      <c r="J276">
        <v>0.97716773353741004</v>
      </c>
      <c r="K276">
        <v>0.97716773353741004</v>
      </c>
      <c r="L276">
        <v>0.97716773353741004</v>
      </c>
      <c r="M276">
        <v>0.97716773353741004</v>
      </c>
      <c r="N276">
        <v>0.97716773353741004</v>
      </c>
      <c r="O276">
        <v>0.97716773353741004</v>
      </c>
      <c r="P276">
        <v>0.97716773353741004</v>
      </c>
      <c r="Q276">
        <v>0.97716773353741004</v>
      </c>
      <c r="R276">
        <v>0.97716773353741004</v>
      </c>
      <c r="S276">
        <v>0.97716773353741004</v>
      </c>
      <c r="T276">
        <v>0.97716773353741004</v>
      </c>
      <c r="U276">
        <v>0.97716773353741004</v>
      </c>
      <c r="V276">
        <v>0.97716773353741004</v>
      </c>
      <c r="W276">
        <v>0.97716773353741004</v>
      </c>
      <c r="X276">
        <v>0.97716773353741004</v>
      </c>
      <c r="Y276">
        <v>0.97716773353741004</v>
      </c>
      <c r="Z276">
        <v>0.97716773353741004</v>
      </c>
      <c r="AA276">
        <v>0.97716773353741004</v>
      </c>
    </row>
    <row r="277" spans="1:27" x14ac:dyDescent="0.45">
      <c r="A277" t="s">
        <v>114</v>
      </c>
      <c r="B277" t="s">
        <v>426</v>
      </c>
      <c r="C277" t="str">
        <f t="shared" si="4"/>
        <v>WI|Summer</v>
      </c>
      <c r="D277">
        <v>0.97716773353741004</v>
      </c>
      <c r="E277">
        <v>0.97716773353741004</v>
      </c>
      <c r="F277">
        <v>0.97716773353741004</v>
      </c>
      <c r="G277">
        <v>0.97716773353741004</v>
      </c>
      <c r="H277">
        <v>0.97716773353741004</v>
      </c>
      <c r="I277">
        <v>0.96544100459884274</v>
      </c>
      <c r="J277">
        <v>0.97130436906812634</v>
      </c>
      <c r="K277">
        <v>0.97716773353741004</v>
      </c>
      <c r="L277">
        <v>0.97716773353741004</v>
      </c>
      <c r="M277">
        <v>0.97716773353741004</v>
      </c>
      <c r="N277">
        <v>0.97716773353741004</v>
      </c>
      <c r="O277">
        <v>0.97716773353741004</v>
      </c>
      <c r="P277">
        <v>0.97716773353741004</v>
      </c>
      <c r="Q277">
        <v>0.97716773353741004</v>
      </c>
      <c r="R277">
        <v>0.97716773353741004</v>
      </c>
      <c r="S277">
        <v>0.97716773353741004</v>
      </c>
      <c r="T277">
        <v>0.97716773353741004</v>
      </c>
      <c r="U277">
        <v>0.97716773353741004</v>
      </c>
      <c r="V277">
        <v>0.97716773353741004</v>
      </c>
      <c r="W277">
        <v>0.97716773353741004</v>
      </c>
      <c r="X277">
        <v>0.97716773353741004</v>
      </c>
      <c r="Y277">
        <v>0.97716773353741004</v>
      </c>
      <c r="Z277">
        <v>0.97716773353741004</v>
      </c>
      <c r="AA277">
        <v>0.97716773353741004</v>
      </c>
    </row>
    <row r="278" spans="1:27" x14ac:dyDescent="0.45">
      <c r="A278" t="s">
        <v>114</v>
      </c>
      <c r="B278" t="s">
        <v>427</v>
      </c>
      <c r="C278" t="str">
        <f t="shared" si="4"/>
        <v>WI|Fall</v>
      </c>
      <c r="D278">
        <v>0.97716773353741004</v>
      </c>
      <c r="E278">
        <v>0.97716773353741004</v>
      </c>
      <c r="F278">
        <v>0.97716773353741004</v>
      </c>
      <c r="G278">
        <v>0.97716773353741004</v>
      </c>
      <c r="H278">
        <v>0.97716773353741004</v>
      </c>
      <c r="I278">
        <v>0.96971430412730386</v>
      </c>
      <c r="J278">
        <v>0.97468325706737469</v>
      </c>
      <c r="K278">
        <v>0.97716773353741004</v>
      </c>
      <c r="L278">
        <v>0.97716773353741004</v>
      </c>
      <c r="M278">
        <v>0.97716773353741004</v>
      </c>
      <c r="N278">
        <v>0.97716773353741004</v>
      </c>
      <c r="O278">
        <v>0.97716773353741004</v>
      </c>
      <c r="P278">
        <v>0.97716773353741004</v>
      </c>
      <c r="Q278">
        <v>0.97716773353741004</v>
      </c>
      <c r="R278">
        <v>0.97716773353741004</v>
      </c>
      <c r="S278">
        <v>0.97716773353741004</v>
      </c>
      <c r="T278">
        <v>0.97716773353741004</v>
      </c>
      <c r="U278">
        <v>0.97716773353741004</v>
      </c>
      <c r="V278">
        <v>0.97716773353741004</v>
      </c>
      <c r="W278">
        <v>0.97716773353741004</v>
      </c>
      <c r="X278">
        <v>0.97716773353741004</v>
      </c>
      <c r="Y278">
        <v>0.97716773353741004</v>
      </c>
      <c r="Z278">
        <v>0.97716773353741004</v>
      </c>
      <c r="AA278">
        <v>0.97716773353741004</v>
      </c>
    </row>
    <row r="279" spans="1:27" x14ac:dyDescent="0.45">
      <c r="A279" t="s">
        <v>114</v>
      </c>
      <c r="B279" t="s">
        <v>428</v>
      </c>
      <c r="C279" t="str">
        <f t="shared" si="4"/>
        <v>WI|Summer Peak</v>
      </c>
      <c r="D279">
        <v>0.97716773353741004</v>
      </c>
      <c r="E279">
        <v>0.97716773353741004</v>
      </c>
      <c r="F279">
        <v>0.97716773353741004</v>
      </c>
      <c r="G279">
        <v>0.97716773353741004</v>
      </c>
      <c r="H279">
        <v>0.97716773353741004</v>
      </c>
      <c r="I279">
        <v>0.97716773353741004</v>
      </c>
      <c r="J279">
        <v>0.97716773353741004</v>
      </c>
      <c r="K279">
        <v>0.97716773353741004</v>
      </c>
      <c r="L279">
        <v>0.97716773353741004</v>
      </c>
      <c r="M279">
        <v>0.97716773353741004</v>
      </c>
      <c r="N279">
        <v>0.97716773353741004</v>
      </c>
      <c r="O279">
        <v>0.97716773353741004</v>
      </c>
      <c r="P279">
        <v>0.97716773353741004</v>
      </c>
      <c r="Q279">
        <v>0.97716773353741004</v>
      </c>
      <c r="R279">
        <v>0.97716773353741004</v>
      </c>
      <c r="S279">
        <v>0.97716773353741004</v>
      </c>
      <c r="T279">
        <v>0.97716773353741004</v>
      </c>
      <c r="U279">
        <v>0.97716773353741004</v>
      </c>
      <c r="V279">
        <v>0.97716773353741004</v>
      </c>
      <c r="W279">
        <v>0.97716773353741004</v>
      </c>
      <c r="X279">
        <v>0.97716773353741004</v>
      </c>
      <c r="Y279">
        <v>0.97716773353741004</v>
      </c>
      <c r="Z279">
        <v>0.97716773353741004</v>
      </c>
      <c r="AA279">
        <v>0.97716773353741004</v>
      </c>
    </row>
    <row r="280" spans="1:27" x14ac:dyDescent="0.45">
      <c r="A280" t="s">
        <v>114</v>
      </c>
      <c r="B280" t="s">
        <v>429</v>
      </c>
      <c r="C280" t="str">
        <f t="shared" si="4"/>
        <v>WI|Winter Peak</v>
      </c>
      <c r="D280">
        <v>0.97716773353741004</v>
      </c>
      <c r="E280">
        <v>0.97716773353741004</v>
      </c>
      <c r="F280">
        <v>0.97716773353741004</v>
      </c>
      <c r="G280">
        <v>0.97716773353741004</v>
      </c>
      <c r="H280">
        <v>0.97716773353741004</v>
      </c>
      <c r="I280">
        <v>0.97716773353741004</v>
      </c>
      <c r="J280">
        <v>0.97716773353741004</v>
      </c>
      <c r="K280">
        <v>0.97716773353741004</v>
      </c>
      <c r="L280">
        <v>0.97716773353741004</v>
      </c>
      <c r="M280">
        <v>0.97716773353741004</v>
      </c>
      <c r="N280">
        <v>0.97716773353741004</v>
      </c>
      <c r="O280">
        <v>0.97716773353741004</v>
      </c>
      <c r="P280">
        <v>0.97716773353741004</v>
      </c>
      <c r="Q280">
        <v>0.97716773353741004</v>
      </c>
      <c r="R280">
        <v>0.97716773353741004</v>
      </c>
      <c r="S280">
        <v>0.97716773353741004</v>
      </c>
      <c r="T280">
        <v>0.97716773353741004</v>
      </c>
      <c r="U280">
        <v>0.97716773353741004</v>
      </c>
      <c r="V280">
        <v>0.97716773353741004</v>
      </c>
      <c r="W280">
        <v>0.97716773353741004</v>
      </c>
      <c r="X280">
        <v>0.97716773353741004</v>
      </c>
      <c r="Y280">
        <v>0.97716773353741004</v>
      </c>
      <c r="Z280">
        <v>0.97716773353741004</v>
      </c>
      <c r="AA280">
        <v>0.97716773353741004</v>
      </c>
    </row>
    <row r="281" spans="1:27" x14ac:dyDescent="0.45">
      <c r="A281" t="s">
        <v>116</v>
      </c>
      <c r="B281" t="s">
        <v>424</v>
      </c>
      <c r="C281" t="str">
        <f t="shared" si="4"/>
        <v>WV|Winter</v>
      </c>
      <c r="D281">
        <v>0.90900000000000014</v>
      </c>
      <c r="E281">
        <v>0.90900000000000014</v>
      </c>
      <c r="F281">
        <v>0.90900000000000014</v>
      </c>
      <c r="G281">
        <v>0.90900000000000014</v>
      </c>
      <c r="H281">
        <v>0.90900000000000014</v>
      </c>
      <c r="I281">
        <v>0.90900000000000014</v>
      </c>
      <c r="J281">
        <v>0.90900000000000014</v>
      </c>
      <c r="K281">
        <v>0.90900000000000014</v>
      </c>
      <c r="L281">
        <v>0.90900000000000014</v>
      </c>
      <c r="M281">
        <v>0.90900000000000014</v>
      </c>
      <c r="N281">
        <v>0.90900000000000014</v>
      </c>
      <c r="O281">
        <v>0.90900000000000014</v>
      </c>
      <c r="P281">
        <v>0.90900000000000014</v>
      </c>
      <c r="Q281">
        <v>0.90900000000000014</v>
      </c>
      <c r="R281">
        <v>0.90900000000000014</v>
      </c>
      <c r="S281">
        <v>0.90900000000000014</v>
      </c>
      <c r="T281">
        <v>0.90900000000000014</v>
      </c>
      <c r="U281">
        <v>0.90900000000000014</v>
      </c>
      <c r="V281">
        <v>0.90900000000000014</v>
      </c>
      <c r="W281">
        <v>0.90900000000000014</v>
      </c>
      <c r="X281">
        <v>0.90900000000000014</v>
      </c>
      <c r="Y281">
        <v>0.90900000000000014</v>
      </c>
      <c r="Z281">
        <v>0.90900000000000014</v>
      </c>
      <c r="AA281">
        <v>0.90900000000000014</v>
      </c>
    </row>
    <row r="282" spans="1:27" x14ac:dyDescent="0.45">
      <c r="A282" t="s">
        <v>116</v>
      </c>
      <c r="B282" t="s">
        <v>425</v>
      </c>
      <c r="C282" t="str">
        <f t="shared" si="4"/>
        <v>WV|Spring</v>
      </c>
      <c r="D282">
        <v>0.90900000000000014</v>
      </c>
      <c r="E282">
        <v>0.90900000000000014</v>
      </c>
      <c r="F282">
        <v>0.90900000000000014</v>
      </c>
      <c r="G282">
        <v>0.90900000000000014</v>
      </c>
      <c r="H282">
        <v>0.90900000000000014</v>
      </c>
      <c r="I282">
        <v>0.90900000000000014</v>
      </c>
      <c r="J282">
        <v>0.90900000000000014</v>
      </c>
      <c r="K282">
        <v>0.90900000000000014</v>
      </c>
      <c r="L282">
        <v>0.90900000000000014</v>
      </c>
      <c r="M282">
        <v>0.90900000000000014</v>
      </c>
      <c r="N282">
        <v>0.90900000000000014</v>
      </c>
      <c r="O282">
        <v>0.90900000000000014</v>
      </c>
      <c r="P282">
        <v>0.90900000000000014</v>
      </c>
      <c r="Q282">
        <v>0.90900000000000014</v>
      </c>
      <c r="R282">
        <v>0.90900000000000014</v>
      </c>
      <c r="S282">
        <v>0.90900000000000014</v>
      </c>
      <c r="T282">
        <v>0.90900000000000014</v>
      </c>
      <c r="U282">
        <v>0.90900000000000014</v>
      </c>
      <c r="V282">
        <v>0.90900000000000014</v>
      </c>
      <c r="W282">
        <v>0.90900000000000014</v>
      </c>
      <c r="X282">
        <v>0.90900000000000014</v>
      </c>
      <c r="Y282">
        <v>0.90900000000000014</v>
      </c>
      <c r="Z282">
        <v>0.90900000000000014</v>
      </c>
      <c r="AA282">
        <v>0.90900000000000014</v>
      </c>
    </row>
    <row r="283" spans="1:27" x14ac:dyDescent="0.45">
      <c r="A283" t="s">
        <v>116</v>
      </c>
      <c r="B283" t="s">
        <v>426</v>
      </c>
      <c r="C283" t="str">
        <f t="shared" si="4"/>
        <v>WV|Summer</v>
      </c>
      <c r="D283">
        <v>0.90900000000000014</v>
      </c>
      <c r="E283">
        <v>0.90900000000000014</v>
      </c>
      <c r="F283">
        <v>0.90900000000000014</v>
      </c>
      <c r="G283">
        <v>0.90900000000000014</v>
      </c>
      <c r="H283">
        <v>0.90900000000000014</v>
      </c>
      <c r="I283">
        <v>0.90900000000000014</v>
      </c>
      <c r="J283">
        <v>0.90900000000000014</v>
      </c>
      <c r="K283">
        <v>0.90900000000000014</v>
      </c>
      <c r="L283">
        <v>0.90900000000000014</v>
      </c>
      <c r="M283">
        <v>0.90900000000000014</v>
      </c>
      <c r="N283">
        <v>0.90900000000000014</v>
      </c>
      <c r="O283">
        <v>0.90900000000000014</v>
      </c>
      <c r="P283">
        <v>0.90900000000000014</v>
      </c>
      <c r="Q283">
        <v>0.90900000000000014</v>
      </c>
      <c r="R283">
        <v>0.90900000000000014</v>
      </c>
      <c r="S283">
        <v>0.90900000000000014</v>
      </c>
      <c r="T283">
        <v>0.90900000000000014</v>
      </c>
      <c r="U283">
        <v>0.90900000000000014</v>
      </c>
      <c r="V283">
        <v>0.90900000000000014</v>
      </c>
      <c r="W283">
        <v>0.90900000000000014</v>
      </c>
      <c r="X283">
        <v>0.90900000000000014</v>
      </c>
      <c r="Y283">
        <v>0.90900000000000014</v>
      </c>
      <c r="Z283">
        <v>0.90900000000000014</v>
      </c>
      <c r="AA283">
        <v>0.90900000000000014</v>
      </c>
    </row>
    <row r="284" spans="1:27" x14ac:dyDescent="0.45">
      <c r="A284" t="s">
        <v>116</v>
      </c>
      <c r="B284" t="s">
        <v>427</v>
      </c>
      <c r="C284" t="str">
        <f t="shared" si="4"/>
        <v>WV|Fall</v>
      </c>
      <c r="D284">
        <v>0.90900000000000014</v>
      </c>
      <c r="E284">
        <v>0.90900000000000014</v>
      </c>
      <c r="F284">
        <v>0.90900000000000014</v>
      </c>
      <c r="G284">
        <v>0.90900000000000014</v>
      </c>
      <c r="H284">
        <v>0.90900000000000014</v>
      </c>
      <c r="I284">
        <v>0.90900000000000014</v>
      </c>
      <c r="J284">
        <v>0.90900000000000014</v>
      </c>
      <c r="K284">
        <v>0.90900000000000014</v>
      </c>
      <c r="L284">
        <v>0.90900000000000014</v>
      </c>
      <c r="M284">
        <v>0.90900000000000014</v>
      </c>
      <c r="N284">
        <v>0.90900000000000014</v>
      </c>
      <c r="O284">
        <v>0.90900000000000014</v>
      </c>
      <c r="P284">
        <v>0.90900000000000014</v>
      </c>
      <c r="Q284">
        <v>0.90900000000000014</v>
      </c>
      <c r="R284">
        <v>0.90900000000000014</v>
      </c>
      <c r="S284">
        <v>0.90900000000000014</v>
      </c>
      <c r="T284">
        <v>0.90900000000000014</v>
      </c>
      <c r="U284">
        <v>0.90900000000000014</v>
      </c>
      <c r="V284">
        <v>0.90900000000000014</v>
      </c>
      <c r="W284">
        <v>0.90900000000000014</v>
      </c>
      <c r="X284">
        <v>0.90900000000000014</v>
      </c>
      <c r="Y284">
        <v>0.90900000000000014</v>
      </c>
      <c r="Z284">
        <v>0.90900000000000014</v>
      </c>
      <c r="AA284">
        <v>0.90900000000000014</v>
      </c>
    </row>
    <row r="285" spans="1:27" x14ac:dyDescent="0.45">
      <c r="A285" t="s">
        <v>116</v>
      </c>
      <c r="B285" t="s">
        <v>428</v>
      </c>
      <c r="C285" t="str">
        <f t="shared" si="4"/>
        <v>WV|Summer Peak</v>
      </c>
      <c r="D285">
        <v>0.90900000000000014</v>
      </c>
      <c r="E285">
        <v>0.90900000000000014</v>
      </c>
      <c r="F285">
        <v>0.90900000000000014</v>
      </c>
      <c r="G285">
        <v>0.90900000000000014</v>
      </c>
      <c r="H285">
        <v>0.90900000000000014</v>
      </c>
      <c r="I285">
        <v>0.90900000000000014</v>
      </c>
      <c r="J285">
        <v>0.90900000000000014</v>
      </c>
      <c r="K285">
        <v>0.90900000000000014</v>
      </c>
      <c r="L285">
        <v>0.90900000000000014</v>
      </c>
      <c r="M285">
        <v>0.90900000000000014</v>
      </c>
      <c r="N285">
        <v>0.90900000000000014</v>
      </c>
      <c r="O285">
        <v>0.90900000000000014</v>
      </c>
      <c r="P285">
        <v>0.90900000000000014</v>
      </c>
      <c r="Q285">
        <v>0.90900000000000014</v>
      </c>
      <c r="R285">
        <v>0.90900000000000014</v>
      </c>
      <c r="S285">
        <v>0.90900000000000014</v>
      </c>
      <c r="T285">
        <v>0.90900000000000014</v>
      </c>
      <c r="U285">
        <v>0.90900000000000014</v>
      </c>
      <c r="V285">
        <v>0.90900000000000014</v>
      </c>
      <c r="W285">
        <v>0.90900000000000014</v>
      </c>
      <c r="X285">
        <v>0.90900000000000014</v>
      </c>
      <c r="Y285">
        <v>0.90900000000000014</v>
      </c>
      <c r="Z285">
        <v>0.90900000000000014</v>
      </c>
      <c r="AA285">
        <v>0.90900000000000014</v>
      </c>
    </row>
    <row r="286" spans="1:27" x14ac:dyDescent="0.45">
      <c r="A286" t="s">
        <v>116</v>
      </c>
      <c r="B286" t="s">
        <v>429</v>
      </c>
      <c r="C286" t="str">
        <f t="shared" si="4"/>
        <v>WV|Winter Peak</v>
      </c>
      <c r="D286">
        <v>0.90900000000000014</v>
      </c>
      <c r="E286">
        <v>0.90900000000000014</v>
      </c>
      <c r="F286">
        <v>0.90900000000000014</v>
      </c>
      <c r="G286">
        <v>0.90900000000000014</v>
      </c>
      <c r="H286">
        <v>0.90900000000000014</v>
      </c>
      <c r="I286">
        <v>0.90900000000000014</v>
      </c>
      <c r="J286">
        <v>0.90900000000000014</v>
      </c>
      <c r="K286">
        <v>0.90900000000000014</v>
      </c>
      <c r="L286">
        <v>0.90900000000000014</v>
      </c>
      <c r="M286">
        <v>0.90900000000000014</v>
      </c>
      <c r="N286">
        <v>0.90900000000000014</v>
      </c>
      <c r="O286">
        <v>0.90900000000000014</v>
      </c>
      <c r="P286">
        <v>0.90900000000000014</v>
      </c>
      <c r="Q286">
        <v>0.90900000000000014</v>
      </c>
      <c r="R286">
        <v>0.90900000000000014</v>
      </c>
      <c r="S286">
        <v>0.90900000000000014</v>
      </c>
      <c r="T286">
        <v>0.90900000000000014</v>
      </c>
      <c r="U286">
        <v>0.90900000000000014</v>
      </c>
      <c r="V286">
        <v>0.90900000000000014</v>
      </c>
      <c r="W286">
        <v>0.90900000000000014</v>
      </c>
      <c r="X286">
        <v>0.90900000000000014</v>
      </c>
      <c r="Y286">
        <v>0.90900000000000014</v>
      </c>
      <c r="Z286">
        <v>0.90900000000000014</v>
      </c>
      <c r="AA286">
        <v>0.90900000000000014</v>
      </c>
    </row>
    <row r="287" spans="1:27" x14ac:dyDescent="0.45">
      <c r="A287" t="s">
        <v>118</v>
      </c>
      <c r="B287" t="s">
        <v>424</v>
      </c>
      <c r="C287" t="str">
        <f t="shared" si="4"/>
        <v>WY|Winter</v>
      </c>
      <c r="D287">
        <v>0.90900000000000014</v>
      </c>
      <c r="E287">
        <v>0.90900000000000014</v>
      </c>
      <c r="F287">
        <v>0.90900000000000014</v>
      </c>
      <c r="G287">
        <v>0.90900000000000014</v>
      </c>
      <c r="H287">
        <v>0.90900000000000014</v>
      </c>
      <c r="I287">
        <v>0.90900000000000014</v>
      </c>
      <c r="J287">
        <v>0.90900000000000014</v>
      </c>
      <c r="K287">
        <v>0.90900000000000014</v>
      </c>
      <c r="L287">
        <v>0.90900000000000014</v>
      </c>
      <c r="M287">
        <v>0.90900000000000014</v>
      </c>
      <c r="N287">
        <v>0.90900000000000014</v>
      </c>
      <c r="O287">
        <v>0.90900000000000014</v>
      </c>
      <c r="P287">
        <v>0.90900000000000014</v>
      </c>
      <c r="Q287">
        <v>0.90900000000000014</v>
      </c>
      <c r="R287">
        <v>0.90900000000000014</v>
      </c>
      <c r="S287">
        <v>0.90900000000000014</v>
      </c>
      <c r="T287">
        <v>0.90900000000000014</v>
      </c>
      <c r="U287">
        <v>0.90900000000000014</v>
      </c>
      <c r="V287">
        <v>0.90900000000000014</v>
      </c>
      <c r="W287">
        <v>0.90900000000000014</v>
      </c>
      <c r="X287">
        <v>0.90900000000000014</v>
      </c>
      <c r="Y287">
        <v>0.90900000000000014</v>
      </c>
      <c r="Z287">
        <v>0.90900000000000014</v>
      </c>
      <c r="AA287">
        <v>0.90900000000000014</v>
      </c>
    </row>
    <row r="288" spans="1:27" x14ac:dyDescent="0.45">
      <c r="A288" t="s">
        <v>118</v>
      </c>
      <c r="B288" t="s">
        <v>425</v>
      </c>
      <c r="C288" t="str">
        <f t="shared" si="4"/>
        <v>WY|Spring</v>
      </c>
      <c r="D288">
        <v>0.90900000000000014</v>
      </c>
      <c r="E288">
        <v>0.90900000000000014</v>
      </c>
      <c r="F288">
        <v>0.90900000000000014</v>
      </c>
      <c r="G288">
        <v>0.90900000000000014</v>
      </c>
      <c r="H288">
        <v>0.90900000000000014</v>
      </c>
      <c r="I288">
        <v>0.90900000000000014</v>
      </c>
      <c r="J288">
        <v>0.90900000000000014</v>
      </c>
      <c r="K288">
        <v>0.90900000000000014</v>
      </c>
      <c r="L288">
        <v>0.90900000000000014</v>
      </c>
      <c r="M288">
        <v>0.90900000000000014</v>
      </c>
      <c r="N288">
        <v>0.90900000000000014</v>
      </c>
      <c r="O288">
        <v>0.90900000000000014</v>
      </c>
      <c r="P288">
        <v>0.90900000000000014</v>
      </c>
      <c r="Q288">
        <v>0.90900000000000014</v>
      </c>
      <c r="R288">
        <v>0.90900000000000014</v>
      </c>
      <c r="S288">
        <v>0.90900000000000014</v>
      </c>
      <c r="T288">
        <v>0.90900000000000014</v>
      </c>
      <c r="U288">
        <v>0.90900000000000014</v>
      </c>
      <c r="V288">
        <v>0.90900000000000014</v>
      </c>
      <c r="W288">
        <v>0.90900000000000014</v>
      </c>
      <c r="X288">
        <v>0.90900000000000014</v>
      </c>
      <c r="Y288">
        <v>0.90900000000000014</v>
      </c>
      <c r="Z288">
        <v>0.90900000000000014</v>
      </c>
      <c r="AA288">
        <v>0.90900000000000014</v>
      </c>
    </row>
    <row r="289" spans="1:27" x14ac:dyDescent="0.45">
      <c r="A289" t="s">
        <v>118</v>
      </c>
      <c r="B289" t="s">
        <v>426</v>
      </c>
      <c r="C289" t="str">
        <f t="shared" si="4"/>
        <v>WY|Summer</v>
      </c>
      <c r="D289">
        <v>0.90900000000000014</v>
      </c>
      <c r="E289">
        <v>0.90900000000000014</v>
      </c>
      <c r="F289">
        <v>0.90900000000000014</v>
      </c>
      <c r="G289">
        <v>0.90900000000000014</v>
      </c>
      <c r="H289">
        <v>0.90900000000000014</v>
      </c>
      <c r="I289">
        <v>0.90900000000000014</v>
      </c>
      <c r="J289">
        <v>0.90900000000000014</v>
      </c>
      <c r="K289">
        <v>0.90900000000000014</v>
      </c>
      <c r="L289">
        <v>0.90900000000000014</v>
      </c>
      <c r="M289">
        <v>0.90900000000000014</v>
      </c>
      <c r="N289">
        <v>0.90900000000000014</v>
      </c>
      <c r="O289">
        <v>0.90900000000000014</v>
      </c>
      <c r="P289">
        <v>0.90900000000000014</v>
      </c>
      <c r="Q289">
        <v>0.90900000000000014</v>
      </c>
      <c r="R289">
        <v>0.90900000000000014</v>
      </c>
      <c r="S289">
        <v>0.90900000000000014</v>
      </c>
      <c r="T289">
        <v>0.90900000000000014</v>
      </c>
      <c r="U289">
        <v>0.90900000000000014</v>
      </c>
      <c r="V289">
        <v>0.90900000000000014</v>
      </c>
      <c r="W289">
        <v>0.90900000000000014</v>
      </c>
      <c r="X289">
        <v>0.90900000000000014</v>
      </c>
      <c r="Y289">
        <v>0.90900000000000014</v>
      </c>
      <c r="Z289">
        <v>0.90900000000000014</v>
      </c>
      <c r="AA289">
        <v>0.90900000000000014</v>
      </c>
    </row>
    <row r="290" spans="1:27" x14ac:dyDescent="0.45">
      <c r="A290" t="s">
        <v>118</v>
      </c>
      <c r="B290" t="s">
        <v>427</v>
      </c>
      <c r="C290" t="str">
        <f t="shared" si="4"/>
        <v>WY|Fall</v>
      </c>
      <c r="D290">
        <v>0.90900000000000014</v>
      </c>
      <c r="E290">
        <v>0.90900000000000014</v>
      </c>
      <c r="F290">
        <v>0.90900000000000014</v>
      </c>
      <c r="G290">
        <v>0.90900000000000014</v>
      </c>
      <c r="H290">
        <v>0.90900000000000014</v>
      </c>
      <c r="I290">
        <v>0.90900000000000014</v>
      </c>
      <c r="J290">
        <v>0.90900000000000014</v>
      </c>
      <c r="K290">
        <v>0.90900000000000014</v>
      </c>
      <c r="L290">
        <v>0.90900000000000014</v>
      </c>
      <c r="M290">
        <v>0.90900000000000014</v>
      </c>
      <c r="N290">
        <v>0.90900000000000014</v>
      </c>
      <c r="O290">
        <v>0.90900000000000014</v>
      </c>
      <c r="P290">
        <v>0.90900000000000014</v>
      </c>
      <c r="Q290">
        <v>0.90900000000000014</v>
      </c>
      <c r="R290">
        <v>0.90900000000000014</v>
      </c>
      <c r="S290">
        <v>0.90900000000000014</v>
      </c>
      <c r="T290">
        <v>0.90900000000000014</v>
      </c>
      <c r="U290">
        <v>0.90900000000000014</v>
      </c>
      <c r="V290">
        <v>0.90900000000000014</v>
      </c>
      <c r="W290">
        <v>0.90900000000000014</v>
      </c>
      <c r="X290">
        <v>0.90900000000000014</v>
      </c>
      <c r="Y290">
        <v>0.90900000000000014</v>
      </c>
      <c r="Z290">
        <v>0.90900000000000014</v>
      </c>
      <c r="AA290">
        <v>0.90900000000000014</v>
      </c>
    </row>
    <row r="291" spans="1:27" x14ac:dyDescent="0.45">
      <c r="A291" t="s">
        <v>118</v>
      </c>
      <c r="B291" t="s">
        <v>428</v>
      </c>
      <c r="C291" t="str">
        <f t="shared" si="4"/>
        <v>WY|Summer Peak</v>
      </c>
      <c r="D291">
        <v>0.90900000000000014</v>
      </c>
      <c r="E291">
        <v>0.90900000000000014</v>
      </c>
      <c r="F291">
        <v>0.90900000000000014</v>
      </c>
      <c r="G291">
        <v>0.90900000000000014</v>
      </c>
      <c r="H291">
        <v>0.90900000000000014</v>
      </c>
      <c r="I291">
        <v>0.90900000000000014</v>
      </c>
      <c r="J291">
        <v>0.90900000000000014</v>
      </c>
      <c r="K291">
        <v>0.90900000000000014</v>
      </c>
      <c r="L291">
        <v>0.90900000000000014</v>
      </c>
      <c r="M291">
        <v>0.90900000000000014</v>
      </c>
      <c r="N291">
        <v>0.90900000000000014</v>
      </c>
      <c r="O291">
        <v>0.90900000000000014</v>
      </c>
      <c r="P291">
        <v>0.90900000000000014</v>
      </c>
      <c r="Q291">
        <v>0.90900000000000014</v>
      </c>
      <c r="R291">
        <v>0.90900000000000014</v>
      </c>
      <c r="S291">
        <v>0.90900000000000014</v>
      </c>
      <c r="T291">
        <v>0.90900000000000014</v>
      </c>
      <c r="U291">
        <v>0.90900000000000014</v>
      </c>
      <c r="V291">
        <v>0.90900000000000014</v>
      </c>
      <c r="W291">
        <v>0.90900000000000014</v>
      </c>
      <c r="X291">
        <v>0.90900000000000014</v>
      </c>
      <c r="Y291">
        <v>0.90900000000000014</v>
      </c>
      <c r="Z291">
        <v>0.90900000000000014</v>
      </c>
      <c r="AA291">
        <v>0.90900000000000014</v>
      </c>
    </row>
    <row r="292" spans="1:27" x14ac:dyDescent="0.45">
      <c r="A292" t="s">
        <v>118</v>
      </c>
      <c r="B292" t="s">
        <v>429</v>
      </c>
      <c r="C292" t="str">
        <f t="shared" si="4"/>
        <v>WY|Winter Peak</v>
      </c>
      <c r="D292">
        <v>0.90900000000000014</v>
      </c>
      <c r="E292">
        <v>0.90900000000000014</v>
      </c>
      <c r="F292">
        <v>0.90900000000000014</v>
      </c>
      <c r="G292">
        <v>0.90900000000000014</v>
      </c>
      <c r="H292">
        <v>0.90900000000000014</v>
      </c>
      <c r="I292">
        <v>0.90900000000000014</v>
      </c>
      <c r="J292">
        <v>0.90900000000000014</v>
      </c>
      <c r="K292">
        <v>0.90900000000000014</v>
      </c>
      <c r="L292">
        <v>0.90900000000000014</v>
      </c>
      <c r="M292">
        <v>0.90900000000000014</v>
      </c>
      <c r="N292">
        <v>0.90900000000000014</v>
      </c>
      <c r="O292">
        <v>0.90900000000000014</v>
      </c>
      <c r="P292">
        <v>0.90900000000000014</v>
      </c>
      <c r="Q292">
        <v>0.90900000000000014</v>
      </c>
      <c r="R292">
        <v>0.90900000000000014</v>
      </c>
      <c r="S292">
        <v>0.90900000000000014</v>
      </c>
      <c r="T292">
        <v>0.90900000000000014</v>
      </c>
      <c r="U292">
        <v>0.90900000000000014</v>
      </c>
      <c r="V292">
        <v>0.90900000000000014</v>
      </c>
      <c r="W292">
        <v>0.90900000000000014</v>
      </c>
      <c r="X292">
        <v>0.90900000000000014</v>
      </c>
      <c r="Y292">
        <v>0.90900000000000014</v>
      </c>
      <c r="Z292">
        <v>0.90900000000000014</v>
      </c>
      <c r="AA292">
        <v>0.90900000000000014</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C1156"/>
  <sheetViews>
    <sheetView workbookViewId="0"/>
  </sheetViews>
  <sheetFormatPr defaultRowHeight="14.25" x14ac:dyDescent="0.45"/>
  <sheetData>
    <row r="1" spans="1:29" x14ac:dyDescent="0.45">
      <c r="A1" s="8" t="s">
        <v>430</v>
      </c>
      <c r="B1" s="9"/>
      <c r="C1" s="9"/>
      <c r="D1" s="9"/>
      <c r="E1" s="9"/>
      <c r="F1" s="9"/>
      <c r="G1" s="9"/>
      <c r="H1" s="9"/>
      <c r="I1" s="9"/>
      <c r="J1" s="9"/>
      <c r="K1" s="9"/>
      <c r="L1" s="9"/>
      <c r="M1" s="9"/>
      <c r="N1" s="9"/>
      <c r="O1" s="9"/>
      <c r="P1" s="9"/>
      <c r="Q1" s="9"/>
      <c r="R1" s="9"/>
      <c r="S1" s="9"/>
      <c r="T1" s="9"/>
      <c r="U1" s="9"/>
      <c r="V1" s="9"/>
      <c r="W1" s="9"/>
      <c r="X1" s="9"/>
      <c r="Y1" s="9"/>
      <c r="Z1" s="9"/>
      <c r="AA1" s="9"/>
      <c r="AB1" s="9"/>
    </row>
    <row r="2" spans="1:29" ht="409.5" x14ac:dyDescent="0.45">
      <c r="A2" s="10" t="s">
        <v>431</v>
      </c>
    </row>
    <row r="3" spans="1:29" x14ac:dyDescent="0.45">
      <c r="A3" s="3" t="s">
        <v>397</v>
      </c>
    </row>
    <row r="4" spans="1:29" ht="60" customHeight="1" x14ac:dyDescent="0.45">
      <c r="A4" s="7" t="s">
        <v>147</v>
      </c>
      <c r="B4" s="7" t="s">
        <v>432</v>
      </c>
      <c r="C4" s="7" t="s">
        <v>398</v>
      </c>
      <c r="D4" s="7" t="s">
        <v>433</v>
      </c>
      <c r="E4" s="1" t="s">
        <v>400</v>
      </c>
      <c r="F4" s="1" t="s">
        <v>401</v>
      </c>
      <c r="G4" s="1" t="s">
        <v>402</v>
      </c>
      <c r="H4" s="1" t="s">
        <v>403</v>
      </c>
      <c r="I4" s="1" t="s">
        <v>404</v>
      </c>
      <c r="J4" s="1" t="s">
        <v>405</v>
      </c>
      <c r="K4" s="1" t="s">
        <v>406</v>
      </c>
      <c r="L4" s="1" t="s">
        <v>407</v>
      </c>
      <c r="M4" s="1" t="s">
        <v>408</v>
      </c>
      <c r="N4" s="1" t="s">
        <v>409</v>
      </c>
      <c r="O4" s="1" t="s">
        <v>410</v>
      </c>
      <c r="P4" s="1" t="s">
        <v>411</v>
      </c>
      <c r="Q4" s="1" t="s">
        <v>412</v>
      </c>
      <c r="R4" s="1" t="s">
        <v>413</v>
      </c>
      <c r="S4" s="1" t="s">
        <v>414</v>
      </c>
      <c r="T4" s="1" t="s">
        <v>415</v>
      </c>
      <c r="U4" s="1" t="s">
        <v>416</v>
      </c>
      <c r="V4" s="1" t="s">
        <v>417</v>
      </c>
      <c r="W4" s="1" t="s">
        <v>418</v>
      </c>
      <c r="X4" s="1" t="s">
        <v>419</v>
      </c>
      <c r="Y4" s="1" t="s">
        <v>420</v>
      </c>
      <c r="Z4" s="1" t="s">
        <v>421</v>
      </c>
      <c r="AA4" s="1" t="s">
        <v>422</v>
      </c>
      <c r="AB4" s="1" t="s">
        <v>423</v>
      </c>
    </row>
    <row r="5" spans="1:29" x14ac:dyDescent="0.45">
      <c r="A5" t="s">
        <v>2</v>
      </c>
      <c r="B5" t="s">
        <v>434</v>
      </c>
      <c r="C5" t="s">
        <v>435</v>
      </c>
      <c r="D5" t="s">
        <v>424</v>
      </c>
      <c r="E5" t="str">
        <f t="shared" ref="E5:E68" si="0">A5&amp;"|"&amp;C5&amp;"|"&amp;D5</f>
        <v>AL|onshore wind|Winter</v>
      </c>
      <c r="F5">
        <v>1</v>
      </c>
      <c r="G5">
        <v>1</v>
      </c>
      <c r="H5">
        <v>1</v>
      </c>
      <c r="I5">
        <v>1</v>
      </c>
      <c r="J5">
        <v>1</v>
      </c>
      <c r="K5">
        <v>1</v>
      </c>
      <c r="L5">
        <v>1</v>
      </c>
      <c r="M5">
        <v>1</v>
      </c>
      <c r="N5">
        <v>1</v>
      </c>
      <c r="O5">
        <v>1</v>
      </c>
      <c r="P5">
        <v>1</v>
      </c>
      <c r="Q5">
        <v>1</v>
      </c>
      <c r="R5">
        <v>1</v>
      </c>
      <c r="S5">
        <v>1</v>
      </c>
      <c r="T5">
        <v>1</v>
      </c>
      <c r="U5">
        <v>1</v>
      </c>
      <c r="V5">
        <v>1</v>
      </c>
      <c r="W5">
        <v>1</v>
      </c>
      <c r="X5">
        <v>1</v>
      </c>
      <c r="Y5">
        <v>1</v>
      </c>
      <c r="Z5">
        <v>1</v>
      </c>
      <c r="AA5">
        <v>1</v>
      </c>
      <c r="AB5">
        <v>1</v>
      </c>
      <c r="AC5">
        <v>1</v>
      </c>
    </row>
    <row r="6" spans="1:29" x14ac:dyDescent="0.45">
      <c r="A6" t="s">
        <v>2</v>
      </c>
      <c r="B6" t="s">
        <v>434</v>
      </c>
      <c r="C6" t="s">
        <v>435</v>
      </c>
      <c r="D6" t="s">
        <v>425</v>
      </c>
      <c r="E6" t="str">
        <f t="shared" si="0"/>
        <v>AL|onshore wind|Spring</v>
      </c>
      <c r="F6">
        <v>1</v>
      </c>
      <c r="G6">
        <v>1</v>
      </c>
      <c r="H6">
        <v>1</v>
      </c>
      <c r="I6">
        <v>1</v>
      </c>
      <c r="J6">
        <v>1</v>
      </c>
      <c r="K6">
        <v>1</v>
      </c>
      <c r="L6">
        <v>1</v>
      </c>
      <c r="M6">
        <v>1</v>
      </c>
      <c r="N6">
        <v>1</v>
      </c>
      <c r="O6">
        <v>1</v>
      </c>
      <c r="P6">
        <v>1</v>
      </c>
      <c r="Q6">
        <v>1</v>
      </c>
      <c r="R6">
        <v>1</v>
      </c>
      <c r="S6">
        <v>1</v>
      </c>
      <c r="T6">
        <v>1</v>
      </c>
      <c r="U6">
        <v>1</v>
      </c>
      <c r="V6">
        <v>1</v>
      </c>
      <c r="W6">
        <v>1</v>
      </c>
      <c r="X6">
        <v>1</v>
      </c>
      <c r="Y6">
        <v>1</v>
      </c>
      <c r="Z6">
        <v>1</v>
      </c>
      <c r="AA6">
        <v>1</v>
      </c>
      <c r="AB6">
        <v>1</v>
      </c>
      <c r="AC6">
        <v>1</v>
      </c>
    </row>
    <row r="7" spans="1:29" x14ac:dyDescent="0.45">
      <c r="A7" t="s">
        <v>2</v>
      </c>
      <c r="B7" t="s">
        <v>434</v>
      </c>
      <c r="C7" t="s">
        <v>435</v>
      </c>
      <c r="D7" t="s">
        <v>426</v>
      </c>
      <c r="E7" t="str">
        <f t="shared" si="0"/>
        <v>AL|onshore wind|Summer</v>
      </c>
      <c r="F7">
        <v>1</v>
      </c>
      <c r="G7">
        <v>1</v>
      </c>
      <c r="H7">
        <v>1</v>
      </c>
      <c r="I7">
        <v>1</v>
      </c>
      <c r="J7">
        <v>1</v>
      </c>
      <c r="K7">
        <v>1</v>
      </c>
      <c r="L7">
        <v>1</v>
      </c>
      <c r="M7">
        <v>1</v>
      </c>
      <c r="N7">
        <v>1</v>
      </c>
      <c r="O7">
        <v>1</v>
      </c>
      <c r="P7">
        <v>1</v>
      </c>
      <c r="Q7">
        <v>1</v>
      </c>
      <c r="R7">
        <v>1</v>
      </c>
      <c r="S7">
        <v>1</v>
      </c>
      <c r="T7">
        <v>1</v>
      </c>
      <c r="U7">
        <v>1</v>
      </c>
      <c r="V7">
        <v>1</v>
      </c>
      <c r="W7">
        <v>1</v>
      </c>
      <c r="X7">
        <v>1</v>
      </c>
      <c r="Y7">
        <v>1</v>
      </c>
      <c r="Z7">
        <v>1</v>
      </c>
      <c r="AA7">
        <v>1</v>
      </c>
      <c r="AB7">
        <v>1</v>
      </c>
      <c r="AC7">
        <v>1</v>
      </c>
    </row>
    <row r="8" spans="1:29" x14ac:dyDescent="0.45">
      <c r="A8" t="s">
        <v>2</v>
      </c>
      <c r="B8" t="s">
        <v>434</v>
      </c>
      <c r="C8" t="s">
        <v>435</v>
      </c>
      <c r="D8" t="s">
        <v>427</v>
      </c>
      <c r="E8" t="str">
        <f t="shared" si="0"/>
        <v>AL|onshore wind|Fall</v>
      </c>
      <c r="F8">
        <v>1</v>
      </c>
      <c r="G8">
        <v>1</v>
      </c>
      <c r="H8">
        <v>1</v>
      </c>
      <c r="I8">
        <v>1</v>
      </c>
      <c r="J8">
        <v>1</v>
      </c>
      <c r="K8">
        <v>1</v>
      </c>
      <c r="L8">
        <v>1</v>
      </c>
      <c r="M8">
        <v>1</v>
      </c>
      <c r="N8">
        <v>1</v>
      </c>
      <c r="O8">
        <v>1</v>
      </c>
      <c r="P8">
        <v>1</v>
      </c>
      <c r="Q8">
        <v>1</v>
      </c>
      <c r="R8">
        <v>1</v>
      </c>
      <c r="S8">
        <v>1</v>
      </c>
      <c r="T8">
        <v>1</v>
      </c>
      <c r="U8">
        <v>1</v>
      </c>
      <c r="V8">
        <v>1</v>
      </c>
      <c r="W8">
        <v>1</v>
      </c>
      <c r="X8">
        <v>1</v>
      </c>
      <c r="Y8">
        <v>1</v>
      </c>
      <c r="Z8">
        <v>1</v>
      </c>
      <c r="AA8">
        <v>1</v>
      </c>
      <c r="AB8">
        <v>1</v>
      </c>
      <c r="AC8">
        <v>1</v>
      </c>
    </row>
    <row r="9" spans="1:29" x14ac:dyDescent="0.45">
      <c r="A9" t="s">
        <v>2</v>
      </c>
      <c r="B9" t="s">
        <v>434</v>
      </c>
      <c r="C9" t="s">
        <v>435</v>
      </c>
      <c r="D9" t="s">
        <v>428</v>
      </c>
      <c r="E9" t="str">
        <f t="shared" si="0"/>
        <v>AL|onshore wind|Summer Peak</v>
      </c>
      <c r="F9">
        <v>0.92130000000000001</v>
      </c>
      <c r="G9">
        <v>0.92800000000000005</v>
      </c>
      <c r="H9">
        <v>0.95289999999999997</v>
      </c>
      <c r="I9">
        <v>0.94940000000000002</v>
      </c>
      <c r="J9">
        <v>0.93440000000000001</v>
      </c>
      <c r="K9">
        <v>0.94220000000000004</v>
      </c>
      <c r="L9">
        <v>0.96179999999999999</v>
      </c>
      <c r="M9">
        <v>0.91600000000000004</v>
      </c>
      <c r="N9">
        <v>0.81699999999999995</v>
      </c>
      <c r="O9">
        <v>0.7732</v>
      </c>
      <c r="P9">
        <v>0.76719999999999999</v>
      </c>
      <c r="Q9">
        <v>0.75590000000000002</v>
      </c>
      <c r="R9">
        <v>0.69110000000000005</v>
      </c>
      <c r="S9">
        <v>0.75690000000000002</v>
      </c>
      <c r="T9">
        <v>0.82179999999999997</v>
      </c>
      <c r="U9">
        <v>0.83940000000000003</v>
      </c>
      <c r="V9">
        <v>0.86229999999999996</v>
      </c>
      <c r="W9">
        <v>0.89380000000000004</v>
      </c>
      <c r="X9">
        <v>0.9103</v>
      </c>
      <c r="Y9">
        <v>0.9335</v>
      </c>
      <c r="Z9">
        <v>0.92900000000000005</v>
      </c>
      <c r="AA9">
        <v>0.9536</v>
      </c>
      <c r="AB9">
        <v>0.97609999999999997</v>
      </c>
      <c r="AC9">
        <v>0.98950000000000005</v>
      </c>
    </row>
    <row r="10" spans="1:29" x14ac:dyDescent="0.45">
      <c r="A10" t="s">
        <v>2</v>
      </c>
      <c r="B10" t="s">
        <v>434</v>
      </c>
      <c r="C10" t="s">
        <v>435</v>
      </c>
      <c r="D10" t="s">
        <v>429</v>
      </c>
      <c r="E10" t="str">
        <f t="shared" si="0"/>
        <v>AL|onshore wind|Winter Peak</v>
      </c>
      <c r="F10">
        <v>0.88390000000000002</v>
      </c>
      <c r="G10">
        <v>0.8569</v>
      </c>
      <c r="H10">
        <v>0.83889999999999998</v>
      </c>
      <c r="I10">
        <v>0.8246</v>
      </c>
      <c r="J10">
        <v>0.80969999999999998</v>
      </c>
      <c r="K10">
        <v>0.77990000000000004</v>
      </c>
      <c r="L10">
        <v>0.79559999999999997</v>
      </c>
      <c r="M10">
        <v>0.80669999999999997</v>
      </c>
      <c r="N10">
        <v>0.85460000000000003</v>
      </c>
      <c r="O10">
        <v>0.89159999999999995</v>
      </c>
      <c r="P10">
        <v>0.94589999999999996</v>
      </c>
      <c r="Q10">
        <v>0.95920000000000005</v>
      </c>
      <c r="R10">
        <v>0.97199999999999998</v>
      </c>
      <c r="S10">
        <v>0.96030000000000004</v>
      </c>
      <c r="T10">
        <v>0.88890000000000002</v>
      </c>
      <c r="U10">
        <v>0.85070000000000001</v>
      </c>
      <c r="V10">
        <v>0.92669999999999997</v>
      </c>
      <c r="W10">
        <v>0.88770000000000004</v>
      </c>
      <c r="X10">
        <v>0.87509999999999999</v>
      </c>
      <c r="Y10">
        <v>0.84089999999999998</v>
      </c>
      <c r="Z10">
        <v>0.81079999999999997</v>
      </c>
      <c r="AA10">
        <v>0.80730000000000002</v>
      </c>
      <c r="AB10">
        <v>0.79849999999999999</v>
      </c>
      <c r="AC10">
        <v>0.78990000000000005</v>
      </c>
    </row>
    <row r="11" spans="1:29" x14ac:dyDescent="0.45">
      <c r="A11" t="s">
        <v>2</v>
      </c>
      <c r="B11" t="s">
        <v>436</v>
      </c>
      <c r="C11" t="s">
        <v>437</v>
      </c>
      <c r="D11" t="s">
        <v>424</v>
      </c>
      <c r="E11" t="str">
        <f t="shared" si="0"/>
        <v>AL|solar pv|Winter</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row>
    <row r="12" spans="1:29" x14ac:dyDescent="0.45">
      <c r="A12" t="s">
        <v>2</v>
      </c>
      <c r="B12" t="s">
        <v>436</v>
      </c>
      <c r="C12" t="s">
        <v>437</v>
      </c>
      <c r="D12" t="s">
        <v>425</v>
      </c>
      <c r="E12" t="str">
        <f t="shared" si="0"/>
        <v>AL|solar pv|Spring</v>
      </c>
      <c r="F12">
        <v>1</v>
      </c>
      <c r="G12">
        <v>1</v>
      </c>
      <c r="H12">
        <v>1</v>
      </c>
      <c r="I12">
        <v>1</v>
      </c>
      <c r="J12">
        <v>1</v>
      </c>
      <c r="K12">
        <v>1</v>
      </c>
      <c r="L12">
        <v>1</v>
      </c>
      <c r="M12">
        <v>1</v>
      </c>
      <c r="N12">
        <v>1</v>
      </c>
      <c r="O12">
        <v>1</v>
      </c>
      <c r="P12">
        <v>1</v>
      </c>
      <c r="Q12">
        <v>1</v>
      </c>
      <c r="R12">
        <v>1</v>
      </c>
      <c r="S12">
        <v>1</v>
      </c>
      <c r="T12">
        <v>1</v>
      </c>
      <c r="U12">
        <v>1</v>
      </c>
      <c r="V12">
        <v>1</v>
      </c>
      <c r="W12">
        <v>1</v>
      </c>
      <c r="X12">
        <v>1</v>
      </c>
      <c r="Y12">
        <v>1</v>
      </c>
      <c r="Z12">
        <v>1</v>
      </c>
      <c r="AA12">
        <v>1</v>
      </c>
      <c r="AB12">
        <v>1</v>
      </c>
      <c r="AC12">
        <v>1</v>
      </c>
    </row>
    <row r="13" spans="1:29" x14ac:dyDescent="0.45">
      <c r="A13" t="s">
        <v>2</v>
      </c>
      <c r="B13" t="s">
        <v>436</v>
      </c>
      <c r="C13" t="s">
        <v>437</v>
      </c>
      <c r="D13" t="s">
        <v>426</v>
      </c>
      <c r="E13" t="str">
        <f t="shared" si="0"/>
        <v>AL|solar pv|Summer</v>
      </c>
      <c r="F13">
        <v>1</v>
      </c>
      <c r="G13">
        <v>1</v>
      </c>
      <c r="H13">
        <v>1</v>
      </c>
      <c r="I13">
        <v>1</v>
      </c>
      <c r="J13">
        <v>1</v>
      </c>
      <c r="K13">
        <v>1</v>
      </c>
      <c r="L13">
        <v>1</v>
      </c>
      <c r="M13">
        <v>1</v>
      </c>
      <c r="N13">
        <v>1</v>
      </c>
      <c r="O13">
        <v>1</v>
      </c>
      <c r="P13">
        <v>1</v>
      </c>
      <c r="Q13">
        <v>1</v>
      </c>
      <c r="R13">
        <v>1</v>
      </c>
      <c r="S13">
        <v>1</v>
      </c>
      <c r="T13">
        <v>1</v>
      </c>
      <c r="U13">
        <v>1</v>
      </c>
      <c r="V13">
        <v>1</v>
      </c>
      <c r="W13">
        <v>1</v>
      </c>
      <c r="X13">
        <v>1</v>
      </c>
      <c r="Y13">
        <v>1</v>
      </c>
      <c r="Z13">
        <v>1</v>
      </c>
      <c r="AA13">
        <v>1</v>
      </c>
      <c r="AB13">
        <v>1</v>
      </c>
      <c r="AC13">
        <v>1</v>
      </c>
    </row>
    <row r="14" spans="1:29" x14ac:dyDescent="0.45">
      <c r="A14" t="s">
        <v>2</v>
      </c>
      <c r="B14" t="s">
        <v>436</v>
      </c>
      <c r="C14" t="s">
        <v>437</v>
      </c>
      <c r="D14" t="s">
        <v>427</v>
      </c>
      <c r="E14" t="str">
        <f t="shared" si="0"/>
        <v>AL|solar pv|Fall</v>
      </c>
      <c r="F14">
        <v>1</v>
      </c>
      <c r="G14">
        <v>1</v>
      </c>
      <c r="H14">
        <v>1</v>
      </c>
      <c r="I14">
        <v>1</v>
      </c>
      <c r="J14">
        <v>1</v>
      </c>
      <c r="K14">
        <v>1</v>
      </c>
      <c r="L14">
        <v>1</v>
      </c>
      <c r="M14">
        <v>1</v>
      </c>
      <c r="N14">
        <v>1</v>
      </c>
      <c r="O14">
        <v>1</v>
      </c>
      <c r="P14">
        <v>1</v>
      </c>
      <c r="Q14">
        <v>1</v>
      </c>
      <c r="R14">
        <v>1</v>
      </c>
      <c r="S14">
        <v>1</v>
      </c>
      <c r="T14">
        <v>1</v>
      </c>
      <c r="U14">
        <v>1</v>
      </c>
      <c r="V14">
        <v>1</v>
      </c>
      <c r="W14">
        <v>1</v>
      </c>
      <c r="X14">
        <v>1</v>
      </c>
      <c r="Y14">
        <v>1</v>
      </c>
      <c r="Z14">
        <v>1</v>
      </c>
      <c r="AA14">
        <v>1</v>
      </c>
      <c r="AB14">
        <v>1</v>
      </c>
      <c r="AC14">
        <v>1</v>
      </c>
    </row>
    <row r="15" spans="1:29" x14ac:dyDescent="0.45">
      <c r="A15" t="s">
        <v>2</v>
      </c>
      <c r="B15" t="s">
        <v>436</v>
      </c>
      <c r="C15" t="s">
        <v>437</v>
      </c>
      <c r="D15" t="s">
        <v>428</v>
      </c>
      <c r="E15" t="str">
        <f t="shared" si="0"/>
        <v>AL|solar pv|Summer Peak</v>
      </c>
      <c r="F15">
        <v>1</v>
      </c>
      <c r="G15">
        <v>1</v>
      </c>
      <c r="H15">
        <v>1</v>
      </c>
      <c r="I15">
        <v>1</v>
      </c>
      <c r="J15">
        <v>0.23300000000000001</v>
      </c>
      <c r="K15">
        <v>0.72799999999999998</v>
      </c>
      <c r="L15">
        <v>0.88009999999999999</v>
      </c>
      <c r="M15">
        <v>0.92520000000000002</v>
      </c>
      <c r="N15">
        <v>0.94710000000000005</v>
      </c>
      <c r="O15">
        <v>0.95</v>
      </c>
      <c r="P15">
        <v>0.97099999999999997</v>
      </c>
      <c r="Q15">
        <v>0.97389999999999999</v>
      </c>
      <c r="R15">
        <v>0.97009999999999996</v>
      </c>
      <c r="S15">
        <v>0.96579999999999999</v>
      </c>
      <c r="T15">
        <v>0.96309999999999996</v>
      </c>
      <c r="U15">
        <v>0.96740000000000004</v>
      </c>
      <c r="V15">
        <v>0.94110000000000005</v>
      </c>
      <c r="W15">
        <v>0.95469999999999999</v>
      </c>
      <c r="X15">
        <v>0.94199999999999995</v>
      </c>
      <c r="Y15">
        <v>0.87960000000000005</v>
      </c>
      <c r="Z15">
        <v>0.79139999999999999</v>
      </c>
      <c r="AA15">
        <v>0.79200000000000004</v>
      </c>
      <c r="AB15">
        <v>1</v>
      </c>
      <c r="AC15">
        <v>1</v>
      </c>
    </row>
    <row r="16" spans="1:29" x14ac:dyDescent="0.45">
      <c r="A16" t="s">
        <v>2</v>
      </c>
      <c r="B16" t="s">
        <v>436</v>
      </c>
      <c r="C16" t="s">
        <v>437</v>
      </c>
      <c r="D16" t="s">
        <v>429</v>
      </c>
      <c r="E16" t="str">
        <f t="shared" si="0"/>
        <v>AL|solar pv|Winter Peak</v>
      </c>
      <c r="F16">
        <v>1</v>
      </c>
      <c r="G16">
        <v>1</v>
      </c>
      <c r="H16">
        <v>1</v>
      </c>
      <c r="I16">
        <v>1</v>
      </c>
      <c r="J16">
        <v>1</v>
      </c>
      <c r="K16">
        <v>1</v>
      </c>
      <c r="L16">
        <v>1</v>
      </c>
      <c r="M16">
        <v>0.91820000000000002</v>
      </c>
      <c r="N16">
        <v>0.88980000000000004</v>
      </c>
      <c r="O16">
        <v>0.87790000000000001</v>
      </c>
      <c r="P16">
        <v>0.88090000000000002</v>
      </c>
      <c r="Q16">
        <v>0.90290000000000004</v>
      </c>
      <c r="R16">
        <v>0.93200000000000005</v>
      </c>
      <c r="S16">
        <v>0.92700000000000005</v>
      </c>
      <c r="T16">
        <v>0.89710000000000001</v>
      </c>
      <c r="U16">
        <v>0.87209999999999999</v>
      </c>
      <c r="V16">
        <v>0.84419999999999995</v>
      </c>
      <c r="W16">
        <v>0.86119999999999997</v>
      </c>
      <c r="X16">
        <v>0.69</v>
      </c>
      <c r="Y16">
        <v>0.02</v>
      </c>
      <c r="Z16">
        <v>1</v>
      </c>
      <c r="AA16">
        <v>1</v>
      </c>
      <c r="AB16">
        <v>1</v>
      </c>
      <c r="AC16">
        <v>1</v>
      </c>
    </row>
    <row r="17" spans="1:29" x14ac:dyDescent="0.45">
      <c r="A17" t="s">
        <v>2</v>
      </c>
      <c r="B17" t="s">
        <v>438</v>
      </c>
      <c r="C17" t="s">
        <v>439</v>
      </c>
      <c r="D17" t="s">
        <v>424</v>
      </c>
      <c r="E17" t="str">
        <f t="shared" si="0"/>
        <v>AL|solar thermal|Winter</v>
      </c>
      <c r="F17">
        <v>1</v>
      </c>
      <c r="G17">
        <v>1</v>
      </c>
      <c r="H17">
        <v>1</v>
      </c>
      <c r="I17">
        <v>1</v>
      </c>
      <c r="J17">
        <v>1</v>
      </c>
      <c r="K17">
        <v>1</v>
      </c>
      <c r="L17">
        <v>1</v>
      </c>
      <c r="M17">
        <v>1</v>
      </c>
      <c r="N17">
        <v>1</v>
      </c>
      <c r="O17">
        <v>1</v>
      </c>
      <c r="P17">
        <v>1</v>
      </c>
      <c r="Q17">
        <v>1</v>
      </c>
      <c r="R17">
        <v>1</v>
      </c>
      <c r="S17">
        <v>1</v>
      </c>
      <c r="T17">
        <v>1</v>
      </c>
      <c r="U17">
        <v>1</v>
      </c>
      <c r="V17">
        <v>1</v>
      </c>
      <c r="W17">
        <v>1</v>
      </c>
      <c r="X17">
        <v>1</v>
      </c>
      <c r="Y17">
        <v>1</v>
      </c>
      <c r="Z17">
        <v>1</v>
      </c>
      <c r="AA17">
        <v>1</v>
      </c>
      <c r="AB17">
        <v>1</v>
      </c>
      <c r="AC17">
        <v>1</v>
      </c>
    </row>
    <row r="18" spans="1:29" x14ac:dyDescent="0.45">
      <c r="A18" t="s">
        <v>2</v>
      </c>
      <c r="B18" t="s">
        <v>438</v>
      </c>
      <c r="C18" t="s">
        <v>439</v>
      </c>
      <c r="D18" t="s">
        <v>425</v>
      </c>
      <c r="E18" t="str">
        <f t="shared" si="0"/>
        <v>AL|solar thermal|Spring</v>
      </c>
      <c r="F18">
        <v>1</v>
      </c>
      <c r="G18">
        <v>1</v>
      </c>
      <c r="H18">
        <v>1</v>
      </c>
      <c r="I18">
        <v>1</v>
      </c>
      <c r="J18">
        <v>1</v>
      </c>
      <c r="K18">
        <v>1</v>
      </c>
      <c r="L18">
        <v>1</v>
      </c>
      <c r="M18">
        <v>1</v>
      </c>
      <c r="N18">
        <v>1</v>
      </c>
      <c r="O18">
        <v>1</v>
      </c>
      <c r="P18">
        <v>1</v>
      </c>
      <c r="Q18">
        <v>1</v>
      </c>
      <c r="R18">
        <v>1</v>
      </c>
      <c r="S18">
        <v>1</v>
      </c>
      <c r="T18">
        <v>1</v>
      </c>
      <c r="U18">
        <v>1</v>
      </c>
      <c r="V18">
        <v>1</v>
      </c>
      <c r="W18">
        <v>1</v>
      </c>
      <c r="X18">
        <v>1</v>
      </c>
      <c r="Y18">
        <v>1</v>
      </c>
      <c r="Z18">
        <v>1</v>
      </c>
      <c r="AA18">
        <v>1</v>
      </c>
      <c r="AB18">
        <v>1</v>
      </c>
      <c r="AC18">
        <v>1</v>
      </c>
    </row>
    <row r="19" spans="1:29" x14ac:dyDescent="0.45">
      <c r="A19" t="s">
        <v>2</v>
      </c>
      <c r="B19" t="s">
        <v>438</v>
      </c>
      <c r="C19" t="s">
        <v>439</v>
      </c>
      <c r="D19" t="s">
        <v>426</v>
      </c>
      <c r="E19" t="str">
        <f t="shared" si="0"/>
        <v>AL|solar thermal|Summer</v>
      </c>
      <c r="F19">
        <v>1</v>
      </c>
      <c r="G19">
        <v>1</v>
      </c>
      <c r="H19">
        <v>1</v>
      </c>
      <c r="I19">
        <v>1</v>
      </c>
      <c r="J19">
        <v>1</v>
      </c>
      <c r="K19">
        <v>1</v>
      </c>
      <c r="L19">
        <v>1</v>
      </c>
      <c r="M19">
        <v>1</v>
      </c>
      <c r="N19">
        <v>1</v>
      </c>
      <c r="O19">
        <v>1</v>
      </c>
      <c r="P19">
        <v>1</v>
      </c>
      <c r="Q19">
        <v>1</v>
      </c>
      <c r="R19">
        <v>1</v>
      </c>
      <c r="S19">
        <v>1</v>
      </c>
      <c r="T19">
        <v>1</v>
      </c>
      <c r="U19">
        <v>1</v>
      </c>
      <c r="V19">
        <v>1</v>
      </c>
      <c r="W19">
        <v>1</v>
      </c>
      <c r="X19">
        <v>1</v>
      </c>
      <c r="Y19">
        <v>1</v>
      </c>
      <c r="Z19">
        <v>1</v>
      </c>
      <c r="AA19">
        <v>1</v>
      </c>
      <c r="AB19">
        <v>1</v>
      </c>
      <c r="AC19">
        <v>1</v>
      </c>
    </row>
    <row r="20" spans="1:29" x14ac:dyDescent="0.45">
      <c r="A20" t="s">
        <v>2</v>
      </c>
      <c r="B20" t="s">
        <v>438</v>
      </c>
      <c r="C20" t="s">
        <v>439</v>
      </c>
      <c r="D20" t="s">
        <v>427</v>
      </c>
      <c r="E20" t="str">
        <f t="shared" si="0"/>
        <v>AL|solar thermal|Fall</v>
      </c>
      <c r="F20">
        <v>1</v>
      </c>
      <c r="G20">
        <v>1</v>
      </c>
      <c r="H20">
        <v>1</v>
      </c>
      <c r="I20">
        <v>1</v>
      </c>
      <c r="J20">
        <v>1</v>
      </c>
      <c r="K20">
        <v>1</v>
      </c>
      <c r="L20">
        <v>1</v>
      </c>
      <c r="M20">
        <v>1</v>
      </c>
      <c r="N20">
        <v>1</v>
      </c>
      <c r="O20">
        <v>1</v>
      </c>
      <c r="P20">
        <v>1</v>
      </c>
      <c r="Q20">
        <v>1</v>
      </c>
      <c r="R20">
        <v>1</v>
      </c>
      <c r="S20">
        <v>1</v>
      </c>
      <c r="T20">
        <v>1</v>
      </c>
      <c r="U20">
        <v>1</v>
      </c>
      <c r="V20">
        <v>1</v>
      </c>
      <c r="W20">
        <v>1</v>
      </c>
      <c r="X20">
        <v>1</v>
      </c>
      <c r="Y20">
        <v>1</v>
      </c>
      <c r="Z20">
        <v>1</v>
      </c>
      <c r="AA20">
        <v>1</v>
      </c>
      <c r="AB20">
        <v>1</v>
      </c>
      <c r="AC20">
        <v>1</v>
      </c>
    </row>
    <row r="21" spans="1:29" x14ac:dyDescent="0.45">
      <c r="A21" t="s">
        <v>2</v>
      </c>
      <c r="B21" t="s">
        <v>438</v>
      </c>
      <c r="C21" t="s">
        <v>439</v>
      </c>
      <c r="D21" t="s">
        <v>428</v>
      </c>
      <c r="E21" t="str">
        <f t="shared" si="0"/>
        <v>AL|solar thermal|Summer Peak</v>
      </c>
      <c r="F21">
        <v>1</v>
      </c>
      <c r="G21">
        <v>1</v>
      </c>
      <c r="H21">
        <v>1</v>
      </c>
      <c r="I21">
        <v>1</v>
      </c>
      <c r="J21">
        <v>1</v>
      </c>
      <c r="K21">
        <v>1</v>
      </c>
      <c r="L21">
        <v>1</v>
      </c>
      <c r="M21">
        <v>0</v>
      </c>
      <c r="N21">
        <v>0.8639</v>
      </c>
      <c r="O21">
        <v>1</v>
      </c>
      <c r="P21">
        <v>1</v>
      </c>
      <c r="Q21">
        <v>0.97160000000000002</v>
      </c>
      <c r="R21">
        <v>0.96719999999999995</v>
      </c>
      <c r="S21">
        <v>1</v>
      </c>
      <c r="T21">
        <v>1</v>
      </c>
      <c r="U21">
        <v>1</v>
      </c>
      <c r="V21">
        <v>1</v>
      </c>
      <c r="W21">
        <v>1</v>
      </c>
      <c r="X21">
        <v>1</v>
      </c>
      <c r="Y21">
        <v>0.93130000000000002</v>
      </c>
      <c r="Z21">
        <v>0.70220000000000005</v>
      </c>
      <c r="AA21">
        <v>1</v>
      </c>
      <c r="AB21">
        <v>1</v>
      </c>
      <c r="AC21">
        <v>1</v>
      </c>
    </row>
    <row r="22" spans="1:29" x14ac:dyDescent="0.45">
      <c r="A22" t="s">
        <v>2</v>
      </c>
      <c r="B22" t="s">
        <v>438</v>
      </c>
      <c r="C22" t="s">
        <v>439</v>
      </c>
      <c r="D22" t="s">
        <v>429</v>
      </c>
      <c r="E22" t="str">
        <f t="shared" si="0"/>
        <v>AL|solar thermal|Winter Peak</v>
      </c>
      <c r="F22">
        <v>1</v>
      </c>
      <c r="G22">
        <v>1</v>
      </c>
      <c r="H22">
        <v>1</v>
      </c>
      <c r="I22">
        <v>1</v>
      </c>
      <c r="J22">
        <v>1</v>
      </c>
      <c r="K22">
        <v>1</v>
      </c>
      <c r="L22">
        <v>1</v>
      </c>
      <c r="M22">
        <v>1</v>
      </c>
      <c r="N22">
        <v>1</v>
      </c>
      <c r="O22">
        <v>0.2419</v>
      </c>
      <c r="P22">
        <v>0.95320000000000005</v>
      </c>
      <c r="Q22">
        <v>0.88039999999999996</v>
      </c>
      <c r="R22">
        <v>0.97819999999999996</v>
      </c>
      <c r="S22">
        <v>0.98950000000000005</v>
      </c>
      <c r="T22">
        <v>0.99270000000000003</v>
      </c>
      <c r="U22">
        <v>1</v>
      </c>
      <c r="V22">
        <v>1</v>
      </c>
      <c r="W22">
        <v>1</v>
      </c>
      <c r="X22">
        <v>0.89019999999999999</v>
      </c>
      <c r="Y22">
        <v>0</v>
      </c>
      <c r="Z22">
        <v>1</v>
      </c>
      <c r="AA22">
        <v>1</v>
      </c>
      <c r="AB22">
        <v>1</v>
      </c>
      <c r="AC22">
        <v>1</v>
      </c>
    </row>
    <row r="23" spans="1:29" x14ac:dyDescent="0.45">
      <c r="A23" t="s">
        <v>2</v>
      </c>
      <c r="B23" t="s">
        <v>440</v>
      </c>
      <c r="C23" t="s">
        <v>441</v>
      </c>
      <c r="D23" t="s">
        <v>424</v>
      </c>
      <c r="E23" t="str">
        <f t="shared" si="0"/>
        <v>AL|offshore wind|Winter</v>
      </c>
      <c r="F23">
        <v>1</v>
      </c>
      <c r="G23">
        <v>1</v>
      </c>
      <c r="H23">
        <v>1</v>
      </c>
      <c r="I23">
        <v>1</v>
      </c>
      <c r="J23">
        <v>1</v>
      </c>
      <c r="K23">
        <v>1</v>
      </c>
      <c r="L23">
        <v>1</v>
      </c>
      <c r="M23">
        <v>1</v>
      </c>
      <c r="N23">
        <v>1</v>
      </c>
      <c r="O23">
        <v>1</v>
      </c>
      <c r="P23">
        <v>1</v>
      </c>
      <c r="Q23">
        <v>1</v>
      </c>
      <c r="R23">
        <v>1</v>
      </c>
      <c r="S23">
        <v>1</v>
      </c>
      <c r="T23">
        <v>1</v>
      </c>
      <c r="U23">
        <v>1</v>
      </c>
      <c r="V23">
        <v>1</v>
      </c>
      <c r="W23">
        <v>1</v>
      </c>
      <c r="X23">
        <v>1</v>
      </c>
      <c r="Y23">
        <v>1</v>
      </c>
      <c r="Z23">
        <v>1</v>
      </c>
      <c r="AA23">
        <v>1</v>
      </c>
      <c r="AB23">
        <v>1</v>
      </c>
      <c r="AC23">
        <v>1</v>
      </c>
    </row>
    <row r="24" spans="1:29" x14ac:dyDescent="0.45">
      <c r="A24" t="s">
        <v>2</v>
      </c>
      <c r="B24" t="s">
        <v>440</v>
      </c>
      <c r="C24" t="s">
        <v>441</v>
      </c>
      <c r="D24" t="s">
        <v>425</v>
      </c>
      <c r="E24" t="str">
        <f t="shared" si="0"/>
        <v>AL|offshore wind|Spring</v>
      </c>
      <c r="F24">
        <v>1</v>
      </c>
      <c r="G24">
        <v>1</v>
      </c>
      <c r="H24">
        <v>1</v>
      </c>
      <c r="I24">
        <v>1</v>
      </c>
      <c r="J24">
        <v>1</v>
      </c>
      <c r="K24">
        <v>1</v>
      </c>
      <c r="L24">
        <v>1</v>
      </c>
      <c r="M24">
        <v>1</v>
      </c>
      <c r="N24">
        <v>1</v>
      </c>
      <c r="O24">
        <v>1</v>
      </c>
      <c r="P24">
        <v>1</v>
      </c>
      <c r="Q24">
        <v>1</v>
      </c>
      <c r="R24">
        <v>1</v>
      </c>
      <c r="S24">
        <v>1</v>
      </c>
      <c r="T24">
        <v>1</v>
      </c>
      <c r="U24">
        <v>1</v>
      </c>
      <c r="V24">
        <v>1</v>
      </c>
      <c r="W24">
        <v>1</v>
      </c>
      <c r="X24">
        <v>1</v>
      </c>
      <c r="Y24">
        <v>1</v>
      </c>
      <c r="Z24">
        <v>1</v>
      </c>
      <c r="AA24">
        <v>1</v>
      </c>
      <c r="AB24">
        <v>1</v>
      </c>
      <c r="AC24">
        <v>1</v>
      </c>
    </row>
    <row r="25" spans="1:29" x14ac:dyDescent="0.45">
      <c r="A25" t="s">
        <v>2</v>
      </c>
      <c r="B25" t="s">
        <v>440</v>
      </c>
      <c r="C25" t="s">
        <v>441</v>
      </c>
      <c r="D25" t="s">
        <v>426</v>
      </c>
      <c r="E25" t="str">
        <f t="shared" si="0"/>
        <v>AL|offshore wind|Summer</v>
      </c>
      <c r="F25">
        <v>1</v>
      </c>
      <c r="G25">
        <v>1</v>
      </c>
      <c r="H25">
        <v>1</v>
      </c>
      <c r="I25">
        <v>1</v>
      </c>
      <c r="J25">
        <v>1</v>
      </c>
      <c r="K25">
        <v>1</v>
      </c>
      <c r="L25">
        <v>1</v>
      </c>
      <c r="M25">
        <v>1</v>
      </c>
      <c r="N25">
        <v>1</v>
      </c>
      <c r="O25">
        <v>1</v>
      </c>
      <c r="P25">
        <v>1</v>
      </c>
      <c r="Q25">
        <v>1</v>
      </c>
      <c r="R25">
        <v>1</v>
      </c>
      <c r="S25">
        <v>1</v>
      </c>
      <c r="T25">
        <v>1</v>
      </c>
      <c r="U25">
        <v>1</v>
      </c>
      <c r="V25">
        <v>1</v>
      </c>
      <c r="W25">
        <v>1</v>
      </c>
      <c r="X25">
        <v>1</v>
      </c>
      <c r="Y25">
        <v>1</v>
      </c>
      <c r="Z25">
        <v>1</v>
      </c>
      <c r="AA25">
        <v>1</v>
      </c>
      <c r="AB25">
        <v>1</v>
      </c>
      <c r="AC25">
        <v>1</v>
      </c>
    </row>
    <row r="26" spans="1:29" x14ac:dyDescent="0.45">
      <c r="A26" t="s">
        <v>2</v>
      </c>
      <c r="B26" t="s">
        <v>440</v>
      </c>
      <c r="C26" t="s">
        <v>441</v>
      </c>
      <c r="D26" t="s">
        <v>427</v>
      </c>
      <c r="E26" t="str">
        <f t="shared" si="0"/>
        <v>AL|offshore wind|Fall</v>
      </c>
      <c r="F26">
        <v>1</v>
      </c>
      <c r="G26">
        <v>1</v>
      </c>
      <c r="H26">
        <v>1</v>
      </c>
      <c r="I26">
        <v>1</v>
      </c>
      <c r="J26">
        <v>1</v>
      </c>
      <c r="K26">
        <v>1</v>
      </c>
      <c r="L26">
        <v>1</v>
      </c>
      <c r="M26">
        <v>1</v>
      </c>
      <c r="N26">
        <v>1</v>
      </c>
      <c r="O26">
        <v>1</v>
      </c>
      <c r="P26">
        <v>1</v>
      </c>
      <c r="Q26">
        <v>1</v>
      </c>
      <c r="R26">
        <v>1</v>
      </c>
      <c r="S26">
        <v>1</v>
      </c>
      <c r="T26">
        <v>1</v>
      </c>
      <c r="U26">
        <v>1</v>
      </c>
      <c r="V26">
        <v>1</v>
      </c>
      <c r="W26">
        <v>1</v>
      </c>
      <c r="X26">
        <v>1</v>
      </c>
      <c r="Y26">
        <v>1</v>
      </c>
      <c r="Z26">
        <v>1</v>
      </c>
      <c r="AA26">
        <v>1</v>
      </c>
      <c r="AB26">
        <v>1</v>
      </c>
      <c r="AC26">
        <v>1</v>
      </c>
    </row>
    <row r="27" spans="1:29" x14ac:dyDescent="0.45">
      <c r="A27" t="s">
        <v>2</v>
      </c>
      <c r="B27" t="s">
        <v>440</v>
      </c>
      <c r="C27" t="s">
        <v>441</v>
      </c>
      <c r="D27" t="s">
        <v>428</v>
      </c>
      <c r="E27" t="str">
        <f t="shared" si="0"/>
        <v>AL|offshore wind|Summer Peak</v>
      </c>
      <c r="F27">
        <v>0.40810000000000002</v>
      </c>
      <c r="G27">
        <v>0.4239</v>
      </c>
      <c r="H27">
        <v>0.45760000000000001</v>
      </c>
      <c r="I27">
        <v>0.50319999999999998</v>
      </c>
      <c r="J27">
        <v>0.53649999999999998</v>
      </c>
      <c r="K27">
        <v>0.59399999999999997</v>
      </c>
      <c r="L27">
        <v>0.61929999999999996</v>
      </c>
      <c r="M27">
        <v>0.68859999999999999</v>
      </c>
      <c r="N27">
        <v>0.73480000000000001</v>
      </c>
      <c r="O27">
        <v>0.84350000000000003</v>
      </c>
      <c r="P27">
        <v>0.78200000000000003</v>
      </c>
      <c r="Q27">
        <v>0.74650000000000005</v>
      </c>
      <c r="R27">
        <v>0.63690000000000002</v>
      </c>
      <c r="S27">
        <v>0.60860000000000003</v>
      </c>
      <c r="T27">
        <v>0.64339999999999997</v>
      </c>
      <c r="U27">
        <v>0.69269999999999998</v>
      </c>
      <c r="V27">
        <v>0.71450000000000002</v>
      </c>
      <c r="W27">
        <v>0.75070000000000003</v>
      </c>
      <c r="X27">
        <v>0.72489999999999999</v>
      </c>
      <c r="Y27">
        <v>0.66049999999999998</v>
      </c>
      <c r="Z27">
        <v>0.69140000000000001</v>
      </c>
      <c r="AA27">
        <v>0.63080000000000003</v>
      </c>
      <c r="AB27">
        <v>0.63429999999999997</v>
      </c>
      <c r="AC27">
        <v>0.64390000000000003</v>
      </c>
    </row>
    <row r="28" spans="1:29" x14ac:dyDescent="0.45">
      <c r="A28" t="s">
        <v>2</v>
      </c>
      <c r="B28" t="s">
        <v>440</v>
      </c>
      <c r="C28" t="s">
        <v>441</v>
      </c>
      <c r="D28" t="s">
        <v>429</v>
      </c>
      <c r="E28" t="str">
        <f t="shared" si="0"/>
        <v>AL|offshore wind|Winter Peak</v>
      </c>
      <c r="F28">
        <v>0.95309999999999995</v>
      </c>
      <c r="G28">
        <v>0.95030000000000003</v>
      </c>
      <c r="H28">
        <v>0.95540000000000003</v>
      </c>
      <c r="I28">
        <v>0.96679999999999999</v>
      </c>
      <c r="J28">
        <v>1</v>
      </c>
      <c r="K28">
        <v>1</v>
      </c>
      <c r="L28">
        <v>1</v>
      </c>
      <c r="M28">
        <v>0.99209999999999998</v>
      </c>
      <c r="N28">
        <v>0.90149999999999997</v>
      </c>
      <c r="O28">
        <v>0.79779999999999995</v>
      </c>
      <c r="P28">
        <v>0.71879999999999999</v>
      </c>
      <c r="Q28">
        <v>0.67300000000000004</v>
      </c>
      <c r="R28">
        <v>0.60860000000000003</v>
      </c>
      <c r="S28">
        <v>0.58009999999999995</v>
      </c>
      <c r="T28">
        <v>0.58799999999999997</v>
      </c>
      <c r="U28">
        <v>0.61019999999999996</v>
      </c>
      <c r="V28">
        <v>0.61839999999999995</v>
      </c>
      <c r="W28">
        <v>0.60909999999999997</v>
      </c>
      <c r="X28">
        <v>0.62880000000000003</v>
      </c>
      <c r="Y28">
        <v>0.72889999999999999</v>
      </c>
      <c r="Z28">
        <v>0.84719999999999995</v>
      </c>
      <c r="AA28">
        <v>0.92220000000000002</v>
      </c>
      <c r="AB28">
        <v>0.86950000000000005</v>
      </c>
      <c r="AC28">
        <v>0.8054</v>
      </c>
    </row>
    <row r="29" spans="1:29" x14ac:dyDescent="0.45">
      <c r="A29" t="s">
        <v>5</v>
      </c>
      <c r="B29" t="s">
        <v>434</v>
      </c>
      <c r="C29" t="s">
        <v>435</v>
      </c>
      <c r="D29" t="s">
        <v>424</v>
      </c>
      <c r="E29" t="str">
        <f t="shared" si="0"/>
        <v>AR|onshore wind|Winter</v>
      </c>
      <c r="F29">
        <v>1</v>
      </c>
      <c r="G29">
        <v>1</v>
      </c>
      <c r="H29">
        <v>1</v>
      </c>
      <c r="I29">
        <v>1</v>
      </c>
      <c r="J29">
        <v>1</v>
      </c>
      <c r="K29">
        <v>1</v>
      </c>
      <c r="L29">
        <v>1</v>
      </c>
      <c r="M29">
        <v>1</v>
      </c>
      <c r="N29">
        <v>1</v>
      </c>
      <c r="O29">
        <v>1</v>
      </c>
      <c r="P29">
        <v>1</v>
      </c>
      <c r="Q29">
        <v>1</v>
      </c>
      <c r="R29">
        <v>1</v>
      </c>
      <c r="S29">
        <v>1</v>
      </c>
      <c r="T29">
        <v>1</v>
      </c>
      <c r="U29">
        <v>1</v>
      </c>
      <c r="V29">
        <v>1</v>
      </c>
      <c r="W29">
        <v>1</v>
      </c>
      <c r="X29">
        <v>1</v>
      </c>
      <c r="Y29">
        <v>1</v>
      </c>
      <c r="Z29">
        <v>1</v>
      </c>
      <c r="AA29">
        <v>1</v>
      </c>
      <c r="AB29">
        <v>1</v>
      </c>
      <c r="AC29">
        <v>1</v>
      </c>
    </row>
    <row r="30" spans="1:29" x14ac:dyDescent="0.45">
      <c r="A30" t="s">
        <v>5</v>
      </c>
      <c r="B30" t="s">
        <v>434</v>
      </c>
      <c r="C30" t="s">
        <v>435</v>
      </c>
      <c r="D30" t="s">
        <v>425</v>
      </c>
      <c r="E30" t="str">
        <f t="shared" si="0"/>
        <v>AR|onshore wind|Spring</v>
      </c>
      <c r="F30">
        <v>1</v>
      </c>
      <c r="G30">
        <v>1</v>
      </c>
      <c r="H30">
        <v>1</v>
      </c>
      <c r="I30">
        <v>1</v>
      </c>
      <c r="J30">
        <v>1</v>
      </c>
      <c r="K30">
        <v>1</v>
      </c>
      <c r="L30">
        <v>1</v>
      </c>
      <c r="M30">
        <v>1</v>
      </c>
      <c r="N30">
        <v>1</v>
      </c>
      <c r="O30">
        <v>1</v>
      </c>
      <c r="P30">
        <v>1</v>
      </c>
      <c r="Q30">
        <v>1</v>
      </c>
      <c r="R30">
        <v>1</v>
      </c>
      <c r="S30">
        <v>1</v>
      </c>
      <c r="T30">
        <v>1</v>
      </c>
      <c r="U30">
        <v>1</v>
      </c>
      <c r="V30">
        <v>1</v>
      </c>
      <c r="W30">
        <v>1</v>
      </c>
      <c r="X30">
        <v>1</v>
      </c>
      <c r="Y30">
        <v>1</v>
      </c>
      <c r="Z30">
        <v>1</v>
      </c>
      <c r="AA30">
        <v>1</v>
      </c>
      <c r="AB30">
        <v>1</v>
      </c>
      <c r="AC30">
        <v>1</v>
      </c>
    </row>
    <row r="31" spans="1:29" x14ac:dyDescent="0.45">
      <c r="A31" t="s">
        <v>5</v>
      </c>
      <c r="B31" t="s">
        <v>434</v>
      </c>
      <c r="C31" t="s">
        <v>435</v>
      </c>
      <c r="D31" t="s">
        <v>426</v>
      </c>
      <c r="E31" t="str">
        <f t="shared" si="0"/>
        <v>AR|onshore wind|Summer</v>
      </c>
      <c r="F31">
        <v>1</v>
      </c>
      <c r="G31">
        <v>1</v>
      </c>
      <c r="H31">
        <v>1</v>
      </c>
      <c r="I31">
        <v>1</v>
      </c>
      <c r="J31">
        <v>1</v>
      </c>
      <c r="K31">
        <v>1</v>
      </c>
      <c r="L31">
        <v>1</v>
      </c>
      <c r="M31">
        <v>1</v>
      </c>
      <c r="N31">
        <v>1</v>
      </c>
      <c r="O31">
        <v>1</v>
      </c>
      <c r="P31">
        <v>1</v>
      </c>
      <c r="Q31">
        <v>1</v>
      </c>
      <c r="R31">
        <v>1</v>
      </c>
      <c r="S31">
        <v>1</v>
      </c>
      <c r="T31">
        <v>1</v>
      </c>
      <c r="U31">
        <v>1</v>
      </c>
      <c r="V31">
        <v>1</v>
      </c>
      <c r="W31">
        <v>1</v>
      </c>
      <c r="X31">
        <v>1</v>
      </c>
      <c r="Y31">
        <v>1</v>
      </c>
      <c r="Z31">
        <v>1</v>
      </c>
      <c r="AA31">
        <v>1</v>
      </c>
      <c r="AB31">
        <v>1</v>
      </c>
      <c r="AC31">
        <v>1</v>
      </c>
    </row>
    <row r="32" spans="1:29" x14ac:dyDescent="0.45">
      <c r="A32" t="s">
        <v>5</v>
      </c>
      <c r="B32" t="s">
        <v>434</v>
      </c>
      <c r="C32" t="s">
        <v>435</v>
      </c>
      <c r="D32" t="s">
        <v>427</v>
      </c>
      <c r="E32" t="str">
        <f t="shared" si="0"/>
        <v>AR|onshore wind|Fall</v>
      </c>
      <c r="F32">
        <v>1</v>
      </c>
      <c r="G32">
        <v>1</v>
      </c>
      <c r="H32">
        <v>1</v>
      </c>
      <c r="I32">
        <v>1</v>
      </c>
      <c r="J32">
        <v>1</v>
      </c>
      <c r="K32">
        <v>1</v>
      </c>
      <c r="L32">
        <v>1</v>
      </c>
      <c r="M32">
        <v>1</v>
      </c>
      <c r="N32">
        <v>1</v>
      </c>
      <c r="O32">
        <v>1</v>
      </c>
      <c r="P32">
        <v>1</v>
      </c>
      <c r="Q32">
        <v>1</v>
      </c>
      <c r="R32">
        <v>1</v>
      </c>
      <c r="S32">
        <v>1</v>
      </c>
      <c r="T32">
        <v>1</v>
      </c>
      <c r="U32">
        <v>1</v>
      </c>
      <c r="V32">
        <v>1</v>
      </c>
      <c r="W32">
        <v>1</v>
      </c>
      <c r="X32">
        <v>1</v>
      </c>
      <c r="Y32">
        <v>1</v>
      </c>
      <c r="Z32">
        <v>1</v>
      </c>
      <c r="AA32">
        <v>1</v>
      </c>
      <c r="AB32">
        <v>1</v>
      </c>
      <c r="AC32">
        <v>1</v>
      </c>
    </row>
    <row r="33" spans="1:29" x14ac:dyDescent="0.45">
      <c r="A33" t="s">
        <v>5</v>
      </c>
      <c r="B33" t="s">
        <v>434</v>
      </c>
      <c r="C33" t="s">
        <v>435</v>
      </c>
      <c r="D33" t="s">
        <v>428</v>
      </c>
      <c r="E33" t="str">
        <f t="shared" si="0"/>
        <v>AR|onshore wind|Summer Peak</v>
      </c>
      <c r="F33">
        <v>0.56159999999999999</v>
      </c>
      <c r="G33">
        <v>0.48720000000000002</v>
      </c>
      <c r="H33">
        <v>0.47320000000000001</v>
      </c>
      <c r="I33">
        <v>0.48630000000000001</v>
      </c>
      <c r="J33">
        <v>0.45350000000000001</v>
      </c>
      <c r="K33">
        <v>0.48409999999999997</v>
      </c>
      <c r="L33">
        <v>0.36609999999999998</v>
      </c>
      <c r="M33">
        <v>0.26579999999999998</v>
      </c>
      <c r="N33">
        <v>0.1767</v>
      </c>
      <c r="O33">
        <v>0.23250000000000001</v>
      </c>
      <c r="P33">
        <v>0.16</v>
      </c>
      <c r="Q33">
        <v>0.21779999999999999</v>
      </c>
      <c r="R33">
        <v>0.3453</v>
      </c>
      <c r="S33">
        <v>0.50949999999999995</v>
      </c>
      <c r="T33">
        <v>0.40539999999999998</v>
      </c>
      <c r="U33">
        <v>0.31280000000000002</v>
      </c>
      <c r="V33">
        <v>0.35549999999999998</v>
      </c>
      <c r="W33">
        <v>0.38590000000000002</v>
      </c>
      <c r="X33">
        <v>0.43669999999999998</v>
      </c>
      <c r="Y33">
        <v>0.46260000000000001</v>
      </c>
      <c r="Z33">
        <v>0.4703</v>
      </c>
      <c r="AA33">
        <v>0.5393</v>
      </c>
      <c r="AB33">
        <v>0.622</v>
      </c>
      <c r="AC33">
        <v>0.627</v>
      </c>
    </row>
    <row r="34" spans="1:29" x14ac:dyDescent="0.45">
      <c r="A34" t="s">
        <v>5</v>
      </c>
      <c r="B34" t="s">
        <v>434</v>
      </c>
      <c r="C34" t="s">
        <v>435</v>
      </c>
      <c r="D34" t="s">
        <v>429</v>
      </c>
      <c r="E34" t="str">
        <f t="shared" si="0"/>
        <v>AR|onshore wind|Winter Peak</v>
      </c>
      <c r="F34">
        <v>0.62070000000000003</v>
      </c>
      <c r="G34">
        <v>0.66779999999999995</v>
      </c>
      <c r="H34">
        <v>0.70609999999999995</v>
      </c>
      <c r="I34">
        <v>0.75149999999999995</v>
      </c>
      <c r="J34">
        <v>0.76319999999999999</v>
      </c>
      <c r="K34">
        <v>0.77649999999999997</v>
      </c>
      <c r="L34">
        <v>0.745</v>
      </c>
      <c r="M34">
        <v>0.61209999999999998</v>
      </c>
      <c r="N34">
        <v>0.46600000000000003</v>
      </c>
      <c r="O34">
        <v>0.27210000000000001</v>
      </c>
      <c r="P34">
        <v>0.2681</v>
      </c>
      <c r="Q34">
        <v>0.22770000000000001</v>
      </c>
      <c r="R34">
        <v>0.19570000000000001</v>
      </c>
      <c r="S34">
        <v>0.18149999999999999</v>
      </c>
      <c r="T34">
        <v>0.16930000000000001</v>
      </c>
      <c r="U34">
        <v>0.2374</v>
      </c>
      <c r="V34">
        <v>0.4103</v>
      </c>
      <c r="W34">
        <v>0.48199999999999998</v>
      </c>
      <c r="X34">
        <v>0.51939999999999997</v>
      </c>
      <c r="Y34">
        <v>0.58709999999999996</v>
      </c>
      <c r="Z34">
        <v>0.6381</v>
      </c>
      <c r="AA34">
        <v>0.60019999999999996</v>
      </c>
      <c r="AB34">
        <v>0.64870000000000005</v>
      </c>
      <c r="AC34">
        <v>0.71719999999999995</v>
      </c>
    </row>
    <row r="35" spans="1:29" x14ac:dyDescent="0.45">
      <c r="A35" t="s">
        <v>5</v>
      </c>
      <c r="B35" t="s">
        <v>436</v>
      </c>
      <c r="C35" t="s">
        <v>437</v>
      </c>
      <c r="D35" t="s">
        <v>424</v>
      </c>
      <c r="E35" t="str">
        <f t="shared" si="0"/>
        <v>AR|solar pv|Winter</v>
      </c>
      <c r="F35">
        <v>1</v>
      </c>
      <c r="G35">
        <v>1</v>
      </c>
      <c r="H35">
        <v>1</v>
      </c>
      <c r="I35">
        <v>1</v>
      </c>
      <c r="J35">
        <v>1</v>
      </c>
      <c r="K35">
        <v>1</v>
      </c>
      <c r="L35">
        <v>1</v>
      </c>
      <c r="M35">
        <v>1</v>
      </c>
      <c r="N35">
        <v>1</v>
      </c>
      <c r="O35">
        <v>1</v>
      </c>
      <c r="P35">
        <v>1</v>
      </c>
      <c r="Q35">
        <v>1</v>
      </c>
      <c r="R35">
        <v>1</v>
      </c>
      <c r="S35">
        <v>1</v>
      </c>
      <c r="T35">
        <v>1</v>
      </c>
      <c r="U35">
        <v>1</v>
      </c>
      <c r="V35">
        <v>1</v>
      </c>
      <c r="W35">
        <v>1</v>
      </c>
      <c r="X35">
        <v>1</v>
      </c>
      <c r="Y35">
        <v>1</v>
      </c>
      <c r="Z35">
        <v>1</v>
      </c>
      <c r="AA35">
        <v>1</v>
      </c>
      <c r="AB35">
        <v>1</v>
      </c>
      <c r="AC35">
        <v>1</v>
      </c>
    </row>
    <row r="36" spans="1:29" x14ac:dyDescent="0.45">
      <c r="A36" t="s">
        <v>5</v>
      </c>
      <c r="B36" t="s">
        <v>436</v>
      </c>
      <c r="C36" t="s">
        <v>437</v>
      </c>
      <c r="D36" t="s">
        <v>425</v>
      </c>
      <c r="E36" t="str">
        <f t="shared" si="0"/>
        <v>AR|solar pv|Spring</v>
      </c>
      <c r="F36">
        <v>1</v>
      </c>
      <c r="G36">
        <v>1</v>
      </c>
      <c r="H36">
        <v>1</v>
      </c>
      <c r="I36">
        <v>1</v>
      </c>
      <c r="J36">
        <v>1</v>
      </c>
      <c r="K36">
        <v>1</v>
      </c>
      <c r="L36">
        <v>1</v>
      </c>
      <c r="M36">
        <v>1</v>
      </c>
      <c r="N36">
        <v>1</v>
      </c>
      <c r="O36">
        <v>1</v>
      </c>
      <c r="P36">
        <v>1</v>
      </c>
      <c r="Q36">
        <v>1</v>
      </c>
      <c r="R36">
        <v>1</v>
      </c>
      <c r="S36">
        <v>1</v>
      </c>
      <c r="T36">
        <v>1</v>
      </c>
      <c r="U36">
        <v>1</v>
      </c>
      <c r="V36">
        <v>1</v>
      </c>
      <c r="W36">
        <v>1</v>
      </c>
      <c r="X36">
        <v>1</v>
      </c>
      <c r="Y36">
        <v>1</v>
      </c>
      <c r="Z36">
        <v>1</v>
      </c>
      <c r="AA36">
        <v>1</v>
      </c>
      <c r="AB36">
        <v>1</v>
      </c>
      <c r="AC36">
        <v>1</v>
      </c>
    </row>
    <row r="37" spans="1:29" x14ac:dyDescent="0.45">
      <c r="A37" t="s">
        <v>5</v>
      </c>
      <c r="B37" t="s">
        <v>436</v>
      </c>
      <c r="C37" t="s">
        <v>437</v>
      </c>
      <c r="D37" t="s">
        <v>426</v>
      </c>
      <c r="E37" t="str">
        <f t="shared" si="0"/>
        <v>AR|solar pv|Summer</v>
      </c>
      <c r="F37">
        <v>1</v>
      </c>
      <c r="G37">
        <v>1</v>
      </c>
      <c r="H37">
        <v>1</v>
      </c>
      <c r="I37">
        <v>1</v>
      </c>
      <c r="J37">
        <v>1</v>
      </c>
      <c r="K37">
        <v>1</v>
      </c>
      <c r="L37">
        <v>1</v>
      </c>
      <c r="M37">
        <v>1</v>
      </c>
      <c r="N37">
        <v>1</v>
      </c>
      <c r="O37">
        <v>1</v>
      </c>
      <c r="P37">
        <v>1</v>
      </c>
      <c r="Q37">
        <v>1</v>
      </c>
      <c r="R37">
        <v>1</v>
      </c>
      <c r="S37">
        <v>1</v>
      </c>
      <c r="T37">
        <v>1</v>
      </c>
      <c r="U37">
        <v>1</v>
      </c>
      <c r="V37">
        <v>1</v>
      </c>
      <c r="W37">
        <v>1</v>
      </c>
      <c r="X37">
        <v>1</v>
      </c>
      <c r="Y37">
        <v>1</v>
      </c>
      <c r="Z37">
        <v>1</v>
      </c>
      <c r="AA37">
        <v>1</v>
      </c>
      <c r="AB37">
        <v>1</v>
      </c>
      <c r="AC37">
        <v>1</v>
      </c>
    </row>
    <row r="38" spans="1:29" x14ac:dyDescent="0.45">
      <c r="A38" t="s">
        <v>5</v>
      </c>
      <c r="B38" t="s">
        <v>436</v>
      </c>
      <c r="C38" t="s">
        <v>437</v>
      </c>
      <c r="D38" t="s">
        <v>427</v>
      </c>
      <c r="E38" t="str">
        <f t="shared" si="0"/>
        <v>AR|solar pv|Fall</v>
      </c>
      <c r="F38">
        <v>1</v>
      </c>
      <c r="G38">
        <v>1</v>
      </c>
      <c r="H38">
        <v>1</v>
      </c>
      <c r="I38">
        <v>1</v>
      </c>
      <c r="J38">
        <v>1</v>
      </c>
      <c r="K38">
        <v>1</v>
      </c>
      <c r="L38">
        <v>1</v>
      </c>
      <c r="M38">
        <v>1</v>
      </c>
      <c r="N38">
        <v>1</v>
      </c>
      <c r="O38">
        <v>1</v>
      </c>
      <c r="P38">
        <v>1</v>
      </c>
      <c r="Q38">
        <v>1</v>
      </c>
      <c r="R38">
        <v>1</v>
      </c>
      <c r="S38">
        <v>1</v>
      </c>
      <c r="T38">
        <v>1</v>
      </c>
      <c r="U38">
        <v>1</v>
      </c>
      <c r="V38">
        <v>1</v>
      </c>
      <c r="W38">
        <v>1</v>
      </c>
      <c r="X38">
        <v>1</v>
      </c>
      <c r="Y38">
        <v>1</v>
      </c>
      <c r="Z38">
        <v>1</v>
      </c>
      <c r="AA38">
        <v>1</v>
      </c>
      <c r="AB38">
        <v>1</v>
      </c>
      <c r="AC38">
        <v>1</v>
      </c>
    </row>
    <row r="39" spans="1:29" x14ac:dyDescent="0.45">
      <c r="A39" t="s">
        <v>5</v>
      </c>
      <c r="B39" t="s">
        <v>436</v>
      </c>
      <c r="C39" t="s">
        <v>437</v>
      </c>
      <c r="D39" t="s">
        <v>428</v>
      </c>
      <c r="E39" t="str">
        <f t="shared" si="0"/>
        <v>AR|solar pv|Summer Peak</v>
      </c>
      <c r="F39">
        <v>1</v>
      </c>
      <c r="G39">
        <v>1</v>
      </c>
      <c r="H39">
        <v>1</v>
      </c>
      <c r="I39">
        <v>1</v>
      </c>
      <c r="J39">
        <v>1</v>
      </c>
      <c r="K39">
        <v>0.57730000000000004</v>
      </c>
      <c r="L39">
        <v>0.78820000000000001</v>
      </c>
      <c r="M39">
        <v>0.89570000000000005</v>
      </c>
      <c r="N39">
        <v>0.95620000000000005</v>
      </c>
      <c r="O39">
        <v>0.95989999999999998</v>
      </c>
      <c r="P39">
        <v>0.97960000000000003</v>
      </c>
      <c r="Q39">
        <v>0.98550000000000004</v>
      </c>
      <c r="R39">
        <v>0.95720000000000005</v>
      </c>
      <c r="S39">
        <v>0.94020000000000004</v>
      </c>
      <c r="T39">
        <v>0.87450000000000006</v>
      </c>
      <c r="U39">
        <v>0.84</v>
      </c>
      <c r="V39">
        <v>0.86829999999999996</v>
      </c>
      <c r="W39">
        <v>0.72850000000000004</v>
      </c>
      <c r="X39">
        <v>0</v>
      </c>
      <c r="Y39">
        <v>1</v>
      </c>
      <c r="Z39">
        <v>1</v>
      </c>
      <c r="AA39">
        <v>1</v>
      </c>
      <c r="AB39">
        <v>1</v>
      </c>
      <c r="AC39">
        <v>1</v>
      </c>
    </row>
    <row r="40" spans="1:29" x14ac:dyDescent="0.45">
      <c r="A40" t="s">
        <v>5</v>
      </c>
      <c r="B40" t="s">
        <v>436</v>
      </c>
      <c r="C40" t="s">
        <v>437</v>
      </c>
      <c r="D40" t="s">
        <v>429</v>
      </c>
      <c r="E40" t="str">
        <f t="shared" si="0"/>
        <v>AR|solar pv|Winter Peak</v>
      </c>
      <c r="F40">
        <v>1</v>
      </c>
      <c r="G40">
        <v>1</v>
      </c>
      <c r="H40">
        <v>1</v>
      </c>
      <c r="I40">
        <v>1</v>
      </c>
      <c r="J40">
        <v>1</v>
      </c>
      <c r="K40">
        <v>1</v>
      </c>
      <c r="L40">
        <v>1</v>
      </c>
      <c r="M40">
        <v>0.59619999999999995</v>
      </c>
      <c r="N40">
        <v>0.64690000000000003</v>
      </c>
      <c r="O40">
        <v>0.74119999999999997</v>
      </c>
      <c r="P40">
        <v>0.81969999999999998</v>
      </c>
      <c r="Q40">
        <v>0.78669999999999995</v>
      </c>
      <c r="R40">
        <v>0.7681</v>
      </c>
      <c r="S40">
        <v>0.72360000000000002</v>
      </c>
      <c r="T40">
        <v>0.62890000000000001</v>
      </c>
      <c r="U40">
        <v>0.63139999999999996</v>
      </c>
      <c r="V40">
        <v>2.53E-2</v>
      </c>
      <c r="W40">
        <v>1</v>
      </c>
      <c r="X40">
        <v>1</v>
      </c>
      <c r="Y40">
        <v>1</v>
      </c>
      <c r="Z40">
        <v>1</v>
      </c>
      <c r="AA40">
        <v>1</v>
      </c>
      <c r="AB40">
        <v>1</v>
      </c>
      <c r="AC40">
        <v>1</v>
      </c>
    </row>
    <row r="41" spans="1:29" x14ac:dyDescent="0.45">
      <c r="A41" t="s">
        <v>5</v>
      </c>
      <c r="B41" t="s">
        <v>438</v>
      </c>
      <c r="C41" t="s">
        <v>439</v>
      </c>
      <c r="D41" t="s">
        <v>424</v>
      </c>
      <c r="E41" t="str">
        <f t="shared" si="0"/>
        <v>AR|solar thermal|Winter</v>
      </c>
      <c r="F41">
        <v>1</v>
      </c>
      <c r="G41">
        <v>1</v>
      </c>
      <c r="H41">
        <v>1</v>
      </c>
      <c r="I41">
        <v>1</v>
      </c>
      <c r="J41">
        <v>1</v>
      </c>
      <c r="K41">
        <v>1</v>
      </c>
      <c r="L41">
        <v>1</v>
      </c>
      <c r="M41">
        <v>1</v>
      </c>
      <c r="N41">
        <v>1</v>
      </c>
      <c r="O41">
        <v>1</v>
      </c>
      <c r="P41">
        <v>1</v>
      </c>
      <c r="Q41">
        <v>1</v>
      </c>
      <c r="R41">
        <v>1</v>
      </c>
      <c r="S41">
        <v>1</v>
      </c>
      <c r="T41">
        <v>1</v>
      </c>
      <c r="U41">
        <v>1</v>
      </c>
      <c r="V41">
        <v>1</v>
      </c>
      <c r="W41">
        <v>1</v>
      </c>
      <c r="X41">
        <v>1</v>
      </c>
      <c r="Y41">
        <v>1</v>
      </c>
      <c r="Z41">
        <v>1</v>
      </c>
      <c r="AA41">
        <v>1</v>
      </c>
      <c r="AB41">
        <v>1</v>
      </c>
      <c r="AC41">
        <v>1</v>
      </c>
    </row>
    <row r="42" spans="1:29" x14ac:dyDescent="0.45">
      <c r="A42" t="s">
        <v>5</v>
      </c>
      <c r="B42" t="s">
        <v>438</v>
      </c>
      <c r="C42" t="s">
        <v>439</v>
      </c>
      <c r="D42" t="s">
        <v>425</v>
      </c>
      <c r="E42" t="str">
        <f t="shared" si="0"/>
        <v>AR|solar thermal|Spring</v>
      </c>
      <c r="F42">
        <v>1</v>
      </c>
      <c r="G42">
        <v>1</v>
      </c>
      <c r="H42">
        <v>1</v>
      </c>
      <c r="I42">
        <v>1</v>
      </c>
      <c r="J42">
        <v>1</v>
      </c>
      <c r="K42">
        <v>1</v>
      </c>
      <c r="L42">
        <v>1</v>
      </c>
      <c r="M42">
        <v>1</v>
      </c>
      <c r="N42">
        <v>1</v>
      </c>
      <c r="O42">
        <v>1</v>
      </c>
      <c r="P42">
        <v>1</v>
      </c>
      <c r="Q42">
        <v>1</v>
      </c>
      <c r="R42">
        <v>1</v>
      </c>
      <c r="S42">
        <v>1</v>
      </c>
      <c r="T42">
        <v>1</v>
      </c>
      <c r="U42">
        <v>1</v>
      </c>
      <c r="V42">
        <v>1</v>
      </c>
      <c r="W42">
        <v>1</v>
      </c>
      <c r="X42">
        <v>1</v>
      </c>
      <c r="Y42">
        <v>1</v>
      </c>
      <c r="Z42">
        <v>1</v>
      </c>
      <c r="AA42">
        <v>1</v>
      </c>
      <c r="AB42">
        <v>1</v>
      </c>
      <c r="AC42">
        <v>1</v>
      </c>
    </row>
    <row r="43" spans="1:29" x14ac:dyDescent="0.45">
      <c r="A43" t="s">
        <v>5</v>
      </c>
      <c r="B43" t="s">
        <v>438</v>
      </c>
      <c r="C43" t="s">
        <v>439</v>
      </c>
      <c r="D43" t="s">
        <v>426</v>
      </c>
      <c r="E43" t="str">
        <f t="shared" si="0"/>
        <v>AR|solar thermal|Summer</v>
      </c>
      <c r="F43">
        <v>1</v>
      </c>
      <c r="G43">
        <v>1</v>
      </c>
      <c r="H43">
        <v>1</v>
      </c>
      <c r="I43">
        <v>1</v>
      </c>
      <c r="J43">
        <v>1</v>
      </c>
      <c r="K43">
        <v>1</v>
      </c>
      <c r="L43">
        <v>1</v>
      </c>
      <c r="M43">
        <v>1</v>
      </c>
      <c r="N43">
        <v>1</v>
      </c>
      <c r="O43">
        <v>1</v>
      </c>
      <c r="P43">
        <v>1</v>
      </c>
      <c r="Q43">
        <v>1</v>
      </c>
      <c r="R43">
        <v>1</v>
      </c>
      <c r="S43">
        <v>1</v>
      </c>
      <c r="T43">
        <v>1</v>
      </c>
      <c r="U43">
        <v>1</v>
      </c>
      <c r="V43">
        <v>1</v>
      </c>
      <c r="W43">
        <v>1</v>
      </c>
      <c r="X43">
        <v>1</v>
      </c>
      <c r="Y43">
        <v>1</v>
      </c>
      <c r="Z43">
        <v>1</v>
      </c>
      <c r="AA43">
        <v>1</v>
      </c>
      <c r="AB43">
        <v>1</v>
      </c>
      <c r="AC43">
        <v>1</v>
      </c>
    </row>
    <row r="44" spans="1:29" x14ac:dyDescent="0.45">
      <c r="A44" t="s">
        <v>5</v>
      </c>
      <c r="B44" t="s">
        <v>438</v>
      </c>
      <c r="C44" t="s">
        <v>439</v>
      </c>
      <c r="D44" t="s">
        <v>427</v>
      </c>
      <c r="E44" t="str">
        <f t="shared" si="0"/>
        <v>AR|solar thermal|Fall</v>
      </c>
      <c r="F44">
        <v>1</v>
      </c>
      <c r="G44">
        <v>1</v>
      </c>
      <c r="H44">
        <v>1</v>
      </c>
      <c r="I44">
        <v>1</v>
      </c>
      <c r="J44">
        <v>1</v>
      </c>
      <c r="K44">
        <v>1</v>
      </c>
      <c r="L44">
        <v>1</v>
      </c>
      <c r="M44">
        <v>1</v>
      </c>
      <c r="N44">
        <v>1</v>
      </c>
      <c r="O44">
        <v>1</v>
      </c>
      <c r="P44">
        <v>1</v>
      </c>
      <c r="Q44">
        <v>1</v>
      </c>
      <c r="R44">
        <v>1</v>
      </c>
      <c r="S44">
        <v>1</v>
      </c>
      <c r="T44">
        <v>1</v>
      </c>
      <c r="U44">
        <v>1</v>
      </c>
      <c r="V44">
        <v>1</v>
      </c>
      <c r="W44">
        <v>1</v>
      </c>
      <c r="X44">
        <v>1</v>
      </c>
      <c r="Y44">
        <v>1</v>
      </c>
      <c r="Z44">
        <v>1</v>
      </c>
      <c r="AA44">
        <v>1</v>
      </c>
      <c r="AB44">
        <v>1</v>
      </c>
      <c r="AC44">
        <v>1</v>
      </c>
    </row>
    <row r="45" spans="1:29" x14ac:dyDescent="0.45">
      <c r="A45" t="s">
        <v>5</v>
      </c>
      <c r="B45" t="s">
        <v>438</v>
      </c>
      <c r="C45" t="s">
        <v>439</v>
      </c>
      <c r="D45" t="s">
        <v>428</v>
      </c>
      <c r="E45" t="str">
        <f t="shared" si="0"/>
        <v>AR|solar thermal|Summer Peak</v>
      </c>
      <c r="F45">
        <v>1</v>
      </c>
      <c r="G45">
        <v>1</v>
      </c>
      <c r="H45">
        <v>1</v>
      </c>
      <c r="I45">
        <v>1</v>
      </c>
      <c r="J45">
        <v>1</v>
      </c>
      <c r="K45">
        <v>1</v>
      </c>
      <c r="L45">
        <v>1</v>
      </c>
      <c r="M45">
        <v>0</v>
      </c>
      <c r="N45">
        <v>0.8639</v>
      </c>
      <c r="O45">
        <v>1</v>
      </c>
      <c r="P45">
        <v>1</v>
      </c>
      <c r="Q45">
        <v>0.97160000000000002</v>
      </c>
      <c r="R45">
        <v>0.96719999999999995</v>
      </c>
      <c r="S45">
        <v>1</v>
      </c>
      <c r="T45">
        <v>1</v>
      </c>
      <c r="U45">
        <v>1</v>
      </c>
      <c r="V45">
        <v>1</v>
      </c>
      <c r="W45">
        <v>1</v>
      </c>
      <c r="X45">
        <v>1</v>
      </c>
      <c r="Y45">
        <v>0.93130000000000002</v>
      </c>
      <c r="Z45">
        <v>0.70220000000000005</v>
      </c>
      <c r="AA45">
        <v>1</v>
      </c>
      <c r="AB45">
        <v>1</v>
      </c>
      <c r="AC45">
        <v>1</v>
      </c>
    </row>
    <row r="46" spans="1:29" x14ac:dyDescent="0.45">
      <c r="A46" t="s">
        <v>5</v>
      </c>
      <c r="B46" t="s">
        <v>438</v>
      </c>
      <c r="C46" t="s">
        <v>439</v>
      </c>
      <c r="D46" t="s">
        <v>429</v>
      </c>
      <c r="E46" t="str">
        <f t="shared" si="0"/>
        <v>AR|solar thermal|Winter Peak</v>
      </c>
      <c r="F46">
        <v>1</v>
      </c>
      <c r="G46">
        <v>1</v>
      </c>
      <c r="H46">
        <v>1</v>
      </c>
      <c r="I46">
        <v>1</v>
      </c>
      <c r="J46">
        <v>1</v>
      </c>
      <c r="K46">
        <v>1</v>
      </c>
      <c r="L46">
        <v>1</v>
      </c>
      <c r="M46">
        <v>1</v>
      </c>
      <c r="N46">
        <v>1</v>
      </c>
      <c r="O46">
        <v>0.2419</v>
      </c>
      <c r="P46">
        <v>0.95320000000000005</v>
      </c>
      <c r="Q46">
        <v>0.88039999999999996</v>
      </c>
      <c r="R46">
        <v>0.97819999999999996</v>
      </c>
      <c r="S46">
        <v>0.98950000000000005</v>
      </c>
      <c r="T46">
        <v>0.99270000000000003</v>
      </c>
      <c r="U46">
        <v>1</v>
      </c>
      <c r="V46">
        <v>1</v>
      </c>
      <c r="W46">
        <v>1</v>
      </c>
      <c r="X46">
        <v>0.89019999999999999</v>
      </c>
      <c r="Y46">
        <v>0</v>
      </c>
      <c r="Z46">
        <v>1</v>
      </c>
      <c r="AA46">
        <v>1</v>
      </c>
      <c r="AB46">
        <v>1</v>
      </c>
      <c r="AC46">
        <v>1</v>
      </c>
    </row>
    <row r="47" spans="1:29" x14ac:dyDescent="0.45">
      <c r="A47" t="s">
        <v>5</v>
      </c>
      <c r="B47" t="s">
        <v>440</v>
      </c>
      <c r="C47" t="s">
        <v>441</v>
      </c>
      <c r="D47" t="s">
        <v>424</v>
      </c>
      <c r="E47" t="str">
        <f t="shared" si="0"/>
        <v>AR|offshore wind|Winter</v>
      </c>
      <c r="F47">
        <v>1</v>
      </c>
      <c r="G47">
        <v>1</v>
      </c>
      <c r="H47">
        <v>1</v>
      </c>
      <c r="I47">
        <v>1</v>
      </c>
      <c r="J47">
        <v>1</v>
      </c>
      <c r="K47">
        <v>1</v>
      </c>
      <c r="L47">
        <v>1</v>
      </c>
      <c r="M47">
        <v>1</v>
      </c>
      <c r="N47">
        <v>1</v>
      </c>
      <c r="O47">
        <v>1</v>
      </c>
      <c r="P47">
        <v>1</v>
      </c>
      <c r="Q47">
        <v>1</v>
      </c>
      <c r="R47">
        <v>1</v>
      </c>
      <c r="S47">
        <v>1</v>
      </c>
      <c r="T47">
        <v>1</v>
      </c>
      <c r="U47">
        <v>1</v>
      </c>
      <c r="V47">
        <v>1</v>
      </c>
      <c r="W47">
        <v>1</v>
      </c>
      <c r="X47">
        <v>1</v>
      </c>
      <c r="Y47">
        <v>1</v>
      </c>
      <c r="Z47">
        <v>1</v>
      </c>
      <c r="AA47">
        <v>1</v>
      </c>
      <c r="AB47">
        <v>1</v>
      </c>
      <c r="AC47">
        <v>1</v>
      </c>
    </row>
    <row r="48" spans="1:29" x14ac:dyDescent="0.45">
      <c r="A48" t="s">
        <v>5</v>
      </c>
      <c r="B48" t="s">
        <v>440</v>
      </c>
      <c r="C48" t="s">
        <v>441</v>
      </c>
      <c r="D48" t="s">
        <v>425</v>
      </c>
      <c r="E48" t="str">
        <f t="shared" si="0"/>
        <v>AR|offshore wind|Spring</v>
      </c>
      <c r="F48">
        <v>1</v>
      </c>
      <c r="G48">
        <v>1</v>
      </c>
      <c r="H48">
        <v>1</v>
      </c>
      <c r="I48">
        <v>1</v>
      </c>
      <c r="J48">
        <v>1</v>
      </c>
      <c r="K48">
        <v>1</v>
      </c>
      <c r="L48">
        <v>1</v>
      </c>
      <c r="M48">
        <v>1</v>
      </c>
      <c r="N48">
        <v>1</v>
      </c>
      <c r="O48">
        <v>1</v>
      </c>
      <c r="P48">
        <v>1</v>
      </c>
      <c r="Q48">
        <v>1</v>
      </c>
      <c r="R48">
        <v>1</v>
      </c>
      <c r="S48">
        <v>1</v>
      </c>
      <c r="T48">
        <v>1</v>
      </c>
      <c r="U48">
        <v>1</v>
      </c>
      <c r="V48">
        <v>1</v>
      </c>
      <c r="W48">
        <v>1</v>
      </c>
      <c r="X48">
        <v>1</v>
      </c>
      <c r="Y48">
        <v>1</v>
      </c>
      <c r="Z48">
        <v>1</v>
      </c>
      <c r="AA48">
        <v>1</v>
      </c>
      <c r="AB48">
        <v>1</v>
      </c>
      <c r="AC48">
        <v>1</v>
      </c>
    </row>
    <row r="49" spans="1:29" x14ac:dyDescent="0.45">
      <c r="A49" t="s">
        <v>5</v>
      </c>
      <c r="B49" t="s">
        <v>440</v>
      </c>
      <c r="C49" t="s">
        <v>441</v>
      </c>
      <c r="D49" t="s">
        <v>426</v>
      </c>
      <c r="E49" t="str">
        <f t="shared" si="0"/>
        <v>AR|offshore wind|Summer</v>
      </c>
      <c r="F49">
        <v>1</v>
      </c>
      <c r="G49">
        <v>1</v>
      </c>
      <c r="H49">
        <v>1</v>
      </c>
      <c r="I49">
        <v>1</v>
      </c>
      <c r="J49">
        <v>1</v>
      </c>
      <c r="K49">
        <v>1</v>
      </c>
      <c r="L49">
        <v>1</v>
      </c>
      <c r="M49">
        <v>1</v>
      </c>
      <c r="N49">
        <v>1</v>
      </c>
      <c r="O49">
        <v>1</v>
      </c>
      <c r="P49">
        <v>1</v>
      </c>
      <c r="Q49">
        <v>1</v>
      </c>
      <c r="R49">
        <v>1</v>
      </c>
      <c r="S49">
        <v>1</v>
      </c>
      <c r="T49">
        <v>1</v>
      </c>
      <c r="U49">
        <v>1</v>
      </c>
      <c r="V49">
        <v>1</v>
      </c>
      <c r="W49">
        <v>1</v>
      </c>
      <c r="X49">
        <v>1</v>
      </c>
      <c r="Y49">
        <v>1</v>
      </c>
      <c r="Z49">
        <v>1</v>
      </c>
      <c r="AA49">
        <v>1</v>
      </c>
      <c r="AB49">
        <v>1</v>
      </c>
      <c r="AC49">
        <v>1</v>
      </c>
    </row>
    <row r="50" spans="1:29" x14ac:dyDescent="0.45">
      <c r="A50" t="s">
        <v>5</v>
      </c>
      <c r="B50" t="s">
        <v>440</v>
      </c>
      <c r="C50" t="s">
        <v>441</v>
      </c>
      <c r="D50" t="s">
        <v>427</v>
      </c>
      <c r="E50" t="str">
        <f t="shared" si="0"/>
        <v>AR|offshore wind|Fall</v>
      </c>
      <c r="F50">
        <v>1</v>
      </c>
      <c r="G50">
        <v>1</v>
      </c>
      <c r="H50">
        <v>1</v>
      </c>
      <c r="I50">
        <v>1</v>
      </c>
      <c r="J50">
        <v>1</v>
      </c>
      <c r="K50">
        <v>1</v>
      </c>
      <c r="L50">
        <v>1</v>
      </c>
      <c r="M50">
        <v>1</v>
      </c>
      <c r="N50">
        <v>1</v>
      </c>
      <c r="O50">
        <v>1</v>
      </c>
      <c r="P50">
        <v>1</v>
      </c>
      <c r="Q50">
        <v>1</v>
      </c>
      <c r="R50">
        <v>1</v>
      </c>
      <c r="S50">
        <v>1</v>
      </c>
      <c r="T50">
        <v>1</v>
      </c>
      <c r="U50">
        <v>1</v>
      </c>
      <c r="V50">
        <v>1</v>
      </c>
      <c r="W50">
        <v>1</v>
      </c>
      <c r="X50">
        <v>1</v>
      </c>
      <c r="Y50">
        <v>1</v>
      </c>
      <c r="Z50">
        <v>1</v>
      </c>
      <c r="AA50">
        <v>1</v>
      </c>
      <c r="AB50">
        <v>1</v>
      </c>
      <c r="AC50">
        <v>1</v>
      </c>
    </row>
    <row r="51" spans="1:29" x14ac:dyDescent="0.45">
      <c r="A51" t="s">
        <v>5</v>
      </c>
      <c r="B51" t="s">
        <v>440</v>
      </c>
      <c r="C51" t="s">
        <v>441</v>
      </c>
      <c r="D51" t="s">
        <v>428</v>
      </c>
      <c r="E51" t="str">
        <f t="shared" si="0"/>
        <v>AR|offshore wind|Summer Peak</v>
      </c>
      <c r="F51">
        <v>0.40810000000000002</v>
      </c>
      <c r="G51">
        <v>0.4239</v>
      </c>
      <c r="H51">
        <v>0.45760000000000001</v>
      </c>
      <c r="I51">
        <v>0.50319999999999998</v>
      </c>
      <c r="J51">
        <v>0.53649999999999998</v>
      </c>
      <c r="K51">
        <v>0.59399999999999997</v>
      </c>
      <c r="L51">
        <v>0.61929999999999996</v>
      </c>
      <c r="M51">
        <v>0.68859999999999999</v>
      </c>
      <c r="N51">
        <v>0.73480000000000001</v>
      </c>
      <c r="O51">
        <v>0.84350000000000003</v>
      </c>
      <c r="P51">
        <v>0.78200000000000003</v>
      </c>
      <c r="Q51">
        <v>0.74650000000000005</v>
      </c>
      <c r="R51">
        <v>0.63690000000000002</v>
      </c>
      <c r="S51">
        <v>0.60860000000000003</v>
      </c>
      <c r="T51">
        <v>0.64339999999999997</v>
      </c>
      <c r="U51">
        <v>0.69269999999999998</v>
      </c>
      <c r="V51">
        <v>0.71450000000000002</v>
      </c>
      <c r="W51">
        <v>0.75070000000000003</v>
      </c>
      <c r="X51">
        <v>0.72489999999999999</v>
      </c>
      <c r="Y51">
        <v>0.66049999999999998</v>
      </c>
      <c r="Z51">
        <v>0.69140000000000001</v>
      </c>
      <c r="AA51">
        <v>0.63080000000000003</v>
      </c>
      <c r="AB51">
        <v>0.63429999999999997</v>
      </c>
      <c r="AC51">
        <v>0.64390000000000003</v>
      </c>
    </row>
    <row r="52" spans="1:29" x14ac:dyDescent="0.45">
      <c r="A52" t="s">
        <v>5</v>
      </c>
      <c r="B52" t="s">
        <v>440</v>
      </c>
      <c r="C52" t="s">
        <v>441</v>
      </c>
      <c r="D52" t="s">
        <v>429</v>
      </c>
      <c r="E52" t="str">
        <f t="shared" si="0"/>
        <v>AR|offshore wind|Winter Peak</v>
      </c>
      <c r="F52">
        <v>0.95309999999999995</v>
      </c>
      <c r="G52">
        <v>0.95030000000000003</v>
      </c>
      <c r="H52">
        <v>0.95540000000000003</v>
      </c>
      <c r="I52">
        <v>0.96679999999999999</v>
      </c>
      <c r="J52">
        <v>1</v>
      </c>
      <c r="K52">
        <v>1</v>
      </c>
      <c r="L52">
        <v>1</v>
      </c>
      <c r="M52">
        <v>0.99209999999999998</v>
      </c>
      <c r="N52">
        <v>0.90149999999999997</v>
      </c>
      <c r="O52">
        <v>0.79779999999999995</v>
      </c>
      <c r="P52">
        <v>0.71879999999999999</v>
      </c>
      <c r="Q52">
        <v>0.67300000000000004</v>
      </c>
      <c r="R52">
        <v>0.60860000000000003</v>
      </c>
      <c r="S52">
        <v>0.58009999999999995</v>
      </c>
      <c r="T52">
        <v>0.58799999999999997</v>
      </c>
      <c r="U52">
        <v>0.61019999999999996</v>
      </c>
      <c r="V52">
        <v>0.61839999999999995</v>
      </c>
      <c r="W52">
        <v>0.60909999999999997</v>
      </c>
      <c r="X52">
        <v>0.62880000000000003</v>
      </c>
      <c r="Y52">
        <v>0.72889999999999999</v>
      </c>
      <c r="Z52">
        <v>0.84719999999999995</v>
      </c>
      <c r="AA52">
        <v>0.92220000000000002</v>
      </c>
      <c r="AB52">
        <v>0.86950000000000005</v>
      </c>
      <c r="AC52">
        <v>0.8054</v>
      </c>
    </row>
    <row r="53" spans="1:29" x14ac:dyDescent="0.45">
      <c r="A53" t="s">
        <v>9</v>
      </c>
      <c r="B53" t="s">
        <v>434</v>
      </c>
      <c r="C53" t="s">
        <v>435</v>
      </c>
      <c r="D53" t="s">
        <v>424</v>
      </c>
      <c r="E53" t="str">
        <f t="shared" si="0"/>
        <v>AZ|onshore wind|Winter</v>
      </c>
      <c r="F53">
        <v>1</v>
      </c>
      <c r="G53">
        <v>1</v>
      </c>
      <c r="H53">
        <v>1</v>
      </c>
      <c r="I53">
        <v>1</v>
      </c>
      <c r="J53">
        <v>1</v>
      </c>
      <c r="K53">
        <v>1</v>
      </c>
      <c r="L53">
        <v>1</v>
      </c>
      <c r="M53">
        <v>1</v>
      </c>
      <c r="N53">
        <v>1</v>
      </c>
      <c r="O53">
        <v>1</v>
      </c>
      <c r="P53">
        <v>1</v>
      </c>
      <c r="Q53">
        <v>1</v>
      </c>
      <c r="R53">
        <v>1</v>
      </c>
      <c r="S53">
        <v>1</v>
      </c>
      <c r="T53">
        <v>1</v>
      </c>
      <c r="U53">
        <v>1</v>
      </c>
      <c r="V53">
        <v>1</v>
      </c>
      <c r="W53">
        <v>1</v>
      </c>
      <c r="X53">
        <v>1</v>
      </c>
      <c r="Y53">
        <v>1</v>
      </c>
      <c r="Z53">
        <v>1</v>
      </c>
      <c r="AA53">
        <v>1</v>
      </c>
      <c r="AB53">
        <v>1</v>
      </c>
      <c r="AC53">
        <v>1</v>
      </c>
    </row>
    <row r="54" spans="1:29" x14ac:dyDescent="0.45">
      <c r="A54" t="s">
        <v>9</v>
      </c>
      <c r="B54" t="s">
        <v>434</v>
      </c>
      <c r="C54" t="s">
        <v>435</v>
      </c>
      <c r="D54" t="s">
        <v>425</v>
      </c>
      <c r="E54" t="str">
        <f t="shared" si="0"/>
        <v>AZ|onshore wind|Spring</v>
      </c>
      <c r="F54">
        <v>1</v>
      </c>
      <c r="G54">
        <v>1</v>
      </c>
      <c r="H54">
        <v>1</v>
      </c>
      <c r="I54">
        <v>1</v>
      </c>
      <c r="J54">
        <v>1</v>
      </c>
      <c r="K54">
        <v>1</v>
      </c>
      <c r="L54">
        <v>1</v>
      </c>
      <c r="M54">
        <v>1</v>
      </c>
      <c r="N54">
        <v>1</v>
      </c>
      <c r="O54">
        <v>1</v>
      </c>
      <c r="P54">
        <v>1</v>
      </c>
      <c r="Q54">
        <v>1</v>
      </c>
      <c r="R54">
        <v>1</v>
      </c>
      <c r="S54">
        <v>1</v>
      </c>
      <c r="T54">
        <v>1</v>
      </c>
      <c r="U54">
        <v>1</v>
      </c>
      <c r="V54">
        <v>1</v>
      </c>
      <c r="W54">
        <v>1</v>
      </c>
      <c r="X54">
        <v>1</v>
      </c>
      <c r="Y54">
        <v>1</v>
      </c>
      <c r="Z54">
        <v>1</v>
      </c>
      <c r="AA54">
        <v>1</v>
      </c>
      <c r="AB54">
        <v>1</v>
      </c>
      <c r="AC54">
        <v>1</v>
      </c>
    </row>
    <row r="55" spans="1:29" x14ac:dyDescent="0.45">
      <c r="A55" t="s">
        <v>9</v>
      </c>
      <c r="B55" t="s">
        <v>434</v>
      </c>
      <c r="C55" t="s">
        <v>435</v>
      </c>
      <c r="D55" t="s">
        <v>426</v>
      </c>
      <c r="E55" t="str">
        <f t="shared" si="0"/>
        <v>AZ|onshore wind|Summer</v>
      </c>
      <c r="F55">
        <v>1</v>
      </c>
      <c r="G55">
        <v>1</v>
      </c>
      <c r="H55">
        <v>1</v>
      </c>
      <c r="I55">
        <v>1</v>
      </c>
      <c r="J55">
        <v>1</v>
      </c>
      <c r="K55">
        <v>1</v>
      </c>
      <c r="L55">
        <v>1</v>
      </c>
      <c r="M55">
        <v>1</v>
      </c>
      <c r="N55">
        <v>1</v>
      </c>
      <c r="O55">
        <v>1</v>
      </c>
      <c r="P55">
        <v>1</v>
      </c>
      <c r="Q55">
        <v>1</v>
      </c>
      <c r="R55">
        <v>1</v>
      </c>
      <c r="S55">
        <v>1</v>
      </c>
      <c r="T55">
        <v>1</v>
      </c>
      <c r="U55">
        <v>1</v>
      </c>
      <c r="V55">
        <v>1</v>
      </c>
      <c r="W55">
        <v>1</v>
      </c>
      <c r="X55">
        <v>1</v>
      </c>
      <c r="Y55">
        <v>1</v>
      </c>
      <c r="Z55">
        <v>1</v>
      </c>
      <c r="AA55">
        <v>1</v>
      </c>
      <c r="AB55">
        <v>1</v>
      </c>
      <c r="AC55">
        <v>1</v>
      </c>
    </row>
    <row r="56" spans="1:29" x14ac:dyDescent="0.45">
      <c r="A56" t="s">
        <v>9</v>
      </c>
      <c r="B56" t="s">
        <v>434</v>
      </c>
      <c r="C56" t="s">
        <v>435</v>
      </c>
      <c r="D56" t="s">
        <v>427</v>
      </c>
      <c r="E56" t="str">
        <f t="shared" si="0"/>
        <v>AZ|onshore wind|Fall</v>
      </c>
      <c r="F56">
        <v>1</v>
      </c>
      <c r="G56">
        <v>1</v>
      </c>
      <c r="H56">
        <v>1</v>
      </c>
      <c r="I56">
        <v>1</v>
      </c>
      <c r="J56">
        <v>1</v>
      </c>
      <c r="K56">
        <v>1</v>
      </c>
      <c r="L56">
        <v>1</v>
      </c>
      <c r="M56">
        <v>1</v>
      </c>
      <c r="N56">
        <v>1</v>
      </c>
      <c r="O56">
        <v>1</v>
      </c>
      <c r="P56">
        <v>1</v>
      </c>
      <c r="Q56">
        <v>1</v>
      </c>
      <c r="R56">
        <v>1</v>
      </c>
      <c r="S56">
        <v>1</v>
      </c>
      <c r="T56">
        <v>1</v>
      </c>
      <c r="U56">
        <v>1</v>
      </c>
      <c r="V56">
        <v>1</v>
      </c>
      <c r="W56">
        <v>1</v>
      </c>
      <c r="X56">
        <v>1</v>
      </c>
      <c r="Y56">
        <v>1</v>
      </c>
      <c r="Z56">
        <v>1</v>
      </c>
      <c r="AA56">
        <v>1</v>
      </c>
      <c r="AB56">
        <v>1</v>
      </c>
      <c r="AC56">
        <v>1</v>
      </c>
    </row>
    <row r="57" spans="1:29" x14ac:dyDescent="0.45">
      <c r="A57" t="s">
        <v>9</v>
      </c>
      <c r="B57" t="s">
        <v>434</v>
      </c>
      <c r="C57" t="s">
        <v>435</v>
      </c>
      <c r="D57" t="s">
        <v>428</v>
      </c>
      <c r="E57" t="str">
        <f t="shared" si="0"/>
        <v>AZ|onshore wind|Summer Peak</v>
      </c>
      <c r="F57">
        <v>0.27989999999999998</v>
      </c>
      <c r="G57">
        <v>0.30320000000000003</v>
      </c>
      <c r="H57">
        <v>0.2742</v>
      </c>
      <c r="I57">
        <v>0.36370000000000002</v>
      </c>
      <c r="J57">
        <v>0.31059999999999999</v>
      </c>
      <c r="K57">
        <v>0.24349999999999999</v>
      </c>
      <c r="L57">
        <v>0.29720000000000002</v>
      </c>
      <c r="M57">
        <v>0.23200000000000001</v>
      </c>
      <c r="N57">
        <v>0.31569999999999998</v>
      </c>
      <c r="O57">
        <v>0.41070000000000001</v>
      </c>
      <c r="P57">
        <v>0.4199</v>
      </c>
      <c r="Q57">
        <v>0.46939999999999998</v>
      </c>
      <c r="R57">
        <v>0.46279999999999999</v>
      </c>
      <c r="S57">
        <v>0.5242</v>
      </c>
      <c r="T57">
        <v>0.51229999999999998</v>
      </c>
      <c r="U57">
        <v>0.42620000000000002</v>
      </c>
      <c r="V57">
        <v>0.3291</v>
      </c>
      <c r="W57">
        <v>0.50290000000000001</v>
      </c>
      <c r="X57">
        <v>0.56559999999999999</v>
      </c>
      <c r="Y57">
        <v>0.56940000000000002</v>
      </c>
      <c r="Z57">
        <v>0.58930000000000005</v>
      </c>
      <c r="AA57">
        <v>0.52680000000000005</v>
      </c>
      <c r="AB57">
        <v>0.43209999999999998</v>
      </c>
      <c r="AC57">
        <v>0.2717</v>
      </c>
    </row>
    <row r="58" spans="1:29" x14ac:dyDescent="0.45">
      <c r="A58" t="s">
        <v>9</v>
      </c>
      <c r="B58" t="s">
        <v>434</v>
      </c>
      <c r="C58" t="s">
        <v>435</v>
      </c>
      <c r="D58" t="s">
        <v>429</v>
      </c>
      <c r="E58" t="str">
        <f t="shared" si="0"/>
        <v>AZ|onshore wind|Winter Peak</v>
      </c>
      <c r="F58">
        <v>0.51829999999999998</v>
      </c>
      <c r="G58">
        <v>0.56869999999999998</v>
      </c>
      <c r="H58">
        <v>0.58930000000000005</v>
      </c>
      <c r="I58">
        <v>0.65269999999999995</v>
      </c>
      <c r="J58">
        <v>0.6875</v>
      </c>
      <c r="K58">
        <v>0.69369999999999998</v>
      </c>
      <c r="L58">
        <v>0.7298</v>
      </c>
      <c r="M58">
        <v>0.74929999999999997</v>
      </c>
      <c r="N58">
        <v>0.4395</v>
      </c>
      <c r="O58">
        <v>0.50090000000000001</v>
      </c>
      <c r="P58">
        <v>0.58540000000000003</v>
      </c>
      <c r="Q58">
        <v>0.59909999999999997</v>
      </c>
      <c r="R58">
        <v>0.57030000000000003</v>
      </c>
      <c r="S58">
        <v>0.35649999999999998</v>
      </c>
      <c r="T58">
        <v>0.4783</v>
      </c>
      <c r="U58">
        <v>0.7319</v>
      </c>
      <c r="V58">
        <v>0.66820000000000002</v>
      </c>
      <c r="W58">
        <v>0.6855</v>
      </c>
      <c r="X58">
        <v>0.64970000000000006</v>
      </c>
      <c r="Y58">
        <v>0.67720000000000002</v>
      </c>
      <c r="Z58">
        <v>0.64910000000000001</v>
      </c>
      <c r="AA58">
        <v>0.60529999999999995</v>
      </c>
      <c r="AB58">
        <v>0.60650000000000004</v>
      </c>
      <c r="AC58">
        <v>0.57210000000000005</v>
      </c>
    </row>
    <row r="59" spans="1:29" x14ac:dyDescent="0.45">
      <c r="A59" t="s">
        <v>9</v>
      </c>
      <c r="B59" t="s">
        <v>436</v>
      </c>
      <c r="C59" t="s">
        <v>437</v>
      </c>
      <c r="D59" t="s">
        <v>424</v>
      </c>
      <c r="E59" t="str">
        <f t="shared" si="0"/>
        <v>AZ|solar pv|Winter</v>
      </c>
      <c r="F59">
        <v>1</v>
      </c>
      <c r="G59">
        <v>1</v>
      </c>
      <c r="H59">
        <v>1</v>
      </c>
      <c r="I59">
        <v>1</v>
      </c>
      <c r="J59">
        <v>1</v>
      </c>
      <c r="K59">
        <v>1</v>
      </c>
      <c r="L59">
        <v>1</v>
      </c>
      <c r="M59">
        <v>1</v>
      </c>
      <c r="N59">
        <v>1</v>
      </c>
      <c r="O59">
        <v>1</v>
      </c>
      <c r="P59">
        <v>1</v>
      </c>
      <c r="Q59">
        <v>1</v>
      </c>
      <c r="R59">
        <v>1</v>
      </c>
      <c r="S59">
        <v>1</v>
      </c>
      <c r="T59">
        <v>1</v>
      </c>
      <c r="U59">
        <v>1</v>
      </c>
      <c r="V59">
        <v>1</v>
      </c>
      <c r="W59">
        <v>1</v>
      </c>
      <c r="X59">
        <v>1</v>
      </c>
      <c r="Y59">
        <v>1</v>
      </c>
      <c r="Z59">
        <v>1</v>
      </c>
      <c r="AA59">
        <v>1</v>
      </c>
      <c r="AB59">
        <v>1</v>
      </c>
      <c r="AC59">
        <v>1</v>
      </c>
    </row>
    <row r="60" spans="1:29" x14ac:dyDescent="0.45">
      <c r="A60" t="s">
        <v>9</v>
      </c>
      <c r="B60" t="s">
        <v>436</v>
      </c>
      <c r="C60" t="s">
        <v>437</v>
      </c>
      <c r="D60" t="s">
        <v>425</v>
      </c>
      <c r="E60" t="str">
        <f t="shared" si="0"/>
        <v>AZ|solar pv|Spring</v>
      </c>
      <c r="F60">
        <v>1</v>
      </c>
      <c r="G60">
        <v>1</v>
      </c>
      <c r="H60">
        <v>1</v>
      </c>
      <c r="I60">
        <v>1</v>
      </c>
      <c r="J60">
        <v>1</v>
      </c>
      <c r="K60">
        <v>1</v>
      </c>
      <c r="L60">
        <v>1</v>
      </c>
      <c r="M60">
        <v>1</v>
      </c>
      <c r="N60">
        <v>1</v>
      </c>
      <c r="O60">
        <v>1</v>
      </c>
      <c r="P60">
        <v>1</v>
      </c>
      <c r="Q60">
        <v>1</v>
      </c>
      <c r="R60">
        <v>1</v>
      </c>
      <c r="S60">
        <v>1</v>
      </c>
      <c r="T60">
        <v>1</v>
      </c>
      <c r="U60">
        <v>1</v>
      </c>
      <c r="V60">
        <v>1</v>
      </c>
      <c r="W60">
        <v>1</v>
      </c>
      <c r="X60">
        <v>1</v>
      </c>
      <c r="Y60">
        <v>1</v>
      </c>
      <c r="Z60">
        <v>1</v>
      </c>
      <c r="AA60">
        <v>1</v>
      </c>
      <c r="AB60">
        <v>1</v>
      </c>
      <c r="AC60">
        <v>1</v>
      </c>
    </row>
    <row r="61" spans="1:29" x14ac:dyDescent="0.45">
      <c r="A61" t="s">
        <v>9</v>
      </c>
      <c r="B61" t="s">
        <v>436</v>
      </c>
      <c r="C61" t="s">
        <v>437</v>
      </c>
      <c r="D61" t="s">
        <v>426</v>
      </c>
      <c r="E61" t="str">
        <f t="shared" si="0"/>
        <v>AZ|solar pv|Summer</v>
      </c>
      <c r="F61">
        <v>1</v>
      </c>
      <c r="G61">
        <v>1</v>
      </c>
      <c r="H61">
        <v>1</v>
      </c>
      <c r="I61">
        <v>1</v>
      </c>
      <c r="J61">
        <v>1</v>
      </c>
      <c r="K61">
        <v>1</v>
      </c>
      <c r="L61">
        <v>1</v>
      </c>
      <c r="M61">
        <v>1</v>
      </c>
      <c r="N61">
        <v>1</v>
      </c>
      <c r="O61">
        <v>1</v>
      </c>
      <c r="P61">
        <v>1</v>
      </c>
      <c r="Q61">
        <v>1</v>
      </c>
      <c r="R61">
        <v>1</v>
      </c>
      <c r="S61">
        <v>1</v>
      </c>
      <c r="T61">
        <v>1</v>
      </c>
      <c r="U61">
        <v>1</v>
      </c>
      <c r="V61">
        <v>1</v>
      </c>
      <c r="W61">
        <v>1</v>
      </c>
      <c r="X61">
        <v>1</v>
      </c>
      <c r="Y61">
        <v>1</v>
      </c>
      <c r="Z61">
        <v>1</v>
      </c>
      <c r="AA61">
        <v>1</v>
      </c>
      <c r="AB61">
        <v>1</v>
      </c>
      <c r="AC61">
        <v>1</v>
      </c>
    </row>
    <row r="62" spans="1:29" x14ac:dyDescent="0.45">
      <c r="A62" t="s">
        <v>9</v>
      </c>
      <c r="B62" t="s">
        <v>436</v>
      </c>
      <c r="C62" t="s">
        <v>437</v>
      </c>
      <c r="D62" t="s">
        <v>427</v>
      </c>
      <c r="E62" t="str">
        <f t="shared" si="0"/>
        <v>AZ|solar pv|Fall</v>
      </c>
      <c r="F62">
        <v>1</v>
      </c>
      <c r="G62">
        <v>1</v>
      </c>
      <c r="H62">
        <v>1</v>
      </c>
      <c r="I62">
        <v>1</v>
      </c>
      <c r="J62">
        <v>1</v>
      </c>
      <c r="K62">
        <v>1</v>
      </c>
      <c r="L62">
        <v>1</v>
      </c>
      <c r="M62">
        <v>1</v>
      </c>
      <c r="N62">
        <v>1</v>
      </c>
      <c r="O62">
        <v>1</v>
      </c>
      <c r="P62">
        <v>1</v>
      </c>
      <c r="Q62">
        <v>1</v>
      </c>
      <c r="R62">
        <v>1</v>
      </c>
      <c r="S62">
        <v>1</v>
      </c>
      <c r="T62">
        <v>1</v>
      </c>
      <c r="U62">
        <v>1</v>
      </c>
      <c r="V62">
        <v>1</v>
      </c>
      <c r="W62">
        <v>1</v>
      </c>
      <c r="X62">
        <v>1</v>
      </c>
      <c r="Y62">
        <v>1</v>
      </c>
      <c r="Z62">
        <v>1</v>
      </c>
      <c r="AA62">
        <v>1</v>
      </c>
      <c r="AB62">
        <v>1</v>
      </c>
      <c r="AC62">
        <v>1</v>
      </c>
    </row>
    <row r="63" spans="1:29" x14ac:dyDescent="0.45">
      <c r="A63" t="s">
        <v>9</v>
      </c>
      <c r="B63" t="s">
        <v>436</v>
      </c>
      <c r="C63" t="s">
        <v>437</v>
      </c>
      <c r="D63" t="s">
        <v>428</v>
      </c>
      <c r="E63" t="str">
        <f t="shared" si="0"/>
        <v>AZ|solar pv|Summer Peak</v>
      </c>
      <c r="F63">
        <v>1</v>
      </c>
      <c r="G63">
        <v>1</v>
      </c>
      <c r="H63">
        <v>1</v>
      </c>
      <c r="I63">
        <v>1</v>
      </c>
      <c r="J63">
        <v>1</v>
      </c>
      <c r="K63">
        <v>8.5400000000000004E-2</v>
      </c>
      <c r="L63">
        <v>0.86199999999999999</v>
      </c>
      <c r="M63">
        <v>0.84179999999999999</v>
      </c>
      <c r="N63">
        <v>0.9425</v>
      </c>
      <c r="O63">
        <v>0.89100000000000001</v>
      </c>
      <c r="P63">
        <v>0.89429999999999998</v>
      </c>
      <c r="Q63">
        <v>0.9425</v>
      </c>
      <c r="R63">
        <v>0.90269999999999995</v>
      </c>
      <c r="S63">
        <v>0.93559999999999999</v>
      </c>
      <c r="T63">
        <v>0.93979999999999997</v>
      </c>
      <c r="U63">
        <v>0.89280000000000004</v>
      </c>
      <c r="V63">
        <v>0.9284</v>
      </c>
      <c r="W63">
        <v>0.96530000000000005</v>
      </c>
      <c r="X63">
        <v>0.3175</v>
      </c>
      <c r="Y63">
        <v>1</v>
      </c>
      <c r="Z63">
        <v>1</v>
      </c>
      <c r="AA63">
        <v>1</v>
      </c>
      <c r="AB63">
        <v>1</v>
      </c>
      <c r="AC63">
        <v>1</v>
      </c>
    </row>
    <row r="64" spans="1:29" x14ac:dyDescent="0.45">
      <c r="A64" t="s">
        <v>9</v>
      </c>
      <c r="B64" t="s">
        <v>436</v>
      </c>
      <c r="C64" t="s">
        <v>437</v>
      </c>
      <c r="D64" t="s">
        <v>429</v>
      </c>
      <c r="E64" t="str">
        <f t="shared" si="0"/>
        <v>AZ|solar pv|Winter Peak</v>
      </c>
      <c r="F64">
        <v>1</v>
      </c>
      <c r="G64">
        <v>1</v>
      </c>
      <c r="H64">
        <v>1</v>
      </c>
      <c r="I64">
        <v>1</v>
      </c>
      <c r="J64">
        <v>1</v>
      </c>
      <c r="K64">
        <v>1</v>
      </c>
      <c r="L64">
        <v>1</v>
      </c>
      <c r="M64">
        <v>0.88959999999999995</v>
      </c>
      <c r="N64">
        <v>0.97260000000000002</v>
      </c>
      <c r="O64">
        <v>0.97209999999999996</v>
      </c>
      <c r="P64">
        <v>0.97089999999999999</v>
      </c>
      <c r="Q64">
        <v>0.95040000000000002</v>
      </c>
      <c r="R64">
        <v>0.96609999999999996</v>
      </c>
      <c r="S64">
        <v>0.9758</v>
      </c>
      <c r="T64">
        <v>0.98250000000000004</v>
      </c>
      <c r="U64">
        <v>0.94589999999999996</v>
      </c>
      <c r="V64">
        <v>0.58630000000000004</v>
      </c>
      <c r="W64">
        <v>0</v>
      </c>
      <c r="X64">
        <v>1</v>
      </c>
      <c r="Y64">
        <v>1</v>
      </c>
      <c r="Z64">
        <v>1</v>
      </c>
      <c r="AA64">
        <v>1</v>
      </c>
      <c r="AB64">
        <v>1</v>
      </c>
      <c r="AC64">
        <v>1</v>
      </c>
    </row>
    <row r="65" spans="1:29" x14ac:dyDescent="0.45">
      <c r="A65" t="s">
        <v>9</v>
      </c>
      <c r="B65" t="s">
        <v>438</v>
      </c>
      <c r="C65" t="s">
        <v>439</v>
      </c>
      <c r="D65" t="s">
        <v>424</v>
      </c>
      <c r="E65" t="str">
        <f t="shared" si="0"/>
        <v>AZ|solar thermal|Winter</v>
      </c>
      <c r="F65">
        <v>1</v>
      </c>
      <c r="G65">
        <v>1</v>
      </c>
      <c r="H65">
        <v>1</v>
      </c>
      <c r="I65">
        <v>1</v>
      </c>
      <c r="J65">
        <v>1</v>
      </c>
      <c r="K65">
        <v>1</v>
      </c>
      <c r="L65">
        <v>1</v>
      </c>
      <c r="M65">
        <v>1</v>
      </c>
      <c r="N65">
        <v>1</v>
      </c>
      <c r="O65">
        <v>1</v>
      </c>
      <c r="P65">
        <v>1</v>
      </c>
      <c r="Q65">
        <v>1</v>
      </c>
      <c r="R65">
        <v>1</v>
      </c>
      <c r="S65">
        <v>1</v>
      </c>
      <c r="T65">
        <v>1</v>
      </c>
      <c r="U65">
        <v>1</v>
      </c>
      <c r="V65">
        <v>1</v>
      </c>
      <c r="W65">
        <v>1</v>
      </c>
      <c r="X65">
        <v>1</v>
      </c>
      <c r="Y65">
        <v>1</v>
      </c>
      <c r="Z65">
        <v>1</v>
      </c>
      <c r="AA65">
        <v>1</v>
      </c>
      <c r="AB65">
        <v>1</v>
      </c>
      <c r="AC65">
        <v>1</v>
      </c>
    </row>
    <row r="66" spans="1:29" x14ac:dyDescent="0.45">
      <c r="A66" t="s">
        <v>9</v>
      </c>
      <c r="B66" t="s">
        <v>438</v>
      </c>
      <c r="C66" t="s">
        <v>439</v>
      </c>
      <c r="D66" t="s">
        <v>425</v>
      </c>
      <c r="E66" t="str">
        <f t="shared" si="0"/>
        <v>AZ|solar thermal|Spring</v>
      </c>
      <c r="F66">
        <v>1</v>
      </c>
      <c r="G66">
        <v>1</v>
      </c>
      <c r="H66">
        <v>1</v>
      </c>
      <c r="I66">
        <v>1</v>
      </c>
      <c r="J66">
        <v>1</v>
      </c>
      <c r="K66">
        <v>1</v>
      </c>
      <c r="L66">
        <v>1</v>
      </c>
      <c r="M66">
        <v>1</v>
      </c>
      <c r="N66">
        <v>1</v>
      </c>
      <c r="O66">
        <v>1</v>
      </c>
      <c r="P66">
        <v>1</v>
      </c>
      <c r="Q66">
        <v>1</v>
      </c>
      <c r="R66">
        <v>1</v>
      </c>
      <c r="S66">
        <v>1</v>
      </c>
      <c r="T66">
        <v>1</v>
      </c>
      <c r="U66">
        <v>1</v>
      </c>
      <c r="V66">
        <v>1</v>
      </c>
      <c r="W66">
        <v>1</v>
      </c>
      <c r="X66">
        <v>1</v>
      </c>
      <c r="Y66">
        <v>1</v>
      </c>
      <c r="Z66">
        <v>1</v>
      </c>
      <c r="AA66">
        <v>1</v>
      </c>
      <c r="AB66">
        <v>1</v>
      </c>
      <c r="AC66">
        <v>1</v>
      </c>
    </row>
    <row r="67" spans="1:29" x14ac:dyDescent="0.45">
      <c r="A67" t="s">
        <v>9</v>
      </c>
      <c r="B67" t="s">
        <v>438</v>
      </c>
      <c r="C67" t="s">
        <v>439</v>
      </c>
      <c r="D67" t="s">
        <v>426</v>
      </c>
      <c r="E67" t="str">
        <f t="shared" si="0"/>
        <v>AZ|solar thermal|Summer</v>
      </c>
      <c r="F67">
        <v>1</v>
      </c>
      <c r="G67">
        <v>1</v>
      </c>
      <c r="H67">
        <v>1</v>
      </c>
      <c r="I67">
        <v>1</v>
      </c>
      <c r="J67">
        <v>1</v>
      </c>
      <c r="K67">
        <v>1</v>
      </c>
      <c r="L67">
        <v>1</v>
      </c>
      <c r="M67">
        <v>1</v>
      </c>
      <c r="N67">
        <v>1</v>
      </c>
      <c r="O67">
        <v>1</v>
      </c>
      <c r="P67">
        <v>1</v>
      </c>
      <c r="Q67">
        <v>1</v>
      </c>
      <c r="R67">
        <v>1</v>
      </c>
      <c r="S67">
        <v>1</v>
      </c>
      <c r="T67">
        <v>1</v>
      </c>
      <c r="U67">
        <v>1</v>
      </c>
      <c r="V67">
        <v>1</v>
      </c>
      <c r="W67">
        <v>1</v>
      </c>
      <c r="X67">
        <v>1</v>
      </c>
      <c r="Y67">
        <v>1</v>
      </c>
      <c r="Z67">
        <v>1</v>
      </c>
      <c r="AA67">
        <v>1</v>
      </c>
      <c r="AB67">
        <v>1</v>
      </c>
      <c r="AC67">
        <v>1</v>
      </c>
    </row>
    <row r="68" spans="1:29" x14ac:dyDescent="0.45">
      <c r="A68" t="s">
        <v>9</v>
      </c>
      <c r="B68" t="s">
        <v>438</v>
      </c>
      <c r="C68" t="s">
        <v>439</v>
      </c>
      <c r="D68" t="s">
        <v>427</v>
      </c>
      <c r="E68" t="str">
        <f t="shared" si="0"/>
        <v>AZ|solar thermal|Fall</v>
      </c>
      <c r="F68">
        <v>1</v>
      </c>
      <c r="G68">
        <v>1</v>
      </c>
      <c r="H68">
        <v>1</v>
      </c>
      <c r="I68">
        <v>1</v>
      </c>
      <c r="J68">
        <v>1</v>
      </c>
      <c r="K68">
        <v>1</v>
      </c>
      <c r="L68">
        <v>1</v>
      </c>
      <c r="M68">
        <v>1</v>
      </c>
      <c r="N68">
        <v>1</v>
      </c>
      <c r="O68">
        <v>1</v>
      </c>
      <c r="P68">
        <v>1</v>
      </c>
      <c r="Q68">
        <v>1</v>
      </c>
      <c r="R68">
        <v>1</v>
      </c>
      <c r="S68">
        <v>1</v>
      </c>
      <c r="T68">
        <v>1</v>
      </c>
      <c r="U68">
        <v>1</v>
      </c>
      <c r="V68">
        <v>1</v>
      </c>
      <c r="W68">
        <v>1</v>
      </c>
      <c r="X68">
        <v>1</v>
      </c>
      <c r="Y68">
        <v>1</v>
      </c>
      <c r="Z68">
        <v>1</v>
      </c>
      <c r="AA68">
        <v>1</v>
      </c>
      <c r="AB68">
        <v>1</v>
      </c>
      <c r="AC68">
        <v>1</v>
      </c>
    </row>
    <row r="69" spans="1:29" x14ac:dyDescent="0.45">
      <c r="A69" t="s">
        <v>9</v>
      </c>
      <c r="B69" t="s">
        <v>438</v>
      </c>
      <c r="C69" t="s">
        <v>439</v>
      </c>
      <c r="D69" t="s">
        <v>428</v>
      </c>
      <c r="E69" t="str">
        <f t="shared" ref="E69:E132" si="1">A69&amp;"|"&amp;C69&amp;"|"&amp;D69</f>
        <v>AZ|solar thermal|Summer Peak</v>
      </c>
      <c r="F69">
        <v>1</v>
      </c>
      <c r="G69">
        <v>1</v>
      </c>
      <c r="H69">
        <v>1</v>
      </c>
      <c r="I69">
        <v>1</v>
      </c>
      <c r="J69">
        <v>1</v>
      </c>
      <c r="K69">
        <v>1</v>
      </c>
      <c r="L69">
        <v>1</v>
      </c>
      <c r="M69">
        <v>0</v>
      </c>
      <c r="N69">
        <v>0.8639</v>
      </c>
      <c r="O69">
        <v>1</v>
      </c>
      <c r="P69">
        <v>1</v>
      </c>
      <c r="Q69">
        <v>0.97160000000000002</v>
      </c>
      <c r="R69">
        <v>0.96719999999999995</v>
      </c>
      <c r="S69">
        <v>1</v>
      </c>
      <c r="T69">
        <v>1</v>
      </c>
      <c r="U69">
        <v>1</v>
      </c>
      <c r="V69">
        <v>1</v>
      </c>
      <c r="W69">
        <v>1</v>
      </c>
      <c r="X69">
        <v>1</v>
      </c>
      <c r="Y69">
        <v>0.93130000000000002</v>
      </c>
      <c r="Z69">
        <v>0.70220000000000005</v>
      </c>
      <c r="AA69">
        <v>1</v>
      </c>
      <c r="AB69">
        <v>1</v>
      </c>
      <c r="AC69">
        <v>1</v>
      </c>
    </row>
    <row r="70" spans="1:29" x14ac:dyDescent="0.45">
      <c r="A70" t="s">
        <v>9</v>
      </c>
      <c r="B70" t="s">
        <v>438</v>
      </c>
      <c r="C70" t="s">
        <v>439</v>
      </c>
      <c r="D70" t="s">
        <v>429</v>
      </c>
      <c r="E70" t="str">
        <f t="shared" si="1"/>
        <v>AZ|solar thermal|Winter Peak</v>
      </c>
      <c r="F70">
        <v>1</v>
      </c>
      <c r="G70">
        <v>1</v>
      </c>
      <c r="H70">
        <v>1</v>
      </c>
      <c r="I70">
        <v>1</v>
      </c>
      <c r="J70">
        <v>1</v>
      </c>
      <c r="K70">
        <v>1</v>
      </c>
      <c r="L70">
        <v>1</v>
      </c>
      <c r="M70">
        <v>1</v>
      </c>
      <c r="N70">
        <v>1</v>
      </c>
      <c r="O70">
        <v>0.2419</v>
      </c>
      <c r="P70">
        <v>0.95320000000000005</v>
      </c>
      <c r="Q70">
        <v>0.88039999999999996</v>
      </c>
      <c r="R70">
        <v>0.97819999999999996</v>
      </c>
      <c r="S70">
        <v>0.98950000000000005</v>
      </c>
      <c r="T70">
        <v>0.99270000000000003</v>
      </c>
      <c r="U70">
        <v>1</v>
      </c>
      <c r="V70">
        <v>1</v>
      </c>
      <c r="W70">
        <v>1</v>
      </c>
      <c r="X70">
        <v>0.89019999999999999</v>
      </c>
      <c r="Y70">
        <v>0</v>
      </c>
      <c r="Z70">
        <v>1</v>
      </c>
      <c r="AA70">
        <v>1</v>
      </c>
      <c r="AB70">
        <v>1</v>
      </c>
      <c r="AC70">
        <v>1</v>
      </c>
    </row>
    <row r="71" spans="1:29" x14ac:dyDescent="0.45">
      <c r="A71" t="s">
        <v>9</v>
      </c>
      <c r="B71" t="s">
        <v>440</v>
      </c>
      <c r="C71" t="s">
        <v>441</v>
      </c>
      <c r="D71" t="s">
        <v>424</v>
      </c>
      <c r="E71" t="str">
        <f t="shared" si="1"/>
        <v>AZ|offshore wind|Winter</v>
      </c>
      <c r="F71">
        <v>1</v>
      </c>
      <c r="G71">
        <v>1</v>
      </c>
      <c r="H71">
        <v>1</v>
      </c>
      <c r="I71">
        <v>1</v>
      </c>
      <c r="J71">
        <v>1</v>
      </c>
      <c r="K71">
        <v>1</v>
      </c>
      <c r="L71">
        <v>1</v>
      </c>
      <c r="M71">
        <v>1</v>
      </c>
      <c r="N71">
        <v>1</v>
      </c>
      <c r="O71">
        <v>1</v>
      </c>
      <c r="P71">
        <v>1</v>
      </c>
      <c r="Q71">
        <v>1</v>
      </c>
      <c r="R71">
        <v>1</v>
      </c>
      <c r="S71">
        <v>1</v>
      </c>
      <c r="T71">
        <v>1</v>
      </c>
      <c r="U71">
        <v>1</v>
      </c>
      <c r="V71">
        <v>1</v>
      </c>
      <c r="W71">
        <v>1</v>
      </c>
      <c r="X71">
        <v>1</v>
      </c>
      <c r="Y71">
        <v>1</v>
      </c>
      <c r="Z71">
        <v>1</v>
      </c>
      <c r="AA71">
        <v>1</v>
      </c>
      <c r="AB71">
        <v>1</v>
      </c>
      <c r="AC71">
        <v>1</v>
      </c>
    </row>
    <row r="72" spans="1:29" x14ac:dyDescent="0.45">
      <c r="A72" t="s">
        <v>9</v>
      </c>
      <c r="B72" t="s">
        <v>440</v>
      </c>
      <c r="C72" t="s">
        <v>441</v>
      </c>
      <c r="D72" t="s">
        <v>425</v>
      </c>
      <c r="E72" t="str">
        <f t="shared" si="1"/>
        <v>AZ|offshore wind|Spring</v>
      </c>
      <c r="F72">
        <v>1</v>
      </c>
      <c r="G72">
        <v>1</v>
      </c>
      <c r="H72">
        <v>1</v>
      </c>
      <c r="I72">
        <v>1</v>
      </c>
      <c r="J72">
        <v>1</v>
      </c>
      <c r="K72">
        <v>1</v>
      </c>
      <c r="L72">
        <v>1</v>
      </c>
      <c r="M72">
        <v>1</v>
      </c>
      <c r="N72">
        <v>1</v>
      </c>
      <c r="O72">
        <v>1</v>
      </c>
      <c r="P72">
        <v>1</v>
      </c>
      <c r="Q72">
        <v>1</v>
      </c>
      <c r="R72">
        <v>1</v>
      </c>
      <c r="S72">
        <v>1</v>
      </c>
      <c r="T72">
        <v>1</v>
      </c>
      <c r="U72">
        <v>1</v>
      </c>
      <c r="V72">
        <v>1</v>
      </c>
      <c r="W72">
        <v>1</v>
      </c>
      <c r="X72">
        <v>1</v>
      </c>
      <c r="Y72">
        <v>1</v>
      </c>
      <c r="Z72">
        <v>1</v>
      </c>
      <c r="AA72">
        <v>1</v>
      </c>
      <c r="AB72">
        <v>1</v>
      </c>
      <c r="AC72">
        <v>1</v>
      </c>
    </row>
    <row r="73" spans="1:29" x14ac:dyDescent="0.45">
      <c r="A73" t="s">
        <v>9</v>
      </c>
      <c r="B73" t="s">
        <v>440</v>
      </c>
      <c r="C73" t="s">
        <v>441</v>
      </c>
      <c r="D73" t="s">
        <v>426</v>
      </c>
      <c r="E73" t="str">
        <f t="shared" si="1"/>
        <v>AZ|offshore wind|Summer</v>
      </c>
      <c r="F73">
        <v>1</v>
      </c>
      <c r="G73">
        <v>1</v>
      </c>
      <c r="H73">
        <v>1</v>
      </c>
      <c r="I73">
        <v>1</v>
      </c>
      <c r="J73">
        <v>1</v>
      </c>
      <c r="K73">
        <v>1</v>
      </c>
      <c r="L73">
        <v>1</v>
      </c>
      <c r="M73">
        <v>1</v>
      </c>
      <c r="N73">
        <v>1</v>
      </c>
      <c r="O73">
        <v>1</v>
      </c>
      <c r="P73">
        <v>1</v>
      </c>
      <c r="Q73">
        <v>1</v>
      </c>
      <c r="R73">
        <v>1</v>
      </c>
      <c r="S73">
        <v>1</v>
      </c>
      <c r="T73">
        <v>1</v>
      </c>
      <c r="U73">
        <v>1</v>
      </c>
      <c r="V73">
        <v>1</v>
      </c>
      <c r="W73">
        <v>1</v>
      </c>
      <c r="X73">
        <v>1</v>
      </c>
      <c r="Y73">
        <v>1</v>
      </c>
      <c r="Z73">
        <v>1</v>
      </c>
      <c r="AA73">
        <v>1</v>
      </c>
      <c r="AB73">
        <v>1</v>
      </c>
      <c r="AC73">
        <v>1</v>
      </c>
    </row>
    <row r="74" spans="1:29" x14ac:dyDescent="0.45">
      <c r="A74" t="s">
        <v>9</v>
      </c>
      <c r="B74" t="s">
        <v>440</v>
      </c>
      <c r="C74" t="s">
        <v>441</v>
      </c>
      <c r="D74" t="s">
        <v>427</v>
      </c>
      <c r="E74" t="str">
        <f t="shared" si="1"/>
        <v>AZ|offshore wind|Fall</v>
      </c>
      <c r="F74">
        <v>1</v>
      </c>
      <c r="G74">
        <v>1</v>
      </c>
      <c r="H74">
        <v>1</v>
      </c>
      <c r="I74">
        <v>1</v>
      </c>
      <c r="J74">
        <v>1</v>
      </c>
      <c r="K74">
        <v>1</v>
      </c>
      <c r="L74">
        <v>1</v>
      </c>
      <c r="M74">
        <v>1</v>
      </c>
      <c r="N74">
        <v>1</v>
      </c>
      <c r="O74">
        <v>1</v>
      </c>
      <c r="P74">
        <v>1</v>
      </c>
      <c r="Q74">
        <v>1</v>
      </c>
      <c r="R74">
        <v>1</v>
      </c>
      <c r="S74">
        <v>1</v>
      </c>
      <c r="T74">
        <v>1</v>
      </c>
      <c r="U74">
        <v>1</v>
      </c>
      <c r="V74">
        <v>1</v>
      </c>
      <c r="W74">
        <v>1</v>
      </c>
      <c r="X74">
        <v>1</v>
      </c>
      <c r="Y74">
        <v>1</v>
      </c>
      <c r="Z74">
        <v>1</v>
      </c>
      <c r="AA74">
        <v>1</v>
      </c>
      <c r="AB74">
        <v>1</v>
      </c>
      <c r="AC74">
        <v>1</v>
      </c>
    </row>
    <row r="75" spans="1:29" x14ac:dyDescent="0.45">
      <c r="A75" t="s">
        <v>9</v>
      </c>
      <c r="B75" t="s">
        <v>440</v>
      </c>
      <c r="C75" t="s">
        <v>441</v>
      </c>
      <c r="D75" t="s">
        <v>428</v>
      </c>
      <c r="E75" t="str">
        <f t="shared" si="1"/>
        <v>AZ|offshore wind|Summer Peak</v>
      </c>
      <c r="F75">
        <v>0.40810000000000002</v>
      </c>
      <c r="G75">
        <v>0.4239</v>
      </c>
      <c r="H75">
        <v>0.45760000000000001</v>
      </c>
      <c r="I75">
        <v>0.50319999999999998</v>
      </c>
      <c r="J75">
        <v>0.53649999999999998</v>
      </c>
      <c r="K75">
        <v>0.59399999999999997</v>
      </c>
      <c r="L75">
        <v>0.61929999999999996</v>
      </c>
      <c r="M75">
        <v>0.68859999999999999</v>
      </c>
      <c r="N75">
        <v>0.73480000000000001</v>
      </c>
      <c r="O75">
        <v>0.84350000000000003</v>
      </c>
      <c r="P75">
        <v>0.78200000000000003</v>
      </c>
      <c r="Q75">
        <v>0.74650000000000005</v>
      </c>
      <c r="R75">
        <v>0.63690000000000002</v>
      </c>
      <c r="S75">
        <v>0.60860000000000003</v>
      </c>
      <c r="T75">
        <v>0.64339999999999997</v>
      </c>
      <c r="U75">
        <v>0.69269999999999998</v>
      </c>
      <c r="V75">
        <v>0.71450000000000002</v>
      </c>
      <c r="W75">
        <v>0.75070000000000003</v>
      </c>
      <c r="X75">
        <v>0.72489999999999999</v>
      </c>
      <c r="Y75">
        <v>0.66049999999999998</v>
      </c>
      <c r="Z75">
        <v>0.69140000000000001</v>
      </c>
      <c r="AA75">
        <v>0.63080000000000003</v>
      </c>
      <c r="AB75">
        <v>0.63429999999999997</v>
      </c>
      <c r="AC75">
        <v>0.64390000000000003</v>
      </c>
    </row>
    <row r="76" spans="1:29" x14ac:dyDescent="0.45">
      <c r="A76" t="s">
        <v>9</v>
      </c>
      <c r="B76" t="s">
        <v>440</v>
      </c>
      <c r="C76" t="s">
        <v>441</v>
      </c>
      <c r="D76" t="s">
        <v>429</v>
      </c>
      <c r="E76" t="str">
        <f t="shared" si="1"/>
        <v>AZ|offshore wind|Winter Peak</v>
      </c>
      <c r="F76">
        <v>0.95309999999999995</v>
      </c>
      <c r="G76">
        <v>0.95030000000000003</v>
      </c>
      <c r="H76">
        <v>0.95540000000000003</v>
      </c>
      <c r="I76">
        <v>0.96679999999999999</v>
      </c>
      <c r="J76">
        <v>1</v>
      </c>
      <c r="K76">
        <v>1</v>
      </c>
      <c r="L76">
        <v>1</v>
      </c>
      <c r="M76">
        <v>0.99209999999999998</v>
      </c>
      <c r="N76">
        <v>0.90149999999999997</v>
      </c>
      <c r="O76">
        <v>0.79779999999999995</v>
      </c>
      <c r="P76">
        <v>0.71879999999999999</v>
      </c>
      <c r="Q76">
        <v>0.67300000000000004</v>
      </c>
      <c r="R76">
        <v>0.60860000000000003</v>
      </c>
      <c r="S76">
        <v>0.58009999999999995</v>
      </c>
      <c r="T76">
        <v>0.58799999999999997</v>
      </c>
      <c r="U76">
        <v>0.61019999999999996</v>
      </c>
      <c r="V76">
        <v>0.61839999999999995</v>
      </c>
      <c r="W76">
        <v>0.60909999999999997</v>
      </c>
      <c r="X76">
        <v>0.62880000000000003</v>
      </c>
      <c r="Y76">
        <v>0.72889999999999999</v>
      </c>
      <c r="Z76">
        <v>0.84719999999999995</v>
      </c>
      <c r="AA76">
        <v>0.92220000000000002</v>
      </c>
      <c r="AB76">
        <v>0.86950000000000005</v>
      </c>
      <c r="AC76">
        <v>0.8054</v>
      </c>
    </row>
    <row r="77" spans="1:29" x14ac:dyDescent="0.45">
      <c r="A77" t="s">
        <v>12</v>
      </c>
      <c r="B77" t="s">
        <v>434</v>
      </c>
      <c r="C77" t="s">
        <v>435</v>
      </c>
      <c r="D77" t="s">
        <v>424</v>
      </c>
      <c r="E77" t="str">
        <f t="shared" si="1"/>
        <v>CA|onshore wind|Winter</v>
      </c>
      <c r="F77">
        <v>1</v>
      </c>
      <c r="G77">
        <v>1</v>
      </c>
      <c r="H77">
        <v>1</v>
      </c>
      <c r="I77">
        <v>1</v>
      </c>
      <c r="J77">
        <v>1</v>
      </c>
      <c r="K77">
        <v>1</v>
      </c>
      <c r="L77">
        <v>1</v>
      </c>
      <c r="M77">
        <v>1</v>
      </c>
      <c r="N77">
        <v>1</v>
      </c>
      <c r="O77">
        <v>1</v>
      </c>
      <c r="P77">
        <v>1</v>
      </c>
      <c r="Q77">
        <v>1</v>
      </c>
      <c r="R77">
        <v>1</v>
      </c>
      <c r="S77">
        <v>1</v>
      </c>
      <c r="T77">
        <v>1</v>
      </c>
      <c r="U77">
        <v>1</v>
      </c>
      <c r="V77">
        <v>1</v>
      </c>
      <c r="W77">
        <v>1</v>
      </c>
      <c r="X77">
        <v>1</v>
      </c>
      <c r="Y77">
        <v>1</v>
      </c>
      <c r="Z77">
        <v>1</v>
      </c>
      <c r="AA77">
        <v>1</v>
      </c>
      <c r="AB77">
        <v>1</v>
      </c>
      <c r="AC77">
        <v>1</v>
      </c>
    </row>
    <row r="78" spans="1:29" x14ac:dyDescent="0.45">
      <c r="A78" t="s">
        <v>12</v>
      </c>
      <c r="B78" t="s">
        <v>434</v>
      </c>
      <c r="C78" t="s">
        <v>435</v>
      </c>
      <c r="D78" t="s">
        <v>425</v>
      </c>
      <c r="E78" t="str">
        <f t="shared" si="1"/>
        <v>CA|onshore wind|Spring</v>
      </c>
      <c r="F78">
        <v>1</v>
      </c>
      <c r="G78">
        <v>1</v>
      </c>
      <c r="H78">
        <v>1</v>
      </c>
      <c r="I78">
        <v>1</v>
      </c>
      <c r="J78">
        <v>1</v>
      </c>
      <c r="K78">
        <v>1</v>
      </c>
      <c r="L78">
        <v>1</v>
      </c>
      <c r="M78">
        <v>1</v>
      </c>
      <c r="N78">
        <v>1</v>
      </c>
      <c r="O78">
        <v>1</v>
      </c>
      <c r="P78">
        <v>1</v>
      </c>
      <c r="Q78">
        <v>1</v>
      </c>
      <c r="R78">
        <v>1</v>
      </c>
      <c r="S78">
        <v>1</v>
      </c>
      <c r="T78">
        <v>1</v>
      </c>
      <c r="U78">
        <v>1</v>
      </c>
      <c r="V78">
        <v>1</v>
      </c>
      <c r="W78">
        <v>1</v>
      </c>
      <c r="X78">
        <v>1</v>
      </c>
      <c r="Y78">
        <v>1</v>
      </c>
      <c r="Z78">
        <v>1</v>
      </c>
      <c r="AA78">
        <v>1</v>
      </c>
      <c r="AB78">
        <v>1</v>
      </c>
      <c r="AC78">
        <v>1</v>
      </c>
    </row>
    <row r="79" spans="1:29" x14ac:dyDescent="0.45">
      <c r="A79" t="s">
        <v>12</v>
      </c>
      <c r="B79" t="s">
        <v>434</v>
      </c>
      <c r="C79" t="s">
        <v>435</v>
      </c>
      <c r="D79" t="s">
        <v>426</v>
      </c>
      <c r="E79" t="str">
        <f t="shared" si="1"/>
        <v>CA|onshore wind|Summer</v>
      </c>
      <c r="F79">
        <v>1</v>
      </c>
      <c r="G79">
        <v>1</v>
      </c>
      <c r="H79">
        <v>1</v>
      </c>
      <c r="I79">
        <v>1</v>
      </c>
      <c r="J79">
        <v>1</v>
      </c>
      <c r="K79">
        <v>1</v>
      </c>
      <c r="L79">
        <v>1</v>
      </c>
      <c r="M79">
        <v>1</v>
      </c>
      <c r="N79">
        <v>1</v>
      </c>
      <c r="O79">
        <v>1</v>
      </c>
      <c r="P79">
        <v>1</v>
      </c>
      <c r="Q79">
        <v>1</v>
      </c>
      <c r="R79">
        <v>1</v>
      </c>
      <c r="S79">
        <v>1</v>
      </c>
      <c r="T79">
        <v>1</v>
      </c>
      <c r="U79">
        <v>1</v>
      </c>
      <c r="V79">
        <v>1</v>
      </c>
      <c r="W79">
        <v>1</v>
      </c>
      <c r="X79">
        <v>1</v>
      </c>
      <c r="Y79">
        <v>1</v>
      </c>
      <c r="Z79">
        <v>1</v>
      </c>
      <c r="AA79">
        <v>1</v>
      </c>
      <c r="AB79">
        <v>1</v>
      </c>
      <c r="AC79">
        <v>1</v>
      </c>
    </row>
    <row r="80" spans="1:29" x14ac:dyDescent="0.45">
      <c r="A80" t="s">
        <v>12</v>
      </c>
      <c r="B80" t="s">
        <v>434</v>
      </c>
      <c r="C80" t="s">
        <v>435</v>
      </c>
      <c r="D80" t="s">
        <v>427</v>
      </c>
      <c r="E80" t="str">
        <f t="shared" si="1"/>
        <v>CA|onshore wind|Fall</v>
      </c>
      <c r="F80">
        <v>1</v>
      </c>
      <c r="G80">
        <v>1</v>
      </c>
      <c r="H80">
        <v>1</v>
      </c>
      <c r="I80">
        <v>1</v>
      </c>
      <c r="J80">
        <v>1</v>
      </c>
      <c r="K80">
        <v>1</v>
      </c>
      <c r="L80">
        <v>1</v>
      </c>
      <c r="M80">
        <v>1</v>
      </c>
      <c r="N80">
        <v>1</v>
      </c>
      <c r="O80">
        <v>1</v>
      </c>
      <c r="P80">
        <v>1</v>
      </c>
      <c r="Q80">
        <v>1</v>
      </c>
      <c r="R80">
        <v>1</v>
      </c>
      <c r="S80">
        <v>1</v>
      </c>
      <c r="T80">
        <v>1</v>
      </c>
      <c r="U80">
        <v>1</v>
      </c>
      <c r="V80">
        <v>1</v>
      </c>
      <c r="W80">
        <v>1</v>
      </c>
      <c r="X80">
        <v>1</v>
      </c>
      <c r="Y80">
        <v>1</v>
      </c>
      <c r="Z80">
        <v>1</v>
      </c>
      <c r="AA80">
        <v>1</v>
      </c>
      <c r="AB80">
        <v>1</v>
      </c>
      <c r="AC80">
        <v>1</v>
      </c>
    </row>
    <row r="81" spans="1:29" x14ac:dyDescent="0.45">
      <c r="A81" t="s">
        <v>12</v>
      </c>
      <c r="B81" t="s">
        <v>434</v>
      </c>
      <c r="C81" t="s">
        <v>435</v>
      </c>
      <c r="D81" t="s">
        <v>428</v>
      </c>
      <c r="E81" t="str">
        <f t="shared" si="1"/>
        <v>CA|onshore wind|Summer Peak</v>
      </c>
      <c r="F81">
        <v>0.84440000000000004</v>
      </c>
      <c r="G81">
        <v>0.81520000000000004</v>
      </c>
      <c r="H81">
        <v>0.79110000000000003</v>
      </c>
      <c r="I81">
        <v>0.78839999999999999</v>
      </c>
      <c r="J81">
        <v>0.72450000000000003</v>
      </c>
      <c r="K81">
        <v>0.67390000000000005</v>
      </c>
      <c r="L81">
        <v>0.62</v>
      </c>
      <c r="M81">
        <v>0.54569999999999996</v>
      </c>
      <c r="N81">
        <v>0.42080000000000001</v>
      </c>
      <c r="O81">
        <v>0.40660000000000002</v>
      </c>
      <c r="P81">
        <v>0.496</v>
      </c>
      <c r="Q81">
        <v>0.55410000000000004</v>
      </c>
      <c r="R81">
        <v>0.60019999999999996</v>
      </c>
      <c r="S81">
        <v>0.71</v>
      </c>
      <c r="T81">
        <v>0.7873</v>
      </c>
      <c r="U81">
        <v>0.72440000000000004</v>
      </c>
      <c r="V81">
        <v>0.79569999999999996</v>
      </c>
      <c r="W81">
        <v>0.91449999999999998</v>
      </c>
      <c r="X81">
        <v>0.92959999999999998</v>
      </c>
      <c r="Y81">
        <v>0.89129999999999998</v>
      </c>
      <c r="Z81">
        <v>0.89129999999999998</v>
      </c>
      <c r="AA81">
        <v>0.8962</v>
      </c>
      <c r="AB81">
        <v>0.86160000000000003</v>
      </c>
      <c r="AC81">
        <v>0.82130000000000003</v>
      </c>
    </row>
    <row r="82" spans="1:29" x14ac:dyDescent="0.45">
      <c r="A82" t="s">
        <v>12</v>
      </c>
      <c r="B82" t="s">
        <v>434</v>
      </c>
      <c r="C82" t="s">
        <v>435</v>
      </c>
      <c r="D82" t="s">
        <v>429</v>
      </c>
      <c r="E82" t="str">
        <f t="shared" si="1"/>
        <v>CA|onshore wind|Winter Peak</v>
      </c>
      <c r="F82">
        <v>0.31009999999999999</v>
      </c>
      <c r="G82">
        <v>0.33600000000000002</v>
      </c>
      <c r="H82">
        <v>0.43959999999999999</v>
      </c>
      <c r="I82">
        <v>0.57069999999999999</v>
      </c>
      <c r="J82">
        <v>0.59050000000000002</v>
      </c>
      <c r="K82">
        <v>0.65459999999999996</v>
      </c>
      <c r="L82">
        <v>0.65890000000000004</v>
      </c>
      <c r="M82">
        <v>0.64859999999999995</v>
      </c>
      <c r="N82">
        <v>0.59609999999999996</v>
      </c>
      <c r="O82">
        <v>0.51919999999999999</v>
      </c>
      <c r="P82">
        <v>0.50470000000000004</v>
      </c>
      <c r="Q82">
        <v>0.48320000000000002</v>
      </c>
      <c r="R82">
        <v>0.44219999999999998</v>
      </c>
      <c r="S82">
        <v>0.49170000000000003</v>
      </c>
      <c r="T82">
        <v>0.47489999999999999</v>
      </c>
      <c r="U82">
        <v>0.41139999999999999</v>
      </c>
      <c r="V82">
        <v>0.42609999999999998</v>
      </c>
      <c r="W82">
        <v>0.4748</v>
      </c>
      <c r="X82">
        <v>0.49669999999999997</v>
      </c>
      <c r="Y82">
        <v>0.49220000000000003</v>
      </c>
      <c r="Z82">
        <v>0.47099999999999997</v>
      </c>
      <c r="AA82">
        <v>0.40570000000000001</v>
      </c>
      <c r="AB82">
        <v>0.35270000000000001</v>
      </c>
      <c r="AC82">
        <v>0.35780000000000001</v>
      </c>
    </row>
    <row r="83" spans="1:29" x14ac:dyDescent="0.45">
      <c r="A83" t="s">
        <v>12</v>
      </c>
      <c r="B83" t="s">
        <v>436</v>
      </c>
      <c r="C83" t="s">
        <v>437</v>
      </c>
      <c r="D83" t="s">
        <v>424</v>
      </c>
      <c r="E83" t="str">
        <f t="shared" si="1"/>
        <v>CA|solar pv|Winter</v>
      </c>
      <c r="F83">
        <v>1</v>
      </c>
      <c r="G83">
        <v>1</v>
      </c>
      <c r="H83">
        <v>1</v>
      </c>
      <c r="I83">
        <v>1</v>
      </c>
      <c r="J83">
        <v>1</v>
      </c>
      <c r="K83">
        <v>1</v>
      </c>
      <c r="L83">
        <v>1</v>
      </c>
      <c r="M83">
        <v>1</v>
      </c>
      <c r="N83">
        <v>1</v>
      </c>
      <c r="O83">
        <v>1</v>
      </c>
      <c r="P83">
        <v>1</v>
      </c>
      <c r="Q83">
        <v>1</v>
      </c>
      <c r="R83">
        <v>1</v>
      </c>
      <c r="S83">
        <v>1</v>
      </c>
      <c r="T83">
        <v>1</v>
      </c>
      <c r="U83">
        <v>1</v>
      </c>
      <c r="V83">
        <v>1</v>
      </c>
      <c r="W83">
        <v>1</v>
      </c>
      <c r="X83">
        <v>1</v>
      </c>
      <c r="Y83">
        <v>1</v>
      </c>
      <c r="Z83">
        <v>1</v>
      </c>
      <c r="AA83">
        <v>1</v>
      </c>
      <c r="AB83">
        <v>1</v>
      </c>
      <c r="AC83">
        <v>1</v>
      </c>
    </row>
    <row r="84" spans="1:29" x14ac:dyDescent="0.45">
      <c r="A84" t="s">
        <v>12</v>
      </c>
      <c r="B84" t="s">
        <v>436</v>
      </c>
      <c r="C84" t="s">
        <v>437</v>
      </c>
      <c r="D84" t="s">
        <v>425</v>
      </c>
      <c r="E84" t="str">
        <f t="shared" si="1"/>
        <v>CA|solar pv|Spring</v>
      </c>
      <c r="F84">
        <v>1</v>
      </c>
      <c r="G84">
        <v>1</v>
      </c>
      <c r="H84">
        <v>1</v>
      </c>
      <c r="I84">
        <v>1</v>
      </c>
      <c r="J84">
        <v>1</v>
      </c>
      <c r="K84">
        <v>1</v>
      </c>
      <c r="L84">
        <v>1</v>
      </c>
      <c r="M84">
        <v>1</v>
      </c>
      <c r="N84">
        <v>1</v>
      </c>
      <c r="O84">
        <v>1</v>
      </c>
      <c r="P84">
        <v>1</v>
      </c>
      <c r="Q84">
        <v>1</v>
      </c>
      <c r="R84">
        <v>1</v>
      </c>
      <c r="S84">
        <v>1</v>
      </c>
      <c r="T84">
        <v>1</v>
      </c>
      <c r="U84">
        <v>1</v>
      </c>
      <c r="V84">
        <v>1</v>
      </c>
      <c r="W84">
        <v>1</v>
      </c>
      <c r="X84">
        <v>1</v>
      </c>
      <c r="Y84">
        <v>1</v>
      </c>
      <c r="Z84">
        <v>1</v>
      </c>
      <c r="AA84">
        <v>1</v>
      </c>
      <c r="AB84">
        <v>1</v>
      </c>
      <c r="AC84">
        <v>1</v>
      </c>
    </row>
    <row r="85" spans="1:29" x14ac:dyDescent="0.45">
      <c r="A85" t="s">
        <v>12</v>
      </c>
      <c r="B85" t="s">
        <v>436</v>
      </c>
      <c r="C85" t="s">
        <v>437</v>
      </c>
      <c r="D85" t="s">
        <v>426</v>
      </c>
      <c r="E85" t="str">
        <f t="shared" si="1"/>
        <v>CA|solar pv|Summer</v>
      </c>
      <c r="F85">
        <v>1</v>
      </c>
      <c r="G85">
        <v>1</v>
      </c>
      <c r="H85">
        <v>1</v>
      </c>
      <c r="I85">
        <v>1</v>
      </c>
      <c r="J85">
        <v>1</v>
      </c>
      <c r="K85">
        <v>1</v>
      </c>
      <c r="L85">
        <v>1</v>
      </c>
      <c r="M85">
        <v>1</v>
      </c>
      <c r="N85">
        <v>1</v>
      </c>
      <c r="O85">
        <v>1</v>
      </c>
      <c r="P85">
        <v>1</v>
      </c>
      <c r="Q85">
        <v>1</v>
      </c>
      <c r="R85">
        <v>1</v>
      </c>
      <c r="S85">
        <v>1</v>
      </c>
      <c r="T85">
        <v>1</v>
      </c>
      <c r="U85">
        <v>1</v>
      </c>
      <c r="V85">
        <v>1</v>
      </c>
      <c r="W85">
        <v>1</v>
      </c>
      <c r="X85">
        <v>1</v>
      </c>
      <c r="Y85">
        <v>1</v>
      </c>
      <c r="Z85">
        <v>1</v>
      </c>
      <c r="AA85">
        <v>1</v>
      </c>
      <c r="AB85">
        <v>1</v>
      </c>
      <c r="AC85">
        <v>1</v>
      </c>
    </row>
    <row r="86" spans="1:29" x14ac:dyDescent="0.45">
      <c r="A86" t="s">
        <v>12</v>
      </c>
      <c r="B86" t="s">
        <v>436</v>
      </c>
      <c r="C86" t="s">
        <v>437</v>
      </c>
      <c r="D86" t="s">
        <v>427</v>
      </c>
      <c r="E86" t="str">
        <f t="shared" si="1"/>
        <v>CA|solar pv|Fall</v>
      </c>
      <c r="F86">
        <v>1</v>
      </c>
      <c r="G86">
        <v>1</v>
      </c>
      <c r="H86">
        <v>1</v>
      </c>
      <c r="I86">
        <v>1</v>
      </c>
      <c r="J86">
        <v>1</v>
      </c>
      <c r="K86">
        <v>1</v>
      </c>
      <c r="L86">
        <v>1</v>
      </c>
      <c r="M86">
        <v>1</v>
      </c>
      <c r="N86">
        <v>1</v>
      </c>
      <c r="O86">
        <v>1</v>
      </c>
      <c r="P86">
        <v>1</v>
      </c>
      <c r="Q86">
        <v>1</v>
      </c>
      <c r="R86">
        <v>1</v>
      </c>
      <c r="S86">
        <v>1</v>
      </c>
      <c r="T86">
        <v>1</v>
      </c>
      <c r="U86">
        <v>1</v>
      </c>
      <c r="V86">
        <v>1</v>
      </c>
      <c r="W86">
        <v>1</v>
      </c>
      <c r="X86">
        <v>1</v>
      </c>
      <c r="Y86">
        <v>1</v>
      </c>
      <c r="Z86">
        <v>1</v>
      </c>
      <c r="AA86">
        <v>1</v>
      </c>
      <c r="AB86">
        <v>1</v>
      </c>
      <c r="AC86">
        <v>1</v>
      </c>
    </row>
    <row r="87" spans="1:29" x14ac:dyDescent="0.45">
      <c r="A87" t="s">
        <v>12</v>
      </c>
      <c r="B87" t="s">
        <v>436</v>
      </c>
      <c r="C87" t="s">
        <v>437</v>
      </c>
      <c r="D87" t="s">
        <v>428</v>
      </c>
      <c r="E87" t="str">
        <f t="shared" si="1"/>
        <v>CA|solar pv|Summer Peak</v>
      </c>
      <c r="F87">
        <v>1</v>
      </c>
      <c r="G87">
        <v>1</v>
      </c>
      <c r="H87">
        <v>1</v>
      </c>
      <c r="I87">
        <v>1</v>
      </c>
      <c r="J87">
        <v>0.59850000000000003</v>
      </c>
      <c r="K87">
        <v>0.89329999999999998</v>
      </c>
      <c r="L87">
        <v>0.94440000000000002</v>
      </c>
      <c r="M87">
        <v>0.9577</v>
      </c>
      <c r="N87">
        <v>0.97440000000000004</v>
      </c>
      <c r="O87">
        <v>0.97889999999999999</v>
      </c>
      <c r="P87">
        <v>0.99299999999999999</v>
      </c>
      <c r="Q87">
        <v>0.95669999999999999</v>
      </c>
      <c r="R87">
        <v>0.94269999999999998</v>
      </c>
      <c r="S87">
        <v>0.91390000000000005</v>
      </c>
      <c r="T87">
        <v>0.88929999999999998</v>
      </c>
      <c r="U87">
        <v>0.89</v>
      </c>
      <c r="V87">
        <v>0.84099999999999997</v>
      </c>
      <c r="W87">
        <v>0.70350000000000001</v>
      </c>
      <c r="X87">
        <v>1</v>
      </c>
      <c r="Y87">
        <v>1</v>
      </c>
      <c r="Z87">
        <v>1</v>
      </c>
      <c r="AA87">
        <v>1</v>
      </c>
      <c r="AB87">
        <v>1</v>
      </c>
      <c r="AC87">
        <v>1</v>
      </c>
    </row>
    <row r="88" spans="1:29" x14ac:dyDescent="0.45">
      <c r="A88" t="s">
        <v>12</v>
      </c>
      <c r="B88" t="s">
        <v>436</v>
      </c>
      <c r="C88" t="s">
        <v>437</v>
      </c>
      <c r="D88" t="s">
        <v>429</v>
      </c>
      <c r="E88" t="str">
        <f t="shared" si="1"/>
        <v>CA|solar pv|Winter Peak</v>
      </c>
      <c r="F88">
        <v>1</v>
      </c>
      <c r="G88">
        <v>1</v>
      </c>
      <c r="H88">
        <v>1</v>
      </c>
      <c r="I88">
        <v>1</v>
      </c>
      <c r="J88">
        <v>1</v>
      </c>
      <c r="K88">
        <v>1</v>
      </c>
      <c r="L88">
        <v>7.6899999999999996E-2</v>
      </c>
      <c r="M88">
        <v>0.93089999999999995</v>
      </c>
      <c r="N88">
        <v>0.97709999999999997</v>
      </c>
      <c r="O88">
        <v>0.97270000000000001</v>
      </c>
      <c r="P88">
        <v>0.97230000000000005</v>
      </c>
      <c r="Q88">
        <v>0.98050000000000004</v>
      </c>
      <c r="R88">
        <v>0.97789999999999999</v>
      </c>
      <c r="S88">
        <v>0.98029999999999995</v>
      </c>
      <c r="T88">
        <v>1</v>
      </c>
      <c r="U88">
        <v>0.87790000000000001</v>
      </c>
      <c r="V88">
        <v>1</v>
      </c>
      <c r="W88">
        <v>1</v>
      </c>
      <c r="X88">
        <v>1</v>
      </c>
      <c r="Y88">
        <v>1</v>
      </c>
      <c r="Z88">
        <v>1</v>
      </c>
      <c r="AA88">
        <v>1</v>
      </c>
      <c r="AB88">
        <v>1</v>
      </c>
      <c r="AC88">
        <v>1</v>
      </c>
    </row>
    <row r="89" spans="1:29" x14ac:dyDescent="0.45">
      <c r="A89" t="s">
        <v>12</v>
      </c>
      <c r="B89" t="s">
        <v>438</v>
      </c>
      <c r="C89" t="s">
        <v>439</v>
      </c>
      <c r="D89" t="s">
        <v>424</v>
      </c>
      <c r="E89" t="str">
        <f t="shared" si="1"/>
        <v>CA|solar thermal|Winter</v>
      </c>
      <c r="F89">
        <v>1</v>
      </c>
      <c r="G89">
        <v>1</v>
      </c>
      <c r="H89">
        <v>1</v>
      </c>
      <c r="I89">
        <v>1</v>
      </c>
      <c r="J89">
        <v>1</v>
      </c>
      <c r="K89">
        <v>1</v>
      </c>
      <c r="L89">
        <v>1</v>
      </c>
      <c r="M89">
        <v>1</v>
      </c>
      <c r="N89">
        <v>1</v>
      </c>
      <c r="O89">
        <v>1</v>
      </c>
      <c r="P89">
        <v>1</v>
      </c>
      <c r="Q89">
        <v>1</v>
      </c>
      <c r="R89">
        <v>1</v>
      </c>
      <c r="S89">
        <v>1</v>
      </c>
      <c r="T89">
        <v>1</v>
      </c>
      <c r="U89">
        <v>1</v>
      </c>
      <c r="V89">
        <v>1</v>
      </c>
      <c r="W89">
        <v>1</v>
      </c>
      <c r="X89">
        <v>1</v>
      </c>
      <c r="Y89">
        <v>1</v>
      </c>
      <c r="Z89">
        <v>1</v>
      </c>
      <c r="AA89">
        <v>1</v>
      </c>
      <c r="AB89">
        <v>1</v>
      </c>
      <c r="AC89">
        <v>1</v>
      </c>
    </row>
    <row r="90" spans="1:29" x14ac:dyDescent="0.45">
      <c r="A90" t="s">
        <v>12</v>
      </c>
      <c r="B90" t="s">
        <v>438</v>
      </c>
      <c r="C90" t="s">
        <v>439</v>
      </c>
      <c r="D90" t="s">
        <v>425</v>
      </c>
      <c r="E90" t="str">
        <f t="shared" si="1"/>
        <v>CA|solar thermal|Spring</v>
      </c>
      <c r="F90">
        <v>1</v>
      </c>
      <c r="G90">
        <v>1</v>
      </c>
      <c r="H90">
        <v>1</v>
      </c>
      <c r="I90">
        <v>1</v>
      </c>
      <c r="J90">
        <v>1</v>
      </c>
      <c r="K90">
        <v>1</v>
      </c>
      <c r="L90">
        <v>1</v>
      </c>
      <c r="M90">
        <v>1</v>
      </c>
      <c r="N90">
        <v>1</v>
      </c>
      <c r="O90">
        <v>1</v>
      </c>
      <c r="P90">
        <v>1</v>
      </c>
      <c r="Q90">
        <v>1</v>
      </c>
      <c r="R90">
        <v>1</v>
      </c>
      <c r="S90">
        <v>1</v>
      </c>
      <c r="T90">
        <v>1</v>
      </c>
      <c r="U90">
        <v>1</v>
      </c>
      <c r="V90">
        <v>1</v>
      </c>
      <c r="W90">
        <v>1</v>
      </c>
      <c r="X90">
        <v>1</v>
      </c>
      <c r="Y90">
        <v>1</v>
      </c>
      <c r="Z90">
        <v>1</v>
      </c>
      <c r="AA90">
        <v>1</v>
      </c>
      <c r="AB90">
        <v>1</v>
      </c>
      <c r="AC90">
        <v>1</v>
      </c>
    </row>
    <row r="91" spans="1:29" x14ac:dyDescent="0.45">
      <c r="A91" t="s">
        <v>12</v>
      </c>
      <c r="B91" t="s">
        <v>438</v>
      </c>
      <c r="C91" t="s">
        <v>439</v>
      </c>
      <c r="D91" t="s">
        <v>426</v>
      </c>
      <c r="E91" t="str">
        <f t="shared" si="1"/>
        <v>CA|solar thermal|Summer</v>
      </c>
      <c r="F91">
        <v>1</v>
      </c>
      <c r="G91">
        <v>1</v>
      </c>
      <c r="H91">
        <v>1</v>
      </c>
      <c r="I91">
        <v>1</v>
      </c>
      <c r="J91">
        <v>1</v>
      </c>
      <c r="K91">
        <v>1</v>
      </c>
      <c r="L91">
        <v>1</v>
      </c>
      <c r="M91">
        <v>1</v>
      </c>
      <c r="N91">
        <v>1</v>
      </c>
      <c r="O91">
        <v>1</v>
      </c>
      <c r="P91">
        <v>1</v>
      </c>
      <c r="Q91">
        <v>1</v>
      </c>
      <c r="R91">
        <v>1</v>
      </c>
      <c r="S91">
        <v>1</v>
      </c>
      <c r="T91">
        <v>1</v>
      </c>
      <c r="U91">
        <v>1</v>
      </c>
      <c r="V91">
        <v>1</v>
      </c>
      <c r="W91">
        <v>1</v>
      </c>
      <c r="X91">
        <v>1</v>
      </c>
      <c r="Y91">
        <v>1</v>
      </c>
      <c r="Z91">
        <v>1</v>
      </c>
      <c r="AA91">
        <v>1</v>
      </c>
      <c r="AB91">
        <v>1</v>
      </c>
      <c r="AC91">
        <v>1</v>
      </c>
    </row>
    <row r="92" spans="1:29" x14ac:dyDescent="0.45">
      <c r="A92" t="s">
        <v>12</v>
      </c>
      <c r="B92" t="s">
        <v>438</v>
      </c>
      <c r="C92" t="s">
        <v>439</v>
      </c>
      <c r="D92" t="s">
        <v>427</v>
      </c>
      <c r="E92" t="str">
        <f t="shared" si="1"/>
        <v>CA|solar thermal|Fall</v>
      </c>
      <c r="F92">
        <v>1</v>
      </c>
      <c r="G92">
        <v>1</v>
      </c>
      <c r="H92">
        <v>1</v>
      </c>
      <c r="I92">
        <v>1</v>
      </c>
      <c r="J92">
        <v>1</v>
      </c>
      <c r="K92">
        <v>1</v>
      </c>
      <c r="L92">
        <v>1</v>
      </c>
      <c r="M92">
        <v>1</v>
      </c>
      <c r="N92">
        <v>1</v>
      </c>
      <c r="O92">
        <v>1</v>
      </c>
      <c r="P92">
        <v>1</v>
      </c>
      <c r="Q92">
        <v>1</v>
      </c>
      <c r="R92">
        <v>1</v>
      </c>
      <c r="S92">
        <v>1</v>
      </c>
      <c r="T92">
        <v>1</v>
      </c>
      <c r="U92">
        <v>1</v>
      </c>
      <c r="V92">
        <v>1</v>
      </c>
      <c r="W92">
        <v>1</v>
      </c>
      <c r="X92">
        <v>1</v>
      </c>
      <c r="Y92">
        <v>1</v>
      </c>
      <c r="Z92">
        <v>1</v>
      </c>
      <c r="AA92">
        <v>1</v>
      </c>
      <c r="AB92">
        <v>1</v>
      </c>
      <c r="AC92">
        <v>1</v>
      </c>
    </row>
    <row r="93" spans="1:29" x14ac:dyDescent="0.45">
      <c r="A93" t="s">
        <v>12</v>
      </c>
      <c r="B93" t="s">
        <v>438</v>
      </c>
      <c r="C93" t="s">
        <v>439</v>
      </c>
      <c r="D93" t="s">
        <v>428</v>
      </c>
      <c r="E93" t="str">
        <f t="shared" si="1"/>
        <v>CA|solar thermal|Summer Peak</v>
      </c>
      <c r="F93">
        <v>1</v>
      </c>
      <c r="G93">
        <v>1</v>
      </c>
      <c r="H93">
        <v>1</v>
      </c>
      <c r="I93">
        <v>1</v>
      </c>
      <c r="J93">
        <v>1</v>
      </c>
      <c r="K93">
        <v>0.88360000000000005</v>
      </c>
      <c r="L93">
        <v>0.99129999999999996</v>
      </c>
      <c r="M93">
        <v>1</v>
      </c>
      <c r="N93">
        <v>0.94650000000000001</v>
      </c>
      <c r="O93">
        <v>0.98119999999999996</v>
      </c>
      <c r="P93">
        <v>0.98670000000000002</v>
      </c>
      <c r="Q93">
        <v>1</v>
      </c>
      <c r="R93">
        <v>1</v>
      </c>
      <c r="S93">
        <v>0.99960000000000004</v>
      </c>
      <c r="T93">
        <v>0.95350000000000001</v>
      </c>
      <c r="U93">
        <v>0.9294</v>
      </c>
      <c r="V93">
        <v>0.84830000000000005</v>
      </c>
      <c r="W93">
        <v>0.16500000000000001</v>
      </c>
      <c r="X93">
        <v>1</v>
      </c>
      <c r="Y93">
        <v>1</v>
      </c>
      <c r="Z93">
        <v>1</v>
      </c>
      <c r="AA93">
        <v>1</v>
      </c>
      <c r="AB93">
        <v>1</v>
      </c>
      <c r="AC93">
        <v>1</v>
      </c>
    </row>
    <row r="94" spans="1:29" x14ac:dyDescent="0.45">
      <c r="A94" t="s">
        <v>12</v>
      </c>
      <c r="B94" t="s">
        <v>438</v>
      </c>
      <c r="C94" t="s">
        <v>439</v>
      </c>
      <c r="D94" t="s">
        <v>429</v>
      </c>
      <c r="E94" t="str">
        <f t="shared" si="1"/>
        <v>CA|solar thermal|Winter Peak</v>
      </c>
      <c r="F94">
        <v>1</v>
      </c>
      <c r="G94">
        <v>1</v>
      </c>
      <c r="H94">
        <v>1</v>
      </c>
      <c r="I94">
        <v>1</v>
      </c>
      <c r="J94">
        <v>1</v>
      </c>
      <c r="K94">
        <v>1</v>
      </c>
      <c r="L94">
        <v>0</v>
      </c>
      <c r="M94">
        <v>0.86470000000000002</v>
      </c>
      <c r="N94">
        <v>1</v>
      </c>
      <c r="O94">
        <v>1</v>
      </c>
      <c r="P94">
        <v>1</v>
      </c>
      <c r="Q94">
        <v>1</v>
      </c>
      <c r="R94">
        <v>1</v>
      </c>
      <c r="S94">
        <v>1</v>
      </c>
      <c r="T94">
        <v>1</v>
      </c>
      <c r="U94">
        <v>0.93359999999999999</v>
      </c>
      <c r="V94">
        <v>1</v>
      </c>
      <c r="W94">
        <v>1</v>
      </c>
      <c r="X94">
        <v>1</v>
      </c>
      <c r="Y94">
        <v>1</v>
      </c>
      <c r="Z94">
        <v>1</v>
      </c>
      <c r="AA94">
        <v>1</v>
      </c>
      <c r="AB94">
        <v>1</v>
      </c>
      <c r="AC94">
        <v>1</v>
      </c>
    </row>
    <row r="95" spans="1:29" x14ac:dyDescent="0.45">
      <c r="A95" t="s">
        <v>12</v>
      </c>
      <c r="B95" t="s">
        <v>440</v>
      </c>
      <c r="C95" t="s">
        <v>441</v>
      </c>
      <c r="D95" t="s">
        <v>424</v>
      </c>
      <c r="E95" t="str">
        <f t="shared" si="1"/>
        <v>CA|offshore wind|Winter</v>
      </c>
      <c r="F95">
        <v>1</v>
      </c>
      <c r="G95">
        <v>1</v>
      </c>
      <c r="H95">
        <v>1</v>
      </c>
      <c r="I95">
        <v>1</v>
      </c>
      <c r="J95">
        <v>1</v>
      </c>
      <c r="K95">
        <v>1</v>
      </c>
      <c r="L95">
        <v>1</v>
      </c>
      <c r="M95">
        <v>1</v>
      </c>
      <c r="N95">
        <v>1</v>
      </c>
      <c r="O95">
        <v>1</v>
      </c>
      <c r="P95">
        <v>1</v>
      </c>
      <c r="Q95">
        <v>1</v>
      </c>
      <c r="R95">
        <v>1</v>
      </c>
      <c r="S95">
        <v>1</v>
      </c>
      <c r="T95">
        <v>1</v>
      </c>
      <c r="U95">
        <v>1</v>
      </c>
      <c r="V95">
        <v>1</v>
      </c>
      <c r="W95">
        <v>1</v>
      </c>
      <c r="X95">
        <v>1</v>
      </c>
      <c r="Y95">
        <v>1</v>
      </c>
      <c r="Z95">
        <v>1</v>
      </c>
      <c r="AA95">
        <v>1</v>
      </c>
      <c r="AB95">
        <v>1</v>
      </c>
      <c r="AC95">
        <v>1</v>
      </c>
    </row>
    <row r="96" spans="1:29" x14ac:dyDescent="0.45">
      <c r="A96" t="s">
        <v>12</v>
      </c>
      <c r="B96" t="s">
        <v>440</v>
      </c>
      <c r="C96" t="s">
        <v>441</v>
      </c>
      <c r="D96" t="s">
        <v>425</v>
      </c>
      <c r="E96" t="str">
        <f t="shared" si="1"/>
        <v>CA|offshore wind|Spring</v>
      </c>
      <c r="F96">
        <v>1</v>
      </c>
      <c r="G96">
        <v>1</v>
      </c>
      <c r="H96">
        <v>1</v>
      </c>
      <c r="I96">
        <v>1</v>
      </c>
      <c r="J96">
        <v>1</v>
      </c>
      <c r="K96">
        <v>1</v>
      </c>
      <c r="L96">
        <v>1</v>
      </c>
      <c r="M96">
        <v>1</v>
      </c>
      <c r="N96">
        <v>1</v>
      </c>
      <c r="O96">
        <v>1</v>
      </c>
      <c r="P96">
        <v>1</v>
      </c>
      <c r="Q96">
        <v>1</v>
      </c>
      <c r="R96">
        <v>1</v>
      </c>
      <c r="S96">
        <v>1</v>
      </c>
      <c r="T96">
        <v>1</v>
      </c>
      <c r="U96">
        <v>1</v>
      </c>
      <c r="V96">
        <v>1</v>
      </c>
      <c r="W96">
        <v>1</v>
      </c>
      <c r="X96">
        <v>1</v>
      </c>
      <c r="Y96">
        <v>1</v>
      </c>
      <c r="Z96">
        <v>1</v>
      </c>
      <c r="AA96">
        <v>1</v>
      </c>
      <c r="AB96">
        <v>1</v>
      </c>
      <c r="AC96">
        <v>1</v>
      </c>
    </row>
    <row r="97" spans="1:29" x14ac:dyDescent="0.45">
      <c r="A97" t="s">
        <v>12</v>
      </c>
      <c r="B97" t="s">
        <v>440</v>
      </c>
      <c r="C97" t="s">
        <v>441</v>
      </c>
      <c r="D97" t="s">
        <v>426</v>
      </c>
      <c r="E97" t="str">
        <f t="shared" si="1"/>
        <v>CA|offshore wind|Summer</v>
      </c>
      <c r="F97">
        <v>1</v>
      </c>
      <c r="G97">
        <v>1</v>
      </c>
      <c r="H97">
        <v>1</v>
      </c>
      <c r="I97">
        <v>1</v>
      </c>
      <c r="J97">
        <v>1</v>
      </c>
      <c r="K97">
        <v>1</v>
      </c>
      <c r="L97">
        <v>1</v>
      </c>
      <c r="M97">
        <v>1</v>
      </c>
      <c r="N97">
        <v>1</v>
      </c>
      <c r="O97">
        <v>1</v>
      </c>
      <c r="P97">
        <v>1</v>
      </c>
      <c r="Q97">
        <v>1</v>
      </c>
      <c r="R97">
        <v>1</v>
      </c>
      <c r="S97">
        <v>1</v>
      </c>
      <c r="T97">
        <v>1</v>
      </c>
      <c r="U97">
        <v>1</v>
      </c>
      <c r="V97">
        <v>1</v>
      </c>
      <c r="W97">
        <v>1</v>
      </c>
      <c r="X97">
        <v>1</v>
      </c>
      <c r="Y97">
        <v>1</v>
      </c>
      <c r="Z97">
        <v>1</v>
      </c>
      <c r="AA97">
        <v>1</v>
      </c>
      <c r="AB97">
        <v>1</v>
      </c>
      <c r="AC97">
        <v>1</v>
      </c>
    </row>
    <row r="98" spans="1:29" x14ac:dyDescent="0.45">
      <c r="A98" t="s">
        <v>12</v>
      </c>
      <c r="B98" t="s">
        <v>440</v>
      </c>
      <c r="C98" t="s">
        <v>441</v>
      </c>
      <c r="D98" t="s">
        <v>427</v>
      </c>
      <c r="E98" t="str">
        <f t="shared" si="1"/>
        <v>CA|offshore wind|Fall</v>
      </c>
      <c r="F98">
        <v>1</v>
      </c>
      <c r="G98">
        <v>1</v>
      </c>
      <c r="H98">
        <v>1</v>
      </c>
      <c r="I98">
        <v>1</v>
      </c>
      <c r="J98">
        <v>1</v>
      </c>
      <c r="K98">
        <v>1</v>
      </c>
      <c r="L98">
        <v>1</v>
      </c>
      <c r="M98">
        <v>1</v>
      </c>
      <c r="N98">
        <v>1</v>
      </c>
      <c r="O98">
        <v>1</v>
      </c>
      <c r="P98">
        <v>1</v>
      </c>
      <c r="Q98">
        <v>1</v>
      </c>
      <c r="R98">
        <v>1</v>
      </c>
      <c r="S98">
        <v>1</v>
      </c>
      <c r="T98">
        <v>1</v>
      </c>
      <c r="U98">
        <v>1</v>
      </c>
      <c r="V98">
        <v>1</v>
      </c>
      <c r="W98">
        <v>1</v>
      </c>
      <c r="X98">
        <v>1</v>
      </c>
      <c r="Y98">
        <v>1</v>
      </c>
      <c r="Z98">
        <v>1</v>
      </c>
      <c r="AA98">
        <v>1</v>
      </c>
      <c r="AB98">
        <v>1</v>
      </c>
      <c r="AC98">
        <v>1</v>
      </c>
    </row>
    <row r="99" spans="1:29" x14ac:dyDescent="0.45">
      <c r="A99" t="s">
        <v>12</v>
      </c>
      <c r="B99" t="s">
        <v>440</v>
      </c>
      <c r="C99" t="s">
        <v>441</v>
      </c>
      <c r="D99" t="s">
        <v>428</v>
      </c>
      <c r="E99" t="str">
        <f t="shared" si="1"/>
        <v>CA|offshore wind|Summer Peak</v>
      </c>
      <c r="F99">
        <v>0.67459999999999998</v>
      </c>
      <c r="G99">
        <v>0.75849999999999995</v>
      </c>
      <c r="H99">
        <v>0.68700000000000006</v>
      </c>
      <c r="I99">
        <v>0.59870000000000001</v>
      </c>
      <c r="J99">
        <v>0.55349999999999999</v>
      </c>
      <c r="K99">
        <v>0.49159999999999998</v>
      </c>
      <c r="L99">
        <v>0.4511</v>
      </c>
      <c r="M99">
        <v>0.40529999999999999</v>
      </c>
      <c r="N99">
        <v>0.43569999999999998</v>
      </c>
      <c r="O99">
        <v>0.43980000000000002</v>
      </c>
      <c r="P99">
        <v>0.48820000000000002</v>
      </c>
      <c r="Q99">
        <v>0.5131</v>
      </c>
      <c r="R99">
        <v>0.52480000000000004</v>
      </c>
      <c r="S99">
        <v>0.56230000000000002</v>
      </c>
      <c r="T99">
        <v>0.61080000000000001</v>
      </c>
      <c r="U99">
        <v>0.66190000000000004</v>
      </c>
      <c r="V99">
        <v>0.69359999999999999</v>
      </c>
      <c r="W99">
        <v>0.72140000000000004</v>
      </c>
      <c r="X99">
        <v>0.74060000000000004</v>
      </c>
      <c r="Y99">
        <v>0.77359999999999995</v>
      </c>
      <c r="Z99">
        <v>0.78849999999999998</v>
      </c>
      <c r="AA99">
        <v>0.75960000000000005</v>
      </c>
      <c r="AB99">
        <v>0.75929999999999997</v>
      </c>
      <c r="AC99">
        <v>0.76390000000000002</v>
      </c>
    </row>
    <row r="100" spans="1:29" x14ac:dyDescent="0.45">
      <c r="A100" t="s">
        <v>12</v>
      </c>
      <c r="B100" t="s">
        <v>440</v>
      </c>
      <c r="C100" t="s">
        <v>441</v>
      </c>
      <c r="D100" t="s">
        <v>429</v>
      </c>
      <c r="E100" t="str">
        <f t="shared" si="1"/>
        <v>CA|offshore wind|Winter Peak</v>
      </c>
      <c r="F100">
        <v>0.40550000000000003</v>
      </c>
      <c r="G100">
        <v>0.44669999999999999</v>
      </c>
      <c r="H100">
        <v>0.42299999999999999</v>
      </c>
      <c r="I100">
        <v>0.42170000000000002</v>
      </c>
      <c r="J100">
        <v>0.44469999999999998</v>
      </c>
      <c r="K100">
        <v>0.37290000000000001</v>
      </c>
      <c r="L100">
        <v>0.33260000000000001</v>
      </c>
      <c r="M100">
        <v>0.43269999999999997</v>
      </c>
      <c r="N100">
        <v>0.48949999999999999</v>
      </c>
      <c r="O100">
        <v>0.48770000000000002</v>
      </c>
      <c r="P100">
        <v>0.48139999999999999</v>
      </c>
      <c r="Q100">
        <v>0.5081</v>
      </c>
      <c r="R100">
        <v>0.55710000000000004</v>
      </c>
      <c r="S100">
        <v>0.57379999999999998</v>
      </c>
      <c r="T100">
        <v>0.57650000000000001</v>
      </c>
      <c r="U100">
        <v>0.52569999999999995</v>
      </c>
      <c r="V100">
        <v>0.57030000000000003</v>
      </c>
      <c r="W100">
        <v>0.4955</v>
      </c>
      <c r="X100">
        <v>0.46139999999999998</v>
      </c>
      <c r="Y100">
        <v>0.43259999999999998</v>
      </c>
      <c r="Z100">
        <v>0.36909999999999998</v>
      </c>
      <c r="AA100">
        <v>0.32819999999999999</v>
      </c>
      <c r="AB100">
        <v>0.35510000000000003</v>
      </c>
      <c r="AC100">
        <v>0.36770000000000003</v>
      </c>
    </row>
    <row r="101" spans="1:29" x14ac:dyDescent="0.45">
      <c r="A101" t="s">
        <v>15</v>
      </c>
      <c r="B101" t="s">
        <v>434</v>
      </c>
      <c r="C101" t="s">
        <v>435</v>
      </c>
      <c r="D101" t="s">
        <v>424</v>
      </c>
      <c r="E101" t="str">
        <f t="shared" si="1"/>
        <v>CO|onshore wind|Winter</v>
      </c>
      <c r="F101">
        <v>1</v>
      </c>
      <c r="G101">
        <v>1</v>
      </c>
      <c r="H101">
        <v>1</v>
      </c>
      <c r="I101">
        <v>1</v>
      </c>
      <c r="J101">
        <v>1</v>
      </c>
      <c r="K101">
        <v>1</v>
      </c>
      <c r="L101">
        <v>1</v>
      </c>
      <c r="M101">
        <v>1</v>
      </c>
      <c r="N101">
        <v>1</v>
      </c>
      <c r="O101">
        <v>1</v>
      </c>
      <c r="P101">
        <v>1</v>
      </c>
      <c r="Q101">
        <v>1</v>
      </c>
      <c r="R101">
        <v>1</v>
      </c>
      <c r="S101">
        <v>1</v>
      </c>
      <c r="T101">
        <v>1</v>
      </c>
      <c r="U101">
        <v>1</v>
      </c>
      <c r="V101">
        <v>1</v>
      </c>
      <c r="W101">
        <v>1</v>
      </c>
      <c r="X101">
        <v>1</v>
      </c>
      <c r="Y101">
        <v>1</v>
      </c>
      <c r="Z101">
        <v>1</v>
      </c>
      <c r="AA101">
        <v>1</v>
      </c>
      <c r="AB101">
        <v>1</v>
      </c>
      <c r="AC101">
        <v>1</v>
      </c>
    </row>
    <row r="102" spans="1:29" x14ac:dyDescent="0.45">
      <c r="A102" t="s">
        <v>15</v>
      </c>
      <c r="B102" t="s">
        <v>434</v>
      </c>
      <c r="C102" t="s">
        <v>435</v>
      </c>
      <c r="D102" t="s">
        <v>425</v>
      </c>
      <c r="E102" t="str">
        <f t="shared" si="1"/>
        <v>CO|onshore wind|Spring</v>
      </c>
      <c r="F102">
        <v>1</v>
      </c>
      <c r="G102">
        <v>1</v>
      </c>
      <c r="H102">
        <v>1</v>
      </c>
      <c r="I102">
        <v>1</v>
      </c>
      <c r="J102">
        <v>1</v>
      </c>
      <c r="K102">
        <v>1</v>
      </c>
      <c r="L102">
        <v>1</v>
      </c>
      <c r="M102">
        <v>1</v>
      </c>
      <c r="N102">
        <v>1</v>
      </c>
      <c r="O102">
        <v>1</v>
      </c>
      <c r="P102">
        <v>1</v>
      </c>
      <c r="Q102">
        <v>1</v>
      </c>
      <c r="R102">
        <v>1</v>
      </c>
      <c r="S102">
        <v>1</v>
      </c>
      <c r="T102">
        <v>1</v>
      </c>
      <c r="U102">
        <v>1</v>
      </c>
      <c r="V102">
        <v>1</v>
      </c>
      <c r="W102">
        <v>1</v>
      </c>
      <c r="X102">
        <v>1</v>
      </c>
      <c r="Y102">
        <v>1</v>
      </c>
      <c r="Z102">
        <v>1</v>
      </c>
      <c r="AA102">
        <v>1</v>
      </c>
      <c r="AB102">
        <v>1</v>
      </c>
      <c r="AC102">
        <v>1</v>
      </c>
    </row>
    <row r="103" spans="1:29" x14ac:dyDescent="0.45">
      <c r="A103" t="s">
        <v>15</v>
      </c>
      <c r="B103" t="s">
        <v>434</v>
      </c>
      <c r="C103" t="s">
        <v>435</v>
      </c>
      <c r="D103" t="s">
        <v>426</v>
      </c>
      <c r="E103" t="str">
        <f t="shared" si="1"/>
        <v>CO|onshore wind|Summer</v>
      </c>
      <c r="F103">
        <v>1</v>
      </c>
      <c r="G103">
        <v>1</v>
      </c>
      <c r="H103">
        <v>1</v>
      </c>
      <c r="I103">
        <v>1</v>
      </c>
      <c r="J103">
        <v>1</v>
      </c>
      <c r="K103">
        <v>1</v>
      </c>
      <c r="L103">
        <v>1</v>
      </c>
      <c r="M103">
        <v>1</v>
      </c>
      <c r="N103">
        <v>1</v>
      </c>
      <c r="O103">
        <v>1</v>
      </c>
      <c r="P103">
        <v>1</v>
      </c>
      <c r="Q103">
        <v>1</v>
      </c>
      <c r="R103">
        <v>1</v>
      </c>
      <c r="S103">
        <v>1</v>
      </c>
      <c r="T103">
        <v>1</v>
      </c>
      <c r="U103">
        <v>1</v>
      </c>
      <c r="V103">
        <v>1</v>
      </c>
      <c r="W103">
        <v>1</v>
      </c>
      <c r="X103">
        <v>1</v>
      </c>
      <c r="Y103">
        <v>1</v>
      </c>
      <c r="Z103">
        <v>1</v>
      </c>
      <c r="AA103">
        <v>1</v>
      </c>
      <c r="AB103">
        <v>1</v>
      </c>
      <c r="AC103">
        <v>1</v>
      </c>
    </row>
    <row r="104" spans="1:29" x14ac:dyDescent="0.45">
      <c r="A104" t="s">
        <v>15</v>
      </c>
      <c r="B104" t="s">
        <v>434</v>
      </c>
      <c r="C104" t="s">
        <v>435</v>
      </c>
      <c r="D104" t="s">
        <v>427</v>
      </c>
      <c r="E104" t="str">
        <f t="shared" si="1"/>
        <v>CO|onshore wind|Fall</v>
      </c>
      <c r="F104">
        <v>1</v>
      </c>
      <c r="G104">
        <v>1</v>
      </c>
      <c r="H104">
        <v>1</v>
      </c>
      <c r="I104">
        <v>1</v>
      </c>
      <c r="J104">
        <v>1</v>
      </c>
      <c r="K104">
        <v>1</v>
      </c>
      <c r="L104">
        <v>1</v>
      </c>
      <c r="M104">
        <v>1</v>
      </c>
      <c r="N104">
        <v>1</v>
      </c>
      <c r="O104">
        <v>1</v>
      </c>
      <c r="P104">
        <v>1</v>
      </c>
      <c r="Q104">
        <v>1</v>
      </c>
      <c r="R104">
        <v>1</v>
      </c>
      <c r="S104">
        <v>1</v>
      </c>
      <c r="T104">
        <v>1</v>
      </c>
      <c r="U104">
        <v>1</v>
      </c>
      <c r="V104">
        <v>1</v>
      </c>
      <c r="W104">
        <v>1</v>
      </c>
      <c r="X104">
        <v>1</v>
      </c>
      <c r="Y104">
        <v>1</v>
      </c>
      <c r="Z104">
        <v>1</v>
      </c>
      <c r="AA104">
        <v>1</v>
      </c>
      <c r="AB104">
        <v>1</v>
      </c>
      <c r="AC104">
        <v>1</v>
      </c>
    </row>
    <row r="105" spans="1:29" x14ac:dyDescent="0.45">
      <c r="A105" t="s">
        <v>15</v>
      </c>
      <c r="B105" t="s">
        <v>434</v>
      </c>
      <c r="C105" t="s">
        <v>435</v>
      </c>
      <c r="D105" t="s">
        <v>428</v>
      </c>
      <c r="E105" t="str">
        <f t="shared" si="1"/>
        <v>CO|onshore wind|Summer Peak</v>
      </c>
      <c r="F105">
        <v>0.92130000000000001</v>
      </c>
      <c r="G105">
        <v>0.92800000000000005</v>
      </c>
      <c r="H105">
        <v>0.95289999999999997</v>
      </c>
      <c r="I105">
        <v>0.94940000000000002</v>
      </c>
      <c r="J105">
        <v>0.93440000000000001</v>
      </c>
      <c r="K105">
        <v>0.94220000000000004</v>
      </c>
      <c r="L105">
        <v>0.96179999999999999</v>
      </c>
      <c r="M105">
        <v>0.91600000000000004</v>
      </c>
      <c r="N105">
        <v>0.81699999999999995</v>
      </c>
      <c r="O105">
        <v>0.7732</v>
      </c>
      <c r="P105">
        <v>0.76719999999999999</v>
      </c>
      <c r="Q105">
        <v>0.75590000000000002</v>
      </c>
      <c r="R105">
        <v>0.69110000000000005</v>
      </c>
      <c r="S105">
        <v>0.75690000000000002</v>
      </c>
      <c r="T105">
        <v>0.82179999999999997</v>
      </c>
      <c r="U105">
        <v>0.83940000000000003</v>
      </c>
      <c r="V105">
        <v>0.86229999999999996</v>
      </c>
      <c r="W105">
        <v>0.89380000000000004</v>
      </c>
      <c r="X105">
        <v>0.9103</v>
      </c>
      <c r="Y105">
        <v>0.9335</v>
      </c>
      <c r="Z105">
        <v>0.92900000000000005</v>
      </c>
      <c r="AA105">
        <v>0.9536</v>
      </c>
      <c r="AB105">
        <v>0.97609999999999997</v>
      </c>
      <c r="AC105">
        <v>0.98950000000000005</v>
      </c>
    </row>
    <row r="106" spans="1:29" x14ac:dyDescent="0.45">
      <c r="A106" t="s">
        <v>15</v>
      </c>
      <c r="B106" t="s">
        <v>434</v>
      </c>
      <c r="C106" t="s">
        <v>435</v>
      </c>
      <c r="D106" t="s">
        <v>429</v>
      </c>
      <c r="E106" t="str">
        <f t="shared" si="1"/>
        <v>CO|onshore wind|Winter Peak</v>
      </c>
      <c r="F106">
        <v>0.88390000000000002</v>
      </c>
      <c r="G106">
        <v>0.8569</v>
      </c>
      <c r="H106">
        <v>0.83889999999999998</v>
      </c>
      <c r="I106">
        <v>0.8246</v>
      </c>
      <c r="J106">
        <v>0.80969999999999998</v>
      </c>
      <c r="K106">
        <v>0.77990000000000004</v>
      </c>
      <c r="L106">
        <v>0.79559999999999997</v>
      </c>
      <c r="M106">
        <v>0.80669999999999997</v>
      </c>
      <c r="N106">
        <v>0.85460000000000003</v>
      </c>
      <c r="O106">
        <v>0.89159999999999995</v>
      </c>
      <c r="P106">
        <v>0.94589999999999996</v>
      </c>
      <c r="Q106">
        <v>0.95920000000000005</v>
      </c>
      <c r="R106">
        <v>0.97199999999999998</v>
      </c>
      <c r="S106">
        <v>0.96030000000000004</v>
      </c>
      <c r="T106">
        <v>0.88890000000000002</v>
      </c>
      <c r="U106">
        <v>0.85070000000000001</v>
      </c>
      <c r="V106">
        <v>0.92669999999999997</v>
      </c>
      <c r="W106">
        <v>0.88770000000000004</v>
      </c>
      <c r="X106">
        <v>0.87509999999999999</v>
      </c>
      <c r="Y106">
        <v>0.84089999999999998</v>
      </c>
      <c r="Z106">
        <v>0.81079999999999997</v>
      </c>
      <c r="AA106">
        <v>0.80730000000000002</v>
      </c>
      <c r="AB106">
        <v>0.79849999999999999</v>
      </c>
      <c r="AC106">
        <v>0.78990000000000005</v>
      </c>
    </row>
    <row r="107" spans="1:29" x14ac:dyDescent="0.45">
      <c r="A107" t="s">
        <v>15</v>
      </c>
      <c r="B107" t="s">
        <v>436</v>
      </c>
      <c r="C107" t="s">
        <v>437</v>
      </c>
      <c r="D107" t="s">
        <v>424</v>
      </c>
      <c r="E107" t="str">
        <f t="shared" si="1"/>
        <v>CO|solar pv|Winter</v>
      </c>
      <c r="F107">
        <v>1</v>
      </c>
      <c r="G107">
        <v>1</v>
      </c>
      <c r="H107">
        <v>1</v>
      </c>
      <c r="I107">
        <v>1</v>
      </c>
      <c r="J107">
        <v>1</v>
      </c>
      <c r="K107">
        <v>1</v>
      </c>
      <c r="L107">
        <v>1</v>
      </c>
      <c r="M107">
        <v>1</v>
      </c>
      <c r="N107">
        <v>1</v>
      </c>
      <c r="O107">
        <v>1</v>
      </c>
      <c r="P107">
        <v>1</v>
      </c>
      <c r="Q107">
        <v>1</v>
      </c>
      <c r="R107">
        <v>1</v>
      </c>
      <c r="S107">
        <v>1</v>
      </c>
      <c r="T107">
        <v>1</v>
      </c>
      <c r="U107">
        <v>1</v>
      </c>
      <c r="V107">
        <v>1</v>
      </c>
      <c r="W107">
        <v>1</v>
      </c>
      <c r="X107">
        <v>1</v>
      </c>
      <c r="Y107">
        <v>1</v>
      </c>
      <c r="Z107">
        <v>1</v>
      </c>
      <c r="AA107">
        <v>1</v>
      </c>
      <c r="AB107">
        <v>1</v>
      </c>
      <c r="AC107">
        <v>1</v>
      </c>
    </row>
    <row r="108" spans="1:29" x14ac:dyDescent="0.45">
      <c r="A108" t="s">
        <v>15</v>
      </c>
      <c r="B108" t="s">
        <v>436</v>
      </c>
      <c r="C108" t="s">
        <v>437</v>
      </c>
      <c r="D108" t="s">
        <v>425</v>
      </c>
      <c r="E108" t="str">
        <f t="shared" si="1"/>
        <v>CO|solar pv|Spring</v>
      </c>
      <c r="F108">
        <v>1</v>
      </c>
      <c r="G108">
        <v>1</v>
      </c>
      <c r="H108">
        <v>1</v>
      </c>
      <c r="I108">
        <v>1</v>
      </c>
      <c r="J108">
        <v>1</v>
      </c>
      <c r="K108">
        <v>1</v>
      </c>
      <c r="L108">
        <v>1</v>
      </c>
      <c r="M108">
        <v>1</v>
      </c>
      <c r="N108">
        <v>1</v>
      </c>
      <c r="O108">
        <v>1</v>
      </c>
      <c r="P108">
        <v>1</v>
      </c>
      <c r="Q108">
        <v>1</v>
      </c>
      <c r="R108">
        <v>1</v>
      </c>
      <c r="S108">
        <v>1</v>
      </c>
      <c r="T108">
        <v>1</v>
      </c>
      <c r="U108">
        <v>1</v>
      </c>
      <c r="V108">
        <v>1</v>
      </c>
      <c r="W108">
        <v>1</v>
      </c>
      <c r="X108">
        <v>1</v>
      </c>
      <c r="Y108">
        <v>1</v>
      </c>
      <c r="Z108">
        <v>1</v>
      </c>
      <c r="AA108">
        <v>1</v>
      </c>
      <c r="AB108">
        <v>1</v>
      </c>
      <c r="AC108">
        <v>1</v>
      </c>
    </row>
    <row r="109" spans="1:29" x14ac:dyDescent="0.45">
      <c r="A109" t="s">
        <v>15</v>
      </c>
      <c r="B109" t="s">
        <v>436</v>
      </c>
      <c r="C109" t="s">
        <v>437</v>
      </c>
      <c r="D109" t="s">
        <v>426</v>
      </c>
      <c r="E109" t="str">
        <f t="shared" si="1"/>
        <v>CO|solar pv|Summer</v>
      </c>
      <c r="F109">
        <v>1</v>
      </c>
      <c r="G109">
        <v>1</v>
      </c>
      <c r="H109">
        <v>1</v>
      </c>
      <c r="I109">
        <v>1</v>
      </c>
      <c r="J109">
        <v>1</v>
      </c>
      <c r="K109">
        <v>1</v>
      </c>
      <c r="L109">
        <v>1</v>
      </c>
      <c r="M109">
        <v>1</v>
      </c>
      <c r="N109">
        <v>1</v>
      </c>
      <c r="O109">
        <v>1</v>
      </c>
      <c r="P109">
        <v>1</v>
      </c>
      <c r="Q109">
        <v>1</v>
      </c>
      <c r="R109">
        <v>1</v>
      </c>
      <c r="S109">
        <v>1</v>
      </c>
      <c r="T109">
        <v>1</v>
      </c>
      <c r="U109">
        <v>1</v>
      </c>
      <c r="V109">
        <v>1</v>
      </c>
      <c r="W109">
        <v>1</v>
      </c>
      <c r="X109">
        <v>1</v>
      </c>
      <c r="Y109">
        <v>1</v>
      </c>
      <c r="Z109">
        <v>1</v>
      </c>
      <c r="AA109">
        <v>1</v>
      </c>
      <c r="AB109">
        <v>1</v>
      </c>
      <c r="AC109">
        <v>1</v>
      </c>
    </row>
    <row r="110" spans="1:29" x14ac:dyDescent="0.45">
      <c r="A110" t="s">
        <v>15</v>
      </c>
      <c r="B110" t="s">
        <v>436</v>
      </c>
      <c r="C110" t="s">
        <v>437</v>
      </c>
      <c r="D110" t="s">
        <v>427</v>
      </c>
      <c r="E110" t="str">
        <f t="shared" si="1"/>
        <v>CO|solar pv|Fall</v>
      </c>
      <c r="F110">
        <v>1</v>
      </c>
      <c r="G110">
        <v>1</v>
      </c>
      <c r="H110">
        <v>1</v>
      </c>
      <c r="I110">
        <v>1</v>
      </c>
      <c r="J110">
        <v>1</v>
      </c>
      <c r="K110">
        <v>1</v>
      </c>
      <c r="L110">
        <v>1</v>
      </c>
      <c r="M110">
        <v>1</v>
      </c>
      <c r="N110">
        <v>1</v>
      </c>
      <c r="O110">
        <v>1</v>
      </c>
      <c r="P110">
        <v>1</v>
      </c>
      <c r="Q110">
        <v>1</v>
      </c>
      <c r="R110">
        <v>1</v>
      </c>
      <c r="S110">
        <v>1</v>
      </c>
      <c r="T110">
        <v>1</v>
      </c>
      <c r="U110">
        <v>1</v>
      </c>
      <c r="V110">
        <v>1</v>
      </c>
      <c r="W110">
        <v>1</v>
      </c>
      <c r="X110">
        <v>1</v>
      </c>
      <c r="Y110">
        <v>1</v>
      </c>
      <c r="Z110">
        <v>1</v>
      </c>
      <c r="AA110">
        <v>1</v>
      </c>
      <c r="AB110">
        <v>1</v>
      </c>
      <c r="AC110">
        <v>1</v>
      </c>
    </row>
    <row r="111" spans="1:29" x14ac:dyDescent="0.45">
      <c r="A111" t="s">
        <v>15</v>
      </c>
      <c r="B111" t="s">
        <v>436</v>
      </c>
      <c r="C111" t="s">
        <v>437</v>
      </c>
      <c r="D111" t="s">
        <v>428</v>
      </c>
      <c r="E111" t="str">
        <f t="shared" si="1"/>
        <v>CO|solar pv|Summer Peak</v>
      </c>
      <c r="F111">
        <v>1</v>
      </c>
      <c r="G111">
        <v>1</v>
      </c>
      <c r="H111">
        <v>1</v>
      </c>
      <c r="I111">
        <v>1</v>
      </c>
      <c r="J111">
        <v>0.23300000000000001</v>
      </c>
      <c r="K111">
        <v>0.72799999999999998</v>
      </c>
      <c r="L111">
        <v>0.88009999999999999</v>
      </c>
      <c r="M111">
        <v>0.92520000000000002</v>
      </c>
      <c r="N111">
        <v>0.94710000000000005</v>
      </c>
      <c r="O111">
        <v>0.95</v>
      </c>
      <c r="P111">
        <v>0.97099999999999997</v>
      </c>
      <c r="Q111">
        <v>0.97389999999999999</v>
      </c>
      <c r="R111">
        <v>0.97009999999999996</v>
      </c>
      <c r="S111">
        <v>0.96579999999999999</v>
      </c>
      <c r="T111">
        <v>0.96309999999999996</v>
      </c>
      <c r="U111">
        <v>0.96740000000000004</v>
      </c>
      <c r="V111">
        <v>0.94110000000000005</v>
      </c>
      <c r="W111">
        <v>0.95469999999999999</v>
      </c>
      <c r="X111">
        <v>0.94199999999999995</v>
      </c>
      <c r="Y111">
        <v>0.87960000000000005</v>
      </c>
      <c r="Z111">
        <v>0.79139999999999999</v>
      </c>
      <c r="AA111">
        <v>0.79200000000000004</v>
      </c>
      <c r="AB111">
        <v>1</v>
      </c>
      <c r="AC111">
        <v>1</v>
      </c>
    </row>
    <row r="112" spans="1:29" x14ac:dyDescent="0.45">
      <c r="A112" t="s">
        <v>15</v>
      </c>
      <c r="B112" t="s">
        <v>436</v>
      </c>
      <c r="C112" t="s">
        <v>437</v>
      </c>
      <c r="D112" t="s">
        <v>429</v>
      </c>
      <c r="E112" t="str">
        <f t="shared" si="1"/>
        <v>CO|solar pv|Winter Peak</v>
      </c>
      <c r="F112">
        <v>1</v>
      </c>
      <c r="G112">
        <v>1</v>
      </c>
      <c r="H112">
        <v>1</v>
      </c>
      <c r="I112">
        <v>1</v>
      </c>
      <c r="J112">
        <v>1</v>
      </c>
      <c r="K112">
        <v>1</v>
      </c>
      <c r="L112">
        <v>1</v>
      </c>
      <c r="M112">
        <v>0.91820000000000002</v>
      </c>
      <c r="N112">
        <v>0.88980000000000004</v>
      </c>
      <c r="O112">
        <v>0.87790000000000001</v>
      </c>
      <c r="P112">
        <v>0.88090000000000002</v>
      </c>
      <c r="Q112">
        <v>0.90290000000000004</v>
      </c>
      <c r="R112">
        <v>0.93200000000000005</v>
      </c>
      <c r="S112">
        <v>0.92700000000000005</v>
      </c>
      <c r="T112">
        <v>0.89710000000000001</v>
      </c>
      <c r="U112">
        <v>0.87209999999999999</v>
      </c>
      <c r="V112">
        <v>0.84419999999999995</v>
      </c>
      <c r="W112">
        <v>0.86119999999999997</v>
      </c>
      <c r="X112">
        <v>0.69</v>
      </c>
      <c r="Y112">
        <v>0.02</v>
      </c>
      <c r="Z112">
        <v>1</v>
      </c>
      <c r="AA112">
        <v>1</v>
      </c>
      <c r="AB112">
        <v>1</v>
      </c>
      <c r="AC112">
        <v>1</v>
      </c>
    </row>
    <row r="113" spans="1:29" x14ac:dyDescent="0.45">
      <c r="A113" t="s">
        <v>15</v>
      </c>
      <c r="B113" t="s">
        <v>438</v>
      </c>
      <c r="C113" t="s">
        <v>439</v>
      </c>
      <c r="D113" t="s">
        <v>424</v>
      </c>
      <c r="E113" t="str">
        <f t="shared" si="1"/>
        <v>CO|solar thermal|Winter</v>
      </c>
      <c r="F113">
        <v>1</v>
      </c>
      <c r="G113">
        <v>1</v>
      </c>
      <c r="H113">
        <v>1</v>
      </c>
      <c r="I113">
        <v>1</v>
      </c>
      <c r="J113">
        <v>1</v>
      </c>
      <c r="K113">
        <v>1</v>
      </c>
      <c r="L113">
        <v>1</v>
      </c>
      <c r="M113">
        <v>1</v>
      </c>
      <c r="N113">
        <v>1</v>
      </c>
      <c r="O113">
        <v>1</v>
      </c>
      <c r="P113">
        <v>1</v>
      </c>
      <c r="Q113">
        <v>1</v>
      </c>
      <c r="R113">
        <v>1</v>
      </c>
      <c r="S113">
        <v>1</v>
      </c>
      <c r="T113">
        <v>1</v>
      </c>
      <c r="U113">
        <v>1</v>
      </c>
      <c r="V113">
        <v>1</v>
      </c>
      <c r="W113">
        <v>1</v>
      </c>
      <c r="X113">
        <v>1</v>
      </c>
      <c r="Y113">
        <v>1</v>
      </c>
      <c r="Z113">
        <v>1</v>
      </c>
      <c r="AA113">
        <v>1</v>
      </c>
      <c r="AB113">
        <v>1</v>
      </c>
      <c r="AC113">
        <v>1</v>
      </c>
    </row>
    <row r="114" spans="1:29" x14ac:dyDescent="0.45">
      <c r="A114" t="s">
        <v>15</v>
      </c>
      <c r="B114" t="s">
        <v>438</v>
      </c>
      <c r="C114" t="s">
        <v>439</v>
      </c>
      <c r="D114" t="s">
        <v>425</v>
      </c>
      <c r="E114" t="str">
        <f t="shared" si="1"/>
        <v>CO|solar thermal|Spring</v>
      </c>
      <c r="F114">
        <v>1</v>
      </c>
      <c r="G114">
        <v>1</v>
      </c>
      <c r="H114">
        <v>1</v>
      </c>
      <c r="I114">
        <v>1</v>
      </c>
      <c r="J114">
        <v>1</v>
      </c>
      <c r="K114">
        <v>1</v>
      </c>
      <c r="L114">
        <v>1</v>
      </c>
      <c r="M114">
        <v>1</v>
      </c>
      <c r="N114">
        <v>1</v>
      </c>
      <c r="O114">
        <v>1</v>
      </c>
      <c r="P114">
        <v>1</v>
      </c>
      <c r="Q114">
        <v>1</v>
      </c>
      <c r="R114">
        <v>1</v>
      </c>
      <c r="S114">
        <v>1</v>
      </c>
      <c r="T114">
        <v>1</v>
      </c>
      <c r="U114">
        <v>1</v>
      </c>
      <c r="V114">
        <v>1</v>
      </c>
      <c r="W114">
        <v>1</v>
      </c>
      <c r="X114">
        <v>1</v>
      </c>
      <c r="Y114">
        <v>1</v>
      </c>
      <c r="Z114">
        <v>1</v>
      </c>
      <c r="AA114">
        <v>1</v>
      </c>
      <c r="AB114">
        <v>1</v>
      </c>
      <c r="AC114">
        <v>1</v>
      </c>
    </row>
    <row r="115" spans="1:29" x14ac:dyDescent="0.45">
      <c r="A115" t="s">
        <v>15</v>
      </c>
      <c r="B115" t="s">
        <v>438</v>
      </c>
      <c r="C115" t="s">
        <v>439</v>
      </c>
      <c r="D115" t="s">
        <v>426</v>
      </c>
      <c r="E115" t="str">
        <f t="shared" si="1"/>
        <v>CO|solar thermal|Summer</v>
      </c>
      <c r="F115">
        <v>1</v>
      </c>
      <c r="G115">
        <v>1</v>
      </c>
      <c r="H115">
        <v>1</v>
      </c>
      <c r="I115">
        <v>1</v>
      </c>
      <c r="J115">
        <v>1</v>
      </c>
      <c r="K115">
        <v>1</v>
      </c>
      <c r="L115">
        <v>1</v>
      </c>
      <c r="M115">
        <v>1</v>
      </c>
      <c r="N115">
        <v>1</v>
      </c>
      <c r="O115">
        <v>1</v>
      </c>
      <c r="P115">
        <v>1</v>
      </c>
      <c r="Q115">
        <v>1</v>
      </c>
      <c r="R115">
        <v>1</v>
      </c>
      <c r="S115">
        <v>1</v>
      </c>
      <c r="T115">
        <v>1</v>
      </c>
      <c r="U115">
        <v>1</v>
      </c>
      <c r="V115">
        <v>1</v>
      </c>
      <c r="W115">
        <v>1</v>
      </c>
      <c r="X115">
        <v>1</v>
      </c>
      <c r="Y115">
        <v>1</v>
      </c>
      <c r="Z115">
        <v>1</v>
      </c>
      <c r="AA115">
        <v>1</v>
      </c>
      <c r="AB115">
        <v>1</v>
      </c>
      <c r="AC115">
        <v>1</v>
      </c>
    </row>
    <row r="116" spans="1:29" x14ac:dyDescent="0.45">
      <c r="A116" t="s">
        <v>15</v>
      </c>
      <c r="B116" t="s">
        <v>438</v>
      </c>
      <c r="C116" t="s">
        <v>439</v>
      </c>
      <c r="D116" t="s">
        <v>427</v>
      </c>
      <c r="E116" t="str">
        <f t="shared" si="1"/>
        <v>CO|solar thermal|Fall</v>
      </c>
      <c r="F116">
        <v>1</v>
      </c>
      <c r="G116">
        <v>1</v>
      </c>
      <c r="H116">
        <v>1</v>
      </c>
      <c r="I116">
        <v>1</v>
      </c>
      <c r="J116">
        <v>1</v>
      </c>
      <c r="K116">
        <v>1</v>
      </c>
      <c r="L116">
        <v>1</v>
      </c>
      <c r="M116">
        <v>1</v>
      </c>
      <c r="N116">
        <v>1</v>
      </c>
      <c r="O116">
        <v>1</v>
      </c>
      <c r="P116">
        <v>1</v>
      </c>
      <c r="Q116">
        <v>1</v>
      </c>
      <c r="R116">
        <v>1</v>
      </c>
      <c r="S116">
        <v>1</v>
      </c>
      <c r="T116">
        <v>1</v>
      </c>
      <c r="U116">
        <v>1</v>
      </c>
      <c r="V116">
        <v>1</v>
      </c>
      <c r="W116">
        <v>1</v>
      </c>
      <c r="X116">
        <v>1</v>
      </c>
      <c r="Y116">
        <v>1</v>
      </c>
      <c r="Z116">
        <v>1</v>
      </c>
      <c r="AA116">
        <v>1</v>
      </c>
      <c r="AB116">
        <v>1</v>
      </c>
      <c r="AC116">
        <v>1</v>
      </c>
    </row>
    <row r="117" spans="1:29" x14ac:dyDescent="0.45">
      <c r="A117" t="s">
        <v>15</v>
      </c>
      <c r="B117" t="s">
        <v>438</v>
      </c>
      <c r="C117" t="s">
        <v>439</v>
      </c>
      <c r="D117" t="s">
        <v>428</v>
      </c>
      <c r="E117" t="str">
        <f t="shared" si="1"/>
        <v>CO|solar thermal|Summer Peak</v>
      </c>
      <c r="F117">
        <v>1</v>
      </c>
      <c r="G117">
        <v>1</v>
      </c>
      <c r="H117">
        <v>1</v>
      </c>
      <c r="I117">
        <v>1</v>
      </c>
      <c r="J117">
        <v>1</v>
      </c>
      <c r="K117">
        <v>1</v>
      </c>
      <c r="L117">
        <v>1</v>
      </c>
      <c r="M117">
        <v>0</v>
      </c>
      <c r="N117">
        <v>0.8639</v>
      </c>
      <c r="O117">
        <v>1</v>
      </c>
      <c r="P117">
        <v>1</v>
      </c>
      <c r="Q117">
        <v>0.97160000000000002</v>
      </c>
      <c r="R117">
        <v>0.96719999999999995</v>
      </c>
      <c r="S117">
        <v>1</v>
      </c>
      <c r="T117">
        <v>1</v>
      </c>
      <c r="U117">
        <v>1</v>
      </c>
      <c r="V117">
        <v>1</v>
      </c>
      <c r="W117">
        <v>1</v>
      </c>
      <c r="X117">
        <v>1</v>
      </c>
      <c r="Y117">
        <v>0.93130000000000002</v>
      </c>
      <c r="Z117">
        <v>0.70220000000000005</v>
      </c>
      <c r="AA117">
        <v>1</v>
      </c>
      <c r="AB117">
        <v>1</v>
      </c>
      <c r="AC117">
        <v>1</v>
      </c>
    </row>
    <row r="118" spans="1:29" x14ac:dyDescent="0.45">
      <c r="A118" t="s">
        <v>15</v>
      </c>
      <c r="B118" t="s">
        <v>438</v>
      </c>
      <c r="C118" t="s">
        <v>439</v>
      </c>
      <c r="D118" t="s">
        <v>429</v>
      </c>
      <c r="E118" t="str">
        <f t="shared" si="1"/>
        <v>CO|solar thermal|Winter Peak</v>
      </c>
      <c r="F118">
        <v>1</v>
      </c>
      <c r="G118">
        <v>1</v>
      </c>
      <c r="H118">
        <v>1</v>
      </c>
      <c r="I118">
        <v>1</v>
      </c>
      <c r="J118">
        <v>1</v>
      </c>
      <c r="K118">
        <v>1</v>
      </c>
      <c r="L118">
        <v>1</v>
      </c>
      <c r="M118">
        <v>1</v>
      </c>
      <c r="N118">
        <v>1</v>
      </c>
      <c r="O118">
        <v>0.2419</v>
      </c>
      <c r="P118">
        <v>0.95320000000000005</v>
      </c>
      <c r="Q118">
        <v>0.88039999999999996</v>
      </c>
      <c r="R118">
        <v>0.97819999999999996</v>
      </c>
      <c r="S118">
        <v>0.98950000000000005</v>
      </c>
      <c r="T118">
        <v>0.99270000000000003</v>
      </c>
      <c r="U118">
        <v>1</v>
      </c>
      <c r="V118">
        <v>1</v>
      </c>
      <c r="W118">
        <v>1</v>
      </c>
      <c r="X118">
        <v>0.89019999999999999</v>
      </c>
      <c r="Y118">
        <v>0</v>
      </c>
      <c r="Z118">
        <v>1</v>
      </c>
      <c r="AA118">
        <v>1</v>
      </c>
      <c r="AB118">
        <v>1</v>
      </c>
      <c r="AC118">
        <v>1</v>
      </c>
    </row>
    <row r="119" spans="1:29" x14ac:dyDescent="0.45">
      <c r="A119" t="s">
        <v>15</v>
      </c>
      <c r="B119" t="s">
        <v>440</v>
      </c>
      <c r="C119" t="s">
        <v>441</v>
      </c>
      <c r="D119" t="s">
        <v>424</v>
      </c>
      <c r="E119" t="str">
        <f t="shared" si="1"/>
        <v>CO|offshore wind|Winter</v>
      </c>
      <c r="F119">
        <v>1</v>
      </c>
      <c r="G119">
        <v>1</v>
      </c>
      <c r="H119">
        <v>1</v>
      </c>
      <c r="I119">
        <v>1</v>
      </c>
      <c r="J119">
        <v>1</v>
      </c>
      <c r="K119">
        <v>1</v>
      </c>
      <c r="L119">
        <v>1</v>
      </c>
      <c r="M119">
        <v>1</v>
      </c>
      <c r="N119">
        <v>1</v>
      </c>
      <c r="O119">
        <v>1</v>
      </c>
      <c r="P119">
        <v>1</v>
      </c>
      <c r="Q119">
        <v>1</v>
      </c>
      <c r="R119">
        <v>1</v>
      </c>
      <c r="S119">
        <v>1</v>
      </c>
      <c r="T119">
        <v>1</v>
      </c>
      <c r="U119">
        <v>1</v>
      </c>
      <c r="V119">
        <v>1</v>
      </c>
      <c r="W119">
        <v>1</v>
      </c>
      <c r="X119">
        <v>1</v>
      </c>
      <c r="Y119">
        <v>1</v>
      </c>
      <c r="Z119">
        <v>1</v>
      </c>
      <c r="AA119">
        <v>1</v>
      </c>
      <c r="AB119">
        <v>1</v>
      </c>
      <c r="AC119">
        <v>1</v>
      </c>
    </row>
    <row r="120" spans="1:29" x14ac:dyDescent="0.45">
      <c r="A120" t="s">
        <v>15</v>
      </c>
      <c r="B120" t="s">
        <v>440</v>
      </c>
      <c r="C120" t="s">
        <v>441</v>
      </c>
      <c r="D120" t="s">
        <v>425</v>
      </c>
      <c r="E120" t="str">
        <f t="shared" si="1"/>
        <v>CO|offshore wind|Spring</v>
      </c>
      <c r="F120">
        <v>1</v>
      </c>
      <c r="G120">
        <v>1</v>
      </c>
      <c r="H120">
        <v>1</v>
      </c>
      <c r="I120">
        <v>1</v>
      </c>
      <c r="J120">
        <v>1</v>
      </c>
      <c r="K120">
        <v>1</v>
      </c>
      <c r="L120">
        <v>1</v>
      </c>
      <c r="M120">
        <v>1</v>
      </c>
      <c r="N120">
        <v>1</v>
      </c>
      <c r="O120">
        <v>1</v>
      </c>
      <c r="P120">
        <v>1</v>
      </c>
      <c r="Q120">
        <v>1</v>
      </c>
      <c r="R120">
        <v>1</v>
      </c>
      <c r="S120">
        <v>1</v>
      </c>
      <c r="T120">
        <v>1</v>
      </c>
      <c r="U120">
        <v>1</v>
      </c>
      <c r="V120">
        <v>1</v>
      </c>
      <c r="W120">
        <v>1</v>
      </c>
      <c r="X120">
        <v>1</v>
      </c>
      <c r="Y120">
        <v>1</v>
      </c>
      <c r="Z120">
        <v>1</v>
      </c>
      <c r="AA120">
        <v>1</v>
      </c>
      <c r="AB120">
        <v>1</v>
      </c>
      <c r="AC120">
        <v>1</v>
      </c>
    </row>
    <row r="121" spans="1:29" x14ac:dyDescent="0.45">
      <c r="A121" t="s">
        <v>15</v>
      </c>
      <c r="B121" t="s">
        <v>440</v>
      </c>
      <c r="C121" t="s">
        <v>441</v>
      </c>
      <c r="D121" t="s">
        <v>426</v>
      </c>
      <c r="E121" t="str">
        <f t="shared" si="1"/>
        <v>CO|offshore wind|Summer</v>
      </c>
      <c r="F121">
        <v>1</v>
      </c>
      <c r="G121">
        <v>1</v>
      </c>
      <c r="H121">
        <v>1</v>
      </c>
      <c r="I121">
        <v>1</v>
      </c>
      <c r="J121">
        <v>1</v>
      </c>
      <c r="K121">
        <v>1</v>
      </c>
      <c r="L121">
        <v>1</v>
      </c>
      <c r="M121">
        <v>1</v>
      </c>
      <c r="N121">
        <v>1</v>
      </c>
      <c r="O121">
        <v>1</v>
      </c>
      <c r="P121">
        <v>1</v>
      </c>
      <c r="Q121">
        <v>1</v>
      </c>
      <c r="R121">
        <v>1</v>
      </c>
      <c r="S121">
        <v>1</v>
      </c>
      <c r="T121">
        <v>1</v>
      </c>
      <c r="U121">
        <v>1</v>
      </c>
      <c r="V121">
        <v>1</v>
      </c>
      <c r="W121">
        <v>1</v>
      </c>
      <c r="X121">
        <v>1</v>
      </c>
      <c r="Y121">
        <v>1</v>
      </c>
      <c r="Z121">
        <v>1</v>
      </c>
      <c r="AA121">
        <v>1</v>
      </c>
      <c r="AB121">
        <v>1</v>
      </c>
      <c r="AC121">
        <v>1</v>
      </c>
    </row>
    <row r="122" spans="1:29" x14ac:dyDescent="0.45">
      <c r="A122" t="s">
        <v>15</v>
      </c>
      <c r="B122" t="s">
        <v>440</v>
      </c>
      <c r="C122" t="s">
        <v>441</v>
      </c>
      <c r="D122" t="s">
        <v>427</v>
      </c>
      <c r="E122" t="str">
        <f t="shared" si="1"/>
        <v>CO|offshore wind|Fall</v>
      </c>
      <c r="F122">
        <v>1</v>
      </c>
      <c r="G122">
        <v>1</v>
      </c>
      <c r="H122">
        <v>1</v>
      </c>
      <c r="I122">
        <v>1</v>
      </c>
      <c r="J122">
        <v>1</v>
      </c>
      <c r="K122">
        <v>1</v>
      </c>
      <c r="L122">
        <v>1</v>
      </c>
      <c r="M122">
        <v>1</v>
      </c>
      <c r="N122">
        <v>1</v>
      </c>
      <c r="O122">
        <v>1</v>
      </c>
      <c r="P122">
        <v>1</v>
      </c>
      <c r="Q122">
        <v>1</v>
      </c>
      <c r="R122">
        <v>1</v>
      </c>
      <c r="S122">
        <v>1</v>
      </c>
      <c r="T122">
        <v>1</v>
      </c>
      <c r="U122">
        <v>1</v>
      </c>
      <c r="V122">
        <v>1</v>
      </c>
      <c r="W122">
        <v>1</v>
      </c>
      <c r="X122">
        <v>1</v>
      </c>
      <c r="Y122">
        <v>1</v>
      </c>
      <c r="Z122">
        <v>1</v>
      </c>
      <c r="AA122">
        <v>1</v>
      </c>
      <c r="AB122">
        <v>1</v>
      </c>
      <c r="AC122">
        <v>1</v>
      </c>
    </row>
    <row r="123" spans="1:29" x14ac:dyDescent="0.45">
      <c r="A123" t="s">
        <v>15</v>
      </c>
      <c r="B123" t="s">
        <v>440</v>
      </c>
      <c r="C123" t="s">
        <v>441</v>
      </c>
      <c r="D123" t="s">
        <v>428</v>
      </c>
      <c r="E123" t="str">
        <f t="shared" si="1"/>
        <v>CO|offshore wind|Summer Peak</v>
      </c>
      <c r="F123">
        <v>0.40810000000000002</v>
      </c>
      <c r="G123">
        <v>0.4239</v>
      </c>
      <c r="H123">
        <v>0.45760000000000001</v>
      </c>
      <c r="I123">
        <v>0.50319999999999998</v>
      </c>
      <c r="J123">
        <v>0.53649999999999998</v>
      </c>
      <c r="K123">
        <v>0.59399999999999997</v>
      </c>
      <c r="L123">
        <v>0.61929999999999996</v>
      </c>
      <c r="M123">
        <v>0.68859999999999999</v>
      </c>
      <c r="N123">
        <v>0.73480000000000001</v>
      </c>
      <c r="O123">
        <v>0.84350000000000003</v>
      </c>
      <c r="P123">
        <v>0.78200000000000003</v>
      </c>
      <c r="Q123">
        <v>0.74650000000000005</v>
      </c>
      <c r="R123">
        <v>0.63690000000000002</v>
      </c>
      <c r="S123">
        <v>0.60860000000000003</v>
      </c>
      <c r="T123">
        <v>0.64339999999999997</v>
      </c>
      <c r="U123">
        <v>0.69269999999999998</v>
      </c>
      <c r="V123">
        <v>0.71450000000000002</v>
      </c>
      <c r="W123">
        <v>0.75070000000000003</v>
      </c>
      <c r="X123">
        <v>0.72489999999999999</v>
      </c>
      <c r="Y123">
        <v>0.66049999999999998</v>
      </c>
      <c r="Z123">
        <v>0.69140000000000001</v>
      </c>
      <c r="AA123">
        <v>0.63080000000000003</v>
      </c>
      <c r="AB123">
        <v>0.63429999999999997</v>
      </c>
      <c r="AC123">
        <v>0.64390000000000003</v>
      </c>
    </row>
    <row r="124" spans="1:29" x14ac:dyDescent="0.45">
      <c r="A124" t="s">
        <v>15</v>
      </c>
      <c r="B124" t="s">
        <v>440</v>
      </c>
      <c r="C124" t="s">
        <v>441</v>
      </c>
      <c r="D124" t="s">
        <v>429</v>
      </c>
      <c r="E124" t="str">
        <f t="shared" si="1"/>
        <v>CO|offshore wind|Winter Peak</v>
      </c>
      <c r="F124">
        <v>0.95309999999999995</v>
      </c>
      <c r="G124">
        <v>0.95030000000000003</v>
      </c>
      <c r="H124">
        <v>0.95540000000000003</v>
      </c>
      <c r="I124">
        <v>0.96679999999999999</v>
      </c>
      <c r="J124">
        <v>1</v>
      </c>
      <c r="K124">
        <v>1</v>
      </c>
      <c r="L124">
        <v>1</v>
      </c>
      <c r="M124">
        <v>0.99209999999999998</v>
      </c>
      <c r="N124">
        <v>0.90149999999999997</v>
      </c>
      <c r="O124">
        <v>0.79779999999999995</v>
      </c>
      <c r="P124">
        <v>0.71879999999999999</v>
      </c>
      <c r="Q124">
        <v>0.67300000000000004</v>
      </c>
      <c r="R124">
        <v>0.60860000000000003</v>
      </c>
      <c r="S124">
        <v>0.58009999999999995</v>
      </c>
      <c r="T124">
        <v>0.58799999999999997</v>
      </c>
      <c r="U124">
        <v>0.61019999999999996</v>
      </c>
      <c r="V124">
        <v>0.61839999999999995</v>
      </c>
      <c r="W124">
        <v>0.60909999999999997</v>
      </c>
      <c r="X124">
        <v>0.62880000000000003</v>
      </c>
      <c r="Y124">
        <v>0.72889999999999999</v>
      </c>
      <c r="Z124">
        <v>0.84719999999999995</v>
      </c>
      <c r="AA124">
        <v>0.92220000000000002</v>
      </c>
      <c r="AB124">
        <v>0.86950000000000005</v>
      </c>
      <c r="AC124">
        <v>0.8054</v>
      </c>
    </row>
    <row r="125" spans="1:29" x14ac:dyDescent="0.45">
      <c r="A125" t="s">
        <v>17</v>
      </c>
      <c r="B125" t="s">
        <v>434</v>
      </c>
      <c r="C125" t="s">
        <v>435</v>
      </c>
      <c r="D125" t="s">
        <v>424</v>
      </c>
      <c r="E125" t="str">
        <f t="shared" si="1"/>
        <v>CT|onshore wind|Winter</v>
      </c>
      <c r="F125">
        <v>1</v>
      </c>
      <c r="G125">
        <v>1</v>
      </c>
      <c r="H125">
        <v>1</v>
      </c>
      <c r="I125">
        <v>1</v>
      </c>
      <c r="J125">
        <v>1</v>
      </c>
      <c r="K125">
        <v>1</v>
      </c>
      <c r="L125">
        <v>1</v>
      </c>
      <c r="M125">
        <v>1</v>
      </c>
      <c r="N125">
        <v>1</v>
      </c>
      <c r="O125">
        <v>1</v>
      </c>
      <c r="P125">
        <v>1</v>
      </c>
      <c r="Q125">
        <v>1</v>
      </c>
      <c r="R125">
        <v>1</v>
      </c>
      <c r="S125">
        <v>1</v>
      </c>
      <c r="T125">
        <v>1</v>
      </c>
      <c r="U125">
        <v>1</v>
      </c>
      <c r="V125">
        <v>1</v>
      </c>
      <c r="W125">
        <v>1</v>
      </c>
      <c r="X125">
        <v>1</v>
      </c>
      <c r="Y125">
        <v>1</v>
      </c>
      <c r="Z125">
        <v>1</v>
      </c>
      <c r="AA125">
        <v>1</v>
      </c>
      <c r="AB125">
        <v>1</v>
      </c>
      <c r="AC125">
        <v>1</v>
      </c>
    </row>
    <row r="126" spans="1:29" x14ac:dyDescent="0.45">
      <c r="A126" t="s">
        <v>17</v>
      </c>
      <c r="B126" t="s">
        <v>434</v>
      </c>
      <c r="C126" t="s">
        <v>435</v>
      </c>
      <c r="D126" t="s">
        <v>425</v>
      </c>
      <c r="E126" t="str">
        <f t="shared" si="1"/>
        <v>CT|onshore wind|Spring</v>
      </c>
      <c r="F126">
        <v>1</v>
      </c>
      <c r="G126">
        <v>1</v>
      </c>
      <c r="H126">
        <v>1</v>
      </c>
      <c r="I126">
        <v>1</v>
      </c>
      <c r="J126">
        <v>1</v>
      </c>
      <c r="K126">
        <v>1</v>
      </c>
      <c r="L126">
        <v>1</v>
      </c>
      <c r="M126">
        <v>1</v>
      </c>
      <c r="N126">
        <v>1</v>
      </c>
      <c r="O126">
        <v>1</v>
      </c>
      <c r="P126">
        <v>1</v>
      </c>
      <c r="Q126">
        <v>1</v>
      </c>
      <c r="R126">
        <v>1</v>
      </c>
      <c r="S126">
        <v>1</v>
      </c>
      <c r="T126">
        <v>1</v>
      </c>
      <c r="U126">
        <v>1</v>
      </c>
      <c r="V126">
        <v>1</v>
      </c>
      <c r="W126">
        <v>1</v>
      </c>
      <c r="X126">
        <v>1</v>
      </c>
      <c r="Y126">
        <v>1</v>
      </c>
      <c r="Z126">
        <v>1</v>
      </c>
      <c r="AA126">
        <v>1</v>
      </c>
      <c r="AB126">
        <v>1</v>
      </c>
      <c r="AC126">
        <v>1</v>
      </c>
    </row>
    <row r="127" spans="1:29" x14ac:dyDescent="0.45">
      <c r="A127" t="s">
        <v>17</v>
      </c>
      <c r="B127" t="s">
        <v>434</v>
      </c>
      <c r="C127" t="s">
        <v>435</v>
      </c>
      <c r="D127" t="s">
        <v>426</v>
      </c>
      <c r="E127" t="str">
        <f t="shared" si="1"/>
        <v>CT|onshore wind|Summer</v>
      </c>
      <c r="F127">
        <v>1</v>
      </c>
      <c r="G127">
        <v>1</v>
      </c>
      <c r="H127">
        <v>1</v>
      </c>
      <c r="I127">
        <v>1</v>
      </c>
      <c r="J127">
        <v>1</v>
      </c>
      <c r="K127">
        <v>1</v>
      </c>
      <c r="L127">
        <v>1</v>
      </c>
      <c r="M127">
        <v>1</v>
      </c>
      <c r="N127">
        <v>1</v>
      </c>
      <c r="O127">
        <v>1</v>
      </c>
      <c r="P127">
        <v>1</v>
      </c>
      <c r="Q127">
        <v>1</v>
      </c>
      <c r="R127">
        <v>1</v>
      </c>
      <c r="S127">
        <v>1</v>
      </c>
      <c r="T127">
        <v>1</v>
      </c>
      <c r="U127">
        <v>1</v>
      </c>
      <c r="V127">
        <v>1</v>
      </c>
      <c r="W127">
        <v>1</v>
      </c>
      <c r="X127">
        <v>1</v>
      </c>
      <c r="Y127">
        <v>1</v>
      </c>
      <c r="Z127">
        <v>1</v>
      </c>
      <c r="AA127">
        <v>1</v>
      </c>
      <c r="AB127">
        <v>1</v>
      </c>
      <c r="AC127">
        <v>1</v>
      </c>
    </row>
    <row r="128" spans="1:29" x14ac:dyDescent="0.45">
      <c r="A128" t="s">
        <v>17</v>
      </c>
      <c r="B128" t="s">
        <v>434</v>
      </c>
      <c r="C128" t="s">
        <v>435</v>
      </c>
      <c r="D128" t="s">
        <v>427</v>
      </c>
      <c r="E128" t="str">
        <f t="shared" si="1"/>
        <v>CT|onshore wind|Fall</v>
      </c>
      <c r="F128">
        <v>1</v>
      </c>
      <c r="G128">
        <v>1</v>
      </c>
      <c r="H128">
        <v>1</v>
      </c>
      <c r="I128">
        <v>1</v>
      </c>
      <c r="J128">
        <v>1</v>
      </c>
      <c r="K128">
        <v>1</v>
      </c>
      <c r="L128">
        <v>1</v>
      </c>
      <c r="M128">
        <v>1</v>
      </c>
      <c r="N128">
        <v>1</v>
      </c>
      <c r="O128">
        <v>1</v>
      </c>
      <c r="P128">
        <v>1</v>
      </c>
      <c r="Q128">
        <v>1</v>
      </c>
      <c r="R128">
        <v>1</v>
      </c>
      <c r="S128">
        <v>1</v>
      </c>
      <c r="T128">
        <v>1</v>
      </c>
      <c r="U128">
        <v>1</v>
      </c>
      <c r="V128">
        <v>1</v>
      </c>
      <c r="W128">
        <v>1</v>
      </c>
      <c r="X128">
        <v>1</v>
      </c>
      <c r="Y128">
        <v>1</v>
      </c>
      <c r="Z128">
        <v>1</v>
      </c>
      <c r="AA128">
        <v>1</v>
      </c>
      <c r="AB128">
        <v>1</v>
      </c>
      <c r="AC128">
        <v>1</v>
      </c>
    </row>
    <row r="129" spans="1:29" x14ac:dyDescent="0.45">
      <c r="A129" t="s">
        <v>17</v>
      </c>
      <c r="B129" t="s">
        <v>434</v>
      </c>
      <c r="C129" t="s">
        <v>435</v>
      </c>
      <c r="D129" t="s">
        <v>428</v>
      </c>
      <c r="E129" t="str">
        <f t="shared" si="1"/>
        <v>CT|onshore wind|Summer Peak</v>
      </c>
      <c r="F129">
        <v>0.70950000000000002</v>
      </c>
      <c r="G129">
        <v>0.7601</v>
      </c>
      <c r="H129">
        <v>0.74080000000000001</v>
      </c>
      <c r="I129">
        <v>0.5736</v>
      </c>
      <c r="J129">
        <v>0.55969999999999998</v>
      </c>
      <c r="K129">
        <v>0.61080000000000001</v>
      </c>
      <c r="L129">
        <v>0.50700000000000001</v>
      </c>
      <c r="M129">
        <v>0.4546</v>
      </c>
      <c r="N129">
        <v>0.41549999999999998</v>
      </c>
      <c r="O129">
        <v>0.4924</v>
      </c>
      <c r="P129">
        <v>0.42080000000000001</v>
      </c>
      <c r="Q129">
        <v>0.37340000000000001</v>
      </c>
      <c r="R129">
        <v>0.42880000000000001</v>
      </c>
      <c r="S129">
        <v>0.43930000000000002</v>
      </c>
      <c r="T129">
        <v>0.48080000000000001</v>
      </c>
      <c r="U129">
        <v>0.41470000000000001</v>
      </c>
      <c r="V129">
        <v>0.4909</v>
      </c>
      <c r="W129">
        <v>0.51790000000000003</v>
      </c>
      <c r="X129">
        <v>0.57820000000000005</v>
      </c>
      <c r="Y129">
        <v>0.57130000000000003</v>
      </c>
      <c r="Z129">
        <v>0.50190000000000001</v>
      </c>
      <c r="AA129">
        <v>0.41749999999999998</v>
      </c>
      <c r="AB129">
        <v>0.40710000000000002</v>
      </c>
      <c r="AC129">
        <v>0.35549999999999998</v>
      </c>
    </row>
    <row r="130" spans="1:29" x14ac:dyDescent="0.45">
      <c r="A130" t="s">
        <v>17</v>
      </c>
      <c r="B130" t="s">
        <v>434</v>
      </c>
      <c r="C130" t="s">
        <v>435</v>
      </c>
      <c r="D130" t="s">
        <v>429</v>
      </c>
      <c r="E130" t="str">
        <f t="shared" si="1"/>
        <v>CT|onshore wind|Winter Peak</v>
      </c>
      <c r="F130">
        <v>0.83340000000000003</v>
      </c>
      <c r="G130">
        <v>0.7994</v>
      </c>
      <c r="H130">
        <v>0.78439999999999999</v>
      </c>
      <c r="I130">
        <v>0.75619999999999998</v>
      </c>
      <c r="J130">
        <v>0.72289999999999999</v>
      </c>
      <c r="K130">
        <v>0.69059999999999999</v>
      </c>
      <c r="L130">
        <v>0.6663</v>
      </c>
      <c r="M130">
        <v>0.58589999999999998</v>
      </c>
      <c r="N130">
        <v>0.41699999999999998</v>
      </c>
      <c r="O130">
        <v>0.2747</v>
      </c>
      <c r="P130">
        <v>0.19309999999999999</v>
      </c>
      <c r="Q130">
        <v>0.14940000000000001</v>
      </c>
      <c r="R130">
        <v>0.1406</v>
      </c>
      <c r="S130">
        <v>0.1908</v>
      </c>
      <c r="T130">
        <v>0.28050000000000003</v>
      </c>
      <c r="U130">
        <v>0.46489999999999998</v>
      </c>
      <c r="V130">
        <v>0.58540000000000003</v>
      </c>
      <c r="W130">
        <v>0.6623</v>
      </c>
      <c r="X130">
        <v>0.70950000000000002</v>
      </c>
      <c r="Y130">
        <v>0.76019999999999999</v>
      </c>
      <c r="Z130">
        <v>0.79330000000000001</v>
      </c>
      <c r="AA130">
        <v>0.84389999999999998</v>
      </c>
      <c r="AB130">
        <v>0.89349999999999996</v>
      </c>
      <c r="AC130">
        <v>0.89300000000000002</v>
      </c>
    </row>
    <row r="131" spans="1:29" x14ac:dyDescent="0.45">
      <c r="A131" t="s">
        <v>17</v>
      </c>
      <c r="B131" t="s">
        <v>436</v>
      </c>
      <c r="C131" t="s">
        <v>437</v>
      </c>
      <c r="D131" t="s">
        <v>424</v>
      </c>
      <c r="E131" t="str">
        <f t="shared" si="1"/>
        <v>CT|solar pv|Winter</v>
      </c>
      <c r="F131">
        <v>1</v>
      </c>
      <c r="G131">
        <v>1</v>
      </c>
      <c r="H131">
        <v>1</v>
      </c>
      <c r="I131">
        <v>1</v>
      </c>
      <c r="J131">
        <v>1</v>
      </c>
      <c r="K131">
        <v>1</v>
      </c>
      <c r="L131">
        <v>1</v>
      </c>
      <c r="M131">
        <v>1</v>
      </c>
      <c r="N131">
        <v>1</v>
      </c>
      <c r="O131">
        <v>1</v>
      </c>
      <c r="P131">
        <v>1</v>
      </c>
      <c r="Q131">
        <v>1</v>
      </c>
      <c r="R131">
        <v>1</v>
      </c>
      <c r="S131">
        <v>1</v>
      </c>
      <c r="T131">
        <v>1</v>
      </c>
      <c r="U131">
        <v>1</v>
      </c>
      <c r="V131">
        <v>1</v>
      </c>
      <c r="W131">
        <v>1</v>
      </c>
      <c r="X131">
        <v>1</v>
      </c>
      <c r="Y131">
        <v>1</v>
      </c>
      <c r="Z131">
        <v>1</v>
      </c>
      <c r="AA131">
        <v>1</v>
      </c>
      <c r="AB131">
        <v>1</v>
      </c>
      <c r="AC131">
        <v>1</v>
      </c>
    </row>
    <row r="132" spans="1:29" x14ac:dyDescent="0.45">
      <c r="A132" t="s">
        <v>17</v>
      </c>
      <c r="B132" t="s">
        <v>436</v>
      </c>
      <c r="C132" t="s">
        <v>437</v>
      </c>
      <c r="D132" t="s">
        <v>425</v>
      </c>
      <c r="E132" t="str">
        <f t="shared" si="1"/>
        <v>CT|solar pv|Spring</v>
      </c>
      <c r="F132">
        <v>1</v>
      </c>
      <c r="G132">
        <v>1</v>
      </c>
      <c r="H132">
        <v>1</v>
      </c>
      <c r="I132">
        <v>1</v>
      </c>
      <c r="J132">
        <v>1</v>
      </c>
      <c r="K132">
        <v>1</v>
      </c>
      <c r="L132">
        <v>1</v>
      </c>
      <c r="M132">
        <v>1</v>
      </c>
      <c r="N132">
        <v>1</v>
      </c>
      <c r="O132">
        <v>1</v>
      </c>
      <c r="P132">
        <v>1</v>
      </c>
      <c r="Q132">
        <v>1</v>
      </c>
      <c r="R132">
        <v>1</v>
      </c>
      <c r="S132">
        <v>1</v>
      </c>
      <c r="T132">
        <v>1</v>
      </c>
      <c r="U132">
        <v>1</v>
      </c>
      <c r="V132">
        <v>1</v>
      </c>
      <c r="W132">
        <v>1</v>
      </c>
      <c r="X132">
        <v>1</v>
      </c>
      <c r="Y132">
        <v>1</v>
      </c>
      <c r="Z132">
        <v>1</v>
      </c>
      <c r="AA132">
        <v>1</v>
      </c>
      <c r="AB132">
        <v>1</v>
      </c>
      <c r="AC132">
        <v>1</v>
      </c>
    </row>
    <row r="133" spans="1:29" x14ac:dyDescent="0.45">
      <c r="A133" t="s">
        <v>17</v>
      </c>
      <c r="B133" t="s">
        <v>436</v>
      </c>
      <c r="C133" t="s">
        <v>437</v>
      </c>
      <c r="D133" t="s">
        <v>426</v>
      </c>
      <c r="E133" t="str">
        <f t="shared" ref="E133:E196" si="2">A133&amp;"|"&amp;C133&amp;"|"&amp;D133</f>
        <v>CT|solar pv|Summer</v>
      </c>
      <c r="F133">
        <v>1</v>
      </c>
      <c r="G133">
        <v>1</v>
      </c>
      <c r="H133">
        <v>1</v>
      </c>
      <c r="I133">
        <v>1</v>
      </c>
      <c r="J133">
        <v>1</v>
      </c>
      <c r="K133">
        <v>1</v>
      </c>
      <c r="L133">
        <v>1</v>
      </c>
      <c r="M133">
        <v>1</v>
      </c>
      <c r="N133">
        <v>1</v>
      </c>
      <c r="O133">
        <v>1</v>
      </c>
      <c r="P133">
        <v>1</v>
      </c>
      <c r="Q133">
        <v>1</v>
      </c>
      <c r="R133">
        <v>1</v>
      </c>
      <c r="S133">
        <v>1</v>
      </c>
      <c r="T133">
        <v>1</v>
      </c>
      <c r="U133">
        <v>1</v>
      </c>
      <c r="V133">
        <v>1</v>
      </c>
      <c r="W133">
        <v>1</v>
      </c>
      <c r="X133">
        <v>1</v>
      </c>
      <c r="Y133">
        <v>1</v>
      </c>
      <c r="Z133">
        <v>1</v>
      </c>
      <c r="AA133">
        <v>1</v>
      </c>
      <c r="AB133">
        <v>1</v>
      </c>
      <c r="AC133">
        <v>1</v>
      </c>
    </row>
    <row r="134" spans="1:29" x14ac:dyDescent="0.45">
      <c r="A134" t="s">
        <v>17</v>
      </c>
      <c r="B134" t="s">
        <v>436</v>
      </c>
      <c r="C134" t="s">
        <v>437</v>
      </c>
      <c r="D134" t="s">
        <v>427</v>
      </c>
      <c r="E134" t="str">
        <f t="shared" si="2"/>
        <v>CT|solar pv|Fall</v>
      </c>
      <c r="F134">
        <v>1</v>
      </c>
      <c r="G134">
        <v>1</v>
      </c>
      <c r="H134">
        <v>1</v>
      </c>
      <c r="I134">
        <v>1</v>
      </c>
      <c r="J134">
        <v>1</v>
      </c>
      <c r="K134">
        <v>1</v>
      </c>
      <c r="L134">
        <v>1</v>
      </c>
      <c r="M134">
        <v>1</v>
      </c>
      <c r="N134">
        <v>1</v>
      </c>
      <c r="O134">
        <v>1</v>
      </c>
      <c r="P134">
        <v>1</v>
      </c>
      <c r="Q134">
        <v>1</v>
      </c>
      <c r="R134">
        <v>1</v>
      </c>
      <c r="S134">
        <v>1</v>
      </c>
      <c r="T134">
        <v>1</v>
      </c>
      <c r="U134">
        <v>1</v>
      </c>
      <c r="V134">
        <v>1</v>
      </c>
      <c r="W134">
        <v>1</v>
      </c>
      <c r="X134">
        <v>1</v>
      </c>
      <c r="Y134">
        <v>1</v>
      </c>
      <c r="Z134">
        <v>1</v>
      </c>
      <c r="AA134">
        <v>1</v>
      </c>
      <c r="AB134">
        <v>1</v>
      </c>
      <c r="AC134">
        <v>1</v>
      </c>
    </row>
    <row r="135" spans="1:29" x14ac:dyDescent="0.45">
      <c r="A135" t="s">
        <v>17</v>
      </c>
      <c r="B135" t="s">
        <v>436</v>
      </c>
      <c r="C135" t="s">
        <v>437</v>
      </c>
      <c r="D135" t="s">
        <v>428</v>
      </c>
      <c r="E135" t="str">
        <f t="shared" si="2"/>
        <v>CT|solar pv|Summer Peak</v>
      </c>
      <c r="F135">
        <v>1</v>
      </c>
      <c r="G135">
        <v>1</v>
      </c>
      <c r="H135">
        <v>1</v>
      </c>
      <c r="I135">
        <v>1</v>
      </c>
      <c r="J135">
        <v>4.9500000000000002E-2</v>
      </c>
      <c r="K135">
        <v>0.60809999999999997</v>
      </c>
      <c r="L135">
        <v>0.58809999999999996</v>
      </c>
      <c r="M135">
        <v>0.85550000000000004</v>
      </c>
      <c r="N135">
        <v>0.79549999999999998</v>
      </c>
      <c r="O135">
        <v>0.84799999999999998</v>
      </c>
      <c r="P135">
        <v>0.9153</v>
      </c>
      <c r="Q135">
        <v>0.89839999999999998</v>
      </c>
      <c r="R135">
        <v>0.82330000000000003</v>
      </c>
      <c r="S135">
        <v>0.77939999999999998</v>
      </c>
      <c r="T135">
        <v>0.64349999999999996</v>
      </c>
      <c r="U135">
        <v>0.65149999999999997</v>
      </c>
      <c r="V135">
        <v>0.81810000000000005</v>
      </c>
      <c r="W135">
        <v>0.59409999999999996</v>
      </c>
      <c r="X135">
        <v>0</v>
      </c>
      <c r="Y135">
        <v>1</v>
      </c>
      <c r="Z135">
        <v>1</v>
      </c>
      <c r="AA135">
        <v>1</v>
      </c>
      <c r="AB135">
        <v>1</v>
      </c>
      <c r="AC135">
        <v>1</v>
      </c>
    </row>
    <row r="136" spans="1:29" x14ac:dyDescent="0.45">
      <c r="A136" t="s">
        <v>17</v>
      </c>
      <c r="B136" t="s">
        <v>436</v>
      </c>
      <c r="C136" t="s">
        <v>437</v>
      </c>
      <c r="D136" t="s">
        <v>429</v>
      </c>
      <c r="E136" t="str">
        <f t="shared" si="2"/>
        <v>CT|solar pv|Winter Peak</v>
      </c>
      <c r="F136">
        <v>1</v>
      </c>
      <c r="G136">
        <v>1</v>
      </c>
      <c r="H136">
        <v>1</v>
      </c>
      <c r="I136">
        <v>1</v>
      </c>
      <c r="J136">
        <v>1</v>
      </c>
      <c r="K136">
        <v>1</v>
      </c>
      <c r="L136">
        <v>1</v>
      </c>
      <c r="M136">
        <v>0.75780000000000003</v>
      </c>
      <c r="N136">
        <v>0.67500000000000004</v>
      </c>
      <c r="O136">
        <v>0.64149999999999996</v>
      </c>
      <c r="P136">
        <v>0.76670000000000005</v>
      </c>
      <c r="Q136">
        <v>0.75039999999999996</v>
      </c>
      <c r="R136">
        <v>0.54200000000000004</v>
      </c>
      <c r="S136">
        <v>0.46329999999999999</v>
      </c>
      <c r="T136">
        <v>0.48159999999999997</v>
      </c>
      <c r="U136">
        <v>0.63090000000000002</v>
      </c>
      <c r="V136">
        <v>1</v>
      </c>
      <c r="W136">
        <v>1</v>
      </c>
      <c r="X136">
        <v>1</v>
      </c>
      <c r="Y136">
        <v>1</v>
      </c>
      <c r="Z136">
        <v>1</v>
      </c>
      <c r="AA136">
        <v>1</v>
      </c>
      <c r="AB136">
        <v>1</v>
      </c>
      <c r="AC136">
        <v>1</v>
      </c>
    </row>
    <row r="137" spans="1:29" x14ac:dyDescent="0.45">
      <c r="A137" t="s">
        <v>17</v>
      </c>
      <c r="B137" t="s">
        <v>438</v>
      </c>
      <c r="C137" t="s">
        <v>439</v>
      </c>
      <c r="D137" t="s">
        <v>424</v>
      </c>
      <c r="E137" t="str">
        <f t="shared" si="2"/>
        <v>CT|solar thermal|Winter</v>
      </c>
      <c r="F137">
        <v>1</v>
      </c>
      <c r="G137">
        <v>1</v>
      </c>
      <c r="H137">
        <v>1</v>
      </c>
      <c r="I137">
        <v>1</v>
      </c>
      <c r="J137">
        <v>1</v>
      </c>
      <c r="K137">
        <v>1</v>
      </c>
      <c r="L137">
        <v>1</v>
      </c>
      <c r="M137">
        <v>1</v>
      </c>
      <c r="N137">
        <v>1</v>
      </c>
      <c r="O137">
        <v>1</v>
      </c>
      <c r="P137">
        <v>1</v>
      </c>
      <c r="Q137">
        <v>1</v>
      </c>
      <c r="R137">
        <v>1</v>
      </c>
      <c r="S137">
        <v>1</v>
      </c>
      <c r="T137">
        <v>1</v>
      </c>
      <c r="U137">
        <v>1</v>
      </c>
      <c r="V137">
        <v>1</v>
      </c>
      <c r="W137">
        <v>1</v>
      </c>
      <c r="X137">
        <v>1</v>
      </c>
      <c r="Y137">
        <v>1</v>
      </c>
      <c r="Z137">
        <v>1</v>
      </c>
      <c r="AA137">
        <v>1</v>
      </c>
      <c r="AB137">
        <v>1</v>
      </c>
      <c r="AC137">
        <v>1</v>
      </c>
    </row>
    <row r="138" spans="1:29" x14ac:dyDescent="0.45">
      <c r="A138" t="s">
        <v>17</v>
      </c>
      <c r="B138" t="s">
        <v>438</v>
      </c>
      <c r="C138" t="s">
        <v>439</v>
      </c>
      <c r="D138" t="s">
        <v>425</v>
      </c>
      <c r="E138" t="str">
        <f t="shared" si="2"/>
        <v>CT|solar thermal|Spring</v>
      </c>
      <c r="F138">
        <v>1</v>
      </c>
      <c r="G138">
        <v>1</v>
      </c>
      <c r="H138">
        <v>1</v>
      </c>
      <c r="I138">
        <v>1</v>
      </c>
      <c r="J138">
        <v>1</v>
      </c>
      <c r="K138">
        <v>1</v>
      </c>
      <c r="L138">
        <v>1</v>
      </c>
      <c r="M138">
        <v>1</v>
      </c>
      <c r="N138">
        <v>1</v>
      </c>
      <c r="O138">
        <v>1</v>
      </c>
      <c r="P138">
        <v>1</v>
      </c>
      <c r="Q138">
        <v>1</v>
      </c>
      <c r="R138">
        <v>1</v>
      </c>
      <c r="S138">
        <v>1</v>
      </c>
      <c r="T138">
        <v>1</v>
      </c>
      <c r="U138">
        <v>1</v>
      </c>
      <c r="V138">
        <v>1</v>
      </c>
      <c r="W138">
        <v>1</v>
      </c>
      <c r="X138">
        <v>1</v>
      </c>
      <c r="Y138">
        <v>1</v>
      </c>
      <c r="Z138">
        <v>1</v>
      </c>
      <c r="AA138">
        <v>1</v>
      </c>
      <c r="AB138">
        <v>1</v>
      </c>
      <c r="AC138">
        <v>1</v>
      </c>
    </row>
    <row r="139" spans="1:29" x14ac:dyDescent="0.45">
      <c r="A139" t="s">
        <v>17</v>
      </c>
      <c r="B139" t="s">
        <v>438</v>
      </c>
      <c r="C139" t="s">
        <v>439</v>
      </c>
      <c r="D139" t="s">
        <v>426</v>
      </c>
      <c r="E139" t="str">
        <f t="shared" si="2"/>
        <v>CT|solar thermal|Summer</v>
      </c>
      <c r="F139">
        <v>1</v>
      </c>
      <c r="G139">
        <v>1</v>
      </c>
      <c r="H139">
        <v>1</v>
      </c>
      <c r="I139">
        <v>1</v>
      </c>
      <c r="J139">
        <v>1</v>
      </c>
      <c r="K139">
        <v>1</v>
      </c>
      <c r="L139">
        <v>1</v>
      </c>
      <c r="M139">
        <v>1</v>
      </c>
      <c r="N139">
        <v>1</v>
      </c>
      <c r="O139">
        <v>1</v>
      </c>
      <c r="P139">
        <v>1</v>
      </c>
      <c r="Q139">
        <v>1</v>
      </c>
      <c r="R139">
        <v>1</v>
      </c>
      <c r="S139">
        <v>1</v>
      </c>
      <c r="T139">
        <v>1</v>
      </c>
      <c r="U139">
        <v>1</v>
      </c>
      <c r="V139">
        <v>1</v>
      </c>
      <c r="W139">
        <v>1</v>
      </c>
      <c r="X139">
        <v>1</v>
      </c>
      <c r="Y139">
        <v>1</v>
      </c>
      <c r="Z139">
        <v>1</v>
      </c>
      <c r="AA139">
        <v>1</v>
      </c>
      <c r="AB139">
        <v>1</v>
      </c>
      <c r="AC139">
        <v>1</v>
      </c>
    </row>
    <row r="140" spans="1:29" x14ac:dyDescent="0.45">
      <c r="A140" t="s">
        <v>17</v>
      </c>
      <c r="B140" t="s">
        <v>438</v>
      </c>
      <c r="C140" t="s">
        <v>439</v>
      </c>
      <c r="D140" t="s">
        <v>427</v>
      </c>
      <c r="E140" t="str">
        <f t="shared" si="2"/>
        <v>CT|solar thermal|Fall</v>
      </c>
      <c r="F140">
        <v>1</v>
      </c>
      <c r="G140">
        <v>1</v>
      </c>
      <c r="H140">
        <v>1</v>
      </c>
      <c r="I140">
        <v>1</v>
      </c>
      <c r="J140">
        <v>1</v>
      </c>
      <c r="K140">
        <v>1</v>
      </c>
      <c r="L140">
        <v>1</v>
      </c>
      <c r="M140">
        <v>1</v>
      </c>
      <c r="N140">
        <v>1</v>
      </c>
      <c r="O140">
        <v>1</v>
      </c>
      <c r="P140">
        <v>1</v>
      </c>
      <c r="Q140">
        <v>1</v>
      </c>
      <c r="R140">
        <v>1</v>
      </c>
      <c r="S140">
        <v>1</v>
      </c>
      <c r="T140">
        <v>1</v>
      </c>
      <c r="U140">
        <v>1</v>
      </c>
      <c r="V140">
        <v>1</v>
      </c>
      <c r="W140">
        <v>1</v>
      </c>
      <c r="X140">
        <v>1</v>
      </c>
      <c r="Y140">
        <v>1</v>
      </c>
      <c r="Z140">
        <v>1</v>
      </c>
      <c r="AA140">
        <v>1</v>
      </c>
      <c r="AB140">
        <v>1</v>
      </c>
      <c r="AC140">
        <v>1</v>
      </c>
    </row>
    <row r="141" spans="1:29" x14ac:dyDescent="0.45">
      <c r="A141" t="s">
        <v>17</v>
      </c>
      <c r="B141" t="s">
        <v>438</v>
      </c>
      <c r="C141" t="s">
        <v>439</v>
      </c>
      <c r="D141" t="s">
        <v>428</v>
      </c>
      <c r="E141" t="str">
        <f t="shared" si="2"/>
        <v>CT|solar thermal|Summer Peak</v>
      </c>
      <c r="F141">
        <v>1</v>
      </c>
      <c r="G141">
        <v>1</v>
      </c>
      <c r="H141">
        <v>1</v>
      </c>
      <c r="I141">
        <v>1</v>
      </c>
      <c r="J141">
        <v>1</v>
      </c>
      <c r="K141">
        <v>1</v>
      </c>
      <c r="L141">
        <v>1</v>
      </c>
      <c r="M141">
        <v>0</v>
      </c>
      <c r="N141">
        <v>0.8639</v>
      </c>
      <c r="O141">
        <v>1</v>
      </c>
      <c r="P141">
        <v>1</v>
      </c>
      <c r="Q141">
        <v>0.97160000000000002</v>
      </c>
      <c r="R141">
        <v>0.96719999999999995</v>
      </c>
      <c r="S141">
        <v>1</v>
      </c>
      <c r="T141">
        <v>1</v>
      </c>
      <c r="U141">
        <v>1</v>
      </c>
      <c r="V141">
        <v>1</v>
      </c>
      <c r="W141">
        <v>1</v>
      </c>
      <c r="X141">
        <v>1</v>
      </c>
      <c r="Y141">
        <v>0.93130000000000002</v>
      </c>
      <c r="Z141">
        <v>0.70220000000000005</v>
      </c>
      <c r="AA141">
        <v>1</v>
      </c>
      <c r="AB141">
        <v>1</v>
      </c>
      <c r="AC141">
        <v>1</v>
      </c>
    </row>
    <row r="142" spans="1:29" x14ac:dyDescent="0.45">
      <c r="A142" t="s">
        <v>17</v>
      </c>
      <c r="B142" t="s">
        <v>438</v>
      </c>
      <c r="C142" t="s">
        <v>439</v>
      </c>
      <c r="D142" t="s">
        <v>429</v>
      </c>
      <c r="E142" t="str">
        <f t="shared" si="2"/>
        <v>CT|solar thermal|Winter Peak</v>
      </c>
      <c r="F142">
        <v>1</v>
      </c>
      <c r="G142">
        <v>1</v>
      </c>
      <c r="H142">
        <v>1</v>
      </c>
      <c r="I142">
        <v>1</v>
      </c>
      <c r="J142">
        <v>1</v>
      </c>
      <c r="K142">
        <v>1</v>
      </c>
      <c r="L142">
        <v>1</v>
      </c>
      <c r="M142">
        <v>1</v>
      </c>
      <c r="N142">
        <v>1</v>
      </c>
      <c r="O142">
        <v>0.2419</v>
      </c>
      <c r="P142">
        <v>0.95320000000000005</v>
      </c>
      <c r="Q142">
        <v>0.88039999999999996</v>
      </c>
      <c r="R142">
        <v>0.97819999999999996</v>
      </c>
      <c r="S142">
        <v>0.98950000000000005</v>
      </c>
      <c r="T142">
        <v>0.99270000000000003</v>
      </c>
      <c r="U142">
        <v>1</v>
      </c>
      <c r="V142">
        <v>1</v>
      </c>
      <c r="W142">
        <v>1</v>
      </c>
      <c r="X142">
        <v>0.89019999999999999</v>
      </c>
      <c r="Y142">
        <v>0</v>
      </c>
      <c r="Z142">
        <v>1</v>
      </c>
      <c r="AA142">
        <v>1</v>
      </c>
      <c r="AB142">
        <v>1</v>
      </c>
      <c r="AC142">
        <v>1</v>
      </c>
    </row>
    <row r="143" spans="1:29" x14ac:dyDescent="0.45">
      <c r="A143" t="s">
        <v>17</v>
      </c>
      <c r="B143" t="s">
        <v>440</v>
      </c>
      <c r="C143" t="s">
        <v>441</v>
      </c>
      <c r="D143" t="s">
        <v>424</v>
      </c>
      <c r="E143" t="str">
        <f t="shared" si="2"/>
        <v>CT|offshore wind|Winter</v>
      </c>
      <c r="F143">
        <v>1</v>
      </c>
      <c r="G143">
        <v>1</v>
      </c>
      <c r="H143">
        <v>1</v>
      </c>
      <c r="I143">
        <v>1</v>
      </c>
      <c r="J143">
        <v>1</v>
      </c>
      <c r="K143">
        <v>1</v>
      </c>
      <c r="L143">
        <v>1</v>
      </c>
      <c r="M143">
        <v>1</v>
      </c>
      <c r="N143">
        <v>1</v>
      </c>
      <c r="O143">
        <v>1</v>
      </c>
      <c r="P143">
        <v>1</v>
      </c>
      <c r="Q143">
        <v>1</v>
      </c>
      <c r="R143">
        <v>1</v>
      </c>
      <c r="S143">
        <v>1</v>
      </c>
      <c r="T143">
        <v>1</v>
      </c>
      <c r="U143">
        <v>1</v>
      </c>
      <c r="V143">
        <v>1</v>
      </c>
      <c r="W143">
        <v>1</v>
      </c>
      <c r="X143">
        <v>1</v>
      </c>
      <c r="Y143">
        <v>1</v>
      </c>
      <c r="Z143">
        <v>1</v>
      </c>
      <c r="AA143">
        <v>1</v>
      </c>
      <c r="AB143">
        <v>1</v>
      </c>
      <c r="AC143">
        <v>1</v>
      </c>
    </row>
    <row r="144" spans="1:29" x14ac:dyDescent="0.45">
      <c r="A144" t="s">
        <v>17</v>
      </c>
      <c r="B144" t="s">
        <v>440</v>
      </c>
      <c r="C144" t="s">
        <v>441</v>
      </c>
      <c r="D144" t="s">
        <v>425</v>
      </c>
      <c r="E144" t="str">
        <f t="shared" si="2"/>
        <v>CT|offshore wind|Spring</v>
      </c>
      <c r="F144">
        <v>1</v>
      </c>
      <c r="G144">
        <v>1</v>
      </c>
      <c r="H144">
        <v>1</v>
      </c>
      <c r="I144">
        <v>1</v>
      </c>
      <c r="J144">
        <v>1</v>
      </c>
      <c r="K144">
        <v>1</v>
      </c>
      <c r="L144">
        <v>1</v>
      </c>
      <c r="M144">
        <v>1</v>
      </c>
      <c r="N144">
        <v>1</v>
      </c>
      <c r="O144">
        <v>1</v>
      </c>
      <c r="P144">
        <v>1</v>
      </c>
      <c r="Q144">
        <v>1</v>
      </c>
      <c r="R144">
        <v>1</v>
      </c>
      <c r="S144">
        <v>1</v>
      </c>
      <c r="T144">
        <v>1</v>
      </c>
      <c r="U144">
        <v>1</v>
      </c>
      <c r="V144">
        <v>1</v>
      </c>
      <c r="W144">
        <v>1</v>
      </c>
      <c r="X144">
        <v>1</v>
      </c>
      <c r="Y144">
        <v>1</v>
      </c>
      <c r="Z144">
        <v>1</v>
      </c>
      <c r="AA144">
        <v>1</v>
      </c>
      <c r="AB144">
        <v>1</v>
      </c>
      <c r="AC144">
        <v>1</v>
      </c>
    </row>
    <row r="145" spans="1:29" x14ac:dyDescent="0.45">
      <c r="A145" t="s">
        <v>17</v>
      </c>
      <c r="B145" t="s">
        <v>440</v>
      </c>
      <c r="C145" t="s">
        <v>441</v>
      </c>
      <c r="D145" t="s">
        <v>426</v>
      </c>
      <c r="E145" t="str">
        <f t="shared" si="2"/>
        <v>CT|offshore wind|Summer</v>
      </c>
      <c r="F145">
        <v>1</v>
      </c>
      <c r="G145">
        <v>1</v>
      </c>
      <c r="H145">
        <v>1</v>
      </c>
      <c r="I145">
        <v>1</v>
      </c>
      <c r="J145">
        <v>1</v>
      </c>
      <c r="K145">
        <v>1</v>
      </c>
      <c r="L145">
        <v>1</v>
      </c>
      <c r="M145">
        <v>1</v>
      </c>
      <c r="N145">
        <v>1</v>
      </c>
      <c r="O145">
        <v>1</v>
      </c>
      <c r="P145">
        <v>1</v>
      </c>
      <c r="Q145">
        <v>1</v>
      </c>
      <c r="R145">
        <v>1</v>
      </c>
      <c r="S145">
        <v>1</v>
      </c>
      <c r="T145">
        <v>1</v>
      </c>
      <c r="U145">
        <v>1</v>
      </c>
      <c r="V145">
        <v>1</v>
      </c>
      <c r="W145">
        <v>1</v>
      </c>
      <c r="X145">
        <v>1</v>
      </c>
      <c r="Y145">
        <v>1</v>
      </c>
      <c r="Z145">
        <v>1</v>
      </c>
      <c r="AA145">
        <v>1</v>
      </c>
      <c r="AB145">
        <v>1</v>
      </c>
      <c r="AC145">
        <v>1</v>
      </c>
    </row>
    <row r="146" spans="1:29" x14ac:dyDescent="0.45">
      <c r="A146" t="s">
        <v>17</v>
      </c>
      <c r="B146" t="s">
        <v>440</v>
      </c>
      <c r="C146" t="s">
        <v>441</v>
      </c>
      <c r="D146" t="s">
        <v>427</v>
      </c>
      <c r="E146" t="str">
        <f t="shared" si="2"/>
        <v>CT|offshore wind|Fall</v>
      </c>
      <c r="F146">
        <v>1</v>
      </c>
      <c r="G146">
        <v>1</v>
      </c>
      <c r="H146">
        <v>1</v>
      </c>
      <c r="I146">
        <v>1</v>
      </c>
      <c r="J146">
        <v>1</v>
      </c>
      <c r="K146">
        <v>1</v>
      </c>
      <c r="L146">
        <v>1</v>
      </c>
      <c r="M146">
        <v>1</v>
      </c>
      <c r="N146">
        <v>1</v>
      </c>
      <c r="O146">
        <v>1</v>
      </c>
      <c r="P146">
        <v>1</v>
      </c>
      <c r="Q146">
        <v>1</v>
      </c>
      <c r="R146">
        <v>1</v>
      </c>
      <c r="S146">
        <v>1</v>
      </c>
      <c r="T146">
        <v>1</v>
      </c>
      <c r="U146">
        <v>1</v>
      </c>
      <c r="V146">
        <v>1</v>
      </c>
      <c r="W146">
        <v>1</v>
      </c>
      <c r="X146">
        <v>1</v>
      </c>
      <c r="Y146">
        <v>1</v>
      </c>
      <c r="Z146">
        <v>1</v>
      </c>
      <c r="AA146">
        <v>1</v>
      </c>
      <c r="AB146">
        <v>1</v>
      </c>
      <c r="AC146">
        <v>1</v>
      </c>
    </row>
    <row r="147" spans="1:29" x14ac:dyDescent="0.45">
      <c r="A147" t="s">
        <v>17</v>
      </c>
      <c r="B147" t="s">
        <v>440</v>
      </c>
      <c r="C147" t="s">
        <v>441</v>
      </c>
      <c r="D147" t="s">
        <v>428</v>
      </c>
      <c r="E147" t="str">
        <f t="shared" si="2"/>
        <v>CT|offshore wind|Summer Peak</v>
      </c>
      <c r="F147">
        <v>0.25259999999999999</v>
      </c>
      <c r="G147">
        <v>0.23169999999999999</v>
      </c>
      <c r="H147">
        <v>0.2195</v>
      </c>
      <c r="I147">
        <v>0.25490000000000002</v>
      </c>
      <c r="J147">
        <v>0.25740000000000002</v>
      </c>
      <c r="K147">
        <v>0.28770000000000001</v>
      </c>
      <c r="L147">
        <v>0.31609999999999999</v>
      </c>
      <c r="M147">
        <v>0.32969999999999999</v>
      </c>
      <c r="N147">
        <v>0.3009</v>
      </c>
      <c r="O147">
        <v>0.26829999999999998</v>
      </c>
      <c r="P147">
        <v>0.28610000000000002</v>
      </c>
      <c r="Q147">
        <v>0.30919999999999997</v>
      </c>
      <c r="R147">
        <v>0.32769999999999999</v>
      </c>
      <c r="S147">
        <v>0.30659999999999998</v>
      </c>
      <c r="T147">
        <v>0.32340000000000002</v>
      </c>
      <c r="U147">
        <v>0.28089999999999998</v>
      </c>
      <c r="V147">
        <v>0.42449999999999999</v>
      </c>
      <c r="W147">
        <v>0.42370000000000002</v>
      </c>
      <c r="X147">
        <v>0.39400000000000002</v>
      </c>
      <c r="Y147">
        <v>0.372</v>
      </c>
      <c r="Z147">
        <v>0.42159999999999997</v>
      </c>
      <c r="AA147">
        <v>0.44109999999999999</v>
      </c>
      <c r="AB147">
        <v>0.34739999999999999</v>
      </c>
      <c r="AC147">
        <v>0.27429999999999999</v>
      </c>
    </row>
    <row r="148" spans="1:29" x14ac:dyDescent="0.45">
      <c r="A148" t="s">
        <v>17</v>
      </c>
      <c r="B148" t="s">
        <v>440</v>
      </c>
      <c r="C148" t="s">
        <v>441</v>
      </c>
      <c r="D148" t="s">
        <v>429</v>
      </c>
      <c r="E148" t="str">
        <f t="shared" si="2"/>
        <v>CT|offshore wind|Winter Peak</v>
      </c>
      <c r="F148">
        <v>0.36199999999999999</v>
      </c>
      <c r="G148">
        <v>0.33929999999999999</v>
      </c>
      <c r="H148">
        <v>0.34370000000000001</v>
      </c>
      <c r="I148">
        <v>0.37569999999999998</v>
      </c>
      <c r="J148">
        <v>0.45279999999999998</v>
      </c>
      <c r="K148">
        <v>0.56689999999999996</v>
      </c>
      <c r="L148">
        <v>0.5665</v>
      </c>
      <c r="M148">
        <v>0.66800000000000004</v>
      </c>
      <c r="N148">
        <v>0.80610000000000004</v>
      </c>
      <c r="O148">
        <v>0.90190000000000003</v>
      </c>
      <c r="P148">
        <v>0.76039999999999996</v>
      </c>
      <c r="Q148">
        <v>0.8478</v>
      </c>
      <c r="R148">
        <v>0.72950000000000004</v>
      </c>
      <c r="S148">
        <v>0.65359999999999996</v>
      </c>
      <c r="T148">
        <v>0.58169999999999999</v>
      </c>
      <c r="U148">
        <v>0.52729999999999999</v>
      </c>
      <c r="V148">
        <v>0.49469999999999997</v>
      </c>
      <c r="W148">
        <v>0.49159999999999998</v>
      </c>
      <c r="X148">
        <v>0.48509999999999998</v>
      </c>
      <c r="Y148">
        <v>0.47570000000000001</v>
      </c>
      <c r="Z148">
        <v>0.45939999999999998</v>
      </c>
      <c r="AA148">
        <v>0.58640000000000003</v>
      </c>
      <c r="AB148">
        <v>0.69079999999999997</v>
      </c>
      <c r="AC148">
        <v>0.77659999999999996</v>
      </c>
    </row>
    <row r="149" spans="1:29" x14ac:dyDescent="0.45">
      <c r="A149" t="s">
        <v>20</v>
      </c>
      <c r="B149" t="s">
        <v>434</v>
      </c>
      <c r="C149" t="s">
        <v>435</v>
      </c>
      <c r="D149" t="s">
        <v>424</v>
      </c>
      <c r="E149" t="str">
        <f t="shared" si="2"/>
        <v>DE|onshore wind|Winter</v>
      </c>
      <c r="F149">
        <v>1</v>
      </c>
      <c r="G149">
        <v>1</v>
      </c>
      <c r="H149">
        <v>1</v>
      </c>
      <c r="I149">
        <v>1</v>
      </c>
      <c r="J149">
        <v>1</v>
      </c>
      <c r="K149">
        <v>1</v>
      </c>
      <c r="L149">
        <v>1</v>
      </c>
      <c r="M149">
        <v>1</v>
      </c>
      <c r="N149">
        <v>1</v>
      </c>
      <c r="O149">
        <v>1</v>
      </c>
      <c r="P149">
        <v>1</v>
      </c>
      <c r="Q149">
        <v>1</v>
      </c>
      <c r="R149">
        <v>1</v>
      </c>
      <c r="S149">
        <v>1</v>
      </c>
      <c r="T149">
        <v>1</v>
      </c>
      <c r="U149">
        <v>1</v>
      </c>
      <c r="V149">
        <v>1</v>
      </c>
      <c r="W149">
        <v>1</v>
      </c>
      <c r="X149">
        <v>1</v>
      </c>
      <c r="Y149">
        <v>1</v>
      </c>
      <c r="Z149">
        <v>1</v>
      </c>
      <c r="AA149">
        <v>1</v>
      </c>
      <c r="AB149">
        <v>1</v>
      </c>
      <c r="AC149">
        <v>1</v>
      </c>
    </row>
    <row r="150" spans="1:29" x14ac:dyDescent="0.45">
      <c r="A150" t="s">
        <v>20</v>
      </c>
      <c r="B150" t="s">
        <v>434</v>
      </c>
      <c r="C150" t="s">
        <v>435</v>
      </c>
      <c r="D150" t="s">
        <v>425</v>
      </c>
      <c r="E150" t="str">
        <f t="shared" si="2"/>
        <v>DE|onshore wind|Spring</v>
      </c>
      <c r="F150">
        <v>1</v>
      </c>
      <c r="G150">
        <v>1</v>
      </c>
      <c r="H150">
        <v>1</v>
      </c>
      <c r="I150">
        <v>1</v>
      </c>
      <c r="J150">
        <v>1</v>
      </c>
      <c r="K150">
        <v>1</v>
      </c>
      <c r="L150">
        <v>1</v>
      </c>
      <c r="M150">
        <v>1</v>
      </c>
      <c r="N150">
        <v>1</v>
      </c>
      <c r="O150">
        <v>1</v>
      </c>
      <c r="P150">
        <v>1</v>
      </c>
      <c r="Q150">
        <v>1</v>
      </c>
      <c r="R150">
        <v>1</v>
      </c>
      <c r="S150">
        <v>1</v>
      </c>
      <c r="T150">
        <v>1</v>
      </c>
      <c r="U150">
        <v>1</v>
      </c>
      <c r="V150">
        <v>1</v>
      </c>
      <c r="W150">
        <v>1</v>
      </c>
      <c r="X150">
        <v>1</v>
      </c>
      <c r="Y150">
        <v>1</v>
      </c>
      <c r="Z150">
        <v>1</v>
      </c>
      <c r="AA150">
        <v>1</v>
      </c>
      <c r="AB150">
        <v>1</v>
      </c>
      <c r="AC150">
        <v>1</v>
      </c>
    </row>
    <row r="151" spans="1:29" x14ac:dyDescent="0.45">
      <c r="A151" t="s">
        <v>20</v>
      </c>
      <c r="B151" t="s">
        <v>434</v>
      </c>
      <c r="C151" t="s">
        <v>435</v>
      </c>
      <c r="D151" t="s">
        <v>426</v>
      </c>
      <c r="E151" t="str">
        <f t="shared" si="2"/>
        <v>DE|onshore wind|Summer</v>
      </c>
      <c r="F151">
        <v>1</v>
      </c>
      <c r="G151">
        <v>1</v>
      </c>
      <c r="H151">
        <v>1</v>
      </c>
      <c r="I151">
        <v>1</v>
      </c>
      <c r="J151">
        <v>1</v>
      </c>
      <c r="K151">
        <v>1</v>
      </c>
      <c r="L151">
        <v>1</v>
      </c>
      <c r="M151">
        <v>1</v>
      </c>
      <c r="N151">
        <v>1</v>
      </c>
      <c r="O151">
        <v>1</v>
      </c>
      <c r="P151">
        <v>1</v>
      </c>
      <c r="Q151">
        <v>1</v>
      </c>
      <c r="R151">
        <v>1</v>
      </c>
      <c r="S151">
        <v>1</v>
      </c>
      <c r="T151">
        <v>1</v>
      </c>
      <c r="U151">
        <v>1</v>
      </c>
      <c r="V151">
        <v>1</v>
      </c>
      <c r="W151">
        <v>1</v>
      </c>
      <c r="X151">
        <v>1</v>
      </c>
      <c r="Y151">
        <v>1</v>
      </c>
      <c r="Z151">
        <v>1</v>
      </c>
      <c r="AA151">
        <v>1</v>
      </c>
      <c r="AB151">
        <v>1</v>
      </c>
      <c r="AC151">
        <v>1</v>
      </c>
    </row>
    <row r="152" spans="1:29" x14ac:dyDescent="0.45">
      <c r="A152" t="s">
        <v>20</v>
      </c>
      <c r="B152" t="s">
        <v>434</v>
      </c>
      <c r="C152" t="s">
        <v>435</v>
      </c>
      <c r="D152" t="s">
        <v>427</v>
      </c>
      <c r="E152" t="str">
        <f t="shared" si="2"/>
        <v>DE|onshore wind|Fall</v>
      </c>
      <c r="F152">
        <v>1</v>
      </c>
      <c r="G152">
        <v>1</v>
      </c>
      <c r="H152">
        <v>1</v>
      </c>
      <c r="I152">
        <v>1</v>
      </c>
      <c r="J152">
        <v>1</v>
      </c>
      <c r="K152">
        <v>1</v>
      </c>
      <c r="L152">
        <v>1</v>
      </c>
      <c r="M152">
        <v>1</v>
      </c>
      <c r="N152">
        <v>1</v>
      </c>
      <c r="O152">
        <v>1</v>
      </c>
      <c r="P152">
        <v>1</v>
      </c>
      <c r="Q152">
        <v>1</v>
      </c>
      <c r="R152">
        <v>1</v>
      </c>
      <c r="S152">
        <v>1</v>
      </c>
      <c r="T152">
        <v>1</v>
      </c>
      <c r="U152">
        <v>1</v>
      </c>
      <c r="V152">
        <v>1</v>
      </c>
      <c r="W152">
        <v>1</v>
      </c>
      <c r="X152">
        <v>1</v>
      </c>
      <c r="Y152">
        <v>1</v>
      </c>
      <c r="Z152">
        <v>1</v>
      </c>
      <c r="AA152">
        <v>1</v>
      </c>
      <c r="AB152">
        <v>1</v>
      </c>
      <c r="AC152">
        <v>1</v>
      </c>
    </row>
    <row r="153" spans="1:29" x14ac:dyDescent="0.45">
      <c r="A153" t="s">
        <v>20</v>
      </c>
      <c r="B153" t="s">
        <v>434</v>
      </c>
      <c r="C153" t="s">
        <v>435</v>
      </c>
      <c r="D153" t="s">
        <v>428</v>
      </c>
      <c r="E153" t="str">
        <f t="shared" si="2"/>
        <v>DE|onshore wind|Summer Peak</v>
      </c>
      <c r="F153">
        <v>0.92130000000000001</v>
      </c>
      <c r="G153">
        <v>0.92800000000000005</v>
      </c>
      <c r="H153">
        <v>0.95289999999999997</v>
      </c>
      <c r="I153">
        <v>0.94940000000000002</v>
      </c>
      <c r="J153">
        <v>0.93440000000000001</v>
      </c>
      <c r="K153">
        <v>0.94220000000000004</v>
      </c>
      <c r="L153">
        <v>0.96179999999999999</v>
      </c>
      <c r="M153">
        <v>0.91600000000000004</v>
      </c>
      <c r="N153">
        <v>0.81699999999999995</v>
      </c>
      <c r="O153">
        <v>0.7732</v>
      </c>
      <c r="P153">
        <v>0.76719999999999999</v>
      </c>
      <c r="Q153">
        <v>0.75590000000000002</v>
      </c>
      <c r="R153">
        <v>0.69110000000000005</v>
      </c>
      <c r="S153">
        <v>0.75690000000000002</v>
      </c>
      <c r="T153">
        <v>0.82179999999999997</v>
      </c>
      <c r="U153">
        <v>0.83940000000000003</v>
      </c>
      <c r="V153">
        <v>0.86229999999999996</v>
      </c>
      <c r="W153">
        <v>0.89380000000000004</v>
      </c>
      <c r="X153">
        <v>0.9103</v>
      </c>
      <c r="Y153">
        <v>0.9335</v>
      </c>
      <c r="Z153">
        <v>0.92900000000000005</v>
      </c>
      <c r="AA153">
        <v>0.9536</v>
      </c>
      <c r="AB153">
        <v>0.97609999999999997</v>
      </c>
      <c r="AC153">
        <v>0.98950000000000005</v>
      </c>
    </row>
    <row r="154" spans="1:29" x14ac:dyDescent="0.45">
      <c r="A154" t="s">
        <v>20</v>
      </c>
      <c r="B154" t="s">
        <v>434</v>
      </c>
      <c r="C154" t="s">
        <v>435</v>
      </c>
      <c r="D154" t="s">
        <v>429</v>
      </c>
      <c r="E154" t="str">
        <f t="shared" si="2"/>
        <v>DE|onshore wind|Winter Peak</v>
      </c>
      <c r="F154">
        <v>0.88390000000000002</v>
      </c>
      <c r="G154">
        <v>0.8569</v>
      </c>
      <c r="H154">
        <v>0.83889999999999998</v>
      </c>
      <c r="I154">
        <v>0.8246</v>
      </c>
      <c r="J154">
        <v>0.80969999999999998</v>
      </c>
      <c r="K154">
        <v>0.77990000000000004</v>
      </c>
      <c r="L154">
        <v>0.79559999999999997</v>
      </c>
      <c r="M154">
        <v>0.80669999999999997</v>
      </c>
      <c r="N154">
        <v>0.85460000000000003</v>
      </c>
      <c r="O154">
        <v>0.89159999999999995</v>
      </c>
      <c r="P154">
        <v>0.94589999999999996</v>
      </c>
      <c r="Q154">
        <v>0.95920000000000005</v>
      </c>
      <c r="R154">
        <v>0.97199999999999998</v>
      </c>
      <c r="S154">
        <v>0.96030000000000004</v>
      </c>
      <c r="T154">
        <v>0.88890000000000002</v>
      </c>
      <c r="U154">
        <v>0.85070000000000001</v>
      </c>
      <c r="V154">
        <v>0.92669999999999997</v>
      </c>
      <c r="W154">
        <v>0.88770000000000004</v>
      </c>
      <c r="X154">
        <v>0.87509999999999999</v>
      </c>
      <c r="Y154">
        <v>0.84089999999999998</v>
      </c>
      <c r="Z154">
        <v>0.81079999999999997</v>
      </c>
      <c r="AA154">
        <v>0.80730000000000002</v>
      </c>
      <c r="AB154">
        <v>0.79849999999999999</v>
      </c>
      <c r="AC154">
        <v>0.78990000000000005</v>
      </c>
    </row>
    <row r="155" spans="1:29" x14ac:dyDescent="0.45">
      <c r="A155" t="s">
        <v>20</v>
      </c>
      <c r="B155" t="s">
        <v>436</v>
      </c>
      <c r="C155" t="s">
        <v>437</v>
      </c>
      <c r="D155" t="s">
        <v>424</v>
      </c>
      <c r="E155" t="str">
        <f t="shared" si="2"/>
        <v>DE|solar pv|Winter</v>
      </c>
      <c r="F155">
        <v>1</v>
      </c>
      <c r="G155">
        <v>1</v>
      </c>
      <c r="H155">
        <v>1</v>
      </c>
      <c r="I155">
        <v>1</v>
      </c>
      <c r="J155">
        <v>1</v>
      </c>
      <c r="K155">
        <v>1</v>
      </c>
      <c r="L155">
        <v>1</v>
      </c>
      <c r="M155">
        <v>1</v>
      </c>
      <c r="N155">
        <v>1</v>
      </c>
      <c r="O155">
        <v>1</v>
      </c>
      <c r="P155">
        <v>1</v>
      </c>
      <c r="Q155">
        <v>1</v>
      </c>
      <c r="R155">
        <v>1</v>
      </c>
      <c r="S155">
        <v>1</v>
      </c>
      <c r="T155">
        <v>1</v>
      </c>
      <c r="U155">
        <v>1</v>
      </c>
      <c r="V155">
        <v>1</v>
      </c>
      <c r="W155">
        <v>1</v>
      </c>
      <c r="X155">
        <v>1</v>
      </c>
      <c r="Y155">
        <v>1</v>
      </c>
      <c r="Z155">
        <v>1</v>
      </c>
      <c r="AA155">
        <v>1</v>
      </c>
      <c r="AB155">
        <v>1</v>
      </c>
      <c r="AC155">
        <v>1</v>
      </c>
    </row>
    <row r="156" spans="1:29" x14ac:dyDescent="0.45">
      <c r="A156" t="s">
        <v>20</v>
      </c>
      <c r="B156" t="s">
        <v>436</v>
      </c>
      <c r="C156" t="s">
        <v>437</v>
      </c>
      <c r="D156" t="s">
        <v>425</v>
      </c>
      <c r="E156" t="str">
        <f t="shared" si="2"/>
        <v>DE|solar pv|Spring</v>
      </c>
      <c r="F156">
        <v>1</v>
      </c>
      <c r="G156">
        <v>1</v>
      </c>
      <c r="H156">
        <v>1</v>
      </c>
      <c r="I156">
        <v>1</v>
      </c>
      <c r="J156">
        <v>1</v>
      </c>
      <c r="K156">
        <v>1</v>
      </c>
      <c r="L156">
        <v>1</v>
      </c>
      <c r="M156">
        <v>1</v>
      </c>
      <c r="N156">
        <v>1</v>
      </c>
      <c r="O156">
        <v>1</v>
      </c>
      <c r="P156">
        <v>1</v>
      </c>
      <c r="Q156">
        <v>1</v>
      </c>
      <c r="R156">
        <v>1</v>
      </c>
      <c r="S156">
        <v>1</v>
      </c>
      <c r="T156">
        <v>1</v>
      </c>
      <c r="U156">
        <v>1</v>
      </c>
      <c r="V156">
        <v>1</v>
      </c>
      <c r="W156">
        <v>1</v>
      </c>
      <c r="X156">
        <v>1</v>
      </c>
      <c r="Y156">
        <v>1</v>
      </c>
      <c r="Z156">
        <v>1</v>
      </c>
      <c r="AA156">
        <v>1</v>
      </c>
      <c r="AB156">
        <v>1</v>
      </c>
      <c r="AC156">
        <v>1</v>
      </c>
    </row>
    <row r="157" spans="1:29" x14ac:dyDescent="0.45">
      <c r="A157" t="s">
        <v>20</v>
      </c>
      <c r="B157" t="s">
        <v>436</v>
      </c>
      <c r="C157" t="s">
        <v>437</v>
      </c>
      <c r="D157" t="s">
        <v>426</v>
      </c>
      <c r="E157" t="str">
        <f t="shared" si="2"/>
        <v>DE|solar pv|Summer</v>
      </c>
      <c r="F157">
        <v>1</v>
      </c>
      <c r="G157">
        <v>1</v>
      </c>
      <c r="H157">
        <v>1</v>
      </c>
      <c r="I157">
        <v>1</v>
      </c>
      <c r="J157">
        <v>1</v>
      </c>
      <c r="K157">
        <v>1</v>
      </c>
      <c r="L157">
        <v>1</v>
      </c>
      <c r="M157">
        <v>1</v>
      </c>
      <c r="N157">
        <v>1</v>
      </c>
      <c r="O157">
        <v>1</v>
      </c>
      <c r="P157">
        <v>1</v>
      </c>
      <c r="Q157">
        <v>1</v>
      </c>
      <c r="R157">
        <v>1</v>
      </c>
      <c r="S157">
        <v>1</v>
      </c>
      <c r="T157">
        <v>1</v>
      </c>
      <c r="U157">
        <v>1</v>
      </c>
      <c r="V157">
        <v>1</v>
      </c>
      <c r="W157">
        <v>1</v>
      </c>
      <c r="X157">
        <v>1</v>
      </c>
      <c r="Y157">
        <v>1</v>
      </c>
      <c r="Z157">
        <v>1</v>
      </c>
      <c r="AA157">
        <v>1</v>
      </c>
      <c r="AB157">
        <v>1</v>
      </c>
      <c r="AC157">
        <v>1</v>
      </c>
    </row>
    <row r="158" spans="1:29" x14ac:dyDescent="0.45">
      <c r="A158" t="s">
        <v>20</v>
      </c>
      <c r="B158" t="s">
        <v>436</v>
      </c>
      <c r="C158" t="s">
        <v>437</v>
      </c>
      <c r="D158" t="s">
        <v>427</v>
      </c>
      <c r="E158" t="str">
        <f t="shared" si="2"/>
        <v>DE|solar pv|Fall</v>
      </c>
      <c r="F158">
        <v>1</v>
      </c>
      <c r="G158">
        <v>1</v>
      </c>
      <c r="H158">
        <v>1</v>
      </c>
      <c r="I158">
        <v>1</v>
      </c>
      <c r="J158">
        <v>1</v>
      </c>
      <c r="K158">
        <v>1</v>
      </c>
      <c r="L158">
        <v>1</v>
      </c>
      <c r="M158">
        <v>1</v>
      </c>
      <c r="N158">
        <v>1</v>
      </c>
      <c r="O158">
        <v>1</v>
      </c>
      <c r="P158">
        <v>1</v>
      </c>
      <c r="Q158">
        <v>1</v>
      </c>
      <c r="R158">
        <v>1</v>
      </c>
      <c r="S158">
        <v>1</v>
      </c>
      <c r="T158">
        <v>1</v>
      </c>
      <c r="U158">
        <v>1</v>
      </c>
      <c r="V158">
        <v>1</v>
      </c>
      <c r="W158">
        <v>1</v>
      </c>
      <c r="X158">
        <v>1</v>
      </c>
      <c r="Y158">
        <v>1</v>
      </c>
      <c r="Z158">
        <v>1</v>
      </c>
      <c r="AA158">
        <v>1</v>
      </c>
      <c r="AB158">
        <v>1</v>
      </c>
      <c r="AC158">
        <v>1</v>
      </c>
    </row>
    <row r="159" spans="1:29" x14ac:dyDescent="0.45">
      <c r="A159" t="s">
        <v>20</v>
      </c>
      <c r="B159" t="s">
        <v>436</v>
      </c>
      <c r="C159" t="s">
        <v>437</v>
      </c>
      <c r="D159" t="s">
        <v>428</v>
      </c>
      <c r="E159" t="str">
        <f t="shared" si="2"/>
        <v>DE|solar pv|Summer Peak</v>
      </c>
      <c r="F159">
        <v>1</v>
      </c>
      <c r="G159">
        <v>1</v>
      </c>
      <c r="H159">
        <v>1</v>
      </c>
      <c r="I159">
        <v>1</v>
      </c>
      <c r="J159">
        <v>0.23300000000000001</v>
      </c>
      <c r="K159">
        <v>0.72799999999999998</v>
      </c>
      <c r="L159">
        <v>0.88009999999999999</v>
      </c>
      <c r="M159">
        <v>0.92520000000000002</v>
      </c>
      <c r="N159">
        <v>0.94710000000000005</v>
      </c>
      <c r="O159">
        <v>0.95</v>
      </c>
      <c r="P159">
        <v>0.97099999999999997</v>
      </c>
      <c r="Q159">
        <v>0.97389999999999999</v>
      </c>
      <c r="R159">
        <v>0.97009999999999996</v>
      </c>
      <c r="S159">
        <v>0.96579999999999999</v>
      </c>
      <c r="T159">
        <v>0.96309999999999996</v>
      </c>
      <c r="U159">
        <v>0.96740000000000004</v>
      </c>
      <c r="V159">
        <v>0.94110000000000005</v>
      </c>
      <c r="W159">
        <v>0.95469999999999999</v>
      </c>
      <c r="X159">
        <v>0.94199999999999995</v>
      </c>
      <c r="Y159">
        <v>0.87960000000000005</v>
      </c>
      <c r="Z159">
        <v>0.79139999999999999</v>
      </c>
      <c r="AA159">
        <v>0.79200000000000004</v>
      </c>
      <c r="AB159">
        <v>1</v>
      </c>
      <c r="AC159">
        <v>1</v>
      </c>
    </row>
    <row r="160" spans="1:29" x14ac:dyDescent="0.45">
      <c r="A160" t="s">
        <v>20</v>
      </c>
      <c r="B160" t="s">
        <v>436</v>
      </c>
      <c r="C160" t="s">
        <v>437</v>
      </c>
      <c r="D160" t="s">
        <v>429</v>
      </c>
      <c r="E160" t="str">
        <f t="shared" si="2"/>
        <v>DE|solar pv|Winter Peak</v>
      </c>
      <c r="F160">
        <v>1</v>
      </c>
      <c r="G160">
        <v>1</v>
      </c>
      <c r="H160">
        <v>1</v>
      </c>
      <c r="I160">
        <v>1</v>
      </c>
      <c r="J160">
        <v>1</v>
      </c>
      <c r="K160">
        <v>1</v>
      </c>
      <c r="L160">
        <v>1</v>
      </c>
      <c r="M160">
        <v>0.91820000000000002</v>
      </c>
      <c r="N160">
        <v>0.88980000000000004</v>
      </c>
      <c r="O160">
        <v>0.87790000000000001</v>
      </c>
      <c r="P160">
        <v>0.88090000000000002</v>
      </c>
      <c r="Q160">
        <v>0.90290000000000004</v>
      </c>
      <c r="R160">
        <v>0.93200000000000005</v>
      </c>
      <c r="S160">
        <v>0.92700000000000005</v>
      </c>
      <c r="T160">
        <v>0.89710000000000001</v>
      </c>
      <c r="U160">
        <v>0.87209999999999999</v>
      </c>
      <c r="V160">
        <v>0.84419999999999995</v>
      </c>
      <c r="W160">
        <v>0.86119999999999997</v>
      </c>
      <c r="X160">
        <v>0.69</v>
      </c>
      <c r="Y160">
        <v>0.02</v>
      </c>
      <c r="Z160">
        <v>1</v>
      </c>
      <c r="AA160">
        <v>1</v>
      </c>
      <c r="AB160">
        <v>1</v>
      </c>
      <c r="AC160">
        <v>1</v>
      </c>
    </row>
    <row r="161" spans="1:29" x14ac:dyDescent="0.45">
      <c r="A161" t="s">
        <v>20</v>
      </c>
      <c r="B161" t="s">
        <v>438</v>
      </c>
      <c r="C161" t="s">
        <v>439</v>
      </c>
      <c r="D161" t="s">
        <v>424</v>
      </c>
      <c r="E161" t="str">
        <f t="shared" si="2"/>
        <v>DE|solar thermal|Winter</v>
      </c>
      <c r="F161">
        <v>1</v>
      </c>
      <c r="G161">
        <v>1</v>
      </c>
      <c r="H161">
        <v>1</v>
      </c>
      <c r="I161">
        <v>1</v>
      </c>
      <c r="J161">
        <v>1</v>
      </c>
      <c r="K161">
        <v>1</v>
      </c>
      <c r="L161">
        <v>1</v>
      </c>
      <c r="M161">
        <v>1</v>
      </c>
      <c r="N161">
        <v>1</v>
      </c>
      <c r="O161">
        <v>1</v>
      </c>
      <c r="P161">
        <v>1</v>
      </c>
      <c r="Q161">
        <v>1</v>
      </c>
      <c r="R161">
        <v>1</v>
      </c>
      <c r="S161">
        <v>1</v>
      </c>
      <c r="T161">
        <v>1</v>
      </c>
      <c r="U161">
        <v>1</v>
      </c>
      <c r="V161">
        <v>1</v>
      </c>
      <c r="W161">
        <v>1</v>
      </c>
      <c r="X161">
        <v>1</v>
      </c>
      <c r="Y161">
        <v>1</v>
      </c>
      <c r="Z161">
        <v>1</v>
      </c>
      <c r="AA161">
        <v>1</v>
      </c>
      <c r="AB161">
        <v>1</v>
      </c>
      <c r="AC161">
        <v>1</v>
      </c>
    </row>
    <row r="162" spans="1:29" x14ac:dyDescent="0.45">
      <c r="A162" t="s">
        <v>20</v>
      </c>
      <c r="B162" t="s">
        <v>438</v>
      </c>
      <c r="C162" t="s">
        <v>439</v>
      </c>
      <c r="D162" t="s">
        <v>425</v>
      </c>
      <c r="E162" t="str">
        <f t="shared" si="2"/>
        <v>DE|solar thermal|Spring</v>
      </c>
      <c r="F162">
        <v>1</v>
      </c>
      <c r="G162">
        <v>1</v>
      </c>
      <c r="H162">
        <v>1</v>
      </c>
      <c r="I162">
        <v>1</v>
      </c>
      <c r="J162">
        <v>1</v>
      </c>
      <c r="K162">
        <v>1</v>
      </c>
      <c r="L162">
        <v>1</v>
      </c>
      <c r="M162">
        <v>1</v>
      </c>
      <c r="N162">
        <v>1</v>
      </c>
      <c r="O162">
        <v>1</v>
      </c>
      <c r="P162">
        <v>1</v>
      </c>
      <c r="Q162">
        <v>1</v>
      </c>
      <c r="R162">
        <v>1</v>
      </c>
      <c r="S162">
        <v>1</v>
      </c>
      <c r="T162">
        <v>1</v>
      </c>
      <c r="U162">
        <v>1</v>
      </c>
      <c r="V162">
        <v>1</v>
      </c>
      <c r="W162">
        <v>1</v>
      </c>
      <c r="X162">
        <v>1</v>
      </c>
      <c r="Y162">
        <v>1</v>
      </c>
      <c r="Z162">
        <v>1</v>
      </c>
      <c r="AA162">
        <v>1</v>
      </c>
      <c r="AB162">
        <v>1</v>
      </c>
      <c r="AC162">
        <v>1</v>
      </c>
    </row>
    <row r="163" spans="1:29" x14ac:dyDescent="0.45">
      <c r="A163" t="s">
        <v>20</v>
      </c>
      <c r="B163" t="s">
        <v>438</v>
      </c>
      <c r="C163" t="s">
        <v>439</v>
      </c>
      <c r="D163" t="s">
        <v>426</v>
      </c>
      <c r="E163" t="str">
        <f t="shared" si="2"/>
        <v>DE|solar thermal|Summer</v>
      </c>
      <c r="F163">
        <v>1</v>
      </c>
      <c r="G163">
        <v>1</v>
      </c>
      <c r="H163">
        <v>1</v>
      </c>
      <c r="I163">
        <v>1</v>
      </c>
      <c r="J163">
        <v>1</v>
      </c>
      <c r="K163">
        <v>1</v>
      </c>
      <c r="L163">
        <v>1</v>
      </c>
      <c r="M163">
        <v>1</v>
      </c>
      <c r="N163">
        <v>1</v>
      </c>
      <c r="O163">
        <v>1</v>
      </c>
      <c r="P163">
        <v>1</v>
      </c>
      <c r="Q163">
        <v>1</v>
      </c>
      <c r="R163">
        <v>1</v>
      </c>
      <c r="S163">
        <v>1</v>
      </c>
      <c r="T163">
        <v>1</v>
      </c>
      <c r="U163">
        <v>1</v>
      </c>
      <c r="V163">
        <v>1</v>
      </c>
      <c r="W163">
        <v>1</v>
      </c>
      <c r="X163">
        <v>1</v>
      </c>
      <c r="Y163">
        <v>1</v>
      </c>
      <c r="Z163">
        <v>1</v>
      </c>
      <c r="AA163">
        <v>1</v>
      </c>
      <c r="AB163">
        <v>1</v>
      </c>
      <c r="AC163">
        <v>1</v>
      </c>
    </row>
    <row r="164" spans="1:29" x14ac:dyDescent="0.45">
      <c r="A164" t="s">
        <v>20</v>
      </c>
      <c r="B164" t="s">
        <v>438</v>
      </c>
      <c r="C164" t="s">
        <v>439</v>
      </c>
      <c r="D164" t="s">
        <v>427</v>
      </c>
      <c r="E164" t="str">
        <f t="shared" si="2"/>
        <v>DE|solar thermal|Fall</v>
      </c>
      <c r="F164">
        <v>1</v>
      </c>
      <c r="G164">
        <v>1</v>
      </c>
      <c r="H164">
        <v>1</v>
      </c>
      <c r="I164">
        <v>1</v>
      </c>
      <c r="J164">
        <v>1</v>
      </c>
      <c r="K164">
        <v>1</v>
      </c>
      <c r="L164">
        <v>1</v>
      </c>
      <c r="M164">
        <v>1</v>
      </c>
      <c r="N164">
        <v>1</v>
      </c>
      <c r="O164">
        <v>1</v>
      </c>
      <c r="P164">
        <v>1</v>
      </c>
      <c r="Q164">
        <v>1</v>
      </c>
      <c r="R164">
        <v>1</v>
      </c>
      <c r="S164">
        <v>1</v>
      </c>
      <c r="T164">
        <v>1</v>
      </c>
      <c r="U164">
        <v>1</v>
      </c>
      <c r="V164">
        <v>1</v>
      </c>
      <c r="W164">
        <v>1</v>
      </c>
      <c r="X164">
        <v>1</v>
      </c>
      <c r="Y164">
        <v>1</v>
      </c>
      <c r="Z164">
        <v>1</v>
      </c>
      <c r="AA164">
        <v>1</v>
      </c>
      <c r="AB164">
        <v>1</v>
      </c>
      <c r="AC164">
        <v>1</v>
      </c>
    </row>
    <row r="165" spans="1:29" x14ac:dyDescent="0.45">
      <c r="A165" t="s">
        <v>20</v>
      </c>
      <c r="B165" t="s">
        <v>438</v>
      </c>
      <c r="C165" t="s">
        <v>439</v>
      </c>
      <c r="D165" t="s">
        <v>428</v>
      </c>
      <c r="E165" t="str">
        <f t="shared" si="2"/>
        <v>DE|solar thermal|Summer Peak</v>
      </c>
      <c r="F165">
        <v>1</v>
      </c>
      <c r="G165">
        <v>1</v>
      </c>
      <c r="H165">
        <v>1</v>
      </c>
      <c r="I165">
        <v>1</v>
      </c>
      <c r="J165">
        <v>1</v>
      </c>
      <c r="K165">
        <v>1</v>
      </c>
      <c r="L165">
        <v>1</v>
      </c>
      <c r="M165">
        <v>0</v>
      </c>
      <c r="N165">
        <v>0.8639</v>
      </c>
      <c r="O165">
        <v>1</v>
      </c>
      <c r="P165">
        <v>1</v>
      </c>
      <c r="Q165">
        <v>0.97160000000000002</v>
      </c>
      <c r="R165">
        <v>0.96719999999999995</v>
      </c>
      <c r="S165">
        <v>1</v>
      </c>
      <c r="T165">
        <v>1</v>
      </c>
      <c r="U165">
        <v>1</v>
      </c>
      <c r="V165">
        <v>1</v>
      </c>
      <c r="W165">
        <v>1</v>
      </c>
      <c r="X165">
        <v>1</v>
      </c>
      <c r="Y165">
        <v>0.93130000000000002</v>
      </c>
      <c r="Z165">
        <v>0.70220000000000005</v>
      </c>
      <c r="AA165">
        <v>1</v>
      </c>
      <c r="AB165">
        <v>1</v>
      </c>
      <c r="AC165">
        <v>1</v>
      </c>
    </row>
    <row r="166" spans="1:29" x14ac:dyDescent="0.45">
      <c r="A166" t="s">
        <v>20</v>
      </c>
      <c r="B166" t="s">
        <v>438</v>
      </c>
      <c r="C166" t="s">
        <v>439</v>
      </c>
      <c r="D166" t="s">
        <v>429</v>
      </c>
      <c r="E166" t="str">
        <f t="shared" si="2"/>
        <v>DE|solar thermal|Winter Peak</v>
      </c>
      <c r="F166">
        <v>1</v>
      </c>
      <c r="G166">
        <v>1</v>
      </c>
      <c r="H166">
        <v>1</v>
      </c>
      <c r="I166">
        <v>1</v>
      </c>
      <c r="J166">
        <v>1</v>
      </c>
      <c r="K166">
        <v>1</v>
      </c>
      <c r="L166">
        <v>1</v>
      </c>
      <c r="M166">
        <v>1</v>
      </c>
      <c r="N166">
        <v>1</v>
      </c>
      <c r="O166">
        <v>0.2419</v>
      </c>
      <c r="P166">
        <v>0.95320000000000005</v>
      </c>
      <c r="Q166">
        <v>0.88039999999999996</v>
      </c>
      <c r="R166">
        <v>0.97819999999999996</v>
      </c>
      <c r="S166">
        <v>0.98950000000000005</v>
      </c>
      <c r="T166">
        <v>0.99270000000000003</v>
      </c>
      <c r="U166">
        <v>1</v>
      </c>
      <c r="V166">
        <v>1</v>
      </c>
      <c r="W166">
        <v>1</v>
      </c>
      <c r="X166">
        <v>0.89019999999999999</v>
      </c>
      <c r="Y166">
        <v>0</v>
      </c>
      <c r="Z166">
        <v>1</v>
      </c>
      <c r="AA166">
        <v>1</v>
      </c>
      <c r="AB166">
        <v>1</v>
      </c>
      <c r="AC166">
        <v>1</v>
      </c>
    </row>
    <row r="167" spans="1:29" x14ac:dyDescent="0.45">
      <c r="A167" t="s">
        <v>20</v>
      </c>
      <c r="B167" t="s">
        <v>440</v>
      </c>
      <c r="C167" t="s">
        <v>441</v>
      </c>
      <c r="D167" t="s">
        <v>424</v>
      </c>
      <c r="E167" t="str">
        <f t="shared" si="2"/>
        <v>DE|offshore wind|Winter</v>
      </c>
      <c r="F167">
        <v>1</v>
      </c>
      <c r="G167">
        <v>1</v>
      </c>
      <c r="H167">
        <v>1</v>
      </c>
      <c r="I167">
        <v>1</v>
      </c>
      <c r="J167">
        <v>1</v>
      </c>
      <c r="K167">
        <v>1</v>
      </c>
      <c r="L167">
        <v>1</v>
      </c>
      <c r="M167">
        <v>1</v>
      </c>
      <c r="N167">
        <v>1</v>
      </c>
      <c r="O167">
        <v>1</v>
      </c>
      <c r="P167">
        <v>1</v>
      </c>
      <c r="Q167">
        <v>1</v>
      </c>
      <c r="R167">
        <v>1</v>
      </c>
      <c r="S167">
        <v>1</v>
      </c>
      <c r="T167">
        <v>1</v>
      </c>
      <c r="U167">
        <v>1</v>
      </c>
      <c r="V167">
        <v>1</v>
      </c>
      <c r="W167">
        <v>1</v>
      </c>
      <c r="X167">
        <v>1</v>
      </c>
      <c r="Y167">
        <v>1</v>
      </c>
      <c r="Z167">
        <v>1</v>
      </c>
      <c r="AA167">
        <v>1</v>
      </c>
      <c r="AB167">
        <v>1</v>
      </c>
      <c r="AC167">
        <v>1</v>
      </c>
    </row>
    <row r="168" spans="1:29" x14ac:dyDescent="0.45">
      <c r="A168" t="s">
        <v>20</v>
      </c>
      <c r="B168" t="s">
        <v>440</v>
      </c>
      <c r="C168" t="s">
        <v>441</v>
      </c>
      <c r="D168" t="s">
        <v>425</v>
      </c>
      <c r="E168" t="str">
        <f t="shared" si="2"/>
        <v>DE|offshore wind|Spring</v>
      </c>
      <c r="F168">
        <v>1</v>
      </c>
      <c r="G168">
        <v>1</v>
      </c>
      <c r="H168">
        <v>1</v>
      </c>
      <c r="I168">
        <v>1</v>
      </c>
      <c r="J168">
        <v>1</v>
      </c>
      <c r="K168">
        <v>1</v>
      </c>
      <c r="L168">
        <v>1</v>
      </c>
      <c r="M168">
        <v>1</v>
      </c>
      <c r="N168">
        <v>1</v>
      </c>
      <c r="O168">
        <v>1</v>
      </c>
      <c r="P168">
        <v>1</v>
      </c>
      <c r="Q168">
        <v>1</v>
      </c>
      <c r="R168">
        <v>1</v>
      </c>
      <c r="S168">
        <v>1</v>
      </c>
      <c r="T168">
        <v>1</v>
      </c>
      <c r="U168">
        <v>1</v>
      </c>
      <c r="V168">
        <v>1</v>
      </c>
      <c r="W168">
        <v>1</v>
      </c>
      <c r="X168">
        <v>1</v>
      </c>
      <c r="Y168">
        <v>1</v>
      </c>
      <c r="Z168">
        <v>1</v>
      </c>
      <c r="AA168">
        <v>1</v>
      </c>
      <c r="AB168">
        <v>1</v>
      </c>
      <c r="AC168">
        <v>1</v>
      </c>
    </row>
    <row r="169" spans="1:29" x14ac:dyDescent="0.45">
      <c r="A169" t="s">
        <v>20</v>
      </c>
      <c r="B169" t="s">
        <v>440</v>
      </c>
      <c r="C169" t="s">
        <v>441</v>
      </c>
      <c r="D169" t="s">
        <v>426</v>
      </c>
      <c r="E169" t="str">
        <f t="shared" si="2"/>
        <v>DE|offshore wind|Summer</v>
      </c>
      <c r="F169">
        <v>1</v>
      </c>
      <c r="G169">
        <v>1</v>
      </c>
      <c r="H169">
        <v>1</v>
      </c>
      <c r="I169">
        <v>1</v>
      </c>
      <c r="J169">
        <v>1</v>
      </c>
      <c r="K169">
        <v>1</v>
      </c>
      <c r="L169">
        <v>1</v>
      </c>
      <c r="M169">
        <v>1</v>
      </c>
      <c r="N169">
        <v>1</v>
      </c>
      <c r="O169">
        <v>1</v>
      </c>
      <c r="P169">
        <v>1</v>
      </c>
      <c r="Q169">
        <v>1</v>
      </c>
      <c r="R169">
        <v>1</v>
      </c>
      <c r="S169">
        <v>1</v>
      </c>
      <c r="T169">
        <v>1</v>
      </c>
      <c r="U169">
        <v>1</v>
      </c>
      <c r="V169">
        <v>1</v>
      </c>
      <c r="W169">
        <v>1</v>
      </c>
      <c r="X169">
        <v>1</v>
      </c>
      <c r="Y169">
        <v>1</v>
      </c>
      <c r="Z169">
        <v>1</v>
      </c>
      <c r="AA169">
        <v>1</v>
      </c>
      <c r="AB169">
        <v>1</v>
      </c>
      <c r="AC169">
        <v>1</v>
      </c>
    </row>
    <row r="170" spans="1:29" x14ac:dyDescent="0.45">
      <c r="A170" t="s">
        <v>20</v>
      </c>
      <c r="B170" t="s">
        <v>440</v>
      </c>
      <c r="C170" t="s">
        <v>441</v>
      </c>
      <c r="D170" t="s">
        <v>427</v>
      </c>
      <c r="E170" t="str">
        <f t="shared" si="2"/>
        <v>DE|offshore wind|Fall</v>
      </c>
      <c r="F170">
        <v>1</v>
      </c>
      <c r="G170">
        <v>1</v>
      </c>
      <c r="H170">
        <v>1</v>
      </c>
      <c r="I170">
        <v>1</v>
      </c>
      <c r="J170">
        <v>1</v>
      </c>
      <c r="K170">
        <v>1</v>
      </c>
      <c r="L170">
        <v>1</v>
      </c>
      <c r="M170">
        <v>1</v>
      </c>
      <c r="N170">
        <v>1</v>
      </c>
      <c r="O170">
        <v>1</v>
      </c>
      <c r="P170">
        <v>1</v>
      </c>
      <c r="Q170">
        <v>1</v>
      </c>
      <c r="R170">
        <v>1</v>
      </c>
      <c r="S170">
        <v>1</v>
      </c>
      <c r="T170">
        <v>1</v>
      </c>
      <c r="U170">
        <v>1</v>
      </c>
      <c r="V170">
        <v>1</v>
      </c>
      <c r="W170">
        <v>1</v>
      </c>
      <c r="X170">
        <v>1</v>
      </c>
      <c r="Y170">
        <v>1</v>
      </c>
      <c r="Z170">
        <v>1</v>
      </c>
      <c r="AA170">
        <v>1</v>
      </c>
      <c r="AB170">
        <v>1</v>
      </c>
      <c r="AC170">
        <v>1</v>
      </c>
    </row>
    <row r="171" spans="1:29" x14ac:dyDescent="0.45">
      <c r="A171" t="s">
        <v>20</v>
      </c>
      <c r="B171" t="s">
        <v>440</v>
      </c>
      <c r="C171" t="s">
        <v>441</v>
      </c>
      <c r="D171" t="s">
        <v>428</v>
      </c>
      <c r="E171" t="str">
        <f t="shared" si="2"/>
        <v>DE|offshore wind|Summer Peak</v>
      </c>
      <c r="F171">
        <v>0.40810000000000002</v>
      </c>
      <c r="G171">
        <v>0.4239</v>
      </c>
      <c r="H171">
        <v>0.45760000000000001</v>
      </c>
      <c r="I171">
        <v>0.50319999999999998</v>
      </c>
      <c r="J171">
        <v>0.53649999999999998</v>
      </c>
      <c r="K171">
        <v>0.59399999999999997</v>
      </c>
      <c r="L171">
        <v>0.61929999999999996</v>
      </c>
      <c r="M171">
        <v>0.68859999999999999</v>
      </c>
      <c r="N171">
        <v>0.73480000000000001</v>
      </c>
      <c r="O171">
        <v>0.84350000000000003</v>
      </c>
      <c r="P171">
        <v>0.78200000000000003</v>
      </c>
      <c r="Q171">
        <v>0.74650000000000005</v>
      </c>
      <c r="R171">
        <v>0.63690000000000002</v>
      </c>
      <c r="S171">
        <v>0.60860000000000003</v>
      </c>
      <c r="T171">
        <v>0.64339999999999997</v>
      </c>
      <c r="U171">
        <v>0.69269999999999998</v>
      </c>
      <c r="V171">
        <v>0.71450000000000002</v>
      </c>
      <c r="W171">
        <v>0.75070000000000003</v>
      </c>
      <c r="X171">
        <v>0.72489999999999999</v>
      </c>
      <c r="Y171">
        <v>0.66049999999999998</v>
      </c>
      <c r="Z171">
        <v>0.69140000000000001</v>
      </c>
      <c r="AA171">
        <v>0.63080000000000003</v>
      </c>
      <c r="AB171">
        <v>0.63429999999999997</v>
      </c>
      <c r="AC171">
        <v>0.64390000000000003</v>
      </c>
    </row>
    <row r="172" spans="1:29" x14ac:dyDescent="0.45">
      <c r="A172" t="s">
        <v>20</v>
      </c>
      <c r="B172" t="s">
        <v>440</v>
      </c>
      <c r="C172" t="s">
        <v>441</v>
      </c>
      <c r="D172" t="s">
        <v>429</v>
      </c>
      <c r="E172" t="str">
        <f t="shared" si="2"/>
        <v>DE|offshore wind|Winter Peak</v>
      </c>
      <c r="F172">
        <v>0.95309999999999995</v>
      </c>
      <c r="G172">
        <v>0.95030000000000003</v>
      </c>
      <c r="H172">
        <v>0.95540000000000003</v>
      </c>
      <c r="I172">
        <v>0.96679999999999999</v>
      </c>
      <c r="J172">
        <v>1</v>
      </c>
      <c r="K172">
        <v>1</v>
      </c>
      <c r="L172">
        <v>1</v>
      </c>
      <c r="M172">
        <v>0.99209999999999998</v>
      </c>
      <c r="N172">
        <v>0.90149999999999997</v>
      </c>
      <c r="O172">
        <v>0.79779999999999995</v>
      </c>
      <c r="P172">
        <v>0.71879999999999999</v>
      </c>
      <c r="Q172">
        <v>0.67300000000000004</v>
      </c>
      <c r="R172">
        <v>0.60860000000000003</v>
      </c>
      <c r="S172">
        <v>0.58009999999999995</v>
      </c>
      <c r="T172">
        <v>0.58799999999999997</v>
      </c>
      <c r="U172">
        <v>0.61019999999999996</v>
      </c>
      <c r="V172">
        <v>0.61839999999999995</v>
      </c>
      <c r="W172">
        <v>0.60909999999999997</v>
      </c>
      <c r="X172">
        <v>0.62880000000000003</v>
      </c>
      <c r="Y172">
        <v>0.72889999999999999</v>
      </c>
      <c r="Z172">
        <v>0.84719999999999995</v>
      </c>
      <c r="AA172">
        <v>0.92220000000000002</v>
      </c>
      <c r="AB172">
        <v>0.86950000000000005</v>
      </c>
      <c r="AC172">
        <v>0.8054</v>
      </c>
    </row>
    <row r="173" spans="1:29" x14ac:dyDescent="0.45">
      <c r="A173" t="s">
        <v>23</v>
      </c>
      <c r="B173" t="s">
        <v>434</v>
      </c>
      <c r="C173" t="s">
        <v>435</v>
      </c>
      <c r="D173" t="s">
        <v>424</v>
      </c>
      <c r="E173" t="str">
        <f t="shared" si="2"/>
        <v>FL|onshore wind|Winter</v>
      </c>
      <c r="F173">
        <v>1</v>
      </c>
      <c r="G173">
        <v>1</v>
      </c>
      <c r="H173">
        <v>1</v>
      </c>
      <c r="I173">
        <v>1</v>
      </c>
      <c r="J173">
        <v>1</v>
      </c>
      <c r="K173">
        <v>1</v>
      </c>
      <c r="L173">
        <v>1</v>
      </c>
      <c r="M173">
        <v>1</v>
      </c>
      <c r="N173">
        <v>1</v>
      </c>
      <c r="O173">
        <v>1</v>
      </c>
      <c r="P173">
        <v>1</v>
      </c>
      <c r="Q173">
        <v>1</v>
      </c>
      <c r="R173">
        <v>1</v>
      </c>
      <c r="S173">
        <v>1</v>
      </c>
      <c r="T173">
        <v>1</v>
      </c>
      <c r="U173">
        <v>1</v>
      </c>
      <c r="V173">
        <v>1</v>
      </c>
      <c r="W173">
        <v>1</v>
      </c>
      <c r="X173">
        <v>1</v>
      </c>
      <c r="Y173">
        <v>1</v>
      </c>
      <c r="Z173">
        <v>1</v>
      </c>
      <c r="AA173">
        <v>1</v>
      </c>
      <c r="AB173">
        <v>1</v>
      </c>
      <c r="AC173">
        <v>1</v>
      </c>
    </row>
    <row r="174" spans="1:29" x14ac:dyDescent="0.45">
      <c r="A174" t="s">
        <v>23</v>
      </c>
      <c r="B174" t="s">
        <v>434</v>
      </c>
      <c r="C174" t="s">
        <v>435</v>
      </c>
      <c r="D174" t="s">
        <v>425</v>
      </c>
      <c r="E174" t="str">
        <f t="shared" si="2"/>
        <v>FL|onshore wind|Spring</v>
      </c>
      <c r="F174">
        <v>1</v>
      </c>
      <c r="G174">
        <v>1</v>
      </c>
      <c r="H174">
        <v>1</v>
      </c>
      <c r="I174">
        <v>1</v>
      </c>
      <c r="J174">
        <v>1</v>
      </c>
      <c r="K174">
        <v>1</v>
      </c>
      <c r="L174">
        <v>1</v>
      </c>
      <c r="M174">
        <v>1</v>
      </c>
      <c r="N174">
        <v>1</v>
      </c>
      <c r="O174">
        <v>1</v>
      </c>
      <c r="P174">
        <v>1</v>
      </c>
      <c r="Q174">
        <v>1</v>
      </c>
      <c r="R174">
        <v>1</v>
      </c>
      <c r="S174">
        <v>1</v>
      </c>
      <c r="T174">
        <v>1</v>
      </c>
      <c r="U174">
        <v>1</v>
      </c>
      <c r="V174">
        <v>1</v>
      </c>
      <c r="W174">
        <v>1</v>
      </c>
      <c r="X174">
        <v>1</v>
      </c>
      <c r="Y174">
        <v>1</v>
      </c>
      <c r="Z174">
        <v>1</v>
      </c>
      <c r="AA174">
        <v>1</v>
      </c>
      <c r="AB174">
        <v>1</v>
      </c>
      <c r="AC174">
        <v>1</v>
      </c>
    </row>
    <row r="175" spans="1:29" x14ac:dyDescent="0.45">
      <c r="A175" t="s">
        <v>23</v>
      </c>
      <c r="B175" t="s">
        <v>434</v>
      </c>
      <c r="C175" t="s">
        <v>435</v>
      </c>
      <c r="D175" t="s">
        <v>426</v>
      </c>
      <c r="E175" t="str">
        <f t="shared" si="2"/>
        <v>FL|onshore wind|Summer</v>
      </c>
      <c r="F175">
        <v>1</v>
      </c>
      <c r="G175">
        <v>1</v>
      </c>
      <c r="H175">
        <v>1</v>
      </c>
      <c r="I175">
        <v>1</v>
      </c>
      <c r="J175">
        <v>1</v>
      </c>
      <c r="K175">
        <v>1</v>
      </c>
      <c r="L175">
        <v>1</v>
      </c>
      <c r="M175">
        <v>1</v>
      </c>
      <c r="N175">
        <v>1</v>
      </c>
      <c r="O175">
        <v>1</v>
      </c>
      <c r="P175">
        <v>1</v>
      </c>
      <c r="Q175">
        <v>1</v>
      </c>
      <c r="R175">
        <v>1</v>
      </c>
      <c r="S175">
        <v>1</v>
      </c>
      <c r="T175">
        <v>1</v>
      </c>
      <c r="U175">
        <v>1</v>
      </c>
      <c r="V175">
        <v>1</v>
      </c>
      <c r="W175">
        <v>1</v>
      </c>
      <c r="X175">
        <v>1</v>
      </c>
      <c r="Y175">
        <v>1</v>
      </c>
      <c r="Z175">
        <v>1</v>
      </c>
      <c r="AA175">
        <v>1</v>
      </c>
      <c r="AB175">
        <v>1</v>
      </c>
      <c r="AC175">
        <v>1</v>
      </c>
    </row>
    <row r="176" spans="1:29" x14ac:dyDescent="0.45">
      <c r="A176" t="s">
        <v>23</v>
      </c>
      <c r="B176" t="s">
        <v>434</v>
      </c>
      <c r="C176" t="s">
        <v>435</v>
      </c>
      <c r="D176" t="s">
        <v>427</v>
      </c>
      <c r="E176" t="str">
        <f t="shared" si="2"/>
        <v>FL|onshore wind|Fall</v>
      </c>
      <c r="F176">
        <v>1</v>
      </c>
      <c r="G176">
        <v>1</v>
      </c>
      <c r="H176">
        <v>1</v>
      </c>
      <c r="I176">
        <v>1</v>
      </c>
      <c r="J176">
        <v>1</v>
      </c>
      <c r="K176">
        <v>1</v>
      </c>
      <c r="L176">
        <v>1</v>
      </c>
      <c r="M176">
        <v>1</v>
      </c>
      <c r="N176">
        <v>1</v>
      </c>
      <c r="O176">
        <v>1</v>
      </c>
      <c r="P176">
        <v>1</v>
      </c>
      <c r="Q176">
        <v>1</v>
      </c>
      <c r="R176">
        <v>1</v>
      </c>
      <c r="S176">
        <v>1</v>
      </c>
      <c r="T176">
        <v>1</v>
      </c>
      <c r="U176">
        <v>1</v>
      </c>
      <c r="V176">
        <v>1</v>
      </c>
      <c r="W176">
        <v>1</v>
      </c>
      <c r="X176">
        <v>1</v>
      </c>
      <c r="Y176">
        <v>1</v>
      </c>
      <c r="Z176">
        <v>1</v>
      </c>
      <c r="AA176">
        <v>1</v>
      </c>
      <c r="AB176">
        <v>1</v>
      </c>
      <c r="AC176">
        <v>1</v>
      </c>
    </row>
    <row r="177" spans="1:29" x14ac:dyDescent="0.45">
      <c r="A177" t="s">
        <v>23</v>
      </c>
      <c r="B177" t="s">
        <v>434</v>
      </c>
      <c r="C177" t="s">
        <v>435</v>
      </c>
      <c r="D177" t="s">
        <v>428</v>
      </c>
      <c r="E177" t="str">
        <f t="shared" si="2"/>
        <v>FL|onshore wind|Summer Peak</v>
      </c>
      <c r="F177">
        <v>0.92130000000000001</v>
      </c>
      <c r="G177">
        <v>0.92800000000000005</v>
      </c>
      <c r="H177">
        <v>0.95289999999999997</v>
      </c>
      <c r="I177">
        <v>0.94940000000000002</v>
      </c>
      <c r="J177">
        <v>0.93440000000000001</v>
      </c>
      <c r="K177">
        <v>0.94220000000000004</v>
      </c>
      <c r="L177">
        <v>0.96179999999999999</v>
      </c>
      <c r="M177">
        <v>0.91600000000000004</v>
      </c>
      <c r="N177">
        <v>0.81699999999999995</v>
      </c>
      <c r="O177">
        <v>0.7732</v>
      </c>
      <c r="P177">
        <v>0.76719999999999999</v>
      </c>
      <c r="Q177">
        <v>0.75590000000000002</v>
      </c>
      <c r="R177">
        <v>0.69110000000000005</v>
      </c>
      <c r="S177">
        <v>0.75690000000000002</v>
      </c>
      <c r="T177">
        <v>0.82179999999999997</v>
      </c>
      <c r="U177">
        <v>0.83940000000000003</v>
      </c>
      <c r="V177">
        <v>0.86229999999999996</v>
      </c>
      <c r="W177">
        <v>0.89380000000000004</v>
      </c>
      <c r="X177">
        <v>0.9103</v>
      </c>
      <c r="Y177">
        <v>0.9335</v>
      </c>
      <c r="Z177">
        <v>0.92900000000000005</v>
      </c>
      <c r="AA177">
        <v>0.9536</v>
      </c>
      <c r="AB177">
        <v>0.97609999999999997</v>
      </c>
      <c r="AC177">
        <v>0.98950000000000005</v>
      </c>
    </row>
    <row r="178" spans="1:29" x14ac:dyDescent="0.45">
      <c r="A178" t="s">
        <v>23</v>
      </c>
      <c r="B178" t="s">
        <v>434</v>
      </c>
      <c r="C178" t="s">
        <v>435</v>
      </c>
      <c r="D178" t="s">
        <v>429</v>
      </c>
      <c r="E178" t="str">
        <f t="shared" si="2"/>
        <v>FL|onshore wind|Winter Peak</v>
      </c>
      <c r="F178">
        <v>0.88390000000000002</v>
      </c>
      <c r="G178">
        <v>0.8569</v>
      </c>
      <c r="H178">
        <v>0.83889999999999998</v>
      </c>
      <c r="I178">
        <v>0.8246</v>
      </c>
      <c r="J178">
        <v>0.80969999999999998</v>
      </c>
      <c r="K178">
        <v>0.77990000000000004</v>
      </c>
      <c r="L178">
        <v>0.79559999999999997</v>
      </c>
      <c r="M178">
        <v>0.80669999999999997</v>
      </c>
      <c r="N178">
        <v>0.85460000000000003</v>
      </c>
      <c r="O178">
        <v>0.89159999999999995</v>
      </c>
      <c r="P178">
        <v>0.94589999999999996</v>
      </c>
      <c r="Q178">
        <v>0.95920000000000005</v>
      </c>
      <c r="R178">
        <v>0.97199999999999998</v>
      </c>
      <c r="S178">
        <v>0.96030000000000004</v>
      </c>
      <c r="T178">
        <v>0.88890000000000002</v>
      </c>
      <c r="U178">
        <v>0.85070000000000001</v>
      </c>
      <c r="V178">
        <v>0.92669999999999997</v>
      </c>
      <c r="W178">
        <v>0.88770000000000004</v>
      </c>
      <c r="X178">
        <v>0.87509999999999999</v>
      </c>
      <c r="Y178">
        <v>0.84089999999999998</v>
      </c>
      <c r="Z178">
        <v>0.81079999999999997</v>
      </c>
      <c r="AA178">
        <v>0.80730000000000002</v>
      </c>
      <c r="AB178">
        <v>0.79849999999999999</v>
      </c>
      <c r="AC178">
        <v>0.78990000000000005</v>
      </c>
    </row>
    <row r="179" spans="1:29" x14ac:dyDescent="0.45">
      <c r="A179" t="s">
        <v>23</v>
      </c>
      <c r="B179" t="s">
        <v>436</v>
      </c>
      <c r="C179" t="s">
        <v>437</v>
      </c>
      <c r="D179" t="s">
        <v>424</v>
      </c>
      <c r="E179" t="str">
        <f t="shared" si="2"/>
        <v>FL|solar pv|Winter</v>
      </c>
      <c r="F179">
        <v>1</v>
      </c>
      <c r="G179">
        <v>1</v>
      </c>
      <c r="H179">
        <v>1</v>
      </c>
      <c r="I179">
        <v>1</v>
      </c>
      <c r="J179">
        <v>1</v>
      </c>
      <c r="K179">
        <v>1</v>
      </c>
      <c r="L179">
        <v>1</v>
      </c>
      <c r="M179">
        <v>1</v>
      </c>
      <c r="N179">
        <v>1</v>
      </c>
      <c r="O179">
        <v>1</v>
      </c>
      <c r="P179">
        <v>1</v>
      </c>
      <c r="Q179">
        <v>1</v>
      </c>
      <c r="R179">
        <v>1</v>
      </c>
      <c r="S179">
        <v>1</v>
      </c>
      <c r="T179">
        <v>1</v>
      </c>
      <c r="U179">
        <v>1</v>
      </c>
      <c r="V179">
        <v>1</v>
      </c>
      <c r="W179">
        <v>1</v>
      </c>
      <c r="X179">
        <v>1</v>
      </c>
      <c r="Y179">
        <v>1</v>
      </c>
      <c r="Z179">
        <v>1</v>
      </c>
      <c r="AA179">
        <v>1</v>
      </c>
      <c r="AB179">
        <v>1</v>
      </c>
      <c r="AC179">
        <v>1</v>
      </c>
    </row>
    <row r="180" spans="1:29" x14ac:dyDescent="0.45">
      <c r="A180" t="s">
        <v>23</v>
      </c>
      <c r="B180" t="s">
        <v>436</v>
      </c>
      <c r="C180" t="s">
        <v>437</v>
      </c>
      <c r="D180" t="s">
        <v>425</v>
      </c>
      <c r="E180" t="str">
        <f t="shared" si="2"/>
        <v>FL|solar pv|Spring</v>
      </c>
      <c r="F180">
        <v>1</v>
      </c>
      <c r="G180">
        <v>1</v>
      </c>
      <c r="H180">
        <v>1</v>
      </c>
      <c r="I180">
        <v>1</v>
      </c>
      <c r="J180">
        <v>1</v>
      </c>
      <c r="K180">
        <v>1</v>
      </c>
      <c r="L180">
        <v>1</v>
      </c>
      <c r="M180">
        <v>1</v>
      </c>
      <c r="N180">
        <v>1</v>
      </c>
      <c r="O180">
        <v>1</v>
      </c>
      <c r="P180">
        <v>1</v>
      </c>
      <c r="Q180">
        <v>1</v>
      </c>
      <c r="R180">
        <v>1</v>
      </c>
      <c r="S180">
        <v>1</v>
      </c>
      <c r="T180">
        <v>1</v>
      </c>
      <c r="U180">
        <v>1</v>
      </c>
      <c r="V180">
        <v>1</v>
      </c>
      <c r="W180">
        <v>1</v>
      </c>
      <c r="X180">
        <v>1</v>
      </c>
      <c r="Y180">
        <v>1</v>
      </c>
      <c r="Z180">
        <v>1</v>
      </c>
      <c r="AA180">
        <v>1</v>
      </c>
      <c r="AB180">
        <v>1</v>
      </c>
      <c r="AC180">
        <v>1</v>
      </c>
    </row>
    <row r="181" spans="1:29" x14ac:dyDescent="0.45">
      <c r="A181" t="s">
        <v>23</v>
      </c>
      <c r="B181" t="s">
        <v>436</v>
      </c>
      <c r="C181" t="s">
        <v>437</v>
      </c>
      <c r="D181" t="s">
        <v>426</v>
      </c>
      <c r="E181" t="str">
        <f t="shared" si="2"/>
        <v>FL|solar pv|Summer</v>
      </c>
      <c r="F181">
        <v>1</v>
      </c>
      <c r="G181">
        <v>1</v>
      </c>
      <c r="H181">
        <v>1</v>
      </c>
      <c r="I181">
        <v>1</v>
      </c>
      <c r="J181">
        <v>1</v>
      </c>
      <c r="K181">
        <v>1</v>
      </c>
      <c r="L181">
        <v>1</v>
      </c>
      <c r="M181">
        <v>1</v>
      </c>
      <c r="N181">
        <v>1</v>
      </c>
      <c r="O181">
        <v>1</v>
      </c>
      <c r="P181">
        <v>1</v>
      </c>
      <c r="Q181">
        <v>1</v>
      </c>
      <c r="R181">
        <v>1</v>
      </c>
      <c r="S181">
        <v>1</v>
      </c>
      <c r="T181">
        <v>1</v>
      </c>
      <c r="U181">
        <v>1</v>
      </c>
      <c r="V181">
        <v>1</v>
      </c>
      <c r="W181">
        <v>1</v>
      </c>
      <c r="X181">
        <v>1</v>
      </c>
      <c r="Y181">
        <v>1</v>
      </c>
      <c r="Z181">
        <v>1</v>
      </c>
      <c r="AA181">
        <v>1</v>
      </c>
      <c r="AB181">
        <v>1</v>
      </c>
      <c r="AC181">
        <v>1</v>
      </c>
    </row>
    <row r="182" spans="1:29" x14ac:dyDescent="0.45">
      <c r="A182" t="s">
        <v>23</v>
      </c>
      <c r="B182" t="s">
        <v>436</v>
      </c>
      <c r="C182" t="s">
        <v>437</v>
      </c>
      <c r="D182" t="s">
        <v>427</v>
      </c>
      <c r="E182" t="str">
        <f t="shared" si="2"/>
        <v>FL|solar pv|Fall</v>
      </c>
      <c r="F182">
        <v>1</v>
      </c>
      <c r="G182">
        <v>1</v>
      </c>
      <c r="H182">
        <v>1</v>
      </c>
      <c r="I182">
        <v>1</v>
      </c>
      <c r="J182">
        <v>1</v>
      </c>
      <c r="K182">
        <v>1</v>
      </c>
      <c r="L182">
        <v>1</v>
      </c>
      <c r="M182">
        <v>1</v>
      </c>
      <c r="N182">
        <v>1</v>
      </c>
      <c r="O182">
        <v>1</v>
      </c>
      <c r="P182">
        <v>1</v>
      </c>
      <c r="Q182">
        <v>1</v>
      </c>
      <c r="R182">
        <v>1</v>
      </c>
      <c r="S182">
        <v>1</v>
      </c>
      <c r="T182">
        <v>1</v>
      </c>
      <c r="U182">
        <v>1</v>
      </c>
      <c r="V182">
        <v>1</v>
      </c>
      <c r="W182">
        <v>1</v>
      </c>
      <c r="X182">
        <v>1</v>
      </c>
      <c r="Y182">
        <v>1</v>
      </c>
      <c r="Z182">
        <v>1</v>
      </c>
      <c r="AA182">
        <v>1</v>
      </c>
      <c r="AB182">
        <v>1</v>
      </c>
      <c r="AC182">
        <v>1</v>
      </c>
    </row>
    <row r="183" spans="1:29" x14ac:dyDescent="0.45">
      <c r="A183" t="s">
        <v>23</v>
      </c>
      <c r="B183" t="s">
        <v>436</v>
      </c>
      <c r="C183" t="s">
        <v>437</v>
      </c>
      <c r="D183" t="s">
        <v>428</v>
      </c>
      <c r="E183" t="str">
        <f t="shared" si="2"/>
        <v>FL|solar pv|Summer Peak</v>
      </c>
      <c r="F183">
        <v>1</v>
      </c>
      <c r="G183">
        <v>1</v>
      </c>
      <c r="H183">
        <v>1</v>
      </c>
      <c r="I183">
        <v>1</v>
      </c>
      <c r="J183">
        <v>1</v>
      </c>
      <c r="K183">
        <v>3.0099999999999998E-2</v>
      </c>
      <c r="L183">
        <v>0.61680000000000001</v>
      </c>
      <c r="M183">
        <v>0.77370000000000005</v>
      </c>
      <c r="N183">
        <v>0.64280000000000004</v>
      </c>
      <c r="O183">
        <v>0.70469999999999999</v>
      </c>
      <c r="P183">
        <v>0.87219999999999998</v>
      </c>
      <c r="Q183">
        <v>0.86080000000000001</v>
      </c>
      <c r="R183">
        <v>0.88580000000000003</v>
      </c>
      <c r="S183">
        <v>0.89680000000000004</v>
      </c>
      <c r="T183">
        <v>0.87160000000000004</v>
      </c>
      <c r="U183">
        <v>0.91579999999999995</v>
      </c>
      <c r="V183">
        <v>0.72460000000000002</v>
      </c>
      <c r="W183">
        <v>0.62039999999999995</v>
      </c>
      <c r="X183">
        <v>0.34389999999999998</v>
      </c>
      <c r="Y183">
        <v>1</v>
      </c>
      <c r="Z183">
        <v>1</v>
      </c>
      <c r="AA183">
        <v>1</v>
      </c>
      <c r="AB183">
        <v>1</v>
      </c>
      <c r="AC183">
        <v>1</v>
      </c>
    </row>
    <row r="184" spans="1:29" x14ac:dyDescent="0.45">
      <c r="A184" t="s">
        <v>23</v>
      </c>
      <c r="B184" t="s">
        <v>436</v>
      </c>
      <c r="C184" t="s">
        <v>437</v>
      </c>
      <c r="D184" t="s">
        <v>429</v>
      </c>
      <c r="E184" t="str">
        <f t="shared" si="2"/>
        <v>FL|solar pv|Winter Peak</v>
      </c>
      <c r="F184">
        <v>1</v>
      </c>
      <c r="G184">
        <v>1</v>
      </c>
      <c r="H184">
        <v>1</v>
      </c>
      <c r="I184">
        <v>1</v>
      </c>
      <c r="J184">
        <v>1</v>
      </c>
      <c r="K184">
        <v>1</v>
      </c>
      <c r="L184">
        <v>1</v>
      </c>
      <c r="M184">
        <v>0.84660000000000002</v>
      </c>
      <c r="N184">
        <v>0.85770000000000002</v>
      </c>
      <c r="O184">
        <v>0.92510000000000003</v>
      </c>
      <c r="P184">
        <v>0.90629999999999999</v>
      </c>
      <c r="Q184">
        <v>0.92390000000000005</v>
      </c>
      <c r="R184">
        <v>0.93959999999999999</v>
      </c>
      <c r="S184">
        <v>0.94</v>
      </c>
      <c r="T184">
        <v>0.91080000000000005</v>
      </c>
      <c r="U184">
        <v>0.93100000000000005</v>
      </c>
      <c r="V184">
        <v>0.83989999999999998</v>
      </c>
      <c r="W184">
        <v>1</v>
      </c>
      <c r="X184">
        <v>1</v>
      </c>
      <c r="Y184">
        <v>1</v>
      </c>
      <c r="Z184">
        <v>1</v>
      </c>
      <c r="AA184">
        <v>1</v>
      </c>
      <c r="AB184">
        <v>1</v>
      </c>
      <c r="AC184">
        <v>1</v>
      </c>
    </row>
    <row r="185" spans="1:29" x14ac:dyDescent="0.45">
      <c r="A185" t="s">
        <v>23</v>
      </c>
      <c r="B185" t="s">
        <v>438</v>
      </c>
      <c r="C185" t="s">
        <v>439</v>
      </c>
      <c r="D185" t="s">
        <v>424</v>
      </c>
      <c r="E185" t="str">
        <f t="shared" si="2"/>
        <v>FL|solar thermal|Winter</v>
      </c>
      <c r="F185">
        <v>1</v>
      </c>
      <c r="G185">
        <v>1</v>
      </c>
      <c r="H185">
        <v>1</v>
      </c>
      <c r="I185">
        <v>1</v>
      </c>
      <c r="J185">
        <v>1</v>
      </c>
      <c r="K185">
        <v>1</v>
      </c>
      <c r="L185">
        <v>1</v>
      </c>
      <c r="M185">
        <v>1</v>
      </c>
      <c r="N185">
        <v>1</v>
      </c>
      <c r="O185">
        <v>1</v>
      </c>
      <c r="P185">
        <v>1</v>
      </c>
      <c r="Q185">
        <v>1</v>
      </c>
      <c r="R185">
        <v>1</v>
      </c>
      <c r="S185">
        <v>1</v>
      </c>
      <c r="T185">
        <v>1</v>
      </c>
      <c r="U185">
        <v>1</v>
      </c>
      <c r="V185">
        <v>1</v>
      </c>
      <c r="W185">
        <v>1</v>
      </c>
      <c r="X185">
        <v>1</v>
      </c>
      <c r="Y185">
        <v>1</v>
      </c>
      <c r="Z185">
        <v>1</v>
      </c>
      <c r="AA185">
        <v>1</v>
      </c>
      <c r="AB185">
        <v>1</v>
      </c>
      <c r="AC185">
        <v>1</v>
      </c>
    </row>
    <row r="186" spans="1:29" x14ac:dyDescent="0.45">
      <c r="A186" t="s">
        <v>23</v>
      </c>
      <c r="B186" t="s">
        <v>438</v>
      </c>
      <c r="C186" t="s">
        <v>439</v>
      </c>
      <c r="D186" t="s">
        <v>425</v>
      </c>
      <c r="E186" t="str">
        <f t="shared" si="2"/>
        <v>FL|solar thermal|Spring</v>
      </c>
      <c r="F186">
        <v>1</v>
      </c>
      <c r="G186">
        <v>1</v>
      </c>
      <c r="H186">
        <v>1</v>
      </c>
      <c r="I186">
        <v>1</v>
      </c>
      <c r="J186">
        <v>1</v>
      </c>
      <c r="K186">
        <v>1</v>
      </c>
      <c r="L186">
        <v>1</v>
      </c>
      <c r="M186">
        <v>1</v>
      </c>
      <c r="N186">
        <v>1</v>
      </c>
      <c r="O186">
        <v>1</v>
      </c>
      <c r="P186">
        <v>1</v>
      </c>
      <c r="Q186">
        <v>1</v>
      </c>
      <c r="R186">
        <v>1</v>
      </c>
      <c r="S186">
        <v>1</v>
      </c>
      <c r="T186">
        <v>1</v>
      </c>
      <c r="U186">
        <v>1</v>
      </c>
      <c r="V186">
        <v>1</v>
      </c>
      <c r="W186">
        <v>1</v>
      </c>
      <c r="X186">
        <v>1</v>
      </c>
      <c r="Y186">
        <v>1</v>
      </c>
      <c r="Z186">
        <v>1</v>
      </c>
      <c r="AA186">
        <v>1</v>
      </c>
      <c r="AB186">
        <v>1</v>
      </c>
      <c r="AC186">
        <v>1</v>
      </c>
    </row>
    <row r="187" spans="1:29" x14ac:dyDescent="0.45">
      <c r="A187" t="s">
        <v>23</v>
      </c>
      <c r="B187" t="s">
        <v>438</v>
      </c>
      <c r="C187" t="s">
        <v>439</v>
      </c>
      <c r="D187" t="s">
        <v>426</v>
      </c>
      <c r="E187" t="str">
        <f t="shared" si="2"/>
        <v>FL|solar thermal|Summer</v>
      </c>
      <c r="F187">
        <v>1</v>
      </c>
      <c r="G187">
        <v>1</v>
      </c>
      <c r="H187">
        <v>1</v>
      </c>
      <c r="I187">
        <v>1</v>
      </c>
      <c r="J187">
        <v>1</v>
      </c>
      <c r="K187">
        <v>1</v>
      </c>
      <c r="L187">
        <v>1</v>
      </c>
      <c r="M187">
        <v>1</v>
      </c>
      <c r="N187">
        <v>1</v>
      </c>
      <c r="O187">
        <v>1</v>
      </c>
      <c r="P187">
        <v>1</v>
      </c>
      <c r="Q187">
        <v>1</v>
      </c>
      <c r="R187">
        <v>1</v>
      </c>
      <c r="S187">
        <v>1</v>
      </c>
      <c r="T187">
        <v>1</v>
      </c>
      <c r="U187">
        <v>1</v>
      </c>
      <c r="V187">
        <v>1</v>
      </c>
      <c r="W187">
        <v>1</v>
      </c>
      <c r="X187">
        <v>1</v>
      </c>
      <c r="Y187">
        <v>1</v>
      </c>
      <c r="Z187">
        <v>1</v>
      </c>
      <c r="AA187">
        <v>1</v>
      </c>
      <c r="AB187">
        <v>1</v>
      </c>
      <c r="AC187">
        <v>1</v>
      </c>
    </row>
    <row r="188" spans="1:29" x14ac:dyDescent="0.45">
      <c r="A188" t="s">
        <v>23</v>
      </c>
      <c r="B188" t="s">
        <v>438</v>
      </c>
      <c r="C188" t="s">
        <v>439</v>
      </c>
      <c r="D188" t="s">
        <v>427</v>
      </c>
      <c r="E188" t="str">
        <f t="shared" si="2"/>
        <v>FL|solar thermal|Fall</v>
      </c>
      <c r="F188">
        <v>1</v>
      </c>
      <c r="G188">
        <v>1</v>
      </c>
      <c r="H188">
        <v>1</v>
      </c>
      <c r="I188">
        <v>1</v>
      </c>
      <c r="J188">
        <v>1</v>
      </c>
      <c r="K188">
        <v>1</v>
      </c>
      <c r="L188">
        <v>1</v>
      </c>
      <c r="M188">
        <v>1</v>
      </c>
      <c r="N188">
        <v>1</v>
      </c>
      <c r="O188">
        <v>1</v>
      </c>
      <c r="P188">
        <v>1</v>
      </c>
      <c r="Q188">
        <v>1</v>
      </c>
      <c r="R188">
        <v>1</v>
      </c>
      <c r="S188">
        <v>1</v>
      </c>
      <c r="T188">
        <v>1</v>
      </c>
      <c r="U188">
        <v>1</v>
      </c>
      <c r="V188">
        <v>1</v>
      </c>
      <c r="W188">
        <v>1</v>
      </c>
      <c r="X188">
        <v>1</v>
      </c>
      <c r="Y188">
        <v>1</v>
      </c>
      <c r="Z188">
        <v>1</v>
      </c>
      <c r="AA188">
        <v>1</v>
      </c>
      <c r="AB188">
        <v>1</v>
      </c>
      <c r="AC188">
        <v>1</v>
      </c>
    </row>
    <row r="189" spans="1:29" x14ac:dyDescent="0.45">
      <c r="A189" t="s">
        <v>23</v>
      </c>
      <c r="B189" t="s">
        <v>438</v>
      </c>
      <c r="C189" t="s">
        <v>439</v>
      </c>
      <c r="D189" t="s">
        <v>428</v>
      </c>
      <c r="E189" t="str">
        <f t="shared" si="2"/>
        <v>FL|solar thermal|Summer Peak</v>
      </c>
      <c r="F189">
        <v>1</v>
      </c>
      <c r="G189">
        <v>1</v>
      </c>
      <c r="H189">
        <v>1</v>
      </c>
      <c r="I189">
        <v>1</v>
      </c>
      <c r="J189">
        <v>1</v>
      </c>
      <c r="K189">
        <v>1</v>
      </c>
      <c r="L189">
        <v>1</v>
      </c>
      <c r="M189">
        <v>0</v>
      </c>
      <c r="N189">
        <v>0.8639</v>
      </c>
      <c r="O189">
        <v>1</v>
      </c>
      <c r="P189">
        <v>1</v>
      </c>
      <c r="Q189">
        <v>0.97160000000000002</v>
      </c>
      <c r="R189">
        <v>0.96719999999999995</v>
      </c>
      <c r="S189">
        <v>1</v>
      </c>
      <c r="T189">
        <v>1</v>
      </c>
      <c r="U189">
        <v>1</v>
      </c>
      <c r="V189">
        <v>1</v>
      </c>
      <c r="W189">
        <v>1</v>
      </c>
      <c r="X189">
        <v>1</v>
      </c>
      <c r="Y189">
        <v>0.93130000000000002</v>
      </c>
      <c r="Z189">
        <v>0.70220000000000005</v>
      </c>
      <c r="AA189">
        <v>1</v>
      </c>
      <c r="AB189">
        <v>1</v>
      </c>
      <c r="AC189">
        <v>1</v>
      </c>
    </row>
    <row r="190" spans="1:29" x14ac:dyDescent="0.45">
      <c r="A190" t="s">
        <v>23</v>
      </c>
      <c r="B190" t="s">
        <v>438</v>
      </c>
      <c r="C190" t="s">
        <v>439</v>
      </c>
      <c r="D190" t="s">
        <v>429</v>
      </c>
      <c r="E190" t="str">
        <f t="shared" si="2"/>
        <v>FL|solar thermal|Winter Peak</v>
      </c>
      <c r="F190">
        <v>1</v>
      </c>
      <c r="G190">
        <v>1</v>
      </c>
      <c r="H190">
        <v>1</v>
      </c>
      <c r="I190">
        <v>1</v>
      </c>
      <c r="J190">
        <v>1</v>
      </c>
      <c r="K190">
        <v>1</v>
      </c>
      <c r="L190">
        <v>1</v>
      </c>
      <c r="M190">
        <v>1</v>
      </c>
      <c r="N190">
        <v>1</v>
      </c>
      <c r="O190">
        <v>0.2419</v>
      </c>
      <c r="P190">
        <v>0.95320000000000005</v>
      </c>
      <c r="Q190">
        <v>0.88039999999999996</v>
      </c>
      <c r="R190">
        <v>0.97819999999999996</v>
      </c>
      <c r="S190">
        <v>0.98950000000000005</v>
      </c>
      <c r="T190">
        <v>0.99270000000000003</v>
      </c>
      <c r="U190">
        <v>1</v>
      </c>
      <c r="V190">
        <v>1</v>
      </c>
      <c r="W190">
        <v>1</v>
      </c>
      <c r="X190">
        <v>0.89019999999999999</v>
      </c>
      <c r="Y190">
        <v>0</v>
      </c>
      <c r="Z190">
        <v>1</v>
      </c>
      <c r="AA190">
        <v>1</v>
      </c>
      <c r="AB190">
        <v>1</v>
      </c>
      <c r="AC190">
        <v>1</v>
      </c>
    </row>
    <row r="191" spans="1:29" x14ac:dyDescent="0.45">
      <c r="A191" t="s">
        <v>23</v>
      </c>
      <c r="B191" t="s">
        <v>440</v>
      </c>
      <c r="C191" t="s">
        <v>441</v>
      </c>
      <c r="D191" t="s">
        <v>424</v>
      </c>
      <c r="E191" t="str">
        <f t="shared" si="2"/>
        <v>FL|offshore wind|Winter</v>
      </c>
      <c r="F191">
        <v>1</v>
      </c>
      <c r="G191">
        <v>1</v>
      </c>
      <c r="H191">
        <v>1</v>
      </c>
      <c r="I191">
        <v>1</v>
      </c>
      <c r="J191">
        <v>1</v>
      </c>
      <c r="K191">
        <v>1</v>
      </c>
      <c r="L191">
        <v>1</v>
      </c>
      <c r="M191">
        <v>1</v>
      </c>
      <c r="N191">
        <v>1</v>
      </c>
      <c r="O191">
        <v>1</v>
      </c>
      <c r="P191">
        <v>1</v>
      </c>
      <c r="Q191">
        <v>1</v>
      </c>
      <c r="R191">
        <v>1</v>
      </c>
      <c r="S191">
        <v>1</v>
      </c>
      <c r="T191">
        <v>1</v>
      </c>
      <c r="U191">
        <v>1</v>
      </c>
      <c r="V191">
        <v>1</v>
      </c>
      <c r="W191">
        <v>1</v>
      </c>
      <c r="X191">
        <v>1</v>
      </c>
      <c r="Y191">
        <v>1</v>
      </c>
      <c r="Z191">
        <v>1</v>
      </c>
      <c r="AA191">
        <v>1</v>
      </c>
      <c r="AB191">
        <v>1</v>
      </c>
      <c r="AC191">
        <v>1</v>
      </c>
    </row>
    <row r="192" spans="1:29" x14ac:dyDescent="0.45">
      <c r="A192" t="s">
        <v>23</v>
      </c>
      <c r="B192" t="s">
        <v>440</v>
      </c>
      <c r="C192" t="s">
        <v>441</v>
      </c>
      <c r="D192" t="s">
        <v>425</v>
      </c>
      <c r="E192" t="str">
        <f t="shared" si="2"/>
        <v>FL|offshore wind|Spring</v>
      </c>
      <c r="F192">
        <v>1</v>
      </c>
      <c r="G192">
        <v>1</v>
      </c>
      <c r="H192">
        <v>1</v>
      </c>
      <c r="I192">
        <v>1</v>
      </c>
      <c r="J192">
        <v>1</v>
      </c>
      <c r="K192">
        <v>1</v>
      </c>
      <c r="L192">
        <v>1</v>
      </c>
      <c r="M192">
        <v>1</v>
      </c>
      <c r="N192">
        <v>1</v>
      </c>
      <c r="O192">
        <v>1</v>
      </c>
      <c r="P192">
        <v>1</v>
      </c>
      <c r="Q192">
        <v>1</v>
      </c>
      <c r="R192">
        <v>1</v>
      </c>
      <c r="S192">
        <v>1</v>
      </c>
      <c r="T192">
        <v>1</v>
      </c>
      <c r="U192">
        <v>1</v>
      </c>
      <c r="V192">
        <v>1</v>
      </c>
      <c r="W192">
        <v>1</v>
      </c>
      <c r="X192">
        <v>1</v>
      </c>
      <c r="Y192">
        <v>1</v>
      </c>
      <c r="Z192">
        <v>1</v>
      </c>
      <c r="AA192">
        <v>1</v>
      </c>
      <c r="AB192">
        <v>1</v>
      </c>
      <c r="AC192">
        <v>1</v>
      </c>
    </row>
    <row r="193" spans="1:29" x14ac:dyDescent="0.45">
      <c r="A193" t="s">
        <v>23</v>
      </c>
      <c r="B193" t="s">
        <v>440</v>
      </c>
      <c r="C193" t="s">
        <v>441</v>
      </c>
      <c r="D193" t="s">
        <v>426</v>
      </c>
      <c r="E193" t="str">
        <f t="shared" si="2"/>
        <v>FL|offshore wind|Summer</v>
      </c>
      <c r="F193">
        <v>1</v>
      </c>
      <c r="G193">
        <v>1</v>
      </c>
      <c r="H193">
        <v>1</v>
      </c>
      <c r="I193">
        <v>1</v>
      </c>
      <c r="J193">
        <v>1</v>
      </c>
      <c r="K193">
        <v>1</v>
      </c>
      <c r="L193">
        <v>1</v>
      </c>
      <c r="M193">
        <v>1</v>
      </c>
      <c r="N193">
        <v>1</v>
      </c>
      <c r="O193">
        <v>1</v>
      </c>
      <c r="P193">
        <v>1</v>
      </c>
      <c r="Q193">
        <v>1</v>
      </c>
      <c r="R193">
        <v>1</v>
      </c>
      <c r="S193">
        <v>1</v>
      </c>
      <c r="T193">
        <v>1</v>
      </c>
      <c r="U193">
        <v>1</v>
      </c>
      <c r="V193">
        <v>1</v>
      </c>
      <c r="W193">
        <v>1</v>
      </c>
      <c r="X193">
        <v>1</v>
      </c>
      <c r="Y193">
        <v>1</v>
      </c>
      <c r="Z193">
        <v>1</v>
      </c>
      <c r="AA193">
        <v>1</v>
      </c>
      <c r="AB193">
        <v>1</v>
      </c>
      <c r="AC193">
        <v>1</v>
      </c>
    </row>
    <row r="194" spans="1:29" x14ac:dyDescent="0.45">
      <c r="A194" t="s">
        <v>23</v>
      </c>
      <c r="B194" t="s">
        <v>440</v>
      </c>
      <c r="C194" t="s">
        <v>441</v>
      </c>
      <c r="D194" t="s">
        <v>427</v>
      </c>
      <c r="E194" t="str">
        <f t="shared" si="2"/>
        <v>FL|offshore wind|Fall</v>
      </c>
      <c r="F194">
        <v>1</v>
      </c>
      <c r="G194">
        <v>1</v>
      </c>
      <c r="H194">
        <v>1</v>
      </c>
      <c r="I194">
        <v>1</v>
      </c>
      <c r="J194">
        <v>1</v>
      </c>
      <c r="K194">
        <v>1</v>
      </c>
      <c r="L194">
        <v>1</v>
      </c>
      <c r="M194">
        <v>1</v>
      </c>
      <c r="N194">
        <v>1</v>
      </c>
      <c r="O194">
        <v>1</v>
      </c>
      <c r="P194">
        <v>1</v>
      </c>
      <c r="Q194">
        <v>1</v>
      </c>
      <c r="R194">
        <v>1</v>
      </c>
      <c r="S194">
        <v>1</v>
      </c>
      <c r="T194">
        <v>1</v>
      </c>
      <c r="U194">
        <v>1</v>
      </c>
      <c r="V194">
        <v>1</v>
      </c>
      <c r="W194">
        <v>1</v>
      </c>
      <c r="X194">
        <v>1</v>
      </c>
      <c r="Y194">
        <v>1</v>
      </c>
      <c r="Z194">
        <v>1</v>
      </c>
      <c r="AA194">
        <v>1</v>
      </c>
      <c r="AB194">
        <v>1</v>
      </c>
      <c r="AC194">
        <v>1</v>
      </c>
    </row>
    <row r="195" spans="1:29" x14ac:dyDescent="0.45">
      <c r="A195" t="s">
        <v>23</v>
      </c>
      <c r="B195" t="s">
        <v>440</v>
      </c>
      <c r="C195" t="s">
        <v>441</v>
      </c>
      <c r="D195" t="s">
        <v>428</v>
      </c>
      <c r="E195" t="str">
        <f t="shared" si="2"/>
        <v>FL|offshore wind|Summer Peak</v>
      </c>
      <c r="F195">
        <v>0.40810000000000002</v>
      </c>
      <c r="G195">
        <v>0.4239</v>
      </c>
      <c r="H195">
        <v>0.45760000000000001</v>
      </c>
      <c r="I195">
        <v>0.50319999999999998</v>
      </c>
      <c r="J195">
        <v>0.53649999999999998</v>
      </c>
      <c r="K195">
        <v>0.59399999999999997</v>
      </c>
      <c r="L195">
        <v>0.61929999999999996</v>
      </c>
      <c r="M195">
        <v>0.68859999999999999</v>
      </c>
      <c r="N195">
        <v>0.73480000000000001</v>
      </c>
      <c r="O195">
        <v>0.84350000000000003</v>
      </c>
      <c r="P195">
        <v>0.78200000000000003</v>
      </c>
      <c r="Q195">
        <v>0.74650000000000005</v>
      </c>
      <c r="R195">
        <v>0.63690000000000002</v>
      </c>
      <c r="S195">
        <v>0.60860000000000003</v>
      </c>
      <c r="T195">
        <v>0.64339999999999997</v>
      </c>
      <c r="U195">
        <v>0.69269999999999998</v>
      </c>
      <c r="V195">
        <v>0.71450000000000002</v>
      </c>
      <c r="W195">
        <v>0.75070000000000003</v>
      </c>
      <c r="X195">
        <v>0.72489999999999999</v>
      </c>
      <c r="Y195">
        <v>0.66049999999999998</v>
      </c>
      <c r="Z195">
        <v>0.69140000000000001</v>
      </c>
      <c r="AA195">
        <v>0.63080000000000003</v>
      </c>
      <c r="AB195">
        <v>0.63429999999999997</v>
      </c>
      <c r="AC195">
        <v>0.64390000000000003</v>
      </c>
    </row>
    <row r="196" spans="1:29" x14ac:dyDescent="0.45">
      <c r="A196" t="s">
        <v>23</v>
      </c>
      <c r="B196" t="s">
        <v>440</v>
      </c>
      <c r="C196" t="s">
        <v>441</v>
      </c>
      <c r="D196" t="s">
        <v>429</v>
      </c>
      <c r="E196" t="str">
        <f t="shared" si="2"/>
        <v>FL|offshore wind|Winter Peak</v>
      </c>
      <c r="F196">
        <v>0.95309999999999995</v>
      </c>
      <c r="G196">
        <v>0.95030000000000003</v>
      </c>
      <c r="H196">
        <v>0.95540000000000003</v>
      </c>
      <c r="I196">
        <v>0.96679999999999999</v>
      </c>
      <c r="J196">
        <v>1</v>
      </c>
      <c r="K196">
        <v>1</v>
      </c>
      <c r="L196">
        <v>1</v>
      </c>
      <c r="M196">
        <v>0.99209999999999998</v>
      </c>
      <c r="N196">
        <v>0.90149999999999997</v>
      </c>
      <c r="O196">
        <v>0.79779999999999995</v>
      </c>
      <c r="P196">
        <v>0.71879999999999999</v>
      </c>
      <c r="Q196">
        <v>0.67300000000000004</v>
      </c>
      <c r="R196">
        <v>0.60860000000000003</v>
      </c>
      <c r="S196">
        <v>0.58009999999999995</v>
      </c>
      <c r="T196">
        <v>0.58799999999999997</v>
      </c>
      <c r="U196">
        <v>0.61019999999999996</v>
      </c>
      <c r="V196">
        <v>0.61839999999999995</v>
      </c>
      <c r="W196">
        <v>0.60909999999999997</v>
      </c>
      <c r="X196">
        <v>0.62880000000000003</v>
      </c>
      <c r="Y196">
        <v>0.72889999999999999</v>
      </c>
      <c r="Z196">
        <v>0.84719999999999995</v>
      </c>
      <c r="AA196">
        <v>0.92220000000000002</v>
      </c>
      <c r="AB196">
        <v>0.86950000000000005</v>
      </c>
      <c r="AC196">
        <v>0.8054</v>
      </c>
    </row>
    <row r="197" spans="1:29" x14ac:dyDescent="0.45">
      <c r="A197" t="s">
        <v>25</v>
      </c>
      <c r="B197" t="s">
        <v>434</v>
      </c>
      <c r="C197" t="s">
        <v>435</v>
      </c>
      <c r="D197" t="s">
        <v>424</v>
      </c>
      <c r="E197" t="str">
        <f t="shared" ref="E197:E260" si="3">A197&amp;"|"&amp;C197&amp;"|"&amp;D197</f>
        <v>GA|onshore wind|Winter</v>
      </c>
      <c r="F197">
        <v>1</v>
      </c>
      <c r="G197">
        <v>1</v>
      </c>
      <c r="H197">
        <v>1</v>
      </c>
      <c r="I197">
        <v>1</v>
      </c>
      <c r="J197">
        <v>1</v>
      </c>
      <c r="K197">
        <v>1</v>
      </c>
      <c r="L197">
        <v>1</v>
      </c>
      <c r="M197">
        <v>1</v>
      </c>
      <c r="N197">
        <v>1</v>
      </c>
      <c r="O197">
        <v>1</v>
      </c>
      <c r="P197">
        <v>1</v>
      </c>
      <c r="Q197">
        <v>1</v>
      </c>
      <c r="R197">
        <v>1</v>
      </c>
      <c r="S197">
        <v>1</v>
      </c>
      <c r="T197">
        <v>1</v>
      </c>
      <c r="U197">
        <v>1</v>
      </c>
      <c r="V197">
        <v>1</v>
      </c>
      <c r="W197">
        <v>1</v>
      </c>
      <c r="X197">
        <v>1</v>
      </c>
      <c r="Y197">
        <v>1</v>
      </c>
      <c r="Z197">
        <v>1</v>
      </c>
      <c r="AA197">
        <v>1</v>
      </c>
      <c r="AB197">
        <v>1</v>
      </c>
      <c r="AC197">
        <v>1</v>
      </c>
    </row>
    <row r="198" spans="1:29" x14ac:dyDescent="0.45">
      <c r="A198" t="s">
        <v>25</v>
      </c>
      <c r="B198" t="s">
        <v>434</v>
      </c>
      <c r="C198" t="s">
        <v>435</v>
      </c>
      <c r="D198" t="s">
        <v>425</v>
      </c>
      <c r="E198" t="str">
        <f t="shared" si="3"/>
        <v>GA|onshore wind|Spring</v>
      </c>
      <c r="F198">
        <v>1</v>
      </c>
      <c r="G198">
        <v>1</v>
      </c>
      <c r="H198">
        <v>1</v>
      </c>
      <c r="I198">
        <v>1</v>
      </c>
      <c r="J198">
        <v>1</v>
      </c>
      <c r="K198">
        <v>1</v>
      </c>
      <c r="L198">
        <v>1</v>
      </c>
      <c r="M198">
        <v>1</v>
      </c>
      <c r="N198">
        <v>1</v>
      </c>
      <c r="O198">
        <v>1</v>
      </c>
      <c r="P198">
        <v>1</v>
      </c>
      <c r="Q198">
        <v>1</v>
      </c>
      <c r="R198">
        <v>1</v>
      </c>
      <c r="S198">
        <v>1</v>
      </c>
      <c r="T198">
        <v>1</v>
      </c>
      <c r="U198">
        <v>1</v>
      </c>
      <c r="V198">
        <v>1</v>
      </c>
      <c r="W198">
        <v>1</v>
      </c>
      <c r="X198">
        <v>1</v>
      </c>
      <c r="Y198">
        <v>1</v>
      </c>
      <c r="Z198">
        <v>1</v>
      </c>
      <c r="AA198">
        <v>1</v>
      </c>
      <c r="AB198">
        <v>1</v>
      </c>
      <c r="AC198">
        <v>1</v>
      </c>
    </row>
    <row r="199" spans="1:29" x14ac:dyDescent="0.45">
      <c r="A199" t="s">
        <v>25</v>
      </c>
      <c r="B199" t="s">
        <v>434</v>
      </c>
      <c r="C199" t="s">
        <v>435</v>
      </c>
      <c r="D199" t="s">
        <v>426</v>
      </c>
      <c r="E199" t="str">
        <f t="shared" si="3"/>
        <v>GA|onshore wind|Summer</v>
      </c>
      <c r="F199">
        <v>1</v>
      </c>
      <c r="G199">
        <v>1</v>
      </c>
      <c r="H199">
        <v>1</v>
      </c>
      <c r="I199">
        <v>1</v>
      </c>
      <c r="J199">
        <v>1</v>
      </c>
      <c r="K199">
        <v>1</v>
      </c>
      <c r="L199">
        <v>1</v>
      </c>
      <c r="M199">
        <v>1</v>
      </c>
      <c r="N199">
        <v>1</v>
      </c>
      <c r="O199">
        <v>1</v>
      </c>
      <c r="P199">
        <v>1</v>
      </c>
      <c r="Q199">
        <v>1</v>
      </c>
      <c r="R199">
        <v>1</v>
      </c>
      <c r="S199">
        <v>1</v>
      </c>
      <c r="T199">
        <v>1</v>
      </c>
      <c r="U199">
        <v>1</v>
      </c>
      <c r="V199">
        <v>1</v>
      </c>
      <c r="W199">
        <v>1</v>
      </c>
      <c r="X199">
        <v>1</v>
      </c>
      <c r="Y199">
        <v>1</v>
      </c>
      <c r="Z199">
        <v>1</v>
      </c>
      <c r="AA199">
        <v>1</v>
      </c>
      <c r="AB199">
        <v>1</v>
      </c>
      <c r="AC199">
        <v>1</v>
      </c>
    </row>
    <row r="200" spans="1:29" x14ac:dyDescent="0.45">
      <c r="A200" t="s">
        <v>25</v>
      </c>
      <c r="B200" t="s">
        <v>434</v>
      </c>
      <c r="C200" t="s">
        <v>435</v>
      </c>
      <c r="D200" t="s">
        <v>427</v>
      </c>
      <c r="E200" t="str">
        <f t="shared" si="3"/>
        <v>GA|onshore wind|Fall</v>
      </c>
      <c r="F200">
        <v>1</v>
      </c>
      <c r="G200">
        <v>1</v>
      </c>
      <c r="H200">
        <v>1</v>
      </c>
      <c r="I200">
        <v>1</v>
      </c>
      <c r="J200">
        <v>1</v>
      </c>
      <c r="K200">
        <v>1</v>
      </c>
      <c r="L200">
        <v>1</v>
      </c>
      <c r="M200">
        <v>1</v>
      </c>
      <c r="N200">
        <v>1</v>
      </c>
      <c r="O200">
        <v>1</v>
      </c>
      <c r="P200">
        <v>1</v>
      </c>
      <c r="Q200">
        <v>1</v>
      </c>
      <c r="R200">
        <v>1</v>
      </c>
      <c r="S200">
        <v>1</v>
      </c>
      <c r="T200">
        <v>1</v>
      </c>
      <c r="U200">
        <v>1</v>
      </c>
      <c r="V200">
        <v>1</v>
      </c>
      <c r="W200">
        <v>1</v>
      </c>
      <c r="X200">
        <v>1</v>
      </c>
      <c r="Y200">
        <v>1</v>
      </c>
      <c r="Z200">
        <v>1</v>
      </c>
      <c r="AA200">
        <v>1</v>
      </c>
      <c r="AB200">
        <v>1</v>
      </c>
      <c r="AC200">
        <v>1</v>
      </c>
    </row>
    <row r="201" spans="1:29" x14ac:dyDescent="0.45">
      <c r="A201" t="s">
        <v>25</v>
      </c>
      <c r="B201" t="s">
        <v>434</v>
      </c>
      <c r="C201" t="s">
        <v>435</v>
      </c>
      <c r="D201" t="s">
        <v>428</v>
      </c>
      <c r="E201" t="str">
        <f t="shared" si="3"/>
        <v>GA|onshore wind|Summer Peak</v>
      </c>
      <c r="F201">
        <v>0.92130000000000001</v>
      </c>
      <c r="G201">
        <v>0.92800000000000005</v>
      </c>
      <c r="H201">
        <v>0.95289999999999997</v>
      </c>
      <c r="I201">
        <v>0.94940000000000002</v>
      </c>
      <c r="J201">
        <v>0.93440000000000001</v>
      </c>
      <c r="K201">
        <v>0.94220000000000004</v>
      </c>
      <c r="L201">
        <v>0.96179999999999999</v>
      </c>
      <c r="M201">
        <v>0.91600000000000004</v>
      </c>
      <c r="N201">
        <v>0.81699999999999995</v>
      </c>
      <c r="O201">
        <v>0.7732</v>
      </c>
      <c r="P201">
        <v>0.76719999999999999</v>
      </c>
      <c r="Q201">
        <v>0.75590000000000002</v>
      </c>
      <c r="R201">
        <v>0.69110000000000005</v>
      </c>
      <c r="S201">
        <v>0.75690000000000002</v>
      </c>
      <c r="T201">
        <v>0.82179999999999997</v>
      </c>
      <c r="U201">
        <v>0.83940000000000003</v>
      </c>
      <c r="V201">
        <v>0.86229999999999996</v>
      </c>
      <c r="W201">
        <v>0.89380000000000004</v>
      </c>
      <c r="X201">
        <v>0.9103</v>
      </c>
      <c r="Y201">
        <v>0.9335</v>
      </c>
      <c r="Z201">
        <v>0.92900000000000005</v>
      </c>
      <c r="AA201">
        <v>0.9536</v>
      </c>
      <c r="AB201">
        <v>0.97609999999999997</v>
      </c>
      <c r="AC201">
        <v>0.98950000000000005</v>
      </c>
    </row>
    <row r="202" spans="1:29" x14ac:dyDescent="0.45">
      <c r="A202" t="s">
        <v>25</v>
      </c>
      <c r="B202" t="s">
        <v>434</v>
      </c>
      <c r="C202" t="s">
        <v>435</v>
      </c>
      <c r="D202" t="s">
        <v>429</v>
      </c>
      <c r="E202" t="str">
        <f t="shared" si="3"/>
        <v>GA|onshore wind|Winter Peak</v>
      </c>
      <c r="F202">
        <v>0.88390000000000002</v>
      </c>
      <c r="G202">
        <v>0.8569</v>
      </c>
      <c r="H202">
        <v>0.83889999999999998</v>
      </c>
      <c r="I202">
        <v>0.8246</v>
      </c>
      <c r="J202">
        <v>0.80969999999999998</v>
      </c>
      <c r="K202">
        <v>0.77990000000000004</v>
      </c>
      <c r="L202">
        <v>0.79559999999999997</v>
      </c>
      <c r="M202">
        <v>0.80669999999999997</v>
      </c>
      <c r="N202">
        <v>0.85460000000000003</v>
      </c>
      <c r="O202">
        <v>0.89159999999999995</v>
      </c>
      <c r="P202">
        <v>0.94589999999999996</v>
      </c>
      <c r="Q202">
        <v>0.95920000000000005</v>
      </c>
      <c r="R202">
        <v>0.97199999999999998</v>
      </c>
      <c r="S202">
        <v>0.96030000000000004</v>
      </c>
      <c r="T202">
        <v>0.88890000000000002</v>
      </c>
      <c r="U202">
        <v>0.85070000000000001</v>
      </c>
      <c r="V202">
        <v>0.92669999999999997</v>
      </c>
      <c r="W202">
        <v>0.88770000000000004</v>
      </c>
      <c r="X202">
        <v>0.87509999999999999</v>
      </c>
      <c r="Y202">
        <v>0.84089999999999998</v>
      </c>
      <c r="Z202">
        <v>0.81079999999999997</v>
      </c>
      <c r="AA202">
        <v>0.80730000000000002</v>
      </c>
      <c r="AB202">
        <v>0.79849999999999999</v>
      </c>
      <c r="AC202">
        <v>0.78990000000000005</v>
      </c>
    </row>
    <row r="203" spans="1:29" x14ac:dyDescent="0.45">
      <c r="A203" t="s">
        <v>25</v>
      </c>
      <c r="B203" t="s">
        <v>436</v>
      </c>
      <c r="C203" t="s">
        <v>437</v>
      </c>
      <c r="D203" t="s">
        <v>424</v>
      </c>
      <c r="E203" t="str">
        <f t="shared" si="3"/>
        <v>GA|solar pv|Winter</v>
      </c>
      <c r="F203">
        <v>1</v>
      </c>
      <c r="G203">
        <v>1</v>
      </c>
      <c r="H203">
        <v>1</v>
      </c>
      <c r="I203">
        <v>1</v>
      </c>
      <c r="J203">
        <v>1</v>
      </c>
      <c r="K203">
        <v>1</v>
      </c>
      <c r="L203">
        <v>1</v>
      </c>
      <c r="M203">
        <v>1</v>
      </c>
      <c r="N203">
        <v>1</v>
      </c>
      <c r="O203">
        <v>1</v>
      </c>
      <c r="P203">
        <v>1</v>
      </c>
      <c r="Q203">
        <v>1</v>
      </c>
      <c r="R203">
        <v>1</v>
      </c>
      <c r="S203">
        <v>1</v>
      </c>
      <c r="T203">
        <v>1</v>
      </c>
      <c r="U203">
        <v>1</v>
      </c>
      <c r="V203">
        <v>1</v>
      </c>
      <c r="W203">
        <v>1</v>
      </c>
      <c r="X203">
        <v>1</v>
      </c>
      <c r="Y203">
        <v>1</v>
      </c>
      <c r="Z203">
        <v>1</v>
      </c>
      <c r="AA203">
        <v>1</v>
      </c>
      <c r="AB203">
        <v>1</v>
      </c>
      <c r="AC203">
        <v>1</v>
      </c>
    </row>
    <row r="204" spans="1:29" x14ac:dyDescent="0.45">
      <c r="A204" t="s">
        <v>25</v>
      </c>
      <c r="B204" t="s">
        <v>436</v>
      </c>
      <c r="C204" t="s">
        <v>437</v>
      </c>
      <c r="D204" t="s">
        <v>425</v>
      </c>
      <c r="E204" t="str">
        <f t="shared" si="3"/>
        <v>GA|solar pv|Spring</v>
      </c>
      <c r="F204">
        <v>1</v>
      </c>
      <c r="G204">
        <v>1</v>
      </c>
      <c r="H204">
        <v>1</v>
      </c>
      <c r="I204">
        <v>1</v>
      </c>
      <c r="J204">
        <v>1</v>
      </c>
      <c r="K204">
        <v>1</v>
      </c>
      <c r="L204">
        <v>1</v>
      </c>
      <c r="M204">
        <v>1</v>
      </c>
      <c r="N204">
        <v>1</v>
      </c>
      <c r="O204">
        <v>1</v>
      </c>
      <c r="P204">
        <v>1</v>
      </c>
      <c r="Q204">
        <v>1</v>
      </c>
      <c r="R204">
        <v>1</v>
      </c>
      <c r="S204">
        <v>1</v>
      </c>
      <c r="T204">
        <v>1</v>
      </c>
      <c r="U204">
        <v>1</v>
      </c>
      <c r="V204">
        <v>1</v>
      </c>
      <c r="W204">
        <v>1</v>
      </c>
      <c r="X204">
        <v>1</v>
      </c>
      <c r="Y204">
        <v>1</v>
      </c>
      <c r="Z204">
        <v>1</v>
      </c>
      <c r="AA204">
        <v>1</v>
      </c>
      <c r="AB204">
        <v>1</v>
      </c>
      <c r="AC204">
        <v>1</v>
      </c>
    </row>
    <row r="205" spans="1:29" x14ac:dyDescent="0.45">
      <c r="A205" t="s">
        <v>25</v>
      </c>
      <c r="B205" t="s">
        <v>436</v>
      </c>
      <c r="C205" t="s">
        <v>437</v>
      </c>
      <c r="D205" t="s">
        <v>426</v>
      </c>
      <c r="E205" t="str">
        <f t="shared" si="3"/>
        <v>GA|solar pv|Summer</v>
      </c>
      <c r="F205">
        <v>1</v>
      </c>
      <c r="G205">
        <v>1</v>
      </c>
      <c r="H205">
        <v>1</v>
      </c>
      <c r="I205">
        <v>1</v>
      </c>
      <c r="J205">
        <v>1</v>
      </c>
      <c r="K205">
        <v>1</v>
      </c>
      <c r="L205">
        <v>1</v>
      </c>
      <c r="M205">
        <v>1</v>
      </c>
      <c r="N205">
        <v>1</v>
      </c>
      <c r="O205">
        <v>1</v>
      </c>
      <c r="P205">
        <v>1</v>
      </c>
      <c r="Q205">
        <v>1</v>
      </c>
      <c r="R205">
        <v>1</v>
      </c>
      <c r="S205">
        <v>1</v>
      </c>
      <c r="T205">
        <v>1</v>
      </c>
      <c r="U205">
        <v>1</v>
      </c>
      <c r="V205">
        <v>1</v>
      </c>
      <c r="W205">
        <v>1</v>
      </c>
      <c r="X205">
        <v>1</v>
      </c>
      <c r="Y205">
        <v>1</v>
      </c>
      <c r="Z205">
        <v>1</v>
      </c>
      <c r="AA205">
        <v>1</v>
      </c>
      <c r="AB205">
        <v>1</v>
      </c>
      <c r="AC205">
        <v>1</v>
      </c>
    </row>
    <row r="206" spans="1:29" x14ac:dyDescent="0.45">
      <c r="A206" t="s">
        <v>25</v>
      </c>
      <c r="B206" t="s">
        <v>436</v>
      </c>
      <c r="C206" t="s">
        <v>437</v>
      </c>
      <c r="D206" t="s">
        <v>427</v>
      </c>
      <c r="E206" t="str">
        <f t="shared" si="3"/>
        <v>GA|solar pv|Fall</v>
      </c>
      <c r="F206">
        <v>1</v>
      </c>
      <c r="G206">
        <v>1</v>
      </c>
      <c r="H206">
        <v>1</v>
      </c>
      <c r="I206">
        <v>1</v>
      </c>
      <c r="J206">
        <v>1</v>
      </c>
      <c r="K206">
        <v>1</v>
      </c>
      <c r="L206">
        <v>1</v>
      </c>
      <c r="M206">
        <v>1</v>
      </c>
      <c r="N206">
        <v>1</v>
      </c>
      <c r="O206">
        <v>1</v>
      </c>
      <c r="P206">
        <v>1</v>
      </c>
      <c r="Q206">
        <v>1</v>
      </c>
      <c r="R206">
        <v>1</v>
      </c>
      <c r="S206">
        <v>1</v>
      </c>
      <c r="T206">
        <v>1</v>
      </c>
      <c r="U206">
        <v>1</v>
      </c>
      <c r="V206">
        <v>1</v>
      </c>
      <c r="W206">
        <v>1</v>
      </c>
      <c r="X206">
        <v>1</v>
      </c>
      <c r="Y206">
        <v>1</v>
      </c>
      <c r="Z206">
        <v>1</v>
      </c>
      <c r="AA206">
        <v>1</v>
      </c>
      <c r="AB206">
        <v>1</v>
      </c>
      <c r="AC206">
        <v>1</v>
      </c>
    </row>
    <row r="207" spans="1:29" x14ac:dyDescent="0.45">
      <c r="A207" t="s">
        <v>25</v>
      </c>
      <c r="B207" t="s">
        <v>436</v>
      </c>
      <c r="C207" t="s">
        <v>437</v>
      </c>
      <c r="D207" t="s">
        <v>428</v>
      </c>
      <c r="E207" t="str">
        <f t="shared" si="3"/>
        <v>GA|solar pv|Summer Peak</v>
      </c>
      <c r="F207">
        <v>1</v>
      </c>
      <c r="G207">
        <v>1</v>
      </c>
      <c r="H207">
        <v>1</v>
      </c>
      <c r="I207">
        <v>1</v>
      </c>
      <c r="J207">
        <v>1</v>
      </c>
      <c r="K207">
        <v>0.50209999999999999</v>
      </c>
      <c r="L207">
        <v>0.45879999999999999</v>
      </c>
      <c r="M207">
        <v>0.55889999999999995</v>
      </c>
      <c r="N207">
        <v>0.7298</v>
      </c>
      <c r="O207">
        <v>0.74960000000000004</v>
      </c>
      <c r="P207">
        <v>0.69950000000000001</v>
      </c>
      <c r="Q207">
        <v>0.7742</v>
      </c>
      <c r="R207">
        <v>0.67459999999999998</v>
      </c>
      <c r="S207">
        <v>0.81110000000000004</v>
      </c>
      <c r="T207">
        <v>0.68730000000000002</v>
      </c>
      <c r="U207">
        <v>0.61019999999999996</v>
      </c>
      <c r="V207">
        <v>0.5978</v>
      </c>
      <c r="W207">
        <v>0.58160000000000001</v>
      </c>
      <c r="X207">
        <v>0.3019</v>
      </c>
      <c r="Y207">
        <v>1</v>
      </c>
      <c r="Z207">
        <v>1</v>
      </c>
      <c r="AA207">
        <v>1</v>
      </c>
      <c r="AB207">
        <v>1</v>
      </c>
      <c r="AC207">
        <v>1</v>
      </c>
    </row>
    <row r="208" spans="1:29" x14ac:dyDescent="0.45">
      <c r="A208" t="s">
        <v>25</v>
      </c>
      <c r="B208" t="s">
        <v>436</v>
      </c>
      <c r="C208" t="s">
        <v>437</v>
      </c>
      <c r="D208" t="s">
        <v>429</v>
      </c>
      <c r="E208" t="str">
        <f t="shared" si="3"/>
        <v>GA|solar pv|Winter Peak</v>
      </c>
      <c r="F208">
        <v>1</v>
      </c>
      <c r="G208">
        <v>1</v>
      </c>
      <c r="H208">
        <v>1</v>
      </c>
      <c r="I208">
        <v>1</v>
      </c>
      <c r="J208">
        <v>1</v>
      </c>
      <c r="K208">
        <v>1</v>
      </c>
      <c r="L208">
        <v>1</v>
      </c>
      <c r="M208">
        <v>0.57779999999999998</v>
      </c>
      <c r="N208">
        <v>0.62429999999999997</v>
      </c>
      <c r="O208">
        <v>0.57120000000000004</v>
      </c>
      <c r="P208">
        <v>0.68459999999999999</v>
      </c>
      <c r="Q208">
        <v>0.8841</v>
      </c>
      <c r="R208">
        <v>0.80659999999999998</v>
      </c>
      <c r="S208">
        <v>0.83660000000000001</v>
      </c>
      <c r="T208">
        <v>0.80869999999999997</v>
      </c>
      <c r="U208">
        <v>0.75870000000000004</v>
      </c>
      <c r="V208">
        <v>0.71379999999999999</v>
      </c>
      <c r="W208">
        <v>0</v>
      </c>
      <c r="X208">
        <v>1</v>
      </c>
      <c r="Y208">
        <v>1</v>
      </c>
      <c r="Z208">
        <v>1</v>
      </c>
      <c r="AA208">
        <v>1</v>
      </c>
      <c r="AB208">
        <v>1</v>
      </c>
      <c r="AC208">
        <v>1</v>
      </c>
    </row>
    <row r="209" spans="1:29" x14ac:dyDescent="0.45">
      <c r="A209" t="s">
        <v>25</v>
      </c>
      <c r="B209" t="s">
        <v>438</v>
      </c>
      <c r="C209" t="s">
        <v>439</v>
      </c>
      <c r="D209" t="s">
        <v>424</v>
      </c>
      <c r="E209" t="str">
        <f t="shared" si="3"/>
        <v>GA|solar thermal|Winter</v>
      </c>
      <c r="F209">
        <v>1</v>
      </c>
      <c r="G209">
        <v>1</v>
      </c>
      <c r="H209">
        <v>1</v>
      </c>
      <c r="I209">
        <v>1</v>
      </c>
      <c r="J209">
        <v>1</v>
      </c>
      <c r="K209">
        <v>1</v>
      </c>
      <c r="L209">
        <v>1</v>
      </c>
      <c r="M209">
        <v>1</v>
      </c>
      <c r="N209">
        <v>1</v>
      </c>
      <c r="O209">
        <v>1</v>
      </c>
      <c r="P209">
        <v>1</v>
      </c>
      <c r="Q209">
        <v>1</v>
      </c>
      <c r="R209">
        <v>1</v>
      </c>
      <c r="S209">
        <v>1</v>
      </c>
      <c r="T209">
        <v>1</v>
      </c>
      <c r="U209">
        <v>1</v>
      </c>
      <c r="V209">
        <v>1</v>
      </c>
      <c r="W209">
        <v>1</v>
      </c>
      <c r="X209">
        <v>1</v>
      </c>
      <c r="Y209">
        <v>1</v>
      </c>
      <c r="Z209">
        <v>1</v>
      </c>
      <c r="AA209">
        <v>1</v>
      </c>
      <c r="AB209">
        <v>1</v>
      </c>
      <c r="AC209">
        <v>1</v>
      </c>
    </row>
    <row r="210" spans="1:29" x14ac:dyDescent="0.45">
      <c r="A210" t="s">
        <v>25</v>
      </c>
      <c r="B210" t="s">
        <v>438</v>
      </c>
      <c r="C210" t="s">
        <v>439</v>
      </c>
      <c r="D210" t="s">
        <v>425</v>
      </c>
      <c r="E210" t="str">
        <f t="shared" si="3"/>
        <v>GA|solar thermal|Spring</v>
      </c>
      <c r="F210">
        <v>1</v>
      </c>
      <c r="G210">
        <v>1</v>
      </c>
      <c r="H210">
        <v>1</v>
      </c>
      <c r="I210">
        <v>1</v>
      </c>
      <c r="J210">
        <v>1</v>
      </c>
      <c r="K210">
        <v>1</v>
      </c>
      <c r="L210">
        <v>1</v>
      </c>
      <c r="M210">
        <v>1</v>
      </c>
      <c r="N210">
        <v>1</v>
      </c>
      <c r="O210">
        <v>1</v>
      </c>
      <c r="P210">
        <v>1</v>
      </c>
      <c r="Q210">
        <v>1</v>
      </c>
      <c r="R210">
        <v>1</v>
      </c>
      <c r="S210">
        <v>1</v>
      </c>
      <c r="T210">
        <v>1</v>
      </c>
      <c r="U210">
        <v>1</v>
      </c>
      <c r="V210">
        <v>1</v>
      </c>
      <c r="W210">
        <v>1</v>
      </c>
      <c r="X210">
        <v>1</v>
      </c>
      <c r="Y210">
        <v>1</v>
      </c>
      <c r="Z210">
        <v>1</v>
      </c>
      <c r="AA210">
        <v>1</v>
      </c>
      <c r="AB210">
        <v>1</v>
      </c>
      <c r="AC210">
        <v>1</v>
      </c>
    </row>
    <row r="211" spans="1:29" x14ac:dyDescent="0.45">
      <c r="A211" t="s">
        <v>25</v>
      </c>
      <c r="B211" t="s">
        <v>438</v>
      </c>
      <c r="C211" t="s">
        <v>439</v>
      </c>
      <c r="D211" t="s">
        <v>426</v>
      </c>
      <c r="E211" t="str">
        <f t="shared" si="3"/>
        <v>GA|solar thermal|Summer</v>
      </c>
      <c r="F211">
        <v>1</v>
      </c>
      <c r="G211">
        <v>1</v>
      </c>
      <c r="H211">
        <v>1</v>
      </c>
      <c r="I211">
        <v>1</v>
      </c>
      <c r="J211">
        <v>1</v>
      </c>
      <c r="K211">
        <v>1</v>
      </c>
      <c r="L211">
        <v>1</v>
      </c>
      <c r="M211">
        <v>1</v>
      </c>
      <c r="N211">
        <v>1</v>
      </c>
      <c r="O211">
        <v>1</v>
      </c>
      <c r="P211">
        <v>1</v>
      </c>
      <c r="Q211">
        <v>1</v>
      </c>
      <c r="R211">
        <v>1</v>
      </c>
      <c r="S211">
        <v>1</v>
      </c>
      <c r="T211">
        <v>1</v>
      </c>
      <c r="U211">
        <v>1</v>
      </c>
      <c r="V211">
        <v>1</v>
      </c>
      <c r="W211">
        <v>1</v>
      </c>
      <c r="X211">
        <v>1</v>
      </c>
      <c r="Y211">
        <v>1</v>
      </c>
      <c r="Z211">
        <v>1</v>
      </c>
      <c r="AA211">
        <v>1</v>
      </c>
      <c r="AB211">
        <v>1</v>
      </c>
      <c r="AC211">
        <v>1</v>
      </c>
    </row>
    <row r="212" spans="1:29" x14ac:dyDescent="0.45">
      <c r="A212" t="s">
        <v>25</v>
      </c>
      <c r="B212" t="s">
        <v>438</v>
      </c>
      <c r="C212" t="s">
        <v>439</v>
      </c>
      <c r="D212" t="s">
        <v>427</v>
      </c>
      <c r="E212" t="str">
        <f t="shared" si="3"/>
        <v>GA|solar thermal|Fall</v>
      </c>
      <c r="F212">
        <v>1</v>
      </c>
      <c r="G212">
        <v>1</v>
      </c>
      <c r="H212">
        <v>1</v>
      </c>
      <c r="I212">
        <v>1</v>
      </c>
      <c r="J212">
        <v>1</v>
      </c>
      <c r="K212">
        <v>1</v>
      </c>
      <c r="L212">
        <v>1</v>
      </c>
      <c r="M212">
        <v>1</v>
      </c>
      <c r="N212">
        <v>1</v>
      </c>
      <c r="O212">
        <v>1</v>
      </c>
      <c r="P212">
        <v>1</v>
      </c>
      <c r="Q212">
        <v>1</v>
      </c>
      <c r="R212">
        <v>1</v>
      </c>
      <c r="S212">
        <v>1</v>
      </c>
      <c r="T212">
        <v>1</v>
      </c>
      <c r="U212">
        <v>1</v>
      </c>
      <c r="V212">
        <v>1</v>
      </c>
      <c r="W212">
        <v>1</v>
      </c>
      <c r="X212">
        <v>1</v>
      </c>
      <c r="Y212">
        <v>1</v>
      </c>
      <c r="Z212">
        <v>1</v>
      </c>
      <c r="AA212">
        <v>1</v>
      </c>
      <c r="AB212">
        <v>1</v>
      </c>
      <c r="AC212">
        <v>1</v>
      </c>
    </row>
    <row r="213" spans="1:29" x14ac:dyDescent="0.45">
      <c r="A213" t="s">
        <v>25</v>
      </c>
      <c r="B213" t="s">
        <v>438</v>
      </c>
      <c r="C213" t="s">
        <v>439</v>
      </c>
      <c r="D213" t="s">
        <v>428</v>
      </c>
      <c r="E213" t="str">
        <f t="shared" si="3"/>
        <v>GA|solar thermal|Summer Peak</v>
      </c>
      <c r="F213">
        <v>1</v>
      </c>
      <c r="G213">
        <v>1</v>
      </c>
      <c r="H213">
        <v>1</v>
      </c>
      <c r="I213">
        <v>1</v>
      </c>
      <c r="J213">
        <v>1</v>
      </c>
      <c r="K213">
        <v>1</v>
      </c>
      <c r="L213">
        <v>1</v>
      </c>
      <c r="M213">
        <v>0</v>
      </c>
      <c r="N213">
        <v>0.8639</v>
      </c>
      <c r="O213">
        <v>1</v>
      </c>
      <c r="P213">
        <v>1</v>
      </c>
      <c r="Q213">
        <v>0.97160000000000002</v>
      </c>
      <c r="R213">
        <v>0.96719999999999995</v>
      </c>
      <c r="S213">
        <v>1</v>
      </c>
      <c r="T213">
        <v>1</v>
      </c>
      <c r="U213">
        <v>1</v>
      </c>
      <c r="V213">
        <v>1</v>
      </c>
      <c r="W213">
        <v>1</v>
      </c>
      <c r="X213">
        <v>1</v>
      </c>
      <c r="Y213">
        <v>0.93130000000000002</v>
      </c>
      <c r="Z213">
        <v>0.70220000000000005</v>
      </c>
      <c r="AA213">
        <v>1</v>
      </c>
      <c r="AB213">
        <v>1</v>
      </c>
      <c r="AC213">
        <v>1</v>
      </c>
    </row>
    <row r="214" spans="1:29" x14ac:dyDescent="0.45">
      <c r="A214" t="s">
        <v>25</v>
      </c>
      <c r="B214" t="s">
        <v>438</v>
      </c>
      <c r="C214" t="s">
        <v>439</v>
      </c>
      <c r="D214" t="s">
        <v>429</v>
      </c>
      <c r="E214" t="str">
        <f t="shared" si="3"/>
        <v>GA|solar thermal|Winter Peak</v>
      </c>
      <c r="F214">
        <v>1</v>
      </c>
      <c r="G214">
        <v>1</v>
      </c>
      <c r="H214">
        <v>1</v>
      </c>
      <c r="I214">
        <v>1</v>
      </c>
      <c r="J214">
        <v>1</v>
      </c>
      <c r="K214">
        <v>1</v>
      </c>
      <c r="L214">
        <v>1</v>
      </c>
      <c r="M214">
        <v>1</v>
      </c>
      <c r="N214">
        <v>1</v>
      </c>
      <c r="O214">
        <v>0.2419</v>
      </c>
      <c r="P214">
        <v>0.95320000000000005</v>
      </c>
      <c r="Q214">
        <v>0.88039999999999996</v>
      </c>
      <c r="R214">
        <v>0.97819999999999996</v>
      </c>
      <c r="S214">
        <v>0.98950000000000005</v>
      </c>
      <c r="T214">
        <v>0.99270000000000003</v>
      </c>
      <c r="U214">
        <v>1</v>
      </c>
      <c r="V214">
        <v>1</v>
      </c>
      <c r="W214">
        <v>1</v>
      </c>
      <c r="X214">
        <v>0.89019999999999999</v>
      </c>
      <c r="Y214">
        <v>0</v>
      </c>
      <c r="Z214">
        <v>1</v>
      </c>
      <c r="AA214">
        <v>1</v>
      </c>
      <c r="AB214">
        <v>1</v>
      </c>
      <c r="AC214">
        <v>1</v>
      </c>
    </row>
    <row r="215" spans="1:29" x14ac:dyDescent="0.45">
      <c r="A215" t="s">
        <v>25</v>
      </c>
      <c r="B215" t="s">
        <v>440</v>
      </c>
      <c r="C215" t="s">
        <v>441</v>
      </c>
      <c r="D215" t="s">
        <v>424</v>
      </c>
      <c r="E215" t="str">
        <f t="shared" si="3"/>
        <v>GA|offshore wind|Winter</v>
      </c>
      <c r="F215">
        <v>1</v>
      </c>
      <c r="G215">
        <v>1</v>
      </c>
      <c r="H215">
        <v>1</v>
      </c>
      <c r="I215">
        <v>1</v>
      </c>
      <c r="J215">
        <v>1</v>
      </c>
      <c r="K215">
        <v>1</v>
      </c>
      <c r="L215">
        <v>1</v>
      </c>
      <c r="M215">
        <v>1</v>
      </c>
      <c r="N215">
        <v>1</v>
      </c>
      <c r="O215">
        <v>1</v>
      </c>
      <c r="P215">
        <v>1</v>
      </c>
      <c r="Q215">
        <v>1</v>
      </c>
      <c r="R215">
        <v>1</v>
      </c>
      <c r="S215">
        <v>1</v>
      </c>
      <c r="T215">
        <v>1</v>
      </c>
      <c r="U215">
        <v>1</v>
      </c>
      <c r="V215">
        <v>1</v>
      </c>
      <c r="W215">
        <v>1</v>
      </c>
      <c r="X215">
        <v>1</v>
      </c>
      <c r="Y215">
        <v>1</v>
      </c>
      <c r="Z215">
        <v>1</v>
      </c>
      <c r="AA215">
        <v>1</v>
      </c>
      <c r="AB215">
        <v>1</v>
      </c>
      <c r="AC215">
        <v>1</v>
      </c>
    </row>
    <row r="216" spans="1:29" x14ac:dyDescent="0.45">
      <c r="A216" t="s">
        <v>25</v>
      </c>
      <c r="B216" t="s">
        <v>440</v>
      </c>
      <c r="C216" t="s">
        <v>441</v>
      </c>
      <c r="D216" t="s">
        <v>425</v>
      </c>
      <c r="E216" t="str">
        <f t="shared" si="3"/>
        <v>GA|offshore wind|Spring</v>
      </c>
      <c r="F216">
        <v>1</v>
      </c>
      <c r="G216">
        <v>1</v>
      </c>
      <c r="H216">
        <v>1</v>
      </c>
      <c r="I216">
        <v>1</v>
      </c>
      <c r="J216">
        <v>1</v>
      </c>
      <c r="K216">
        <v>1</v>
      </c>
      <c r="L216">
        <v>1</v>
      </c>
      <c r="M216">
        <v>1</v>
      </c>
      <c r="N216">
        <v>1</v>
      </c>
      <c r="O216">
        <v>1</v>
      </c>
      <c r="P216">
        <v>1</v>
      </c>
      <c r="Q216">
        <v>1</v>
      </c>
      <c r="R216">
        <v>1</v>
      </c>
      <c r="S216">
        <v>1</v>
      </c>
      <c r="T216">
        <v>1</v>
      </c>
      <c r="U216">
        <v>1</v>
      </c>
      <c r="V216">
        <v>1</v>
      </c>
      <c r="W216">
        <v>1</v>
      </c>
      <c r="X216">
        <v>1</v>
      </c>
      <c r="Y216">
        <v>1</v>
      </c>
      <c r="Z216">
        <v>1</v>
      </c>
      <c r="AA216">
        <v>1</v>
      </c>
      <c r="AB216">
        <v>1</v>
      </c>
      <c r="AC216">
        <v>1</v>
      </c>
    </row>
    <row r="217" spans="1:29" x14ac:dyDescent="0.45">
      <c r="A217" t="s">
        <v>25</v>
      </c>
      <c r="B217" t="s">
        <v>440</v>
      </c>
      <c r="C217" t="s">
        <v>441</v>
      </c>
      <c r="D217" t="s">
        <v>426</v>
      </c>
      <c r="E217" t="str">
        <f t="shared" si="3"/>
        <v>GA|offshore wind|Summer</v>
      </c>
      <c r="F217">
        <v>1</v>
      </c>
      <c r="G217">
        <v>1</v>
      </c>
      <c r="H217">
        <v>1</v>
      </c>
      <c r="I217">
        <v>1</v>
      </c>
      <c r="J217">
        <v>1</v>
      </c>
      <c r="K217">
        <v>1</v>
      </c>
      <c r="L217">
        <v>1</v>
      </c>
      <c r="M217">
        <v>1</v>
      </c>
      <c r="N217">
        <v>1</v>
      </c>
      <c r="O217">
        <v>1</v>
      </c>
      <c r="P217">
        <v>1</v>
      </c>
      <c r="Q217">
        <v>1</v>
      </c>
      <c r="R217">
        <v>1</v>
      </c>
      <c r="S217">
        <v>1</v>
      </c>
      <c r="T217">
        <v>1</v>
      </c>
      <c r="U217">
        <v>1</v>
      </c>
      <c r="V217">
        <v>1</v>
      </c>
      <c r="W217">
        <v>1</v>
      </c>
      <c r="X217">
        <v>1</v>
      </c>
      <c r="Y217">
        <v>1</v>
      </c>
      <c r="Z217">
        <v>1</v>
      </c>
      <c r="AA217">
        <v>1</v>
      </c>
      <c r="AB217">
        <v>1</v>
      </c>
      <c r="AC217">
        <v>1</v>
      </c>
    </row>
    <row r="218" spans="1:29" x14ac:dyDescent="0.45">
      <c r="A218" t="s">
        <v>25</v>
      </c>
      <c r="B218" t="s">
        <v>440</v>
      </c>
      <c r="C218" t="s">
        <v>441</v>
      </c>
      <c r="D218" t="s">
        <v>427</v>
      </c>
      <c r="E218" t="str">
        <f t="shared" si="3"/>
        <v>GA|offshore wind|Fall</v>
      </c>
      <c r="F218">
        <v>1</v>
      </c>
      <c r="G218">
        <v>1</v>
      </c>
      <c r="H218">
        <v>1</v>
      </c>
      <c r="I218">
        <v>1</v>
      </c>
      <c r="J218">
        <v>1</v>
      </c>
      <c r="K218">
        <v>1</v>
      </c>
      <c r="L218">
        <v>1</v>
      </c>
      <c r="M218">
        <v>1</v>
      </c>
      <c r="N218">
        <v>1</v>
      </c>
      <c r="O218">
        <v>1</v>
      </c>
      <c r="P218">
        <v>1</v>
      </c>
      <c r="Q218">
        <v>1</v>
      </c>
      <c r="R218">
        <v>1</v>
      </c>
      <c r="S218">
        <v>1</v>
      </c>
      <c r="T218">
        <v>1</v>
      </c>
      <c r="U218">
        <v>1</v>
      </c>
      <c r="V218">
        <v>1</v>
      </c>
      <c r="W218">
        <v>1</v>
      </c>
      <c r="X218">
        <v>1</v>
      </c>
      <c r="Y218">
        <v>1</v>
      </c>
      <c r="Z218">
        <v>1</v>
      </c>
      <c r="AA218">
        <v>1</v>
      </c>
      <c r="AB218">
        <v>1</v>
      </c>
      <c r="AC218">
        <v>1</v>
      </c>
    </row>
    <row r="219" spans="1:29" x14ac:dyDescent="0.45">
      <c r="A219" t="s">
        <v>25</v>
      </c>
      <c r="B219" t="s">
        <v>440</v>
      </c>
      <c r="C219" t="s">
        <v>441</v>
      </c>
      <c r="D219" t="s">
        <v>428</v>
      </c>
      <c r="E219" t="str">
        <f t="shared" si="3"/>
        <v>GA|offshore wind|Summer Peak</v>
      </c>
      <c r="F219">
        <v>0.40810000000000002</v>
      </c>
      <c r="G219">
        <v>0.4239</v>
      </c>
      <c r="H219">
        <v>0.45760000000000001</v>
      </c>
      <c r="I219">
        <v>0.50319999999999998</v>
      </c>
      <c r="J219">
        <v>0.53649999999999998</v>
      </c>
      <c r="K219">
        <v>0.59399999999999997</v>
      </c>
      <c r="L219">
        <v>0.61929999999999996</v>
      </c>
      <c r="M219">
        <v>0.68859999999999999</v>
      </c>
      <c r="N219">
        <v>0.73480000000000001</v>
      </c>
      <c r="O219">
        <v>0.84350000000000003</v>
      </c>
      <c r="P219">
        <v>0.78200000000000003</v>
      </c>
      <c r="Q219">
        <v>0.74650000000000005</v>
      </c>
      <c r="R219">
        <v>0.63690000000000002</v>
      </c>
      <c r="S219">
        <v>0.60860000000000003</v>
      </c>
      <c r="T219">
        <v>0.64339999999999997</v>
      </c>
      <c r="U219">
        <v>0.69269999999999998</v>
      </c>
      <c r="V219">
        <v>0.71450000000000002</v>
      </c>
      <c r="W219">
        <v>0.75070000000000003</v>
      </c>
      <c r="X219">
        <v>0.72489999999999999</v>
      </c>
      <c r="Y219">
        <v>0.66049999999999998</v>
      </c>
      <c r="Z219">
        <v>0.69140000000000001</v>
      </c>
      <c r="AA219">
        <v>0.63080000000000003</v>
      </c>
      <c r="AB219">
        <v>0.63429999999999997</v>
      </c>
      <c r="AC219">
        <v>0.64390000000000003</v>
      </c>
    </row>
    <row r="220" spans="1:29" x14ac:dyDescent="0.45">
      <c r="A220" t="s">
        <v>25</v>
      </c>
      <c r="B220" t="s">
        <v>440</v>
      </c>
      <c r="C220" t="s">
        <v>441</v>
      </c>
      <c r="D220" t="s">
        <v>429</v>
      </c>
      <c r="E220" t="str">
        <f t="shared" si="3"/>
        <v>GA|offshore wind|Winter Peak</v>
      </c>
      <c r="F220">
        <v>0.95309999999999995</v>
      </c>
      <c r="G220">
        <v>0.95030000000000003</v>
      </c>
      <c r="H220">
        <v>0.95540000000000003</v>
      </c>
      <c r="I220">
        <v>0.96679999999999999</v>
      </c>
      <c r="J220">
        <v>1</v>
      </c>
      <c r="K220">
        <v>1</v>
      </c>
      <c r="L220">
        <v>1</v>
      </c>
      <c r="M220">
        <v>0.99209999999999998</v>
      </c>
      <c r="N220">
        <v>0.90149999999999997</v>
      </c>
      <c r="O220">
        <v>0.79779999999999995</v>
      </c>
      <c r="P220">
        <v>0.71879999999999999</v>
      </c>
      <c r="Q220">
        <v>0.67300000000000004</v>
      </c>
      <c r="R220">
        <v>0.60860000000000003</v>
      </c>
      <c r="S220">
        <v>0.58009999999999995</v>
      </c>
      <c r="T220">
        <v>0.58799999999999997</v>
      </c>
      <c r="U220">
        <v>0.61019999999999996</v>
      </c>
      <c r="V220">
        <v>0.61839999999999995</v>
      </c>
      <c r="W220">
        <v>0.60909999999999997</v>
      </c>
      <c r="X220">
        <v>0.62880000000000003</v>
      </c>
      <c r="Y220">
        <v>0.72889999999999999</v>
      </c>
      <c r="Z220">
        <v>0.84719999999999995</v>
      </c>
      <c r="AA220">
        <v>0.92220000000000002</v>
      </c>
      <c r="AB220">
        <v>0.86950000000000005</v>
      </c>
      <c r="AC220">
        <v>0.8054</v>
      </c>
    </row>
    <row r="221" spans="1:29" x14ac:dyDescent="0.45">
      <c r="A221" t="s">
        <v>28</v>
      </c>
      <c r="B221" t="s">
        <v>434</v>
      </c>
      <c r="C221" t="s">
        <v>435</v>
      </c>
      <c r="D221" t="s">
        <v>424</v>
      </c>
      <c r="E221" t="str">
        <f t="shared" si="3"/>
        <v>IA|onshore wind|Winter</v>
      </c>
      <c r="F221">
        <v>1</v>
      </c>
      <c r="G221">
        <v>1</v>
      </c>
      <c r="H221">
        <v>1</v>
      </c>
      <c r="I221">
        <v>1</v>
      </c>
      <c r="J221">
        <v>1</v>
      </c>
      <c r="K221">
        <v>1</v>
      </c>
      <c r="L221">
        <v>1</v>
      </c>
      <c r="M221">
        <v>1</v>
      </c>
      <c r="N221">
        <v>1</v>
      </c>
      <c r="O221">
        <v>1</v>
      </c>
      <c r="P221">
        <v>1</v>
      </c>
      <c r="Q221">
        <v>1</v>
      </c>
      <c r="R221">
        <v>1</v>
      </c>
      <c r="S221">
        <v>1</v>
      </c>
      <c r="T221">
        <v>1</v>
      </c>
      <c r="U221">
        <v>1</v>
      </c>
      <c r="V221">
        <v>1</v>
      </c>
      <c r="W221">
        <v>1</v>
      </c>
      <c r="X221">
        <v>1</v>
      </c>
      <c r="Y221">
        <v>1</v>
      </c>
      <c r="Z221">
        <v>1</v>
      </c>
      <c r="AA221">
        <v>1</v>
      </c>
      <c r="AB221">
        <v>1</v>
      </c>
      <c r="AC221">
        <v>1</v>
      </c>
    </row>
    <row r="222" spans="1:29" x14ac:dyDescent="0.45">
      <c r="A222" t="s">
        <v>28</v>
      </c>
      <c r="B222" t="s">
        <v>434</v>
      </c>
      <c r="C222" t="s">
        <v>435</v>
      </c>
      <c r="D222" t="s">
        <v>425</v>
      </c>
      <c r="E222" t="str">
        <f t="shared" si="3"/>
        <v>IA|onshore wind|Spring</v>
      </c>
      <c r="F222">
        <v>1</v>
      </c>
      <c r="G222">
        <v>1</v>
      </c>
      <c r="H222">
        <v>1</v>
      </c>
      <c r="I222">
        <v>1</v>
      </c>
      <c r="J222">
        <v>1</v>
      </c>
      <c r="K222">
        <v>1</v>
      </c>
      <c r="L222">
        <v>1</v>
      </c>
      <c r="M222">
        <v>1</v>
      </c>
      <c r="N222">
        <v>1</v>
      </c>
      <c r="O222">
        <v>1</v>
      </c>
      <c r="P222">
        <v>1</v>
      </c>
      <c r="Q222">
        <v>1</v>
      </c>
      <c r="R222">
        <v>1</v>
      </c>
      <c r="S222">
        <v>1</v>
      </c>
      <c r="T222">
        <v>1</v>
      </c>
      <c r="U222">
        <v>1</v>
      </c>
      <c r="V222">
        <v>1</v>
      </c>
      <c r="W222">
        <v>1</v>
      </c>
      <c r="X222">
        <v>1</v>
      </c>
      <c r="Y222">
        <v>1</v>
      </c>
      <c r="Z222">
        <v>1</v>
      </c>
      <c r="AA222">
        <v>1</v>
      </c>
      <c r="AB222">
        <v>1</v>
      </c>
      <c r="AC222">
        <v>1</v>
      </c>
    </row>
    <row r="223" spans="1:29" x14ac:dyDescent="0.45">
      <c r="A223" t="s">
        <v>28</v>
      </c>
      <c r="B223" t="s">
        <v>434</v>
      </c>
      <c r="C223" t="s">
        <v>435</v>
      </c>
      <c r="D223" t="s">
        <v>426</v>
      </c>
      <c r="E223" t="str">
        <f t="shared" si="3"/>
        <v>IA|onshore wind|Summer</v>
      </c>
      <c r="F223">
        <v>1</v>
      </c>
      <c r="G223">
        <v>1</v>
      </c>
      <c r="H223">
        <v>1</v>
      </c>
      <c r="I223">
        <v>1</v>
      </c>
      <c r="J223">
        <v>1</v>
      </c>
      <c r="K223">
        <v>1</v>
      </c>
      <c r="L223">
        <v>1</v>
      </c>
      <c r="M223">
        <v>1</v>
      </c>
      <c r="N223">
        <v>1</v>
      </c>
      <c r="O223">
        <v>1</v>
      </c>
      <c r="P223">
        <v>1</v>
      </c>
      <c r="Q223">
        <v>1</v>
      </c>
      <c r="R223">
        <v>1</v>
      </c>
      <c r="S223">
        <v>1</v>
      </c>
      <c r="T223">
        <v>1</v>
      </c>
      <c r="U223">
        <v>1</v>
      </c>
      <c r="V223">
        <v>1</v>
      </c>
      <c r="W223">
        <v>1</v>
      </c>
      <c r="X223">
        <v>1</v>
      </c>
      <c r="Y223">
        <v>1</v>
      </c>
      <c r="Z223">
        <v>1</v>
      </c>
      <c r="AA223">
        <v>1</v>
      </c>
      <c r="AB223">
        <v>1</v>
      </c>
      <c r="AC223">
        <v>1</v>
      </c>
    </row>
    <row r="224" spans="1:29" x14ac:dyDescent="0.45">
      <c r="A224" t="s">
        <v>28</v>
      </c>
      <c r="B224" t="s">
        <v>434</v>
      </c>
      <c r="C224" t="s">
        <v>435</v>
      </c>
      <c r="D224" t="s">
        <v>427</v>
      </c>
      <c r="E224" t="str">
        <f t="shared" si="3"/>
        <v>IA|onshore wind|Fall</v>
      </c>
      <c r="F224">
        <v>1</v>
      </c>
      <c r="G224">
        <v>1</v>
      </c>
      <c r="H224">
        <v>1</v>
      </c>
      <c r="I224">
        <v>1</v>
      </c>
      <c r="J224">
        <v>1</v>
      </c>
      <c r="K224">
        <v>1</v>
      </c>
      <c r="L224">
        <v>1</v>
      </c>
      <c r="M224">
        <v>1</v>
      </c>
      <c r="N224">
        <v>1</v>
      </c>
      <c r="O224">
        <v>1</v>
      </c>
      <c r="P224">
        <v>1</v>
      </c>
      <c r="Q224">
        <v>1</v>
      </c>
      <c r="R224">
        <v>1</v>
      </c>
      <c r="S224">
        <v>1</v>
      </c>
      <c r="T224">
        <v>1</v>
      </c>
      <c r="U224">
        <v>1</v>
      </c>
      <c r="V224">
        <v>1</v>
      </c>
      <c r="W224">
        <v>1</v>
      </c>
      <c r="X224">
        <v>1</v>
      </c>
      <c r="Y224">
        <v>1</v>
      </c>
      <c r="Z224">
        <v>1</v>
      </c>
      <c r="AA224">
        <v>1</v>
      </c>
      <c r="AB224">
        <v>1</v>
      </c>
      <c r="AC224">
        <v>1</v>
      </c>
    </row>
    <row r="225" spans="1:29" x14ac:dyDescent="0.45">
      <c r="A225" t="s">
        <v>28</v>
      </c>
      <c r="B225" t="s">
        <v>434</v>
      </c>
      <c r="C225" t="s">
        <v>435</v>
      </c>
      <c r="D225" t="s">
        <v>428</v>
      </c>
      <c r="E225" t="str">
        <f t="shared" si="3"/>
        <v>IA|onshore wind|Summer Peak</v>
      </c>
      <c r="F225">
        <v>0.86639999999999995</v>
      </c>
      <c r="G225">
        <v>0.90500000000000003</v>
      </c>
      <c r="H225">
        <v>0.92659999999999998</v>
      </c>
      <c r="I225">
        <v>0.98089999999999999</v>
      </c>
      <c r="J225">
        <v>1</v>
      </c>
      <c r="K225">
        <v>0.95679999999999998</v>
      </c>
      <c r="L225">
        <v>0.79990000000000006</v>
      </c>
      <c r="M225">
        <v>0.85260000000000002</v>
      </c>
      <c r="N225">
        <v>0.82709999999999995</v>
      </c>
      <c r="O225">
        <v>0.76590000000000003</v>
      </c>
      <c r="P225">
        <v>0.57199999999999995</v>
      </c>
      <c r="Q225">
        <v>0.49559999999999998</v>
      </c>
      <c r="R225">
        <v>0.51200000000000001</v>
      </c>
      <c r="S225">
        <v>0.59799999999999998</v>
      </c>
      <c r="T225">
        <v>0.7117</v>
      </c>
      <c r="U225">
        <v>0.66510000000000002</v>
      </c>
      <c r="V225">
        <v>0.5706</v>
      </c>
      <c r="W225">
        <v>0.76939999999999997</v>
      </c>
      <c r="X225">
        <v>0.86950000000000005</v>
      </c>
      <c r="Y225">
        <v>0.69610000000000005</v>
      </c>
      <c r="Z225">
        <v>0.64900000000000002</v>
      </c>
      <c r="AA225">
        <v>0.63600000000000001</v>
      </c>
      <c r="AB225">
        <v>0.67410000000000003</v>
      </c>
      <c r="AC225">
        <v>0.4274</v>
      </c>
    </row>
    <row r="226" spans="1:29" x14ac:dyDescent="0.45">
      <c r="A226" t="s">
        <v>28</v>
      </c>
      <c r="B226" t="s">
        <v>434</v>
      </c>
      <c r="C226" t="s">
        <v>435</v>
      </c>
      <c r="D226" t="s">
        <v>429</v>
      </c>
      <c r="E226" t="str">
        <f t="shared" si="3"/>
        <v>IA|onshore wind|Winter Peak</v>
      </c>
      <c r="F226">
        <v>0.76759999999999995</v>
      </c>
      <c r="G226">
        <v>0.65890000000000004</v>
      </c>
      <c r="H226">
        <v>0.55710000000000004</v>
      </c>
      <c r="I226">
        <v>0.38179999999999997</v>
      </c>
      <c r="J226">
        <v>0.2611</v>
      </c>
      <c r="K226">
        <v>0.2336</v>
      </c>
      <c r="L226">
        <v>0.2666</v>
      </c>
      <c r="M226">
        <v>0.31330000000000002</v>
      </c>
      <c r="N226">
        <v>0.28910000000000002</v>
      </c>
      <c r="O226">
        <v>0.4098</v>
      </c>
      <c r="P226">
        <v>0.5141</v>
      </c>
      <c r="Q226">
        <v>0.39439999999999997</v>
      </c>
      <c r="R226">
        <v>0.42059999999999997</v>
      </c>
      <c r="S226">
        <v>0.4733</v>
      </c>
      <c r="T226">
        <v>0.48630000000000001</v>
      </c>
      <c r="U226">
        <v>0.52569999999999995</v>
      </c>
      <c r="V226">
        <v>0.54479999999999995</v>
      </c>
      <c r="W226">
        <v>0.61399999999999999</v>
      </c>
      <c r="X226">
        <v>0.69679999999999997</v>
      </c>
      <c r="Y226">
        <v>0.70840000000000003</v>
      </c>
      <c r="Z226">
        <v>0.7298</v>
      </c>
      <c r="AA226">
        <v>0.75600000000000001</v>
      </c>
      <c r="AB226">
        <v>0.74660000000000004</v>
      </c>
      <c r="AC226">
        <v>0.74109999999999998</v>
      </c>
    </row>
    <row r="227" spans="1:29" x14ac:dyDescent="0.45">
      <c r="A227" t="s">
        <v>28</v>
      </c>
      <c r="B227" t="s">
        <v>436</v>
      </c>
      <c r="C227" t="s">
        <v>437</v>
      </c>
      <c r="D227" t="s">
        <v>424</v>
      </c>
      <c r="E227" t="str">
        <f t="shared" si="3"/>
        <v>IA|solar pv|Winter</v>
      </c>
      <c r="F227">
        <v>1</v>
      </c>
      <c r="G227">
        <v>1</v>
      </c>
      <c r="H227">
        <v>1</v>
      </c>
      <c r="I227">
        <v>1</v>
      </c>
      <c r="J227">
        <v>1</v>
      </c>
      <c r="K227">
        <v>1</v>
      </c>
      <c r="L227">
        <v>1</v>
      </c>
      <c r="M227">
        <v>1</v>
      </c>
      <c r="N227">
        <v>1</v>
      </c>
      <c r="O227">
        <v>1</v>
      </c>
      <c r="P227">
        <v>1</v>
      </c>
      <c r="Q227">
        <v>1</v>
      </c>
      <c r="R227">
        <v>1</v>
      </c>
      <c r="S227">
        <v>1</v>
      </c>
      <c r="T227">
        <v>1</v>
      </c>
      <c r="U227">
        <v>1</v>
      </c>
      <c r="V227">
        <v>1</v>
      </c>
      <c r="W227">
        <v>1</v>
      </c>
      <c r="X227">
        <v>1</v>
      </c>
      <c r="Y227">
        <v>1</v>
      </c>
      <c r="Z227">
        <v>1</v>
      </c>
      <c r="AA227">
        <v>1</v>
      </c>
      <c r="AB227">
        <v>1</v>
      </c>
      <c r="AC227">
        <v>1</v>
      </c>
    </row>
    <row r="228" spans="1:29" x14ac:dyDescent="0.45">
      <c r="A228" t="s">
        <v>28</v>
      </c>
      <c r="B228" t="s">
        <v>436</v>
      </c>
      <c r="C228" t="s">
        <v>437</v>
      </c>
      <c r="D228" t="s">
        <v>425</v>
      </c>
      <c r="E228" t="str">
        <f t="shared" si="3"/>
        <v>IA|solar pv|Spring</v>
      </c>
      <c r="F228">
        <v>1</v>
      </c>
      <c r="G228">
        <v>1</v>
      </c>
      <c r="H228">
        <v>1</v>
      </c>
      <c r="I228">
        <v>1</v>
      </c>
      <c r="J228">
        <v>1</v>
      </c>
      <c r="K228">
        <v>1</v>
      </c>
      <c r="L228">
        <v>1</v>
      </c>
      <c r="M228">
        <v>1</v>
      </c>
      <c r="N228">
        <v>1</v>
      </c>
      <c r="O228">
        <v>1</v>
      </c>
      <c r="P228">
        <v>1</v>
      </c>
      <c r="Q228">
        <v>1</v>
      </c>
      <c r="R228">
        <v>1</v>
      </c>
      <c r="S228">
        <v>1</v>
      </c>
      <c r="T228">
        <v>1</v>
      </c>
      <c r="U228">
        <v>1</v>
      </c>
      <c r="V228">
        <v>1</v>
      </c>
      <c r="W228">
        <v>1</v>
      </c>
      <c r="X228">
        <v>1</v>
      </c>
      <c r="Y228">
        <v>1</v>
      </c>
      <c r="Z228">
        <v>1</v>
      </c>
      <c r="AA228">
        <v>1</v>
      </c>
      <c r="AB228">
        <v>1</v>
      </c>
      <c r="AC228">
        <v>1</v>
      </c>
    </row>
    <row r="229" spans="1:29" x14ac:dyDescent="0.45">
      <c r="A229" t="s">
        <v>28</v>
      </c>
      <c r="B229" t="s">
        <v>436</v>
      </c>
      <c r="C229" t="s">
        <v>437</v>
      </c>
      <c r="D229" t="s">
        <v>426</v>
      </c>
      <c r="E229" t="str">
        <f t="shared" si="3"/>
        <v>IA|solar pv|Summer</v>
      </c>
      <c r="F229">
        <v>1</v>
      </c>
      <c r="G229">
        <v>1</v>
      </c>
      <c r="H229">
        <v>1</v>
      </c>
      <c r="I229">
        <v>1</v>
      </c>
      <c r="J229">
        <v>1</v>
      </c>
      <c r="K229">
        <v>1</v>
      </c>
      <c r="L229">
        <v>1</v>
      </c>
      <c r="M229">
        <v>1</v>
      </c>
      <c r="N229">
        <v>1</v>
      </c>
      <c r="O229">
        <v>1</v>
      </c>
      <c r="P229">
        <v>1</v>
      </c>
      <c r="Q229">
        <v>1</v>
      </c>
      <c r="R229">
        <v>1</v>
      </c>
      <c r="S229">
        <v>1</v>
      </c>
      <c r="T229">
        <v>1</v>
      </c>
      <c r="U229">
        <v>1</v>
      </c>
      <c r="V229">
        <v>1</v>
      </c>
      <c r="W229">
        <v>1</v>
      </c>
      <c r="X229">
        <v>1</v>
      </c>
      <c r="Y229">
        <v>1</v>
      </c>
      <c r="Z229">
        <v>1</v>
      </c>
      <c r="AA229">
        <v>1</v>
      </c>
      <c r="AB229">
        <v>1</v>
      </c>
      <c r="AC229">
        <v>1</v>
      </c>
    </row>
    <row r="230" spans="1:29" x14ac:dyDescent="0.45">
      <c r="A230" t="s">
        <v>28</v>
      </c>
      <c r="B230" t="s">
        <v>436</v>
      </c>
      <c r="C230" t="s">
        <v>437</v>
      </c>
      <c r="D230" t="s">
        <v>427</v>
      </c>
      <c r="E230" t="str">
        <f t="shared" si="3"/>
        <v>IA|solar pv|Fall</v>
      </c>
      <c r="F230">
        <v>1</v>
      </c>
      <c r="G230">
        <v>1</v>
      </c>
      <c r="H230">
        <v>1</v>
      </c>
      <c r="I230">
        <v>1</v>
      </c>
      <c r="J230">
        <v>1</v>
      </c>
      <c r="K230">
        <v>1</v>
      </c>
      <c r="L230">
        <v>1</v>
      </c>
      <c r="M230">
        <v>1</v>
      </c>
      <c r="N230">
        <v>1</v>
      </c>
      <c r="O230">
        <v>1</v>
      </c>
      <c r="P230">
        <v>1</v>
      </c>
      <c r="Q230">
        <v>1</v>
      </c>
      <c r="R230">
        <v>1</v>
      </c>
      <c r="S230">
        <v>1</v>
      </c>
      <c r="T230">
        <v>1</v>
      </c>
      <c r="U230">
        <v>1</v>
      </c>
      <c r="V230">
        <v>1</v>
      </c>
      <c r="W230">
        <v>1</v>
      </c>
      <c r="X230">
        <v>1</v>
      </c>
      <c r="Y230">
        <v>1</v>
      </c>
      <c r="Z230">
        <v>1</v>
      </c>
      <c r="AA230">
        <v>1</v>
      </c>
      <c r="AB230">
        <v>1</v>
      </c>
      <c r="AC230">
        <v>1</v>
      </c>
    </row>
    <row r="231" spans="1:29" x14ac:dyDescent="0.45">
      <c r="A231" t="s">
        <v>28</v>
      </c>
      <c r="B231" t="s">
        <v>436</v>
      </c>
      <c r="C231" t="s">
        <v>437</v>
      </c>
      <c r="D231" t="s">
        <v>428</v>
      </c>
      <c r="E231" t="str">
        <f t="shared" si="3"/>
        <v>IA|solar pv|Summer Peak</v>
      </c>
      <c r="F231">
        <v>1</v>
      </c>
      <c r="G231">
        <v>1</v>
      </c>
      <c r="H231">
        <v>1</v>
      </c>
      <c r="I231">
        <v>1</v>
      </c>
      <c r="J231">
        <v>0.33169999999999999</v>
      </c>
      <c r="K231">
        <v>0.62549999999999994</v>
      </c>
      <c r="L231">
        <v>0.73829999999999996</v>
      </c>
      <c r="M231">
        <v>0.83889999999999998</v>
      </c>
      <c r="N231">
        <v>0.87180000000000002</v>
      </c>
      <c r="O231">
        <v>0.88590000000000002</v>
      </c>
      <c r="P231">
        <v>0.89190000000000003</v>
      </c>
      <c r="Q231">
        <v>0.9224</v>
      </c>
      <c r="R231">
        <v>0.94450000000000001</v>
      </c>
      <c r="S231">
        <v>0.94620000000000004</v>
      </c>
      <c r="T231">
        <v>0.93669999999999998</v>
      </c>
      <c r="U231">
        <v>0.93069999999999997</v>
      </c>
      <c r="V231">
        <v>0.88639999999999997</v>
      </c>
      <c r="W231">
        <v>0.89449999999999996</v>
      </c>
      <c r="X231">
        <v>0.90510000000000002</v>
      </c>
      <c r="Y231">
        <v>0.432</v>
      </c>
      <c r="Z231">
        <v>1</v>
      </c>
      <c r="AA231">
        <v>1</v>
      </c>
      <c r="AB231">
        <v>1</v>
      </c>
      <c r="AC231">
        <v>1</v>
      </c>
    </row>
    <row r="232" spans="1:29" x14ac:dyDescent="0.45">
      <c r="A232" t="s">
        <v>28</v>
      </c>
      <c r="B232" t="s">
        <v>436</v>
      </c>
      <c r="C232" t="s">
        <v>437</v>
      </c>
      <c r="D232" t="s">
        <v>429</v>
      </c>
      <c r="E232" t="str">
        <f t="shared" si="3"/>
        <v>IA|solar pv|Winter Peak</v>
      </c>
      <c r="F232">
        <v>1</v>
      </c>
      <c r="G232">
        <v>1</v>
      </c>
      <c r="H232">
        <v>1</v>
      </c>
      <c r="I232">
        <v>1</v>
      </c>
      <c r="J232">
        <v>1</v>
      </c>
      <c r="K232">
        <v>1</v>
      </c>
      <c r="L232">
        <v>1</v>
      </c>
      <c r="M232">
        <v>0.38279999999999997</v>
      </c>
      <c r="N232">
        <v>0.71530000000000005</v>
      </c>
      <c r="O232">
        <v>0.75870000000000004</v>
      </c>
      <c r="P232">
        <v>0.80169999999999997</v>
      </c>
      <c r="Q232">
        <v>0.86660000000000004</v>
      </c>
      <c r="R232">
        <v>0.9012</v>
      </c>
      <c r="S232">
        <v>0.77410000000000001</v>
      </c>
      <c r="T232">
        <v>0.7702</v>
      </c>
      <c r="U232">
        <v>0.74060000000000004</v>
      </c>
      <c r="V232">
        <v>0</v>
      </c>
      <c r="W232">
        <v>1</v>
      </c>
      <c r="X232">
        <v>1</v>
      </c>
      <c r="Y232">
        <v>1</v>
      </c>
      <c r="Z232">
        <v>1</v>
      </c>
      <c r="AA232">
        <v>1</v>
      </c>
      <c r="AB232">
        <v>1</v>
      </c>
      <c r="AC232">
        <v>1</v>
      </c>
    </row>
    <row r="233" spans="1:29" x14ac:dyDescent="0.45">
      <c r="A233" t="s">
        <v>28</v>
      </c>
      <c r="B233" t="s">
        <v>438</v>
      </c>
      <c r="C233" t="s">
        <v>439</v>
      </c>
      <c r="D233" t="s">
        <v>424</v>
      </c>
      <c r="E233" t="str">
        <f t="shared" si="3"/>
        <v>IA|solar thermal|Winter</v>
      </c>
      <c r="F233">
        <v>1</v>
      </c>
      <c r="G233">
        <v>1</v>
      </c>
      <c r="H233">
        <v>1</v>
      </c>
      <c r="I233">
        <v>1</v>
      </c>
      <c r="J233">
        <v>1</v>
      </c>
      <c r="K233">
        <v>1</v>
      </c>
      <c r="L233">
        <v>1</v>
      </c>
      <c r="M233">
        <v>1</v>
      </c>
      <c r="N233">
        <v>1</v>
      </c>
      <c r="O233">
        <v>1</v>
      </c>
      <c r="P233">
        <v>1</v>
      </c>
      <c r="Q233">
        <v>1</v>
      </c>
      <c r="R233">
        <v>1</v>
      </c>
      <c r="S233">
        <v>1</v>
      </c>
      <c r="T233">
        <v>1</v>
      </c>
      <c r="U233">
        <v>1</v>
      </c>
      <c r="V233">
        <v>1</v>
      </c>
      <c r="W233">
        <v>1</v>
      </c>
      <c r="X233">
        <v>1</v>
      </c>
      <c r="Y233">
        <v>1</v>
      </c>
      <c r="Z233">
        <v>1</v>
      </c>
      <c r="AA233">
        <v>1</v>
      </c>
      <c r="AB233">
        <v>1</v>
      </c>
      <c r="AC233">
        <v>1</v>
      </c>
    </row>
    <row r="234" spans="1:29" x14ac:dyDescent="0.45">
      <c r="A234" t="s">
        <v>28</v>
      </c>
      <c r="B234" t="s">
        <v>438</v>
      </c>
      <c r="C234" t="s">
        <v>439</v>
      </c>
      <c r="D234" t="s">
        <v>425</v>
      </c>
      <c r="E234" t="str">
        <f t="shared" si="3"/>
        <v>IA|solar thermal|Spring</v>
      </c>
      <c r="F234">
        <v>1</v>
      </c>
      <c r="G234">
        <v>1</v>
      </c>
      <c r="H234">
        <v>1</v>
      </c>
      <c r="I234">
        <v>1</v>
      </c>
      <c r="J234">
        <v>1</v>
      </c>
      <c r="K234">
        <v>1</v>
      </c>
      <c r="L234">
        <v>1</v>
      </c>
      <c r="M234">
        <v>1</v>
      </c>
      <c r="N234">
        <v>1</v>
      </c>
      <c r="O234">
        <v>1</v>
      </c>
      <c r="P234">
        <v>1</v>
      </c>
      <c r="Q234">
        <v>1</v>
      </c>
      <c r="R234">
        <v>1</v>
      </c>
      <c r="S234">
        <v>1</v>
      </c>
      <c r="T234">
        <v>1</v>
      </c>
      <c r="U234">
        <v>1</v>
      </c>
      <c r="V234">
        <v>1</v>
      </c>
      <c r="W234">
        <v>1</v>
      </c>
      <c r="X234">
        <v>1</v>
      </c>
      <c r="Y234">
        <v>1</v>
      </c>
      <c r="Z234">
        <v>1</v>
      </c>
      <c r="AA234">
        <v>1</v>
      </c>
      <c r="AB234">
        <v>1</v>
      </c>
      <c r="AC234">
        <v>1</v>
      </c>
    </row>
    <row r="235" spans="1:29" x14ac:dyDescent="0.45">
      <c r="A235" t="s">
        <v>28</v>
      </c>
      <c r="B235" t="s">
        <v>438</v>
      </c>
      <c r="C235" t="s">
        <v>439</v>
      </c>
      <c r="D235" t="s">
        <v>426</v>
      </c>
      <c r="E235" t="str">
        <f t="shared" si="3"/>
        <v>IA|solar thermal|Summer</v>
      </c>
      <c r="F235">
        <v>1</v>
      </c>
      <c r="G235">
        <v>1</v>
      </c>
      <c r="H235">
        <v>1</v>
      </c>
      <c r="I235">
        <v>1</v>
      </c>
      <c r="J235">
        <v>1</v>
      </c>
      <c r="K235">
        <v>1</v>
      </c>
      <c r="L235">
        <v>1</v>
      </c>
      <c r="M235">
        <v>1</v>
      </c>
      <c r="N235">
        <v>1</v>
      </c>
      <c r="O235">
        <v>1</v>
      </c>
      <c r="P235">
        <v>1</v>
      </c>
      <c r="Q235">
        <v>1</v>
      </c>
      <c r="R235">
        <v>1</v>
      </c>
      <c r="S235">
        <v>1</v>
      </c>
      <c r="T235">
        <v>1</v>
      </c>
      <c r="U235">
        <v>1</v>
      </c>
      <c r="V235">
        <v>1</v>
      </c>
      <c r="W235">
        <v>1</v>
      </c>
      <c r="X235">
        <v>1</v>
      </c>
      <c r="Y235">
        <v>1</v>
      </c>
      <c r="Z235">
        <v>1</v>
      </c>
      <c r="AA235">
        <v>1</v>
      </c>
      <c r="AB235">
        <v>1</v>
      </c>
      <c r="AC235">
        <v>1</v>
      </c>
    </row>
    <row r="236" spans="1:29" x14ac:dyDescent="0.45">
      <c r="A236" t="s">
        <v>28</v>
      </c>
      <c r="B236" t="s">
        <v>438</v>
      </c>
      <c r="C236" t="s">
        <v>439</v>
      </c>
      <c r="D236" t="s">
        <v>427</v>
      </c>
      <c r="E236" t="str">
        <f t="shared" si="3"/>
        <v>IA|solar thermal|Fall</v>
      </c>
      <c r="F236">
        <v>1</v>
      </c>
      <c r="G236">
        <v>1</v>
      </c>
      <c r="H236">
        <v>1</v>
      </c>
      <c r="I236">
        <v>1</v>
      </c>
      <c r="J236">
        <v>1</v>
      </c>
      <c r="K236">
        <v>1</v>
      </c>
      <c r="L236">
        <v>1</v>
      </c>
      <c r="M236">
        <v>1</v>
      </c>
      <c r="N236">
        <v>1</v>
      </c>
      <c r="O236">
        <v>1</v>
      </c>
      <c r="P236">
        <v>1</v>
      </c>
      <c r="Q236">
        <v>1</v>
      </c>
      <c r="R236">
        <v>1</v>
      </c>
      <c r="S236">
        <v>1</v>
      </c>
      <c r="T236">
        <v>1</v>
      </c>
      <c r="U236">
        <v>1</v>
      </c>
      <c r="V236">
        <v>1</v>
      </c>
      <c r="W236">
        <v>1</v>
      </c>
      <c r="X236">
        <v>1</v>
      </c>
      <c r="Y236">
        <v>1</v>
      </c>
      <c r="Z236">
        <v>1</v>
      </c>
      <c r="AA236">
        <v>1</v>
      </c>
      <c r="AB236">
        <v>1</v>
      </c>
      <c r="AC236">
        <v>1</v>
      </c>
    </row>
    <row r="237" spans="1:29" x14ac:dyDescent="0.45">
      <c r="A237" t="s">
        <v>28</v>
      </c>
      <c r="B237" t="s">
        <v>438</v>
      </c>
      <c r="C237" t="s">
        <v>439</v>
      </c>
      <c r="D237" t="s">
        <v>428</v>
      </c>
      <c r="E237" t="str">
        <f t="shared" si="3"/>
        <v>IA|solar thermal|Summer Peak</v>
      </c>
      <c r="F237">
        <v>1</v>
      </c>
      <c r="G237">
        <v>1</v>
      </c>
      <c r="H237">
        <v>1</v>
      </c>
      <c r="I237">
        <v>1</v>
      </c>
      <c r="J237">
        <v>1</v>
      </c>
      <c r="K237">
        <v>1</v>
      </c>
      <c r="L237">
        <v>1</v>
      </c>
      <c r="M237">
        <v>0</v>
      </c>
      <c r="N237">
        <v>0.8639</v>
      </c>
      <c r="O237">
        <v>1</v>
      </c>
      <c r="P237">
        <v>1</v>
      </c>
      <c r="Q237">
        <v>0.97160000000000002</v>
      </c>
      <c r="R237">
        <v>0.96719999999999995</v>
      </c>
      <c r="S237">
        <v>1</v>
      </c>
      <c r="T237">
        <v>1</v>
      </c>
      <c r="U237">
        <v>1</v>
      </c>
      <c r="V237">
        <v>1</v>
      </c>
      <c r="W237">
        <v>1</v>
      </c>
      <c r="X237">
        <v>1</v>
      </c>
      <c r="Y237">
        <v>0.93130000000000002</v>
      </c>
      <c r="Z237">
        <v>0.70220000000000005</v>
      </c>
      <c r="AA237">
        <v>1</v>
      </c>
      <c r="AB237">
        <v>1</v>
      </c>
      <c r="AC237">
        <v>1</v>
      </c>
    </row>
    <row r="238" spans="1:29" x14ac:dyDescent="0.45">
      <c r="A238" t="s">
        <v>28</v>
      </c>
      <c r="B238" t="s">
        <v>438</v>
      </c>
      <c r="C238" t="s">
        <v>439</v>
      </c>
      <c r="D238" t="s">
        <v>429</v>
      </c>
      <c r="E238" t="str">
        <f t="shared" si="3"/>
        <v>IA|solar thermal|Winter Peak</v>
      </c>
      <c r="F238">
        <v>1</v>
      </c>
      <c r="G238">
        <v>1</v>
      </c>
      <c r="H238">
        <v>1</v>
      </c>
      <c r="I238">
        <v>1</v>
      </c>
      <c r="J238">
        <v>1</v>
      </c>
      <c r="K238">
        <v>1</v>
      </c>
      <c r="L238">
        <v>1</v>
      </c>
      <c r="M238">
        <v>1</v>
      </c>
      <c r="N238">
        <v>1</v>
      </c>
      <c r="O238">
        <v>0.2419</v>
      </c>
      <c r="P238">
        <v>0.95320000000000005</v>
      </c>
      <c r="Q238">
        <v>0.88039999999999996</v>
      </c>
      <c r="R238">
        <v>0.97819999999999996</v>
      </c>
      <c r="S238">
        <v>0.98950000000000005</v>
      </c>
      <c r="T238">
        <v>0.99270000000000003</v>
      </c>
      <c r="U238">
        <v>1</v>
      </c>
      <c r="V238">
        <v>1</v>
      </c>
      <c r="W238">
        <v>1</v>
      </c>
      <c r="X238">
        <v>0.89019999999999999</v>
      </c>
      <c r="Y238">
        <v>0</v>
      </c>
      <c r="Z238">
        <v>1</v>
      </c>
      <c r="AA238">
        <v>1</v>
      </c>
      <c r="AB238">
        <v>1</v>
      </c>
      <c r="AC238">
        <v>1</v>
      </c>
    </row>
    <row r="239" spans="1:29" x14ac:dyDescent="0.45">
      <c r="A239" t="s">
        <v>28</v>
      </c>
      <c r="B239" t="s">
        <v>440</v>
      </c>
      <c r="C239" t="s">
        <v>441</v>
      </c>
      <c r="D239" t="s">
        <v>424</v>
      </c>
      <c r="E239" t="str">
        <f t="shared" si="3"/>
        <v>IA|offshore wind|Winter</v>
      </c>
      <c r="F239">
        <v>1</v>
      </c>
      <c r="G239">
        <v>1</v>
      </c>
      <c r="H239">
        <v>1</v>
      </c>
      <c r="I239">
        <v>1</v>
      </c>
      <c r="J239">
        <v>1</v>
      </c>
      <c r="K239">
        <v>1</v>
      </c>
      <c r="L239">
        <v>1</v>
      </c>
      <c r="M239">
        <v>1</v>
      </c>
      <c r="N239">
        <v>1</v>
      </c>
      <c r="O239">
        <v>1</v>
      </c>
      <c r="P239">
        <v>1</v>
      </c>
      <c r="Q239">
        <v>1</v>
      </c>
      <c r="R239">
        <v>1</v>
      </c>
      <c r="S239">
        <v>1</v>
      </c>
      <c r="T239">
        <v>1</v>
      </c>
      <c r="U239">
        <v>1</v>
      </c>
      <c r="V239">
        <v>1</v>
      </c>
      <c r="W239">
        <v>1</v>
      </c>
      <c r="X239">
        <v>1</v>
      </c>
      <c r="Y239">
        <v>1</v>
      </c>
      <c r="Z239">
        <v>1</v>
      </c>
      <c r="AA239">
        <v>1</v>
      </c>
      <c r="AB239">
        <v>1</v>
      </c>
      <c r="AC239">
        <v>1</v>
      </c>
    </row>
    <row r="240" spans="1:29" x14ac:dyDescent="0.45">
      <c r="A240" t="s">
        <v>28</v>
      </c>
      <c r="B240" t="s">
        <v>440</v>
      </c>
      <c r="C240" t="s">
        <v>441</v>
      </c>
      <c r="D240" t="s">
        <v>425</v>
      </c>
      <c r="E240" t="str">
        <f t="shared" si="3"/>
        <v>IA|offshore wind|Spring</v>
      </c>
      <c r="F240">
        <v>1</v>
      </c>
      <c r="G240">
        <v>1</v>
      </c>
      <c r="H240">
        <v>1</v>
      </c>
      <c r="I240">
        <v>1</v>
      </c>
      <c r="J240">
        <v>1</v>
      </c>
      <c r="K240">
        <v>1</v>
      </c>
      <c r="L240">
        <v>1</v>
      </c>
      <c r="M240">
        <v>1</v>
      </c>
      <c r="N240">
        <v>1</v>
      </c>
      <c r="O240">
        <v>1</v>
      </c>
      <c r="P240">
        <v>1</v>
      </c>
      <c r="Q240">
        <v>1</v>
      </c>
      <c r="R240">
        <v>1</v>
      </c>
      <c r="S240">
        <v>1</v>
      </c>
      <c r="T240">
        <v>1</v>
      </c>
      <c r="U240">
        <v>1</v>
      </c>
      <c r="V240">
        <v>1</v>
      </c>
      <c r="W240">
        <v>1</v>
      </c>
      <c r="X240">
        <v>1</v>
      </c>
      <c r="Y240">
        <v>1</v>
      </c>
      <c r="Z240">
        <v>1</v>
      </c>
      <c r="AA240">
        <v>1</v>
      </c>
      <c r="AB240">
        <v>1</v>
      </c>
      <c r="AC240">
        <v>1</v>
      </c>
    </row>
    <row r="241" spans="1:29" x14ac:dyDescent="0.45">
      <c r="A241" t="s">
        <v>28</v>
      </c>
      <c r="B241" t="s">
        <v>440</v>
      </c>
      <c r="C241" t="s">
        <v>441</v>
      </c>
      <c r="D241" t="s">
        <v>426</v>
      </c>
      <c r="E241" t="str">
        <f t="shared" si="3"/>
        <v>IA|offshore wind|Summer</v>
      </c>
      <c r="F241">
        <v>1</v>
      </c>
      <c r="G241">
        <v>1</v>
      </c>
      <c r="H241">
        <v>1</v>
      </c>
      <c r="I241">
        <v>1</v>
      </c>
      <c r="J241">
        <v>1</v>
      </c>
      <c r="K241">
        <v>1</v>
      </c>
      <c r="L241">
        <v>1</v>
      </c>
      <c r="M241">
        <v>1</v>
      </c>
      <c r="N241">
        <v>1</v>
      </c>
      <c r="O241">
        <v>1</v>
      </c>
      <c r="P241">
        <v>1</v>
      </c>
      <c r="Q241">
        <v>1</v>
      </c>
      <c r="R241">
        <v>1</v>
      </c>
      <c r="S241">
        <v>1</v>
      </c>
      <c r="T241">
        <v>1</v>
      </c>
      <c r="U241">
        <v>1</v>
      </c>
      <c r="V241">
        <v>1</v>
      </c>
      <c r="W241">
        <v>1</v>
      </c>
      <c r="X241">
        <v>1</v>
      </c>
      <c r="Y241">
        <v>1</v>
      </c>
      <c r="Z241">
        <v>1</v>
      </c>
      <c r="AA241">
        <v>1</v>
      </c>
      <c r="AB241">
        <v>1</v>
      </c>
      <c r="AC241">
        <v>1</v>
      </c>
    </row>
    <row r="242" spans="1:29" x14ac:dyDescent="0.45">
      <c r="A242" t="s">
        <v>28</v>
      </c>
      <c r="B242" t="s">
        <v>440</v>
      </c>
      <c r="C242" t="s">
        <v>441</v>
      </c>
      <c r="D242" t="s">
        <v>427</v>
      </c>
      <c r="E242" t="str">
        <f t="shared" si="3"/>
        <v>IA|offshore wind|Fall</v>
      </c>
      <c r="F242">
        <v>1</v>
      </c>
      <c r="G242">
        <v>1</v>
      </c>
      <c r="H242">
        <v>1</v>
      </c>
      <c r="I242">
        <v>1</v>
      </c>
      <c r="J242">
        <v>1</v>
      </c>
      <c r="K242">
        <v>1</v>
      </c>
      <c r="L242">
        <v>1</v>
      </c>
      <c r="M242">
        <v>1</v>
      </c>
      <c r="N242">
        <v>1</v>
      </c>
      <c r="O242">
        <v>1</v>
      </c>
      <c r="P242">
        <v>1</v>
      </c>
      <c r="Q242">
        <v>1</v>
      </c>
      <c r="R242">
        <v>1</v>
      </c>
      <c r="S242">
        <v>1</v>
      </c>
      <c r="T242">
        <v>1</v>
      </c>
      <c r="U242">
        <v>1</v>
      </c>
      <c r="V242">
        <v>1</v>
      </c>
      <c r="W242">
        <v>1</v>
      </c>
      <c r="X242">
        <v>1</v>
      </c>
      <c r="Y242">
        <v>1</v>
      </c>
      <c r="Z242">
        <v>1</v>
      </c>
      <c r="AA242">
        <v>1</v>
      </c>
      <c r="AB242">
        <v>1</v>
      </c>
      <c r="AC242">
        <v>1</v>
      </c>
    </row>
    <row r="243" spans="1:29" x14ac:dyDescent="0.45">
      <c r="A243" t="s">
        <v>28</v>
      </c>
      <c r="B243" t="s">
        <v>440</v>
      </c>
      <c r="C243" t="s">
        <v>441</v>
      </c>
      <c r="D243" t="s">
        <v>428</v>
      </c>
      <c r="E243" t="str">
        <f t="shared" si="3"/>
        <v>IA|offshore wind|Summer Peak</v>
      </c>
      <c r="F243">
        <v>0.40810000000000002</v>
      </c>
      <c r="G243">
        <v>0.4239</v>
      </c>
      <c r="H243">
        <v>0.45760000000000001</v>
      </c>
      <c r="I243">
        <v>0.50319999999999998</v>
      </c>
      <c r="J243">
        <v>0.53649999999999998</v>
      </c>
      <c r="K243">
        <v>0.59399999999999997</v>
      </c>
      <c r="L243">
        <v>0.61929999999999996</v>
      </c>
      <c r="M243">
        <v>0.68859999999999999</v>
      </c>
      <c r="N243">
        <v>0.73480000000000001</v>
      </c>
      <c r="O243">
        <v>0.84350000000000003</v>
      </c>
      <c r="P243">
        <v>0.78200000000000003</v>
      </c>
      <c r="Q243">
        <v>0.74650000000000005</v>
      </c>
      <c r="R243">
        <v>0.63690000000000002</v>
      </c>
      <c r="S243">
        <v>0.60860000000000003</v>
      </c>
      <c r="T243">
        <v>0.64339999999999997</v>
      </c>
      <c r="U243">
        <v>0.69269999999999998</v>
      </c>
      <c r="V243">
        <v>0.71450000000000002</v>
      </c>
      <c r="W243">
        <v>0.75070000000000003</v>
      </c>
      <c r="X243">
        <v>0.72489999999999999</v>
      </c>
      <c r="Y243">
        <v>0.66049999999999998</v>
      </c>
      <c r="Z243">
        <v>0.69140000000000001</v>
      </c>
      <c r="AA243">
        <v>0.63080000000000003</v>
      </c>
      <c r="AB243">
        <v>0.63429999999999997</v>
      </c>
      <c r="AC243">
        <v>0.64390000000000003</v>
      </c>
    </row>
    <row r="244" spans="1:29" x14ac:dyDescent="0.45">
      <c r="A244" t="s">
        <v>28</v>
      </c>
      <c r="B244" t="s">
        <v>440</v>
      </c>
      <c r="C244" t="s">
        <v>441</v>
      </c>
      <c r="D244" t="s">
        <v>429</v>
      </c>
      <c r="E244" t="str">
        <f t="shared" si="3"/>
        <v>IA|offshore wind|Winter Peak</v>
      </c>
      <c r="F244">
        <v>0.95309999999999995</v>
      </c>
      <c r="G244">
        <v>0.95030000000000003</v>
      </c>
      <c r="H244">
        <v>0.95540000000000003</v>
      </c>
      <c r="I244">
        <v>0.96679999999999999</v>
      </c>
      <c r="J244">
        <v>1</v>
      </c>
      <c r="K244">
        <v>1</v>
      </c>
      <c r="L244">
        <v>1</v>
      </c>
      <c r="M244">
        <v>0.99209999999999998</v>
      </c>
      <c r="N244">
        <v>0.90149999999999997</v>
      </c>
      <c r="O244">
        <v>0.79779999999999995</v>
      </c>
      <c r="P244">
        <v>0.71879999999999999</v>
      </c>
      <c r="Q244">
        <v>0.67300000000000004</v>
      </c>
      <c r="R244">
        <v>0.60860000000000003</v>
      </c>
      <c r="S244">
        <v>0.58009999999999995</v>
      </c>
      <c r="T244">
        <v>0.58799999999999997</v>
      </c>
      <c r="U244">
        <v>0.61019999999999996</v>
      </c>
      <c r="V244">
        <v>0.61839999999999995</v>
      </c>
      <c r="W244">
        <v>0.60909999999999997</v>
      </c>
      <c r="X244">
        <v>0.62880000000000003</v>
      </c>
      <c r="Y244">
        <v>0.72889999999999999</v>
      </c>
      <c r="Z244">
        <v>0.84719999999999995</v>
      </c>
      <c r="AA244">
        <v>0.92220000000000002</v>
      </c>
      <c r="AB244">
        <v>0.86950000000000005</v>
      </c>
      <c r="AC244">
        <v>0.8054</v>
      </c>
    </row>
    <row r="245" spans="1:29" x14ac:dyDescent="0.45">
      <c r="A245" t="s">
        <v>31</v>
      </c>
      <c r="B245" t="s">
        <v>434</v>
      </c>
      <c r="C245" t="s">
        <v>435</v>
      </c>
      <c r="D245" t="s">
        <v>424</v>
      </c>
      <c r="E245" t="str">
        <f t="shared" si="3"/>
        <v>ID|onshore wind|Winter</v>
      </c>
      <c r="F245">
        <v>1</v>
      </c>
      <c r="G245">
        <v>1</v>
      </c>
      <c r="H245">
        <v>1</v>
      </c>
      <c r="I245">
        <v>1</v>
      </c>
      <c r="J245">
        <v>1</v>
      </c>
      <c r="K245">
        <v>1</v>
      </c>
      <c r="L245">
        <v>1</v>
      </c>
      <c r="M245">
        <v>1</v>
      </c>
      <c r="N245">
        <v>1</v>
      </c>
      <c r="O245">
        <v>1</v>
      </c>
      <c r="P245">
        <v>1</v>
      </c>
      <c r="Q245">
        <v>1</v>
      </c>
      <c r="R245">
        <v>1</v>
      </c>
      <c r="S245">
        <v>1</v>
      </c>
      <c r="T245">
        <v>1</v>
      </c>
      <c r="U245">
        <v>1</v>
      </c>
      <c r="V245">
        <v>1</v>
      </c>
      <c r="W245">
        <v>1</v>
      </c>
      <c r="X245">
        <v>1</v>
      </c>
      <c r="Y245">
        <v>1</v>
      </c>
      <c r="Z245">
        <v>1</v>
      </c>
      <c r="AA245">
        <v>1</v>
      </c>
      <c r="AB245">
        <v>1</v>
      </c>
      <c r="AC245">
        <v>1</v>
      </c>
    </row>
    <row r="246" spans="1:29" x14ac:dyDescent="0.45">
      <c r="A246" t="s">
        <v>31</v>
      </c>
      <c r="B246" t="s">
        <v>434</v>
      </c>
      <c r="C246" t="s">
        <v>435</v>
      </c>
      <c r="D246" t="s">
        <v>425</v>
      </c>
      <c r="E246" t="str">
        <f t="shared" si="3"/>
        <v>ID|onshore wind|Spring</v>
      </c>
      <c r="F246">
        <v>1</v>
      </c>
      <c r="G246">
        <v>1</v>
      </c>
      <c r="H246">
        <v>1</v>
      </c>
      <c r="I246">
        <v>1</v>
      </c>
      <c r="J246">
        <v>1</v>
      </c>
      <c r="K246">
        <v>1</v>
      </c>
      <c r="L246">
        <v>1</v>
      </c>
      <c r="M246">
        <v>1</v>
      </c>
      <c r="N246">
        <v>1</v>
      </c>
      <c r="O246">
        <v>1</v>
      </c>
      <c r="P246">
        <v>1</v>
      </c>
      <c r="Q246">
        <v>1</v>
      </c>
      <c r="R246">
        <v>1</v>
      </c>
      <c r="S246">
        <v>1</v>
      </c>
      <c r="T246">
        <v>1</v>
      </c>
      <c r="U246">
        <v>1</v>
      </c>
      <c r="V246">
        <v>1</v>
      </c>
      <c r="W246">
        <v>1</v>
      </c>
      <c r="X246">
        <v>1</v>
      </c>
      <c r="Y246">
        <v>1</v>
      </c>
      <c r="Z246">
        <v>1</v>
      </c>
      <c r="AA246">
        <v>1</v>
      </c>
      <c r="AB246">
        <v>1</v>
      </c>
      <c r="AC246">
        <v>1</v>
      </c>
    </row>
    <row r="247" spans="1:29" x14ac:dyDescent="0.45">
      <c r="A247" t="s">
        <v>31</v>
      </c>
      <c r="B247" t="s">
        <v>434</v>
      </c>
      <c r="C247" t="s">
        <v>435</v>
      </c>
      <c r="D247" t="s">
        <v>426</v>
      </c>
      <c r="E247" t="str">
        <f t="shared" si="3"/>
        <v>ID|onshore wind|Summer</v>
      </c>
      <c r="F247">
        <v>1</v>
      </c>
      <c r="G247">
        <v>1</v>
      </c>
      <c r="H247">
        <v>1</v>
      </c>
      <c r="I247">
        <v>1</v>
      </c>
      <c r="J247">
        <v>1</v>
      </c>
      <c r="K247">
        <v>1</v>
      </c>
      <c r="L247">
        <v>1</v>
      </c>
      <c r="M247">
        <v>1</v>
      </c>
      <c r="N247">
        <v>1</v>
      </c>
      <c r="O247">
        <v>1</v>
      </c>
      <c r="P247">
        <v>1</v>
      </c>
      <c r="Q247">
        <v>1</v>
      </c>
      <c r="R247">
        <v>1</v>
      </c>
      <c r="S247">
        <v>1</v>
      </c>
      <c r="T247">
        <v>1</v>
      </c>
      <c r="U247">
        <v>1</v>
      </c>
      <c r="V247">
        <v>1</v>
      </c>
      <c r="W247">
        <v>1</v>
      </c>
      <c r="X247">
        <v>1</v>
      </c>
      <c r="Y247">
        <v>1</v>
      </c>
      <c r="Z247">
        <v>1</v>
      </c>
      <c r="AA247">
        <v>1</v>
      </c>
      <c r="AB247">
        <v>1</v>
      </c>
      <c r="AC247">
        <v>1</v>
      </c>
    </row>
    <row r="248" spans="1:29" x14ac:dyDescent="0.45">
      <c r="A248" t="s">
        <v>31</v>
      </c>
      <c r="B248" t="s">
        <v>434</v>
      </c>
      <c r="C248" t="s">
        <v>435</v>
      </c>
      <c r="D248" t="s">
        <v>427</v>
      </c>
      <c r="E248" t="str">
        <f t="shared" si="3"/>
        <v>ID|onshore wind|Fall</v>
      </c>
      <c r="F248">
        <v>1</v>
      </c>
      <c r="G248">
        <v>1</v>
      </c>
      <c r="H248">
        <v>1</v>
      </c>
      <c r="I248">
        <v>1</v>
      </c>
      <c r="J248">
        <v>1</v>
      </c>
      <c r="K248">
        <v>1</v>
      </c>
      <c r="L248">
        <v>1</v>
      </c>
      <c r="M248">
        <v>1</v>
      </c>
      <c r="N248">
        <v>1</v>
      </c>
      <c r="O248">
        <v>1</v>
      </c>
      <c r="P248">
        <v>1</v>
      </c>
      <c r="Q248">
        <v>1</v>
      </c>
      <c r="R248">
        <v>1</v>
      </c>
      <c r="S248">
        <v>1</v>
      </c>
      <c r="T248">
        <v>1</v>
      </c>
      <c r="U248">
        <v>1</v>
      </c>
      <c r="V248">
        <v>1</v>
      </c>
      <c r="W248">
        <v>1</v>
      </c>
      <c r="X248">
        <v>1</v>
      </c>
      <c r="Y248">
        <v>1</v>
      </c>
      <c r="Z248">
        <v>1</v>
      </c>
      <c r="AA248">
        <v>1</v>
      </c>
      <c r="AB248">
        <v>1</v>
      </c>
      <c r="AC248">
        <v>1</v>
      </c>
    </row>
    <row r="249" spans="1:29" x14ac:dyDescent="0.45">
      <c r="A249" t="s">
        <v>31</v>
      </c>
      <c r="B249" t="s">
        <v>434</v>
      </c>
      <c r="C249" t="s">
        <v>435</v>
      </c>
      <c r="D249" t="s">
        <v>428</v>
      </c>
      <c r="E249" t="str">
        <f t="shared" si="3"/>
        <v>ID|onshore wind|Summer Peak</v>
      </c>
      <c r="F249">
        <v>0.4536</v>
      </c>
      <c r="G249">
        <v>0.48409999999999997</v>
      </c>
      <c r="H249">
        <v>0.54769999999999996</v>
      </c>
      <c r="I249">
        <v>0.62260000000000004</v>
      </c>
      <c r="J249">
        <v>0.6119</v>
      </c>
      <c r="K249">
        <v>0.63990000000000002</v>
      </c>
      <c r="L249">
        <v>0.63839999999999997</v>
      </c>
      <c r="M249">
        <v>0.52129999999999999</v>
      </c>
      <c r="N249">
        <v>0.44450000000000001</v>
      </c>
      <c r="O249">
        <v>0.5151</v>
      </c>
      <c r="P249">
        <v>0.56759999999999999</v>
      </c>
      <c r="Q249">
        <v>0.67020000000000002</v>
      </c>
      <c r="R249">
        <v>0.46250000000000002</v>
      </c>
      <c r="S249">
        <v>0.51160000000000005</v>
      </c>
      <c r="T249">
        <v>0.55349999999999999</v>
      </c>
      <c r="U249">
        <v>0.59009999999999996</v>
      </c>
      <c r="V249">
        <v>0.74050000000000005</v>
      </c>
      <c r="W249">
        <v>0.73170000000000002</v>
      </c>
      <c r="X249">
        <v>0.50580000000000003</v>
      </c>
      <c r="Y249">
        <v>0.75600000000000001</v>
      </c>
      <c r="Z249">
        <v>0.63780000000000003</v>
      </c>
      <c r="AA249">
        <v>0.50990000000000002</v>
      </c>
      <c r="AB249">
        <v>0.45689999999999997</v>
      </c>
      <c r="AC249">
        <v>0.33889999999999998</v>
      </c>
    </row>
    <row r="250" spans="1:29" x14ac:dyDescent="0.45">
      <c r="A250" t="s">
        <v>31</v>
      </c>
      <c r="B250" t="s">
        <v>434</v>
      </c>
      <c r="C250" t="s">
        <v>435</v>
      </c>
      <c r="D250" t="s">
        <v>429</v>
      </c>
      <c r="E250" t="str">
        <f t="shared" si="3"/>
        <v>ID|onshore wind|Winter Peak</v>
      </c>
      <c r="F250">
        <v>0.73460000000000003</v>
      </c>
      <c r="G250">
        <v>0.71330000000000005</v>
      </c>
      <c r="H250">
        <v>0.67059999999999997</v>
      </c>
      <c r="I250">
        <v>0.63360000000000005</v>
      </c>
      <c r="J250">
        <v>0.61970000000000003</v>
      </c>
      <c r="K250">
        <v>0.67130000000000001</v>
      </c>
      <c r="L250">
        <v>0.67589999999999995</v>
      </c>
      <c r="M250">
        <v>0.60189999999999999</v>
      </c>
      <c r="N250">
        <v>0.502</v>
      </c>
      <c r="O250">
        <v>0.4476</v>
      </c>
      <c r="P250">
        <v>0.39079999999999998</v>
      </c>
      <c r="Q250">
        <v>0.38579999999999998</v>
      </c>
      <c r="R250">
        <v>0.34920000000000001</v>
      </c>
      <c r="S250">
        <v>0.32579999999999998</v>
      </c>
      <c r="T250">
        <v>0.34239999999999998</v>
      </c>
      <c r="U250">
        <v>0.3896</v>
      </c>
      <c r="V250">
        <v>0.4768</v>
      </c>
      <c r="W250">
        <v>0.52170000000000005</v>
      </c>
      <c r="X250">
        <v>0.53990000000000005</v>
      </c>
      <c r="Y250">
        <v>0.5645</v>
      </c>
      <c r="Z250">
        <v>0.65910000000000002</v>
      </c>
      <c r="AA250">
        <v>0.75729999999999997</v>
      </c>
      <c r="AB250">
        <v>0.81569999999999998</v>
      </c>
      <c r="AC250">
        <v>0.7379</v>
      </c>
    </row>
    <row r="251" spans="1:29" x14ac:dyDescent="0.45">
      <c r="A251" t="s">
        <v>31</v>
      </c>
      <c r="B251" t="s">
        <v>436</v>
      </c>
      <c r="C251" t="s">
        <v>437</v>
      </c>
      <c r="D251" t="s">
        <v>424</v>
      </c>
      <c r="E251" t="str">
        <f t="shared" si="3"/>
        <v>ID|solar pv|Winter</v>
      </c>
      <c r="F251">
        <v>1</v>
      </c>
      <c r="G251">
        <v>1</v>
      </c>
      <c r="H251">
        <v>1</v>
      </c>
      <c r="I251">
        <v>1</v>
      </c>
      <c r="J251">
        <v>1</v>
      </c>
      <c r="K251">
        <v>1</v>
      </c>
      <c r="L251">
        <v>1</v>
      </c>
      <c r="M251">
        <v>1</v>
      </c>
      <c r="N251">
        <v>1</v>
      </c>
      <c r="O251">
        <v>1</v>
      </c>
      <c r="P251">
        <v>1</v>
      </c>
      <c r="Q251">
        <v>1</v>
      </c>
      <c r="R251">
        <v>1</v>
      </c>
      <c r="S251">
        <v>1</v>
      </c>
      <c r="T251">
        <v>1</v>
      </c>
      <c r="U251">
        <v>1</v>
      </c>
      <c r="V251">
        <v>1</v>
      </c>
      <c r="W251">
        <v>1</v>
      </c>
      <c r="X251">
        <v>1</v>
      </c>
      <c r="Y251">
        <v>1</v>
      </c>
      <c r="Z251">
        <v>1</v>
      </c>
      <c r="AA251">
        <v>1</v>
      </c>
      <c r="AB251">
        <v>1</v>
      </c>
      <c r="AC251">
        <v>1</v>
      </c>
    </row>
    <row r="252" spans="1:29" x14ac:dyDescent="0.45">
      <c r="A252" t="s">
        <v>31</v>
      </c>
      <c r="B252" t="s">
        <v>436</v>
      </c>
      <c r="C252" t="s">
        <v>437</v>
      </c>
      <c r="D252" t="s">
        <v>425</v>
      </c>
      <c r="E252" t="str">
        <f t="shared" si="3"/>
        <v>ID|solar pv|Spring</v>
      </c>
      <c r="F252">
        <v>1</v>
      </c>
      <c r="G252">
        <v>1</v>
      </c>
      <c r="H252">
        <v>1</v>
      </c>
      <c r="I252">
        <v>1</v>
      </c>
      <c r="J252">
        <v>1</v>
      </c>
      <c r="K252">
        <v>1</v>
      </c>
      <c r="L252">
        <v>1</v>
      </c>
      <c r="M252">
        <v>1</v>
      </c>
      <c r="N252">
        <v>1</v>
      </c>
      <c r="O252">
        <v>1</v>
      </c>
      <c r="P252">
        <v>1</v>
      </c>
      <c r="Q252">
        <v>1</v>
      </c>
      <c r="R252">
        <v>1</v>
      </c>
      <c r="S252">
        <v>1</v>
      </c>
      <c r="T252">
        <v>1</v>
      </c>
      <c r="U252">
        <v>1</v>
      </c>
      <c r="V252">
        <v>1</v>
      </c>
      <c r="W252">
        <v>1</v>
      </c>
      <c r="X252">
        <v>1</v>
      </c>
      <c r="Y252">
        <v>1</v>
      </c>
      <c r="Z252">
        <v>1</v>
      </c>
      <c r="AA252">
        <v>1</v>
      </c>
      <c r="AB252">
        <v>1</v>
      </c>
      <c r="AC252">
        <v>1</v>
      </c>
    </row>
    <row r="253" spans="1:29" x14ac:dyDescent="0.45">
      <c r="A253" t="s">
        <v>31</v>
      </c>
      <c r="B253" t="s">
        <v>436</v>
      </c>
      <c r="C253" t="s">
        <v>437</v>
      </c>
      <c r="D253" t="s">
        <v>426</v>
      </c>
      <c r="E253" t="str">
        <f t="shared" si="3"/>
        <v>ID|solar pv|Summer</v>
      </c>
      <c r="F253">
        <v>1</v>
      </c>
      <c r="G253">
        <v>1</v>
      </c>
      <c r="H253">
        <v>1</v>
      </c>
      <c r="I253">
        <v>1</v>
      </c>
      <c r="J253">
        <v>1</v>
      </c>
      <c r="K253">
        <v>1</v>
      </c>
      <c r="L253">
        <v>1</v>
      </c>
      <c r="M253">
        <v>1</v>
      </c>
      <c r="N253">
        <v>1</v>
      </c>
      <c r="O253">
        <v>1</v>
      </c>
      <c r="P253">
        <v>1</v>
      </c>
      <c r="Q253">
        <v>1</v>
      </c>
      <c r="R253">
        <v>1</v>
      </c>
      <c r="S253">
        <v>1</v>
      </c>
      <c r="T253">
        <v>1</v>
      </c>
      <c r="U253">
        <v>1</v>
      </c>
      <c r="V253">
        <v>1</v>
      </c>
      <c r="W253">
        <v>1</v>
      </c>
      <c r="X253">
        <v>1</v>
      </c>
      <c r="Y253">
        <v>1</v>
      </c>
      <c r="Z253">
        <v>1</v>
      </c>
      <c r="AA253">
        <v>1</v>
      </c>
      <c r="AB253">
        <v>1</v>
      </c>
      <c r="AC253">
        <v>1</v>
      </c>
    </row>
    <row r="254" spans="1:29" x14ac:dyDescent="0.45">
      <c r="A254" t="s">
        <v>31</v>
      </c>
      <c r="B254" t="s">
        <v>436</v>
      </c>
      <c r="C254" t="s">
        <v>437</v>
      </c>
      <c r="D254" t="s">
        <v>427</v>
      </c>
      <c r="E254" t="str">
        <f t="shared" si="3"/>
        <v>ID|solar pv|Fall</v>
      </c>
      <c r="F254">
        <v>1</v>
      </c>
      <c r="G254">
        <v>1</v>
      </c>
      <c r="H254">
        <v>1</v>
      </c>
      <c r="I254">
        <v>1</v>
      </c>
      <c r="J254">
        <v>1</v>
      </c>
      <c r="K254">
        <v>1</v>
      </c>
      <c r="L254">
        <v>1</v>
      </c>
      <c r="M254">
        <v>1</v>
      </c>
      <c r="N254">
        <v>1</v>
      </c>
      <c r="O254">
        <v>1</v>
      </c>
      <c r="P254">
        <v>1</v>
      </c>
      <c r="Q254">
        <v>1</v>
      </c>
      <c r="R254">
        <v>1</v>
      </c>
      <c r="S254">
        <v>1</v>
      </c>
      <c r="T254">
        <v>1</v>
      </c>
      <c r="U254">
        <v>1</v>
      </c>
      <c r="V254">
        <v>1</v>
      </c>
      <c r="W254">
        <v>1</v>
      </c>
      <c r="X254">
        <v>1</v>
      </c>
      <c r="Y254">
        <v>1</v>
      </c>
      <c r="Z254">
        <v>1</v>
      </c>
      <c r="AA254">
        <v>1</v>
      </c>
      <c r="AB254">
        <v>1</v>
      </c>
      <c r="AC254">
        <v>1</v>
      </c>
    </row>
    <row r="255" spans="1:29" x14ac:dyDescent="0.45">
      <c r="A255" t="s">
        <v>31</v>
      </c>
      <c r="B255" t="s">
        <v>436</v>
      </c>
      <c r="C255" t="s">
        <v>437</v>
      </c>
      <c r="D255" t="s">
        <v>428</v>
      </c>
      <c r="E255" t="str">
        <f t="shared" si="3"/>
        <v>ID|solar pv|Summer Peak</v>
      </c>
      <c r="F255">
        <v>1</v>
      </c>
      <c r="G255">
        <v>1</v>
      </c>
      <c r="H255">
        <v>1</v>
      </c>
      <c r="I255">
        <v>1</v>
      </c>
      <c r="J255">
        <v>0.58160000000000001</v>
      </c>
      <c r="K255">
        <v>0.80779999999999996</v>
      </c>
      <c r="L255">
        <v>0.9133</v>
      </c>
      <c r="M255">
        <v>0.98329999999999995</v>
      </c>
      <c r="N255">
        <v>0.98629999999999995</v>
      </c>
      <c r="O255">
        <v>0.99309999999999998</v>
      </c>
      <c r="P255">
        <v>0.98880000000000001</v>
      </c>
      <c r="Q255">
        <v>0.99460000000000004</v>
      </c>
      <c r="R255">
        <v>1</v>
      </c>
      <c r="S255">
        <v>0.97829999999999995</v>
      </c>
      <c r="T255">
        <v>0.97750000000000004</v>
      </c>
      <c r="U255">
        <v>0.98080000000000001</v>
      </c>
      <c r="V255">
        <v>0.96840000000000004</v>
      </c>
      <c r="W255">
        <v>0.93559999999999999</v>
      </c>
      <c r="X255">
        <v>0.70009999999999994</v>
      </c>
      <c r="Y255">
        <v>1</v>
      </c>
      <c r="Z255">
        <v>1</v>
      </c>
      <c r="AA255">
        <v>1</v>
      </c>
      <c r="AB255">
        <v>1</v>
      </c>
      <c r="AC255">
        <v>1</v>
      </c>
    </row>
    <row r="256" spans="1:29" x14ac:dyDescent="0.45">
      <c r="A256" t="s">
        <v>31</v>
      </c>
      <c r="B256" t="s">
        <v>436</v>
      </c>
      <c r="C256" t="s">
        <v>437</v>
      </c>
      <c r="D256" t="s">
        <v>429</v>
      </c>
      <c r="E256" t="str">
        <f t="shared" si="3"/>
        <v>ID|solar pv|Winter Peak</v>
      </c>
      <c r="F256">
        <v>1</v>
      </c>
      <c r="G256">
        <v>1</v>
      </c>
      <c r="H256">
        <v>1</v>
      </c>
      <c r="I256">
        <v>1</v>
      </c>
      <c r="J256">
        <v>1</v>
      </c>
      <c r="K256">
        <v>1</v>
      </c>
      <c r="L256">
        <v>0.5403</v>
      </c>
      <c r="M256">
        <v>0.81020000000000003</v>
      </c>
      <c r="N256">
        <v>0.93520000000000003</v>
      </c>
      <c r="O256">
        <v>0.96160000000000001</v>
      </c>
      <c r="P256">
        <v>0.96140000000000003</v>
      </c>
      <c r="Q256">
        <v>0.9778</v>
      </c>
      <c r="R256">
        <v>0.95279999999999998</v>
      </c>
      <c r="S256">
        <v>0.85119999999999996</v>
      </c>
      <c r="T256">
        <v>0.93169999999999997</v>
      </c>
      <c r="U256">
        <v>0.64329999999999998</v>
      </c>
      <c r="V256">
        <v>7.4999999999999997E-3</v>
      </c>
      <c r="W256">
        <v>1</v>
      </c>
      <c r="X256">
        <v>1</v>
      </c>
      <c r="Y256">
        <v>1</v>
      </c>
      <c r="Z256">
        <v>1</v>
      </c>
      <c r="AA256">
        <v>1</v>
      </c>
      <c r="AB256">
        <v>1</v>
      </c>
      <c r="AC256">
        <v>1</v>
      </c>
    </row>
    <row r="257" spans="1:29" x14ac:dyDescent="0.45">
      <c r="A257" t="s">
        <v>31</v>
      </c>
      <c r="B257" t="s">
        <v>438</v>
      </c>
      <c r="C257" t="s">
        <v>439</v>
      </c>
      <c r="D257" t="s">
        <v>424</v>
      </c>
      <c r="E257" t="str">
        <f t="shared" si="3"/>
        <v>ID|solar thermal|Winter</v>
      </c>
      <c r="F257">
        <v>1</v>
      </c>
      <c r="G257">
        <v>1</v>
      </c>
      <c r="H257">
        <v>1</v>
      </c>
      <c r="I257">
        <v>1</v>
      </c>
      <c r="J257">
        <v>1</v>
      </c>
      <c r="K257">
        <v>1</v>
      </c>
      <c r="L257">
        <v>1</v>
      </c>
      <c r="M257">
        <v>1</v>
      </c>
      <c r="N257">
        <v>1</v>
      </c>
      <c r="O257">
        <v>1</v>
      </c>
      <c r="P257">
        <v>1</v>
      </c>
      <c r="Q257">
        <v>1</v>
      </c>
      <c r="R257">
        <v>1</v>
      </c>
      <c r="S257">
        <v>1</v>
      </c>
      <c r="T257">
        <v>1</v>
      </c>
      <c r="U257">
        <v>1</v>
      </c>
      <c r="V257">
        <v>1</v>
      </c>
      <c r="W257">
        <v>1</v>
      </c>
      <c r="X257">
        <v>1</v>
      </c>
      <c r="Y257">
        <v>1</v>
      </c>
      <c r="Z257">
        <v>1</v>
      </c>
      <c r="AA257">
        <v>1</v>
      </c>
      <c r="AB257">
        <v>1</v>
      </c>
      <c r="AC257">
        <v>1</v>
      </c>
    </row>
    <row r="258" spans="1:29" x14ac:dyDescent="0.45">
      <c r="A258" t="s">
        <v>31</v>
      </c>
      <c r="B258" t="s">
        <v>438</v>
      </c>
      <c r="C258" t="s">
        <v>439</v>
      </c>
      <c r="D258" t="s">
        <v>425</v>
      </c>
      <c r="E258" t="str">
        <f t="shared" si="3"/>
        <v>ID|solar thermal|Spring</v>
      </c>
      <c r="F258">
        <v>1</v>
      </c>
      <c r="G258">
        <v>1</v>
      </c>
      <c r="H258">
        <v>1</v>
      </c>
      <c r="I258">
        <v>1</v>
      </c>
      <c r="J258">
        <v>1</v>
      </c>
      <c r="K258">
        <v>1</v>
      </c>
      <c r="L258">
        <v>1</v>
      </c>
      <c r="M258">
        <v>1</v>
      </c>
      <c r="N258">
        <v>1</v>
      </c>
      <c r="O258">
        <v>1</v>
      </c>
      <c r="P258">
        <v>1</v>
      </c>
      <c r="Q258">
        <v>1</v>
      </c>
      <c r="R258">
        <v>1</v>
      </c>
      <c r="S258">
        <v>1</v>
      </c>
      <c r="T258">
        <v>1</v>
      </c>
      <c r="U258">
        <v>1</v>
      </c>
      <c r="V258">
        <v>1</v>
      </c>
      <c r="W258">
        <v>1</v>
      </c>
      <c r="X258">
        <v>1</v>
      </c>
      <c r="Y258">
        <v>1</v>
      </c>
      <c r="Z258">
        <v>1</v>
      </c>
      <c r="AA258">
        <v>1</v>
      </c>
      <c r="AB258">
        <v>1</v>
      </c>
      <c r="AC258">
        <v>1</v>
      </c>
    </row>
    <row r="259" spans="1:29" x14ac:dyDescent="0.45">
      <c r="A259" t="s">
        <v>31</v>
      </c>
      <c r="B259" t="s">
        <v>438</v>
      </c>
      <c r="C259" t="s">
        <v>439</v>
      </c>
      <c r="D259" t="s">
        <v>426</v>
      </c>
      <c r="E259" t="str">
        <f t="shared" si="3"/>
        <v>ID|solar thermal|Summer</v>
      </c>
      <c r="F259">
        <v>1</v>
      </c>
      <c r="G259">
        <v>1</v>
      </c>
      <c r="H259">
        <v>1</v>
      </c>
      <c r="I259">
        <v>1</v>
      </c>
      <c r="J259">
        <v>1</v>
      </c>
      <c r="K259">
        <v>1</v>
      </c>
      <c r="L259">
        <v>1</v>
      </c>
      <c r="M259">
        <v>1</v>
      </c>
      <c r="N259">
        <v>1</v>
      </c>
      <c r="O259">
        <v>1</v>
      </c>
      <c r="P259">
        <v>1</v>
      </c>
      <c r="Q259">
        <v>1</v>
      </c>
      <c r="R259">
        <v>1</v>
      </c>
      <c r="S259">
        <v>1</v>
      </c>
      <c r="T259">
        <v>1</v>
      </c>
      <c r="U259">
        <v>1</v>
      </c>
      <c r="V259">
        <v>1</v>
      </c>
      <c r="W259">
        <v>1</v>
      </c>
      <c r="X259">
        <v>1</v>
      </c>
      <c r="Y259">
        <v>1</v>
      </c>
      <c r="Z259">
        <v>1</v>
      </c>
      <c r="AA259">
        <v>1</v>
      </c>
      <c r="AB259">
        <v>1</v>
      </c>
      <c r="AC259">
        <v>1</v>
      </c>
    </row>
    <row r="260" spans="1:29" x14ac:dyDescent="0.45">
      <c r="A260" t="s">
        <v>31</v>
      </c>
      <c r="B260" t="s">
        <v>438</v>
      </c>
      <c r="C260" t="s">
        <v>439</v>
      </c>
      <c r="D260" t="s">
        <v>427</v>
      </c>
      <c r="E260" t="str">
        <f t="shared" si="3"/>
        <v>ID|solar thermal|Fall</v>
      </c>
      <c r="F260">
        <v>1</v>
      </c>
      <c r="G260">
        <v>1</v>
      </c>
      <c r="H260">
        <v>1</v>
      </c>
      <c r="I260">
        <v>1</v>
      </c>
      <c r="J260">
        <v>1</v>
      </c>
      <c r="K260">
        <v>1</v>
      </c>
      <c r="L260">
        <v>1</v>
      </c>
      <c r="M260">
        <v>1</v>
      </c>
      <c r="N260">
        <v>1</v>
      </c>
      <c r="O260">
        <v>1</v>
      </c>
      <c r="P260">
        <v>1</v>
      </c>
      <c r="Q260">
        <v>1</v>
      </c>
      <c r="R260">
        <v>1</v>
      </c>
      <c r="S260">
        <v>1</v>
      </c>
      <c r="T260">
        <v>1</v>
      </c>
      <c r="U260">
        <v>1</v>
      </c>
      <c r="V260">
        <v>1</v>
      </c>
      <c r="W260">
        <v>1</v>
      </c>
      <c r="X260">
        <v>1</v>
      </c>
      <c r="Y260">
        <v>1</v>
      </c>
      <c r="Z260">
        <v>1</v>
      </c>
      <c r="AA260">
        <v>1</v>
      </c>
      <c r="AB260">
        <v>1</v>
      </c>
      <c r="AC260">
        <v>1</v>
      </c>
    </row>
    <row r="261" spans="1:29" x14ac:dyDescent="0.45">
      <c r="A261" t="s">
        <v>31</v>
      </c>
      <c r="B261" t="s">
        <v>438</v>
      </c>
      <c r="C261" t="s">
        <v>439</v>
      </c>
      <c r="D261" t="s">
        <v>428</v>
      </c>
      <c r="E261" t="str">
        <f t="shared" ref="E261:E324" si="4">A261&amp;"|"&amp;C261&amp;"|"&amp;D261</f>
        <v>ID|solar thermal|Summer Peak</v>
      </c>
      <c r="F261">
        <v>1</v>
      </c>
      <c r="G261">
        <v>1</v>
      </c>
      <c r="H261">
        <v>1</v>
      </c>
      <c r="I261">
        <v>1</v>
      </c>
      <c r="J261">
        <v>1</v>
      </c>
      <c r="K261">
        <v>1</v>
      </c>
      <c r="L261">
        <v>1</v>
      </c>
      <c r="M261">
        <v>0</v>
      </c>
      <c r="N261">
        <v>0.8639</v>
      </c>
      <c r="O261">
        <v>1</v>
      </c>
      <c r="P261">
        <v>1</v>
      </c>
      <c r="Q261">
        <v>0.97160000000000002</v>
      </c>
      <c r="R261">
        <v>0.96719999999999995</v>
      </c>
      <c r="S261">
        <v>1</v>
      </c>
      <c r="T261">
        <v>1</v>
      </c>
      <c r="U261">
        <v>1</v>
      </c>
      <c r="V261">
        <v>1</v>
      </c>
      <c r="W261">
        <v>1</v>
      </c>
      <c r="X261">
        <v>1</v>
      </c>
      <c r="Y261">
        <v>0.93130000000000002</v>
      </c>
      <c r="Z261">
        <v>0.70220000000000005</v>
      </c>
      <c r="AA261">
        <v>1</v>
      </c>
      <c r="AB261">
        <v>1</v>
      </c>
      <c r="AC261">
        <v>1</v>
      </c>
    </row>
    <row r="262" spans="1:29" x14ac:dyDescent="0.45">
      <c r="A262" t="s">
        <v>31</v>
      </c>
      <c r="B262" t="s">
        <v>438</v>
      </c>
      <c r="C262" t="s">
        <v>439</v>
      </c>
      <c r="D262" t="s">
        <v>429</v>
      </c>
      <c r="E262" t="str">
        <f t="shared" si="4"/>
        <v>ID|solar thermal|Winter Peak</v>
      </c>
      <c r="F262">
        <v>1</v>
      </c>
      <c r="G262">
        <v>1</v>
      </c>
      <c r="H262">
        <v>1</v>
      </c>
      <c r="I262">
        <v>1</v>
      </c>
      <c r="J262">
        <v>1</v>
      </c>
      <c r="K262">
        <v>1</v>
      </c>
      <c r="L262">
        <v>1</v>
      </c>
      <c r="M262">
        <v>1</v>
      </c>
      <c r="N262">
        <v>1</v>
      </c>
      <c r="O262">
        <v>0.2419</v>
      </c>
      <c r="P262">
        <v>0.95320000000000005</v>
      </c>
      <c r="Q262">
        <v>0.88039999999999996</v>
      </c>
      <c r="R262">
        <v>0.97819999999999996</v>
      </c>
      <c r="S262">
        <v>0.98950000000000005</v>
      </c>
      <c r="T262">
        <v>0.99270000000000003</v>
      </c>
      <c r="U262">
        <v>1</v>
      </c>
      <c r="V262">
        <v>1</v>
      </c>
      <c r="W262">
        <v>1</v>
      </c>
      <c r="X262">
        <v>0.89019999999999999</v>
      </c>
      <c r="Y262">
        <v>0</v>
      </c>
      <c r="Z262">
        <v>1</v>
      </c>
      <c r="AA262">
        <v>1</v>
      </c>
      <c r="AB262">
        <v>1</v>
      </c>
      <c r="AC262">
        <v>1</v>
      </c>
    </row>
    <row r="263" spans="1:29" x14ac:dyDescent="0.45">
      <c r="A263" t="s">
        <v>31</v>
      </c>
      <c r="B263" t="s">
        <v>440</v>
      </c>
      <c r="C263" t="s">
        <v>441</v>
      </c>
      <c r="D263" t="s">
        <v>424</v>
      </c>
      <c r="E263" t="str">
        <f t="shared" si="4"/>
        <v>ID|offshore wind|Winter</v>
      </c>
      <c r="F263">
        <v>1</v>
      </c>
      <c r="G263">
        <v>1</v>
      </c>
      <c r="H263">
        <v>1</v>
      </c>
      <c r="I263">
        <v>1</v>
      </c>
      <c r="J263">
        <v>1</v>
      </c>
      <c r="K263">
        <v>1</v>
      </c>
      <c r="L263">
        <v>1</v>
      </c>
      <c r="M263">
        <v>1</v>
      </c>
      <c r="N263">
        <v>1</v>
      </c>
      <c r="O263">
        <v>1</v>
      </c>
      <c r="P263">
        <v>1</v>
      </c>
      <c r="Q263">
        <v>1</v>
      </c>
      <c r="R263">
        <v>1</v>
      </c>
      <c r="S263">
        <v>1</v>
      </c>
      <c r="T263">
        <v>1</v>
      </c>
      <c r="U263">
        <v>1</v>
      </c>
      <c r="V263">
        <v>1</v>
      </c>
      <c r="W263">
        <v>1</v>
      </c>
      <c r="X263">
        <v>1</v>
      </c>
      <c r="Y263">
        <v>1</v>
      </c>
      <c r="Z263">
        <v>1</v>
      </c>
      <c r="AA263">
        <v>1</v>
      </c>
      <c r="AB263">
        <v>1</v>
      </c>
      <c r="AC263">
        <v>1</v>
      </c>
    </row>
    <row r="264" spans="1:29" x14ac:dyDescent="0.45">
      <c r="A264" t="s">
        <v>31</v>
      </c>
      <c r="B264" t="s">
        <v>440</v>
      </c>
      <c r="C264" t="s">
        <v>441</v>
      </c>
      <c r="D264" t="s">
        <v>425</v>
      </c>
      <c r="E264" t="str">
        <f t="shared" si="4"/>
        <v>ID|offshore wind|Spring</v>
      </c>
      <c r="F264">
        <v>1</v>
      </c>
      <c r="G264">
        <v>1</v>
      </c>
      <c r="H264">
        <v>1</v>
      </c>
      <c r="I264">
        <v>1</v>
      </c>
      <c r="J264">
        <v>1</v>
      </c>
      <c r="K264">
        <v>1</v>
      </c>
      <c r="L264">
        <v>1</v>
      </c>
      <c r="M264">
        <v>1</v>
      </c>
      <c r="N264">
        <v>1</v>
      </c>
      <c r="O264">
        <v>1</v>
      </c>
      <c r="P264">
        <v>1</v>
      </c>
      <c r="Q264">
        <v>1</v>
      </c>
      <c r="R264">
        <v>1</v>
      </c>
      <c r="S264">
        <v>1</v>
      </c>
      <c r="T264">
        <v>1</v>
      </c>
      <c r="U264">
        <v>1</v>
      </c>
      <c r="V264">
        <v>1</v>
      </c>
      <c r="W264">
        <v>1</v>
      </c>
      <c r="X264">
        <v>1</v>
      </c>
      <c r="Y264">
        <v>1</v>
      </c>
      <c r="Z264">
        <v>1</v>
      </c>
      <c r="AA264">
        <v>1</v>
      </c>
      <c r="AB264">
        <v>1</v>
      </c>
      <c r="AC264">
        <v>1</v>
      </c>
    </row>
    <row r="265" spans="1:29" x14ac:dyDescent="0.45">
      <c r="A265" t="s">
        <v>31</v>
      </c>
      <c r="B265" t="s">
        <v>440</v>
      </c>
      <c r="C265" t="s">
        <v>441</v>
      </c>
      <c r="D265" t="s">
        <v>426</v>
      </c>
      <c r="E265" t="str">
        <f t="shared" si="4"/>
        <v>ID|offshore wind|Summer</v>
      </c>
      <c r="F265">
        <v>1</v>
      </c>
      <c r="G265">
        <v>1</v>
      </c>
      <c r="H265">
        <v>1</v>
      </c>
      <c r="I265">
        <v>1</v>
      </c>
      <c r="J265">
        <v>1</v>
      </c>
      <c r="K265">
        <v>1</v>
      </c>
      <c r="L265">
        <v>1</v>
      </c>
      <c r="M265">
        <v>1</v>
      </c>
      <c r="N265">
        <v>1</v>
      </c>
      <c r="O265">
        <v>1</v>
      </c>
      <c r="P265">
        <v>1</v>
      </c>
      <c r="Q265">
        <v>1</v>
      </c>
      <c r="R265">
        <v>1</v>
      </c>
      <c r="S265">
        <v>1</v>
      </c>
      <c r="T265">
        <v>1</v>
      </c>
      <c r="U265">
        <v>1</v>
      </c>
      <c r="V265">
        <v>1</v>
      </c>
      <c r="W265">
        <v>1</v>
      </c>
      <c r="X265">
        <v>1</v>
      </c>
      <c r="Y265">
        <v>1</v>
      </c>
      <c r="Z265">
        <v>1</v>
      </c>
      <c r="AA265">
        <v>1</v>
      </c>
      <c r="AB265">
        <v>1</v>
      </c>
      <c r="AC265">
        <v>1</v>
      </c>
    </row>
    <row r="266" spans="1:29" x14ac:dyDescent="0.45">
      <c r="A266" t="s">
        <v>31</v>
      </c>
      <c r="B266" t="s">
        <v>440</v>
      </c>
      <c r="C266" t="s">
        <v>441</v>
      </c>
      <c r="D266" t="s">
        <v>427</v>
      </c>
      <c r="E266" t="str">
        <f t="shared" si="4"/>
        <v>ID|offshore wind|Fall</v>
      </c>
      <c r="F266">
        <v>1</v>
      </c>
      <c r="G266">
        <v>1</v>
      </c>
      <c r="H266">
        <v>1</v>
      </c>
      <c r="I266">
        <v>1</v>
      </c>
      <c r="J266">
        <v>1</v>
      </c>
      <c r="K266">
        <v>1</v>
      </c>
      <c r="L266">
        <v>1</v>
      </c>
      <c r="M266">
        <v>1</v>
      </c>
      <c r="N266">
        <v>1</v>
      </c>
      <c r="O266">
        <v>1</v>
      </c>
      <c r="P266">
        <v>1</v>
      </c>
      <c r="Q266">
        <v>1</v>
      </c>
      <c r="R266">
        <v>1</v>
      </c>
      <c r="S266">
        <v>1</v>
      </c>
      <c r="T266">
        <v>1</v>
      </c>
      <c r="U266">
        <v>1</v>
      </c>
      <c r="V266">
        <v>1</v>
      </c>
      <c r="W266">
        <v>1</v>
      </c>
      <c r="X266">
        <v>1</v>
      </c>
      <c r="Y266">
        <v>1</v>
      </c>
      <c r="Z266">
        <v>1</v>
      </c>
      <c r="AA266">
        <v>1</v>
      </c>
      <c r="AB266">
        <v>1</v>
      </c>
      <c r="AC266">
        <v>1</v>
      </c>
    </row>
    <row r="267" spans="1:29" x14ac:dyDescent="0.45">
      <c r="A267" t="s">
        <v>31</v>
      </c>
      <c r="B267" t="s">
        <v>440</v>
      </c>
      <c r="C267" t="s">
        <v>441</v>
      </c>
      <c r="D267" t="s">
        <v>428</v>
      </c>
      <c r="E267" t="str">
        <f t="shared" si="4"/>
        <v>ID|offshore wind|Summer Peak</v>
      </c>
      <c r="F267">
        <v>0.40810000000000002</v>
      </c>
      <c r="G267">
        <v>0.4239</v>
      </c>
      <c r="H267">
        <v>0.45760000000000001</v>
      </c>
      <c r="I267">
        <v>0.50319999999999998</v>
      </c>
      <c r="J267">
        <v>0.53649999999999998</v>
      </c>
      <c r="K267">
        <v>0.59399999999999997</v>
      </c>
      <c r="L267">
        <v>0.61929999999999996</v>
      </c>
      <c r="M267">
        <v>0.68859999999999999</v>
      </c>
      <c r="N267">
        <v>0.73480000000000001</v>
      </c>
      <c r="O267">
        <v>0.84350000000000003</v>
      </c>
      <c r="P267">
        <v>0.78200000000000003</v>
      </c>
      <c r="Q267">
        <v>0.74650000000000005</v>
      </c>
      <c r="R267">
        <v>0.63690000000000002</v>
      </c>
      <c r="S267">
        <v>0.60860000000000003</v>
      </c>
      <c r="T267">
        <v>0.64339999999999997</v>
      </c>
      <c r="U267">
        <v>0.69269999999999998</v>
      </c>
      <c r="V267">
        <v>0.71450000000000002</v>
      </c>
      <c r="W267">
        <v>0.75070000000000003</v>
      </c>
      <c r="X267">
        <v>0.72489999999999999</v>
      </c>
      <c r="Y267">
        <v>0.66049999999999998</v>
      </c>
      <c r="Z267">
        <v>0.69140000000000001</v>
      </c>
      <c r="AA267">
        <v>0.63080000000000003</v>
      </c>
      <c r="AB267">
        <v>0.63429999999999997</v>
      </c>
      <c r="AC267">
        <v>0.64390000000000003</v>
      </c>
    </row>
    <row r="268" spans="1:29" x14ac:dyDescent="0.45">
      <c r="A268" t="s">
        <v>31</v>
      </c>
      <c r="B268" t="s">
        <v>440</v>
      </c>
      <c r="C268" t="s">
        <v>441</v>
      </c>
      <c r="D268" t="s">
        <v>429</v>
      </c>
      <c r="E268" t="str">
        <f t="shared" si="4"/>
        <v>ID|offshore wind|Winter Peak</v>
      </c>
      <c r="F268">
        <v>0.95309999999999995</v>
      </c>
      <c r="G268">
        <v>0.95030000000000003</v>
      </c>
      <c r="H268">
        <v>0.95540000000000003</v>
      </c>
      <c r="I268">
        <v>0.96679999999999999</v>
      </c>
      <c r="J268">
        <v>1</v>
      </c>
      <c r="K268">
        <v>1</v>
      </c>
      <c r="L268">
        <v>1</v>
      </c>
      <c r="M268">
        <v>0.99209999999999998</v>
      </c>
      <c r="N268">
        <v>0.90149999999999997</v>
      </c>
      <c r="O268">
        <v>0.79779999999999995</v>
      </c>
      <c r="P268">
        <v>0.71879999999999999</v>
      </c>
      <c r="Q268">
        <v>0.67300000000000004</v>
      </c>
      <c r="R268">
        <v>0.60860000000000003</v>
      </c>
      <c r="S268">
        <v>0.58009999999999995</v>
      </c>
      <c r="T268">
        <v>0.58799999999999997</v>
      </c>
      <c r="U268">
        <v>0.61019999999999996</v>
      </c>
      <c r="V268">
        <v>0.61839999999999995</v>
      </c>
      <c r="W268">
        <v>0.60909999999999997</v>
      </c>
      <c r="X268">
        <v>0.62880000000000003</v>
      </c>
      <c r="Y268">
        <v>0.72889999999999999</v>
      </c>
      <c r="Z268">
        <v>0.84719999999999995</v>
      </c>
      <c r="AA268">
        <v>0.92220000000000002</v>
      </c>
      <c r="AB268">
        <v>0.86950000000000005</v>
      </c>
      <c r="AC268">
        <v>0.8054</v>
      </c>
    </row>
    <row r="269" spans="1:29" x14ac:dyDescent="0.45">
      <c r="A269" t="s">
        <v>34</v>
      </c>
      <c r="B269" t="s">
        <v>434</v>
      </c>
      <c r="C269" t="s">
        <v>435</v>
      </c>
      <c r="D269" t="s">
        <v>424</v>
      </c>
      <c r="E269" t="str">
        <f t="shared" si="4"/>
        <v>IL|onshore wind|Winter</v>
      </c>
      <c r="F269">
        <v>1</v>
      </c>
      <c r="G269">
        <v>1</v>
      </c>
      <c r="H269">
        <v>1</v>
      </c>
      <c r="I269">
        <v>1</v>
      </c>
      <c r="J269">
        <v>1</v>
      </c>
      <c r="K269">
        <v>1</v>
      </c>
      <c r="L269">
        <v>1</v>
      </c>
      <c r="M269">
        <v>1</v>
      </c>
      <c r="N269">
        <v>1</v>
      </c>
      <c r="O269">
        <v>1</v>
      </c>
      <c r="P269">
        <v>1</v>
      </c>
      <c r="Q269">
        <v>1</v>
      </c>
      <c r="R269">
        <v>1</v>
      </c>
      <c r="S269">
        <v>1</v>
      </c>
      <c r="T269">
        <v>1</v>
      </c>
      <c r="U269">
        <v>1</v>
      </c>
      <c r="V269">
        <v>1</v>
      </c>
      <c r="W269">
        <v>1</v>
      </c>
      <c r="X269">
        <v>1</v>
      </c>
      <c r="Y269">
        <v>1</v>
      </c>
      <c r="Z269">
        <v>1</v>
      </c>
      <c r="AA269">
        <v>1</v>
      </c>
      <c r="AB269">
        <v>1</v>
      </c>
      <c r="AC269">
        <v>1</v>
      </c>
    </row>
    <row r="270" spans="1:29" x14ac:dyDescent="0.45">
      <c r="A270" t="s">
        <v>34</v>
      </c>
      <c r="B270" t="s">
        <v>434</v>
      </c>
      <c r="C270" t="s">
        <v>435</v>
      </c>
      <c r="D270" t="s">
        <v>425</v>
      </c>
      <c r="E270" t="str">
        <f t="shared" si="4"/>
        <v>IL|onshore wind|Spring</v>
      </c>
      <c r="F270">
        <v>1</v>
      </c>
      <c r="G270">
        <v>1</v>
      </c>
      <c r="H270">
        <v>1</v>
      </c>
      <c r="I270">
        <v>1</v>
      </c>
      <c r="J270">
        <v>1</v>
      </c>
      <c r="K270">
        <v>1</v>
      </c>
      <c r="L270">
        <v>1</v>
      </c>
      <c r="M270">
        <v>1</v>
      </c>
      <c r="N270">
        <v>1</v>
      </c>
      <c r="O270">
        <v>1</v>
      </c>
      <c r="P270">
        <v>1</v>
      </c>
      <c r="Q270">
        <v>1</v>
      </c>
      <c r="R270">
        <v>1</v>
      </c>
      <c r="S270">
        <v>1</v>
      </c>
      <c r="T270">
        <v>1</v>
      </c>
      <c r="U270">
        <v>1</v>
      </c>
      <c r="V270">
        <v>1</v>
      </c>
      <c r="W270">
        <v>1</v>
      </c>
      <c r="X270">
        <v>1</v>
      </c>
      <c r="Y270">
        <v>1</v>
      </c>
      <c r="Z270">
        <v>1</v>
      </c>
      <c r="AA270">
        <v>1</v>
      </c>
      <c r="AB270">
        <v>1</v>
      </c>
      <c r="AC270">
        <v>1</v>
      </c>
    </row>
    <row r="271" spans="1:29" x14ac:dyDescent="0.45">
      <c r="A271" t="s">
        <v>34</v>
      </c>
      <c r="B271" t="s">
        <v>434</v>
      </c>
      <c r="C271" t="s">
        <v>435</v>
      </c>
      <c r="D271" t="s">
        <v>426</v>
      </c>
      <c r="E271" t="str">
        <f t="shared" si="4"/>
        <v>IL|onshore wind|Summer</v>
      </c>
      <c r="F271">
        <v>1</v>
      </c>
      <c r="G271">
        <v>1</v>
      </c>
      <c r="H271">
        <v>1</v>
      </c>
      <c r="I271">
        <v>1</v>
      </c>
      <c r="J271">
        <v>1</v>
      </c>
      <c r="K271">
        <v>1</v>
      </c>
      <c r="L271">
        <v>1</v>
      </c>
      <c r="M271">
        <v>1</v>
      </c>
      <c r="N271">
        <v>1</v>
      </c>
      <c r="O271">
        <v>1</v>
      </c>
      <c r="P271">
        <v>1</v>
      </c>
      <c r="Q271">
        <v>1</v>
      </c>
      <c r="R271">
        <v>1</v>
      </c>
      <c r="S271">
        <v>1</v>
      </c>
      <c r="T271">
        <v>1</v>
      </c>
      <c r="U271">
        <v>1</v>
      </c>
      <c r="V271">
        <v>1</v>
      </c>
      <c r="W271">
        <v>1</v>
      </c>
      <c r="X271">
        <v>1</v>
      </c>
      <c r="Y271">
        <v>1</v>
      </c>
      <c r="Z271">
        <v>1</v>
      </c>
      <c r="AA271">
        <v>1</v>
      </c>
      <c r="AB271">
        <v>1</v>
      </c>
      <c r="AC271">
        <v>1</v>
      </c>
    </row>
    <row r="272" spans="1:29" x14ac:dyDescent="0.45">
      <c r="A272" t="s">
        <v>34</v>
      </c>
      <c r="B272" t="s">
        <v>434</v>
      </c>
      <c r="C272" t="s">
        <v>435</v>
      </c>
      <c r="D272" t="s">
        <v>427</v>
      </c>
      <c r="E272" t="str">
        <f t="shared" si="4"/>
        <v>IL|onshore wind|Fall</v>
      </c>
      <c r="F272">
        <v>1</v>
      </c>
      <c r="G272">
        <v>1</v>
      </c>
      <c r="H272">
        <v>1</v>
      </c>
      <c r="I272">
        <v>1</v>
      </c>
      <c r="J272">
        <v>1</v>
      </c>
      <c r="K272">
        <v>1</v>
      </c>
      <c r="L272">
        <v>1</v>
      </c>
      <c r="M272">
        <v>1</v>
      </c>
      <c r="N272">
        <v>1</v>
      </c>
      <c r="O272">
        <v>1</v>
      </c>
      <c r="P272">
        <v>1</v>
      </c>
      <c r="Q272">
        <v>1</v>
      </c>
      <c r="R272">
        <v>1</v>
      </c>
      <c r="S272">
        <v>1</v>
      </c>
      <c r="T272">
        <v>1</v>
      </c>
      <c r="U272">
        <v>1</v>
      </c>
      <c r="V272">
        <v>1</v>
      </c>
      <c r="W272">
        <v>1</v>
      </c>
      <c r="X272">
        <v>1</v>
      </c>
      <c r="Y272">
        <v>1</v>
      </c>
      <c r="Z272">
        <v>1</v>
      </c>
      <c r="AA272">
        <v>1</v>
      </c>
      <c r="AB272">
        <v>1</v>
      </c>
      <c r="AC272">
        <v>1</v>
      </c>
    </row>
    <row r="273" spans="1:29" x14ac:dyDescent="0.45">
      <c r="A273" t="s">
        <v>34</v>
      </c>
      <c r="B273" t="s">
        <v>434</v>
      </c>
      <c r="C273" t="s">
        <v>435</v>
      </c>
      <c r="D273" t="s">
        <v>428</v>
      </c>
      <c r="E273" t="str">
        <f t="shared" si="4"/>
        <v>IL|onshore wind|Summer Peak</v>
      </c>
      <c r="F273">
        <v>0.65639999999999998</v>
      </c>
      <c r="G273">
        <v>0.8357</v>
      </c>
      <c r="H273">
        <v>0.80920000000000003</v>
      </c>
      <c r="I273">
        <v>0.7681</v>
      </c>
      <c r="J273">
        <v>0.69</v>
      </c>
      <c r="K273">
        <v>0.59089999999999998</v>
      </c>
      <c r="L273">
        <v>0.52859999999999996</v>
      </c>
      <c r="M273">
        <v>0.51400000000000001</v>
      </c>
      <c r="N273">
        <v>0.49280000000000002</v>
      </c>
      <c r="O273">
        <v>0.45929999999999999</v>
      </c>
      <c r="P273">
        <v>0.35730000000000001</v>
      </c>
      <c r="Q273">
        <v>0.32669999999999999</v>
      </c>
      <c r="R273">
        <v>0.29170000000000001</v>
      </c>
      <c r="S273">
        <v>0.2591</v>
      </c>
      <c r="T273">
        <v>0.24490000000000001</v>
      </c>
      <c r="U273">
        <v>0.20780000000000001</v>
      </c>
      <c r="V273">
        <v>0.15720000000000001</v>
      </c>
      <c r="W273">
        <v>0.3947</v>
      </c>
      <c r="X273">
        <v>0.52859999999999996</v>
      </c>
      <c r="Y273">
        <v>0.64580000000000004</v>
      </c>
      <c r="Z273">
        <v>0.59330000000000005</v>
      </c>
      <c r="AA273">
        <v>0.46850000000000003</v>
      </c>
      <c r="AB273">
        <v>0.48060000000000003</v>
      </c>
      <c r="AC273">
        <v>0.50560000000000005</v>
      </c>
    </row>
    <row r="274" spans="1:29" x14ac:dyDescent="0.45">
      <c r="A274" t="s">
        <v>34</v>
      </c>
      <c r="B274" t="s">
        <v>434</v>
      </c>
      <c r="C274" t="s">
        <v>435</v>
      </c>
      <c r="D274" t="s">
        <v>429</v>
      </c>
      <c r="E274" t="str">
        <f t="shared" si="4"/>
        <v>IL|onshore wind|Winter Peak</v>
      </c>
      <c r="F274">
        <v>0.33129999999999998</v>
      </c>
      <c r="G274">
        <v>0.37140000000000001</v>
      </c>
      <c r="H274">
        <v>0.41470000000000001</v>
      </c>
      <c r="I274">
        <v>0.44479999999999997</v>
      </c>
      <c r="J274">
        <v>0.58420000000000005</v>
      </c>
      <c r="K274">
        <v>0.63990000000000002</v>
      </c>
      <c r="L274">
        <v>0.59219999999999995</v>
      </c>
      <c r="M274">
        <v>0.60170000000000001</v>
      </c>
      <c r="N274">
        <v>0.50449999999999995</v>
      </c>
      <c r="O274">
        <v>0.1017</v>
      </c>
      <c r="P274">
        <v>0.10780000000000001</v>
      </c>
      <c r="Q274">
        <v>4.48E-2</v>
      </c>
      <c r="R274">
        <v>2.6800000000000001E-2</v>
      </c>
      <c r="S274">
        <v>6.4199999999999993E-2</v>
      </c>
      <c r="T274">
        <v>8.0600000000000005E-2</v>
      </c>
      <c r="U274">
        <v>7.6399999999999996E-2</v>
      </c>
      <c r="V274">
        <v>0.1162</v>
      </c>
      <c r="W274">
        <v>0.1192</v>
      </c>
      <c r="X274">
        <v>0.10920000000000001</v>
      </c>
      <c r="Y274">
        <v>0.1396</v>
      </c>
      <c r="Z274">
        <v>0.16250000000000001</v>
      </c>
      <c r="AA274">
        <v>0.19650000000000001</v>
      </c>
      <c r="AB274">
        <v>0.23680000000000001</v>
      </c>
      <c r="AC274">
        <v>0.372</v>
      </c>
    </row>
    <row r="275" spans="1:29" x14ac:dyDescent="0.45">
      <c r="A275" t="s">
        <v>34</v>
      </c>
      <c r="B275" t="s">
        <v>436</v>
      </c>
      <c r="C275" t="s">
        <v>437</v>
      </c>
      <c r="D275" t="s">
        <v>424</v>
      </c>
      <c r="E275" t="str">
        <f t="shared" si="4"/>
        <v>IL|solar pv|Winter</v>
      </c>
      <c r="F275">
        <v>1</v>
      </c>
      <c r="G275">
        <v>1</v>
      </c>
      <c r="H275">
        <v>1</v>
      </c>
      <c r="I275">
        <v>1</v>
      </c>
      <c r="J275">
        <v>1</v>
      </c>
      <c r="K275">
        <v>1</v>
      </c>
      <c r="L275">
        <v>1</v>
      </c>
      <c r="M275">
        <v>1</v>
      </c>
      <c r="N275">
        <v>1</v>
      </c>
      <c r="O275">
        <v>1</v>
      </c>
      <c r="P275">
        <v>1</v>
      </c>
      <c r="Q275">
        <v>1</v>
      </c>
      <c r="R275">
        <v>1</v>
      </c>
      <c r="S275">
        <v>1</v>
      </c>
      <c r="T275">
        <v>1</v>
      </c>
      <c r="U275">
        <v>1</v>
      </c>
      <c r="V275">
        <v>1</v>
      </c>
      <c r="W275">
        <v>1</v>
      </c>
      <c r="X275">
        <v>1</v>
      </c>
      <c r="Y275">
        <v>1</v>
      </c>
      <c r="Z275">
        <v>1</v>
      </c>
      <c r="AA275">
        <v>1</v>
      </c>
      <c r="AB275">
        <v>1</v>
      </c>
      <c r="AC275">
        <v>1</v>
      </c>
    </row>
    <row r="276" spans="1:29" x14ac:dyDescent="0.45">
      <c r="A276" t="s">
        <v>34</v>
      </c>
      <c r="B276" t="s">
        <v>436</v>
      </c>
      <c r="C276" t="s">
        <v>437</v>
      </c>
      <c r="D276" t="s">
        <v>425</v>
      </c>
      <c r="E276" t="str">
        <f t="shared" si="4"/>
        <v>IL|solar pv|Spring</v>
      </c>
      <c r="F276">
        <v>1</v>
      </c>
      <c r="G276">
        <v>1</v>
      </c>
      <c r="H276">
        <v>1</v>
      </c>
      <c r="I276">
        <v>1</v>
      </c>
      <c r="J276">
        <v>1</v>
      </c>
      <c r="K276">
        <v>1</v>
      </c>
      <c r="L276">
        <v>1</v>
      </c>
      <c r="M276">
        <v>1</v>
      </c>
      <c r="N276">
        <v>1</v>
      </c>
      <c r="O276">
        <v>1</v>
      </c>
      <c r="P276">
        <v>1</v>
      </c>
      <c r="Q276">
        <v>1</v>
      </c>
      <c r="R276">
        <v>1</v>
      </c>
      <c r="S276">
        <v>1</v>
      </c>
      <c r="T276">
        <v>1</v>
      </c>
      <c r="U276">
        <v>1</v>
      </c>
      <c r="V276">
        <v>1</v>
      </c>
      <c r="W276">
        <v>1</v>
      </c>
      <c r="X276">
        <v>1</v>
      </c>
      <c r="Y276">
        <v>1</v>
      </c>
      <c r="Z276">
        <v>1</v>
      </c>
      <c r="AA276">
        <v>1</v>
      </c>
      <c r="AB276">
        <v>1</v>
      </c>
      <c r="AC276">
        <v>1</v>
      </c>
    </row>
    <row r="277" spans="1:29" x14ac:dyDescent="0.45">
      <c r="A277" t="s">
        <v>34</v>
      </c>
      <c r="B277" t="s">
        <v>436</v>
      </c>
      <c r="C277" t="s">
        <v>437</v>
      </c>
      <c r="D277" t="s">
        <v>426</v>
      </c>
      <c r="E277" t="str">
        <f t="shared" si="4"/>
        <v>IL|solar pv|Summer</v>
      </c>
      <c r="F277">
        <v>1</v>
      </c>
      <c r="G277">
        <v>1</v>
      </c>
      <c r="H277">
        <v>1</v>
      </c>
      <c r="I277">
        <v>1</v>
      </c>
      <c r="J277">
        <v>1</v>
      </c>
      <c r="K277">
        <v>1</v>
      </c>
      <c r="L277">
        <v>1</v>
      </c>
      <c r="M277">
        <v>1</v>
      </c>
      <c r="N277">
        <v>1</v>
      </c>
      <c r="O277">
        <v>1</v>
      </c>
      <c r="P277">
        <v>1</v>
      </c>
      <c r="Q277">
        <v>1</v>
      </c>
      <c r="R277">
        <v>1</v>
      </c>
      <c r="S277">
        <v>1</v>
      </c>
      <c r="T277">
        <v>1</v>
      </c>
      <c r="U277">
        <v>1</v>
      </c>
      <c r="V277">
        <v>1</v>
      </c>
      <c r="W277">
        <v>1</v>
      </c>
      <c r="X277">
        <v>1</v>
      </c>
      <c r="Y277">
        <v>1</v>
      </c>
      <c r="Z277">
        <v>1</v>
      </c>
      <c r="AA277">
        <v>1</v>
      </c>
      <c r="AB277">
        <v>1</v>
      </c>
      <c r="AC277">
        <v>1</v>
      </c>
    </row>
    <row r="278" spans="1:29" x14ac:dyDescent="0.45">
      <c r="A278" t="s">
        <v>34</v>
      </c>
      <c r="B278" t="s">
        <v>436</v>
      </c>
      <c r="C278" t="s">
        <v>437</v>
      </c>
      <c r="D278" t="s">
        <v>427</v>
      </c>
      <c r="E278" t="str">
        <f t="shared" si="4"/>
        <v>IL|solar pv|Fall</v>
      </c>
      <c r="F278">
        <v>1</v>
      </c>
      <c r="G278">
        <v>1</v>
      </c>
      <c r="H278">
        <v>1</v>
      </c>
      <c r="I278">
        <v>1</v>
      </c>
      <c r="J278">
        <v>1</v>
      </c>
      <c r="K278">
        <v>1</v>
      </c>
      <c r="L278">
        <v>1</v>
      </c>
      <c r="M278">
        <v>1</v>
      </c>
      <c r="N278">
        <v>1</v>
      </c>
      <c r="O278">
        <v>1</v>
      </c>
      <c r="P278">
        <v>1</v>
      </c>
      <c r="Q278">
        <v>1</v>
      </c>
      <c r="R278">
        <v>1</v>
      </c>
      <c r="S278">
        <v>1</v>
      </c>
      <c r="T278">
        <v>1</v>
      </c>
      <c r="U278">
        <v>1</v>
      </c>
      <c r="V278">
        <v>1</v>
      </c>
      <c r="W278">
        <v>1</v>
      </c>
      <c r="X278">
        <v>1</v>
      </c>
      <c r="Y278">
        <v>1</v>
      </c>
      <c r="Z278">
        <v>1</v>
      </c>
      <c r="AA278">
        <v>1</v>
      </c>
      <c r="AB278">
        <v>1</v>
      </c>
      <c r="AC278">
        <v>1</v>
      </c>
    </row>
    <row r="279" spans="1:29" x14ac:dyDescent="0.45">
      <c r="A279" t="s">
        <v>34</v>
      </c>
      <c r="B279" t="s">
        <v>436</v>
      </c>
      <c r="C279" t="s">
        <v>437</v>
      </c>
      <c r="D279" t="s">
        <v>428</v>
      </c>
      <c r="E279" t="str">
        <f t="shared" si="4"/>
        <v>IL|solar pv|Summer Peak</v>
      </c>
      <c r="F279">
        <v>1</v>
      </c>
      <c r="G279">
        <v>1</v>
      </c>
      <c r="H279">
        <v>1</v>
      </c>
      <c r="I279">
        <v>1</v>
      </c>
      <c r="J279">
        <v>0.74299999999999999</v>
      </c>
      <c r="K279">
        <v>1</v>
      </c>
      <c r="L279">
        <v>1</v>
      </c>
      <c r="M279">
        <v>1</v>
      </c>
      <c r="N279">
        <v>0.95909999999999995</v>
      </c>
      <c r="O279">
        <v>0.91930000000000001</v>
      </c>
      <c r="P279">
        <v>0.93079999999999996</v>
      </c>
      <c r="Q279">
        <v>0.90969999999999995</v>
      </c>
      <c r="R279">
        <v>0.9405</v>
      </c>
      <c r="S279">
        <v>0.92149999999999999</v>
      </c>
      <c r="T279">
        <v>0.90920000000000001</v>
      </c>
      <c r="U279">
        <v>0.97170000000000001</v>
      </c>
      <c r="V279">
        <v>0.99429999999999996</v>
      </c>
      <c r="W279">
        <v>0.87819999999999998</v>
      </c>
      <c r="X279">
        <v>3.0000000000000001E-3</v>
      </c>
      <c r="Y279">
        <v>1</v>
      </c>
      <c r="Z279">
        <v>1</v>
      </c>
      <c r="AA279">
        <v>1</v>
      </c>
      <c r="AB279">
        <v>1</v>
      </c>
      <c r="AC279">
        <v>1</v>
      </c>
    </row>
    <row r="280" spans="1:29" x14ac:dyDescent="0.45">
      <c r="A280" t="s">
        <v>34</v>
      </c>
      <c r="B280" t="s">
        <v>436</v>
      </c>
      <c r="C280" t="s">
        <v>437</v>
      </c>
      <c r="D280" t="s">
        <v>429</v>
      </c>
      <c r="E280" t="str">
        <f t="shared" si="4"/>
        <v>IL|solar pv|Winter Peak</v>
      </c>
      <c r="F280">
        <v>1</v>
      </c>
      <c r="G280">
        <v>1</v>
      </c>
      <c r="H280">
        <v>1</v>
      </c>
      <c r="I280">
        <v>1</v>
      </c>
      <c r="J280">
        <v>1</v>
      </c>
      <c r="K280">
        <v>1</v>
      </c>
      <c r="L280">
        <v>1</v>
      </c>
      <c r="M280">
        <v>0.64190000000000003</v>
      </c>
      <c r="N280">
        <v>0.94830000000000003</v>
      </c>
      <c r="O280">
        <v>0.75309999999999999</v>
      </c>
      <c r="P280">
        <v>0.74</v>
      </c>
      <c r="Q280">
        <v>0.70069999999999999</v>
      </c>
      <c r="R280">
        <v>0.63639999999999997</v>
      </c>
      <c r="S280">
        <v>0.52329999999999999</v>
      </c>
      <c r="T280">
        <v>0.47570000000000001</v>
      </c>
      <c r="U280">
        <v>0.35210000000000002</v>
      </c>
      <c r="V280">
        <v>1</v>
      </c>
      <c r="W280">
        <v>1</v>
      </c>
      <c r="X280">
        <v>1</v>
      </c>
      <c r="Y280">
        <v>1</v>
      </c>
      <c r="Z280">
        <v>1</v>
      </c>
      <c r="AA280">
        <v>1</v>
      </c>
      <c r="AB280">
        <v>1</v>
      </c>
      <c r="AC280">
        <v>1</v>
      </c>
    </row>
    <row r="281" spans="1:29" x14ac:dyDescent="0.45">
      <c r="A281" t="s">
        <v>34</v>
      </c>
      <c r="B281" t="s">
        <v>438</v>
      </c>
      <c r="C281" t="s">
        <v>439</v>
      </c>
      <c r="D281" t="s">
        <v>424</v>
      </c>
      <c r="E281" t="str">
        <f t="shared" si="4"/>
        <v>IL|solar thermal|Winter</v>
      </c>
      <c r="F281">
        <v>1</v>
      </c>
      <c r="G281">
        <v>1</v>
      </c>
      <c r="H281">
        <v>1</v>
      </c>
      <c r="I281">
        <v>1</v>
      </c>
      <c r="J281">
        <v>1</v>
      </c>
      <c r="K281">
        <v>1</v>
      </c>
      <c r="L281">
        <v>1</v>
      </c>
      <c r="M281">
        <v>1</v>
      </c>
      <c r="N281">
        <v>1</v>
      </c>
      <c r="O281">
        <v>1</v>
      </c>
      <c r="P281">
        <v>1</v>
      </c>
      <c r="Q281">
        <v>1</v>
      </c>
      <c r="R281">
        <v>1</v>
      </c>
      <c r="S281">
        <v>1</v>
      </c>
      <c r="T281">
        <v>1</v>
      </c>
      <c r="U281">
        <v>1</v>
      </c>
      <c r="V281">
        <v>1</v>
      </c>
      <c r="W281">
        <v>1</v>
      </c>
      <c r="X281">
        <v>1</v>
      </c>
      <c r="Y281">
        <v>1</v>
      </c>
      <c r="Z281">
        <v>1</v>
      </c>
      <c r="AA281">
        <v>1</v>
      </c>
      <c r="AB281">
        <v>1</v>
      </c>
      <c r="AC281">
        <v>1</v>
      </c>
    </row>
    <row r="282" spans="1:29" x14ac:dyDescent="0.45">
      <c r="A282" t="s">
        <v>34</v>
      </c>
      <c r="B282" t="s">
        <v>438</v>
      </c>
      <c r="C282" t="s">
        <v>439</v>
      </c>
      <c r="D282" t="s">
        <v>425</v>
      </c>
      <c r="E282" t="str">
        <f t="shared" si="4"/>
        <v>IL|solar thermal|Spring</v>
      </c>
      <c r="F282">
        <v>1</v>
      </c>
      <c r="G282">
        <v>1</v>
      </c>
      <c r="H282">
        <v>1</v>
      </c>
      <c r="I282">
        <v>1</v>
      </c>
      <c r="J282">
        <v>1</v>
      </c>
      <c r="K282">
        <v>1</v>
      </c>
      <c r="L282">
        <v>1</v>
      </c>
      <c r="M282">
        <v>1</v>
      </c>
      <c r="N282">
        <v>1</v>
      </c>
      <c r="O282">
        <v>1</v>
      </c>
      <c r="P282">
        <v>1</v>
      </c>
      <c r="Q282">
        <v>1</v>
      </c>
      <c r="R282">
        <v>1</v>
      </c>
      <c r="S282">
        <v>1</v>
      </c>
      <c r="T282">
        <v>1</v>
      </c>
      <c r="U282">
        <v>1</v>
      </c>
      <c r="V282">
        <v>1</v>
      </c>
      <c r="W282">
        <v>1</v>
      </c>
      <c r="X282">
        <v>1</v>
      </c>
      <c r="Y282">
        <v>1</v>
      </c>
      <c r="Z282">
        <v>1</v>
      </c>
      <c r="AA282">
        <v>1</v>
      </c>
      <c r="AB282">
        <v>1</v>
      </c>
      <c r="AC282">
        <v>1</v>
      </c>
    </row>
    <row r="283" spans="1:29" x14ac:dyDescent="0.45">
      <c r="A283" t="s">
        <v>34</v>
      </c>
      <c r="B283" t="s">
        <v>438</v>
      </c>
      <c r="C283" t="s">
        <v>439</v>
      </c>
      <c r="D283" t="s">
        <v>426</v>
      </c>
      <c r="E283" t="str">
        <f t="shared" si="4"/>
        <v>IL|solar thermal|Summer</v>
      </c>
      <c r="F283">
        <v>1</v>
      </c>
      <c r="G283">
        <v>1</v>
      </c>
      <c r="H283">
        <v>1</v>
      </c>
      <c r="I283">
        <v>1</v>
      </c>
      <c r="J283">
        <v>1</v>
      </c>
      <c r="K283">
        <v>1</v>
      </c>
      <c r="L283">
        <v>1</v>
      </c>
      <c r="M283">
        <v>1</v>
      </c>
      <c r="N283">
        <v>1</v>
      </c>
      <c r="O283">
        <v>1</v>
      </c>
      <c r="P283">
        <v>1</v>
      </c>
      <c r="Q283">
        <v>1</v>
      </c>
      <c r="R283">
        <v>1</v>
      </c>
      <c r="S283">
        <v>1</v>
      </c>
      <c r="T283">
        <v>1</v>
      </c>
      <c r="U283">
        <v>1</v>
      </c>
      <c r="V283">
        <v>1</v>
      </c>
      <c r="W283">
        <v>1</v>
      </c>
      <c r="X283">
        <v>1</v>
      </c>
      <c r="Y283">
        <v>1</v>
      </c>
      <c r="Z283">
        <v>1</v>
      </c>
      <c r="AA283">
        <v>1</v>
      </c>
      <c r="AB283">
        <v>1</v>
      </c>
      <c r="AC283">
        <v>1</v>
      </c>
    </row>
    <row r="284" spans="1:29" x14ac:dyDescent="0.45">
      <c r="A284" t="s">
        <v>34</v>
      </c>
      <c r="B284" t="s">
        <v>438</v>
      </c>
      <c r="C284" t="s">
        <v>439</v>
      </c>
      <c r="D284" t="s">
        <v>427</v>
      </c>
      <c r="E284" t="str">
        <f t="shared" si="4"/>
        <v>IL|solar thermal|Fall</v>
      </c>
      <c r="F284">
        <v>1</v>
      </c>
      <c r="G284">
        <v>1</v>
      </c>
      <c r="H284">
        <v>1</v>
      </c>
      <c r="I284">
        <v>1</v>
      </c>
      <c r="J284">
        <v>1</v>
      </c>
      <c r="K284">
        <v>1</v>
      </c>
      <c r="L284">
        <v>1</v>
      </c>
      <c r="M284">
        <v>1</v>
      </c>
      <c r="N284">
        <v>1</v>
      </c>
      <c r="O284">
        <v>1</v>
      </c>
      <c r="P284">
        <v>1</v>
      </c>
      <c r="Q284">
        <v>1</v>
      </c>
      <c r="R284">
        <v>1</v>
      </c>
      <c r="S284">
        <v>1</v>
      </c>
      <c r="T284">
        <v>1</v>
      </c>
      <c r="U284">
        <v>1</v>
      </c>
      <c r="V284">
        <v>1</v>
      </c>
      <c r="W284">
        <v>1</v>
      </c>
      <c r="X284">
        <v>1</v>
      </c>
      <c r="Y284">
        <v>1</v>
      </c>
      <c r="Z284">
        <v>1</v>
      </c>
      <c r="AA284">
        <v>1</v>
      </c>
      <c r="AB284">
        <v>1</v>
      </c>
      <c r="AC284">
        <v>1</v>
      </c>
    </row>
    <row r="285" spans="1:29" x14ac:dyDescent="0.45">
      <c r="A285" t="s">
        <v>34</v>
      </c>
      <c r="B285" t="s">
        <v>438</v>
      </c>
      <c r="C285" t="s">
        <v>439</v>
      </c>
      <c r="D285" t="s">
        <v>428</v>
      </c>
      <c r="E285" t="str">
        <f t="shared" si="4"/>
        <v>IL|solar thermal|Summer Peak</v>
      </c>
      <c r="F285">
        <v>1</v>
      </c>
      <c r="G285">
        <v>1</v>
      </c>
      <c r="H285">
        <v>1</v>
      </c>
      <c r="I285">
        <v>1</v>
      </c>
      <c r="J285">
        <v>1</v>
      </c>
      <c r="K285">
        <v>1</v>
      </c>
      <c r="L285">
        <v>1</v>
      </c>
      <c r="M285">
        <v>0</v>
      </c>
      <c r="N285">
        <v>0.8639</v>
      </c>
      <c r="O285">
        <v>1</v>
      </c>
      <c r="P285">
        <v>1</v>
      </c>
      <c r="Q285">
        <v>0.97160000000000002</v>
      </c>
      <c r="R285">
        <v>0.96719999999999995</v>
      </c>
      <c r="S285">
        <v>1</v>
      </c>
      <c r="T285">
        <v>1</v>
      </c>
      <c r="U285">
        <v>1</v>
      </c>
      <c r="V285">
        <v>1</v>
      </c>
      <c r="W285">
        <v>1</v>
      </c>
      <c r="X285">
        <v>1</v>
      </c>
      <c r="Y285">
        <v>0.93130000000000002</v>
      </c>
      <c r="Z285">
        <v>0.70220000000000005</v>
      </c>
      <c r="AA285">
        <v>1</v>
      </c>
      <c r="AB285">
        <v>1</v>
      </c>
      <c r="AC285">
        <v>1</v>
      </c>
    </row>
    <row r="286" spans="1:29" x14ac:dyDescent="0.45">
      <c r="A286" t="s">
        <v>34</v>
      </c>
      <c r="B286" t="s">
        <v>438</v>
      </c>
      <c r="C286" t="s">
        <v>439</v>
      </c>
      <c r="D286" t="s">
        <v>429</v>
      </c>
      <c r="E286" t="str">
        <f t="shared" si="4"/>
        <v>IL|solar thermal|Winter Peak</v>
      </c>
      <c r="F286">
        <v>1</v>
      </c>
      <c r="G286">
        <v>1</v>
      </c>
      <c r="H286">
        <v>1</v>
      </c>
      <c r="I286">
        <v>1</v>
      </c>
      <c r="J286">
        <v>1</v>
      </c>
      <c r="K286">
        <v>1</v>
      </c>
      <c r="L286">
        <v>1</v>
      </c>
      <c r="M286">
        <v>1</v>
      </c>
      <c r="N286">
        <v>1</v>
      </c>
      <c r="O286">
        <v>0.2419</v>
      </c>
      <c r="P286">
        <v>0.95320000000000005</v>
      </c>
      <c r="Q286">
        <v>0.88039999999999996</v>
      </c>
      <c r="R286">
        <v>0.97819999999999996</v>
      </c>
      <c r="S286">
        <v>0.98950000000000005</v>
      </c>
      <c r="T286">
        <v>0.99270000000000003</v>
      </c>
      <c r="U286">
        <v>1</v>
      </c>
      <c r="V286">
        <v>1</v>
      </c>
      <c r="W286">
        <v>1</v>
      </c>
      <c r="X286">
        <v>0.89019999999999999</v>
      </c>
      <c r="Y286">
        <v>0</v>
      </c>
      <c r="Z286">
        <v>1</v>
      </c>
      <c r="AA286">
        <v>1</v>
      </c>
      <c r="AB286">
        <v>1</v>
      </c>
      <c r="AC286">
        <v>1</v>
      </c>
    </row>
    <row r="287" spans="1:29" x14ac:dyDescent="0.45">
      <c r="A287" t="s">
        <v>34</v>
      </c>
      <c r="B287" t="s">
        <v>440</v>
      </c>
      <c r="C287" t="s">
        <v>441</v>
      </c>
      <c r="D287" t="s">
        <v>424</v>
      </c>
      <c r="E287" t="str">
        <f t="shared" si="4"/>
        <v>IL|offshore wind|Winter</v>
      </c>
      <c r="F287">
        <v>1</v>
      </c>
      <c r="G287">
        <v>1</v>
      </c>
      <c r="H287">
        <v>1</v>
      </c>
      <c r="I287">
        <v>1</v>
      </c>
      <c r="J287">
        <v>1</v>
      </c>
      <c r="K287">
        <v>1</v>
      </c>
      <c r="L287">
        <v>1</v>
      </c>
      <c r="M287">
        <v>1</v>
      </c>
      <c r="N287">
        <v>1</v>
      </c>
      <c r="O287">
        <v>1</v>
      </c>
      <c r="P287">
        <v>1</v>
      </c>
      <c r="Q287">
        <v>1</v>
      </c>
      <c r="R287">
        <v>1</v>
      </c>
      <c r="S287">
        <v>1</v>
      </c>
      <c r="T287">
        <v>1</v>
      </c>
      <c r="U287">
        <v>1</v>
      </c>
      <c r="V287">
        <v>1</v>
      </c>
      <c r="W287">
        <v>1</v>
      </c>
      <c r="X287">
        <v>1</v>
      </c>
      <c r="Y287">
        <v>1</v>
      </c>
      <c r="Z287">
        <v>1</v>
      </c>
      <c r="AA287">
        <v>1</v>
      </c>
      <c r="AB287">
        <v>1</v>
      </c>
      <c r="AC287">
        <v>1</v>
      </c>
    </row>
    <row r="288" spans="1:29" x14ac:dyDescent="0.45">
      <c r="A288" t="s">
        <v>34</v>
      </c>
      <c r="B288" t="s">
        <v>440</v>
      </c>
      <c r="C288" t="s">
        <v>441</v>
      </c>
      <c r="D288" t="s">
        <v>425</v>
      </c>
      <c r="E288" t="str">
        <f t="shared" si="4"/>
        <v>IL|offshore wind|Spring</v>
      </c>
      <c r="F288">
        <v>1</v>
      </c>
      <c r="G288">
        <v>1</v>
      </c>
      <c r="H288">
        <v>1</v>
      </c>
      <c r="I288">
        <v>1</v>
      </c>
      <c r="J288">
        <v>1</v>
      </c>
      <c r="K288">
        <v>1</v>
      </c>
      <c r="L288">
        <v>1</v>
      </c>
      <c r="M288">
        <v>1</v>
      </c>
      <c r="N288">
        <v>1</v>
      </c>
      <c r="O288">
        <v>1</v>
      </c>
      <c r="P288">
        <v>1</v>
      </c>
      <c r="Q288">
        <v>1</v>
      </c>
      <c r="R288">
        <v>1</v>
      </c>
      <c r="S288">
        <v>1</v>
      </c>
      <c r="T288">
        <v>1</v>
      </c>
      <c r="U288">
        <v>1</v>
      </c>
      <c r="V288">
        <v>1</v>
      </c>
      <c r="W288">
        <v>1</v>
      </c>
      <c r="X288">
        <v>1</v>
      </c>
      <c r="Y288">
        <v>1</v>
      </c>
      <c r="Z288">
        <v>1</v>
      </c>
      <c r="AA288">
        <v>1</v>
      </c>
      <c r="AB288">
        <v>1</v>
      </c>
      <c r="AC288">
        <v>1</v>
      </c>
    </row>
    <row r="289" spans="1:29" x14ac:dyDescent="0.45">
      <c r="A289" t="s">
        <v>34</v>
      </c>
      <c r="B289" t="s">
        <v>440</v>
      </c>
      <c r="C289" t="s">
        <v>441</v>
      </c>
      <c r="D289" t="s">
        <v>426</v>
      </c>
      <c r="E289" t="str">
        <f t="shared" si="4"/>
        <v>IL|offshore wind|Summer</v>
      </c>
      <c r="F289">
        <v>1</v>
      </c>
      <c r="G289">
        <v>1</v>
      </c>
      <c r="H289">
        <v>1</v>
      </c>
      <c r="I289">
        <v>1</v>
      </c>
      <c r="J289">
        <v>1</v>
      </c>
      <c r="K289">
        <v>1</v>
      </c>
      <c r="L289">
        <v>1</v>
      </c>
      <c r="M289">
        <v>1</v>
      </c>
      <c r="N289">
        <v>1</v>
      </c>
      <c r="O289">
        <v>1</v>
      </c>
      <c r="P289">
        <v>1</v>
      </c>
      <c r="Q289">
        <v>1</v>
      </c>
      <c r="R289">
        <v>1</v>
      </c>
      <c r="S289">
        <v>1</v>
      </c>
      <c r="T289">
        <v>1</v>
      </c>
      <c r="U289">
        <v>1</v>
      </c>
      <c r="V289">
        <v>1</v>
      </c>
      <c r="W289">
        <v>1</v>
      </c>
      <c r="X289">
        <v>1</v>
      </c>
      <c r="Y289">
        <v>1</v>
      </c>
      <c r="Z289">
        <v>1</v>
      </c>
      <c r="AA289">
        <v>1</v>
      </c>
      <c r="AB289">
        <v>1</v>
      </c>
      <c r="AC289">
        <v>1</v>
      </c>
    </row>
    <row r="290" spans="1:29" x14ac:dyDescent="0.45">
      <c r="A290" t="s">
        <v>34</v>
      </c>
      <c r="B290" t="s">
        <v>440</v>
      </c>
      <c r="C290" t="s">
        <v>441</v>
      </c>
      <c r="D290" t="s">
        <v>427</v>
      </c>
      <c r="E290" t="str">
        <f t="shared" si="4"/>
        <v>IL|offshore wind|Fall</v>
      </c>
      <c r="F290">
        <v>1</v>
      </c>
      <c r="G290">
        <v>1</v>
      </c>
      <c r="H290">
        <v>1</v>
      </c>
      <c r="I290">
        <v>1</v>
      </c>
      <c r="J290">
        <v>1</v>
      </c>
      <c r="K290">
        <v>1</v>
      </c>
      <c r="L290">
        <v>1</v>
      </c>
      <c r="M290">
        <v>1</v>
      </c>
      <c r="N290">
        <v>1</v>
      </c>
      <c r="O290">
        <v>1</v>
      </c>
      <c r="P290">
        <v>1</v>
      </c>
      <c r="Q290">
        <v>1</v>
      </c>
      <c r="R290">
        <v>1</v>
      </c>
      <c r="S290">
        <v>1</v>
      </c>
      <c r="T290">
        <v>1</v>
      </c>
      <c r="U290">
        <v>1</v>
      </c>
      <c r="V290">
        <v>1</v>
      </c>
      <c r="W290">
        <v>1</v>
      </c>
      <c r="X290">
        <v>1</v>
      </c>
      <c r="Y290">
        <v>1</v>
      </c>
      <c r="Z290">
        <v>1</v>
      </c>
      <c r="AA290">
        <v>1</v>
      </c>
      <c r="AB290">
        <v>1</v>
      </c>
      <c r="AC290">
        <v>1</v>
      </c>
    </row>
    <row r="291" spans="1:29" x14ac:dyDescent="0.45">
      <c r="A291" t="s">
        <v>34</v>
      </c>
      <c r="B291" t="s">
        <v>440</v>
      </c>
      <c r="C291" t="s">
        <v>441</v>
      </c>
      <c r="D291" t="s">
        <v>428</v>
      </c>
      <c r="E291" t="str">
        <f t="shared" si="4"/>
        <v>IL|offshore wind|Summer Peak</v>
      </c>
      <c r="F291">
        <v>0.40810000000000002</v>
      </c>
      <c r="G291">
        <v>0.4239</v>
      </c>
      <c r="H291">
        <v>0.45760000000000001</v>
      </c>
      <c r="I291">
        <v>0.50319999999999998</v>
      </c>
      <c r="J291">
        <v>0.53649999999999998</v>
      </c>
      <c r="K291">
        <v>0.59399999999999997</v>
      </c>
      <c r="L291">
        <v>0.61929999999999996</v>
      </c>
      <c r="M291">
        <v>0.68859999999999999</v>
      </c>
      <c r="N291">
        <v>0.73480000000000001</v>
      </c>
      <c r="O291">
        <v>0.84350000000000003</v>
      </c>
      <c r="P291">
        <v>0.78200000000000003</v>
      </c>
      <c r="Q291">
        <v>0.74650000000000005</v>
      </c>
      <c r="R291">
        <v>0.63690000000000002</v>
      </c>
      <c r="S291">
        <v>0.60860000000000003</v>
      </c>
      <c r="T291">
        <v>0.64339999999999997</v>
      </c>
      <c r="U291">
        <v>0.69269999999999998</v>
      </c>
      <c r="V291">
        <v>0.71450000000000002</v>
      </c>
      <c r="W291">
        <v>0.75070000000000003</v>
      </c>
      <c r="X291">
        <v>0.72489999999999999</v>
      </c>
      <c r="Y291">
        <v>0.66049999999999998</v>
      </c>
      <c r="Z291">
        <v>0.69140000000000001</v>
      </c>
      <c r="AA291">
        <v>0.63080000000000003</v>
      </c>
      <c r="AB291">
        <v>0.63429999999999997</v>
      </c>
      <c r="AC291">
        <v>0.64390000000000003</v>
      </c>
    </row>
    <row r="292" spans="1:29" x14ac:dyDescent="0.45">
      <c r="A292" t="s">
        <v>34</v>
      </c>
      <c r="B292" t="s">
        <v>440</v>
      </c>
      <c r="C292" t="s">
        <v>441</v>
      </c>
      <c r="D292" t="s">
        <v>429</v>
      </c>
      <c r="E292" t="str">
        <f t="shared" si="4"/>
        <v>IL|offshore wind|Winter Peak</v>
      </c>
      <c r="F292">
        <v>0.95309999999999995</v>
      </c>
      <c r="G292">
        <v>0.95030000000000003</v>
      </c>
      <c r="H292">
        <v>0.95540000000000003</v>
      </c>
      <c r="I292">
        <v>0.96679999999999999</v>
      </c>
      <c r="J292">
        <v>1</v>
      </c>
      <c r="K292">
        <v>1</v>
      </c>
      <c r="L292">
        <v>1</v>
      </c>
      <c r="M292">
        <v>0.99209999999999998</v>
      </c>
      <c r="N292">
        <v>0.90149999999999997</v>
      </c>
      <c r="O292">
        <v>0.79779999999999995</v>
      </c>
      <c r="P292">
        <v>0.71879999999999999</v>
      </c>
      <c r="Q292">
        <v>0.67300000000000004</v>
      </c>
      <c r="R292">
        <v>0.60860000000000003</v>
      </c>
      <c r="S292">
        <v>0.58009999999999995</v>
      </c>
      <c r="T292">
        <v>0.58799999999999997</v>
      </c>
      <c r="U292">
        <v>0.61019999999999996</v>
      </c>
      <c r="V292">
        <v>0.61839999999999995</v>
      </c>
      <c r="W292">
        <v>0.60909999999999997</v>
      </c>
      <c r="X292">
        <v>0.62880000000000003</v>
      </c>
      <c r="Y292">
        <v>0.72889999999999999</v>
      </c>
      <c r="Z292">
        <v>0.84719999999999995</v>
      </c>
      <c r="AA292">
        <v>0.92220000000000002</v>
      </c>
      <c r="AB292">
        <v>0.86950000000000005</v>
      </c>
      <c r="AC292">
        <v>0.8054</v>
      </c>
    </row>
    <row r="293" spans="1:29" x14ac:dyDescent="0.45">
      <c r="A293" t="s">
        <v>36</v>
      </c>
      <c r="B293" t="s">
        <v>434</v>
      </c>
      <c r="C293" t="s">
        <v>435</v>
      </c>
      <c r="D293" t="s">
        <v>424</v>
      </c>
      <c r="E293" t="str">
        <f t="shared" si="4"/>
        <v>IN|onshore wind|Winter</v>
      </c>
      <c r="F293">
        <v>1</v>
      </c>
      <c r="G293">
        <v>1</v>
      </c>
      <c r="H293">
        <v>1</v>
      </c>
      <c r="I293">
        <v>1</v>
      </c>
      <c r="J293">
        <v>1</v>
      </c>
      <c r="K293">
        <v>1</v>
      </c>
      <c r="L293">
        <v>1</v>
      </c>
      <c r="M293">
        <v>1</v>
      </c>
      <c r="N293">
        <v>1</v>
      </c>
      <c r="O293">
        <v>1</v>
      </c>
      <c r="P293">
        <v>1</v>
      </c>
      <c r="Q293">
        <v>1</v>
      </c>
      <c r="R293">
        <v>1</v>
      </c>
      <c r="S293">
        <v>1</v>
      </c>
      <c r="T293">
        <v>1</v>
      </c>
      <c r="U293">
        <v>1</v>
      </c>
      <c r="V293">
        <v>1</v>
      </c>
      <c r="W293">
        <v>1</v>
      </c>
      <c r="X293">
        <v>1</v>
      </c>
      <c r="Y293">
        <v>1</v>
      </c>
      <c r="Z293">
        <v>1</v>
      </c>
      <c r="AA293">
        <v>1</v>
      </c>
      <c r="AB293">
        <v>1</v>
      </c>
      <c r="AC293">
        <v>1</v>
      </c>
    </row>
    <row r="294" spans="1:29" x14ac:dyDescent="0.45">
      <c r="A294" t="s">
        <v>36</v>
      </c>
      <c r="B294" t="s">
        <v>434</v>
      </c>
      <c r="C294" t="s">
        <v>435</v>
      </c>
      <c r="D294" t="s">
        <v>425</v>
      </c>
      <c r="E294" t="str">
        <f t="shared" si="4"/>
        <v>IN|onshore wind|Spring</v>
      </c>
      <c r="F294">
        <v>1</v>
      </c>
      <c r="G294">
        <v>1</v>
      </c>
      <c r="H294">
        <v>1</v>
      </c>
      <c r="I294">
        <v>1</v>
      </c>
      <c r="J294">
        <v>1</v>
      </c>
      <c r="K294">
        <v>1</v>
      </c>
      <c r="L294">
        <v>1</v>
      </c>
      <c r="M294">
        <v>1</v>
      </c>
      <c r="N294">
        <v>1</v>
      </c>
      <c r="O294">
        <v>1</v>
      </c>
      <c r="P294">
        <v>1</v>
      </c>
      <c r="Q294">
        <v>1</v>
      </c>
      <c r="R294">
        <v>1</v>
      </c>
      <c r="S294">
        <v>1</v>
      </c>
      <c r="T294">
        <v>1</v>
      </c>
      <c r="U294">
        <v>1</v>
      </c>
      <c r="V294">
        <v>1</v>
      </c>
      <c r="W294">
        <v>1</v>
      </c>
      <c r="X294">
        <v>1</v>
      </c>
      <c r="Y294">
        <v>1</v>
      </c>
      <c r="Z294">
        <v>1</v>
      </c>
      <c r="AA294">
        <v>1</v>
      </c>
      <c r="AB294">
        <v>1</v>
      </c>
      <c r="AC294">
        <v>1</v>
      </c>
    </row>
    <row r="295" spans="1:29" x14ac:dyDescent="0.45">
      <c r="A295" t="s">
        <v>36</v>
      </c>
      <c r="B295" t="s">
        <v>434</v>
      </c>
      <c r="C295" t="s">
        <v>435</v>
      </c>
      <c r="D295" t="s">
        <v>426</v>
      </c>
      <c r="E295" t="str">
        <f t="shared" si="4"/>
        <v>IN|onshore wind|Summer</v>
      </c>
      <c r="F295">
        <v>1</v>
      </c>
      <c r="G295">
        <v>1</v>
      </c>
      <c r="H295">
        <v>1</v>
      </c>
      <c r="I295">
        <v>1</v>
      </c>
      <c r="J295">
        <v>1</v>
      </c>
      <c r="K295">
        <v>1</v>
      </c>
      <c r="L295">
        <v>1</v>
      </c>
      <c r="M295">
        <v>1</v>
      </c>
      <c r="N295">
        <v>1</v>
      </c>
      <c r="O295">
        <v>1</v>
      </c>
      <c r="P295">
        <v>1</v>
      </c>
      <c r="Q295">
        <v>1</v>
      </c>
      <c r="R295">
        <v>1</v>
      </c>
      <c r="S295">
        <v>1</v>
      </c>
      <c r="T295">
        <v>1</v>
      </c>
      <c r="U295">
        <v>1</v>
      </c>
      <c r="V295">
        <v>1</v>
      </c>
      <c r="W295">
        <v>1</v>
      </c>
      <c r="X295">
        <v>1</v>
      </c>
      <c r="Y295">
        <v>1</v>
      </c>
      <c r="Z295">
        <v>1</v>
      </c>
      <c r="AA295">
        <v>1</v>
      </c>
      <c r="AB295">
        <v>1</v>
      </c>
      <c r="AC295">
        <v>1</v>
      </c>
    </row>
    <row r="296" spans="1:29" x14ac:dyDescent="0.45">
      <c r="A296" t="s">
        <v>36</v>
      </c>
      <c r="B296" t="s">
        <v>434</v>
      </c>
      <c r="C296" t="s">
        <v>435</v>
      </c>
      <c r="D296" t="s">
        <v>427</v>
      </c>
      <c r="E296" t="str">
        <f t="shared" si="4"/>
        <v>IN|onshore wind|Fall</v>
      </c>
      <c r="F296">
        <v>1</v>
      </c>
      <c r="G296">
        <v>1</v>
      </c>
      <c r="H296">
        <v>1</v>
      </c>
      <c r="I296">
        <v>1</v>
      </c>
      <c r="J296">
        <v>1</v>
      </c>
      <c r="K296">
        <v>1</v>
      </c>
      <c r="L296">
        <v>1</v>
      </c>
      <c r="M296">
        <v>1</v>
      </c>
      <c r="N296">
        <v>1</v>
      </c>
      <c r="O296">
        <v>1</v>
      </c>
      <c r="P296">
        <v>1</v>
      </c>
      <c r="Q296">
        <v>1</v>
      </c>
      <c r="R296">
        <v>1</v>
      </c>
      <c r="S296">
        <v>1</v>
      </c>
      <c r="T296">
        <v>1</v>
      </c>
      <c r="U296">
        <v>1</v>
      </c>
      <c r="V296">
        <v>1</v>
      </c>
      <c r="W296">
        <v>1</v>
      </c>
      <c r="X296">
        <v>1</v>
      </c>
      <c r="Y296">
        <v>1</v>
      </c>
      <c r="Z296">
        <v>1</v>
      </c>
      <c r="AA296">
        <v>1</v>
      </c>
      <c r="AB296">
        <v>1</v>
      </c>
      <c r="AC296">
        <v>1</v>
      </c>
    </row>
    <row r="297" spans="1:29" x14ac:dyDescent="0.45">
      <c r="A297" t="s">
        <v>36</v>
      </c>
      <c r="B297" t="s">
        <v>434</v>
      </c>
      <c r="C297" t="s">
        <v>435</v>
      </c>
      <c r="D297" t="s">
        <v>428</v>
      </c>
      <c r="E297" t="str">
        <f t="shared" si="4"/>
        <v>IN|onshore wind|Summer Peak</v>
      </c>
      <c r="F297">
        <v>0.2747</v>
      </c>
      <c r="G297">
        <v>0.32579999999999998</v>
      </c>
      <c r="H297">
        <v>0.32569999999999999</v>
      </c>
      <c r="I297">
        <v>0.30890000000000001</v>
      </c>
      <c r="J297">
        <v>0.3291</v>
      </c>
      <c r="K297">
        <v>0.32529999999999998</v>
      </c>
      <c r="L297">
        <v>0.56569999999999998</v>
      </c>
      <c r="M297">
        <v>0.42770000000000002</v>
      </c>
      <c r="N297">
        <v>0.10539999999999999</v>
      </c>
      <c r="O297">
        <v>0.1082</v>
      </c>
      <c r="P297">
        <v>0.1389</v>
      </c>
      <c r="Q297">
        <v>0.35539999999999999</v>
      </c>
      <c r="R297">
        <v>0.2616</v>
      </c>
      <c r="S297">
        <v>0.31669999999999998</v>
      </c>
      <c r="T297">
        <v>0.3891</v>
      </c>
      <c r="U297">
        <v>0.42630000000000001</v>
      </c>
      <c r="V297">
        <v>0.49130000000000001</v>
      </c>
      <c r="W297">
        <v>0.46560000000000001</v>
      </c>
      <c r="X297">
        <v>0.44490000000000002</v>
      </c>
      <c r="Y297">
        <v>0.33200000000000002</v>
      </c>
      <c r="Z297">
        <v>0.3337</v>
      </c>
      <c r="AA297">
        <v>0.2848</v>
      </c>
      <c r="AB297">
        <v>0.26400000000000001</v>
      </c>
      <c r="AC297">
        <v>0.2369</v>
      </c>
    </row>
    <row r="298" spans="1:29" x14ac:dyDescent="0.45">
      <c r="A298" t="s">
        <v>36</v>
      </c>
      <c r="B298" t="s">
        <v>434</v>
      </c>
      <c r="C298" t="s">
        <v>435</v>
      </c>
      <c r="D298" t="s">
        <v>429</v>
      </c>
      <c r="E298" t="str">
        <f t="shared" si="4"/>
        <v>IN|onshore wind|Winter Peak</v>
      </c>
      <c r="F298">
        <v>0.51649999999999996</v>
      </c>
      <c r="G298">
        <v>0.46350000000000002</v>
      </c>
      <c r="H298">
        <v>0.43309999999999998</v>
      </c>
      <c r="I298">
        <v>0.4294</v>
      </c>
      <c r="J298">
        <v>0.33629999999999999</v>
      </c>
      <c r="K298">
        <v>0.32240000000000002</v>
      </c>
      <c r="L298">
        <v>0.4113</v>
      </c>
      <c r="M298">
        <v>0.60089999999999999</v>
      </c>
      <c r="N298">
        <v>0.69799999999999995</v>
      </c>
      <c r="O298">
        <v>0.71950000000000003</v>
      </c>
      <c r="P298">
        <v>0.43919999999999998</v>
      </c>
      <c r="Q298">
        <v>0.35970000000000002</v>
      </c>
      <c r="R298">
        <v>0.38779999999999998</v>
      </c>
      <c r="S298">
        <v>0.40920000000000001</v>
      </c>
      <c r="T298">
        <v>0.22550000000000001</v>
      </c>
      <c r="U298">
        <v>0.15240000000000001</v>
      </c>
      <c r="V298">
        <v>0.16689999999999999</v>
      </c>
      <c r="W298">
        <v>0.22739999999999999</v>
      </c>
      <c r="X298">
        <v>0.3201</v>
      </c>
      <c r="Y298">
        <v>0.37080000000000002</v>
      </c>
      <c r="Z298">
        <v>0.38879999999999998</v>
      </c>
      <c r="AA298">
        <v>0.43919999999999998</v>
      </c>
      <c r="AB298">
        <v>0.46820000000000001</v>
      </c>
      <c r="AC298">
        <v>0.46739999999999998</v>
      </c>
    </row>
    <row r="299" spans="1:29" x14ac:dyDescent="0.45">
      <c r="A299" t="s">
        <v>36</v>
      </c>
      <c r="B299" t="s">
        <v>436</v>
      </c>
      <c r="C299" t="s">
        <v>437</v>
      </c>
      <c r="D299" t="s">
        <v>424</v>
      </c>
      <c r="E299" t="str">
        <f t="shared" si="4"/>
        <v>IN|solar pv|Winter</v>
      </c>
      <c r="F299">
        <v>1</v>
      </c>
      <c r="G299">
        <v>1</v>
      </c>
      <c r="H299">
        <v>1</v>
      </c>
      <c r="I299">
        <v>1</v>
      </c>
      <c r="J299">
        <v>1</v>
      </c>
      <c r="K299">
        <v>1</v>
      </c>
      <c r="L299">
        <v>1</v>
      </c>
      <c r="M299">
        <v>1</v>
      </c>
      <c r="N299">
        <v>1</v>
      </c>
      <c r="O299">
        <v>1</v>
      </c>
      <c r="P299">
        <v>1</v>
      </c>
      <c r="Q299">
        <v>1</v>
      </c>
      <c r="R299">
        <v>1</v>
      </c>
      <c r="S299">
        <v>1</v>
      </c>
      <c r="T299">
        <v>1</v>
      </c>
      <c r="U299">
        <v>1</v>
      </c>
      <c r="V299">
        <v>1</v>
      </c>
      <c r="W299">
        <v>1</v>
      </c>
      <c r="X299">
        <v>1</v>
      </c>
      <c r="Y299">
        <v>1</v>
      </c>
      <c r="Z299">
        <v>1</v>
      </c>
      <c r="AA299">
        <v>1</v>
      </c>
      <c r="AB299">
        <v>1</v>
      </c>
      <c r="AC299">
        <v>1</v>
      </c>
    </row>
    <row r="300" spans="1:29" x14ac:dyDescent="0.45">
      <c r="A300" t="s">
        <v>36</v>
      </c>
      <c r="B300" t="s">
        <v>436</v>
      </c>
      <c r="C300" t="s">
        <v>437</v>
      </c>
      <c r="D300" t="s">
        <v>425</v>
      </c>
      <c r="E300" t="str">
        <f t="shared" si="4"/>
        <v>IN|solar pv|Spring</v>
      </c>
      <c r="F300">
        <v>1</v>
      </c>
      <c r="G300">
        <v>1</v>
      </c>
      <c r="H300">
        <v>1</v>
      </c>
      <c r="I300">
        <v>1</v>
      </c>
      <c r="J300">
        <v>1</v>
      </c>
      <c r="K300">
        <v>1</v>
      </c>
      <c r="L300">
        <v>1</v>
      </c>
      <c r="M300">
        <v>1</v>
      </c>
      <c r="N300">
        <v>1</v>
      </c>
      <c r="O300">
        <v>1</v>
      </c>
      <c r="P300">
        <v>1</v>
      </c>
      <c r="Q300">
        <v>1</v>
      </c>
      <c r="R300">
        <v>1</v>
      </c>
      <c r="S300">
        <v>1</v>
      </c>
      <c r="T300">
        <v>1</v>
      </c>
      <c r="U300">
        <v>1</v>
      </c>
      <c r="V300">
        <v>1</v>
      </c>
      <c r="W300">
        <v>1</v>
      </c>
      <c r="X300">
        <v>1</v>
      </c>
      <c r="Y300">
        <v>1</v>
      </c>
      <c r="Z300">
        <v>1</v>
      </c>
      <c r="AA300">
        <v>1</v>
      </c>
      <c r="AB300">
        <v>1</v>
      </c>
      <c r="AC300">
        <v>1</v>
      </c>
    </row>
    <row r="301" spans="1:29" x14ac:dyDescent="0.45">
      <c r="A301" t="s">
        <v>36</v>
      </c>
      <c r="B301" t="s">
        <v>436</v>
      </c>
      <c r="C301" t="s">
        <v>437</v>
      </c>
      <c r="D301" t="s">
        <v>426</v>
      </c>
      <c r="E301" t="str">
        <f t="shared" si="4"/>
        <v>IN|solar pv|Summer</v>
      </c>
      <c r="F301">
        <v>1</v>
      </c>
      <c r="G301">
        <v>1</v>
      </c>
      <c r="H301">
        <v>1</v>
      </c>
      <c r="I301">
        <v>1</v>
      </c>
      <c r="J301">
        <v>1</v>
      </c>
      <c r="K301">
        <v>1</v>
      </c>
      <c r="L301">
        <v>1</v>
      </c>
      <c r="M301">
        <v>1</v>
      </c>
      <c r="N301">
        <v>1</v>
      </c>
      <c r="O301">
        <v>1</v>
      </c>
      <c r="P301">
        <v>1</v>
      </c>
      <c r="Q301">
        <v>1</v>
      </c>
      <c r="R301">
        <v>1</v>
      </c>
      <c r="S301">
        <v>1</v>
      </c>
      <c r="T301">
        <v>1</v>
      </c>
      <c r="U301">
        <v>1</v>
      </c>
      <c r="V301">
        <v>1</v>
      </c>
      <c r="W301">
        <v>1</v>
      </c>
      <c r="X301">
        <v>1</v>
      </c>
      <c r="Y301">
        <v>1</v>
      </c>
      <c r="Z301">
        <v>1</v>
      </c>
      <c r="AA301">
        <v>1</v>
      </c>
      <c r="AB301">
        <v>1</v>
      </c>
      <c r="AC301">
        <v>1</v>
      </c>
    </row>
    <row r="302" spans="1:29" x14ac:dyDescent="0.45">
      <c r="A302" t="s">
        <v>36</v>
      </c>
      <c r="B302" t="s">
        <v>436</v>
      </c>
      <c r="C302" t="s">
        <v>437</v>
      </c>
      <c r="D302" t="s">
        <v>427</v>
      </c>
      <c r="E302" t="str">
        <f t="shared" si="4"/>
        <v>IN|solar pv|Fall</v>
      </c>
      <c r="F302">
        <v>1</v>
      </c>
      <c r="G302">
        <v>1</v>
      </c>
      <c r="H302">
        <v>1</v>
      </c>
      <c r="I302">
        <v>1</v>
      </c>
      <c r="J302">
        <v>1</v>
      </c>
      <c r="K302">
        <v>1</v>
      </c>
      <c r="L302">
        <v>1</v>
      </c>
      <c r="M302">
        <v>1</v>
      </c>
      <c r="N302">
        <v>1</v>
      </c>
      <c r="O302">
        <v>1</v>
      </c>
      <c r="P302">
        <v>1</v>
      </c>
      <c r="Q302">
        <v>1</v>
      </c>
      <c r="R302">
        <v>1</v>
      </c>
      <c r="S302">
        <v>1</v>
      </c>
      <c r="T302">
        <v>1</v>
      </c>
      <c r="U302">
        <v>1</v>
      </c>
      <c r="V302">
        <v>1</v>
      </c>
      <c r="W302">
        <v>1</v>
      </c>
      <c r="X302">
        <v>1</v>
      </c>
      <c r="Y302">
        <v>1</v>
      </c>
      <c r="Z302">
        <v>1</v>
      </c>
      <c r="AA302">
        <v>1</v>
      </c>
      <c r="AB302">
        <v>1</v>
      </c>
      <c r="AC302">
        <v>1</v>
      </c>
    </row>
    <row r="303" spans="1:29" x14ac:dyDescent="0.45">
      <c r="A303" t="s">
        <v>36</v>
      </c>
      <c r="B303" t="s">
        <v>436</v>
      </c>
      <c r="C303" t="s">
        <v>437</v>
      </c>
      <c r="D303" t="s">
        <v>428</v>
      </c>
      <c r="E303" t="str">
        <f t="shared" si="4"/>
        <v>IN|solar pv|Summer Peak</v>
      </c>
      <c r="F303">
        <v>1</v>
      </c>
      <c r="G303">
        <v>1</v>
      </c>
      <c r="H303">
        <v>1</v>
      </c>
      <c r="I303">
        <v>1</v>
      </c>
      <c r="J303">
        <v>1</v>
      </c>
      <c r="K303">
        <v>0.23699999999999999</v>
      </c>
      <c r="L303">
        <v>0.87939999999999996</v>
      </c>
      <c r="M303">
        <v>0.98270000000000002</v>
      </c>
      <c r="N303">
        <v>1</v>
      </c>
      <c r="O303">
        <v>0.98909999999999998</v>
      </c>
      <c r="P303">
        <v>0.97130000000000005</v>
      </c>
      <c r="Q303">
        <v>0.95750000000000002</v>
      </c>
      <c r="R303">
        <v>0.96579999999999999</v>
      </c>
      <c r="S303">
        <v>0.95599999999999996</v>
      </c>
      <c r="T303">
        <v>0.92589999999999995</v>
      </c>
      <c r="U303">
        <v>0.86699999999999999</v>
      </c>
      <c r="V303">
        <v>0.9012</v>
      </c>
      <c r="W303">
        <v>0.91020000000000001</v>
      </c>
      <c r="X303">
        <v>0.71599999999999997</v>
      </c>
      <c r="Y303">
        <v>1</v>
      </c>
      <c r="Z303">
        <v>1</v>
      </c>
      <c r="AA303">
        <v>1</v>
      </c>
      <c r="AB303">
        <v>1</v>
      </c>
      <c r="AC303">
        <v>1</v>
      </c>
    </row>
    <row r="304" spans="1:29" x14ac:dyDescent="0.45">
      <c r="A304" t="s">
        <v>36</v>
      </c>
      <c r="B304" t="s">
        <v>436</v>
      </c>
      <c r="C304" t="s">
        <v>437</v>
      </c>
      <c r="D304" t="s">
        <v>429</v>
      </c>
      <c r="E304" t="str">
        <f t="shared" si="4"/>
        <v>IN|solar pv|Winter Peak</v>
      </c>
      <c r="F304">
        <v>1</v>
      </c>
      <c r="G304">
        <v>1</v>
      </c>
      <c r="H304">
        <v>1</v>
      </c>
      <c r="I304">
        <v>1</v>
      </c>
      <c r="J304">
        <v>1</v>
      </c>
      <c r="K304">
        <v>1</v>
      </c>
      <c r="L304">
        <v>1</v>
      </c>
      <c r="M304">
        <v>0.46560000000000001</v>
      </c>
      <c r="N304">
        <v>0.57689999999999997</v>
      </c>
      <c r="O304">
        <v>0.57350000000000001</v>
      </c>
      <c r="P304">
        <v>0.60760000000000003</v>
      </c>
      <c r="Q304">
        <v>0.75019999999999998</v>
      </c>
      <c r="R304">
        <v>0.75539999999999996</v>
      </c>
      <c r="S304">
        <v>0.75949999999999995</v>
      </c>
      <c r="T304">
        <v>0.65680000000000005</v>
      </c>
      <c r="U304">
        <v>0.49459999999999998</v>
      </c>
      <c r="V304">
        <v>0.39300000000000002</v>
      </c>
      <c r="W304">
        <v>1</v>
      </c>
      <c r="X304">
        <v>1</v>
      </c>
      <c r="Y304">
        <v>1</v>
      </c>
      <c r="Z304">
        <v>1</v>
      </c>
      <c r="AA304">
        <v>1</v>
      </c>
      <c r="AB304">
        <v>1</v>
      </c>
      <c r="AC304">
        <v>1</v>
      </c>
    </row>
    <row r="305" spans="1:29" x14ac:dyDescent="0.45">
      <c r="A305" t="s">
        <v>36</v>
      </c>
      <c r="B305" t="s">
        <v>438</v>
      </c>
      <c r="C305" t="s">
        <v>439</v>
      </c>
      <c r="D305" t="s">
        <v>424</v>
      </c>
      <c r="E305" t="str">
        <f t="shared" si="4"/>
        <v>IN|solar thermal|Winter</v>
      </c>
      <c r="F305">
        <v>1</v>
      </c>
      <c r="G305">
        <v>1</v>
      </c>
      <c r="H305">
        <v>1</v>
      </c>
      <c r="I305">
        <v>1</v>
      </c>
      <c r="J305">
        <v>1</v>
      </c>
      <c r="K305">
        <v>1</v>
      </c>
      <c r="L305">
        <v>1</v>
      </c>
      <c r="M305">
        <v>1</v>
      </c>
      <c r="N305">
        <v>1</v>
      </c>
      <c r="O305">
        <v>1</v>
      </c>
      <c r="P305">
        <v>1</v>
      </c>
      <c r="Q305">
        <v>1</v>
      </c>
      <c r="R305">
        <v>1</v>
      </c>
      <c r="S305">
        <v>1</v>
      </c>
      <c r="T305">
        <v>1</v>
      </c>
      <c r="U305">
        <v>1</v>
      </c>
      <c r="V305">
        <v>1</v>
      </c>
      <c r="W305">
        <v>1</v>
      </c>
      <c r="X305">
        <v>1</v>
      </c>
      <c r="Y305">
        <v>1</v>
      </c>
      <c r="Z305">
        <v>1</v>
      </c>
      <c r="AA305">
        <v>1</v>
      </c>
      <c r="AB305">
        <v>1</v>
      </c>
      <c r="AC305">
        <v>1</v>
      </c>
    </row>
    <row r="306" spans="1:29" x14ac:dyDescent="0.45">
      <c r="A306" t="s">
        <v>36</v>
      </c>
      <c r="B306" t="s">
        <v>438</v>
      </c>
      <c r="C306" t="s">
        <v>439</v>
      </c>
      <c r="D306" t="s">
        <v>425</v>
      </c>
      <c r="E306" t="str">
        <f t="shared" si="4"/>
        <v>IN|solar thermal|Spring</v>
      </c>
      <c r="F306">
        <v>1</v>
      </c>
      <c r="G306">
        <v>1</v>
      </c>
      <c r="H306">
        <v>1</v>
      </c>
      <c r="I306">
        <v>1</v>
      </c>
      <c r="J306">
        <v>1</v>
      </c>
      <c r="K306">
        <v>1</v>
      </c>
      <c r="L306">
        <v>1</v>
      </c>
      <c r="M306">
        <v>1</v>
      </c>
      <c r="N306">
        <v>1</v>
      </c>
      <c r="O306">
        <v>1</v>
      </c>
      <c r="P306">
        <v>1</v>
      </c>
      <c r="Q306">
        <v>1</v>
      </c>
      <c r="R306">
        <v>1</v>
      </c>
      <c r="S306">
        <v>1</v>
      </c>
      <c r="T306">
        <v>1</v>
      </c>
      <c r="U306">
        <v>1</v>
      </c>
      <c r="V306">
        <v>1</v>
      </c>
      <c r="W306">
        <v>1</v>
      </c>
      <c r="X306">
        <v>1</v>
      </c>
      <c r="Y306">
        <v>1</v>
      </c>
      <c r="Z306">
        <v>1</v>
      </c>
      <c r="AA306">
        <v>1</v>
      </c>
      <c r="AB306">
        <v>1</v>
      </c>
      <c r="AC306">
        <v>1</v>
      </c>
    </row>
    <row r="307" spans="1:29" x14ac:dyDescent="0.45">
      <c r="A307" t="s">
        <v>36</v>
      </c>
      <c r="B307" t="s">
        <v>438</v>
      </c>
      <c r="C307" t="s">
        <v>439</v>
      </c>
      <c r="D307" t="s">
        <v>426</v>
      </c>
      <c r="E307" t="str">
        <f t="shared" si="4"/>
        <v>IN|solar thermal|Summer</v>
      </c>
      <c r="F307">
        <v>1</v>
      </c>
      <c r="G307">
        <v>1</v>
      </c>
      <c r="H307">
        <v>1</v>
      </c>
      <c r="I307">
        <v>1</v>
      </c>
      <c r="J307">
        <v>1</v>
      </c>
      <c r="K307">
        <v>1</v>
      </c>
      <c r="L307">
        <v>1</v>
      </c>
      <c r="M307">
        <v>1</v>
      </c>
      <c r="N307">
        <v>1</v>
      </c>
      <c r="O307">
        <v>1</v>
      </c>
      <c r="P307">
        <v>1</v>
      </c>
      <c r="Q307">
        <v>1</v>
      </c>
      <c r="R307">
        <v>1</v>
      </c>
      <c r="S307">
        <v>1</v>
      </c>
      <c r="T307">
        <v>1</v>
      </c>
      <c r="U307">
        <v>1</v>
      </c>
      <c r="V307">
        <v>1</v>
      </c>
      <c r="W307">
        <v>1</v>
      </c>
      <c r="X307">
        <v>1</v>
      </c>
      <c r="Y307">
        <v>1</v>
      </c>
      <c r="Z307">
        <v>1</v>
      </c>
      <c r="AA307">
        <v>1</v>
      </c>
      <c r="AB307">
        <v>1</v>
      </c>
      <c r="AC307">
        <v>1</v>
      </c>
    </row>
    <row r="308" spans="1:29" x14ac:dyDescent="0.45">
      <c r="A308" t="s">
        <v>36</v>
      </c>
      <c r="B308" t="s">
        <v>438</v>
      </c>
      <c r="C308" t="s">
        <v>439</v>
      </c>
      <c r="D308" t="s">
        <v>427</v>
      </c>
      <c r="E308" t="str">
        <f t="shared" si="4"/>
        <v>IN|solar thermal|Fall</v>
      </c>
      <c r="F308">
        <v>1</v>
      </c>
      <c r="G308">
        <v>1</v>
      </c>
      <c r="H308">
        <v>1</v>
      </c>
      <c r="I308">
        <v>1</v>
      </c>
      <c r="J308">
        <v>1</v>
      </c>
      <c r="K308">
        <v>1</v>
      </c>
      <c r="L308">
        <v>1</v>
      </c>
      <c r="M308">
        <v>1</v>
      </c>
      <c r="N308">
        <v>1</v>
      </c>
      <c r="O308">
        <v>1</v>
      </c>
      <c r="P308">
        <v>1</v>
      </c>
      <c r="Q308">
        <v>1</v>
      </c>
      <c r="R308">
        <v>1</v>
      </c>
      <c r="S308">
        <v>1</v>
      </c>
      <c r="T308">
        <v>1</v>
      </c>
      <c r="U308">
        <v>1</v>
      </c>
      <c r="V308">
        <v>1</v>
      </c>
      <c r="W308">
        <v>1</v>
      </c>
      <c r="X308">
        <v>1</v>
      </c>
      <c r="Y308">
        <v>1</v>
      </c>
      <c r="Z308">
        <v>1</v>
      </c>
      <c r="AA308">
        <v>1</v>
      </c>
      <c r="AB308">
        <v>1</v>
      </c>
      <c r="AC308">
        <v>1</v>
      </c>
    </row>
    <row r="309" spans="1:29" x14ac:dyDescent="0.45">
      <c r="A309" t="s">
        <v>36</v>
      </c>
      <c r="B309" t="s">
        <v>438</v>
      </c>
      <c r="C309" t="s">
        <v>439</v>
      </c>
      <c r="D309" t="s">
        <v>428</v>
      </c>
      <c r="E309" t="str">
        <f t="shared" si="4"/>
        <v>IN|solar thermal|Summer Peak</v>
      </c>
      <c r="F309">
        <v>1</v>
      </c>
      <c r="G309">
        <v>1</v>
      </c>
      <c r="H309">
        <v>1</v>
      </c>
      <c r="I309">
        <v>1</v>
      </c>
      <c r="J309">
        <v>1</v>
      </c>
      <c r="K309">
        <v>1</v>
      </c>
      <c r="L309">
        <v>1</v>
      </c>
      <c r="M309">
        <v>0</v>
      </c>
      <c r="N309">
        <v>0.8639</v>
      </c>
      <c r="O309">
        <v>1</v>
      </c>
      <c r="P309">
        <v>1</v>
      </c>
      <c r="Q309">
        <v>0.97160000000000002</v>
      </c>
      <c r="R309">
        <v>0.96719999999999995</v>
      </c>
      <c r="S309">
        <v>1</v>
      </c>
      <c r="T309">
        <v>1</v>
      </c>
      <c r="U309">
        <v>1</v>
      </c>
      <c r="V309">
        <v>1</v>
      </c>
      <c r="W309">
        <v>1</v>
      </c>
      <c r="X309">
        <v>1</v>
      </c>
      <c r="Y309">
        <v>0.93130000000000002</v>
      </c>
      <c r="Z309">
        <v>0.70220000000000005</v>
      </c>
      <c r="AA309">
        <v>1</v>
      </c>
      <c r="AB309">
        <v>1</v>
      </c>
      <c r="AC309">
        <v>1</v>
      </c>
    </row>
    <row r="310" spans="1:29" x14ac:dyDescent="0.45">
      <c r="A310" t="s">
        <v>36</v>
      </c>
      <c r="B310" t="s">
        <v>438</v>
      </c>
      <c r="C310" t="s">
        <v>439</v>
      </c>
      <c r="D310" t="s">
        <v>429</v>
      </c>
      <c r="E310" t="str">
        <f t="shared" si="4"/>
        <v>IN|solar thermal|Winter Peak</v>
      </c>
      <c r="F310">
        <v>1</v>
      </c>
      <c r="G310">
        <v>1</v>
      </c>
      <c r="H310">
        <v>1</v>
      </c>
      <c r="I310">
        <v>1</v>
      </c>
      <c r="J310">
        <v>1</v>
      </c>
      <c r="K310">
        <v>1</v>
      </c>
      <c r="L310">
        <v>1</v>
      </c>
      <c r="M310">
        <v>1</v>
      </c>
      <c r="N310">
        <v>1</v>
      </c>
      <c r="O310">
        <v>0.2419</v>
      </c>
      <c r="P310">
        <v>0.95320000000000005</v>
      </c>
      <c r="Q310">
        <v>0.88039999999999996</v>
      </c>
      <c r="R310">
        <v>0.97819999999999996</v>
      </c>
      <c r="S310">
        <v>0.98950000000000005</v>
      </c>
      <c r="T310">
        <v>0.99270000000000003</v>
      </c>
      <c r="U310">
        <v>1</v>
      </c>
      <c r="V310">
        <v>1</v>
      </c>
      <c r="W310">
        <v>1</v>
      </c>
      <c r="X310">
        <v>0.89019999999999999</v>
      </c>
      <c r="Y310">
        <v>0</v>
      </c>
      <c r="Z310">
        <v>1</v>
      </c>
      <c r="AA310">
        <v>1</v>
      </c>
      <c r="AB310">
        <v>1</v>
      </c>
      <c r="AC310">
        <v>1</v>
      </c>
    </row>
    <row r="311" spans="1:29" x14ac:dyDescent="0.45">
      <c r="A311" t="s">
        <v>36</v>
      </c>
      <c r="B311" t="s">
        <v>440</v>
      </c>
      <c r="C311" t="s">
        <v>441</v>
      </c>
      <c r="D311" t="s">
        <v>424</v>
      </c>
      <c r="E311" t="str">
        <f t="shared" si="4"/>
        <v>IN|offshore wind|Winter</v>
      </c>
      <c r="F311">
        <v>1</v>
      </c>
      <c r="G311">
        <v>1</v>
      </c>
      <c r="H311">
        <v>1</v>
      </c>
      <c r="I311">
        <v>1</v>
      </c>
      <c r="J311">
        <v>1</v>
      </c>
      <c r="K311">
        <v>1</v>
      </c>
      <c r="L311">
        <v>1</v>
      </c>
      <c r="M311">
        <v>1</v>
      </c>
      <c r="N311">
        <v>1</v>
      </c>
      <c r="O311">
        <v>1</v>
      </c>
      <c r="P311">
        <v>1</v>
      </c>
      <c r="Q311">
        <v>1</v>
      </c>
      <c r="R311">
        <v>1</v>
      </c>
      <c r="S311">
        <v>1</v>
      </c>
      <c r="T311">
        <v>1</v>
      </c>
      <c r="U311">
        <v>1</v>
      </c>
      <c r="V311">
        <v>1</v>
      </c>
      <c r="W311">
        <v>1</v>
      </c>
      <c r="X311">
        <v>1</v>
      </c>
      <c r="Y311">
        <v>1</v>
      </c>
      <c r="Z311">
        <v>1</v>
      </c>
      <c r="AA311">
        <v>1</v>
      </c>
      <c r="AB311">
        <v>1</v>
      </c>
      <c r="AC311">
        <v>1</v>
      </c>
    </row>
    <row r="312" spans="1:29" x14ac:dyDescent="0.45">
      <c r="A312" t="s">
        <v>36</v>
      </c>
      <c r="B312" t="s">
        <v>440</v>
      </c>
      <c r="C312" t="s">
        <v>441</v>
      </c>
      <c r="D312" t="s">
        <v>425</v>
      </c>
      <c r="E312" t="str">
        <f t="shared" si="4"/>
        <v>IN|offshore wind|Spring</v>
      </c>
      <c r="F312">
        <v>1</v>
      </c>
      <c r="G312">
        <v>1</v>
      </c>
      <c r="H312">
        <v>1</v>
      </c>
      <c r="I312">
        <v>1</v>
      </c>
      <c r="J312">
        <v>1</v>
      </c>
      <c r="K312">
        <v>1</v>
      </c>
      <c r="L312">
        <v>1</v>
      </c>
      <c r="M312">
        <v>1</v>
      </c>
      <c r="N312">
        <v>1</v>
      </c>
      <c r="O312">
        <v>1</v>
      </c>
      <c r="P312">
        <v>1</v>
      </c>
      <c r="Q312">
        <v>1</v>
      </c>
      <c r="R312">
        <v>1</v>
      </c>
      <c r="S312">
        <v>1</v>
      </c>
      <c r="T312">
        <v>1</v>
      </c>
      <c r="U312">
        <v>1</v>
      </c>
      <c r="V312">
        <v>1</v>
      </c>
      <c r="W312">
        <v>1</v>
      </c>
      <c r="X312">
        <v>1</v>
      </c>
      <c r="Y312">
        <v>1</v>
      </c>
      <c r="Z312">
        <v>1</v>
      </c>
      <c r="AA312">
        <v>1</v>
      </c>
      <c r="AB312">
        <v>1</v>
      </c>
      <c r="AC312">
        <v>1</v>
      </c>
    </row>
    <row r="313" spans="1:29" x14ac:dyDescent="0.45">
      <c r="A313" t="s">
        <v>36</v>
      </c>
      <c r="B313" t="s">
        <v>440</v>
      </c>
      <c r="C313" t="s">
        <v>441</v>
      </c>
      <c r="D313" t="s">
        <v>426</v>
      </c>
      <c r="E313" t="str">
        <f t="shared" si="4"/>
        <v>IN|offshore wind|Summer</v>
      </c>
      <c r="F313">
        <v>1</v>
      </c>
      <c r="G313">
        <v>1</v>
      </c>
      <c r="H313">
        <v>1</v>
      </c>
      <c r="I313">
        <v>1</v>
      </c>
      <c r="J313">
        <v>1</v>
      </c>
      <c r="K313">
        <v>1</v>
      </c>
      <c r="L313">
        <v>1</v>
      </c>
      <c r="M313">
        <v>1</v>
      </c>
      <c r="N313">
        <v>1</v>
      </c>
      <c r="O313">
        <v>1</v>
      </c>
      <c r="P313">
        <v>1</v>
      </c>
      <c r="Q313">
        <v>1</v>
      </c>
      <c r="R313">
        <v>1</v>
      </c>
      <c r="S313">
        <v>1</v>
      </c>
      <c r="T313">
        <v>1</v>
      </c>
      <c r="U313">
        <v>1</v>
      </c>
      <c r="V313">
        <v>1</v>
      </c>
      <c r="W313">
        <v>1</v>
      </c>
      <c r="X313">
        <v>1</v>
      </c>
      <c r="Y313">
        <v>1</v>
      </c>
      <c r="Z313">
        <v>1</v>
      </c>
      <c r="AA313">
        <v>1</v>
      </c>
      <c r="AB313">
        <v>1</v>
      </c>
      <c r="AC313">
        <v>1</v>
      </c>
    </row>
    <row r="314" spans="1:29" x14ac:dyDescent="0.45">
      <c r="A314" t="s">
        <v>36</v>
      </c>
      <c r="B314" t="s">
        <v>440</v>
      </c>
      <c r="C314" t="s">
        <v>441</v>
      </c>
      <c r="D314" t="s">
        <v>427</v>
      </c>
      <c r="E314" t="str">
        <f t="shared" si="4"/>
        <v>IN|offshore wind|Fall</v>
      </c>
      <c r="F314">
        <v>1</v>
      </c>
      <c r="G314">
        <v>1</v>
      </c>
      <c r="H314">
        <v>1</v>
      </c>
      <c r="I314">
        <v>1</v>
      </c>
      <c r="J314">
        <v>1</v>
      </c>
      <c r="K314">
        <v>1</v>
      </c>
      <c r="L314">
        <v>1</v>
      </c>
      <c r="M314">
        <v>1</v>
      </c>
      <c r="N314">
        <v>1</v>
      </c>
      <c r="O314">
        <v>1</v>
      </c>
      <c r="P314">
        <v>1</v>
      </c>
      <c r="Q314">
        <v>1</v>
      </c>
      <c r="R314">
        <v>1</v>
      </c>
      <c r="S314">
        <v>1</v>
      </c>
      <c r="T314">
        <v>1</v>
      </c>
      <c r="U314">
        <v>1</v>
      </c>
      <c r="V314">
        <v>1</v>
      </c>
      <c r="W314">
        <v>1</v>
      </c>
      <c r="X314">
        <v>1</v>
      </c>
      <c r="Y314">
        <v>1</v>
      </c>
      <c r="Z314">
        <v>1</v>
      </c>
      <c r="AA314">
        <v>1</v>
      </c>
      <c r="AB314">
        <v>1</v>
      </c>
      <c r="AC314">
        <v>1</v>
      </c>
    </row>
    <row r="315" spans="1:29" x14ac:dyDescent="0.45">
      <c r="A315" t="s">
        <v>36</v>
      </c>
      <c r="B315" t="s">
        <v>440</v>
      </c>
      <c r="C315" t="s">
        <v>441</v>
      </c>
      <c r="D315" t="s">
        <v>428</v>
      </c>
      <c r="E315" t="str">
        <f t="shared" si="4"/>
        <v>IN|offshore wind|Summer Peak</v>
      </c>
      <c r="F315">
        <v>0.40810000000000002</v>
      </c>
      <c r="G315">
        <v>0.4239</v>
      </c>
      <c r="H315">
        <v>0.45760000000000001</v>
      </c>
      <c r="I315">
        <v>0.50319999999999998</v>
      </c>
      <c r="J315">
        <v>0.53649999999999998</v>
      </c>
      <c r="K315">
        <v>0.59399999999999997</v>
      </c>
      <c r="L315">
        <v>0.61929999999999996</v>
      </c>
      <c r="M315">
        <v>0.68859999999999999</v>
      </c>
      <c r="N315">
        <v>0.73480000000000001</v>
      </c>
      <c r="O315">
        <v>0.84350000000000003</v>
      </c>
      <c r="P315">
        <v>0.78200000000000003</v>
      </c>
      <c r="Q315">
        <v>0.74650000000000005</v>
      </c>
      <c r="R315">
        <v>0.63690000000000002</v>
      </c>
      <c r="S315">
        <v>0.60860000000000003</v>
      </c>
      <c r="T315">
        <v>0.64339999999999997</v>
      </c>
      <c r="U315">
        <v>0.69269999999999998</v>
      </c>
      <c r="V315">
        <v>0.71450000000000002</v>
      </c>
      <c r="W315">
        <v>0.75070000000000003</v>
      </c>
      <c r="X315">
        <v>0.72489999999999999</v>
      </c>
      <c r="Y315">
        <v>0.66049999999999998</v>
      </c>
      <c r="Z315">
        <v>0.69140000000000001</v>
      </c>
      <c r="AA315">
        <v>0.63080000000000003</v>
      </c>
      <c r="AB315">
        <v>0.63429999999999997</v>
      </c>
      <c r="AC315">
        <v>0.64390000000000003</v>
      </c>
    </row>
    <row r="316" spans="1:29" x14ac:dyDescent="0.45">
      <c r="A316" t="s">
        <v>36</v>
      </c>
      <c r="B316" t="s">
        <v>440</v>
      </c>
      <c r="C316" t="s">
        <v>441</v>
      </c>
      <c r="D316" t="s">
        <v>429</v>
      </c>
      <c r="E316" t="str">
        <f t="shared" si="4"/>
        <v>IN|offshore wind|Winter Peak</v>
      </c>
      <c r="F316">
        <v>0.95309999999999995</v>
      </c>
      <c r="G316">
        <v>0.95030000000000003</v>
      </c>
      <c r="H316">
        <v>0.95540000000000003</v>
      </c>
      <c r="I316">
        <v>0.96679999999999999</v>
      </c>
      <c r="J316">
        <v>1</v>
      </c>
      <c r="K316">
        <v>1</v>
      </c>
      <c r="L316">
        <v>1</v>
      </c>
      <c r="M316">
        <v>0.99209999999999998</v>
      </c>
      <c r="N316">
        <v>0.90149999999999997</v>
      </c>
      <c r="O316">
        <v>0.79779999999999995</v>
      </c>
      <c r="P316">
        <v>0.71879999999999999</v>
      </c>
      <c r="Q316">
        <v>0.67300000000000004</v>
      </c>
      <c r="R316">
        <v>0.60860000000000003</v>
      </c>
      <c r="S316">
        <v>0.58009999999999995</v>
      </c>
      <c r="T316">
        <v>0.58799999999999997</v>
      </c>
      <c r="U316">
        <v>0.61019999999999996</v>
      </c>
      <c r="V316">
        <v>0.61839999999999995</v>
      </c>
      <c r="W316">
        <v>0.60909999999999997</v>
      </c>
      <c r="X316">
        <v>0.62880000000000003</v>
      </c>
      <c r="Y316">
        <v>0.72889999999999999</v>
      </c>
      <c r="Z316">
        <v>0.84719999999999995</v>
      </c>
      <c r="AA316">
        <v>0.92220000000000002</v>
      </c>
      <c r="AB316">
        <v>0.86950000000000005</v>
      </c>
      <c r="AC316">
        <v>0.8054</v>
      </c>
    </row>
    <row r="317" spans="1:29" x14ac:dyDescent="0.45">
      <c r="A317" t="s">
        <v>39</v>
      </c>
      <c r="B317" t="s">
        <v>434</v>
      </c>
      <c r="C317" t="s">
        <v>435</v>
      </c>
      <c r="D317" t="s">
        <v>424</v>
      </c>
      <c r="E317" t="str">
        <f t="shared" si="4"/>
        <v>KS|onshore wind|Winter</v>
      </c>
      <c r="F317">
        <v>1</v>
      </c>
      <c r="G317">
        <v>1</v>
      </c>
      <c r="H317">
        <v>1</v>
      </c>
      <c r="I317">
        <v>1</v>
      </c>
      <c r="J317">
        <v>1</v>
      </c>
      <c r="K317">
        <v>1</v>
      </c>
      <c r="L317">
        <v>1</v>
      </c>
      <c r="M317">
        <v>1</v>
      </c>
      <c r="N317">
        <v>1</v>
      </c>
      <c r="O317">
        <v>1</v>
      </c>
      <c r="P317">
        <v>1</v>
      </c>
      <c r="Q317">
        <v>1</v>
      </c>
      <c r="R317">
        <v>1</v>
      </c>
      <c r="S317">
        <v>1</v>
      </c>
      <c r="T317">
        <v>1</v>
      </c>
      <c r="U317">
        <v>1</v>
      </c>
      <c r="V317">
        <v>1</v>
      </c>
      <c r="W317">
        <v>1</v>
      </c>
      <c r="X317">
        <v>1</v>
      </c>
      <c r="Y317">
        <v>1</v>
      </c>
      <c r="Z317">
        <v>1</v>
      </c>
      <c r="AA317">
        <v>1</v>
      </c>
      <c r="AB317">
        <v>1</v>
      </c>
      <c r="AC317">
        <v>1</v>
      </c>
    </row>
    <row r="318" spans="1:29" x14ac:dyDescent="0.45">
      <c r="A318" t="s">
        <v>39</v>
      </c>
      <c r="B318" t="s">
        <v>434</v>
      </c>
      <c r="C318" t="s">
        <v>435</v>
      </c>
      <c r="D318" t="s">
        <v>425</v>
      </c>
      <c r="E318" t="str">
        <f t="shared" si="4"/>
        <v>KS|onshore wind|Spring</v>
      </c>
      <c r="F318">
        <v>1</v>
      </c>
      <c r="G318">
        <v>1</v>
      </c>
      <c r="H318">
        <v>1</v>
      </c>
      <c r="I318">
        <v>1</v>
      </c>
      <c r="J318">
        <v>1</v>
      </c>
      <c r="K318">
        <v>1</v>
      </c>
      <c r="L318">
        <v>1</v>
      </c>
      <c r="M318">
        <v>1</v>
      </c>
      <c r="N318">
        <v>1</v>
      </c>
      <c r="O318">
        <v>1</v>
      </c>
      <c r="P318">
        <v>1</v>
      </c>
      <c r="Q318">
        <v>1</v>
      </c>
      <c r="R318">
        <v>1</v>
      </c>
      <c r="S318">
        <v>1</v>
      </c>
      <c r="T318">
        <v>1</v>
      </c>
      <c r="U318">
        <v>1</v>
      </c>
      <c r="V318">
        <v>1</v>
      </c>
      <c r="W318">
        <v>1</v>
      </c>
      <c r="X318">
        <v>1</v>
      </c>
      <c r="Y318">
        <v>1</v>
      </c>
      <c r="Z318">
        <v>1</v>
      </c>
      <c r="AA318">
        <v>1</v>
      </c>
      <c r="AB318">
        <v>1</v>
      </c>
      <c r="AC318">
        <v>1</v>
      </c>
    </row>
    <row r="319" spans="1:29" x14ac:dyDescent="0.45">
      <c r="A319" t="s">
        <v>39</v>
      </c>
      <c r="B319" t="s">
        <v>434</v>
      </c>
      <c r="C319" t="s">
        <v>435</v>
      </c>
      <c r="D319" t="s">
        <v>426</v>
      </c>
      <c r="E319" t="str">
        <f t="shared" si="4"/>
        <v>KS|onshore wind|Summer</v>
      </c>
      <c r="F319">
        <v>1</v>
      </c>
      <c r="G319">
        <v>1</v>
      </c>
      <c r="H319">
        <v>1</v>
      </c>
      <c r="I319">
        <v>1</v>
      </c>
      <c r="J319">
        <v>1</v>
      </c>
      <c r="K319">
        <v>1</v>
      </c>
      <c r="L319">
        <v>1</v>
      </c>
      <c r="M319">
        <v>1</v>
      </c>
      <c r="N319">
        <v>1</v>
      </c>
      <c r="O319">
        <v>1</v>
      </c>
      <c r="P319">
        <v>1</v>
      </c>
      <c r="Q319">
        <v>1</v>
      </c>
      <c r="R319">
        <v>1</v>
      </c>
      <c r="S319">
        <v>1</v>
      </c>
      <c r="T319">
        <v>1</v>
      </c>
      <c r="U319">
        <v>1</v>
      </c>
      <c r="V319">
        <v>1</v>
      </c>
      <c r="W319">
        <v>1</v>
      </c>
      <c r="X319">
        <v>1</v>
      </c>
      <c r="Y319">
        <v>1</v>
      </c>
      <c r="Z319">
        <v>1</v>
      </c>
      <c r="AA319">
        <v>1</v>
      </c>
      <c r="AB319">
        <v>1</v>
      </c>
      <c r="AC319">
        <v>1</v>
      </c>
    </row>
    <row r="320" spans="1:29" x14ac:dyDescent="0.45">
      <c r="A320" t="s">
        <v>39</v>
      </c>
      <c r="B320" t="s">
        <v>434</v>
      </c>
      <c r="C320" t="s">
        <v>435</v>
      </c>
      <c r="D320" t="s">
        <v>427</v>
      </c>
      <c r="E320" t="str">
        <f t="shared" si="4"/>
        <v>KS|onshore wind|Fall</v>
      </c>
      <c r="F320">
        <v>1</v>
      </c>
      <c r="G320">
        <v>1</v>
      </c>
      <c r="H320">
        <v>1</v>
      </c>
      <c r="I320">
        <v>1</v>
      </c>
      <c r="J320">
        <v>1</v>
      </c>
      <c r="K320">
        <v>1</v>
      </c>
      <c r="L320">
        <v>1</v>
      </c>
      <c r="M320">
        <v>1</v>
      </c>
      <c r="N320">
        <v>1</v>
      </c>
      <c r="O320">
        <v>1</v>
      </c>
      <c r="P320">
        <v>1</v>
      </c>
      <c r="Q320">
        <v>1</v>
      </c>
      <c r="R320">
        <v>1</v>
      </c>
      <c r="S320">
        <v>1</v>
      </c>
      <c r="T320">
        <v>1</v>
      </c>
      <c r="U320">
        <v>1</v>
      </c>
      <c r="V320">
        <v>1</v>
      </c>
      <c r="W320">
        <v>1</v>
      </c>
      <c r="X320">
        <v>1</v>
      </c>
      <c r="Y320">
        <v>1</v>
      </c>
      <c r="Z320">
        <v>1</v>
      </c>
      <c r="AA320">
        <v>1</v>
      </c>
      <c r="AB320">
        <v>1</v>
      </c>
      <c r="AC320">
        <v>1</v>
      </c>
    </row>
    <row r="321" spans="1:29" x14ac:dyDescent="0.45">
      <c r="A321" t="s">
        <v>39</v>
      </c>
      <c r="B321" t="s">
        <v>434</v>
      </c>
      <c r="C321" t="s">
        <v>435</v>
      </c>
      <c r="D321" t="s">
        <v>428</v>
      </c>
      <c r="E321" t="str">
        <f t="shared" si="4"/>
        <v>KS|onshore wind|Summer Peak</v>
      </c>
      <c r="F321">
        <v>0.68689999999999996</v>
      </c>
      <c r="G321">
        <v>0.67179999999999995</v>
      </c>
      <c r="H321">
        <v>0.65280000000000005</v>
      </c>
      <c r="I321">
        <v>0.76749999999999996</v>
      </c>
      <c r="J321">
        <v>0.87</v>
      </c>
      <c r="K321">
        <v>0.92530000000000001</v>
      </c>
      <c r="L321">
        <v>0.85489999999999999</v>
      </c>
      <c r="M321">
        <v>0.58889999999999998</v>
      </c>
      <c r="N321">
        <v>0.51900000000000002</v>
      </c>
      <c r="O321">
        <v>0.50449999999999995</v>
      </c>
      <c r="P321">
        <v>0.43919999999999998</v>
      </c>
      <c r="Q321">
        <v>0.42059999999999997</v>
      </c>
      <c r="R321">
        <v>0.38329999999999997</v>
      </c>
      <c r="S321">
        <v>0.44159999999999999</v>
      </c>
      <c r="T321">
        <v>0.52490000000000003</v>
      </c>
      <c r="U321">
        <v>0.50190000000000001</v>
      </c>
      <c r="V321">
        <v>0.62280000000000002</v>
      </c>
      <c r="W321">
        <v>0.77510000000000001</v>
      </c>
      <c r="X321">
        <v>0.88570000000000004</v>
      </c>
      <c r="Y321">
        <v>0.84799999999999998</v>
      </c>
      <c r="Z321">
        <v>0.84240000000000004</v>
      </c>
      <c r="AA321">
        <v>0.85399999999999998</v>
      </c>
      <c r="AB321">
        <v>0.83150000000000002</v>
      </c>
      <c r="AC321">
        <v>0.75470000000000004</v>
      </c>
    </row>
    <row r="322" spans="1:29" x14ac:dyDescent="0.45">
      <c r="A322" t="s">
        <v>39</v>
      </c>
      <c r="B322" t="s">
        <v>434</v>
      </c>
      <c r="C322" t="s">
        <v>435</v>
      </c>
      <c r="D322" t="s">
        <v>429</v>
      </c>
      <c r="E322" t="str">
        <f t="shared" si="4"/>
        <v>KS|onshore wind|Winter Peak</v>
      </c>
      <c r="F322">
        <v>0.24709999999999999</v>
      </c>
      <c r="G322">
        <v>0.23150000000000001</v>
      </c>
      <c r="H322">
        <v>0.26910000000000001</v>
      </c>
      <c r="I322">
        <v>0.38300000000000001</v>
      </c>
      <c r="J322">
        <v>0.33610000000000001</v>
      </c>
      <c r="K322">
        <v>0.25750000000000001</v>
      </c>
      <c r="L322">
        <v>0.21060000000000001</v>
      </c>
      <c r="M322">
        <v>0.2384</v>
      </c>
      <c r="N322">
        <v>0.34739999999999999</v>
      </c>
      <c r="O322">
        <v>0.62560000000000004</v>
      </c>
      <c r="P322">
        <v>0.2429</v>
      </c>
      <c r="Q322">
        <v>0.16689999999999999</v>
      </c>
      <c r="R322">
        <v>0.2316</v>
      </c>
      <c r="S322">
        <v>0.374</v>
      </c>
      <c r="T322">
        <v>0.51700000000000002</v>
      </c>
      <c r="U322">
        <v>0.59730000000000005</v>
      </c>
      <c r="V322">
        <v>0.73619999999999997</v>
      </c>
      <c r="W322">
        <v>0.71479999999999999</v>
      </c>
      <c r="X322">
        <v>0.68740000000000001</v>
      </c>
      <c r="Y322">
        <v>0.71120000000000005</v>
      </c>
      <c r="Z322">
        <v>0.69899999999999995</v>
      </c>
      <c r="AA322">
        <v>0.67290000000000005</v>
      </c>
      <c r="AB322">
        <v>0.80030000000000001</v>
      </c>
      <c r="AC322">
        <v>0.70699999999999996</v>
      </c>
    </row>
    <row r="323" spans="1:29" x14ac:dyDescent="0.45">
      <c r="A323" t="s">
        <v>39</v>
      </c>
      <c r="B323" t="s">
        <v>436</v>
      </c>
      <c r="C323" t="s">
        <v>437</v>
      </c>
      <c r="D323" t="s">
        <v>424</v>
      </c>
      <c r="E323" t="str">
        <f t="shared" si="4"/>
        <v>KS|solar pv|Winter</v>
      </c>
      <c r="F323">
        <v>1</v>
      </c>
      <c r="G323">
        <v>1</v>
      </c>
      <c r="H323">
        <v>1</v>
      </c>
      <c r="I323">
        <v>1</v>
      </c>
      <c r="J323">
        <v>1</v>
      </c>
      <c r="K323">
        <v>1</v>
      </c>
      <c r="L323">
        <v>1</v>
      </c>
      <c r="M323">
        <v>1</v>
      </c>
      <c r="N323">
        <v>1</v>
      </c>
      <c r="O323">
        <v>1</v>
      </c>
      <c r="P323">
        <v>1</v>
      </c>
      <c r="Q323">
        <v>1</v>
      </c>
      <c r="R323">
        <v>1</v>
      </c>
      <c r="S323">
        <v>1</v>
      </c>
      <c r="T323">
        <v>1</v>
      </c>
      <c r="U323">
        <v>1</v>
      </c>
      <c r="V323">
        <v>1</v>
      </c>
      <c r="W323">
        <v>1</v>
      </c>
      <c r="X323">
        <v>1</v>
      </c>
      <c r="Y323">
        <v>1</v>
      </c>
      <c r="Z323">
        <v>1</v>
      </c>
      <c r="AA323">
        <v>1</v>
      </c>
      <c r="AB323">
        <v>1</v>
      </c>
      <c r="AC323">
        <v>1</v>
      </c>
    </row>
    <row r="324" spans="1:29" x14ac:dyDescent="0.45">
      <c r="A324" t="s">
        <v>39</v>
      </c>
      <c r="B324" t="s">
        <v>436</v>
      </c>
      <c r="C324" t="s">
        <v>437</v>
      </c>
      <c r="D324" t="s">
        <v>425</v>
      </c>
      <c r="E324" t="str">
        <f t="shared" si="4"/>
        <v>KS|solar pv|Spring</v>
      </c>
      <c r="F324">
        <v>1</v>
      </c>
      <c r="G324">
        <v>1</v>
      </c>
      <c r="H324">
        <v>1</v>
      </c>
      <c r="I324">
        <v>1</v>
      </c>
      <c r="J324">
        <v>1</v>
      </c>
      <c r="K324">
        <v>1</v>
      </c>
      <c r="L324">
        <v>1</v>
      </c>
      <c r="M324">
        <v>1</v>
      </c>
      <c r="N324">
        <v>1</v>
      </c>
      <c r="O324">
        <v>1</v>
      </c>
      <c r="P324">
        <v>1</v>
      </c>
      <c r="Q324">
        <v>1</v>
      </c>
      <c r="R324">
        <v>1</v>
      </c>
      <c r="S324">
        <v>1</v>
      </c>
      <c r="T324">
        <v>1</v>
      </c>
      <c r="U324">
        <v>1</v>
      </c>
      <c r="V324">
        <v>1</v>
      </c>
      <c r="W324">
        <v>1</v>
      </c>
      <c r="X324">
        <v>1</v>
      </c>
      <c r="Y324">
        <v>1</v>
      </c>
      <c r="Z324">
        <v>1</v>
      </c>
      <c r="AA324">
        <v>1</v>
      </c>
      <c r="AB324">
        <v>1</v>
      </c>
      <c r="AC324">
        <v>1</v>
      </c>
    </row>
    <row r="325" spans="1:29" x14ac:dyDescent="0.45">
      <c r="A325" t="s">
        <v>39</v>
      </c>
      <c r="B325" t="s">
        <v>436</v>
      </c>
      <c r="C325" t="s">
        <v>437</v>
      </c>
      <c r="D325" t="s">
        <v>426</v>
      </c>
      <c r="E325" t="str">
        <f t="shared" ref="E325:E388" si="5">A325&amp;"|"&amp;C325&amp;"|"&amp;D325</f>
        <v>KS|solar pv|Summer</v>
      </c>
      <c r="F325">
        <v>1</v>
      </c>
      <c r="G325">
        <v>1</v>
      </c>
      <c r="H325">
        <v>1</v>
      </c>
      <c r="I325">
        <v>1</v>
      </c>
      <c r="J325">
        <v>1</v>
      </c>
      <c r="K325">
        <v>1</v>
      </c>
      <c r="L325">
        <v>1</v>
      </c>
      <c r="M325">
        <v>1</v>
      </c>
      <c r="N325">
        <v>1</v>
      </c>
      <c r="O325">
        <v>1</v>
      </c>
      <c r="P325">
        <v>1</v>
      </c>
      <c r="Q325">
        <v>1</v>
      </c>
      <c r="R325">
        <v>1</v>
      </c>
      <c r="S325">
        <v>1</v>
      </c>
      <c r="T325">
        <v>1</v>
      </c>
      <c r="U325">
        <v>1</v>
      </c>
      <c r="V325">
        <v>1</v>
      </c>
      <c r="W325">
        <v>1</v>
      </c>
      <c r="X325">
        <v>1</v>
      </c>
      <c r="Y325">
        <v>1</v>
      </c>
      <c r="Z325">
        <v>1</v>
      </c>
      <c r="AA325">
        <v>1</v>
      </c>
      <c r="AB325">
        <v>1</v>
      </c>
      <c r="AC325">
        <v>1</v>
      </c>
    </row>
    <row r="326" spans="1:29" x14ac:dyDescent="0.45">
      <c r="A326" t="s">
        <v>39</v>
      </c>
      <c r="B326" t="s">
        <v>436</v>
      </c>
      <c r="C326" t="s">
        <v>437</v>
      </c>
      <c r="D326" t="s">
        <v>427</v>
      </c>
      <c r="E326" t="str">
        <f t="shared" si="5"/>
        <v>KS|solar pv|Fall</v>
      </c>
      <c r="F326">
        <v>1</v>
      </c>
      <c r="G326">
        <v>1</v>
      </c>
      <c r="H326">
        <v>1</v>
      </c>
      <c r="I326">
        <v>1</v>
      </c>
      <c r="J326">
        <v>1</v>
      </c>
      <c r="K326">
        <v>1</v>
      </c>
      <c r="L326">
        <v>1</v>
      </c>
      <c r="M326">
        <v>1</v>
      </c>
      <c r="N326">
        <v>1</v>
      </c>
      <c r="O326">
        <v>1</v>
      </c>
      <c r="P326">
        <v>1</v>
      </c>
      <c r="Q326">
        <v>1</v>
      </c>
      <c r="R326">
        <v>1</v>
      </c>
      <c r="S326">
        <v>1</v>
      </c>
      <c r="T326">
        <v>1</v>
      </c>
      <c r="U326">
        <v>1</v>
      </c>
      <c r="V326">
        <v>1</v>
      </c>
      <c r="W326">
        <v>1</v>
      </c>
      <c r="X326">
        <v>1</v>
      </c>
      <c r="Y326">
        <v>1</v>
      </c>
      <c r="Z326">
        <v>1</v>
      </c>
      <c r="AA326">
        <v>1</v>
      </c>
      <c r="AB326">
        <v>1</v>
      </c>
      <c r="AC326">
        <v>1</v>
      </c>
    </row>
    <row r="327" spans="1:29" x14ac:dyDescent="0.45">
      <c r="A327" t="s">
        <v>39</v>
      </c>
      <c r="B327" t="s">
        <v>436</v>
      </c>
      <c r="C327" t="s">
        <v>437</v>
      </c>
      <c r="D327" t="s">
        <v>428</v>
      </c>
      <c r="E327" t="str">
        <f t="shared" si="5"/>
        <v>KS|solar pv|Summer Peak</v>
      </c>
      <c r="F327">
        <v>1</v>
      </c>
      <c r="G327">
        <v>1</v>
      </c>
      <c r="H327">
        <v>1</v>
      </c>
      <c r="I327">
        <v>1</v>
      </c>
      <c r="J327">
        <v>1</v>
      </c>
      <c r="K327">
        <v>8.3999999999999995E-3</v>
      </c>
      <c r="L327">
        <v>0.79710000000000003</v>
      </c>
      <c r="M327">
        <v>0.89129999999999998</v>
      </c>
      <c r="N327">
        <v>0.95840000000000003</v>
      </c>
      <c r="O327">
        <v>0.93269999999999997</v>
      </c>
      <c r="P327">
        <v>0.98209999999999997</v>
      </c>
      <c r="Q327">
        <v>0.97519999999999996</v>
      </c>
      <c r="R327">
        <v>0.98019999999999996</v>
      </c>
      <c r="S327">
        <v>0.94720000000000004</v>
      </c>
      <c r="T327">
        <v>0.81859999999999999</v>
      </c>
      <c r="U327">
        <v>0.93589999999999995</v>
      </c>
      <c r="V327">
        <v>0.96940000000000004</v>
      </c>
      <c r="W327">
        <v>0.92769999999999997</v>
      </c>
      <c r="X327">
        <v>0.2359</v>
      </c>
      <c r="Y327">
        <v>1</v>
      </c>
      <c r="Z327">
        <v>1</v>
      </c>
      <c r="AA327">
        <v>1</v>
      </c>
      <c r="AB327">
        <v>1</v>
      </c>
      <c r="AC327">
        <v>1</v>
      </c>
    </row>
    <row r="328" spans="1:29" x14ac:dyDescent="0.45">
      <c r="A328" t="s">
        <v>39</v>
      </c>
      <c r="B328" t="s">
        <v>436</v>
      </c>
      <c r="C328" t="s">
        <v>437</v>
      </c>
      <c r="D328" t="s">
        <v>429</v>
      </c>
      <c r="E328" t="str">
        <f t="shared" si="5"/>
        <v>KS|solar pv|Winter Peak</v>
      </c>
      <c r="F328">
        <v>1</v>
      </c>
      <c r="G328">
        <v>1</v>
      </c>
      <c r="H328">
        <v>1</v>
      </c>
      <c r="I328">
        <v>1</v>
      </c>
      <c r="J328">
        <v>1</v>
      </c>
      <c r="K328">
        <v>1</v>
      </c>
      <c r="L328">
        <v>1</v>
      </c>
      <c r="M328">
        <v>6.6E-3</v>
      </c>
      <c r="N328">
        <v>0.65300000000000002</v>
      </c>
      <c r="O328">
        <v>1</v>
      </c>
      <c r="P328">
        <v>1</v>
      </c>
      <c r="Q328">
        <v>1</v>
      </c>
      <c r="R328">
        <v>1</v>
      </c>
      <c r="S328">
        <v>0.93310000000000004</v>
      </c>
      <c r="T328">
        <v>0.95440000000000003</v>
      </c>
      <c r="U328">
        <v>0.94330000000000003</v>
      </c>
      <c r="V328">
        <v>0.87119999999999997</v>
      </c>
      <c r="W328">
        <v>1</v>
      </c>
      <c r="X328">
        <v>1</v>
      </c>
      <c r="Y328">
        <v>1</v>
      </c>
      <c r="Z328">
        <v>1</v>
      </c>
      <c r="AA328">
        <v>1</v>
      </c>
      <c r="AB328">
        <v>1</v>
      </c>
      <c r="AC328">
        <v>1</v>
      </c>
    </row>
    <row r="329" spans="1:29" x14ac:dyDescent="0.45">
      <c r="A329" t="s">
        <v>39</v>
      </c>
      <c r="B329" t="s">
        <v>438</v>
      </c>
      <c r="C329" t="s">
        <v>439</v>
      </c>
      <c r="D329" t="s">
        <v>424</v>
      </c>
      <c r="E329" t="str">
        <f t="shared" si="5"/>
        <v>KS|solar thermal|Winter</v>
      </c>
      <c r="F329">
        <v>1</v>
      </c>
      <c r="G329">
        <v>1</v>
      </c>
      <c r="H329">
        <v>1</v>
      </c>
      <c r="I329">
        <v>1</v>
      </c>
      <c r="J329">
        <v>1</v>
      </c>
      <c r="K329">
        <v>1</v>
      </c>
      <c r="L329">
        <v>1</v>
      </c>
      <c r="M329">
        <v>1</v>
      </c>
      <c r="N329">
        <v>1</v>
      </c>
      <c r="O329">
        <v>1</v>
      </c>
      <c r="P329">
        <v>1</v>
      </c>
      <c r="Q329">
        <v>1</v>
      </c>
      <c r="R329">
        <v>1</v>
      </c>
      <c r="S329">
        <v>1</v>
      </c>
      <c r="T329">
        <v>1</v>
      </c>
      <c r="U329">
        <v>1</v>
      </c>
      <c r="V329">
        <v>1</v>
      </c>
      <c r="W329">
        <v>1</v>
      </c>
      <c r="X329">
        <v>1</v>
      </c>
      <c r="Y329">
        <v>1</v>
      </c>
      <c r="Z329">
        <v>1</v>
      </c>
      <c r="AA329">
        <v>1</v>
      </c>
      <c r="AB329">
        <v>1</v>
      </c>
      <c r="AC329">
        <v>1</v>
      </c>
    </row>
    <row r="330" spans="1:29" x14ac:dyDescent="0.45">
      <c r="A330" t="s">
        <v>39</v>
      </c>
      <c r="B330" t="s">
        <v>438</v>
      </c>
      <c r="C330" t="s">
        <v>439</v>
      </c>
      <c r="D330" t="s">
        <v>425</v>
      </c>
      <c r="E330" t="str">
        <f t="shared" si="5"/>
        <v>KS|solar thermal|Spring</v>
      </c>
      <c r="F330">
        <v>1</v>
      </c>
      <c r="G330">
        <v>1</v>
      </c>
      <c r="H330">
        <v>1</v>
      </c>
      <c r="I330">
        <v>1</v>
      </c>
      <c r="J330">
        <v>1</v>
      </c>
      <c r="K330">
        <v>1</v>
      </c>
      <c r="L330">
        <v>1</v>
      </c>
      <c r="M330">
        <v>1</v>
      </c>
      <c r="N330">
        <v>1</v>
      </c>
      <c r="O330">
        <v>1</v>
      </c>
      <c r="P330">
        <v>1</v>
      </c>
      <c r="Q330">
        <v>1</v>
      </c>
      <c r="R330">
        <v>1</v>
      </c>
      <c r="S330">
        <v>1</v>
      </c>
      <c r="T330">
        <v>1</v>
      </c>
      <c r="U330">
        <v>1</v>
      </c>
      <c r="V330">
        <v>1</v>
      </c>
      <c r="W330">
        <v>1</v>
      </c>
      <c r="X330">
        <v>1</v>
      </c>
      <c r="Y330">
        <v>1</v>
      </c>
      <c r="Z330">
        <v>1</v>
      </c>
      <c r="AA330">
        <v>1</v>
      </c>
      <c r="AB330">
        <v>1</v>
      </c>
      <c r="AC330">
        <v>1</v>
      </c>
    </row>
    <row r="331" spans="1:29" x14ac:dyDescent="0.45">
      <c r="A331" t="s">
        <v>39</v>
      </c>
      <c r="B331" t="s">
        <v>438</v>
      </c>
      <c r="C331" t="s">
        <v>439</v>
      </c>
      <c r="D331" t="s">
        <v>426</v>
      </c>
      <c r="E331" t="str">
        <f t="shared" si="5"/>
        <v>KS|solar thermal|Summer</v>
      </c>
      <c r="F331">
        <v>1</v>
      </c>
      <c r="G331">
        <v>1</v>
      </c>
      <c r="H331">
        <v>1</v>
      </c>
      <c r="I331">
        <v>1</v>
      </c>
      <c r="J331">
        <v>1</v>
      </c>
      <c r="K331">
        <v>1</v>
      </c>
      <c r="L331">
        <v>1</v>
      </c>
      <c r="M331">
        <v>1</v>
      </c>
      <c r="N331">
        <v>1</v>
      </c>
      <c r="O331">
        <v>1</v>
      </c>
      <c r="P331">
        <v>1</v>
      </c>
      <c r="Q331">
        <v>1</v>
      </c>
      <c r="R331">
        <v>1</v>
      </c>
      <c r="S331">
        <v>1</v>
      </c>
      <c r="T331">
        <v>1</v>
      </c>
      <c r="U331">
        <v>1</v>
      </c>
      <c r="V331">
        <v>1</v>
      </c>
      <c r="W331">
        <v>1</v>
      </c>
      <c r="X331">
        <v>1</v>
      </c>
      <c r="Y331">
        <v>1</v>
      </c>
      <c r="Z331">
        <v>1</v>
      </c>
      <c r="AA331">
        <v>1</v>
      </c>
      <c r="AB331">
        <v>1</v>
      </c>
      <c r="AC331">
        <v>1</v>
      </c>
    </row>
    <row r="332" spans="1:29" x14ac:dyDescent="0.45">
      <c r="A332" t="s">
        <v>39</v>
      </c>
      <c r="B332" t="s">
        <v>438</v>
      </c>
      <c r="C332" t="s">
        <v>439</v>
      </c>
      <c r="D332" t="s">
        <v>427</v>
      </c>
      <c r="E332" t="str">
        <f t="shared" si="5"/>
        <v>KS|solar thermal|Fall</v>
      </c>
      <c r="F332">
        <v>1</v>
      </c>
      <c r="G332">
        <v>1</v>
      </c>
      <c r="H332">
        <v>1</v>
      </c>
      <c r="I332">
        <v>1</v>
      </c>
      <c r="J332">
        <v>1</v>
      </c>
      <c r="K332">
        <v>1</v>
      </c>
      <c r="L332">
        <v>1</v>
      </c>
      <c r="M332">
        <v>1</v>
      </c>
      <c r="N332">
        <v>1</v>
      </c>
      <c r="O332">
        <v>1</v>
      </c>
      <c r="P332">
        <v>1</v>
      </c>
      <c r="Q332">
        <v>1</v>
      </c>
      <c r="R332">
        <v>1</v>
      </c>
      <c r="S332">
        <v>1</v>
      </c>
      <c r="T332">
        <v>1</v>
      </c>
      <c r="U332">
        <v>1</v>
      </c>
      <c r="V332">
        <v>1</v>
      </c>
      <c r="W332">
        <v>1</v>
      </c>
      <c r="X332">
        <v>1</v>
      </c>
      <c r="Y332">
        <v>1</v>
      </c>
      <c r="Z332">
        <v>1</v>
      </c>
      <c r="AA332">
        <v>1</v>
      </c>
      <c r="AB332">
        <v>1</v>
      </c>
      <c r="AC332">
        <v>1</v>
      </c>
    </row>
    <row r="333" spans="1:29" x14ac:dyDescent="0.45">
      <c r="A333" t="s">
        <v>39</v>
      </c>
      <c r="B333" t="s">
        <v>438</v>
      </c>
      <c r="C333" t="s">
        <v>439</v>
      </c>
      <c r="D333" t="s">
        <v>428</v>
      </c>
      <c r="E333" t="str">
        <f t="shared" si="5"/>
        <v>KS|solar thermal|Summer Peak</v>
      </c>
      <c r="F333">
        <v>1</v>
      </c>
      <c r="G333">
        <v>1</v>
      </c>
      <c r="H333">
        <v>1</v>
      </c>
      <c r="I333">
        <v>1</v>
      </c>
      <c r="J333">
        <v>1</v>
      </c>
      <c r="K333">
        <v>1</v>
      </c>
      <c r="L333">
        <v>1</v>
      </c>
      <c r="M333">
        <v>0</v>
      </c>
      <c r="N333">
        <v>0.8639</v>
      </c>
      <c r="O333">
        <v>1</v>
      </c>
      <c r="P333">
        <v>1</v>
      </c>
      <c r="Q333">
        <v>0.97160000000000002</v>
      </c>
      <c r="R333">
        <v>0.96719999999999995</v>
      </c>
      <c r="S333">
        <v>1</v>
      </c>
      <c r="T333">
        <v>1</v>
      </c>
      <c r="U333">
        <v>1</v>
      </c>
      <c r="V333">
        <v>1</v>
      </c>
      <c r="W333">
        <v>1</v>
      </c>
      <c r="X333">
        <v>1</v>
      </c>
      <c r="Y333">
        <v>0.93130000000000002</v>
      </c>
      <c r="Z333">
        <v>0.70220000000000005</v>
      </c>
      <c r="AA333">
        <v>1</v>
      </c>
      <c r="AB333">
        <v>1</v>
      </c>
      <c r="AC333">
        <v>1</v>
      </c>
    </row>
    <row r="334" spans="1:29" x14ac:dyDescent="0.45">
      <c r="A334" t="s">
        <v>39</v>
      </c>
      <c r="B334" t="s">
        <v>438</v>
      </c>
      <c r="C334" t="s">
        <v>439</v>
      </c>
      <c r="D334" t="s">
        <v>429</v>
      </c>
      <c r="E334" t="str">
        <f t="shared" si="5"/>
        <v>KS|solar thermal|Winter Peak</v>
      </c>
      <c r="F334">
        <v>1</v>
      </c>
      <c r="G334">
        <v>1</v>
      </c>
      <c r="H334">
        <v>1</v>
      </c>
      <c r="I334">
        <v>1</v>
      </c>
      <c r="J334">
        <v>1</v>
      </c>
      <c r="K334">
        <v>1</v>
      </c>
      <c r="L334">
        <v>1</v>
      </c>
      <c r="M334">
        <v>1</v>
      </c>
      <c r="N334">
        <v>1</v>
      </c>
      <c r="O334">
        <v>0.2419</v>
      </c>
      <c r="P334">
        <v>0.95320000000000005</v>
      </c>
      <c r="Q334">
        <v>0.88039999999999996</v>
      </c>
      <c r="R334">
        <v>0.97819999999999996</v>
      </c>
      <c r="S334">
        <v>0.98950000000000005</v>
      </c>
      <c r="T334">
        <v>0.99270000000000003</v>
      </c>
      <c r="U334">
        <v>1</v>
      </c>
      <c r="V334">
        <v>1</v>
      </c>
      <c r="W334">
        <v>1</v>
      </c>
      <c r="X334">
        <v>0.89019999999999999</v>
      </c>
      <c r="Y334">
        <v>0</v>
      </c>
      <c r="Z334">
        <v>1</v>
      </c>
      <c r="AA334">
        <v>1</v>
      </c>
      <c r="AB334">
        <v>1</v>
      </c>
      <c r="AC334">
        <v>1</v>
      </c>
    </row>
    <row r="335" spans="1:29" x14ac:dyDescent="0.45">
      <c r="A335" t="s">
        <v>39</v>
      </c>
      <c r="B335" t="s">
        <v>440</v>
      </c>
      <c r="C335" t="s">
        <v>441</v>
      </c>
      <c r="D335" t="s">
        <v>424</v>
      </c>
      <c r="E335" t="str">
        <f t="shared" si="5"/>
        <v>KS|offshore wind|Winter</v>
      </c>
      <c r="F335">
        <v>1</v>
      </c>
      <c r="G335">
        <v>1</v>
      </c>
      <c r="H335">
        <v>1</v>
      </c>
      <c r="I335">
        <v>1</v>
      </c>
      <c r="J335">
        <v>1</v>
      </c>
      <c r="K335">
        <v>1</v>
      </c>
      <c r="L335">
        <v>1</v>
      </c>
      <c r="M335">
        <v>1</v>
      </c>
      <c r="N335">
        <v>1</v>
      </c>
      <c r="O335">
        <v>1</v>
      </c>
      <c r="P335">
        <v>1</v>
      </c>
      <c r="Q335">
        <v>1</v>
      </c>
      <c r="R335">
        <v>1</v>
      </c>
      <c r="S335">
        <v>1</v>
      </c>
      <c r="T335">
        <v>1</v>
      </c>
      <c r="U335">
        <v>1</v>
      </c>
      <c r="V335">
        <v>1</v>
      </c>
      <c r="W335">
        <v>1</v>
      </c>
      <c r="X335">
        <v>1</v>
      </c>
      <c r="Y335">
        <v>1</v>
      </c>
      <c r="Z335">
        <v>1</v>
      </c>
      <c r="AA335">
        <v>1</v>
      </c>
      <c r="AB335">
        <v>1</v>
      </c>
      <c r="AC335">
        <v>1</v>
      </c>
    </row>
    <row r="336" spans="1:29" x14ac:dyDescent="0.45">
      <c r="A336" t="s">
        <v>39</v>
      </c>
      <c r="B336" t="s">
        <v>440</v>
      </c>
      <c r="C336" t="s">
        <v>441</v>
      </c>
      <c r="D336" t="s">
        <v>425</v>
      </c>
      <c r="E336" t="str">
        <f t="shared" si="5"/>
        <v>KS|offshore wind|Spring</v>
      </c>
      <c r="F336">
        <v>1</v>
      </c>
      <c r="G336">
        <v>1</v>
      </c>
      <c r="H336">
        <v>1</v>
      </c>
      <c r="I336">
        <v>1</v>
      </c>
      <c r="J336">
        <v>1</v>
      </c>
      <c r="K336">
        <v>1</v>
      </c>
      <c r="L336">
        <v>1</v>
      </c>
      <c r="M336">
        <v>1</v>
      </c>
      <c r="N336">
        <v>1</v>
      </c>
      <c r="O336">
        <v>1</v>
      </c>
      <c r="P336">
        <v>1</v>
      </c>
      <c r="Q336">
        <v>1</v>
      </c>
      <c r="R336">
        <v>1</v>
      </c>
      <c r="S336">
        <v>1</v>
      </c>
      <c r="T336">
        <v>1</v>
      </c>
      <c r="U336">
        <v>1</v>
      </c>
      <c r="V336">
        <v>1</v>
      </c>
      <c r="W336">
        <v>1</v>
      </c>
      <c r="X336">
        <v>1</v>
      </c>
      <c r="Y336">
        <v>1</v>
      </c>
      <c r="Z336">
        <v>1</v>
      </c>
      <c r="AA336">
        <v>1</v>
      </c>
      <c r="AB336">
        <v>1</v>
      </c>
      <c r="AC336">
        <v>1</v>
      </c>
    </row>
    <row r="337" spans="1:29" x14ac:dyDescent="0.45">
      <c r="A337" t="s">
        <v>39</v>
      </c>
      <c r="B337" t="s">
        <v>440</v>
      </c>
      <c r="C337" t="s">
        <v>441</v>
      </c>
      <c r="D337" t="s">
        <v>426</v>
      </c>
      <c r="E337" t="str">
        <f t="shared" si="5"/>
        <v>KS|offshore wind|Summer</v>
      </c>
      <c r="F337">
        <v>1</v>
      </c>
      <c r="G337">
        <v>1</v>
      </c>
      <c r="H337">
        <v>1</v>
      </c>
      <c r="I337">
        <v>1</v>
      </c>
      <c r="J337">
        <v>1</v>
      </c>
      <c r="K337">
        <v>1</v>
      </c>
      <c r="L337">
        <v>1</v>
      </c>
      <c r="M337">
        <v>1</v>
      </c>
      <c r="N337">
        <v>1</v>
      </c>
      <c r="O337">
        <v>1</v>
      </c>
      <c r="P337">
        <v>1</v>
      </c>
      <c r="Q337">
        <v>1</v>
      </c>
      <c r="R337">
        <v>1</v>
      </c>
      <c r="S337">
        <v>1</v>
      </c>
      <c r="T337">
        <v>1</v>
      </c>
      <c r="U337">
        <v>1</v>
      </c>
      <c r="V337">
        <v>1</v>
      </c>
      <c r="W337">
        <v>1</v>
      </c>
      <c r="X337">
        <v>1</v>
      </c>
      <c r="Y337">
        <v>1</v>
      </c>
      <c r="Z337">
        <v>1</v>
      </c>
      <c r="AA337">
        <v>1</v>
      </c>
      <c r="AB337">
        <v>1</v>
      </c>
      <c r="AC337">
        <v>1</v>
      </c>
    </row>
    <row r="338" spans="1:29" x14ac:dyDescent="0.45">
      <c r="A338" t="s">
        <v>39</v>
      </c>
      <c r="B338" t="s">
        <v>440</v>
      </c>
      <c r="C338" t="s">
        <v>441</v>
      </c>
      <c r="D338" t="s">
        <v>427</v>
      </c>
      <c r="E338" t="str">
        <f t="shared" si="5"/>
        <v>KS|offshore wind|Fall</v>
      </c>
      <c r="F338">
        <v>1</v>
      </c>
      <c r="G338">
        <v>1</v>
      </c>
      <c r="H338">
        <v>1</v>
      </c>
      <c r="I338">
        <v>1</v>
      </c>
      <c r="J338">
        <v>1</v>
      </c>
      <c r="K338">
        <v>1</v>
      </c>
      <c r="L338">
        <v>1</v>
      </c>
      <c r="M338">
        <v>1</v>
      </c>
      <c r="N338">
        <v>1</v>
      </c>
      <c r="O338">
        <v>1</v>
      </c>
      <c r="P338">
        <v>1</v>
      </c>
      <c r="Q338">
        <v>1</v>
      </c>
      <c r="R338">
        <v>1</v>
      </c>
      <c r="S338">
        <v>1</v>
      </c>
      <c r="T338">
        <v>1</v>
      </c>
      <c r="U338">
        <v>1</v>
      </c>
      <c r="V338">
        <v>1</v>
      </c>
      <c r="W338">
        <v>1</v>
      </c>
      <c r="X338">
        <v>1</v>
      </c>
      <c r="Y338">
        <v>1</v>
      </c>
      <c r="Z338">
        <v>1</v>
      </c>
      <c r="AA338">
        <v>1</v>
      </c>
      <c r="AB338">
        <v>1</v>
      </c>
      <c r="AC338">
        <v>1</v>
      </c>
    </row>
    <row r="339" spans="1:29" x14ac:dyDescent="0.45">
      <c r="A339" t="s">
        <v>39</v>
      </c>
      <c r="B339" t="s">
        <v>440</v>
      </c>
      <c r="C339" t="s">
        <v>441</v>
      </c>
      <c r="D339" t="s">
        <v>428</v>
      </c>
      <c r="E339" t="str">
        <f t="shared" si="5"/>
        <v>KS|offshore wind|Summer Peak</v>
      </c>
      <c r="F339">
        <v>0.40810000000000002</v>
      </c>
      <c r="G339">
        <v>0.4239</v>
      </c>
      <c r="H339">
        <v>0.45760000000000001</v>
      </c>
      <c r="I339">
        <v>0.50319999999999998</v>
      </c>
      <c r="J339">
        <v>0.53649999999999998</v>
      </c>
      <c r="K339">
        <v>0.59399999999999997</v>
      </c>
      <c r="L339">
        <v>0.61929999999999996</v>
      </c>
      <c r="M339">
        <v>0.68859999999999999</v>
      </c>
      <c r="N339">
        <v>0.73480000000000001</v>
      </c>
      <c r="O339">
        <v>0.84350000000000003</v>
      </c>
      <c r="P339">
        <v>0.78200000000000003</v>
      </c>
      <c r="Q339">
        <v>0.74650000000000005</v>
      </c>
      <c r="R339">
        <v>0.63690000000000002</v>
      </c>
      <c r="S339">
        <v>0.60860000000000003</v>
      </c>
      <c r="T339">
        <v>0.64339999999999997</v>
      </c>
      <c r="U339">
        <v>0.69269999999999998</v>
      </c>
      <c r="V339">
        <v>0.71450000000000002</v>
      </c>
      <c r="W339">
        <v>0.75070000000000003</v>
      </c>
      <c r="X339">
        <v>0.72489999999999999</v>
      </c>
      <c r="Y339">
        <v>0.66049999999999998</v>
      </c>
      <c r="Z339">
        <v>0.69140000000000001</v>
      </c>
      <c r="AA339">
        <v>0.63080000000000003</v>
      </c>
      <c r="AB339">
        <v>0.63429999999999997</v>
      </c>
      <c r="AC339">
        <v>0.64390000000000003</v>
      </c>
    </row>
    <row r="340" spans="1:29" x14ac:dyDescent="0.45">
      <c r="A340" t="s">
        <v>39</v>
      </c>
      <c r="B340" t="s">
        <v>440</v>
      </c>
      <c r="C340" t="s">
        <v>441</v>
      </c>
      <c r="D340" t="s">
        <v>429</v>
      </c>
      <c r="E340" t="str">
        <f t="shared" si="5"/>
        <v>KS|offshore wind|Winter Peak</v>
      </c>
      <c r="F340">
        <v>0.95309999999999995</v>
      </c>
      <c r="G340">
        <v>0.95030000000000003</v>
      </c>
      <c r="H340">
        <v>0.95540000000000003</v>
      </c>
      <c r="I340">
        <v>0.96679999999999999</v>
      </c>
      <c r="J340">
        <v>1</v>
      </c>
      <c r="K340">
        <v>1</v>
      </c>
      <c r="L340">
        <v>1</v>
      </c>
      <c r="M340">
        <v>0.99209999999999998</v>
      </c>
      <c r="N340">
        <v>0.90149999999999997</v>
      </c>
      <c r="O340">
        <v>0.79779999999999995</v>
      </c>
      <c r="P340">
        <v>0.71879999999999999</v>
      </c>
      <c r="Q340">
        <v>0.67300000000000004</v>
      </c>
      <c r="R340">
        <v>0.60860000000000003</v>
      </c>
      <c r="S340">
        <v>0.58009999999999995</v>
      </c>
      <c r="T340">
        <v>0.58799999999999997</v>
      </c>
      <c r="U340">
        <v>0.61019999999999996</v>
      </c>
      <c r="V340">
        <v>0.61839999999999995</v>
      </c>
      <c r="W340">
        <v>0.60909999999999997</v>
      </c>
      <c r="X340">
        <v>0.62880000000000003</v>
      </c>
      <c r="Y340">
        <v>0.72889999999999999</v>
      </c>
      <c r="Z340">
        <v>0.84719999999999995</v>
      </c>
      <c r="AA340">
        <v>0.92220000000000002</v>
      </c>
      <c r="AB340">
        <v>0.86950000000000005</v>
      </c>
      <c r="AC340">
        <v>0.8054</v>
      </c>
    </row>
    <row r="341" spans="1:29" x14ac:dyDescent="0.45">
      <c r="A341" t="s">
        <v>42</v>
      </c>
      <c r="B341" t="s">
        <v>434</v>
      </c>
      <c r="C341" t="s">
        <v>435</v>
      </c>
      <c r="D341" t="s">
        <v>424</v>
      </c>
      <c r="E341" t="str">
        <f t="shared" si="5"/>
        <v>KY|onshore wind|Winter</v>
      </c>
      <c r="F341">
        <v>1</v>
      </c>
      <c r="G341">
        <v>1</v>
      </c>
      <c r="H341">
        <v>1</v>
      </c>
      <c r="I341">
        <v>1</v>
      </c>
      <c r="J341">
        <v>1</v>
      </c>
      <c r="K341">
        <v>1</v>
      </c>
      <c r="L341">
        <v>1</v>
      </c>
      <c r="M341">
        <v>1</v>
      </c>
      <c r="N341">
        <v>1</v>
      </c>
      <c r="O341">
        <v>1</v>
      </c>
      <c r="P341">
        <v>1</v>
      </c>
      <c r="Q341">
        <v>1</v>
      </c>
      <c r="R341">
        <v>1</v>
      </c>
      <c r="S341">
        <v>1</v>
      </c>
      <c r="T341">
        <v>1</v>
      </c>
      <c r="U341">
        <v>1</v>
      </c>
      <c r="V341">
        <v>1</v>
      </c>
      <c r="W341">
        <v>1</v>
      </c>
      <c r="X341">
        <v>1</v>
      </c>
      <c r="Y341">
        <v>1</v>
      </c>
      <c r="Z341">
        <v>1</v>
      </c>
      <c r="AA341">
        <v>1</v>
      </c>
      <c r="AB341">
        <v>1</v>
      </c>
      <c r="AC341">
        <v>1</v>
      </c>
    </row>
    <row r="342" spans="1:29" x14ac:dyDescent="0.45">
      <c r="A342" t="s">
        <v>42</v>
      </c>
      <c r="B342" t="s">
        <v>434</v>
      </c>
      <c r="C342" t="s">
        <v>435</v>
      </c>
      <c r="D342" t="s">
        <v>425</v>
      </c>
      <c r="E342" t="str">
        <f t="shared" si="5"/>
        <v>KY|onshore wind|Spring</v>
      </c>
      <c r="F342">
        <v>1</v>
      </c>
      <c r="G342">
        <v>1</v>
      </c>
      <c r="H342">
        <v>1</v>
      </c>
      <c r="I342">
        <v>1</v>
      </c>
      <c r="J342">
        <v>1</v>
      </c>
      <c r="K342">
        <v>1</v>
      </c>
      <c r="L342">
        <v>1</v>
      </c>
      <c r="M342">
        <v>1</v>
      </c>
      <c r="N342">
        <v>1</v>
      </c>
      <c r="O342">
        <v>1</v>
      </c>
      <c r="P342">
        <v>1</v>
      </c>
      <c r="Q342">
        <v>1</v>
      </c>
      <c r="R342">
        <v>1</v>
      </c>
      <c r="S342">
        <v>1</v>
      </c>
      <c r="T342">
        <v>1</v>
      </c>
      <c r="U342">
        <v>1</v>
      </c>
      <c r="V342">
        <v>1</v>
      </c>
      <c r="W342">
        <v>1</v>
      </c>
      <c r="X342">
        <v>1</v>
      </c>
      <c r="Y342">
        <v>1</v>
      </c>
      <c r="Z342">
        <v>1</v>
      </c>
      <c r="AA342">
        <v>1</v>
      </c>
      <c r="AB342">
        <v>1</v>
      </c>
      <c r="AC342">
        <v>1</v>
      </c>
    </row>
    <row r="343" spans="1:29" x14ac:dyDescent="0.45">
      <c r="A343" t="s">
        <v>42</v>
      </c>
      <c r="B343" t="s">
        <v>434</v>
      </c>
      <c r="C343" t="s">
        <v>435</v>
      </c>
      <c r="D343" t="s">
        <v>426</v>
      </c>
      <c r="E343" t="str">
        <f t="shared" si="5"/>
        <v>KY|onshore wind|Summer</v>
      </c>
      <c r="F343">
        <v>1</v>
      </c>
      <c r="G343">
        <v>1</v>
      </c>
      <c r="H343">
        <v>1</v>
      </c>
      <c r="I343">
        <v>1</v>
      </c>
      <c r="J343">
        <v>1</v>
      </c>
      <c r="K343">
        <v>1</v>
      </c>
      <c r="L343">
        <v>1</v>
      </c>
      <c r="M343">
        <v>1</v>
      </c>
      <c r="N343">
        <v>1</v>
      </c>
      <c r="O343">
        <v>1</v>
      </c>
      <c r="P343">
        <v>1</v>
      </c>
      <c r="Q343">
        <v>1</v>
      </c>
      <c r="R343">
        <v>1</v>
      </c>
      <c r="S343">
        <v>1</v>
      </c>
      <c r="T343">
        <v>1</v>
      </c>
      <c r="U343">
        <v>1</v>
      </c>
      <c r="V343">
        <v>1</v>
      </c>
      <c r="W343">
        <v>1</v>
      </c>
      <c r="X343">
        <v>1</v>
      </c>
      <c r="Y343">
        <v>1</v>
      </c>
      <c r="Z343">
        <v>1</v>
      </c>
      <c r="AA343">
        <v>1</v>
      </c>
      <c r="AB343">
        <v>1</v>
      </c>
      <c r="AC343">
        <v>1</v>
      </c>
    </row>
    <row r="344" spans="1:29" x14ac:dyDescent="0.45">
      <c r="A344" t="s">
        <v>42</v>
      </c>
      <c r="B344" t="s">
        <v>434</v>
      </c>
      <c r="C344" t="s">
        <v>435</v>
      </c>
      <c r="D344" t="s">
        <v>427</v>
      </c>
      <c r="E344" t="str">
        <f t="shared" si="5"/>
        <v>KY|onshore wind|Fall</v>
      </c>
      <c r="F344">
        <v>1</v>
      </c>
      <c r="G344">
        <v>1</v>
      </c>
      <c r="H344">
        <v>1</v>
      </c>
      <c r="I344">
        <v>1</v>
      </c>
      <c r="J344">
        <v>1</v>
      </c>
      <c r="K344">
        <v>1</v>
      </c>
      <c r="L344">
        <v>1</v>
      </c>
      <c r="M344">
        <v>1</v>
      </c>
      <c r="N344">
        <v>1</v>
      </c>
      <c r="O344">
        <v>1</v>
      </c>
      <c r="P344">
        <v>1</v>
      </c>
      <c r="Q344">
        <v>1</v>
      </c>
      <c r="R344">
        <v>1</v>
      </c>
      <c r="S344">
        <v>1</v>
      </c>
      <c r="T344">
        <v>1</v>
      </c>
      <c r="U344">
        <v>1</v>
      </c>
      <c r="V344">
        <v>1</v>
      </c>
      <c r="W344">
        <v>1</v>
      </c>
      <c r="X344">
        <v>1</v>
      </c>
      <c r="Y344">
        <v>1</v>
      </c>
      <c r="Z344">
        <v>1</v>
      </c>
      <c r="AA344">
        <v>1</v>
      </c>
      <c r="AB344">
        <v>1</v>
      </c>
      <c r="AC344">
        <v>1</v>
      </c>
    </row>
    <row r="345" spans="1:29" x14ac:dyDescent="0.45">
      <c r="A345" t="s">
        <v>42</v>
      </c>
      <c r="B345" t="s">
        <v>434</v>
      </c>
      <c r="C345" t="s">
        <v>435</v>
      </c>
      <c r="D345" t="s">
        <v>428</v>
      </c>
      <c r="E345" t="str">
        <f t="shared" si="5"/>
        <v>KY|onshore wind|Summer Peak</v>
      </c>
      <c r="F345">
        <v>0.92130000000000001</v>
      </c>
      <c r="G345">
        <v>0.92800000000000005</v>
      </c>
      <c r="H345">
        <v>0.95289999999999997</v>
      </c>
      <c r="I345">
        <v>0.94940000000000002</v>
      </c>
      <c r="J345">
        <v>0.93440000000000001</v>
      </c>
      <c r="K345">
        <v>0.94220000000000004</v>
      </c>
      <c r="L345">
        <v>0.96179999999999999</v>
      </c>
      <c r="M345">
        <v>0.91600000000000004</v>
      </c>
      <c r="N345">
        <v>0.81699999999999995</v>
      </c>
      <c r="O345">
        <v>0.7732</v>
      </c>
      <c r="P345">
        <v>0.76719999999999999</v>
      </c>
      <c r="Q345">
        <v>0.75590000000000002</v>
      </c>
      <c r="R345">
        <v>0.69110000000000005</v>
      </c>
      <c r="S345">
        <v>0.75690000000000002</v>
      </c>
      <c r="T345">
        <v>0.82179999999999997</v>
      </c>
      <c r="U345">
        <v>0.83940000000000003</v>
      </c>
      <c r="V345">
        <v>0.86229999999999996</v>
      </c>
      <c r="W345">
        <v>0.89380000000000004</v>
      </c>
      <c r="X345">
        <v>0.9103</v>
      </c>
      <c r="Y345">
        <v>0.9335</v>
      </c>
      <c r="Z345">
        <v>0.92900000000000005</v>
      </c>
      <c r="AA345">
        <v>0.9536</v>
      </c>
      <c r="AB345">
        <v>0.97609999999999997</v>
      </c>
      <c r="AC345">
        <v>0.98950000000000005</v>
      </c>
    </row>
    <row r="346" spans="1:29" x14ac:dyDescent="0.45">
      <c r="A346" t="s">
        <v>42</v>
      </c>
      <c r="B346" t="s">
        <v>434</v>
      </c>
      <c r="C346" t="s">
        <v>435</v>
      </c>
      <c r="D346" t="s">
        <v>429</v>
      </c>
      <c r="E346" t="str">
        <f t="shared" si="5"/>
        <v>KY|onshore wind|Winter Peak</v>
      </c>
      <c r="F346">
        <v>0.88390000000000002</v>
      </c>
      <c r="G346">
        <v>0.8569</v>
      </c>
      <c r="H346">
        <v>0.83889999999999998</v>
      </c>
      <c r="I346">
        <v>0.8246</v>
      </c>
      <c r="J346">
        <v>0.80969999999999998</v>
      </c>
      <c r="K346">
        <v>0.77990000000000004</v>
      </c>
      <c r="L346">
        <v>0.79559999999999997</v>
      </c>
      <c r="M346">
        <v>0.80669999999999997</v>
      </c>
      <c r="N346">
        <v>0.85460000000000003</v>
      </c>
      <c r="O346">
        <v>0.89159999999999995</v>
      </c>
      <c r="P346">
        <v>0.94589999999999996</v>
      </c>
      <c r="Q346">
        <v>0.95920000000000005</v>
      </c>
      <c r="R346">
        <v>0.97199999999999998</v>
      </c>
      <c r="S346">
        <v>0.96030000000000004</v>
      </c>
      <c r="T346">
        <v>0.88890000000000002</v>
      </c>
      <c r="U346">
        <v>0.85070000000000001</v>
      </c>
      <c r="V346">
        <v>0.92669999999999997</v>
      </c>
      <c r="W346">
        <v>0.88770000000000004</v>
      </c>
      <c r="X346">
        <v>0.87509999999999999</v>
      </c>
      <c r="Y346">
        <v>0.84089999999999998</v>
      </c>
      <c r="Z346">
        <v>0.81079999999999997</v>
      </c>
      <c r="AA346">
        <v>0.80730000000000002</v>
      </c>
      <c r="AB346">
        <v>0.79849999999999999</v>
      </c>
      <c r="AC346">
        <v>0.78990000000000005</v>
      </c>
    </row>
    <row r="347" spans="1:29" x14ac:dyDescent="0.45">
      <c r="A347" t="s">
        <v>42</v>
      </c>
      <c r="B347" t="s">
        <v>436</v>
      </c>
      <c r="C347" t="s">
        <v>437</v>
      </c>
      <c r="D347" t="s">
        <v>424</v>
      </c>
      <c r="E347" t="str">
        <f t="shared" si="5"/>
        <v>KY|solar pv|Winter</v>
      </c>
      <c r="F347">
        <v>1</v>
      </c>
      <c r="G347">
        <v>1</v>
      </c>
      <c r="H347">
        <v>1</v>
      </c>
      <c r="I347">
        <v>1</v>
      </c>
      <c r="J347">
        <v>1</v>
      </c>
      <c r="K347">
        <v>1</v>
      </c>
      <c r="L347">
        <v>1</v>
      </c>
      <c r="M347">
        <v>1</v>
      </c>
      <c r="N347">
        <v>1</v>
      </c>
      <c r="O347">
        <v>1</v>
      </c>
      <c r="P347">
        <v>1</v>
      </c>
      <c r="Q347">
        <v>1</v>
      </c>
      <c r="R347">
        <v>1</v>
      </c>
      <c r="S347">
        <v>1</v>
      </c>
      <c r="T347">
        <v>1</v>
      </c>
      <c r="U347">
        <v>1</v>
      </c>
      <c r="V347">
        <v>1</v>
      </c>
      <c r="W347">
        <v>1</v>
      </c>
      <c r="X347">
        <v>1</v>
      </c>
      <c r="Y347">
        <v>1</v>
      </c>
      <c r="Z347">
        <v>1</v>
      </c>
      <c r="AA347">
        <v>1</v>
      </c>
      <c r="AB347">
        <v>1</v>
      </c>
      <c r="AC347">
        <v>1</v>
      </c>
    </row>
    <row r="348" spans="1:29" x14ac:dyDescent="0.45">
      <c r="A348" t="s">
        <v>42</v>
      </c>
      <c r="B348" t="s">
        <v>436</v>
      </c>
      <c r="C348" t="s">
        <v>437</v>
      </c>
      <c r="D348" t="s">
        <v>425</v>
      </c>
      <c r="E348" t="str">
        <f t="shared" si="5"/>
        <v>KY|solar pv|Spring</v>
      </c>
      <c r="F348">
        <v>1</v>
      </c>
      <c r="G348">
        <v>1</v>
      </c>
      <c r="H348">
        <v>1</v>
      </c>
      <c r="I348">
        <v>1</v>
      </c>
      <c r="J348">
        <v>1</v>
      </c>
      <c r="K348">
        <v>1</v>
      </c>
      <c r="L348">
        <v>1</v>
      </c>
      <c r="M348">
        <v>1</v>
      </c>
      <c r="N348">
        <v>1</v>
      </c>
      <c r="O348">
        <v>1</v>
      </c>
      <c r="P348">
        <v>1</v>
      </c>
      <c r="Q348">
        <v>1</v>
      </c>
      <c r="R348">
        <v>1</v>
      </c>
      <c r="S348">
        <v>1</v>
      </c>
      <c r="T348">
        <v>1</v>
      </c>
      <c r="U348">
        <v>1</v>
      </c>
      <c r="V348">
        <v>1</v>
      </c>
      <c r="W348">
        <v>1</v>
      </c>
      <c r="X348">
        <v>1</v>
      </c>
      <c r="Y348">
        <v>1</v>
      </c>
      <c r="Z348">
        <v>1</v>
      </c>
      <c r="AA348">
        <v>1</v>
      </c>
      <c r="AB348">
        <v>1</v>
      </c>
      <c r="AC348">
        <v>1</v>
      </c>
    </row>
    <row r="349" spans="1:29" x14ac:dyDescent="0.45">
      <c r="A349" t="s">
        <v>42</v>
      </c>
      <c r="B349" t="s">
        <v>436</v>
      </c>
      <c r="C349" t="s">
        <v>437</v>
      </c>
      <c r="D349" t="s">
        <v>426</v>
      </c>
      <c r="E349" t="str">
        <f t="shared" si="5"/>
        <v>KY|solar pv|Summer</v>
      </c>
      <c r="F349">
        <v>1</v>
      </c>
      <c r="G349">
        <v>1</v>
      </c>
      <c r="H349">
        <v>1</v>
      </c>
      <c r="I349">
        <v>1</v>
      </c>
      <c r="J349">
        <v>1</v>
      </c>
      <c r="K349">
        <v>1</v>
      </c>
      <c r="L349">
        <v>1</v>
      </c>
      <c r="M349">
        <v>1</v>
      </c>
      <c r="N349">
        <v>1</v>
      </c>
      <c r="O349">
        <v>1</v>
      </c>
      <c r="P349">
        <v>1</v>
      </c>
      <c r="Q349">
        <v>1</v>
      </c>
      <c r="R349">
        <v>1</v>
      </c>
      <c r="S349">
        <v>1</v>
      </c>
      <c r="T349">
        <v>1</v>
      </c>
      <c r="U349">
        <v>1</v>
      </c>
      <c r="V349">
        <v>1</v>
      </c>
      <c r="W349">
        <v>1</v>
      </c>
      <c r="X349">
        <v>1</v>
      </c>
      <c r="Y349">
        <v>1</v>
      </c>
      <c r="Z349">
        <v>1</v>
      </c>
      <c r="AA349">
        <v>1</v>
      </c>
      <c r="AB349">
        <v>1</v>
      </c>
      <c r="AC349">
        <v>1</v>
      </c>
    </row>
    <row r="350" spans="1:29" x14ac:dyDescent="0.45">
      <c r="A350" t="s">
        <v>42</v>
      </c>
      <c r="B350" t="s">
        <v>436</v>
      </c>
      <c r="C350" t="s">
        <v>437</v>
      </c>
      <c r="D350" t="s">
        <v>427</v>
      </c>
      <c r="E350" t="str">
        <f t="shared" si="5"/>
        <v>KY|solar pv|Fall</v>
      </c>
      <c r="F350">
        <v>1</v>
      </c>
      <c r="G350">
        <v>1</v>
      </c>
      <c r="H350">
        <v>1</v>
      </c>
      <c r="I350">
        <v>1</v>
      </c>
      <c r="J350">
        <v>1</v>
      </c>
      <c r="K350">
        <v>1</v>
      </c>
      <c r="L350">
        <v>1</v>
      </c>
      <c r="M350">
        <v>1</v>
      </c>
      <c r="N350">
        <v>1</v>
      </c>
      <c r="O350">
        <v>1</v>
      </c>
      <c r="P350">
        <v>1</v>
      </c>
      <c r="Q350">
        <v>1</v>
      </c>
      <c r="R350">
        <v>1</v>
      </c>
      <c r="S350">
        <v>1</v>
      </c>
      <c r="T350">
        <v>1</v>
      </c>
      <c r="U350">
        <v>1</v>
      </c>
      <c r="V350">
        <v>1</v>
      </c>
      <c r="W350">
        <v>1</v>
      </c>
      <c r="X350">
        <v>1</v>
      </c>
      <c r="Y350">
        <v>1</v>
      </c>
      <c r="Z350">
        <v>1</v>
      </c>
      <c r="AA350">
        <v>1</v>
      </c>
      <c r="AB350">
        <v>1</v>
      </c>
      <c r="AC350">
        <v>1</v>
      </c>
    </row>
    <row r="351" spans="1:29" x14ac:dyDescent="0.45">
      <c r="A351" t="s">
        <v>42</v>
      </c>
      <c r="B351" t="s">
        <v>436</v>
      </c>
      <c r="C351" t="s">
        <v>437</v>
      </c>
      <c r="D351" t="s">
        <v>428</v>
      </c>
      <c r="E351" t="str">
        <f t="shared" si="5"/>
        <v>KY|solar pv|Summer Peak</v>
      </c>
      <c r="F351">
        <v>1</v>
      </c>
      <c r="G351">
        <v>1</v>
      </c>
      <c r="H351">
        <v>1</v>
      </c>
      <c r="I351">
        <v>1</v>
      </c>
      <c r="J351">
        <v>1</v>
      </c>
      <c r="K351">
        <v>0.1014</v>
      </c>
      <c r="L351">
        <v>0.70640000000000003</v>
      </c>
      <c r="M351">
        <v>0.90449999999999997</v>
      </c>
      <c r="N351">
        <v>0.94520000000000004</v>
      </c>
      <c r="O351">
        <v>0.91369999999999996</v>
      </c>
      <c r="P351">
        <v>0.98609999999999998</v>
      </c>
      <c r="Q351">
        <v>0.9768</v>
      </c>
      <c r="R351">
        <v>0.97550000000000003</v>
      </c>
      <c r="S351">
        <v>0.93569999999999998</v>
      </c>
      <c r="T351">
        <v>0.9052</v>
      </c>
      <c r="U351">
        <v>0.92749999999999999</v>
      </c>
      <c r="V351">
        <v>0.9163</v>
      </c>
      <c r="W351">
        <v>0.90280000000000005</v>
      </c>
      <c r="X351">
        <v>0.82410000000000005</v>
      </c>
      <c r="Y351">
        <v>1</v>
      </c>
      <c r="Z351">
        <v>1</v>
      </c>
      <c r="AA351">
        <v>1</v>
      </c>
      <c r="AB351">
        <v>1</v>
      </c>
      <c r="AC351">
        <v>1</v>
      </c>
    </row>
    <row r="352" spans="1:29" x14ac:dyDescent="0.45">
      <c r="A352" t="s">
        <v>42</v>
      </c>
      <c r="B352" t="s">
        <v>436</v>
      </c>
      <c r="C352" t="s">
        <v>437</v>
      </c>
      <c r="D352" t="s">
        <v>429</v>
      </c>
      <c r="E352" t="str">
        <f t="shared" si="5"/>
        <v>KY|solar pv|Winter Peak</v>
      </c>
      <c r="F352">
        <v>1</v>
      </c>
      <c r="G352">
        <v>1</v>
      </c>
      <c r="H352">
        <v>1</v>
      </c>
      <c r="I352">
        <v>1</v>
      </c>
      <c r="J352">
        <v>1</v>
      </c>
      <c r="K352">
        <v>1</v>
      </c>
      <c r="L352">
        <v>1</v>
      </c>
      <c r="M352">
        <v>0.19439999999999999</v>
      </c>
      <c r="N352">
        <v>0.44409999999999999</v>
      </c>
      <c r="O352">
        <v>0.56469999999999998</v>
      </c>
      <c r="P352">
        <v>0.59150000000000003</v>
      </c>
      <c r="Q352">
        <v>0.64449999999999996</v>
      </c>
      <c r="R352">
        <v>0.75260000000000005</v>
      </c>
      <c r="S352">
        <v>0.72299999999999998</v>
      </c>
      <c r="T352">
        <v>0.58520000000000005</v>
      </c>
      <c r="U352">
        <v>0.47860000000000003</v>
      </c>
      <c r="V352">
        <v>0.87170000000000003</v>
      </c>
      <c r="W352">
        <v>1</v>
      </c>
      <c r="X352">
        <v>1</v>
      </c>
      <c r="Y352">
        <v>1</v>
      </c>
      <c r="Z352">
        <v>1</v>
      </c>
      <c r="AA352">
        <v>1</v>
      </c>
      <c r="AB352">
        <v>1</v>
      </c>
      <c r="AC352">
        <v>1</v>
      </c>
    </row>
    <row r="353" spans="1:29" x14ac:dyDescent="0.45">
      <c r="A353" t="s">
        <v>42</v>
      </c>
      <c r="B353" t="s">
        <v>438</v>
      </c>
      <c r="C353" t="s">
        <v>439</v>
      </c>
      <c r="D353" t="s">
        <v>424</v>
      </c>
      <c r="E353" t="str">
        <f t="shared" si="5"/>
        <v>KY|solar thermal|Winter</v>
      </c>
      <c r="F353">
        <v>1</v>
      </c>
      <c r="G353">
        <v>1</v>
      </c>
      <c r="H353">
        <v>1</v>
      </c>
      <c r="I353">
        <v>1</v>
      </c>
      <c r="J353">
        <v>1</v>
      </c>
      <c r="K353">
        <v>1</v>
      </c>
      <c r="L353">
        <v>1</v>
      </c>
      <c r="M353">
        <v>1</v>
      </c>
      <c r="N353">
        <v>1</v>
      </c>
      <c r="O353">
        <v>1</v>
      </c>
      <c r="P353">
        <v>1</v>
      </c>
      <c r="Q353">
        <v>1</v>
      </c>
      <c r="R353">
        <v>1</v>
      </c>
      <c r="S353">
        <v>1</v>
      </c>
      <c r="T353">
        <v>1</v>
      </c>
      <c r="U353">
        <v>1</v>
      </c>
      <c r="V353">
        <v>1</v>
      </c>
      <c r="W353">
        <v>1</v>
      </c>
      <c r="X353">
        <v>1</v>
      </c>
      <c r="Y353">
        <v>1</v>
      </c>
      <c r="Z353">
        <v>1</v>
      </c>
      <c r="AA353">
        <v>1</v>
      </c>
      <c r="AB353">
        <v>1</v>
      </c>
      <c r="AC353">
        <v>1</v>
      </c>
    </row>
    <row r="354" spans="1:29" x14ac:dyDescent="0.45">
      <c r="A354" t="s">
        <v>42</v>
      </c>
      <c r="B354" t="s">
        <v>438</v>
      </c>
      <c r="C354" t="s">
        <v>439</v>
      </c>
      <c r="D354" t="s">
        <v>425</v>
      </c>
      <c r="E354" t="str">
        <f t="shared" si="5"/>
        <v>KY|solar thermal|Spring</v>
      </c>
      <c r="F354">
        <v>1</v>
      </c>
      <c r="G354">
        <v>1</v>
      </c>
      <c r="H354">
        <v>1</v>
      </c>
      <c r="I354">
        <v>1</v>
      </c>
      <c r="J354">
        <v>1</v>
      </c>
      <c r="K354">
        <v>1</v>
      </c>
      <c r="L354">
        <v>1</v>
      </c>
      <c r="M354">
        <v>1</v>
      </c>
      <c r="N354">
        <v>1</v>
      </c>
      <c r="O354">
        <v>1</v>
      </c>
      <c r="P354">
        <v>1</v>
      </c>
      <c r="Q354">
        <v>1</v>
      </c>
      <c r="R354">
        <v>1</v>
      </c>
      <c r="S354">
        <v>1</v>
      </c>
      <c r="T354">
        <v>1</v>
      </c>
      <c r="U354">
        <v>1</v>
      </c>
      <c r="V354">
        <v>1</v>
      </c>
      <c r="W354">
        <v>1</v>
      </c>
      <c r="X354">
        <v>1</v>
      </c>
      <c r="Y354">
        <v>1</v>
      </c>
      <c r="Z354">
        <v>1</v>
      </c>
      <c r="AA354">
        <v>1</v>
      </c>
      <c r="AB354">
        <v>1</v>
      </c>
      <c r="AC354">
        <v>1</v>
      </c>
    </row>
    <row r="355" spans="1:29" x14ac:dyDescent="0.45">
      <c r="A355" t="s">
        <v>42</v>
      </c>
      <c r="B355" t="s">
        <v>438</v>
      </c>
      <c r="C355" t="s">
        <v>439</v>
      </c>
      <c r="D355" t="s">
        <v>426</v>
      </c>
      <c r="E355" t="str">
        <f t="shared" si="5"/>
        <v>KY|solar thermal|Summer</v>
      </c>
      <c r="F355">
        <v>1</v>
      </c>
      <c r="G355">
        <v>1</v>
      </c>
      <c r="H355">
        <v>1</v>
      </c>
      <c r="I355">
        <v>1</v>
      </c>
      <c r="J355">
        <v>1</v>
      </c>
      <c r="K355">
        <v>1</v>
      </c>
      <c r="L355">
        <v>1</v>
      </c>
      <c r="M355">
        <v>1</v>
      </c>
      <c r="N355">
        <v>1</v>
      </c>
      <c r="O355">
        <v>1</v>
      </c>
      <c r="P355">
        <v>1</v>
      </c>
      <c r="Q355">
        <v>1</v>
      </c>
      <c r="R355">
        <v>1</v>
      </c>
      <c r="S355">
        <v>1</v>
      </c>
      <c r="T355">
        <v>1</v>
      </c>
      <c r="U355">
        <v>1</v>
      </c>
      <c r="V355">
        <v>1</v>
      </c>
      <c r="W355">
        <v>1</v>
      </c>
      <c r="X355">
        <v>1</v>
      </c>
      <c r="Y355">
        <v>1</v>
      </c>
      <c r="Z355">
        <v>1</v>
      </c>
      <c r="AA355">
        <v>1</v>
      </c>
      <c r="AB355">
        <v>1</v>
      </c>
      <c r="AC355">
        <v>1</v>
      </c>
    </row>
    <row r="356" spans="1:29" x14ac:dyDescent="0.45">
      <c r="A356" t="s">
        <v>42</v>
      </c>
      <c r="B356" t="s">
        <v>438</v>
      </c>
      <c r="C356" t="s">
        <v>439</v>
      </c>
      <c r="D356" t="s">
        <v>427</v>
      </c>
      <c r="E356" t="str">
        <f t="shared" si="5"/>
        <v>KY|solar thermal|Fall</v>
      </c>
      <c r="F356">
        <v>1</v>
      </c>
      <c r="G356">
        <v>1</v>
      </c>
      <c r="H356">
        <v>1</v>
      </c>
      <c r="I356">
        <v>1</v>
      </c>
      <c r="J356">
        <v>1</v>
      </c>
      <c r="K356">
        <v>1</v>
      </c>
      <c r="L356">
        <v>1</v>
      </c>
      <c r="M356">
        <v>1</v>
      </c>
      <c r="N356">
        <v>1</v>
      </c>
      <c r="O356">
        <v>1</v>
      </c>
      <c r="P356">
        <v>1</v>
      </c>
      <c r="Q356">
        <v>1</v>
      </c>
      <c r="R356">
        <v>1</v>
      </c>
      <c r="S356">
        <v>1</v>
      </c>
      <c r="T356">
        <v>1</v>
      </c>
      <c r="U356">
        <v>1</v>
      </c>
      <c r="V356">
        <v>1</v>
      </c>
      <c r="W356">
        <v>1</v>
      </c>
      <c r="X356">
        <v>1</v>
      </c>
      <c r="Y356">
        <v>1</v>
      </c>
      <c r="Z356">
        <v>1</v>
      </c>
      <c r="AA356">
        <v>1</v>
      </c>
      <c r="AB356">
        <v>1</v>
      </c>
      <c r="AC356">
        <v>1</v>
      </c>
    </row>
    <row r="357" spans="1:29" x14ac:dyDescent="0.45">
      <c r="A357" t="s">
        <v>42</v>
      </c>
      <c r="B357" t="s">
        <v>438</v>
      </c>
      <c r="C357" t="s">
        <v>439</v>
      </c>
      <c r="D357" t="s">
        <v>428</v>
      </c>
      <c r="E357" t="str">
        <f t="shared" si="5"/>
        <v>KY|solar thermal|Summer Peak</v>
      </c>
      <c r="F357">
        <v>1</v>
      </c>
      <c r="G357">
        <v>1</v>
      </c>
      <c r="H357">
        <v>1</v>
      </c>
      <c r="I357">
        <v>1</v>
      </c>
      <c r="J357">
        <v>1</v>
      </c>
      <c r="K357">
        <v>1</v>
      </c>
      <c r="L357">
        <v>1</v>
      </c>
      <c r="M357">
        <v>0</v>
      </c>
      <c r="N357">
        <v>0.8639</v>
      </c>
      <c r="O357">
        <v>1</v>
      </c>
      <c r="P357">
        <v>1</v>
      </c>
      <c r="Q357">
        <v>0.97160000000000002</v>
      </c>
      <c r="R357">
        <v>0.96719999999999995</v>
      </c>
      <c r="S357">
        <v>1</v>
      </c>
      <c r="T357">
        <v>1</v>
      </c>
      <c r="U357">
        <v>1</v>
      </c>
      <c r="V357">
        <v>1</v>
      </c>
      <c r="W357">
        <v>1</v>
      </c>
      <c r="X357">
        <v>1</v>
      </c>
      <c r="Y357">
        <v>0.93130000000000002</v>
      </c>
      <c r="Z357">
        <v>0.70220000000000005</v>
      </c>
      <c r="AA357">
        <v>1</v>
      </c>
      <c r="AB357">
        <v>1</v>
      </c>
      <c r="AC357">
        <v>1</v>
      </c>
    </row>
    <row r="358" spans="1:29" x14ac:dyDescent="0.45">
      <c r="A358" t="s">
        <v>42</v>
      </c>
      <c r="B358" t="s">
        <v>438</v>
      </c>
      <c r="C358" t="s">
        <v>439</v>
      </c>
      <c r="D358" t="s">
        <v>429</v>
      </c>
      <c r="E358" t="str">
        <f t="shared" si="5"/>
        <v>KY|solar thermal|Winter Peak</v>
      </c>
      <c r="F358">
        <v>1</v>
      </c>
      <c r="G358">
        <v>1</v>
      </c>
      <c r="H358">
        <v>1</v>
      </c>
      <c r="I358">
        <v>1</v>
      </c>
      <c r="J358">
        <v>1</v>
      </c>
      <c r="K358">
        <v>1</v>
      </c>
      <c r="L358">
        <v>1</v>
      </c>
      <c r="M358">
        <v>1</v>
      </c>
      <c r="N358">
        <v>1</v>
      </c>
      <c r="O358">
        <v>0.2419</v>
      </c>
      <c r="P358">
        <v>0.95320000000000005</v>
      </c>
      <c r="Q358">
        <v>0.88039999999999996</v>
      </c>
      <c r="R358">
        <v>0.97819999999999996</v>
      </c>
      <c r="S358">
        <v>0.98950000000000005</v>
      </c>
      <c r="T358">
        <v>0.99270000000000003</v>
      </c>
      <c r="U358">
        <v>1</v>
      </c>
      <c r="V358">
        <v>1</v>
      </c>
      <c r="W358">
        <v>1</v>
      </c>
      <c r="X358">
        <v>0.89019999999999999</v>
      </c>
      <c r="Y358">
        <v>0</v>
      </c>
      <c r="Z358">
        <v>1</v>
      </c>
      <c r="AA358">
        <v>1</v>
      </c>
      <c r="AB358">
        <v>1</v>
      </c>
      <c r="AC358">
        <v>1</v>
      </c>
    </row>
    <row r="359" spans="1:29" x14ac:dyDescent="0.45">
      <c r="A359" t="s">
        <v>42</v>
      </c>
      <c r="B359" t="s">
        <v>440</v>
      </c>
      <c r="C359" t="s">
        <v>441</v>
      </c>
      <c r="D359" t="s">
        <v>424</v>
      </c>
      <c r="E359" t="str">
        <f t="shared" si="5"/>
        <v>KY|offshore wind|Winter</v>
      </c>
      <c r="F359">
        <v>1</v>
      </c>
      <c r="G359">
        <v>1</v>
      </c>
      <c r="H359">
        <v>1</v>
      </c>
      <c r="I359">
        <v>1</v>
      </c>
      <c r="J359">
        <v>1</v>
      </c>
      <c r="K359">
        <v>1</v>
      </c>
      <c r="L359">
        <v>1</v>
      </c>
      <c r="M359">
        <v>1</v>
      </c>
      <c r="N359">
        <v>1</v>
      </c>
      <c r="O359">
        <v>1</v>
      </c>
      <c r="P359">
        <v>1</v>
      </c>
      <c r="Q359">
        <v>1</v>
      </c>
      <c r="R359">
        <v>1</v>
      </c>
      <c r="S359">
        <v>1</v>
      </c>
      <c r="T359">
        <v>1</v>
      </c>
      <c r="U359">
        <v>1</v>
      </c>
      <c r="V359">
        <v>1</v>
      </c>
      <c r="W359">
        <v>1</v>
      </c>
      <c r="X359">
        <v>1</v>
      </c>
      <c r="Y359">
        <v>1</v>
      </c>
      <c r="Z359">
        <v>1</v>
      </c>
      <c r="AA359">
        <v>1</v>
      </c>
      <c r="AB359">
        <v>1</v>
      </c>
      <c r="AC359">
        <v>1</v>
      </c>
    </row>
    <row r="360" spans="1:29" x14ac:dyDescent="0.45">
      <c r="A360" t="s">
        <v>42</v>
      </c>
      <c r="B360" t="s">
        <v>440</v>
      </c>
      <c r="C360" t="s">
        <v>441</v>
      </c>
      <c r="D360" t="s">
        <v>425</v>
      </c>
      <c r="E360" t="str">
        <f t="shared" si="5"/>
        <v>KY|offshore wind|Spring</v>
      </c>
      <c r="F360">
        <v>1</v>
      </c>
      <c r="G360">
        <v>1</v>
      </c>
      <c r="H360">
        <v>1</v>
      </c>
      <c r="I360">
        <v>1</v>
      </c>
      <c r="J360">
        <v>1</v>
      </c>
      <c r="K360">
        <v>1</v>
      </c>
      <c r="L360">
        <v>1</v>
      </c>
      <c r="M360">
        <v>1</v>
      </c>
      <c r="N360">
        <v>1</v>
      </c>
      <c r="O360">
        <v>1</v>
      </c>
      <c r="P360">
        <v>1</v>
      </c>
      <c r="Q360">
        <v>1</v>
      </c>
      <c r="R360">
        <v>1</v>
      </c>
      <c r="S360">
        <v>1</v>
      </c>
      <c r="T360">
        <v>1</v>
      </c>
      <c r="U360">
        <v>1</v>
      </c>
      <c r="V360">
        <v>1</v>
      </c>
      <c r="W360">
        <v>1</v>
      </c>
      <c r="X360">
        <v>1</v>
      </c>
      <c r="Y360">
        <v>1</v>
      </c>
      <c r="Z360">
        <v>1</v>
      </c>
      <c r="AA360">
        <v>1</v>
      </c>
      <c r="AB360">
        <v>1</v>
      </c>
      <c r="AC360">
        <v>1</v>
      </c>
    </row>
    <row r="361" spans="1:29" x14ac:dyDescent="0.45">
      <c r="A361" t="s">
        <v>42</v>
      </c>
      <c r="B361" t="s">
        <v>440</v>
      </c>
      <c r="C361" t="s">
        <v>441</v>
      </c>
      <c r="D361" t="s">
        <v>426</v>
      </c>
      <c r="E361" t="str">
        <f t="shared" si="5"/>
        <v>KY|offshore wind|Summer</v>
      </c>
      <c r="F361">
        <v>1</v>
      </c>
      <c r="G361">
        <v>1</v>
      </c>
      <c r="H361">
        <v>1</v>
      </c>
      <c r="I361">
        <v>1</v>
      </c>
      <c r="J361">
        <v>1</v>
      </c>
      <c r="K361">
        <v>1</v>
      </c>
      <c r="L361">
        <v>1</v>
      </c>
      <c r="M361">
        <v>1</v>
      </c>
      <c r="N361">
        <v>1</v>
      </c>
      <c r="O361">
        <v>1</v>
      </c>
      <c r="P361">
        <v>1</v>
      </c>
      <c r="Q361">
        <v>1</v>
      </c>
      <c r="R361">
        <v>1</v>
      </c>
      <c r="S361">
        <v>1</v>
      </c>
      <c r="T361">
        <v>1</v>
      </c>
      <c r="U361">
        <v>1</v>
      </c>
      <c r="V361">
        <v>1</v>
      </c>
      <c r="W361">
        <v>1</v>
      </c>
      <c r="X361">
        <v>1</v>
      </c>
      <c r="Y361">
        <v>1</v>
      </c>
      <c r="Z361">
        <v>1</v>
      </c>
      <c r="AA361">
        <v>1</v>
      </c>
      <c r="AB361">
        <v>1</v>
      </c>
      <c r="AC361">
        <v>1</v>
      </c>
    </row>
    <row r="362" spans="1:29" x14ac:dyDescent="0.45">
      <c r="A362" t="s">
        <v>42</v>
      </c>
      <c r="B362" t="s">
        <v>440</v>
      </c>
      <c r="C362" t="s">
        <v>441</v>
      </c>
      <c r="D362" t="s">
        <v>427</v>
      </c>
      <c r="E362" t="str">
        <f t="shared" si="5"/>
        <v>KY|offshore wind|Fall</v>
      </c>
      <c r="F362">
        <v>1</v>
      </c>
      <c r="G362">
        <v>1</v>
      </c>
      <c r="H362">
        <v>1</v>
      </c>
      <c r="I362">
        <v>1</v>
      </c>
      <c r="J362">
        <v>1</v>
      </c>
      <c r="K362">
        <v>1</v>
      </c>
      <c r="L362">
        <v>1</v>
      </c>
      <c r="M362">
        <v>1</v>
      </c>
      <c r="N362">
        <v>1</v>
      </c>
      <c r="O362">
        <v>1</v>
      </c>
      <c r="P362">
        <v>1</v>
      </c>
      <c r="Q362">
        <v>1</v>
      </c>
      <c r="R362">
        <v>1</v>
      </c>
      <c r="S362">
        <v>1</v>
      </c>
      <c r="T362">
        <v>1</v>
      </c>
      <c r="U362">
        <v>1</v>
      </c>
      <c r="V362">
        <v>1</v>
      </c>
      <c r="W362">
        <v>1</v>
      </c>
      <c r="X362">
        <v>1</v>
      </c>
      <c r="Y362">
        <v>1</v>
      </c>
      <c r="Z362">
        <v>1</v>
      </c>
      <c r="AA362">
        <v>1</v>
      </c>
      <c r="AB362">
        <v>1</v>
      </c>
      <c r="AC362">
        <v>1</v>
      </c>
    </row>
    <row r="363" spans="1:29" x14ac:dyDescent="0.45">
      <c r="A363" t="s">
        <v>42</v>
      </c>
      <c r="B363" t="s">
        <v>440</v>
      </c>
      <c r="C363" t="s">
        <v>441</v>
      </c>
      <c r="D363" t="s">
        <v>428</v>
      </c>
      <c r="E363" t="str">
        <f t="shared" si="5"/>
        <v>KY|offshore wind|Summer Peak</v>
      </c>
      <c r="F363">
        <v>0.40810000000000002</v>
      </c>
      <c r="G363">
        <v>0.4239</v>
      </c>
      <c r="H363">
        <v>0.45760000000000001</v>
      </c>
      <c r="I363">
        <v>0.50319999999999998</v>
      </c>
      <c r="J363">
        <v>0.53649999999999998</v>
      </c>
      <c r="K363">
        <v>0.59399999999999997</v>
      </c>
      <c r="L363">
        <v>0.61929999999999996</v>
      </c>
      <c r="M363">
        <v>0.68859999999999999</v>
      </c>
      <c r="N363">
        <v>0.73480000000000001</v>
      </c>
      <c r="O363">
        <v>0.84350000000000003</v>
      </c>
      <c r="P363">
        <v>0.78200000000000003</v>
      </c>
      <c r="Q363">
        <v>0.74650000000000005</v>
      </c>
      <c r="R363">
        <v>0.63690000000000002</v>
      </c>
      <c r="S363">
        <v>0.60860000000000003</v>
      </c>
      <c r="T363">
        <v>0.64339999999999997</v>
      </c>
      <c r="U363">
        <v>0.69269999999999998</v>
      </c>
      <c r="V363">
        <v>0.71450000000000002</v>
      </c>
      <c r="W363">
        <v>0.75070000000000003</v>
      </c>
      <c r="X363">
        <v>0.72489999999999999</v>
      </c>
      <c r="Y363">
        <v>0.66049999999999998</v>
      </c>
      <c r="Z363">
        <v>0.69140000000000001</v>
      </c>
      <c r="AA363">
        <v>0.63080000000000003</v>
      </c>
      <c r="AB363">
        <v>0.63429999999999997</v>
      </c>
      <c r="AC363">
        <v>0.64390000000000003</v>
      </c>
    </row>
    <row r="364" spans="1:29" x14ac:dyDescent="0.45">
      <c r="A364" t="s">
        <v>42</v>
      </c>
      <c r="B364" t="s">
        <v>440</v>
      </c>
      <c r="C364" t="s">
        <v>441</v>
      </c>
      <c r="D364" t="s">
        <v>429</v>
      </c>
      <c r="E364" t="str">
        <f t="shared" si="5"/>
        <v>KY|offshore wind|Winter Peak</v>
      </c>
      <c r="F364">
        <v>0.95309999999999995</v>
      </c>
      <c r="G364">
        <v>0.95030000000000003</v>
      </c>
      <c r="H364">
        <v>0.95540000000000003</v>
      </c>
      <c r="I364">
        <v>0.96679999999999999</v>
      </c>
      <c r="J364">
        <v>1</v>
      </c>
      <c r="K364">
        <v>1</v>
      </c>
      <c r="L364">
        <v>1</v>
      </c>
      <c r="M364">
        <v>0.99209999999999998</v>
      </c>
      <c r="N364">
        <v>0.90149999999999997</v>
      </c>
      <c r="O364">
        <v>0.79779999999999995</v>
      </c>
      <c r="P364">
        <v>0.71879999999999999</v>
      </c>
      <c r="Q364">
        <v>0.67300000000000004</v>
      </c>
      <c r="R364">
        <v>0.60860000000000003</v>
      </c>
      <c r="S364">
        <v>0.58009999999999995</v>
      </c>
      <c r="T364">
        <v>0.58799999999999997</v>
      </c>
      <c r="U364">
        <v>0.61019999999999996</v>
      </c>
      <c r="V364">
        <v>0.61839999999999995</v>
      </c>
      <c r="W364">
        <v>0.60909999999999997</v>
      </c>
      <c r="X364">
        <v>0.62880000000000003</v>
      </c>
      <c r="Y364">
        <v>0.72889999999999999</v>
      </c>
      <c r="Z364">
        <v>0.84719999999999995</v>
      </c>
      <c r="AA364">
        <v>0.92220000000000002</v>
      </c>
      <c r="AB364">
        <v>0.86950000000000005</v>
      </c>
      <c r="AC364">
        <v>0.8054</v>
      </c>
    </row>
    <row r="365" spans="1:29" x14ac:dyDescent="0.45">
      <c r="A365" t="s">
        <v>44</v>
      </c>
      <c r="B365" t="s">
        <v>434</v>
      </c>
      <c r="C365" t="s">
        <v>435</v>
      </c>
      <c r="D365" t="s">
        <v>424</v>
      </c>
      <c r="E365" t="str">
        <f t="shared" si="5"/>
        <v>LA|onshore wind|Winter</v>
      </c>
      <c r="F365">
        <v>1</v>
      </c>
      <c r="G365">
        <v>1</v>
      </c>
      <c r="H365">
        <v>1</v>
      </c>
      <c r="I365">
        <v>1</v>
      </c>
      <c r="J365">
        <v>1</v>
      </c>
      <c r="K365">
        <v>1</v>
      </c>
      <c r="L365">
        <v>1</v>
      </c>
      <c r="M365">
        <v>1</v>
      </c>
      <c r="N365">
        <v>1</v>
      </c>
      <c r="O365">
        <v>1</v>
      </c>
      <c r="P365">
        <v>1</v>
      </c>
      <c r="Q365">
        <v>1</v>
      </c>
      <c r="R365">
        <v>1</v>
      </c>
      <c r="S365">
        <v>1</v>
      </c>
      <c r="T365">
        <v>1</v>
      </c>
      <c r="U365">
        <v>1</v>
      </c>
      <c r="V365">
        <v>1</v>
      </c>
      <c r="W365">
        <v>1</v>
      </c>
      <c r="X365">
        <v>1</v>
      </c>
      <c r="Y365">
        <v>1</v>
      </c>
      <c r="Z365">
        <v>1</v>
      </c>
      <c r="AA365">
        <v>1</v>
      </c>
      <c r="AB365">
        <v>1</v>
      </c>
      <c r="AC365">
        <v>1</v>
      </c>
    </row>
    <row r="366" spans="1:29" x14ac:dyDescent="0.45">
      <c r="A366" t="s">
        <v>44</v>
      </c>
      <c r="B366" t="s">
        <v>434</v>
      </c>
      <c r="C366" t="s">
        <v>435</v>
      </c>
      <c r="D366" t="s">
        <v>425</v>
      </c>
      <c r="E366" t="str">
        <f t="shared" si="5"/>
        <v>LA|onshore wind|Spring</v>
      </c>
      <c r="F366">
        <v>1</v>
      </c>
      <c r="G366">
        <v>1</v>
      </c>
      <c r="H366">
        <v>1</v>
      </c>
      <c r="I366">
        <v>1</v>
      </c>
      <c r="J366">
        <v>1</v>
      </c>
      <c r="K366">
        <v>1</v>
      </c>
      <c r="L366">
        <v>1</v>
      </c>
      <c r="M366">
        <v>1</v>
      </c>
      <c r="N366">
        <v>1</v>
      </c>
      <c r="O366">
        <v>1</v>
      </c>
      <c r="P366">
        <v>1</v>
      </c>
      <c r="Q366">
        <v>1</v>
      </c>
      <c r="R366">
        <v>1</v>
      </c>
      <c r="S366">
        <v>1</v>
      </c>
      <c r="T366">
        <v>1</v>
      </c>
      <c r="U366">
        <v>1</v>
      </c>
      <c r="V366">
        <v>1</v>
      </c>
      <c r="W366">
        <v>1</v>
      </c>
      <c r="X366">
        <v>1</v>
      </c>
      <c r="Y366">
        <v>1</v>
      </c>
      <c r="Z366">
        <v>1</v>
      </c>
      <c r="AA366">
        <v>1</v>
      </c>
      <c r="AB366">
        <v>1</v>
      </c>
      <c r="AC366">
        <v>1</v>
      </c>
    </row>
    <row r="367" spans="1:29" x14ac:dyDescent="0.45">
      <c r="A367" t="s">
        <v>44</v>
      </c>
      <c r="B367" t="s">
        <v>434</v>
      </c>
      <c r="C367" t="s">
        <v>435</v>
      </c>
      <c r="D367" t="s">
        <v>426</v>
      </c>
      <c r="E367" t="str">
        <f t="shared" si="5"/>
        <v>LA|onshore wind|Summer</v>
      </c>
      <c r="F367">
        <v>1</v>
      </c>
      <c r="G367">
        <v>1</v>
      </c>
      <c r="H367">
        <v>1</v>
      </c>
      <c r="I367">
        <v>1</v>
      </c>
      <c r="J367">
        <v>1</v>
      </c>
      <c r="K367">
        <v>1</v>
      </c>
      <c r="L367">
        <v>1</v>
      </c>
      <c r="M367">
        <v>1</v>
      </c>
      <c r="N367">
        <v>1</v>
      </c>
      <c r="O367">
        <v>1</v>
      </c>
      <c r="P367">
        <v>1</v>
      </c>
      <c r="Q367">
        <v>1</v>
      </c>
      <c r="R367">
        <v>1</v>
      </c>
      <c r="S367">
        <v>1</v>
      </c>
      <c r="T367">
        <v>1</v>
      </c>
      <c r="U367">
        <v>1</v>
      </c>
      <c r="V367">
        <v>1</v>
      </c>
      <c r="W367">
        <v>1</v>
      </c>
      <c r="X367">
        <v>1</v>
      </c>
      <c r="Y367">
        <v>1</v>
      </c>
      <c r="Z367">
        <v>1</v>
      </c>
      <c r="AA367">
        <v>1</v>
      </c>
      <c r="AB367">
        <v>1</v>
      </c>
      <c r="AC367">
        <v>1</v>
      </c>
    </row>
    <row r="368" spans="1:29" x14ac:dyDescent="0.45">
      <c r="A368" t="s">
        <v>44</v>
      </c>
      <c r="B368" t="s">
        <v>434</v>
      </c>
      <c r="C368" t="s">
        <v>435</v>
      </c>
      <c r="D368" t="s">
        <v>427</v>
      </c>
      <c r="E368" t="str">
        <f t="shared" si="5"/>
        <v>LA|onshore wind|Fall</v>
      </c>
      <c r="F368">
        <v>1</v>
      </c>
      <c r="G368">
        <v>1</v>
      </c>
      <c r="H368">
        <v>1</v>
      </c>
      <c r="I368">
        <v>1</v>
      </c>
      <c r="J368">
        <v>1</v>
      </c>
      <c r="K368">
        <v>1</v>
      </c>
      <c r="L368">
        <v>1</v>
      </c>
      <c r="M368">
        <v>1</v>
      </c>
      <c r="N368">
        <v>1</v>
      </c>
      <c r="O368">
        <v>1</v>
      </c>
      <c r="P368">
        <v>1</v>
      </c>
      <c r="Q368">
        <v>1</v>
      </c>
      <c r="R368">
        <v>1</v>
      </c>
      <c r="S368">
        <v>1</v>
      </c>
      <c r="T368">
        <v>1</v>
      </c>
      <c r="U368">
        <v>1</v>
      </c>
      <c r="V368">
        <v>1</v>
      </c>
      <c r="W368">
        <v>1</v>
      </c>
      <c r="X368">
        <v>1</v>
      </c>
      <c r="Y368">
        <v>1</v>
      </c>
      <c r="Z368">
        <v>1</v>
      </c>
      <c r="AA368">
        <v>1</v>
      </c>
      <c r="AB368">
        <v>1</v>
      </c>
      <c r="AC368">
        <v>1</v>
      </c>
    </row>
    <row r="369" spans="1:29" x14ac:dyDescent="0.45">
      <c r="A369" t="s">
        <v>44</v>
      </c>
      <c r="B369" t="s">
        <v>434</v>
      </c>
      <c r="C369" t="s">
        <v>435</v>
      </c>
      <c r="D369" t="s">
        <v>428</v>
      </c>
      <c r="E369" t="str">
        <f t="shared" si="5"/>
        <v>LA|onshore wind|Summer Peak</v>
      </c>
      <c r="F369">
        <v>0.48749999999999999</v>
      </c>
      <c r="G369">
        <v>0.54530000000000001</v>
      </c>
      <c r="H369">
        <v>0.59930000000000005</v>
      </c>
      <c r="I369">
        <v>0.622</v>
      </c>
      <c r="J369">
        <v>0.51870000000000005</v>
      </c>
      <c r="K369">
        <v>0.46110000000000001</v>
      </c>
      <c r="L369">
        <v>0.4819</v>
      </c>
      <c r="M369">
        <v>0.28670000000000001</v>
      </c>
      <c r="N369">
        <v>0.16170000000000001</v>
      </c>
      <c r="O369">
        <v>0.27960000000000002</v>
      </c>
      <c r="P369">
        <v>0.308</v>
      </c>
      <c r="Q369">
        <v>0.31530000000000002</v>
      </c>
      <c r="R369">
        <v>0.29020000000000001</v>
      </c>
      <c r="S369">
        <v>0.61370000000000002</v>
      </c>
      <c r="T369">
        <v>0.41049999999999998</v>
      </c>
      <c r="U369">
        <v>0.2712</v>
      </c>
      <c r="V369">
        <v>0.22450000000000001</v>
      </c>
      <c r="W369">
        <v>0.34499999999999997</v>
      </c>
      <c r="X369">
        <v>0.3604</v>
      </c>
      <c r="Y369">
        <v>0.40350000000000003</v>
      </c>
      <c r="Z369">
        <v>0.44109999999999999</v>
      </c>
      <c r="AA369">
        <v>0.39400000000000002</v>
      </c>
      <c r="AB369">
        <v>0.46660000000000001</v>
      </c>
      <c r="AC369">
        <v>0.46300000000000002</v>
      </c>
    </row>
    <row r="370" spans="1:29" x14ac:dyDescent="0.45">
      <c r="A370" t="s">
        <v>44</v>
      </c>
      <c r="B370" t="s">
        <v>434</v>
      </c>
      <c r="C370" t="s">
        <v>435</v>
      </c>
      <c r="D370" t="s">
        <v>429</v>
      </c>
      <c r="E370" t="str">
        <f t="shared" si="5"/>
        <v>LA|onshore wind|Winter Peak</v>
      </c>
      <c r="F370">
        <v>0.57189999999999996</v>
      </c>
      <c r="G370">
        <v>0.56479999999999997</v>
      </c>
      <c r="H370">
        <v>0.62209999999999999</v>
      </c>
      <c r="I370">
        <v>0.6623</v>
      </c>
      <c r="J370">
        <v>0.65110000000000001</v>
      </c>
      <c r="K370">
        <v>0.61509999999999998</v>
      </c>
      <c r="L370">
        <v>0.58909999999999996</v>
      </c>
      <c r="M370">
        <v>0.48449999999999999</v>
      </c>
      <c r="N370">
        <v>0.4864</v>
      </c>
      <c r="O370">
        <v>0.46760000000000002</v>
      </c>
      <c r="P370">
        <v>0.3422</v>
      </c>
      <c r="Q370">
        <v>0.43540000000000001</v>
      </c>
      <c r="R370">
        <v>0.4304</v>
      </c>
      <c r="S370">
        <v>0.50260000000000005</v>
      </c>
      <c r="T370">
        <v>0.53310000000000002</v>
      </c>
      <c r="U370">
        <v>0.61509999999999998</v>
      </c>
      <c r="V370">
        <v>0.52249999999999996</v>
      </c>
      <c r="W370">
        <v>0.52700000000000002</v>
      </c>
      <c r="X370">
        <v>0.50070000000000003</v>
      </c>
      <c r="Y370">
        <v>0.50729999999999997</v>
      </c>
      <c r="Z370">
        <v>0.49519999999999997</v>
      </c>
      <c r="AA370">
        <v>0.4763</v>
      </c>
      <c r="AB370">
        <v>0.52949999999999997</v>
      </c>
      <c r="AC370">
        <v>0.5675</v>
      </c>
    </row>
    <row r="371" spans="1:29" x14ac:dyDescent="0.45">
      <c r="A371" t="s">
        <v>44</v>
      </c>
      <c r="B371" t="s">
        <v>436</v>
      </c>
      <c r="C371" t="s">
        <v>437</v>
      </c>
      <c r="D371" t="s">
        <v>424</v>
      </c>
      <c r="E371" t="str">
        <f t="shared" si="5"/>
        <v>LA|solar pv|Winter</v>
      </c>
      <c r="F371">
        <v>1</v>
      </c>
      <c r="G371">
        <v>1</v>
      </c>
      <c r="H371">
        <v>1</v>
      </c>
      <c r="I371">
        <v>1</v>
      </c>
      <c r="J371">
        <v>1</v>
      </c>
      <c r="K371">
        <v>1</v>
      </c>
      <c r="L371">
        <v>1</v>
      </c>
      <c r="M371">
        <v>1</v>
      </c>
      <c r="N371">
        <v>1</v>
      </c>
      <c r="O371">
        <v>1</v>
      </c>
      <c r="P371">
        <v>1</v>
      </c>
      <c r="Q371">
        <v>1</v>
      </c>
      <c r="R371">
        <v>1</v>
      </c>
      <c r="S371">
        <v>1</v>
      </c>
      <c r="T371">
        <v>1</v>
      </c>
      <c r="U371">
        <v>1</v>
      </c>
      <c r="V371">
        <v>1</v>
      </c>
      <c r="W371">
        <v>1</v>
      </c>
      <c r="X371">
        <v>1</v>
      </c>
      <c r="Y371">
        <v>1</v>
      </c>
      <c r="Z371">
        <v>1</v>
      </c>
      <c r="AA371">
        <v>1</v>
      </c>
      <c r="AB371">
        <v>1</v>
      </c>
      <c r="AC371">
        <v>1</v>
      </c>
    </row>
    <row r="372" spans="1:29" x14ac:dyDescent="0.45">
      <c r="A372" t="s">
        <v>44</v>
      </c>
      <c r="B372" t="s">
        <v>436</v>
      </c>
      <c r="C372" t="s">
        <v>437</v>
      </c>
      <c r="D372" t="s">
        <v>425</v>
      </c>
      <c r="E372" t="str">
        <f t="shared" si="5"/>
        <v>LA|solar pv|Spring</v>
      </c>
      <c r="F372">
        <v>1</v>
      </c>
      <c r="G372">
        <v>1</v>
      </c>
      <c r="H372">
        <v>1</v>
      </c>
      <c r="I372">
        <v>1</v>
      </c>
      <c r="J372">
        <v>1</v>
      </c>
      <c r="K372">
        <v>1</v>
      </c>
      <c r="L372">
        <v>1</v>
      </c>
      <c r="M372">
        <v>1</v>
      </c>
      <c r="N372">
        <v>1</v>
      </c>
      <c r="O372">
        <v>1</v>
      </c>
      <c r="P372">
        <v>1</v>
      </c>
      <c r="Q372">
        <v>1</v>
      </c>
      <c r="R372">
        <v>1</v>
      </c>
      <c r="S372">
        <v>1</v>
      </c>
      <c r="T372">
        <v>1</v>
      </c>
      <c r="U372">
        <v>1</v>
      </c>
      <c r="V372">
        <v>1</v>
      </c>
      <c r="W372">
        <v>1</v>
      </c>
      <c r="X372">
        <v>1</v>
      </c>
      <c r="Y372">
        <v>1</v>
      </c>
      <c r="Z372">
        <v>1</v>
      </c>
      <c r="AA372">
        <v>1</v>
      </c>
      <c r="AB372">
        <v>1</v>
      </c>
      <c r="AC372">
        <v>1</v>
      </c>
    </row>
    <row r="373" spans="1:29" x14ac:dyDescent="0.45">
      <c r="A373" t="s">
        <v>44</v>
      </c>
      <c r="B373" t="s">
        <v>436</v>
      </c>
      <c r="C373" t="s">
        <v>437</v>
      </c>
      <c r="D373" t="s">
        <v>426</v>
      </c>
      <c r="E373" t="str">
        <f t="shared" si="5"/>
        <v>LA|solar pv|Summer</v>
      </c>
      <c r="F373">
        <v>1</v>
      </c>
      <c r="G373">
        <v>1</v>
      </c>
      <c r="H373">
        <v>1</v>
      </c>
      <c r="I373">
        <v>1</v>
      </c>
      <c r="J373">
        <v>1</v>
      </c>
      <c r="K373">
        <v>1</v>
      </c>
      <c r="L373">
        <v>1</v>
      </c>
      <c r="M373">
        <v>1</v>
      </c>
      <c r="N373">
        <v>1</v>
      </c>
      <c r="O373">
        <v>1</v>
      </c>
      <c r="P373">
        <v>1</v>
      </c>
      <c r="Q373">
        <v>1</v>
      </c>
      <c r="R373">
        <v>1</v>
      </c>
      <c r="S373">
        <v>1</v>
      </c>
      <c r="T373">
        <v>1</v>
      </c>
      <c r="U373">
        <v>1</v>
      </c>
      <c r="V373">
        <v>1</v>
      </c>
      <c r="W373">
        <v>1</v>
      </c>
      <c r="X373">
        <v>1</v>
      </c>
      <c r="Y373">
        <v>1</v>
      </c>
      <c r="Z373">
        <v>1</v>
      </c>
      <c r="AA373">
        <v>1</v>
      </c>
      <c r="AB373">
        <v>1</v>
      </c>
      <c r="AC373">
        <v>1</v>
      </c>
    </row>
    <row r="374" spans="1:29" x14ac:dyDescent="0.45">
      <c r="A374" t="s">
        <v>44</v>
      </c>
      <c r="B374" t="s">
        <v>436</v>
      </c>
      <c r="C374" t="s">
        <v>437</v>
      </c>
      <c r="D374" t="s">
        <v>427</v>
      </c>
      <c r="E374" t="str">
        <f t="shared" si="5"/>
        <v>LA|solar pv|Fall</v>
      </c>
      <c r="F374">
        <v>1</v>
      </c>
      <c r="G374">
        <v>1</v>
      </c>
      <c r="H374">
        <v>1</v>
      </c>
      <c r="I374">
        <v>1</v>
      </c>
      <c r="J374">
        <v>1</v>
      </c>
      <c r="K374">
        <v>1</v>
      </c>
      <c r="L374">
        <v>1</v>
      </c>
      <c r="M374">
        <v>1</v>
      </c>
      <c r="N374">
        <v>1</v>
      </c>
      <c r="O374">
        <v>1</v>
      </c>
      <c r="P374">
        <v>1</v>
      </c>
      <c r="Q374">
        <v>1</v>
      </c>
      <c r="R374">
        <v>1</v>
      </c>
      <c r="S374">
        <v>1</v>
      </c>
      <c r="T374">
        <v>1</v>
      </c>
      <c r="U374">
        <v>1</v>
      </c>
      <c r="V374">
        <v>1</v>
      </c>
      <c r="W374">
        <v>1</v>
      </c>
      <c r="X374">
        <v>1</v>
      </c>
      <c r="Y374">
        <v>1</v>
      </c>
      <c r="Z374">
        <v>1</v>
      </c>
      <c r="AA374">
        <v>1</v>
      </c>
      <c r="AB374">
        <v>1</v>
      </c>
      <c r="AC374">
        <v>1</v>
      </c>
    </row>
    <row r="375" spans="1:29" x14ac:dyDescent="0.45">
      <c r="A375" t="s">
        <v>44</v>
      </c>
      <c r="B375" t="s">
        <v>436</v>
      </c>
      <c r="C375" t="s">
        <v>437</v>
      </c>
      <c r="D375" t="s">
        <v>428</v>
      </c>
      <c r="E375" t="str">
        <f t="shared" si="5"/>
        <v>LA|solar pv|Summer Peak</v>
      </c>
      <c r="F375">
        <v>1</v>
      </c>
      <c r="G375">
        <v>1</v>
      </c>
      <c r="H375">
        <v>1</v>
      </c>
      <c r="I375">
        <v>1</v>
      </c>
      <c r="J375">
        <v>1</v>
      </c>
      <c r="K375">
        <v>0.56169999999999998</v>
      </c>
      <c r="L375">
        <v>0.76859999999999995</v>
      </c>
      <c r="M375">
        <v>0.90690000000000004</v>
      </c>
      <c r="N375">
        <v>0.93300000000000005</v>
      </c>
      <c r="O375">
        <v>0.91769999999999996</v>
      </c>
      <c r="P375">
        <v>0.96409999999999996</v>
      </c>
      <c r="Q375">
        <v>0.94579999999999997</v>
      </c>
      <c r="R375">
        <v>0.89390000000000003</v>
      </c>
      <c r="S375">
        <v>0.89629999999999999</v>
      </c>
      <c r="T375">
        <v>0.86899999999999999</v>
      </c>
      <c r="U375">
        <v>0.82199999999999995</v>
      </c>
      <c r="V375">
        <v>0.85019999999999996</v>
      </c>
      <c r="W375">
        <v>0.64890000000000003</v>
      </c>
      <c r="X375">
        <v>1</v>
      </c>
      <c r="Y375">
        <v>1</v>
      </c>
      <c r="Z375">
        <v>1</v>
      </c>
      <c r="AA375">
        <v>1</v>
      </c>
      <c r="AB375">
        <v>1</v>
      </c>
      <c r="AC375">
        <v>1</v>
      </c>
    </row>
    <row r="376" spans="1:29" x14ac:dyDescent="0.45">
      <c r="A376" t="s">
        <v>44</v>
      </c>
      <c r="B376" t="s">
        <v>436</v>
      </c>
      <c r="C376" t="s">
        <v>437</v>
      </c>
      <c r="D376" t="s">
        <v>429</v>
      </c>
      <c r="E376" t="str">
        <f t="shared" si="5"/>
        <v>LA|solar pv|Winter Peak</v>
      </c>
      <c r="F376">
        <v>1</v>
      </c>
      <c r="G376">
        <v>1</v>
      </c>
      <c r="H376">
        <v>1</v>
      </c>
      <c r="I376">
        <v>1</v>
      </c>
      <c r="J376">
        <v>1</v>
      </c>
      <c r="K376">
        <v>1</v>
      </c>
      <c r="L376">
        <v>1</v>
      </c>
      <c r="M376">
        <v>0.72529999999999994</v>
      </c>
      <c r="N376">
        <v>0.83950000000000002</v>
      </c>
      <c r="O376">
        <v>0.79990000000000006</v>
      </c>
      <c r="P376">
        <v>0.83279999999999998</v>
      </c>
      <c r="Q376">
        <v>0.86370000000000002</v>
      </c>
      <c r="R376">
        <v>0.87329999999999997</v>
      </c>
      <c r="S376">
        <v>0.8024</v>
      </c>
      <c r="T376">
        <v>0.60960000000000003</v>
      </c>
      <c r="U376">
        <v>0.66720000000000002</v>
      </c>
      <c r="V376">
        <v>2.8400000000000002E-2</v>
      </c>
      <c r="W376">
        <v>1</v>
      </c>
      <c r="X376">
        <v>1</v>
      </c>
      <c r="Y376">
        <v>1</v>
      </c>
      <c r="Z376">
        <v>1</v>
      </c>
      <c r="AA376">
        <v>1</v>
      </c>
      <c r="AB376">
        <v>1</v>
      </c>
      <c r="AC376">
        <v>1</v>
      </c>
    </row>
    <row r="377" spans="1:29" x14ac:dyDescent="0.45">
      <c r="A377" t="s">
        <v>44</v>
      </c>
      <c r="B377" t="s">
        <v>438</v>
      </c>
      <c r="C377" t="s">
        <v>439</v>
      </c>
      <c r="D377" t="s">
        <v>424</v>
      </c>
      <c r="E377" t="str">
        <f t="shared" si="5"/>
        <v>LA|solar thermal|Winter</v>
      </c>
      <c r="F377">
        <v>1</v>
      </c>
      <c r="G377">
        <v>1</v>
      </c>
      <c r="H377">
        <v>1</v>
      </c>
      <c r="I377">
        <v>1</v>
      </c>
      <c r="J377">
        <v>1</v>
      </c>
      <c r="K377">
        <v>1</v>
      </c>
      <c r="L377">
        <v>1</v>
      </c>
      <c r="M377">
        <v>1</v>
      </c>
      <c r="N377">
        <v>1</v>
      </c>
      <c r="O377">
        <v>1</v>
      </c>
      <c r="P377">
        <v>1</v>
      </c>
      <c r="Q377">
        <v>1</v>
      </c>
      <c r="R377">
        <v>1</v>
      </c>
      <c r="S377">
        <v>1</v>
      </c>
      <c r="T377">
        <v>1</v>
      </c>
      <c r="U377">
        <v>1</v>
      </c>
      <c r="V377">
        <v>1</v>
      </c>
      <c r="W377">
        <v>1</v>
      </c>
      <c r="X377">
        <v>1</v>
      </c>
      <c r="Y377">
        <v>1</v>
      </c>
      <c r="Z377">
        <v>1</v>
      </c>
      <c r="AA377">
        <v>1</v>
      </c>
      <c r="AB377">
        <v>1</v>
      </c>
      <c r="AC377">
        <v>1</v>
      </c>
    </row>
    <row r="378" spans="1:29" x14ac:dyDescent="0.45">
      <c r="A378" t="s">
        <v>44</v>
      </c>
      <c r="B378" t="s">
        <v>438</v>
      </c>
      <c r="C378" t="s">
        <v>439</v>
      </c>
      <c r="D378" t="s">
        <v>425</v>
      </c>
      <c r="E378" t="str">
        <f t="shared" si="5"/>
        <v>LA|solar thermal|Spring</v>
      </c>
      <c r="F378">
        <v>1</v>
      </c>
      <c r="G378">
        <v>1</v>
      </c>
      <c r="H378">
        <v>1</v>
      </c>
      <c r="I378">
        <v>1</v>
      </c>
      <c r="J378">
        <v>1</v>
      </c>
      <c r="K378">
        <v>1</v>
      </c>
      <c r="L378">
        <v>1</v>
      </c>
      <c r="M378">
        <v>1</v>
      </c>
      <c r="N378">
        <v>1</v>
      </c>
      <c r="O378">
        <v>1</v>
      </c>
      <c r="P378">
        <v>1</v>
      </c>
      <c r="Q378">
        <v>1</v>
      </c>
      <c r="R378">
        <v>1</v>
      </c>
      <c r="S378">
        <v>1</v>
      </c>
      <c r="T378">
        <v>1</v>
      </c>
      <c r="U378">
        <v>1</v>
      </c>
      <c r="V378">
        <v>1</v>
      </c>
      <c r="W378">
        <v>1</v>
      </c>
      <c r="X378">
        <v>1</v>
      </c>
      <c r="Y378">
        <v>1</v>
      </c>
      <c r="Z378">
        <v>1</v>
      </c>
      <c r="AA378">
        <v>1</v>
      </c>
      <c r="AB378">
        <v>1</v>
      </c>
      <c r="AC378">
        <v>1</v>
      </c>
    </row>
    <row r="379" spans="1:29" x14ac:dyDescent="0.45">
      <c r="A379" t="s">
        <v>44</v>
      </c>
      <c r="B379" t="s">
        <v>438</v>
      </c>
      <c r="C379" t="s">
        <v>439</v>
      </c>
      <c r="D379" t="s">
        <v>426</v>
      </c>
      <c r="E379" t="str">
        <f t="shared" si="5"/>
        <v>LA|solar thermal|Summer</v>
      </c>
      <c r="F379">
        <v>1</v>
      </c>
      <c r="G379">
        <v>1</v>
      </c>
      <c r="H379">
        <v>1</v>
      </c>
      <c r="I379">
        <v>1</v>
      </c>
      <c r="J379">
        <v>1</v>
      </c>
      <c r="K379">
        <v>1</v>
      </c>
      <c r="L379">
        <v>1</v>
      </c>
      <c r="M379">
        <v>1</v>
      </c>
      <c r="N379">
        <v>1</v>
      </c>
      <c r="O379">
        <v>1</v>
      </c>
      <c r="P379">
        <v>1</v>
      </c>
      <c r="Q379">
        <v>1</v>
      </c>
      <c r="R379">
        <v>1</v>
      </c>
      <c r="S379">
        <v>1</v>
      </c>
      <c r="T379">
        <v>1</v>
      </c>
      <c r="U379">
        <v>1</v>
      </c>
      <c r="V379">
        <v>1</v>
      </c>
      <c r="W379">
        <v>1</v>
      </c>
      <c r="X379">
        <v>1</v>
      </c>
      <c r="Y379">
        <v>1</v>
      </c>
      <c r="Z379">
        <v>1</v>
      </c>
      <c r="AA379">
        <v>1</v>
      </c>
      <c r="AB379">
        <v>1</v>
      </c>
      <c r="AC379">
        <v>1</v>
      </c>
    </row>
    <row r="380" spans="1:29" x14ac:dyDescent="0.45">
      <c r="A380" t="s">
        <v>44</v>
      </c>
      <c r="B380" t="s">
        <v>438</v>
      </c>
      <c r="C380" t="s">
        <v>439</v>
      </c>
      <c r="D380" t="s">
        <v>427</v>
      </c>
      <c r="E380" t="str">
        <f t="shared" si="5"/>
        <v>LA|solar thermal|Fall</v>
      </c>
      <c r="F380">
        <v>1</v>
      </c>
      <c r="G380">
        <v>1</v>
      </c>
      <c r="H380">
        <v>1</v>
      </c>
      <c r="I380">
        <v>1</v>
      </c>
      <c r="J380">
        <v>1</v>
      </c>
      <c r="K380">
        <v>1</v>
      </c>
      <c r="L380">
        <v>1</v>
      </c>
      <c r="M380">
        <v>1</v>
      </c>
      <c r="N380">
        <v>1</v>
      </c>
      <c r="O380">
        <v>1</v>
      </c>
      <c r="P380">
        <v>1</v>
      </c>
      <c r="Q380">
        <v>1</v>
      </c>
      <c r="R380">
        <v>1</v>
      </c>
      <c r="S380">
        <v>1</v>
      </c>
      <c r="T380">
        <v>1</v>
      </c>
      <c r="U380">
        <v>1</v>
      </c>
      <c r="V380">
        <v>1</v>
      </c>
      <c r="W380">
        <v>1</v>
      </c>
      <c r="X380">
        <v>1</v>
      </c>
      <c r="Y380">
        <v>1</v>
      </c>
      <c r="Z380">
        <v>1</v>
      </c>
      <c r="AA380">
        <v>1</v>
      </c>
      <c r="AB380">
        <v>1</v>
      </c>
      <c r="AC380">
        <v>1</v>
      </c>
    </row>
    <row r="381" spans="1:29" x14ac:dyDescent="0.45">
      <c r="A381" t="s">
        <v>44</v>
      </c>
      <c r="B381" t="s">
        <v>438</v>
      </c>
      <c r="C381" t="s">
        <v>439</v>
      </c>
      <c r="D381" t="s">
        <v>428</v>
      </c>
      <c r="E381" t="str">
        <f t="shared" si="5"/>
        <v>LA|solar thermal|Summer Peak</v>
      </c>
      <c r="F381">
        <v>1</v>
      </c>
      <c r="G381">
        <v>1</v>
      </c>
      <c r="H381">
        <v>1</v>
      </c>
      <c r="I381">
        <v>1</v>
      </c>
      <c r="J381">
        <v>1</v>
      </c>
      <c r="K381">
        <v>1</v>
      </c>
      <c r="L381">
        <v>1</v>
      </c>
      <c r="M381">
        <v>0</v>
      </c>
      <c r="N381">
        <v>0.8639</v>
      </c>
      <c r="O381">
        <v>1</v>
      </c>
      <c r="P381">
        <v>1</v>
      </c>
      <c r="Q381">
        <v>0.97160000000000002</v>
      </c>
      <c r="R381">
        <v>0.96719999999999995</v>
      </c>
      <c r="S381">
        <v>1</v>
      </c>
      <c r="T381">
        <v>1</v>
      </c>
      <c r="U381">
        <v>1</v>
      </c>
      <c r="V381">
        <v>1</v>
      </c>
      <c r="W381">
        <v>1</v>
      </c>
      <c r="X381">
        <v>1</v>
      </c>
      <c r="Y381">
        <v>0.93130000000000002</v>
      </c>
      <c r="Z381">
        <v>0.70220000000000005</v>
      </c>
      <c r="AA381">
        <v>1</v>
      </c>
      <c r="AB381">
        <v>1</v>
      </c>
      <c r="AC381">
        <v>1</v>
      </c>
    </row>
    <row r="382" spans="1:29" x14ac:dyDescent="0.45">
      <c r="A382" t="s">
        <v>44</v>
      </c>
      <c r="B382" t="s">
        <v>438</v>
      </c>
      <c r="C382" t="s">
        <v>439</v>
      </c>
      <c r="D382" t="s">
        <v>429</v>
      </c>
      <c r="E382" t="str">
        <f t="shared" si="5"/>
        <v>LA|solar thermal|Winter Peak</v>
      </c>
      <c r="F382">
        <v>1</v>
      </c>
      <c r="G382">
        <v>1</v>
      </c>
      <c r="H382">
        <v>1</v>
      </c>
      <c r="I382">
        <v>1</v>
      </c>
      <c r="J382">
        <v>1</v>
      </c>
      <c r="K382">
        <v>1</v>
      </c>
      <c r="L382">
        <v>1</v>
      </c>
      <c r="M382">
        <v>1</v>
      </c>
      <c r="N382">
        <v>1</v>
      </c>
      <c r="O382">
        <v>0.2419</v>
      </c>
      <c r="P382">
        <v>0.95320000000000005</v>
      </c>
      <c r="Q382">
        <v>0.88039999999999996</v>
      </c>
      <c r="R382">
        <v>0.97819999999999996</v>
      </c>
      <c r="S382">
        <v>0.98950000000000005</v>
      </c>
      <c r="T382">
        <v>0.99270000000000003</v>
      </c>
      <c r="U382">
        <v>1</v>
      </c>
      <c r="V382">
        <v>1</v>
      </c>
      <c r="W382">
        <v>1</v>
      </c>
      <c r="X382">
        <v>0.89019999999999999</v>
      </c>
      <c r="Y382">
        <v>0</v>
      </c>
      <c r="Z382">
        <v>1</v>
      </c>
      <c r="AA382">
        <v>1</v>
      </c>
      <c r="AB382">
        <v>1</v>
      </c>
      <c r="AC382">
        <v>1</v>
      </c>
    </row>
    <row r="383" spans="1:29" x14ac:dyDescent="0.45">
      <c r="A383" t="s">
        <v>44</v>
      </c>
      <c r="B383" t="s">
        <v>440</v>
      </c>
      <c r="C383" t="s">
        <v>441</v>
      </c>
      <c r="D383" t="s">
        <v>424</v>
      </c>
      <c r="E383" t="str">
        <f t="shared" si="5"/>
        <v>LA|offshore wind|Winter</v>
      </c>
      <c r="F383">
        <v>1</v>
      </c>
      <c r="G383">
        <v>1</v>
      </c>
      <c r="H383">
        <v>1</v>
      </c>
      <c r="I383">
        <v>1</v>
      </c>
      <c r="J383">
        <v>1</v>
      </c>
      <c r="K383">
        <v>1</v>
      </c>
      <c r="L383">
        <v>1</v>
      </c>
      <c r="M383">
        <v>1</v>
      </c>
      <c r="N383">
        <v>1</v>
      </c>
      <c r="O383">
        <v>1</v>
      </c>
      <c r="P383">
        <v>1</v>
      </c>
      <c r="Q383">
        <v>1</v>
      </c>
      <c r="R383">
        <v>1</v>
      </c>
      <c r="S383">
        <v>1</v>
      </c>
      <c r="T383">
        <v>1</v>
      </c>
      <c r="U383">
        <v>1</v>
      </c>
      <c r="V383">
        <v>1</v>
      </c>
      <c r="W383">
        <v>1</v>
      </c>
      <c r="X383">
        <v>1</v>
      </c>
      <c r="Y383">
        <v>1</v>
      </c>
      <c r="Z383">
        <v>1</v>
      </c>
      <c r="AA383">
        <v>1</v>
      </c>
      <c r="AB383">
        <v>1</v>
      </c>
      <c r="AC383">
        <v>1</v>
      </c>
    </row>
    <row r="384" spans="1:29" x14ac:dyDescent="0.45">
      <c r="A384" t="s">
        <v>44</v>
      </c>
      <c r="B384" t="s">
        <v>440</v>
      </c>
      <c r="C384" t="s">
        <v>441</v>
      </c>
      <c r="D384" t="s">
        <v>425</v>
      </c>
      <c r="E384" t="str">
        <f t="shared" si="5"/>
        <v>LA|offshore wind|Spring</v>
      </c>
      <c r="F384">
        <v>1</v>
      </c>
      <c r="G384">
        <v>1</v>
      </c>
      <c r="H384">
        <v>1</v>
      </c>
      <c r="I384">
        <v>1</v>
      </c>
      <c r="J384">
        <v>1</v>
      </c>
      <c r="K384">
        <v>1</v>
      </c>
      <c r="L384">
        <v>1</v>
      </c>
      <c r="M384">
        <v>1</v>
      </c>
      <c r="N384">
        <v>1</v>
      </c>
      <c r="O384">
        <v>1</v>
      </c>
      <c r="P384">
        <v>1</v>
      </c>
      <c r="Q384">
        <v>1</v>
      </c>
      <c r="R384">
        <v>1</v>
      </c>
      <c r="S384">
        <v>1</v>
      </c>
      <c r="T384">
        <v>1</v>
      </c>
      <c r="U384">
        <v>1</v>
      </c>
      <c r="V384">
        <v>1</v>
      </c>
      <c r="W384">
        <v>1</v>
      </c>
      <c r="X384">
        <v>1</v>
      </c>
      <c r="Y384">
        <v>1</v>
      </c>
      <c r="Z384">
        <v>1</v>
      </c>
      <c r="AA384">
        <v>1</v>
      </c>
      <c r="AB384">
        <v>1</v>
      </c>
      <c r="AC384">
        <v>1</v>
      </c>
    </row>
    <row r="385" spans="1:29" x14ac:dyDescent="0.45">
      <c r="A385" t="s">
        <v>44</v>
      </c>
      <c r="B385" t="s">
        <v>440</v>
      </c>
      <c r="C385" t="s">
        <v>441</v>
      </c>
      <c r="D385" t="s">
        <v>426</v>
      </c>
      <c r="E385" t="str">
        <f t="shared" si="5"/>
        <v>LA|offshore wind|Summer</v>
      </c>
      <c r="F385">
        <v>1</v>
      </c>
      <c r="G385">
        <v>1</v>
      </c>
      <c r="H385">
        <v>1</v>
      </c>
      <c r="I385">
        <v>1</v>
      </c>
      <c r="J385">
        <v>1</v>
      </c>
      <c r="K385">
        <v>1</v>
      </c>
      <c r="L385">
        <v>1</v>
      </c>
      <c r="M385">
        <v>1</v>
      </c>
      <c r="N385">
        <v>1</v>
      </c>
      <c r="O385">
        <v>1</v>
      </c>
      <c r="P385">
        <v>1</v>
      </c>
      <c r="Q385">
        <v>1</v>
      </c>
      <c r="R385">
        <v>1</v>
      </c>
      <c r="S385">
        <v>1</v>
      </c>
      <c r="T385">
        <v>1</v>
      </c>
      <c r="U385">
        <v>1</v>
      </c>
      <c r="V385">
        <v>1</v>
      </c>
      <c r="W385">
        <v>1</v>
      </c>
      <c r="X385">
        <v>1</v>
      </c>
      <c r="Y385">
        <v>1</v>
      </c>
      <c r="Z385">
        <v>1</v>
      </c>
      <c r="AA385">
        <v>1</v>
      </c>
      <c r="AB385">
        <v>1</v>
      </c>
      <c r="AC385">
        <v>1</v>
      </c>
    </row>
    <row r="386" spans="1:29" x14ac:dyDescent="0.45">
      <c r="A386" t="s">
        <v>44</v>
      </c>
      <c r="B386" t="s">
        <v>440</v>
      </c>
      <c r="C386" t="s">
        <v>441</v>
      </c>
      <c r="D386" t="s">
        <v>427</v>
      </c>
      <c r="E386" t="str">
        <f t="shared" si="5"/>
        <v>LA|offshore wind|Fall</v>
      </c>
      <c r="F386">
        <v>1</v>
      </c>
      <c r="G386">
        <v>1</v>
      </c>
      <c r="H386">
        <v>1</v>
      </c>
      <c r="I386">
        <v>1</v>
      </c>
      <c r="J386">
        <v>1</v>
      </c>
      <c r="K386">
        <v>1</v>
      </c>
      <c r="L386">
        <v>1</v>
      </c>
      <c r="M386">
        <v>1</v>
      </c>
      <c r="N386">
        <v>1</v>
      </c>
      <c r="O386">
        <v>1</v>
      </c>
      <c r="P386">
        <v>1</v>
      </c>
      <c r="Q386">
        <v>1</v>
      </c>
      <c r="R386">
        <v>1</v>
      </c>
      <c r="S386">
        <v>1</v>
      </c>
      <c r="T386">
        <v>1</v>
      </c>
      <c r="U386">
        <v>1</v>
      </c>
      <c r="V386">
        <v>1</v>
      </c>
      <c r="W386">
        <v>1</v>
      </c>
      <c r="X386">
        <v>1</v>
      </c>
      <c r="Y386">
        <v>1</v>
      </c>
      <c r="Z386">
        <v>1</v>
      </c>
      <c r="AA386">
        <v>1</v>
      </c>
      <c r="AB386">
        <v>1</v>
      </c>
      <c r="AC386">
        <v>1</v>
      </c>
    </row>
    <row r="387" spans="1:29" x14ac:dyDescent="0.45">
      <c r="A387" t="s">
        <v>44</v>
      </c>
      <c r="B387" t="s">
        <v>440</v>
      </c>
      <c r="C387" t="s">
        <v>441</v>
      </c>
      <c r="D387" t="s">
        <v>428</v>
      </c>
      <c r="E387" t="str">
        <f t="shared" si="5"/>
        <v>LA|offshore wind|Summer Peak</v>
      </c>
      <c r="F387">
        <v>0.40810000000000002</v>
      </c>
      <c r="G387">
        <v>0.4239</v>
      </c>
      <c r="H387">
        <v>0.45760000000000001</v>
      </c>
      <c r="I387">
        <v>0.50319999999999998</v>
      </c>
      <c r="J387">
        <v>0.53649999999999998</v>
      </c>
      <c r="K387">
        <v>0.59399999999999997</v>
      </c>
      <c r="L387">
        <v>0.61929999999999996</v>
      </c>
      <c r="M387">
        <v>0.68859999999999999</v>
      </c>
      <c r="N387">
        <v>0.73480000000000001</v>
      </c>
      <c r="O387">
        <v>0.84350000000000003</v>
      </c>
      <c r="P387">
        <v>0.78200000000000003</v>
      </c>
      <c r="Q387">
        <v>0.74650000000000005</v>
      </c>
      <c r="R387">
        <v>0.63690000000000002</v>
      </c>
      <c r="S387">
        <v>0.60860000000000003</v>
      </c>
      <c r="T387">
        <v>0.64339999999999997</v>
      </c>
      <c r="U387">
        <v>0.69269999999999998</v>
      </c>
      <c r="V387">
        <v>0.71450000000000002</v>
      </c>
      <c r="W387">
        <v>0.75070000000000003</v>
      </c>
      <c r="X387">
        <v>0.72489999999999999</v>
      </c>
      <c r="Y387">
        <v>0.66049999999999998</v>
      </c>
      <c r="Z387">
        <v>0.69140000000000001</v>
      </c>
      <c r="AA387">
        <v>0.63080000000000003</v>
      </c>
      <c r="AB387">
        <v>0.63429999999999997</v>
      </c>
      <c r="AC387">
        <v>0.64390000000000003</v>
      </c>
    </row>
    <row r="388" spans="1:29" x14ac:dyDescent="0.45">
      <c r="A388" t="s">
        <v>44</v>
      </c>
      <c r="B388" t="s">
        <v>440</v>
      </c>
      <c r="C388" t="s">
        <v>441</v>
      </c>
      <c r="D388" t="s">
        <v>429</v>
      </c>
      <c r="E388" t="str">
        <f t="shared" si="5"/>
        <v>LA|offshore wind|Winter Peak</v>
      </c>
      <c r="F388">
        <v>0.95309999999999995</v>
      </c>
      <c r="G388">
        <v>0.95030000000000003</v>
      </c>
      <c r="H388">
        <v>0.95540000000000003</v>
      </c>
      <c r="I388">
        <v>0.96679999999999999</v>
      </c>
      <c r="J388">
        <v>1</v>
      </c>
      <c r="K388">
        <v>1</v>
      </c>
      <c r="L388">
        <v>1</v>
      </c>
      <c r="M388">
        <v>0.99209999999999998</v>
      </c>
      <c r="N388">
        <v>0.90149999999999997</v>
      </c>
      <c r="O388">
        <v>0.79779999999999995</v>
      </c>
      <c r="P388">
        <v>0.71879999999999999</v>
      </c>
      <c r="Q388">
        <v>0.67300000000000004</v>
      </c>
      <c r="R388">
        <v>0.60860000000000003</v>
      </c>
      <c r="S388">
        <v>0.58009999999999995</v>
      </c>
      <c r="T388">
        <v>0.58799999999999997</v>
      </c>
      <c r="U388">
        <v>0.61019999999999996</v>
      </c>
      <c r="V388">
        <v>0.61839999999999995</v>
      </c>
      <c r="W388">
        <v>0.60909999999999997</v>
      </c>
      <c r="X388">
        <v>0.62880000000000003</v>
      </c>
      <c r="Y388">
        <v>0.72889999999999999</v>
      </c>
      <c r="Z388">
        <v>0.84719999999999995</v>
      </c>
      <c r="AA388">
        <v>0.92220000000000002</v>
      </c>
      <c r="AB388">
        <v>0.86950000000000005</v>
      </c>
      <c r="AC388">
        <v>0.8054</v>
      </c>
    </row>
    <row r="389" spans="1:29" x14ac:dyDescent="0.45">
      <c r="A389" t="s">
        <v>47</v>
      </c>
      <c r="B389" t="s">
        <v>434</v>
      </c>
      <c r="C389" t="s">
        <v>435</v>
      </c>
      <c r="D389" t="s">
        <v>424</v>
      </c>
      <c r="E389" t="str">
        <f t="shared" ref="E389:E452" si="6">A389&amp;"|"&amp;C389&amp;"|"&amp;D389</f>
        <v>MA|onshore wind|Winter</v>
      </c>
      <c r="F389">
        <v>1</v>
      </c>
      <c r="G389">
        <v>1</v>
      </c>
      <c r="H389">
        <v>1</v>
      </c>
      <c r="I389">
        <v>1</v>
      </c>
      <c r="J389">
        <v>1</v>
      </c>
      <c r="K389">
        <v>1</v>
      </c>
      <c r="L389">
        <v>1</v>
      </c>
      <c r="M389">
        <v>1</v>
      </c>
      <c r="N389">
        <v>1</v>
      </c>
      <c r="O389">
        <v>1</v>
      </c>
      <c r="P389">
        <v>1</v>
      </c>
      <c r="Q389">
        <v>1</v>
      </c>
      <c r="R389">
        <v>1</v>
      </c>
      <c r="S389">
        <v>1</v>
      </c>
      <c r="T389">
        <v>1</v>
      </c>
      <c r="U389">
        <v>1</v>
      </c>
      <c r="V389">
        <v>1</v>
      </c>
      <c r="W389">
        <v>1</v>
      </c>
      <c r="X389">
        <v>1</v>
      </c>
      <c r="Y389">
        <v>1</v>
      </c>
      <c r="Z389">
        <v>1</v>
      </c>
      <c r="AA389">
        <v>1</v>
      </c>
      <c r="AB389">
        <v>1</v>
      </c>
      <c r="AC389">
        <v>1</v>
      </c>
    </row>
    <row r="390" spans="1:29" x14ac:dyDescent="0.45">
      <c r="A390" t="s">
        <v>47</v>
      </c>
      <c r="B390" t="s">
        <v>434</v>
      </c>
      <c r="C390" t="s">
        <v>435</v>
      </c>
      <c r="D390" t="s">
        <v>425</v>
      </c>
      <c r="E390" t="str">
        <f t="shared" si="6"/>
        <v>MA|onshore wind|Spring</v>
      </c>
      <c r="F390">
        <v>1</v>
      </c>
      <c r="G390">
        <v>1</v>
      </c>
      <c r="H390">
        <v>1</v>
      </c>
      <c r="I390">
        <v>1</v>
      </c>
      <c r="J390">
        <v>1</v>
      </c>
      <c r="K390">
        <v>1</v>
      </c>
      <c r="L390">
        <v>1</v>
      </c>
      <c r="M390">
        <v>1</v>
      </c>
      <c r="N390">
        <v>1</v>
      </c>
      <c r="O390">
        <v>1</v>
      </c>
      <c r="P390">
        <v>1</v>
      </c>
      <c r="Q390">
        <v>1</v>
      </c>
      <c r="R390">
        <v>1</v>
      </c>
      <c r="S390">
        <v>1</v>
      </c>
      <c r="T390">
        <v>1</v>
      </c>
      <c r="U390">
        <v>1</v>
      </c>
      <c r="V390">
        <v>1</v>
      </c>
      <c r="W390">
        <v>1</v>
      </c>
      <c r="X390">
        <v>1</v>
      </c>
      <c r="Y390">
        <v>1</v>
      </c>
      <c r="Z390">
        <v>1</v>
      </c>
      <c r="AA390">
        <v>1</v>
      </c>
      <c r="AB390">
        <v>1</v>
      </c>
      <c r="AC390">
        <v>1</v>
      </c>
    </row>
    <row r="391" spans="1:29" x14ac:dyDescent="0.45">
      <c r="A391" t="s">
        <v>47</v>
      </c>
      <c r="B391" t="s">
        <v>434</v>
      </c>
      <c r="C391" t="s">
        <v>435</v>
      </c>
      <c r="D391" t="s">
        <v>426</v>
      </c>
      <c r="E391" t="str">
        <f t="shared" si="6"/>
        <v>MA|onshore wind|Summer</v>
      </c>
      <c r="F391">
        <v>1</v>
      </c>
      <c r="G391">
        <v>1</v>
      </c>
      <c r="H391">
        <v>1</v>
      </c>
      <c r="I391">
        <v>1</v>
      </c>
      <c r="J391">
        <v>1</v>
      </c>
      <c r="K391">
        <v>1</v>
      </c>
      <c r="L391">
        <v>1</v>
      </c>
      <c r="M391">
        <v>1</v>
      </c>
      <c r="N391">
        <v>1</v>
      </c>
      <c r="O391">
        <v>1</v>
      </c>
      <c r="P391">
        <v>1</v>
      </c>
      <c r="Q391">
        <v>1</v>
      </c>
      <c r="R391">
        <v>1</v>
      </c>
      <c r="S391">
        <v>1</v>
      </c>
      <c r="T391">
        <v>1</v>
      </c>
      <c r="U391">
        <v>1</v>
      </c>
      <c r="V391">
        <v>1</v>
      </c>
      <c r="W391">
        <v>1</v>
      </c>
      <c r="X391">
        <v>1</v>
      </c>
      <c r="Y391">
        <v>1</v>
      </c>
      <c r="Z391">
        <v>1</v>
      </c>
      <c r="AA391">
        <v>1</v>
      </c>
      <c r="AB391">
        <v>1</v>
      </c>
      <c r="AC391">
        <v>1</v>
      </c>
    </row>
    <row r="392" spans="1:29" x14ac:dyDescent="0.45">
      <c r="A392" t="s">
        <v>47</v>
      </c>
      <c r="B392" t="s">
        <v>434</v>
      </c>
      <c r="C392" t="s">
        <v>435</v>
      </c>
      <c r="D392" t="s">
        <v>427</v>
      </c>
      <c r="E392" t="str">
        <f t="shared" si="6"/>
        <v>MA|onshore wind|Fall</v>
      </c>
      <c r="F392">
        <v>1</v>
      </c>
      <c r="G392">
        <v>1</v>
      </c>
      <c r="H392">
        <v>1</v>
      </c>
      <c r="I392">
        <v>1</v>
      </c>
      <c r="J392">
        <v>1</v>
      </c>
      <c r="K392">
        <v>1</v>
      </c>
      <c r="L392">
        <v>1</v>
      </c>
      <c r="M392">
        <v>1</v>
      </c>
      <c r="N392">
        <v>1</v>
      </c>
      <c r="O392">
        <v>1</v>
      </c>
      <c r="P392">
        <v>1</v>
      </c>
      <c r="Q392">
        <v>1</v>
      </c>
      <c r="R392">
        <v>1</v>
      </c>
      <c r="S392">
        <v>1</v>
      </c>
      <c r="T392">
        <v>1</v>
      </c>
      <c r="U392">
        <v>1</v>
      </c>
      <c r="V392">
        <v>1</v>
      </c>
      <c r="W392">
        <v>1</v>
      </c>
      <c r="X392">
        <v>1</v>
      </c>
      <c r="Y392">
        <v>1</v>
      </c>
      <c r="Z392">
        <v>1</v>
      </c>
      <c r="AA392">
        <v>1</v>
      </c>
      <c r="AB392">
        <v>1</v>
      </c>
      <c r="AC392">
        <v>1</v>
      </c>
    </row>
    <row r="393" spans="1:29" x14ac:dyDescent="0.45">
      <c r="A393" t="s">
        <v>47</v>
      </c>
      <c r="B393" t="s">
        <v>434</v>
      </c>
      <c r="C393" t="s">
        <v>435</v>
      </c>
      <c r="D393" t="s">
        <v>428</v>
      </c>
      <c r="E393" t="str">
        <f t="shared" si="6"/>
        <v>MA|onshore wind|Summer Peak</v>
      </c>
      <c r="F393">
        <v>0.64119999999999999</v>
      </c>
      <c r="G393">
        <v>0.74070000000000003</v>
      </c>
      <c r="H393">
        <v>0.72050000000000003</v>
      </c>
      <c r="I393">
        <v>0.64370000000000005</v>
      </c>
      <c r="J393">
        <v>0.64329999999999998</v>
      </c>
      <c r="K393">
        <v>0.5968</v>
      </c>
      <c r="L393">
        <v>0.43390000000000001</v>
      </c>
      <c r="M393">
        <v>0.41160000000000002</v>
      </c>
      <c r="N393">
        <v>0.4451</v>
      </c>
      <c r="O393">
        <v>0.37040000000000001</v>
      </c>
      <c r="P393">
        <v>0.3448</v>
      </c>
      <c r="Q393">
        <v>0.39860000000000001</v>
      </c>
      <c r="R393">
        <v>0.34200000000000003</v>
      </c>
      <c r="S393">
        <v>0.39500000000000002</v>
      </c>
      <c r="T393">
        <v>0.41970000000000002</v>
      </c>
      <c r="U393">
        <v>0.39829999999999999</v>
      </c>
      <c r="V393">
        <v>0.43940000000000001</v>
      </c>
      <c r="W393">
        <v>0.45669999999999999</v>
      </c>
      <c r="X393">
        <v>0.49159999999999998</v>
      </c>
      <c r="Y393">
        <v>0.47199999999999998</v>
      </c>
      <c r="Z393">
        <v>0.47939999999999999</v>
      </c>
      <c r="AA393">
        <v>0.46350000000000002</v>
      </c>
      <c r="AB393">
        <v>0.46229999999999999</v>
      </c>
      <c r="AC393">
        <v>0.42220000000000002</v>
      </c>
    </row>
    <row r="394" spans="1:29" x14ac:dyDescent="0.45">
      <c r="A394" t="s">
        <v>47</v>
      </c>
      <c r="B394" t="s">
        <v>434</v>
      </c>
      <c r="C394" t="s">
        <v>435</v>
      </c>
      <c r="D394" t="s">
        <v>429</v>
      </c>
      <c r="E394" t="str">
        <f t="shared" si="6"/>
        <v>MA|onshore wind|Winter Peak</v>
      </c>
      <c r="F394">
        <v>0.75600000000000001</v>
      </c>
      <c r="G394">
        <v>0.71489999999999998</v>
      </c>
      <c r="H394">
        <v>0.67200000000000004</v>
      </c>
      <c r="I394">
        <v>0.71550000000000002</v>
      </c>
      <c r="J394">
        <v>0.70130000000000003</v>
      </c>
      <c r="K394">
        <v>0.78349999999999997</v>
      </c>
      <c r="L394">
        <v>0.75249999999999995</v>
      </c>
      <c r="M394">
        <v>0.7298</v>
      </c>
      <c r="N394">
        <v>0.62729999999999997</v>
      </c>
      <c r="O394">
        <v>0.48580000000000001</v>
      </c>
      <c r="P394">
        <v>0.378</v>
      </c>
      <c r="Q394">
        <v>0.3165</v>
      </c>
      <c r="R394">
        <v>0.33279999999999998</v>
      </c>
      <c r="S394">
        <v>0.43020000000000003</v>
      </c>
      <c r="T394">
        <v>0.56089999999999995</v>
      </c>
      <c r="U394">
        <v>0.67510000000000003</v>
      </c>
      <c r="V394">
        <v>0.81259999999999999</v>
      </c>
      <c r="W394">
        <v>0.86539999999999995</v>
      </c>
      <c r="X394">
        <v>0.84970000000000001</v>
      </c>
      <c r="Y394">
        <v>0.87909999999999999</v>
      </c>
      <c r="Z394">
        <v>0.84530000000000005</v>
      </c>
      <c r="AA394">
        <v>0.86939999999999995</v>
      </c>
      <c r="AB394">
        <v>0.87790000000000001</v>
      </c>
      <c r="AC394">
        <v>0.84719999999999995</v>
      </c>
    </row>
    <row r="395" spans="1:29" x14ac:dyDescent="0.45">
      <c r="A395" t="s">
        <v>47</v>
      </c>
      <c r="B395" t="s">
        <v>436</v>
      </c>
      <c r="C395" t="s">
        <v>437</v>
      </c>
      <c r="D395" t="s">
        <v>424</v>
      </c>
      <c r="E395" t="str">
        <f t="shared" si="6"/>
        <v>MA|solar pv|Winter</v>
      </c>
      <c r="F395">
        <v>1</v>
      </c>
      <c r="G395">
        <v>1</v>
      </c>
      <c r="H395">
        <v>1</v>
      </c>
      <c r="I395">
        <v>1</v>
      </c>
      <c r="J395">
        <v>1</v>
      </c>
      <c r="K395">
        <v>1</v>
      </c>
      <c r="L395">
        <v>1</v>
      </c>
      <c r="M395">
        <v>1</v>
      </c>
      <c r="N395">
        <v>1</v>
      </c>
      <c r="O395">
        <v>1</v>
      </c>
      <c r="P395">
        <v>1</v>
      </c>
      <c r="Q395">
        <v>1</v>
      </c>
      <c r="R395">
        <v>1</v>
      </c>
      <c r="S395">
        <v>1</v>
      </c>
      <c r="T395">
        <v>1</v>
      </c>
      <c r="U395">
        <v>1</v>
      </c>
      <c r="V395">
        <v>1</v>
      </c>
      <c r="W395">
        <v>1</v>
      </c>
      <c r="X395">
        <v>1</v>
      </c>
      <c r="Y395">
        <v>1</v>
      </c>
      <c r="Z395">
        <v>1</v>
      </c>
      <c r="AA395">
        <v>1</v>
      </c>
      <c r="AB395">
        <v>1</v>
      </c>
      <c r="AC395">
        <v>1</v>
      </c>
    </row>
    <row r="396" spans="1:29" x14ac:dyDescent="0.45">
      <c r="A396" t="s">
        <v>47</v>
      </c>
      <c r="B396" t="s">
        <v>436</v>
      </c>
      <c r="C396" t="s">
        <v>437</v>
      </c>
      <c r="D396" t="s">
        <v>425</v>
      </c>
      <c r="E396" t="str">
        <f t="shared" si="6"/>
        <v>MA|solar pv|Spring</v>
      </c>
      <c r="F396">
        <v>1</v>
      </c>
      <c r="G396">
        <v>1</v>
      </c>
      <c r="H396">
        <v>1</v>
      </c>
      <c r="I396">
        <v>1</v>
      </c>
      <c r="J396">
        <v>1</v>
      </c>
      <c r="K396">
        <v>1</v>
      </c>
      <c r="L396">
        <v>1</v>
      </c>
      <c r="M396">
        <v>1</v>
      </c>
      <c r="N396">
        <v>1</v>
      </c>
      <c r="O396">
        <v>1</v>
      </c>
      <c r="P396">
        <v>1</v>
      </c>
      <c r="Q396">
        <v>1</v>
      </c>
      <c r="R396">
        <v>1</v>
      </c>
      <c r="S396">
        <v>1</v>
      </c>
      <c r="T396">
        <v>1</v>
      </c>
      <c r="U396">
        <v>1</v>
      </c>
      <c r="V396">
        <v>1</v>
      </c>
      <c r="W396">
        <v>1</v>
      </c>
      <c r="X396">
        <v>1</v>
      </c>
      <c r="Y396">
        <v>1</v>
      </c>
      <c r="Z396">
        <v>1</v>
      </c>
      <c r="AA396">
        <v>1</v>
      </c>
      <c r="AB396">
        <v>1</v>
      </c>
      <c r="AC396">
        <v>1</v>
      </c>
    </row>
    <row r="397" spans="1:29" x14ac:dyDescent="0.45">
      <c r="A397" t="s">
        <v>47</v>
      </c>
      <c r="B397" t="s">
        <v>436</v>
      </c>
      <c r="C397" t="s">
        <v>437</v>
      </c>
      <c r="D397" t="s">
        <v>426</v>
      </c>
      <c r="E397" t="str">
        <f t="shared" si="6"/>
        <v>MA|solar pv|Summer</v>
      </c>
      <c r="F397">
        <v>1</v>
      </c>
      <c r="G397">
        <v>1</v>
      </c>
      <c r="H397">
        <v>1</v>
      </c>
      <c r="I397">
        <v>1</v>
      </c>
      <c r="J397">
        <v>1</v>
      </c>
      <c r="K397">
        <v>1</v>
      </c>
      <c r="L397">
        <v>1</v>
      </c>
      <c r="M397">
        <v>1</v>
      </c>
      <c r="N397">
        <v>1</v>
      </c>
      <c r="O397">
        <v>1</v>
      </c>
      <c r="P397">
        <v>1</v>
      </c>
      <c r="Q397">
        <v>1</v>
      </c>
      <c r="R397">
        <v>1</v>
      </c>
      <c r="S397">
        <v>1</v>
      </c>
      <c r="T397">
        <v>1</v>
      </c>
      <c r="U397">
        <v>1</v>
      </c>
      <c r="V397">
        <v>1</v>
      </c>
      <c r="W397">
        <v>1</v>
      </c>
      <c r="X397">
        <v>1</v>
      </c>
      <c r="Y397">
        <v>1</v>
      </c>
      <c r="Z397">
        <v>1</v>
      </c>
      <c r="AA397">
        <v>1</v>
      </c>
      <c r="AB397">
        <v>1</v>
      </c>
      <c r="AC397">
        <v>1</v>
      </c>
    </row>
    <row r="398" spans="1:29" x14ac:dyDescent="0.45">
      <c r="A398" t="s">
        <v>47</v>
      </c>
      <c r="B398" t="s">
        <v>436</v>
      </c>
      <c r="C398" t="s">
        <v>437</v>
      </c>
      <c r="D398" t="s">
        <v>427</v>
      </c>
      <c r="E398" t="str">
        <f t="shared" si="6"/>
        <v>MA|solar pv|Fall</v>
      </c>
      <c r="F398">
        <v>1</v>
      </c>
      <c r="G398">
        <v>1</v>
      </c>
      <c r="H398">
        <v>1</v>
      </c>
      <c r="I398">
        <v>1</v>
      </c>
      <c r="J398">
        <v>1</v>
      </c>
      <c r="K398">
        <v>1</v>
      </c>
      <c r="L398">
        <v>1</v>
      </c>
      <c r="M398">
        <v>1</v>
      </c>
      <c r="N398">
        <v>1</v>
      </c>
      <c r="O398">
        <v>1</v>
      </c>
      <c r="P398">
        <v>1</v>
      </c>
      <c r="Q398">
        <v>1</v>
      </c>
      <c r="R398">
        <v>1</v>
      </c>
      <c r="S398">
        <v>1</v>
      </c>
      <c r="T398">
        <v>1</v>
      </c>
      <c r="U398">
        <v>1</v>
      </c>
      <c r="V398">
        <v>1</v>
      </c>
      <c r="W398">
        <v>1</v>
      </c>
      <c r="X398">
        <v>1</v>
      </c>
      <c r="Y398">
        <v>1</v>
      </c>
      <c r="Z398">
        <v>1</v>
      </c>
      <c r="AA398">
        <v>1</v>
      </c>
      <c r="AB398">
        <v>1</v>
      </c>
      <c r="AC398">
        <v>1</v>
      </c>
    </row>
    <row r="399" spans="1:29" x14ac:dyDescent="0.45">
      <c r="A399" t="s">
        <v>47</v>
      </c>
      <c r="B399" t="s">
        <v>436</v>
      </c>
      <c r="C399" t="s">
        <v>437</v>
      </c>
      <c r="D399" t="s">
        <v>428</v>
      </c>
      <c r="E399" t="str">
        <f t="shared" si="6"/>
        <v>MA|solar pv|Summer Peak</v>
      </c>
      <c r="F399">
        <v>1</v>
      </c>
      <c r="G399">
        <v>1</v>
      </c>
      <c r="H399">
        <v>1</v>
      </c>
      <c r="I399">
        <v>0</v>
      </c>
      <c r="J399">
        <v>0.57740000000000002</v>
      </c>
      <c r="K399">
        <v>0.74150000000000005</v>
      </c>
      <c r="L399">
        <v>0.83040000000000003</v>
      </c>
      <c r="M399">
        <v>0.76780000000000004</v>
      </c>
      <c r="N399">
        <v>0.90780000000000005</v>
      </c>
      <c r="O399">
        <v>0.94550000000000001</v>
      </c>
      <c r="P399">
        <v>0.98819999999999997</v>
      </c>
      <c r="Q399">
        <v>0.90010000000000001</v>
      </c>
      <c r="R399">
        <v>0.95989999999999998</v>
      </c>
      <c r="S399">
        <v>0.69240000000000002</v>
      </c>
      <c r="T399">
        <v>0.79920000000000002</v>
      </c>
      <c r="U399">
        <v>0.85129999999999995</v>
      </c>
      <c r="V399">
        <v>0.75570000000000004</v>
      </c>
      <c r="W399">
        <v>0.44969999999999999</v>
      </c>
      <c r="X399">
        <v>0</v>
      </c>
      <c r="Y399">
        <v>1</v>
      </c>
      <c r="Z399">
        <v>1</v>
      </c>
      <c r="AA399">
        <v>1</v>
      </c>
      <c r="AB399">
        <v>1</v>
      </c>
      <c r="AC399">
        <v>1</v>
      </c>
    </row>
    <row r="400" spans="1:29" x14ac:dyDescent="0.45">
      <c r="A400" t="s">
        <v>47</v>
      </c>
      <c r="B400" t="s">
        <v>436</v>
      </c>
      <c r="C400" t="s">
        <v>437</v>
      </c>
      <c r="D400" t="s">
        <v>429</v>
      </c>
      <c r="E400" t="str">
        <f t="shared" si="6"/>
        <v>MA|solar pv|Winter Peak</v>
      </c>
      <c r="F400">
        <v>1</v>
      </c>
      <c r="G400">
        <v>1</v>
      </c>
      <c r="H400">
        <v>1</v>
      </c>
      <c r="I400">
        <v>1</v>
      </c>
      <c r="J400">
        <v>1</v>
      </c>
      <c r="K400">
        <v>1</v>
      </c>
      <c r="L400">
        <v>0.1857</v>
      </c>
      <c r="M400">
        <v>0.41160000000000002</v>
      </c>
      <c r="N400">
        <v>0.4773</v>
      </c>
      <c r="O400">
        <v>0.65769999999999995</v>
      </c>
      <c r="P400">
        <v>0.76729999999999998</v>
      </c>
      <c r="Q400">
        <v>0.8054</v>
      </c>
      <c r="R400">
        <v>0.71379999999999999</v>
      </c>
      <c r="S400">
        <v>0.57540000000000002</v>
      </c>
      <c r="T400">
        <v>0.46779999999999999</v>
      </c>
      <c r="U400">
        <v>0.41270000000000001</v>
      </c>
      <c r="V400">
        <v>0</v>
      </c>
      <c r="W400">
        <v>1</v>
      </c>
      <c r="X400">
        <v>1</v>
      </c>
      <c r="Y400">
        <v>1</v>
      </c>
      <c r="Z400">
        <v>1</v>
      </c>
      <c r="AA400">
        <v>1</v>
      </c>
      <c r="AB400">
        <v>1</v>
      </c>
      <c r="AC400">
        <v>1</v>
      </c>
    </row>
    <row r="401" spans="1:29" x14ac:dyDescent="0.45">
      <c r="A401" t="s">
        <v>47</v>
      </c>
      <c r="B401" t="s">
        <v>438</v>
      </c>
      <c r="C401" t="s">
        <v>439</v>
      </c>
      <c r="D401" t="s">
        <v>424</v>
      </c>
      <c r="E401" t="str">
        <f t="shared" si="6"/>
        <v>MA|solar thermal|Winter</v>
      </c>
      <c r="F401">
        <v>1</v>
      </c>
      <c r="G401">
        <v>1</v>
      </c>
      <c r="H401">
        <v>1</v>
      </c>
      <c r="I401">
        <v>1</v>
      </c>
      <c r="J401">
        <v>1</v>
      </c>
      <c r="K401">
        <v>1</v>
      </c>
      <c r="L401">
        <v>1</v>
      </c>
      <c r="M401">
        <v>1</v>
      </c>
      <c r="N401">
        <v>1</v>
      </c>
      <c r="O401">
        <v>1</v>
      </c>
      <c r="P401">
        <v>1</v>
      </c>
      <c r="Q401">
        <v>1</v>
      </c>
      <c r="R401">
        <v>1</v>
      </c>
      <c r="S401">
        <v>1</v>
      </c>
      <c r="T401">
        <v>1</v>
      </c>
      <c r="U401">
        <v>1</v>
      </c>
      <c r="V401">
        <v>1</v>
      </c>
      <c r="W401">
        <v>1</v>
      </c>
      <c r="X401">
        <v>1</v>
      </c>
      <c r="Y401">
        <v>1</v>
      </c>
      <c r="Z401">
        <v>1</v>
      </c>
      <c r="AA401">
        <v>1</v>
      </c>
      <c r="AB401">
        <v>1</v>
      </c>
      <c r="AC401">
        <v>1</v>
      </c>
    </row>
    <row r="402" spans="1:29" x14ac:dyDescent="0.45">
      <c r="A402" t="s">
        <v>47</v>
      </c>
      <c r="B402" t="s">
        <v>438</v>
      </c>
      <c r="C402" t="s">
        <v>439</v>
      </c>
      <c r="D402" t="s">
        <v>425</v>
      </c>
      <c r="E402" t="str">
        <f t="shared" si="6"/>
        <v>MA|solar thermal|Spring</v>
      </c>
      <c r="F402">
        <v>1</v>
      </c>
      <c r="G402">
        <v>1</v>
      </c>
      <c r="H402">
        <v>1</v>
      </c>
      <c r="I402">
        <v>1</v>
      </c>
      <c r="J402">
        <v>1</v>
      </c>
      <c r="K402">
        <v>1</v>
      </c>
      <c r="L402">
        <v>1</v>
      </c>
      <c r="M402">
        <v>1</v>
      </c>
      <c r="N402">
        <v>1</v>
      </c>
      <c r="O402">
        <v>1</v>
      </c>
      <c r="P402">
        <v>1</v>
      </c>
      <c r="Q402">
        <v>1</v>
      </c>
      <c r="R402">
        <v>1</v>
      </c>
      <c r="S402">
        <v>1</v>
      </c>
      <c r="T402">
        <v>1</v>
      </c>
      <c r="U402">
        <v>1</v>
      </c>
      <c r="V402">
        <v>1</v>
      </c>
      <c r="W402">
        <v>1</v>
      </c>
      <c r="X402">
        <v>1</v>
      </c>
      <c r="Y402">
        <v>1</v>
      </c>
      <c r="Z402">
        <v>1</v>
      </c>
      <c r="AA402">
        <v>1</v>
      </c>
      <c r="AB402">
        <v>1</v>
      </c>
      <c r="AC402">
        <v>1</v>
      </c>
    </row>
    <row r="403" spans="1:29" x14ac:dyDescent="0.45">
      <c r="A403" t="s">
        <v>47</v>
      </c>
      <c r="B403" t="s">
        <v>438</v>
      </c>
      <c r="C403" t="s">
        <v>439</v>
      </c>
      <c r="D403" t="s">
        <v>426</v>
      </c>
      <c r="E403" t="str">
        <f t="shared" si="6"/>
        <v>MA|solar thermal|Summer</v>
      </c>
      <c r="F403">
        <v>1</v>
      </c>
      <c r="G403">
        <v>1</v>
      </c>
      <c r="H403">
        <v>1</v>
      </c>
      <c r="I403">
        <v>1</v>
      </c>
      <c r="J403">
        <v>1</v>
      </c>
      <c r="K403">
        <v>1</v>
      </c>
      <c r="L403">
        <v>1</v>
      </c>
      <c r="M403">
        <v>1</v>
      </c>
      <c r="N403">
        <v>1</v>
      </c>
      <c r="O403">
        <v>1</v>
      </c>
      <c r="P403">
        <v>1</v>
      </c>
      <c r="Q403">
        <v>1</v>
      </c>
      <c r="R403">
        <v>1</v>
      </c>
      <c r="S403">
        <v>1</v>
      </c>
      <c r="T403">
        <v>1</v>
      </c>
      <c r="U403">
        <v>1</v>
      </c>
      <c r="V403">
        <v>1</v>
      </c>
      <c r="W403">
        <v>1</v>
      </c>
      <c r="X403">
        <v>1</v>
      </c>
      <c r="Y403">
        <v>1</v>
      </c>
      <c r="Z403">
        <v>1</v>
      </c>
      <c r="AA403">
        <v>1</v>
      </c>
      <c r="AB403">
        <v>1</v>
      </c>
      <c r="AC403">
        <v>1</v>
      </c>
    </row>
    <row r="404" spans="1:29" x14ac:dyDescent="0.45">
      <c r="A404" t="s">
        <v>47</v>
      </c>
      <c r="B404" t="s">
        <v>438</v>
      </c>
      <c r="C404" t="s">
        <v>439</v>
      </c>
      <c r="D404" t="s">
        <v>427</v>
      </c>
      <c r="E404" t="str">
        <f t="shared" si="6"/>
        <v>MA|solar thermal|Fall</v>
      </c>
      <c r="F404">
        <v>1</v>
      </c>
      <c r="G404">
        <v>1</v>
      </c>
      <c r="H404">
        <v>1</v>
      </c>
      <c r="I404">
        <v>1</v>
      </c>
      <c r="J404">
        <v>1</v>
      </c>
      <c r="K404">
        <v>1</v>
      </c>
      <c r="L404">
        <v>1</v>
      </c>
      <c r="M404">
        <v>1</v>
      </c>
      <c r="N404">
        <v>1</v>
      </c>
      <c r="O404">
        <v>1</v>
      </c>
      <c r="P404">
        <v>1</v>
      </c>
      <c r="Q404">
        <v>1</v>
      </c>
      <c r="R404">
        <v>1</v>
      </c>
      <c r="S404">
        <v>1</v>
      </c>
      <c r="T404">
        <v>1</v>
      </c>
      <c r="U404">
        <v>1</v>
      </c>
      <c r="V404">
        <v>1</v>
      </c>
      <c r="W404">
        <v>1</v>
      </c>
      <c r="X404">
        <v>1</v>
      </c>
      <c r="Y404">
        <v>1</v>
      </c>
      <c r="Z404">
        <v>1</v>
      </c>
      <c r="AA404">
        <v>1</v>
      </c>
      <c r="AB404">
        <v>1</v>
      </c>
      <c r="AC404">
        <v>1</v>
      </c>
    </row>
    <row r="405" spans="1:29" x14ac:dyDescent="0.45">
      <c r="A405" t="s">
        <v>47</v>
      </c>
      <c r="B405" t="s">
        <v>438</v>
      </c>
      <c r="C405" t="s">
        <v>439</v>
      </c>
      <c r="D405" t="s">
        <v>428</v>
      </c>
      <c r="E405" t="str">
        <f t="shared" si="6"/>
        <v>MA|solar thermal|Summer Peak</v>
      </c>
      <c r="F405">
        <v>1</v>
      </c>
      <c r="G405">
        <v>1</v>
      </c>
      <c r="H405">
        <v>1</v>
      </c>
      <c r="I405">
        <v>1</v>
      </c>
      <c r="J405">
        <v>1</v>
      </c>
      <c r="K405">
        <v>1</v>
      </c>
      <c r="L405">
        <v>1</v>
      </c>
      <c r="M405">
        <v>0</v>
      </c>
      <c r="N405">
        <v>0.8639</v>
      </c>
      <c r="O405">
        <v>1</v>
      </c>
      <c r="P405">
        <v>1</v>
      </c>
      <c r="Q405">
        <v>0.97160000000000002</v>
      </c>
      <c r="R405">
        <v>0.96719999999999995</v>
      </c>
      <c r="S405">
        <v>1</v>
      </c>
      <c r="T405">
        <v>1</v>
      </c>
      <c r="U405">
        <v>1</v>
      </c>
      <c r="V405">
        <v>1</v>
      </c>
      <c r="W405">
        <v>1</v>
      </c>
      <c r="X405">
        <v>1</v>
      </c>
      <c r="Y405">
        <v>0.93130000000000002</v>
      </c>
      <c r="Z405">
        <v>0.70220000000000005</v>
      </c>
      <c r="AA405">
        <v>1</v>
      </c>
      <c r="AB405">
        <v>1</v>
      </c>
      <c r="AC405">
        <v>1</v>
      </c>
    </row>
    <row r="406" spans="1:29" x14ac:dyDescent="0.45">
      <c r="A406" t="s">
        <v>47</v>
      </c>
      <c r="B406" t="s">
        <v>438</v>
      </c>
      <c r="C406" t="s">
        <v>439</v>
      </c>
      <c r="D406" t="s">
        <v>429</v>
      </c>
      <c r="E406" t="str">
        <f t="shared" si="6"/>
        <v>MA|solar thermal|Winter Peak</v>
      </c>
      <c r="F406">
        <v>1</v>
      </c>
      <c r="G406">
        <v>1</v>
      </c>
      <c r="H406">
        <v>1</v>
      </c>
      <c r="I406">
        <v>1</v>
      </c>
      <c r="J406">
        <v>1</v>
      </c>
      <c r="K406">
        <v>1</v>
      </c>
      <c r="L406">
        <v>1</v>
      </c>
      <c r="M406">
        <v>1</v>
      </c>
      <c r="N406">
        <v>1</v>
      </c>
      <c r="O406">
        <v>0.2419</v>
      </c>
      <c r="P406">
        <v>0.95320000000000005</v>
      </c>
      <c r="Q406">
        <v>0.88039999999999996</v>
      </c>
      <c r="R406">
        <v>0.97819999999999996</v>
      </c>
      <c r="S406">
        <v>0.98950000000000005</v>
      </c>
      <c r="T406">
        <v>0.99270000000000003</v>
      </c>
      <c r="U406">
        <v>1</v>
      </c>
      <c r="V406">
        <v>1</v>
      </c>
      <c r="W406">
        <v>1</v>
      </c>
      <c r="X406">
        <v>0.89019999999999999</v>
      </c>
      <c r="Y406">
        <v>0</v>
      </c>
      <c r="Z406">
        <v>1</v>
      </c>
      <c r="AA406">
        <v>1</v>
      </c>
      <c r="AB406">
        <v>1</v>
      </c>
      <c r="AC406">
        <v>1</v>
      </c>
    </row>
    <row r="407" spans="1:29" x14ac:dyDescent="0.45">
      <c r="A407" t="s">
        <v>47</v>
      </c>
      <c r="B407" t="s">
        <v>440</v>
      </c>
      <c r="C407" t="s">
        <v>441</v>
      </c>
      <c r="D407" t="s">
        <v>424</v>
      </c>
      <c r="E407" t="str">
        <f t="shared" si="6"/>
        <v>MA|offshore wind|Winter</v>
      </c>
      <c r="F407">
        <v>1</v>
      </c>
      <c r="G407">
        <v>1</v>
      </c>
      <c r="H407">
        <v>1</v>
      </c>
      <c r="I407">
        <v>1</v>
      </c>
      <c r="J407">
        <v>1</v>
      </c>
      <c r="K407">
        <v>1</v>
      </c>
      <c r="L407">
        <v>1</v>
      </c>
      <c r="M407">
        <v>1</v>
      </c>
      <c r="N407">
        <v>1</v>
      </c>
      <c r="O407">
        <v>1</v>
      </c>
      <c r="P407">
        <v>1</v>
      </c>
      <c r="Q407">
        <v>1</v>
      </c>
      <c r="R407">
        <v>1</v>
      </c>
      <c r="S407">
        <v>1</v>
      </c>
      <c r="T407">
        <v>1</v>
      </c>
      <c r="U407">
        <v>1</v>
      </c>
      <c r="V407">
        <v>1</v>
      </c>
      <c r="W407">
        <v>1</v>
      </c>
      <c r="X407">
        <v>1</v>
      </c>
      <c r="Y407">
        <v>1</v>
      </c>
      <c r="Z407">
        <v>1</v>
      </c>
      <c r="AA407">
        <v>1</v>
      </c>
      <c r="AB407">
        <v>1</v>
      </c>
      <c r="AC407">
        <v>1</v>
      </c>
    </row>
    <row r="408" spans="1:29" x14ac:dyDescent="0.45">
      <c r="A408" t="s">
        <v>47</v>
      </c>
      <c r="B408" t="s">
        <v>440</v>
      </c>
      <c r="C408" t="s">
        <v>441</v>
      </c>
      <c r="D408" t="s">
        <v>425</v>
      </c>
      <c r="E408" t="str">
        <f t="shared" si="6"/>
        <v>MA|offshore wind|Spring</v>
      </c>
      <c r="F408">
        <v>1</v>
      </c>
      <c r="G408">
        <v>1</v>
      </c>
      <c r="H408">
        <v>1</v>
      </c>
      <c r="I408">
        <v>1</v>
      </c>
      <c r="J408">
        <v>1</v>
      </c>
      <c r="K408">
        <v>1</v>
      </c>
      <c r="L408">
        <v>1</v>
      </c>
      <c r="M408">
        <v>1</v>
      </c>
      <c r="N408">
        <v>1</v>
      </c>
      <c r="O408">
        <v>1</v>
      </c>
      <c r="P408">
        <v>1</v>
      </c>
      <c r="Q408">
        <v>1</v>
      </c>
      <c r="R408">
        <v>1</v>
      </c>
      <c r="S408">
        <v>1</v>
      </c>
      <c r="T408">
        <v>1</v>
      </c>
      <c r="U408">
        <v>1</v>
      </c>
      <c r="V408">
        <v>1</v>
      </c>
      <c r="W408">
        <v>1</v>
      </c>
      <c r="X408">
        <v>1</v>
      </c>
      <c r="Y408">
        <v>1</v>
      </c>
      <c r="Z408">
        <v>1</v>
      </c>
      <c r="AA408">
        <v>1</v>
      </c>
      <c r="AB408">
        <v>1</v>
      </c>
      <c r="AC408">
        <v>1</v>
      </c>
    </row>
    <row r="409" spans="1:29" x14ac:dyDescent="0.45">
      <c r="A409" t="s">
        <v>47</v>
      </c>
      <c r="B409" t="s">
        <v>440</v>
      </c>
      <c r="C409" t="s">
        <v>441</v>
      </c>
      <c r="D409" t="s">
        <v>426</v>
      </c>
      <c r="E409" t="str">
        <f t="shared" si="6"/>
        <v>MA|offshore wind|Summer</v>
      </c>
      <c r="F409">
        <v>1</v>
      </c>
      <c r="G409">
        <v>1</v>
      </c>
      <c r="H409">
        <v>1</v>
      </c>
      <c r="I409">
        <v>1</v>
      </c>
      <c r="J409">
        <v>1</v>
      </c>
      <c r="K409">
        <v>1</v>
      </c>
      <c r="L409">
        <v>1</v>
      </c>
      <c r="M409">
        <v>1</v>
      </c>
      <c r="N409">
        <v>1</v>
      </c>
      <c r="O409">
        <v>1</v>
      </c>
      <c r="P409">
        <v>1</v>
      </c>
      <c r="Q409">
        <v>1</v>
      </c>
      <c r="R409">
        <v>1</v>
      </c>
      <c r="S409">
        <v>1</v>
      </c>
      <c r="T409">
        <v>1</v>
      </c>
      <c r="U409">
        <v>1</v>
      </c>
      <c r="V409">
        <v>1</v>
      </c>
      <c r="W409">
        <v>1</v>
      </c>
      <c r="X409">
        <v>1</v>
      </c>
      <c r="Y409">
        <v>1</v>
      </c>
      <c r="Z409">
        <v>1</v>
      </c>
      <c r="AA409">
        <v>1</v>
      </c>
      <c r="AB409">
        <v>1</v>
      </c>
      <c r="AC409">
        <v>1</v>
      </c>
    </row>
    <row r="410" spans="1:29" x14ac:dyDescent="0.45">
      <c r="A410" t="s">
        <v>47</v>
      </c>
      <c r="B410" t="s">
        <v>440</v>
      </c>
      <c r="C410" t="s">
        <v>441</v>
      </c>
      <c r="D410" t="s">
        <v>427</v>
      </c>
      <c r="E410" t="str">
        <f t="shared" si="6"/>
        <v>MA|offshore wind|Fall</v>
      </c>
      <c r="F410">
        <v>1</v>
      </c>
      <c r="G410">
        <v>1</v>
      </c>
      <c r="H410">
        <v>1</v>
      </c>
      <c r="I410">
        <v>1</v>
      </c>
      <c r="J410">
        <v>1</v>
      </c>
      <c r="K410">
        <v>1</v>
      </c>
      <c r="L410">
        <v>1</v>
      </c>
      <c r="M410">
        <v>1</v>
      </c>
      <c r="N410">
        <v>1</v>
      </c>
      <c r="O410">
        <v>1</v>
      </c>
      <c r="P410">
        <v>1</v>
      </c>
      <c r="Q410">
        <v>1</v>
      </c>
      <c r="R410">
        <v>1</v>
      </c>
      <c r="S410">
        <v>1</v>
      </c>
      <c r="T410">
        <v>1</v>
      </c>
      <c r="U410">
        <v>1</v>
      </c>
      <c r="V410">
        <v>1</v>
      </c>
      <c r="W410">
        <v>1</v>
      </c>
      <c r="X410">
        <v>1</v>
      </c>
      <c r="Y410">
        <v>1</v>
      </c>
      <c r="Z410">
        <v>1</v>
      </c>
      <c r="AA410">
        <v>1</v>
      </c>
      <c r="AB410">
        <v>1</v>
      </c>
      <c r="AC410">
        <v>1</v>
      </c>
    </row>
    <row r="411" spans="1:29" x14ac:dyDescent="0.45">
      <c r="A411" t="s">
        <v>47</v>
      </c>
      <c r="B411" t="s">
        <v>440</v>
      </c>
      <c r="C411" t="s">
        <v>441</v>
      </c>
      <c r="D411" t="s">
        <v>428</v>
      </c>
      <c r="E411" t="str">
        <f t="shared" si="6"/>
        <v>MA|offshore wind|Summer Peak</v>
      </c>
      <c r="F411">
        <v>0.19109999999999999</v>
      </c>
      <c r="G411">
        <v>0.20780000000000001</v>
      </c>
      <c r="H411">
        <v>0.25040000000000001</v>
      </c>
      <c r="I411">
        <v>0.27479999999999999</v>
      </c>
      <c r="J411">
        <v>0.2772</v>
      </c>
      <c r="K411">
        <v>0.3281</v>
      </c>
      <c r="L411">
        <v>0.25829999999999997</v>
      </c>
      <c r="M411">
        <v>0.2026</v>
      </c>
      <c r="N411">
        <v>0.2203</v>
      </c>
      <c r="O411">
        <v>0.20250000000000001</v>
      </c>
      <c r="P411">
        <v>0.2135</v>
      </c>
      <c r="Q411">
        <v>0.2213</v>
      </c>
      <c r="R411">
        <v>0.23799999999999999</v>
      </c>
      <c r="S411">
        <v>0.25740000000000002</v>
      </c>
      <c r="T411">
        <v>0.28539999999999999</v>
      </c>
      <c r="U411">
        <v>0.25700000000000001</v>
      </c>
      <c r="V411">
        <v>0.27150000000000002</v>
      </c>
      <c r="W411">
        <v>0.33510000000000001</v>
      </c>
      <c r="X411">
        <v>0.33050000000000002</v>
      </c>
      <c r="Y411">
        <v>0.31190000000000001</v>
      </c>
      <c r="Z411">
        <v>0.37</v>
      </c>
      <c r="AA411">
        <v>0.37159999999999999</v>
      </c>
      <c r="AB411">
        <v>0.33679999999999999</v>
      </c>
      <c r="AC411">
        <v>0.30740000000000001</v>
      </c>
    </row>
    <row r="412" spans="1:29" x14ac:dyDescent="0.45">
      <c r="A412" t="s">
        <v>47</v>
      </c>
      <c r="B412" t="s">
        <v>440</v>
      </c>
      <c r="C412" t="s">
        <v>441</v>
      </c>
      <c r="D412" t="s">
        <v>429</v>
      </c>
      <c r="E412" t="str">
        <f t="shared" si="6"/>
        <v>MA|offshore wind|Winter Peak</v>
      </c>
      <c r="F412">
        <v>0.30730000000000002</v>
      </c>
      <c r="G412">
        <v>0.32419999999999999</v>
      </c>
      <c r="H412">
        <v>0.31940000000000002</v>
      </c>
      <c r="I412">
        <v>0.37359999999999999</v>
      </c>
      <c r="J412">
        <v>0.35249999999999998</v>
      </c>
      <c r="K412">
        <v>0.25380000000000003</v>
      </c>
      <c r="L412">
        <v>0.19750000000000001</v>
      </c>
      <c r="M412">
        <v>0.21110000000000001</v>
      </c>
      <c r="N412">
        <v>0.28420000000000001</v>
      </c>
      <c r="O412">
        <v>0.28870000000000001</v>
      </c>
      <c r="P412">
        <v>0.24260000000000001</v>
      </c>
      <c r="Q412">
        <v>0.19239999999999999</v>
      </c>
      <c r="R412">
        <v>0.15690000000000001</v>
      </c>
      <c r="S412">
        <v>0.12379999999999999</v>
      </c>
      <c r="T412">
        <v>0.13900000000000001</v>
      </c>
      <c r="U412">
        <v>0.19270000000000001</v>
      </c>
      <c r="V412">
        <v>0.28270000000000001</v>
      </c>
      <c r="W412">
        <v>0.34649999999999997</v>
      </c>
      <c r="X412">
        <v>0.42749999999999999</v>
      </c>
      <c r="Y412">
        <v>0.46500000000000002</v>
      </c>
      <c r="Z412">
        <v>0.46660000000000001</v>
      </c>
      <c r="AA412">
        <v>0.43099999999999999</v>
      </c>
      <c r="AB412">
        <v>0.35110000000000002</v>
      </c>
      <c r="AC412">
        <v>0.30819999999999997</v>
      </c>
    </row>
    <row r="413" spans="1:29" x14ac:dyDescent="0.45">
      <c r="A413" t="s">
        <v>50</v>
      </c>
      <c r="B413" t="s">
        <v>434</v>
      </c>
      <c r="C413" t="s">
        <v>435</v>
      </c>
      <c r="D413" t="s">
        <v>424</v>
      </c>
      <c r="E413" t="str">
        <f t="shared" si="6"/>
        <v>MD|onshore wind|Winter</v>
      </c>
      <c r="F413">
        <v>1</v>
      </c>
      <c r="G413">
        <v>1</v>
      </c>
      <c r="H413">
        <v>1</v>
      </c>
      <c r="I413">
        <v>1</v>
      </c>
      <c r="J413">
        <v>1</v>
      </c>
      <c r="K413">
        <v>1</v>
      </c>
      <c r="L413">
        <v>1</v>
      </c>
      <c r="M413">
        <v>1</v>
      </c>
      <c r="N413">
        <v>1</v>
      </c>
      <c r="O413">
        <v>1</v>
      </c>
      <c r="P413">
        <v>1</v>
      </c>
      <c r="Q413">
        <v>1</v>
      </c>
      <c r="R413">
        <v>1</v>
      </c>
      <c r="S413">
        <v>1</v>
      </c>
      <c r="T413">
        <v>1</v>
      </c>
      <c r="U413">
        <v>1</v>
      </c>
      <c r="V413">
        <v>1</v>
      </c>
      <c r="W413">
        <v>1</v>
      </c>
      <c r="X413">
        <v>1</v>
      </c>
      <c r="Y413">
        <v>1</v>
      </c>
      <c r="Z413">
        <v>1</v>
      </c>
      <c r="AA413">
        <v>1</v>
      </c>
      <c r="AB413">
        <v>1</v>
      </c>
      <c r="AC413">
        <v>1</v>
      </c>
    </row>
    <row r="414" spans="1:29" x14ac:dyDescent="0.45">
      <c r="A414" t="s">
        <v>50</v>
      </c>
      <c r="B414" t="s">
        <v>434</v>
      </c>
      <c r="C414" t="s">
        <v>435</v>
      </c>
      <c r="D414" t="s">
        <v>425</v>
      </c>
      <c r="E414" t="str">
        <f t="shared" si="6"/>
        <v>MD|onshore wind|Spring</v>
      </c>
      <c r="F414">
        <v>1</v>
      </c>
      <c r="G414">
        <v>1</v>
      </c>
      <c r="H414">
        <v>1</v>
      </c>
      <c r="I414">
        <v>1</v>
      </c>
      <c r="J414">
        <v>1</v>
      </c>
      <c r="K414">
        <v>1</v>
      </c>
      <c r="L414">
        <v>1</v>
      </c>
      <c r="M414">
        <v>1</v>
      </c>
      <c r="N414">
        <v>1</v>
      </c>
      <c r="O414">
        <v>1</v>
      </c>
      <c r="P414">
        <v>1</v>
      </c>
      <c r="Q414">
        <v>1</v>
      </c>
      <c r="R414">
        <v>1</v>
      </c>
      <c r="S414">
        <v>1</v>
      </c>
      <c r="T414">
        <v>1</v>
      </c>
      <c r="U414">
        <v>1</v>
      </c>
      <c r="V414">
        <v>1</v>
      </c>
      <c r="W414">
        <v>1</v>
      </c>
      <c r="X414">
        <v>1</v>
      </c>
      <c r="Y414">
        <v>1</v>
      </c>
      <c r="Z414">
        <v>1</v>
      </c>
      <c r="AA414">
        <v>1</v>
      </c>
      <c r="AB414">
        <v>1</v>
      </c>
      <c r="AC414">
        <v>1</v>
      </c>
    </row>
    <row r="415" spans="1:29" x14ac:dyDescent="0.45">
      <c r="A415" t="s">
        <v>50</v>
      </c>
      <c r="B415" t="s">
        <v>434</v>
      </c>
      <c r="C415" t="s">
        <v>435</v>
      </c>
      <c r="D415" t="s">
        <v>426</v>
      </c>
      <c r="E415" t="str">
        <f t="shared" si="6"/>
        <v>MD|onshore wind|Summer</v>
      </c>
      <c r="F415">
        <v>1</v>
      </c>
      <c r="G415">
        <v>1</v>
      </c>
      <c r="H415">
        <v>1</v>
      </c>
      <c r="I415">
        <v>1</v>
      </c>
      <c r="J415">
        <v>1</v>
      </c>
      <c r="K415">
        <v>1</v>
      </c>
      <c r="L415">
        <v>1</v>
      </c>
      <c r="M415">
        <v>1</v>
      </c>
      <c r="N415">
        <v>1</v>
      </c>
      <c r="O415">
        <v>1</v>
      </c>
      <c r="P415">
        <v>1</v>
      </c>
      <c r="Q415">
        <v>1</v>
      </c>
      <c r="R415">
        <v>1</v>
      </c>
      <c r="S415">
        <v>1</v>
      </c>
      <c r="T415">
        <v>1</v>
      </c>
      <c r="U415">
        <v>1</v>
      </c>
      <c r="V415">
        <v>1</v>
      </c>
      <c r="W415">
        <v>1</v>
      </c>
      <c r="X415">
        <v>1</v>
      </c>
      <c r="Y415">
        <v>1</v>
      </c>
      <c r="Z415">
        <v>1</v>
      </c>
      <c r="AA415">
        <v>1</v>
      </c>
      <c r="AB415">
        <v>1</v>
      </c>
      <c r="AC415">
        <v>1</v>
      </c>
    </row>
    <row r="416" spans="1:29" x14ac:dyDescent="0.45">
      <c r="A416" t="s">
        <v>50</v>
      </c>
      <c r="B416" t="s">
        <v>434</v>
      </c>
      <c r="C416" t="s">
        <v>435</v>
      </c>
      <c r="D416" t="s">
        <v>427</v>
      </c>
      <c r="E416" t="str">
        <f t="shared" si="6"/>
        <v>MD|onshore wind|Fall</v>
      </c>
      <c r="F416">
        <v>1</v>
      </c>
      <c r="G416">
        <v>1</v>
      </c>
      <c r="H416">
        <v>1</v>
      </c>
      <c r="I416">
        <v>1</v>
      </c>
      <c r="J416">
        <v>1</v>
      </c>
      <c r="K416">
        <v>1</v>
      </c>
      <c r="L416">
        <v>1</v>
      </c>
      <c r="M416">
        <v>1</v>
      </c>
      <c r="N416">
        <v>1</v>
      </c>
      <c r="O416">
        <v>1</v>
      </c>
      <c r="P416">
        <v>1</v>
      </c>
      <c r="Q416">
        <v>1</v>
      </c>
      <c r="R416">
        <v>1</v>
      </c>
      <c r="S416">
        <v>1</v>
      </c>
      <c r="T416">
        <v>1</v>
      </c>
      <c r="U416">
        <v>1</v>
      </c>
      <c r="V416">
        <v>1</v>
      </c>
      <c r="W416">
        <v>1</v>
      </c>
      <c r="X416">
        <v>1</v>
      </c>
      <c r="Y416">
        <v>1</v>
      </c>
      <c r="Z416">
        <v>1</v>
      </c>
      <c r="AA416">
        <v>1</v>
      </c>
      <c r="AB416">
        <v>1</v>
      </c>
      <c r="AC416">
        <v>1</v>
      </c>
    </row>
    <row r="417" spans="1:29" x14ac:dyDescent="0.45">
      <c r="A417" t="s">
        <v>50</v>
      </c>
      <c r="B417" t="s">
        <v>434</v>
      </c>
      <c r="C417" t="s">
        <v>435</v>
      </c>
      <c r="D417" t="s">
        <v>428</v>
      </c>
      <c r="E417" t="str">
        <f t="shared" si="6"/>
        <v>MD|onshore wind|Summer Peak</v>
      </c>
      <c r="F417">
        <v>0.36969999999999997</v>
      </c>
      <c r="G417">
        <v>0.37530000000000002</v>
      </c>
      <c r="H417">
        <v>0.42170000000000002</v>
      </c>
      <c r="I417">
        <v>0.41489999999999999</v>
      </c>
      <c r="J417">
        <v>0.38850000000000001</v>
      </c>
      <c r="K417">
        <v>0.38919999999999999</v>
      </c>
      <c r="L417">
        <v>0.39040000000000002</v>
      </c>
      <c r="M417">
        <v>0.34229999999999999</v>
      </c>
      <c r="N417">
        <v>0.3755</v>
      </c>
      <c r="O417">
        <v>0.43519999999999998</v>
      </c>
      <c r="P417">
        <v>0.40239999999999998</v>
      </c>
      <c r="Q417">
        <v>0.37819999999999998</v>
      </c>
      <c r="R417">
        <v>0.33119999999999999</v>
      </c>
      <c r="S417">
        <v>0.36680000000000001</v>
      </c>
      <c r="T417">
        <v>0.43240000000000001</v>
      </c>
      <c r="U417">
        <v>0.42320000000000002</v>
      </c>
      <c r="V417">
        <v>0.50390000000000001</v>
      </c>
      <c r="W417">
        <v>0.36609999999999998</v>
      </c>
      <c r="X417">
        <v>0.48749999999999999</v>
      </c>
      <c r="Y417">
        <v>0.56589999999999996</v>
      </c>
      <c r="Z417">
        <v>0.43059999999999998</v>
      </c>
      <c r="AA417">
        <v>0.3397</v>
      </c>
      <c r="AB417">
        <v>0.43980000000000002</v>
      </c>
      <c r="AC417">
        <v>0.4985</v>
      </c>
    </row>
    <row r="418" spans="1:29" x14ac:dyDescent="0.45">
      <c r="A418" t="s">
        <v>50</v>
      </c>
      <c r="B418" t="s">
        <v>434</v>
      </c>
      <c r="C418" t="s">
        <v>435</v>
      </c>
      <c r="D418" t="s">
        <v>429</v>
      </c>
      <c r="E418" t="str">
        <f t="shared" si="6"/>
        <v>MD|onshore wind|Winter Peak</v>
      </c>
      <c r="F418">
        <v>0.58830000000000005</v>
      </c>
      <c r="G418">
        <v>0.51170000000000004</v>
      </c>
      <c r="H418">
        <v>0.53169999999999995</v>
      </c>
      <c r="I418">
        <v>0.50439999999999996</v>
      </c>
      <c r="J418">
        <v>0.28749999999999998</v>
      </c>
      <c r="K418">
        <v>0.21920000000000001</v>
      </c>
      <c r="L418">
        <v>0.193</v>
      </c>
      <c r="M418">
        <v>0.25390000000000001</v>
      </c>
      <c r="N418">
        <v>0.3397</v>
      </c>
      <c r="O418">
        <v>0.14080000000000001</v>
      </c>
      <c r="P418">
        <v>8.5599999999999996E-2</v>
      </c>
      <c r="Q418">
        <v>9.7900000000000001E-2</v>
      </c>
      <c r="R418">
        <v>0.1338</v>
      </c>
      <c r="S418">
        <v>0.1928</v>
      </c>
      <c r="T418">
        <v>0.2964</v>
      </c>
      <c r="U418">
        <v>0.46860000000000002</v>
      </c>
      <c r="V418">
        <v>0.79149999999999998</v>
      </c>
      <c r="W418">
        <v>0.91139999999999999</v>
      </c>
      <c r="X418">
        <v>0.8871</v>
      </c>
      <c r="Y418">
        <v>0.85850000000000004</v>
      </c>
      <c r="Z418">
        <v>0.76629999999999998</v>
      </c>
      <c r="AA418">
        <v>0.77110000000000001</v>
      </c>
      <c r="AB418">
        <v>0.76429999999999998</v>
      </c>
      <c r="AC418">
        <v>0.74129999999999996</v>
      </c>
    </row>
    <row r="419" spans="1:29" x14ac:dyDescent="0.45">
      <c r="A419" t="s">
        <v>50</v>
      </c>
      <c r="B419" t="s">
        <v>436</v>
      </c>
      <c r="C419" t="s">
        <v>437</v>
      </c>
      <c r="D419" t="s">
        <v>424</v>
      </c>
      <c r="E419" t="str">
        <f t="shared" si="6"/>
        <v>MD|solar pv|Winter</v>
      </c>
      <c r="F419">
        <v>1</v>
      </c>
      <c r="G419">
        <v>1</v>
      </c>
      <c r="H419">
        <v>1</v>
      </c>
      <c r="I419">
        <v>1</v>
      </c>
      <c r="J419">
        <v>1</v>
      </c>
      <c r="K419">
        <v>1</v>
      </c>
      <c r="L419">
        <v>1</v>
      </c>
      <c r="M419">
        <v>1</v>
      </c>
      <c r="N419">
        <v>1</v>
      </c>
      <c r="O419">
        <v>1</v>
      </c>
      <c r="P419">
        <v>1</v>
      </c>
      <c r="Q419">
        <v>1</v>
      </c>
      <c r="R419">
        <v>1</v>
      </c>
      <c r="S419">
        <v>1</v>
      </c>
      <c r="T419">
        <v>1</v>
      </c>
      <c r="U419">
        <v>1</v>
      </c>
      <c r="V419">
        <v>1</v>
      </c>
      <c r="W419">
        <v>1</v>
      </c>
      <c r="X419">
        <v>1</v>
      </c>
      <c r="Y419">
        <v>1</v>
      </c>
      <c r="Z419">
        <v>1</v>
      </c>
      <c r="AA419">
        <v>1</v>
      </c>
      <c r="AB419">
        <v>1</v>
      </c>
      <c r="AC419">
        <v>1</v>
      </c>
    </row>
    <row r="420" spans="1:29" x14ac:dyDescent="0.45">
      <c r="A420" t="s">
        <v>50</v>
      </c>
      <c r="B420" t="s">
        <v>436</v>
      </c>
      <c r="C420" t="s">
        <v>437</v>
      </c>
      <c r="D420" t="s">
        <v>425</v>
      </c>
      <c r="E420" t="str">
        <f t="shared" si="6"/>
        <v>MD|solar pv|Spring</v>
      </c>
      <c r="F420">
        <v>1</v>
      </c>
      <c r="G420">
        <v>1</v>
      </c>
      <c r="H420">
        <v>1</v>
      </c>
      <c r="I420">
        <v>1</v>
      </c>
      <c r="J420">
        <v>1</v>
      </c>
      <c r="K420">
        <v>1</v>
      </c>
      <c r="L420">
        <v>1</v>
      </c>
      <c r="M420">
        <v>1</v>
      </c>
      <c r="N420">
        <v>1</v>
      </c>
      <c r="O420">
        <v>1</v>
      </c>
      <c r="P420">
        <v>1</v>
      </c>
      <c r="Q420">
        <v>1</v>
      </c>
      <c r="R420">
        <v>1</v>
      </c>
      <c r="S420">
        <v>1</v>
      </c>
      <c r="T420">
        <v>1</v>
      </c>
      <c r="U420">
        <v>1</v>
      </c>
      <c r="V420">
        <v>1</v>
      </c>
      <c r="W420">
        <v>1</v>
      </c>
      <c r="X420">
        <v>1</v>
      </c>
      <c r="Y420">
        <v>1</v>
      </c>
      <c r="Z420">
        <v>1</v>
      </c>
      <c r="AA420">
        <v>1</v>
      </c>
      <c r="AB420">
        <v>1</v>
      </c>
      <c r="AC420">
        <v>1</v>
      </c>
    </row>
    <row r="421" spans="1:29" x14ac:dyDescent="0.45">
      <c r="A421" t="s">
        <v>50</v>
      </c>
      <c r="B421" t="s">
        <v>436</v>
      </c>
      <c r="C421" t="s">
        <v>437</v>
      </c>
      <c r="D421" t="s">
        <v>426</v>
      </c>
      <c r="E421" t="str">
        <f t="shared" si="6"/>
        <v>MD|solar pv|Summer</v>
      </c>
      <c r="F421">
        <v>1</v>
      </c>
      <c r="G421">
        <v>1</v>
      </c>
      <c r="H421">
        <v>1</v>
      </c>
      <c r="I421">
        <v>1</v>
      </c>
      <c r="J421">
        <v>1</v>
      </c>
      <c r="K421">
        <v>1</v>
      </c>
      <c r="L421">
        <v>1</v>
      </c>
      <c r="M421">
        <v>1</v>
      </c>
      <c r="N421">
        <v>1</v>
      </c>
      <c r="O421">
        <v>1</v>
      </c>
      <c r="P421">
        <v>1</v>
      </c>
      <c r="Q421">
        <v>1</v>
      </c>
      <c r="R421">
        <v>1</v>
      </c>
      <c r="S421">
        <v>1</v>
      </c>
      <c r="T421">
        <v>1</v>
      </c>
      <c r="U421">
        <v>1</v>
      </c>
      <c r="V421">
        <v>1</v>
      </c>
      <c r="W421">
        <v>1</v>
      </c>
      <c r="X421">
        <v>1</v>
      </c>
      <c r="Y421">
        <v>1</v>
      </c>
      <c r="Z421">
        <v>1</v>
      </c>
      <c r="AA421">
        <v>1</v>
      </c>
      <c r="AB421">
        <v>1</v>
      </c>
      <c r="AC421">
        <v>1</v>
      </c>
    </row>
    <row r="422" spans="1:29" x14ac:dyDescent="0.45">
      <c r="A422" t="s">
        <v>50</v>
      </c>
      <c r="B422" t="s">
        <v>436</v>
      </c>
      <c r="C422" t="s">
        <v>437</v>
      </c>
      <c r="D422" t="s">
        <v>427</v>
      </c>
      <c r="E422" t="str">
        <f t="shared" si="6"/>
        <v>MD|solar pv|Fall</v>
      </c>
      <c r="F422">
        <v>1</v>
      </c>
      <c r="G422">
        <v>1</v>
      </c>
      <c r="H422">
        <v>1</v>
      </c>
      <c r="I422">
        <v>1</v>
      </c>
      <c r="J422">
        <v>1</v>
      </c>
      <c r="K422">
        <v>1</v>
      </c>
      <c r="L422">
        <v>1</v>
      </c>
      <c r="M422">
        <v>1</v>
      </c>
      <c r="N422">
        <v>1</v>
      </c>
      <c r="O422">
        <v>1</v>
      </c>
      <c r="P422">
        <v>1</v>
      </c>
      <c r="Q422">
        <v>1</v>
      </c>
      <c r="R422">
        <v>1</v>
      </c>
      <c r="S422">
        <v>1</v>
      </c>
      <c r="T422">
        <v>1</v>
      </c>
      <c r="U422">
        <v>1</v>
      </c>
      <c r="V422">
        <v>1</v>
      </c>
      <c r="W422">
        <v>1</v>
      </c>
      <c r="X422">
        <v>1</v>
      </c>
      <c r="Y422">
        <v>1</v>
      </c>
      <c r="Z422">
        <v>1</v>
      </c>
      <c r="AA422">
        <v>1</v>
      </c>
      <c r="AB422">
        <v>1</v>
      </c>
      <c r="AC422">
        <v>1</v>
      </c>
    </row>
    <row r="423" spans="1:29" x14ac:dyDescent="0.45">
      <c r="A423" t="s">
        <v>50</v>
      </c>
      <c r="B423" t="s">
        <v>436</v>
      </c>
      <c r="C423" t="s">
        <v>437</v>
      </c>
      <c r="D423" t="s">
        <v>428</v>
      </c>
      <c r="E423" t="str">
        <f t="shared" si="6"/>
        <v>MD|solar pv|Summer Peak</v>
      </c>
      <c r="F423">
        <v>1</v>
      </c>
      <c r="G423">
        <v>1</v>
      </c>
      <c r="H423">
        <v>1</v>
      </c>
      <c r="I423">
        <v>1</v>
      </c>
      <c r="J423">
        <v>1</v>
      </c>
      <c r="K423">
        <v>0.4138</v>
      </c>
      <c r="L423">
        <v>0.52390000000000003</v>
      </c>
      <c r="M423">
        <v>0.71660000000000001</v>
      </c>
      <c r="N423">
        <v>0.6825</v>
      </c>
      <c r="O423">
        <v>0.7268</v>
      </c>
      <c r="P423">
        <v>0.77100000000000002</v>
      </c>
      <c r="Q423">
        <v>0.75219999999999998</v>
      </c>
      <c r="R423">
        <v>0.71240000000000003</v>
      </c>
      <c r="S423">
        <v>0.71230000000000004</v>
      </c>
      <c r="T423">
        <v>0.68669999999999998</v>
      </c>
      <c r="U423">
        <v>0.6835</v>
      </c>
      <c r="V423">
        <v>0.48309999999999997</v>
      </c>
      <c r="W423">
        <v>0.47489999999999999</v>
      </c>
      <c r="X423">
        <v>9.7000000000000003E-2</v>
      </c>
      <c r="Y423">
        <v>1</v>
      </c>
      <c r="Z423">
        <v>1</v>
      </c>
      <c r="AA423">
        <v>1</v>
      </c>
      <c r="AB423">
        <v>1</v>
      </c>
      <c r="AC423">
        <v>1</v>
      </c>
    </row>
    <row r="424" spans="1:29" x14ac:dyDescent="0.45">
      <c r="A424" t="s">
        <v>50</v>
      </c>
      <c r="B424" t="s">
        <v>436</v>
      </c>
      <c r="C424" t="s">
        <v>437</v>
      </c>
      <c r="D424" t="s">
        <v>429</v>
      </c>
      <c r="E424" t="str">
        <f t="shared" si="6"/>
        <v>MD|solar pv|Winter Peak</v>
      </c>
      <c r="F424">
        <v>1</v>
      </c>
      <c r="G424">
        <v>1</v>
      </c>
      <c r="H424">
        <v>1</v>
      </c>
      <c r="I424">
        <v>1</v>
      </c>
      <c r="J424">
        <v>1</v>
      </c>
      <c r="K424">
        <v>1</v>
      </c>
      <c r="L424">
        <v>1</v>
      </c>
      <c r="M424">
        <v>0.2301</v>
      </c>
      <c r="N424">
        <v>0.42959999999999998</v>
      </c>
      <c r="O424">
        <v>0.77</v>
      </c>
      <c r="P424">
        <v>0.84719999999999995</v>
      </c>
      <c r="Q424">
        <v>0.78539999999999999</v>
      </c>
      <c r="R424">
        <v>0.65590000000000004</v>
      </c>
      <c r="S424">
        <v>0.58450000000000002</v>
      </c>
      <c r="T424">
        <v>0.38769999999999999</v>
      </c>
      <c r="U424">
        <v>0.23899999999999999</v>
      </c>
      <c r="V424">
        <v>1.0999999999999999E-2</v>
      </c>
      <c r="W424">
        <v>1</v>
      </c>
      <c r="X424">
        <v>1</v>
      </c>
      <c r="Y424">
        <v>1</v>
      </c>
      <c r="Z424">
        <v>1</v>
      </c>
      <c r="AA424">
        <v>1</v>
      </c>
      <c r="AB424">
        <v>1</v>
      </c>
      <c r="AC424">
        <v>1</v>
      </c>
    </row>
    <row r="425" spans="1:29" x14ac:dyDescent="0.45">
      <c r="A425" t="s">
        <v>50</v>
      </c>
      <c r="B425" t="s">
        <v>438</v>
      </c>
      <c r="C425" t="s">
        <v>439</v>
      </c>
      <c r="D425" t="s">
        <v>424</v>
      </c>
      <c r="E425" t="str">
        <f t="shared" si="6"/>
        <v>MD|solar thermal|Winter</v>
      </c>
      <c r="F425">
        <v>1</v>
      </c>
      <c r="G425">
        <v>1</v>
      </c>
      <c r="H425">
        <v>1</v>
      </c>
      <c r="I425">
        <v>1</v>
      </c>
      <c r="J425">
        <v>1</v>
      </c>
      <c r="K425">
        <v>1</v>
      </c>
      <c r="L425">
        <v>1</v>
      </c>
      <c r="M425">
        <v>1</v>
      </c>
      <c r="N425">
        <v>1</v>
      </c>
      <c r="O425">
        <v>1</v>
      </c>
      <c r="P425">
        <v>1</v>
      </c>
      <c r="Q425">
        <v>1</v>
      </c>
      <c r="R425">
        <v>1</v>
      </c>
      <c r="S425">
        <v>1</v>
      </c>
      <c r="T425">
        <v>1</v>
      </c>
      <c r="U425">
        <v>1</v>
      </c>
      <c r="V425">
        <v>1</v>
      </c>
      <c r="W425">
        <v>1</v>
      </c>
      <c r="X425">
        <v>1</v>
      </c>
      <c r="Y425">
        <v>1</v>
      </c>
      <c r="Z425">
        <v>1</v>
      </c>
      <c r="AA425">
        <v>1</v>
      </c>
      <c r="AB425">
        <v>1</v>
      </c>
      <c r="AC425">
        <v>1</v>
      </c>
    </row>
    <row r="426" spans="1:29" x14ac:dyDescent="0.45">
      <c r="A426" t="s">
        <v>50</v>
      </c>
      <c r="B426" t="s">
        <v>438</v>
      </c>
      <c r="C426" t="s">
        <v>439</v>
      </c>
      <c r="D426" t="s">
        <v>425</v>
      </c>
      <c r="E426" t="str">
        <f t="shared" si="6"/>
        <v>MD|solar thermal|Spring</v>
      </c>
      <c r="F426">
        <v>1</v>
      </c>
      <c r="G426">
        <v>1</v>
      </c>
      <c r="H426">
        <v>1</v>
      </c>
      <c r="I426">
        <v>1</v>
      </c>
      <c r="J426">
        <v>1</v>
      </c>
      <c r="K426">
        <v>1</v>
      </c>
      <c r="L426">
        <v>1</v>
      </c>
      <c r="M426">
        <v>1</v>
      </c>
      <c r="N426">
        <v>1</v>
      </c>
      <c r="O426">
        <v>1</v>
      </c>
      <c r="P426">
        <v>1</v>
      </c>
      <c r="Q426">
        <v>1</v>
      </c>
      <c r="R426">
        <v>1</v>
      </c>
      <c r="S426">
        <v>1</v>
      </c>
      <c r="T426">
        <v>1</v>
      </c>
      <c r="U426">
        <v>1</v>
      </c>
      <c r="V426">
        <v>1</v>
      </c>
      <c r="W426">
        <v>1</v>
      </c>
      <c r="X426">
        <v>1</v>
      </c>
      <c r="Y426">
        <v>1</v>
      </c>
      <c r="Z426">
        <v>1</v>
      </c>
      <c r="AA426">
        <v>1</v>
      </c>
      <c r="AB426">
        <v>1</v>
      </c>
      <c r="AC426">
        <v>1</v>
      </c>
    </row>
    <row r="427" spans="1:29" x14ac:dyDescent="0.45">
      <c r="A427" t="s">
        <v>50</v>
      </c>
      <c r="B427" t="s">
        <v>438</v>
      </c>
      <c r="C427" t="s">
        <v>439</v>
      </c>
      <c r="D427" t="s">
        <v>426</v>
      </c>
      <c r="E427" t="str">
        <f t="shared" si="6"/>
        <v>MD|solar thermal|Summer</v>
      </c>
      <c r="F427">
        <v>1</v>
      </c>
      <c r="G427">
        <v>1</v>
      </c>
      <c r="H427">
        <v>1</v>
      </c>
      <c r="I427">
        <v>1</v>
      </c>
      <c r="J427">
        <v>1</v>
      </c>
      <c r="K427">
        <v>1</v>
      </c>
      <c r="L427">
        <v>1</v>
      </c>
      <c r="M427">
        <v>1</v>
      </c>
      <c r="N427">
        <v>1</v>
      </c>
      <c r="O427">
        <v>1</v>
      </c>
      <c r="P427">
        <v>1</v>
      </c>
      <c r="Q427">
        <v>1</v>
      </c>
      <c r="R427">
        <v>1</v>
      </c>
      <c r="S427">
        <v>1</v>
      </c>
      <c r="T427">
        <v>1</v>
      </c>
      <c r="U427">
        <v>1</v>
      </c>
      <c r="V427">
        <v>1</v>
      </c>
      <c r="W427">
        <v>1</v>
      </c>
      <c r="X427">
        <v>1</v>
      </c>
      <c r="Y427">
        <v>1</v>
      </c>
      <c r="Z427">
        <v>1</v>
      </c>
      <c r="AA427">
        <v>1</v>
      </c>
      <c r="AB427">
        <v>1</v>
      </c>
      <c r="AC427">
        <v>1</v>
      </c>
    </row>
    <row r="428" spans="1:29" x14ac:dyDescent="0.45">
      <c r="A428" t="s">
        <v>50</v>
      </c>
      <c r="B428" t="s">
        <v>438</v>
      </c>
      <c r="C428" t="s">
        <v>439</v>
      </c>
      <c r="D428" t="s">
        <v>427</v>
      </c>
      <c r="E428" t="str">
        <f t="shared" si="6"/>
        <v>MD|solar thermal|Fall</v>
      </c>
      <c r="F428">
        <v>1</v>
      </c>
      <c r="G428">
        <v>1</v>
      </c>
      <c r="H428">
        <v>1</v>
      </c>
      <c r="I428">
        <v>1</v>
      </c>
      <c r="J428">
        <v>1</v>
      </c>
      <c r="K428">
        <v>1</v>
      </c>
      <c r="L428">
        <v>1</v>
      </c>
      <c r="M428">
        <v>1</v>
      </c>
      <c r="N428">
        <v>1</v>
      </c>
      <c r="O428">
        <v>1</v>
      </c>
      <c r="P428">
        <v>1</v>
      </c>
      <c r="Q428">
        <v>1</v>
      </c>
      <c r="R428">
        <v>1</v>
      </c>
      <c r="S428">
        <v>1</v>
      </c>
      <c r="T428">
        <v>1</v>
      </c>
      <c r="U428">
        <v>1</v>
      </c>
      <c r="V428">
        <v>1</v>
      </c>
      <c r="W428">
        <v>1</v>
      </c>
      <c r="X428">
        <v>1</v>
      </c>
      <c r="Y428">
        <v>1</v>
      </c>
      <c r="Z428">
        <v>1</v>
      </c>
      <c r="AA428">
        <v>1</v>
      </c>
      <c r="AB428">
        <v>1</v>
      </c>
      <c r="AC428">
        <v>1</v>
      </c>
    </row>
    <row r="429" spans="1:29" x14ac:dyDescent="0.45">
      <c r="A429" t="s">
        <v>50</v>
      </c>
      <c r="B429" t="s">
        <v>438</v>
      </c>
      <c r="C429" t="s">
        <v>439</v>
      </c>
      <c r="D429" t="s">
        <v>428</v>
      </c>
      <c r="E429" t="str">
        <f t="shared" si="6"/>
        <v>MD|solar thermal|Summer Peak</v>
      </c>
      <c r="F429">
        <v>1</v>
      </c>
      <c r="G429">
        <v>1</v>
      </c>
      <c r="H429">
        <v>1</v>
      </c>
      <c r="I429">
        <v>1</v>
      </c>
      <c r="J429">
        <v>1</v>
      </c>
      <c r="K429">
        <v>1</v>
      </c>
      <c r="L429">
        <v>1</v>
      </c>
      <c r="M429">
        <v>0</v>
      </c>
      <c r="N429">
        <v>0.8639</v>
      </c>
      <c r="O429">
        <v>1</v>
      </c>
      <c r="P429">
        <v>1</v>
      </c>
      <c r="Q429">
        <v>0.97160000000000002</v>
      </c>
      <c r="R429">
        <v>0.96719999999999995</v>
      </c>
      <c r="S429">
        <v>1</v>
      </c>
      <c r="T429">
        <v>1</v>
      </c>
      <c r="U429">
        <v>1</v>
      </c>
      <c r="V429">
        <v>1</v>
      </c>
      <c r="W429">
        <v>1</v>
      </c>
      <c r="X429">
        <v>1</v>
      </c>
      <c r="Y429">
        <v>0.93130000000000002</v>
      </c>
      <c r="Z429">
        <v>0.70220000000000005</v>
      </c>
      <c r="AA429">
        <v>1</v>
      </c>
      <c r="AB429">
        <v>1</v>
      </c>
      <c r="AC429">
        <v>1</v>
      </c>
    </row>
    <row r="430" spans="1:29" x14ac:dyDescent="0.45">
      <c r="A430" t="s">
        <v>50</v>
      </c>
      <c r="B430" t="s">
        <v>438</v>
      </c>
      <c r="C430" t="s">
        <v>439</v>
      </c>
      <c r="D430" t="s">
        <v>429</v>
      </c>
      <c r="E430" t="str">
        <f t="shared" si="6"/>
        <v>MD|solar thermal|Winter Peak</v>
      </c>
      <c r="F430">
        <v>1</v>
      </c>
      <c r="G430">
        <v>1</v>
      </c>
      <c r="H430">
        <v>1</v>
      </c>
      <c r="I430">
        <v>1</v>
      </c>
      <c r="J430">
        <v>1</v>
      </c>
      <c r="K430">
        <v>1</v>
      </c>
      <c r="L430">
        <v>1</v>
      </c>
      <c r="M430">
        <v>1</v>
      </c>
      <c r="N430">
        <v>1</v>
      </c>
      <c r="O430">
        <v>0.2419</v>
      </c>
      <c r="P430">
        <v>0.95320000000000005</v>
      </c>
      <c r="Q430">
        <v>0.88039999999999996</v>
      </c>
      <c r="R430">
        <v>0.97819999999999996</v>
      </c>
      <c r="S430">
        <v>0.98950000000000005</v>
      </c>
      <c r="T430">
        <v>0.99270000000000003</v>
      </c>
      <c r="U430">
        <v>1</v>
      </c>
      <c r="V430">
        <v>1</v>
      </c>
      <c r="W430">
        <v>1</v>
      </c>
      <c r="X430">
        <v>0.89019999999999999</v>
      </c>
      <c r="Y430">
        <v>0</v>
      </c>
      <c r="Z430">
        <v>1</v>
      </c>
      <c r="AA430">
        <v>1</v>
      </c>
      <c r="AB430">
        <v>1</v>
      </c>
      <c r="AC430">
        <v>1</v>
      </c>
    </row>
    <row r="431" spans="1:29" x14ac:dyDescent="0.45">
      <c r="A431" t="s">
        <v>50</v>
      </c>
      <c r="B431" t="s">
        <v>440</v>
      </c>
      <c r="C431" t="s">
        <v>441</v>
      </c>
      <c r="D431" t="s">
        <v>424</v>
      </c>
      <c r="E431" t="str">
        <f t="shared" si="6"/>
        <v>MD|offshore wind|Winter</v>
      </c>
      <c r="F431">
        <v>1</v>
      </c>
      <c r="G431">
        <v>1</v>
      </c>
      <c r="H431">
        <v>1</v>
      </c>
      <c r="I431">
        <v>1</v>
      </c>
      <c r="J431">
        <v>1</v>
      </c>
      <c r="K431">
        <v>1</v>
      </c>
      <c r="L431">
        <v>1</v>
      </c>
      <c r="M431">
        <v>1</v>
      </c>
      <c r="N431">
        <v>1</v>
      </c>
      <c r="O431">
        <v>1</v>
      </c>
      <c r="P431">
        <v>1</v>
      </c>
      <c r="Q431">
        <v>1</v>
      </c>
      <c r="R431">
        <v>1</v>
      </c>
      <c r="S431">
        <v>1</v>
      </c>
      <c r="T431">
        <v>1</v>
      </c>
      <c r="U431">
        <v>1</v>
      </c>
      <c r="V431">
        <v>1</v>
      </c>
      <c r="W431">
        <v>1</v>
      </c>
      <c r="X431">
        <v>1</v>
      </c>
      <c r="Y431">
        <v>1</v>
      </c>
      <c r="Z431">
        <v>1</v>
      </c>
      <c r="AA431">
        <v>1</v>
      </c>
      <c r="AB431">
        <v>1</v>
      </c>
      <c r="AC431">
        <v>1</v>
      </c>
    </row>
    <row r="432" spans="1:29" x14ac:dyDescent="0.45">
      <c r="A432" t="s">
        <v>50</v>
      </c>
      <c r="B432" t="s">
        <v>440</v>
      </c>
      <c r="C432" t="s">
        <v>441</v>
      </c>
      <c r="D432" t="s">
        <v>425</v>
      </c>
      <c r="E432" t="str">
        <f t="shared" si="6"/>
        <v>MD|offshore wind|Spring</v>
      </c>
      <c r="F432">
        <v>1</v>
      </c>
      <c r="G432">
        <v>1</v>
      </c>
      <c r="H432">
        <v>1</v>
      </c>
      <c r="I432">
        <v>1</v>
      </c>
      <c r="J432">
        <v>1</v>
      </c>
      <c r="K432">
        <v>1</v>
      </c>
      <c r="L432">
        <v>1</v>
      </c>
      <c r="M432">
        <v>1</v>
      </c>
      <c r="N432">
        <v>1</v>
      </c>
      <c r="O432">
        <v>1</v>
      </c>
      <c r="P432">
        <v>1</v>
      </c>
      <c r="Q432">
        <v>1</v>
      </c>
      <c r="R432">
        <v>1</v>
      </c>
      <c r="S432">
        <v>1</v>
      </c>
      <c r="T432">
        <v>1</v>
      </c>
      <c r="U432">
        <v>1</v>
      </c>
      <c r="V432">
        <v>1</v>
      </c>
      <c r="W432">
        <v>1</v>
      </c>
      <c r="X432">
        <v>1</v>
      </c>
      <c r="Y432">
        <v>1</v>
      </c>
      <c r="Z432">
        <v>1</v>
      </c>
      <c r="AA432">
        <v>1</v>
      </c>
      <c r="AB432">
        <v>1</v>
      </c>
      <c r="AC432">
        <v>1</v>
      </c>
    </row>
    <row r="433" spans="1:29" x14ac:dyDescent="0.45">
      <c r="A433" t="s">
        <v>50</v>
      </c>
      <c r="B433" t="s">
        <v>440</v>
      </c>
      <c r="C433" t="s">
        <v>441</v>
      </c>
      <c r="D433" t="s">
        <v>426</v>
      </c>
      <c r="E433" t="str">
        <f t="shared" si="6"/>
        <v>MD|offshore wind|Summer</v>
      </c>
      <c r="F433">
        <v>1</v>
      </c>
      <c r="G433">
        <v>1</v>
      </c>
      <c r="H433">
        <v>1</v>
      </c>
      <c r="I433">
        <v>1</v>
      </c>
      <c r="J433">
        <v>1</v>
      </c>
      <c r="K433">
        <v>1</v>
      </c>
      <c r="L433">
        <v>1</v>
      </c>
      <c r="M433">
        <v>1</v>
      </c>
      <c r="N433">
        <v>1</v>
      </c>
      <c r="O433">
        <v>1</v>
      </c>
      <c r="P433">
        <v>1</v>
      </c>
      <c r="Q433">
        <v>1</v>
      </c>
      <c r="R433">
        <v>1</v>
      </c>
      <c r="S433">
        <v>1</v>
      </c>
      <c r="T433">
        <v>1</v>
      </c>
      <c r="U433">
        <v>1</v>
      </c>
      <c r="V433">
        <v>1</v>
      </c>
      <c r="W433">
        <v>1</v>
      </c>
      <c r="X433">
        <v>1</v>
      </c>
      <c r="Y433">
        <v>1</v>
      </c>
      <c r="Z433">
        <v>1</v>
      </c>
      <c r="AA433">
        <v>1</v>
      </c>
      <c r="AB433">
        <v>1</v>
      </c>
      <c r="AC433">
        <v>1</v>
      </c>
    </row>
    <row r="434" spans="1:29" x14ac:dyDescent="0.45">
      <c r="A434" t="s">
        <v>50</v>
      </c>
      <c r="B434" t="s">
        <v>440</v>
      </c>
      <c r="C434" t="s">
        <v>441</v>
      </c>
      <c r="D434" t="s">
        <v>427</v>
      </c>
      <c r="E434" t="str">
        <f t="shared" si="6"/>
        <v>MD|offshore wind|Fall</v>
      </c>
      <c r="F434">
        <v>1</v>
      </c>
      <c r="G434">
        <v>1</v>
      </c>
      <c r="H434">
        <v>1</v>
      </c>
      <c r="I434">
        <v>1</v>
      </c>
      <c r="J434">
        <v>1</v>
      </c>
      <c r="K434">
        <v>1</v>
      </c>
      <c r="L434">
        <v>1</v>
      </c>
      <c r="M434">
        <v>1</v>
      </c>
      <c r="N434">
        <v>1</v>
      </c>
      <c r="O434">
        <v>1</v>
      </c>
      <c r="P434">
        <v>1</v>
      </c>
      <c r="Q434">
        <v>1</v>
      </c>
      <c r="R434">
        <v>1</v>
      </c>
      <c r="S434">
        <v>1</v>
      </c>
      <c r="T434">
        <v>1</v>
      </c>
      <c r="U434">
        <v>1</v>
      </c>
      <c r="V434">
        <v>1</v>
      </c>
      <c r="W434">
        <v>1</v>
      </c>
      <c r="X434">
        <v>1</v>
      </c>
      <c r="Y434">
        <v>1</v>
      </c>
      <c r="Z434">
        <v>1</v>
      </c>
      <c r="AA434">
        <v>1</v>
      </c>
      <c r="AB434">
        <v>1</v>
      </c>
      <c r="AC434">
        <v>1</v>
      </c>
    </row>
    <row r="435" spans="1:29" x14ac:dyDescent="0.45">
      <c r="A435" t="s">
        <v>50</v>
      </c>
      <c r="B435" t="s">
        <v>440</v>
      </c>
      <c r="C435" t="s">
        <v>441</v>
      </c>
      <c r="D435" t="s">
        <v>428</v>
      </c>
      <c r="E435" t="str">
        <f t="shared" si="6"/>
        <v>MD|offshore wind|Summer Peak</v>
      </c>
      <c r="F435">
        <v>0.3468</v>
      </c>
      <c r="G435">
        <v>0.19159999999999999</v>
      </c>
      <c r="H435">
        <v>0.18179999999999999</v>
      </c>
      <c r="I435">
        <v>0.1585</v>
      </c>
      <c r="J435">
        <v>0.1885</v>
      </c>
      <c r="K435">
        <v>0.1903</v>
      </c>
      <c r="L435">
        <v>0.27889999999999998</v>
      </c>
      <c r="M435">
        <v>0.35780000000000001</v>
      </c>
      <c r="N435">
        <v>0.3382</v>
      </c>
      <c r="O435">
        <v>0.18709999999999999</v>
      </c>
      <c r="P435">
        <v>0.2024</v>
      </c>
      <c r="Q435">
        <v>0.2656</v>
      </c>
      <c r="R435">
        <v>0.18179999999999999</v>
      </c>
      <c r="S435">
        <v>0.2009</v>
      </c>
      <c r="T435">
        <v>0.26100000000000001</v>
      </c>
      <c r="U435">
        <v>0.2626</v>
      </c>
      <c r="V435">
        <v>0.32079999999999997</v>
      </c>
      <c r="W435">
        <v>0.3891</v>
      </c>
      <c r="X435">
        <v>0.35510000000000003</v>
      </c>
      <c r="Y435">
        <v>0.40639999999999998</v>
      </c>
      <c r="Z435">
        <v>0.26290000000000002</v>
      </c>
      <c r="AA435">
        <v>0.22339999999999999</v>
      </c>
      <c r="AB435">
        <v>0.2452</v>
      </c>
      <c r="AC435">
        <v>0.26869999999999999</v>
      </c>
    </row>
    <row r="436" spans="1:29" x14ac:dyDescent="0.45">
      <c r="A436" t="s">
        <v>50</v>
      </c>
      <c r="B436" t="s">
        <v>440</v>
      </c>
      <c r="C436" t="s">
        <v>441</v>
      </c>
      <c r="D436" t="s">
        <v>429</v>
      </c>
      <c r="E436" t="str">
        <f t="shared" si="6"/>
        <v>MD|offshore wind|Winter Peak</v>
      </c>
      <c r="F436">
        <v>0.54449999999999998</v>
      </c>
      <c r="G436">
        <v>0.38719999999999999</v>
      </c>
      <c r="H436">
        <v>0.5444</v>
      </c>
      <c r="I436">
        <v>0.47589999999999999</v>
      </c>
      <c r="J436">
        <v>0.57330000000000003</v>
      </c>
      <c r="K436">
        <v>0.63959999999999995</v>
      </c>
      <c r="L436">
        <v>0.57440000000000002</v>
      </c>
      <c r="M436">
        <v>0.46129999999999999</v>
      </c>
      <c r="N436">
        <v>0.43390000000000001</v>
      </c>
      <c r="O436">
        <v>0.50839999999999996</v>
      </c>
      <c r="P436">
        <v>0.62229999999999996</v>
      </c>
      <c r="Q436">
        <v>0.47010000000000002</v>
      </c>
      <c r="R436">
        <v>0.41930000000000001</v>
      </c>
      <c r="S436">
        <v>0.51249999999999996</v>
      </c>
      <c r="T436">
        <v>0.54679999999999995</v>
      </c>
      <c r="U436">
        <v>0.64759999999999995</v>
      </c>
      <c r="V436">
        <v>0.65510000000000002</v>
      </c>
      <c r="W436">
        <v>0.46350000000000002</v>
      </c>
      <c r="X436">
        <v>0.38329999999999997</v>
      </c>
      <c r="Y436">
        <v>0.30330000000000001</v>
      </c>
      <c r="Z436">
        <v>0.24049999999999999</v>
      </c>
      <c r="AA436">
        <v>0.26329999999999998</v>
      </c>
      <c r="AB436">
        <v>0.31929999999999997</v>
      </c>
      <c r="AC436">
        <v>0.53180000000000005</v>
      </c>
    </row>
    <row r="437" spans="1:29" x14ac:dyDescent="0.45">
      <c r="A437" t="s">
        <v>53</v>
      </c>
      <c r="B437" t="s">
        <v>434</v>
      </c>
      <c r="C437" t="s">
        <v>435</v>
      </c>
      <c r="D437" t="s">
        <v>424</v>
      </c>
      <c r="E437" t="str">
        <f t="shared" si="6"/>
        <v>ME|onshore wind|Winter</v>
      </c>
      <c r="F437">
        <v>1</v>
      </c>
      <c r="G437">
        <v>1</v>
      </c>
      <c r="H437">
        <v>1</v>
      </c>
      <c r="I437">
        <v>1</v>
      </c>
      <c r="J437">
        <v>1</v>
      </c>
      <c r="K437">
        <v>1</v>
      </c>
      <c r="L437">
        <v>1</v>
      </c>
      <c r="M437">
        <v>1</v>
      </c>
      <c r="N437">
        <v>1</v>
      </c>
      <c r="O437">
        <v>1</v>
      </c>
      <c r="P437">
        <v>1</v>
      </c>
      <c r="Q437">
        <v>1</v>
      </c>
      <c r="R437">
        <v>1</v>
      </c>
      <c r="S437">
        <v>1</v>
      </c>
      <c r="T437">
        <v>1</v>
      </c>
      <c r="U437">
        <v>1</v>
      </c>
      <c r="V437">
        <v>1</v>
      </c>
      <c r="W437">
        <v>1</v>
      </c>
      <c r="X437">
        <v>1</v>
      </c>
      <c r="Y437">
        <v>1</v>
      </c>
      <c r="Z437">
        <v>1</v>
      </c>
      <c r="AA437">
        <v>1</v>
      </c>
      <c r="AB437">
        <v>1</v>
      </c>
      <c r="AC437">
        <v>1</v>
      </c>
    </row>
    <row r="438" spans="1:29" x14ac:dyDescent="0.45">
      <c r="A438" t="s">
        <v>53</v>
      </c>
      <c r="B438" t="s">
        <v>434</v>
      </c>
      <c r="C438" t="s">
        <v>435</v>
      </c>
      <c r="D438" t="s">
        <v>425</v>
      </c>
      <c r="E438" t="str">
        <f t="shared" si="6"/>
        <v>ME|onshore wind|Spring</v>
      </c>
      <c r="F438">
        <v>1</v>
      </c>
      <c r="G438">
        <v>1</v>
      </c>
      <c r="H438">
        <v>1</v>
      </c>
      <c r="I438">
        <v>1</v>
      </c>
      <c r="J438">
        <v>1</v>
      </c>
      <c r="K438">
        <v>1</v>
      </c>
      <c r="L438">
        <v>1</v>
      </c>
      <c r="M438">
        <v>1</v>
      </c>
      <c r="N438">
        <v>1</v>
      </c>
      <c r="O438">
        <v>1</v>
      </c>
      <c r="P438">
        <v>1</v>
      </c>
      <c r="Q438">
        <v>1</v>
      </c>
      <c r="R438">
        <v>1</v>
      </c>
      <c r="S438">
        <v>1</v>
      </c>
      <c r="T438">
        <v>1</v>
      </c>
      <c r="U438">
        <v>1</v>
      </c>
      <c r="V438">
        <v>1</v>
      </c>
      <c r="W438">
        <v>1</v>
      </c>
      <c r="X438">
        <v>1</v>
      </c>
      <c r="Y438">
        <v>1</v>
      </c>
      <c r="Z438">
        <v>1</v>
      </c>
      <c r="AA438">
        <v>1</v>
      </c>
      <c r="AB438">
        <v>1</v>
      </c>
      <c r="AC438">
        <v>1</v>
      </c>
    </row>
    <row r="439" spans="1:29" x14ac:dyDescent="0.45">
      <c r="A439" t="s">
        <v>53</v>
      </c>
      <c r="B439" t="s">
        <v>434</v>
      </c>
      <c r="C439" t="s">
        <v>435</v>
      </c>
      <c r="D439" t="s">
        <v>426</v>
      </c>
      <c r="E439" t="str">
        <f t="shared" si="6"/>
        <v>ME|onshore wind|Summer</v>
      </c>
      <c r="F439">
        <v>1</v>
      </c>
      <c r="G439">
        <v>1</v>
      </c>
      <c r="H439">
        <v>1</v>
      </c>
      <c r="I439">
        <v>1</v>
      </c>
      <c r="J439">
        <v>1</v>
      </c>
      <c r="K439">
        <v>1</v>
      </c>
      <c r="L439">
        <v>1</v>
      </c>
      <c r="M439">
        <v>1</v>
      </c>
      <c r="N439">
        <v>1</v>
      </c>
      <c r="O439">
        <v>1</v>
      </c>
      <c r="P439">
        <v>1</v>
      </c>
      <c r="Q439">
        <v>1</v>
      </c>
      <c r="R439">
        <v>1</v>
      </c>
      <c r="S439">
        <v>1</v>
      </c>
      <c r="T439">
        <v>1</v>
      </c>
      <c r="U439">
        <v>1</v>
      </c>
      <c r="V439">
        <v>1</v>
      </c>
      <c r="W439">
        <v>1</v>
      </c>
      <c r="X439">
        <v>1</v>
      </c>
      <c r="Y439">
        <v>1</v>
      </c>
      <c r="Z439">
        <v>1</v>
      </c>
      <c r="AA439">
        <v>1</v>
      </c>
      <c r="AB439">
        <v>1</v>
      </c>
      <c r="AC439">
        <v>1</v>
      </c>
    </row>
    <row r="440" spans="1:29" x14ac:dyDescent="0.45">
      <c r="A440" t="s">
        <v>53</v>
      </c>
      <c r="B440" t="s">
        <v>434</v>
      </c>
      <c r="C440" t="s">
        <v>435</v>
      </c>
      <c r="D440" t="s">
        <v>427</v>
      </c>
      <c r="E440" t="str">
        <f t="shared" si="6"/>
        <v>ME|onshore wind|Fall</v>
      </c>
      <c r="F440">
        <v>1</v>
      </c>
      <c r="G440">
        <v>1</v>
      </c>
      <c r="H440">
        <v>1</v>
      </c>
      <c r="I440">
        <v>1</v>
      </c>
      <c r="J440">
        <v>1</v>
      </c>
      <c r="K440">
        <v>1</v>
      </c>
      <c r="L440">
        <v>1</v>
      </c>
      <c r="M440">
        <v>1</v>
      </c>
      <c r="N440">
        <v>1</v>
      </c>
      <c r="O440">
        <v>1</v>
      </c>
      <c r="P440">
        <v>1</v>
      </c>
      <c r="Q440">
        <v>1</v>
      </c>
      <c r="R440">
        <v>1</v>
      </c>
      <c r="S440">
        <v>1</v>
      </c>
      <c r="T440">
        <v>1</v>
      </c>
      <c r="U440">
        <v>1</v>
      </c>
      <c r="V440">
        <v>1</v>
      </c>
      <c r="W440">
        <v>1</v>
      </c>
      <c r="X440">
        <v>1</v>
      </c>
      <c r="Y440">
        <v>1</v>
      </c>
      <c r="Z440">
        <v>1</v>
      </c>
      <c r="AA440">
        <v>1</v>
      </c>
      <c r="AB440">
        <v>1</v>
      </c>
      <c r="AC440">
        <v>1</v>
      </c>
    </row>
    <row r="441" spans="1:29" x14ac:dyDescent="0.45">
      <c r="A441" t="s">
        <v>53</v>
      </c>
      <c r="B441" t="s">
        <v>434</v>
      </c>
      <c r="C441" t="s">
        <v>435</v>
      </c>
      <c r="D441" t="s">
        <v>428</v>
      </c>
      <c r="E441" t="str">
        <f t="shared" si="6"/>
        <v>ME|onshore wind|Summer Peak</v>
      </c>
      <c r="F441">
        <v>0.48070000000000002</v>
      </c>
      <c r="G441">
        <v>0.59970000000000001</v>
      </c>
      <c r="H441">
        <v>0.75090000000000001</v>
      </c>
      <c r="I441">
        <v>0.72860000000000003</v>
      </c>
      <c r="J441">
        <v>0.62170000000000003</v>
      </c>
      <c r="K441">
        <v>0.69369999999999998</v>
      </c>
      <c r="L441">
        <v>0.48870000000000002</v>
      </c>
      <c r="M441">
        <v>0.27379999999999999</v>
      </c>
      <c r="N441">
        <v>0.25819999999999999</v>
      </c>
      <c r="O441">
        <v>0.39439999999999997</v>
      </c>
      <c r="P441">
        <v>0.39190000000000003</v>
      </c>
      <c r="Q441">
        <v>0.37180000000000002</v>
      </c>
      <c r="R441">
        <v>0.71460000000000001</v>
      </c>
      <c r="S441">
        <v>0.75470000000000004</v>
      </c>
      <c r="T441">
        <v>0.67500000000000004</v>
      </c>
      <c r="U441">
        <v>0.72070000000000001</v>
      </c>
      <c r="V441">
        <v>0.72170000000000001</v>
      </c>
      <c r="W441">
        <v>0.52949999999999997</v>
      </c>
      <c r="X441">
        <v>0.89659999999999995</v>
      </c>
      <c r="Y441">
        <v>0.94420000000000004</v>
      </c>
      <c r="Z441">
        <v>0.82469999999999999</v>
      </c>
      <c r="AA441">
        <v>0.64070000000000005</v>
      </c>
      <c r="AB441">
        <v>0.40079999999999999</v>
      </c>
      <c r="AC441">
        <v>0.38390000000000002</v>
      </c>
    </row>
    <row r="442" spans="1:29" x14ac:dyDescent="0.45">
      <c r="A442" t="s">
        <v>53</v>
      </c>
      <c r="B442" t="s">
        <v>434</v>
      </c>
      <c r="C442" t="s">
        <v>435</v>
      </c>
      <c r="D442" t="s">
        <v>429</v>
      </c>
      <c r="E442" t="str">
        <f t="shared" si="6"/>
        <v>ME|onshore wind|Winter Peak</v>
      </c>
      <c r="F442">
        <v>0.75560000000000005</v>
      </c>
      <c r="G442">
        <v>0.71889999999999998</v>
      </c>
      <c r="H442">
        <v>0.74780000000000002</v>
      </c>
      <c r="I442">
        <v>0.65459999999999996</v>
      </c>
      <c r="J442">
        <v>0.60389999999999999</v>
      </c>
      <c r="K442">
        <v>0.68269999999999997</v>
      </c>
      <c r="L442">
        <v>0.6704</v>
      </c>
      <c r="M442">
        <v>0.57750000000000001</v>
      </c>
      <c r="N442">
        <v>0.36430000000000001</v>
      </c>
      <c r="O442">
        <v>0.16969999999999999</v>
      </c>
      <c r="P442">
        <v>0.1613</v>
      </c>
      <c r="Q442">
        <v>0.20599999999999999</v>
      </c>
      <c r="R442">
        <v>0.17380000000000001</v>
      </c>
      <c r="S442">
        <v>0.40889999999999999</v>
      </c>
      <c r="T442">
        <v>0.60009999999999997</v>
      </c>
      <c r="U442">
        <v>0.35249999999999998</v>
      </c>
      <c r="V442">
        <v>0.35970000000000002</v>
      </c>
      <c r="W442">
        <v>0.25219999999999998</v>
      </c>
      <c r="X442">
        <v>0.22789999999999999</v>
      </c>
      <c r="Y442">
        <v>0.29720000000000002</v>
      </c>
      <c r="Z442">
        <v>0.48859999999999998</v>
      </c>
      <c r="AA442">
        <v>0.68469999999999998</v>
      </c>
      <c r="AB442">
        <v>0.69</v>
      </c>
      <c r="AC442">
        <v>0.6502</v>
      </c>
    </row>
    <row r="443" spans="1:29" x14ac:dyDescent="0.45">
      <c r="A443" t="s">
        <v>53</v>
      </c>
      <c r="B443" t="s">
        <v>436</v>
      </c>
      <c r="C443" t="s">
        <v>437</v>
      </c>
      <c r="D443" t="s">
        <v>424</v>
      </c>
      <c r="E443" t="str">
        <f t="shared" si="6"/>
        <v>ME|solar pv|Winter</v>
      </c>
      <c r="F443">
        <v>1</v>
      </c>
      <c r="G443">
        <v>1</v>
      </c>
      <c r="H443">
        <v>1</v>
      </c>
      <c r="I443">
        <v>1</v>
      </c>
      <c r="J443">
        <v>1</v>
      </c>
      <c r="K443">
        <v>1</v>
      </c>
      <c r="L443">
        <v>1</v>
      </c>
      <c r="M443">
        <v>1</v>
      </c>
      <c r="N443">
        <v>1</v>
      </c>
      <c r="O443">
        <v>1</v>
      </c>
      <c r="P443">
        <v>1</v>
      </c>
      <c r="Q443">
        <v>1</v>
      </c>
      <c r="R443">
        <v>1</v>
      </c>
      <c r="S443">
        <v>1</v>
      </c>
      <c r="T443">
        <v>1</v>
      </c>
      <c r="U443">
        <v>1</v>
      </c>
      <c r="V443">
        <v>1</v>
      </c>
      <c r="W443">
        <v>1</v>
      </c>
      <c r="X443">
        <v>1</v>
      </c>
      <c r="Y443">
        <v>1</v>
      </c>
      <c r="Z443">
        <v>1</v>
      </c>
      <c r="AA443">
        <v>1</v>
      </c>
      <c r="AB443">
        <v>1</v>
      </c>
      <c r="AC443">
        <v>1</v>
      </c>
    </row>
    <row r="444" spans="1:29" x14ac:dyDescent="0.45">
      <c r="A444" t="s">
        <v>53</v>
      </c>
      <c r="B444" t="s">
        <v>436</v>
      </c>
      <c r="C444" t="s">
        <v>437</v>
      </c>
      <c r="D444" t="s">
        <v>425</v>
      </c>
      <c r="E444" t="str">
        <f t="shared" si="6"/>
        <v>ME|solar pv|Spring</v>
      </c>
      <c r="F444">
        <v>1</v>
      </c>
      <c r="G444">
        <v>1</v>
      </c>
      <c r="H444">
        <v>1</v>
      </c>
      <c r="I444">
        <v>1</v>
      </c>
      <c r="J444">
        <v>1</v>
      </c>
      <c r="K444">
        <v>1</v>
      </c>
      <c r="L444">
        <v>1</v>
      </c>
      <c r="M444">
        <v>1</v>
      </c>
      <c r="N444">
        <v>1</v>
      </c>
      <c r="O444">
        <v>1</v>
      </c>
      <c r="P444">
        <v>1</v>
      </c>
      <c r="Q444">
        <v>1</v>
      </c>
      <c r="R444">
        <v>1</v>
      </c>
      <c r="S444">
        <v>1</v>
      </c>
      <c r="T444">
        <v>1</v>
      </c>
      <c r="U444">
        <v>1</v>
      </c>
      <c r="V444">
        <v>1</v>
      </c>
      <c r="W444">
        <v>1</v>
      </c>
      <c r="X444">
        <v>1</v>
      </c>
      <c r="Y444">
        <v>1</v>
      </c>
      <c r="Z444">
        <v>1</v>
      </c>
      <c r="AA444">
        <v>1</v>
      </c>
      <c r="AB444">
        <v>1</v>
      </c>
      <c r="AC444">
        <v>1</v>
      </c>
    </row>
    <row r="445" spans="1:29" x14ac:dyDescent="0.45">
      <c r="A445" t="s">
        <v>53</v>
      </c>
      <c r="B445" t="s">
        <v>436</v>
      </c>
      <c r="C445" t="s">
        <v>437</v>
      </c>
      <c r="D445" t="s">
        <v>426</v>
      </c>
      <c r="E445" t="str">
        <f t="shared" si="6"/>
        <v>ME|solar pv|Summer</v>
      </c>
      <c r="F445">
        <v>1</v>
      </c>
      <c r="G445">
        <v>1</v>
      </c>
      <c r="H445">
        <v>1</v>
      </c>
      <c r="I445">
        <v>1</v>
      </c>
      <c r="J445">
        <v>1</v>
      </c>
      <c r="K445">
        <v>1</v>
      </c>
      <c r="L445">
        <v>1</v>
      </c>
      <c r="M445">
        <v>1</v>
      </c>
      <c r="N445">
        <v>1</v>
      </c>
      <c r="O445">
        <v>1</v>
      </c>
      <c r="P445">
        <v>1</v>
      </c>
      <c r="Q445">
        <v>1</v>
      </c>
      <c r="R445">
        <v>1</v>
      </c>
      <c r="S445">
        <v>1</v>
      </c>
      <c r="T445">
        <v>1</v>
      </c>
      <c r="U445">
        <v>1</v>
      </c>
      <c r="V445">
        <v>1</v>
      </c>
      <c r="W445">
        <v>1</v>
      </c>
      <c r="X445">
        <v>1</v>
      </c>
      <c r="Y445">
        <v>1</v>
      </c>
      <c r="Z445">
        <v>1</v>
      </c>
      <c r="AA445">
        <v>1</v>
      </c>
      <c r="AB445">
        <v>1</v>
      </c>
      <c r="AC445">
        <v>1</v>
      </c>
    </row>
    <row r="446" spans="1:29" x14ac:dyDescent="0.45">
      <c r="A446" t="s">
        <v>53</v>
      </c>
      <c r="B446" t="s">
        <v>436</v>
      </c>
      <c r="C446" t="s">
        <v>437</v>
      </c>
      <c r="D446" t="s">
        <v>427</v>
      </c>
      <c r="E446" t="str">
        <f t="shared" si="6"/>
        <v>ME|solar pv|Fall</v>
      </c>
      <c r="F446">
        <v>1</v>
      </c>
      <c r="G446">
        <v>1</v>
      </c>
      <c r="H446">
        <v>1</v>
      </c>
      <c r="I446">
        <v>1</v>
      </c>
      <c r="J446">
        <v>1</v>
      </c>
      <c r="K446">
        <v>1</v>
      </c>
      <c r="L446">
        <v>1</v>
      </c>
      <c r="M446">
        <v>1</v>
      </c>
      <c r="N446">
        <v>1</v>
      </c>
      <c r="O446">
        <v>1</v>
      </c>
      <c r="P446">
        <v>1</v>
      </c>
      <c r="Q446">
        <v>1</v>
      </c>
      <c r="R446">
        <v>1</v>
      </c>
      <c r="S446">
        <v>1</v>
      </c>
      <c r="T446">
        <v>1</v>
      </c>
      <c r="U446">
        <v>1</v>
      </c>
      <c r="V446">
        <v>1</v>
      </c>
      <c r="W446">
        <v>1</v>
      </c>
      <c r="X446">
        <v>1</v>
      </c>
      <c r="Y446">
        <v>1</v>
      </c>
      <c r="Z446">
        <v>1</v>
      </c>
      <c r="AA446">
        <v>1</v>
      </c>
      <c r="AB446">
        <v>1</v>
      </c>
      <c r="AC446">
        <v>1</v>
      </c>
    </row>
    <row r="447" spans="1:29" x14ac:dyDescent="0.45">
      <c r="A447" t="s">
        <v>53</v>
      </c>
      <c r="B447" t="s">
        <v>436</v>
      </c>
      <c r="C447" t="s">
        <v>437</v>
      </c>
      <c r="D447" t="s">
        <v>428</v>
      </c>
      <c r="E447" t="str">
        <f t="shared" si="6"/>
        <v>ME|solar pv|Summer Peak</v>
      </c>
      <c r="F447">
        <v>1</v>
      </c>
      <c r="G447">
        <v>1</v>
      </c>
      <c r="H447">
        <v>1</v>
      </c>
      <c r="I447">
        <v>1</v>
      </c>
      <c r="J447">
        <v>0.49890000000000001</v>
      </c>
      <c r="K447">
        <v>0.6673</v>
      </c>
      <c r="L447">
        <v>0.74399999999999999</v>
      </c>
      <c r="M447">
        <v>0.81299999999999994</v>
      </c>
      <c r="N447">
        <v>0.87239999999999995</v>
      </c>
      <c r="O447">
        <v>0.95440000000000003</v>
      </c>
      <c r="P447">
        <v>0.96550000000000002</v>
      </c>
      <c r="Q447">
        <v>0.94179999999999997</v>
      </c>
      <c r="R447">
        <v>0.93830000000000002</v>
      </c>
      <c r="S447">
        <v>0.94040000000000001</v>
      </c>
      <c r="T447">
        <v>0.871</v>
      </c>
      <c r="U447">
        <v>0.80789999999999995</v>
      </c>
      <c r="V447">
        <v>0.67930000000000001</v>
      </c>
      <c r="W447">
        <v>0.6028</v>
      </c>
      <c r="X447">
        <v>0</v>
      </c>
      <c r="Y447">
        <v>1</v>
      </c>
      <c r="Z447">
        <v>1</v>
      </c>
      <c r="AA447">
        <v>1</v>
      </c>
      <c r="AB447">
        <v>1</v>
      </c>
      <c r="AC447">
        <v>1</v>
      </c>
    </row>
    <row r="448" spans="1:29" x14ac:dyDescent="0.45">
      <c r="A448" t="s">
        <v>53</v>
      </c>
      <c r="B448" t="s">
        <v>436</v>
      </c>
      <c r="C448" t="s">
        <v>437</v>
      </c>
      <c r="D448" t="s">
        <v>429</v>
      </c>
      <c r="E448" t="str">
        <f t="shared" si="6"/>
        <v>ME|solar pv|Winter Peak</v>
      </c>
      <c r="F448">
        <v>1</v>
      </c>
      <c r="G448">
        <v>1</v>
      </c>
      <c r="H448">
        <v>1</v>
      </c>
      <c r="I448">
        <v>1</v>
      </c>
      <c r="J448">
        <v>1</v>
      </c>
      <c r="K448">
        <v>1</v>
      </c>
      <c r="L448">
        <v>0.18970000000000001</v>
      </c>
      <c r="M448">
        <v>0.84619999999999995</v>
      </c>
      <c r="N448">
        <v>1</v>
      </c>
      <c r="O448">
        <v>0.97109999999999996</v>
      </c>
      <c r="P448">
        <v>0.92390000000000005</v>
      </c>
      <c r="Q448">
        <v>0.94169999999999998</v>
      </c>
      <c r="R448">
        <v>0.9133</v>
      </c>
      <c r="S448">
        <v>0.81169999999999998</v>
      </c>
      <c r="T448">
        <v>0.82869999999999999</v>
      </c>
      <c r="U448">
        <v>5.8999999999999999E-3</v>
      </c>
      <c r="V448">
        <v>1</v>
      </c>
      <c r="W448">
        <v>1</v>
      </c>
      <c r="X448">
        <v>1</v>
      </c>
      <c r="Y448">
        <v>1</v>
      </c>
      <c r="Z448">
        <v>1</v>
      </c>
      <c r="AA448">
        <v>1</v>
      </c>
      <c r="AB448">
        <v>1</v>
      </c>
      <c r="AC448">
        <v>1</v>
      </c>
    </row>
    <row r="449" spans="1:29" x14ac:dyDescent="0.45">
      <c r="A449" t="s">
        <v>53</v>
      </c>
      <c r="B449" t="s">
        <v>438</v>
      </c>
      <c r="C449" t="s">
        <v>439</v>
      </c>
      <c r="D449" t="s">
        <v>424</v>
      </c>
      <c r="E449" t="str">
        <f t="shared" si="6"/>
        <v>ME|solar thermal|Winter</v>
      </c>
      <c r="F449">
        <v>1</v>
      </c>
      <c r="G449">
        <v>1</v>
      </c>
      <c r="H449">
        <v>1</v>
      </c>
      <c r="I449">
        <v>1</v>
      </c>
      <c r="J449">
        <v>1</v>
      </c>
      <c r="K449">
        <v>1</v>
      </c>
      <c r="L449">
        <v>1</v>
      </c>
      <c r="M449">
        <v>1</v>
      </c>
      <c r="N449">
        <v>1</v>
      </c>
      <c r="O449">
        <v>1</v>
      </c>
      <c r="P449">
        <v>1</v>
      </c>
      <c r="Q449">
        <v>1</v>
      </c>
      <c r="R449">
        <v>1</v>
      </c>
      <c r="S449">
        <v>1</v>
      </c>
      <c r="T449">
        <v>1</v>
      </c>
      <c r="U449">
        <v>1</v>
      </c>
      <c r="V449">
        <v>1</v>
      </c>
      <c r="W449">
        <v>1</v>
      </c>
      <c r="X449">
        <v>1</v>
      </c>
      <c r="Y449">
        <v>1</v>
      </c>
      <c r="Z449">
        <v>1</v>
      </c>
      <c r="AA449">
        <v>1</v>
      </c>
      <c r="AB449">
        <v>1</v>
      </c>
      <c r="AC449">
        <v>1</v>
      </c>
    </row>
    <row r="450" spans="1:29" x14ac:dyDescent="0.45">
      <c r="A450" t="s">
        <v>53</v>
      </c>
      <c r="B450" t="s">
        <v>438</v>
      </c>
      <c r="C450" t="s">
        <v>439</v>
      </c>
      <c r="D450" t="s">
        <v>425</v>
      </c>
      <c r="E450" t="str">
        <f t="shared" si="6"/>
        <v>ME|solar thermal|Spring</v>
      </c>
      <c r="F450">
        <v>1</v>
      </c>
      <c r="G450">
        <v>1</v>
      </c>
      <c r="H450">
        <v>1</v>
      </c>
      <c r="I450">
        <v>1</v>
      </c>
      <c r="J450">
        <v>1</v>
      </c>
      <c r="K450">
        <v>1</v>
      </c>
      <c r="L450">
        <v>1</v>
      </c>
      <c r="M450">
        <v>1</v>
      </c>
      <c r="N450">
        <v>1</v>
      </c>
      <c r="O450">
        <v>1</v>
      </c>
      <c r="P450">
        <v>1</v>
      </c>
      <c r="Q450">
        <v>1</v>
      </c>
      <c r="R450">
        <v>1</v>
      </c>
      <c r="S450">
        <v>1</v>
      </c>
      <c r="T450">
        <v>1</v>
      </c>
      <c r="U450">
        <v>1</v>
      </c>
      <c r="V450">
        <v>1</v>
      </c>
      <c r="W450">
        <v>1</v>
      </c>
      <c r="X450">
        <v>1</v>
      </c>
      <c r="Y450">
        <v>1</v>
      </c>
      <c r="Z450">
        <v>1</v>
      </c>
      <c r="AA450">
        <v>1</v>
      </c>
      <c r="AB450">
        <v>1</v>
      </c>
      <c r="AC450">
        <v>1</v>
      </c>
    </row>
    <row r="451" spans="1:29" x14ac:dyDescent="0.45">
      <c r="A451" t="s">
        <v>53</v>
      </c>
      <c r="B451" t="s">
        <v>438</v>
      </c>
      <c r="C451" t="s">
        <v>439</v>
      </c>
      <c r="D451" t="s">
        <v>426</v>
      </c>
      <c r="E451" t="str">
        <f t="shared" si="6"/>
        <v>ME|solar thermal|Summer</v>
      </c>
      <c r="F451">
        <v>1</v>
      </c>
      <c r="G451">
        <v>1</v>
      </c>
      <c r="H451">
        <v>1</v>
      </c>
      <c r="I451">
        <v>1</v>
      </c>
      <c r="J451">
        <v>1</v>
      </c>
      <c r="K451">
        <v>1</v>
      </c>
      <c r="L451">
        <v>1</v>
      </c>
      <c r="M451">
        <v>1</v>
      </c>
      <c r="N451">
        <v>1</v>
      </c>
      <c r="O451">
        <v>1</v>
      </c>
      <c r="P451">
        <v>1</v>
      </c>
      <c r="Q451">
        <v>1</v>
      </c>
      <c r="R451">
        <v>1</v>
      </c>
      <c r="S451">
        <v>1</v>
      </c>
      <c r="T451">
        <v>1</v>
      </c>
      <c r="U451">
        <v>1</v>
      </c>
      <c r="V451">
        <v>1</v>
      </c>
      <c r="W451">
        <v>1</v>
      </c>
      <c r="X451">
        <v>1</v>
      </c>
      <c r="Y451">
        <v>1</v>
      </c>
      <c r="Z451">
        <v>1</v>
      </c>
      <c r="AA451">
        <v>1</v>
      </c>
      <c r="AB451">
        <v>1</v>
      </c>
      <c r="AC451">
        <v>1</v>
      </c>
    </row>
    <row r="452" spans="1:29" x14ac:dyDescent="0.45">
      <c r="A452" t="s">
        <v>53</v>
      </c>
      <c r="B452" t="s">
        <v>438</v>
      </c>
      <c r="C452" t="s">
        <v>439</v>
      </c>
      <c r="D452" t="s">
        <v>427</v>
      </c>
      <c r="E452" t="str">
        <f t="shared" si="6"/>
        <v>ME|solar thermal|Fall</v>
      </c>
      <c r="F452">
        <v>1</v>
      </c>
      <c r="G452">
        <v>1</v>
      </c>
      <c r="H452">
        <v>1</v>
      </c>
      <c r="I452">
        <v>1</v>
      </c>
      <c r="J452">
        <v>1</v>
      </c>
      <c r="K452">
        <v>1</v>
      </c>
      <c r="L452">
        <v>1</v>
      </c>
      <c r="M452">
        <v>1</v>
      </c>
      <c r="N452">
        <v>1</v>
      </c>
      <c r="O452">
        <v>1</v>
      </c>
      <c r="P452">
        <v>1</v>
      </c>
      <c r="Q452">
        <v>1</v>
      </c>
      <c r="R452">
        <v>1</v>
      </c>
      <c r="S452">
        <v>1</v>
      </c>
      <c r="T452">
        <v>1</v>
      </c>
      <c r="U452">
        <v>1</v>
      </c>
      <c r="V452">
        <v>1</v>
      </c>
      <c r="W452">
        <v>1</v>
      </c>
      <c r="X452">
        <v>1</v>
      </c>
      <c r="Y452">
        <v>1</v>
      </c>
      <c r="Z452">
        <v>1</v>
      </c>
      <c r="AA452">
        <v>1</v>
      </c>
      <c r="AB452">
        <v>1</v>
      </c>
      <c r="AC452">
        <v>1</v>
      </c>
    </row>
    <row r="453" spans="1:29" x14ac:dyDescent="0.45">
      <c r="A453" t="s">
        <v>53</v>
      </c>
      <c r="B453" t="s">
        <v>438</v>
      </c>
      <c r="C453" t="s">
        <v>439</v>
      </c>
      <c r="D453" t="s">
        <v>428</v>
      </c>
      <c r="E453" t="str">
        <f t="shared" ref="E453:E516" si="7">A453&amp;"|"&amp;C453&amp;"|"&amp;D453</f>
        <v>ME|solar thermal|Summer Peak</v>
      </c>
      <c r="F453">
        <v>1</v>
      </c>
      <c r="G453">
        <v>1</v>
      </c>
      <c r="H453">
        <v>1</v>
      </c>
      <c r="I453">
        <v>1</v>
      </c>
      <c r="J453">
        <v>1</v>
      </c>
      <c r="K453">
        <v>1</v>
      </c>
      <c r="L453">
        <v>1</v>
      </c>
      <c r="M453">
        <v>0</v>
      </c>
      <c r="N453">
        <v>0.8639</v>
      </c>
      <c r="O453">
        <v>1</v>
      </c>
      <c r="P453">
        <v>1</v>
      </c>
      <c r="Q453">
        <v>0.97160000000000002</v>
      </c>
      <c r="R453">
        <v>0.96719999999999995</v>
      </c>
      <c r="S453">
        <v>1</v>
      </c>
      <c r="T453">
        <v>1</v>
      </c>
      <c r="U453">
        <v>1</v>
      </c>
      <c r="V453">
        <v>1</v>
      </c>
      <c r="W453">
        <v>1</v>
      </c>
      <c r="X453">
        <v>1</v>
      </c>
      <c r="Y453">
        <v>0.93130000000000002</v>
      </c>
      <c r="Z453">
        <v>0.70220000000000005</v>
      </c>
      <c r="AA453">
        <v>1</v>
      </c>
      <c r="AB453">
        <v>1</v>
      </c>
      <c r="AC453">
        <v>1</v>
      </c>
    </row>
    <row r="454" spans="1:29" x14ac:dyDescent="0.45">
      <c r="A454" t="s">
        <v>53</v>
      </c>
      <c r="B454" t="s">
        <v>438</v>
      </c>
      <c r="C454" t="s">
        <v>439</v>
      </c>
      <c r="D454" t="s">
        <v>429</v>
      </c>
      <c r="E454" t="str">
        <f t="shared" si="7"/>
        <v>ME|solar thermal|Winter Peak</v>
      </c>
      <c r="F454">
        <v>1</v>
      </c>
      <c r="G454">
        <v>1</v>
      </c>
      <c r="H454">
        <v>1</v>
      </c>
      <c r="I454">
        <v>1</v>
      </c>
      <c r="J454">
        <v>1</v>
      </c>
      <c r="K454">
        <v>1</v>
      </c>
      <c r="L454">
        <v>1</v>
      </c>
      <c r="M454">
        <v>1</v>
      </c>
      <c r="N454">
        <v>1</v>
      </c>
      <c r="O454">
        <v>0.2419</v>
      </c>
      <c r="P454">
        <v>0.95320000000000005</v>
      </c>
      <c r="Q454">
        <v>0.88039999999999996</v>
      </c>
      <c r="R454">
        <v>0.97819999999999996</v>
      </c>
      <c r="S454">
        <v>0.98950000000000005</v>
      </c>
      <c r="T454">
        <v>0.99270000000000003</v>
      </c>
      <c r="U454">
        <v>1</v>
      </c>
      <c r="V454">
        <v>1</v>
      </c>
      <c r="W454">
        <v>1</v>
      </c>
      <c r="X454">
        <v>0.89019999999999999</v>
      </c>
      <c r="Y454">
        <v>0</v>
      </c>
      <c r="Z454">
        <v>1</v>
      </c>
      <c r="AA454">
        <v>1</v>
      </c>
      <c r="AB454">
        <v>1</v>
      </c>
      <c r="AC454">
        <v>1</v>
      </c>
    </row>
    <row r="455" spans="1:29" x14ac:dyDescent="0.45">
      <c r="A455" t="s">
        <v>53</v>
      </c>
      <c r="B455" t="s">
        <v>440</v>
      </c>
      <c r="C455" t="s">
        <v>441</v>
      </c>
      <c r="D455" t="s">
        <v>424</v>
      </c>
      <c r="E455" t="str">
        <f t="shared" si="7"/>
        <v>ME|offshore wind|Winter</v>
      </c>
      <c r="F455">
        <v>1</v>
      </c>
      <c r="G455">
        <v>1</v>
      </c>
      <c r="H455">
        <v>1</v>
      </c>
      <c r="I455">
        <v>1</v>
      </c>
      <c r="J455">
        <v>1</v>
      </c>
      <c r="K455">
        <v>1</v>
      </c>
      <c r="L455">
        <v>1</v>
      </c>
      <c r="M455">
        <v>1</v>
      </c>
      <c r="N455">
        <v>1</v>
      </c>
      <c r="O455">
        <v>1</v>
      </c>
      <c r="P455">
        <v>1</v>
      </c>
      <c r="Q455">
        <v>1</v>
      </c>
      <c r="R455">
        <v>1</v>
      </c>
      <c r="S455">
        <v>1</v>
      </c>
      <c r="T455">
        <v>1</v>
      </c>
      <c r="U455">
        <v>1</v>
      </c>
      <c r="V455">
        <v>1</v>
      </c>
      <c r="W455">
        <v>1</v>
      </c>
      <c r="X455">
        <v>1</v>
      </c>
      <c r="Y455">
        <v>1</v>
      </c>
      <c r="Z455">
        <v>1</v>
      </c>
      <c r="AA455">
        <v>1</v>
      </c>
      <c r="AB455">
        <v>1</v>
      </c>
      <c r="AC455">
        <v>1</v>
      </c>
    </row>
    <row r="456" spans="1:29" x14ac:dyDescent="0.45">
      <c r="A456" t="s">
        <v>53</v>
      </c>
      <c r="B456" t="s">
        <v>440</v>
      </c>
      <c r="C456" t="s">
        <v>441</v>
      </c>
      <c r="D456" t="s">
        <v>425</v>
      </c>
      <c r="E456" t="str">
        <f t="shared" si="7"/>
        <v>ME|offshore wind|Spring</v>
      </c>
      <c r="F456">
        <v>1</v>
      </c>
      <c r="G456">
        <v>1</v>
      </c>
      <c r="H456">
        <v>1</v>
      </c>
      <c r="I456">
        <v>1</v>
      </c>
      <c r="J456">
        <v>1</v>
      </c>
      <c r="K456">
        <v>1</v>
      </c>
      <c r="L456">
        <v>1</v>
      </c>
      <c r="M456">
        <v>1</v>
      </c>
      <c r="N456">
        <v>1</v>
      </c>
      <c r="O456">
        <v>1</v>
      </c>
      <c r="P456">
        <v>1</v>
      </c>
      <c r="Q456">
        <v>1</v>
      </c>
      <c r="R456">
        <v>1</v>
      </c>
      <c r="S456">
        <v>1</v>
      </c>
      <c r="T456">
        <v>1</v>
      </c>
      <c r="U456">
        <v>1</v>
      </c>
      <c r="V456">
        <v>1</v>
      </c>
      <c r="W456">
        <v>1</v>
      </c>
      <c r="X456">
        <v>1</v>
      </c>
      <c r="Y456">
        <v>1</v>
      </c>
      <c r="Z456">
        <v>1</v>
      </c>
      <c r="AA456">
        <v>1</v>
      </c>
      <c r="AB456">
        <v>1</v>
      </c>
      <c r="AC456">
        <v>1</v>
      </c>
    </row>
    <row r="457" spans="1:29" x14ac:dyDescent="0.45">
      <c r="A457" t="s">
        <v>53</v>
      </c>
      <c r="B457" t="s">
        <v>440</v>
      </c>
      <c r="C457" t="s">
        <v>441</v>
      </c>
      <c r="D457" t="s">
        <v>426</v>
      </c>
      <c r="E457" t="str">
        <f t="shared" si="7"/>
        <v>ME|offshore wind|Summer</v>
      </c>
      <c r="F457">
        <v>1</v>
      </c>
      <c r="G457">
        <v>1</v>
      </c>
      <c r="H457">
        <v>1</v>
      </c>
      <c r="I457">
        <v>1</v>
      </c>
      <c r="J457">
        <v>1</v>
      </c>
      <c r="K457">
        <v>1</v>
      </c>
      <c r="L457">
        <v>1</v>
      </c>
      <c r="M457">
        <v>1</v>
      </c>
      <c r="N457">
        <v>1</v>
      </c>
      <c r="O457">
        <v>1</v>
      </c>
      <c r="P457">
        <v>1</v>
      </c>
      <c r="Q457">
        <v>1</v>
      </c>
      <c r="R457">
        <v>1</v>
      </c>
      <c r="S457">
        <v>1</v>
      </c>
      <c r="T457">
        <v>1</v>
      </c>
      <c r="U457">
        <v>1</v>
      </c>
      <c r="V457">
        <v>1</v>
      </c>
      <c r="W457">
        <v>1</v>
      </c>
      <c r="X457">
        <v>1</v>
      </c>
      <c r="Y457">
        <v>1</v>
      </c>
      <c r="Z457">
        <v>1</v>
      </c>
      <c r="AA457">
        <v>1</v>
      </c>
      <c r="AB457">
        <v>1</v>
      </c>
      <c r="AC457">
        <v>1</v>
      </c>
    </row>
    <row r="458" spans="1:29" x14ac:dyDescent="0.45">
      <c r="A458" t="s">
        <v>53</v>
      </c>
      <c r="B458" t="s">
        <v>440</v>
      </c>
      <c r="C458" t="s">
        <v>441</v>
      </c>
      <c r="D458" t="s">
        <v>427</v>
      </c>
      <c r="E458" t="str">
        <f t="shared" si="7"/>
        <v>ME|offshore wind|Fall</v>
      </c>
      <c r="F458">
        <v>1</v>
      </c>
      <c r="G458">
        <v>1</v>
      </c>
      <c r="H458">
        <v>1</v>
      </c>
      <c r="I458">
        <v>1</v>
      </c>
      <c r="J458">
        <v>1</v>
      </c>
      <c r="K458">
        <v>1</v>
      </c>
      <c r="L458">
        <v>1</v>
      </c>
      <c r="M458">
        <v>1</v>
      </c>
      <c r="N458">
        <v>1</v>
      </c>
      <c r="O458">
        <v>1</v>
      </c>
      <c r="P458">
        <v>1</v>
      </c>
      <c r="Q458">
        <v>1</v>
      </c>
      <c r="R458">
        <v>1</v>
      </c>
      <c r="S458">
        <v>1</v>
      </c>
      <c r="T458">
        <v>1</v>
      </c>
      <c r="U458">
        <v>1</v>
      </c>
      <c r="V458">
        <v>1</v>
      </c>
      <c r="W458">
        <v>1</v>
      </c>
      <c r="X458">
        <v>1</v>
      </c>
      <c r="Y458">
        <v>1</v>
      </c>
      <c r="Z458">
        <v>1</v>
      </c>
      <c r="AA458">
        <v>1</v>
      </c>
      <c r="AB458">
        <v>1</v>
      </c>
      <c r="AC458">
        <v>1</v>
      </c>
    </row>
    <row r="459" spans="1:29" x14ac:dyDescent="0.45">
      <c r="A459" t="s">
        <v>53</v>
      </c>
      <c r="B459" t="s">
        <v>440</v>
      </c>
      <c r="C459" t="s">
        <v>441</v>
      </c>
      <c r="D459" t="s">
        <v>428</v>
      </c>
      <c r="E459" t="str">
        <f t="shared" si="7"/>
        <v>ME|offshore wind|Summer Peak</v>
      </c>
      <c r="F459">
        <v>0.29239999999999999</v>
      </c>
      <c r="G459">
        <v>0.27229999999999999</v>
      </c>
      <c r="H459">
        <v>0.2331</v>
      </c>
      <c r="I459">
        <v>0.25650000000000001</v>
      </c>
      <c r="J459">
        <v>0.2233</v>
      </c>
      <c r="K459">
        <v>0.22170000000000001</v>
      </c>
      <c r="L459">
        <v>0.27129999999999999</v>
      </c>
      <c r="M459">
        <v>0.28270000000000001</v>
      </c>
      <c r="N459">
        <v>0.2356</v>
      </c>
      <c r="O459">
        <v>0.2049</v>
      </c>
      <c r="P459">
        <v>0.31630000000000003</v>
      </c>
      <c r="Q459">
        <v>0.2382</v>
      </c>
      <c r="R459">
        <v>0.2666</v>
      </c>
      <c r="S459">
        <v>0.31630000000000003</v>
      </c>
      <c r="T459">
        <v>0.29970000000000002</v>
      </c>
      <c r="U459">
        <v>0.2787</v>
      </c>
      <c r="V459">
        <v>0.3387</v>
      </c>
      <c r="W459">
        <v>0.31059999999999999</v>
      </c>
      <c r="X459">
        <v>0.28289999999999998</v>
      </c>
      <c r="Y459">
        <v>0.32800000000000001</v>
      </c>
      <c r="Z459">
        <v>0.30609999999999998</v>
      </c>
      <c r="AA459">
        <v>0.2581</v>
      </c>
      <c r="AB459">
        <v>0.25480000000000003</v>
      </c>
      <c r="AC459">
        <v>0.22819999999999999</v>
      </c>
    </row>
    <row r="460" spans="1:29" x14ac:dyDescent="0.45">
      <c r="A460" t="s">
        <v>53</v>
      </c>
      <c r="B460" t="s">
        <v>440</v>
      </c>
      <c r="C460" t="s">
        <v>441</v>
      </c>
      <c r="D460" t="s">
        <v>429</v>
      </c>
      <c r="E460" t="str">
        <f t="shared" si="7"/>
        <v>ME|offshore wind|Winter Peak</v>
      </c>
      <c r="F460">
        <v>0.26889999999999997</v>
      </c>
      <c r="G460">
        <v>0.2419</v>
      </c>
      <c r="H460">
        <v>0.2104</v>
      </c>
      <c r="I460">
        <v>0.36809999999999998</v>
      </c>
      <c r="J460">
        <v>0.4168</v>
      </c>
      <c r="K460">
        <v>0.47049999999999997</v>
      </c>
      <c r="L460">
        <v>0.42180000000000001</v>
      </c>
      <c r="M460">
        <v>0.34570000000000001</v>
      </c>
      <c r="N460">
        <v>0.26960000000000001</v>
      </c>
      <c r="O460">
        <v>0.23730000000000001</v>
      </c>
      <c r="P460">
        <v>0.1852</v>
      </c>
      <c r="Q460">
        <v>0.1226</v>
      </c>
      <c r="R460">
        <v>0.1411</v>
      </c>
      <c r="S460">
        <v>0.25619999999999998</v>
      </c>
      <c r="T460">
        <v>0.31019999999999998</v>
      </c>
      <c r="U460">
        <v>0.25140000000000001</v>
      </c>
      <c r="V460">
        <v>0.2616</v>
      </c>
      <c r="W460">
        <v>0.35199999999999998</v>
      </c>
      <c r="X460">
        <v>0.47189999999999999</v>
      </c>
      <c r="Y460">
        <v>0.60529999999999995</v>
      </c>
      <c r="Z460">
        <v>0.54590000000000005</v>
      </c>
      <c r="AA460">
        <v>0.56820000000000004</v>
      </c>
      <c r="AB460">
        <v>0.52880000000000005</v>
      </c>
      <c r="AC460">
        <v>0.55669999999999997</v>
      </c>
    </row>
    <row r="461" spans="1:29" x14ac:dyDescent="0.45">
      <c r="A461" t="s">
        <v>55</v>
      </c>
      <c r="B461" t="s">
        <v>434</v>
      </c>
      <c r="C461" t="s">
        <v>435</v>
      </c>
      <c r="D461" t="s">
        <v>424</v>
      </c>
      <c r="E461" t="str">
        <f t="shared" si="7"/>
        <v>MI|onshore wind|Winter</v>
      </c>
      <c r="F461">
        <v>1</v>
      </c>
      <c r="G461">
        <v>1</v>
      </c>
      <c r="H461">
        <v>1</v>
      </c>
      <c r="I461">
        <v>1</v>
      </c>
      <c r="J461">
        <v>1</v>
      </c>
      <c r="K461">
        <v>1</v>
      </c>
      <c r="L461">
        <v>1</v>
      </c>
      <c r="M461">
        <v>1</v>
      </c>
      <c r="N461">
        <v>1</v>
      </c>
      <c r="O461">
        <v>1</v>
      </c>
      <c r="P461">
        <v>1</v>
      </c>
      <c r="Q461">
        <v>1</v>
      </c>
      <c r="R461">
        <v>1</v>
      </c>
      <c r="S461">
        <v>1</v>
      </c>
      <c r="T461">
        <v>1</v>
      </c>
      <c r="U461">
        <v>1</v>
      </c>
      <c r="V461">
        <v>1</v>
      </c>
      <c r="W461">
        <v>1</v>
      </c>
      <c r="X461">
        <v>1</v>
      </c>
      <c r="Y461">
        <v>1</v>
      </c>
      <c r="Z461">
        <v>1</v>
      </c>
      <c r="AA461">
        <v>1</v>
      </c>
      <c r="AB461">
        <v>1</v>
      </c>
      <c r="AC461">
        <v>1</v>
      </c>
    </row>
    <row r="462" spans="1:29" x14ac:dyDescent="0.45">
      <c r="A462" t="s">
        <v>55</v>
      </c>
      <c r="B462" t="s">
        <v>434</v>
      </c>
      <c r="C462" t="s">
        <v>435</v>
      </c>
      <c r="D462" t="s">
        <v>425</v>
      </c>
      <c r="E462" t="str">
        <f t="shared" si="7"/>
        <v>MI|onshore wind|Spring</v>
      </c>
      <c r="F462">
        <v>1</v>
      </c>
      <c r="G462">
        <v>1</v>
      </c>
      <c r="H462">
        <v>1</v>
      </c>
      <c r="I462">
        <v>1</v>
      </c>
      <c r="J462">
        <v>1</v>
      </c>
      <c r="K462">
        <v>1</v>
      </c>
      <c r="L462">
        <v>1</v>
      </c>
      <c r="M462">
        <v>1</v>
      </c>
      <c r="N462">
        <v>1</v>
      </c>
      <c r="O462">
        <v>1</v>
      </c>
      <c r="P462">
        <v>1</v>
      </c>
      <c r="Q462">
        <v>1</v>
      </c>
      <c r="R462">
        <v>1</v>
      </c>
      <c r="S462">
        <v>1</v>
      </c>
      <c r="T462">
        <v>1</v>
      </c>
      <c r="U462">
        <v>1</v>
      </c>
      <c r="V462">
        <v>1</v>
      </c>
      <c r="W462">
        <v>1</v>
      </c>
      <c r="X462">
        <v>1</v>
      </c>
      <c r="Y462">
        <v>1</v>
      </c>
      <c r="Z462">
        <v>1</v>
      </c>
      <c r="AA462">
        <v>1</v>
      </c>
      <c r="AB462">
        <v>1</v>
      </c>
      <c r="AC462">
        <v>1</v>
      </c>
    </row>
    <row r="463" spans="1:29" x14ac:dyDescent="0.45">
      <c r="A463" t="s">
        <v>55</v>
      </c>
      <c r="B463" t="s">
        <v>434</v>
      </c>
      <c r="C463" t="s">
        <v>435</v>
      </c>
      <c r="D463" t="s">
        <v>426</v>
      </c>
      <c r="E463" t="str">
        <f t="shared" si="7"/>
        <v>MI|onshore wind|Summer</v>
      </c>
      <c r="F463">
        <v>1</v>
      </c>
      <c r="G463">
        <v>1</v>
      </c>
      <c r="H463">
        <v>1</v>
      </c>
      <c r="I463">
        <v>1</v>
      </c>
      <c r="J463">
        <v>1</v>
      </c>
      <c r="K463">
        <v>1</v>
      </c>
      <c r="L463">
        <v>1</v>
      </c>
      <c r="M463">
        <v>1</v>
      </c>
      <c r="N463">
        <v>1</v>
      </c>
      <c r="O463">
        <v>1</v>
      </c>
      <c r="P463">
        <v>1</v>
      </c>
      <c r="Q463">
        <v>1</v>
      </c>
      <c r="R463">
        <v>1</v>
      </c>
      <c r="S463">
        <v>1</v>
      </c>
      <c r="T463">
        <v>1</v>
      </c>
      <c r="U463">
        <v>1</v>
      </c>
      <c r="V463">
        <v>1</v>
      </c>
      <c r="W463">
        <v>1</v>
      </c>
      <c r="X463">
        <v>1</v>
      </c>
      <c r="Y463">
        <v>1</v>
      </c>
      <c r="Z463">
        <v>1</v>
      </c>
      <c r="AA463">
        <v>1</v>
      </c>
      <c r="AB463">
        <v>1</v>
      </c>
      <c r="AC463">
        <v>1</v>
      </c>
    </row>
    <row r="464" spans="1:29" x14ac:dyDescent="0.45">
      <c r="A464" t="s">
        <v>55</v>
      </c>
      <c r="B464" t="s">
        <v>434</v>
      </c>
      <c r="C464" t="s">
        <v>435</v>
      </c>
      <c r="D464" t="s">
        <v>427</v>
      </c>
      <c r="E464" t="str">
        <f t="shared" si="7"/>
        <v>MI|onshore wind|Fall</v>
      </c>
      <c r="F464">
        <v>1</v>
      </c>
      <c r="G464">
        <v>1</v>
      </c>
      <c r="H464">
        <v>1</v>
      </c>
      <c r="I464">
        <v>1</v>
      </c>
      <c r="J464">
        <v>1</v>
      </c>
      <c r="K464">
        <v>1</v>
      </c>
      <c r="L464">
        <v>1</v>
      </c>
      <c r="M464">
        <v>1</v>
      </c>
      <c r="N464">
        <v>1</v>
      </c>
      <c r="O464">
        <v>1</v>
      </c>
      <c r="P464">
        <v>1</v>
      </c>
      <c r="Q464">
        <v>1</v>
      </c>
      <c r="R464">
        <v>1</v>
      </c>
      <c r="S464">
        <v>1</v>
      </c>
      <c r="T464">
        <v>1</v>
      </c>
      <c r="U464">
        <v>1</v>
      </c>
      <c r="V464">
        <v>1</v>
      </c>
      <c r="W464">
        <v>1</v>
      </c>
      <c r="X464">
        <v>1</v>
      </c>
      <c r="Y464">
        <v>1</v>
      </c>
      <c r="Z464">
        <v>1</v>
      </c>
      <c r="AA464">
        <v>1</v>
      </c>
      <c r="AB464">
        <v>1</v>
      </c>
      <c r="AC464">
        <v>1</v>
      </c>
    </row>
    <row r="465" spans="1:29" x14ac:dyDescent="0.45">
      <c r="A465" t="s">
        <v>55</v>
      </c>
      <c r="B465" t="s">
        <v>434</v>
      </c>
      <c r="C465" t="s">
        <v>435</v>
      </c>
      <c r="D465" t="s">
        <v>428</v>
      </c>
      <c r="E465" t="str">
        <f t="shared" si="7"/>
        <v>MI|onshore wind|Summer Peak</v>
      </c>
      <c r="F465">
        <v>0.45329999999999998</v>
      </c>
      <c r="G465">
        <v>0.62490000000000001</v>
      </c>
      <c r="H465">
        <v>0.64439999999999997</v>
      </c>
      <c r="I465">
        <v>0.47039999999999998</v>
      </c>
      <c r="J465">
        <v>0.44779999999999998</v>
      </c>
      <c r="K465">
        <v>0.43030000000000002</v>
      </c>
      <c r="L465">
        <v>0.45019999999999999</v>
      </c>
      <c r="M465">
        <v>0.4607</v>
      </c>
      <c r="N465">
        <v>0.45040000000000002</v>
      </c>
      <c r="O465">
        <v>0.52569999999999995</v>
      </c>
      <c r="P465">
        <v>0.56850000000000001</v>
      </c>
      <c r="Q465">
        <v>0.53549999999999998</v>
      </c>
      <c r="R465">
        <v>0.63739999999999997</v>
      </c>
      <c r="S465">
        <v>0.50990000000000002</v>
      </c>
      <c r="T465">
        <v>0.54090000000000005</v>
      </c>
      <c r="U465">
        <v>0.44280000000000003</v>
      </c>
      <c r="V465">
        <v>0.38950000000000001</v>
      </c>
      <c r="W465">
        <v>0.50529999999999997</v>
      </c>
      <c r="X465">
        <v>0.57179999999999997</v>
      </c>
      <c r="Y465">
        <v>0.63049999999999995</v>
      </c>
      <c r="Z465">
        <v>0.64959999999999996</v>
      </c>
      <c r="AA465">
        <v>0.6905</v>
      </c>
      <c r="AB465">
        <v>0.62409999999999999</v>
      </c>
      <c r="AC465">
        <v>0.60419999999999996</v>
      </c>
    </row>
    <row r="466" spans="1:29" x14ac:dyDescent="0.45">
      <c r="A466" t="s">
        <v>55</v>
      </c>
      <c r="B466" t="s">
        <v>434</v>
      </c>
      <c r="C466" t="s">
        <v>435</v>
      </c>
      <c r="D466" t="s">
        <v>429</v>
      </c>
      <c r="E466" t="str">
        <f t="shared" si="7"/>
        <v>MI|onshore wind|Winter Peak</v>
      </c>
      <c r="F466">
        <v>0.54139999999999999</v>
      </c>
      <c r="G466">
        <v>0.61880000000000002</v>
      </c>
      <c r="H466">
        <v>0.59750000000000003</v>
      </c>
      <c r="I466">
        <v>0.50490000000000002</v>
      </c>
      <c r="J466">
        <v>0.5262</v>
      </c>
      <c r="K466">
        <v>0.62090000000000001</v>
      </c>
      <c r="L466">
        <v>0.51439999999999997</v>
      </c>
      <c r="M466">
        <v>0.47639999999999999</v>
      </c>
      <c r="N466">
        <v>0.58220000000000005</v>
      </c>
      <c r="O466">
        <v>0.37719999999999998</v>
      </c>
      <c r="P466">
        <v>0.1376</v>
      </c>
      <c r="Q466">
        <v>0.122</v>
      </c>
      <c r="R466">
        <v>0.16969999999999999</v>
      </c>
      <c r="S466">
        <v>0.23150000000000001</v>
      </c>
      <c r="T466">
        <v>0.37109999999999999</v>
      </c>
      <c r="U466">
        <v>0.43109999999999998</v>
      </c>
      <c r="V466">
        <v>0.39539999999999997</v>
      </c>
      <c r="W466">
        <v>0.31740000000000002</v>
      </c>
      <c r="X466">
        <v>0.31109999999999999</v>
      </c>
      <c r="Y466">
        <v>0.34889999999999999</v>
      </c>
      <c r="Z466">
        <v>0.3906</v>
      </c>
      <c r="AA466">
        <v>0.49109999999999998</v>
      </c>
      <c r="AB466">
        <v>0.4879</v>
      </c>
      <c r="AC466">
        <v>0.4592</v>
      </c>
    </row>
    <row r="467" spans="1:29" x14ac:dyDescent="0.45">
      <c r="A467" t="s">
        <v>55</v>
      </c>
      <c r="B467" t="s">
        <v>436</v>
      </c>
      <c r="C467" t="s">
        <v>437</v>
      </c>
      <c r="D467" t="s">
        <v>424</v>
      </c>
      <c r="E467" t="str">
        <f t="shared" si="7"/>
        <v>MI|solar pv|Winter</v>
      </c>
      <c r="F467">
        <v>1</v>
      </c>
      <c r="G467">
        <v>1</v>
      </c>
      <c r="H467">
        <v>1</v>
      </c>
      <c r="I467">
        <v>1</v>
      </c>
      <c r="J467">
        <v>1</v>
      </c>
      <c r="K467">
        <v>1</v>
      </c>
      <c r="L467">
        <v>1</v>
      </c>
      <c r="M467">
        <v>1</v>
      </c>
      <c r="N467">
        <v>1</v>
      </c>
      <c r="O467">
        <v>1</v>
      </c>
      <c r="P467">
        <v>1</v>
      </c>
      <c r="Q467">
        <v>1</v>
      </c>
      <c r="R467">
        <v>1</v>
      </c>
      <c r="S467">
        <v>1</v>
      </c>
      <c r="T467">
        <v>1</v>
      </c>
      <c r="U467">
        <v>1</v>
      </c>
      <c r="V467">
        <v>1</v>
      </c>
      <c r="W467">
        <v>1</v>
      </c>
      <c r="X467">
        <v>1</v>
      </c>
      <c r="Y467">
        <v>1</v>
      </c>
      <c r="Z467">
        <v>1</v>
      </c>
      <c r="AA467">
        <v>1</v>
      </c>
      <c r="AB467">
        <v>1</v>
      </c>
      <c r="AC467">
        <v>1</v>
      </c>
    </row>
    <row r="468" spans="1:29" x14ac:dyDescent="0.45">
      <c r="A468" t="s">
        <v>55</v>
      </c>
      <c r="B468" t="s">
        <v>436</v>
      </c>
      <c r="C468" t="s">
        <v>437</v>
      </c>
      <c r="D468" t="s">
        <v>425</v>
      </c>
      <c r="E468" t="str">
        <f t="shared" si="7"/>
        <v>MI|solar pv|Spring</v>
      </c>
      <c r="F468">
        <v>1</v>
      </c>
      <c r="G468">
        <v>1</v>
      </c>
      <c r="H468">
        <v>1</v>
      </c>
      <c r="I468">
        <v>1</v>
      </c>
      <c r="J468">
        <v>1</v>
      </c>
      <c r="K468">
        <v>1</v>
      </c>
      <c r="L468">
        <v>1</v>
      </c>
      <c r="M468">
        <v>1</v>
      </c>
      <c r="N468">
        <v>1</v>
      </c>
      <c r="O468">
        <v>1</v>
      </c>
      <c r="P468">
        <v>1</v>
      </c>
      <c r="Q468">
        <v>1</v>
      </c>
      <c r="R468">
        <v>1</v>
      </c>
      <c r="S468">
        <v>1</v>
      </c>
      <c r="T468">
        <v>1</v>
      </c>
      <c r="U468">
        <v>1</v>
      </c>
      <c r="V468">
        <v>1</v>
      </c>
      <c r="W468">
        <v>1</v>
      </c>
      <c r="X468">
        <v>1</v>
      </c>
      <c r="Y468">
        <v>1</v>
      </c>
      <c r="Z468">
        <v>1</v>
      </c>
      <c r="AA468">
        <v>1</v>
      </c>
      <c r="AB468">
        <v>1</v>
      </c>
      <c r="AC468">
        <v>1</v>
      </c>
    </row>
    <row r="469" spans="1:29" x14ac:dyDescent="0.45">
      <c r="A469" t="s">
        <v>55</v>
      </c>
      <c r="B469" t="s">
        <v>436</v>
      </c>
      <c r="C469" t="s">
        <v>437</v>
      </c>
      <c r="D469" t="s">
        <v>426</v>
      </c>
      <c r="E469" t="str">
        <f t="shared" si="7"/>
        <v>MI|solar pv|Summer</v>
      </c>
      <c r="F469">
        <v>1</v>
      </c>
      <c r="G469">
        <v>1</v>
      </c>
      <c r="H469">
        <v>1</v>
      </c>
      <c r="I469">
        <v>1</v>
      </c>
      <c r="J469">
        <v>1</v>
      </c>
      <c r="K469">
        <v>1</v>
      </c>
      <c r="L469">
        <v>1</v>
      </c>
      <c r="M469">
        <v>1</v>
      </c>
      <c r="N469">
        <v>1</v>
      </c>
      <c r="O469">
        <v>1</v>
      </c>
      <c r="P469">
        <v>1</v>
      </c>
      <c r="Q469">
        <v>1</v>
      </c>
      <c r="R469">
        <v>1</v>
      </c>
      <c r="S469">
        <v>1</v>
      </c>
      <c r="T469">
        <v>1</v>
      </c>
      <c r="U469">
        <v>1</v>
      </c>
      <c r="V469">
        <v>1</v>
      </c>
      <c r="W469">
        <v>1</v>
      </c>
      <c r="X469">
        <v>1</v>
      </c>
      <c r="Y469">
        <v>1</v>
      </c>
      <c r="Z469">
        <v>1</v>
      </c>
      <c r="AA469">
        <v>1</v>
      </c>
      <c r="AB469">
        <v>1</v>
      </c>
      <c r="AC469">
        <v>1</v>
      </c>
    </row>
    <row r="470" spans="1:29" x14ac:dyDescent="0.45">
      <c r="A470" t="s">
        <v>55</v>
      </c>
      <c r="B470" t="s">
        <v>436</v>
      </c>
      <c r="C470" t="s">
        <v>437</v>
      </c>
      <c r="D470" t="s">
        <v>427</v>
      </c>
      <c r="E470" t="str">
        <f t="shared" si="7"/>
        <v>MI|solar pv|Fall</v>
      </c>
      <c r="F470">
        <v>1</v>
      </c>
      <c r="G470">
        <v>1</v>
      </c>
      <c r="H470">
        <v>1</v>
      </c>
      <c r="I470">
        <v>1</v>
      </c>
      <c r="J470">
        <v>1</v>
      </c>
      <c r="K470">
        <v>1</v>
      </c>
      <c r="L470">
        <v>1</v>
      </c>
      <c r="M470">
        <v>1</v>
      </c>
      <c r="N470">
        <v>1</v>
      </c>
      <c r="O470">
        <v>1</v>
      </c>
      <c r="P470">
        <v>1</v>
      </c>
      <c r="Q470">
        <v>1</v>
      </c>
      <c r="R470">
        <v>1</v>
      </c>
      <c r="S470">
        <v>1</v>
      </c>
      <c r="T470">
        <v>1</v>
      </c>
      <c r="U470">
        <v>1</v>
      </c>
      <c r="V470">
        <v>1</v>
      </c>
      <c r="W470">
        <v>1</v>
      </c>
      <c r="X470">
        <v>1</v>
      </c>
      <c r="Y470">
        <v>1</v>
      </c>
      <c r="Z470">
        <v>1</v>
      </c>
      <c r="AA470">
        <v>1</v>
      </c>
      <c r="AB470">
        <v>1</v>
      </c>
      <c r="AC470">
        <v>1</v>
      </c>
    </row>
    <row r="471" spans="1:29" x14ac:dyDescent="0.45">
      <c r="A471" t="s">
        <v>55</v>
      </c>
      <c r="B471" t="s">
        <v>436</v>
      </c>
      <c r="C471" t="s">
        <v>437</v>
      </c>
      <c r="D471" t="s">
        <v>428</v>
      </c>
      <c r="E471" t="str">
        <f t="shared" si="7"/>
        <v>MI|solar pv|Summer Peak</v>
      </c>
      <c r="F471">
        <v>1</v>
      </c>
      <c r="G471">
        <v>1</v>
      </c>
      <c r="H471">
        <v>1</v>
      </c>
      <c r="I471">
        <v>1</v>
      </c>
      <c r="J471">
        <v>1</v>
      </c>
      <c r="K471">
        <v>0.70389999999999997</v>
      </c>
      <c r="L471">
        <v>0.7681</v>
      </c>
      <c r="M471">
        <v>0.83630000000000004</v>
      </c>
      <c r="N471">
        <v>0.94199999999999995</v>
      </c>
      <c r="O471">
        <v>0.92989999999999995</v>
      </c>
      <c r="P471">
        <v>1</v>
      </c>
      <c r="Q471">
        <v>0.93799999999999994</v>
      </c>
      <c r="R471">
        <v>1</v>
      </c>
      <c r="S471">
        <v>1</v>
      </c>
      <c r="T471">
        <v>0.86550000000000005</v>
      </c>
      <c r="U471">
        <v>0.98750000000000004</v>
      </c>
      <c r="V471">
        <v>0.9022</v>
      </c>
      <c r="W471">
        <v>1</v>
      </c>
      <c r="X471">
        <v>0.88829999999999998</v>
      </c>
      <c r="Y471">
        <v>1</v>
      </c>
      <c r="Z471">
        <v>1</v>
      </c>
      <c r="AA471">
        <v>1</v>
      </c>
      <c r="AB471">
        <v>1</v>
      </c>
      <c r="AC471">
        <v>1</v>
      </c>
    </row>
    <row r="472" spans="1:29" x14ac:dyDescent="0.45">
      <c r="A472" t="s">
        <v>55</v>
      </c>
      <c r="B472" t="s">
        <v>436</v>
      </c>
      <c r="C472" t="s">
        <v>437</v>
      </c>
      <c r="D472" t="s">
        <v>429</v>
      </c>
      <c r="E472" t="str">
        <f t="shared" si="7"/>
        <v>MI|solar pv|Winter Peak</v>
      </c>
      <c r="F472">
        <v>1</v>
      </c>
      <c r="G472">
        <v>1</v>
      </c>
      <c r="H472">
        <v>1</v>
      </c>
      <c r="I472">
        <v>1</v>
      </c>
      <c r="J472">
        <v>1</v>
      </c>
      <c r="K472">
        <v>1</v>
      </c>
      <c r="L472">
        <v>1</v>
      </c>
      <c r="M472">
        <v>0.37590000000000001</v>
      </c>
      <c r="N472">
        <v>0.20030000000000001</v>
      </c>
      <c r="O472">
        <v>0.2545</v>
      </c>
      <c r="P472">
        <v>0.37830000000000003</v>
      </c>
      <c r="Q472">
        <v>0.62460000000000004</v>
      </c>
      <c r="R472">
        <v>0.60360000000000003</v>
      </c>
      <c r="S472">
        <v>0.55369999999999997</v>
      </c>
      <c r="T472">
        <v>0.45179999999999998</v>
      </c>
      <c r="U472">
        <v>0.33439999999999998</v>
      </c>
      <c r="V472">
        <v>5.4000000000000003E-3</v>
      </c>
      <c r="W472">
        <v>1</v>
      </c>
      <c r="X472">
        <v>1</v>
      </c>
      <c r="Y472">
        <v>1</v>
      </c>
      <c r="Z472">
        <v>1</v>
      </c>
      <c r="AA472">
        <v>1</v>
      </c>
      <c r="AB472">
        <v>1</v>
      </c>
      <c r="AC472">
        <v>1</v>
      </c>
    </row>
    <row r="473" spans="1:29" x14ac:dyDescent="0.45">
      <c r="A473" t="s">
        <v>55</v>
      </c>
      <c r="B473" t="s">
        <v>438</v>
      </c>
      <c r="C473" t="s">
        <v>439</v>
      </c>
      <c r="D473" t="s">
        <v>424</v>
      </c>
      <c r="E473" t="str">
        <f t="shared" si="7"/>
        <v>MI|solar thermal|Winter</v>
      </c>
      <c r="F473">
        <v>1</v>
      </c>
      <c r="G473">
        <v>1</v>
      </c>
      <c r="H473">
        <v>1</v>
      </c>
      <c r="I473">
        <v>1</v>
      </c>
      <c r="J473">
        <v>1</v>
      </c>
      <c r="K473">
        <v>1</v>
      </c>
      <c r="L473">
        <v>1</v>
      </c>
      <c r="M473">
        <v>1</v>
      </c>
      <c r="N473">
        <v>1</v>
      </c>
      <c r="O473">
        <v>1</v>
      </c>
      <c r="P473">
        <v>1</v>
      </c>
      <c r="Q473">
        <v>1</v>
      </c>
      <c r="R473">
        <v>1</v>
      </c>
      <c r="S473">
        <v>1</v>
      </c>
      <c r="T473">
        <v>1</v>
      </c>
      <c r="U473">
        <v>1</v>
      </c>
      <c r="V473">
        <v>1</v>
      </c>
      <c r="W473">
        <v>1</v>
      </c>
      <c r="X473">
        <v>1</v>
      </c>
      <c r="Y473">
        <v>1</v>
      </c>
      <c r="Z473">
        <v>1</v>
      </c>
      <c r="AA473">
        <v>1</v>
      </c>
      <c r="AB473">
        <v>1</v>
      </c>
      <c r="AC473">
        <v>1</v>
      </c>
    </row>
    <row r="474" spans="1:29" x14ac:dyDescent="0.45">
      <c r="A474" t="s">
        <v>55</v>
      </c>
      <c r="B474" t="s">
        <v>438</v>
      </c>
      <c r="C474" t="s">
        <v>439</v>
      </c>
      <c r="D474" t="s">
        <v>425</v>
      </c>
      <c r="E474" t="str">
        <f t="shared" si="7"/>
        <v>MI|solar thermal|Spring</v>
      </c>
      <c r="F474">
        <v>1</v>
      </c>
      <c r="G474">
        <v>1</v>
      </c>
      <c r="H474">
        <v>1</v>
      </c>
      <c r="I474">
        <v>1</v>
      </c>
      <c r="J474">
        <v>1</v>
      </c>
      <c r="K474">
        <v>1</v>
      </c>
      <c r="L474">
        <v>1</v>
      </c>
      <c r="M474">
        <v>1</v>
      </c>
      <c r="N474">
        <v>1</v>
      </c>
      <c r="O474">
        <v>1</v>
      </c>
      <c r="P474">
        <v>1</v>
      </c>
      <c r="Q474">
        <v>1</v>
      </c>
      <c r="R474">
        <v>1</v>
      </c>
      <c r="S474">
        <v>1</v>
      </c>
      <c r="T474">
        <v>1</v>
      </c>
      <c r="U474">
        <v>1</v>
      </c>
      <c r="V474">
        <v>1</v>
      </c>
      <c r="W474">
        <v>1</v>
      </c>
      <c r="X474">
        <v>1</v>
      </c>
      <c r="Y474">
        <v>1</v>
      </c>
      <c r="Z474">
        <v>1</v>
      </c>
      <c r="AA474">
        <v>1</v>
      </c>
      <c r="AB474">
        <v>1</v>
      </c>
      <c r="AC474">
        <v>1</v>
      </c>
    </row>
    <row r="475" spans="1:29" x14ac:dyDescent="0.45">
      <c r="A475" t="s">
        <v>55</v>
      </c>
      <c r="B475" t="s">
        <v>438</v>
      </c>
      <c r="C475" t="s">
        <v>439</v>
      </c>
      <c r="D475" t="s">
        <v>426</v>
      </c>
      <c r="E475" t="str">
        <f t="shared" si="7"/>
        <v>MI|solar thermal|Summer</v>
      </c>
      <c r="F475">
        <v>1</v>
      </c>
      <c r="G475">
        <v>1</v>
      </c>
      <c r="H475">
        <v>1</v>
      </c>
      <c r="I475">
        <v>1</v>
      </c>
      <c r="J475">
        <v>1</v>
      </c>
      <c r="K475">
        <v>1</v>
      </c>
      <c r="L475">
        <v>1</v>
      </c>
      <c r="M475">
        <v>1</v>
      </c>
      <c r="N475">
        <v>1</v>
      </c>
      <c r="O475">
        <v>1</v>
      </c>
      <c r="P475">
        <v>1</v>
      </c>
      <c r="Q475">
        <v>1</v>
      </c>
      <c r="R475">
        <v>1</v>
      </c>
      <c r="S475">
        <v>1</v>
      </c>
      <c r="T475">
        <v>1</v>
      </c>
      <c r="U475">
        <v>1</v>
      </c>
      <c r="V475">
        <v>1</v>
      </c>
      <c r="W475">
        <v>1</v>
      </c>
      <c r="X475">
        <v>1</v>
      </c>
      <c r="Y475">
        <v>1</v>
      </c>
      <c r="Z475">
        <v>1</v>
      </c>
      <c r="AA475">
        <v>1</v>
      </c>
      <c r="AB475">
        <v>1</v>
      </c>
      <c r="AC475">
        <v>1</v>
      </c>
    </row>
    <row r="476" spans="1:29" x14ac:dyDescent="0.45">
      <c r="A476" t="s">
        <v>55</v>
      </c>
      <c r="B476" t="s">
        <v>438</v>
      </c>
      <c r="C476" t="s">
        <v>439</v>
      </c>
      <c r="D476" t="s">
        <v>427</v>
      </c>
      <c r="E476" t="str">
        <f t="shared" si="7"/>
        <v>MI|solar thermal|Fall</v>
      </c>
      <c r="F476">
        <v>1</v>
      </c>
      <c r="G476">
        <v>1</v>
      </c>
      <c r="H476">
        <v>1</v>
      </c>
      <c r="I476">
        <v>1</v>
      </c>
      <c r="J476">
        <v>1</v>
      </c>
      <c r="K476">
        <v>1</v>
      </c>
      <c r="L476">
        <v>1</v>
      </c>
      <c r="M476">
        <v>1</v>
      </c>
      <c r="N476">
        <v>1</v>
      </c>
      <c r="O476">
        <v>1</v>
      </c>
      <c r="P476">
        <v>1</v>
      </c>
      <c r="Q476">
        <v>1</v>
      </c>
      <c r="R476">
        <v>1</v>
      </c>
      <c r="S476">
        <v>1</v>
      </c>
      <c r="T476">
        <v>1</v>
      </c>
      <c r="U476">
        <v>1</v>
      </c>
      <c r="V476">
        <v>1</v>
      </c>
      <c r="W476">
        <v>1</v>
      </c>
      <c r="X476">
        <v>1</v>
      </c>
      <c r="Y476">
        <v>1</v>
      </c>
      <c r="Z476">
        <v>1</v>
      </c>
      <c r="AA476">
        <v>1</v>
      </c>
      <c r="AB476">
        <v>1</v>
      </c>
      <c r="AC476">
        <v>1</v>
      </c>
    </row>
    <row r="477" spans="1:29" x14ac:dyDescent="0.45">
      <c r="A477" t="s">
        <v>55</v>
      </c>
      <c r="B477" t="s">
        <v>438</v>
      </c>
      <c r="C477" t="s">
        <v>439</v>
      </c>
      <c r="D477" t="s">
        <v>428</v>
      </c>
      <c r="E477" t="str">
        <f t="shared" si="7"/>
        <v>MI|solar thermal|Summer Peak</v>
      </c>
      <c r="F477">
        <v>1</v>
      </c>
      <c r="G477">
        <v>1</v>
      </c>
      <c r="H477">
        <v>1</v>
      </c>
      <c r="I477">
        <v>1</v>
      </c>
      <c r="J477">
        <v>1</v>
      </c>
      <c r="K477">
        <v>1</v>
      </c>
      <c r="L477">
        <v>1</v>
      </c>
      <c r="M477">
        <v>0</v>
      </c>
      <c r="N477">
        <v>0.8639</v>
      </c>
      <c r="O477">
        <v>1</v>
      </c>
      <c r="P477">
        <v>1</v>
      </c>
      <c r="Q477">
        <v>0.97160000000000002</v>
      </c>
      <c r="R477">
        <v>0.96719999999999995</v>
      </c>
      <c r="S477">
        <v>1</v>
      </c>
      <c r="T477">
        <v>1</v>
      </c>
      <c r="U477">
        <v>1</v>
      </c>
      <c r="V477">
        <v>1</v>
      </c>
      <c r="W477">
        <v>1</v>
      </c>
      <c r="X477">
        <v>1</v>
      </c>
      <c r="Y477">
        <v>0.93130000000000002</v>
      </c>
      <c r="Z477">
        <v>0.70220000000000005</v>
      </c>
      <c r="AA477">
        <v>1</v>
      </c>
      <c r="AB477">
        <v>1</v>
      </c>
      <c r="AC477">
        <v>1</v>
      </c>
    </row>
    <row r="478" spans="1:29" x14ac:dyDescent="0.45">
      <c r="A478" t="s">
        <v>55</v>
      </c>
      <c r="B478" t="s">
        <v>438</v>
      </c>
      <c r="C478" t="s">
        <v>439</v>
      </c>
      <c r="D478" t="s">
        <v>429</v>
      </c>
      <c r="E478" t="str">
        <f t="shared" si="7"/>
        <v>MI|solar thermal|Winter Peak</v>
      </c>
      <c r="F478">
        <v>1</v>
      </c>
      <c r="G478">
        <v>1</v>
      </c>
      <c r="H478">
        <v>1</v>
      </c>
      <c r="I478">
        <v>1</v>
      </c>
      <c r="J478">
        <v>1</v>
      </c>
      <c r="K478">
        <v>1</v>
      </c>
      <c r="L478">
        <v>1</v>
      </c>
      <c r="M478">
        <v>1</v>
      </c>
      <c r="N478">
        <v>1</v>
      </c>
      <c r="O478">
        <v>0.2419</v>
      </c>
      <c r="P478">
        <v>0.95320000000000005</v>
      </c>
      <c r="Q478">
        <v>0.88039999999999996</v>
      </c>
      <c r="R478">
        <v>0.97819999999999996</v>
      </c>
      <c r="S478">
        <v>0.98950000000000005</v>
      </c>
      <c r="T478">
        <v>0.99270000000000003</v>
      </c>
      <c r="U478">
        <v>1</v>
      </c>
      <c r="V478">
        <v>1</v>
      </c>
      <c r="W478">
        <v>1</v>
      </c>
      <c r="X478">
        <v>0.89019999999999999</v>
      </c>
      <c r="Y478">
        <v>0</v>
      </c>
      <c r="Z478">
        <v>1</v>
      </c>
      <c r="AA478">
        <v>1</v>
      </c>
      <c r="AB478">
        <v>1</v>
      </c>
      <c r="AC478">
        <v>1</v>
      </c>
    </row>
    <row r="479" spans="1:29" x14ac:dyDescent="0.45">
      <c r="A479" t="s">
        <v>55</v>
      </c>
      <c r="B479" t="s">
        <v>440</v>
      </c>
      <c r="C479" t="s">
        <v>441</v>
      </c>
      <c r="D479" t="s">
        <v>424</v>
      </c>
      <c r="E479" t="str">
        <f t="shared" si="7"/>
        <v>MI|offshore wind|Winter</v>
      </c>
      <c r="F479">
        <v>1</v>
      </c>
      <c r="G479">
        <v>1</v>
      </c>
      <c r="H479">
        <v>1</v>
      </c>
      <c r="I479">
        <v>1</v>
      </c>
      <c r="J479">
        <v>1</v>
      </c>
      <c r="K479">
        <v>1</v>
      </c>
      <c r="L479">
        <v>1</v>
      </c>
      <c r="M479">
        <v>1</v>
      </c>
      <c r="N479">
        <v>1</v>
      </c>
      <c r="O479">
        <v>1</v>
      </c>
      <c r="P479">
        <v>1</v>
      </c>
      <c r="Q479">
        <v>1</v>
      </c>
      <c r="R479">
        <v>1</v>
      </c>
      <c r="S479">
        <v>1</v>
      </c>
      <c r="T479">
        <v>1</v>
      </c>
      <c r="U479">
        <v>1</v>
      </c>
      <c r="V479">
        <v>1</v>
      </c>
      <c r="W479">
        <v>1</v>
      </c>
      <c r="X479">
        <v>1</v>
      </c>
      <c r="Y479">
        <v>1</v>
      </c>
      <c r="Z479">
        <v>1</v>
      </c>
      <c r="AA479">
        <v>1</v>
      </c>
      <c r="AB479">
        <v>1</v>
      </c>
      <c r="AC479">
        <v>1</v>
      </c>
    </row>
    <row r="480" spans="1:29" x14ac:dyDescent="0.45">
      <c r="A480" t="s">
        <v>55</v>
      </c>
      <c r="B480" t="s">
        <v>440</v>
      </c>
      <c r="C480" t="s">
        <v>441</v>
      </c>
      <c r="D480" t="s">
        <v>425</v>
      </c>
      <c r="E480" t="str">
        <f t="shared" si="7"/>
        <v>MI|offshore wind|Spring</v>
      </c>
      <c r="F480">
        <v>1</v>
      </c>
      <c r="G480">
        <v>1</v>
      </c>
      <c r="H480">
        <v>1</v>
      </c>
      <c r="I480">
        <v>1</v>
      </c>
      <c r="J480">
        <v>1</v>
      </c>
      <c r="K480">
        <v>1</v>
      </c>
      <c r="L480">
        <v>1</v>
      </c>
      <c r="M480">
        <v>1</v>
      </c>
      <c r="N480">
        <v>1</v>
      </c>
      <c r="O480">
        <v>1</v>
      </c>
      <c r="P480">
        <v>1</v>
      </c>
      <c r="Q480">
        <v>1</v>
      </c>
      <c r="R480">
        <v>1</v>
      </c>
      <c r="S480">
        <v>1</v>
      </c>
      <c r="T480">
        <v>1</v>
      </c>
      <c r="U480">
        <v>1</v>
      </c>
      <c r="V480">
        <v>1</v>
      </c>
      <c r="W480">
        <v>1</v>
      </c>
      <c r="X480">
        <v>1</v>
      </c>
      <c r="Y480">
        <v>1</v>
      </c>
      <c r="Z480">
        <v>1</v>
      </c>
      <c r="AA480">
        <v>1</v>
      </c>
      <c r="AB480">
        <v>1</v>
      </c>
      <c r="AC480">
        <v>1</v>
      </c>
    </row>
    <row r="481" spans="1:29" x14ac:dyDescent="0.45">
      <c r="A481" t="s">
        <v>55</v>
      </c>
      <c r="B481" t="s">
        <v>440</v>
      </c>
      <c r="C481" t="s">
        <v>441</v>
      </c>
      <c r="D481" t="s">
        <v>426</v>
      </c>
      <c r="E481" t="str">
        <f t="shared" si="7"/>
        <v>MI|offshore wind|Summer</v>
      </c>
      <c r="F481">
        <v>1</v>
      </c>
      <c r="G481">
        <v>1</v>
      </c>
      <c r="H481">
        <v>1</v>
      </c>
      <c r="I481">
        <v>1</v>
      </c>
      <c r="J481">
        <v>1</v>
      </c>
      <c r="K481">
        <v>1</v>
      </c>
      <c r="L481">
        <v>1</v>
      </c>
      <c r="M481">
        <v>1</v>
      </c>
      <c r="N481">
        <v>1</v>
      </c>
      <c r="O481">
        <v>1</v>
      </c>
      <c r="P481">
        <v>1</v>
      </c>
      <c r="Q481">
        <v>1</v>
      </c>
      <c r="R481">
        <v>1</v>
      </c>
      <c r="S481">
        <v>1</v>
      </c>
      <c r="T481">
        <v>1</v>
      </c>
      <c r="U481">
        <v>1</v>
      </c>
      <c r="V481">
        <v>1</v>
      </c>
      <c r="W481">
        <v>1</v>
      </c>
      <c r="X481">
        <v>1</v>
      </c>
      <c r="Y481">
        <v>1</v>
      </c>
      <c r="Z481">
        <v>1</v>
      </c>
      <c r="AA481">
        <v>1</v>
      </c>
      <c r="AB481">
        <v>1</v>
      </c>
      <c r="AC481">
        <v>1</v>
      </c>
    </row>
    <row r="482" spans="1:29" x14ac:dyDescent="0.45">
      <c r="A482" t="s">
        <v>55</v>
      </c>
      <c r="B482" t="s">
        <v>440</v>
      </c>
      <c r="C482" t="s">
        <v>441</v>
      </c>
      <c r="D482" t="s">
        <v>427</v>
      </c>
      <c r="E482" t="str">
        <f t="shared" si="7"/>
        <v>MI|offshore wind|Fall</v>
      </c>
      <c r="F482">
        <v>1</v>
      </c>
      <c r="G482">
        <v>1</v>
      </c>
      <c r="H482">
        <v>1</v>
      </c>
      <c r="I482">
        <v>1</v>
      </c>
      <c r="J482">
        <v>1</v>
      </c>
      <c r="K482">
        <v>1</v>
      </c>
      <c r="L482">
        <v>1</v>
      </c>
      <c r="M482">
        <v>1</v>
      </c>
      <c r="N482">
        <v>1</v>
      </c>
      <c r="O482">
        <v>1</v>
      </c>
      <c r="P482">
        <v>1</v>
      </c>
      <c r="Q482">
        <v>1</v>
      </c>
      <c r="R482">
        <v>1</v>
      </c>
      <c r="S482">
        <v>1</v>
      </c>
      <c r="T482">
        <v>1</v>
      </c>
      <c r="U482">
        <v>1</v>
      </c>
      <c r="V482">
        <v>1</v>
      </c>
      <c r="W482">
        <v>1</v>
      </c>
      <c r="X482">
        <v>1</v>
      </c>
      <c r="Y482">
        <v>1</v>
      </c>
      <c r="Z482">
        <v>1</v>
      </c>
      <c r="AA482">
        <v>1</v>
      </c>
      <c r="AB482">
        <v>1</v>
      </c>
      <c r="AC482">
        <v>1</v>
      </c>
    </row>
    <row r="483" spans="1:29" x14ac:dyDescent="0.45">
      <c r="A483" t="s">
        <v>55</v>
      </c>
      <c r="B483" t="s">
        <v>440</v>
      </c>
      <c r="C483" t="s">
        <v>441</v>
      </c>
      <c r="D483" t="s">
        <v>428</v>
      </c>
      <c r="E483" t="str">
        <f t="shared" si="7"/>
        <v>MI|offshore wind|Summer Peak</v>
      </c>
      <c r="F483">
        <v>0.40810000000000002</v>
      </c>
      <c r="G483">
        <v>0.4239</v>
      </c>
      <c r="H483">
        <v>0.45760000000000001</v>
      </c>
      <c r="I483">
        <v>0.50319999999999998</v>
      </c>
      <c r="J483">
        <v>0.53649999999999998</v>
      </c>
      <c r="K483">
        <v>0.59399999999999997</v>
      </c>
      <c r="L483">
        <v>0.61929999999999996</v>
      </c>
      <c r="M483">
        <v>0.68859999999999999</v>
      </c>
      <c r="N483">
        <v>0.73480000000000001</v>
      </c>
      <c r="O483">
        <v>0.84350000000000003</v>
      </c>
      <c r="P483">
        <v>0.78200000000000003</v>
      </c>
      <c r="Q483">
        <v>0.74650000000000005</v>
      </c>
      <c r="R483">
        <v>0.63690000000000002</v>
      </c>
      <c r="S483">
        <v>0.60860000000000003</v>
      </c>
      <c r="T483">
        <v>0.64339999999999997</v>
      </c>
      <c r="U483">
        <v>0.69269999999999998</v>
      </c>
      <c r="V483">
        <v>0.71450000000000002</v>
      </c>
      <c r="W483">
        <v>0.75070000000000003</v>
      </c>
      <c r="X483">
        <v>0.72489999999999999</v>
      </c>
      <c r="Y483">
        <v>0.66049999999999998</v>
      </c>
      <c r="Z483">
        <v>0.69140000000000001</v>
      </c>
      <c r="AA483">
        <v>0.63080000000000003</v>
      </c>
      <c r="AB483">
        <v>0.63429999999999997</v>
      </c>
      <c r="AC483">
        <v>0.64390000000000003</v>
      </c>
    </row>
    <row r="484" spans="1:29" x14ac:dyDescent="0.45">
      <c r="A484" t="s">
        <v>55</v>
      </c>
      <c r="B484" t="s">
        <v>440</v>
      </c>
      <c r="C484" t="s">
        <v>441</v>
      </c>
      <c r="D484" t="s">
        <v>429</v>
      </c>
      <c r="E484" t="str">
        <f t="shared" si="7"/>
        <v>MI|offshore wind|Winter Peak</v>
      </c>
      <c r="F484">
        <v>0.95309999999999995</v>
      </c>
      <c r="G484">
        <v>0.95030000000000003</v>
      </c>
      <c r="H484">
        <v>0.95540000000000003</v>
      </c>
      <c r="I484">
        <v>0.96679999999999999</v>
      </c>
      <c r="J484">
        <v>1</v>
      </c>
      <c r="K484">
        <v>1</v>
      </c>
      <c r="L484">
        <v>1</v>
      </c>
      <c r="M484">
        <v>0.99209999999999998</v>
      </c>
      <c r="N484">
        <v>0.90149999999999997</v>
      </c>
      <c r="O484">
        <v>0.79779999999999995</v>
      </c>
      <c r="P484">
        <v>0.71879999999999999</v>
      </c>
      <c r="Q484">
        <v>0.67300000000000004</v>
      </c>
      <c r="R484">
        <v>0.60860000000000003</v>
      </c>
      <c r="S484">
        <v>0.58009999999999995</v>
      </c>
      <c r="T484">
        <v>0.58799999999999997</v>
      </c>
      <c r="U484">
        <v>0.61019999999999996</v>
      </c>
      <c r="V484">
        <v>0.61839999999999995</v>
      </c>
      <c r="W484">
        <v>0.60909999999999997</v>
      </c>
      <c r="X484">
        <v>0.62880000000000003</v>
      </c>
      <c r="Y484">
        <v>0.72889999999999999</v>
      </c>
      <c r="Z484">
        <v>0.84719999999999995</v>
      </c>
      <c r="AA484">
        <v>0.92220000000000002</v>
      </c>
      <c r="AB484">
        <v>0.86950000000000005</v>
      </c>
      <c r="AC484">
        <v>0.8054</v>
      </c>
    </row>
    <row r="485" spans="1:29" x14ac:dyDescent="0.45">
      <c r="A485" t="s">
        <v>58</v>
      </c>
      <c r="B485" t="s">
        <v>434</v>
      </c>
      <c r="C485" t="s">
        <v>435</v>
      </c>
      <c r="D485" t="s">
        <v>424</v>
      </c>
      <c r="E485" t="str">
        <f t="shared" si="7"/>
        <v>MN|onshore wind|Winter</v>
      </c>
      <c r="F485">
        <v>1</v>
      </c>
      <c r="G485">
        <v>1</v>
      </c>
      <c r="H485">
        <v>1</v>
      </c>
      <c r="I485">
        <v>1</v>
      </c>
      <c r="J485">
        <v>1</v>
      </c>
      <c r="K485">
        <v>1</v>
      </c>
      <c r="L485">
        <v>1</v>
      </c>
      <c r="M485">
        <v>1</v>
      </c>
      <c r="N485">
        <v>1</v>
      </c>
      <c r="O485">
        <v>1</v>
      </c>
      <c r="P485">
        <v>1</v>
      </c>
      <c r="Q485">
        <v>1</v>
      </c>
      <c r="R485">
        <v>1</v>
      </c>
      <c r="S485">
        <v>1</v>
      </c>
      <c r="T485">
        <v>1</v>
      </c>
      <c r="U485">
        <v>1</v>
      </c>
      <c r="V485">
        <v>1</v>
      </c>
      <c r="W485">
        <v>1</v>
      </c>
      <c r="X485">
        <v>1</v>
      </c>
      <c r="Y485">
        <v>1</v>
      </c>
      <c r="Z485">
        <v>1</v>
      </c>
      <c r="AA485">
        <v>1</v>
      </c>
      <c r="AB485">
        <v>1</v>
      </c>
      <c r="AC485">
        <v>1</v>
      </c>
    </row>
    <row r="486" spans="1:29" x14ac:dyDescent="0.45">
      <c r="A486" t="s">
        <v>58</v>
      </c>
      <c r="B486" t="s">
        <v>434</v>
      </c>
      <c r="C486" t="s">
        <v>435</v>
      </c>
      <c r="D486" t="s">
        <v>425</v>
      </c>
      <c r="E486" t="str">
        <f t="shared" si="7"/>
        <v>MN|onshore wind|Spring</v>
      </c>
      <c r="F486">
        <v>1</v>
      </c>
      <c r="G486">
        <v>1</v>
      </c>
      <c r="H486">
        <v>1</v>
      </c>
      <c r="I486">
        <v>1</v>
      </c>
      <c r="J486">
        <v>1</v>
      </c>
      <c r="K486">
        <v>1</v>
      </c>
      <c r="L486">
        <v>1</v>
      </c>
      <c r="M486">
        <v>1</v>
      </c>
      <c r="N486">
        <v>1</v>
      </c>
      <c r="O486">
        <v>1</v>
      </c>
      <c r="P486">
        <v>1</v>
      </c>
      <c r="Q486">
        <v>1</v>
      </c>
      <c r="R486">
        <v>1</v>
      </c>
      <c r="S486">
        <v>1</v>
      </c>
      <c r="T486">
        <v>1</v>
      </c>
      <c r="U486">
        <v>1</v>
      </c>
      <c r="V486">
        <v>1</v>
      </c>
      <c r="W486">
        <v>1</v>
      </c>
      <c r="X486">
        <v>1</v>
      </c>
      <c r="Y486">
        <v>1</v>
      </c>
      <c r="Z486">
        <v>1</v>
      </c>
      <c r="AA486">
        <v>1</v>
      </c>
      <c r="AB486">
        <v>1</v>
      </c>
      <c r="AC486">
        <v>1</v>
      </c>
    </row>
    <row r="487" spans="1:29" x14ac:dyDescent="0.45">
      <c r="A487" t="s">
        <v>58</v>
      </c>
      <c r="B487" t="s">
        <v>434</v>
      </c>
      <c r="C487" t="s">
        <v>435</v>
      </c>
      <c r="D487" t="s">
        <v>426</v>
      </c>
      <c r="E487" t="str">
        <f t="shared" si="7"/>
        <v>MN|onshore wind|Summer</v>
      </c>
      <c r="F487">
        <v>1</v>
      </c>
      <c r="G487">
        <v>1</v>
      </c>
      <c r="H487">
        <v>1</v>
      </c>
      <c r="I487">
        <v>1</v>
      </c>
      <c r="J487">
        <v>1</v>
      </c>
      <c r="K487">
        <v>1</v>
      </c>
      <c r="L487">
        <v>1</v>
      </c>
      <c r="M487">
        <v>1</v>
      </c>
      <c r="N487">
        <v>1</v>
      </c>
      <c r="O487">
        <v>1</v>
      </c>
      <c r="P487">
        <v>1</v>
      </c>
      <c r="Q487">
        <v>1</v>
      </c>
      <c r="R487">
        <v>1</v>
      </c>
      <c r="S487">
        <v>1</v>
      </c>
      <c r="T487">
        <v>1</v>
      </c>
      <c r="U487">
        <v>1</v>
      </c>
      <c r="V487">
        <v>1</v>
      </c>
      <c r="W487">
        <v>1</v>
      </c>
      <c r="X487">
        <v>1</v>
      </c>
      <c r="Y487">
        <v>1</v>
      </c>
      <c r="Z487">
        <v>1</v>
      </c>
      <c r="AA487">
        <v>1</v>
      </c>
      <c r="AB487">
        <v>1</v>
      </c>
      <c r="AC487">
        <v>1</v>
      </c>
    </row>
    <row r="488" spans="1:29" x14ac:dyDescent="0.45">
      <c r="A488" t="s">
        <v>58</v>
      </c>
      <c r="B488" t="s">
        <v>434</v>
      </c>
      <c r="C488" t="s">
        <v>435</v>
      </c>
      <c r="D488" t="s">
        <v>427</v>
      </c>
      <c r="E488" t="str">
        <f t="shared" si="7"/>
        <v>MN|onshore wind|Fall</v>
      </c>
      <c r="F488">
        <v>1</v>
      </c>
      <c r="G488">
        <v>1</v>
      </c>
      <c r="H488">
        <v>1</v>
      </c>
      <c r="I488">
        <v>1</v>
      </c>
      <c r="J488">
        <v>1</v>
      </c>
      <c r="K488">
        <v>1</v>
      </c>
      <c r="L488">
        <v>1</v>
      </c>
      <c r="M488">
        <v>1</v>
      </c>
      <c r="N488">
        <v>1</v>
      </c>
      <c r="O488">
        <v>1</v>
      </c>
      <c r="P488">
        <v>1</v>
      </c>
      <c r="Q488">
        <v>1</v>
      </c>
      <c r="R488">
        <v>1</v>
      </c>
      <c r="S488">
        <v>1</v>
      </c>
      <c r="T488">
        <v>1</v>
      </c>
      <c r="U488">
        <v>1</v>
      </c>
      <c r="V488">
        <v>1</v>
      </c>
      <c r="W488">
        <v>1</v>
      </c>
      <c r="X488">
        <v>1</v>
      </c>
      <c r="Y488">
        <v>1</v>
      </c>
      <c r="Z488">
        <v>1</v>
      </c>
      <c r="AA488">
        <v>1</v>
      </c>
      <c r="AB488">
        <v>1</v>
      </c>
      <c r="AC488">
        <v>1</v>
      </c>
    </row>
    <row r="489" spans="1:29" x14ac:dyDescent="0.45">
      <c r="A489" t="s">
        <v>58</v>
      </c>
      <c r="B489" t="s">
        <v>434</v>
      </c>
      <c r="C489" t="s">
        <v>435</v>
      </c>
      <c r="D489" t="s">
        <v>428</v>
      </c>
      <c r="E489" t="str">
        <f t="shared" si="7"/>
        <v>MN|onshore wind|Summer Peak</v>
      </c>
      <c r="F489">
        <v>0.60780000000000001</v>
      </c>
      <c r="G489">
        <v>0.57210000000000005</v>
      </c>
      <c r="H489">
        <v>0.44779999999999998</v>
      </c>
      <c r="I489">
        <v>0.53600000000000003</v>
      </c>
      <c r="J489">
        <v>0.49080000000000001</v>
      </c>
      <c r="K489">
        <v>0.43930000000000002</v>
      </c>
      <c r="L489">
        <v>0.38019999999999998</v>
      </c>
      <c r="M489">
        <v>0.16669999999999999</v>
      </c>
      <c r="N489">
        <v>0.30009999999999998</v>
      </c>
      <c r="O489">
        <v>0.36840000000000001</v>
      </c>
      <c r="P489">
        <v>0.43009999999999998</v>
      </c>
      <c r="Q489">
        <v>0.2402</v>
      </c>
      <c r="R489">
        <v>0.21490000000000001</v>
      </c>
      <c r="S489">
        <v>0.28620000000000001</v>
      </c>
      <c r="T489">
        <v>0.24840000000000001</v>
      </c>
      <c r="U489">
        <v>0.25440000000000002</v>
      </c>
      <c r="V489">
        <v>0.28860000000000002</v>
      </c>
      <c r="W489">
        <v>0.38629999999999998</v>
      </c>
      <c r="X489">
        <v>0.54600000000000004</v>
      </c>
      <c r="Y489">
        <v>0.44500000000000001</v>
      </c>
      <c r="Z489">
        <v>0.40289999999999998</v>
      </c>
      <c r="AA489">
        <v>0.40529999999999999</v>
      </c>
      <c r="AB489">
        <v>0.30690000000000001</v>
      </c>
      <c r="AC489">
        <v>0.2036</v>
      </c>
    </row>
    <row r="490" spans="1:29" x14ac:dyDescent="0.45">
      <c r="A490" t="s">
        <v>58</v>
      </c>
      <c r="B490" t="s">
        <v>434</v>
      </c>
      <c r="C490" t="s">
        <v>435</v>
      </c>
      <c r="D490" t="s">
        <v>429</v>
      </c>
      <c r="E490" t="str">
        <f t="shared" si="7"/>
        <v>MN|onshore wind|Winter Peak</v>
      </c>
      <c r="F490">
        <v>0.4173</v>
      </c>
      <c r="G490">
        <v>0.43740000000000001</v>
      </c>
      <c r="H490">
        <v>0.52949999999999997</v>
      </c>
      <c r="I490">
        <v>0.52780000000000005</v>
      </c>
      <c r="J490">
        <v>0.6401</v>
      </c>
      <c r="K490">
        <v>0.64410000000000001</v>
      </c>
      <c r="L490">
        <v>0.69479999999999997</v>
      </c>
      <c r="M490">
        <v>0.80400000000000005</v>
      </c>
      <c r="N490">
        <v>0.64690000000000003</v>
      </c>
      <c r="O490">
        <v>0.34689999999999999</v>
      </c>
      <c r="P490">
        <v>0.253</v>
      </c>
      <c r="Q490">
        <v>0.2089</v>
      </c>
      <c r="R490">
        <v>0.23599999999999999</v>
      </c>
      <c r="S490">
        <v>0.31230000000000002</v>
      </c>
      <c r="T490">
        <v>0.35830000000000001</v>
      </c>
      <c r="U490">
        <v>0.60170000000000001</v>
      </c>
      <c r="V490">
        <v>0.68910000000000005</v>
      </c>
      <c r="W490">
        <v>0.81859999999999999</v>
      </c>
      <c r="X490">
        <v>0.79479999999999995</v>
      </c>
      <c r="Y490">
        <v>0.74470000000000003</v>
      </c>
      <c r="Z490">
        <v>0.70350000000000001</v>
      </c>
      <c r="AA490">
        <v>0.59499999999999997</v>
      </c>
      <c r="AB490">
        <v>0.51749999999999996</v>
      </c>
      <c r="AC490">
        <v>0.43780000000000002</v>
      </c>
    </row>
    <row r="491" spans="1:29" x14ac:dyDescent="0.45">
      <c r="A491" t="s">
        <v>58</v>
      </c>
      <c r="B491" t="s">
        <v>436</v>
      </c>
      <c r="C491" t="s">
        <v>437</v>
      </c>
      <c r="D491" t="s">
        <v>424</v>
      </c>
      <c r="E491" t="str">
        <f t="shared" si="7"/>
        <v>MN|solar pv|Winter</v>
      </c>
      <c r="F491">
        <v>1</v>
      </c>
      <c r="G491">
        <v>1</v>
      </c>
      <c r="H491">
        <v>1</v>
      </c>
      <c r="I491">
        <v>1</v>
      </c>
      <c r="J491">
        <v>1</v>
      </c>
      <c r="K491">
        <v>1</v>
      </c>
      <c r="L491">
        <v>1</v>
      </c>
      <c r="M491">
        <v>1</v>
      </c>
      <c r="N491">
        <v>1</v>
      </c>
      <c r="O491">
        <v>1</v>
      </c>
      <c r="P491">
        <v>1</v>
      </c>
      <c r="Q491">
        <v>1</v>
      </c>
      <c r="R491">
        <v>1</v>
      </c>
      <c r="S491">
        <v>1</v>
      </c>
      <c r="T491">
        <v>1</v>
      </c>
      <c r="U491">
        <v>1</v>
      </c>
      <c r="V491">
        <v>1</v>
      </c>
      <c r="W491">
        <v>1</v>
      </c>
      <c r="X491">
        <v>1</v>
      </c>
      <c r="Y491">
        <v>1</v>
      </c>
      <c r="Z491">
        <v>1</v>
      </c>
      <c r="AA491">
        <v>1</v>
      </c>
      <c r="AB491">
        <v>1</v>
      </c>
      <c r="AC491">
        <v>1</v>
      </c>
    </row>
    <row r="492" spans="1:29" x14ac:dyDescent="0.45">
      <c r="A492" t="s">
        <v>58</v>
      </c>
      <c r="B492" t="s">
        <v>436</v>
      </c>
      <c r="C492" t="s">
        <v>437</v>
      </c>
      <c r="D492" t="s">
        <v>425</v>
      </c>
      <c r="E492" t="str">
        <f t="shared" si="7"/>
        <v>MN|solar pv|Spring</v>
      </c>
      <c r="F492">
        <v>1</v>
      </c>
      <c r="G492">
        <v>1</v>
      </c>
      <c r="H492">
        <v>1</v>
      </c>
      <c r="I492">
        <v>1</v>
      </c>
      <c r="J492">
        <v>1</v>
      </c>
      <c r="K492">
        <v>1</v>
      </c>
      <c r="L492">
        <v>1</v>
      </c>
      <c r="M492">
        <v>1</v>
      </c>
      <c r="N492">
        <v>1</v>
      </c>
      <c r="O492">
        <v>1</v>
      </c>
      <c r="P492">
        <v>1</v>
      </c>
      <c r="Q492">
        <v>1</v>
      </c>
      <c r="R492">
        <v>1</v>
      </c>
      <c r="S492">
        <v>1</v>
      </c>
      <c r="T492">
        <v>1</v>
      </c>
      <c r="U492">
        <v>1</v>
      </c>
      <c r="V492">
        <v>1</v>
      </c>
      <c r="W492">
        <v>1</v>
      </c>
      <c r="X492">
        <v>1</v>
      </c>
      <c r="Y492">
        <v>1</v>
      </c>
      <c r="Z492">
        <v>1</v>
      </c>
      <c r="AA492">
        <v>1</v>
      </c>
      <c r="AB492">
        <v>1</v>
      </c>
      <c r="AC492">
        <v>1</v>
      </c>
    </row>
    <row r="493" spans="1:29" x14ac:dyDescent="0.45">
      <c r="A493" t="s">
        <v>58</v>
      </c>
      <c r="B493" t="s">
        <v>436</v>
      </c>
      <c r="C493" t="s">
        <v>437</v>
      </c>
      <c r="D493" t="s">
        <v>426</v>
      </c>
      <c r="E493" t="str">
        <f t="shared" si="7"/>
        <v>MN|solar pv|Summer</v>
      </c>
      <c r="F493">
        <v>1</v>
      </c>
      <c r="G493">
        <v>1</v>
      </c>
      <c r="H493">
        <v>1</v>
      </c>
      <c r="I493">
        <v>1</v>
      </c>
      <c r="J493">
        <v>1</v>
      </c>
      <c r="K493">
        <v>1</v>
      </c>
      <c r="L493">
        <v>1</v>
      </c>
      <c r="M493">
        <v>1</v>
      </c>
      <c r="N493">
        <v>1</v>
      </c>
      <c r="O493">
        <v>1</v>
      </c>
      <c r="P493">
        <v>1</v>
      </c>
      <c r="Q493">
        <v>1</v>
      </c>
      <c r="R493">
        <v>1</v>
      </c>
      <c r="S493">
        <v>1</v>
      </c>
      <c r="T493">
        <v>1</v>
      </c>
      <c r="U493">
        <v>1</v>
      </c>
      <c r="V493">
        <v>1</v>
      </c>
      <c r="W493">
        <v>1</v>
      </c>
      <c r="X493">
        <v>1</v>
      </c>
      <c r="Y493">
        <v>1</v>
      </c>
      <c r="Z493">
        <v>1</v>
      </c>
      <c r="AA493">
        <v>1</v>
      </c>
      <c r="AB493">
        <v>1</v>
      </c>
      <c r="AC493">
        <v>1</v>
      </c>
    </row>
    <row r="494" spans="1:29" x14ac:dyDescent="0.45">
      <c r="A494" t="s">
        <v>58</v>
      </c>
      <c r="B494" t="s">
        <v>436</v>
      </c>
      <c r="C494" t="s">
        <v>437</v>
      </c>
      <c r="D494" t="s">
        <v>427</v>
      </c>
      <c r="E494" t="str">
        <f t="shared" si="7"/>
        <v>MN|solar pv|Fall</v>
      </c>
      <c r="F494">
        <v>1</v>
      </c>
      <c r="G494">
        <v>1</v>
      </c>
      <c r="H494">
        <v>1</v>
      </c>
      <c r="I494">
        <v>1</v>
      </c>
      <c r="J494">
        <v>1</v>
      </c>
      <c r="K494">
        <v>1</v>
      </c>
      <c r="L494">
        <v>1</v>
      </c>
      <c r="M494">
        <v>1</v>
      </c>
      <c r="N494">
        <v>1</v>
      </c>
      <c r="O494">
        <v>1</v>
      </c>
      <c r="P494">
        <v>1</v>
      </c>
      <c r="Q494">
        <v>1</v>
      </c>
      <c r="R494">
        <v>1</v>
      </c>
      <c r="S494">
        <v>1</v>
      </c>
      <c r="T494">
        <v>1</v>
      </c>
      <c r="U494">
        <v>1</v>
      </c>
      <c r="V494">
        <v>1</v>
      </c>
      <c r="W494">
        <v>1</v>
      </c>
      <c r="X494">
        <v>1</v>
      </c>
      <c r="Y494">
        <v>1</v>
      </c>
      <c r="Z494">
        <v>1</v>
      </c>
      <c r="AA494">
        <v>1</v>
      </c>
      <c r="AB494">
        <v>1</v>
      </c>
      <c r="AC494">
        <v>1</v>
      </c>
    </row>
    <row r="495" spans="1:29" x14ac:dyDescent="0.45">
      <c r="A495" t="s">
        <v>58</v>
      </c>
      <c r="B495" t="s">
        <v>436</v>
      </c>
      <c r="C495" t="s">
        <v>437</v>
      </c>
      <c r="D495" t="s">
        <v>428</v>
      </c>
      <c r="E495" t="str">
        <f t="shared" si="7"/>
        <v>MN|solar pv|Summer Peak</v>
      </c>
      <c r="F495">
        <v>1</v>
      </c>
      <c r="G495">
        <v>1</v>
      </c>
      <c r="H495">
        <v>1</v>
      </c>
      <c r="I495">
        <v>1</v>
      </c>
      <c r="J495">
        <v>3.5400000000000001E-2</v>
      </c>
      <c r="K495">
        <v>0.68149999999999999</v>
      </c>
      <c r="L495">
        <v>0.70240000000000002</v>
      </c>
      <c r="M495">
        <v>0.76139999999999997</v>
      </c>
      <c r="N495">
        <v>0.8548</v>
      </c>
      <c r="O495">
        <v>0.93440000000000001</v>
      </c>
      <c r="P495">
        <v>0.94879999999999998</v>
      </c>
      <c r="Q495">
        <v>0.9556</v>
      </c>
      <c r="R495">
        <v>0.99080000000000001</v>
      </c>
      <c r="S495">
        <v>0.98619999999999997</v>
      </c>
      <c r="T495">
        <v>0.95750000000000002</v>
      </c>
      <c r="U495">
        <v>1</v>
      </c>
      <c r="V495">
        <v>0.96699999999999997</v>
      </c>
      <c r="W495">
        <v>0.95079999999999998</v>
      </c>
      <c r="X495">
        <v>0.2069</v>
      </c>
      <c r="Y495">
        <v>1</v>
      </c>
      <c r="Z495">
        <v>1</v>
      </c>
      <c r="AA495">
        <v>1</v>
      </c>
      <c r="AB495">
        <v>1</v>
      </c>
      <c r="AC495">
        <v>1</v>
      </c>
    </row>
    <row r="496" spans="1:29" x14ac:dyDescent="0.45">
      <c r="A496" t="s">
        <v>58</v>
      </c>
      <c r="B496" t="s">
        <v>436</v>
      </c>
      <c r="C496" t="s">
        <v>437</v>
      </c>
      <c r="D496" t="s">
        <v>429</v>
      </c>
      <c r="E496" t="str">
        <f t="shared" si="7"/>
        <v>MN|solar pv|Winter Peak</v>
      </c>
      <c r="F496">
        <v>1</v>
      </c>
      <c r="G496">
        <v>1</v>
      </c>
      <c r="H496">
        <v>1</v>
      </c>
      <c r="I496">
        <v>1</v>
      </c>
      <c r="J496">
        <v>1</v>
      </c>
      <c r="K496">
        <v>1</v>
      </c>
      <c r="L496">
        <v>0</v>
      </c>
      <c r="M496">
        <v>0.46800000000000003</v>
      </c>
      <c r="N496">
        <v>0.41499999999999998</v>
      </c>
      <c r="O496">
        <v>0.48659999999999998</v>
      </c>
      <c r="P496">
        <v>0.4546</v>
      </c>
      <c r="Q496">
        <v>0.64900000000000002</v>
      </c>
      <c r="R496">
        <v>0.59640000000000004</v>
      </c>
      <c r="S496">
        <v>0.52149999999999996</v>
      </c>
      <c r="T496">
        <v>0.59299999999999997</v>
      </c>
      <c r="U496">
        <v>0.41539999999999999</v>
      </c>
      <c r="V496">
        <v>0</v>
      </c>
      <c r="W496">
        <v>1</v>
      </c>
      <c r="X496">
        <v>1</v>
      </c>
      <c r="Y496">
        <v>1</v>
      </c>
      <c r="Z496">
        <v>1</v>
      </c>
      <c r="AA496">
        <v>1</v>
      </c>
      <c r="AB496">
        <v>1</v>
      </c>
      <c r="AC496">
        <v>1</v>
      </c>
    </row>
    <row r="497" spans="1:29" x14ac:dyDescent="0.45">
      <c r="A497" t="s">
        <v>58</v>
      </c>
      <c r="B497" t="s">
        <v>438</v>
      </c>
      <c r="C497" t="s">
        <v>439</v>
      </c>
      <c r="D497" t="s">
        <v>424</v>
      </c>
      <c r="E497" t="str">
        <f t="shared" si="7"/>
        <v>MN|solar thermal|Winter</v>
      </c>
      <c r="F497">
        <v>1</v>
      </c>
      <c r="G497">
        <v>1</v>
      </c>
      <c r="H497">
        <v>1</v>
      </c>
      <c r="I497">
        <v>1</v>
      </c>
      <c r="J497">
        <v>1</v>
      </c>
      <c r="K497">
        <v>1</v>
      </c>
      <c r="L497">
        <v>1</v>
      </c>
      <c r="M497">
        <v>1</v>
      </c>
      <c r="N497">
        <v>1</v>
      </c>
      <c r="O497">
        <v>1</v>
      </c>
      <c r="P497">
        <v>1</v>
      </c>
      <c r="Q497">
        <v>1</v>
      </c>
      <c r="R497">
        <v>1</v>
      </c>
      <c r="S497">
        <v>1</v>
      </c>
      <c r="T497">
        <v>1</v>
      </c>
      <c r="U497">
        <v>1</v>
      </c>
      <c r="V497">
        <v>1</v>
      </c>
      <c r="W497">
        <v>1</v>
      </c>
      <c r="X497">
        <v>1</v>
      </c>
      <c r="Y497">
        <v>1</v>
      </c>
      <c r="Z497">
        <v>1</v>
      </c>
      <c r="AA497">
        <v>1</v>
      </c>
      <c r="AB497">
        <v>1</v>
      </c>
      <c r="AC497">
        <v>1</v>
      </c>
    </row>
    <row r="498" spans="1:29" x14ac:dyDescent="0.45">
      <c r="A498" t="s">
        <v>58</v>
      </c>
      <c r="B498" t="s">
        <v>438</v>
      </c>
      <c r="C498" t="s">
        <v>439</v>
      </c>
      <c r="D498" t="s">
        <v>425</v>
      </c>
      <c r="E498" t="str">
        <f t="shared" si="7"/>
        <v>MN|solar thermal|Spring</v>
      </c>
      <c r="F498">
        <v>1</v>
      </c>
      <c r="G498">
        <v>1</v>
      </c>
      <c r="H498">
        <v>1</v>
      </c>
      <c r="I498">
        <v>1</v>
      </c>
      <c r="J498">
        <v>1</v>
      </c>
      <c r="K498">
        <v>1</v>
      </c>
      <c r="L498">
        <v>1</v>
      </c>
      <c r="M498">
        <v>1</v>
      </c>
      <c r="N498">
        <v>1</v>
      </c>
      <c r="O498">
        <v>1</v>
      </c>
      <c r="P498">
        <v>1</v>
      </c>
      <c r="Q498">
        <v>1</v>
      </c>
      <c r="R498">
        <v>1</v>
      </c>
      <c r="S498">
        <v>1</v>
      </c>
      <c r="T498">
        <v>1</v>
      </c>
      <c r="U498">
        <v>1</v>
      </c>
      <c r="V498">
        <v>1</v>
      </c>
      <c r="W498">
        <v>1</v>
      </c>
      <c r="X498">
        <v>1</v>
      </c>
      <c r="Y498">
        <v>1</v>
      </c>
      <c r="Z498">
        <v>1</v>
      </c>
      <c r="AA498">
        <v>1</v>
      </c>
      <c r="AB498">
        <v>1</v>
      </c>
      <c r="AC498">
        <v>1</v>
      </c>
    </row>
    <row r="499" spans="1:29" x14ac:dyDescent="0.45">
      <c r="A499" t="s">
        <v>58</v>
      </c>
      <c r="B499" t="s">
        <v>438</v>
      </c>
      <c r="C499" t="s">
        <v>439</v>
      </c>
      <c r="D499" t="s">
        <v>426</v>
      </c>
      <c r="E499" t="str">
        <f t="shared" si="7"/>
        <v>MN|solar thermal|Summer</v>
      </c>
      <c r="F499">
        <v>1</v>
      </c>
      <c r="G499">
        <v>1</v>
      </c>
      <c r="H499">
        <v>1</v>
      </c>
      <c r="I499">
        <v>1</v>
      </c>
      <c r="J499">
        <v>1</v>
      </c>
      <c r="K499">
        <v>1</v>
      </c>
      <c r="L499">
        <v>1</v>
      </c>
      <c r="M499">
        <v>1</v>
      </c>
      <c r="N499">
        <v>1</v>
      </c>
      <c r="O499">
        <v>1</v>
      </c>
      <c r="P499">
        <v>1</v>
      </c>
      <c r="Q499">
        <v>1</v>
      </c>
      <c r="R499">
        <v>1</v>
      </c>
      <c r="S499">
        <v>1</v>
      </c>
      <c r="T499">
        <v>1</v>
      </c>
      <c r="U499">
        <v>1</v>
      </c>
      <c r="V499">
        <v>1</v>
      </c>
      <c r="W499">
        <v>1</v>
      </c>
      <c r="X499">
        <v>1</v>
      </c>
      <c r="Y499">
        <v>1</v>
      </c>
      <c r="Z499">
        <v>1</v>
      </c>
      <c r="AA499">
        <v>1</v>
      </c>
      <c r="AB499">
        <v>1</v>
      </c>
      <c r="AC499">
        <v>1</v>
      </c>
    </row>
    <row r="500" spans="1:29" x14ac:dyDescent="0.45">
      <c r="A500" t="s">
        <v>58</v>
      </c>
      <c r="B500" t="s">
        <v>438</v>
      </c>
      <c r="C500" t="s">
        <v>439</v>
      </c>
      <c r="D500" t="s">
        <v>427</v>
      </c>
      <c r="E500" t="str">
        <f t="shared" si="7"/>
        <v>MN|solar thermal|Fall</v>
      </c>
      <c r="F500">
        <v>1</v>
      </c>
      <c r="G500">
        <v>1</v>
      </c>
      <c r="H500">
        <v>1</v>
      </c>
      <c r="I500">
        <v>1</v>
      </c>
      <c r="J500">
        <v>1</v>
      </c>
      <c r="K500">
        <v>1</v>
      </c>
      <c r="L500">
        <v>1</v>
      </c>
      <c r="M500">
        <v>1</v>
      </c>
      <c r="N500">
        <v>1</v>
      </c>
      <c r="O500">
        <v>1</v>
      </c>
      <c r="P500">
        <v>1</v>
      </c>
      <c r="Q500">
        <v>1</v>
      </c>
      <c r="R500">
        <v>1</v>
      </c>
      <c r="S500">
        <v>1</v>
      </c>
      <c r="T500">
        <v>1</v>
      </c>
      <c r="U500">
        <v>1</v>
      </c>
      <c r="V500">
        <v>1</v>
      </c>
      <c r="W500">
        <v>1</v>
      </c>
      <c r="X500">
        <v>1</v>
      </c>
      <c r="Y500">
        <v>1</v>
      </c>
      <c r="Z500">
        <v>1</v>
      </c>
      <c r="AA500">
        <v>1</v>
      </c>
      <c r="AB500">
        <v>1</v>
      </c>
      <c r="AC500">
        <v>1</v>
      </c>
    </row>
    <row r="501" spans="1:29" x14ac:dyDescent="0.45">
      <c r="A501" t="s">
        <v>58</v>
      </c>
      <c r="B501" t="s">
        <v>438</v>
      </c>
      <c r="C501" t="s">
        <v>439</v>
      </c>
      <c r="D501" t="s">
        <v>428</v>
      </c>
      <c r="E501" t="str">
        <f t="shared" si="7"/>
        <v>MN|solar thermal|Summer Peak</v>
      </c>
      <c r="F501">
        <v>1</v>
      </c>
      <c r="G501">
        <v>1</v>
      </c>
      <c r="H501">
        <v>1</v>
      </c>
      <c r="I501">
        <v>1</v>
      </c>
      <c r="J501">
        <v>1</v>
      </c>
      <c r="K501">
        <v>1</v>
      </c>
      <c r="L501">
        <v>1</v>
      </c>
      <c r="M501">
        <v>0</v>
      </c>
      <c r="N501">
        <v>0.8639</v>
      </c>
      <c r="O501">
        <v>1</v>
      </c>
      <c r="P501">
        <v>1</v>
      </c>
      <c r="Q501">
        <v>0.97160000000000002</v>
      </c>
      <c r="R501">
        <v>0.96719999999999995</v>
      </c>
      <c r="S501">
        <v>1</v>
      </c>
      <c r="T501">
        <v>1</v>
      </c>
      <c r="U501">
        <v>1</v>
      </c>
      <c r="V501">
        <v>1</v>
      </c>
      <c r="W501">
        <v>1</v>
      </c>
      <c r="X501">
        <v>1</v>
      </c>
      <c r="Y501">
        <v>0.93130000000000002</v>
      </c>
      <c r="Z501">
        <v>0.70220000000000005</v>
      </c>
      <c r="AA501">
        <v>1</v>
      </c>
      <c r="AB501">
        <v>1</v>
      </c>
      <c r="AC501">
        <v>1</v>
      </c>
    </row>
    <row r="502" spans="1:29" x14ac:dyDescent="0.45">
      <c r="A502" t="s">
        <v>58</v>
      </c>
      <c r="B502" t="s">
        <v>438</v>
      </c>
      <c r="C502" t="s">
        <v>439</v>
      </c>
      <c r="D502" t="s">
        <v>429</v>
      </c>
      <c r="E502" t="str">
        <f t="shared" si="7"/>
        <v>MN|solar thermal|Winter Peak</v>
      </c>
      <c r="F502">
        <v>1</v>
      </c>
      <c r="G502">
        <v>1</v>
      </c>
      <c r="H502">
        <v>1</v>
      </c>
      <c r="I502">
        <v>1</v>
      </c>
      <c r="J502">
        <v>1</v>
      </c>
      <c r="K502">
        <v>1</v>
      </c>
      <c r="L502">
        <v>1</v>
      </c>
      <c r="M502">
        <v>1</v>
      </c>
      <c r="N502">
        <v>1</v>
      </c>
      <c r="O502">
        <v>0.2419</v>
      </c>
      <c r="P502">
        <v>0.95320000000000005</v>
      </c>
      <c r="Q502">
        <v>0.88039999999999996</v>
      </c>
      <c r="R502">
        <v>0.97819999999999996</v>
      </c>
      <c r="S502">
        <v>0.98950000000000005</v>
      </c>
      <c r="T502">
        <v>0.99270000000000003</v>
      </c>
      <c r="U502">
        <v>1</v>
      </c>
      <c r="V502">
        <v>1</v>
      </c>
      <c r="W502">
        <v>1</v>
      </c>
      <c r="X502">
        <v>0.89019999999999999</v>
      </c>
      <c r="Y502">
        <v>0</v>
      </c>
      <c r="Z502">
        <v>1</v>
      </c>
      <c r="AA502">
        <v>1</v>
      </c>
      <c r="AB502">
        <v>1</v>
      </c>
      <c r="AC502">
        <v>1</v>
      </c>
    </row>
    <row r="503" spans="1:29" x14ac:dyDescent="0.45">
      <c r="A503" t="s">
        <v>58</v>
      </c>
      <c r="B503" t="s">
        <v>440</v>
      </c>
      <c r="C503" t="s">
        <v>441</v>
      </c>
      <c r="D503" t="s">
        <v>424</v>
      </c>
      <c r="E503" t="str">
        <f t="shared" si="7"/>
        <v>MN|offshore wind|Winter</v>
      </c>
      <c r="F503">
        <v>1</v>
      </c>
      <c r="G503">
        <v>1</v>
      </c>
      <c r="H503">
        <v>1</v>
      </c>
      <c r="I503">
        <v>1</v>
      </c>
      <c r="J503">
        <v>1</v>
      </c>
      <c r="K503">
        <v>1</v>
      </c>
      <c r="L503">
        <v>1</v>
      </c>
      <c r="M503">
        <v>1</v>
      </c>
      <c r="N503">
        <v>1</v>
      </c>
      <c r="O503">
        <v>1</v>
      </c>
      <c r="P503">
        <v>1</v>
      </c>
      <c r="Q503">
        <v>1</v>
      </c>
      <c r="R503">
        <v>1</v>
      </c>
      <c r="S503">
        <v>1</v>
      </c>
      <c r="T503">
        <v>1</v>
      </c>
      <c r="U503">
        <v>1</v>
      </c>
      <c r="V503">
        <v>1</v>
      </c>
      <c r="W503">
        <v>1</v>
      </c>
      <c r="X503">
        <v>1</v>
      </c>
      <c r="Y503">
        <v>1</v>
      </c>
      <c r="Z503">
        <v>1</v>
      </c>
      <c r="AA503">
        <v>1</v>
      </c>
      <c r="AB503">
        <v>1</v>
      </c>
      <c r="AC503">
        <v>1</v>
      </c>
    </row>
    <row r="504" spans="1:29" x14ac:dyDescent="0.45">
      <c r="A504" t="s">
        <v>58</v>
      </c>
      <c r="B504" t="s">
        <v>440</v>
      </c>
      <c r="C504" t="s">
        <v>441</v>
      </c>
      <c r="D504" t="s">
        <v>425</v>
      </c>
      <c r="E504" t="str">
        <f t="shared" si="7"/>
        <v>MN|offshore wind|Spring</v>
      </c>
      <c r="F504">
        <v>1</v>
      </c>
      <c r="G504">
        <v>1</v>
      </c>
      <c r="H504">
        <v>1</v>
      </c>
      <c r="I504">
        <v>1</v>
      </c>
      <c r="J504">
        <v>1</v>
      </c>
      <c r="K504">
        <v>1</v>
      </c>
      <c r="L504">
        <v>1</v>
      </c>
      <c r="M504">
        <v>1</v>
      </c>
      <c r="N504">
        <v>1</v>
      </c>
      <c r="O504">
        <v>1</v>
      </c>
      <c r="P504">
        <v>1</v>
      </c>
      <c r="Q504">
        <v>1</v>
      </c>
      <c r="R504">
        <v>1</v>
      </c>
      <c r="S504">
        <v>1</v>
      </c>
      <c r="T504">
        <v>1</v>
      </c>
      <c r="U504">
        <v>1</v>
      </c>
      <c r="V504">
        <v>1</v>
      </c>
      <c r="W504">
        <v>1</v>
      </c>
      <c r="X504">
        <v>1</v>
      </c>
      <c r="Y504">
        <v>1</v>
      </c>
      <c r="Z504">
        <v>1</v>
      </c>
      <c r="AA504">
        <v>1</v>
      </c>
      <c r="AB504">
        <v>1</v>
      </c>
      <c r="AC504">
        <v>1</v>
      </c>
    </row>
    <row r="505" spans="1:29" x14ac:dyDescent="0.45">
      <c r="A505" t="s">
        <v>58</v>
      </c>
      <c r="B505" t="s">
        <v>440</v>
      </c>
      <c r="C505" t="s">
        <v>441</v>
      </c>
      <c r="D505" t="s">
        <v>426</v>
      </c>
      <c r="E505" t="str">
        <f t="shared" si="7"/>
        <v>MN|offshore wind|Summer</v>
      </c>
      <c r="F505">
        <v>1</v>
      </c>
      <c r="G505">
        <v>1</v>
      </c>
      <c r="H505">
        <v>1</v>
      </c>
      <c r="I505">
        <v>1</v>
      </c>
      <c r="J505">
        <v>1</v>
      </c>
      <c r="K505">
        <v>1</v>
      </c>
      <c r="L505">
        <v>1</v>
      </c>
      <c r="M505">
        <v>1</v>
      </c>
      <c r="N505">
        <v>1</v>
      </c>
      <c r="O505">
        <v>1</v>
      </c>
      <c r="P505">
        <v>1</v>
      </c>
      <c r="Q505">
        <v>1</v>
      </c>
      <c r="R505">
        <v>1</v>
      </c>
      <c r="S505">
        <v>1</v>
      </c>
      <c r="T505">
        <v>1</v>
      </c>
      <c r="U505">
        <v>1</v>
      </c>
      <c r="V505">
        <v>1</v>
      </c>
      <c r="W505">
        <v>1</v>
      </c>
      <c r="X505">
        <v>1</v>
      </c>
      <c r="Y505">
        <v>1</v>
      </c>
      <c r="Z505">
        <v>1</v>
      </c>
      <c r="AA505">
        <v>1</v>
      </c>
      <c r="AB505">
        <v>1</v>
      </c>
      <c r="AC505">
        <v>1</v>
      </c>
    </row>
    <row r="506" spans="1:29" x14ac:dyDescent="0.45">
      <c r="A506" t="s">
        <v>58</v>
      </c>
      <c r="B506" t="s">
        <v>440</v>
      </c>
      <c r="C506" t="s">
        <v>441</v>
      </c>
      <c r="D506" t="s">
        <v>427</v>
      </c>
      <c r="E506" t="str">
        <f t="shared" si="7"/>
        <v>MN|offshore wind|Fall</v>
      </c>
      <c r="F506">
        <v>1</v>
      </c>
      <c r="G506">
        <v>1</v>
      </c>
      <c r="H506">
        <v>1</v>
      </c>
      <c r="I506">
        <v>1</v>
      </c>
      <c r="J506">
        <v>1</v>
      </c>
      <c r="K506">
        <v>1</v>
      </c>
      <c r="L506">
        <v>1</v>
      </c>
      <c r="M506">
        <v>1</v>
      </c>
      <c r="N506">
        <v>1</v>
      </c>
      <c r="O506">
        <v>1</v>
      </c>
      <c r="P506">
        <v>1</v>
      </c>
      <c r="Q506">
        <v>1</v>
      </c>
      <c r="R506">
        <v>1</v>
      </c>
      <c r="S506">
        <v>1</v>
      </c>
      <c r="T506">
        <v>1</v>
      </c>
      <c r="U506">
        <v>1</v>
      </c>
      <c r="V506">
        <v>1</v>
      </c>
      <c r="W506">
        <v>1</v>
      </c>
      <c r="X506">
        <v>1</v>
      </c>
      <c r="Y506">
        <v>1</v>
      </c>
      <c r="Z506">
        <v>1</v>
      </c>
      <c r="AA506">
        <v>1</v>
      </c>
      <c r="AB506">
        <v>1</v>
      </c>
      <c r="AC506">
        <v>1</v>
      </c>
    </row>
    <row r="507" spans="1:29" x14ac:dyDescent="0.45">
      <c r="A507" t="s">
        <v>58</v>
      </c>
      <c r="B507" t="s">
        <v>440</v>
      </c>
      <c r="C507" t="s">
        <v>441</v>
      </c>
      <c r="D507" t="s">
        <v>428</v>
      </c>
      <c r="E507" t="str">
        <f t="shared" si="7"/>
        <v>MN|offshore wind|Summer Peak</v>
      </c>
      <c r="F507">
        <v>0.40810000000000002</v>
      </c>
      <c r="G507">
        <v>0.4239</v>
      </c>
      <c r="H507">
        <v>0.45760000000000001</v>
      </c>
      <c r="I507">
        <v>0.50319999999999998</v>
      </c>
      <c r="J507">
        <v>0.53649999999999998</v>
      </c>
      <c r="K507">
        <v>0.59399999999999997</v>
      </c>
      <c r="L507">
        <v>0.61929999999999996</v>
      </c>
      <c r="M507">
        <v>0.68859999999999999</v>
      </c>
      <c r="N507">
        <v>0.73480000000000001</v>
      </c>
      <c r="O507">
        <v>0.84350000000000003</v>
      </c>
      <c r="P507">
        <v>0.78200000000000003</v>
      </c>
      <c r="Q507">
        <v>0.74650000000000005</v>
      </c>
      <c r="R507">
        <v>0.63690000000000002</v>
      </c>
      <c r="S507">
        <v>0.60860000000000003</v>
      </c>
      <c r="T507">
        <v>0.64339999999999997</v>
      </c>
      <c r="U507">
        <v>0.69269999999999998</v>
      </c>
      <c r="V507">
        <v>0.71450000000000002</v>
      </c>
      <c r="W507">
        <v>0.75070000000000003</v>
      </c>
      <c r="X507">
        <v>0.72489999999999999</v>
      </c>
      <c r="Y507">
        <v>0.66049999999999998</v>
      </c>
      <c r="Z507">
        <v>0.69140000000000001</v>
      </c>
      <c r="AA507">
        <v>0.63080000000000003</v>
      </c>
      <c r="AB507">
        <v>0.63429999999999997</v>
      </c>
      <c r="AC507">
        <v>0.64390000000000003</v>
      </c>
    </row>
    <row r="508" spans="1:29" x14ac:dyDescent="0.45">
      <c r="A508" t="s">
        <v>58</v>
      </c>
      <c r="B508" t="s">
        <v>440</v>
      </c>
      <c r="C508" t="s">
        <v>441</v>
      </c>
      <c r="D508" t="s">
        <v>429</v>
      </c>
      <c r="E508" t="str">
        <f t="shared" si="7"/>
        <v>MN|offshore wind|Winter Peak</v>
      </c>
      <c r="F508">
        <v>0.95309999999999995</v>
      </c>
      <c r="G508">
        <v>0.95030000000000003</v>
      </c>
      <c r="H508">
        <v>0.95540000000000003</v>
      </c>
      <c r="I508">
        <v>0.96679999999999999</v>
      </c>
      <c r="J508">
        <v>1</v>
      </c>
      <c r="K508">
        <v>1</v>
      </c>
      <c r="L508">
        <v>1</v>
      </c>
      <c r="M508">
        <v>0.99209999999999998</v>
      </c>
      <c r="N508">
        <v>0.90149999999999997</v>
      </c>
      <c r="O508">
        <v>0.79779999999999995</v>
      </c>
      <c r="P508">
        <v>0.71879999999999999</v>
      </c>
      <c r="Q508">
        <v>0.67300000000000004</v>
      </c>
      <c r="R508">
        <v>0.60860000000000003</v>
      </c>
      <c r="S508">
        <v>0.58009999999999995</v>
      </c>
      <c r="T508">
        <v>0.58799999999999997</v>
      </c>
      <c r="U508">
        <v>0.61019999999999996</v>
      </c>
      <c r="V508">
        <v>0.61839999999999995</v>
      </c>
      <c r="W508">
        <v>0.60909999999999997</v>
      </c>
      <c r="X508">
        <v>0.62880000000000003</v>
      </c>
      <c r="Y508">
        <v>0.72889999999999999</v>
      </c>
      <c r="Z508">
        <v>0.84719999999999995</v>
      </c>
      <c r="AA508">
        <v>0.92220000000000002</v>
      </c>
      <c r="AB508">
        <v>0.86950000000000005</v>
      </c>
      <c r="AC508">
        <v>0.8054</v>
      </c>
    </row>
    <row r="509" spans="1:29" x14ac:dyDescent="0.45">
      <c r="A509" t="s">
        <v>61</v>
      </c>
      <c r="B509" t="s">
        <v>434</v>
      </c>
      <c r="C509" t="s">
        <v>435</v>
      </c>
      <c r="D509" t="s">
        <v>424</v>
      </c>
      <c r="E509" t="str">
        <f t="shared" si="7"/>
        <v>MO|onshore wind|Winter</v>
      </c>
      <c r="F509">
        <v>1</v>
      </c>
      <c r="G509">
        <v>1</v>
      </c>
      <c r="H509">
        <v>1</v>
      </c>
      <c r="I509">
        <v>1</v>
      </c>
      <c r="J509">
        <v>1</v>
      </c>
      <c r="K509">
        <v>1</v>
      </c>
      <c r="L509">
        <v>1</v>
      </c>
      <c r="M509">
        <v>1</v>
      </c>
      <c r="N509">
        <v>1</v>
      </c>
      <c r="O509">
        <v>1</v>
      </c>
      <c r="P509">
        <v>1</v>
      </c>
      <c r="Q509">
        <v>1</v>
      </c>
      <c r="R509">
        <v>1</v>
      </c>
      <c r="S509">
        <v>1</v>
      </c>
      <c r="T509">
        <v>1</v>
      </c>
      <c r="U509">
        <v>1</v>
      </c>
      <c r="V509">
        <v>1</v>
      </c>
      <c r="W509">
        <v>1</v>
      </c>
      <c r="X509">
        <v>1</v>
      </c>
      <c r="Y509">
        <v>1</v>
      </c>
      <c r="Z509">
        <v>1</v>
      </c>
      <c r="AA509">
        <v>1</v>
      </c>
      <c r="AB509">
        <v>1</v>
      </c>
      <c r="AC509">
        <v>1</v>
      </c>
    </row>
    <row r="510" spans="1:29" x14ac:dyDescent="0.45">
      <c r="A510" t="s">
        <v>61</v>
      </c>
      <c r="B510" t="s">
        <v>434</v>
      </c>
      <c r="C510" t="s">
        <v>435</v>
      </c>
      <c r="D510" t="s">
        <v>425</v>
      </c>
      <c r="E510" t="str">
        <f t="shared" si="7"/>
        <v>MO|onshore wind|Spring</v>
      </c>
      <c r="F510">
        <v>1</v>
      </c>
      <c r="G510">
        <v>1</v>
      </c>
      <c r="H510">
        <v>1</v>
      </c>
      <c r="I510">
        <v>1</v>
      </c>
      <c r="J510">
        <v>1</v>
      </c>
      <c r="K510">
        <v>1</v>
      </c>
      <c r="L510">
        <v>1</v>
      </c>
      <c r="M510">
        <v>1</v>
      </c>
      <c r="N510">
        <v>1</v>
      </c>
      <c r="O510">
        <v>1</v>
      </c>
      <c r="P510">
        <v>1</v>
      </c>
      <c r="Q510">
        <v>1</v>
      </c>
      <c r="R510">
        <v>1</v>
      </c>
      <c r="S510">
        <v>1</v>
      </c>
      <c r="T510">
        <v>1</v>
      </c>
      <c r="U510">
        <v>1</v>
      </c>
      <c r="V510">
        <v>1</v>
      </c>
      <c r="W510">
        <v>1</v>
      </c>
      <c r="X510">
        <v>1</v>
      </c>
      <c r="Y510">
        <v>1</v>
      </c>
      <c r="Z510">
        <v>1</v>
      </c>
      <c r="AA510">
        <v>1</v>
      </c>
      <c r="AB510">
        <v>1</v>
      </c>
      <c r="AC510">
        <v>1</v>
      </c>
    </row>
    <row r="511" spans="1:29" x14ac:dyDescent="0.45">
      <c r="A511" t="s">
        <v>61</v>
      </c>
      <c r="B511" t="s">
        <v>434</v>
      </c>
      <c r="C511" t="s">
        <v>435</v>
      </c>
      <c r="D511" t="s">
        <v>426</v>
      </c>
      <c r="E511" t="str">
        <f t="shared" si="7"/>
        <v>MO|onshore wind|Summer</v>
      </c>
      <c r="F511">
        <v>1</v>
      </c>
      <c r="G511">
        <v>1</v>
      </c>
      <c r="H511">
        <v>1</v>
      </c>
      <c r="I511">
        <v>1</v>
      </c>
      <c r="J511">
        <v>1</v>
      </c>
      <c r="K511">
        <v>1</v>
      </c>
      <c r="L511">
        <v>1</v>
      </c>
      <c r="M511">
        <v>1</v>
      </c>
      <c r="N511">
        <v>1</v>
      </c>
      <c r="O511">
        <v>1</v>
      </c>
      <c r="P511">
        <v>1</v>
      </c>
      <c r="Q511">
        <v>1</v>
      </c>
      <c r="R511">
        <v>1</v>
      </c>
      <c r="S511">
        <v>1</v>
      </c>
      <c r="T511">
        <v>1</v>
      </c>
      <c r="U511">
        <v>1</v>
      </c>
      <c r="V511">
        <v>1</v>
      </c>
      <c r="W511">
        <v>1</v>
      </c>
      <c r="X511">
        <v>1</v>
      </c>
      <c r="Y511">
        <v>1</v>
      </c>
      <c r="Z511">
        <v>1</v>
      </c>
      <c r="AA511">
        <v>1</v>
      </c>
      <c r="AB511">
        <v>1</v>
      </c>
      <c r="AC511">
        <v>1</v>
      </c>
    </row>
    <row r="512" spans="1:29" x14ac:dyDescent="0.45">
      <c r="A512" t="s">
        <v>61</v>
      </c>
      <c r="B512" t="s">
        <v>434</v>
      </c>
      <c r="C512" t="s">
        <v>435</v>
      </c>
      <c r="D512" t="s">
        <v>427</v>
      </c>
      <c r="E512" t="str">
        <f t="shared" si="7"/>
        <v>MO|onshore wind|Fall</v>
      </c>
      <c r="F512">
        <v>1</v>
      </c>
      <c r="G512">
        <v>1</v>
      </c>
      <c r="H512">
        <v>1</v>
      </c>
      <c r="I512">
        <v>1</v>
      </c>
      <c r="J512">
        <v>1</v>
      </c>
      <c r="K512">
        <v>1</v>
      </c>
      <c r="L512">
        <v>1</v>
      </c>
      <c r="M512">
        <v>1</v>
      </c>
      <c r="N512">
        <v>1</v>
      </c>
      <c r="O512">
        <v>1</v>
      </c>
      <c r="P512">
        <v>1</v>
      </c>
      <c r="Q512">
        <v>1</v>
      </c>
      <c r="R512">
        <v>1</v>
      </c>
      <c r="S512">
        <v>1</v>
      </c>
      <c r="T512">
        <v>1</v>
      </c>
      <c r="U512">
        <v>1</v>
      </c>
      <c r="V512">
        <v>1</v>
      </c>
      <c r="W512">
        <v>1</v>
      </c>
      <c r="X512">
        <v>1</v>
      </c>
      <c r="Y512">
        <v>1</v>
      </c>
      <c r="Z512">
        <v>1</v>
      </c>
      <c r="AA512">
        <v>1</v>
      </c>
      <c r="AB512">
        <v>1</v>
      </c>
      <c r="AC512">
        <v>1</v>
      </c>
    </row>
    <row r="513" spans="1:29" x14ac:dyDescent="0.45">
      <c r="A513" t="s">
        <v>61</v>
      </c>
      <c r="B513" t="s">
        <v>434</v>
      </c>
      <c r="C513" t="s">
        <v>435</v>
      </c>
      <c r="D513" t="s">
        <v>428</v>
      </c>
      <c r="E513" t="str">
        <f t="shared" si="7"/>
        <v>MO|onshore wind|Summer Peak</v>
      </c>
      <c r="F513">
        <v>0.69320000000000004</v>
      </c>
      <c r="G513">
        <v>0.59540000000000004</v>
      </c>
      <c r="H513">
        <v>0.53269999999999995</v>
      </c>
      <c r="I513">
        <v>0.42599999999999999</v>
      </c>
      <c r="J513">
        <v>0.37369999999999998</v>
      </c>
      <c r="K513">
        <v>0.40789999999999998</v>
      </c>
      <c r="L513">
        <v>0.57689999999999997</v>
      </c>
      <c r="M513">
        <v>0.67649999999999999</v>
      </c>
      <c r="N513">
        <v>0.66320000000000001</v>
      </c>
      <c r="O513">
        <v>0.61880000000000002</v>
      </c>
      <c r="P513">
        <v>0.65600000000000003</v>
      </c>
      <c r="Q513">
        <v>0.72629999999999995</v>
      </c>
      <c r="R513">
        <v>0.77290000000000003</v>
      </c>
      <c r="S513">
        <v>0.77059999999999995</v>
      </c>
      <c r="T513">
        <v>0.74350000000000005</v>
      </c>
      <c r="U513">
        <v>0.71740000000000004</v>
      </c>
      <c r="V513">
        <v>0.65369999999999995</v>
      </c>
      <c r="W513">
        <v>0.65449999999999997</v>
      </c>
      <c r="X513">
        <v>0.69210000000000005</v>
      </c>
      <c r="Y513">
        <v>0.58199999999999996</v>
      </c>
      <c r="Z513">
        <v>0.48809999999999998</v>
      </c>
      <c r="AA513">
        <v>0.47310000000000002</v>
      </c>
      <c r="AB513">
        <v>0.50090000000000001</v>
      </c>
      <c r="AC513">
        <v>0.53029999999999999</v>
      </c>
    </row>
    <row r="514" spans="1:29" x14ac:dyDescent="0.45">
      <c r="A514" t="s">
        <v>61</v>
      </c>
      <c r="B514" t="s">
        <v>434</v>
      </c>
      <c r="C514" t="s">
        <v>435</v>
      </c>
      <c r="D514" t="s">
        <v>429</v>
      </c>
      <c r="E514" t="str">
        <f t="shared" si="7"/>
        <v>MO|onshore wind|Winter Peak</v>
      </c>
      <c r="F514">
        <v>0.48749999999999999</v>
      </c>
      <c r="G514">
        <v>0.35820000000000002</v>
      </c>
      <c r="H514">
        <v>0.28660000000000002</v>
      </c>
      <c r="I514">
        <v>0.29220000000000002</v>
      </c>
      <c r="J514">
        <v>0.31950000000000001</v>
      </c>
      <c r="K514">
        <v>0.38779999999999998</v>
      </c>
      <c r="L514">
        <v>0.46739999999999998</v>
      </c>
      <c r="M514">
        <v>0.39329999999999998</v>
      </c>
      <c r="N514">
        <v>0.41039999999999999</v>
      </c>
      <c r="O514">
        <v>0.33939999999999998</v>
      </c>
      <c r="P514">
        <v>0.2621</v>
      </c>
      <c r="Q514">
        <v>0.31</v>
      </c>
      <c r="R514">
        <v>0.29520000000000002</v>
      </c>
      <c r="S514">
        <v>0.34820000000000001</v>
      </c>
      <c r="T514">
        <v>0.3488</v>
      </c>
      <c r="U514">
        <v>0.3574</v>
      </c>
      <c r="V514">
        <v>0.3891</v>
      </c>
      <c r="W514">
        <v>0.42080000000000001</v>
      </c>
      <c r="X514">
        <v>0.49280000000000002</v>
      </c>
      <c r="Y514">
        <v>0.44359999999999999</v>
      </c>
      <c r="Z514">
        <v>0.43180000000000002</v>
      </c>
      <c r="AA514">
        <v>0.43020000000000003</v>
      </c>
      <c r="AB514">
        <v>0.36549999999999999</v>
      </c>
      <c r="AC514">
        <v>0.53300000000000003</v>
      </c>
    </row>
    <row r="515" spans="1:29" x14ac:dyDescent="0.45">
      <c r="A515" t="s">
        <v>61</v>
      </c>
      <c r="B515" t="s">
        <v>436</v>
      </c>
      <c r="C515" t="s">
        <v>437</v>
      </c>
      <c r="D515" t="s">
        <v>424</v>
      </c>
      <c r="E515" t="str">
        <f t="shared" si="7"/>
        <v>MO|solar pv|Winter</v>
      </c>
      <c r="F515">
        <v>1</v>
      </c>
      <c r="G515">
        <v>1</v>
      </c>
      <c r="H515">
        <v>1</v>
      </c>
      <c r="I515">
        <v>1</v>
      </c>
      <c r="J515">
        <v>1</v>
      </c>
      <c r="K515">
        <v>1</v>
      </c>
      <c r="L515">
        <v>1</v>
      </c>
      <c r="M515">
        <v>1</v>
      </c>
      <c r="N515">
        <v>1</v>
      </c>
      <c r="O515">
        <v>1</v>
      </c>
      <c r="P515">
        <v>1</v>
      </c>
      <c r="Q515">
        <v>1</v>
      </c>
      <c r="R515">
        <v>1</v>
      </c>
      <c r="S515">
        <v>1</v>
      </c>
      <c r="T515">
        <v>1</v>
      </c>
      <c r="U515">
        <v>1</v>
      </c>
      <c r="V515">
        <v>1</v>
      </c>
      <c r="W515">
        <v>1</v>
      </c>
      <c r="X515">
        <v>1</v>
      </c>
      <c r="Y515">
        <v>1</v>
      </c>
      <c r="Z515">
        <v>1</v>
      </c>
      <c r="AA515">
        <v>1</v>
      </c>
      <c r="AB515">
        <v>1</v>
      </c>
      <c r="AC515">
        <v>1</v>
      </c>
    </row>
    <row r="516" spans="1:29" x14ac:dyDescent="0.45">
      <c r="A516" t="s">
        <v>61</v>
      </c>
      <c r="B516" t="s">
        <v>436</v>
      </c>
      <c r="C516" t="s">
        <v>437</v>
      </c>
      <c r="D516" t="s">
        <v>425</v>
      </c>
      <c r="E516" t="str">
        <f t="shared" si="7"/>
        <v>MO|solar pv|Spring</v>
      </c>
      <c r="F516">
        <v>1</v>
      </c>
      <c r="G516">
        <v>1</v>
      </c>
      <c r="H516">
        <v>1</v>
      </c>
      <c r="I516">
        <v>1</v>
      </c>
      <c r="J516">
        <v>1</v>
      </c>
      <c r="K516">
        <v>1</v>
      </c>
      <c r="L516">
        <v>1</v>
      </c>
      <c r="M516">
        <v>1</v>
      </c>
      <c r="N516">
        <v>1</v>
      </c>
      <c r="O516">
        <v>1</v>
      </c>
      <c r="P516">
        <v>1</v>
      </c>
      <c r="Q516">
        <v>1</v>
      </c>
      <c r="R516">
        <v>1</v>
      </c>
      <c r="S516">
        <v>1</v>
      </c>
      <c r="T516">
        <v>1</v>
      </c>
      <c r="U516">
        <v>1</v>
      </c>
      <c r="V516">
        <v>1</v>
      </c>
      <c r="W516">
        <v>1</v>
      </c>
      <c r="X516">
        <v>1</v>
      </c>
      <c r="Y516">
        <v>1</v>
      </c>
      <c r="Z516">
        <v>1</v>
      </c>
      <c r="AA516">
        <v>1</v>
      </c>
      <c r="AB516">
        <v>1</v>
      </c>
      <c r="AC516">
        <v>1</v>
      </c>
    </row>
    <row r="517" spans="1:29" x14ac:dyDescent="0.45">
      <c r="A517" t="s">
        <v>61</v>
      </c>
      <c r="B517" t="s">
        <v>436</v>
      </c>
      <c r="C517" t="s">
        <v>437</v>
      </c>
      <c r="D517" t="s">
        <v>426</v>
      </c>
      <c r="E517" t="str">
        <f t="shared" ref="E517:E580" si="8">A517&amp;"|"&amp;C517&amp;"|"&amp;D517</f>
        <v>MO|solar pv|Summer</v>
      </c>
      <c r="F517">
        <v>1</v>
      </c>
      <c r="G517">
        <v>1</v>
      </c>
      <c r="H517">
        <v>1</v>
      </c>
      <c r="I517">
        <v>1</v>
      </c>
      <c r="J517">
        <v>1</v>
      </c>
      <c r="K517">
        <v>1</v>
      </c>
      <c r="L517">
        <v>1</v>
      </c>
      <c r="M517">
        <v>1</v>
      </c>
      <c r="N517">
        <v>1</v>
      </c>
      <c r="O517">
        <v>1</v>
      </c>
      <c r="P517">
        <v>1</v>
      </c>
      <c r="Q517">
        <v>1</v>
      </c>
      <c r="R517">
        <v>1</v>
      </c>
      <c r="S517">
        <v>1</v>
      </c>
      <c r="T517">
        <v>1</v>
      </c>
      <c r="U517">
        <v>1</v>
      </c>
      <c r="V517">
        <v>1</v>
      </c>
      <c r="W517">
        <v>1</v>
      </c>
      <c r="X517">
        <v>1</v>
      </c>
      <c r="Y517">
        <v>1</v>
      </c>
      <c r="Z517">
        <v>1</v>
      </c>
      <c r="AA517">
        <v>1</v>
      </c>
      <c r="AB517">
        <v>1</v>
      </c>
      <c r="AC517">
        <v>1</v>
      </c>
    </row>
    <row r="518" spans="1:29" x14ac:dyDescent="0.45">
      <c r="A518" t="s">
        <v>61</v>
      </c>
      <c r="B518" t="s">
        <v>436</v>
      </c>
      <c r="C518" t="s">
        <v>437</v>
      </c>
      <c r="D518" t="s">
        <v>427</v>
      </c>
      <c r="E518" t="str">
        <f t="shared" si="8"/>
        <v>MO|solar pv|Fall</v>
      </c>
      <c r="F518">
        <v>1</v>
      </c>
      <c r="G518">
        <v>1</v>
      </c>
      <c r="H518">
        <v>1</v>
      </c>
      <c r="I518">
        <v>1</v>
      </c>
      <c r="J518">
        <v>1</v>
      </c>
      <c r="K518">
        <v>1</v>
      </c>
      <c r="L518">
        <v>1</v>
      </c>
      <c r="M518">
        <v>1</v>
      </c>
      <c r="N518">
        <v>1</v>
      </c>
      <c r="O518">
        <v>1</v>
      </c>
      <c r="P518">
        <v>1</v>
      </c>
      <c r="Q518">
        <v>1</v>
      </c>
      <c r="R518">
        <v>1</v>
      </c>
      <c r="S518">
        <v>1</v>
      </c>
      <c r="T518">
        <v>1</v>
      </c>
      <c r="U518">
        <v>1</v>
      </c>
      <c r="V518">
        <v>1</v>
      </c>
      <c r="W518">
        <v>1</v>
      </c>
      <c r="X518">
        <v>1</v>
      </c>
      <c r="Y518">
        <v>1</v>
      </c>
      <c r="Z518">
        <v>1</v>
      </c>
      <c r="AA518">
        <v>1</v>
      </c>
      <c r="AB518">
        <v>1</v>
      </c>
      <c r="AC518">
        <v>1</v>
      </c>
    </row>
    <row r="519" spans="1:29" x14ac:dyDescent="0.45">
      <c r="A519" t="s">
        <v>61</v>
      </c>
      <c r="B519" t="s">
        <v>436</v>
      </c>
      <c r="C519" t="s">
        <v>437</v>
      </c>
      <c r="D519" t="s">
        <v>428</v>
      </c>
      <c r="E519" t="str">
        <f t="shared" si="8"/>
        <v>MO|solar pv|Summer Peak</v>
      </c>
      <c r="F519">
        <v>1</v>
      </c>
      <c r="G519">
        <v>1</v>
      </c>
      <c r="H519">
        <v>1</v>
      </c>
      <c r="I519">
        <v>1</v>
      </c>
      <c r="J519">
        <v>0.22639999999999999</v>
      </c>
      <c r="K519">
        <v>0.94279999999999997</v>
      </c>
      <c r="L519">
        <v>1</v>
      </c>
      <c r="M519">
        <v>1</v>
      </c>
      <c r="N519">
        <v>1</v>
      </c>
      <c r="O519">
        <v>1</v>
      </c>
      <c r="P519">
        <v>1</v>
      </c>
      <c r="Q519">
        <v>1</v>
      </c>
      <c r="R519">
        <v>1</v>
      </c>
      <c r="S519">
        <v>1</v>
      </c>
      <c r="T519">
        <v>1</v>
      </c>
      <c r="U519">
        <v>1</v>
      </c>
      <c r="V519">
        <v>1</v>
      </c>
      <c r="W519">
        <v>1</v>
      </c>
      <c r="X519">
        <v>0.54779999999999995</v>
      </c>
      <c r="Y519">
        <v>1</v>
      </c>
      <c r="Z519">
        <v>1</v>
      </c>
      <c r="AA519">
        <v>1</v>
      </c>
      <c r="AB519">
        <v>1</v>
      </c>
      <c r="AC519">
        <v>1</v>
      </c>
    </row>
    <row r="520" spans="1:29" x14ac:dyDescent="0.45">
      <c r="A520" t="s">
        <v>61</v>
      </c>
      <c r="B520" t="s">
        <v>436</v>
      </c>
      <c r="C520" t="s">
        <v>437</v>
      </c>
      <c r="D520" t="s">
        <v>429</v>
      </c>
      <c r="E520" t="str">
        <f t="shared" si="8"/>
        <v>MO|solar pv|Winter Peak</v>
      </c>
      <c r="F520">
        <v>1</v>
      </c>
      <c r="G520">
        <v>1</v>
      </c>
      <c r="H520">
        <v>1</v>
      </c>
      <c r="I520">
        <v>1</v>
      </c>
      <c r="J520">
        <v>1</v>
      </c>
      <c r="K520">
        <v>1</v>
      </c>
      <c r="L520">
        <v>1</v>
      </c>
      <c r="M520">
        <v>0.70709999999999995</v>
      </c>
      <c r="N520">
        <v>0.65859999999999996</v>
      </c>
      <c r="O520">
        <v>0.77829999999999999</v>
      </c>
      <c r="P520">
        <v>0.8034</v>
      </c>
      <c r="Q520">
        <v>0.79359999999999997</v>
      </c>
      <c r="R520">
        <v>0.83630000000000004</v>
      </c>
      <c r="S520">
        <v>0.77270000000000005</v>
      </c>
      <c r="T520">
        <v>0.69689999999999996</v>
      </c>
      <c r="U520">
        <v>0.6633</v>
      </c>
      <c r="V520">
        <v>0</v>
      </c>
      <c r="W520">
        <v>1</v>
      </c>
      <c r="X520">
        <v>1</v>
      </c>
      <c r="Y520">
        <v>1</v>
      </c>
      <c r="Z520">
        <v>1</v>
      </c>
      <c r="AA520">
        <v>1</v>
      </c>
      <c r="AB520">
        <v>1</v>
      </c>
      <c r="AC520">
        <v>1</v>
      </c>
    </row>
    <row r="521" spans="1:29" x14ac:dyDescent="0.45">
      <c r="A521" t="s">
        <v>61</v>
      </c>
      <c r="B521" t="s">
        <v>438</v>
      </c>
      <c r="C521" t="s">
        <v>439</v>
      </c>
      <c r="D521" t="s">
        <v>424</v>
      </c>
      <c r="E521" t="str">
        <f t="shared" si="8"/>
        <v>MO|solar thermal|Winter</v>
      </c>
      <c r="F521">
        <v>1</v>
      </c>
      <c r="G521">
        <v>1</v>
      </c>
      <c r="H521">
        <v>1</v>
      </c>
      <c r="I521">
        <v>1</v>
      </c>
      <c r="J521">
        <v>1</v>
      </c>
      <c r="K521">
        <v>1</v>
      </c>
      <c r="L521">
        <v>1</v>
      </c>
      <c r="M521">
        <v>1</v>
      </c>
      <c r="N521">
        <v>1</v>
      </c>
      <c r="O521">
        <v>1</v>
      </c>
      <c r="P521">
        <v>1</v>
      </c>
      <c r="Q521">
        <v>1</v>
      </c>
      <c r="R521">
        <v>1</v>
      </c>
      <c r="S521">
        <v>1</v>
      </c>
      <c r="T521">
        <v>1</v>
      </c>
      <c r="U521">
        <v>1</v>
      </c>
      <c r="V521">
        <v>1</v>
      </c>
      <c r="W521">
        <v>1</v>
      </c>
      <c r="X521">
        <v>1</v>
      </c>
      <c r="Y521">
        <v>1</v>
      </c>
      <c r="Z521">
        <v>1</v>
      </c>
      <c r="AA521">
        <v>1</v>
      </c>
      <c r="AB521">
        <v>1</v>
      </c>
      <c r="AC521">
        <v>1</v>
      </c>
    </row>
    <row r="522" spans="1:29" x14ac:dyDescent="0.45">
      <c r="A522" t="s">
        <v>61</v>
      </c>
      <c r="B522" t="s">
        <v>438</v>
      </c>
      <c r="C522" t="s">
        <v>439</v>
      </c>
      <c r="D522" t="s">
        <v>425</v>
      </c>
      <c r="E522" t="str">
        <f t="shared" si="8"/>
        <v>MO|solar thermal|Spring</v>
      </c>
      <c r="F522">
        <v>1</v>
      </c>
      <c r="G522">
        <v>1</v>
      </c>
      <c r="H522">
        <v>1</v>
      </c>
      <c r="I522">
        <v>1</v>
      </c>
      <c r="J522">
        <v>1</v>
      </c>
      <c r="K522">
        <v>1</v>
      </c>
      <c r="L522">
        <v>1</v>
      </c>
      <c r="M522">
        <v>1</v>
      </c>
      <c r="N522">
        <v>1</v>
      </c>
      <c r="O522">
        <v>1</v>
      </c>
      <c r="P522">
        <v>1</v>
      </c>
      <c r="Q522">
        <v>1</v>
      </c>
      <c r="R522">
        <v>1</v>
      </c>
      <c r="S522">
        <v>1</v>
      </c>
      <c r="T522">
        <v>1</v>
      </c>
      <c r="U522">
        <v>1</v>
      </c>
      <c r="V522">
        <v>1</v>
      </c>
      <c r="W522">
        <v>1</v>
      </c>
      <c r="X522">
        <v>1</v>
      </c>
      <c r="Y522">
        <v>1</v>
      </c>
      <c r="Z522">
        <v>1</v>
      </c>
      <c r="AA522">
        <v>1</v>
      </c>
      <c r="AB522">
        <v>1</v>
      </c>
      <c r="AC522">
        <v>1</v>
      </c>
    </row>
    <row r="523" spans="1:29" x14ac:dyDescent="0.45">
      <c r="A523" t="s">
        <v>61</v>
      </c>
      <c r="B523" t="s">
        <v>438</v>
      </c>
      <c r="C523" t="s">
        <v>439</v>
      </c>
      <c r="D523" t="s">
        <v>426</v>
      </c>
      <c r="E523" t="str">
        <f t="shared" si="8"/>
        <v>MO|solar thermal|Summer</v>
      </c>
      <c r="F523">
        <v>1</v>
      </c>
      <c r="G523">
        <v>1</v>
      </c>
      <c r="H523">
        <v>1</v>
      </c>
      <c r="I523">
        <v>1</v>
      </c>
      <c r="J523">
        <v>1</v>
      </c>
      <c r="K523">
        <v>1</v>
      </c>
      <c r="L523">
        <v>1</v>
      </c>
      <c r="M523">
        <v>1</v>
      </c>
      <c r="N523">
        <v>1</v>
      </c>
      <c r="O523">
        <v>1</v>
      </c>
      <c r="P523">
        <v>1</v>
      </c>
      <c r="Q523">
        <v>1</v>
      </c>
      <c r="R523">
        <v>1</v>
      </c>
      <c r="S523">
        <v>1</v>
      </c>
      <c r="T523">
        <v>1</v>
      </c>
      <c r="U523">
        <v>1</v>
      </c>
      <c r="V523">
        <v>1</v>
      </c>
      <c r="W523">
        <v>1</v>
      </c>
      <c r="X523">
        <v>1</v>
      </c>
      <c r="Y523">
        <v>1</v>
      </c>
      <c r="Z523">
        <v>1</v>
      </c>
      <c r="AA523">
        <v>1</v>
      </c>
      <c r="AB523">
        <v>1</v>
      </c>
      <c r="AC523">
        <v>1</v>
      </c>
    </row>
    <row r="524" spans="1:29" x14ac:dyDescent="0.45">
      <c r="A524" t="s">
        <v>61</v>
      </c>
      <c r="B524" t="s">
        <v>438</v>
      </c>
      <c r="C524" t="s">
        <v>439</v>
      </c>
      <c r="D524" t="s">
        <v>427</v>
      </c>
      <c r="E524" t="str">
        <f t="shared" si="8"/>
        <v>MO|solar thermal|Fall</v>
      </c>
      <c r="F524">
        <v>1</v>
      </c>
      <c r="G524">
        <v>1</v>
      </c>
      <c r="H524">
        <v>1</v>
      </c>
      <c r="I524">
        <v>1</v>
      </c>
      <c r="J524">
        <v>1</v>
      </c>
      <c r="K524">
        <v>1</v>
      </c>
      <c r="L524">
        <v>1</v>
      </c>
      <c r="M524">
        <v>1</v>
      </c>
      <c r="N524">
        <v>1</v>
      </c>
      <c r="O524">
        <v>1</v>
      </c>
      <c r="P524">
        <v>1</v>
      </c>
      <c r="Q524">
        <v>1</v>
      </c>
      <c r="R524">
        <v>1</v>
      </c>
      <c r="S524">
        <v>1</v>
      </c>
      <c r="T524">
        <v>1</v>
      </c>
      <c r="U524">
        <v>1</v>
      </c>
      <c r="V524">
        <v>1</v>
      </c>
      <c r="W524">
        <v>1</v>
      </c>
      <c r="X524">
        <v>1</v>
      </c>
      <c r="Y524">
        <v>1</v>
      </c>
      <c r="Z524">
        <v>1</v>
      </c>
      <c r="AA524">
        <v>1</v>
      </c>
      <c r="AB524">
        <v>1</v>
      </c>
      <c r="AC524">
        <v>1</v>
      </c>
    </row>
    <row r="525" spans="1:29" x14ac:dyDescent="0.45">
      <c r="A525" t="s">
        <v>61</v>
      </c>
      <c r="B525" t="s">
        <v>438</v>
      </c>
      <c r="C525" t="s">
        <v>439</v>
      </c>
      <c r="D525" t="s">
        <v>428</v>
      </c>
      <c r="E525" t="str">
        <f t="shared" si="8"/>
        <v>MO|solar thermal|Summer Peak</v>
      </c>
      <c r="F525">
        <v>1</v>
      </c>
      <c r="G525">
        <v>1</v>
      </c>
      <c r="H525">
        <v>1</v>
      </c>
      <c r="I525">
        <v>1</v>
      </c>
      <c r="J525">
        <v>1</v>
      </c>
      <c r="K525">
        <v>1</v>
      </c>
      <c r="L525">
        <v>1</v>
      </c>
      <c r="M525">
        <v>0</v>
      </c>
      <c r="N525">
        <v>0.8639</v>
      </c>
      <c r="O525">
        <v>1</v>
      </c>
      <c r="P525">
        <v>1</v>
      </c>
      <c r="Q525">
        <v>0.97160000000000002</v>
      </c>
      <c r="R525">
        <v>0.96719999999999995</v>
      </c>
      <c r="S525">
        <v>1</v>
      </c>
      <c r="T525">
        <v>1</v>
      </c>
      <c r="U525">
        <v>1</v>
      </c>
      <c r="V525">
        <v>1</v>
      </c>
      <c r="W525">
        <v>1</v>
      </c>
      <c r="X525">
        <v>1</v>
      </c>
      <c r="Y525">
        <v>0.93130000000000002</v>
      </c>
      <c r="Z525">
        <v>0.70220000000000005</v>
      </c>
      <c r="AA525">
        <v>1</v>
      </c>
      <c r="AB525">
        <v>1</v>
      </c>
      <c r="AC525">
        <v>1</v>
      </c>
    </row>
    <row r="526" spans="1:29" x14ac:dyDescent="0.45">
      <c r="A526" t="s">
        <v>61</v>
      </c>
      <c r="B526" t="s">
        <v>438</v>
      </c>
      <c r="C526" t="s">
        <v>439</v>
      </c>
      <c r="D526" t="s">
        <v>429</v>
      </c>
      <c r="E526" t="str">
        <f t="shared" si="8"/>
        <v>MO|solar thermal|Winter Peak</v>
      </c>
      <c r="F526">
        <v>1</v>
      </c>
      <c r="G526">
        <v>1</v>
      </c>
      <c r="H526">
        <v>1</v>
      </c>
      <c r="I526">
        <v>1</v>
      </c>
      <c r="J526">
        <v>1</v>
      </c>
      <c r="K526">
        <v>1</v>
      </c>
      <c r="L526">
        <v>1</v>
      </c>
      <c r="M526">
        <v>1</v>
      </c>
      <c r="N526">
        <v>1</v>
      </c>
      <c r="O526">
        <v>0.2419</v>
      </c>
      <c r="P526">
        <v>0.95320000000000005</v>
      </c>
      <c r="Q526">
        <v>0.88039999999999996</v>
      </c>
      <c r="R526">
        <v>0.97819999999999996</v>
      </c>
      <c r="S526">
        <v>0.98950000000000005</v>
      </c>
      <c r="T526">
        <v>0.99270000000000003</v>
      </c>
      <c r="U526">
        <v>1</v>
      </c>
      <c r="V526">
        <v>1</v>
      </c>
      <c r="W526">
        <v>1</v>
      </c>
      <c r="X526">
        <v>0.89019999999999999</v>
      </c>
      <c r="Y526">
        <v>0</v>
      </c>
      <c r="Z526">
        <v>1</v>
      </c>
      <c r="AA526">
        <v>1</v>
      </c>
      <c r="AB526">
        <v>1</v>
      </c>
      <c r="AC526">
        <v>1</v>
      </c>
    </row>
    <row r="527" spans="1:29" x14ac:dyDescent="0.45">
      <c r="A527" t="s">
        <v>61</v>
      </c>
      <c r="B527" t="s">
        <v>440</v>
      </c>
      <c r="C527" t="s">
        <v>441</v>
      </c>
      <c r="D527" t="s">
        <v>424</v>
      </c>
      <c r="E527" t="str">
        <f t="shared" si="8"/>
        <v>MO|offshore wind|Winter</v>
      </c>
      <c r="F527">
        <v>1</v>
      </c>
      <c r="G527">
        <v>1</v>
      </c>
      <c r="H527">
        <v>1</v>
      </c>
      <c r="I527">
        <v>1</v>
      </c>
      <c r="J527">
        <v>1</v>
      </c>
      <c r="K527">
        <v>1</v>
      </c>
      <c r="L527">
        <v>1</v>
      </c>
      <c r="M527">
        <v>1</v>
      </c>
      <c r="N527">
        <v>1</v>
      </c>
      <c r="O527">
        <v>1</v>
      </c>
      <c r="P527">
        <v>1</v>
      </c>
      <c r="Q527">
        <v>1</v>
      </c>
      <c r="R527">
        <v>1</v>
      </c>
      <c r="S527">
        <v>1</v>
      </c>
      <c r="T527">
        <v>1</v>
      </c>
      <c r="U527">
        <v>1</v>
      </c>
      <c r="V527">
        <v>1</v>
      </c>
      <c r="W527">
        <v>1</v>
      </c>
      <c r="X527">
        <v>1</v>
      </c>
      <c r="Y527">
        <v>1</v>
      </c>
      <c r="Z527">
        <v>1</v>
      </c>
      <c r="AA527">
        <v>1</v>
      </c>
      <c r="AB527">
        <v>1</v>
      </c>
      <c r="AC527">
        <v>1</v>
      </c>
    </row>
    <row r="528" spans="1:29" x14ac:dyDescent="0.45">
      <c r="A528" t="s">
        <v>61</v>
      </c>
      <c r="B528" t="s">
        <v>440</v>
      </c>
      <c r="C528" t="s">
        <v>441</v>
      </c>
      <c r="D528" t="s">
        <v>425</v>
      </c>
      <c r="E528" t="str">
        <f t="shared" si="8"/>
        <v>MO|offshore wind|Spring</v>
      </c>
      <c r="F528">
        <v>1</v>
      </c>
      <c r="G528">
        <v>1</v>
      </c>
      <c r="H528">
        <v>1</v>
      </c>
      <c r="I528">
        <v>1</v>
      </c>
      <c r="J528">
        <v>1</v>
      </c>
      <c r="K528">
        <v>1</v>
      </c>
      <c r="L528">
        <v>1</v>
      </c>
      <c r="M528">
        <v>1</v>
      </c>
      <c r="N528">
        <v>1</v>
      </c>
      <c r="O528">
        <v>1</v>
      </c>
      <c r="P528">
        <v>1</v>
      </c>
      <c r="Q528">
        <v>1</v>
      </c>
      <c r="R528">
        <v>1</v>
      </c>
      <c r="S528">
        <v>1</v>
      </c>
      <c r="T528">
        <v>1</v>
      </c>
      <c r="U528">
        <v>1</v>
      </c>
      <c r="V528">
        <v>1</v>
      </c>
      <c r="W528">
        <v>1</v>
      </c>
      <c r="X528">
        <v>1</v>
      </c>
      <c r="Y528">
        <v>1</v>
      </c>
      <c r="Z528">
        <v>1</v>
      </c>
      <c r="AA528">
        <v>1</v>
      </c>
      <c r="AB528">
        <v>1</v>
      </c>
      <c r="AC528">
        <v>1</v>
      </c>
    </row>
    <row r="529" spans="1:29" x14ac:dyDescent="0.45">
      <c r="A529" t="s">
        <v>61</v>
      </c>
      <c r="B529" t="s">
        <v>440</v>
      </c>
      <c r="C529" t="s">
        <v>441</v>
      </c>
      <c r="D529" t="s">
        <v>426</v>
      </c>
      <c r="E529" t="str">
        <f t="shared" si="8"/>
        <v>MO|offshore wind|Summer</v>
      </c>
      <c r="F529">
        <v>1</v>
      </c>
      <c r="G529">
        <v>1</v>
      </c>
      <c r="H529">
        <v>1</v>
      </c>
      <c r="I529">
        <v>1</v>
      </c>
      <c r="J529">
        <v>1</v>
      </c>
      <c r="K529">
        <v>1</v>
      </c>
      <c r="L529">
        <v>1</v>
      </c>
      <c r="M529">
        <v>1</v>
      </c>
      <c r="N529">
        <v>1</v>
      </c>
      <c r="O529">
        <v>1</v>
      </c>
      <c r="P529">
        <v>1</v>
      </c>
      <c r="Q529">
        <v>1</v>
      </c>
      <c r="R529">
        <v>1</v>
      </c>
      <c r="S529">
        <v>1</v>
      </c>
      <c r="T529">
        <v>1</v>
      </c>
      <c r="U529">
        <v>1</v>
      </c>
      <c r="V529">
        <v>1</v>
      </c>
      <c r="W529">
        <v>1</v>
      </c>
      <c r="X529">
        <v>1</v>
      </c>
      <c r="Y529">
        <v>1</v>
      </c>
      <c r="Z529">
        <v>1</v>
      </c>
      <c r="AA529">
        <v>1</v>
      </c>
      <c r="AB529">
        <v>1</v>
      </c>
      <c r="AC529">
        <v>1</v>
      </c>
    </row>
    <row r="530" spans="1:29" x14ac:dyDescent="0.45">
      <c r="A530" t="s">
        <v>61</v>
      </c>
      <c r="B530" t="s">
        <v>440</v>
      </c>
      <c r="C530" t="s">
        <v>441</v>
      </c>
      <c r="D530" t="s">
        <v>427</v>
      </c>
      <c r="E530" t="str">
        <f t="shared" si="8"/>
        <v>MO|offshore wind|Fall</v>
      </c>
      <c r="F530">
        <v>1</v>
      </c>
      <c r="G530">
        <v>1</v>
      </c>
      <c r="H530">
        <v>1</v>
      </c>
      <c r="I530">
        <v>1</v>
      </c>
      <c r="J530">
        <v>1</v>
      </c>
      <c r="K530">
        <v>1</v>
      </c>
      <c r="L530">
        <v>1</v>
      </c>
      <c r="M530">
        <v>1</v>
      </c>
      <c r="N530">
        <v>1</v>
      </c>
      <c r="O530">
        <v>1</v>
      </c>
      <c r="P530">
        <v>1</v>
      </c>
      <c r="Q530">
        <v>1</v>
      </c>
      <c r="R530">
        <v>1</v>
      </c>
      <c r="S530">
        <v>1</v>
      </c>
      <c r="T530">
        <v>1</v>
      </c>
      <c r="U530">
        <v>1</v>
      </c>
      <c r="V530">
        <v>1</v>
      </c>
      <c r="W530">
        <v>1</v>
      </c>
      <c r="X530">
        <v>1</v>
      </c>
      <c r="Y530">
        <v>1</v>
      </c>
      <c r="Z530">
        <v>1</v>
      </c>
      <c r="AA530">
        <v>1</v>
      </c>
      <c r="AB530">
        <v>1</v>
      </c>
      <c r="AC530">
        <v>1</v>
      </c>
    </row>
    <row r="531" spans="1:29" x14ac:dyDescent="0.45">
      <c r="A531" t="s">
        <v>61</v>
      </c>
      <c r="B531" t="s">
        <v>440</v>
      </c>
      <c r="C531" t="s">
        <v>441</v>
      </c>
      <c r="D531" t="s">
        <v>428</v>
      </c>
      <c r="E531" t="str">
        <f t="shared" si="8"/>
        <v>MO|offshore wind|Summer Peak</v>
      </c>
      <c r="F531">
        <v>0.40810000000000002</v>
      </c>
      <c r="G531">
        <v>0.4239</v>
      </c>
      <c r="H531">
        <v>0.45760000000000001</v>
      </c>
      <c r="I531">
        <v>0.50319999999999998</v>
      </c>
      <c r="J531">
        <v>0.53649999999999998</v>
      </c>
      <c r="K531">
        <v>0.59399999999999997</v>
      </c>
      <c r="L531">
        <v>0.61929999999999996</v>
      </c>
      <c r="M531">
        <v>0.68859999999999999</v>
      </c>
      <c r="N531">
        <v>0.73480000000000001</v>
      </c>
      <c r="O531">
        <v>0.84350000000000003</v>
      </c>
      <c r="P531">
        <v>0.78200000000000003</v>
      </c>
      <c r="Q531">
        <v>0.74650000000000005</v>
      </c>
      <c r="R531">
        <v>0.63690000000000002</v>
      </c>
      <c r="S531">
        <v>0.60860000000000003</v>
      </c>
      <c r="T531">
        <v>0.64339999999999997</v>
      </c>
      <c r="U531">
        <v>0.69269999999999998</v>
      </c>
      <c r="V531">
        <v>0.71450000000000002</v>
      </c>
      <c r="W531">
        <v>0.75070000000000003</v>
      </c>
      <c r="X531">
        <v>0.72489999999999999</v>
      </c>
      <c r="Y531">
        <v>0.66049999999999998</v>
      </c>
      <c r="Z531">
        <v>0.69140000000000001</v>
      </c>
      <c r="AA531">
        <v>0.63080000000000003</v>
      </c>
      <c r="AB531">
        <v>0.63429999999999997</v>
      </c>
      <c r="AC531">
        <v>0.64390000000000003</v>
      </c>
    </row>
    <row r="532" spans="1:29" x14ac:dyDescent="0.45">
      <c r="A532" t="s">
        <v>61</v>
      </c>
      <c r="B532" t="s">
        <v>440</v>
      </c>
      <c r="C532" t="s">
        <v>441</v>
      </c>
      <c r="D532" t="s">
        <v>429</v>
      </c>
      <c r="E532" t="str">
        <f t="shared" si="8"/>
        <v>MO|offshore wind|Winter Peak</v>
      </c>
      <c r="F532">
        <v>0.95309999999999995</v>
      </c>
      <c r="G532">
        <v>0.95030000000000003</v>
      </c>
      <c r="H532">
        <v>0.95540000000000003</v>
      </c>
      <c r="I532">
        <v>0.96679999999999999</v>
      </c>
      <c r="J532">
        <v>1</v>
      </c>
      <c r="K532">
        <v>1</v>
      </c>
      <c r="L532">
        <v>1</v>
      </c>
      <c r="M532">
        <v>0.99209999999999998</v>
      </c>
      <c r="N532">
        <v>0.90149999999999997</v>
      </c>
      <c r="O532">
        <v>0.79779999999999995</v>
      </c>
      <c r="P532">
        <v>0.71879999999999999</v>
      </c>
      <c r="Q532">
        <v>0.67300000000000004</v>
      </c>
      <c r="R532">
        <v>0.60860000000000003</v>
      </c>
      <c r="S532">
        <v>0.58009999999999995</v>
      </c>
      <c r="T532">
        <v>0.58799999999999997</v>
      </c>
      <c r="U532">
        <v>0.61019999999999996</v>
      </c>
      <c r="V532">
        <v>0.61839999999999995</v>
      </c>
      <c r="W532">
        <v>0.60909999999999997</v>
      </c>
      <c r="X532">
        <v>0.62880000000000003</v>
      </c>
      <c r="Y532">
        <v>0.72889999999999999</v>
      </c>
      <c r="Z532">
        <v>0.84719999999999995</v>
      </c>
      <c r="AA532">
        <v>0.92220000000000002</v>
      </c>
      <c r="AB532">
        <v>0.86950000000000005</v>
      </c>
      <c r="AC532">
        <v>0.8054</v>
      </c>
    </row>
    <row r="533" spans="1:29" x14ac:dyDescent="0.45">
      <c r="A533" t="s">
        <v>63</v>
      </c>
      <c r="B533" t="s">
        <v>434</v>
      </c>
      <c r="C533" t="s">
        <v>435</v>
      </c>
      <c r="D533" t="s">
        <v>424</v>
      </c>
      <c r="E533" t="str">
        <f t="shared" si="8"/>
        <v>MS|onshore wind|Winter</v>
      </c>
      <c r="F533">
        <v>1</v>
      </c>
      <c r="G533">
        <v>1</v>
      </c>
      <c r="H533">
        <v>1</v>
      </c>
      <c r="I533">
        <v>1</v>
      </c>
      <c r="J533">
        <v>1</v>
      </c>
      <c r="K533">
        <v>1</v>
      </c>
      <c r="L533">
        <v>1</v>
      </c>
      <c r="M533">
        <v>1</v>
      </c>
      <c r="N533">
        <v>1</v>
      </c>
      <c r="O533">
        <v>1</v>
      </c>
      <c r="P533">
        <v>1</v>
      </c>
      <c r="Q533">
        <v>1</v>
      </c>
      <c r="R533">
        <v>1</v>
      </c>
      <c r="S533">
        <v>1</v>
      </c>
      <c r="T533">
        <v>1</v>
      </c>
      <c r="U533">
        <v>1</v>
      </c>
      <c r="V533">
        <v>1</v>
      </c>
      <c r="W533">
        <v>1</v>
      </c>
      <c r="X533">
        <v>1</v>
      </c>
      <c r="Y533">
        <v>1</v>
      </c>
      <c r="Z533">
        <v>1</v>
      </c>
      <c r="AA533">
        <v>1</v>
      </c>
      <c r="AB533">
        <v>1</v>
      </c>
      <c r="AC533">
        <v>1</v>
      </c>
    </row>
    <row r="534" spans="1:29" x14ac:dyDescent="0.45">
      <c r="A534" t="s">
        <v>63</v>
      </c>
      <c r="B534" t="s">
        <v>434</v>
      </c>
      <c r="C534" t="s">
        <v>435</v>
      </c>
      <c r="D534" t="s">
        <v>425</v>
      </c>
      <c r="E534" t="str">
        <f t="shared" si="8"/>
        <v>MS|onshore wind|Spring</v>
      </c>
      <c r="F534">
        <v>1</v>
      </c>
      <c r="G534">
        <v>1</v>
      </c>
      <c r="H534">
        <v>1</v>
      </c>
      <c r="I534">
        <v>1</v>
      </c>
      <c r="J534">
        <v>1</v>
      </c>
      <c r="K534">
        <v>1</v>
      </c>
      <c r="L534">
        <v>1</v>
      </c>
      <c r="M534">
        <v>1</v>
      </c>
      <c r="N534">
        <v>1</v>
      </c>
      <c r="O534">
        <v>1</v>
      </c>
      <c r="P534">
        <v>1</v>
      </c>
      <c r="Q534">
        <v>1</v>
      </c>
      <c r="R534">
        <v>1</v>
      </c>
      <c r="S534">
        <v>1</v>
      </c>
      <c r="T534">
        <v>1</v>
      </c>
      <c r="U534">
        <v>1</v>
      </c>
      <c r="V534">
        <v>1</v>
      </c>
      <c r="W534">
        <v>1</v>
      </c>
      <c r="X534">
        <v>1</v>
      </c>
      <c r="Y534">
        <v>1</v>
      </c>
      <c r="Z534">
        <v>1</v>
      </c>
      <c r="AA534">
        <v>1</v>
      </c>
      <c r="AB534">
        <v>1</v>
      </c>
      <c r="AC534">
        <v>1</v>
      </c>
    </row>
    <row r="535" spans="1:29" x14ac:dyDescent="0.45">
      <c r="A535" t="s">
        <v>63</v>
      </c>
      <c r="B535" t="s">
        <v>434</v>
      </c>
      <c r="C535" t="s">
        <v>435</v>
      </c>
      <c r="D535" t="s">
        <v>426</v>
      </c>
      <c r="E535" t="str">
        <f t="shared" si="8"/>
        <v>MS|onshore wind|Summer</v>
      </c>
      <c r="F535">
        <v>1</v>
      </c>
      <c r="G535">
        <v>1</v>
      </c>
      <c r="H535">
        <v>1</v>
      </c>
      <c r="I535">
        <v>1</v>
      </c>
      <c r="J535">
        <v>1</v>
      </c>
      <c r="K535">
        <v>1</v>
      </c>
      <c r="L535">
        <v>1</v>
      </c>
      <c r="M535">
        <v>1</v>
      </c>
      <c r="N535">
        <v>1</v>
      </c>
      <c r="O535">
        <v>1</v>
      </c>
      <c r="P535">
        <v>1</v>
      </c>
      <c r="Q535">
        <v>1</v>
      </c>
      <c r="R535">
        <v>1</v>
      </c>
      <c r="S535">
        <v>1</v>
      </c>
      <c r="T535">
        <v>1</v>
      </c>
      <c r="U535">
        <v>1</v>
      </c>
      <c r="V535">
        <v>1</v>
      </c>
      <c r="W535">
        <v>1</v>
      </c>
      <c r="X535">
        <v>1</v>
      </c>
      <c r="Y535">
        <v>1</v>
      </c>
      <c r="Z535">
        <v>1</v>
      </c>
      <c r="AA535">
        <v>1</v>
      </c>
      <c r="AB535">
        <v>1</v>
      </c>
      <c r="AC535">
        <v>1</v>
      </c>
    </row>
    <row r="536" spans="1:29" x14ac:dyDescent="0.45">
      <c r="A536" t="s">
        <v>63</v>
      </c>
      <c r="B536" t="s">
        <v>434</v>
      </c>
      <c r="C536" t="s">
        <v>435</v>
      </c>
      <c r="D536" t="s">
        <v>427</v>
      </c>
      <c r="E536" t="str">
        <f t="shared" si="8"/>
        <v>MS|onshore wind|Fall</v>
      </c>
      <c r="F536">
        <v>1</v>
      </c>
      <c r="G536">
        <v>1</v>
      </c>
      <c r="H536">
        <v>1</v>
      </c>
      <c r="I536">
        <v>1</v>
      </c>
      <c r="J536">
        <v>1</v>
      </c>
      <c r="K536">
        <v>1</v>
      </c>
      <c r="L536">
        <v>1</v>
      </c>
      <c r="M536">
        <v>1</v>
      </c>
      <c r="N536">
        <v>1</v>
      </c>
      <c r="O536">
        <v>1</v>
      </c>
      <c r="P536">
        <v>1</v>
      </c>
      <c r="Q536">
        <v>1</v>
      </c>
      <c r="R536">
        <v>1</v>
      </c>
      <c r="S536">
        <v>1</v>
      </c>
      <c r="T536">
        <v>1</v>
      </c>
      <c r="U536">
        <v>1</v>
      </c>
      <c r="V536">
        <v>1</v>
      </c>
      <c r="W536">
        <v>1</v>
      </c>
      <c r="X536">
        <v>1</v>
      </c>
      <c r="Y536">
        <v>1</v>
      </c>
      <c r="Z536">
        <v>1</v>
      </c>
      <c r="AA536">
        <v>1</v>
      </c>
      <c r="AB536">
        <v>1</v>
      </c>
      <c r="AC536">
        <v>1</v>
      </c>
    </row>
    <row r="537" spans="1:29" x14ac:dyDescent="0.45">
      <c r="A537" t="s">
        <v>63</v>
      </c>
      <c r="B537" t="s">
        <v>434</v>
      </c>
      <c r="C537" t="s">
        <v>435</v>
      </c>
      <c r="D537" t="s">
        <v>428</v>
      </c>
      <c r="E537" t="str">
        <f t="shared" si="8"/>
        <v>MS|onshore wind|Summer Peak</v>
      </c>
      <c r="F537">
        <v>0.92130000000000001</v>
      </c>
      <c r="G537">
        <v>0.92800000000000005</v>
      </c>
      <c r="H537">
        <v>0.95289999999999997</v>
      </c>
      <c r="I537">
        <v>0.94940000000000002</v>
      </c>
      <c r="J537">
        <v>0.93440000000000001</v>
      </c>
      <c r="K537">
        <v>0.94220000000000004</v>
      </c>
      <c r="L537">
        <v>0.96179999999999999</v>
      </c>
      <c r="M537">
        <v>0.91600000000000004</v>
      </c>
      <c r="N537">
        <v>0.81699999999999995</v>
      </c>
      <c r="O537">
        <v>0.7732</v>
      </c>
      <c r="P537">
        <v>0.76719999999999999</v>
      </c>
      <c r="Q537">
        <v>0.75590000000000002</v>
      </c>
      <c r="R537">
        <v>0.69110000000000005</v>
      </c>
      <c r="S537">
        <v>0.75690000000000002</v>
      </c>
      <c r="T537">
        <v>0.82179999999999997</v>
      </c>
      <c r="U537">
        <v>0.83940000000000003</v>
      </c>
      <c r="V537">
        <v>0.86229999999999996</v>
      </c>
      <c r="W537">
        <v>0.89380000000000004</v>
      </c>
      <c r="X537">
        <v>0.9103</v>
      </c>
      <c r="Y537">
        <v>0.9335</v>
      </c>
      <c r="Z537">
        <v>0.92900000000000005</v>
      </c>
      <c r="AA537">
        <v>0.9536</v>
      </c>
      <c r="AB537">
        <v>0.97609999999999997</v>
      </c>
      <c r="AC537">
        <v>0.98950000000000005</v>
      </c>
    </row>
    <row r="538" spans="1:29" x14ac:dyDescent="0.45">
      <c r="A538" t="s">
        <v>63</v>
      </c>
      <c r="B538" t="s">
        <v>434</v>
      </c>
      <c r="C538" t="s">
        <v>435</v>
      </c>
      <c r="D538" t="s">
        <v>429</v>
      </c>
      <c r="E538" t="str">
        <f t="shared" si="8"/>
        <v>MS|onshore wind|Winter Peak</v>
      </c>
      <c r="F538">
        <v>0.88390000000000002</v>
      </c>
      <c r="G538">
        <v>0.8569</v>
      </c>
      <c r="H538">
        <v>0.83889999999999998</v>
      </c>
      <c r="I538">
        <v>0.8246</v>
      </c>
      <c r="J538">
        <v>0.80969999999999998</v>
      </c>
      <c r="K538">
        <v>0.77990000000000004</v>
      </c>
      <c r="L538">
        <v>0.79559999999999997</v>
      </c>
      <c r="M538">
        <v>0.80669999999999997</v>
      </c>
      <c r="N538">
        <v>0.85460000000000003</v>
      </c>
      <c r="O538">
        <v>0.89159999999999995</v>
      </c>
      <c r="P538">
        <v>0.94589999999999996</v>
      </c>
      <c r="Q538">
        <v>0.95920000000000005</v>
      </c>
      <c r="R538">
        <v>0.97199999999999998</v>
      </c>
      <c r="S538">
        <v>0.96030000000000004</v>
      </c>
      <c r="T538">
        <v>0.88890000000000002</v>
      </c>
      <c r="U538">
        <v>0.85070000000000001</v>
      </c>
      <c r="V538">
        <v>0.92669999999999997</v>
      </c>
      <c r="W538">
        <v>0.88770000000000004</v>
      </c>
      <c r="X538">
        <v>0.87509999999999999</v>
      </c>
      <c r="Y538">
        <v>0.84089999999999998</v>
      </c>
      <c r="Z538">
        <v>0.81079999999999997</v>
      </c>
      <c r="AA538">
        <v>0.80730000000000002</v>
      </c>
      <c r="AB538">
        <v>0.79849999999999999</v>
      </c>
      <c r="AC538">
        <v>0.78990000000000005</v>
      </c>
    </row>
    <row r="539" spans="1:29" x14ac:dyDescent="0.45">
      <c r="A539" t="s">
        <v>63</v>
      </c>
      <c r="B539" t="s">
        <v>436</v>
      </c>
      <c r="C539" t="s">
        <v>437</v>
      </c>
      <c r="D539" t="s">
        <v>424</v>
      </c>
      <c r="E539" t="str">
        <f t="shared" si="8"/>
        <v>MS|solar pv|Winter</v>
      </c>
      <c r="F539">
        <v>1</v>
      </c>
      <c r="G539">
        <v>1</v>
      </c>
      <c r="H539">
        <v>1</v>
      </c>
      <c r="I539">
        <v>1</v>
      </c>
      <c r="J539">
        <v>1</v>
      </c>
      <c r="K539">
        <v>1</v>
      </c>
      <c r="L539">
        <v>1</v>
      </c>
      <c r="M539">
        <v>1</v>
      </c>
      <c r="N539">
        <v>1</v>
      </c>
      <c r="O539">
        <v>1</v>
      </c>
      <c r="P539">
        <v>1</v>
      </c>
      <c r="Q539">
        <v>1</v>
      </c>
      <c r="R539">
        <v>1</v>
      </c>
      <c r="S539">
        <v>1</v>
      </c>
      <c r="T539">
        <v>1</v>
      </c>
      <c r="U539">
        <v>1</v>
      </c>
      <c r="V539">
        <v>1</v>
      </c>
      <c r="W539">
        <v>1</v>
      </c>
      <c r="X539">
        <v>1</v>
      </c>
      <c r="Y539">
        <v>1</v>
      </c>
      <c r="Z539">
        <v>1</v>
      </c>
      <c r="AA539">
        <v>1</v>
      </c>
      <c r="AB539">
        <v>1</v>
      </c>
      <c r="AC539">
        <v>1</v>
      </c>
    </row>
    <row r="540" spans="1:29" x14ac:dyDescent="0.45">
      <c r="A540" t="s">
        <v>63</v>
      </c>
      <c r="B540" t="s">
        <v>436</v>
      </c>
      <c r="C540" t="s">
        <v>437</v>
      </c>
      <c r="D540" t="s">
        <v>425</v>
      </c>
      <c r="E540" t="str">
        <f t="shared" si="8"/>
        <v>MS|solar pv|Spring</v>
      </c>
      <c r="F540">
        <v>1</v>
      </c>
      <c r="G540">
        <v>1</v>
      </c>
      <c r="H540">
        <v>1</v>
      </c>
      <c r="I540">
        <v>1</v>
      </c>
      <c r="J540">
        <v>1</v>
      </c>
      <c r="K540">
        <v>1</v>
      </c>
      <c r="L540">
        <v>1</v>
      </c>
      <c r="M540">
        <v>1</v>
      </c>
      <c r="N540">
        <v>1</v>
      </c>
      <c r="O540">
        <v>1</v>
      </c>
      <c r="P540">
        <v>1</v>
      </c>
      <c r="Q540">
        <v>1</v>
      </c>
      <c r="R540">
        <v>1</v>
      </c>
      <c r="S540">
        <v>1</v>
      </c>
      <c r="T540">
        <v>1</v>
      </c>
      <c r="U540">
        <v>1</v>
      </c>
      <c r="V540">
        <v>1</v>
      </c>
      <c r="W540">
        <v>1</v>
      </c>
      <c r="X540">
        <v>1</v>
      </c>
      <c r="Y540">
        <v>1</v>
      </c>
      <c r="Z540">
        <v>1</v>
      </c>
      <c r="AA540">
        <v>1</v>
      </c>
      <c r="AB540">
        <v>1</v>
      </c>
      <c r="AC540">
        <v>1</v>
      </c>
    </row>
    <row r="541" spans="1:29" x14ac:dyDescent="0.45">
      <c r="A541" t="s">
        <v>63</v>
      </c>
      <c r="B541" t="s">
        <v>436</v>
      </c>
      <c r="C541" t="s">
        <v>437</v>
      </c>
      <c r="D541" t="s">
        <v>426</v>
      </c>
      <c r="E541" t="str">
        <f t="shared" si="8"/>
        <v>MS|solar pv|Summer</v>
      </c>
      <c r="F541">
        <v>1</v>
      </c>
      <c r="G541">
        <v>1</v>
      </c>
      <c r="H541">
        <v>1</v>
      </c>
      <c r="I541">
        <v>1</v>
      </c>
      <c r="J541">
        <v>1</v>
      </c>
      <c r="K541">
        <v>1</v>
      </c>
      <c r="L541">
        <v>1</v>
      </c>
      <c r="M541">
        <v>1</v>
      </c>
      <c r="N541">
        <v>1</v>
      </c>
      <c r="O541">
        <v>1</v>
      </c>
      <c r="P541">
        <v>1</v>
      </c>
      <c r="Q541">
        <v>1</v>
      </c>
      <c r="R541">
        <v>1</v>
      </c>
      <c r="S541">
        <v>1</v>
      </c>
      <c r="T541">
        <v>1</v>
      </c>
      <c r="U541">
        <v>1</v>
      </c>
      <c r="V541">
        <v>1</v>
      </c>
      <c r="W541">
        <v>1</v>
      </c>
      <c r="X541">
        <v>1</v>
      </c>
      <c r="Y541">
        <v>1</v>
      </c>
      <c r="Z541">
        <v>1</v>
      </c>
      <c r="AA541">
        <v>1</v>
      </c>
      <c r="AB541">
        <v>1</v>
      </c>
      <c r="AC541">
        <v>1</v>
      </c>
    </row>
    <row r="542" spans="1:29" x14ac:dyDescent="0.45">
      <c r="A542" t="s">
        <v>63</v>
      </c>
      <c r="B542" t="s">
        <v>436</v>
      </c>
      <c r="C542" t="s">
        <v>437</v>
      </c>
      <c r="D542" t="s">
        <v>427</v>
      </c>
      <c r="E542" t="str">
        <f t="shared" si="8"/>
        <v>MS|solar pv|Fall</v>
      </c>
      <c r="F542">
        <v>1</v>
      </c>
      <c r="G542">
        <v>1</v>
      </c>
      <c r="H542">
        <v>1</v>
      </c>
      <c r="I542">
        <v>1</v>
      </c>
      <c r="J542">
        <v>1</v>
      </c>
      <c r="K542">
        <v>1</v>
      </c>
      <c r="L542">
        <v>1</v>
      </c>
      <c r="M542">
        <v>1</v>
      </c>
      <c r="N542">
        <v>1</v>
      </c>
      <c r="O542">
        <v>1</v>
      </c>
      <c r="P542">
        <v>1</v>
      </c>
      <c r="Q542">
        <v>1</v>
      </c>
      <c r="R542">
        <v>1</v>
      </c>
      <c r="S542">
        <v>1</v>
      </c>
      <c r="T542">
        <v>1</v>
      </c>
      <c r="U542">
        <v>1</v>
      </c>
      <c r="V542">
        <v>1</v>
      </c>
      <c r="W542">
        <v>1</v>
      </c>
      <c r="X542">
        <v>1</v>
      </c>
      <c r="Y542">
        <v>1</v>
      </c>
      <c r="Z542">
        <v>1</v>
      </c>
      <c r="AA542">
        <v>1</v>
      </c>
      <c r="AB542">
        <v>1</v>
      </c>
      <c r="AC542">
        <v>1</v>
      </c>
    </row>
    <row r="543" spans="1:29" x14ac:dyDescent="0.45">
      <c r="A543" t="s">
        <v>63</v>
      </c>
      <c r="B543" t="s">
        <v>436</v>
      </c>
      <c r="C543" t="s">
        <v>437</v>
      </c>
      <c r="D543" t="s">
        <v>428</v>
      </c>
      <c r="E543" t="str">
        <f t="shared" si="8"/>
        <v>MS|solar pv|Summer Peak</v>
      </c>
      <c r="F543">
        <v>1</v>
      </c>
      <c r="G543">
        <v>1</v>
      </c>
      <c r="H543">
        <v>1</v>
      </c>
      <c r="I543">
        <v>1</v>
      </c>
      <c r="J543">
        <v>0.23300000000000001</v>
      </c>
      <c r="K543">
        <v>0.72799999999999998</v>
      </c>
      <c r="L543">
        <v>0.88009999999999999</v>
      </c>
      <c r="M543">
        <v>0.92520000000000002</v>
      </c>
      <c r="N543">
        <v>0.94710000000000005</v>
      </c>
      <c r="O543">
        <v>0.95</v>
      </c>
      <c r="P543">
        <v>0.97099999999999997</v>
      </c>
      <c r="Q543">
        <v>0.97389999999999999</v>
      </c>
      <c r="R543">
        <v>0.97009999999999996</v>
      </c>
      <c r="S543">
        <v>0.96579999999999999</v>
      </c>
      <c r="T543">
        <v>0.96309999999999996</v>
      </c>
      <c r="U543">
        <v>0.96740000000000004</v>
      </c>
      <c r="V543">
        <v>0.94110000000000005</v>
      </c>
      <c r="W543">
        <v>0.95469999999999999</v>
      </c>
      <c r="X543">
        <v>0.94199999999999995</v>
      </c>
      <c r="Y543">
        <v>0.87960000000000005</v>
      </c>
      <c r="Z543">
        <v>0.79139999999999999</v>
      </c>
      <c r="AA543">
        <v>0.79200000000000004</v>
      </c>
      <c r="AB543">
        <v>1</v>
      </c>
      <c r="AC543">
        <v>1</v>
      </c>
    </row>
    <row r="544" spans="1:29" x14ac:dyDescent="0.45">
      <c r="A544" t="s">
        <v>63</v>
      </c>
      <c r="B544" t="s">
        <v>436</v>
      </c>
      <c r="C544" t="s">
        <v>437</v>
      </c>
      <c r="D544" t="s">
        <v>429</v>
      </c>
      <c r="E544" t="str">
        <f t="shared" si="8"/>
        <v>MS|solar pv|Winter Peak</v>
      </c>
      <c r="F544">
        <v>1</v>
      </c>
      <c r="G544">
        <v>1</v>
      </c>
      <c r="H544">
        <v>1</v>
      </c>
      <c r="I544">
        <v>1</v>
      </c>
      <c r="J544">
        <v>1</v>
      </c>
      <c r="K544">
        <v>1</v>
      </c>
      <c r="L544">
        <v>1</v>
      </c>
      <c r="M544">
        <v>0.91820000000000002</v>
      </c>
      <c r="N544">
        <v>0.88980000000000004</v>
      </c>
      <c r="O544">
        <v>0.87790000000000001</v>
      </c>
      <c r="P544">
        <v>0.88090000000000002</v>
      </c>
      <c r="Q544">
        <v>0.90290000000000004</v>
      </c>
      <c r="R544">
        <v>0.93200000000000005</v>
      </c>
      <c r="S544">
        <v>0.92700000000000005</v>
      </c>
      <c r="T544">
        <v>0.89710000000000001</v>
      </c>
      <c r="U544">
        <v>0.87209999999999999</v>
      </c>
      <c r="V544">
        <v>0.84419999999999995</v>
      </c>
      <c r="W544">
        <v>0.86119999999999997</v>
      </c>
      <c r="X544">
        <v>0.69</v>
      </c>
      <c r="Y544">
        <v>0.02</v>
      </c>
      <c r="Z544">
        <v>1</v>
      </c>
      <c r="AA544">
        <v>1</v>
      </c>
      <c r="AB544">
        <v>1</v>
      </c>
      <c r="AC544">
        <v>1</v>
      </c>
    </row>
    <row r="545" spans="1:29" x14ac:dyDescent="0.45">
      <c r="A545" t="s">
        <v>63</v>
      </c>
      <c r="B545" t="s">
        <v>438</v>
      </c>
      <c r="C545" t="s">
        <v>439</v>
      </c>
      <c r="D545" t="s">
        <v>424</v>
      </c>
      <c r="E545" t="str">
        <f t="shared" si="8"/>
        <v>MS|solar thermal|Winter</v>
      </c>
      <c r="F545">
        <v>1</v>
      </c>
      <c r="G545">
        <v>1</v>
      </c>
      <c r="H545">
        <v>1</v>
      </c>
      <c r="I545">
        <v>1</v>
      </c>
      <c r="J545">
        <v>1</v>
      </c>
      <c r="K545">
        <v>1</v>
      </c>
      <c r="L545">
        <v>1</v>
      </c>
      <c r="M545">
        <v>1</v>
      </c>
      <c r="N545">
        <v>1</v>
      </c>
      <c r="O545">
        <v>1</v>
      </c>
      <c r="P545">
        <v>1</v>
      </c>
      <c r="Q545">
        <v>1</v>
      </c>
      <c r="R545">
        <v>1</v>
      </c>
      <c r="S545">
        <v>1</v>
      </c>
      <c r="T545">
        <v>1</v>
      </c>
      <c r="U545">
        <v>1</v>
      </c>
      <c r="V545">
        <v>1</v>
      </c>
      <c r="W545">
        <v>1</v>
      </c>
      <c r="X545">
        <v>1</v>
      </c>
      <c r="Y545">
        <v>1</v>
      </c>
      <c r="Z545">
        <v>1</v>
      </c>
      <c r="AA545">
        <v>1</v>
      </c>
      <c r="AB545">
        <v>1</v>
      </c>
      <c r="AC545">
        <v>1</v>
      </c>
    </row>
    <row r="546" spans="1:29" x14ac:dyDescent="0.45">
      <c r="A546" t="s">
        <v>63</v>
      </c>
      <c r="B546" t="s">
        <v>438</v>
      </c>
      <c r="C546" t="s">
        <v>439</v>
      </c>
      <c r="D546" t="s">
        <v>425</v>
      </c>
      <c r="E546" t="str">
        <f t="shared" si="8"/>
        <v>MS|solar thermal|Spring</v>
      </c>
      <c r="F546">
        <v>1</v>
      </c>
      <c r="G546">
        <v>1</v>
      </c>
      <c r="H546">
        <v>1</v>
      </c>
      <c r="I546">
        <v>1</v>
      </c>
      <c r="J546">
        <v>1</v>
      </c>
      <c r="K546">
        <v>1</v>
      </c>
      <c r="L546">
        <v>1</v>
      </c>
      <c r="M546">
        <v>1</v>
      </c>
      <c r="N546">
        <v>1</v>
      </c>
      <c r="O546">
        <v>1</v>
      </c>
      <c r="P546">
        <v>1</v>
      </c>
      <c r="Q546">
        <v>1</v>
      </c>
      <c r="R546">
        <v>1</v>
      </c>
      <c r="S546">
        <v>1</v>
      </c>
      <c r="T546">
        <v>1</v>
      </c>
      <c r="U546">
        <v>1</v>
      </c>
      <c r="V546">
        <v>1</v>
      </c>
      <c r="W546">
        <v>1</v>
      </c>
      <c r="X546">
        <v>1</v>
      </c>
      <c r="Y546">
        <v>1</v>
      </c>
      <c r="Z546">
        <v>1</v>
      </c>
      <c r="AA546">
        <v>1</v>
      </c>
      <c r="AB546">
        <v>1</v>
      </c>
      <c r="AC546">
        <v>1</v>
      </c>
    </row>
    <row r="547" spans="1:29" x14ac:dyDescent="0.45">
      <c r="A547" t="s">
        <v>63</v>
      </c>
      <c r="B547" t="s">
        <v>438</v>
      </c>
      <c r="C547" t="s">
        <v>439</v>
      </c>
      <c r="D547" t="s">
        <v>426</v>
      </c>
      <c r="E547" t="str">
        <f t="shared" si="8"/>
        <v>MS|solar thermal|Summer</v>
      </c>
      <c r="F547">
        <v>1</v>
      </c>
      <c r="G547">
        <v>1</v>
      </c>
      <c r="H547">
        <v>1</v>
      </c>
      <c r="I547">
        <v>1</v>
      </c>
      <c r="J547">
        <v>1</v>
      </c>
      <c r="K547">
        <v>1</v>
      </c>
      <c r="L547">
        <v>1</v>
      </c>
      <c r="M547">
        <v>1</v>
      </c>
      <c r="N547">
        <v>1</v>
      </c>
      <c r="O547">
        <v>1</v>
      </c>
      <c r="P547">
        <v>1</v>
      </c>
      <c r="Q547">
        <v>1</v>
      </c>
      <c r="R547">
        <v>1</v>
      </c>
      <c r="S547">
        <v>1</v>
      </c>
      <c r="T547">
        <v>1</v>
      </c>
      <c r="U547">
        <v>1</v>
      </c>
      <c r="V547">
        <v>1</v>
      </c>
      <c r="W547">
        <v>1</v>
      </c>
      <c r="X547">
        <v>1</v>
      </c>
      <c r="Y547">
        <v>1</v>
      </c>
      <c r="Z547">
        <v>1</v>
      </c>
      <c r="AA547">
        <v>1</v>
      </c>
      <c r="AB547">
        <v>1</v>
      </c>
      <c r="AC547">
        <v>1</v>
      </c>
    </row>
    <row r="548" spans="1:29" x14ac:dyDescent="0.45">
      <c r="A548" t="s">
        <v>63</v>
      </c>
      <c r="B548" t="s">
        <v>438</v>
      </c>
      <c r="C548" t="s">
        <v>439</v>
      </c>
      <c r="D548" t="s">
        <v>427</v>
      </c>
      <c r="E548" t="str">
        <f t="shared" si="8"/>
        <v>MS|solar thermal|Fall</v>
      </c>
      <c r="F548">
        <v>1</v>
      </c>
      <c r="G548">
        <v>1</v>
      </c>
      <c r="H548">
        <v>1</v>
      </c>
      <c r="I548">
        <v>1</v>
      </c>
      <c r="J548">
        <v>1</v>
      </c>
      <c r="K548">
        <v>1</v>
      </c>
      <c r="L548">
        <v>1</v>
      </c>
      <c r="M548">
        <v>1</v>
      </c>
      <c r="N548">
        <v>1</v>
      </c>
      <c r="O548">
        <v>1</v>
      </c>
      <c r="P548">
        <v>1</v>
      </c>
      <c r="Q548">
        <v>1</v>
      </c>
      <c r="R548">
        <v>1</v>
      </c>
      <c r="S548">
        <v>1</v>
      </c>
      <c r="T548">
        <v>1</v>
      </c>
      <c r="U548">
        <v>1</v>
      </c>
      <c r="V548">
        <v>1</v>
      </c>
      <c r="W548">
        <v>1</v>
      </c>
      <c r="X548">
        <v>1</v>
      </c>
      <c r="Y548">
        <v>1</v>
      </c>
      <c r="Z548">
        <v>1</v>
      </c>
      <c r="AA548">
        <v>1</v>
      </c>
      <c r="AB548">
        <v>1</v>
      </c>
      <c r="AC548">
        <v>1</v>
      </c>
    </row>
    <row r="549" spans="1:29" x14ac:dyDescent="0.45">
      <c r="A549" t="s">
        <v>63</v>
      </c>
      <c r="B549" t="s">
        <v>438</v>
      </c>
      <c r="C549" t="s">
        <v>439</v>
      </c>
      <c r="D549" t="s">
        <v>428</v>
      </c>
      <c r="E549" t="str">
        <f t="shared" si="8"/>
        <v>MS|solar thermal|Summer Peak</v>
      </c>
      <c r="F549">
        <v>1</v>
      </c>
      <c r="G549">
        <v>1</v>
      </c>
      <c r="H549">
        <v>1</v>
      </c>
      <c r="I549">
        <v>1</v>
      </c>
      <c r="J549">
        <v>1</v>
      </c>
      <c r="K549">
        <v>1</v>
      </c>
      <c r="L549">
        <v>1</v>
      </c>
      <c r="M549">
        <v>0</v>
      </c>
      <c r="N549">
        <v>0.8639</v>
      </c>
      <c r="O549">
        <v>1</v>
      </c>
      <c r="P549">
        <v>1</v>
      </c>
      <c r="Q549">
        <v>0.97160000000000002</v>
      </c>
      <c r="R549">
        <v>0.96719999999999995</v>
      </c>
      <c r="S549">
        <v>1</v>
      </c>
      <c r="T549">
        <v>1</v>
      </c>
      <c r="U549">
        <v>1</v>
      </c>
      <c r="V549">
        <v>1</v>
      </c>
      <c r="W549">
        <v>1</v>
      </c>
      <c r="X549">
        <v>1</v>
      </c>
      <c r="Y549">
        <v>0.93130000000000002</v>
      </c>
      <c r="Z549">
        <v>0.70220000000000005</v>
      </c>
      <c r="AA549">
        <v>1</v>
      </c>
      <c r="AB549">
        <v>1</v>
      </c>
      <c r="AC549">
        <v>1</v>
      </c>
    </row>
    <row r="550" spans="1:29" x14ac:dyDescent="0.45">
      <c r="A550" t="s">
        <v>63</v>
      </c>
      <c r="B550" t="s">
        <v>438</v>
      </c>
      <c r="C550" t="s">
        <v>439</v>
      </c>
      <c r="D550" t="s">
        <v>429</v>
      </c>
      <c r="E550" t="str">
        <f t="shared" si="8"/>
        <v>MS|solar thermal|Winter Peak</v>
      </c>
      <c r="F550">
        <v>1</v>
      </c>
      <c r="G550">
        <v>1</v>
      </c>
      <c r="H550">
        <v>1</v>
      </c>
      <c r="I550">
        <v>1</v>
      </c>
      <c r="J550">
        <v>1</v>
      </c>
      <c r="K550">
        <v>1</v>
      </c>
      <c r="L550">
        <v>1</v>
      </c>
      <c r="M550">
        <v>1</v>
      </c>
      <c r="N550">
        <v>1</v>
      </c>
      <c r="O550">
        <v>0.2419</v>
      </c>
      <c r="P550">
        <v>0.95320000000000005</v>
      </c>
      <c r="Q550">
        <v>0.88039999999999996</v>
      </c>
      <c r="R550">
        <v>0.97819999999999996</v>
      </c>
      <c r="S550">
        <v>0.98950000000000005</v>
      </c>
      <c r="T550">
        <v>0.99270000000000003</v>
      </c>
      <c r="U550">
        <v>1</v>
      </c>
      <c r="V550">
        <v>1</v>
      </c>
      <c r="W550">
        <v>1</v>
      </c>
      <c r="X550">
        <v>0.89019999999999999</v>
      </c>
      <c r="Y550">
        <v>0</v>
      </c>
      <c r="Z550">
        <v>1</v>
      </c>
      <c r="AA550">
        <v>1</v>
      </c>
      <c r="AB550">
        <v>1</v>
      </c>
      <c r="AC550">
        <v>1</v>
      </c>
    </row>
    <row r="551" spans="1:29" x14ac:dyDescent="0.45">
      <c r="A551" t="s">
        <v>63</v>
      </c>
      <c r="B551" t="s">
        <v>440</v>
      </c>
      <c r="C551" t="s">
        <v>441</v>
      </c>
      <c r="D551" t="s">
        <v>424</v>
      </c>
      <c r="E551" t="str">
        <f t="shared" si="8"/>
        <v>MS|offshore wind|Winter</v>
      </c>
      <c r="F551">
        <v>1</v>
      </c>
      <c r="G551">
        <v>1</v>
      </c>
      <c r="H551">
        <v>1</v>
      </c>
      <c r="I551">
        <v>1</v>
      </c>
      <c r="J551">
        <v>1</v>
      </c>
      <c r="K551">
        <v>1</v>
      </c>
      <c r="L551">
        <v>1</v>
      </c>
      <c r="M551">
        <v>1</v>
      </c>
      <c r="N551">
        <v>1</v>
      </c>
      <c r="O551">
        <v>1</v>
      </c>
      <c r="P551">
        <v>1</v>
      </c>
      <c r="Q551">
        <v>1</v>
      </c>
      <c r="R551">
        <v>1</v>
      </c>
      <c r="S551">
        <v>1</v>
      </c>
      <c r="T551">
        <v>1</v>
      </c>
      <c r="U551">
        <v>1</v>
      </c>
      <c r="V551">
        <v>1</v>
      </c>
      <c r="W551">
        <v>1</v>
      </c>
      <c r="X551">
        <v>1</v>
      </c>
      <c r="Y551">
        <v>1</v>
      </c>
      <c r="Z551">
        <v>1</v>
      </c>
      <c r="AA551">
        <v>1</v>
      </c>
      <c r="AB551">
        <v>1</v>
      </c>
      <c r="AC551">
        <v>1</v>
      </c>
    </row>
    <row r="552" spans="1:29" x14ac:dyDescent="0.45">
      <c r="A552" t="s">
        <v>63</v>
      </c>
      <c r="B552" t="s">
        <v>440</v>
      </c>
      <c r="C552" t="s">
        <v>441</v>
      </c>
      <c r="D552" t="s">
        <v>425</v>
      </c>
      <c r="E552" t="str">
        <f t="shared" si="8"/>
        <v>MS|offshore wind|Spring</v>
      </c>
      <c r="F552">
        <v>1</v>
      </c>
      <c r="G552">
        <v>1</v>
      </c>
      <c r="H552">
        <v>1</v>
      </c>
      <c r="I552">
        <v>1</v>
      </c>
      <c r="J552">
        <v>1</v>
      </c>
      <c r="K552">
        <v>1</v>
      </c>
      <c r="L552">
        <v>1</v>
      </c>
      <c r="M552">
        <v>1</v>
      </c>
      <c r="N552">
        <v>1</v>
      </c>
      <c r="O552">
        <v>1</v>
      </c>
      <c r="P552">
        <v>1</v>
      </c>
      <c r="Q552">
        <v>1</v>
      </c>
      <c r="R552">
        <v>1</v>
      </c>
      <c r="S552">
        <v>1</v>
      </c>
      <c r="T552">
        <v>1</v>
      </c>
      <c r="U552">
        <v>1</v>
      </c>
      <c r="V552">
        <v>1</v>
      </c>
      <c r="W552">
        <v>1</v>
      </c>
      <c r="X552">
        <v>1</v>
      </c>
      <c r="Y552">
        <v>1</v>
      </c>
      <c r="Z552">
        <v>1</v>
      </c>
      <c r="AA552">
        <v>1</v>
      </c>
      <c r="AB552">
        <v>1</v>
      </c>
      <c r="AC552">
        <v>1</v>
      </c>
    </row>
    <row r="553" spans="1:29" x14ac:dyDescent="0.45">
      <c r="A553" t="s">
        <v>63</v>
      </c>
      <c r="B553" t="s">
        <v>440</v>
      </c>
      <c r="C553" t="s">
        <v>441</v>
      </c>
      <c r="D553" t="s">
        <v>426</v>
      </c>
      <c r="E553" t="str">
        <f t="shared" si="8"/>
        <v>MS|offshore wind|Summer</v>
      </c>
      <c r="F553">
        <v>1</v>
      </c>
      <c r="G553">
        <v>1</v>
      </c>
      <c r="H553">
        <v>1</v>
      </c>
      <c r="I553">
        <v>1</v>
      </c>
      <c r="J553">
        <v>1</v>
      </c>
      <c r="K553">
        <v>1</v>
      </c>
      <c r="L553">
        <v>1</v>
      </c>
      <c r="M553">
        <v>1</v>
      </c>
      <c r="N553">
        <v>1</v>
      </c>
      <c r="O553">
        <v>1</v>
      </c>
      <c r="P553">
        <v>1</v>
      </c>
      <c r="Q553">
        <v>1</v>
      </c>
      <c r="R553">
        <v>1</v>
      </c>
      <c r="S553">
        <v>1</v>
      </c>
      <c r="T553">
        <v>1</v>
      </c>
      <c r="U553">
        <v>1</v>
      </c>
      <c r="V553">
        <v>1</v>
      </c>
      <c r="W553">
        <v>1</v>
      </c>
      <c r="X553">
        <v>1</v>
      </c>
      <c r="Y553">
        <v>1</v>
      </c>
      <c r="Z553">
        <v>1</v>
      </c>
      <c r="AA553">
        <v>1</v>
      </c>
      <c r="AB553">
        <v>1</v>
      </c>
      <c r="AC553">
        <v>1</v>
      </c>
    </row>
    <row r="554" spans="1:29" x14ac:dyDescent="0.45">
      <c r="A554" t="s">
        <v>63</v>
      </c>
      <c r="B554" t="s">
        <v>440</v>
      </c>
      <c r="C554" t="s">
        <v>441</v>
      </c>
      <c r="D554" t="s">
        <v>427</v>
      </c>
      <c r="E554" t="str">
        <f t="shared" si="8"/>
        <v>MS|offshore wind|Fall</v>
      </c>
      <c r="F554">
        <v>1</v>
      </c>
      <c r="G554">
        <v>1</v>
      </c>
      <c r="H554">
        <v>1</v>
      </c>
      <c r="I554">
        <v>1</v>
      </c>
      <c r="J554">
        <v>1</v>
      </c>
      <c r="K554">
        <v>1</v>
      </c>
      <c r="L554">
        <v>1</v>
      </c>
      <c r="M554">
        <v>1</v>
      </c>
      <c r="N554">
        <v>1</v>
      </c>
      <c r="O554">
        <v>1</v>
      </c>
      <c r="P554">
        <v>1</v>
      </c>
      <c r="Q554">
        <v>1</v>
      </c>
      <c r="R554">
        <v>1</v>
      </c>
      <c r="S554">
        <v>1</v>
      </c>
      <c r="T554">
        <v>1</v>
      </c>
      <c r="U554">
        <v>1</v>
      </c>
      <c r="V554">
        <v>1</v>
      </c>
      <c r="W554">
        <v>1</v>
      </c>
      <c r="X554">
        <v>1</v>
      </c>
      <c r="Y554">
        <v>1</v>
      </c>
      <c r="Z554">
        <v>1</v>
      </c>
      <c r="AA554">
        <v>1</v>
      </c>
      <c r="AB554">
        <v>1</v>
      </c>
      <c r="AC554">
        <v>1</v>
      </c>
    </row>
    <row r="555" spans="1:29" x14ac:dyDescent="0.45">
      <c r="A555" t="s">
        <v>63</v>
      </c>
      <c r="B555" t="s">
        <v>440</v>
      </c>
      <c r="C555" t="s">
        <v>441</v>
      </c>
      <c r="D555" t="s">
        <v>428</v>
      </c>
      <c r="E555" t="str">
        <f t="shared" si="8"/>
        <v>MS|offshore wind|Summer Peak</v>
      </c>
      <c r="F555">
        <v>0.40810000000000002</v>
      </c>
      <c r="G555">
        <v>0.4239</v>
      </c>
      <c r="H555">
        <v>0.45760000000000001</v>
      </c>
      <c r="I555">
        <v>0.50319999999999998</v>
      </c>
      <c r="J555">
        <v>0.53649999999999998</v>
      </c>
      <c r="K555">
        <v>0.59399999999999997</v>
      </c>
      <c r="L555">
        <v>0.61929999999999996</v>
      </c>
      <c r="M555">
        <v>0.68859999999999999</v>
      </c>
      <c r="N555">
        <v>0.73480000000000001</v>
      </c>
      <c r="O555">
        <v>0.84350000000000003</v>
      </c>
      <c r="P555">
        <v>0.78200000000000003</v>
      </c>
      <c r="Q555">
        <v>0.74650000000000005</v>
      </c>
      <c r="R555">
        <v>0.63690000000000002</v>
      </c>
      <c r="S555">
        <v>0.60860000000000003</v>
      </c>
      <c r="T555">
        <v>0.64339999999999997</v>
      </c>
      <c r="U555">
        <v>0.69269999999999998</v>
      </c>
      <c r="V555">
        <v>0.71450000000000002</v>
      </c>
      <c r="W555">
        <v>0.75070000000000003</v>
      </c>
      <c r="X555">
        <v>0.72489999999999999</v>
      </c>
      <c r="Y555">
        <v>0.66049999999999998</v>
      </c>
      <c r="Z555">
        <v>0.69140000000000001</v>
      </c>
      <c r="AA555">
        <v>0.63080000000000003</v>
      </c>
      <c r="AB555">
        <v>0.63429999999999997</v>
      </c>
      <c r="AC555">
        <v>0.64390000000000003</v>
      </c>
    </row>
    <row r="556" spans="1:29" x14ac:dyDescent="0.45">
      <c r="A556" t="s">
        <v>63</v>
      </c>
      <c r="B556" t="s">
        <v>440</v>
      </c>
      <c r="C556" t="s">
        <v>441</v>
      </c>
      <c r="D556" t="s">
        <v>429</v>
      </c>
      <c r="E556" t="str">
        <f t="shared" si="8"/>
        <v>MS|offshore wind|Winter Peak</v>
      </c>
      <c r="F556">
        <v>0.95309999999999995</v>
      </c>
      <c r="G556">
        <v>0.95030000000000003</v>
      </c>
      <c r="H556">
        <v>0.95540000000000003</v>
      </c>
      <c r="I556">
        <v>0.96679999999999999</v>
      </c>
      <c r="J556">
        <v>1</v>
      </c>
      <c r="K556">
        <v>1</v>
      </c>
      <c r="L556">
        <v>1</v>
      </c>
      <c r="M556">
        <v>0.99209999999999998</v>
      </c>
      <c r="N556">
        <v>0.90149999999999997</v>
      </c>
      <c r="O556">
        <v>0.79779999999999995</v>
      </c>
      <c r="P556">
        <v>0.71879999999999999</v>
      </c>
      <c r="Q556">
        <v>0.67300000000000004</v>
      </c>
      <c r="R556">
        <v>0.60860000000000003</v>
      </c>
      <c r="S556">
        <v>0.58009999999999995</v>
      </c>
      <c r="T556">
        <v>0.58799999999999997</v>
      </c>
      <c r="U556">
        <v>0.61019999999999996</v>
      </c>
      <c r="V556">
        <v>0.61839999999999995</v>
      </c>
      <c r="W556">
        <v>0.60909999999999997</v>
      </c>
      <c r="X556">
        <v>0.62880000000000003</v>
      </c>
      <c r="Y556">
        <v>0.72889999999999999</v>
      </c>
      <c r="Z556">
        <v>0.84719999999999995</v>
      </c>
      <c r="AA556">
        <v>0.92220000000000002</v>
      </c>
      <c r="AB556">
        <v>0.86950000000000005</v>
      </c>
      <c r="AC556">
        <v>0.8054</v>
      </c>
    </row>
    <row r="557" spans="1:29" x14ac:dyDescent="0.45">
      <c r="A557" t="s">
        <v>65</v>
      </c>
      <c r="B557" t="s">
        <v>434</v>
      </c>
      <c r="C557" t="s">
        <v>435</v>
      </c>
      <c r="D557" t="s">
        <v>424</v>
      </c>
      <c r="E557" t="str">
        <f t="shared" si="8"/>
        <v>MT|onshore wind|Winter</v>
      </c>
      <c r="F557">
        <v>1</v>
      </c>
      <c r="G557">
        <v>1</v>
      </c>
      <c r="H557">
        <v>1</v>
      </c>
      <c r="I557">
        <v>1</v>
      </c>
      <c r="J557">
        <v>1</v>
      </c>
      <c r="K557">
        <v>1</v>
      </c>
      <c r="L557">
        <v>1</v>
      </c>
      <c r="M557">
        <v>1</v>
      </c>
      <c r="N557">
        <v>1</v>
      </c>
      <c r="O557">
        <v>1</v>
      </c>
      <c r="P557">
        <v>1</v>
      </c>
      <c r="Q557">
        <v>1</v>
      </c>
      <c r="R557">
        <v>1</v>
      </c>
      <c r="S557">
        <v>1</v>
      </c>
      <c r="T557">
        <v>1</v>
      </c>
      <c r="U557">
        <v>1</v>
      </c>
      <c r="V557">
        <v>1</v>
      </c>
      <c r="W557">
        <v>1</v>
      </c>
      <c r="X557">
        <v>1</v>
      </c>
      <c r="Y557">
        <v>1</v>
      </c>
      <c r="Z557">
        <v>1</v>
      </c>
      <c r="AA557">
        <v>1</v>
      </c>
      <c r="AB557">
        <v>1</v>
      </c>
      <c r="AC557">
        <v>1</v>
      </c>
    </row>
    <row r="558" spans="1:29" x14ac:dyDescent="0.45">
      <c r="A558" t="s">
        <v>65</v>
      </c>
      <c r="B558" t="s">
        <v>434</v>
      </c>
      <c r="C558" t="s">
        <v>435</v>
      </c>
      <c r="D558" t="s">
        <v>425</v>
      </c>
      <c r="E558" t="str">
        <f t="shared" si="8"/>
        <v>MT|onshore wind|Spring</v>
      </c>
      <c r="F558">
        <v>1</v>
      </c>
      <c r="G558">
        <v>1</v>
      </c>
      <c r="H558">
        <v>1</v>
      </c>
      <c r="I558">
        <v>1</v>
      </c>
      <c r="J558">
        <v>1</v>
      </c>
      <c r="K558">
        <v>1</v>
      </c>
      <c r="L558">
        <v>1</v>
      </c>
      <c r="M558">
        <v>1</v>
      </c>
      <c r="N558">
        <v>1</v>
      </c>
      <c r="O558">
        <v>1</v>
      </c>
      <c r="P558">
        <v>1</v>
      </c>
      <c r="Q558">
        <v>1</v>
      </c>
      <c r="R558">
        <v>1</v>
      </c>
      <c r="S558">
        <v>1</v>
      </c>
      <c r="T558">
        <v>1</v>
      </c>
      <c r="U558">
        <v>1</v>
      </c>
      <c r="V558">
        <v>1</v>
      </c>
      <c r="W558">
        <v>1</v>
      </c>
      <c r="X558">
        <v>1</v>
      </c>
      <c r="Y558">
        <v>1</v>
      </c>
      <c r="Z558">
        <v>1</v>
      </c>
      <c r="AA558">
        <v>1</v>
      </c>
      <c r="AB558">
        <v>1</v>
      </c>
      <c r="AC558">
        <v>1</v>
      </c>
    </row>
    <row r="559" spans="1:29" x14ac:dyDescent="0.45">
      <c r="A559" t="s">
        <v>65</v>
      </c>
      <c r="B559" t="s">
        <v>434</v>
      </c>
      <c r="C559" t="s">
        <v>435</v>
      </c>
      <c r="D559" t="s">
        <v>426</v>
      </c>
      <c r="E559" t="str">
        <f t="shared" si="8"/>
        <v>MT|onshore wind|Summer</v>
      </c>
      <c r="F559">
        <v>1</v>
      </c>
      <c r="G559">
        <v>1</v>
      </c>
      <c r="H559">
        <v>1</v>
      </c>
      <c r="I559">
        <v>1</v>
      </c>
      <c r="J559">
        <v>1</v>
      </c>
      <c r="K559">
        <v>1</v>
      </c>
      <c r="L559">
        <v>1</v>
      </c>
      <c r="M559">
        <v>1</v>
      </c>
      <c r="N559">
        <v>1</v>
      </c>
      <c r="O559">
        <v>1</v>
      </c>
      <c r="P559">
        <v>1</v>
      </c>
      <c r="Q559">
        <v>1</v>
      </c>
      <c r="R559">
        <v>1</v>
      </c>
      <c r="S559">
        <v>1</v>
      </c>
      <c r="T559">
        <v>1</v>
      </c>
      <c r="U559">
        <v>1</v>
      </c>
      <c r="V559">
        <v>1</v>
      </c>
      <c r="W559">
        <v>1</v>
      </c>
      <c r="X559">
        <v>1</v>
      </c>
      <c r="Y559">
        <v>1</v>
      </c>
      <c r="Z559">
        <v>1</v>
      </c>
      <c r="AA559">
        <v>1</v>
      </c>
      <c r="AB559">
        <v>1</v>
      </c>
      <c r="AC559">
        <v>1</v>
      </c>
    </row>
    <row r="560" spans="1:29" x14ac:dyDescent="0.45">
      <c r="A560" t="s">
        <v>65</v>
      </c>
      <c r="B560" t="s">
        <v>434</v>
      </c>
      <c r="C560" t="s">
        <v>435</v>
      </c>
      <c r="D560" t="s">
        <v>427</v>
      </c>
      <c r="E560" t="str">
        <f t="shared" si="8"/>
        <v>MT|onshore wind|Fall</v>
      </c>
      <c r="F560">
        <v>1</v>
      </c>
      <c r="G560">
        <v>1</v>
      </c>
      <c r="H560">
        <v>1</v>
      </c>
      <c r="I560">
        <v>1</v>
      </c>
      <c r="J560">
        <v>1</v>
      </c>
      <c r="K560">
        <v>1</v>
      </c>
      <c r="L560">
        <v>1</v>
      </c>
      <c r="M560">
        <v>1</v>
      </c>
      <c r="N560">
        <v>1</v>
      </c>
      <c r="O560">
        <v>1</v>
      </c>
      <c r="P560">
        <v>1</v>
      </c>
      <c r="Q560">
        <v>1</v>
      </c>
      <c r="R560">
        <v>1</v>
      </c>
      <c r="S560">
        <v>1</v>
      </c>
      <c r="T560">
        <v>1</v>
      </c>
      <c r="U560">
        <v>1</v>
      </c>
      <c r="V560">
        <v>1</v>
      </c>
      <c r="W560">
        <v>1</v>
      </c>
      <c r="X560">
        <v>1</v>
      </c>
      <c r="Y560">
        <v>1</v>
      </c>
      <c r="Z560">
        <v>1</v>
      </c>
      <c r="AA560">
        <v>1</v>
      </c>
      <c r="AB560">
        <v>1</v>
      </c>
      <c r="AC560">
        <v>1</v>
      </c>
    </row>
    <row r="561" spans="1:29" x14ac:dyDescent="0.45">
      <c r="A561" t="s">
        <v>65</v>
      </c>
      <c r="B561" t="s">
        <v>434</v>
      </c>
      <c r="C561" t="s">
        <v>435</v>
      </c>
      <c r="D561" t="s">
        <v>428</v>
      </c>
      <c r="E561" t="str">
        <f t="shared" si="8"/>
        <v>MT|onshore wind|Summer Peak</v>
      </c>
      <c r="F561">
        <v>0.92130000000000001</v>
      </c>
      <c r="G561">
        <v>0.92800000000000005</v>
      </c>
      <c r="H561">
        <v>0.95289999999999997</v>
      </c>
      <c r="I561">
        <v>0.94940000000000002</v>
      </c>
      <c r="J561">
        <v>0.93440000000000001</v>
      </c>
      <c r="K561">
        <v>0.94220000000000004</v>
      </c>
      <c r="L561">
        <v>0.96179999999999999</v>
      </c>
      <c r="M561">
        <v>0.91600000000000004</v>
      </c>
      <c r="N561">
        <v>0.81699999999999995</v>
      </c>
      <c r="O561">
        <v>0.7732</v>
      </c>
      <c r="P561">
        <v>0.76719999999999999</v>
      </c>
      <c r="Q561">
        <v>0.75590000000000002</v>
      </c>
      <c r="R561">
        <v>0.69110000000000005</v>
      </c>
      <c r="S561">
        <v>0.75690000000000002</v>
      </c>
      <c r="T561">
        <v>0.82179999999999997</v>
      </c>
      <c r="U561">
        <v>0.83940000000000003</v>
      </c>
      <c r="V561">
        <v>0.86229999999999996</v>
      </c>
      <c r="W561">
        <v>0.89380000000000004</v>
      </c>
      <c r="X561">
        <v>0.9103</v>
      </c>
      <c r="Y561">
        <v>0.9335</v>
      </c>
      <c r="Z561">
        <v>0.92900000000000005</v>
      </c>
      <c r="AA561">
        <v>0.9536</v>
      </c>
      <c r="AB561">
        <v>0.97609999999999997</v>
      </c>
      <c r="AC561">
        <v>0.98950000000000005</v>
      </c>
    </row>
    <row r="562" spans="1:29" x14ac:dyDescent="0.45">
      <c r="A562" t="s">
        <v>65</v>
      </c>
      <c r="B562" t="s">
        <v>434</v>
      </c>
      <c r="C562" t="s">
        <v>435</v>
      </c>
      <c r="D562" t="s">
        <v>429</v>
      </c>
      <c r="E562" t="str">
        <f t="shared" si="8"/>
        <v>MT|onshore wind|Winter Peak</v>
      </c>
      <c r="F562">
        <v>0.88390000000000002</v>
      </c>
      <c r="G562">
        <v>0.8569</v>
      </c>
      <c r="H562">
        <v>0.83889999999999998</v>
      </c>
      <c r="I562">
        <v>0.8246</v>
      </c>
      <c r="J562">
        <v>0.80969999999999998</v>
      </c>
      <c r="K562">
        <v>0.77990000000000004</v>
      </c>
      <c r="L562">
        <v>0.79559999999999997</v>
      </c>
      <c r="M562">
        <v>0.80669999999999997</v>
      </c>
      <c r="N562">
        <v>0.85460000000000003</v>
      </c>
      <c r="O562">
        <v>0.89159999999999995</v>
      </c>
      <c r="P562">
        <v>0.94589999999999996</v>
      </c>
      <c r="Q562">
        <v>0.95920000000000005</v>
      </c>
      <c r="R562">
        <v>0.97199999999999998</v>
      </c>
      <c r="S562">
        <v>0.96030000000000004</v>
      </c>
      <c r="T562">
        <v>0.88890000000000002</v>
      </c>
      <c r="U562">
        <v>0.85070000000000001</v>
      </c>
      <c r="V562">
        <v>0.92669999999999997</v>
      </c>
      <c r="W562">
        <v>0.88770000000000004</v>
      </c>
      <c r="X562">
        <v>0.87509999999999999</v>
      </c>
      <c r="Y562">
        <v>0.84089999999999998</v>
      </c>
      <c r="Z562">
        <v>0.81079999999999997</v>
      </c>
      <c r="AA562">
        <v>0.80730000000000002</v>
      </c>
      <c r="AB562">
        <v>0.79849999999999999</v>
      </c>
      <c r="AC562">
        <v>0.78990000000000005</v>
      </c>
    </row>
    <row r="563" spans="1:29" x14ac:dyDescent="0.45">
      <c r="A563" t="s">
        <v>65</v>
      </c>
      <c r="B563" t="s">
        <v>436</v>
      </c>
      <c r="C563" t="s">
        <v>437</v>
      </c>
      <c r="D563" t="s">
        <v>424</v>
      </c>
      <c r="E563" t="str">
        <f t="shared" si="8"/>
        <v>MT|solar pv|Winter</v>
      </c>
      <c r="F563">
        <v>1</v>
      </c>
      <c r="G563">
        <v>1</v>
      </c>
      <c r="H563">
        <v>1</v>
      </c>
      <c r="I563">
        <v>1</v>
      </c>
      <c r="J563">
        <v>1</v>
      </c>
      <c r="K563">
        <v>1</v>
      </c>
      <c r="L563">
        <v>1</v>
      </c>
      <c r="M563">
        <v>1</v>
      </c>
      <c r="N563">
        <v>1</v>
      </c>
      <c r="O563">
        <v>1</v>
      </c>
      <c r="P563">
        <v>1</v>
      </c>
      <c r="Q563">
        <v>1</v>
      </c>
      <c r="R563">
        <v>1</v>
      </c>
      <c r="S563">
        <v>1</v>
      </c>
      <c r="T563">
        <v>1</v>
      </c>
      <c r="U563">
        <v>1</v>
      </c>
      <c r="V563">
        <v>1</v>
      </c>
      <c r="W563">
        <v>1</v>
      </c>
      <c r="X563">
        <v>1</v>
      </c>
      <c r="Y563">
        <v>1</v>
      </c>
      <c r="Z563">
        <v>1</v>
      </c>
      <c r="AA563">
        <v>1</v>
      </c>
      <c r="AB563">
        <v>1</v>
      </c>
      <c r="AC563">
        <v>1</v>
      </c>
    </row>
    <row r="564" spans="1:29" x14ac:dyDescent="0.45">
      <c r="A564" t="s">
        <v>65</v>
      </c>
      <c r="B564" t="s">
        <v>436</v>
      </c>
      <c r="C564" t="s">
        <v>437</v>
      </c>
      <c r="D564" t="s">
        <v>425</v>
      </c>
      <c r="E564" t="str">
        <f t="shared" si="8"/>
        <v>MT|solar pv|Spring</v>
      </c>
      <c r="F564">
        <v>1</v>
      </c>
      <c r="G564">
        <v>1</v>
      </c>
      <c r="H564">
        <v>1</v>
      </c>
      <c r="I564">
        <v>1</v>
      </c>
      <c r="J564">
        <v>1</v>
      </c>
      <c r="K564">
        <v>1</v>
      </c>
      <c r="L564">
        <v>1</v>
      </c>
      <c r="M564">
        <v>1</v>
      </c>
      <c r="N564">
        <v>1</v>
      </c>
      <c r="O564">
        <v>1</v>
      </c>
      <c r="P564">
        <v>1</v>
      </c>
      <c r="Q564">
        <v>1</v>
      </c>
      <c r="R564">
        <v>1</v>
      </c>
      <c r="S564">
        <v>1</v>
      </c>
      <c r="T564">
        <v>1</v>
      </c>
      <c r="U564">
        <v>1</v>
      </c>
      <c r="V564">
        <v>1</v>
      </c>
      <c r="W564">
        <v>1</v>
      </c>
      <c r="X564">
        <v>1</v>
      </c>
      <c r="Y564">
        <v>1</v>
      </c>
      <c r="Z564">
        <v>1</v>
      </c>
      <c r="AA564">
        <v>1</v>
      </c>
      <c r="AB564">
        <v>1</v>
      </c>
      <c r="AC564">
        <v>1</v>
      </c>
    </row>
    <row r="565" spans="1:29" x14ac:dyDescent="0.45">
      <c r="A565" t="s">
        <v>65</v>
      </c>
      <c r="B565" t="s">
        <v>436</v>
      </c>
      <c r="C565" t="s">
        <v>437</v>
      </c>
      <c r="D565" t="s">
        <v>426</v>
      </c>
      <c r="E565" t="str">
        <f t="shared" si="8"/>
        <v>MT|solar pv|Summer</v>
      </c>
      <c r="F565">
        <v>1</v>
      </c>
      <c r="G565">
        <v>1</v>
      </c>
      <c r="H565">
        <v>1</v>
      </c>
      <c r="I565">
        <v>1</v>
      </c>
      <c r="J565">
        <v>1</v>
      </c>
      <c r="K565">
        <v>1</v>
      </c>
      <c r="L565">
        <v>1</v>
      </c>
      <c r="M565">
        <v>1</v>
      </c>
      <c r="N565">
        <v>1</v>
      </c>
      <c r="O565">
        <v>1</v>
      </c>
      <c r="P565">
        <v>1</v>
      </c>
      <c r="Q565">
        <v>1</v>
      </c>
      <c r="R565">
        <v>1</v>
      </c>
      <c r="S565">
        <v>1</v>
      </c>
      <c r="T565">
        <v>1</v>
      </c>
      <c r="U565">
        <v>1</v>
      </c>
      <c r="V565">
        <v>1</v>
      </c>
      <c r="W565">
        <v>1</v>
      </c>
      <c r="X565">
        <v>1</v>
      </c>
      <c r="Y565">
        <v>1</v>
      </c>
      <c r="Z565">
        <v>1</v>
      </c>
      <c r="AA565">
        <v>1</v>
      </c>
      <c r="AB565">
        <v>1</v>
      </c>
      <c r="AC565">
        <v>1</v>
      </c>
    </row>
    <row r="566" spans="1:29" x14ac:dyDescent="0.45">
      <c r="A566" t="s">
        <v>65</v>
      </c>
      <c r="B566" t="s">
        <v>436</v>
      </c>
      <c r="C566" t="s">
        <v>437</v>
      </c>
      <c r="D566" t="s">
        <v>427</v>
      </c>
      <c r="E566" t="str">
        <f t="shared" si="8"/>
        <v>MT|solar pv|Fall</v>
      </c>
      <c r="F566">
        <v>1</v>
      </c>
      <c r="G566">
        <v>1</v>
      </c>
      <c r="H566">
        <v>1</v>
      </c>
      <c r="I566">
        <v>1</v>
      </c>
      <c r="J566">
        <v>1</v>
      </c>
      <c r="K566">
        <v>1</v>
      </c>
      <c r="L566">
        <v>1</v>
      </c>
      <c r="M566">
        <v>1</v>
      </c>
      <c r="N566">
        <v>1</v>
      </c>
      <c r="O566">
        <v>1</v>
      </c>
      <c r="P566">
        <v>1</v>
      </c>
      <c r="Q566">
        <v>1</v>
      </c>
      <c r="R566">
        <v>1</v>
      </c>
      <c r="S566">
        <v>1</v>
      </c>
      <c r="T566">
        <v>1</v>
      </c>
      <c r="U566">
        <v>1</v>
      </c>
      <c r="V566">
        <v>1</v>
      </c>
      <c r="W566">
        <v>1</v>
      </c>
      <c r="X566">
        <v>1</v>
      </c>
      <c r="Y566">
        <v>1</v>
      </c>
      <c r="Z566">
        <v>1</v>
      </c>
      <c r="AA566">
        <v>1</v>
      </c>
      <c r="AB566">
        <v>1</v>
      </c>
      <c r="AC566">
        <v>1</v>
      </c>
    </row>
    <row r="567" spans="1:29" x14ac:dyDescent="0.45">
      <c r="A567" t="s">
        <v>65</v>
      </c>
      <c r="B567" t="s">
        <v>436</v>
      </c>
      <c r="C567" t="s">
        <v>437</v>
      </c>
      <c r="D567" t="s">
        <v>428</v>
      </c>
      <c r="E567" t="str">
        <f t="shared" si="8"/>
        <v>MT|solar pv|Summer Peak</v>
      </c>
      <c r="F567">
        <v>1</v>
      </c>
      <c r="G567">
        <v>1</v>
      </c>
      <c r="H567">
        <v>1</v>
      </c>
      <c r="I567">
        <v>1</v>
      </c>
      <c r="J567">
        <v>0.23300000000000001</v>
      </c>
      <c r="K567">
        <v>0.72799999999999998</v>
      </c>
      <c r="L567">
        <v>0.88009999999999999</v>
      </c>
      <c r="M567">
        <v>0.92520000000000002</v>
      </c>
      <c r="N567">
        <v>0.94710000000000005</v>
      </c>
      <c r="O567">
        <v>0.95</v>
      </c>
      <c r="P567">
        <v>0.97099999999999997</v>
      </c>
      <c r="Q567">
        <v>0.97389999999999999</v>
      </c>
      <c r="R567">
        <v>0.97009999999999996</v>
      </c>
      <c r="S567">
        <v>0.96579999999999999</v>
      </c>
      <c r="T567">
        <v>0.96309999999999996</v>
      </c>
      <c r="U567">
        <v>0.96740000000000004</v>
      </c>
      <c r="V567">
        <v>0.94110000000000005</v>
      </c>
      <c r="W567">
        <v>0.95469999999999999</v>
      </c>
      <c r="X567">
        <v>0.94199999999999995</v>
      </c>
      <c r="Y567">
        <v>0.87960000000000005</v>
      </c>
      <c r="Z567">
        <v>0.79139999999999999</v>
      </c>
      <c r="AA567">
        <v>0.79200000000000004</v>
      </c>
      <c r="AB567">
        <v>1</v>
      </c>
      <c r="AC567">
        <v>1</v>
      </c>
    </row>
    <row r="568" spans="1:29" x14ac:dyDescent="0.45">
      <c r="A568" t="s">
        <v>65</v>
      </c>
      <c r="B568" t="s">
        <v>436</v>
      </c>
      <c r="C568" t="s">
        <v>437</v>
      </c>
      <c r="D568" t="s">
        <v>429</v>
      </c>
      <c r="E568" t="str">
        <f t="shared" si="8"/>
        <v>MT|solar pv|Winter Peak</v>
      </c>
      <c r="F568">
        <v>1</v>
      </c>
      <c r="G568">
        <v>1</v>
      </c>
      <c r="H568">
        <v>1</v>
      </c>
      <c r="I568">
        <v>1</v>
      </c>
      <c r="J568">
        <v>1</v>
      </c>
      <c r="K568">
        <v>1</v>
      </c>
      <c r="L568">
        <v>1</v>
      </c>
      <c r="M568">
        <v>0.91820000000000002</v>
      </c>
      <c r="N568">
        <v>0.88980000000000004</v>
      </c>
      <c r="O568">
        <v>0.87790000000000001</v>
      </c>
      <c r="P568">
        <v>0.88090000000000002</v>
      </c>
      <c r="Q568">
        <v>0.90290000000000004</v>
      </c>
      <c r="R568">
        <v>0.93200000000000005</v>
      </c>
      <c r="S568">
        <v>0.92700000000000005</v>
      </c>
      <c r="T568">
        <v>0.89710000000000001</v>
      </c>
      <c r="U568">
        <v>0.87209999999999999</v>
      </c>
      <c r="V568">
        <v>0.84419999999999995</v>
      </c>
      <c r="W568">
        <v>0.86119999999999997</v>
      </c>
      <c r="X568">
        <v>0.69</v>
      </c>
      <c r="Y568">
        <v>0.02</v>
      </c>
      <c r="Z568">
        <v>1</v>
      </c>
      <c r="AA568">
        <v>1</v>
      </c>
      <c r="AB568">
        <v>1</v>
      </c>
      <c r="AC568">
        <v>1</v>
      </c>
    </row>
    <row r="569" spans="1:29" x14ac:dyDescent="0.45">
      <c r="A569" t="s">
        <v>65</v>
      </c>
      <c r="B569" t="s">
        <v>438</v>
      </c>
      <c r="C569" t="s">
        <v>439</v>
      </c>
      <c r="D569" t="s">
        <v>424</v>
      </c>
      <c r="E569" t="str">
        <f t="shared" si="8"/>
        <v>MT|solar thermal|Winter</v>
      </c>
      <c r="F569">
        <v>1</v>
      </c>
      <c r="G569">
        <v>1</v>
      </c>
      <c r="H569">
        <v>1</v>
      </c>
      <c r="I569">
        <v>1</v>
      </c>
      <c r="J569">
        <v>1</v>
      </c>
      <c r="K569">
        <v>1</v>
      </c>
      <c r="L569">
        <v>1</v>
      </c>
      <c r="M569">
        <v>1</v>
      </c>
      <c r="N569">
        <v>1</v>
      </c>
      <c r="O569">
        <v>1</v>
      </c>
      <c r="P569">
        <v>1</v>
      </c>
      <c r="Q569">
        <v>1</v>
      </c>
      <c r="R569">
        <v>1</v>
      </c>
      <c r="S569">
        <v>1</v>
      </c>
      <c r="T569">
        <v>1</v>
      </c>
      <c r="U569">
        <v>1</v>
      </c>
      <c r="V569">
        <v>1</v>
      </c>
      <c r="W569">
        <v>1</v>
      </c>
      <c r="X569">
        <v>1</v>
      </c>
      <c r="Y569">
        <v>1</v>
      </c>
      <c r="Z569">
        <v>1</v>
      </c>
      <c r="AA569">
        <v>1</v>
      </c>
      <c r="AB569">
        <v>1</v>
      </c>
      <c r="AC569">
        <v>1</v>
      </c>
    </row>
    <row r="570" spans="1:29" x14ac:dyDescent="0.45">
      <c r="A570" t="s">
        <v>65</v>
      </c>
      <c r="B570" t="s">
        <v>438</v>
      </c>
      <c r="C570" t="s">
        <v>439</v>
      </c>
      <c r="D570" t="s">
        <v>425</v>
      </c>
      <c r="E570" t="str">
        <f t="shared" si="8"/>
        <v>MT|solar thermal|Spring</v>
      </c>
      <c r="F570">
        <v>1</v>
      </c>
      <c r="G570">
        <v>1</v>
      </c>
      <c r="H570">
        <v>1</v>
      </c>
      <c r="I570">
        <v>1</v>
      </c>
      <c r="J570">
        <v>1</v>
      </c>
      <c r="K570">
        <v>1</v>
      </c>
      <c r="L570">
        <v>1</v>
      </c>
      <c r="M570">
        <v>1</v>
      </c>
      <c r="N570">
        <v>1</v>
      </c>
      <c r="O570">
        <v>1</v>
      </c>
      <c r="P570">
        <v>1</v>
      </c>
      <c r="Q570">
        <v>1</v>
      </c>
      <c r="R570">
        <v>1</v>
      </c>
      <c r="S570">
        <v>1</v>
      </c>
      <c r="T570">
        <v>1</v>
      </c>
      <c r="U570">
        <v>1</v>
      </c>
      <c r="V570">
        <v>1</v>
      </c>
      <c r="W570">
        <v>1</v>
      </c>
      <c r="X570">
        <v>1</v>
      </c>
      <c r="Y570">
        <v>1</v>
      </c>
      <c r="Z570">
        <v>1</v>
      </c>
      <c r="AA570">
        <v>1</v>
      </c>
      <c r="AB570">
        <v>1</v>
      </c>
      <c r="AC570">
        <v>1</v>
      </c>
    </row>
    <row r="571" spans="1:29" x14ac:dyDescent="0.45">
      <c r="A571" t="s">
        <v>65</v>
      </c>
      <c r="B571" t="s">
        <v>438</v>
      </c>
      <c r="C571" t="s">
        <v>439</v>
      </c>
      <c r="D571" t="s">
        <v>426</v>
      </c>
      <c r="E571" t="str">
        <f t="shared" si="8"/>
        <v>MT|solar thermal|Summer</v>
      </c>
      <c r="F571">
        <v>1</v>
      </c>
      <c r="G571">
        <v>1</v>
      </c>
      <c r="H571">
        <v>1</v>
      </c>
      <c r="I571">
        <v>1</v>
      </c>
      <c r="J571">
        <v>1</v>
      </c>
      <c r="K571">
        <v>1</v>
      </c>
      <c r="L571">
        <v>1</v>
      </c>
      <c r="M571">
        <v>1</v>
      </c>
      <c r="N571">
        <v>1</v>
      </c>
      <c r="O571">
        <v>1</v>
      </c>
      <c r="P571">
        <v>1</v>
      </c>
      <c r="Q571">
        <v>1</v>
      </c>
      <c r="R571">
        <v>1</v>
      </c>
      <c r="S571">
        <v>1</v>
      </c>
      <c r="T571">
        <v>1</v>
      </c>
      <c r="U571">
        <v>1</v>
      </c>
      <c r="V571">
        <v>1</v>
      </c>
      <c r="W571">
        <v>1</v>
      </c>
      <c r="X571">
        <v>1</v>
      </c>
      <c r="Y571">
        <v>1</v>
      </c>
      <c r="Z571">
        <v>1</v>
      </c>
      <c r="AA571">
        <v>1</v>
      </c>
      <c r="AB571">
        <v>1</v>
      </c>
      <c r="AC571">
        <v>1</v>
      </c>
    </row>
    <row r="572" spans="1:29" x14ac:dyDescent="0.45">
      <c r="A572" t="s">
        <v>65</v>
      </c>
      <c r="B572" t="s">
        <v>438</v>
      </c>
      <c r="C572" t="s">
        <v>439</v>
      </c>
      <c r="D572" t="s">
        <v>427</v>
      </c>
      <c r="E572" t="str">
        <f t="shared" si="8"/>
        <v>MT|solar thermal|Fall</v>
      </c>
      <c r="F572">
        <v>1</v>
      </c>
      <c r="G572">
        <v>1</v>
      </c>
      <c r="H572">
        <v>1</v>
      </c>
      <c r="I572">
        <v>1</v>
      </c>
      <c r="J572">
        <v>1</v>
      </c>
      <c r="K572">
        <v>1</v>
      </c>
      <c r="L572">
        <v>1</v>
      </c>
      <c r="M572">
        <v>1</v>
      </c>
      <c r="N572">
        <v>1</v>
      </c>
      <c r="O572">
        <v>1</v>
      </c>
      <c r="P572">
        <v>1</v>
      </c>
      <c r="Q572">
        <v>1</v>
      </c>
      <c r="R572">
        <v>1</v>
      </c>
      <c r="S572">
        <v>1</v>
      </c>
      <c r="T572">
        <v>1</v>
      </c>
      <c r="U572">
        <v>1</v>
      </c>
      <c r="V572">
        <v>1</v>
      </c>
      <c r="W572">
        <v>1</v>
      </c>
      <c r="X572">
        <v>1</v>
      </c>
      <c r="Y572">
        <v>1</v>
      </c>
      <c r="Z572">
        <v>1</v>
      </c>
      <c r="AA572">
        <v>1</v>
      </c>
      <c r="AB572">
        <v>1</v>
      </c>
      <c r="AC572">
        <v>1</v>
      </c>
    </row>
    <row r="573" spans="1:29" x14ac:dyDescent="0.45">
      <c r="A573" t="s">
        <v>65</v>
      </c>
      <c r="B573" t="s">
        <v>438</v>
      </c>
      <c r="C573" t="s">
        <v>439</v>
      </c>
      <c r="D573" t="s">
        <v>428</v>
      </c>
      <c r="E573" t="str">
        <f t="shared" si="8"/>
        <v>MT|solar thermal|Summer Peak</v>
      </c>
      <c r="F573">
        <v>1</v>
      </c>
      <c r="G573">
        <v>1</v>
      </c>
      <c r="H573">
        <v>1</v>
      </c>
      <c r="I573">
        <v>1</v>
      </c>
      <c r="J573">
        <v>1</v>
      </c>
      <c r="K573">
        <v>1</v>
      </c>
      <c r="L573">
        <v>1</v>
      </c>
      <c r="M573">
        <v>0</v>
      </c>
      <c r="N573">
        <v>0.8639</v>
      </c>
      <c r="O573">
        <v>1</v>
      </c>
      <c r="P573">
        <v>1</v>
      </c>
      <c r="Q573">
        <v>0.97160000000000002</v>
      </c>
      <c r="R573">
        <v>0.96719999999999995</v>
      </c>
      <c r="S573">
        <v>1</v>
      </c>
      <c r="T573">
        <v>1</v>
      </c>
      <c r="U573">
        <v>1</v>
      </c>
      <c r="V573">
        <v>1</v>
      </c>
      <c r="W573">
        <v>1</v>
      </c>
      <c r="X573">
        <v>1</v>
      </c>
      <c r="Y573">
        <v>0.93130000000000002</v>
      </c>
      <c r="Z573">
        <v>0.70220000000000005</v>
      </c>
      <c r="AA573">
        <v>1</v>
      </c>
      <c r="AB573">
        <v>1</v>
      </c>
      <c r="AC573">
        <v>1</v>
      </c>
    </row>
    <row r="574" spans="1:29" x14ac:dyDescent="0.45">
      <c r="A574" t="s">
        <v>65</v>
      </c>
      <c r="B574" t="s">
        <v>438</v>
      </c>
      <c r="C574" t="s">
        <v>439</v>
      </c>
      <c r="D574" t="s">
        <v>429</v>
      </c>
      <c r="E574" t="str">
        <f t="shared" si="8"/>
        <v>MT|solar thermal|Winter Peak</v>
      </c>
      <c r="F574">
        <v>1</v>
      </c>
      <c r="G574">
        <v>1</v>
      </c>
      <c r="H574">
        <v>1</v>
      </c>
      <c r="I574">
        <v>1</v>
      </c>
      <c r="J574">
        <v>1</v>
      </c>
      <c r="K574">
        <v>1</v>
      </c>
      <c r="L574">
        <v>1</v>
      </c>
      <c r="M574">
        <v>1</v>
      </c>
      <c r="N574">
        <v>1</v>
      </c>
      <c r="O574">
        <v>0.2419</v>
      </c>
      <c r="P574">
        <v>0.95320000000000005</v>
      </c>
      <c r="Q574">
        <v>0.88039999999999996</v>
      </c>
      <c r="R574">
        <v>0.97819999999999996</v>
      </c>
      <c r="S574">
        <v>0.98950000000000005</v>
      </c>
      <c r="T574">
        <v>0.99270000000000003</v>
      </c>
      <c r="U574">
        <v>1</v>
      </c>
      <c r="V574">
        <v>1</v>
      </c>
      <c r="W574">
        <v>1</v>
      </c>
      <c r="X574">
        <v>0.89019999999999999</v>
      </c>
      <c r="Y574">
        <v>0</v>
      </c>
      <c r="Z574">
        <v>1</v>
      </c>
      <c r="AA574">
        <v>1</v>
      </c>
      <c r="AB574">
        <v>1</v>
      </c>
      <c r="AC574">
        <v>1</v>
      </c>
    </row>
    <row r="575" spans="1:29" x14ac:dyDescent="0.45">
      <c r="A575" t="s">
        <v>65</v>
      </c>
      <c r="B575" t="s">
        <v>440</v>
      </c>
      <c r="C575" t="s">
        <v>441</v>
      </c>
      <c r="D575" t="s">
        <v>424</v>
      </c>
      <c r="E575" t="str">
        <f t="shared" si="8"/>
        <v>MT|offshore wind|Winter</v>
      </c>
      <c r="F575">
        <v>1</v>
      </c>
      <c r="G575">
        <v>1</v>
      </c>
      <c r="H575">
        <v>1</v>
      </c>
      <c r="I575">
        <v>1</v>
      </c>
      <c r="J575">
        <v>1</v>
      </c>
      <c r="K575">
        <v>1</v>
      </c>
      <c r="L575">
        <v>1</v>
      </c>
      <c r="M575">
        <v>1</v>
      </c>
      <c r="N575">
        <v>1</v>
      </c>
      <c r="O575">
        <v>1</v>
      </c>
      <c r="P575">
        <v>1</v>
      </c>
      <c r="Q575">
        <v>1</v>
      </c>
      <c r="R575">
        <v>1</v>
      </c>
      <c r="S575">
        <v>1</v>
      </c>
      <c r="T575">
        <v>1</v>
      </c>
      <c r="U575">
        <v>1</v>
      </c>
      <c r="V575">
        <v>1</v>
      </c>
      <c r="W575">
        <v>1</v>
      </c>
      <c r="X575">
        <v>1</v>
      </c>
      <c r="Y575">
        <v>1</v>
      </c>
      <c r="Z575">
        <v>1</v>
      </c>
      <c r="AA575">
        <v>1</v>
      </c>
      <c r="AB575">
        <v>1</v>
      </c>
      <c r="AC575">
        <v>1</v>
      </c>
    </row>
    <row r="576" spans="1:29" x14ac:dyDescent="0.45">
      <c r="A576" t="s">
        <v>65</v>
      </c>
      <c r="B576" t="s">
        <v>440</v>
      </c>
      <c r="C576" t="s">
        <v>441</v>
      </c>
      <c r="D576" t="s">
        <v>425</v>
      </c>
      <c r="E576" t="str">
        <f t="shared" si="8"/>
        <v>MT|offshore wind|Spring</v>
      </c>
      <c r="F576">
        <v>1</v>
      </c>
      <c r="G576">
        <v>1</v>
      </c>
      <c r="H576">
        <v>1</v>
      </c>
      <c r="I576">
        <v>1</v>
      </c>
      <c r="J576">
        <v>1</v>
      </c>
      <c r="K576">
        <v>1</v>
      </c>
      <c r="L576">
        <v>1</v>
      </c>
      <c r="M576">
        <v>1</v>
      </c>
      <c r="N576">
        <v>1</v>
      </c>
      <c r="O576">
        <v>1</v>
      </c>
      <c r="P576">
        <v>1</v>
      </c>
      <c r="Q576">
        <v>1</v>
      </c>
      <c r="R576">
        <v>1</v>
      </c>
      <c r="S576">
        <v>1</v>
      </c>
      <c r="T576">
        <v>1</v>
      </c>
      <c r="U576">
        <v>1</v>
      </c>
      <c r="V576">
        <v>1</v>
      </c>
      <c r="W576">
        <v>1</v>
      </c>
      <c r="X576">
        <v>1</v>
      </c>
      <c r="Y576">
        <v>1</v>
      </c>
      <c r="Z576">
        <v>1</v>
      </c>
      <c r="AA576">
        <v>1</v>
      </c>
      <c r="AB576">
        <v>1</v>
      </c>
      <c r="AC576">
        <v>1</v>
      </c>
    </row>
    <row r="577" spans="1:29" x14ac:dyDescent="0.45">
      <c r="A577" t="s">
        <v>65</v>
      </c>
      <c r="B577" t="s">
        <v>440</v>
      </c>
      <c r="C577" t="s">
        <v>441</v>
      </c>
      <c r="D577" t="s">
        <v>426</v>
      </c>
      <c r="E577" t="str">
        <f t="shared" si="8"/>
        <v>MT|offshore wind|Summer</v>
      </c>
      <c r="F577">
        <v>1</v>
      </c>
      <c r="G577">
        <v>1</v>
      </c>
      <c r="H577">
        <v>1</v>
      </c>
      <c r="I577">
        <v>1</v>
      </c>
      <c r="J577">
        <v>1</v>
      </c>
      <c r="K577">
        <v>1</v>
      </c>
      <c r="L577">
        <v>1</v>
      </c>
      <c r="M577">
        <v>1</v>
      </c>
      <c r="N577">
        <v>1</v>
      </c>
      <c r="O577">
        <v>1</v>
      </c>
      <c r="P577">
        <v>1</v>
      </c>
      <c r="Q577">
        <v>1</v>
      </c>
      <c r="R577">
        <v>1</v>
      </c>
      <c r="S577">
        <v>1</v>
      </c>
      <c r="T577">
        <v>1</v>
      </c>
      <c r="U577">
        <v>1</v>
      </c>
      <c r="V577">
        <v>1</v>
      </c>
      <c r="W577">
        <v>1</v>
      </c>
      <c r="X577">
        <v>1</v>
      </c>
      <c r="Y577">
        <v>1</v>
      </c>
      <c r="Z577">
        <v>1</v>
      </c>
      <c r="AA577">
        <v>1</v>
      </c>
      <c r="AB577">
        <v>1</v>
      </c>
      <c r="AC577">
        <v>1</v>
      </c>
    </row>
    <row r="578" spans="1:29" x14ac:dyDescent="0.45">
      <c r="A578" t="s">
        <v>65</v>
      </c>
      <c r="B578" t="s">
        <v>440</v>
      </c>
      <c r="C578" t="s">
        <v>441</v>
      </c>
      <c r="D578" t="s">
        <v>427</v>
      </c>
      <c r="E578" t="str">
        <f t="shared" si="8"/>
        <v>MT|offshore wind|Fall</v>
      </c>
      <c r="F578">
        <v>1</v>
      </c>
      <c r="G578">
        <v>1</v>
      </c>
      <c r="H578">
        <v>1</v>
      </c>
      <c r="I578">
        <v>1</v>
      </c>
      <c r="J578">
        <v>1</v>
      </c>
      <c r="K578">
        <v>1</v>
      </c>
      <c r="L578">
        <v>1</v>
      </c>
      <c r="M578">
        <v>1</v>
      </c>
      <c r="N578">
        <v>1</v>
      </c>
      <c r="O578">
        <v>1</v>
      </c>
      <c r="P578">
        <v>1</v>
      </c>
      <c r="Q578">
        <v>1</v>
      </c>
      <c r="R578">
        <v>1</v>
      </c>
      <c r="S578">
        <v>1</v>
      </c>
      <c r="T578">
        <v>1</v>
      </c>
      <c r="U578">
        <v>1</v>
      </c>
      <c r="V578">
        <v>1</v>
      </c>
      <c r="W578">
        <v>1</v>
      </c>
      <c r="X578">
        <v>1</v>
      </c>
      <c r="Y578">
        <v>1</v>
      </c>
      <c r="Z578">
        <v>1</v>
      </c>
      <c r="AA578">
        <v>1</v>
      </c>
      <c r="AB578">
        <v>1</v>
      </c>
      <c r="AC578">
        <v>1</v>
      </c>
    </row>
    <row r="579" spans="1:29" x14ac:dyDescent="0.45">
      <c r="A579" t="s">
        <v>65</v>
      </c>
      <c r="B579" t="s">
        <v>440</v>
      </c>
      <c r="C579" t="s">
        <v>441</v>
      </c>
      <c r="D579" t="s">
        <v>428</v>
      </c>
      <c r="E579" t="str">
        <f t="shared" si="8"/>
        <v>MT|offshore wind|Summer Peak</v>
      </c>
      <c r="F579">
        <v>0.40810000000000002</v>
      </c>
      <c r="G579">
        <v>0.4239</v>
      </c>
      <c r="H579">
        <v>0.45760000000000001</v>
      </c>
      <c r="I579">
        <v>0.50319999999999998</v>
      </c>
      <c r="J579">
        <v>0.53649999999999998</v>
      </c>
      <c r="K579">
        <v>0.59399999999999997</v>
      </c>
      <c r="L579">
        <v>0.61929999999999996</v>
      </c>
      <c r="M579">
        <v>0.68859999999999999</v>
      </c>
      <c r="N579">
        <v>0.73480000000000001</v>
      </c>
      <c r="O579">
        <v>0.84350000000000003</v>
      </c>
      <c r="P579">
        <v>0.78200000000000003</v>
      </c>
      <c r="Q579">
        <v>0.74650000000000005</v>
      </c>
      <c r="R579">
        <v>0.63690000000000002</v>
      </c>
      <c r="S579">
        <v>0.60860000000000003</v>
      </c>
      <c r="T579">
        <v>0.64339999999999997</v>
      </c>
      <c r="U579">
        <v>0.69269999999999998</v>
      </c>
      <c r="V579">
        <v>0.71450000000000002</v>
      </c>
      <c r="W579">
        <v>0.75070000000000003</v>
      </c>
      <c r="X579">
        <v>0.72489999999999999</v>
      </c>
      <c r="Y579">
        <v>0.66049999999999998</v>
      </c>
      <c r="Z579">
        <v>0.69140000000000001</v>
      </c>
      <c r="AA579">
        <v>0.63080000000000003</v>
      </c>
      <c r="AB579">
        <v>0.63429999999999997</v>
      </c>
      <c r="AC579">
        <v>0.64390000000000003</v>
      </c>
    </row>
    <row r="580" spans="1:29" x14ac:dyDescent="0.45">
      <c r="A580" t="s">
        <v>65</v>
      </c>
      <c r="B580" t="s">
        <v>440</v>
      </c>
      <c r="C580" t="s">
        <v>441</v>
      </c>
      <c r="D580" t="s">
        <v>429</v>
      </c>
      <c r="E580" t="str">
        <f t="shared" si="8"/>
        <v>MT|offshore wind|Winter Peak</v>
      </c>
      <c r="F580">
        <v>0.95309999999999995</v>
      </c>
      <c r="G580">
        <v>0.95030000000000003</v>
      </c>
      <c r="H580">
        <v>0.95540000000000003</v>
      </c>
      <c r="I580">
        <v>0.96679999999999999</v>
      </c>
      <c r="J580">
        <v>1</v>
      </c>
      <c r="K580">
        <v>1</v>
      </c>
      <c r="L580">
        <v>1</v>
      </c>
      <c r="M580">
        <v>0.99209999999999998</v>
      </c>
      <c r="N580">
        <v>0.90149999999999997</v>
      </c>
      <c r="O580">
        <v>0.79779999999999995</v>
      </c>
      <c r="P580">
        <v>0.71879999999999999</v>
      </c>
      <c r="Q580">
        <v>0.67300000000000004</v>
      </c>
      <c r="R580">
        <v>0.60860000000000003</v>
      </c>
      <c r="S580">
        <v>0.58009999999999995</v>
      </c>
      <c r="T580">
        <v>0.58799999999999997</v>
      </c>
      <c r="U580">
        <v>0.61019999999999996</v>
      </c>
      <c r="V580">
        <v>0.61839999999999995</v>
      </c>
      <c r="W580">
        <v>0.60909999999999997</v>
      </c>
      <c r="X580">
        <v>0.62880000000000003</v>
      </c>
      <c r="Y580">
        <v>0.72889999999999999</v>
      </c>
      <c r="Z580">
        <v>0.84719999999999995</v>
      </c>
      <c r="AA580">
        <v>0.92220000000000002</v>
      </c>
      <c r="AB580">
        <v>0.86950000000000005</v>
      </c>
      <c r="AC580">
        <v>0.8054</v>
      </c>
    </row>
    <row r="581" spans="1:29" x14ac:dyDescent="0.45">
      <c r="A581" t="s">
        <v>68</v>
      </c>
      <c r="B581" t="s">
        <v>434</v>
      </c>
      <c r="C581" t="s">
        <v>435</v>
      </c>
      <c r="D581" t="s">
        <v>424</v>
      </c>
      <c r="E581" t="str">
        <f t="shared" ref="E581:E644" si="9">A581&amp;"|"&amp;C581&amp;"|"&amp;D581</f>
        <v>NC|onshore wind|Winter</v>
      </c>
      <c r="F581">
        <v>1</v>
      </c>
      <c r="G581">
        <v>1</v>
      </c>
      <c r="H581">
        <v>1</v>
      </c>
      <c r="I581">
        <v>1</v>
      </c>
      <c r="J581">
        <v>1</v>
      </c>
      <c r="K581">
        <v>1</v>
      </c>
      <c r="L581">
        <v>1</v>
      </c>
      <c r="M581">
        <v>1</v>
      </c>
      <c r="N581">
        <v>1</v>
      </c>
      <c r="O581">
        <v>1</v>
      </c>
      <c r="P581">
        <v>1</v>
      </c>
      <c r="Q581">
        <v>1</v>
      </c>
      <c r="R581">
        <v>1</v>
      </c>
      <c r="S581">
        <v>1</v>
      </c>
      <c r="T581">
        <v>1</v>
      </c>
      <c r="U581">
        <v>1</v>
      </c>
      <c r="V581">
        <v>1</v>
      </c>
      <c r="W581">
        <v>1</v>
      </c>
      <c r="X581">
        <v>1</v>
      </c>
      <c r="Y581">
        <v>1</v>
      </c>
      <c r="Z581">
        <v>1</v>
      </c>
      <c r="AA581">
        <v>1</v>
      </c>
      <c r="AB581">
        <v>1</v>
      </c>
      <c r="AC581">
        <v>1</v>
      </c>
    </row>
    <row r="582" spans="1:29" x14ac:dyDescent="0.45">
      <c r="A582" t="s">
        <v>68</v>
      </c>
      <c r="B582" t="s">
        <v>434</v>
      </c>
      <c r="C582" t="s">
        <v>435</v>
      </c>
      <c r="D582" t="s">
        <v>425</v>
      </c>
      <c r="E582" t="str">
        <f t="shared" si="9"/>
        <v>NC|onshore wind|Spring</v>
      </c>
      <c r="F582">
        <v>1</v>
      </c>
      <c r="G582">
        <v>1</v>
      </c>
      <c r="H582">
        <v>1</v>
      </c>
      <c r="I582">
        <v>1</v>
      </c>
      <c r="J582">
        <v>1</v>
      </c>
      <c r="K582">
        <v>1</v>
      </c>
      <c r="L582">
        <v>1</v>
      </c>
      <c r="M582">
        <v>1</v>
      </c>
      <c r="N582">
        <v>1</v>
      </c>
      <c r="O582">
        <v>1</v>
      </c>
      <c r="P582">
        <v>1</v>
      </c>
      <c r="Q582">
        <v>1</v>
      </c>
      <c r="R582">
        <v>1</v>
      </c>
      <c r="S582">
        <v>1</v>
      </c>
      <c r="T582">
        <v>1</v>
      </c>
      <c r="U582">
        <v>1</v>
      </c>
      <c r="V582">
        <v>1</v>
      </c>
      <c r="W582">
        <v>1</v>
      </c>
      <c r="X582">
        <v>1</v>
      </c>
      <c r="Y582">
        <v>1</v>
      </c>
      <c r="Z582">
        <v>1</v>
      </c>
      <c r="AA582">
        <v>1</v>
      </c>
      <c r="AB582">
        <v>1</v>
      </c>
      <c r="AC582">
        <v>1</v>
      </c>
    </row>
    <row r="583" spans="1:29" x14ac:dyDescent="0.45">
      <c r="A583" t="s">
        <v>68</v>
      </c>
      <c r="B583" t="s">
        <v>434</v>
      </c>
      <c r="C583" t="s">
        <v>435</v>
      </c>
      <c r="D583" t="s">
        <v>426</v>
      </c>
      <c r="E583" t="str">
        <f t="shared" si="9"/>
        <v>NC|onshore wind|Summer</v>
      </c>
      <c r="F583">
        <v>1</v>
      </c>
      <c r="G583">
        <v>1</v>
      </c>
      <c r="H583">
        <v>1</v>
      </c>
      <c r="I583">
        <v>1</v>
      </c>
      <c r="J583">
        <v>1</v>
      </c>
      <c r="K583">
        <v>1</v>
      </c>
      <c r="L583">
        <v>1</v>
      </c>
      <c r="M583">
        <v>1</v>
      </c>
      <c r="N583">
        <v>1</v>
      </c>
      <c r="O583">
        <v>1</v>
      </c>
      <c r="P583">
        <v>1</v>
      </c>
      <c r="Q583">
        <v>1</v>
      </c>
      <c r="R583">
        <v>1</v>
      </c>
      <c r="S583">
        <v>1</v>
      </c>
      <c r="T583">
        <v>1</v>
      </c>
      <c r="U583">
        <v>1</v>
      </c>
      <c r="V583">
        <v>1</v>
      </c>
      <c r="W583">
        <v>1</v>
      </c>
      <c r="X583">
        <v>1</v>
      </c>
      <c r="Y583">
        <v>1</v>
      </c>
      <c r="Z583">
        <v>1</v>
      </c>
      <c r="AA583">
        <v>1</v>
      </c>
      <c r="AB583">
        <v>1</v>
      </c>
      <c r="AC583">
        <v>1</v>
      </c>
    </row>
    <row r="584" spans="1:29" x14ac:dyDescent="0.45">
      <c r="A584" t="s">
        <v>68</v>
      </c>
      <c r="B584" t="s">
        <v>434</v>
      </c>
      <c r="C584" t="s">
        <v>435</v>
      </c>
      <c r="D584" t="s">
        <v>427</v>
      </c>
      <c r="E584" t="str">
        <f t="shared" si="9"/>
        <v>NC|onshore wind|Fall</v>
      </c>
      <c r="F584">
        <v>1</v>
      </c>
      <c r="G584">
        <v>1</v>
      </c>
      <c r="H584">
        <v>1</v>
      </c>
      <c r="I584">
        <v>1</v>
      </c>
      <c r="J584">
        <v>1</v>
      </c>
      <c r="K584">
        <v>1</v>
      </c>
      <c r="L584">
        <v>1</v>
      </c>
      <c r="M584">
        <v>1</v>
      </c>
      <c r="N584">
        <v>1</v>
      </c>
      <c r="O584">
        <v>1</v>
      </c>
      <c r="P584">
        <v>1</v>
      </c>
      <c r="Q584">
        <v>1</v>
      </c>
      <c r="R584">
        <v>1</v>
      </c>
      <c r="S584">
        <v>1</v>
      </c>
      <c r="T584">
        <v>1</v>
      </c>
      <c r="U584">
        <v>1</v>
      </c>
      <c r="V584">
        <v>1</v>
      </c>
      <c r="W584">
        <v>1</v>
      </c>
      <c r="X584">
        <v>1</v>
      </c>
      <c r="Y584">
        <v>1</v>
      </c>
      <c r="Z584">
        <v>1</v>
      </c>
      <c r="AA584">
        <v>1</v>
      </c>
      <c r="AB584">
        <v>1</v>
      </c>
      <c r="AC584">
        <v>1</v>
      </c>
    </row>
    <row r="585" spans="1:29" x14ac:dyDescent="0.45">
      <c r="A585" t="s">
        <v>68</v>
      </c>
      <c r="B585" t="s">
        <v>434</v>
      </c>
      <c r="C585" t="s">
        <v>435</v>
      </c>
      <c r="D585" t="s">
        <v>428</v>
      </c>
      <c r="E585" t="str">
        <f t="shared" si="9"/>
        <v>NC|onshore wind|Summer Peak</v>
      </c>
      <c r="F585">
        <v>0.34160000000000001</v>
      </c>
      <c r="G585">
        <v>0.29189999999999999</v>
      </c>
      <c r="H585">
        <v>0.2979</v>
      </c>
      <c r="I585">
        <v>0.25340000000000001</v>
      </c>
      <c r="J585">
        <v>0.25769999999999998</v>
      </c>
      <c r="K585">
        <v>0.2303</v>
      </c>
      <c r="L585">
        <v>0.32300000000000001</v>
      </c>
      <c r="M585">
        <v>0.23330000000000001</v>
      </c>
      <c r="N585">
        <v>0.25700000000000001</v>
      </c>
      <c r="O585">
        <v>0.34250000000000003</v>
      </c>
      <c r="P585">
        <v>0.54869999999999997</v>
      </c>
      <c r="Q585">
        <v>0.51119999999999999</v>
      </c>
      <c r="R585">
        <v>0.5454</v>
      </c>
      <c r="S585">
        <v>0.4763</v>
      </c>
      <c r="T585">
        <v>0.63070000000000004</v>
      </c>
      <c r="U585">
        <v>0.54479999999999995</v>
      </c>
      <c r="V585">
        <v>0.50190000000000001</v>
      </c>
      <c r="W585">
        <v>0.50480000000000003</v>
      </c>
      <c r="X585">
        <v>0.54049999999999998</v>
      </c>
      <c r="Y585">
        <v>0.36890000000000001</v>
      </c>
      <c r="Z585">
        <v>0.40970000000000001</v>
      </c>
      <c r="AA585">
        <v>0.31530000000000002</v>
      </c>
      <c r="AB585">
        <v>0.37390000000000001</v>
      </c>
      <c r="AC585">
        <v>0.31309999999999999</v>
      </c>
    </row>
    <row r="586" spans="1:29" x14ac:dyDescent="0.45">
      <c r="A586" t="s">
        <v>68</v>
      </c>
      <c r="B586" t="s">
        <v>434</v>
      </c>
      <c r="C586" t="s">
        <v>435</v>
      </c>
      <c r="D586" t="s">
        <v>429</v>
      </c>
      <c r="E586" t="str">
        <f t="shared" si="9"/>
        <v>NC|onshore wind|Winter Peak</v>
      </c>
      <c r="F586">
        <v>0.42109999999999997</v>
      </c>
      <c r="G586">
        <v>0.4904</v>
      </c>
      <c r="H586">
        <v>0.47470000000000001</v>
      </c>
      <c r="I586">
        <v>0.43740000000000001</v>
      </c>
      <c r="J586">
        <v>0.40260000000000001</v>
      </c>
      <c r="K586">
        <v>0.53310000000000002</v>
      </c>
      <c r="L586">
        <v>0.54430000000000001</v>
      </c>
      <c r="M586">
        <v>0.48520000000000002</v>
      </c>
      <c r="N586">
        <v>0.5615</v>
      </c>
      <c r="O586">
        <v>0.62809999999999999</v>
      </c>
      <c r="P586">
        <v>0.7601</v>
      </c>
      <c r="Q586">
        <v>0.6482</v>
      </c>
      <c r="R586">
        <v>0.51300000000000001</v>
      </c>
      <c r="S586">
        <v>0.42809999999999998</v>
      </c>
      <c r="T586">
        <v>0.44159999999999999</v>
      </c>
      <c r="U586">
        <v>0.4975</v>
      </c>
      <c r="V586">
        <v>0.61409999999999998</v>
      </c>
      <c r="W586">
        <v>0.61950000000000005</v>
      </c>
      <c r="X586">
        <v>0.56110000000000004</v>
      </c>
      <c r="Y586">
        <v>0.64190000000000003</v>
      </c>
      <c r="Z586">
        <v>0.59299999999999997</v>
      </c>
      <c r="AA586">
        <v>0.51229999999999998</v>
      </c>
      <c r="AB586">
        <v>0.51249999999999996</v>
      </c>
      <c r="AC586">
        <v>0.5665</v>
      </c>
    </row>
    <row r="587" spans="1:29" x14ac:dyDescent="0.45">
      <c r="A587" t="s">
        <v>68</v>
      </c>
      <c r="B587" t="s">
        <v>436</v>
      </c>
      <c r="C587" t="s">
        <v>437</v>
      </c>
      <c r="D587" t="s">
        <v>424</v>
      </c>
      <c r="E587" t="str">
        <f t="shared" si="9"/>
        <v>NC|solar pv|Winter</v>
      </c>
      <c r="F587">
        <v>1</v>
      </c>
      <c r="G587">
        <v>1</v>
      </c>
      <c r="H587">
        <v>1</v>
      </c>
      <c r="I587">
        <v>1</v>
      </c>
      <c r="J587">
        <v>1</v>
      </c>
      <c r="K587">
        <v>1</v>
      </c>
      <c r="L587">
        <v>1</v>
      </c>
      <c r="M587">
        <v>1</v>
      </c>
      <c r="N587">
        <v>1</v>
      </c>
      <c r="O587">
        <v>1</v>
      </c>
      <c r="P587">
        <v>1</v>
      </c>
      <c r="Q587">
        <v>1</v>
      </c>
      <c r="R587">
        <v>1</v>
      </c>
      <c r="S587">
        <v>1</v>
      </c>
      <c r="T587">
        <v>1</v>
      </c>
      <c r="U587">
        <v>1</v>
      </c>
      <c r="V587">
        <v>1</v>
      </c>
      <c r="W587">
        <v>1</v>
      </c>
      <c r="X587">
        <v>1</v>
      </c>
      <c r="Y587">
        <v>1</v>
      </c>
      <c r="Z587">
        <v>1</v>
      </c>
      <c r="AA587">
        <v>1</v>
      </c>
      <c r="AB587">
        <v>1</v>
      </c>
      <c r="AC587">
        <v>1</v>
      </c>
    </row>
    <row r="588" spans="1:29" x14ac:dyDescent="0.45">
      <c r="A588" t="s">
        <v>68</v>
      </c>
      <c r="B588" t="s">
        <v>436</v>
      </c>
      <c r="C588" t="s">
        <v>437</v>
      </c>
      <c r="D588" t="s">
        <v>425</v>
      </c>
      <c r="E588" t="str">
        <f t="shared" si="9"/>
        <v>NC|solar pv|Spring</v>
      </c>
      <c r="F588">
        <v>1</v>
      </c>
      <c r="G588">
        <v>1</v>
      </c>
      <c r="H588">
        <v>1</v>
      </c>
      <c r="I588">
        <v>1</v>
      </c>
      <c r="J588">
        <v>1</v>
      </c>
      <c r="K588">
        <v>1</v>
      </c>
      <c r="L588">
        <v>1</v>
      </c>
      <c r="M588">
        <v>1</v>
      </c>
      <c r="N588">
        <v>1</v>
      </c>
      <c r="O588">
        <v>1</v>
      </c>
      <c r="P588">
        <v>1</v>
      </c>
      <c r="Q588">
        <v>1</v>
      </c>
      <c r="R588">
        <v>1</v>
      </c>
      <c r="S588">
        <v>1</v>
      </c>
      <c r="T588">
        <v>1</v>
      </c>
      <c r="U588">
        <v>1</v>
      </c>
      <c r="V588">
        <v>1</v>
      </c>
      <c r="W588">
        <v>1</v>
      </c>
      <c r="X588">
        <v>1</v>
      </c>
      <c r="Y588">
        <v>1</v>
      </c>
      <c r="Z588">
        <v>1</v>
      </c>
      <c r="AA588">
        <v>1</v>
      </c>
      <c r="AB588">
        <v>1</v>
      </c>
      <c r="AC588">
        <v>1</v>
      </c>
    </row>
    <row r="589" spans="1:29" x14ac:dyDescent="0.45">
      <c r="A589" t="s">
        <v>68</v>
      </c>
      <c r="B589" t="s">
        <v>436</v>
      </c>
      <c r="C589" t="s">
        <v>437</v>
      </c>
      <c r="D589" t="s">
        <v>426</v>
      </c>
      <c r="E589" t="str">
        <f t="shared" si="9"/>
        <v>NC|solar pv|Summer</v>
      </c>
      <c r="F589">
        <v>1</v>
      </c>
      <c r="G589">
        <v>1</v>
      </c>
      <c r="H589">
        <v>1</v>
      </c>
      <c r="I589">
        <v>1</v>
      </c>
      <c r="J589">
        <v>1</v>
      </c>
      <c r="K589">
        <v>1</v>
      </c>
      <c r="L589">
        <v>1</v>
      </c>
      <c r="M589">
        <v>1</v>
      </c>
      <c r="N589">
        <v>1</v>
      </c>
      <c r="O589">
        <v>1</v>
      </c>
      <c r="P589">
        <v>1</v>
      </c>
      <c r="Q589">
        <v>1</v>
      </c>
      <c r="R589">
        <v>1</v>
      </c>
      <c r="S589">
        <v>1</v>
      </c>
      <c r="T589">
        <v>1</v>
      </c>
      <c r="U589">
        <v>1</v>
      </c>
      <c r="V589">
        <v>1</v>
      </c>
      <c r="W589">
        <v>1</v>
      </c>
      <c r="X589">
        <v>1</v>
      </c>
      <c r="Y589">
        <v>1</v>
      </c>
      <c r="Z589">
        <v>1</v>
      </c>
      <c r="AA589">
        <v>1</v>
      </c>
      <c r="AB589">
        <v>1</v>
      </c>
      <c r="AC589">
        <v>1</v>
      </c>
    </row>
    <row r="590" spans="1:29" x14ac:dyDescent="0.45">
      <c r="A590" t="s">
        <v>68</v>
      </c>
      <c r="B590" t="s">
        <v>436</v>
      </c>
      <c r="C590" t="s">
        <v>437</v>
      </c>
      <c r="D590" t="s">
        <v>427</v>
      </c>
      <c r="E590" t="str">
        <f t="shared" si="9"/>
        <v>NC|solar pv|Fall</v>
      </c>
      <c r="F590">
        <v>1</v>
      </c>
      <c r="G590">
        <v>1</v>
      </c>
      <c r="H590">
        <v>1</v>
      </c>
      <c r="I590">
        <v>1</v>
      </c>
      <c r="J590">
        <v>1</v>
      </c>
      <c r="K590">
        <v>1</v>
      </c>
      <c r="L590">
        <v>1</v>
      </c>
      <c r="M590">
        <v>1</v>
      </c>
      <c r="N590">
        <v>1</v>
      </c>
      <c r="O590">
        <v>1</v>
      </c>
      <c r="P590">
        <v>1</v>
      </c>
      <c r="Q590">
        <v>1</v>
      </c>
      <c r="R590">
        <v>1</v>
      </c>
      <c r="S590">
        <v>1</v>
      </c>
      <c r="T590">
        <v>1</v>
      </c>
      <c r="U590">
        <v>1</v>
      </c>
      <c r="V590">
        <v>1</v>
      </c>
      <c r="W590">
        <v>1</v>
      </c>
      <c r="X590">
        <v>1</v>
      </c>
      <c r="Y590">
        <v>1</v>
      </c>
      <c r="Z590">
        <v>1</v>
      </c>
      <c r="AA590">
        <v>1</v>
      </c>
      <c r="AB590">
        <v>1</v>
      </c>
      <c r="AC590">
        <v>1</v>
      </c>
    </row>
    <row r="591" spans="1:29" x14ac:dyDescent="0.45">
      <c r="A591" t="s">
        <v>68</v>
      </c>
      <c r="B591" t="s">
        <v>436</v>
      </c>
      <c r="C591" t="s">
        <v>437</v>
      </c>
      <c r="D591" t="s">
        <v>428</v>
      </c>
      <c r="E591" t="str">
        <f t="shared" si="9"/>
        <v>NC|solar pv|Summer Peak</v>
      </c>
      <c r="F591">
        <v>1</v>
      </c>
      <c r="G591">
        <v>1</v>
      </c>
      <c r="H591">
        <v>1</v>
      </c>
      <c r="I591">
        <v>1</v>
      </c>
      <c r="J591">
        <v>1</v>
      </c>
      <c r="K591">
        <v>0.3448</v>
      </c>
      <c r="L591">
        <v>0.57940000000000003</v>
      </c>
      <c r="M591">
        <v>0.77080000000000004</v>
      </c>
      <c r="N591">
        <v>0.79569999999999996</v>
      </c>
      <c r="O591">
        <v>0.83950000000000002</v>
      </c>
      <c r="P591">
        <v>0.87980000000000003</v>
      </c>
      <c r="Q591">
        <v>0.90720000000000001</v>
      </c>
      <c r="R591">
        <v>0.88790000000000002</v>
      </c>
      <c r="S591">
        <v>0.86170000000000002</v>
      </c>
      <c r="T591">
        <v>0.80779999999999996</v>
      </c>
      <c r="U591">
        <v>0.71660000000000001</v>
      </c>
      <c r="V591">
        <v>0.70099999999999996</v>
      </c>
      <c r="W591">
        <v>0.55769999999999997</v>
      </c>
      <c r="X591">
        <v>1.6899999999999998E-2</v>
      </c>
      <c r="Y591">
        <v>1</v>
      </c>
      <c r="Z591">
        <v>1</v>
      </c>
      <c r="AA591">
        <v>1</v>
      </c>
      <c r="AB591">
        <v>1</v>
      </c>
      <c r="AC591">
        <v>1</v>
      </c>
    </row>
    <row r="592" spans="1:29" x14ac:dyDescent="0.45">
      <c r="A592" t="s">
        <v>68</v>
      </c>
      <c r="B592" t="s">
        <v>436</v>
      </c>
      <c r="C592" t="s">
        <v>437</v>
      </c>
      <c r="D592" t="s">
        <v>429</v>
      </c>
      <c r="E592" t="str">
        <f t="shared" si="9"/>
        <v>NC|solar pv|Winter Peak</v>
      </c>
      <c r="F592">
        <v>1</v>
      </c>
      <c r="G592">
        <v>1</v>
      </c>
      <c r="H592">
        <v>1</v>
      </c>
      <c r="I592">
        <v>1</v>
      </c>
      <c r="J592">
        <v>1</v>
      </c>
      <c r="K592">
        <v>1</v>
      </c>
      <c r="L592">
        <v>1</v>
      </c>
      <c r="M592">
        <v>0.51800000000000002</v>
      </c>
      <c r="N592">
        <v>0.46739999999999998</v>
      </c>
      <c r="O592">
        <v>0.51670000000000005</v>
      </c>
      <c r="P592">
        <v>0.49869999999999998</v>
      </c>
      <c r="Q592">
        <v>0.56689999999999996</v>
      </c>
      <c r="R592">
        <v>0.53949999999999998</v>
      </c>
      <c r="S592">
        <v>0.4662</v>
      </c>
      <c r="T592">
        <v>0.47839999999999999</v>
      </c>
      <c r="U592">
        <v>0.61680000000000001</v>
      </c>
      <c r="V592">
        <v>0.13739999999999999</v>
      </c>
      <c r="W592">
        <v>1</v>
      </c>
      <c r="X592">
        <v>1</v>
      </c>
      <c r="Y592">
        <v>1</v>
      </c>
      <c r="Z592">
        <v>1</v>
      </c>
      <c r="AA592">
        <v>1</v>
      </c>
      <c r="AB592">
        <v>1</v>
      </c>
      <c r="AC592">
        <v>1</v>
      </c>
    </row>
    <row r="593" spans="1:29" x14ac:dyDescent="0.45">
      <c r="A593" t="s">
        <v>68</v>
      </c>
      <c r="B593" t="s">
        <v>438</v>
      </c>
      <c r="C593" t="s">
        <v>439</v>
      </c>
      <c r="D593" t="s">
        <v>424</v>
      </c>
      <c r="E593" t="str">
        <f t="shared" si="9"/>
        <v>NC|solar thermal|Winter</v>
      </c>
      <c r="F593">
        <v>1</v>
      </c>
      <c r="G593">
        <v>1</v>
      </c>
      <c r="H593">
        <v>1</v>
      </c>
      <c r="I593">
        <v>1</v>
      </c>
      <c r="J593">
        <v>1</v>
      </c>
      <c r="K593">
        <v>1</v>
      </c>
      <c r="L593">
        <v>1</v>
      </c>
      <c r="M593">
        <v>1</v>
      </c>
      <c r="N593">
        <v>1</v>
      </c>
      <c r="O593">
        <v>1</v>
      </c>
      <c r="P593">
        <v>1</v>
      </c>
      <c r="Q593">
        <v>1</v>
      </c>
      <c r="R593">
        <v>1</v>
      </c>
      <c r="S593">
        <v>1</v>
      </c>
      <c r="T593">
        <v>1</v>
      </c>
      <c r="U593">
        <v>1</v>
      </c>
      <c r="V593">
        <v>1</v>
      </c>
      <c r="W593">
        <v>1</v>
      </c>
      <c r="X593">
        <v>1</v>
      </c>
      <c r="Y593">
        <v>1</v>
      </c>
      <c r="Z593">
        <v>1</v>
      </c>
      <c r="AA593">
        <v>1</v>
      </c>
      <c r="AB593">
        <v>1</v>
      </c>
      <c r="AC593">
        <v>1</v>
      </c>
    </row>
    <row r="594" spans="1:29" x14ac:dyDescent="0.45">
      <c r="A594" t="s">
        <v>68</v>
      </c>
      <c r="B594" t="s">
        <v>438</v>
      </c>
      <c r="C594" t="s">
        <v>439</v>
      </c>
      <c r="D594" t="s">
        <v>425</v>
      </c>
      <c r="E594" t="str">
        <f t="shared" si="9"/>
        <v>NC|solar thermal|Spring</v>
      </c>
      <c r="F594">
        <v>1</v>
      </c>
      <c r="G594">
        <v>1</v>
      </c>
      <c r="H594">
        <v>1</v>
      </c>
      <c r="I594">
        <v>1</v>
      </c>
      <c r="J594">
        <v>1</v>
      </c>
      <c r="K594">
        <v>1</v>
      </c>
      <c r="L594">
        <v>1</v>
      </c>
      <c r="M594">
        <v>1</v>
      </c>
      <c r="N594">
        <v>1</v>
      </c>
      <c r="O594">
        <v>1</v>
      </c>
      <c r="P594">
        <v>1</v>
      </c>
      <c r="Q594">
        <v>1</v>
      </c>
      <c r="R594">
        <v>1</v>
      </c>
      <c r="S594">
        <v>1</v>
      </c>
      <c r="T594">
        <v>1</v>
      </c>
      <c r="U594">
        <v>1</v>
      </c>
      <c r="V594">
        <v>1</v>
      </c>
      <c r="W594">
        <v>1</v>
      </c>
      <c r="X594">
        <v>1</v>
      </c>
      <c r="Y594">
        <v>1</v>
      </c>
      <c r="Z594">
        <v>1</v>
      </c>
      <c r="AA594">
        <v>1</v>
      </c>
      <c r="AB594">
        <v>1</v>
      </c>
      <c r="AC594">
        <v>1</v>
      </c>
    </row>
    <row r="595" spans="1:29" x14ac:dyDescent="0.45">
      <c r="A595" t="s">
        <v>68</v>
      </c>
      <c r="B595" t="s">
        <v>438</v>
      </c>
      <c r="C595" t="s">
        <v>439</v>
      </c>
      <c r="D595" t="s">
        <v>426</v>
      </c>
      <c r="E595" t="str">
        <f t="shared" si="9"/>
        <v>NC|solar thermal|Summer</v>
      </c>
      <c r="F595">
        <v>1</v>
      </c>
      <c r="G595">
        <v>1</v>
      </c>
      <c r="H595">
        <v>1</v>
      </c>
      <c r="I595">
        <v>1</v>
      </c>
      <c r="J595">
        <v>1</v>
      </c>
      <c r="K595">
        <v>1</v>
      </c>
      <c r="L595">
        <v>1</v>
      </c>
      <c r="M595">
        <v>1</v>
      </c>
      <c r="N595">
        <v>1</v>
      </c>
      <c r="O595">
        <v>1</v>
      </c>
      <c r="P595">
        <v>1</v>
      </c>
      <c r="Q595">
        <v>1</v>
      </c>
      <c r="R595">
        <v>1</v>
      </c>
      <c r="S595">
        <v>1</v>
      </c>
      <c r="T595">
        <v>1</v>
      </c>
      <c r="U595">
        <v>1</v>
      </c>
      <c r="V595">
        <v>1</v>
      </c>
      <c r="W595">
        <v>1</v>
      </c>
      <c r="X595">
        <v>1</v>
      </c>
      <c r="Y595">
        <v>1</v>
      </c>
      <c r="Z595">
        <v>1</v>
      </c>
      <c r="AA595">
        <v>1</v>
      </c>
      <c r="AB595">
        <v>1</v>
      </c>
      <c r="AC595">
        <v>1</v>
      </c>
    </row>
    <row r="596" spans="1:29" x14ac:dyDescent="0.45">
      <c r="A596" t="s">
        <v>68</v>
      </c>
      <c r="B596" t="s">
        <v>438</v>
      </c>
      <c r="C596" t="s">
        <v>439</v>
      </c>
      <c r="D596" t="s">
        <v>427</v>
      </c>
      <c r="E596" t="str">
        <f t="shared" si="9"/>
        <v>NC|solar thermal|Fall</v>
      </c>
      <c r="F596">
        <v>1</v>
      </c>
      <c r="G596">
        <v>1</v>
      </c>
      <c r="H596">
        <v>1</v>
      </c>
      <c r="I596">
        <v>1</v>
      </c>
      <c r="J596">
        <v>1</v>
      </c>
      <c r="K596">
        <v>1</v>
      </c>
      <c r="L596">
        <v>1</v>
      </c>
      <c r="M596">
        <v>1</v>
      </c>
      <c r="N596">
        <v>1</v>
      </c>
      <c r="O596">
        <v>1</v>
      </c>
      <c r="P596">
        <v>1</v>
      </c>
      <c r="Q596">
        <v>1</v>
      </c>
      <c r="R596">
        <v>1</v>
      </c>
      <c r="S596">
        <v>1</v>
      </c>
      <c r="T596">
        <v>1</v>
      </c>
      <c r="U596">
        <v>1</v>
      </c>
      <c r="V596">
        <v>1</v>
      </c>
      <c r="W596">
        <v>1</v>
      </c>
      <c r="X596">
        <v>1</v>
      </c>
      <c r="Y596">
        <v>1</v>
      </c>
      <c r="Z596">
        <v>1</v>
      </c>
      <c r="AA596">
        <v>1</v>
      </c>
      <c r="AB596">
        <v>1</v>
      </c>
      <c r="AC596">
        <v>1</v>
      </c>
    </row>
    <row r="597" spans="1:29" x14ac:dyDescent="0.45">
      <c r="A597" t="s">
        <v>68</v>
      </c>
      <c r="B597" t="s">
        <v>438</v>
      </c>
      <c r="C597" t="s">
        <v>439</v>
      </c>
      <c r="D597" t="s">
        <v>428</v>
      </c>
      <c r="E597" t="str">
        <f t="shared" si="9"/>
        <v>NC|solar thermal|Summer Peak</v>
      </c>
      <c r="F597">
        <v>1</v>
      </c>
      <c r="G597">
        <v>1</v>
      </c>
      <c r="H597">
        <v>1</v>
      </c>
      <c r="I597">
        <v>1</v>
      </c>
      <c r="J597">
        <v>1</v>
      </c>
      <c r="K597">
        <v>1</v>
      </c>
      <c r="L597">
        <v>1</v>
      </c>
      <c r="M597">
        <v>0</v>
      </c>
      <c r="N597">
        <v>0.8639</v>
      </c>
      <c r="O597">
        <v>1</v>
      </c>
      <c r="P597">
        <v>1</v>
      </c>
      <c r="Q597">
        <v>0.97160000000000002</v>
      </c>
      <c r="R597">
        <v>0.96719999999999995</v>
      </c>
      <c r="S597">
        <v>1</v>
      </c>
      <c r="T597">
        <v>1</v>
      </c>
      <c r="U597">
        <v>1</v>
      </c>
      <c r="V597">
        <v>1</v>
      </c>
      <c r="W597">
        <v>1</v>
      </c>
      <c r="X597">
        <v>1</v>
      </c>
      <c r="Y597">
        <v>0.93130000000000002</v>
      </c>
      <c r="Z597">
        <v>0.70220000000000005</v>
      </c>
      <c r="AA597">
        <v>1</v>
      </c>
      <c r="AB597">
        <v>1</v>
      </c>
      <c r="AC597">
        <v>1</v>
      </c>
    </row>
    <row r="598" spans="1:29" x14ac:dyDescent="0.45">
      <c r="A598" t="s">
        <v>68</v>
      </c>
      <c r="B598" t="s">
        <v>438</v>
      </c>
      <c r="C598" t="s">
        <v>439</v>
      </c>
      <c r="D598" t="s">
        <v>429</v>
      </c>
      <c r="E598" t="str">
        <f t="shared" si="9"/>
        <v>NC|solar thermal|Winter Peak</v>
      </c>
      <c r="F598">
        <v>1</v>
      </c>
      <c r="G598">
        <v>1</v>
      </c>
      <c r="H598">
        <v>1</v>
      </c>
      <c r="I598">
        <v>1</v>
      </c>
      <c r="J598">
        <v>1</v>
      </c>
      <c r="K598">
        <v>1</v>
      </c>
      <c r="L598">
        <v>1</v>
      </c>
      <c r="M598">
        <v>1</v>
      </c>
      <c r="N598">
        <v>1</v>
      </c>
      <c r="O598">
        <v>0.2419</v>
      </c>
      <c r="P598">
        <v>0.95320000000000005</v>
      </c>
      <c r="Q598">
        <v>0.88039999999999996</v>
      </c>
      <c r="R598">
        <v>0.97819999999999996</v>
      </c>
      <c r="S598">
        <v>0.98950000000000005</v>
      </c>
      <c r="T598">
        <v>0.99270000000000003</v>
      </c>
      <c r="U598">
        <v>1</v>
      </c>
      <c r="V598">
        <v>1</v>
      </c>
      <c r="W598">
        <v>1</v>
      </c>
      <c r="X598">
        <v>0.89019999999999999</v>
      </c>
      <c r="Y598">
        <v>0</v>
      </c>
      <c r="Z598">
        <v>1</v>
      </c>
      <c r="AA598">
        <v>1</v>
      </c>
      <c r="AB598">
        <v>1</v>
      </c>
      <c r="AC598">
        <v>1</v>
      </c>
    </row>
    <row r="599" spans="1:29" x14ac:dyDescent="0.45">
      <c r="A599" t="s">
        <v>68</v>
      </c>
      <c r="B599" t="s">
        <v>440</v>
      </c>
      <c r="C599" t="s">
        <v>441</v>
      </c>
      <c r="D599" t="s">
        <v>424</v>
      </c>
      <c r="E599" t="str">
        <f t="shared" si="9"/>
        <v>NC|offshore wind|Winter</v>
      </c>
      <c r="F599">
        <v>1</v>
      </c>
      <c r="G599">
        <v>1</v>
      </c>
      <c r="H599">
        <v>1</v>
      </c>
      <c r="I599">
        <v>1</v>
      </c>
      <c r="J599">
        <v>1</v>
      </c>
      <c r="K599">
        <v>1</v>
      </c>
      <c r="L599">
        <v>1</v>
      </c>
      <c r="M599">
        <v>1</v>
      </c>
      <c r="N599">
        <v>1</v>
      </c>
      <c r="O599">
        <v>1</v>
      </c>
      <c r="P599">
        <v>1</v>
      </c>
      <c r="Q599">
        <v>1</v>
      </c>
      <c r="R599">
        <v>1</v>
      </c>
      <c r="S599">
        <v>1</v>
      </c>
      <c r="T599">
        <v>1</v>
      </c>
      <c r="U599">
        <v>1</v>
      </c>
      <c r="V599">
        <v>1</v>
      </c>
      <c r="W599">
        <v>1</v>
      </c>
      <c r="X599">
        <v>1</v>
      </c>
      <c r="Y599">
        <v>1</v>
      </c>
      <c r="Z599">
        <v>1</v>
      </c>
      <c r="AA599">
        <v>1</v>
      </c>
      <c r="AB599">
        <v>1</v>
      </c>
      <c r="AC599">
        <v>1</v>
      </c>
    </row>
    <row r="600" spans="1:29" x14ac:dyDescent="0.45">
      <c r="A600" t="s">
        <v>68</v>
      </c>
      <c r="B600" t="s">
        <v>440</v>
      </c>
      <c r="C600" t="s">
        <v>441</v>
      </c>
      <c r="D600" t="s">
        <v>425</v>
      </c>
      <c r="E600" t="str">
        <f t="shared" si="9"/>
        <v>NC|offshore wind|Spring</v>
      </c>
      <c r="F600">
        <v>1</v>
      </c>
      <c r="G600">
        <v>1</v>
      </c>
      <c r="H600">
        <v>1</v>
      </c>
      <c r="I600">
        <v>1</v>
      </c>
      <c r="J600">
        <v>1</v>
      </c>
      <c r="K600">
        <v>1</v>
      </c>
      <c r="L600">
        <v>1</v>
      </c>
      <c r="M600">
        <v>1</v>
      </c>
      <c r="N600">
        <v>1</v>
      </c>
      <c r="O600">
        <v>1</v>
      </c>
      <c r="P600">
        <v>1</v>
      </c>
      <c r="Q600">
        <v>1</v>
      </c>
      <c r="R600">
        <v>1</v>
      </c>
      <c r="S600">
        <v>1</v>
      </c>
      <c r="T600">
        <v>1</v>
      </c>
      <c r="U600">
        <v>1</v>
      </c>
      <c r="V600">
        <v>1</v>
      </c>
      <c r="W600">
        <v>1</v>
      </c>
      <c r="X600">
        <v>1</v>
      </c>
      <c r="Y600">
        <v>1</v>
      </c>
      <c r="Z600">
        <v>1</v>
      </c>
      <c r="AA600">
        <v>1</v>
      </c>
      <c r="AB600">
        <v>1</v>
      </c>
      <c r="AC600">
        <v>1</v>
      </c>
    </row>
    <row r="601" spans="1:29" x14ac:dyDescent="0.45">
      <c r="A601" t="s">
        <v>68</v>
      </c>
      <c r="B601" t="s">
        <v>440</v>
      </c>
      <c r="C601" t="s">
        <v>441</v>
      </c>
      <c r="D601" t="s">
        <v>426</v>
      </c>
      <c r="E601" t="str">
        <f t="shared" si="9"/>
        <v>NC|offshore wind|Summer</v>
      </c>
      <c r="F601">
        <v>1</v>
      </c>
      <c r="G601">
        <v>1</v>
      </c>
      <c r="H601">
        <v>1</v>
      </c>
      <c r="I601">
        <v>1</v>
      </c>
      <c r="J601">
        <v>1</v>
      </c>
      <c r="K601">
        <v>1</v>
      </c>
      <c r="L601">
        <v>1</v>
      </c>
      <c r="M601">
        <v>1</v>
      </c>
      <c r="N601">
        <v>1</v>
      </c>
      <c r="O601">
        <v>1</v>
      </c>
      <c r="P601">
        <v>1</v>
      </c>
      <c r="Q601">
        <v>1</v>
      </c>
      <c r="R601">
        <v>1</v>
      </c>
      <c r="S601">
        <v>1</v>
      </c>
      <c r="T601">
        <v>1</v>
      </c>
      <c r="U601">
        <v>1</v>
      </c>
      <c r="V601">
        <v>1</v>
      </c>
      <c r="W601">
        <v>1</v>
      </c>
      <c r="X601">
        <v>1</v>
      </c>
      <c r="Y601">
        <v>1</v>
      </c>
      <c r="Z601">
        <v>1</v>
      </c>
      <c r="AA601">
        <v>1</v>
      </c>
      <c r="AB601">
        <v>1</v>
      </c>
      <c r="AC601">
        <v>1</v>
      </c>
    </row>
    <row r="602" spans="1:29" x14ac:dyDescent="0.45">
      <c r="A602" t="s">
        <v>68</v>
      </c>
      <c r="B602" t="s">
        <v>440</v>
      </c>
      <c r="C602" t="s">
        <v>441</v>
      </c>
      <c r="D602" t="s">
        <v>427</v>
      </c>
      <c r="E602" t="str">
        <f t="shared" si="9"/>
        <v>NC|offshore wind|Fall</v>
      </c>
      <c r="F602">
        <v>1</v>
      </c>
      <c r="G602">
        <v>1</v>
      </c>
      <c r="H602">
        <v>1</v>
      </c>
      <c r="I602">
        <v>1</v>
      </c>
      <c r="J602">
        <v>1</v>
      </c>
      <c r="K602">
        <v>1</v>
      </c>
      <c r="L602">
        <v>1</v>
      </c>
      <c r="M602">
        <v>1</v>
      </c>
      <c r="N602">
        <v>1</v>
      </c>
      <c r="O602">
        <v>1</v>
      </c>
      <c r="P602">
        <v>1</v>
      </c>
      <c r="Q602">
        <v>1</v>
      </c>
      <c r="R602">
        <v>1</v>
      </c>
      <c r="S602">
        <v>1</v>
      </c>
      <c r="T602">
        <v>1</v>
      </c>
      <c r="U602">
        <v>1</v>
      </c>
      <c r="V602">
        <v>1</v>
      </c>
      <c r="W602">
        <v>1</v>
      </c>
      <c r="X602">
        <v>1</v>
      </c>
      <c r="Y602">
        <v>1</v>
      </c>
      <c r="Z602">
        <v>1</v>
      </c>
      <c r="AA602">
        <v>1</v>
      </c>
      <c r="AB602">
        <v>1</v>
      </c>
      <c r="AC602">
        <v>1</v>
      </c>
    </row>
    <row r="603" spans="1:29" x14ac:dyDescent="0.45">
      <c r="A603" t="s">
        <v>68</v>
      </c>
      <c r="B603" t="s">
        <v>440</v>
      </c>
      <c r="C603" t="s">
        <v>441</v>
      </c>
      <c r="D603" t="s">
        <v>428</v>
      </c>
      <c r="E603" t="str">
        <f t="shared" si="9"/>
        <v>NC|offshore wind|Summer Peak</v>
      </c>
      <c r="F603">
        <v>0.45639999999999997</v>
      </c>
      <c r="G603">
        <v>0.43930000000000002</v>
      </c>
      <c r="H603">
        <v>0.4551</v>
      </c>
      <c r="I603">
        <v>0.39069999999999999</v>
      </c>
      <c r="J603">
        <v>0.4909</v>
      </c>
      <c r="K603">
        <v>0.49730000000000002</v>
      </c>
      <c r="L603">
        <v>0.42099999999999999</v>
      </c>
      <c r="M603">
        <v>0.4728</v>
      </c>
      <c r="N603">
        <v>0.48520000000000002</v>
      </c>
      <c r="O603">
        <v>0.51329999999999998</v>
      </c>
      <c r="P603">
        <v>0.50060000000000004</v>
      </c>
      <c r="Q603">
        <v>0.40960000000000002</v>
      </c>
      <c r="R603">
        <v>0.36809999999999998</v>
      </c>
      <c r="S603">
        <v>0.48730000000000001</v>
      </c>
      <c r="T603">
        <v>0.51080000000000003</v>
      </c>
      <c r="U603">
        <v>0.45140000000000002</v>
      </c>
      <c r="V603">
        <v>0.55630000000000002</v>
      </c>
      <c r="W603">
        <v>0.499</v>
      </c>
      <c r="X603">
        <v>0.55479999999999996</v>
      </c>
      <c r="Y603">
        <v>0.50890000000000002</v>
      </c>
      <c r="Z603">
        <v>0.53249999999999997</v>
      </c>
      <c r="AA603">
        <v>0.54790000000000005</v>
      </c>
      <c r="AB603">
        <v>0.439</v>
      </c>
      <c r="AC603">
        <v>0.35720000000000002</v>
      </c>
    </row>
    <row r="604" spans="1:29" x14ac:dyDescent="0.45">
      <c r="A604" t="s">
        <v>68</v>
      </c>
      <c r="B604" t="s">
        <v>440</v>
      </c>
      <c r="C604" t="s">
        <v>441</v>
      </c>
      <c r="D604" t="s">
        <v>429</v>
      </c>
      <c r="E604" t="str">
        <f t="shared" si="9"/>
        <v>NC|offshore wind|Winter Peak</v>
      </c>
      <c r="F604">
        <v>0.34410000000000002</v>
      </c>
      <c r="G604">
        <v>0.33710000000000001</v>
      </c>
      <c r="H604">
        <v>0.30399999999999999</v>
      </c>
      <c r="I604">
        <v>0.32400000000000001</v>
      </c>
      <c r="J604">
        <v>0.37</v>
      </c>
      <c r="K604">
        <v>0.42349999999999999</v>
      </c>
      <c r="L604">
        <v>0.50160000000000005</v>
      </c>
      <c r="M604">
        <v>0.52329999999999999</v>
      </c>
      <c r="N604">
        <v>0.5675</v>
      </c>
      <c r="O604">
        <v>0.50849999999999995</v>
      </c>
      <c r="P604">
        <v>0.4002</v>
      </c>
      <c r="Q604">
        <v>0.35389999999999999</v>
      </c>
      <c r="R604">
        <v>0.32590000000000002</v>
      </c>
      <c r="S604">
        <v>0.3836</v>
      </c>
      <c r="T604">
        <v>0.48409999999999997</v>
      </c>
      <c r="U604">
        <v>0.54600000000000004</v>
      </c>
      <c r="V604">
        <v>0.58520000000000005</v>
      </c>
      <c r="W604">
        <v>0.63380000000000003</v>
      </c>
      <c r="X604">
        <v>0.62949999999999995</v>
      </c>
      <c r="Y604">
        <v>0.54459999999999997</v>
      </c>
      <c r="Z604">
        <v>0.45929999999999999</v>
      </c>
      <c r="AA604">
        <v>0.4299</v>
      </c>
      <c r="AB604">
        <v>0.46779999999999999</v>
      </c>
      <c r="AC604">
        <v>0.44900000000000001</v>
      </c>
    </row>
    <row r="605" spans="1:29" x14ac:dyDescent="0.45">
      <c r="A605" t="s">
        <v>72</v>
      </c>
      <c r="B605" t="s">
        <v>434</v>
      </c>
      <c r="C605" t="s">
        <v>435</v>
      </c>
      <c r="D605" t="s">
        <v>424</v>
      </c>
      <c r="E605" t="str">
        <f t="shared" si="9"/>
        <v>ND|onshore wind|Winter</v>
      </c>
      <c r="F605">
        <v>1</v>
      </c>
      <c r="G605">
        <v>1</v>
      </c>
      <c r="H605">
        <v>1</v>
      </c>
      <c r="I605">
        <v>1</v>
      </c>
      <c r="J605">
        <v>1</v>
      </c>
      <c r="K605">
        <v>1</v>
      </c>
      <c r="L605">
        <v>1</v>
      </c>
      <c r="M605">
        <v>1</v>
      </c>
      <c r="N605">
        <v>1</v>
      </c>
      <c r="O605">
        <v>1</v>
      </c>
      <c r="P605">
        <v>1</v>
      </c>
      <c r="Q605">
        <v>1</v>
      </c>
      <c r="R605">
        <v>1</v>
      </c>
      <c r="S605">
        <v>1</v>
      </c>
      <c r="T605">
        <v>1</v>
      </c>
      <c r="U605">
        <v>1</v>
      </c>
      <c r="V605">
        <v>1</v>
      </c>
      <c r="W605">
        <v>1</v>
      </c>
      <c r="X605">
        <v>1</v>
      </c>
      <c r="Y605">
        <v>1</v>
      </c>
      <c r="Z605">
        <v>1</v>
      </c>
      <c r="AA605">
        <v>1</v>
      </c>
      <c r="AB605">
        <v>1</v>
      </c>
      <c r="AC605">
        <v>1</v>
      </c>
    </row>
    <row r="606" spans="1:29" x14ac:dyDescent="0.45">
      <c r="A606" t="s">
        <v>72</v>
      </c>
      <c r="B606" t="s">
        <v>434</v>
      </c>
      <c r="C606" t="s">
        <v>435</v>
      </c>
      <c r="D606" t="s">
        <v>425</v>
      </c>
      <c r="E606" t="str">
        <f t="shared" si="9"/>
        <v>ND|onshore wind|Spring</v>
      </c>
      <c r="F606">
        <v>1</v>
      </c>
      <c r="G606">
        <v>1</v>
      </c>
      <c r="H606">
        <v>1</v>
      </c>
      <c r="I606">
        <v>1</v>
      </c>
      <c r="J606">
        <v>1</v>
      </c>
      <c r="K606">
        <v>1</v>
      </c>
      <c r="L606">
        <v>1</v>
      </c>
      <c r="M606">
        <v>1</v>
      </c>
      <c r="N606">
        <v>1</v>
      </c>
      <c r="O606">
        <v>1</v>
      </c>
      <c r="P606">
        <v>1</v>
      </c>
      <c r="Q606">
        <v>1</v>
      </c>
      <c r="R606">
        <v>1</v>
      </c>
      <c r="S606">
        <v>1</v>
      </c>
      <c r="T606">
        <v>1</v>
      </c>
      <c r="U606">
        <v>1</v>
      </c>
      <c r="V606">
        <v>1</v>
      </c>
      <c r="W606">
        <v>1</v>
      </c>
      <c r="X606">
        <v>1</v>
      </c>
      <c r="Y606">
        <v>1</v>
      </c>
      <c r="Z606">
        <v>1</v>
      </c>
      <c r="AA606">
        <v>1</v>
      </c>
      <c r="AB606">
        <v>1</v>
      </c>
      <c r="AC606">
        <v>1</v>
      </c>
    </row>
    <row r="607" spans="1:29" x14ac:dyDescent="0.45">
      <c r="A607" t="s">
        <v>72</v>
      </c>
      <c r="B607" t="s">
        <v>434</v>
      </c>
      <c r="C607" t="s">
        <v>435</v>
      </c>
      <c r="D607" t="s">
        <v>426</v>
      </c>
      <c r="E607" t="str">
        <f t="shared" si="9"/>
        <v>ND|onshore wind|Summer</v>
      </c>
      <c r="F607">
        <v>1</v>
      </c>
      <c r="G607">
        <v>1</v>
      </c>
      <c r="H607">
        <v>1</v>
      </c>
      <c r="I607">
        <v>1</v>
      </c>
      <c r="J607">
        <v>1</v>
      </c>
      <c r="K607">
        <v>1</v>
      </c>
      <c r="L607">
        <v>1</v>
      </c>
      <c r="M607">
        <v>1</v>
      </c>
      <c r="N607">
        <v>1</v>
      </c>
      <c r="O607">
        <v>1</v>
      </c>
      <c r="P607">
        <v>1</v>
      </c>
      <c r="Q607">
        <v>1</v>
      </c>
      <c r="R607">
        <v>1</v>
      </c>
      <c r="S607">
        <v>1</v>
      </c>
      <c r="T607">
        <v>1</v>
      </c>
      <c r="U607">
        <v>1</v>
      </c>
      <c r="V607">
        <v>1</v>
      </c>
      <c r="W607">
        <v>1</v>
      </c>
      <c r="X607">
        <v>1</v>
      </c>
      <c r="Y607">
        <v>1</v>
      </c>
      <c r="Z607">
        <v>1</v>
      </c>
      <c r="AA607">
        <v>1</v>
      </c>
      <c r="AB607">
        <v>1</v>
      </c>
      <c r="AC607">
        <v>1</v>
      </c>
    </row>
    <row r="608" spans="1:29" x14ac:dyDescent="0.45">
      <c r="A608" t="s">
        <v>72</v>
      </c>
      <c r="B608" t="s">
        <v>434</v>
      </c>
      <c r="C608" t="s">
        <v>435</v>
      </c>
      <c r="D608" t="s">
        <v>427</v>
      </c>
      <c r="E608" t="str">
        <f t="shared" si="9"/>
        <v>ND|onshore wind|Fall</v>
      </c>
      <c r="F608">
        <v>1</v>
      </c>
      <c r="G608">
        <v>1</v>
      </c>
      <c r="H608">
        <v>1</v>
      </c>
      <c r="I608">
        <v>1</v>
      </c>
      <c r="J608">
        <v>1</v>
      </c>
      <c r="K608">
        <v>1</v>
      </c>
      <c r="L608">
        <v>1</v>
      </c>
      <c r="M608">
        <v>1</v>
      </c>
      <c r="N608">
        <v>1</v>
      </c>
      <c r="O608">
        <v>1</v>
      </c>
      <c r="P608">
        <v>1</v>
      </c>
      <c r="Q608">
        <v>1</v>
      </c>
      <c r="R608">
        <v>1</v>
      </c>
      <c r="S608">
        <v>1</v>
      </c>
      <c r="T608">
        <v>1</v>
      </c>
      <c r="U608">
        <v>1</v>
      </c>
      <c r="V608">
        <v>1</v>
      </c>
      <c r="W608">
        <v>1</v>
      </c>
      <c r="X608">
        <v>1</v>
      </c>
      <c r="Y608">
        <v>1</v>
      </c>
      <c r="Z608">
        <v>1</v>
      </c>
      <c r="AA608">
        <v>1</v>
      </c>
      <c r="AB608">
        <v>1</v>
      </c>
      <c r="AC608">
        <v>1</v>
      </c>
    </row>
    <row r="609" spans="1:29" x14ac:dyDescent="0.45">
      <c r="A609" t="s">
        <v>72</v>
      </c>
      <c r="B609" t="s">
        <v>434</v>
      </c>
      <c r="C609" t="s">
        <v>435</v>
      </c>
      <c r="D609" t="s">
        <v>428</v>
      </c>
      <c r="E609" t="str">
        <f t="shared" si="9"/>
        <v>ND|onshore wind|Summer Peak</v>
      </c>
      <c r="F609">
        <v>0.52190000000000003</v>
      </c>
      <c r="G609">
        <v>0.53439999999999999</v>
      </c>
      <c r="H609">
        <v>0.58220000000000005</v>
      </c>
      <c r="I609">
        <v>0.61409999999999998</v>
      </c>
      <c r="J609">
        <v>0.59260000000000002</v>
      </c>
      <c r="K609">
        <v>0.58299999999999996</v>
      </c>
      <c r="L609">
        <v>0.56079999999999997</v>
      </c>
      <c r="M609">
        <v>0.43830000000000002</v>
      </c>
      <c r="N609">
        <v>0.43070000000000003</v>
      </c>
      <c r="O609">
        <v>0.38600000000000001</v>
      </c>
      <c r="P609">
        <v>0.39040000000000002</v>
      </c>
      <c r="Q609">
        <v>0.38579999999999998</v>
      </c>
      <c r="R609">
        <v>0.33829999999999999</v>
      </c>
      <c r="S609">
        <v>0.35260000000000002</v>
      </c>
      <c r="T609">
        <v>0.31019999999999998</v>
      </c>
      <c r="U609">
        <v>0.37519999999999998</v>
      </c>
      <c r="V609">
        <v>0.43330000000000002</v>
      </c>
      <c r="W609">
        <v>0.40450000000000003</v>
      </c>
      <c r="X609">
        <v>0.49569999999999997</v>
      </c>
      <c r="Y609">
        <v>0.65590000000000004</v>
      </c>
      <c r="Z609">
        <v>0.72599999999999998</v>
      </c>
      <c r="AA609">
        <v>0.73870000000000002</v>
      </c>
      <c r="AB609">
        <v>0.69140000000000001</v>
      </c>
      <c r="AC609">
        <v>0.73250000000000004</v>
      </c>
    </row>
    <row r="610" spans="1:29" x14ac:dyDescent="0.45">
      <c r="A610" t="s">
        <v>72</v>
      </c>
      <c r="B610" t="s">
        <v>434</v>
      </c>
      <c r="C610" t="s">
        <v>435</v>
      </c>
      <c r="D610" t="s">
        <v>429</v>
      </c>
      <c r="E610" t="str">
        <f t="shared" si="9"/>
        <v>ND|onshore wind|Winter Peak</v>
      </c>
      <c r="F610">
        <v>0.44629999999999997</v>
      </c>
      <c r="G610">
        <v>0.53</v>
      </c>
      <c r="H610">
        <v>0.46200000000000002</v>
      </c>
      <c r="I610">
        <v>0.4461</v>
      </c>
      <c r="J610">
        <v>0.4703</v>
      </c>
      <c r="K610">
        <v>0.49130000000000001</v>
      </c>
      <c r="L610">
        <v>0.4899</v>
      </c>
      <c r="M610">
        <v>0.49630000000000002</v>
      </c>
      <c r="N610">
        <v>0.61990000000000001</v>
      </c>
      <c r="O610">
        <v>0.56820000000000004</v>
      </c>
      <c r="P610">
        <v>0.40870000000000001</v>
      </c>
      <c r="Q610">
        <v>0.52739999999999998</v>
      </c>
      <c r="R610">
        <v>0.58550000000000002</v>
      </c>
      <c r="S610">
        <v>0.47920000000000001</v>
      </c>
      <c r="T610">
        <v>0.49199999999999999</v>
      </c>
      <c r="U610">
        <v>0.50319999999999998</v>
      </c>
      <c r="V610">
        <v>0.49130000000000001</v>
      </c>
      <c r="W610">
        <v>0.54990000000000006</v>
      </c>
      <c r="X610">
        <v>0.56189999999999996</v>
      </c>
      <c r="Y610">
        <v>0.52800000000000002</v>
      </c>
      <c r="Z610">
        <v>0.58440000000000003</v>
      </c>
      <c r="AA610">
        <v>0.60650000000000004</v>
      </c>
      <c r="AB610">
        <v>0.64610000000000001</v>
      </c>
      <c r="AC610">
        <v>0.63949999999999996</v>
      </c>
    </row>
    <row r="611" spans="1:29" x14ac:dyDescent="0.45">
      <c r="A611" t="s">
        <v>72</v>
      </c>
      <c r="B611" t="s">
        <v>436</v>
      </c>
      <c r="C611" t="s">
        <v>437</v>
      </c>
      <c r="D611" t="s">
        <v>424</v>
      </c>
      <c r="E611" t="str">
        <f t="shared" si="9"/>
        <v>ND|solar pv|Winter</v>
      </c>
      <c r="F611">
        <v>1</v>
      </c>
      <c r="G611">
        <v>1</v>
      </c>
      <c r="H611">
        <v>1</v>
      </c>
      <c r="I611">
        <v>1</v>
      </c>
      <c r="J611">
        <v>1</v>
      </c>
      <c r="K611">
        <v>1</v>
      </c>
      <c r="L611">
        <v>1</v>
      </c>
      <c r="M611">
        <v>1</v>
      </c>
      <c r="N611">
        <v>1</v>
      </c>
      <c r="O611">
        <v>1</v>
      </c>
      <c r="P611">
        <v>1</v>
      </c>
      <c r="Q611">
        <v>1</v>
      </c>
      <c r="R611">
        <v>1</v>
      </c>
      <c r="S611">
        <v>1</v>
      </c>
      <c r="T611">
        <v>1</v>
      </c>
      <c r="U611">
        <v>1</v>
      </c>
      <c r="V611">
        <v>1</v>
      </c>
      <c r="W611">
        <v>1</v>
      </c>
      <c r="X611">
        <v>1</v>
      </c>
      <c r="Y611">
        <v>1</v>
      </c>
      <c r="Z611">
        <v>1</v>
      </c>
      <c r="AA611">
        <v>1</v>
      </c>
      <c r="AB611">
        <v>1</v>
      </c>
      <c r="AC611">
        <v>1</v>
      </c>
    </row>
    <row r="612" spans="1:29" x14ac:dyDescent="0.45">
      <c r="A612" t="s">
        <v>72</v>
      </c>
      <c r="B612" t="s">
        <v>436</v>
      </c>
      <c r="C612" t="s">
        <v>437</v>
      </c>
      <c r="D612" t="s">
        <v>425</v>
      </c>
      <c r="E612" t="str">
        <f t="shared" si="9"/>
        <v>ND|solar pv|Spring</v>
      </c>
      <c r="F612">
        <v>1</v>
      </c>
      <c r="G612">
        <v>1</v>
      </c>
      <c r="H612">
        <v>1</v>
      </c>
      <c r="I612">
        <v>1</v>
      </c>
      <c r="J612">
        <v>1</v>
      </c>
      <c r="K612">
        <v>1</v>
      </c>
      <c r="L612">
        <v>1</v>
      </c>
      <c r="M612">
        <v>1</v>
      </c>
      <c r="N612">
        <v>1</v>
      </c>
      <c r="O612">
        <v>1</v>
      </c>
      <c r="P612">
        <v>1</v>
      </c>
      <c r="Q612">
        <v>1</v>
      </c>
      <c r="R612">
        <v>1</v>
      </c>
      <c r="S612">
        <v>1</v>
      </c>
      <c r="T612">
        <v>1</v>
      </c>
      <c r="U612">
        <v>1</v>
      </c>
      <c r="V612">
        <v>1</v>
      </c>
      <c r="W612">
        <v>1</v>
      </c>
      <c r="X612">
        <v>1</v>
      </c>
      <c r="Y612">
        <v>1</v>
      </c>
      <c r="Z612">
        <v>1</v>
      </c>
      <c r="AA612">
        <v>1</v>
      </c>
      <c r="AB612">
        <v>1</v>
      </c>
      <c r="AC612">
        <v>1</v>
      </c>
    </row>
    <row r="613" spans="1:29" x14ac:dyDescent="0.45">
      <c r="A613" t="s">
        <v>72</v>
      </c>
      <c r="B613" t="s">
        <v>436</v>
      </c>
      <c r="C613" t="s">
        <v>437</v>
      </c>
      <c r="D613" t="s">
        <v>426</v>
      </c>
      <c r="E613" t="str">
        <f t="shared" si="9"/>
        <v>ND|solar pv|Summer</v>
      </c>
      <c r="F613">
        <v>1</v>
      </c>
      <c r="G613">
        <v>1</v>
      </c>
      <c r="H613">
        <v>1</v>
      </c>
      <c r="I613">
        <v>1</v>
      </c>
      <c r="J613">
        <v>1</v>
      </c>
      <c r="K613">
        <v>1</v>
      </c>
      <c r="L613">
        <v>1</v>
      </c>
      <c r="M613">
        <v>1</v>
      </c>
      <c r="N613">
        <v>1</v>
      </c>
      <c r="O613">
        <v>1</v>
      </c>
      <c r="P613">
        <v>1</v>
      </c>
      <c r="Q613">
        <v>1</v>
      </c>
      <c r="R613">
        <v>1</v>
      </c>
      <c r="S613">
        <v>1</v>
      </c>
      <c r="T613">
        <v>1</v>
      </c>
      <c r="U613">
        <v>1</v>
      </c>
      <c r="V613">
        <v>1</v>
      </c>
      <c r="W613">
        <v>1</v>
      </c>
      <c r="X613">
        <v>1</v>
      </c>
      <c r="Y613">
        <v>1</v>
      </c>
      <c r="Z613">
        <v>1</v>
      </c>
      <c r="AA613">
        <v>1</v>
      </c>
      <c r="AB613">
        <v>1</v>
      </c>
      <c r="AC613">
        <v>1</v>
      </c>
    </row>
    <row r="614" spans="1:29" x14ac:dyDescent="0.45">
      <c r="A614" t="s">
        <v>72</v>
      </c>
      <c r="B614" t="s">
        <v>436</v>
      </c>
      <c r="C614" t="s">
        <v>437</v>
      </c>
      <c r="D614" t="s">
        <v>427</v>
      </c>
      <c r="E614" t="str">
        <f t="shared" si="9"/>
        <v>ND|solar pv|Fall</v>
      </c>
      <c r="F614">
        <v>1</v>
      </c>
      <c r="G614">
        <v>1</v>
      </c>
      <c r="H614">
        <v>1</v>
      </c>
      <c r="I614">
        <v>1</v>
      </c>
      <c r="J614">
        <v>1</v>
      </c>
      <c r="K614">
        <v>1</v>
      </c>
      <c r="L614">
        <v>1</v>
      </c>
      <c r="M614">
        <v>1</v>
      </c>
      <c r="N614">
        <v>1</v>
      </c>
      <c r="O614">
        <v>1</v>
      </c>
      <c r="P614">
        <v>1</v>
      </c>
      <c r="Q614">
        <v>1</v>
      </c>
      <c r="R614">
        <v>1</v>
      </c>
      <c r="S614">
        <v>1</v>
      </c>
      <c r="T614">
        <v>1</v>
      </c>
      <c r="U614">
        <v>1</v>
      </c>
      <c r="V614">
        <v>1</v>
      </c>
      <c r="W614">
        <v>1</v>
      </c>
      <c r="X614">
        <v>1</v>
      </c>
      <c r="Y614">
        <v>1</v>
      </c>
      <c r="Z614">
        <v>1</v>
      </c>
      <c r="AA614">
        <v>1</v>
      </c>
      <c r="AB614">
        <v>1</v>
      </c>
      <c r="AC614">
        <v>1</v>
      </c>
    </row>
    <row r="615" spans="1:29" x14ac:dyDescent="0.45">
      <c r="A615" t="s">
        <v>72</v>
      </c>
      <c r="B615" t="s">
        <v>436</v>
      </c>
      <c r="C615" t="s">
        <v>437</v>
      </c>
      <c r="D615" t="s">
        <v>428</v>
      </c>
      <c r="E615" t="str">
        <f t="shared" si="9"/>
        <v>ND|solar pv|Summer Peak</v>
      </c>
      <c r="F615">
        <v>1</v>
      </c>
      <c r="G615">
        <v>1</v>
      </c>
      <c r="H615">
        <v>1</v>
      </c>
      <c r="I615">
        <v>1</v>
      </c>
      <c r="J615">
        <v>0.1328</v>
      </c>
      <c r="K615">
        <v>0.64100000000000001</v>
      </c>
      <c r="L615">
        <v>0.82909999999999995</v>
      </c>
      <c r="M615">
        <v>0.84619999999999995</v>
      </c>
      <c r="N615">
        <v>0.88519999999999999</v>
      </c>
      <c r="O615">
        <v>0.94369999999999998</v>
      </c>
      <c r="P615">
        <v>0.93789999999999996</v>
      </c>
      <c r="Q615">
        <v>0.93279999999999996</v>
      </c>
      <c r="R615">
        <v>0.93589999999999995</v>
      </c>
      <c r="S615">
        <v>0.89439999999999997</v>
      </c>
      <c r="T615">
        <v>0.95820000000000005</v>
      </c>
      <c r="U615">
        <v>0.98329999999999995</v>
      </c>
      <c r="V615">
        <v>0.91769999999999996</v>
      </c>
      <c r="W615">
        <v>0.85470000000000002</v>
      </c>
      <c r="X615">
        <v>0.83640000000000003</v>
      </c>
      <c r="Y615">
        <v>0.1968</v>
      </c>
      <c r="Z615">
        <v>1</v>
      </c>
      <c r="AA615">
        <v>1</v>
      </c>
      <c r="AB615">
        <v>1</v>
      </c>
      <c r="AC615">
        <v>1</v>
      </c>
    </row>
    <row r="616" spans="1:29" x14ac:dyDescent="0.45">
      <c r="A616" t="s">
        <v>72</v>
      </c>
      <c r="B616" t="s">
        <v>436</v>
      </c>
      <c r="C616" t="s">
        <v>437</v>
      </c>
      <c r="D616" t="s">
        <v>429</v>
      </c>
      <c r="E616" t="str">
        <f t="shared" si="9"/>
        <v>ND|solar pv|Winter Peak</v>
      </c>
      <c r="F616">
        <v>1</v>
      </c>
      <c r="G616">
        <v>1</v>
      </c>
      <c r="H616">
        <v>1</v>
      </c>
      <c r="I616">
        <v>1</v>
      </c>
      <c r="J616">
        <v>1</v>
      </c>
      <c r="K616">
        <v>1</v>
      </c>
      <c r="L616">
        <v>0</v>
      </c>
      <c r="M616">
        <v>0.1439</v>
      </c>
      <c r="N616">
        <v>0.5444</v>
      </c>
      <c r="O616">
        <v>0.70240000000000002</v>
      </c>
      <c r="P616">
        <v>0.80510000000000004</v>
      </c>
      <c r="Q616">
        <v>0.80330000000000001</v>
      </c>
      <c r="R616">
        <v>0.80120000000000002</v>
      </c>
      <c r="S616">
        <v>0.81189999999999996</v>
      </c>
      <c r="T616">
        <v>0.8075</v>
      </c>
      <c r="U616">
        <v>0.69520000000000004</v>
      </c>
      <c r="V616">
        <v>2.3400000000000001E-2</v>
      </c>
      <c r="W616">
        <v>0</v>
      </c>
      <c r="X616">
        <v>1</v>
      </c>
      <c r="Y616">
        <v>1</v>
      </c>
      <c r="Z616">
        <v>1</v>
      </c>
      <c r="AA616">
        <v>1</v>
      </c>
      <c r="AB616">
        <v>1</v>
      </c>
      <c r="AC616">
        <v>1</v>
      </c>
    </row>
    <row r="617" spans="1:29" x14ac:dyDescent="0.45">
      <c r="A617" t="s">
        <v>72</v>
      </c>
      <c r="B617" t="s">
        <v>438</v>
      </c>
      <c r="C617" t="s">
        <v>439</v>
      </c>
      <c r="D617" t="s">
        <v>424</v>
      </c>
      <c r="E617" t="str">
        <f t="shared" si="9"/>
        <v>ND|solar thermal|Winter</v>
      </c>
      <c r="F617">
        <v>1</v>
      </c>
      <c r="G617">
        <v>1</v>
      </c>
      <c r="H617">
        <v>1</v>
      </c>
      <c r="I617">
        <v>1</v>
      </c>
      <c r="J617">
        <v>1</v>
      </c>
      <c r="K617">
        <v>1</v>
      </c>
      <c r="L617">
        <v>1</v>
      </c>
      <c r="M617">
        <v>1</v>
      </c>
      <c r="N617">
        <v>1</v>
      </c>
      <c r="O617">
        <v>1</v>
      </c>
      <c r="P617">
        <v>1</v>
      </c>
      <c r="Q617">
        <v>1</v>
      </c>
      <c r="R617">
        <v>1</v>
      </c>
      <c r="S617">
        <v>1</v>
      </c>
      <c r="T617">
        <v>1</v>
      </c>
      <c r="U617">
        <v>1</v>
      </c>
      <c r="V617">
        <v>1</v>
      </c>
      <c r="W617">
        <v>1</v>
      </c>
      <c r="X617">
        <v>1</v>
      </c>
      <c r="Y617">
        <v>1</v>
      </c>
      <c r="Z617">
        <v>1</v>
      </c>
      <c r="AA617">
        <v>1</v>
      </c>
      <c r="AB617">
        <v>1</v>
      </c>
      <c r="AC617">
        <v>1</v>
      </c>
    </row>
    <row r="618" spans="1:29" x14ac:dyDescent="0.45">
      <c r="A618" t="s">
        <v>72</v>
      </c>
      <c r="B618" t="s">
        <v>438</v>
      </c>
      <c r="C618" t="s">
        <v>439</v>
      </c>
      <c r="D618" t="s">
        <v>425</v>
      </c>
      <c r="E618" t="str">
        <f t="shared" si="9"/>
        <v>ND|solar thermal|Spring</v>
      </c>
      <c r="F618">
        <v>1</v>
      </c>
      <c r="G618">
        <v>1</v>
      </c>
      <c r="H618">
        <v>1</v>
      </c>
      <c r="I618">
        <v>1</v>
      </c>
      <c r="J618">
        <v>1</v>
      </c>
      <c r="K618">
        <v>1</v>
      </c>
      <c r="L618">
        <v>1</v>
      </c>
      <c r="M618">
        <v>1</v>
      </c>
      <c r="N618">
        <v>1</v>
      </c>
      <c r="O618">
        <v>1</v>
      </c>
      <c r="P618">
        <v>1</v>
      </c>
      <c r="Q618">
        <v>1</v>
      </c>
      <c r="R618">
        <v>1</v>
      </c>
      <c r="S618">
        <v>1</v>
      </c>
      <c r="T618">
        <v>1</v>
      </c>
      <c r="U618">
        <v>1</v>
      </c>
      <c r="V618">
        <v>1</v>
      </c>
      <c r="W618">
        <v>1</v>
      </c>
      <c r="X618">
        <v>1</v>
      </c>
      <c r="Y618">
        <v>1</v>
      </c>
      <c r="Z618">
        <v>1</v>
      </c>
      <c r="AA618">
        <v>1</v>
      </c>
      <c r="AB618">
        <v>1</v>
      </c>
      <c r="AC618">
        <v>1</v>
      </c>
    </row>
    <row r="619" spans="1:29" x14ac:dyDescent="0.45">
      <c r="A619" t="s">
        <v>72</v>
      </c>
      <c r="B619" t="s">
        <v>438</v>
      </c>
      <c r="C619" t="s">
        <v>439</v>
      </c>
      <c r="D619" t="s">
        <v>426</v>
      </c>
      <c r="E619" t="str">
        <f t="shared" si="9"/>
        <v>ND|solar thermal|Summer</v>
      </c>
      <c r="F619">
        <v>1</v>
      </c>
      <c r="G619">
        <v>1</v>
      </c>
      <c r="H619">
        <v>1</v>
      </c>
      <c r="I619">
        <v>1</v>
      </c>
      <c r="J619">
        <v>1</v>
      </c>
      <c r="K619">
        <v>1</v>
      </c>
      <c r="L619">
        <v>1</v>
      </c>
      <c r="M619">
        <v>1</v>
      </c>
      <c r="N619">
        <v>1</v>
      </c>
      <c r="O619">
        <v>1</v>
      </c>
      <c r="P619">
        <v>1</v>
      </c>
      <c r="Q619">
        <v>1</v>
      </c>
      <c r="R619">
        <v>1</v>
      </c>
      <c r="S619">
        <v>1</v>
      </c>
      <c r="T619">
        <v>1</v>
      </c>
      <c r="U619">
        <v>1</v>
      </c>
      <c r="V619">
        <v>1</v>
      </c>
      <c r="W619">
        <v>1</v>
      </c>
      <c r="X619">
        <v>1</v>
      </c>
      <c r="Y619">
        <v>1</v>
      </c>
      <c r="Z619">
        <v>1</v>
      </c>
      <c r="AA619">
        <v>1</v>
      </c>
      <c r="AB619">
        <v>1</v>
      </c>
      <c r="AC619">
        <v>1</v>
      </c>
    </row>
    <row r="620" spans="1:29" x14ac:dyDescent="0.45">
      <c r="A620" t="s">
        <v>72</v>
      </c>
      <c r="B620" t="s">
        <v>438</v>
      </c>
      <c r="C620" t="s">
        <v>439</v>
      </c>
      <c r="D620" t="s">
        <v>427</v>
      </c>
      <c r="E620" t="str">
        <f t="shared" si="9"/>
        <v>ND|solar thermal|Fall</v>
      </c>
      <c r="F620">
        <v>1</v>
      </c>
      <c r="G620">
        <v>1</v>
      </c>
      <c r="H620">
        <v>1</v>
      </c>
      <c r="I620">
        <v>1</v>
      </c>
      <c r="J620">
        <v>1</v>
      </c>
      <c r="K620">
        <v>1</v>
      </c>
      <c r="L620">
        <v>1</v>
      </c>
      <c r="M620">
        <v>1</v>
      </c>
      <c r="N620">
        <v>1</v>
      </c>
      <c r="O620">
        <v>1</v>
      </c>
      <c r="P620">
        <v>1</v>
      </c>
      <c r="Q620">
        <v>1</v>
      </c>
      <c r="R620">
        <v>1</v>
      </c>
      <c r="S620">
        <v>1</v>
      </c>
      <c r="T620">
        <v>1</v>
      </c>
      <c r="U620">
        <v>1</v>
      </c>
      <c r="V620">
        <v>1</v>
      </c>
      <c r="W620">
        <v>1</v>
      </c>
      <c r="X620">
        <v>1</v>
      </c>
      <c r="Y620">
        <v>1</v>
      </c>
      <c r="Z620">
        <v>1</v>
      </c>
      <c r="AA620">
        <v>1</v>
      </c>
      <c r="AB620">
        <v>1</v>
      </c>
      <c r="AC620">
        <v>1</v>
      </c>
    </row>
    <row r="621" spans="1:29" x14ac:dyDescent="0.45">
      <c r="A621" t="s">
        <v>72</v>
      </c>
      <c r="B621" t="s">
        <v>438</v>
      </c>
      <c r="C621" t="s">
        <v>439</v>
      </c>
      <c r="D621" t="s">
        <v>428</v>
      </c>
      <c r="E621" t="str">
        <f t="shared" si="9"/>
        <v>ND|solar thermal|Summer Peak</v>
      </c>
      <c r="F621">
        <v>1</v>
      </c>
      <c r="G621">
        <v>1</v>
      </c>
      <c r="H621">
        <v>1</v>
      </c>
      <c r="I621">
        <v>1</v>
      </c>
      <c r="J621">
        <v>1</v>
      </c>
      <c r="K621">
        <v>1</v>
      </c>
      <c r="L621">
        <v>1</v>
      </c>
      <c r="M621">
        <v>0</v>
      </c>
      <c r="N621">
        <v>0.8639</v>
      </c>
      <c r="O621">
        <v>1</v>
      </c>
      <c r="P621">
        <v>1</v>
      </c>
      <c r="Q621">
        <v>0.97160000000000002</v>
      </c>
      <c r="R621">
        <v>0.96719999999999995</v>
      </c>
      <c r="S621">
        <v>1</v>
      </c>
      <c r="T621">
        <v>1</v>
      </c>
      <c r="U621">
        <v>1</v>
      </c>
      <c r="V621">
        <v>1</v>
      </c>
      <c r="W621">
        <v>1</v>
      </c>
      <c r="X621">
        <v>1</v>
      </c>
      <c r="Y621">
        <v>0.93130000000000002</v>
      </c>
      <c r="Z621">
        <v>0.70220000000000005</v>
      </c>
      <c r="AA621">
        <v>1</v>
      </c>
      <c r="AB621">
        <v>1</v>
      </c>
      <c r="AC621">
        <v>1</v>
      </c>
    </row>
    <row r="622" spans="1:29" x14ac:dyDescent="0.45">
      <c r="A622" t="s">
        <v>72</v>
      </c>
      <c r="B622" t="s">
        <v>438</v>
      </c>
      <c r="C622" t="s">
        <v>439</v>
      </c>
      <c r="D622" t="s">
        <v>429</v>
      </c>
      <c r="E622" t="str">
        <f t="shared" si="9"/>
        <v>ND|solar thermal|Winter Peak</v>
      </c>
      <c r="F622">
        <v>1</v>
      </c>
      <c r="G622">
        <v>1</v>
      </c>
      <c r="H622">
        <v>1</v>
      </c>
      <c r="I622">
        <v>1</v>
      </c>
      <c r="J622">
        <v>1</v>
      </c>
      <c r="K622">
        <v>1</v>
      </c>
      <c r="L622">
        <v>1</v>
      </c>
      <c r="M622">
        <v>1</v>
      </c>
      <c r="N622">
        <v>1</v>
      </c>
      <c r="O622">
        <v>0.2419</v>
      </c>
      <c r="P622">
        <v>0.95320000000000005</v>
      </c>
      <c r="Q622">
        <v>0.88039999999999996</v>
      </c>
      <c r="R622">
        <v>0.97819999999999996</v>
      </c>
      <c r="S622">
        <v>0.98950000000000005</v>
      </c>
      <c r="T622">
        <v>0.99270000000000003</v>
      </c>
      <c r="U622">
        <v>1</v>
      </c>
      <c r="V622">
        <v>1</v>
      </c>
      <c r="W622">
        <v>1</v>
      </c>
      <c r="X622">
        <v>0.89019999999999999</v>
      </c>
      <c r="Y622">
        <v>0</v>
      </c>
      <c r="Z622">
        <v>1</v>
      </c>
      <c r="AA622">
        <v>1</v>
      </c>
      <c r="AB622">
        <v>1</v>
      </c>
      <c r="AC622">
        <v>1</v>
      </c>
    </row>
    <row r="623" spans="1:29" x14ac:dyDescent="0.45">
      <c r="A623" t="s">
        <v>72</v>
      </c>
      <c r="B623" t="s">
        <v>440</v>
      </c>
      <c r="C623" t="s">
        <v>441</v>
      </c>
      <c r="D623" t="s">
        <v>424</v>
      </c>
      <c r="E623" t="str">
        <f t="shared" si="9"/>
        <v>ND|offshore wind|Winter</v>
      </c>
      <c r="F623">
        <v>1</v>
      </c>
      <c r="G623">
        <v>1</v>
      </c>
      <c r="H623">
        <v>1</v>
      </c>
      <c r="I623">
        <v>1</v>
      </c>
      <c r="J623">
        <v>1</v>
      </c>
      <c r="K623">
        <v>1</v>
      </c>
      <c r="L623">
        <v>1</v>
      </c>
      <c r="M623">
        <v>1</v>
      </c>
      <c r="N623">
        <v>1</v>
      </c>
      <c r="O623">
        <v>1</v>
      </c>
      <c r="P623">
        <v>1</v>
      </c>
      <c r="Q623">
        <v>1</v>
      </c>
      <c r="R623">
        <v>1</v>
      </c>
      <c r="S623">
        <v>1</v>
      </c>
      <c r="T623">
        <v>1</v>
      </c>
      <c r="U623">
        <v>1</v>
      </c>
      <c r="V623">
        <v>1</v>
      </c>
      <c r="W623">
        <v>1</v>
      </c>
      <c r="X623">
        <v>1</v>
      </c>
      <c r="Y623">
        <v>1</v>
      </c>
      <c r="Z623">
        <v>1</v>
      </c>
      <c r="AA623">
        <v>1</v>
      </c>
      <c r="AB623">
        <v>1</v>
      </c>
      <c r="AC623">
        <v>1</v>
      </c>
    </row>
    <row r="624" spans="1:29" x14ac:dyDescent="0.45">
      <c r="A624" t="s">
        <v>72</v>
      </c>
      <c r="B624" t="s">
        <v>440</v>
      </c>
      <c r="C624" t="s">
        <v>441</v>
      </c>
      <c r="D624" t="s">
        <v>425</v>
      </c>
      <c r="E624" t="str">
        <f t="shared" si="9"/>
        <v>ND|offshore wind|Spring</v>
      </c>
      <c r="F624">
        <v>1</v>
      </c>
      <c r="G624">
        <v>1</v>
      </c>
      <c r="H624">
        <v>1</v>
      </c>
      <c r="I624">
        <v>1</v>
      </c>
      <c r="J624">
        <v>1</v>
      </c>
      <c r="K624">
        <v>1</v>
      </c>
      <c r="L624">
        <v>1</v>
      </c>
      <c r="M624">
        <v>1</v>
      </c>
      <c r="N624">
        <v>1</v>
      </c>
      <c r="O624">
        <v>1</v>
      </c>
      <c r="P624">
        <v>1</v>
      </c>
      <c r="Q624">
        <v>1</v>
      </c>
      <c r="R624">
        <v>1</v>
      </c>
      <c r="S624">
        <v>1</v>
      </c>
      <c r="T624">
        <v>1</v>
      </c>
      <c r="U624">
        <v>1</v>
      </c>
      <c r="V624">
        <v>1</v>
      </c>
      <c r="W624">
        <v>1</v>
      </c>
      <c r="X624">
        <v>1</v>
      </c>
      <c r="Y624">
        <v>1</v>
      </c>
      <c r="Z624">
        <v>1</v>
      </c>
      <c r="AA624">
        <v>1</v>
      </c>
      <c r="AB624">
        <v>1</v>
      </c>
      <c r="AC624">
        <v>1</v>
      </c>
    </row>
    <row r="625" spans="1:29" x14ac:dyDescent="0.45">
      <c r="A625" t="s">
        <v>72</v>
      </c>
      <c r="B625" t="s">
        <v>440</v>
      </c>
      <c r="C625" t="s">
        <v>441</v>
      </c>
      <c r="D625" t="s">
        <v>426</v>
      </c>
      <c r="E625" t="str">
        <f t="shared" si="9"/>
        <v>ND|offshore wind|Summer</v>
      </c>
      <c r="F625">
        <v>1</v>
      </c>
      <c r="G625">
        <v>1</v>
      </c>
      <c r="H625">
        <v>1</v>
      </c>
      <c r="I625">
        <v>1</v>
      </c>
      <c r="J625">
        <v>1</v>
      </c>
      <c r="K625">
        <v>1</v>
      </c>
      <c r="L625">
        <v>1</v>
      </c>
      <c r="M625">
        <v>1</v>
      </c>
      <c r="N625">
        <v>1</v>
      </c>
      <c r="O625">
        <v>1</v>
      </c>
      <c r="P625">
        <v>1</v>
      </c>
      <c r="Q625">
        <v>1</v>
      </c>
      <c r="R625">
        <v>1</v>
      </c>
      <c r="S625">
        <v>1</v>
      </c>
      <c r="T625">
        <v>1</v>
      </c>
      <c r="U625">
        <v>1</v>
      </c>
      <c r="V625">
        <v>1</v>
      </c>
      <c r="W625">
        <v>1</v>
      </c>
      <c r="X625">
        <v>1</v>
      </c>
      <c r="Y625">
        <v>1</v>
      </c>
      <c r="Z625">
        <v>1</v>
      </c>
      <c r="AA625">
        <v>1</v>
      </c>
      <c r="AB625">
        <v>1</v>
      </c>
      <c r="AC625">
        <v>1</v>
      </c>
    </row>
    <row r="626" spans="1:29" x14ac:dyDescent="0.45">
      <c r="A626" t="s">
        <v>72</v>
      </c>
      <c r="B626" t="s">
        <v>440</v>
      </c>
      <c r="C626" t="s">
        <v>441</v>
      </c>
      <c r="D626" t="s">
        <v>427</v>
      </c>
      <c r="E626" t="str">
        <f t="shared" si="9"/>
        <v>ND|offshore wind|Fall</v>
      </c>
      <c r="F626">
        <v>1</v>
      </c>
      <c r="G626">
        <v>1</v>
      </c>
      <c r="H626">
        <v>1</v>
      </c>
      <c r="I626">
        <v>1</v>
      </c>
      <c r="J626">
        <v>1</v>
      </c>
      <c r="K626">
        <v>1</v>
      </c>
      <c r="L626">
        <v>1</v>
      </c>
      <c r="M626">
        <v>1</v>
      </c>
      <c r="N626">
        <v>1</v>
      </c>
      <c r="O626">
        <v>1</v>
      </c>
      <c r="P626">
        <v>1</v>
      </c>
      <c r="Q626">
        <v>1</v>
      </c>
      <c r="R626">
        <v>1</v>
      </c>
      <c r="S626">
        <v>1</v>
      </c>
      <c r="T626">
        <v>1</v>
      </c>
      <c r="U626">
        <v>1</v>
      </c>
      <c r="V626">
        <v>1</v>
      </c>
      <c r="W626">
        <v>1</v>
      </c>
      <c r="X626">
        <v>1</v>
      </c>
      <c r="Y626">
        <v>1</v>
      </c>
      <c r="Z626">
        <v>1</v>
      </c>
      <c r="AA626">
        <v>1</v>
      </c>
      <c r="AB626">
        <v>1</v>
      </c>
      <c r="AC626">
        <v>1</v>
      </c>
    </row>
    <row r="627" spans="1:29" x14ac:dyDescent="0.45">
      <c r="A627" t="s">
        <v>72</v>
      </c>
      <c r="B627" t="s">
        <v>440</v>
      </c>
      <c r="C627" t="s">
        <v>441</v>
      </c>
      <c r="D627" t="s">
        <v>428</v>
      </c>
      <c r="E627" t="str">
        <f t="shared" si="9"/>
        <v>ND|offshore wind|Summer Peak</v>
      </c>
      <c r="F627">
        <v>0.40810000000000002</v>
      </c>
      <c r="G627">
        <v>0.4239</v>
      </c>
      <c r="H627">
        <v>0.45760000000000001</v>
      </c>
      <c r="I627">
        <v>0.50319999999999998</v>
      </c>
      <c r="J627">
        <v>0.53649999999999998</v>
      </c>
      <c r="K627">
        <v>0.59399999999999997</v>
      </c>
      <c r="L627">
        <v>0.61929999999999996</v>
      </c>
      <c r="M627">
        <v>0.68859999999999999</v>
      </c>
      <c r="N627">
        <v>0.73480000000000001</v>
      </c>
      <c r="O627">
        <v>0.84350000000000003</v>
      </c>
      <c r="P627">
        <v>0.78200000000000003</v>
      </c>
      <c r="Q627">
        <v>0.74650000000000005</v>
      </c>
      <c r="R627">
        <v>0.63690000000000002</v>
      </c>
      <c r="S627">
        <v>0.60860000000000003</v>
      </c>
      <c r="T627">
        <v>0.64339999999999997</v>
      </c>
      <c r="U627">
        <v>0.69269999999999998</v>
      </c>
      <c r="V627">
        <v>0.71450000000000002</v>
      </c>
      <c r="W627">
        <v>0.75070000000000003</v>
      </c>
      <c r="X627">
        <v>0.72489999999999999</v>
      </c>
      <c r="Y627">
        <v>0.66049999999999998</v>
      </c>
      <c r="Z627">
        <v>0.69140000000000001</v>
      </c>
      <c r="AA627">
        <v>0.63080000000000003</v>
      </c>
      <c r="AB627">
        <v>0.63429999999999997</v>
      </c>
      <c r="AC627">
        <v>0.64390000000000003</v>
      </c>
    </row>
    <row r="628" spans="1:29" x14ac:dyDescent="0.45">
      <c r="A628" t="s">
        <v>72</v>
      </c>
      <c r="B628" t="s">
        <v>440</v>
      </c>
      <c r="C628" t="s">
        <v>441</v>
      </c>
      <c r="D628" t="s">
        <v>429</v>
      </c>
      <c r="E628" t="str">
        <f t="shared" si="9"/>
        <v>ND|offshore wind|Winter Peak</v>
      </c>
      <c r="F628">
        <v>0.95309999999999995</v>
      </c>
      <c r="G628">
        <v>0.95030000000000003</v>
      </c>
      <c r="H628">
        <v>0.95540000000000003</v>
      </c>
      <c r="I628">
        <v>0.96679999999999999</v>
      </c>
      <c r="J628">
        <v>1</v>
      </c>
      <c r="K628">
        <v>1</v>
      </c>
      <c r="L628">
        <v>1</v>
      </c>
      <c r="M628">
        <v>0.99209999999999998</v>
      </c>
      <c r="N628">
        <v>0.90149999999999997</v>
      </c>
      <c r="O628">
        <v>0.79779999999999995</v>
      </c>
      <c r="P628">
        <v>0.71879999999999999</v>
      </c>
      <c r="Q628">
        <v>0.67300000000000004</v>
      </c>
      <c r="R628">
        <v>0.60860000000000003</v>
      </c>
      <c r="S628">
        <v>0.58009999999999995</v>
      </c>
      <c r="T628">
        <v>0.58799999999999997</v>
      </c>
      <c r="U628">
        <v>0.61019999999999996</v>
      </c>
      <c r="V628">
        <v>0.61839999999999995</v>
      </c>
      <c r="W628">
        <v>0.60909999999999997</v>
      </c>
      <c r="X628">
        <v>0.62880000000000003</v>
      </c>
      <c r="Y628">
        <v>0.72889999999999999</v>
      </c>
      <c r="Z628">
        <v>0.84719999999999995</v>
      </c>
      <c r="AA628">
        <v>0.92220000000000002</v>
      </c>
      <c r="AB628">
        <v>0.86950000000000005</v>
      </c>
      <c r="AC628">
        <v>0.8054</v>
      </c>
    </row>
    <row r="629" spans="1:29" x14ac:dyDescent="0.45">
      <c r="A629" t="s">
        <v>76</v>
      </c>
      <c r="B629" t="s">
        <v>434</v>
      </c>
      <c r="C629" t="s">
        <v>435</v>
      </c>
      <c r="D629" t="s">
        <v>424</v>
      </c>
      <c r="E629" t="str">
        <f t="shared" si="9"/>
        <v>NE|onshore wind|Winter</v>
      </c>
      <c r="F629">
        <v>1</v>
      </c>
      <c r="G629">
        <v>1</v>
      </c>
      <c r="H629">
        <v>1</v>
      </c>
      <c r="I629">
        <v>1</v>
      </c>
      <c r="J629">
        <v>1</v>
      </c>
      <c r="K629">
        <v>1</v>
      </c>
      <c r="L629">
        <v>1</v>
      </c>
      <c r="M629">
        <v>1</v>
      </c>
      <c r="N629">
        <v>1</v>
      </c>
      <c r="O629">
        <v>1</v>
      </c>
      <c r="P629">
        <v>1</v>
      </c>
      <c r="Q629">
        <v>1</v>
      </c>
      <c r="R629">
        <v>1</v>
      </c>
      <c r="S629">
        <v>1</v>
      </c>
      <c r="T629">
        <v>1</v>
      </c>
      <c r="U629">
        <v>1</v>
      </c>
      <c r="V629">
        <v>1</v>
      </c>
      <c r="W629">
        <v>1</v>
      </c>
      <c r="X629">
        <v>1</v>
      </c>
      <c r="Y629">
        <v>1</v>
      </c>
      <c r="Z629">
        <v>1</v>
      </c>
      <c r="AA629">
        <v>1</v>
      </c>
      <c r="AB629">
        <v>1</v>
      </c>
      <c r="AC629">
        <v>1</v>
      </c>
    </row>
    <row r="630" spans="1:29" x14ac:dyDescent="0.45">
      <c r="A630" t="s">
        <v>76</v>
      </c>
      <c r="B630" t="s">
        <v>434</v>
      </c>
      <c r="C630" t="s">
        <v>435</v>
      </c>
      <c r="D630" t="s">
        <v>425</v>
      </c>
      <c r="E630" t="str">
        <f t="shared" si="9"/>
        <v>NE|onshore wind|Spring</v>
      </c>
      <c r="F630">
        <v>1</v>
      </c>
      <c r="G630">
        <v>1</v>
      </c>
      <c r="H630">
        <v>1</v>
      </c>
      <c r="I630">
        <v>1</v>
      </c>
      <c r="J630">
        <v>1</v>
      </c>
      <c r="K630">
        <v>1</v>
      </c>
      <c r="L630">
        <v>1</v>
      </c>
      <c r="M630">
        <v>1</v>
      </c>
      <c r="N630">
        <v>1</v>
      </c>
      <c r="O630">
        <v>1</v>
      </c>
      <c r="P630">
        <v>1</v>
      </c>
      <c r="Q630">
        <v>1</v>
      </c>
      <c r="R630">
        <v>1</v>
      </c>
      <c r="S630">
        <v>1</v>
      </c>
      <c r="T630">
        <v>1</v>
      </c>
      <c r="U630">
        <v>1</v>
      </c>
      <c r="V630">
        <v>1</v>
      </c>
      <c r="W630">
        <v>1</v>
      </c>
      <c r="X630">
        <v>1</v>
      </c>
      <c r="Y630">
        <v>1</v>
      </c>
      <c r="Z630">
        <v>1</v>
      </c>
      <c r="AA630">
        <v>1</v>
      </c>
      <c r="AB630">
        <v>1</v>
      </c>
      <c r="AC630">
        <v>1</v>
      </c>
    </row>
    <row r="631" spans="1:29" x14ac:dyDescent="0.45">
      <c r="A631" t="s">
        <v>76</v>
      </c>
      <c r="B631" t="s">
        <v>434</v>
      </c>
      <c r="C631" t="s">
        <v>435</v>
      </c>
      <c r="D631" t="s">
        <v>426</v>
      </c>
      <c r="E631" t="str">
        <f t="shared" si="9"/>
        <v>NE|onshore wind|Summer</v>
      </c>
      <c r="F631">
        <v>1</v>
      </c>
      <c r="G631">
        <v>1</v>
      </c>
      <c r="H631">
        <v>1</v>
      </c>
      <c r="I631">
        <v>1</v>
      </c>
      <c r="J631">
        <v>1</v>
      </c>
      <c r="K631">
        <v>1</v>
      </c>
      <c r="L631">
        <v>1</v>
      </c>
      <c r="M631">
        <v>1</v>
      </c>
      <c r="N631">
        <v>1</v>
      </c>
      <c r="O631">
        <v>1</v>
      </c>
      <c r="P631">
        <v>1</v>
      </c>
      <c r="Q631">
        <v>1</v>
      </c>
      <c r="R631">
        <v>1</v>
      </c>
      <c r="S631">
        <v>1</v>
      </c>
      <c r="T631">
        <v>1</v>
      </c>
      <c r="U631">
        <v>1</v>
      </c>
      <c r="V631">
        <v>1</v>
      </c>
      <c r="W631">
        <v>1</v>
      </c>
      <c r="X631">
        <v>1</v>
      </c>
      <c r="Y631">
        <v>1</v>
      </c>
      <c r="Z631">
        <v>1</v>
      </c>
      <c r="AA631">
        <v>1</v>
      </c>
      <c r="AB631">
        <v>1</v>
      </c>
      <c r="AC631">
        <v>1</v>
      </c>
    </row>
    <row r="632" spans="1:29" x14ac:dyDescent="0.45">
      <c r="A632" t="s">
        <v>76</v>
      </c>
      <c r="B632" t="s">
        <v>434</v>
      </c>
      <c r="C632" t="s">
        <v>435</v>
      </c>
      <c r="D632" t="s">
        <v>427</v>
      </c>
      <c r="E632" t="str">
        <f t="shared" si="9"/>
        <v>NE|onshore wind|Fall</v>
      </c>
      <c r="F632">
        <v>1</v>
      </c>
      <c r="G632">
        <v>1</v>
      </c>
      <c r="H632">
        <v>1</v>
      </c>
      <c r="I632">
        <v>1</v>
      </c>
      <c r="J632">
        <v>1</v>
      </c>
      <c r="K632">
        <v>1</v>
      </c>
      <c r="L632">
        <v>1</v>
      </c>
      <c r="M632">
        <v>1</v>
      </c>
      <c r="N632">
        <v>1</v>
      </c>
      <c r="O632">
        <v>1</v>
      </c>
      <c r="P632">
        <v>1</v>
      </c>
      <c r="Q632">
        <v>1</v>
      </c>
      <c r="R632">
        <v>1</v>
      </c>
      <c r="S632">
        <v>1</v>
      </c>
      <c r="T632">
        <v>1</v>
      </c>
      <c r="U632">
        <v>1</v>
      </c>
      <c r="V632">
        <v>1</v>
      </c>
      <c r="W632">
        <v>1</v>
      </c>
      <c r="X632">
        <v>1</v>
      </c>
      <c r="Y632">
        <v>1</v>
      </c>
      <c r="Z632">
        <v>1</v>
      </c>
      <c r="AA632">
        <v>1</v>
      </c>
      <c r="AB632">
        <v>1</v>
      </c>
      <c r="AC632">
        <v>1</v>
      </c>
    </row>
    <row r="633" spans="1:29" x14ac:dyDescent="0.45">
      <c r="A633" t="s">
        <v>76</v>
      </c>
      <c r="B633" t="s">
        <v>434</v>
      </c>
      <c r="C633" t="s">
        <v>435</v>
      </c>
      <c r="D633" t="s">
        <v>428</v>
      </c>
      <c r="E633" t="str">
        <f t="shared" si="9"/>
        <v>NE|onshore wind|Summer Peak</v>
      </c>
      <c r="F633">
        <v>0.70960000000000001</v>
      </c>
      <c r="G633">
        <v>0.65720000000000001</v>
      </c>
      <c r="H633">
        <v>0.60009999999999997</v>
      </c>
      <c r="I633">
        <v>0.53539999999999999</v>
      </c>
      <c r="J633">
        <v>0.54590000000000005</v>
      </c>
      <c r="K633">
        <v>0.55869999999999997</v>
      </c>
      <c r="L633">
        <v>0.54679999999999995</v>
      </c>
      <c r="M633">
        <v>0.66290000000000004</v>
      </c>
      <c r="N633">
        <v>0.63670000000000004</v>
      </c>
      <c r="O633">
        <v>0.57840000000000003</v>
      </c>
      <c r="P633">
        <v>0.3387</v>
      </c>
      <c r="Q633">
        <v>0.33779999999999999</v>
      </c>
      <c r="R633">
        <v>0.39610000000000001</v>
      </c>
      <c r="S633">
        <v>0.37940000000000002</v>
      </c>
      <c r="T633">
        <v>0.315</v>
      </c>
      <c r="U633">
        <v>0.39369999999999999</v>
      </c>
      <c r="V633">
        <v>0.48330000000000001</v>
      </c>
      <c r="W633">
        <v>0.60450000000000004</v>
      </c>
      <c r="X633">
        <v>0.61729999999999996</v>
      </c>
      <c r="Y633">
        <v>0.79969999999999997</v>
      </c>
      <c r="Z633">
        <v>0.82520000000000004</v>
      </c>
      <c r="AA633">
        <v>0.76980000000000004</v>
      </c>
      <c r="AB633">
        <v>0.71930000000000005</v>
      </c>
      <c r="AC633">
        <v>0.72219999999999995</v>
      </c>
    </row>
    <row r="634" spans="1:29" x14ac:dyDescent="0.45">
      <c r="A634" t="s">
        <v>76</v>
      </c>
      <c r="B634" t="s">
        <v>434</v>
      </c>
      <c r="C634" t="s">
        <v>435</v>
      </c>
      <c r="D634" t="s">
        <v>429</v>
      </c>
      <c r="E634" t="str">
        <f t="shared" si="9"/>
        <v>NE|onshore wind|Winter Peak</v>
      </c>
      <c r="F634">
        <v>0.93220000000000003</v>
      </c>
      <c r="G634">
        <v>0.92789999999999995</v>
      </c>
      <c r="H634">
        <v>0.95640000000000003</v>
      </c>
      <c r="I634">
        <v>0.96430000000000005</v>
      </c>
      <c r="J634">
        <v>0.92249999999999999</v>
      </c>
      <c r="K634">
        <v>0.94269999999999998</v>
      </c>
      <c r="L634">
        <v>0.94979999999999998</v>
      </c>
      <c r="M634">
        <v>0.9466</v>
      </c>
      <c r="N634">
        <v>0.92169999999999996</v>
      </c>
      <c r="O634">
        <v>0.88919999999999999</v>
      </c>
      <c r="P634">
        <v>0.80379999999999996</v>
      </c>
      <c r="Q634">
        <v>0.66110000000000002</v>
      </c>
      <c r="R634">
        <v>0.56310000000000004</v>
      </c>
      <c r="S634">
        <v>0.54510000000000003</v>
      </c>
      <c r="T634">
        <v>0.58499999999999996</v>
      </c>
      <c r="U634">
        <v>0.65090000000000003</v>
      </c>
      <c r="V634">
        <v>0.67879999999999996</v>
      </c>
      <c r="W634">
        <v>0.69410000000000005</v>
      </c>
      <c r="X634">
        <v>0.6411</v>
      </c>
      <c r="Y634">
        <v>0.70009999999999994</v>
      </c>
      <c r="Z634">
        <v>0.75860000000000005</v>
      </c>
      <c r="AA634">
        <v>0.70130000000000003</v>
      </c>
      <c r="AB634">
        <v>0.69750000000000001</v>
      </c>
      <c r="AC634">
        <v>0.55720000000000003</v>
      </c>
    </row>
    <row r="635" spans="1:29" x14ac:dyDescent="0.45">
      <c r="A635" t="s">
        <v>76</v>
      </c>
      <c r="B635" t="s">
        <v>436</v>
      </c>
      <c r="C635" t="s">
        <v>437</v>
      </c>
      <c r="D635" t="s">
        <v>424</v>
      </c>
      <c r="E635" t="str">
        <f t="shared" si="9"/>
        <v>NE|solar pv|Winter</v>
      </c>
      <c r="F635">
        <v>1</v>
      </c>
      <c r="G635">
        <v>1</v>
      </c>
      <c r="H635">
        <v>1</v>
      </c>
      <c r="I635">
        <v>1</v>
      </c>
      <c r="J635">
        <v>1</v>
      </c>
      <c r="K635">
        <v>1</v>
      </c>
      <c r="L635">
        <v>1</v>
      </c>
      <c r="M635">
        <v>1</v>
      </c>
      <c r="N635">
        <v>1</v>
      </c>
      <c r="O635">
        <v>1</v>
      </c>
      <c r="P635">
        <v>1</v>
      </c>
      <c r="Q635">
        <v>1</v>
      </c>
      <c r="R635">
        <v>1</v>
      </c>
      <c r="S635">
        <v>1</v>
      </c>
      <c r="T635">
        <v>1</v>
      </c>
      <c r="U635">
        <v>1</v>
      </c>
      <c r="V635">
        <v>1</v>
      </c>
      <c r="W635">
        <v>1</v>
      </c>
      <c r="X635">
        <v>1</v>
      </c>
      <c r="Y635">
        <v>1</v>
      </c>
      <c r="Z635">
        <v>1</v>
      </c>
      <c r="AA635">
        <v>1</v>
      </c>
      <c r="AB635">
        <v>1</v>
      </c>
      <c r="AC635">
        <v>1</v>
      </c>
    </row>
    <row r="636" spans="1:29" x14ac:dyDescent="0.45">
      <c r="A636" t="s">
        <v>76</v>
      </c>
      <c r="B636" t="s">
        <v>436</v>
      </c>
      <c r="C636" t="s">
        <v>437</v>
      </c>
      <c r="D636" t="s">
        <v>425</v>
      </c>
      <c r="E636" t="str">
        <f t="shared" si="9"/>
        <v>NE|solar pv|Spring</v>
      </c>
      <c r="F636">
        <v>1</v>
      </c>
      <c r="G636">
        <v>1</v>
      </c>
      <c r="H636">
        <v>1</v>
      </c>
      <c r="I636">
        <v>1</v>
      </c>
      <c r="J636">
        <v>1</v>
      </c>
      <c r="K636">
        <v>1</v>
      </c>
      <c r="L636">
        <v>1</v>
      </c>
      <c r="M636">
        <v>1</v>
      </c>
      <c r="N636">
        <v>1</v>
      </c>
      <c r="O636">
        <v>1</v>
      </c>
      <c r="P636">
        <v>1</v>
      </c>
      <c r="Q636">
        <v>1</v>
      </c>
      <c r="R636">
        <v>1</v>
      </c>
      <c r="S636">
        <v>1</v>
      </c>
      <c r="T636">
        <v>1</v>
      </c>
      <c r="U636">
        <v>1</v>
      </c>
      <c r="V636">
        <v>1</v>
      </c>
      <c r="W636">
        <v>1</v>
      </c>
      <c r="X636">
        <v>1</v>
      </c>
      <c r="Y636">
        <v>1</v>
      </c>
      <c r="Z636">
        <v>1</v>
      </c>
      <c r="AA636">
        <v>1</v>
      </c>
      <c r="AB636">
        <v>1</v>
      </c>
      <c r="AC636">
        <v>1</v>
      </c>
    </row>
    <row r="637" spans="1:29" x14ac:dyDescent="0.45">
      <c r="A637" t="s">
        <v>76</v>
      </c>
      <c r="B637" t="s">
        <v>436</v>
      </c>
      <c r="C637" t="s">
        <v>437</v>
      </c>
      <c r="D637" t="s">
        <v>426</v>
      </c>
      <c r="E637" t="str">
        <f t="shared" si="9"/>
        <v>NE|solar pv|Summer</v>
      </c>
      <c r="F637">
        <v>1</v>
      </c>
      <c r="G637">
        <v>1</v>
      </c>
      <c r="H637">
        <v>1</v>
      </c>
      <c r="I637">
        <v>1</v>
      </c>
      <c r="J637">
        <v>1</v>
      </c>
      <c r="K637">
        <v>1</v>
      </c>
      <c r="L637">
        <v>1</v>
      </c>
      <c r="M637">
        <v>1</v>
      </c>
      <c r="N637">
        <v>1</v>
      </c>
      <c r="O637">
        <v>1</v>
      </c>
      <c r="P637">
        <v>1</v>
      </c>
      <c r="Q637">
        <v>1</v>
      </c>
      <c r="R637">
        <v>1</v>
      </c>
      <c r="S637">
        <v>1</v>
      </c>
      <c r="T637">
        <v>1</v>
      </c>
      <c r="U637">
        <v>1</v>
      </c>
      <c r="V637">
        <v>1</v>
      </c>
      <c r="W637">
        <v>1</v>
      </c>
      <c r="X637">
        <v>1</v>
      </c>
      <c r="Y637">
        <v>1</v>
      </c>
      <c r="Z637">
        <v>1</v>
      </c>
      <c r="AA637">
        <v>1</v>
      </c>
      <c r="AB637">
        <v>1</v>
      </c>
      <c r="AC637">
        <v>1</v>
      </c>
    </row>
    <row r="638" spans="1:29" x14ac:dyDescent="0.45">
      <c r="A638" t="s">
        <v>76</v>
      </c>
      <c r="B638" t="s">
        <v>436</v>
      </c>
      <c r="C638" t="s">
        <v>437</v>
      </c>
      <c r="D638" t="s">
        <v>427</v>
      </c>
      <c r="E638" t="str">
        <f t="shared" si="9"/>
        <v>NE|solar pv|Fall</v>
      </c>
      <c r="F638">
        <v>1</v>
      </c>
      <c r="G638">
        <v>1</v>
      </c>
      <c r="H638">
        <v>1</v>
      </c>
      <c r="I638">
        <v>1</v>
      </c>
      <c r="J638">
        <v>1</v>
      </c>
      <c r="K638">
        <v>1</v>
      </c>
      <c r="L638">
        <v>1</v>
      </c>
      <c r="M638">
        <v>1</v>
      </c>
      <c r="N638">
        <v>1</v>
      </c>
      <c r="O638">
        <v>1</v>
      </c>
      <c r="P638">
        <v>1</v>
      </c>
      <c r="Q638">
        <v>1</v>
      </c>
      <c r="R638">
        <v>1</v>
      </c>
      <c r="S638">
        <v>1</v>
      </c>
      <c r="T638">
        <v>1</v>
      </c>
      <c r="U638">
        <v>1</v>
      </c>
      <c r="V638">
        <v>1</v>
      </c>
      <c r="W638">
        <v>1</v>
      </c>
      <c r="X638">
        <v>1</v>
      </c>
      <c r="Y638">
        <v>1</v>
      </c>
      <c r="Z638">
        <v>1</v>
      </c>
      <c r="AA638">
        <v>1</v>
      </c>
      <c r="AB638">
        <v>1</v>
      </c>
      <c r="AC638">
        <v>1</v>
      </c>
    </row>
    <row r="639" spans="1:29" x14ac:dyDescent="0.45">
      <c r="A639" t="s">
        <v>76</v>
      </c>
      <c r="B639" t="s">
        <v>436</v>
      </c>
      <c r="C639" t="s">
        <v>437</v>
      </c>
      <c r="D639" t="s">
        <v>428</v>
      </c>
      <c r="E639" t="str">
        <f t="shared" si="9"/>
        <v>NE|solar pv|Summer Peak</v>
      </c>
      <c r="F639">
        <v>1</v>
      </c>
      <c r="G639">
        <v>1</v>
      </c>
      <c r="H639">
        <v>1</v>
      </c>
      <c r="I639">
        <v>1</v>
      </c>
      <c r="J639">
        <v>1</v>
      </c>
      <c r="K639">
        <v>0.2616</v>
      </c>
      <c r="L639">
        <v>0.85240000000000005</v>
      </c>
      <c r="M639">
        <v>0.98950000000000005</v>
      </c>
      <c r="N639">
        <v>1</v>
      </c>
      <c r="O639">
        <v>1</v>
      </c>
      <c r="P639">
        <v>1</v>
      </c>
      <c r="Q639">
        <v>1</v>
      </c>
      <c r="R639">
        <v>1</v>
      </c>
      <c r="S639">
        <v>1</v>
      </c>
      <c r="T639">
        <v>0.9889</v>
      </c>
      <c r="U639">
        <v>0.91739999999999999</v>
      </c>
      <c r="V639">
        <v>0.80079999999999996</v>
      </c>
      <c r="W639">
        <v>0.74580000000000002</v>
      </c>
      <c r="X639">
        <v>0.79379999999999995</v>
      </c>
      <c r="Y639">
        <v>0</v>
      </c>
      <c r="Z639">
        <v>1</v>
      </c>
      <c r="AA639">
        <v>1</v>
      </c>
      <c r="AB639">
        <v>1</v>
      </c>
      <c r="AC639">
        <v>1</v>
      </c>
    </row>
    <row r="640" spans="1:29" x14ac:dyDescent="0.45">
      <c r="A640" t="s">
        <v>76</v>
      </c>
      <c r="B640" t="s">
        <v>436</v>
      </c>
      <c r="C640" t="s">
        <v>437</v>
      </c>
      <c r="D640" t="s">
        <v>429</v>
      </c>
      <c r="E640" t="str">
        <f t="shared" si="9"/>
        <v>NE|solar pv|Winter Peak</v>
      </c>
      <c r="F640">
        <v>1</v>
      </c>
      <c r="G640">
        <v>1</v>
      </c>
      <c r="H640">
        <v>1</v>
      </c>
      <c r="I640">
        <v>1</v>
      </c>
      <c r="J640">
        <v>1</v>
      </c>
      <c r="K640">
        <v>1</v>
      </c>
      <c r="L640">
        <v>1</v>
      </c>
      <c r="M640">
        <v>1.01E-2</v>
      </c>
      <c r="N640">
        <v>0.55000000000000004</v>
      </c>
      <c r="O640">
        <v>0.80430000000000001</v>
      </c>
      <c r="P640">
        <v>0.90569999999999995</v>
      </c>
      <c r="Q640">
        <v>0.90859999999999996</v>
      </c>
      <c r="R640">
        <v>0.96350000000000002</v>
      </c>
      <c r="S640">
        <v>0.96609999999999996</v>
      </c>
      <c r="T640">
        <v>0.91790000000000005</v>
      </c>
      <c r="U640">
        <v>0.7228</v>
      </c>
      <c r="V640">
        <v>1.95E-2</v>
      </c>
      <c r="W640">
        <v>1</v>
      </c>
      <c r="X640">
        <v>1</v>
      </c>
      <c r="Y640">
        <v>1</v>
      </c>
      <c r="Z640">
        <v>1</v>
      </c>
      <c r="AA640">
        <v>1</v>
      </c>
      <c r="AB640">
        <v>1</v>
      </c>
      <c r="AC640">
        <v>1</v>
      </c>
    </row>
    <row r="641" spans="1:29" x14ac:dyDescent="0.45">
      <c r="A641" t="s">
        <v>76</v>
      </c>
      <c r="B641" t="s">
        <v>438</v>
      </c>
      <c r="C641" t="s">
        <v>439</v>
      </c>
      <c r="D641" t="s">
        <v>424</v>
      </c>
      <c r="E641" t="str">
        <f t="shared" si="9"/>
        <v>NE|solar thermal|Winter</v>
      </c>
      <c r="F641">
        <v>1</v>
      </c>
      <c r="G641">
        <v>1</v>
      </c>
      <c r="H641">
        <v>1</v>
      </c>
      <c r="I641">
        <v>1</v>
      </c>
      <c r="J641">
        <v>1</v>
      </c>
      <c r="K641">
        <v>1</v>
      </c>
      <c r="L641">
        <v>1</v>
      </c>
      <c r="M641">
        <v>1</v>
      </c>
      <c r="N641">
        <v>1</v>
      </c>
      <c r="O641">
        <v>1</v>
      </c>
      <c r="P641">
        <v>1</v>
      </c>
      <c r="Q641">
        <v>1</v>
      </c>
      <c r="R641">
        <v>1</v>
      </c>
      <c r="S641">
        <v>1</v>
      </c>
      <c r="T641">
        <v>1</v>
      </c>
      <c r="U641">
        <v>1</v>
      </c>
      <c r="V641">
        <v>1</v>
      </c>
      <c r="W641">
        <v>1</v>
      </c>
      <c r="X641">
        <v>1</v>
      </c>
      <c r="Y641">
        <v>1</v>
      </c>
      <c r="Z641">
        <v>1</v>
      </c>
      <c r="AA641">
        <v>1</v>
      </c>
      <c r="AB641">
        <v>1</v>
      </c>
      <c r="AC641">
        <v>1</v>
      </c>
    </row>
    <row r="642" spans="1:29" x14ac:dyDescent="0.45">
      <c r="A642" t="s">
        <v>76</v>
      </c>
      <c r="B642" t="s">
        <v>438</v>
      </c>
      <c r="C642" t="s">
        <v>439</v>
      </c>
      <c r="D642" t="s">
        <v>425</v>
      </c>
      <c r="E642" t="str">
        <f t="shared" si="9"/>
        <v>NE|solar thermal|Spring</v>
      </c>
      <c r="F642">
        <v>1</v>
      </c>
      <c r="G642">
        <v>1</v>
      </c>
      <c r="H642">
        <v>1</v>
      </c>
      <c r="I642">
        <v>1</v>
      </c>
      <c r="J642">
        <v>1</v>
      </c>
      <c r="K642">
        <v>1</v>
      </c>
      <c r="L642">
        <v>1</v>
      </c>
      <c r="M642">
        <v>1</v>
      </c>
      <c r="N642">
        <v>1</v>
      </c>
      <c r="O642">
        <v>1</v>
      </c>
      <c r="P642">
        <v>1</v>
      </c>
      <c r="Q642">
        <v>1</v>
      </c>
      <c r="R642">
        <v>1</v>
      </c>
      <c r="S642">
        <v>1</v>
      </c>
      <c r="T642">
        <v>1</v>
      </c>
      <c r="U642">
        <v>1</v>
      </c>
      <c r="V642">
        <v>1</v>
      </c>
      <c r="W642">
        <v>1</v>
      </c>
      <c r="X642">
        <v>1</v>
      </c>
      <c r="Y642">
        <v>1</v>
      </c>
      <c r="Z642">
        <v>1</v>
      </c>
      <c r="AA642">
        <v>1</v>
      </c>
      <c r="AB642">
        <v>1</v>
      </c>
      <c r="AC642">
        <v>1</v>
      </c>
    </row>
    <row r="643" spans="1:29" x14ac:dyDescent="0.45">
      <c r="A643" t="s">
        <v>76</v>
      </c>
      <c r="B643" t="s">
        <v>438</v>
      </c>
      <c r="C643" t="s">
        <v>439</v>
      </c>
      <c r="D643" t="s">
        <v>426</v>
      </c>
      <c r="E643" t="str">
        <f t="shared" si="9"/>
        <v>NE|solar thermal|Summer</v>
      </c>
      <c r="F643">
        <v>1</v>
      </c>
      <c r="G643">
        <v>1</v>
      </c>
      <c r="H643">
        <v>1</v>
      </c>
      <c r="I643">
        <v>1</v>
      </c>
      <c r="J643">
        <v>1</v>
      </c>
      <c r="K643">
        <v>1</v>
      </c>
      <c r="L643">
        <v>1</v>
      </c>
      <c r="M643">
        <v>1</v>
      </c>
      <c r="N643">
        <v>1</v>
      </c>
      <c r="O643">
        <v>1</v>
      </c>
      <c r="P643">
        <v>1</v>
      </c>
      <c r="Q643">
        <v>1</v>
      </c>
      <c r="R643">
        <v>1</v>
      </c>
      <c r="S643">
        <v>1</v>
      </c>
      <c r="T643">
        <v>1</v>
      </c>
      <c r="U643">
        <v>1</v>
      </c>
      <c r="V643">
        <v>1</v>
      </c>
      <c r="W643">
        <v>1</v>
      </c>
      <c r="X643">
        <v>1</v>
      </c>
      <c r="Y643">
        <v>1</v>
      </c>
      <c r="Z643">
        <v>1</v>
      </c>
      <c r="AA643">
        <v>1</v>
      </c>
      <c r="AB643">
        <v>1</v>
      </c>
      <c r="AC643">
        <v>1</v>
      </c>
    </row>
    <row r="644" spans="1:29" x14ac:dyDescent="0.45">
      <c r="A644" t="s">
        <v>76</v>
      </c>
      <c r="B644" t="s">
        <v>438</v>
      </c>
      <c r="C644" t="s">
        <v>439</v>
      </c>
      <c r="D644" t="s">
        <v>427</v>
      </c>
      <c r="E644" t="str">
        <f t="shared" si="9"/>
        <v>NE|solar thermal|Fall</v>
      </c>
      <c r="F644">
        <v>1</v>
      </c>
      <c r="G644">
        <v>1</v>
      </c>
      <c r="H644">
        <v>1</v>
      </c>
      <c r="I644">
        <v>1</v>
      </c>
      <c r="J644">
        <v>1</v>
      </c>
      <c r="K644">
        <v>1</v>
      </c>
      <c r="L644">
        <v>1</v>
      </c>
      <c r="M644">
        <v>1</v>
      </c>
      <c r="N644">
        <v>1</v>
      </c>
      <c r="O644">
        <v>1</v>
      </c>
      <c r="P644">
        <v>1</v>
      </c>
      <c r="Q644">
        <v>1</v>
      </c>
      <c r="R644">
        <v>1</v>
      </c>
      <c r="S644">
        <v>1</v>
      </c>
      <c r="T644">
        <v>1</v>
      </c>
      <c r="U644">
        <v>1</v>
      </c>
      <c r="V644">
        <v>1</v>
      </c>
      <c r="W644">
        <v>1</v>
      </c>
      <c r="X644">
        <v>1</v>
      </c>
      <c r="Y644">
        <v>1</v>
      </c>
      <c r="Z644">
        <v>1</v>
      </c>
      <c r="AA644">
        <v>1</v>
      </c>
      <c r="AB644">
        <v>1</v>
      </c>
      <c r="AC644">
        <v>1</v>
      </c>
    </row>
    <row r="645" spans="1:29" x14ac:dyDescent="0.45">
      <c r="A645" t="s">
        <v>76</v>
      </c>
      <c r="B645" t="s">
        <v>438</v>
      </c>
      <c r="C645" t="s">
        <v>439</v>
      </c>
      <c r="D645" t="s">
        <v>428</v>
      </c>
      <c r="E645" t="str">
        <f t="shared" ref="E645:E708" si="10">A645&amp;"|"&amp;C645&amp;"|"&amp;D645</f>
        <v>NE|solar thermal|Summer Peak</v>
      </c>
      <c r="F645">
        <v>1</v>
      </c>
      <c r="G645">
        <v>1</v>
      </c>
      <c r="H645">
        <v>1</v>
      </c>
      <c r="I645">
        <v>1</v>
      </c>
      <c r="J645">
        <v>1</v>
      </c>
      <c r="K645">
        <v>1</v>
      </c>
      <c r="L645">
        <v>1</v>
      </c>
      <c r="M645">
        <v>0</v>
      </c>
      <c r="N645">
        <v>0.8639</v>
      </c>
      <c r="O645">
        <v>1</v>
      </c>
      <c r="P645">
        <v>1</v>
      </c>
      <c r="Q645">
        <v>0.97160000000000002</v>
      </c>
      <c r="R645">
        <v>0.96719999999999995</v>
      </c>
      <c r="S645">
        <v>1</v>
      </c>
      <c r="T645">
        <v>1</v>
      </c>
      <c r="U645">
        <v>1</v>
      </c>
      <c r="V645">
        <v>1</v>
      </c>
      <c r="W645">
        <v>1</v>
      </c>
      <c r="X645">
        <v>1</v>
      </c>
      <c r="Y645">
        <v>0.93130000000000002</v>
      </c>
      <c r="Z645">
        <v>0.70220000000000005</v>
      </c>
      <c r="AA645">
        <v>1</v>
      </c>
      <c r="AB645">
        <v>1</v>
      </c>
      <c r="AC645">
        <v>1</v>
      </c>
    </row>
    <row r="646" spans="1:29" x14ac:dyDescent="0.45">
      <c r="A646" t="s">
        <v>76</v>
      </c>
      <c r="B646" t="s">
        <v>438</v>
      </c>
      <c r="C646" t="s">
        <v>439</v>
      </c>
      <c r="D646" t="s">
        <v>429</v>
      </c>
      <c r="E646" t="str">
        <f t="shared" si="10"/>
        <v>NE|solar thermal|Winter Peak</v>
      </c>
      <c r="F646">
        <v>1</v>
      </c>
      <c r="G646">
        <v>1</v>
      </c>
      <c r="H646">
        <v>1</v>
      </c>
      <c r="I646">
        <v>1</v>
      </c>
      <c r="J646">
        <v>1</v>
      </c>
      <c r="K646">
        <v>1</v>
      </c>
      <c r="L646">
        <v>1</v>
      </c>
      <c r="M646">
        <v>1</v>
      </c>
      <c r="N646">
        <v>1</v>
      </c>
      <c r="O646">
        <v>0.2419</v>
      </c>
      <c r="P646">
        <v>0.95320000000000005</v>
      </c>
      <c r="Q646">
        <v>0.88039999999999996</v>
      </c>
      <c r="R646">
        <v>0.97819999999999996</v>
      </c>
      <c r="S646">
        <v>0.98950000000000005</v>
      </c>
      <c r="T646">
        <v>0.99270000000000003</v>
      </c>
      <c r="U646">
        <v>1</v>
      </c>
      <c r="V646">
        <v>1</v>
      </c>
      <c r="W646">
        <v>1</v>
      </c>
      <c r="X646">
        <v>0.89019999999999999</v>
      </c>
      <c r="Y646">
        <v>0</v>
      </c>
      <c r="Z646">
        <v>1</v>
      </c>
      <c r="AA646">
        <v>1</v>
      </c>
      <c r="AB646">
        <v>1</v>
      </c>
      <c r="AC646">
        <v>1</v>
      </c>
    </row>
    <row r="647" spans="1:29" x14ac:dyDescent="0.45">
      <c r="A647" t="s">
        <v>76</v>
      </c>
      <c r="B647" t="s">
        <v>440</v>
      </c>
      <c r="C647" t="s">
        <v>441</v>
      </c>
      <c r="D647" t="s">
        <v>424</v>
      </c>
      <c r="E647" t="str">
        <f t="shared" si="10"/>
        <v>NE|offshore wind|Winter</v>
      </c>
      <c r="F647">
        <v>1</v>
      </c>
      <c r="G647">
        <v>1</v>
      </c>
      <c r="H647">
        <v>1</v>
      </c>
      <c r="I647">
        <v>1</v>
      </c>
      <c r="J647">
        <v>1</v>
      </c>
      <c r="K647">
        <v>1</v>
      </c>
      <c r="L647">
        <v>1</v>
      </c>
      <c r="M647">
        <v>1</v>
      </c>
      <c r="N647">
        <v>1</v>
      </c>
      <c r="O647">
        <v>1</v>
      </c>
      <c r="P647">
        <v>1</v>
      </c>
      <c r="Q647">
        <v>1</v>
      </c>
      <c r="R647">
        <v>1</v>
      </c>
      <c r="S647">
        <v>1</v>
      </c>
      <c r="T647">
        <v>1</v>
      </c>
      <c r="U647">
        <v>1</v>
      </c>
      <c r="V647">
        <v>1</v>
      </c>
      <c r="W647">
        <v>1</v>
      </c>
      <c r="X647">
        <v>1</v>
      </c>
      <c r="Y647">
        <v>1</v>
      </c>
      <c r="Z647">
        <v>1</v>
      </c>
      <c r="AA647">
        <v>1</v>
      </c>
      <c r="AB647">
        <v>1</v>
      </c>
      <c r="AC647">
        <v>1</v>
      </c>
    </row>
    <row r="648" spans="1:29" x14ac:dyDescent="0.45">
      <c r="A648" t="s">
        <v>76</v>
      </c>
      <c r="B648" t="s">
        <v>440</v>
      </c>
      <c r="C648" t="s">
        <v>441</v>
      </c>
      <c r="D648" t="s">
        <v>425</v>
      </c>
      <c r="E648" t="str">
        <f t="shared" si="10"/>
        <v>NE|offshore wind|Spring</v>
      </c>
      <c r="F648">
        <v>1</v>
      </c>
      <c r="G648">
        <v>1</v>
      </c>
      <c r="H648">
        <v>1</v>
      </c>
      <c r="I648">
        <v>1</v>
      </c>
      <c r="J648">
        <v>1</v>
      </c>
      <c r="K648">
        <v>1</v>
      </c>
      <c r="L648">
        <v>1</v>
      </c>
      <c r="M648">
        <v>1</v>
      </c>
      <c r="N648">
        <v>1</v>
      </c>
      <c r="O648">
        <v>1</v>
      </c>
      <c r="P648">
        <v>1</v>
      </c>
      <c r="Q648">
        <v>1</v>
      </c>
      <c r="R648">
        <v>1</v>
      </c>
      <c r="S648">
        <v>1</v>
      </c>
      <c r="T648">
        <v>1</v>
      </c>
      <c r="U648">
        <v>1</v>
      </c>
      <c r="V648">
        <v>1</v>
      </c>
      <c r="W648">
        <v>1</v>
      </c>
      <c r="X648">
        <v>1</v>
      </c>
      <c r="Y648">
        <v>1</v>
      </c>
      <c r="Z648">
        <v>1</v>
      </c>
      <c r="AA648">
        <v>1</v>
      </c>
      <c r="AB648">
        <v>1</v>
      </c>
      <c r="AC648">
        <v>1</v>
      </c>
    </row>
    <row r="649" spans="1:29" x14ac:dyDescent="0.45">
      <c r="A649" t="s">
        <v>76</v>
      </c>
      <c r="B649" t="s">
        <v>440</v>
      </c>
      <c r="C649" t="s">
        <v>441</v>
      </c>
      <c r="D649" t="s">
        <v>426</v>
      </c>
      <c r="E649" t="str">
        <f t="shared" si="10"/>
        <v>NE|offshore wind|Summer</v>
      </c>
      <c r="F649">
        <v>1</v>
      </c>
      <c r="G649">
        <v>1</v>
      </c>
      <c r="H649">
        <v>1</v>
      </c>
      <c r="I649">
        <v>1</v>
      </c>
      <c r="J649">
        <v>1</v>
      </c>
      <c r="K649">
        <v>1</v>
      </c>
      <c r="L649">
        <v>1</v>
      </c>
      <c r="M649">
        <v>1</v>
      </c>
      <c r="N649">
        <v>1</v>
      </c>
      <c r="O649">
        <v>1</v>
      </c>
      <c r="P649">
        <v>1</v>
      </c>
      <c r="Q649">
        <v>1</v>
      </c>
      <c r="R649">
        <v>1</v>
      </c>
      <c r="S649">
        <v>1</v>
      </c>
      <c r="T649">
        <v>1</v>
      </c>
      <c r="U649">
        <v>1</v>
      </c>
      <c r="V649">
        <v>1</v>
      </c>
      <c r="W649">
        <v>1</v>
      </c>
      <c r="X649">
        <v>1</v>
      </c>
      <c r="Y649">
        <v>1</v>
      </c>
      <c r="Z649">
        <v>1</v>
      </c>
      <c r="AA649">
        <v>1</v>
      </c>
      <c r="AB649">
        <v>1</v>
      </c>
      <c r="AC649">
        <v>1</v>
      </c>
    </row>
    <row r="650" spans="1:29" x14ac:dyDescent="0.45">
      <c r="A650" t="s">
        <v>76</v>
      </c>
      <c r="B650" t="s">
        <v>440</v>
      </c>
      <c r="C650" t="s">
        <v>441</v>
      </c>
      <c r="D650" t="s">
        <v>427</v>
      </c>
      <c r="E650" t="str">
        <f t="shared" si="10"/>
        <v>NE|offshore wind|Fall</v>
      </c>
      <c r="F650">
        <v>1</v>
      </c>
      <c r="G650">
        <v>1</v>
      </c>
      <c r="H650">
        <v>1</v>
      </c>
      <c r="I650">
        <v>1</v>
      </c>
      <c r="J650">
        <v>1</v>
      </c>
      <c r="K650">
        <v>1</v>
      </c>
      <c r="L650">
        <v>1</v>
      </c>
      <c r="M650">
        <v>1</v>
      </c>
      <c r="N650">
        <v>1</v>
      </c>
      <c r="O650">
        <v>1</v>
      </c>
      <c r="P650">
        <v>1</v>
      </c>
      <c r="Q650">
        <v>1</v>
      </c>
      <c r="R650">
        <v>1</v>
      </c>
      <c r="S650">
        <v>1</v>
      </c>
      <c r="T650">
        <v>1</v>
      </c>
      <c r="U650">
        <v>1</v>
      </c>
      <c r="V650">
        <v>1</v>
      </c>
      <c r="W650">
        <v>1</v>
      </c>
      <c r="X650">
        <v>1</v>
      </c>
      <c r="Y650">
        <v>1</v>
      </c>
      <c r="Z650">
        <v>1</v>
      </c>
      <c r="AA650">
        <v>1</v>
      </c>
      <c r="AB650">
        <v>1</v>
      </c>
      <c r="AC650">
        <v>1</v>
      </c>
    </row>
    <row r="651" spans="1:29" x14ac:dyDescent="0.45">
      <c r="A651" t="s">
        <v>76</v>
      </c>
      <c r="B651" t="s">
        <v>440</v>
      </c>
      <c r="C651" t="s">
        <v>441</v>
      </c>
      <c r="D651" t="s">
        <v>428</v>
      </c>
      <c r="E651" t="str">
        <f t="shared" si="10"/>
        <v>NE|offshore wind|Summer Peak</v>
      </c>
      <c r="F651">
        <v>0.40810000000000002</v>
      </c>
      <c r="G651">
        <v>0.4239</v>
      </c>
      <c r="H651">
        <v>0.45760000000000001</v>
      </c>
      <c r="I651">
        <v>0.50319999999999998</v>
      </c>
      <c r="J651">
        <v>0.53649999999999998</v>
      </c>
      <c r="K651">
        <v>0.59399999999999997</v>
      </c>
      <c r="L651">
        <v>0.61929999999999996</v>
      </c>
      <c r="M651">
        <v>0.68859999999999999</v>
      </c>
      <c r="N651">
        <v>0.73480000000000001</v>
      </c>
      <c r="O651">
        <v>0.84350000000000003</v>
      </c>
      <c r="P651">
        <v>0.78200000000000003</v>
      </c>
      <c r="Q651">
        <v>0.74650000000000005</v>
      </c>
      <c r="R651">
        <v>0.63690000000000002</v>
      </c>
      <c r="S651">
        <v>0.60860000000000003</v>
      </c>
      <c r="T651">
        <v>0.64339999999999997</v>
      </c>
      <c r="U651">
        <v>0.69269999999999998</v>
      </c>
      <c r="V651">
        <v>0.71450000000000002</v>
      </c>
      <c r="W651">
        <v>0.75070000000000003</v>
      </c>
      <c r="X651">
        <v>0.72489999999999999</v>
      </c>
      <c r="Y651">
        <v>0.66049999999999998</v>
      </c>
      <c r="Z651">
        <v>0.69140000000000001</v>
      </c>
      <c r="AA651">
        <v>0.63080000000000003</v>
      </c>
      <c r="AB651">
        <v>0.63429999999999997</v>
      </c>
      <c r="AC651">
        <v>0.64390000000000003</v>
      </c>
    </row>
    <row r="652" spans="1:29" x14ac:dyDescent="0.45">
      <c r="A652" t="s">
        <v>76</v>
      </c>
      <c r="B652" t="s">
        <v>440</v>
      </c>
      <c r="C652" t="s">
        <v>441</v>
      </c>
      <c r="D652" t="s">
        <v>429</v>
      </c>
      <c r="E652" t="str">
        <f t="shared" si="10"/>
        <v>NE|offshore wind|Winter Peak</v>
      </c>
      <c r="F652">
        <v>0.95309999999999995</v>
      </c>
      <c r="G652">
        <v>0.95030000000000003</v>
      </c>
      <c r="H652">
        <v>0.95540000000000003</v>
      </c>
      <c r="I652">
        <v>0.96679999999999999</v>
      </c>
      <c r="J652">
        <v>1</v>
      </c>
      <c r="K652">
        <v>1</v>
      </c>
      <c r="L652">
        <v>1</v>
      </c>
      <c r="M652">
        <v>0.99209999999999998</v>
      </c>
      <c r="N652">
        <v>0.90149999999999997</v>
      </c>
      <c r="O652">
        <v>0.79779999999999995</v>
      </c>
      <c r="P652">
        <v>0.71879999999999999</v>
      </c>
      <c r="Q652">
        <v>0.67300000000000004</v>
      </c>
      <c r="R652">
        <v>0.60860000000000003</v>
      </c>
      <c r="S652">
        <v>0.58009999999999995</v>
      </c>
      <c r="T652">
        <v>0.58799999999999997</v>
      </c>
      <c r="U652">
        <v>0.61019999999999996</v>
      </c>
      <c r="V652">
        <v>0.61839999999999995</v>
      </c>
      <c r="W652">
        <v>0.60909999999999997</v>
      </c>
      <c r="X652">
        <v>0.62880000000000003</v>
      </c>
      <c r="Y652">
        <v>0.72889999999999999</v>
      </c>
      <c r="Z652">
        <v>0.84719999999999995</v>
      </c>
      <c r="AA652">
        <v>0.92220000000000002</v>
      </c>
      <c r="AB652">
        <v>0.86950000000000005</v>
      </c>
      <c r="AC652">
        <v>0.8054</v>
      </c>
    </row>
    <row r="653" spans="1:29" x14ac:dyDescent="0.45">
      <c r="A653" t="s">
        <v>78</v>
      </c>
      <c r="B653" t="s">
        <v>434</v>
      </c>
      <c r="C653" t="s">
        <v>435</v>
      </c>
      <c r="D653" t="s">
        <v>424</v>
      </c>
      <c r="E653" t="str">
        <f t="shared" si="10"/>
        <v>NH|onshore wind|Winter</v>
      </c>
      <c r="F653">
        <v>1</v>
      </c>
      <c r="G653">
        <v>1</v>
      </c>
      <c r="H653">
        <v>1</v>
      </c>
      <c r="I653">
        <v>1</v>
      </c>
      <c r="J653">
        <v>1</v>
      </c>
      <c r="K653">
        <v>1</v>
      </c>
      <c r="L653">
        <v>1</v>
      </c>
      <c r="M653">
        <v>1</v>
      </c>
      <c r="N653">
        <v>1</v>
      </c>
      <c r="O653">
        <v>1</v>
      </c>
      <c r="P653">
        <v>1</v>
      </c>
      <c r="Q653">
        <v>1</v>
      </c>
      <c r="R653">
        <v>1</v>
      </c>
      <c r="S653">
        <v>1</v>
      </c>
      <c r="T653">
        <v>1</v>
      </c>
      <c r="U653">
        <v>1</v>
      </c>
      <c r="V653">
        <v>1</v>
      </c>
      <c r="W653">
        <v>1</v>
      </c>
      <c r="X653">
        <v>1</v>
      </c>
      <c r="Y653">
        <v>1</v>
      </c>
      <c r="Z653">
        <v>1</v>
      </c>
      <c r="AA653">
        <v>1</v>
      </c>
      <c r="AB653">
        <v>1</v>
      </c>
      <c r="AC653">
        <v>1</v>
      </c>
    </row>
    <row r="654" spans="1:29" x14ac:dyDescent="0.45">
      <c r="A654" t="s">
        <v>78</v>
      </c>
      <c r="B654" t="s">
        <v>434</v>
      </c>
      <c r="C654" t="s">
        <v>435</v>
      </c>
      <c r="D654" t="s">
        <v>425</v>
      </c>
      <c r="E654" t="str">
        <f t="shared" si="10"/>
        <v>NH|onshore wind|Spring</v>
      </c>
      <c r="F654">
        <v>1</v>
      </c>
      <c r="G654">
        <v>1</v>
      </c>
      <c r="H654">
        <v>1</v>
      </c>
      <c r="I654">
        <v>1</v>
      </c>
      <c r="J654">
        <v>1</v>
      </c>
      <c r="K654">
        <v>1</v>
      </c>
      <c r="L654">
        <v>1</v>
      </c>
      <c r="M654">
        <v>1</v>
      </c>
      <c r="N654">
        <v>1</v>
      </c>
      <c r="O654">
        <v>1</v>
      </c>
      <c r="P654">
        <v>1</v>
      </c>
      <c r="Q654">
        <v>1</v>
      </c>
      <c r="R654">
        <v>1</v>
      </c>
      <c r="S654">
        <v>1</v>
      </c>
      <c r="T654">
        <v>1</v>
      </c>
      <c r="U654">
        <v>1</v>
      </c>
      <c r="V654">
        <v>1</v>
      </c>
      <c r="W654">
        <v>1</v>
      </c>
      <c r="X654">
        <v>1</v>
      </c>
      <c r="Y654">
        <v>1</v>
      </c>
      <c r="Z654">
        <v>1</v>
      </c>
      <c r="AA654">
        <v>1</v>
      </c>
      <c r="AB654">
        <v>1</v>
      </c>
      <c r="AC654">
        <v>1</v>
      </c>
    </row>
    <row r="655" spans="1:29" x14ac:dyDescent="0.45">
      <c r="A655" t="s">
        <v>78</v>
      </c>
      <c r="B655" t="s">
        <v>434</v>
      </c>
      <c r="C655" t="s">
        <v>435</v>
      </c>
      <c r="D655" t="s">
        <v>426</v>
      </c>
      <c r="E655" t="str">
        <f t="shared" si="10"/>
        <v>NH|onshore wind|Summer</v>
      </c>
      <c r="F655">
        <v>1</v>
      </c>
      <c r="G655">
        <v>1</v>
      </c>
      <c r="H655">
        <v>1</v>
      </c>
      <c r="I655">
        <v>1</v>
      </c>
      <c r="J655">
        <v>1</v>
      </c>
      <c r="K655">
        <v>1</v>
      </c>
      <c r="L655">
        <v>1</v>
      </c>
      <c r="M655">
        <v>1</v>
      </c>
      <c r="N655">
        <v>1</v>
      </c>
      <c r="O655">
        <v>1</v>
      </c>
      <c r="P655">
        <v>1</v>
      </c>
      <c r="Q655">
        <v>1</v>
      </c>
      <c r="R655">
        <v>1</v>
      </c>
      <c r="S655">
        <v>1</v>
      </c>
      <c r="T655">
        <v>1</v>
      </c>
      <c r="U655">
        <v>1</v>
      </c>
      <c r="V655">
        <v>1</v>
      </c>
      <c r="W655">
        <v>1</v>
      </c>
      <c r="X655">
        <v>1</v>
      </c>
      <c r="Y655">
        <v>1</v>
      </c>
      <c r="Z655">
        <v>1</v>
      </c>
      <c r="AA655">
        <v>1</v>
      </c>
      <c r="AB655">
        <v>1</v>
      </c>
      <c r="AC655">
        <v>1</v>
      </c>
    </row>
    <row r="656" spans="1:29" x14ac:dyDescent="0.45">
      <c r="A656" t="s">
        <v>78</v>
      </c>
      <c r="B656" t="s">
        <v>434</v>
      </c>
      <c r="C656" t="s">
        <v>435</v>
      </c>
      <c r="D656" t="s">
        <v>427</v>
      </c>
      <c r="E656" t="str">
        <f t="shared" si="10"/>
        <v>NH|onshore wind|Fall</v>
      </c>
      <c r="F656">
        <v>1</v>
      </c>
      <c r="G656">
        <v>1</v>
      </c>
      <c r="H656">
        <v>1</v>
      </c>
      <c r="I656">
        <v>1</v>
      </c>
      <c r="J656">
        <v>1</v>
      </c>
      <c r="K656">
        <v>1</v>
      </c>
      <c r="L656">
        <v>1</v>
      </c>
      <c r="M656">
        <v>1</v>
      </c>
      <c r="N656">
        <v>1</v>
      </c>
      <c r="O656">
        <v>1</v>
      </c>
      <c r="P656">
        <v>1</v>
      </c>
      <c r="Q656">
        <v>1</v>
      </c>
      <c r="R656">
        <v>1</v>
      </c>
      <c r="S656">
        <v>1</v>
      </c>
      <c r="T656">
        <v>1</v>
      </c>
      <c r="U656">
        <v>1</v>
      </c>
      <c r="V656">
        <v>1</v>
      </c>
      <c r="W656">
        <v>1</v>
      </c>
      <c r="X656">
        <v>1</v>
      </c>
      <c r="Y656">
        <v>1</v>
      </c>
      <c r="Z656">
        <v>1</v>
      </c>
      <c r="AA656">
        <v>1</v>
      </c>
      <c r="AB656">
        <v>1</v>
      </c>
      <c r="AC656">
        <v>1</v>
      </c>
    </row>
    <row r="657" spans="1:29" x14ac:dyDescent="0.45">
      <c r="A657" t="s">
        <v>78</v>
      </c>
      <c r="B657" t="s">
        <v>434</v>
      </c>
      <c r="C657" t="s">
        <v>435</v>
      </c>
      <c r="D657" t="s">
        <v>428</v>
      </c>
      <c r="E657" t="str">
        <f t="shared" si="10"/>
        <v>NH|onshore wind|Summer Peak</v>
      </c>
      <c r="F657">
        <v>0.74709999999999999</v>
      </c>
      <c r="G657">
        <v>0.74909999999999999</v>
      </c>
      <c r="H657">
        <v>0.69989999999999997</v>
      </c>
      <c r="I657">
        <v>0.66669999999999996</v>
      </c>
      <c r="J657">
        <v>0.66</v>
      </c>
      <c r="K657">
        <v>0.73519999999999996</v>
      </c>
      <c r="L657">
        <v>0.57720000000000005</v>
      </c>
      <c r="M657">
        <v>0.48159999999999997</v>
      </c>
      <c r="N657">
        <v>0.44640000000000002</v>
      </c>
      <c r="O657">
        <v>0.49680000000000002</v>
      </c>
      <c r="P657">
        <v>0.50619999999999998</v>
      </c>
      <c r="Q657">
        <v>0.53190000000000004</v>
      </c>
      <c r="R657">
        <v>0.5444</v>
      </c>
      <c r="S657">
        <v>0.57110000000000005</v>
      </c>
      <c r="T657">
        <v>0.61880000000000002</v>
      </c>
      <c r="U657">
        <v>0.60850000000000004</v>
      </c>
      <c r="V657">
        <v>0.6986</v>
      </c>
      <c r="W657">
        <v>0.87849999999999995</v>
      </c>
      <c r="X657">
        <v>0.90239999999999998</v>
      </c>
      <c r="Y657">
        <v>0.79890000000000005</v>
      </c>
      <c r="Z657">
        <v>0.76080000000000003</v>
      </c>
      <c r="AA657">
        <v>0.6976</v>
      </c>
      <c r="AB657">
        <v>0.68130000000000002</v>
      </c>
      <c r="AC657">
        <v>0.64539999999999997</v>
      </c>
    </row>
    <row r="658" spans="1:29" x14ac:dyDescent="0.45">
      <c r="A658" t="s">
        <v>78</v>
      </c>
      <c r="B658" t="s">
        <v>434</v>
      </c>
      <c r="C658" t="s">
        <v>435</v>
      </c>
      <c r="D658" t="s">
        <v>429</v>
      </c>
      <c r="E658" t="str">
        <f t="shared" si="10"/>
        <v>NH|onshore wind|Winter Peak</v>
      </c>
      <c r="F658">
        <v>0.70950000000000002</v>
      </c>
      <c r="G658">
        <v>0.68110000000000004</v>
      </c>
      <c r="H658">
        <v>0.66459999999999997</v>
      </c>
      <c r="I658">
        <v>0.66769999999999996</v>
      </c>
      <c r="J658">
        <v>0.70240000000000002</v>
      </c>
      <c r="K658">
        <v>0.75080000000000002</v>
      </c>
      <c r="L658">
        <v>0.58650000000000002</v>
      </c>
      <c r="M658">
        <v>0.47189999999999999</v>
      </c>
      <c r="N658">
        <v>0.40450000000000003</v>
      </c>
      <c r="O658">
        <v>0.318</v>
      </c>
      <c r="P658">
        <v>0.29459999999999997</v>
      </c>
      <c r="Q658">
        <v>0.33119999999999999</v>
      </c>
      <c r="R658">
        <v>0.36880000000000002</v>
      </c>
      <c r="S658">
        <v>0.43609999999999999</v>
      </c>
      <c r="T658">
        <v>0.47410000000000002</v>
      </c>
      <c r="U658">
        <v>0.56540000000000001</v>
      </c>
      <c r="V658">
        <v>0.70640000000000003</v>
      </c>
      <c r="W658">
        <v>0.77100000000000002</v>
      </c>
      <c r="X658">
        <v>0.8256</v>
      </c>
      <c r="Y658">
        <v>0.83679999999999999</v>
      </c>
      <c r="Z658">
        <v>0.83760000000000001</v>
      </c>
      <c r="AA658">
        <v>0.81659999999999999</v>
      </c>
      <c r="AB658">
        <v>0.8014</v>
      </c>
      <c r="AC658">
        <v>0.7772</v>
      </c>
    </row>
    <row r="659" spans="1:29" x14ac:dyDescent="0.45">
      <c r="A659" t="s">
        <v>78</v>
      </c>
      <c r="B659" t="s">
        <v>436</v>
      </c>
      <c r="C659" t="s">
        <v>437</v>
      </c>
      <c r="D659" t="s">
        <v>424</v>
      </c>
      <c r="E659" t="str">
        <f t="shared" si="10"/>
        <v>NH|solar pv|Winter</v>
      </c>
      <c r="F659">
        <v>1</v>
      </c>
      <c r="G659">
        <v>1</v>
      </c>
      <c r="H659">
        <v>1</v>
      </c>
      <c r="I659">
        <v>1</v>
      </c>
      <c r="J659">
        <v>1</v>
      </c>
      <c r="K659">
        <v>1</v>
      </c>
      <c r="L659">
        <v>1</v>
      </c>
      <c r="M659">
        <v>1</v>
      </c>
      <c r="N659">
        <v>1</v>
      </c>
      <c r="O659">
        <v>1</v>
      </c>
      <c r="P659">
        <v>1</v>
      </c>
      <c r="Q659">
        <v>1</v>
      </c>
      <c r="R659">
        <v>1</v>
      </c>
      <c r="S659">
        <v>1</v>
      </c>
      <c r="T659">
        <v>1</v>
      </c>
      <c r="U659">
        <v>1</v>
      </c>
      <c r="V659">
        <v>1</v>
      </c>
      <c r="W659">
        <v>1</v>
      </c>
      <c r="X659">
        <v>1</v>
      </c>
      <c r="Y659">
        <v>1</v>
      </c>
      <c r="Z659">
        <v>1</v>
      </c>
      <c r="AA659">
        <v>1</v>
      </c>
      <c r="AB659">
        <v>1</v>
      </c>
      <c r="AC659">
        <v>1</v>
      </c>
    </row>
    <row r="660" spans="1:29" x14ac:dyDescent="0.45">
      <c r="A660" t="s">
        <v>78</v>
      </c>
      <c r="B660" t="s">
        <v>436</v>
      </c>
      <c r="C660" t="s">
        <v>437</v>
      </c>
      <c r="D660" t="s">
        <v>425</v>
      </c>
      <c r="E660" t="str">
        <f t="shared" si="10"/>
        <v>NH|solar pv|Spring</v>
      </c>
      <c r="F660">
        <v>1</v>
      </c>
      <c r="G660">
        <v>1</v>
      </c>
      <c r="H660">
        <v>1</v>
      </c>
      <c r="I660">
        <v>1</v>
      </c>
      <c r="J660">
        <v>1</v>
      </c>
      <c r="K660">
        <v>1</v>
      </c>
      <c r="L660">
        <v>1</v>
      </c>
      <c r="M660">
        <v>1</v>
      </c>
      <c r="N660">
        <v>1</v>
      </c>
      <c r="O660">
        <v>1</v>
      </c>
      <c r="P660">
        <v>1</v>
      </c>
      <c r="Q660">
        <v>1</v>
      </c>
      <c r="R660">
        <v>1</v>
      </c>
      <c r="S660">
        <v>1</v>
      </c>
      <c r="T660">
        <v>1</v>
      </c>
      <c r="U660">
        <v>1</v>
      </c>
      <c r="V660">
        <v>1</v>
      </c>
      <c r="W660">
        <v>1</v>
      </c>
      <c r="X660">
        <v>1</v>
      </c>
      <c r="Y660">
        <v>1</v>
      </c>
      <c r="Z660">
        <v>1</v>
      </c>
      <c r="AA660">
        <v>1</v>
      </c>
      <c r="AB660">
        <v>1</v>
      </c>
      <c r="AC660">
        <v>1</v>
      </c>
    </row>
    <row r="661" spans="1:29" x14ac:dyDescent="0.45">
      <c r="A661" t="s">
        <v>78</v>
      </c>
      <c r="B661" t="s">
        <v>436</v>
      </c>
      <c r="C661" t="s">
        <v>437</v>
      </c>
      <c r="D661" t="s">
        <v>426</v>
      </c>
      <c r="E661" t="str">
        <f t="shared" si="10"/>
        <v>NH|solar pv|Summer</v>
      </c>
      <c r="F661">
        <v>1</v>
      </c>
      <c r="G661">
        <v>1</v>
      </c>
      <c r="H661">
        <v>1</v>
      </c>
      <c r="I661">
        <v>1</v>
      </c>
      <c r="J661">
        <v>1</v>
      </c>
      <c r="K661">
        <v>1</v>
      </c>
      <c r="L661">
        <v>1</v>
      </c>
      <c r="M661">
        <v>1</v>
      </c>
      <c r="N661">
        <v>1</v>
      </c>
      <c r="O661">
        <v>1</v>
      </c>
      <c r="P661">
        <v>1</v>
      </c>
      <c r="Q661">
        <v>1</v>
      </c>
      <c r="R661">
        <v>1</v>
      </c>
      <c r="S661">
        <v>1</v>
      </c>
      <c r="T661">
        <v>1</v>
      </c>
      <c r="U661">
        <v>1</v>
      </c>
      <c r="V661">
        <v>1</v>
      </c>
      <c r="W661">
        <v>1</v>
      </c>
      <c r="X661">
        <v>1</v>
      </c>
      <c r="Y661">
        <v>1</v>
      </c>
      <c r="Z661">
        <v>1</v>
      </c>
      <c r="AA661">
        <v>1</v>
      </c>
      <c r="AB661">
        <v>1</v>
      </c>
      <c r="AC661">
        <v>1</v>
      </c>
    </row>
    <row r="662" spans="1:29" x14ac:dyDescent="0.45">
      <c r="A662" t="s">
        <v>78</v>
      </c>
      <c r="B662" t="s">
        <v>436</v>
      </c>
      <c r="C662" t="s">
        <v>437</v>
      </c>
      <c r="D662" t="s">
        <v>427</v>
      </c>
      <c r="E662" t="str">
        <f t="shared" si="10"/>
        <v>NH|solar pv|Fall</v>
      </c>
      <c r="F662">
        <v>1</v>
      </c>
      <c r="G662">
        <v>1</v>
      </c>
      <c r="H662">
        <v>1</v>
      </c>
      <c r="I662">
        <v>1</v>
      </c>
      <c r="J662">
        <v>1</v>
      </c>
      <c r="K662">
        <v>1</v>
      </c>
      <c r="L662">
        <v>1</v>
      </c>
      <c r="M662">
        <v>1</v>
      </c>
      <c r="N662">
        <v>1</v>
      </c>
      <c r="O662">
        <v>1</v>
      </c>
      <c r="P662">
        <v>1</v>
      </c>
      <c r="Q662">
        <v>1</v>
      </c>
      <c r="R662">
        <v>1</v>
      </c>
      <c r="S662">
        <v>1</v>
      </c>
      <c r="T662">
        <v>1</v>
      </c>
      <c r="U662">
        <v>1</v>
      </c>
      <c r="V662">
        <v>1</v>
      </c>
      <c r="W662">
        <v>1</v>
      </c>
      <c r="X662">
        <v>1</v>
      </c>
      <c r="Y662">
        <v>1</v>
      </c>
      <c r="Z662">
        <v>1</v>
      </c>
      <c r="AA662">
        <v>1</v>
      </c>
      <c r="AB662">
        <v>1</v>
      </c>
      <c r="AC662">
        <v>1</v>
      </c>
    </row>
    <row r="663" spans="1:29" x14ac:dyDescent="0.45">
      <c r="A663" t="s">
        <v>78</v>
      </c>
      <c r="B663" t="s">
        <v>436</v>
      </c>
      <c r="C663" t="s">
        <v>437</v>
      </c>
      <c r="D663" t="s">
        <v>428</v>
      </c>
      <c r="E663" t="str">
        <f t="shared" si="10"/>
        <v>NH|solar pv|Summer Peak</v>
      </c>
      <c r="F663">
        <v>1</v>
      </c>
      <c r="G663">
        <v>1</v>
      </c>
      <c r="H663">
        <v>1</v>
      </c>
      <c r="I663">
        <v>1</v>
      </c>
      <c r="J663">
        <v>0.69140000000000001</v>
      </c>
      <c r="K663">
        <v>0.78800000000000003</v>
      </c>
      <c r="L663">
        <v>0.89080000000000004</v>
      </c>
      <c r="M663">
        <v>0.93269999999999997</v>
      </c>
      <c r="N663">
        <v>0.9204</v>
      </c>
      <c r="O663">
        <v>0.9929</v>
      </c>
      <c r="P663">
        <v>0.96799999999999997</v>
      </c>
      <c r="Q663">
        <v>0.91669999999999996</v>
      </c>
      <c r="R663">
        <v>0.88880000000000003</v>
      </c>
      <c r="S663">
        <v>0.87929999999999997</v>
      </c>
      <c r="T663">
        <v>0.91990000000000005</v>
      </c>
      <c r="U663">
        <v>0.81810000000000005</v>
      </c>
      <c r="V663">
        <v>0.82340000000000002</v>
      </c>
      <c r="W663">
        <v>0.68620000000000003</v>
      </c>
      <c r="X663">
        <v>1</v>
      </c>
      <c r="Y663">
        <v>1</v>
      </c>
      <c r="Z663">
        <v>1</v>
      </c>
      <c r="AA663">
        <v>1</v>
      </c>
      <c r="AB663">
        <v>1</v>
      </c>
      <c r="AC663">
        <v>1</v>
      </c>
    </row>
    <row r="664" spans="1:29" x14ac:dyDescent="0.45">
      <c r="A664" t="s">
        <v>78</v>
      </c>
      <c r="B664" t="s">
        <v>436</v>
      </c>
      <c r="C664" t="s">
        <v>437</v>
      </c>
      <c r="D664" t="s">
        <v>429</v>
      </c>
      <c r="E664" t="str">
        <f t="shared" si="10"/>
        <v>NH|solar pv|Winter Peak</v>
      </c>
      <c r="F664">
        <v>1</v>
      </c>
      <c r="G664">
        <v>1</v>
      </c>
      <c r="H664">
        <v>1</v>
      </c>
      <c r="I664">
        <v>1</v>
      </c>
      <c r="J664">
        <v>1</v>
      </c>
      <c r="K664">
        <v>1</v>
      </c>
      <c r="L664">
        <v>0.41739999999999999</v>
      </c>
      <c r="M664">
        <v>0.60470000000000002</v>
      </c>
      <c r="N664">
        <v>0.6784</v>
      </c>
      <c r="O664">
        <v>0.81769999999999998</v>
      </c>
      <c r="P664">
        <v>0.84370000000000001</v>
      </c>
      <c r="Q664">
        <v>0.7903</v>
      </c>
      <c r="R664">
        <v>0.65239999999999998</v>
      </c>
      <c r="S664">
        <v>0.62280000000000002</v>
      </c>
      <c r="T664">
        <v>0.65359999999999996</v>
      </c>
      <c r="U664">
        <v>0.4607</v>
      </c>
      <c r="V664">
        <v>0</v>
      </c>
      <c r="W664">
        <v>1</v>
      </c>
      <c r="X664">
        <v>1</v>
      </c>
      <c r="Y664">
        <v>1</v>
      </c>
      <c r="Z664">
        <v>1</v>
      </c>
      <c r="AA664">
        <v>1</v>
      </c>
      <c r="AB664">
        <v>1</v>
      </c>
      <c r="AC664">
        <v>1</v>
      </c>
    </row>
    <row r="665" spans="1:29" x14ac:dyDescent="0.45">
      <c r="A665" t="s">
        <v>78</v>
      </c>
      <c r="B665" t="s">
        <v>438</v>
      </c>
      <c r="C665" t="s">
        <v>439</v>
      </c>
      <c r="D665" t="s">
        <v>424</v>
      </c>
      <c r="E665" t="str">
        <f t="shared" si="10"/>
        <v>NH|solar thermal|Winter</v>
      </c>
      <c r="F665">
        <v>1</v>
      </c>
      <c r="G665">
        <v>1</v>
      </c>
      <c r="H665">
        <v>1</v>
      </c>
      <c r="I665">
        <v>1</v>
      </c>
      <c r="J665">
        <v>1</v>
      </c>
      <c r="K665">
        <v>1</v>
      </c>
      <c r="L665">
        <v>1</v>
      </c>
      <c r="M665">
        <v>1</v>
      </c>
      <c r="N665">
        <v>1</v>
      </c>
      <c r="O665">
        <v>1</v>
      </c>
      <c r="P665">
        <v>1</v>
      </c>
      <c r="Q665">
        <v>1</v>
      </c>
      <c r="R665">
        <v>1</v>
      </c>
      <c r="S665">
        <v>1</v>
      </c>
      <c r="T665">
        <v>1</v>
      </c>
      <c r="U665">
        <v>1</v>
      </c>
      <c r="V665">
        <v>1</v>
      </c>
      <c r="W665">
        <v>1</v>
      </c>
      <c r="X665">
        <v>1</v>
      </c>
      <c r="Y665">
        <v>1</v>
      </c>
      <c r="Z665">
        <v>1</v>
      </c>
      <c r="AA665">
        <v>1</v>
      </c>
      <c r="AB665">
        <v>1</v>
      </c>
      <c r="AC665">
        <v>1</v>
      </c>
    </row>
    <row r="666" spans="1:29" x14ac:dyDescent="0.45">
      <c r="A666" t="s">
        <v>78</v>
      </c>
      <c r="B666" t="s">
        <v>438</v>
      </c>
      <c r="C666" t="s">
        <v>439</v>
      </c>
      <c r="D666" t="s">
        <v>425</v>
      </c>
      <c r="E666" t="str">
        <f t="shared" si="10"/>
        <v>NH|solar thermal|Spring</v>
      </c>
      <c r="F666">
        <v>1</v>
      </c>
      <c r="G666">
        <v>1</v>
      </c>
      <c r="H666">
        <v>1</v>
      </c>
      <c r="I666">
        <v>1</v>
      </c>
      <c r="J666">
        <v>1</v>
      </c>
      <c r="K666">
        <v>1</v>
      </c>
      <c r="L666">
        <v>1</v>
      </c>
      <c r="M666">
        <v>1</v>
      </c>
      <c r="N666">
        <v>1</v>
      </c>
      <c r="O666">
        <v>1</v>
      </c>
      <c r="P666">
        <v>1</v>
      </c>
      <c r="Q666">
        <v>1</v>
      </c>
      <c r="R666">
        <v>1</v>
      </c>
      <c r="S666">
        <v>1</v>
      </c>
      <c r="T666">
        <v>1</v>
      </c>
      <c r="U666">
        <v>1</v>
      </c>
      <c r="V666">
        <v>1</v>
      </c>
      <c r="W666">
        <v>1</v>
      </c>
      <c r="X666">
        <v>1</v>
      </c>
      <c r="Y666">
        <v>1</v>
      </c>
      <c r="Z666">
        <v>1</v>
      </c>
      <c r="AA666">
        <v>1</v>
      </c>
      <c r="AB666">
        <v>1</v>
      </c>
      <c r="AC666">
        <v>1</v>
      </c>
    </row>
    <row r="667" spans="1:29" x14ac:dyDescent="0.45">
      <c r="A667" t="s">
        <v>78</v>
      </c>
      <c r="B667" t="s">
        <v>438</v>
      </c>
      <c r="C667" t="s">
        <v>439</v>
      </c>
      <c r="D667" t="s">
        <v>426</v>
      </c>
      <c r="E667" t="str">
        <f t="shared" si="10"/>
        <v>NH|solar thermal|Summer</v>
      </c>
      <c r="F667">
        <v>1</v>
      </c>
      <c r="G667">
        <v>1</v>
      </c>
      <c r="H667">
        <v>1</v>
      </c>
      <c r="I667">
        <v>1</v>
      </c>
      <c r="J667">
        <v>1</v>
      </c>
      <c r="K667">
        <v>1</v>
      </c>
      <c r="L667">
        <v>1</v>
      </c>
      <c r="M667">
        <v>1</v>
      </c>
      <c r="N667">
        <v>1</v>
      </c>
      <c r="O667">
        <v>1</v>
      </c>
      <c r="P667">
        <v>1</v>
      </c>
      <c r="Q667">
        <v>1</v>
      </c>
      <c r="R667">
        <v>1</v>
      </c>
      <c r="S667">
        <v>1</v>
      </c>
      <c r="T667">
        <v>1</v>
      </c>
      <c r="U667">
        <v>1</v>
      </c>
      <c r="V667">
        <v>1</v>
      </c>
      <c r="W667">
        <v>1</v>
      </c>
      <c r="X667">
        <v>1</v>
      </c>
      <c r="Y667">
        <v>1</v>
      </c>
      <c r="Z667">
        <v>1</v>
      </c>
      <c r="AA667">
        <v>1</v>
      </c>
      <c r="AB667">
        <v>1</v>
      </c>
      <c r="AC667">
        <v>1</v>
      </c>
    </row>
    <row r="668" spans="1:29" x14ac:dyDescent="0.45">
      <c r="A668" t="s">
        <v>78</v>
      </c>
      <c r="B668" t="s">
        <v>438</v>
      </c>
      <c r="C668" t="s">
        <v>439</v>
      </c>
      <c r="D668" t="s">
        <v>427</v>
      </c>
      <c r="E668" t="str">
        <f t="shared" si="10"/>
        <v>NH|solar thermal|Fall</v>
      </c>
      <c r="F668">
        <v>1</v>
      </c>
      <c r="G668">
        <v>1</v>
      </c>
      <c r="H668">
        <v>1</v>
      </c>
      <c r="I668">
        <v>1</v>
      </c>
      <c r="J668">
        <v>1</v>
      </c>
      <c r="K668">
        <v>1</v>
      </c>
      <c r="L668">
        <v>1</v>
      </c>
      <c r="M668">
        <v>1</v>
      </c>
      <c r="N668">
        <v>1</v>
      </c>
      <c r="O668">
        <v>1</v>
      </c>
      <c r="P668">
        <v>1</v>
      </c>
      <c r="Q668">
        <v>1</v>
      </c>
      <c r="R668">
        <v>1</v>
      </c>
      <c r="S668">
        <v>1</v>
      </c>
      <c r="T668">
        <v>1</v>
      </c>
      <c r="U668">
        <v>1</v>
      </c>
      <c r="V668">
        <v>1</v>
      </c>
      <c r="W668">
        <v>1</v>
      </c>
      <c r="X668">
        <v>1</v>
      </c>
      <c r="Y668">
        <v>1</v>
      </c>
      <c r="Z668">
        <v>1</v>
      </c>
      <c r="AA668">
        <v>1</v>
      </c>
      <c r="AB668">
        <v>1</v>
      </c>
      <c r="AC668">
        <v>1</v>
      </c>
    </row>
    <row r="669" spans="1:29" x14ac:dyDescent="0.45">
      <c r="A669" t="s">
        <v>78</v>
      </c>
      <c r="B669" t="s">
        <v>438</v>
      </c>
      <c r="C669" t="s">
        <v>439</v>
      </c>
      <c r="D669" t="s">
        <v>428</v>
      </c>
      <c r="E669" t="str">
        <f t="shared" si="10"/>
        <v>NH|solar thermal|Summer Peak</v>
      </c>
      <c r="F669">
        <v>1</v>
      </c>
      <c r="G669">
        <v>1</v>
      </c>
      <c r="H669">
        <v>1</v>
      </c>
      <c r="I669">
        <v>1</v>
      </c>
      <c r="J669">
        <v>1</v>
      </c>
      <c r="K669">
        <v>1</v>
      </c>
      <c r="L669">
        <v>1</v>
      </c>
      <c r="M669">
        <v>0</v>
      </c>
      <c r="N669">
        <v>0.8639</v>
      </c>
      <c r="O669">
        <v>1</v>
      </c>
      <c r="P669">
        <v>1</v>
      </c>
      <c r="Q669">
        <v>0.97160000000000002</v>
      </c>
      <c r="R669">
        <v>0.96719999999999995</v>
      </c>
      <c r="S669">
        <v>1</v>
      </c>
      <c r="T669">
        <v>1</v>
      </c>
      <c r="U669">
        <v>1</v>
      </c>
      <c r="V669">
        <v>1</v>
      </c>
      <c r="W669">
        <v>1</v>
      </c>
      <c r="X669">
        <v>1</v>
      </c>
      <c r="Y669">
        <v>0.93130000000000002</v>
      </c>
      <c r="Z669">
        <v>0.70220000000000005</v>
      </c>
      <c r="AA669">
        <v>1</v>
      </c>
      <c r="AB669">
        <v>1</v>
      </c>
      <c r="AC669">
        <v>1</v>
      </c>
    </row>
    <row r="670" spans="1:29" x14ac:dyDescent="0.45">
      <c r="A670" t="s">
        <v>78</v>
      </c>
      <c r="B670" t="s">
        <v>438</v>
      </c>
      <c r="C670" t="s">
        <v>439</v>
      </c>
      <c r="D670" t="s">
        <v>429</v>
      </c>
      <c r="E670" t="str">
        <f t="shared" si="10"/>
        <v>NH|solar thermal|Winter Peak</v>
      </c>
      <c r="F670">
        <v>1</v>
      </c>
      <c r="G670">
        <v>1</v>
      </c>
      <c r="H670">
        <v>1</v>
      </c>
      <c r="I670">
        <v>1</v>
      </c>
      <c r="J670">
        <v>1</v>
      </c>
      <c r="K670">
        <v>1</v>
      </c>
      <c r="L670">
        <v>1</v>
      </c>
      <c r="M670">
        <v>1</v>
      </c>
      <c r="N670">
        <v>1</v>
      </c>
      <c r="O670">
        <v>0.2419</v>
      </c>
      <c r="P670">
        <v>0.95320000000000005</v>
      </c>
      <c r="Q670">
        <v>0.88039999999999996</v>
      </c>
      <c r="R670">
        <v>0.97819999999999996</v>
      </c>
      <c r="S670">
        <v>0.98950000000000005</v>
      </c>
      <c r="T670">
        <v>0.99270000000000003</v>
      </c>
      <c r="U670">
        <v>1</v>
      </c>
      <c r="V670">
        <v>1</v>
      </c>
      <c r="W670">
        <v>1</v>
      </c>
      <c r="X670">
        <v>0.89019999999999999</v>
      </c>
      <c r="Y670">
        <v>0</v>
      </c>
      <c r="Z670">
        <v>1</v>
      </c>
      <c r="AA670">
        <v>1</v>
      </c>
      <c r="AB670">
        <v>1</v>
      </c>
      <c r="AC670">
        <v>1</v>
      </c>
    </row>
    <row r="671" spans="1:29" x14ac:dyDescent="0.45">
      <c r="A671" t="s">
        <v>78</v>
      </c>
      <c r="B671" t="s">
        <v>440</v>
      </c>
      <c r="C671" t="s">
        <v>441</v>
      </c>
      <c r="D671" t="s">
        <v>424</v>
      </c>
      <c r="E671" t="str">
        <f t="shared" si="10"/>
        <v>NH|offshore wind|Winter</v>
      </c>
      <c r="F671">
        <v>1</v>
      </c>
      <c r="G671">
        <v>1</v>
      </c>
      <c r="H671">
        <v>1</v>
      </c>
      <c r="I671">
        <v>1</v>
      </c>
      <c r="J671">
        <v>1</v>
      </c>
      <c r="K671">
        <v>1</v>
      </c>
      <c r="L671">
        <v>1</v>
      </c>
      <c r="M671">
        <v>1</v>
      </c>
      <c r="N671">
        <v>1</v>
      </c>
      <c r="O671">
        <v>1</v>
      </c>
      <c r="P671">
        <v>1</v>
      </c>
      <c r="Q671">
        <v>1</v>
      </c>
      <c r="R671">
        <v>1</v>
      </c>
      <c r="S671">
        <v>1</v>
      </c>
      <c r="T671">
        <v>1</v>
      </c>
      <c r="U671">
        <v>1</v>
      </c>
      <c r="V671">
        <v>1</v>
      </c>
      <c r="W671">
        <v>1</v>
      </c>
      <c r="X671">
        <v>1</v>
      </c>
      <c r="Y671">
        <v>1</v>
      </c>
      <c r="Z671">
        <v>1</v>
      </c>
      <c r="AA671">
        <v>1</v>
      </c>
      <c r="AB671">
        <v>1</v>
      </c>
      <c r="AC671">
        <v>1</v>
      </c>
    </row>
    <row r="672" spans="1:29" x14ac:dyDescent="0.45">
      <c r="A672" t="s">
        <v>78</v>
      </c>
      <c r="B672" t="s">
        <v>440</v>
      </c>
      <c r="C672" t="s">
        <v>441</v>
      </c>
      <c r="D672" t="s">
        <v>425</v>
      </c>
      <c r="E672" t="str">
        <f t="shared" si="10"/>
        <v>NH|offshore wind|Spring</v>
      </c>
      <c r="F672">
        <v>1</v>
      </c>
      <c r="G672">
        <v>1</v>
      </c>
      <c r="H672">
        <v>1</v>
      </c>
      <c r="I672">
        <v>1</v>
      </c>
      <c r="J672">
        <v>1</v>
      </c>
      <c r="K672">
        <v>1</v>
      </c>
      <c r="L672">
        <v>1</v>
      </c>
      <c r="M672">
        <v>1</v>
      </c>
      <c r="N672">
        <v>1</v>
      </c>
      <c r="O672">
        <v>1</v>
      </c>
      <c r="P672">
        <v>1</v>
      </c>
      <c r="Q672">
        <v>1</v>
      </c>
      <c r="R672">
        <v>1</v>
      </c>
      <c r="S672">
        <v>1</v>
      </c>
      <c r="T672">
        <v>1</v>
      </c>
      <c r="U672">
        <v>1</v>
      </c>
      <c r="V672">
        <v>1</v>
      </c>
      <c r="W672">
        <v>1</v>
      </c>
      <c r="X672">
        <v>1</v>
      </c>
      <c r="Y672">
        <v>1</v>
      </c>
      <c r="Z672">
        <v>1</v>
      </c>
      <c r="AA672">
        <v>1</v>
      </c>
      <c r="AB672">
        <v>1</v>
      </c>
      <c r="AC672">
        <v>1</v>
      </c>
    </row>
    <row r="673" spans="1:29" x14ac:dyDescent="0.45">
      <c r="A673" t="s">
        <v>78</v>
      </c>
      <c r="B673" t="s">
        <v>440</v>
      </c>
      <c r="C673" t="s">
        <v>441</v>
      </c>
      <c r="D673" t="s">
        <v>426</v>
      </c>
      <c r="E673" t="str">
        <f t="shared" si="10"/>
        <v>NH|offshore wind|Summer</v>
      </c>
      <c r="F673">
        <v>1</v>
      </c>
      <c r="G673">
        <v>1</v>
      </c>
      <c r="H673">
        <v>1</v>
      </c>
      <c r="I673">
        <v>1</v>
      </c>
      <c r="J673">
        <v>1</v>
      </c>
      <c r="K673">
        <v>1</v>
      </c>
      <c r="L673">
        <v>1</v>
      </c>
      <c r="M673">
        <v>1</v>
      </c>
      <c r="N673">
        <v>1</v>
      </c>
      <c r="O673">
        <v>1</v>
      </c>
      <c r="P673">
        <v>1</v>
      </c>
      <c r="Q673">
        <v>1</v>
      </c>
      <c r="R673">
        <v>1</v>
      </c>
      <c r="S673">
        <v>1</v>
      </c>
      <c r="T673">
        <v>1</v>
      </c>
      <c r="U673">
        <v>1</v>
      </c>
      <c r="V673">
        <v>1</v>
      </c>
      <c r="W673">
        <v>1</v>
      </c>
      <c r="X673">
        <v>1</v>
      </c>
      <c r="Y673">
        <v>1</v>
      </c>
      <c r="Z673">
        <v>1</v>
      </c>
      <c r="AA673">
        <v>1</v>
      </c>
      <c r="AB673">
        <v>1</v>
      </c>
      <c r="AC673">
        <v>1</v>
      </c>
    </row>
    <row r="674" spans="1:29" x14ac:dyDescent="0.45">
      <c r="A674" t="s">
        <v>78</v>
      </c>
      <c r="B674" t="s">
        <v>440</v>
      </c>
      <c r="C674" t="s">
        <v>441</v>
      </c>
      <c r="D674" t="s">
        <v>427</v>
      </c>
      <c r="E674" t="str">
        <f t="shared" si="10"/>
        <v>NH|offshore wind|Fall</v>
      </c>
      <c r="F674">
        <v>1</v>
      </c>
      <c r="G674">
        <v>1</v>
      </c>
      <c r="H674">
        <v>1</v>
      </c>
      <c r="I674">
        <v>1</v>
      </c>
      <c r="J674">
        <v>1</v>
      </c>
      <c r="K674">
        <v>1</v>
      </c>
      <c r="L674">
        <v>1</v>
      </c>
      <c r="M674">
        <v>1</v>
      </c>
      <c r="N674">
        <v>1</v>
      </c>
      <c r="O674">
        <v>1</v>
      </c>
      <c r="P674">
        <v>1</v>
      </c>
      <c r="Q674">
        <v>1</v>
      </c>
      <c r="R674">
        <v>1</v>
      </c>
      <c r="S674">
        <v>1</v>
      </c>
      <c r="T674">
        <v>1</v>
      </c>
      <c r="U674">
        <v>1</v>
      </c>
      <c r="V674">
        <v>1</v>
      </c>
      <c r="W674">
        <v>1</v>
      </c>
      <c r="X674">
        <v>1</v>
      </c>
      <c r="Y674">
        <v>1</v>
      </c>
      <c r="Z674">
        <v>1</v>
      </c>
      <c r="AA674">
        <v>1</v>
      </c>
      <c r="AB674">
        <v>1</v>
      </c>
      <c r="AC674">
        <v>1</v>
      </c>
    </row>
    <row r="675" spans="1:29" x14ac:dyDescent="0.45">
      <c r="A675" t="s">
        <v>78</v>
      </c>
      <c r="B675" t="s">
        <v>440</v>
      </c>
      <c r="C675" t="s">
        <v>441</v>
      </c>
      <c r="D675" t="s">
        <v>428</v>
      </c>
      <c r="E675" t="str">
        <f t="shared" si="10"/>
        <v>NH|offshore wind|Summer Peak</v>
      </c>
      <c r="F675">
        <v>0.27629999999999999</v>
      </c>
      <c r="G675">
        <v>0.27879999999999999</v>
      </c>
      <c r="H675">
        <v>0.30940000000000001</v>
      </c>
      <c r="I675">
        <v>0.32479999999999998</v>
      </c>
      <c r="J675">
        <v>0.29720000000000002</v>
      </c>
      <c r="K675">
        <v>0.246</v>
      </c>
      <c r="L675">
        <v>0.21759999999999999</v>
      </c>
      <c r="M675">
        <v>0.1386</v>
      </c>
      <c r="N675">
        <v>0.12230000000000001</v>
      </c>
      <c r="O675">
        <v>0.1278</v>
      </c>
      <c r="P675">
        <v>0.19270000000000001</v>
      </c>
      <c r="Q675">
        <v>0.2475</v>
      </c>
      <c r="R675">
        <v>0.3155</v>
      </c>
      <c r="S675">
        <v>0.32500000000000001</v>
      </c>
      <c r="T675">
        <v>0.31559999999999999</v>
      </c>
      <c r="U675">
        <v>0.32150000000000001</v>
      </c>
      <c r="V675">
        <v>0.30080000000000001</v>
      </c>
      <c r="W675">
        <v>0.32300000000000001</v>
      </c>
      <c r="X675">
        <v>0.3155</v>
      </c>
      <c r="Y675">
        <v>0.2923</v>
      </c>
      <c r="Z675">
        <v>0.30070000000000002</v>
      </c>
      <c r="AA675">
        <v>0.28079999999999999</v>
      </c>
      <c r="AB675">
        <v>0.24390000000000001</v>
      </c>
      <c r="AC675">
        <v>0.2432</v>
      </c>
    </row>
    <row r="676" spans="1:29" x14ac:dyDescent="0.45">
      <c r="A676" t="s">
        <v>78</v>
      </c>
      <c r="B676" t="s">
        <v>440</v>
      </c>
      <c r="C676" t="s">
        <v>441</v>
      </c>
      <c r="D676" t="s">
        <v>429</v>
      </c>
      <c r="E676" t="str">
        <f t="shared" si="10"/>
        <v>NH|offshore wind|Winter Peak</v>
      </c>
      <c r="F676">
        <v>0.17680000000000001</v>
      </c>
      <c r="G676">
        <v>0.13980000000000001</v>
      </c>
      <c r="H676">
        <v>0.191</v>
      </c>
      <c r="I676">
        <v>0.27879999999999999</v>
      </c>
      <c r="J676">
        <v>0.36559999999999998</v>
      </c>
      <c r="K676">
        <v>0.40400000000000003</v>
      </c>
      <c r="L676">
        <v>0.39939999999999998</v>
      </c>
      <c r="M676">
        <v>0.45140000000000002</v>
      </c>
      <c r="N676">
        <v>0.62070000000000003</v>
      </c>
      <c r="O676">
        <v>0.71440000000000003</v>
      </c>
      <c r="P676">
        <v>0.79559999999999997</v>
      </c>
      <c r="Q676">
        <v>0.92469999999999997</v>
      </c>
      <c r="R676">
        <v>0.89429999999999998</v>
      </c>
      <c r="S676">
        <v>0.82679999999999998</v>
      </c>
      <c r="T676">
        <v>0.76270000000000004</v>
      </c>
      <c r="U676">
        <v>0.72909999999999997</v>
      </c>
      <c r="V676">
        <v>0.69869999999999999</v>
      </c>
      <c r="W676">
        <v>0.69140000000000001</v>
      </c>
      <c r="X676">
        <v>0.68420000000000003</v>
      </c>
      <c r="Y676">
        <v>0.6835</v>
      </c>
      <c r="Z676">
        <v>0.66690000000000005</v>
      </c>
      <c r="AA676">
        <v>0.64300000000000002</v>
      </c>
      <c r="AB676">
        <v>0.62090000000000001</v>
      </c>
      <c r="AC676">
        <v>0.59570000000000001</v>
      </c>
    </row>
    <row r="677" spans="1:29" x14ac:dyDescent="0.45">
      <c r="A677" t="s">
        <v>80</v>
      </c>
      <c r="B677" t="s">
        <v>434</v>
      </c>
      <c r="C677" t="s">
        <v>435</v>
      </c>
      <c r="D677" t="s">
        <v>424</v>
      </c>
      <c r="E677" t="str">
        <f t="shared" si="10"/>
        <v>NJ|onshore wind|Winter</v>
      </c>
      <c r="F677">
        <v>1</v>
      </c>
      <c r="G677">
        <v>1</v>
      </c>
      <c r="H677">
        <v>1</v>
      </c>
      <c r="I677">
        <v>1</v>
      </c>
      <c r="J677">
        <v>1</v>
      </c>
      <c r="K677">
        <v>1</v>
      </c>
      <c r="L677">
        <v>1</v>
      </c>
      <c r="M677">
        <v>1</v>
      </c>
      <c r="N677">
        <v>1</v>
      </c>
      <c r="O677">
        <v>1</v>
      </c>
      <c r="P677">
        <v>1</v>
      </c>
      <c r="Q677">
        <v>1</v>
      </c>
      <c r="R677">
        <v>1</v>
      </c>
      <c r="S677">
        <v>1</v>
      </c>
      <c r="T677">
        <v>1</v>
      </c>
      <c r="U677">
        <v>1</v>
      </c>
      <c r="V677">
        <v>1</v>
      </c>
      <c r="W677">
        <v>1</v>
      </c>
      <c r="X677">
        <v>1</v>
      </c>
      <c r="Y677">
        <v>1</v>
      </c>
      <c r="Z677">
        <v>1</v>
      </c>
      <c r="AA677">
        <v>1</v>
      </c>
      <c r="AB677">
        <v>1</v>
      </c>
      <c r="AC677">
        <v>1</v>
      </c>
    </row>
    <row r="678" spans="1:29" x14ac:dyDescent="0.45">
      <c r="A678" t="s">
        <v>80</v>
      </c>
      <c r="B678" t="s">
        <v>434</v>
      </c>
      <c r="C678" t="s">
        <v>435</v>
      </c>
      <c r="D678" t="s">
        <v>425</v>
      </c>
      <c r="E678" t="str">
        <f t="shared" si="10"/>
        <v>NJ|onshore wind|Spring</v>
      </c>
      <c r="F678">
        <v>1</v>
      </c>
      <c r="G678">
        <v>1</v>
      </c>
      <c r="H678">
        <v>1</v>
      </c>
      <c r="I678">
        <v>1</v>
      </c>
      <c r="J678">
        <v>1</v>
      </c>
      <c r="K678">
        <v>1</v>
      </c>
      <c r="L678">
        <v>1</v>
      </c>
      <c r="M678">
        <v>1</v>
      </c>
      <c r="N678">
        <v>1</v>
      </c>
      <c r="O678">
        <v>1</v>
      </c>
      <c r="P678">
        <v>1</v>
      </c>
      <c r="Q678">
        <v>1</v>
      </c>
      <c r="R678">
        <v>1</v>
      </c>
      <c r="S678">
        <v>1</v>
      </c>
      <c r="T678">
        <v>1</v>
      </c>
      <c r="U678">
        <v>1</v>
      </c>
      <c r="V678">
        <v>1</v>
      </c>
      <c r="W678">
        <v>1</v>
      </c>
      <c r="X678">
        <v>1</v>
      </c>
      <c r="Y678">
        <v>1</v>
      </c>
      <c r="Z678">
        <v>1</v>
      </c>
      <c r="AA678">
        <v>1</v>
      </c>
      <c r="AB678">
        <v>1</v>
      </c>
      <c r="AC678">
        <v>1</v>
      </c>
    </row>
    <row r="679" spans="1:29" x14ac:dyDescent="0.45">
      <c r="A679" t="s">
        <v>80</v>
      </c>
      <c r="B679" t="s">
        <v>434</v>
      </c>
      <c r="C679" t="s">
        <v>435</v>
      </c>
      <c r="D679" t="s">
        <v>426</v>
      </c>
      <c r="E679" t="str">
        <f t="shared" si="10"/>
        <v>NJ|onshore wind|Summer</v>
      </c>
      <c r="F679">
        <v>1</v>
      </c>
      <c r="G679">
        <v>1</v>
      </c>
      <c r="H679">
        <v>1</v>
      </c>
      <c r="I679">
        <v>1</v>
      </c>
      <c r="J679">
        <v>1</v>
      </c>
      <c r="K679">
        <v>1</v>
      </c>
      <c r="L679">
        <v>1</v>
      </c>
      <c r="M679">
        <v>1</v>
      </c>
      <c r="N679">
        <v>1</v>
      </c>
      <c r="O679">
        <v>1</v>
      </c>
      <c r="P679">
        <v>1</v>
      </c>
      <c r="Q679">
        <v>1</v>
      </c>
      <c r="R679">
        <v>1</v>
      </c>
      <c r="S679">
        <v>1</v>
      </c>
      <c r="T679">
        <v>1</v>
      </c>
      <c r="U679">
        <v>1</v>
      </c>
      <c r="V679">
        <v>1</v>
      </c>
      <c r="W679">
        <v>1</v>
      </c>
      <c r="X679">
        <v>1</v>
      </c>
      <c r="Y679">
        <v>1</v>
      </c>
      <c r="Z679">
        <v>1</v>
      </c>
      <c r="AA679">
        <v>1</v>
      </c>
      <c r="AB679">
        <v>1</v>
      </c>
      <c r="AC679">
        <v>1</v>
      </c>
    </row>
    <row r="680" spans="1:29" x14ac:dyDescent="0.45">
      <c r="A680" t="s">
        <v>80</v>
      </c>
      <c r="B680" t="s">
        <v>434</v>
      </c>
      <c r="C680" t="s">
        <v>435</v>
      </c>
      <c r="D680" t="s">
        <v>427</v>
      </c>
      <c r="E680" t="str">
        <f t="shared" si="10"/>
        <v>NJ|onshore wind|Fall</v>
      </c>
      <c r="F680">
        <v>1</v>
      </c>
      <c r="G680">
        <v>1</v>
      </c>
      <c r="H680">
        <v>1</v>
      </c>
      <c r="I680">
        <v>1</v>
      </c>
      <c r="J680">
        <v>1</v>
      </c>
      <c r="K680">
        <v>1</v>
      </c>
      <c r="L680">
        <v>1</v>
      </c>
      <c r="M680">
        <v>1</v>
      </c>
      <c r="N680">
        <v>1</v>
      </c>
      <c r="O680">
        <v>1</v>
      </c>
      <c r="P680">
        <v>1</v>
      </c>
      <c r="Q680">
        <v>1</v>
      </c>
      <c r="R680">
        <v>1</v>
      </c>
      <c r="S680">
        <v>1</v>
      </c>
      <c r="T680">
        <v>1</v>
      </c>
      <c r="U680">
        <v>1</v>
      </c>
      <c r="V680">
        <v>1</v>
      </c>
      <c r="W680">
        <v>1</v>
      </c>
      <c r="X680">
        <v>1</v>
      </c>
      <c r="Y680">
        <v>1</v>
      </c>
      <c r="Z680">
        <v>1</v>
      </c>
      <c r="AA680">
        <v>1</v>
      </c>
      <c r="AB680">
        <v>1</v>
      </c>
      <c r="AC680">
        <v>1</v>
      </c>
    </row>
    <row r="681" spans="1:29" x14ac:dyDescent="0.45">
      <c r="A681" t="s">
        <v>80</v>
      </c>
      <c r="B681" t="s">
        <v>434</v>
      </c>
      <c r="C681" t="s">
        <v>435</v>
      </c>
      <c r="D681" t="s">
        <v>428</v>
      </c>
      <c r="E681" t="str">
        <f t="shared" si="10"/>
        <v>NJ|onshore wind|Summer Peak</v>
      </c>
      <c r="F681">
        <v>0.74170000000000003</v>
      </c>
      <c r="G681">
        <v>0.68059999999999998</v>
      </c>
      <c r="H681">
        <v>0.75580000000000003</v>
      </c>
      <c r="I681">
        <v>0.69299999999999995</v>
      </c>
      <c r="J681">
        <v>0.69740000000000002</v>
      </c>
      <c r="K681">
        <v>0.74039999999999995</v>
      </c>
      <c r="L681">
        <v>0.70889999999999997</v>
      </c>
      <c r="M681">
        <v>0.6119</v>
      </c>
      <c r="N681">
        <v>0.61860000000000004</v>
      </c>
      <c r="O681">
        <v>0.58750000000000002</v>
      </c>
      <c r="P681">
        <v>0.4879</v>
      </c>
      <c r="Q681">
        <v>0.34570000000000001</v>
      </c>
      <c r="R681">
        <v>0.38419999999999999</v>
      </c>
      <c r="S681">
        <v>0.38979999999999998</v>
      </c>
      <c r="T681">
        <v>0.50019999999999998</v>
      </c>
      <c r="U681">
        <v>0.51190000000000002</v>
      </c>
      <c r="V681">
        <v>0.60170000000000001</v>
      </c>
      <c r="W681">
        <v>0.59909999999999997</v>
      </c>
      <c r="X681">
        <v>0.72819999999999996</v>
      </c>
      <c r="Y681">
        <v>0.62909999999999999</v>
      </c>
      <c r="Z681">
        <v>0.59450000000000003</v>
      </c>
      <c r="AA681">
        <v>0.30990000000000001</v>
      </c>
      <c r="AB681">
        <v>0.19040000000000001</v>
      </c>
      <c r="AC681">
        <v>0.17610000000000001</v>
      </c>
    </row>
    <row r="682" spans="1:29" x14ac:dyDescent="0.45">
      <c r="A682" t="s">
        <v>80</v>
      </c>
      <c r="B682" t="s">
        <v>434</v>
      </c>
      <c r="C682" t="s">
        <v>435</v>
      </c>
      <c r="D682" t="s">
        <v>429</v>
      </c>
      <c r="E682" t="str">
        <f t="shared" si="10"/>
        <v>NJ|onshore wind|Winter Peak</v>
      </c>
      <c r="F682">
        <v>0.59640000000000004</v>
      </c>
      <c r="G682">
        <v>0.68899999999999995</v>
      </c>
      <c r="H682">
        <v>0.69540000000000002</v>
      </c>
      <c r="I682">
        <v>0.67369999999999997</v>
      </c>
      <c r="J682">
        <v>0.73340000000000005</v>
      </c>
      <c r="K682">
        <v>0.70179999999999998</v>
      </c>
      <c r="L682">
        <v>0.6744</v>
      </c>
      <c r="M682">
        <v>0.59219999999999995</v>
      </c>
      <c r="N682">
        <v>0.51829999999999998</v>
      </c>
      <c r="O682">
        <v>0.48549999999999999</v>
      </c>
      <c r="P682">
        <v>0.44209999999999999</v>
      </c>
      <c r="Q682">
        <v>0.42309999999999998</v>
      </c>
      <c r="R682">
        <v>0.38069999999999998</v>
      </c>
      <c r="S682">
        <v>0.38650000000000001</v>
      </c>
      <c r="T682">
        <v>0.47889999999999999</v>
      </c>
      <c r="U682">
        <v>0.58260000000000001</v>
      </c>
      <c r="V682">
        <v>0.65</v>
      </c>
      <c r="W682">
        <v>0.6804</v>
      </c>
      <c r="X682">
        <v>0.67859999999999998</v>
      </c>
      <c r="Y682">
        <v>0.71989999999999998</v>
      </c>
      <c r="Z682">
        <v>0.7601</v>
      </c>
      <c r="AA682">
        <v>0.64270000000000005</v>
      </c>
      <c r="AB682">
        <v>0.56089999999999995</v>
      </c>
      <c r="AC682">
        <v>0.60240000000000005</v>
      </c>
    </row>
    <row r="683" spans="1:29" x14ac:dyDescent="0.45">
      <c r="A683" t="s">
        <v>80</v>
      </c>
      <c r="B683" t="s">
        <v>436</v>
      </c>
      <c r="C683" t="s">
        <v>437</v>
      </c>
      <c r="D683" t="s">
        <v>424</v>
      </c>
      <c r="E683" t="str">
        <f t="shared" si="10"/>
        <v>NJ|solar pv|Winter</v>
      </c>
      <c r="F683">
        <v>1</v>
      </c>
      <c r="G683">
        <v>1</v>
      </c>
      <c r="H683">
        <v>1</v>
      </c>
      <c r="I683">
        <v>1</v>
      </c>
      <c r="J683">
        <v>1</v>
      </c>
      <c r="K683">
        <v>1</v>
      </c>
      <c r="L683">
        <v>1</v>
      </c>
      <c r="M683">
        <v>1</v>
      </c>
      <c r="N683">
        <v>1</v>
      </c>
      <c r="O683">
        <v>1</v>
      </c>
      <c r="P683">
        <v>1</v>
      </c>
      <c r="Q683">
        <v>1</v>
      </c>
      <c r="R683">
        <v>1</v>
      </c>
      <c r="S683">
        <v>1</v>
      </c>
      <c r="T683">
        <v>1</v>
      </c>
      <c r="U683">
        <v>1</v>
      </c>
      <c r="V683">
        <v>1</v>
      </c>
      <c r="W683">
        <v>1</v>
      </c>
      <c r="X683">
        <v>1</v>
      </c>
      <c r="Y683">
        <v>1</v>
      </c>
      <c r="Z683">
        <v>1</v>
      </c>
      <c r="AA683">
        <v>1</v>
      </c>
      <c r="AB683">
        <v>1</v>
      </c>
      <c r="AC683">
        <v>1</v>
      </c>
    </row>
    <row r="684" spans="1:29" x14ac:dyDescent="0.45">
      <c r="A684" t="s">
        <v>80</v>
      </c>
      <c r="B684" t="s">
        <v>436</v>
      </c>
      <c r="C684" t="s">
        <v>437</v>
      </c>
      <c r="D684" t="s">
        <v>425</v>
      </c>
      <c r="E684" t="str">
        <f t="shared" si="10"/>
        <v>NJ|solar pv|Spring</v>
      </c>
      <c r="F684">
        <v>1</v>
      </c>
      <c r="G684">
        <v>1</v>
      </c>
      <c r="H684">
        <v>1</v>
      </c>
      <c r="I684">
        <v>1</v>
      </c>
      <c r="J684">
        <v>1</v>
      </c>
      <c r="K684">
        <v>1</v>
      </c>
      <c r="L684">
        <v>1</v>
      </c>
      <c r="M684">
        <v>1</v>
      </c>
      <c r="N684">
        <v>1</v>
      </c>
      <c r="O684">
        <v>1</v>
      </c>
      <c r="P684">
        <v>1</v>
      </c>
      <c r="Q684">
        <v>1</v>
      </c>
      <c r="R684">
        <v>1</v>
      </c>
      <c r="S684">
        <v>1</v>
      </c>
      <c r="T684">
        <v>1</v>
      </c>
      <c r="U684">
        <v>1</v>
      </c>
      <c r="V684">
        <v>1</v>
      </c>
      <c r="W684">
        <v>1</v>
      </c>
      <c r="X684">
        <v>1</v>
      </c>
      <c r="Y684">
        <v>1</v>
      </c>
      <c r="Z684">
        <v>1</v>
      </c>
      <c r="AA684">
        <v>1</v>
      </c>
      <c r="AB684">
        <v>1</v>
      </c>
      <c r="AC684">
        <v>1</v>
      </c>
    </row>
    <row r="685" spans="1:29" x14ac:dyDescent="0.45">
      <c r="A685" t="s">
        <v>80</v>
      </c>
      <c r="B685" t="s">
        <v>436</v>
      </c>
      <c r="C685" t="s">
        <v>437</v>
      </c>
      <c r="D685" t="s">
        <v>426</v>
      </c>
      <c r="E685" t="str">
        <f t="shared" si="10"/>
        <v>NJ|solar pv|Summer</v>
      </c>
      <c r="F685">
        <v>1</v>
      </c>
      <c r="G685">
        <v>1</v>
      </c>
      <c r="H685">
        <v>1</v>
      </c>
      <c r="I685">
        <v>1</v>
      </c>
      <c r="J685">
        <v>1</v>
      </c>
      <c r="K685">
        <v>1</v>
      </c>
      <c r="L685">
        <v>1</v>
      </c>
      <c r="M685">
        <v>1</v>
      </c>
      <c r="N685">
        <v>1</v>
      </c>
      <c r="O685">
        <v>1</v>
      </c>
      <c r="P685">
        <v>1</v>
      </c>
      <c r="Q685">
        <v>1</v>
      </c>
      <c r="R685">
        <v>1</v>
      </c>
      <c r="S685">
        <v>1</v>
      </c>
      <c r="T685">
        <v>1</v>
      </c>
      <c r="U685">
        <v>1</v>
      </c>
      <c r="V685">
        <v>1</v>
      </c>
      <c r="W685">
        <v>1</v>
      </c>
      <c r="X685">
        <v>1</v>
      </c>
      <c r="Y685">
        <v>1</v>
      </c>
      <c r="Z685">
        <v>1</v>
      </c>
      <c r="AA685">
        <v>1</v>
      </c>
      <c r="AB685">
        <v>1</v>
      </c>
      <c r="AC685">
        <v>1</v>
      </c>
    </row>
    <row r="686" spans="1:29" x14ac:dyDescent="0.45">
      <c r="A686" t="s">
        <v>80</v>
      </c>
      <c r="B686" t="s">
        <v>436</v>
      </c>
      <c r="C686" t="s">
        <v>437</v>
      </c>
      <c r="D686" t="s">
        <v>427</v>
      </c>
      <c r="E686" t="str">
        <f t="shared" si="10"/>
        <v>NJ|solar pv|Fall</v>
      </c>
      <c r="F686">
        <v>1</v>
      </c>
      <c r="G686">
        <v>1</v>
      </c>
      <c r="H686">
        <v>1</v>
      </c>
      <c r="I686">
        <v>1</v>
      </c>
      <c r="J686">
        <v>1</v>
      </c>
      <c r="K686">
        <v>1</v>
      </c>
      <c r="L686">
        <v>1</v>
      </c>
      <c r="M686">
        <v>1</v>
      </c>
      <c r="N686">
        <v>1</v>
      </c>
      <c r="O686">
        <v>1</v>
      </c>
      <c r="P686">
        <v>1</v>
      </c>
      <c r="Q686">
        <v>1</v>
      </c>
      <c r="R686">
        <v>1</v>
      </c>
      <c r="S686">
        <v>1</v>
      </c>
      <c r="T686">
        <v>1</v>
      </c>
      <c r="U686">
        <v>1</v>
      </c>
      <c r="V686">
        <v>1</v>
      </c>
      <c r="W686">
        <v>1</v>
      </c>
      <c r="X686">
        <v>1</v>
      </c>
      <c r="Y686">
        <v>1</v>
      </c>
      <c r="Z686">
        <v>1</v>
      </c>
      <c r="AA686">
        <v>1</v>
      </c>
      <c r="AB686">
        <v>1</v>
      </c>
      <c r="AC686">
        <v>1</v>
      </c>
    </row>
    <row r="687" spans="1:29" x14ac:dyDescent="0.45">
      <c r="A687" t="s">
        <v>80</v>
      </c>
      <c r="B687" t="s">
        <v>436</v>
      </c>
      <c r="C687" t="s">
        <v>437</v>
      </c>
      <c r="D687" t="s">
        <v>428</v>
      </c>
      <c r="E687" t="str">
        <f t="shared" si="10"/>
        <v>NJ|solar pv|Summer Peak</v>
      </c>
      <c r="F687">
        <v>1</v>
      </c>
      <c r="G687">
        <v>1</v>
      </c>
      <c r="H687">
        <v>1</v>
      </c>
      <c r="I687">
        <v>1</v>
      </c>
      <c r="J687">
        <v>0.68079999999999996</v>
      </c>
      <c r="K687">
        <v>0.69499999999999995</v>
      </c>
      <c r="L687">
        <v>0.82130000000000003</v>
      </c>
      <c r="M687">
        <v>0.85250000000000004</v>
      </c>
      <c r="N687">
        <v>0.80730000000000002</v>
      </c>
      <c r="O687">
        <v>0.78590000000000004</v>
      </c>
      <c r="P687">
        <v>0.79349999999999998</v>
      </c>
      <c r="Q687">
        <v>0.83040000000000003</v>
      </c>
      <c r="R687">
        <v>0.88400000000000001</v>
      </c>
      <c r="S687">
        <v>0.82399999999999995</v>
      </c>
      <c r="T687">
        <v>0.76439999999999997</v>
      </c>
      <c r="U687">
        <v>0.75480000000000003</v>
      </c>
      <c r="V687">
        <v>0.70789999999999997</v>
      </c>
      <c r="W687">
        <v>0.79820000000000002</v>
      </c>
      <c r="X687">
        <v>3.9E-2</v>
      </c>
      <c r="Y687">
        <v>1</v>
      </c>
      <c r="Z687">
        <v>1</v>
      </c>
      <c r="AA687">
        <v>1</v>
      </c>
      <c r="AB687">
        <v>1</v>
      </c>
      <c r="AC687">
        <v>1</v>
      </c>
    </row>
    <row r="688" spans="1:29" x14ac:dyDescent="0.45">
      <c r="A688" t="s">
        <v>80</v>
      </c>
      <c r="B688" t="s">
        <v>436</v>
      </c>
      <c r="C688" t="s">
        <v>437</v>
      </c>
      <c r="D688" t="s">
        <v>429</v>
      </c>
      <c r="E688" t="str">
        <f t="shared" si="10"/>
        <v>NJ|solar pv|Winter Peak</v>
      </c>
      <c r="F688">
        <v>1</v>
      </c>
      <c r="G688">
        <v>1</v>
      </c>
      <c r="H688">
        <v>1</v>
      </c>
      <c r="I688">
        <v>1</v>
      </c>
      <c r="J688">
        <v>1</v>
      </c>
      <c r="K688">
        <v>1</v>
      </c>
      <c r="L688">
        <v>1</v>
      </c>
      <c r="M688">
        <v>0.2787</v>
      </c>
      <c r="N688">
        <v>0.40210000000000001</v>
      </c>
      <c r="O688">
        <v>0.37259999999999999</v>
      </c>
      <c r="P688">
        <v>0.45789999999999997</v>
      </c>
      <c r="Q688">
        <v>0.4723</v>
      </c>
      <c r="R688">
        <v>0.5625</v>
      </c>
      <c r="S688">
        <v>0.38319999999999999</v>
      </c>
      <c r="T688">
        <v>0.27229999999999999</v>
      </c>
      <c r="U688">
        <v>0.18490000000000001</v>
      </c>
      <c r="V688">
        <v>0</v>
      </c>
      <c r="W688">
        <v>1</v>
      </c>
      <c r="X688">
        <v>1</v>
      </c>
      <c r="Y688">
        <v>1</v>
      </c>
      <c r="Z688">
        <v>1</v>
      </c>
      <c r="AA688">
        <v>1</v>
      </c>
      <c r="AB688">
        <v>1</v>
      </c>
      <c r="AC688">
        <v>1</v>
      </c>
    </row>
    <row r="689" spans="1:29" x14ac:dyDescent="0.45">
      <c r="A689" t="s">
        <v>80</v>
      </c>
      <c r="B689" t="s">
        <v>438</v>
      </c>
      <c r="C689" t="s">
        <v>439</v>
      </c>
      <c r="D689" t="s">
        <v>424</v>
      </c>
      <c r="E689" t="str">
        <f t="shared" si="10"/>
        <v>NJ|solar thermal|Winter</v>
      </c>
      <c r="F689">
        <v>1</v>
      </c>
      <c r="G689">
        <v>1</v>
      </c>
      <c r="H689">
        <v>1</v>
      </c>
      <c r="I689">
        <v>1</v>
      </c>
      <c r="J689">
        <v>1</v>
      </c>
      <c r="K689">
        <v>1</v>
      </c>
      <c r="L689">
        <v>1</v>
      </c>
      <c r="M689">
        <v>1</v>
      </c>
      <c r="N689">
        <v>1</v>
      </c>
      <c r="O689">
        <v>1</v>
      </c>
      <c r="P689">
        <v>1</v>
      </c>
      <c r="Q689">
        <v>1</v>
      </c>
      <c r="R689">
        <v>1</v>
      </c>
      <c r="S689">
        <v>1</v>
      </c>
      <c r="T689">
        <v>1</v>
      </c>
      <c r="U689">
        <v>1</v>
      </c>
      <c r="V689">
        <v>1</v>
      </c>
      <c r="W689">
        <v>1</v>
      </c>
      <c r="X689">
        <v>1</v>
      </c>
      <c r="Y689">
        <v>1</v>
      </c>
      <c r="Z689">
        <v>1</v>
      </c>
      <c r="AA689">
        <v>1</v>
      </c>
      <c r="AB689">
        <v>1</v>
      </c>
      <c r="AC689">
        <v>1</v>
      </c>
    </row>
    <row r="690" spans="1:29" x14ac:dyDescent="0.45">
      <c r="A690" t="s">
        <v>80</v>
      </c>
      <c r="B690" t="s">
        <v>438</v>
      </c>
      <c r="C690" t="s">
        <v>439</v>
      </c>
      <c r="D690" t="s">
        <v>425</v>
      </c>
      <c r="E690" t="str">
        <f t="shared" si="10"/>
        <v>NJ|solar thermal|Spring</v>
      </c>
      <c r="F690">
        <v>1</v>
      </c>
      <c r="G690">
        <v>1</v>
      </c>
      <c r="H690">
        <v>1</v>
      </c>
      <c r="I690">
        <v>1</v>
      </c>
      <c r="J690">
        <v>1</v>
      </c>
      <c r="K690">
        <v>1</v>
      </c>
      <c r="L690">
        <v>1</v>
      </c>
      <c r="M690">
        <v>1</v>
      </c>
      <c r="N690">
        <v>1</v>
      </c>
      <c r="O690">
        <v>1</v>
      </c>
      <c r="P690">
        <v>1</v>
      </c>
      <c r="Q690">
        <v>1</v>
      </c>
      <c r="R690">
        <v>1</v>
      </c>
      <c r="S690">
        <v>1</v>
      </c>
      <c r="T690">
        <v>1</v>
      </c>
      <c r="U690">
        <v>1</v>
      </c>
      <c r="V690">
        <v>1</v>
      </c>
      <c r="W690">
        <v>1</v>
      </c>
      <c r="X690">
        <v>1</v>
      </c>
      <c r="Y690">
        <v>1</v>
      </c>
      <c r="Z690">
        <v>1</v>
      </c>
      <c r="AA690">
        <v>1</v>
      </c>
      <c r="AB690">
        <v>1</v>
      </c>
      <c r="AC690">
        <v>1</v>
      </c>
    </row>
    <row r="691" spans="1:29" x14ac:dyDescent="0.45">
      <c r="A691" t="s">
        <v>80</v>
      </c>
      <c r="B691" t="s">
        <v>438</v>
      </c>
      <c r="C691" t="s">
        <v>439</v>
      </c>
      <c r="D691" t="s">
        <v>426</v>
      </c>
      <c r="E691" t="str">
        <f t="shared" si="10"/>
        <v>NJ|solar thermal|Summer</v>
      </c>
      <c r="F691">
        <v>1</v>
      </c>
      <c r="G691">
        <v>1</v>
      </c>
      <c r="H691">
        <v>1</v>
      </c>
      <c r="I691">
        <v>1</v>
      </c>
      <c r="J691">
        <v>1</v>
      </c>
      <c r="K691">
        <v>1</v>
      </c>
      <c r="L691">
        <v>1</v>
      </c>
      <c r="M691">
        <v>1</v>
      </c>
      <c r="N691">
        <v>1</v>
      </c>
      <c r="O691">
        <v>1</v>
      </c>
      <c r="P691">
        <v>1</v>
      </c>
      <c r="Q691">
        <v>1</v>
      </c>
      <c r="R691">
        <v>1</v>
      </c>
      <c r="S691">
        <v>1</v>
      </c>
      <c r="T691">
        <v>1</v>
      </c>
      <c r="U691">
        <v>1</v>
      </c>
      <c r="V691">
        <v>1</v>
      </c>
      <c r="W691">
        <v>1</v>
      </c>
      <c r="X691">
        <v>1</v>
      </c>
      <c r="Y691">
        <v>1</v>
      </c>
      <c r="Z691">
        <v>1</v>
      </c>
      <c r="AA691">
        <v>1</v>
      </c>
      <c r="AB691">
        <v>1</v>
      </c>
      <c r="AC691">
        <v>1</v>
      </c>
    </row>
    <row r="692" spans="1:29" x14ac:dyDescent="0.45">
      <c r="A692" t="s">
        <v>80</v>
      </c>
      <c r="B692" t="s">
        <v>438</v>
      </c>
      <c r="C692" t="s">
        <v>439</v>
      </c>
      <c r="D692" t="s">
        <v>427</v>
      </c>
      <c r="E692" t="str">
        <f t="shared" si="10"/>
        <v>NJ|solar thermal|Fall</v>
      </c>
      <c r="F692">
        <v>1</v>
      </c>
      <c r="G692">
        <v>1</v>
      </c>
      <c r="H692">
        <v>1</v>
      </c>
      <c r="I692">
        <v>1</v>
      </c>
      <c r="J692">
        <v>1</v>
      </c>
      <c r="K692">
        <v>1</v>
      </c>
      <c r="L692">
        <v>1</v>
      </c>
      <c r="M692">
        <v>1</v>
      </c>
      <c r="N692">
        <v>1</v>
      </c>
      <c r="O692">
        <v>1</v>
      </c>
      <c r="P692">
        <v>1</v>
      </c>
      <c r="Q692">
        <v>1</v>
      </c>
      <c r="R692">
        <v>1</v>
      </c>
      <c r="S692">
        <v>1</v>
      </c>
      <c r="T692">
        <v>1</v>
      </c>
      <c r="U692">
        <v>1</v>
      </c>
      <c r="V692">
        <v>1</v>
      </c>
      <c r="W692">
        <v>1</v>
      </c>
      <c r="X692">
        <v>1</v>
      </c>
      <c r="Y692">
        <v>1</v>
      </c>
      <c r="Z692">
        <v>1</v>
      </c>
      <c r="AA692">
        <v>1</v>
      </c>
      <c r="AB692">
        <v>1</v>
      </c>
      <c r="AC692">
        <v>1</v>
      </c>
    </row>
    <row r="693" spans="1:29" x14ac:dyDescent="0.45">
      <c r="A693" t="s">
        <v>80</v>
      </c>
      <c r="B693" t="s">
        <v>438</v>
      </c>
      <c r="C693" t="s">
        <v>439</v>
      </c>
      <c r="D693" t="s">
        <v>428</v>
      </c>
      <c r="E693" t="str">
        <f t="shared" si="10"/>
        <v>NJ|solar thermal|Summer Peak</v>
      </c>
      <c r="F693">
        <v>1</v>
      </c>
      <c r="G693">
        <v>1</v>
      </c>
      <c r="H693">
        <v>1</v>
      </c>
      <c r="I693">
        <v>1</v>
      </c>
      <c r="J693">
        <v>1</v>
      </c>
      <c r="K693">
        <v>1</v>
      </c>
      <c r="L693">
        <v>1</v>
      </c>
      <c r="M693">
        <v>0</v>
      </c>
      <c r="N693">
        <v>0.8639</v>
      </c>
      <c r="O693">
        <v>1</v>
      </c>
      <c r="P693">
        <v>1</v>
      </c>
      <c r="Q693">
        <v>0.97160000000000002</v>
      </c>
      <c r="R693">
        <v>0.96719999999999995</v>
      </c>
      <c r="S693">
        <v>1</v>
      </c>
      <c r="T693">
        <v>1</v>
      </c>
      <c r="U693">
        <v>1</v>
      </c>
      <c r="V693">
        <v>1</v>
      </c>
      <c r="W693">
        <v>1</v>
      </c>
      <c r="X693">
        <v>1</v>
      </c>
      <c r="Y693">
        <v>0.93130000000000002</v>
      </c>
      <c r="Z693">
        <v>0.70220000000000005</v>
      </c>
      <c r="AA693">
        <v>1</v>
      </c>
      <c r="AB693">
        <v>1</v>
      </c>
      <c r="AC693">
        <v>1</v>
      </c>
    </row>
    <row r="694" spans="1:29" x14ac:dyDescent="0.45">
      <c r="A694" t="s">
        <v>80</v>
      </c>
      <c r="B694" t="s">
        <v>438</v>
      </c>
      <c r="C694" t="s">
        <v>439</v>
      </c>
      <c r="D694" t="s">
        <v>429</v>
      </c>
      <c r="E694" t="str">
        <f t="shared" si="10"/>
        <v>NJ|solar thermal|Winter Peak</v>
      </c>
      <c r="F694">
        <v>1</v>
      </c>
      <c r="G694">
        <v>1</v>
      </c>
      <c r="H694">
        <v>1</v>
      </c>
      <c r="I694">
        <v>1</v>
      </c>
      <c r="J694">
        <v>1</v>
      </c>
      <c r="K694">
        <v>1</v>
      </c>
      <c r="L694">
        <v>1</v>
      </c>
      <c r="M694">
        <v>1</v>
      </c>
      <c r="N694">
        <v>1</v>
      </c>
      <c r="O694">
        <v>0.2419</v>
      </c>
      <c r="P694">
        <v>0.95320000000000005</v>
      </c>
      <c r="Q694">
        <v>0.88039999999999996</v>
      </c>
      <c r="R694">
        <v>0.97819999999999996</v>
      </c>
      <c r="S694">
        <v>0.98950000000000005</v>
      </c>
      <c r="T694">
        <v>0.99270000000000003</v>
      </c>
      <c r="U694">
        <v>1</v>
      </c>
      <c r="V694">
        <v>1</v>
      </c>
      <c r="W694">
        <v>1</v>
      </c>
      <c r="X694">
        <v>0.89019999999999999</v>
      </c>
      <c r="Y694">
        <v>0</v>
      </c>
      <c r="Z694">
        <v>1</v>
      </c>
      <c r="AA694">
        <v>1</v>
      </c>
      <c r="AB694">
        <v>1</v>
      </c>
      <c r="AC694">
        <v>1</v>
      </c>
    </row>
    <row r="695" spans="1:29" x14ac:dyDescent="0.45">
      <c r="A695" t="s">
        <v>80</v>
      </c>
      <c r="B695" t="s">
        <v>440</v>
      </c>
      <c r="C695" t="s">
        <v>441</v>
      </c>
      <c r="D695" t="s">
        <v>424</v>
      </c>
      <c r="E695" t="str">
        <f t="shared" si="10"/>
        <v>NJ|offshore wind|Winter</v>
      </c>
      <c r="F695">
        <v>1</v>
      </c>
      <c r="G695">
        <v>1</v>
      </c>
      <c r="H695">
        <v>1</v>
      </c>
      <c r="I695">
        <v>1</v>
      </c>
      <c r="J695">
        <v>1</v>
      </c>
      <c r="K695">
        <v>1</v>
      </c>
      <c r="L695">
        <v>1</v>
      </c>
      <c r="M695">
        <v>1</v>
      </c>
      <c r="N695">
        <v>1</v>
      </c>
      <c r="O695">
        <v>1</v>
      </c>
      <c r="P695">
        <v>1</v>
      </c>
      <c r="Q695">
        <v>1</v>
      </c>
      <c r="R695">
        <v>1</v>
      </c>
      <c r="S695">
        <v>1</v>
      </c>
      <c r="T695">
        <v>1</v>
      </c>
      <c r="U695">
        <v>1</v>
      </c>
      <c r="V695">
        <v>1</v>
      </c>
      <c r="W695">
        <v>1</v>
      </c>
      <c r="X695">
        <v>1</v>
      </c>
      <c r="Y695">
        <v>1</v>
      </c>
      <c r="Z695">
        <v>1</v>
      </c>
      <c r="AA695">
        <v>1</v>
      </c>
      <c r="AB695">
        <v>1</v>
      </c>
      <c r="AC695">
        <v>1</v>
      </c>
    </row>
    <row r="696" spans="1:29" x14ac:dyDescent="0.45">
      <c r="A696" t="s">
        <v>80</v>
      </c>
      <c r="B696" t="s">
        <v>440</v>
      </c>
      <c r="C696" t="s">
        <v>441</v>
      </c>
      <c r="D696" t="s">
        <v>425</v>
      </c>
      <c r="E696" t="str">
        <f t="shared" si="10"/>
        <v>NJ|offshore wind|Spring</v>
      </c>
      <c r="F696">
        <v>1</v>
      </c>
      <c r="G696">
        <v>1</v>
      </c>
      <c r="H696">
        <v>1</v>
      </c>
      <c r="I696">
        <v>1</v>
      </c>
      <c r="J696">
        <v>1</v>
      </c>
      <c r="K696">
        <v>1</v>
      </c>
      <c r="L696">
        <v>1</v>
      </c>
      <c r="M696">
        <v>1</v>
      </c>
      <c r="N696">
        <v>1</v>
      </c>
      <c r="O696">
        <v>1</v>
      </c>
      <c r="P696">
        <v>1</v>
      </c>
      <c r="Q696">
        <v>1</v>
      </c>
      <c r="R696">
        <v>1</v>
      </c>
      <c r="S696">
        <v>1</v>
      </c>
      <c r="T696">
        <v>1</v>
      </c>
      <c r="U696">
        <v>1</v>
      </c>
      <c r="V696">
        <v>1</v>
      </c>
      <c r="W696">
        <v>1</v>
      </c>
      <c r="X696">
        <v>1</v>
      </c>
      <c r="Y696">
        <v>1</v>
      </c>
      <c r="Z696">
        <v>1</v>
      </c>
      <c r="AA696">
        <v>1</v>
      </c>
      <c r="AB696">
        <v>1</v>
      </c>
      <c r="AC696">
        <v>1</v>
      </c>
    </row>
    <row r="697" spans="1:29" x14ac:dyDescent="0.45">
      <c r="A697" t="s">
        <v>80</v>
      </c>
      <c r="B697" t="s">
        <v>440</v>
      </c>
      <c r="C697" t="s">
        <v>441</v>
      </c>
      <c r="D697" t="s">
        <v>426</v>
      </c>
      <c r="E697" t="str">
        <f t="shared" si="10"/>
        <v>NJ|offshore wind|Summer</v>
      </c>
      <c r="F697">
        <v>1</v>
      </c>
      <c r="G697">
        <v>1</v>
      </c>
      <c r="H697">
        <v>1</v>
      </c>
      <c r="I697">
        <v>1</v>
      </c>
      <c r="J697">
        <v>1</v>
      </c>
      <c r="K697">
        <v>1</v>
      </c>
      <c r="L697">
        <v>1</v>
      </c>
      <c r="M697">
        <v>1</v>
      </c>
      <c r="N697">
        <v>1</v>
      </c>
      <c r="O697">
        <v>1</v>
      </c>
      <c r="P697">
        <v>1</v>
      </c>
      <c r="Q697">
        <v>1</v>
      </c>
      <c r="R697">
        <v>1</v>
      </c>
      <c r="S697">
        <v>1</v>
      </c>
      <c r="T697">
        <v>1</v>
      </c>
      <c r="U697">
        <v>1</v>
      </c>
      <c r="V697">
        <v>1</v>
      </c>
      <c r="W697">
        <v>1</v>
      </c>
      <c r="X697">
        <v>1</v>
      </c>
      <c r="Y697">
        <v>1</v>
      </c>
      <c r="Z697">
        <v>1</v>
      </c>
      <c r="AA697">
        <v>1</v>
      </c>
      <c r="AB697">
        <v>1</v>
      </c>
      <c r="AC697">
        <v>1</v>
      </c>
    </row>
    <row r="698" spans="1:29" x14ac:dyDescent="0.45">
      <c r="A698" t="s">
        <v>80</v>
      </c>
      <c r="B698" t="s">
        <v>440</v>
      </c>
      <c r="C698" t="s">
        <v>441</v>
      </c>
      <c r="D698" t="s">
        <v>427</v>
      </c>
      <c r="E698" t="str">
        <f t="shared" si="10"/>
        <v>NJ|offshore wind|Fall</v>
      </c>
      <c r="F698">
        <v>1</v>
      </c>
      <c r="G698">
        <v>1</v>
      </c>
      <c r="H698">
        <v>1</v>
      </c>
      <c r="I698">
        <v>1</v>
      </c>
      <c r="J698">
        <v>1</v>
      </c>
      <c r="K698">
        <v>1</v>
      </c>
      <c r="L698">
        <v>1</v>
      </c>
      <c r="M698">
        <v>1</v>
      </c>
      <c r="N698">
        <v>1</v>
      </c>
      <c r="O698">
        <v>1</v>
      </c>
      <c r="P698">
        <v>1</v>
      </c>
      <c r="Q698">
        <v>1</v>
      </c>
      <c r="R698">
        <v>1</v>
      </c>
      <c r="S698">
        <v>1</v>
      </c>
      <c r="T698">
        <v>1</v>
      </c>
      <c r="U698">
        <v>1</v>
      </c>
      <c r="V698">
        <v>1</v>
      </c>
      <c r="W698">
        <v>1</v>
      </c>
      <c r="X698">
        <v>1</v>
      </c>
      <c r="Y698">
        <v>1</v>
      </c>
      <c r="Z698">
        <v>1</v>
      </c>
      <c r="AA698">
        <v>1</v>
      </c>
      <c r="AB698">
        <v>1</v>
      </c>
      <c r="AC698">
        <v>1</v>
      </c>
    </row>
    <row r="699" spans="1:29" x14ac:dyDescent="0.45">
      <c r="A699" t="s">
        <v>80</v>
      </c>
      <c r="B699" t="s">
        <v>440</v>
      </c>
      <c r="C699" t="s">
        <v>441</v>
      </c>
      <c r="D699" t="s">
        <v>428</v>
      </c>
      <c r="E699" t="str">
        <f t="shared" si="10"/>
        <v>NJ|offshore wind|Summer Peak</v>
      </c>
      <c r="F699">
        <v>0.29520000000000002</v>
      </c>
      <c r="G699">
        <v>0.41420000000000001</v>
      </c>
      <c r="H699">
        <v>0.4531</v>
      </c>
      <c r="I699">
        <v>0.32440000000000002</v>
      </c>
      <c r="J699">
        <v>0.34429999999999999</v>
      </c>
      <c r="K699">
        <v>0.3831</v>
      </c>
      <c r="L699">
        <v>0.36720000000000003</v>
      </c>
      <c r="M699">
        <v>0.29420000000000002</v>
      </c>
      <c r="N699">
        <v>0.2399</v>
      </c>
      <c r="O699">
        <v>0.26519999999999999</v>
      </c>
      <c r="P699">
        <v>0.28349999999999997</v>
      </c>
      <c r="Q699">
        <v>0.35610000000000003</v>
      </c>
      <c r="R699">
        <v>0.36670000000000003</v>
      </c>
      <c r="S699">
        <v>0.32769999999999999</v>
      </c>
      <c r="T699">
        <v>0.16819999999999999</v>
      </c>
      <c r="U699">
        <v>0.28660000000000002</v>
      </c>
      <c r="V699">
        <v>0.16539999999999999</v>
      </c>
      <c r="W699">
        <v>0.11890000000000001</v>
      </c>
      <c r="X699">
        <v>2.2800000000000001E-2</v>
      </c>
      <c r="Y699">
        <v>3.78E-2</v>
      </c>
      <c r="Z699">
        <v>0.1132</v>
      </c>
      <c r="AA699">
        <v>7.9299999999999995E-2</v>
      </c>
      <c r="AB699">
        <v>2.0400000000000001E-2</v>
      </c>
      <c r="AC699">
        <v>7.4700000000000003E-2</v>
      </c>
    </row>
    <row r="700" spans="1:29" x14ac:dyDescent="0.45">
      <c r="A700" t="s">
        <v>80</v>
      </c>
      <c r="B700" t="s">
        <v>440</v>
      </c>
      <c r="C700" t="s">
        <v>441</v>
      </c>
      <c r="D700" t="s">
        <v>429</v>
      </c>
      <c r="E700" t="str">
        <f t="shared" si="10"/>
        <v>NJ|offshore wind|Winter Peak</v>
      </c>
      <c r="F700">
        <v>0.35930000000000001</v>
      </c>
      <c r="G700">
        <v>0.43190000000000001</v>
      </c>
      <c r="H700">
        <v>0.3165</v>
      </c>
      <c r="I700">
        <v>0.3367</v>
      </c>
      <c r="J700">
        <v>0.26219999999999999</v>
      </c>
      <c r="K700">
        <v>0.17949999999999999</v>
      </c>
      <c r="L700">
        <v>0.22209999999999999</v>
      </c>
      <c r="M700">
        <v>0.2429</v>
      </c>
      <c r="N700">
        <v>0.21240000000000001</v>
      </c>
      <c r="O700">
        <v>0.22819999999999999</v>
      </c>
      <c r="P700">
        <v>0.20649999999999999</v>
      </c>
      <c r="Q700">
        <v>0.1671</v>
      </c>
      <c r="R700">
        <v>0.1787</v>
      </c>
      <c r="S700">
        <v>0.19539999999999999</v>
      </c>
      <c r="T700">
        <v>0.15429999999999999</v>
      </c>
      <c r="U700">
        <v>0.17280000000000001</v>
      </c>
      <c r="V700">
        <v>0.192</v>
      </c>
      <c r="W700">
        <v>0.2112</v>
      </c>
      <c r="X700">
        <v>0.17219999999999999</v>
      </c>
      <c r="Y700">
        <v>0.13320000000000001</v>
      </c>
      <c r="Z700">
        <v>0.2571</v>
      </c>
      <c r="AA700">
        <v>0.35249999999999998</v>
      </c>
      <c r="AB700">
        <v>0.39379999999999998</v>
      </c>
      <c r="AC700">
        <v>0.38240000000000002</v>
      </c>
    </row>
    <row r="701" spans="1:29" x14ac:dyDescent="0.45">
      <c r="A701" t="s">
        <v>82</v>
      </c>
      <c r="B701" t="s">
        <v>434</v>
      </c>
      <c r="C701" t="s">
        <v>435</v>
      </c>
      <c r="D701" t="s">
        <v>424</v>
      </c>
      <c r="E701" t="str">
        <f t="shared" si="10"/>
        <v>NM|onshore wind|Winter</v>
      </c>
      <c r="F701">
        <v>1</v>
      </c>
      <c r="G701">
        <v>1</v>
      </c>
      <c r="H701">
        <v>1</v>
      </c>
      <c r="I701">
        <v>1</v>
      </c>
      <c r="J701">
        <v>1</v>
      </c>
      <c r="K701">
        <v>1</v>
      </c>
      <c r="L701">
        <v>1</v>
      </c>
      <c r="M701">
        <v>1</v>
      </c>
      <c r="N701">
        <v>1</v>
      </c>
      <c r="O701">
        <v>1</v>
      </c>
      <c r="P701">
        <v>1</v>
      </c>
      <c r="Q701">
        <v>1</v>
      </c>
      <c r="R701">
        <v>1</v>
      </c>
      <c r="S701">
        <v>1</v>
      </c>
      <c r="T701">
        <v>1</v>
      </c>
      <c r="U701">
        <v>1</v>
      </c>
      <c r="V701">
        <v>1</v>
      </c>
      <c r="W701">
        <v>1</v>
      </c>
      <c r="X701">
        <v>1</v>
      </c>
      <c r="Y701">
        <v>1</v>
      </c>
      <c r="Z701">
        <v>1</v>
      </c>
      <c r="AA701">
        <v>1</v>
      </c>
      <c r="AB701">
        <v>1</v>
      </c>
      <c r="AC701">
        <v>1</v>
      </c>
    </row>
    <row r="702" spans="1:29" x14ac:dyDescent="0.45">
      <c r="A702" t="s">
        <v>82</v>
      </c>
      <c r="B702" t="s">
        <v>434</v>
      </c>
      <c r="C702" t="s">
        <v>435</v>
      </c>
      <c r="D702" t="s">
        <v>425</v>
      </c>
      <c r="E702" t="str">
        <f t="shared" si="10"/>
        <v>NM|onshore wind|Spring</v>
      </c>
      <c r="F702">
        <v>1</v>
      </c>
      <c r="G702">
        <v>1</v>
      </c>
      <c r="H702">
        <v>1</v>
      </c>
      <c r="I702">
        <v>1</v>
      </c>
      <c r="J702">
        <v>1</v>
      </c>
      <c r="K702">
        <v>1</v>
      </c>
      <c r="L702">
        <v>1</v>
      </c>
      <c r="M702">
        <v>1</v>
      </c>
      <c r="N702">
        <v>1</v>
      </c>
      <c r="O702">
        <v>1</v>
      </c>
      <c r="P702">
        <v>1</v>
      </c>
      <c r="Q702">
        <v>1</v>
      </c>
      <c r="R702">
        <v>1</v>
      </c>
      <c r="S702">
        <v>1</v>
      </c>
      <c r="T702">
        <v>1</v>
      </c>
      <c r="U702">
        <v>1</v>
      </c>
      <c r="V702">
        <v>1</v>
      </c>
      <c r="W702">
        <v>1</v>
      </c>
      <c r="X702">
        <v>1</v>
      </c>
      <c r="Y702">
        <v>1</v>
      </c>
      <c r="Z702">
        <v>1</v>
      </c>
      <c r="AA702">
        <v>1</v>
      </c>
      <c r="AB702">
        <v>1</v>
      </c>
      <c r="AC702">
        <v>1</v>
      </c>
    </row>
    <row r="703" spans="1:29" x14ac:dyDescent="0.45">
      <c r="A703" t="s">
        <v>82</v>
      </c>
      <c r="B703" t="s">
        <v>434</v>
      </c>
      <c r="C703" t="s">
        <v>435</v>
      </c>
      <c r="D703" t="s">
        <v>426</v>
      </c>
      <c r="E703" t="str">
        <f t="shared" si="10"/>
        <v>NM|onshore wind|Summer</v>
      </c>
      <c r="F703">
        <v>1</v>
      </c>
      <c r="G703">
        <v>1</v>
      </c>
      <c r="H703">
        <v>1</v>
      </c>
      <c r="I703">
        <v>1</v>
      </c>
      <c r="J703">
        <v>1</v>
      </c>
      <c r="K703">
        <v>1</v>
      </c>
      <c r="L703">
        <v>1</v>
      </c>
      <c r="M703">
        <v>1</v>
      </c>
      <c r="N703">
        <v>1</v>
      </c>
      <c r="O703">
        <v>1</v>
      </c>
      <c r="P703">
        <v>1</v>
      </c>
      <c r="Q703">
        <v>1</v>
      </c>
      <c r="R703">
        <v>1</v>
      </c>
      <c r="S703">
        <v>1</v>
      </c>
      <c r="T703">
        <v>1</v>
      </c>
      <c r="U703">
        <v>1</v>
      </c>
      <c r="V703">
        <v>1</v>
      </c>
      <c r="W703">
        <v>1</v>
      </c>
      <c r="X703">
        <v>1</v>
      </c>
      <c r="Y703">
        <v>1</v>
      </c>
      <c r="Z703">
        <v>1</v>
      </c>
      <c r="AA703">
        <v>1</v>
      </c>
      <c r="AB703">
        <v>1</v>
      </c>
      <c r="AC703">
        <v>1</v>
      </c>
    </row>
    <row r="704" spans="1:29" x14ac:dyDescent="0.45">
      <c r="A704" t="s">
        <v>82</v>
      </c>
      <c r="B704" t="s">
        <v>434</v>
      </c>
      <c r="C704" t="s">
        <v>435</v>
      </c>
      <c r="D704" t="s">
        <v>427</v>
      </c>
      <c r="E704" t="str">
        <f t="shared" si="10"/>
        <v>NM|onshore wind|Fall</v>
      </c>
      <c r="F704">
        <v>1</v>
      </c>
      <c r="G704">
        <v>1</v>
      </c>
      <c r="H704">
        <v>1</v>
      </c>
      <c r="I704">
        <v>1</v>
      </c>
      <c r="J704">
        <v>1</v>
      </c>
      <c r="K704">
        <v>1</v>
      </c>
      <c r="L704">
        <v>1</v>
      </c>
      <c r="M704">
        <v>1</v>
      </c>
      <c r="N704">
        <v>1</v>
      </c>
      <c r="O704">
        <v>1</v>
      </c>
      <c r="P704">
        <v>1</v>
      </c>
      <c r="Q704">
        <v>1</v>
      </c>
      <c r="R704">
        <v>1</v>
      </c>
      <c r="S704">
        <v>1</v>
      </c>
      <c r="T704">
        <v>1</v>
      </c>
      <c r="U704">
        <v>1</v>
      </c>
      <c r="V704">
        <v>1</v>
      </c>
      <c r="W704">
        <v>1</v>
      </c>
      <c r="X704">
        <v>1</v>
      </c>
      <c r="Y704">
        <v>1</v>
      </c>
      <c r="Z704">
        <v>1</v>
      </c>
      <c r="AA704">
        <v>1</v>
      </c>
      <c r="AB704">
        <v>1</v>
      </c>
      <c r="AC704">
        <v>1</v>
      </c>
    </row>
    <row r="705" spans="1:29" x14ac:dyDescent="0.45">
      <c r="A705" t="s">
        <v>82</v>
      </c>
      <c r="B705" t="s">
        <v>434</v>
      </c>
      <c r="C705" t="s">
        <v>435</v>
      </c>
      <c r="D705" t="s">
        <v>428</v>
      </c>
      <c r="E705" t="str">
        <f t="shared" si="10"/>
        <v>NM|onshore wind|Summer Peak</v>
      </c>
      <c r="F705">
        <v>0.70299999999999996</v>
      </c>
      <c r="G705">
        <v>0.57750000000000001</v>
      </c>
      <c r="H705">
        <v>0.53910000000000002</v>
      </c>
      <c r="I705">
        <v>0.4476</v>
      </c>
      <c r="J705">
        <v>0.4975</v>
      </c>
      <c r="K705">
        <v>0.36919999999999997</v>
      </c>
      <c r="L705">
        <v>0.33629999999999999</v>
      </c>
      <c r="M705">
        <v>0.2576</v>
      </c>
      <c r="N705">
        <v>0.28270000000000001</v>
      </c>
      <c r="O705">
        <v>0.2581</v>
      </c>
      <c r="P705">
        <v>0.37009999999999998</v>
      </c>
      <c r="Q705">
        <v>0.46689999999999998</v>
      </c>
      <c r="R705">
        <v>0.46889999999999998</v>
      </c>
      <c r="S705">
        <v>0.52839999999999998</v>
      </c>
      <c r="T705">
        <v>0.53939999999999999</v>
      </c>
      <c r="U705">
        <v>0.59509999999999996</v>
      </c>
      <c r="V705">
        <v>0.69969999999999999</v>
      </c>
      <c r="W705">
        <v>0.82369999999999999</v>
      </c>
      <c r="X705">
        <v>0.83109999999999995</v>
      </c>
      <c r="Y705">
        <v>0.67479999999999996</v>
      </c>
      <c r="Z705">
        <v>0.61770000000000003</v>
      </c>
      <c r="AA705">
        <v>0.56679999999999997</v>
      </c>
      <c r="AB705">
        <v>0.63980000000000004</v>
      </c>
      <c r="AC705">
        <v>0.59199999999999997</v>
      </c>
    </row>
    <row r="706" spans="1:29" x14ac:dyDescent="0.45">
      <c r="A706" t="s">
        <v>82</v>
      </c>
      <c r="B706" t="s">
        <v>434</v>
      </c>
      <c r="C706" t="s">
        <v>435</v>
      </c>
      <c r="D706" t="s">
        <v>429</v>
      </c>
      <c r="E706" t="str">
        <f t="shared" si="10"/>
        <v>NM|onshore wind|Winter Peak</v>
      </c>
      <c r="F706">
        <v>0.86599999999999999</v>
      </c>
      <c r="G706">
        <v>0.85529999999999995</v>
      </c>
      <c r="H706">
        <v>0.85950000000000004</v>
      </c>
      <c r="I706">
        <v>0.85089999999999999</v>
      </c>
      <c r="J706">
        <v>0.86109999999999998</v>
      </c>
      <c r="K706">
        <v>0.84850000000000003</v>
      </c>
      <c r="L706">
        <v>0.81010000000000004</v>
      </c>
      <c r="M706">
        <v>0.58520000000000005</v>
      </c>
      <c r="N706">
        <v>0.48620000000000002</v>
      </c>
      <c r="O706">
        <v>0.40789999999999998</v>
      </c>
      <c r="P706">
        <v>0.34489999999999998</v>
      </c>
      <c r="Q706">
        <v>0.35260000000000002</v>
      </c>
      <c r="R706">
        <v>0.44690000000000002</v>
      </c>
      <c r="S706">
        <v>0.55589999999999995</v>
      </c>
      <c r="T706">
        <v>0.63729999999999998</v>
      </c>
      <c r="U706">
        <v>0.69199999999999995</v>
      </c>
      <c r="V706">
        <v>0.53790000000000004</v>
      </c>
      <c r="W706">
        <v>0.64600000000000002</v>
      </c>
      <c r="X706">
        <v>0.6</v>
      </c>
      <c r="Y706">
        <v>0.61250000000000004</v>
      </c>
      <c r="Z706">
        <v>0.63690000000000002</v>
      </c>
      <c r="AA706">
        <v>0.60940000000000005</v>
      </c>
      <c r="AB706">
        <v>0.68400000000000005</v>
      </c>
      <c r="AC706">
        <v>0.72430000000000005</v>
      </c>
    </row>
    <row r="707" spans="1:29" x14ac:dyDescent="0.45">
      <c r="A707" t="s">
        <v>82</v>
      </c>
      <c r="B707" t="s">
        <v>436</v>
      </c>
      <c r="C707" t="s">
        <v>437</v>
      </c>
      <c r="D707" t="s">
        <v>424</v>
      </c>
      <c r="E707" t="str">
        <f t="shared" si="10"/>
        <v>NM|solar pv|Winter</v>
      </c>
      <c r="F707">
        <v>1</v>
      </c>
      <c r="G707">
        <v>1</v>
      </c>
      <c r="H707">
        <v>1</v>
      </c>
      <c r="I707">
        <v>1</v>
      </c>
      <c r="J707">
        <v>1</v>
      </c>
      <c r="K707">
        <v>1</v>
      </c>
      <c r="L707">
        <v>1</v>
      </c>
      <c r="M707">
        <v>1</v>
      </c>
      <c r="N707">
        <v>1</v>
      </c>
      <c r="O707">
        <v>1</v>
      </c>
      <c r="P707">
        <v>1</v>
      </c>
      <c r="Q707">
        <v>1</v>
      </c>
      <c r="R707">
        <v>1</v>
      </c>
      <c r="S707">
        <v>1</v>
      </c>
      <c r="T707">
        <v>1</v>
      </c>
      <c r="U707">
        <v>1</v>
      </c>
      <c r="V707">
        <v>1</v>
      </c>
      <c r="W707">
        <v>1</v>
      </c>
      <c r="X707">
        <v>1</v>
      </c>
      <c r="Y707">
        <v>1</v>
      </c>
      <c r="Z707">
        <v>1</v>
      </c>
      <c r="AA707">
        <v>1</v>
      </c>
      <c r="AB707">
        <v>1</v>
      </c>
      <c r="AC707">
        <v>1</v>
      </c>
    </row>
    <row r="708" spans="1:29" x14ac:dyDescent="0.45">
      <c r="A708" t="s">
        <v>82</v>
      </c>
      <c r="B708" t="s">
        <v>436</v>
      </c>
      <c r="C708" t="s">
        <v>437</v>
      </c>
      <c r="D708" t="s">
        <v>425</v>
      </c>
      <c r="E708" t="str">
        <f t="shared" si="10"/>
        <v>NM|solar pv|Spring</v>
      </c>
      <c r="F708">
        <v>1</v>
      </c>
      <c r="G708">
        <v>1</v>
      </c>
      <c r="H708">
        <v>1</v>
      </c>
      <c r="I708">
        <v>1</v>
      </c>
      <c r="J708">
        <v>1</v>
      </c>
      <c r="K708">
        <v>1</v>
      </c>
      <c r="L708">
        <v>1</v>
      </c>
      <c r="M708">
        <v>1</v>
      </c>
      <c r="N708">
        <v>1</v>
      </c>
      <c r="O708">
        <v>1</v>
      </c>
      <c r="P708">
        <v>1</v>
      </c>
      <c r="Q708">
        <v>1</v>
      </c>
      <c r="R708">
        <v>1</v>
      </c>
      <c r="S708">
        <v>1</v>
      </c>
      <c r="T708">
        <v>1</v>
      </c>
      <c r="U708">
        <v>1</v>
      </c>
      <c r="V708">
        <v>1</v>
      </c>
      <c r="W708">
        <v>1</v>
      </c>
      <c r="X708">
        <v>1</v>
      </c>
      <c r="Y708">
        <v>1</v>
      </c>
      <c r="Z708">
        <v>1</v>
      </c>
      <c r="AA708">
        <v>1</v>
      </c>
      <c r="AB708">
        <v>1</v>
      </c>
      <c r="AC708">
        <v>1</v>
      </c>
    </row>
    <row r="709" spans="1:29" x14ac:dyDescent="0.45">
      <c r="A709" t="s">
        <v>82</v>
      </c>
      <c r="B709" t="s">
        <v>436</v>
      </c>
      <c r="C709" t="s">
        <v>437</v>
      </c>
      <c r="D709" t="s">
        <v>426</v>
      </c>
      <c r="E709" t="str">
        <f t="shared" ref="E709:E772" si="11">A709&amp;"|"&amp;C709&amp;"|"&amp;D709</f>
        <v>NM|solar pv|Summer</v>
      </c>
      <c r="F709">
        <v>1</v>
      </c>
      <c r="G709">
        <v>1</v>
      </c>
      <c r="H709">
        <v>1</v>
      </c>
      <c r="I709">
        <v>1</v>
      </c>
      <c r="J709">
        <v>1</v>
      </c>
      <c r="K709">
        <v>1</v>
      </c>
      <c r="L709">
        <v>1</v>
      </c>
      <c r="M709">
        <v>1</v>
      </c>
      <c r="N709">
        <v>1</v>
      </c>
      <c r="O709">
        <v>1</v>
      </c>
      <c r="P709">
        <v>1</v>
      </c>
      <c r="Q709">
        <v>1</v>
      </c>
      <c r="R709">
        <v>1</v>
      </c>
      <c r="S709">
        <v>1</v>
      </c>
      <c r="T709">
        <v>1</v>
      </c>
      <c r="U709">
        <v>1</v>
      </c>
      <c r="V709">
        <v>1</v>
      </c>
      <c r="W709">
        <v>1</v>
      </c>
      <c r="X709">
        <v>1</v>
      </c>
      <c r="Y709">
        <v>1</v>
      </c>
      <c r="Z709">
        <v>1</v>
      </c>
      <c r="AA709">
        <v>1</v>
      </c>
      <c r="AB709">
        <v>1</v>
      </c>
      <c r="AC709">
        <v>1</v>
      </c>
    </row>
    <row r="710" spans="1:29" x14ac:dyDescent="0.45">
      <c r="A710" t="s">
        <v>82</v>
      </c>
      <c r="B710" t="s">
        <v>436</v>
      </c>
      <c r="C710" t="s">
        <v>437</v>
      </c>
      <c r="D710" t="s">
        <v>427</v>
      </c>
      <c r="E710" t="str">
        <f t="shared" si="11"/>
        <v>NM|solar pv|Fall</v>
      </c>
      <c r="F710">
        <v>1</v>
      </c>
      <c r="G710">
        <v>1</v>
      </c>
      <c r="H710">
        <v>1</v>
      </c>
      <c r="I710">
        <v>1</v>
      </c>
      <c r="J710">
        <v>1</v>
      </c>
      <c r="K710">
        <v>1</v>
      </c>
      <c r="L710">
        <v>1</v>
      </c>
      <c r="M710">
        <v>1</v>
      </c>
      <c r="N710">
        <v>1</v>
      </c>
      <c r="O710">
        <v>1</v>
      </c>
      <c r="P710">
        <v>1</v>
      </c>
      <c r="Q710">
        <v>1</v>
      </c>
      <c r="R710">
        <v>1</v>
      </c>
      <c r="S710">
        <v>1</v>
      </c>
      <c r="T710">
        <v>1</v>
      </c>
      <c r="U710">
        <v>1</v>
      </c>
      <c r="V710">
        <v>1</v>
      </c>
      <c r="W710">
        <v>1</v>
      </c>
      <c r="X710">
        <v>1</v>
      </c>
      <c r="Y710">
        <v>1</v>
      </c>
      <c r="Z710">
        <v>1</v>
      </c>
      <c r="AA710">
        <v>1</v>
      </c>
      <c r="AB710">
        <v>1</v>
      </c>
      <c r="AC710">
        <v>1</v>
      </c>
    </row>
    <row r="711" spans="1:29" x14ac:dyDescent="0.45">
      <c r="A711" t="s">
        <v>82</v>
      </c>
      <c r="B711" t="s">
        <v>436</v>
      </c>
      <c r="C711" t="s">
        <v>437</v>
      </c>
      <c r="D711" t="s">
        <v>428</v>
      </c>
      <c r="E711" t="str">
        <f t="shared" si="11"/>
        <v>NM|solar pv|Summer Peak</v>
      </c>
      <c r="F711">
        <v>1</v>
      </c>
      <c r="G711">
        <v>1</v>
      </c>
      <c r="H711">
        <v>1</v>
      </c>
      <c r="I711">
        <v>1</v>
      </c>
      <c r="J711">
        <v>0</v>
      </c>
      <c r="K711">
        <v>0.63649999999999995</v>
      </c>
      <c r="L711">
        <v>0.83640000000000003</v>
      </c>
      <c r="M711">
        <v>0.85809999999999997</v>
      </c>
      <c r="N711">
        <v>0.88800000000000001</v>
      </c>
      <c r="O711">
        <v>0.9365</v>
      </c>
      <c r="P711">
        <v>0.95530000000000004</v>
      </c>
      <c r="Q711">
        <v>0.9556</v>
      </c>
      <c r="R711">
        <v>0.95489999999999997</v>
      </c>
      <c r="S711">
        <v>0.93720000000000003</v>
      </c>
      <c r="T711">
        <v>0.9244</v>
      </c>
      <c r="U711">
        <v>0.9335</v>
      </c>
      <c r="V711">
        <v>0.86839999999999995</v>
      </c>
      <c r="W711">
        <v>0.79469999999999996</v>
      </c>
      <c r="X711">
        <v>0</v>
      </c>
      <c r="Y711">
        <v>1</v>
      </c>
      <c r="Z711">
        <v>1</v>
      </c>
      <c r="AA711">
        <v>1</v>
      </c>
      <c r="AB711">
        <v>1</v>
      </c>
      <c r="AC711">
        <v>1</v>
      </c>
    </row>
    <row r="712" spans="1:29" x14ac:dyDescent="0.45">
      <c r="A712" t="s">
        <v>82</v>
      </c>
      <c r="B712" t="s">
        <v>436</v>
      </c>
      <c r="C712" t="s">
        <v>437</v>
      </c>
      <c r="D712" t="s">
        <v>429</v>
      </c>
      <c r="E712" t="str">
        <f t="shared" si="11"/>
        <v>NM|solar pv|Winter Peak</v>
      </c>
      <c r="F712">
        <v>1</v>
      </c>
      <c r="G712">
        <v>1</v>
      </c>
      <c r="H712">
        <v>1</v>
      </c>
      <c r="I712">
        <v>1</v>
      </c>
      <c r="J712">
        <v>1</v>
      </c>
      <c r="K712">
        <v>1</v>
      </c>
      <c r="L712">
        <v>5.0299999999999997E-2</v>
      </c>
      <c r="M712">
        <v>0.8397</v>
      </c>
      <c r="N712">
        <v>0.87929999999999997</v>
      </c>
      <c r="O712">
        <v>0.9264</v>
      </c>
      <c r="P712">
        <v>0.93689999999999996</v>
      </c>
      <c r="Q712">
        <v>0.97560000000000002</v>
      </c>
      <c r="R712">
        <v>0.97909999999999997</v>
      </c>
      <c r="S712">
        <v>0.95479999999999998</v>
      </c>
      <c r="T712">
        <v>0.9909</v>
      </c>
      <c r="U712">
        <v>0.8488</v>
      </c>
      <c r="V712">
        <v>6.0000000000000001E-3</v>
      </c>
      <c r="W712">
        <v>1</v>
      </c>
      <c r="X712">
        <v>1</v>
      </c>
      <c r="Y712">
        <v>1</v>
      </c>
      <c r="Z712">
        <v>1</v>
      </c>
      <c r="AA712">
        <v>1</v>
      </c>
      <c r="AB712">
        <v>1</v>
      </c>
      <c r="AC712">
        <v>1</v>
      </c>
    </row>
    <row r="713" spans="1:29" x14ac:dyDescent="0.45">
      <c r="A713" t="s">
        <v>82</v>
      </c>
      <c r="B713" t="s">
        <v>438</v>
      </c>
      <c r="C713" t="s">
        <v>439</v>
      </c>
      <c r="D713" t="s">
        <v>424</v>
      </c>
      <c r="E713" t="str">
        <f t="shared" si="11"/>
        <v>NM|solar thermal|Winter</v>
      </c>
      <c r="F713">
        <v>1</v>
      </c>
      <c r="G713">
        <v>1</v>
      </c>
      <c r="H713">
        <v>1</v>
      </c>
      <c r="I713">
        <v>1</v>
      </c>
      <c r="J713">
        <v>1</v>
      </c>
      <c r="K713">
        <v>1</v>
      </c>
      <c r="L713">
        <v>1</v>
      </c>
      <c r="M713">
        <v>1</v>
      </c>
      <c r="N713">
        <v>1</v>
      </c>
      <c r="O713">
        <v>1</v>
      </c>
      <c r="P713">
        <v>1</v>
      </c>
      <c r="Q713">
        <v>1</v>
      </c>
      <c r="R713">
        <v>1</v>
      </c>
      <c r="S713">
        <v>1</v>
      </c>
      <c r="T713">
        <v>1</v>
      </c>
      <c r="U713">
        <v>1</v>
      </c>
      <c r="V713">
        <v>1</v>
      </c>
      <c r="W713">
        <v>1</v>
      </c>
      <c r="X713">
        <v>1</v>
      </c>
      <c r="Y713">
        <v>1</v>
      </c>
      <c r="Z713">
        <v>1</v>
      </c>
      <c r="AA713">
        <v>1</v>
      </c>
      <c r="AB713">
        <v>1</v>
      </c>
      <c r="AC713">
        <v>1</v>
      </c>
    </row>
    <row r="714" spans="1:29" x14ac:dyDescent="0.45">
      <c r="A714" t="s">
        <v>82</v>
      </c>
      <c r="B714" t="s">
        <v>438</v>
      </c>
      <c r="C714" t="s">
        <v>439</v>
      </c>
      <c r="D714" t="s">
        <v>425</v>
      </c>
      <c r="E714" t="str">
        <f t="shared" si="11"/>
        <v>NM|solar thermal|Spring</v>
      </c>
      <c r="F714">
        <v>1</v>
      </c>
      <c r="G714">
        <v>1</v>
      </c>
      <c r="H714">
        <v>1</v>
      </c>
      <c r="I714">
        <v>1</v>
      </c>
      <c r="J714">
        <v>1</v>
      </c>
      <c r="K714">
        <v>1</v>
      </c>
      <c r="L714">
        <v>1</v>
      </c>
      <c r="M714">
        <v>1</v>
      </c>
      <c r="N714">
        <v>1</v>
      </c>
      <c r="O714">
        <v>1</v>
      </c>
      <c r="P714">
        <v>1</v>
      </c>
      <c r="Q714">
        <v>1</v>
      </c>
      <c r="R714">
        <v>1</v>
      </c>
      <c r="S714">
        <v>1</v>
      </c>
      <c r="T714">
        <v>1</v>
      </c>
      <c r="U714">
        <v>1</v>
      </c>
      <c r="V714">
        <v>1</v>
      </c>
      <c r="W714">
        <v>1</v>
      </c>
      <c r="X714">
        <v>1</v>
      </c>
      <c r="Y714">
        <v>1</v>
      </c>
      <c r="Z714">
        <v>1</v>
      </c>
      <c r="AA714">
        <v>1</v>
      </c>
      <c r="AB714">
        <v>1</v>
      </c>
      <c r="AC714">
        <v>1</v>
      </c>
    </row>
    <row r="715" spans="1:29" x14ac:dyDescent="0.45">
      <c r="A715" t="s">
        <v>82</v>
      </c>
      <c r="B715" t="s">
        <v>438</v>
      </c>
      <c r="C715" t="s">
        <v>439</v>
      </c>
      <c r="D715" t="s">
        <v>426</v>
      </c>
      <c r="E715" t="str">
        <f t="shared" si="11"/>
        <v>NM|solar thermal|Summer</v>
      </c>
      <c r="F715">
        <v>1</v>
      </c>
      <c r="G715">
        <v>1</v>
      </c>
      <c r="H715">
        <v>1</v>
      </c>
      <c r="I715">
        <v>1</v>
      </c>
      <c r="J715">
        <v>1</v>
      </c>
      <c r="K715">
        <v>1</v>
      </c>
      <c r="L715">
        <v>1</v>
      </c>
      <c r="M715">
        <v>1</v>
      </c>
      <c r="N715">
        <v>1</v>
      </c>
      <c r="O715">
        <v>1</v>
      </c>
      <c r="P715">
        <v>1</v>
      </c>
      <c r="Q715">
        <v>1</v>
      </c>
      <c r="R715">
        <v>1</v>
      </c>
      <c r="S715">
        <v>1</v>
      </c>
      <c r="T715">
        <v>1</v>
      </c>
      <c r="U715">
        <v>1</v>
      </c>
      <c r="V715">
        <v>1</v>
      </c>
      <c r="W715">
        <v>1</v>
      </c>
      <c r="X715">
        <v>1</v>
      </c>
      <c r="Y715">
        <v>1</v>
      </c>
      <c r="Z715">
        <v>1</v>
      </c>
      <c r="AA715">
        <v>1</v>
      </c>
      <c r="AB715">
        <v>1</v>
      </c>
      <c r="AC715">
        <v>1</v>
      </c>
    </row>
    <row r="716" spans="1:29" x14ac:dyDescent="0.45">
      <c r="A716" t="s">
        <v>82</v>
      </c>
      <c r="B716" t="s">
        <v>438</v>
      </c>
      <c r="C716" t="s">
        <v>439</v>
      </c>
      <c r="D716" t="s">
        <v>427</v>
      </c>
      <c r="E716" t="str">
        <f t="shared" si="11"/>
        <v>NM|solar thermal|Fall</v>
      </c>
      <c r="F716">
        <v>1</v>
      </c>
      <c r="G716">
        <v>1</v>
      </c>
      <c r="H716">
        <v>1</v>
      </c>
      <c r="I716">
        <v>1</v>
      </c>
      <c r="J716">
        <v>1</v>
      </c>
      <c r="K716">
        <v>1</v>
      </c>
      <c r="L716">
        <v>1</v>
      </c>
      <c r="M716">
        <v>1</v>
      </c>
      <c r="N716">
        <v>1</v>
      </c>
      <c r="O716">
        <v>1</v>
      </c>
      <c r="P716">
        <v>1</v>
      </c>
      <c r="Q716">
        <v>1</v>
      </c>
      <c r="R716">
        <v>1</v>
      </c>
      <c r="S716">
        <v>1</v>
      </c>
      <c r="T716">
        <v>1</v>
      </c>
      <c r="U716">
        <v>1</v>
      </c>
      <c r="V716">
        <v>1</v>
      </c>
      <c r="W716">
        <v>1</v>
      </c>
      <c r="X716">
        <v>1</v>
      </c>
      <c r="Y716">
        <v>1</v>
      </c>
      <c r="Z716">
        <v>1</v>
      </c>
      <c r="AA716">
        <v>1</v>
      </c>
      <c r="AB716">
        <v>1</v>
      </c>
      <c r="AC716">
        <v>1</v>
      </c>
    </row>
    <row r="717" spans="1:29" x14ac:dyDescent="0.45">
      <c r="A717" t="s">
        <v>82</v>
      </c>
      <c r="B717" t="s">
        <v>438</v>
      </c>
      <c r="C717" t="s">
        <v>439</v>
      </c>
      <c r="D717" t="s">
        <v>428</v>
      </c>
      <c r="E717" t="str">
        <f t="shared" si="11"/>
        <v>NM|solar thermal|Summer Peak</v>
      </c>
      <c r="F717">
        <v>1</v>
      </c>
      <c r="G717">
        <v>1</v>
      </c>
      <c r="H717">
        <v>1</v>
      </c>
      <c r="I717">
        <v>1</v>
      </c>
      <c r="J717">
        <v>1</v>
      </c>
      <c r="K717">
        <v>1</v>
      </c>
      <c r="L717">
        <v>1</v>
      </c>
      <c r="M717">
        <v>0</v>
      </c>
      <c r="N717">
        <v>0.8639</v>
      </c>
      <c r="O717">
        <v>1</v>
      </c>
      <c r="P717">
        <v>1</v>
      </c>
      <c r="Q717">
        <v>0.97160000000000002</v>
      </c>
      <c r="R717">
        <v>0.96719999999999995</v>
      </c>
      <c r="S717">
        <v>1</v>
      </c>
      <c r="T717">
        <v>1</v>
      </c>
      <c r="U717">
        <v>1</v>
      </c>
      <c r="V717">
        <v>1</v>
      </c>
      <c r="W717">
        <v>1</v>
      </c>
      <c r="X717">
        <v>1</v>
      </c>
      <c r="Y717">
        <v>0.93130000000000002</v>
      </c>
      <c r="Z717">
        <v>0.70220000000000005</v>
      </c>
      <c r="AA717">
        <v>1</v>
      </c>
      <c r="AB717">
        <v>1</v>
      </c>
      <c r="AC717">
        <v>1</v>
      </c>
    </row>
    <row r="718" spans="1:29" x14ac:dyDescent="0.45">
      <c r="A718" t="s">
        <v>82</v>
      </c>
      <c r="B718" t="s">
        <v>438</v>
      </c>
      <c r="C718" t="s">
        <v>439</v>
      </c>
      <c r="D718" t="s">
        <v>429</v>
      </c>
      <c r="E718" t="str">
        <f t="shared" si="11"/>
        <v>NM|solar thermal|Winter Peak</v>
      </c>
      <c r="F718">
        <v>1</v>
      </c>
      <c r="G718">
        <v>1</v>
      </c>
      <c r="H718">
        <v>1</v>
      </c>
      <c r="I718">
        <v>1</v>
      </c>
      <c r="J718">
        <v>1</v>
      </c>
      <c r="K718">
        <v>1</v>
      </c>
      <c r="L718">
        <v>1</v>
      </c>
      <c r="M718">
        <v>1</v>
      </c>
      <c r="N718">
        <v>1</v>
      </c>
      <c r="O718">
        <v>0.2419</v>
      </c>
      <c r="P718">
        <v>0.95320000000000005</v>
      </c>
      <c r="Q718">
        <v>0.88039999999999996</v>
      </c>
      <c r="R718">
        <v>0.97819999999999996</v>
      </c>
      <c r="S718">
        <v>0.98950000000000005</v>
      </c>
      <c r="T718">
        <v>0.99270000000000003</v>
      </c>
      <c r="U718">
        <v>1</v>
      </c>
      <c r="V718">
        <v>1</v>
      </c>
      <c r="W718">
        <v>1</v>
      </c>
      <c r="X718">
        <v>0.89019999999999999</v>
      </c>
      <c r="Y718">
        <v>0</v>
      </c>
      <c r="Z718">
        <v>1</v>
      </c>
      <c r="AA718">
        <v>1</v>
      </c>
      <c r="AB718">
        <v>1</v>
      </c>
      <c r="AC718">
        <v>1</v>
      </c>
    </row>
    <row r="719" spans="1:29" x14ac:dyDescent="0.45">
      <c r="A719" t="s">
        <v>82</v>
      </c>
      <c r="B719" t="s">
        <v>440</v>
      </c>
      <c r="C719" t="s">
        <v>441</v>
      </c>
      <c r="D719" t="s">
        <v>424</v>
      </c>
      <c r="E719" t="str">
        <f t="shared" si="11"/>
        <v>NM|offshore wind|Winter</v>
      </c>
      <c r="F719">
        <v>1</v>
      </c>
      <c r="G719">
        <v>1</v>
      </c>
      <c r="H719">
        <v>1</v>
      </c>
      <c r="I719">
        <v>1</v>
      </c>
      <c r="J719">
        <v>1</v>
      </c>
      <c r="K719">
        <v>1</v>
      </c>
      <c r="L719">
        <v>1</v>
      </c>
      <c r="M719">
        <v>1</v>
      </c>
      <c r="N719">
        <v>1</v>
      </c>
      <c r="O719">
        <v>1</v>
      </c>
      <c r="P719">
        <v>1</v>
      </c>
      <c r="Q719">
        <v>1</v>
      </c>
      <c r="R719">
        <v>1</v>
      </c>
      <c r="S719">
        <v>1</v>
      </c>
      <c r="T719">
        <v>1</v>
      </c>
      <c r="U719">
        <v>1</v>
      </c>
      <c r="V719">
        <v>1</v>
      </c>
      <c r="W719">
        <v>1</v>
      </c>
      <c r="X719">
        <v>1</v>
      </c>
      <c r="Y719">
        <v>1</v>
      </c>
      <c r="Z719">
        <v>1</v>
      </c>
      <c r="AA719">
        <v>1</v>
      </c>
      <c r="AB719">
        <v>1</v>
      </c>
      <c r="AC719">
        <v>1</v>
      </c>
    </row>
    <row r="720" spans="1:29" x14ac:dyDescent="0.45">
      <c r="A720" t="s">
        <v>82</v>
      </c>
      <c r="B720" t="s">
        <v>440</v>
      </c>
      <c r="C720" t="s">
        <v>441</v>
      </c>
      <c r="D720" t="s">
        <v>425</v>
      </c>
      <c r="E720" t="str">
        <f t="shared" si="11"/>
        <v>NM|offshore wind|Spring</v>
      </c>
      <c r="F720">
        <v>1</v>
      </c>
      <c r="G720">
        <v>1</v>
      </c>
      <c r="H720">
        <v>1</v>
      </c>
      <c r="I720">
        <v>1</v>
      </c>
      <c r="J720">
        <v>1</v>
      </c>
      <c r="K720">
        <v>1</v>
      </c>
      <c r="L720">
        <v>1</v>
      </c>
      <c r="M720">
        <v>1</v>
      </c>
      <c r="N720">
        <v>1</v>
      </c>
      <c r="O720">
        <v>1</v>
      </c>
      <c r="P720">
        <v>1</v>
      </c>
      <c r="Q720">
        <v>1</v>
      </c>
      <c r="R720">
        <v>1</v>
      </c>
      <c r="S720">
        <v>1</v>
      </c>
      <c r="T720">
        <v>1</v>
      </c>
      <c r="U720">
        <v>1</v>
      </c>
      <c r="V720">
        <v>1</v>
      </c>
      <c r="W720">
        <v>1</v>
      </c>
      <c r="X720">
        <v>1</v>
      </c>
      <c r="Y720">
        <v>1</v>
      </c>
      <c r="Z720">
        <v>1</v>
      </c>
      <c r="AA720">
        <v>1</v>
      </c>
      <c r="AB720">
        <v>1</v>
      </c>
      <c r="AC720">
        <v>1</v>
      </c>
    </row>
    <row r="721" spans="1:29" x14ac:dyDescent="0.45">
      <c r="A721" t="s">
        <v>82</v>
      </c>
      <c r="B721" t="s">
        <v>440</v>
      </c>
      <c r="C721" t="s">
        <v>441</v>
      </c>
      <c r="D721" t="s">
        <v>426</v>
      </c>
      <c r="E721" t="str">
        <f t="shared" si="11"/>
        <v>NM|offshore wind|Summer</v>
      </c>
      <c r="F721">
        <v>1</v>
      </c>
      <c r="G721">
        <v>1</v>
      </c>
      <c r="H721">
        <v>1</v>
      </c>
      <c r="I721">
        <v>1</v>
      </c>
      <c r="J721">
        <v>1</v>
      </c>
      <c r="K721">
        <v>1</v>
      </c>
      <c r="L721">
        <v>1</v>
      </c>
      <c r="M721">
        <v>1</v>
      </c>
      <c r="N721">
        <v>1</v>
      </c>
      <c r="O721">
        <v>1</v>
      </c>
      <c r="P721">
        <v>1</v>
      </c>
      <c r="Q721">
        <v>1</v>
      </c>
      <c r="R721">
        <v>1</v>
      </c>
      <c r="S721">
        <v>1</v>
      </c>
      <c r="T721">
        <v>1</v>
      </c>
      <c r="U721">
        <v>1</v>
      </c>
      <c r="V721">
        <v>1</v>
      </c>
      <c r="W721">
        <v>1</v>
      </c>
      <c r="X721">
        <v>1</v>
      </c>
      <c r="Y721">
        <v>1</v>
      </c>
      <c r="Z721">
        <v>1</v>
      </c>
      <c r="AA721">
        <v>1</v>
      </c>
      <c r="AB721">
        <v>1</v>
      </c>
      <c r="AC721">
        <v>1</v>
      </c>
    </row>
    <row r="722" spans="1:29" x14ac:dyDescent="0.45">
      <c r="A722" t="s">
        <v>82</v>
      </c>
      <c r="B722" t="s">
        <v>440</v>
      </c>
      <c r="C722" t="s">
        <v>441</v>
      </c>
      <c r="D722" t="s">
        <v>427</v>
      </c>
      <c r="E722" t="str">
        <f t="shared" si="11"/>
        <v>NM|offshore wind|Fall</v>
      </c>
      <c r="F722">
        <v>1</v>
      </c>
      <c r="G722">
        <v>1</v>
      </c>
      <c r="H722">
        <v>1</v>
      </c>
      <c r="I722">
        <v>1</v>
      </c>
      <c r="J722">
        <v>1</v>
      </c>
      <c r="K722">
        <v>1</v>
      </c>
      <c r="L722">
        <v>1</v>
      </c>
      <c r="M722">
        <v>1</v>
      </c>
      <c r="N722">
        <v>1</v>
      </c>
      <c r="O722">
        <v>1</v>
      </c>
      <c r="P722">
        <v>1</v>
      </c>
      <c r="Q722">
        <v>1</v>
      </c>
      <c r="R722">
        <v>1</v>
      </c>
      <c r="S722">
        <v>1</v>
      </c>
      <c r="T722">
        <v>1</v>
      </c>
      <c r="U722">
        <v>1</v>
      </c>
      <c r="V722">
        <v>1</v>
      </c>
      <c r="W722">
        <v>1</v>
      </c>
      <c r="X722">
        <v>1</v>
      </c>
      <c r="Y722">
        <v>1</v>
      </c>
      <c r="Z722">
        <v>1</v>
      </c>
      <c r="AA722">
        <v>1</v>
      </c>
      <c r="AB722">
        <v>1</v>
      </c>
      <c r="AC722">
        <v>1</v>
      </c>
    </row>
    <row r="723" spans="1:29" x14ac:dyDescent="0.45">
      <c r="A723" t="s">
        <v>82</v>
      </c>
      <c r="B723" t="s">
        <v>440</v>
      </c>
      <c r="C723" t="s">
        <v>441</v>
      </c>
      <c r="D723" t="s">
        <v>428</v>
      </c>
      <c r="E723" t="str">
        <f t="shared" si="11"/>
        <v>NM|offshore wind|Summer Peak</v>
      </c>
      <c r="F723">
        <v>0.40810000000000002</v>
      </c>
      <c r="G723">
        <v>0.4239</v>
      </c>
      <c r="H723">
        <v>0.45760000000000001</v>
      </c>
      <c r="I723">
        <v>0.50319999999999998</v>
      </c>
      <c r="J723">
        <v>0.53649999999999998</v>
      </c>
      <c r="K723">
        <v>0.59399999999999997</v>
      </c>
      <c r="L723">
        <v>0.61929999999999996</v>
      </c>
      <c r="M723">
        <v>0.68859999999999999</v>
      </c>
      <c r="N723">
        <v>0.73480000000000001</v>
      </c>
      <c r="O723">
        <v>0.84350000000000003</v>
      </c>
      <c r="P723">
        <v>0.78200000000000003</v>
      </c>
      <c r="Q723">
        <v>0.74650000000000005</v>
      </c>
      <c r="R723">
        <v>0.63690000000000002</v>
      </c>
      <c r="S723">
        <v>0.60860000000000003</v>
      </c>
      <c r="T723">
        <v>0.64339999999999997</v>
      </c>
      <c r="U723">
        <v>0.69269999999999998</v>
      </c>
      <c r="V723">
        <v>0.71450000000000002</v>
      </c>
      <c r="W723">
        <v>0.75070000000000003</v>
      </c>
      <c r="X723">
        <v>0.72489999999999999</v>
      </c>
      <c r="Y723">
        <v>0.66049999999999998</v>
      </c>
      <c r="Z723">
        <v>0.69140000000000001</v>
      </c>
      <c r="AA723">
        <v>0.63080000000000003</v>
      </c>
      <c r="AB723">
        <v>0.63429999999999997</v>
      </c>
      <c r="AC723">
        <v>0.64390000000000003</v>
      </c>
    </row>
    <row r="724" spans="1:29" x14ac:dyDescent="0.45">
      <c r="A724" t="s">
        <v>82</v>
      </c>
      <c r="B724" t="s">
        <v>440</v>
      </c>
      <c r="C724" t="s">
        <v>441</v>
      </c>
      <c r="D724" t="s">
        <v>429</v>
      </c>
      <c r="E724" t="str">
        <f t="shared" si="11"/>
        <v>NM|offshore wind|Winter Peak</v>
      </c>
      <c r="F724">
        <v>0.95309999999999995</v>
      </c>
      <c r="G724">
        <v>0.95030000000000003</v>
      </c>
      <c r="H724">
        <v>0.95540000000000003</v>
      </c>
      <c r="I724">
        <v>0.96679999999999999</v>
      </c>
      <c r="J724">
        <v>1</v>
      </c>
      <c r="K724">
        <v>1</v>
      </c>
      <c r="L724">
        <v>1</v>
      </c>
      <c r="M724">
        <v>0.99209999999999998</v>
      </c>
      <c r="N724">
        <v>0.90149999999999997</v>
      </c>
      <c r="O724">
        <v>0.79779999999999995</v>
      </c>
      <c r="P724">
        <v>0.71879999999999999</v>
      </c>
      <c r="Q724">
        <v>0.67300000000000004</v>
      </c>
      <c r="R724">
        <v>0.60860000000000003</v>
      </c>
      <c r="S724">
        <v>0.58009999999999995</v>
      </c>
      <c r="T724">
        <v>0.58799999999999997</v>
      </c>
      <c r="U724">
        <v>0.61019999999999996</v>
      </c>
      <c r="V724">
        <v>0.61839999999999995</v>
      </c>
      <c r="W724">
        <v>0.60909999999999997</v>
      </c>
      <c r="X724">
        <v>0.62880000000000003</v>
      </c>
      <c r="Y724">
        <v>0.72889999999999999</v>
      </c>
      <c r="Z724">
        <v>0.84719999999999995</v>
      </c>
      <c r="AA724">
        <v>0.92220000000000002</v>
      </c>
      <c r="AB724">
        <v>0.86950000000000005</v>
      </c>
      <c r="AC724">
        <v>0.8054</v>
      </c>
    </row>
    <row r="725" spans="1:29" x14ac:dyDescent="0.45">
      <c r="A725" t="s">
        <v>84</v>
      </c>
      <c r="B725" t="s">
        <v>434</v>
      </c>
      <c r="C725" t="s">
        <v>435</v>
      </c>
      <c r="D725" t="s">
        <v>424</v>
      </c>
      <c r="E725" t="str">
        <f t="shared" si="11"/>
        <v>NV|onshore wind|Winter</v>
      </c>
      <c r="F725">
        <v>1</v>
      </c>
      <c r="G725">
        <v>1</v>
      </c>
      <c r="H725">
        <v>1</v>
      </c>
      <c r="I725">
        <v>1</v>
      </c>
      <c r="J725">
        <v>1</v>
      </c>
      <c r="K725">
        <v>1</v>
      </c>
      <c r="L725">
        <v>1</v>
      </c>
      <c r="M725">
        <v>1</v>
      </c>
      <c r="N725">
        <v>1</v>
      </c>
      <c r="O725">
        <v>1</v>
      </c>
      <c r="P725">
        <v>1</v>
      </c>
      <c r="Q725">
        <v>1</v>
      </c>
      <c r="R725">
        <v>1</v>
      </c>
      <c r="S725">
        <v>1</v>
      </c>
      <c r="T725">
        <v>1</v>
      </c>
      <c r="U725">
        <v>1</v>
      </c>
      <c r="V725">
        <v>1</v>
      </c>
      <c r="W725">
        <v>1</v>
      </c>
      <c r="X725">
        <v>1</v>
      </c>
      <c r="Y725">
        <v>1</v>
      </c>
      <c r="Z725">
        <v>1</v>
      </c>
      <c r="AA725">
        <v>1</v>
      </c>
      <c r="AB725">
        <v>1</v>
      </c>
      <c r="AC725">
        <v>1</v>
      </c>
    </row>
    <row r="726" spans="1:29" x14ac:dyDescent="0.45">
      <c r="A726" t="s">
        <v>84</v>
      </c>
      <c r="B726" t="s">
        <v>434</v>
      </c>
      <c r="C726" t="s">
        <v>435</v>
      </c>
      <c r="D726" t="s">
        <v>425</v>
      </c>
      <c r="E726" t="str">
        <f t="shared" si="11"/>
        <v>NV|onshore wind|Spring</v>
      </c>
      <c r="F726">
        <v>1</v>
      </c>
      <c r="G726">
        <v>1</v>
      </c>
      <c r="H726">
        <v>1</v>
      </c>
      <c r="I726">
        <v>1</v>
      </c>
      <c r="J726">
        <v>1</v>
      </c>
      <c r="K726">
        <v>1</v>
      </c>
      <c r="L726">
        <v>1</v>
      </c>
      <c r="M726">
        <v>1</v>
      </c>
      <c r="N726">
        <v>1</v>
      </c>
      <c r="O726">
        <v>1</v>
      </c>
      <c r="P726">
        <v>1</v>
      </c>
      <c r="Q726">
        <v>1</v>
      </c>
      <c r="R726">
        <v>1</v>
      </c>
      <c r="S726">
        <v>1</v>
      </c>
      <c r="T726">
        <v>1</v>
      </c>
      <c r="U726">
        <v>1</v>
      </c>
      <c r="V726">
        <v>1</v>
      </c>
      <c r="W726">
        <v>1</v>
      </c>
      <c r="X726">
        <v>1</v>
      </c>
      <c r="Y726">
        <v>1</v>
      </c>
      <c r="Z726">
        <v>1</v>
      </c>
      <c r="AA726">
        <v>1</v>
      </c>
      <c r="AB726">
        <v>1</v>
      </c>
      <c r="AC726">
        <v>1</v>
      </c>
    </row>
    <row r="727" spans="1:29" x14ac:dyDescent="0.45">
      <c r="A727" t="s">
        <v>84</v>
      </c>
      <c r="B727" t="s">
        <v>434</v>
      </c>
      <c r="C727" t="s">
        <v>435</v>
      </c>
      <c r="D727" t="s">
        <v>426</v>
      </c>
      <c r="E727" t="str">
        <f t="shared" si="11"/>
        <v>NV|onshore wind|Summer</v>
      </c>
      <c r="F727">
        <v>1</v>
      </c>
      <c r="G727">
        <v>1</v>
      </c>
      <c r="H727">
        <v>1</v>
      </c>
      <c r="I727">
        <v>1</v>
      </c>
      <c r="J727">
        <v>1</v>
      </c>
      <c r="K727">
        <v>1</v>
      </c>
      <c r="L727">
        <v>1</v>
      </c>
      <c r="M727">
        <v>1</v>
      </c>
      <c r="N727">
        <v>1</v>
      </c>
      <c r="O727">
        <v>1</v>
      </c>
      <c r="P727">
        <v>1</v>
      </c>
      <c r="Q727">
        <v>1</v>
      </c>
      <c r="R727">
        <v>1</v>
      </c>
      <c r="S727">
        <v>1</v>
      </c>
      <c r="T727">
        <v>1</v>
      </c>
      <c r="U727">
        <v>1</v>
      </c>
      <c r="V727">
        <v>1</v>
      </c>
      <c r="W727">
        <v>1</v>
      </c>
      <c r="X727">
        <v>1</v>
      </c>
      <c r="Y727">
        <v>1</v>
      </c>
      <c r="Z727">
        <v>1</v>
      </c>
      <c r="AA727">
        <v>1</v>
      </c>
      <c r="AB727">
        <v>1</v>
      </c>
      <c r="AC727">
        <v>1</v>
      </c>
    </row>
    <row r="728" spans="1:29" x14ac:dyDescent="0.45">
      <c r="A728" t="s">
        <v>84</v>
      </c>
      <c r="B728" t="s">
        <v>434</v>
      </c>
      <c r="C728" t="s">
        <v>435</v>
      </c>
      <c r="D728" t="s">
        <v>427</v>
      </c>
      <c r="E728" t="str">
        <f t="shared" si="11"/>
        <v>NV|onshore wind|Fall</v>
      </c>
      <c r="F728">
        <v>1</v>
      </c>
      <c r="G728">
        <v>1</v>
      </c>
      <c r="H728">
        <v>1</v>
      </c>
      <c r="I728">
        <v>1</v>
      </c>
      <c r="J728">
        <v>1</v>
      </c>
      <c r="K728">
        <v>1</v>
      </c>
      <c r="L728">
        <v>1</v>
      </c>
      <c r="M728">
        <v>1</v>
      </c>
      <c r="N728">
        <v>1</v>
      </c>
      <c r="O728">
        <v>1</v>
      </c>
      <c r="P728">
        <v>1</v>
      </c>
      <c r="Q728">
        <v>1</v>
      </c>
      <c r="R728">
        <v>1</v>
      </c>
      <c r="S728">
        <v>1</v>
      </c>
      <c r="T728">
        <v>1</v>
      </c>
      <c r="U728">
        <v>1</v>
      </c>
      <c r="V728">
        <v>1</v>
      </c>
      <c r="W728">
        <v>1</v>
      </c>
      <c r="X728">
        <v>1</v>
      </c>
      <c r="Y728">
        <v>1</v>
      </c>
      <c r="Z728">
        <v>1</v>
      </c>
      <c r="AA728">
        <v>1</v>
      </c>
      <c r="AB728">
        <v>1</v>
      </c>
      <c r="AC728">
        <v>1</v>
      </c>
    </row>
    <row r="729" spans="1:29" x14ac:dyDescent="0.45">
      <c r="A729" t="s">
        <v>84</v>
      </c>
      <c r="B729" t="s">
        <v>434</v>
      </c>
      <c r="C729" t="s">
        <v>435</v>
      </c>
      <c r="D729" t="s">
        <v>428</v>
      </c>
      <c r="E729" t="str">
        <f t="shared" si="11"/>
        <v>NV|onshore wind|Summer Peak</v>
      </c>
      <c r="F729">
        <v>0.74209999999999998</v>
      </c>
      <c r="G729">
        <v>0.74450000000000005</v>
      </c>
      <c r="H729">
        <v>0.74660000000000004</v>
      </c>
      <c r="I729">
        <v>0.68159999999999998</v>
      </c>
      <c r="J729">
        <v>0.61129999999999995</v>
      </c>
      <c r="K729">
        <v>0.56010000000000004</v>
      </c>
      <c r="L729">
        <v>0.43269999999999997</v>
      </c>
      <c r="M729">
        <v>0.4345</v>
      </c>
      <c r="N729">
        <v>0.39910000000000001</v>
      </c>
      <c r="O729">
        <v>0.40129999999999999</v>
      </c>
      <c r="P729">
        <v>0.42249999999999999</v>
      </c>
      <c r="Q729">
        <v>0.56040000000000001</v>
      </c>
      <c r="R729">
        <v>0.54600000000000004</v>
      </c>
      <c r="S729">
        <v>0.53549999999999998</v>
      </c>
      <c r="T729">
        <v>0.62670000000000003</v>
      </c>
      <c r="U729">
        <v>0.71619999999999995</v>
      </c>
      <c r="V729">
        <v>0.79700000000000004</v>
      </c>
      <c r="W729">
        <v>0.82509999999999994</v>
      </c>
      <c r="X729">
        <v>0.85750000000000004</v>
      </c>
      <c r="Y729">
        <v>0.94789999999999996</v>
      </c>
      <c r="Z729">
        <v>0.92200000000000004</v>
      </c>
      <c r="AA729">
        <v>0.93779999999999997</v>
      </c>
      <c r="AB729">
        <v>0.83109999999999995</v>
      </c>
      <c r="AC729">
        <v>0.79379999999999995</v>
      </c>
    </row>
    <row r="730" spans="1:29" x14ac:dyDescent="0.45">
      <c r="A730" t="s">
        <v>84</v>
      </c>
      <c r="B730" t="s">
        <v>434</v>
      </c>
      <c r="C730" t="s">
        <v>435</v>
      </c>
      <c r="D730" t="s">
        <v>429</v>
      </c>
      <c r="E730" t="str">
        <f t="shared" si="11"/>
        <v>NV|onshore wind|Winter Peak</v>
      </c>
      <c r="F730">
        <v>0.67120000000000002</v>
      </c>
      <c r="G730">
        <v>0.7278</v>
      </c>
      <c r="H730">
        <v>0.74409999999999998</v>
      </c>
      <c r="I730">
        <v>0.75760000000000005</v>
      </c>
      <c r="J730">
        <v>0.72960000000000003</v>
      </c>
      <c r="K730">
        <v>0.72330000000000005</v>
      </c>
      <c r="L730">
        <v>0.70750000000000002</v>
      </c>
      <c r="M730">
        <v>0.64780000000000004</v>
      </c>
      <c r="N730">
        <v>0.57540000000000002</v>
      </c>
      <c r="O730">
        <v>0.54010000000000002</v>
      </c>
      <c r="P730">
        <v>0.5071</v>
      </c>
      <c r="Q730">
        <v>0.48409999999999997</v>
      </c>
      <c r="R730">
        <v>0.46350000000000002</v>
      </c>
      <c r="S730">
        <v>0.4612</v>
      </c>
      <c r="T730">
        <v>0.47270000000000001</v>
      </c>
      <c r="U730">
        <v>0.49180000000000001</v>
      </c>
      <c r="V730">
        <v>0.5413</v>
      </c>
      <c r="W730">
        <v>0.60540000000000005</v>
      </c>
      <c r="X730">
        <v>0.58789999999999998</v>
      </c>
      <c r="Y730">
        <v>0.55230000000000001</v>
      </c>
      <c r="Z730">
        <v>0.53139999999999998</v>
      </c>
      <c r="AA730">
        <v>0.51559999999999995</v>
      </c>
      <c r="AB730">
        <v>0.53790000000000004</v>
      </c>
      <c r="AC730">
        <v>0.56359999999999999</v>
      </c>
    </row>
    <row r="731" spans="1:29" x14ac:dyDescent="0.45">
      <c r="A731" t="s">
        <v>84</v>
      </c>
      <c r="B731" t="s">
        <v>436</v>
      </c>
      <c r="C731" t="s">
        <v>437</v>
      </c>
      <c r="D731" t="s">
        <v>424</v>
      </c>
      <c r="E731" t="str">
        <f t="shared" si="11"/>
        <v>NV|solar pv|Winter</v>
      </c>
      <c r="F731">
        <v>1</v>
      </c>
      <c r="G731">
        <v>1</v>
      </c>
      <c r="H731">
        <v>1</v>
      </c>
      <c r="I731">
        <v>1</v>
      </c>
      <c r="J731">
        <v>1</v>
      </c>
      <c r="K731">
        <v>1</v>
      </c>
      <c r="L731">
        <v>1</v>
      </c>
      <c r="M731">
        <v>1</v>
      </c>
      <c r="N731">
        <v>1</v>
      </c>
      <c r="O731">
        <v>1</v>
      </c>
      <c r="P731">
        <v>1</v>
      </c>
      <c r="Q731">
        <v>1</v>
      </c>
      <c r="R731">
        <v>1</v>
      </c>
      <c r="S731">
        <v>1</v>
      </c>
      <c r="T731">
        <v>1</v>
      </c>
      <c r="U731">
        <v>1</v>
      </c>
      <c r="V731">
        <v>1</v>
      </c>
      <c r="W731">
        <v>1</v>
      </c>
      <c r="X731">
        <v>1</v>
      </c>
      <c r="Y731">
        <v>1</v>
      </c>
      <c r="Z731">
        <v>1</v>
      </c>
      <c r="AA731">
        <v>1</v>
      </c>
      <c r="AB731">
        <v>1</v>
      </c>
      <c r="AC731">
        <v>1</v>
      </c>
    </row>
    <row r="732" spans="1:29" x14ac:dyDescent="0.45">
      <c r="A732" t="s">
        <v>84</v>
      </c>
      <c r="B732" t="s">
        <v>436</v>
      </c>
      <c r="C732" t="s">
        <v>437</v>
      </c>
      <c r="D732" t="s">
        <v>425</v>
      </c>
      <c r="E732" t="str">
        <f t="shared" si="11"/>
        <v>NV|solar pv|Spring</v>
      </c>
      <c r="F732">
        <v>1</v>
      </c>
      <c r="G732">
        <v>1</v>
      </c>
      <c r="H732">
        <v>1</v>
      </c>
      <c r="I732">
        <v>1</v>
      </c>
      <c r="J732">
        <v>1</v>
      </c>
      <c r="K732">
        <v>1</v>
      </c>
      <c r="L732">
        <v>1</v>
      </c>
      <c r="M732">
        <v>1</v>
      </c>
      <c r="N732">
        <v>1</v>
      </c>
      <c r="O732">
        <v>1</v>
      </c>
      <c r="P732">
        <v>1</v>
      </c>
      <c r="Q732">
        <v>1</v>
      </c>
      <c r="R732">
        <v>1</v>
      </c>
      <c r="S732">
        <v>1</v>
      </c>
      <c r="T732">
        <v>1</v>
      </c>
      <c r="U732">
        <v>1</v>
      </c>
      <c r="V732">
        <v>1</v>
      </c>
      <c r="W732">
        <v>1</v>
      </c>
      <c r="X732">
        <v>1</v>
      </c>
      <c r="Y732">
        <v>1</v>
      </c>
      <c r="Z732">
        <v>1</v>
      </c>
      <c r="AA732">
        <v>1</v>
      </c>
      <c r="AB732">
        <v>1</v>
      </c>
      <c r="AC732">
        <v>1</v>
      </c>
    </row>
    <row r="733" spans="1:29" x14ac:dyDescent="0.45">
      <c r="A733" t="s">
        <v>84</v>
      </c>
      <c r="B733" t="s">
        <v>436</v>
      </c>
      <c r="C733" t="s">
        <v>437</v>
      </c>
      <c r="D733" t="s">
        <v>426</v>
      </c>
      <c r="E733" t="str">
        <f t="shared" si="11"/>
        <v>NV|solar pv|Summer</v>
      </c>
      <c r="F733">
        <v>1</v>
      </c>
      <c r="G733">
        <v>1</v>
      </c>
      <c r="H733">
        <v>1</v>
      </c>
      <c r="I733">
        <v>1</v>
      </c>
      <c r="J733">
        <v>1</v>
      </c>
      <c r="K733">
        <v>1</v>
      </c>
      <c r="L733">
        <v>1</v>
      </c>
      <c r="M733">
        <v>1</v>
      </c>
      <c r="N733">
        <v>1</v>
      </c>
      <c r="O733">
        <v>1</v>
      </c>
      <c r="P733">
        <v>1</v>
      </c>
      <c r="Q733">
        <v>1</v>
      </c>
      <c r="R733">
        <v>1</v>
      </c>
      <c r="S733">
        <v>1</v>
      </c>
      <c r="T733">
        <v>1</v>
      </c>
      <c r="U733">
        <v>1</v>
      </c>
      <c r="V733">
        <v>1</v>
      </c>
      <c r="W733">
        <v>1</v>
      </c>
      <c r="X733">
        <v>1</v>
      </c>
      <c r="Y733">
        <v>1</v>
      </c>
      <c r="Z733">
        <v>1</v>
      </c>
      <c r="AA733">
        <v>1</v>
      </c>
      <c r="AB733">
        <v>1</v>
      </c>
      <c r="AC733">
        <v>1</v>
      </c>
    </row>
    <row r="734" spans="1:29" x14ac:dyDescent="0.45">
      <c r="A734" t="s">
        <v>84</v>
      </c>
      <c r="B734" t="s">
        <v>436</v>
      </c>
      <c r="C734" t="s">
        <v>437</v>
      </c>
      <c r="D734" t="s">
        <v>427</v>
      </c>
      <c r="E734" t="str">
        <f t="shared" si="11"/>
        <v>NV|solar pv|Fall</v>
      </c>
      <c r="F734">
        <v>1</v>
      </c>
      <c r="G734">
        <v>1</v>
      </c>
      <c r="H734">
        <v>1</v>
      </c>
      <c r="I734">
        <v>1</v>
      </c>
      <c r="J734">
        <v>1</v>
      </c>
      <c r="K734">
        <v>1</v>
      </c>
      <c r="L734">
        <v>1</v>
      </c>
      <c r="M734">
        <v>1</v>
      </c>
      <c r="N734">
        <v>1</v>
      </c>
      <c r="O734">
        <v>1</v>
      </c>
      <c r="P734">
        <v>1</v>
      </c>
      <c r="Q734">
        <v>1</v>
      </c>
      <c r="R734">
        <v>1</v>
      </c>
      <c r="S734">
        <v>1</v>
      </c>
      <c r="T734">
        <v>1</v>
      </c>
      <c r="U734">
        <v>1</v>
      </c>
      <c r="V734">
        <v>1</v>
      </c>
      <c r="W734">
        <v>1</v>
      </c>
      <c r="X734">
        <v>1</v>
      </c>
      <c r="Y734">
        <v>1</v>
      </c>
      <c r="Z734">
        <v>1</v>
      </c>
      <c r="AA734">
        <v>1</v>
      </c>
      <c r="AB734">
        <v>1</v>
      </c>
      <c r="AC734">
        <v>1</v>
      </c>
    </row>
    <row r="735" spans="1:29" x14ac:dyDescent="0.45">
      <c r="A735" t="s">
        <v>84</v>
      </c>
      <c r="B735" t="s">
        <v>436</v>
      </c>
      <c r="C735" t="s">
        <v>437</v>
      </c>
      <c r="D735" t="s">
        <v>428</v>
      </c>
      <c r="E735" t="str">
        <f t="shared" si="11"/>
        <v>NV|solar pv|Summer Peak</v>
      </c>
      <c r="F735">
        <v>1</v>
      </c>
      <c r="G735">
        <v>1</v>
      </c>
      <c r="H735">
        <v>1</v>
      </c>
      <c r="I735">
        <v>1</v>
      </c>
      <c r="J735">
        <v>1.1599999999999999E-2</v>
      </c>
      <c r="K735">
        <v>0.91149999999999998</v>
      </c>
      <c r="L735">
        <v>1</v>
      </c>
      <c r="M735">
        <v>1</v>
      </c>
      <c r="N735">
        <v>1</v>
      </c>
      <c r="O735">
        <v>0.98409999999999997</v>
      </c>
      <c r="P735">
        <v>0.94710000000000005</v>
      </c>
      <c r="Q735">
        <v>0.92120000000000002</v>
      </c>
      <c r="R735">
        <v>0.85219999999999996</v>
      </c>
      <c r="S735">
        <v>0.85129999999999995</v>
      </c>
      <c r="T735">
        <v>0.83409999999999995</v>
      </c>
      <c r="U735">
        <v>0.90369999999999995</v>
      </c>
      <c r="V735">
        <v>0.93720000000000003</v>
      </c>
      <c r="W735">
        <v>0.81689999999999996</v>
      </c>
      <c r="X735">
        <v>1</v>
      </c>
      <c r="Y735">
        <v>1</v>
      </c>
      <c r="Z735">
        <v>1</v>
      </c>
      <c r="AA735">
        <v>1</v>
      </c>
      <c r="AB735">
        <v>1</v>
      </c>
      <c r="AC735">
        <v>1</v>
      </c>
    </row>
    <row r="736" spans="1:29" x14ac:dyDescent="0.45">
      <c r="A736" t="s">
        <v>84</v>
      </c>
      <c r="B736" t="s">
        <v>436</v>
      </c>
      <c r="C736" t="s">
        <v>437</v>
      </c>
      <c r="D736" t="s">
        <v>429</v>
      </c>
      <c r="E736" t="str">
        <f t="shared" si="11"/>
        <v>NV|solar pv|Winter Peak</v>
      </c>
      <c r="F736">
        <v>1</v>
      </c>
      <c r="G736">
        <v>1</v>
      </c>
      <c r="H736">
        <v>1</v>
      </c>
      <c r="I736">
        <v>1</v>
      </c>
      <c r="J736">
        <v>1</v>
      </c>
      <c r="K736">
        <v>1</v>
      </c>
      <c r="L736">
        <v>7.9000000000000008E-3</v>
      </c>
      <c r="M736">
        <v>0.60929999999999995</v>
      </c>
      <c r="N736">
        <v>0.71250000000000002</v>
      </c>
      <c r="O736">
        <v>0.68100000000000005</v>
      </c>
      <c r="P736">
        <v>0.76070000000000004</v>
      </c>
      <c r="Q736">
        <v>0.75090000000000001</v>
      </c>
      <c r="R736">
        <v>0.79830000000000001</v>
      </c>
      <c r="S736">
        <v>0.84630000000000005</v>
      </c>
      <c r="T736">
        <v>0.58230000000000004</v>
      </c>
      <c r="U736">
        <v>0.4612</v>
      </c>
      <c r="V736">
        <v>0</v>
      </c>
      <c r="W736">
        <v>1</v>
      </c>
      <c r="X736">
        <v>1</v>
      </c>
      <c r="Y736">
        <v>1</v>
      </c>
      <c r="Z736">
        <v>1</v>
      </c>
      <c r="AA736">
        <v>1</v>
      </c>
      <c r="AB736">
        <v>1</v>
      </c>
      <c r="AC736">
        <v>1</v>
      </c>
    </row>
    <row r="737" spans="1:29" x14ac:dyDescent="0.45">
      <c r="A737" t="s">
        <v>84</v>
      </c>
      <c r="B737" t="s">
        <v>438</v>
      </c>
      <c r="C737" t="s">
        <v>439</v>
      </c>
      <c r="D737" t="s">
        <v>424</v>
      </c>
      <c r="E737" t="str">
        <f t="shared" si="11"/>
        <v>NV|solar thermal|Winter</v>
      </c>
      <c r="F737">
        <v>1</v>
      </c>
      <c r="G737">
        <v>1</v>
      </c>
      <c r="H737">
        <v>1</v>
      </c>
      <c r="I737">
        <v>1</v>
      </c>
      <c r="J737">
        <v>1</v>
      </c>
      <c r="K737">
        <v>1</v>
      </c>
      <c r="L737">
        <v>1</v>
      </c>
      <c r="M737">
        <v>1</v>
      </c>
      <c r="N737">
        <v>1</v>
      </c>
      <c r="O737">
        <v>1</v>
      </c>
      <c r="P737">
        <v>1</v>
      </c>
      <c r="Q737">
        <v>1</v>
      </c>
      <c r="R737">
        <v>1</v>
      </c>
      <c r="S737">
        <v>1</v>
      </c>
      <c r="T737">
        <v>1</v>
      </c>
      <c r="U737">
        <v>1</v>
      </c>
      <c r="V737">
        <v>1</v>
      </c>
      <c r="W737">
        <v>1</v>
      </c>
      <c r="X737">
        <v>1</v>
      </c>
      <c r="Y737">
        <v>1</v>
      </c>
      <c r="Z737">
        <v>1</v>
      </c>
      <c r="AA737">
        <v>1</v>
      </c>
      <c r="AB737">
        <v>1</v>
      </c>
      <c r="AC737">
        <v>1</v>
      </c>
    </row>
    <row r="738" spans="1:29" x14ac:dyDescent="0.45">
      <c r="A738" t="s">
        <v>84</v>
      </c>
      <c r="B738" t="s">
        <v>438</v>
      </c>
      <c r="C738" t="s">
        <v>439</v>
      </c>
      <c r="D738" t="s">
        <v>425</v>
      </c>
      <c r="E738" t="str">
        <f t="shared" si="11"/>
        <v>NV|solar thermal|Spring</v>
      </c>
      <c r="F738">
        <v>1</v>
      </c>
      <c r="G738">
        <v>1</v>
      </c>
      <c r="H738">
        <v>1</v>
      </c>
      <c r="I738">
        <v>1</v>
      </c>
      <c r="J738">
        <v>1</v>
      </c>
      <c r="K738">
        <v>1</v>
      </c>
      <c r="L738">
        <v>1</v>
      </c>
      <c r="M738">
        <v>1</v>
      </c>
      <c r="N738">
        <v>1</v>
      </c>
      <c r="O738">
        <v>1</v>
      </c>
      <c r="P738">
        <v>1</v>
      </c>
      <c r="Q738">
        <v>1</v>
      </c>
      <c r="R738">
        <v>1</v>
      </c>
      <c r="S738">
        <v>1</v>
      </c>
      <c r="T738">
        <v>1</v>
      </c>
      <c r="U738">
        <v>1</v>
      </c>
      <c r="V738">
        <v>1</v>
      </c>
      <c r="W738">
        <v>1</v>
      </c>
      <c r="X738">
        <v>1</v>
      </c>
      <c r="Y738">
        <v>1</v>
      </c>
      <c r="Z738">
        <v>1</v>
      </c>
      <c r="AA738">
        <v>1</v>
      </c>
      <c r="AB738">
        <v>1</v>
      </c>
      <c r="AC738">
        <v>1</v>
      </c>
    </row>
    <row r="739" spans="1:29" x14ac:dyDescent="0.45">
      <c r="A739" t="s">
        <v>84</v>
      </c>
      <c r="B739" t="s">
        <v>438</v>
      </c>
      <c r="C739" t="s">
        <v>439</v>
      </c>
      <c r="D739" t="s">
        <v>426</v>
      </c>
      <c r="E739" t="str">
        <f t="shared" si="11"/>
        <v>NV|solar thermal|Summer</v>
      </c>
      <c r="F739">
        <v>1</v>
      </c>
      <c r="G739">
        <v>1</v>
      </c>
      <c r="H739">
        <v>1</v>
      </c>
      <c r="I739">
        <v>1</v>
      </c>
      <c r="J739">
        <v>1</v>
      </c>
      <c r="K739">
        <v>1</v>
      </c>
      <c r="L739">
        <v>1</v>
      </c>
      <c r="M739">
        <v>1</v>
      </c>
      <c r="N739">
        <v>1</v>
      </c>
      <c r="O739">
        <v>1</v>
      </c>
      <c r="P739">
        <v>1</v>
      </c>
      <c r="Q739">
        <v>1</v>
      </c>
      <c r="R739">
        <v>1</v>
      </c>
      <c r="S739">
        <v>1</v>
      </c>
      <c r="T739">
        <v>1</v>
      </c>
      <c r="U739">
        <v>1</v>
      </c>
      <c r="V739">
        <v>1</v>
      </c>
      <c r="W739">
        <v>1</v>
      </c>
      <c r="X739">
        <v>1</v>
      </c>
      <c r="Y739">
        <v>1</v>
      </c>
      <c r="Z739">
        <v>1</v>
      </c>
      <c r="AA739">
        <v>1</v>
      </c>
      <c r="AB739">
        <v>1</v>
      </c>
      <c r="AC739">
        <v>1</v>
      </c>
    </row>
    <row r="740" spans="1:29" x14ac:dyDescent="0.45">
      <c r="A740" t="s">
        <v>84</v>
      </c>
      <c r="B740" t="s">
        <v>438</v>
      </c>
      <c r="C740" t="s">
        <v>439</v>
      </c>
      <c r="D740" t="s">
        <v>427</v>
      </c>
      <c r="E740" t="str">
        <f t="shared" si="11"/>
        <v>NV|solar thermal|Fall</v>
      </c>
      <c r="F740">
        <v>1</v>
      </c>
      <c r="G740">
        <v>1</v>
      </c>
      <c r="H740">
        <v>1</v>
      </c>
      <c r="I740">
        <v>1</v>
      </c>
      <c r="J740">
        <v>1</v>
      </c>
      <c r="K740">
        <v>1</v>
      </c>
      <c r="L740">
        <v>1</v>
      </c>
      <c r="M740">
        <v>1</v>
      </c>
      <c r="N740">
        <v>1</v>
      </c>
      <c r="O740">
        <v>1</v>
      </c>
      <c r="P740">
        <v>1</v>
      </c>
      <c r="Q740">
        <v>1</v>
      </c>
      <c r="R740">
        <v>1</v>
      </c>
      <c r="S740">
        <v>1</v>
      </c>
      <c r="T740">
        <v>1</v>
      </c>
      <c r="U740">
        <v>1</v>
      </c>
      <c r="V740">
        <v>1</v>
      </c>
      <c r="W740">
        <v>1</v>
      </c>
      <c r="X740">
        <v>1</v>
      </c>
      <c r="Y740">
        <v>1</v>
      </c>
      <c r="Z740">
        <v>1</v>
      </c>
      <c r="AA740">
        <v>1</v>
      </c>
      <c r="AB740">
        <v>1</v>
      </c>
      <c r="AC740">
        <v>1</v>
      </c>
    </row>
    <row r="741" spans="1:29" x14ac:dyDescent="0.45">
      <c r="A741" t="s">
        <v>84</v>
      </c>
      <c r="B741" t="s">
        <v>438</v>
      </c>
      <c r="C741" t="s">
        <v>439</v>
      </c>
      <c r="D741" t="s">
        <v>428</v>
      </c>
      <c r="E741" t="str">
        <f t="shared" si="11"/>
        <v>NV|solar thermal|Summer Peak</v>
      </c>
      <c r="F741">
        <v>1</v>
      </c>
      <c r="G741">
        <v>1</v>
      </c>
      <c r="H741">
        <v>1</v>
      </c>
      <c r="I741">
        <v>1</v>
      </c>
      <c r="J741">
        <v>1</v>
      </c>
      <c r="K741">
        <v>1</v>
      </c>
      <c r="L741">
        <v>1</v>
      </c>
      <c r="M741">
        <v>0</v>
      </c>
      <c r="N741">
        <v>0.8639</v>
      </c>
      <c r="O741">
        <v>1</v>
      </c>
      <c r="P741">
        <v>1</v>
      </c>
      <c r="Q741">
        <v>0.97160000000000002</v>
      </c>
      <c r="R741">
        <v>0.96719999999999995</v>
      </c>
      <c r="S741">
        <v>1</v>
      </c>
      <c r="T741">
        <v>1</v>
      </c>
      <c r="U741">
        <v>1</v>
      </c>
      <c r="V741">
        <v>1</v>
      </c>
      <c r="W741">
        <v>1</v>
      </c>
      <c r="X741">
        <v>1</v>
      </c>
      <c r="Y741">
        <v>0.93130000000000002</v>
      </c>
      <c r="Z741">
        <v>0.70220000000000005</v>
      </c>
      <c r="AA741">
        <v>1</v>
      </c>
      <c r="AB741">
        <v>1</v>
      </c>
      <c r="AC741">
        <v>1</v>
      </c>
    </row>
    <row r="742" spans="1:29" x14ac:dyDescent="0.45">
      <c r="A742" t="s">
        <v>84</v>
      </c>
      <c r="B742" t="s">
        <v>438</v>
      </c>
      <c r="C742" t="s">
        <v>439</v>
      </c>
      <c r="D742" t="s">
        <v>429</v>
      </c>
      <c r="E742" t="str">
        <f t="shared" si="11"/>
        <v>NV|solar thermal|Winter Peak</v>
      </c>
      <c r="F742">
        <v>1</v>
      </c>
      <c r="G742">
        <v>1</v>
      </c>
      <c r="H742">
        <v>1</v>
      </c>
      <c r="I742">
        <v>1</v>
      </c>
      <c r="J742">
        <v>1</v>
      </c>
      <c r="K742">
        <v>1</v>
      </c>
      <c r="L742">
        <v>1</v>
      </c>
      <c r="M742">
        <v>1</v>
      </c>
      <c r="N742">
        <v>1</v>
      </c>
      <c r="O742">
        <v>0.2419</v>
      </c>
      <c r="P742">
        <v>0.95320000000000005</v>
      </c>
      <c r="Q742">
        <v>0.88039999999999996</v>
      </c>
      <c r="R742">
        <v>0.97819999999999996</v>
      </c>
      <c r="S742">
        <v>0.98950000000000005</v>
      </c>
      <c r="T742">
        <v>0.99270000000000003</v>
      </c>
      <c r="U742">
        <v>1</v>
      </c>
      <c r="V742">
        <v>1</v>
      </c>
      <c r="W742">
        <v>1</v>
      </c>
      <c r="X742">
        <v>0.89019999999999999</v>
      </c>
      <c r="Y742">
        <v>0</v>
      </c>
      <c r="Z742">
        <v>1</v>
      </c>
      <c r="AA742">
        <v>1</v>
      </c>
      <c r="AB742">
        <v>1</v>
      </c>
      <c r="AC742">
        <v>1</v>
      </c>
    </row>
    <row r="743" spans="1:29" x14ac:dyDescent="0.45">
      <c r="A743" t="s">
        <v>84</v>
      </c>
      <c r="B743" t="s">
        <v>440</v>
      </c>
      <c r="C743" t="s">
        <v>441</v>
      </c>
      <c r="D743" t="s">
        <v>424</v>
      </c>
      <c r="E743" t="str">
        <f t="shared" si="11"/>
        <v>NV|offshore wind|Winter</v>
      </c>
      <c r="F743">
        <v>1</v>
      </c>
      <c r="G743">
        <v>1</v>
      </c>
      <c r="H743">
        <v>1</v>
      </c>
      <c r="I743">
        <v>1</v>
      </c>
      <c r="J743">
        <v>1</v>
      </c>
      <c r="K743">
        <v>1</v>
      </c>
      <c r="L743">
        <v>1</v>
      </c>
      <c r="M743">
        <v>1</v>
      </c>
      <c r="N743">
        <v>1</v>
      </c>
      <c r="O743">
        <v>1</v>
      </c>
      <c r="P743">
        <v>1</v>
      </c>
      <c r="Q743">
        <v>1</v>
      </c>
      <c r="R743">
        <v>1</v>
      </c>
      <c r="S743">
        <v>1</v>
      </c>
      <c r="T743">
        <v>1</v>
      </c>
      <c r="U743">
        <v>1</v>
      </c>
      <c r="V743">
        <v>1</v>
      </c>
      <c r="W743">
        <v>1</v>
      </c>
      <c r="X743">
        <v>1</v>
      </c>
      <c r="Y743">
        <v>1</v>
      </c>
      <c r="Z743">
        <v>1</v>
      </c>
      <c r="AA743">
        <v>1</v>
      </c>
      <c r="AB743">
        <v>1</v>
      </c>
      <c r="AC743">
        <v>1</v>
      </c>
    </row>
    <row r="744" spans="1:29" x14ac:dyDescent="0.45">
      <c r="A744" t="s">
        <v>84</v>
      </c>
      <c r="B744" t="s">
        <v>440</v>
      </c>
      <c r="C744" t="s">
        <v>441</v>
      </c>
      <c r="D744" t="s">
        <v>425</v>
      </c>
      <c r="E744" t="str">
        <f t="shared" si="11"/>
        <v>NV|offshore wind|Spring</v>
      </c>
      <c r="F744">
        <v>1</v>
      </c>
      <c r="G744">
        <v>1</v>
      </c>
      <c r="H744">
        <v>1</v>
      </c>
      <c r="I744">
        <v>1</v>
      </c>
      <c r="J744">
        <v>1</v>
      </c>
      <c r="K744">
        <v>1</v>
      </c>
      <c r="L744">
        <v>1</v>
      </c>
      <c r="M744">
        <v>1</v>
      </c>
      <c r="N744">
        <v>1</v>
      </c>
      <c r="O744">
        <v>1</v>
      </c>
      <c r="P744">
        <v>1</v>
      </c>
      <c r="Q744">
        <v>1</v>
      </c>
      <c r="R744">
        <v>1</v>
      </c>
      <c r="S744">
        <v>1</v>
      </c>
      <c r="T744">
        <v>1</v>
      </c>
      <c r="U744">
        <v>1</v>
      </c>
      <c r="V744">
        <v>1</v>
      </c>
      <c r="W744">
        <v>1</v>
      </c>
      <c r="X744">
        <v>1</v>
      </c>
      <c r="Y744">
        <v>1</v>
      </c>
      <c r="Z744">
        <v>1</v>
      </c>
      <c r="AA744">
        <v>1</v>
      </c>
      <c r="AB744">
        <v>1</v>
      </c>
      <c r="AC744">
        <v>1</v>
      </c>
    </row>
    <row r="745" spans="1:29" x14ac:dyDescent="0.45">
      <c r="A745" t="s">
        <v>84</v>
      </c>
      <c r="B745" t="s">
        <v>440</v>
      </c>
      <c r="C745" t="s">
        <v>441</v>
      </c>
      <c r="D745" t="s">
        <v>426</v>
      </c>
      <c r="E745" t="str">
        <f t="shared" si="11"/>
        <v>NV|offshore wind|Summer</v>
      </c>
      <c r="F745">
        <v>1</v>
      </c>
      <c r="G745">
        <v>1</v>
      </c>
      <c r="H745">
        <v>1</v>
      </c>
      <c r="I745">
        <v>1</v>
      </c>
      <c r="J745">
        <v>1</v>
      </c>
      <c r="K745">
        <v>1</v>
      </c>
      <c r="L745">
        <v>1</v>
      </c>
      <c r="M745">
        <v>1</v>
      </c>
      <c r="N745">
        <v>1</v>
      </c>
      <c r="O745">
        <v>1</v>
      </c>
      <c r="P745">
        <v>1</v>
      </c>
      <c r="Q745">
        <v>1</v>
      </c>
      <c r="R745">
        <v>1</v>
      </c>
      <c r="S745">
        <v>1</v>
      </c>
      <c r="T745">
        <v>1</v>
      </c>
      <c r="U745">
        <v>1</v>
      </c>
      <c r="V745">
        <v>1</v>
      </c>
      <c r="W745">
        <v>1</v>
      </c>
      <c r="X745">
        <v>1</v>
      </c>
      <c r="Y745">
        <v>1</v>
      </c>
      <c r="Z745">
        <v>1</v>
      </c>
      <c r="AA745">
        <v>1</v>
      </c>
      <c r="AB745">
        <v>1</v>
      </c>
      <c r="AC745">
        <v>1</v>
      </c>
    </row>
    <row r="746" spans="1:29" x14ac:dyDescent="0.45">
      <c r="A746" t="s">
        <v>84</v>
      </c>
      <c r="B746" t="s">
        <v>440</v>
      </c>
      <c r="C746" t="s">
        <v>441</v>
      </c>
      <c r="D746" t="s">
        <v>427</v>
      </c>
      <c r="E746" t="str">
        <f t="shared" si="11"/>
        <v>NV|offshore wind|Fall</v>
      </c>
      <c r="F746">
        <v>1</v>
      </c>
      <c r="G746">
        <v>1</v>
      </c>
      <c r="H746">
        <v>1</v>
      </c>
      <c r="I746">
        <v>1</v>
      </c>
      <c r="J746">
        <v>1</v>
      </c>
      <c r="K746">
        <v>1</v>
      </c>
      <c r="L746">
        <v>1</v>
      </c>
      <c r="M746">
        <v>1</v>
      </c>
      <c r="N746">
        <v>1</v>
      </c>
      <c r="O746">
        <v>1</v>
      </c>
      <c r="P746">
        <v>1</v>
      </c>
      <c r="Q746">
        <v>1</v>
      </c>
      <c r="R746">
        <v>1</v>
      </c>
      <c r="S746">
        <v>1</v>
      </c>
      <c r="T746">
        <v>1</v>
      </c>
      <c r="U746">
        <v>1</v>
      </c>
      <c r="V746">
        <v>1</v>
      </c>
      <c r="W746">
        <v>1</v>
      </c>
      <c r="X746">
        <v>1</v>
      </c>
      <c r="Y746">
        <v>1</v>
      </c>
      <c r="Z746">
        <v>1</v>
      </c>
      <c r="AA746">
        <v>1</v>
      </c>
      <c r="AB746">
        <v>1</v>
      </c>
      <c r="AC746">
        <v>1</v>
      </c>
    </row>
    <row r="747" spans="1:29" x14ac:dyDescent="0.45">
      <c r="A747" t="s">
        <v>84</v>
      </c>
      <c r="B747" t="s">
        <v>440</v>
      </c>
      <c r="C747" t="s">
        <v>441</v>
      </c>
      <c r="D747" t="s">
        <v>428</v>
      </c>
      <c r="E747" t="str">
        <f t="shared" si="11"/>
        <v>NV|offshore wind|Summer Peak</v>
      </c>
      <c r="F747">
        <v>0.40810000000000002</v>
      </c>
      <c r="G747">
        <v>0.4239</v>
      </c>
      <c r="H747">
        <v>0.45760000000000001</v>
      </c>
      <c r="I747">
        <v>0.50319999999999998</v>
      </c>
      <c r="J747">
        <v>0.53649999999999998</v>
      </c>
      <c r="K747">
        <v>0.59399999999999997</v>
      </c>
      <c r="L747">
        <v>0.61929999999999996</v>
      </c>
      <c r="M747">
        <v>0.68859999999999999</v>
      </c>
      <c r="N747">
        <v>0.73480000000000001</v>
      </c>
      <c r="O747">
        <v>0.84350000000000003</v>
      </c>
      <c r="P747">
        <v>0.78200000000000003</v>
      </c>
      <c r="Q747">
        <v>0.74650000000000005</v>
      </c>
      <c r="R747">
        <v>0.63690000000000002</v>
      </c>
      <c r="S747">
        <v>0.60860000000000003</v>
      </c>
      <c r="T747">
        <v>0.64339999999999997</v>
      </c>
      <c r="U747">
        <v>0.69269999999999998</v>
      </c>
      <c r="V747">
        <v>0.71450000000000002</v>
      </c>
      <c r="W747">
        <v>0.75070000000000003</v>
      </c>
      <c r="X747">
        <v>0.72489999999999999</v>
      </c>
      <c r="Y747">
        <v>0.66049999999999998</v>
      </c>
      <c r="Z747">
        <v>0.69140000000000001</v>
      </c>
      <c r="AA747">
        <v>0.63080000000000003</v>
      </c>
      <c r="AB747">
        <v>0.63429999999999997</v>
      </c>
      <c r="AC747">
        <v>0.64390000000000003</v>
      </c>
    </row>
    <row r="748" spans="1:29" x14ac:dyDescent="0.45">
      <c r="A748" t="s">
        <v>84</v>
      </c>
      <c r="B748" t="s">
        <v>440</v>
      </c>
      <c r="C748" t="s">
        <v>441</v>
      </c>
      <c r="D748" t="s">
        <v>429</v>
      </c>
      <c r="E748" t="str">
        <f t="shared" si="11"/>
        <v>NV|offshore wind|Winter Peak</v>
      </c>
      <c r="F748">
        <v>0.95309999999999995</v>
      </c>
      <c r="G748">
        <v>0.95030000000000003</v>
      </c>
      <c r="H748">
        <v>0.95540000000000003</v>
      </c>
      <c r="I748">
        <v>0.96679999999999999</v>
      </c>
      <c r="J748">
        <v>1</v>
      </c>
      <c r="K748">
        <v>1</v>
      </c>
      <c r="L748">
        <v>1</v>
      </c>
      <c r="M748">
        <v>0.99209999999999998</v>
      </c>
      <c r="N748">
        <v>0.90149999999999997</v>
      </c>
      <c r="O748">
        <v>0.79779999999999995</v>
      </c>
      <c r="P748">
        <v>0.71879999999999999</v>
      </c>
      <c r="Q748">
        <v>0.67300000000000004</v>
      </c>
      <c r="R748">
        <v>0.60860000000000003</v>
      </c>
      <c r="S748">
        <v>0.58009999999999995</v>
      </c>
      <c r="T748">
        <v>0.58799999999999997</v>
      </c>
      <c r="U748">
        <v>0.61019999999999996</v>
      </c>
      <c r="V748">
        <v>0.61839999999999995</v>
      </c>
      <c r="W748">
        <v>0.60909999999999997</v>
      </c>
      <c r="X748">
        <v>0.62880000000000003</v>
      </c>
      <c r="Y748">
        <v>0.72889999999999999</v>
      </c>
      <c r="Z748">
        <v>0.84719999999999995</v>
      </c>
      <c r="AA748">
        <v>0.92220000000000002</v>
      </c>
      <c r="AB748">
        <v>0.86950000000000005</v>
      </c>
      <c r="AC748">
        <v>0.8054</v>
      </c>
    </row>
    <row r="749" spans="1:29" x14ac:dyDescent="0.45">
      <c r="A749" t="s">
        <v>86</v>
      </c>
      <c r="B749" t="s">
        <v>434</v>
      </c>
      <c r="C749" t="s">
        <v>435</v>
      </c>
      <c r="D749" t="s">
        <v>424</v>
      </c>
      <c r="E749" t="str">
        <f t="shared" si="11"/>
        <v>NY|onshore wind|Winter</v>
      </c>
      <c r="F749">
        <v>1</v>
      </c>
      <c r="G749">
        <v>1</v>
      </c>
      <c r="H749">
        <v>1</v>
      </c>
      <c r="I749">
        <v>1</v>
      </c>
      <c r="J749">
        <v>1</v>
      </c>
      <c r="K749">
        <v>1</v>
      </c>
      <c r="L749">
        <v>1</v>
      </c>
      <c r="M749">
        <v>1</v>
      </c>
      <c r="N749">
        <v>1</v>
      </c>
      <c r="O749">
        <v>1</v>
      </c>
      <c r="P749">
        <v>1</v>
      </c>
      <c r="Q749">
        <v>1</v>
      </c>
      <c r="R749">
        <v>1</v>
      </c>
      <c r="S749">
        <v>1</v>
      </c>
      <c r="T749">
        <v>1</v>
      </c>
      <c r="U749">
        <v>1</v>
      </c>
      <c r="V749">
        <v>1</v>
      </c>
      <c r="W749">
        <v>1</v>
      </c>
      <c r="X749">
        <v>1</v>
      </c>
      <c r="Y749">
        <v>1</v>
      </c>
      <c r="Z749">
        <v>1</v>
      </c>
      <c r="AA749">
        <v>1</v>
      </c>
      <c r="AB749">
        <v>1</v>
      </c>
      <c r="AC749">
        <v>1</v>
      </c>
    </row>
    <row r="750" spans="1:29" x14ac:dyDescent="0.45">
      <c r="A750" t="s">
        <v>86</v>
      </c>
      <c r="B750" t="s">
        <v>434</v>
      </c>
      <c r="C750" t="s">
        <v>435</v>
      </c>
      <c r="D750" t="s">
        <v>425</v>
      </c>
      <c r="E750" t="str">
        <f t="shared" si="11"/>
        <v>NY|onshore wind|Spring</v>
      </c>
      <c r="F750">
        <v>1</v>
      </c>
      <c r="G750">
        <v>1</v>
      </c>
      <c r="H750">
        <v>1</v>
      </c>
      <c r="I750">
        <v>1</v>
      </c>
      <c r="J750">
        <v>1</v>
      </c>
      <c r="K750">
        <v>1</v>
      </c>
      <c r="L750">
        <v>1</v>
      </c>
      <c r="M750">
        <v>1</v>
      </c>
      <c r="N750">
        <v>1</v>
      </c>
      <c r="O750">
        <v>1</v>
      </c>
      <c r="P750">
        <v>1</v>
      </c>
      <c r="Q750">
        <v>1</v>
      </c>
      <c r="R750">
        <v>1</v>
      </c>
      <c r="S750">
        <v>1</v>
      </c>
      <c r="T750">
        <v>1</v>
      </c>
      <c r="U750">
        <v>1</v>
      </c>
      <c r="V750">
        <v>1</v>
      </c>
      <c r="W750">
        <v>1</v>
      </c>
      <c r="X750">
        <v>1</v>
      </c>
      <c r="Y750">
        <v>1</v>
      </c>
      <c r="Z750">
        <v>1</v>
      </c>
      <c r="AA750">
        <v>1</v>
      </c>
      <c r="AB750">
        <v>1</v>
      </c>
      <c r="AC750">
        <v>1</v>
      </c>
    </row>
    <row r="751" spans="1:29" x14ac:dyDescent="0.45">
      <c r="A751" t="s">
        <v>86</v>
      </c>
      <c r="B751" t="s">
        <v>434</v>
      </c>
      <c r="C751" t="s">
        <v>435</v>
      </c>
      <c r="D751" t="s">
        <v>426</v>
      </c>
      <c r="E751" t="str">
        <f t="shared" si="11"/>
        <v>NY|onshore wind|Summer</v>
      </c>
      <c r="F751">
        <v>1</v>
      </c>
      <c r="G751">
        <v>1</v>
      </c>
      <c r="H751">
        <v>1</v>
      </c>
      <c r="I751">
        <v>1</v>
      </c>
      <c r="J751">
        <v>1</v>
      </c>
      <c r="K751">
        <v>1</v>
      </c>
      <c r="L751">
        <v>1</v>
      </c>
      <c r="M751">
        <v>1</v>
      </c>
      <c r="N751">
        <v>1</v>
      </c>
      <c r="O751">
        <v>1</v>
      </c>
      <c r="P751">
        <v>1</v>
      </c>
      <c r="Q751">
        <v>1</v>
      </c>
      <c r="R751">
        <v>1</v>
      </c>
      <c r="S751">
        <v>1</v>
      </c>
      <c r="T751">
        <v>1</v>
      </c>
      <c r="U751">
        <v>1</v>
      </c>
      <c r="V751">
        <v>1</v>
      </c>
      <c r="W751">
        <v>1</v>
      </c>
      <c r="X751">
        <v>1</v>
      </c>
      <c r="Y751">
        <v>1</v>
      </c>
      <c r="Z751">
        <v>1</v>
      </c>
      <c r="AA751">
        <v>1</v>
      </c>
      <c r="AB751">
        <v>1</v>
      </c>
      <c r="AC751">
        <v>1</v>
      </c>
    </row>
    <row r="752" spans="1:29" x14ac:dyDescent="0.45">
      <c r="A752" t="s">
        <v>86</v>
      </c>
      <c r="B752" t="s">
        <v>434</v>
      </c>
      <c r="C752" t="s">
        <v>435</v>
      </c>
      <c r="D752" t="s">
        <v>427</v>
      </c>
      <c r="E752" t="str">
        <f t="shared" si="11"/>
        <v>NY|onshore wind|Fall</v>
      </c>
      <c r="F752">
        <v>1</v>
      </c>
      <c r="G752">
        <v>1</v>
      </c>
      <c r="H752">
        <v>1</v>
      </c>
      <c r="I752">
        <v>1</v>
      </c>
      <c r="J752">
        <v>1</v>
      </c>
      <c r="K752">
        <v>1</v>
      </c>
      <c r="L752">
        <v>1</v>
      </c>
      <c r="M752">
        <v>1</v>
      </c>
      <c r="N752">
        <v>1</v>
      </c>
      <c r="O752">
        <v>1</v>
      </c>
      <c r="P752">
        <v>1</v>
      </c>
      <c r="Q752">
        <v>1</v>
      </c>
      <c r="R752">
        <v>1</v>
      </c>
      <c r="S752">
        <v>1</v>
      </c>
      <c r="T752">
        <v>1</v>
      </c>
      <c r="U752">
        <v>1</v>
      </c>
      <c r="V752">
        <v>1</v>
      </c>
      <c r="W752">
        <v>1</v>
      </c>
      <c r="X752">
        <v>1</v>
      </c>
      <c r="Y752">
        <v>1</v>
      </c>
      <c r="Z752">
        <v>1</v>
      </c>
      <c r="AA752">
        <v>1</v>
      </c>
      <c r="AB752">
        <v>1</v>
      </c>
      <c r="AC752">
        <v>1</v>
      </c>
    </row>
    <row r="753" spans="1:29" x14ac:dyDescent="0.45">
      <c r="A753" t="s">
        <v>86</v>
      </c>
      <c r="B753" t="s">
        <v>434</v>
      </c>
      <c r="C753" t="s">
        <v>435</v>
      </c>
      <c r="D753" t="s">
        <v>428</v>
      </c>
      <c r="E753" t="str">
        <f t="shared" si="11"/>
        <v>NY|onshore wind|Summer Peak</v>
      </c>
      <c r="F753">
        <v>0.35120000000000001</v>
      </c>
      <c r="G753">
        <v>0.28239999999999998</v>
      </c>
      <c r="H753">
        <v>0.2263</v>
      </c>
      <c r="I753">
        <v>0.1966</v>
      </c>
      <c r="J753">
        <v>0.18190000000000001</v>
      </c>
      <c r="K753">
        <v>0.17810000000000001</v>
      </c>
      <c r="L753">
        <v>0.17949999999999999</v>
      </c>
      <c r="M753">
        <v>0.17199999999999999</v>
      </c>
      <c r="N753">
        <v>0.27789999999999998</v>
      </c>
      <c r="O753">
        <v>0.30549999999999999</v>
      </c>
      <c r="P753">
        <v>0.38819999999999999</v>
      </c>
      <c r="Q753">
        <v>0.5071</v>
      </c>
      <c r="R753">
        <v>0.57410000000000005</v>
      </c>
      <c r="S753">
        <v>0.52829999999999999</v>
      </c>
      <c r="T753">
        <v>0.6391</v>
      </c>
      <c r="U753">
        <v>0.76100000000000001</v>
      </c>
      <c r="V753">
        <v>0.74429999999999996</v>
      </c>
      <c r="W753">
        <v>0.84870000000000001</v>
      </c>
      <c r="X753">
        <v>0.72489999999999999</v>
      </c>
      <c r="Y753">
        <v>0.80969999999999998</v>
      </c>
      <c r="Z753">
        <v>0.72370000000000001</v>
      </c>
      <c r="AA753">
        <v>0.6653</v>
      </c>
      <c r="AB753">
        <v>0.60850000000000004</v>
      </c>
      <c r="AC753">
        <v>0.55020000000000002</v>
      </c>
    </row>
    <row r="754" spans="1:29" x14ac:dyDescent="0.45">
      <c r="A754" t="s">
        <v>86</v>
      </c>
      <c r="B754" t="s">
        <v>434</v>
      </c>
      <c r="C754" t="s">
        <v>435</v>
      </c>
      <c r="D754" t="s">
        <v>429</v>
      </c>
      <c r="E754" t="str">
        <f t="shared" si="11"/>
        <v>NY|onshore wind|Winter Peak</v>
      </c>
      <c r="F754">
        <v>0.42680000000000001</v>
      </c>
      <c r="G754">
        <v>0.3886</v>
      </c>
      <c r="H754">
        <v>0.38650000000000001</v>
      </c>
      <c r="I754">
        <v>0.40770000000000001</v>
      </c>
      <c r="J754">
        <v>0.42730000000000001</v>
      </c>
      <c r="K754">
        <v>0.45839999999999997</v>
      </c>
      <c r="L754">
        <v>0.44140000000000001</v>
      </c>
      <c r="M754">
        <v>0.4662</v>
      </c>
      <c r="N754">
        <v>0.42980000000000002</v>
      </c>
      <c r="O754">
        <v>0.31259999999999999</v>
      </c>
      <c r="P754">
        <v>0.435</v>
      </c>
      <c r="Q754">
        <v>0.55349999999999999</v>
      </c>
      <c r="R754">
        <v>0.6119</v>
      </c>
      <c r="S754">
        <v>0.5877</v>
      </c>
      <c r="T754">
        <v>0.51419999999999999</v>
      </c>
      <c r="U754">
        <v>0.43630000000000002</v>
      </c>
      <c r="V754">
        <v>0.54449999999999998</v>
      </c>
      <c r="W754">
        <v>0.52790000000000004</v>
      </c>
      <c r="X754">
        <v>0.48499999999999999</v>
      </c>
      <c r="Y754">
        <v>0.45050000000000001</v>
      </c>
      <c r="Z754">
        <v>0.4138</v>
      </c>
      <c r="AA754">
        <v>0.38319999999999999</v>
      </c>
      <c r="AB754">
        <v>0.37130000000000002</v>
      </c>
      <c r="AC754">
        <v>0.36969999999999997</v>
      </c>
    </row>
    <row r="755" spans="1:29" x14ac:dyDescent="0.45">
      <c r="A755" t="s">
        <v>86</v>
      </c>
      <c r="B755" t="s">
        <v>436</v>
      </c>
      <c r="C755" t="s">
        <v>437</v>
      </c>
      <c r="D755" t="s">
        <v>424</v>
      </c>
      <c r="E755" t="str">
        <f t="shared" si="11"/>
        <v>NY|solar pv|Winter</v>
      </c>
      <c r="F755">
        <v>1</v>
      </c>
      <c r="G755">
        <v>1</v>
      </c>
      <c r="H755">
        <v>1</v>
      </c>
      <c r="I755">
        <v>1</v>
      </c>
      <c r="J755">
        <v>1</v>
      </c>
      <c r="K755">
        <v>1</v>
      </c>
      <c r="L755">
        <v>1</v>
      </c>
      <c r="M755">
        <v>1</v>
      </c>
      <c r="N755">
        <v>1</v>
      </c>
      <c r="O755">
        <v>1</v>
      </c>
      <c r="P755">
        <v>1</v>
      </c>
      <c r="Q755">
        <v>1</v>
      </c>
      <c r="R755">
        <v>1</v>
      </c>
      <c r="S755">
        <v>1</v>
      </c>
      <c r="T755">
        <v>1</v>
      </c>
      <c r="U755">
        <v>1</v>
      </c>
      <c r="V755">
        <v>1</v>
      </c>
      <c r="W755">
        <v>1</v>
      </c>
      <c r="X755">
        <v>1</v>
      </c>
      <c r="Y755">
        <v>1</v>
      </c>
      <c r="Z755">
        <v>1</v>
      </c>
      <c r="AA755">
        <v>1</v>
      </c>
      <c r="AB755">
        <v>1</v>
      </c>
      <c r="AC755">
        <v>1</v>
      </c>
    </row>
    <row r="756" spans="1:29" x14ac:dyDescent="0.45">
      <c r="A756" t="s">
        <v>86</v>
      </c>
      <c r="B756" t="s">
        <v>436</v>
      </c>
      <c r="C756" t="s">
        <v>437</v>
      </c>
      <c r="D756" t="s">
        <v>425</v>
      </c>
      <c r="E756" t="str">
        <f t="shared" si="11"/>
        <v>NY|solar pv|Spring</v>
      </c>
      <c r="F756">
        <v>1</v>
      </c>
      <c r="G756">
        <v>1</v>
      </c>
      <c r="H756">
        <v>1</v>
      </c>
      <c r="I756">
        <v>1</v>
      </c>
      <c r="J756">
        <v>1</v>
      </c>
      <c r="K756">
        <v>1</v>
      </c>
      <c r="L756">
        <v>1</v>
      </c>
      <c r="M756">
        <v>1</v>
      </c>
      <c r="N756">
        <v>1</v>
      </c>
      <c r="O756">
        <v>1</v>
      </c>
      <c r="P756">
        <v>1</v>
      </c>
      <c r="Q756">
        <v>1</v>
      </c>
      <c r="R756">
        <v>1</v>
      </c>
      <c r="S756">
        <v>1</v>
      </c>
      <c r="T756">
        <v>1</v>
      </c>
      <c r="U756">
        <v>1</v>
      </c>
      <c r="V756">
        <v>1</v>
      </c>
      <c r="W756">
        <v>1</v>
      </c>
      <c r="X756">
        <v>1</v>
      </c>
      <c r="Y756">
        <v>1</v>
      </c>
      <c r="Z756">
        <v>1</v>
      </c>
      <c r="AA756">
        <v>1</v>
      </c>
      <c r="AB756">
        <v>1</v>
      </c>
      <c r="AC756">
        <v>1</v>
      </c>
    </row>
    <row r="757" spans="1:29" x14ac:dyDescent="0.45">
      <c r="A757" t="s">
        <v>86</v>
      </c>
      <c r="B757" t="s">
        <v>436</v>
      </c>
      <c r="C757" t="s">
        <v>437</v>
      </c>
      <c r="D757" t="s">
        <v>426</v>
      </c>
      <c r="E757" t="str">
        <f t="shared" si="11"/>
        <v>NY|solar pv|Summer</v>
      </c>
      <c r="F757">
        <v>1</v>
      </c>
      <c r="G757">
        <v>1</v>
      </c>
      <c r="H757">
        <v>1</v>
      </c>
      <c r="I757">
        <v>1</v>
      </c>
      <c r="J757">
        <v>1</v>
      </c>
      <c r="K757">
        <v>1</v>
      </c>
      <c r="L757">
        <v>1</v>
      </c>
      <c r="M757">
        <v>1</v>
      </c>
      <c r="N757">
        <v>1</v>
      </c>
      <c r="O757">
        <v>1</v>
      </c>
      <c r="P757">
        <v>1</v>
      </c>
      <c r="Q757">
        <v>1</v>
      </c>
      <c r="R757">
        <v>1</v>
      </c>
      <c r="S757">
        <v>1</v>
      </c>
      <c r="T757">
        <v>1</v>
      </c>
      <c r="U757">
        <v>1</v>
      </c>
      <c r="V757">
        <v>1</v>
      </c>
      <c r="W757">
        <v>1</v>
      </c>
      <c r="X757">
        <v>1</v>
      </c>
      <c r="Y757">
        <v>1</v>
      </c>
      <c r="Z757">
        <v>1</v>
      </c>
      <c r="AA757">
        <v>1</v>
      </c>
      <c r="AB757">
        <v>1</v>
      </c>
      <c r="AC757">
        <v>1</v>
      </c>
    </row>
    <row r="758" spans="1:29" x14ac:dyDescent="0.45">
      <c r="A758" t="s">
        <v>86</v>
      </c>
      <c r="B758" t="s">
        <v>436</v>
      </c>
      <c r="C758" t="s">
        <v>437</v>
      </c>
      <c r="D758" t="s">
        <v>427</v>
      </c>
      <c r="E758" t="str">
        <f t="shared" si="11"/>
        <v>NY|solar pv|Fall</v>
      </c>
      <c r="F758">
        <v>1</v>
      </c>
      <c r="G758">
        <v>1</v>
      </c>
      <c r="H758">
        <v>1</v>
      </c>
      <c r="I758">
        <v>1</v>
      </c>
      <c r="J758">
        <v>1</v>
      </c>
      <c r="K758">
        <v>1</v>
      </c>
      <c r="L758">
        <v>1</v>
      </c>
      <c r="M758">
        <v>1</v>
      </c>
      <c r="N758">
        <v>1</v>
      </c>
      <c r="O758">
        <v>1</v>
      </c>
      <c r="P758">
        <v>1</v>
      </c>
      <c r="Q758">
        <v>1</v>
      </c>
      <c r="R758">
        <v>1</v>
      </c>
      <c r="S758">
        <v>1</v>
      </c>
      <c r="T758">
        <v>1</v>
      </c>
      <c r="U758">
        <v>1</v>
      </c>
      <c r="V758">
        <v>1</v>
      </c>
      <c r="W758">
        <v>1</v>
      </c>
      <c r="X758">
        <v>1</v>
      </c>
      <c r="Y758">
        <v>1</v>
      </c>
      <c r="Z758">
        <v>1</v>
      </c>
      <c r="AA758">
        <v>1</v>
      </c>
      <c r="AB758">
        <v>1</v>
      </c>
      <c r="AC758">
        <v>1</v>
      </c>
    </row>
    <row r="759" spans="1:29" x14ac:dyDescent="0.45">
      <c r="A759" t="s">
        <v>86</v>
      </c>
      <c r="B759" t="s">
        <v>436</v>
      </c>
      <c r="C759" t="s">
        <v>437</v>
      </c>
      <c r="D759" t="s">
        <v>428</v>
      </c>
      <c r="E759" t="str">
        <f t="shared" si="11"/>
        <v>NY|solar pv|Summer Peak</v>
      </c>
      <c r="F759">
        <v>1</v>
      </c>
      <c r="G759">
        <v>1</v>
      </c>
      <c r="H759">
        <v>1</v>
      </c>
      <c r="I759">
        <v>1</v>
      </c>
      <c r="J759">
        <v>0.24179999999999999</v>
      </c>
      <c r="K759">
        <v>0.83699999999999997</v>
      </c>
      <c r="L759">
        <v>0.81569999999999998</v>
      </c>
      <c r="M759">
        <v>0.87809999999999999</v>
      </c>
      <c r="N759">
        <v>0.87790000000000001</v>
      </c>
      <c r="O759">
        <v>0.92969999999999997</v>
      </c>
      <c r="P759">
        <v>0.88160000000000005</v>
      </c>
      <c r="Q759">
        <v>0.84619999999999995</v>
      </c>
      <c r="R759">
        <v>0.81769999999999998</v>
      </c>
      <c r="S759">
        <v>0.85009999999999997</v>
      </c>
      <c r="T759">
        <v>0.78949999999999998</v>
      </c>
      <c r="U759">
        <v>0.72170000000000001</v>
      </c>
      <c r="V759">
        <v>0.70799999999999996</v>
      </c>
      <c r="W759">
        <v>0.72629999999999995</v>
      </c>
      <c r="X759">
        <v>0.35970000000000002</v>
      </c>
      <c r="Y759">
        <v>1</v>
      </c>
      <c r="Z759">
        <v>1</v>
      </c>
      <c r="AA759">
        <v>1</v>
      </c>
      <c r="AB759">
        <v>1</v>
      </c>
      <c r="AC759">
        <v>1</v>
      </c>
    </row>
    <row r="760" spans="1:29" x14ac:dyDescent="0.45">
      <c r="A760" t="s">
        <v>86</v>
      </c>
      <c r="B760" t="s">
        <v>436</v>
      </c>
      <c r="C760" t="s">
        <v>437</v>
      </c>
      <c r="D760" t="s">
        <v>429</v>
      </c>
      <c r="E760" t="str">
        <f t="shared" si="11"/>
        <v>NY|solar pv|Winter Peak</v>
      </c>
      <c r="F760">
        <v>1</v>
      </c>
      <c r="G760">
        <v>1</v>
      </c>
      <c r="H760">
        <v>1</v>
      </c>
      <c r="I760">
        <v>1</v>
      </c>
      <c r="J760">
        <v>1</v>
      </c>
      <c r="K760">
        <v>1</v>
      </c>
      <c r="L760">
        <v>9.4799999999999995E-2</v>
      </c>
      <c r="M760">
        <v>0.57079999999999997</v>
      </c>
      <c r="N760">
        <v>0.76800000000000002</v>
      </c>
      <c r="O760">
        <v>0.6351</v>
      </c>
      <c r="P760">
        <v>0.70250000000000001</v>
      </c>
      <c r="Q760">
        <v>0.76680000000000004</v>
      </c>
      <c r="R760">
        <v>0.76749999999999996</v>
      </c>
      <c r="S760">
        <v>0.77749999999999997</v>
      </c>
      <c r="T760">
        <v>0.66890000000000005</v>
      </c>
      <c r="U760">
        <v>0.53910000000000002</v>
      </c>
      <c r="V760">
        <v>0</v>
      </c>
      <c r="W760">
        <v>1</v>
      </c>
      <c r="X760">
        <v>1</v>
      </c>
      <c r="Y760">
        <v>1</v>
      </c>
      <c r="Z760">
        <v>1</v>
      </c>
      <c r="AA760">
        <v>1</v>
      </c>
      <c r="AB760">
        <v>1</v>
      </c>
      <c r="AC760">
        <v>1</v>
      </c>
    </row>
    <row r="761" spans="1:29" x14ac:dyDescent="0.45">
      <c r="A761" t="s">
        <v>86</v>
      </c>
      <c r="B761" t="s">
        <v>438</v>
      </c>
      <c r="C761" t="s">
        <v>439</v>
      </c>
      <c r="D761" t="s">
        <v>424</v>
      </c>
      <c r="E761" t="str">
        <f t="shared" si="11"/>
        <v>NY|solar thermal|Winter</v>
      </c>
      <c r="F761">
        <v>1</v>
      </c>
      <c r="G761">
        <v>1</v>
      </c>
      <c r="H761">
        <v>1</v>
      </c>
      <c r="I761">
        <v>1</v>
      </c>
      <c r="J761">
        <v>1</v>
      </c>
      <c r="K761">
        <v>1</v>
      </c>
      <c r="L761">
        <v>1</v>
      </c>
      <c r="M761">
        <v>1</v>
      </c>
      <c r="N761">
        <v>1</v>
      </c>
      <c r="O761">
        <v>1</v>
      </c>
      <c r="P761">
        <v>1</v>
      </c>
      <c r="Q761">
        <v>1</v>
      </c>
      <c r="R761">
        <v>1</v>
      </c>
      <c r="S761">
        <v>1</v>
      </c>
      <c r="T761">
        <v>1</v>
      </c>
      <c r="U761">
        <v>1</v>
      </c>
      <c r="V761">
        <v>1</v>
      </c>
      <c r="W761">
        <v>1</v>
      </c>
      <c r="X761">
        <v>1</v>
      </c>
      <c r="Y761">
        <v>1</v>
      </c>
      <c r="Z761">
        <v>1</v>
      </c>
      <c r="AA761">
        <v>1</v>
      </c>
      <c r="AB761">
        <v>1</v>
      </c>
      <c r="AC761">
        <v>1</v>
      </c>
    </row>
    <row r="762" spans="1:29" x14ac:dyDescent="0.45">
      <c r="A762" t="s">
        <v>86</v>
      </c>
      <c r="B762" t="s">
        <v>438</v>
      </c>
      <c r="C762" t="s">
        <v>439</v>
      </c>
      <c r="D762" t="s">
        <v>425</v>
      </c>
      <c r="E762" t="str">
        <f t="shared" si="11"/>
        <v>NY|solar thermal|Spring</v>
      </c>
      <c r="F762">
        <v>1</v>
      </c>
      <c r="G762">
        <v>1</v>
      </c>
      <c r="H762">
        <v>1</v>
      </c>
      <c r="I762">
        <v>1</v>
      </c>
      <c r="J762">
        <v>1</v>
      </c>
      <c r="K762">
        <v>1</v>
      </c>
      <c r="L762">
        <v>1</v>
      </c>
      <c r="M762">
        <v>1</v>
      </c>
      <c r="N762">
        <v>1</v>
      </c>
      <c r="O762">
        <v>1</v>
      </c>
      <c r="P762">
        <v>1</v>
      </c>
      <c r="Q762">
        <v>1</v>
      </c>
      <c r="R762">
        <v>1</v>
      </c>
      <c r="S762">
        <v>1</v>
      </c>
      <c r="T762">
        <v>1</v>
      </c>
      <c r="U762">
        <v>1</v>
      </c>
      <c r="V762">
        <v>1</v>
      </c>
      <c r="W762">
        <v>1</v>
      </c>
      <c r="X762">
        <v>1</v>
      </c>
      <c r="Y762">
        <v>1</v>
      </c>
      <c r="Z762">
        <v>1</v>
      </c>
      <c r="AA762">
        <v>1</v>
      </c>
      <c r="AB762">
        <v>1</v>
      </c>
      <c r="AC762">
        <v>1</v>
      </c>
    </row>
    <row r="763" spans="1:29" x14ac:dyDescent="0.45">
      <c r="A763" t="s">
        <v>86</v>
      </c>
      <c r="B763" t="s">
        <v>438</v>
      </c>
      <c r="C763" t="s">
        <v>439</v>
      </c>
      <c r="D763" t="s">
        <v>426</v>
      </c>
      <c r="E763" t="str">
        <f t="shared" si="11"/>
        <v>NY|solar thermal|Summer</v>
      </c>
      <c r="F763">
        <v>1</v>
      </c>
      <c r="G763">
        <v>1</v>
      </c>
      <c r="H763">
        <v>1</v>
      </c>
      <c r="I763">
        <v>1</v>
      </c>
      <c r="J763">
        <v>1</v>
      </c>
      <c r="K763">
        <v>1</v>
      </c>
      <c r="L763">
        <v>1</v>
      </c>
      <c r="M763">
        <v>1</v>
      </c>
      <c r="N763">
        <v>1</v>
      </c>
      <c r="O763">
        <v>1</v>
      </c>
      <c r="P763">
        <v>1</v>
      </c>
      <c r="Q763">
        <v>1</v>
      </c>
      <c r="R763">
        <v>1</v>
      </c>
      <c r="S763">
        <v>1</v>
      </c>
      <c r="T763">
        <v>1</v>
      </c>
      <c r="U763">
        <v>1</v>
      </c>
      <c r="V763">
        <v>1</v>
      </c>
      <c r="W763">
        <v>1</v>
      </c>
      <c r="X763">
        <v>1</v>
      </c>
      <c r="Y763">
        <v>1</v>
      </c>
      <c r="Z763">
        <v>1</v>
      </c>
      <c r="AA763">
        <v>1</v>
      </c>
      <c r="AB763">
        <v>1</v>
      </c>
      <c r="AC763">
        <v>1</v>
      </c>
    </row>
    <row r="764" spans="1:29" x14ac:dyDescent="0.45">
      <c r="A764" t="s">
        <v>86</v>
      </c>
      <c r="B764" t="s">
        <v>438</v>
      </c>
      <c r="C764" t="s">
        <v>439</v>
      </c>
      <c r="D764" t="s">
        <v>427</v>
      </c>
      <c r="E764" t="str">
        <f t="shared" si="11"/>
        <v>NY|solar thermal|Fall</v>
      </c>
      <c r="F764">
        <v>1</v>
      </c>
      <c r="G764">
        <v>1</v>
      </c>
      <c r="H764">
        <v>1</v>
      </c>
      <c r="I764">
        <v>1</v>
      </c>
      <c r="J764">
        <v>1</v>
      </c>
      <c r="K764">
        <v>1</v>
      </c>
      <c r="L764">
        <v>1</v>
      </c>
      <c r="M764">
        <v>1</v>
      </c>
      <c r="N764">
        <v>1</v>
      </c>
      <c r="O764">
        <v>1</v>
      </c>
      <c r="P764">
        <v>1</v>
      </c>
      <c r="Q764">
        <v>1</v>
      </c>
      <c r="R764">
        <v>1</v>
      </c>
      <c r="S764">
        <v>1</v>
      </c>
      <c r="T764">
        <v>1</v>
      </c>
      <c r="U764">
        <v>1</v>
      </c>
      <c r="V764">
        <v>1</v>
      </c>
      <c r="W764">
        <v>1</v>
      </c>
      <c r="X764">
        <v>1</v>
      </c>
      <c r="Y764">
        <v>1</v>
      </c>
      <c r="Z764">
        <v>1</v>
      </c>
      <c r="AA764">
        <v>1</v>
      </c>
      <c r="AB764">
        <v>1</v>
      </c>
      <c r="AC764">
        <v>1</v>
      </c>
    </row>
    <row r="765" spans="1:29" x14ac:dyDescent="0.45">
      <c r="A765" t="s">
        <v>86</v>
      </c>
      <c r="B765" t="s">
        <v>438</v>
      </c>
      <c r="C765" t="s">
        <v>439</v>
      </c>
      <c r="D765" t="s">
        <v>428</v>
      </c>
      <c r="E765" t="str">
        <f t="shared" si="11"/>
        <v>NY|solar thermal|Summer Peak</v>
      </c>
      <c r="F765">
        <v>1</v>
      </c>
      <c r="G765">
        <v>1</v>
      </c>
      <c r="H765">
        <v>1</v>
      </c>
      <c r="I765">
        <v>1</v>
      </c>
      <c r="J765">
        <v>1</v>
      </c>
      <c r="K765">
        <v>1</v>
      </c>
      <c r="L765">
        <v>1</v>
      </c>
      <c r="M765">
        <v>0</v>
      </c>
      <c r="N765">
        <v>0.8639</v>
      </c>
      <c r="O765">
        <v>1</v>
      </c>
      <c r="P765">
        <v>1</v>
      </c>
      <c r="Q765">
        <v>0.97160000000000002</v>
      </c>
      <c r="R765">
        <v>0.96719999999999995</v>
      </c>
      <c r="S765">
        <v>1</v>
      </c>
      <c r="T765">
        <v>1</v>
      </c>
      <c r="U765">
        <v>1</v>
      </c>
      <c r="V765">
        <v>1</v>
      </c>
      <c r="W765">
        <v>1</v>
      </c>
      <c r="X765">
        <v>1</v>
      </c>
      <c r="Y765">
        <v>0.93130000000000002</v>
      </c>
      <c r="Z765">
        <v>0.70220000000000005</v>
      </c>
      <c r="AA765">
        <v>1</v>
      </c>
      <c r="AB765">
        <v>1</v>
      </c>
      <c r="AC765">
        <v>1</v>
      </c>
    </row>
    <row r="766" spans="1:29" x14ac:dyDescent="0.45">
      <c r="A766" t="s">
        <v>86</v>
      </c>
      <c r="B766" t="s">
        <v>438</v>
      </c>
      <c r="C766" t="s">
        <v>439</v>
      </c>
      <c r="D766" t="s">
        <v>429</v>
      </c>
      <c r="E766" t="str">
        <f t="shared" si="11"/>
        <v>NY|solar thermal|Winter Peak</v>
      </c>
      <c r="F766">
        <v>1</v>
      </c>
      <c r="G766">
        <v>1</v>
      </c>
      <c r="H766">
        <v>1</v>
      </c>
      <c r="I766">
        <v>1</v>
      </c>
      <c r="J766">
        <v>1</v>
      </c>
      <c r="K766">
        <v>1</v>
      </c>
      <c r="L766">
        <v>1</v>
      </c>
      <c r="M766">
        <v>1</v>
      </c>
      <c r="N766">
        <v>1</v>
      </c>
      <c r="O766">
        <v>0.2419</v>
      </c>
      <c r="P766">
        <v>0.95320000000000005</v>
      </c>
      <c r="Q766">
        <v>0.88039999999999996</v>
      </c>
      <c r="R766">
        <v>0.97819999999999996</v>
      </c>
      <c r="S766">
        <v>0.98950000000000005</v>
      </c>
      <c r="T766">
        <v>0.99270000000000003</v>
      </c>
      <c r="U766">
        <v>1</v>
      </c>
      <c r="V766">
        <v>1</v>
      </c>
      <c r="W766">
        <v>1</v>
      </c>
      <c r="X766">
        <v>0.89019999999999999</v>
      </c>
      <c r="Y766">
        <v>0</v>
      </c>
      <c r="Z766">
        <v>1</v>
      </c>
      <c r="AA766">
        <v>1</v>
      </c>
      <c r="AB766">
        <v>1</v>
      </c>
      <c r="AC766">
        <v>1</v>
      </c>
    </row>
    <row r="767" spans="1:29" x14ac:dyDescent="0.45">
      <c r="A767" t="s">
        <v>86</v>
      </c>
      <c r="B767" t="s">
        <v>440</v>
      </c>
      <c r="C767" t="s">
        <v>441</v>
      </c>
      <c r="D767" t="s">
        <v>424</v>
      </c>
      <c r="E767" t="str">
        <f t="shared" si="11"/>
        <v>NY|offshore wind|Winter</v>
      </c>
      <c r="F767">
        <v>1</v>
      </c>
      <c r="G767">
        <v>1</v>
      </c>
      <c r="H767">
        <v>1</v>
      </c>
      <c r="I767">
        <v>1</v>
      </c>
      <c r="J767">
        <v>1</v>
      </c>
      <c r="K767">
        <v>1</v>
      </c>
      <c r="L767">
        <v>1</v>
      </c>
      <c r="M767">
        <v>1</v>
      </c>
      <c r="N767">
        <v>1</v>
      </c>
      <c r="O767">
        <v>1</v>
      </c>
      <c r="P767">
        <v>1</v>
      </c>
      <c r="Q767">
        <v>1</v>
      </c>
      <c r="R767">
        <v>1</v>
      </c>
      <c r="S767">
        <v>1</v>
      </c>
      <c r="T767">
        <v>1</v>
      </c>
      <c r="U767">
        <v>1</v>
      </c>
      <c r="V767">
        <v>1</v>
      </c>
      <c r="W767">
        <v>1</v>
      </c>
      <c r="X767">
        <v>1</v>
      </c>
      <c r="Y767">
        <v>1</v>
      </c>
      <c r="Z767">
        <v>1</v>
      </c>
      <c r="AA767">
        <v>1</v>
      </c>
      <c r="AB767">
        <v>1</v>
      </c>
      <c r="AC767">
        <v>1</v>
      </c>
    </row>
    <row r="768" spans="1:29" x14ac:dyDescent="0.45">
      <c r="A768" t="s">
        <v>86</v>
      </c>
      <c r="B768" t="s">
        <v>440</v>
      </c>
      <c r="C768" t="s">
        <v>441</v>
      </c>
      <c r="D768" t="s">
        <v>425</v>
      </c>
      <c r="E768" t="str">
        <f t="shared" si="11"/>
        <v>NY|offshore wind|Spring</v>
      </c>
      <c r="F768">
        <v>1</v>
      </c>
      <c r="G768">
        <v>1</v>
      </c>
      <c r="H768">
        <v>1</v>
      </c>
      <c r="I768">
        <v>1</v>
      </c>
      <c r="J768">
        <v>1</v>
      </c>
      <c r="K768">
        <v>1</v>
      </c>
      <c r="L768">
        <v>1</v>
      </c>
      <c r="M768">
        <v>1</v>
      </c>
      <c r="N768">
        <v>1</v>
      </c>
      <c r="O768">
        <v>1</v>
      </c>
      <c r="P768">
        <v>1</v>
      </c>
      <c r="Q768">
        <v>1</v>
      </c>
      <c r="R768">
        <v>1</v>
      </c>
      <c r="S768">
        <v>1</v>
      </c>
      <c r="T768">
        <v>1</v>
      </c>
      <c r="U768">
        <v>1</v>
      </c>
      <c r="V768">
        <v>1</v>
      </c>
      <c r="W768">
        <v>1</v>
      </c>
      <c r="X768">
        <v>1</v>
      </c>
      <c r="Y768">
        <v>1</v>
      </c>
      <c r="Z768">
        <v>1</v>
      </c>
      <c r="AA768">
        <v>1</v>
      </c>
      <c r="AB768">
        <v>1</v>
      </c>
      <c r="AC768">
        <v>1</v>
      </c>
    </row>
    <row r="769" spans="1:29" x14ac:dyDescent="0.45">
      <c r="A769" t="s">
        <v>86</v>
      </c>
      <c r="B769" t="s">
        <v>440</v>
      </c>
      <c r="C769" t="s">
        <v>441</v>
      </c>
      <c r="D769" t="s">
        <v>426</v>
      </c>
      <c r="E769" t="str">
        <f t="shared" si="11"/>
        <v>NY|offshore wind|Summer</v>
      </c>
      <c r="F769">
        <v>1</v>
      </c>
      <c r="G769">
        <v>1</v>
      </c>
      <c r="H769">
        <v>1</v>
      </c>
      <c r="I769">
        <v>1</v>
      </c>
      <c r="J769">
        <v>1</v>
      </c>
      <c r="K769">
        <v>1</v>
      </c>
      <c r="L769">
        <v>1</v>
      </c>
      <c r="M769">
        <v>1</v>
      </c>
      <c r="N769">
        <v>1</v>
      </c>
      <c r="O769">
        <v>1</v>
      </c>
      <c r="P769">
        <v>1</v>
      </c>
      <c r="Q769">
        <v>1</v>
      </c>
      <c r="R769">
        <v>1</v>
      </c>
      <c r="S769">
        <v>1</v>
      </c>
      <c r="T769">
        <v>1</v>
      </c>
      <c r="U769">
        <v>1</v>
      </c>
      <c r="V769">
        <v>1</v>
      </c>
      <c r="W769">
        <v>1</v>
      </c>
      <c r="X769">
        <v>1</v>
      </c>
      <c r="Y769">
        <v>1</v>
      </c>
      <c r="Z769">
        <v>1</v>
      </c>
      <c r="AA769">
        <v>1</v>
      </c>
      <c r="AB769">
        <v>1</v>
      </c>
      <c r="AC769">
        <v>1</v>
      </c>
    </row>
    <row r="770" spans="1:29" x14ac:dyDescent="0.45">
      <c r="A770" t="s">
        <v>86</v>
      </c>
      <c r="B770" t="s">
        <v>440</v>
      </c>
      <c r="C770" t="s">
        <v>441</v>
      </c>
      <c r="D770" t="s">
        <v>427</v>
      </c>
      <c r="E770" t="str">
        <f t="shared" si="11"/>
        <v>NY|offshore wind|Fall</v>
      </c>
      <c r="F770">
        <v>1</v>
      </c>
      <c r="G770">
        <v>1</v>
      </c>
      <c r="H770">
        <v>1</v>
      </c>
      <c r="I770">
        <v>1</v>
      </c>
      <c r="J770">
        <v>1</v>
      </c>
      <c r="K770">
        <v>1</v>
      </c>
      <c r="L770">
        <v>1</v>
      </c>
      <c r="M770">
        <v>1</v>
      </c>
      <c r="N770">
        <v>1</v>
      </c>
      <c r="O770">
        <v>1</v>
      </c>
      <c r="P770">
        <v>1</v>
      </c>
      <c r="Q770">
        <v>1</v>
      </c>
      <c r="R770">
        <v>1</v>
      </c>
      <c r="S770">
        <v>1</v>
      </c>
      <c r="T770">
        <v>1</v>
      </c>
      <c r="U770">
        <v>1</v>
      </c>
      <c r="V770">
        <v>1</v>
      </c>
      <c r="W770">
        <v>1</v>
      </c>
      <c r="X770">
        <v>1</v>
      </c>
      <c r="Y770">
        <v>1</v>
      </c>
      <c r="Z770">
        <v>1</v>
      </c>
      <c r="AA770">
        <v>1</v>
      </c>
      <c r="AB770">
        <v>1</v>
      </c>
      <c r="AC770">
        <v>1</v>
      </c>
    </row>
    <row r="771" spans="1:29" x14ac:dyDescent="0.45">
      <c r="A771" t="s">
        <v>86</v>
      </c>
      <c r="B771" t="s">
        <v>440</v>
      </c>
      <c r="C771" t="s">
        <v>441</v>
      </c>
      <c r="D771" t="s">
        <v>428</v>
      </c>
      <c r="E771" t="str">
        <f t="shared" si="11"/>
        <v>NY|offshore wind|Summer Peak</v>
      </c>
      <c r="F771">
        <v>0.56379999999999997</v>
      </c>
      <c r="G771">
        <v>0.4083</v>
      </c>
      <c r="H771">
        <v>0.31440000000000001</v>
      </c>
      <c r="I771">
        <v>0.39500000000000002</v>
      </c>
      <c r="J771">
        <v>0.34300000000000003</v>
      </c>
      <c r="K771">
        <v>0.2828</v>
      </c>
      <c r="L771">
        <v>0.33529999999999999</v>
      </c>
      <c r="M771">
        <v>0.36709999999999998</v>
      </c>
      <c r="N771">
        <v>0.44690000000000002</v>
      </c>
      <c r="O771">
        <v>0.4521</v>
      </c>
      <c r="P771">
        <v>0.37519999999999998</v>
      </c>
      <c r="Q771">
        <v>0.54200000000000004</v>
      </c>
      <c r="R771">
        <v>0.66479999999999995</v>
      </c>
      <c r="S771">
        <v>0.66239999999999999</v>
      </c>
      <c r="T771">
        <v>0.59179999999999999</v>
      </c>
      <c r="U771">
        <v>0.57940000000000003</v>
      </c>
      <c r="V771">
        <v>0.68159999999999998</v>
      </c>
      <c r="W771">
        <v>0.72140000000000004</v>
      </c>
      <c r="X771">
        <v>0.67649999999999999</v>
      </c>
      <c r="Y771">
        <v>0.53879999999999995</v>
      </c>
      <c r="Z771">
        <v>0.44379999999999997</v>
      </c>
      <c r="AA771">
        <v>0.40110000000000001</v>
      </c>
      <c r="AB771">
        <v>0.37830000000000003</v>
      </c>
      <c r="AC771">
        <v>0.31359999999999999</v>
      </c>
    </row>
    <row r="772" spans="1:29" x14ac:dyDescent="0.45">
      <c r="A772" t="s">
        <v>86</v>
      </c>
      <c r="B772" t="s">
        <v>440</v>
      </c>
      <c r="C772" t="s">
        <v>441</v>
      </c>
      <c r="D772" t="s">
        <v>429</v>
      </c>
      <c r="E772" t="str">
        <f t="shared" si="11"/>
        <v>NY|offshore wind|Winter Peak</v>
      </c>
      <c r="F772">
        <v>0.87680000000000002</v>
      </c>
      <c r="G772">
        <v>0.82399999999999995</v>
      </c>
      <c r="H772">
        <v>0.78310000000000002</v>
      </c>
      <c r="I772">
        <v>0.79790000000000005</v>
      </c>
      <c r="J772">
        <v>0.73029999999999995</v>
      </c>
      <c r="K772">
        <v>0.65669999999999995</v>
      </c>
      <c r="L772">
        <v>0.56610000000000005</v>
      </c>
      <c r="M772">
        <v>0.52270000000000005</v>
      </c>
      <c r="N772">
        <v>0.48570000000000002</v>
      </c>
      <c r="O772">
        <v>0.4592</v>
      </c>
      <c r="P772">
        <v>0.44619999999999999</v>
      </c>
      <c r="Q772">
        <v>0.44869999999999999</v>
      </c>
      <c r="R772">
        <v>0.39710000000000001</v>
      </c>
      <c r="S772">
        <v>0.36230000000000001</v>
      </c>
      <c r="T772">
        <v>0.33019999999999999</v>
      </c>
      <c r="U772">
        <v>0.33160000000000001</v>
      </c>
      <c r="V772">
        <v>0.40239999999999998</v>
      </c>
      <c r="W772">
        <v>0.49409999999999998</v>
      </c>
      <c r="X772">
        <v>0.66300000000000003</v>
      </c>
      <c r="Y772">
        <v>0.81469999999999998</v>
      </c>
      <c r="Z772">
        <v>0.87990000000000002</v>
      </c>
      <c r="AA772">
        <v>0.80610000000000004</v>
      </c>
      <c r="AB772">
        <v>0.72070000000000001</v>
      </c>
      <c r="AC772">
        <v>0.70640000000000003</v>
      </c>
    </row>
    <row r="773" spans="1:29" x14ac:dyDescent="0.45">
      <c r="A773" t="s">
        <v>88</v>
      </c>
      <c r="B773" t="s">
        <v>434</v>
      </c>
      <c r="C773" t="s">
        <v>435</v>
      </c>
      <c r="D773" t="s">
        <v>424</v>
      </c>
      <c r="E773" t="str">
        <f t="shared" ref="E773:E836" si="12">A773&amp;"|"&amp;C773&amp;"|"&amp;D773</f>
        <v>OH|onshore wind|Winter</v>
      </c>
      <c r="F773">
        <v>1</v>
      </c>
      <c r="G773">
        <v>1</v>
      </c>
      <c r="H773">
        <v>1</v>
      </c>
      <c r="I773">
        <v>1</v>
      </c>
      <c r="J773">
        <v>1</v>
      </c>
      <c r="K773">
        <v>1</v>
      </c>
      <c r="L773">
        <v>1</v>
      </c>
      <c r="M773">
        <v>1</v>
      </c>
      <c r="N773">
        <v>1</v>
      </c>
      <c r="O773">
        <v>1</v>
      </c>
      <c r="P773">
        <v>1</v>
      </c>
      <c r="Q773">
        <v>1</v>
      </c>
      <c r="R773">
        <v>1</v>
      </c>
      <c r="S773">
        <v>1</v>
      </c>
      <c r="T773">
        <v>1</v>
      </c>
      <c r="U773">
        <v>1</v>
      </c>
      <c r="V773">
        <v>1</v>
      </c>
      <c r="W773">
        <v>1</v>
      </c>
      <c r="X773">
        <v>1</v>
      </c>
      <c r="Y773">
        <v>1</v>
      </c>
      <c r="Z773">
        <v>1</v>
      </c>
      <c r="AA773">
        <v>1</v>
      </c>
      <c r="AB773">
        <v>1</v>
      </c>
      <c r="AC773">
        <v>1</v>
      </c>
    </row>
    <row r="774" spans="1:29" x14ac:dyDescent="0.45">
      <c r="A774" t="s">
        <v>88</v>
      </c>
      <c r="B774" t="s">
        <v>434</v>
      </c>
      <c r="C774" t="s">
        <v>435</v>
      </c>
      <c r="D774" t="s">
        <v>425</v>
      </c>
      <c r="E774" t="str">
        <f t="shared" si="12"/>
        <v>OH|onshore wind|Spring</v>
      </c>
      <c r="F774">
        <v>1</v>
      </c>
      <c r="G774">
        <v>1</v>
      </c>
      <c r="H774">
        <v>1</v>
      </c>
      <c r="I774">
        <v>1</v>
      </c>
      <c r="J774">
        <v>1</v>
      </c>
      <c r="K774">
        <v>1</v>
      </c>
      <c r="L774">
        <v>1</v>
      </c>
      <c r="M774">
        <v>1</v>
      </c>
      <c r="N774">
        <v>1</v>
      </c>
      <c r="O774">
        <v>1</v>
      </c>
      <c r="P774">
        <v>1</v>
      </c>
      <c r="Q774">
        <v>1</v>
      </c>
      <c r="R774">
        <v>1</v>
      </c>
      <c r="S774">
        <v>1</v>
      </c>
      <c r="T774">
        <v>1</v>
      </c>
      <c r="U774">
        <v>1</v>
      </c>
      <c r="V774">
        <v>1</v>
      </c>
      <c r="W774">
        <v>1</v>
      </c>
      <c r="X774">
        <v>1</v>
      </c>
      <c r="Y774">
        <v>1</v>
      </c>
      <c r="Z774">
        <v>1</v>
      </c>
      <c r="AA774">
        <v>1</v>
      </c>
      <c r="AB774">
        <v>1</v>
      </c>
      <c r="AC774">
        <v>1</v>
      </c>
    </row>
    <row r="775" spans="1:29" x14ac:dyDescent="0.45">
      <c r="A775" t="s">
        <v>88</v>
      </c>
      <c r="B775" t="s">
        <v>434</v>
      </c>
      <c r="C775" t="s">
        <v>435</v>
      </c>
      <c r="D775" t="s">
        <v>426</v>
      </c>
      <c r="E775" t="str">
        <f t="shared" si="12"/>
        <v>OH|onshore wind|Summer</v>
      </c>
      <c r="F775">
        <v>1</v>
      </c>
      <c r="G775">
        <v>1</v>
      </c>
      <c r="H775">
        <v>1</v>
      </c>
      <c r="I775">
        <v>1</v>
      </c>
      <c r="J775">
        <v>1</v>
      </c>
      <c r="K775">
        <v>1</v>
      </c>
      <c r="L775">
        <v>1</v>
      </c>
      <c r="M775">
        <v>1</v>
      </c>
      <c r="N775">
        <v>1</v>
      </c>
      <c r="O775">
        <v>1</v>
      </c>
      <c r="P775">
        <v>1</v>
      </c>
      <c r="Q775">
        <v>1</v>
      </c>
      <c r="R775">
        <v>1</v>
      </c>
      <c r="S775">
        <v>1</v>
      </c>
      <c r="T775">
        <v>1</v>
      </c>
      <c r="U775">
        <v>1</v>
      </c>
      <c r="V775">
        <v>1</v>
      </c>
      <c r="W775">
        <v>1</v>
      </c>
      <c r="X775">
        <v>1</v>
      </c>
      <c r="Y775">
        <v>1</v>
      </c>
      <c r="Z775">
        <v>1</v>
      </c>
      <c r="AA775">
        <v>1</v>
      </c>
      <c r="AB775">
        <v>1</v>
      </c>
      <c r="AC775">
        <v>1</v>
      </c>
    </row>
    <row r="776" spans="1:29" x14ac:dyDescent="0.45">
      <c r="A776" t="s">
        <v>88</v>
      </c>
      <c r="B776" t="s">
        <v>434</v>
      </c>
      <c r="C776" t="s">
        <v>435</v>
      </c>
      <c r="D776" t="s">
        <v>427</v>
      </c>
      <c r="E776" t="str">
        <f t="shared" si="12"/>
        <v>OH|onshore wind|Fall</v>
      </c>
      <c r="F776">
        <v>1</v>
      </c>
      <c r="G776">
        <v>1</v>
      </c>
      <c r="H776">
        <v>1</v>
      </c>
      <c r="I776">
        <v>1</v>
      </c>
      <c r="J776">
        <v>1</v>
      </c>
      <c r="K776">
        <v>1</v>
      </c>
      <c r="L776">
        <v>1</v>
      </c>
      <c r="M776">
        <v>1</v>
      </c>
      <c r="N776">
        <v>1</v>
      </c>
      <c r="O776">
        <v>1</v>
      </c>
      <c r="P776">
        <v>1</v>
      </c>
      <c r="Q776">
        <v>1</v>
      </c>
      <c r="R776">
        <v>1</v>
      </c>
      <c r="S776">
        <v>1</v>
      </c>
      <c r="T776">
        <v>1</v>
      </c>
      <c r="U776">
        <v>1</v>
      </c>
      <c r="V776">
        <v>1</v>
      </c>
      <c r="W776">
        <v>1</v>
      </c>
      <c r="X776">
        <v>1</v>
      </c>
      <c r="Y776">
        <v>1</v>
      </c>
      <c r="Z776">
        <v>1</v>
      </c>
      <c r="AA776">
        <v>1</v>
      </c>
      <c r="AB776">
        <v>1</v>
      </c>
      <c r="AC776">
        <v>1</v>
      </c>
    </row>
    <row r="777" spans="1:29" x14ac:dyDescent="0.45">
      <c r="A777" t="s">
        <v>88</v>
      </c>
      <c r="B777" t="s">
        <v>434</v>
      </c>
      <c r="C777" t="s">
        <v>435</v>
      </c>
      <c r="D777" t="s">
        <v>428</v>
      </c>
      <c r="E777" t="str">
        <f t="shared" si="12"/>
        <v>OH|onshore wind|Summer Peak</v>
      </c>
      <c r="F777">
        <v>0.47449999999999998</v>
      </c>
      <c r="G777">
        <v>0.40760000000000002</v>
      </c>
      <c r="H777">
        <v>0.32029999999999997</v>
      </c>
      <c r="I777">
        <v>0.29699999999999999</v>
      </c>
      <c r="J777">
        <v>0.24</v>
      </c>
      <c r="K777">
        <v>0.2727</v>
      </c>
      <c r="L777">
        <v>0.31900000000000001</v>
      </c>
      <c r="M777">
        <v>9.3299999999999994E-2</v>
      </c>
      <c r="N777">
        <v>6.6900000000000001E-2</v>
      </c>
      <c r="O777">
        <v>9.0999999999999998E-2</v>
      </c>
      <c r="P777">
        <v>0.13780000000000001</v>
      </c>
      <c r="Q777">
        <v>0.20649999999999999</v>
      </c>
      <c r="R777">
        <v>0.19869999999999999</v>
      </c>
      <c r="S777">
        <v>0.16600000000000001</v>
      </c>
      <c r="T777">
        <v>0.1477</v>
      </c>
      <c r="U777">
        <v>0.13750000000000001</v>
      </c>
      <c r="V777">
        <v>0.21579999999999999</v>
      </c>
      <c r="W777">
        <v>0.27010000000000001</v>
      </c>
      <c r="X777">
        <v>0.40770000000000001</v>
      </c>
      <c r="Y777">
        <v>0.41089999999999999</v>
      </c>
      <c r="Z777">
        <v>0.46050000000000002</v>
      </c>
      <c r="AA777">
        <v>0.45529999999999998</v>
      </c>
      <c r="AB777">
        <v>0.47889999999999999</v>
      </c>
      <c r="AC777">
        <v>0.40939999999999999</v>
      </c>
    </row>
    <row r="778" spans="1:29" x14ac:dyDescent="0.45">
      <c r="A778" t="s">
        <v>88</v>
      </c>
      <c r="B778" t="s">
        <v>434</v>
      </c>
      <c r="C778" t="s">
        <v>435</v>
      </c>
      <c r="D778" t="s">
        <v>429</v>
      </c>
      <c r="E778" t="str">
        <f t="shared" si="12"/>
        <v>OH|onshore wind|Winter Peak</v>
      </c>
      <c r="F778">
        <v>0.43930000000000002</v>
      </c>
      <c r="G778">
        <v>0.46600000000000003</v>
      </c>
      <c r="H778">
        <v>0.53280000000000005</v>
      </c>
      <c r="I778">
        <v>0.66039999999999999</v>
      </c>
      <c r="J778">
        <v>0.60729999999999995</v>
      </c>
      <c r="K778">
        <v>0.52349999999999997</v>
      </c>
      <c r="L778">
        <v>0.44469999999999998</v>
      </c>
      <c r="M778">
        <v>0.44490000000000002</v>
      </c>
      <c r="N778">
        <v>0.47039999999999998</v>
      </c>
      <c r="O778">
        <v>0.21729999999999999</v>
      </c>
      <c r="P778">
        <v>0.1202</v>
      </c>
      <c r="Q778">
        <v>0.1235</v>
      </c>
      <c r="R778">
        <v>0.12609999999999999</v>
      </c>
      <c r="S778">
        <v>0.1547</v>
      </c>
      <c r="T778">
        <v>0.20649999999999999</v>
      </c>
      <c r="U778">
        <v>0.31340000000000001</v>
      </c>
      <c r="V778">
        <v>0.17760000000000001</v>
      </c>
      <c r="W778">
        <v>0.1744</v>
      </c>
      <c r="X778">
        <v>0.1943</v>
      </c>
      <c r="Y778">
        <v>0.22839999999999999</v>
      </c>
      <c r="Z778">
        <v>0.2424</v>
      </c>
      <c r="AA778">
        <v>0.3029</v>
      </c>
      <c r="AB778">
        <v>0.38690000000000002</v>
      </c>
      <c r="AC778">
        <v>0.43680000000000002</v>
      </c>
    </row>
    <row r="779" spans="1:29" x14ac:dyDescent="0.45">
      <c r="A779" t="s">
        <v>88</v>
      </c>
      <c r="B779" t="s">
        <v>436</v>
      </c>
      <c r="C779" t="s">
        <v>437</v>
      </c>
      <c r="D779" t="s">
        <v>424</v>
      </c>
      <c r="E779" t="str">
        <f t="shared" si="12"/>
        <v>OH|solar pv|Winter</v>
      </c>
      <c r="F779">
        <v>1</v>
      </c>
      <c r="G779">
        <v>1</v>
      </c>
      <c r="H779">
        <v>1</v>
      </c>
      <c r="I779">
        <v>1</v>
      </c>
      <c r="J779">
        <v>1</v>
      </c>
      <c r="K779">
        <v>1</v>
      </c>
      <c r="L779">
        <v>1</v>
      </c>
      <c r="M779">
        <v>1</v>
      </c>
      <c r="N779">
        <v>1</v>
      </c>
      <c r="O779">
        <v>1</v>
      </c>
      <c r="P779">
        <v>1</v>
      </c>
      <c r="Q779">
        <v>1</v>
      </c>
      <c r="R779">
        <v>1</v>
      </c>
      <c r="S779">
        <v>1</v>
      </c>
      <c r="T779">
        <v>1</v>
      </c>
      <c r="U779">
        <v>1</v>
      </c>
      <c r="V779">
        <v>1</v>
      </c>
      <c r="W779">
        <v>1</v>
      </c>
      <c r="X779">
        <v>1</v>
      </c>
      <c r="Y779">
        <v>1</v>
      </c>
      <c r="Z779">
        <v>1</v>
      </c>
      <c r="AA779">
        <v>1</v>
      </c>
      <c r="AB779">
        <v>1</v>
      </c>
      <c r="AC779">
        <v>1</v>
      </c>
    </row>
    <row r="780" spans="1:29" x14ac:dyDescent="0.45">
      <c r="A780" t="s">
        <v>88</v>
      </c>
      <c r="B780" t="s">
        <v>436</v>
      </c>
      <c r="C780" t="s">
        <v>437</v>
      </c>
      <c r="D780" t="s">
        <v>425</v>
      </c>
      <c r="E780" t="str">
        <f t="shared" si="12"/>
        <v>OH|solar pv|Spring</v>
      </c>
      <c r="F780">
        <v>1</v>
      </c>
      <c r="G780">
        <v>1</v>
      </c>
      <c r="H780">
        <v>1</v>
      </c>
      <c r="I780">
        <v>1</v>
      </c>
      <c r="J780">
        <v>1</v>
      </c>
      <c r="K780">
        <v>1</v>
      </c>
      <c r="L780">
        <v>1</v>
      </c>
      <c r="M780">
        <v>1</v>
      </c>
      <c r="N780">
        <v>1</v>
      </c>
      <c r="O780">
        <v>1</v>
      </c>
      <c r="P780">
        <v>1</v>
      </c>
      <c r="Q780">
        <v>1</v>
      </c>
      <c r="R780">
        <v>1</v>
      </c>
      <c r="S780">
        <v>1</v>
      </c>
      <c r="T780">
        <v>1</v>
      </c>
      <c r="U780">
        <v>1</v>
      </c>
      <c r="V780">
        <v>1</v>
      </c>
      <c r="W780">
        <v>1</v>
      </c>
      <c r="X780">
        <v>1</v>
      </c>
      <c r="Y780">
        <v>1</v>
      </c>
      <c r="Z780">
        <v>1</v>
      </c>
      <c r="AA780">
        <v>1</v>
      </c>
      <c r="AB780">
        <v>1</v>
      </c>
      <c r="AC780">
        <v>1</v>
      </c>
    </row>
    <row r="781" spans="1:29" x14ac:dyDescent="0.45">
      <c r="A781" t="s">
        <v>88</v>
      </c>
      <c r="B781" t="s">
        <v>436</v>
      </c>
      <c r="C781" t="s">
        <v>437</v>
      </c>
      <c r="D781" t="s">
        <v>426</v>
      </c>
      <c r="E781" t="str">
        <f t="shared" si="12"/>
        <v>OH|solar pv|Summer</v>
      </c>
      <c r="F781">
        <v>1</v>
      </c>
      <c r="G781">
        <v>1</v>
      </c>
      <c r="H781">
        <v>1</v>
      </c>
      <c r="I781">
        <v>1</v>
      </c>
      <c r="J781">
        <v>1</v>
      </c>
      <c r="K781">
        <v>1</v>
      </c>
      <c r="L781">
        <v>1</v>
      </c>
      <c r="M781">
        <v>1</v>
      </c>
      <c r="N781">
        <v>1</v>
      </c>
      <c r="O781">
        <v>1</v>
      </c>
      <c r="P781">
        <v>1</v>
      </c>
      <c r="Q781">
        <v>1</v>
      </c>
      <c r="R781">
        <v>1</v>
      </c>
      <c r="S781">
        <v>1</v>
      </c>
      <c r="T781">
        <v>1</v>
      </c>
      <c r="U781">
        <v>1</v>
      </c>
      <c r="V781">
        <v>1</v>
      </c>
      <c r="W781">
        <v>1</v>
      </c>
      <c r="X781">
        <v>1</v>
      </c>
      <c r="Y781">
        <v>1</v>
      </c>
      <c r="Z781">
        <v>1</v>
      </c>
      <c r="AA781">
        <v>1</v>
      </c>
      <c r="AB781">
        <v>1</v>
      </c>
      <c r="AC781">
        <v>1</v>
      </c>
    </row>
    <row r="782" spans="1:29" x14ac:dyDescent="0.45">
      <c r="A782" t="s">
        <v>88</v>
      </c>
      <c r="B782" t="s">
        <v>436</v>
      </c>
      <c r="C782" t="s">
        <v>437</v>
      </c>
      <c r="D782" t="s">
        <v>427</v>
      </c>
      <c r="E782" t="str">
        <f t="shared" si="12"/>
        <v>OH|solar pv|Fall</v>
      </c>
      <c r="F782">
        <v>1</v>
      </c>
      <c r="G782">
        <v>1</v>
      </c>
      <c r="H782">
        <v>1</v>
      </c>
      <c r="I782">
        <v>1</v>
      </c>
      <c r="J782">
        <v>1</v>
      </c>
      <c r="K782">
        <v>1</v>
      </c>
      <c r="L782">
        <v>1</v>
      </c>
      <c r="M782">
        <v>1</v>
      </c>
      <c r="N782">
        <v>1</v>
      </c>
      <c r="O782">
        <v>1</v>
      </c>
      <c r="P782">
        <v>1</v>
      </c>
      <c r="Q782">
        <v>1</v>
      </c>
      <c r="R782">
        <v>1</v>
      </c>
      <c r="S782">
        <v>1</v>
      </c>
      <c r="T782">
        <v>1</v>
      </c>
      <c r="U782">
        <v>1</v>
      </c>
      <c r="V782">
        <v>1</v>
      </c>
      <c r="W782">
        <v>1</v>
      </c>
      <c r="X782">
        <v>1</v>
      </c>
      <c r="Y782">
        <v>1</v>
      </c>
      <c r="Z782">
        <v>1</v>
      </c>
      <c r="AA782">
        <v>1</v>
      </c>
      <c r="AB782">
        <v>1</v>
      </c>
      <c r="AC782">
        <v>1</v>
      </c>
    </row>
    <row r="783" spans="1:29" x14ac:dyDescent="0.45">
      <c r="A783" t="s">
        <v>88</v>
      </c>
      <c r="B783" t="s">
        <v>436</v>
      </c>
      <c r="C783" t="s">
        <v>437</v>
      </c>
      <c r="D783" t="s">
        <v>428</v>
      </c>
      <c r="E783" t="str">
        <f t="shared" si="12"/>
        <v>OH|solar pv|Summer Peak</v>
      </c>
      <c r="F783">
        <v>1</v>
      </c>
      <c r="G783">
        <v>1</v>
      </c>
      <c r="H783">
        <v>1</v>
      </c>
      <c r="I783">
        <v>1</v>
      </c>
      <c r="J783">
        <v>1</v>
      </c>
      <c r="K783">
        <v>0.1168</v>
      </c>
      <c r="L783">
        <v>0.5151</v>
      </c>
      <c r="M783">
        <v>0.65349999999999997</v>
      </c>
      <c r="N783">
        <v>0.81969999999999998</v>
      </c>
      <c r="O783">
        <v>0.87590000000000001</v>
      </c>
      <c r="P783">
        <v>0.82479999999999998</v>
      </c>
      <c r="Q783">
        <v>0.88890000000000002</v>
      </c>
      <c r="R783">
        <v>0.96940000000000004</v>
      </c>
      <c r="S783">
        <v>1</v>
      </c>
      <c r="T783">
        <v>0.93789999999999996</v>
      </c>
      <c r="U783">
        <v>0.94779999999999998</v>
      </c>
      <c r="V783">
        <v>0.8488</v>
      </c>
      <c r="W783">
        <v>0.93620000000000003</v>
      </c>
      <c r="X783">
        <v>0.752</v>
      </c>
      <c r="Y783">
        <v>1</v>
      </c>
      <c r="Z783">
        <v>1</v>
      </c>
      <c r="AA783">
        <v>1</v>
      </c>
      <c r="AB783">
        <v>1</v>
      </c>
      <c r="AC783">
        <v>1</v>
      </c>
    </row>
    <row r="784" spans="1:29" x14ac:dyDescent="0.45">
      <c r="A784" t="s">
        <v>88</v>
      </c>
      <c r="B784" t="s">
        <v>436</v>
      </c>
      <c r="C784" t="s">
        <v>437</v>
      </c>
      <c r="D784" t="s">
        <v>429</v>
      </c>
      <c r="E784" t="str">
        <f t="shared" si="12"/>
        <v>OH|solar pv|Winter Peak</v>
      </c>
      <c r="F784">
        <v>1</v>
      </c>
      <c r="G784">
        <v>1</v>
      </c>
      <c r="H784">
        <v>1</v>
      </c>
      <c r="I784">
        <v>1</v>
      </c>
      <c r="J784">
        <v>1</v>
      </c>
      <c r="K784">
        <v>1</v>
      </c>
      <c r="L784">
        <v>1</v>
      </c>
      <c r="M784">
        <v>0.20180000000000001</v>
      </c>
      <c r="N784">
        <v>0.83909999999999996</v>
      </c>
      <c r="O784">
        <v>1</v>
      </c>
      <c r="P784">
        <v>0.95930000000000004</v>
      </c>
      <c r="Q784">
        <v>0.86019999999999996</v>
      </c>
      <c r="R784">
        <v>0.7964</v>
      </c>
      <c r="S784">
        <v>0.78290000000000004</v>
      </c>
      <c r="T784">
        <v>0.8135</v>
      </c>
      <c r="U784">
        <v>0.64929999999999999</v>
      </c>
      <c r="V784">
        <v>0.1832</v>
      </c>
      <c r="W784">
        <v>1</v>
      </c>
      <c r="X784">
        <v>1</v>
      </c>
      <c r="Y784">
        <v>1</v>
      </c>
      <c r="Z784">
        <v>1</v>
      </c>
      <c r="AA784">
        <v>1</v>
      </c>
      <c r="AB784">
        <v>1</v>
      </c>
      <c r="AC784">
        <v>1</v>
      </c>
    </row>
    <row r="785" spans="1:29" x14ac:dyDescent="0.45">
      <c r="A785" t="s">
        <v>88</v>
      </c>
      <c r="B785" t="s">
        <v>438</v>
      </c>
      <c r="C785" t="s">
        <v>439</v>
      </c>
      <c r="D785" t="s">
        <v>424</v>
      </c>
      <c r="E785" t="str">
        <f t="shared" si="12"/>
        <v>OH|solar thermal|Winter</v>
      </c>
      <c r="F785">
        <v>1</v>
      </c>
      <c r="G785">
        <v>1</v>
      </c>
      <c r="H785">
        <v>1</v>
      </c>
      <c r="I785">
        <v>1</v>
      </c>
      <c r="J785">
        <v>1</v>
      </c>
      <c r="K785">
        <v>1</v>
      </c>
      <c r="L785">
        <v>1</v>
      </c>
      <c r="M785">
        <v>1</v>
      </c>
      <c r="N785">
        <v>1</v>
      </c>
      <c r="O785">
        <v>1</v>
      </c>
      <c r="P785">
        <v>1</v>
      </c>
      <c r="Q785">
        <v>1</v>
      </c>
      <c r="R785">
        <v>1</v>
      </c>
      <c r="S785">
        <v>1</v>
      </c>
      <c r="T785">
        <v>1</v>
      </c>
      <c r="U785">
        <v>1</v>
      </c>
      <c r="V785">
        <v>1</v>
      </c>
      <c r="W785">
        <v>1</v>
      </c>
      <c r="X785">
        <v>1</v>
      </c>
      <c r="Y785">
        <v>1</v>
      </c>
      <c r="Z785">
        <v>1</v>
      </c>
      <c r="AA785">
        <v>1</v>
      </c>
      <c r="AB785">
        <v>1</v>
      </c>
      <c r="AC785">
        <v>1</v>
      </c>
    </row>
    <row r="786" spans="1:29" x14ac:dyDescent="0.45">
      <c r="A786" t="s">
        <v>88</v>
      </c>
      <c r="B786" t="s">
        <v>438</v>
      </c>
      <c r="C786" t="s">
        <v>439</v>
      </c>
      <c r="D786" t="s">
        <v>425</v>
      </c>
      <c r="E786" t="str">
        <f t="shared" si="12"/>
        <v>OH|solar thermal|Spring</v>
      </c>
      <c r="F786">
        <v>1</v>
      </c>
      <c r="G786">
        <v>1</v>
      </c>
      <c r="H786">
        <v>1</v>
      </c>
      <c r="I786">
        <v>1</v>
      </c>
      <c r="J786">
        <v>1</v>
      </c>
      <c r="K786">
        <v>1</v>
      </c>
      <c r="L786">
        <v>1</v>
      </c>
      <c r="M786">
        <v>1</v>
      </c>
      <c r="N786">
        <v>1</v>
      </c>
      <c r="O786">
        <v>1</v>
      </c>
      <c r="P786">
        <v>1</v>
      </c>
      <c r="Q786">
        <v>1</v>
      </c>
      <c r="R786">
        <v>1</v>
      </c>
      <c r="S786">
        <v>1</v>
      </c>
      <c r="T786">
        <v>1</v>
      </c>
      <c r="U786">
        <v>1</v>
      </c>
      <c r="V786">
        <v>1</v>
      </c>
      <c r="W786">
        <v>1</v>
      </c>
      <c r="X786">
        <v>1</v>
      </c>
      <c r="Y786">
        <v>1</v>
      </c>
      <c r="Z786">
        <v>1</v>
      </c>
      <c r="AA786">
        <v>1</v>
      </c>
      <c r="AB786">
        <v>1</v>
      </c>
      <c r="AC786">
        <v>1</v>
      </c>
    </row>
    <row r="787" spans="1:29" x14ac:dyDescent="0.45">
      <c r="A787" t="s">
        <v>88</v>
      </c>
      <c r="B787" t="s">
        <v>438</v>
      </c>
      <c r="C787" t="s">
        <v>439</v>
      </c>
      <c r="D787" t="s">
        <v>426</v>
      </c>
      <c r="E787" t="str">
        <f t="shared" si="12"/>
        <v>OH|solar thermal|Summer</v>
      </c>
      <c r="F787">
        <v>1</v>
      </c>
      <c r="G787">
        <v>1</v>
      </c>
      <c r="H787">
        <v>1</v>
      </c>
      <c r="I787">
        <v>1</v>
      </c>
      <c r="J787">
        <v>1</v>
      </c>
      <c r="K787">
        <v>1</v>
      </c>
      <c r="L787">
        <v>1</v>
      </c>
      <c r="M787">
        <v>1</v>
      </c>
      <c r="N787">
        <v>1</v>
      </c>
      <c r="O787">
        <v>1</v>
      </c>
      <c r="P787">
        <v>1</v>
      </c>
      <c r="Q787">
        <v>1</v>
      </c>
      <c r="R787">
        <v>1</v>
      </c>
      <c r="S787">
        <v>1</v>
      </c>
      <c r="T787">
        <v>1</v>
      </c>
      <c r="U787">
        <v>1</v>
      </c>
      <c r="V787">
        <v>1</v>
      </c>
      <c r="W787">
        <v>1</v>
      </c>
      <c r="X787">
        <v>1</v>
      </c>
      <c r="Y787">
        <v>1</v>
      </c>
      <c r="Z787">
        <v>1</v>
      </c>
      <c r="AA787">
        <v>1</v>
      </c>
      <c r="AB787">
        <v>1</v>
      </c>
      <c r="AC787">
        <v>1</v>
      </c>
    </row>
    <row r="788" spans="1:29" x14ac:dyDescent="0.45">
      <c r="A788" t="s">
        <v>88</v>
      </c>
      <c r="B788" t="s">
        <v>438</v>
      </c>
      <c r="C788" t="s">
        <v>439</v>
      </c>
      <c r="D788" t="s">
        <v>427</v>
      </c>
      <c r="E788" t="str">
        <f t="shared" si="12"/>
        <v>OH|solar thermal|Fall</v>
      </c>
      <c r="F788">
        <v>1</v>
      </c>
      <c r="G788">
        <v>1</v>
      </c>
      <c r="H788">
        <v>1</v>
      </c>
      <c r="I788">
        <v>1</v>
      </c>
      <c r="J788">
        <v>1</v>
      </c>
      <c r="K788">
        <v>1</v>
      </c>
      <c r="L788">
        <v>1</v>
      </c>
      <c r="M788">
        <v>1</v>
      </c>
      <c r="N788">
        <v>1</v>
      </c>
      <c r="O788">
        <v>1</v>
      </c>
      <c r="P788">
        <v>1</v>
      </c>
      <c r="Q788">
        <v>1</v>
      </c>
      <c r="R788">
        <v>1</v>
      </c>
      <c r="S788">
        <v>1</v>
      </c>
      <c r="T788">
        <v>1</v>
      </c>
      <c r="U788">
        <v>1</v>
      </c>
      <c r="V788">
        <v>1</v>
      </c>
      <c r="W788">
        <v>1</v>
      </c>
      <c r="X788">
        <v>1</v>
      </c>
      <c r="Y788">
        <v>1</v>
      </c>
      <c r="Z788">
        <v>1</v>
      </c>
      <c r="AA788">
        <v>1</v>
      </c>
      <c r="AB788">
        <v>1</v>
      </c>
      <c r="AC788">
        <v>1</v>
      </c>
    </row>
    <row r="789" spans="1:29" x14ac:dyDescent="0.45">
      <c r="A789" t="s">
        <v>88</v>
      </c>
      <c r="B789" t="s">
        <v>438</v>
      </c>
      <c r="C789" t="s">
        <v>439</v>
      </c>
      <c r="D789" t="s">
        <v>428</v>
      </c>
      <c r="E789" t="str">
        <f t="shared" si="12"/>
        <v>OH|solar thermal|Summer Peak</v>
      </c>
      <c r="F789">
        <v>1</v>
      </c>
      <c r="G789">
        <v>1</v>
      </c>
      <c r="H789">
        <v>1</v>
      </c>
      <c r="I789">
        <v>1</v>
      </c>
      <c r="J789">
        <v>1</v>
      </c>
      <c r="K789">
        <v>1</v>
      </c>
      <c r="L789">
        <v>1</v>
      </c>
      <c r="M789">
        <v>0</v>
      </c>
      <c r="N789">
        <v>0.8639</v>
      </c>
      <c r="O789">
        <v>1</v>
      </c>
      <c r="P789">
        <v>1</v>
      </c>
      <c r="Q789">
        <v>0.97160000000000002</v>
      </c>
      <c r="R789">
        <v>0.96719999999999995</v>
      </c>
      <c r="S789">
        <v>1</v>
      </c>
      <c r="T789">
        <v>1</v>
      </c>
      <c r="U789">
        <v>1</v>
      </c>
      <c r="V789">
        <v>1</v>
      </c>
      <c r="W789">
        <v>1</v>
      </c>
      <c r="X789">
        <v>1</v>
      </c>
      <c r="Y789">
        <v>0.93130000000000002</v>
      </c>
      <c r="Z789">
        <v>0.70220000000000005</v>
      </c>
      <c r="AA789">
        <v>1</v>
      </c>
      <c r="AB789">
        <v>1</v>
      </c>
      <c r="AC789">
        <v>1</v>
      </c>
    </row>
    <row r="790" spans="1:29" x14ac:dyDescent="0.45">
      <c r="A790" t="s">
        <v>88</v>
      </c>
      <c r="B790" t="s">
        <v>438</v>
      </c>
      <c r="C790" t="s">
        <v>439</v>
      </c>
      <c r="D790" t="s">
        <v>429</v>
      </c>
      <c r="E790" t="str">
        <f t="shared" si="12"/>
        <v>OH|solar thermal|Winter Peak</v>
      </c>
      <c r="F790">
        <v>1</v>
      </c>
      <c r="G790">
        <v>1</v>
      </c>
      <c r="H790">
        <v>1</v>
      </c>
      <c r="I790">
        <v>1</v>
      </c>
      <c r="J790">
        <v>1</v>
      </c>
      <c r="K790">
        <v>1</v>
      </c>
      <c r="L790">
        <v>1</v>
      </c>
      <c r="M790">
        <v>1</v>
      </c>
      <c r="N790">
        <v>1</v>
      </c>
      <c r="O790">
        <v>0.2419</v>
      </c>
      <c r="P790">
        <v>0.95320000000000005</v>
      </c>
      <c r="Q790">
        <v>0.88039999999999996</v>
      </c>
      <c r="R790">
        <v>0.97819999999999996</v>
      </c>
      <c r="S790">
        <v>0.98950000000000005</v>
      </c>
      <c r="T790">
        <v>0.99270000000000003</v>
      </c>
      <c r="U790">
        <v>1</v>
      </c>
      <c r="V790">
        <v>1</v>
      </c>
      <c r="W790">
        <v>1</v>
      </c>
      <c r="X790">
        <v>0.89019999999999999</v>
      </c>
      <c r="Y790">
        <v>0</v>
      </c>
      <c r="Z790">
        <v>1</v>
      </c>
      <c r="AA790">
        <v>1</v>
      </c>
      <c r="AB790">
        <v>1</v>
      </c>
      <c r="AC790">
        <v>1</v>
      </c>
    </row>
    <row r="791" spans="1:29" x14ac:dyDescent="0.45">
      <c r="A791" t="s">
        <v>88</v>
      </c>
      <c r="B791" t="s">
        <v>440</v>
      </c>
      <c r="C791" t="s">
        <v>441</v>
      </c>
      <c r="D791" t="s">
        <v>424</v>
      </c>
      <c r="E791" t="str">
        <f t="shared" si="12"/>
        <v>OH|offshore wind|Winter</v>
      </c>
      <c r="F791">
        <v>1</v>
      </c>
      <c r="G791">
        <v>1</v>
      </c>
      <c r="H791">
        <v>1</v>
      </c>
      <c r="I791">
        <v>1</v>
      </c>
      <c r="J791">
        <v>1</v>
      </c>
      <c r="K791">
        <v>1</v>
      </c>
      <c r="L791">
        <v>1</v>
      </c>
      <c r="M791">
        <v>1</v>
      </c>
      <c r="N791">
        <v>1</v>
      </c>
      <c r="O791">
        <v>1</v>
      </c>
      <c r="P791">
        <v>1</v>
      </c>
      <c r="Q791">
        <v>1</v>
      </c>
      <c r="R791">
        <v>1</v>
      </c>
      <c r="S791">
        <v>1</v>
      </c>
      <c r="T791">
        <v>1</v>
      </c>
      <c r="U791">
        <v>1</v>
      </c>
      <c r="V791">
        <v>1</v>
      </c>
      <c r="W791">
        <v>1</v>
      </c>
      <c r="X791">
        <v>1</v>
      </c>
      <c r="Y791">
        <v>1</v>
      </c>
      <c r="Z791">
        <v>1</v>
      </c>
      <c r="AA791">
        <v>1</v>
      </c>
      <c r="AB791">
        <v>1</v>
      </c>
      <c r="AC791">
        <v>1</v>
      </c>
    </row>
    <row r="792" spans="1:29" x14ac:dyDescent="0.45">
      <c r="A792" t="s">
        <v>88</v>
      </c>
      <c r="B792" t="s">
        <v>440</v>
      </c>
      <c r="C792" t="s">
        <v>441</v>
      </c>
      <c r="D792" t="s">
        <v>425</v>
      </c>
      <c r="E792" t="str">
        <f t="shared" si="12"/>
        <v>OH|offshore wind|Spring</v>
      </c>
      <c r="F792">
        <v>1</v>
      </c>
      <c r="G792">
        <v>1</v>
      </c>
      <c r="H792">
        <v>1</v>
      </c>
      <c r="I792">
        <v>1</v>
      </c>
      <c r="J792">
        <v>1</v>
      </c>
      <c r="K792">
        <v>1</v>
      </c>
      <c r="L792">
        <v>1</v>
      </c>
      <c r="M792">
        <v>1</v>
      </c>
      <c r="N792">
        <v>1</v>
      </c>
      <c r="O792">
        <v>1</v>
      </c>
      <c r="P792">
        <v>1</v>
      </c>
      <c r="Q792">
        <v>1</v>
      </c>
      <c r="R792">
        <v>1</v>
      </c>
      <c r="S792">
        <v>1</v>
      </c>
      <c r="T792">
        <v>1</v>
      </c>
      <c r="U792">
        <v>1</v>
      </c>
      <c r="V792">
        <v>1</v>
      </c>
      <c r="W792">
        <v>1</v>
      </c>
      <c r="X792">
        <v>1</v>
      </c>
      <c r="Y792">
        <v>1</v>
      </c>
      <c r="Z792">
        <v>1</v>
      </c>
      <c r="AA792">
        <v>1</v>
      </c>
      <c r="AB792">
        <v>1</v>
      </c>
      <c r="AC792">
        <v>1</v>
      </c>
    </row>
    <row r="793" spans="1:29" x14ac:dyDescent="0.45">
      <c r="A793" t="s">
        <v>88</v>
      </c>
      <c r="B793" t="s">
        <v>440</v>
      </c>
      <c r="C793" t="s">
        <v>441</v>
      </c>
      <c r="D793" t="s">
        <v>426</v>
      </c>
      <c r="E793" t="str">
        <f t="shared" si="12"/>
        <v>OH|offshore wind|Summer</v>
      </c>
      <c r="F793">
        <v>1</v>
      </c>
      <c r="G793">
        <v>1</v>
      </c>
      <c r="H793">
        <v>1</v>
      </c>
      <c r="I793">
        <v>1</v>
      </c>
      <c r="J793">
        <v>1</v>
      </c>
      <c r="K793">
        <v>1</v>
      </c>
      <c r="L793">
        <v>1</v>
      </c>
      <c r="M793">
        <v>1</v>
      </c>
      <c r="N793">
        <v>1</v>
      </c>
      <c r="O793">
        <v>1</v>
      </c>
      <c r="P793">
        <v>1</v>
      </c>
      <c r="Q793">
        <v>1</v>
      </c>
      <c r="R793">
        <v>1</v>
      </c>
      <c r="S793">
        <v>1</v>
      </c>
      <c r="T793">
        <v>1</v>
      </c>
      <c r="U793">
        <v>1</v>
      </c>
      <c r="V793">
        <v>1</v>
      </c>
      <c r="W793">
        <v>1</v>
      </c>
      <c r="X793">
        <v>1</v>
      </c>
      <c r="Y793">
        <v>1</v>
      </c>
      <c r="Z793">
        <v>1</v>
      </c>
      <c r="AA793">
        <v>1</v>
      </c>
      <c r="AB793">
        <v>1</v>
      </c>
      <c r="AC793">
        <v>1</v>
      </c>
    </row>
    <row r="794" spans="1:29" x14ac:dyDescent="0.45">
      <c r="A794" t="s">
        <v>88</v>
      </c>
      <c r="B794" t="s">
        <v>440</v>
      </c>
      <c r="C794" t="s">
        <v>441</v>
      </c>
      <c r="D794" t="s">
        <v>427</v>
      </c>
      <c r="E794" t="str">
        <f t="shared" si="12"/>
        <v>OH|offshore wind|Fall</v>
      </c>
      <c r="F794">
        <v>1</v>
      </c>
      <c r="G794">
        <v>1</v>
      </c>
      <c r="H794">
        <v>1</v>
      </c>
      <c r="I794">
        <v>1</v>
      </c>
      <c r="J794">
        <v>1</v>
      </c>
      <c r="K794">
        <v>1</v>
      </c>
      <c r="L794">
        <v>1</v>
      </c>
      <c r="M794">
        <v>1</v>
      </c>
      <c r="N794">
        <v>1</v>
      </c>
      <c r="O794">
        <v>1</v>
      </c>
      <c r="P794">
        <v>1</v>
      </c>
      <c r="Q794">
        <v>1</v>
      </c>
      <c r="R794">
        <v>1</v>
      </c>
      <c r="S794">
        <v>1</v>
      </c>
      <c r="T794">
        <v>1</v>
      </c>
      <c r="U794">
        <v>1</v>
      </c>
      <c r="V794">
        <v>1</v>
      </c>
      <c r="W794">
        <v>1</v>
      </c>
      <c r="X794">
        <v>1</v>
      </c>
      <c r="Y794">
        <v>1</v>
      </c>
      <c r="Z794">
        <v>1</v>
      </c>
      <c r="AA794">
        <v>1</v>
      </c>
      <c r="AB794">
        <v>1</v>
      </c>
      <c r="AC794">
        <v>1</v>
      </c>
    </row>
    <row r="795" spans="1:29" x14ac:dyDescent="0.45">
      <c r="A795" t="s">
        <v>88</v>
      </c>
      <c r="B795" t="s">
        <v>440</v>
      </c>
      <c r="C795" t="s">
        <v>441</v>
      </c>
      <c r="D795" t="s">
        <v>428</v>
      </c>
      <c r="E795" t="str">
        <f t="shared" si="12"/>
        <v>OH|offshore wind|Summer Peak</v>
      </c>
      <c r="F795">
        <v>0.40810000000000002</v>
      </c>
      <c r="G795">
        <v>0.4239</v>
      </c>
      <c r="H795">
        <v>0.45760000000000001</v>
      </c>
      <c r="I795">
        <v>0.50319999999999998</v>
      </c>
      <c r="J795">
        <v>0.53649999999999998</v>
      </c>
      <c r="K795">
        <v>0.59399999999999997</v>
      </c>
      <c r="L795">
        <v>0.61929999999999996</v>
      </c>
      <c r="M795">
        <v>0.68859999999999999</v>
      </c>
      <c r="N795">
        <v>0.73480000000000001</v>
      </c>
      <c r="O795">
        <v>0.84350000000000003</v>
      </c>
      <c r="P795">
        <v>0.78200000000000003</v>
      </c>
      <c r="Q795">
        <v>0.74650000000000005</v>
      </c>
      <c r="R795">
        <v>0.63690000000000002</v>
      </c>
      <c r="S795">
        <v>0.60860000000000003</v>
      </c>
      <c r="T795">
        <v>0.64339999999999997</v>
      </c>
      <c r="U795">
        <v>0.69269999999999998</v>
      </c>
      <c r="V795">
        <v>0.71450000000000002</v>
      </c>
      <c r="W795">
        <v>0.75070000000000003</v>
      </c>
      <c r="X795">
        <v>0.72489999999999999</v>
      </c>
      <c r="Y795">
        <v>0.66049999999999998</v>
      </c>
      <c r="Z795">
        <v>0.69140000000000001</v>
      </c>
      <c r="AA795">
        <v>0.63080000000000003</v>
      </c>
      <c r="AB795">
        <v>0.63429999999999997</v>
      </c>
      <c r="AC795">
        <v>0.64390000000000003</v>
      </c>
    </row>
    <row r="796" spans="1:29" x14ac:dyDescent="0.45">
      <c r="A796" t="s">
        <v>88</v>
      </c>
      <c r="B796" t="s">
        <v>440</v>
      </c>
      <c r="C796" t="s">
        <v>441</v>
      </c>
      <c r="D796" t="s">
        <v>429</v>
      </c>
      <c r="E796" t="str">
        <f t="shared" si="12"/>
        <v>OH|offshore wind|Winter Peak</v>
      </c>
      <c r="F796">
        <v>0.95309999999999995</v>
      </c>
      <c r="G796">
        <v>0.95030000000000003</v>
      </c>
      <c r="H796">
        <v>0.95540000000000003</v>
      </c>
      <c r="I796">
        <v>0.96679999999999999</v>
      </c>
      <c r="J796">
        <v>1</v>
      </c>
      <c r="K796">
        <v>1</v>
      </c>
      <c r="L796">
        <v>1</v>
      </c>
      <c r="M796">
        <v>0.99209999999999998</v>
      </c>
      <c r="N796">
        <v>0.90149999999999997</v>
      </c>
      <c r="O796">
        <v>0.79779999999999995</v>
      </c>
      <c r="P796">
        <v>0.71879999999999999</v>
      </c>
      <c r="Q796">
        <v>0.67300000000000004</v>
      </c>
      <c r="R796">
        <v>0.60860000000000003</v>
      </c>
      <c r="S796">
        <v>0.58009999999999995</v>
      </c>
      <c r="T796">
        <v>0.58799999999999997</v>
      </c>
      <c r="U796">
        <v>0.61019999999999996</v>
      </c>
      <c r="V796">
        <v>0.61839999999999995</v>
      </c>
      <c r="W796">
        <v>0.60909999999999997</v>
      </c>
      <c r="X796">
        <v>0.62880000000000003</v>
      </c>
      <c r="Y796">
        <v>0.72889999999999999</v>
      </c>
      <c r="Z796">
        <v>0.84719999999999995</v>
      </c>
      <c r="AA796">
        <v>0.92220000000000002</v>
      </c>
      <c r="AB796">
        <v>0.86950000000000005</v>
      </c>
      <c r="AC796">
        <v>0.8054</v>
      </c>
    </row>
    <row r="797" spans="1:29" x14ac:dyDescent="0.45">
      <c r="A797" t="s">
        <v>90</v>
      </c>
      <c r="B797" t="s">
        <v>434</v>
      </c>
      <c r="C797" t="s">
        <v>435</v>
      </c>
      <c r="D797" t="s">
        <v>424</v>
      </c>
      <c r="E797" t="str">
        <f t="shared" si="12"/>
        <v>OK|onshore wind|Winter</v>
      </c>
      <c r="F797">
        <v>1</v>
      </c>
      <c r="G797">
        <v>1</v>
      </c>
      <c r="H797">
        <v>1</v>
      </c>
      <c r="I797">
        <v>1</v>
      </c>
      <c r="J797">
        <v>1</v>
      </c>
      <c r="K797">
        <v>1</v>
      </c>
      <c r="L797">
        <v>1</v>
      </c>
      <c r="M797">
        <v>1</v>
      </c>
      <c r="N797">
        <v>1</v>
      </c>
      <c r="O797">
        <v>1</v>
      </c>
      <c r="P797">
        <v>1</v>
      </c>
      <c r="Q797">
        <v>1</v>
      </c>
      <c r="R797">
        <v>1</v>
      </c>
      <c r="S797">
        <v>1</v>
      </c>
      <c r="T797">
        <v>1</v>
      </c>
      <c r="U797">
        <v>1</v>
      </c>
      <c r="V797">
        <v>1</v>
      </c>
      <c r="W797">
        <v>1</v>
      </c>
      <c r="X797">
        <v>1</v>
      </c>
      <c r="Y797">
        <v>1</v>
      </c>
      <c r="Z797">
        <v>1</v>
      </c>
      <c r="AA797">
        <v>1</v>
      </c>
      <c r="AB797">
        <v>1</v>
      </c>
      <c r="AC797">
        <v>1</v>
      </c>
    </row>
    <row r="798" spans="1:29" x14ac:dyDescent="0.45">
      <c r="A798" t="s">
        <v>90</v>
      </c>
      <c r="B798" t="s">
        <v>434</v>
      </c>
      <c r="C798" t="s">
        <v>435</v>
      </c>
      <c r="D798" t="s">
        <v>425</v>
      </c>
      <c r="E798" t="str">
        <f t="shared" si="12"/>
        <v>OK|onshore wind|Spring</v>
      </c>
      <c r="F798">
        <v>1</v>
      </c>
      <c r="G798">
        <v>1</v>
      </c>
      <c r="H798">
        <v>1</v>
      </c>
      <c r="I798">
        <v>1</v>
      </c>
      <c r="J798">
        <v>1</v>
      </c>
      <c r="K798">
        <v>1</v>
      </c>
      <c r="L798">
        <v>1</v>
      </c>
      <c r="M798">
        <v>1</v>
      </c>
      <c r="N798">
        <v>1</v>
      </c>
      <c r="O798">
        <v>1</v>
      </c>
      <c r="P798">
        <v>1</v>
      </c>
      <c r="Q798">
        <v>1</v>
      </c>
      <c r="R798">
        <v>1</v>
      </c>
      <c r="S798">
        <v>1</v>
      </c>
      <c r="T798">
        <v>1</v>
      </c>
      <c r="U798">
        <v>1</v>
      </c>
      <c r="V798">
        <v>1</v>
      </c>
      <c r="W798">
        <v>1</v>
      </c>
      <c r="X798">
        <v>1</v>
      </c>
      <c r="Y798">
        <v>1</v>
      </c>
      <c r="Z798">
        <v>1</v>
      </c>
      <c r="AA798">
        <v>1</v>
      </c>
      <c r="AB798">
        <v>1</v>
      </c>
      <c r="AC798">
        <v>1</v>
      </c>
    </row>
    <row r="799" spans="1:29" x14ac:dyDescent="0.45">
      <c r="A799" t="s">
        <v>90</v>
      </c>
      <c r="B799" t="s">
        <v>434</v>
      </c>
      <c r="C799" t="s">
        <v>435</v>
      </c>
      <c r="D799" t="s">
        <v>426</v>
      </c>
      <c r="E799" t="str">
        <f t="shared" si="12"/>
        <v>OK|onshore wind|Summer</v>
      </c>
      <c r="F799">
        <v>1</v>
      </c>
      <c r="G799">
        <v>1</v>
      </c>
      <c r="H799">
        <v>1</v>
      </c>
      <c r="I799">
        <v>1</v>
      </c>
      <c r="J799">
        <v>1</v>
      </c>
      <c r="K799">
        <v>1</v>
      </c>
      <c r="L799">
        <v>1</v>
      </c>
      <c r="M799">
        <v>1</v>
      </c>
      <c r="N799">
        <v>1</v>
      </c>
      <c r="O799">
        <v>1</v>
      </c>
      <c r="P799">
        <v>1</v>
      </c>
      <c r="Q799">
        <v>1</v>
      </c>
      <c r="R799">
        <v>1</v>
      </c>
      <c r="S799">
        <v>1</v>
      </c>
      <c r="T799">
        <v>1</v>
      </c>
      <c r="U799">
        <v>1</v>
      </c>
      <c r="V799">
        <v>1</v>
      </c>
      <c r="W799">
        <v>1</v>
      </c>
      <c r="X799">
        <v>1</v>
      </c>
      <c r="Y799">
        <v>1</v>
      </c>
      <c r="Z799">
        <v>1</v>
      </c>
      <c r="AA799">
        <v>1</v>
      </c>
      <c r="AB799">
        <v>1</v>
      </c>
      <c r="AC799">
        <v>1</v>
      </c>
    </row>
    <row r="800" spans="1:29" x14ac:dyDescent="0.45">
      <c r="A800" t="s">
        <v>90</v>
      </c>
      <c r="B800" t="s">
        <v>434</v>
      </c>
      <c r="C800" t="s">
        <v>435</v>
      </c>
      <c r="D800" t="s">
        <v>427</v>
      </c>
      <c r="E800" t="str">
        <f t="shared" si="12"/>
        <v>OK|onshore wind|Fall</v>
      </c>
      <c r="F800">
        <v>1</v>
      </c>
      <c r="G800">
        <v>1</v>
      </c>
      <c r="H800">
        <v>1</v>
      </c>
      <c r="I800">
        <v>1</v>
      </c>
      <c r="J800">
        <v>1</v>
      </c>
      <c r="K800">
        <v>1</v>
      </c>
      <c r="L800">
        <v>1</v>
      </c>
      <c r="M800">
        <v>1</v>
      </c>
      <c r="N800">
        <v>1</v>
      </c>
      <c r="O800">
        <v>1</v>
      </c>
      <c r="P800">
        <v>1</v>
      </c>
      <c r="Q800">
        <v>1</v>
      </c>
      <c r="R800">
        <v>1</v>
      </c>
      <c r="S800">
        <v>1</v>
      </c>
      <c r="T800">
        <v>1</v>
      </c>
      <c r="U800">
        <v>1</v>
      </c>
      <c r="V800">
        <v>1</v>
      </c>
      <c r="W800">
        <v>1</v>
      </c>
      <c r="X800">
        <v>1</v>
      </c>
      <c r="Y800">
        <v>1</v>
      </c>
      <c r="Z800">
        <v>1</v>
      </c>
      <c r="AA800">
        <v>1</v>
      </c>
      <c r="AB800">
        <v>1</v>
      </c>
      <c r="AC800">
        <v>1</v>
      </c>
    </row>
    <row r="801" spans="1:29" x14ac:dyDescent="0.45">
      <c r="A801" t="s">
        <v>90</v>
      </c>
      <c r="B801" t="s">
        <v>434</v>
      </c>
      <c r="C801" t="s">
        <v>435</v>
      </c>
      <c r="D801" t="s">
        <v>428</v>
      </c>
      <c r="E801" t="str">
        <f t="shared" si="12"/>
        <v>OK|onshore wind|Summer Peak</v>
      </c>
      <c r="F801">
        <v>0.83489999999999998</v>
      </c>
      <c r="G801">
        <v>0.81479999999999997</v>
      </c>
      <c r="H801">
        <v>0.71209999999999996</v>
      </c>
      <c r="I801">
        <v>0.72570000000000001</v>
      </c>
      <c r="J801">
        <v>0.72450000000000003</v>
      </c>
      <c r="K801">
        <v>0.68340000000000001</v>
      </c>
      <c r="L801">
        <v>0.59619999999999995</v>
      </c>
      <c r="M801">
        <v>0.56499999999999995</v>
      </c>
      <c r="N801">
        <v>0.47639999999999999</v>
      </c>
      <c r="O801">
        <v>0.4163</v>
      </c>
      <c r="P801">
        <v>0.38179999999999997</v>
      </c>
      <c r="Q801">
        <v>0.45590000000000003</v>
      </c>
      <c r="R801">
        <v>0.35630000000000001</v>
      </c>
      <c r="S801">
        <v>0.34460000000000002</v>
      </c>
      <c r="T801">
        <v>0.41760000000000003</v>
      </c>
      <c r="U801">
        <v>0.3659</v>
      </c>
      <c r="V801">
        <v>0.44119999999999998</v>
      </c>
      <c r="W801">
        <v>0.68130000000000002</v>
      </c>
      <c r="X801">
        <v>0.6351</v>
      </c>
      <c r="Y801">
        <v>0.69789999999999996</v>
      </c>
      <c r="Z801">
        <v>0.63570000000000004</v>
      </c>
      <c r="AA801">
        <v>0.58599999999999997</v>
      </c>
      <c r="AB801">
        <v>0.64500000000000002</v>
      </c>
      <c r="AC801">
        <v>0.62160000000000004</v>
      </c>
    </row>
    <row r="802" spans="1:29" x14ac:dyDescent="0.45">
      <c r="A802" t="s">
        <v>90</v>
      </c>
      <c r="B802" t="s">
        <v>434</v>
      </c>
      <c r="C802" t="s">
        <v>435</v>
      </c>
      <c r="D802" t="s">
        <v>429</v>
      </c>
      <c r="E802" t="str">
        <f t="shared" si="12"/>
        <v>OK|onshore wind|Winter Peak</v>
      </c>
      <c r="F802">
        <v>0.75960000000000005</v>
      </c>
      <c r="G802">
        <v>0.79300000000000004</v>
      </c>
      <c r="H802">
        <v>0.73970000000000002</v>
      </c>
      <c r="I802">
        <v>0.6754</v>
      </c>
      <c r="J802">
        <v>0.63439999999999996</v>
      </c>
      <c r="K802">
        <v>0.60509999999999997</v>
      </c>
      <c r="L802">
        <v>0.55810000000000004</v>
      </c>
      <c r="M802">
        <v>0.5071</v>
      </c>
      <c r="N802">
        <v>0.43530000000000002</v>
      </c>
      <c r="O802">
        <v>0.36130000000000001</v>
      </c>
      <c r="P802">
        <v>0.38540000000000002</v>
      </c>
      <c r="Q802">
        <v>0.37659999999999999</v>
      </c>
      <c r="R802">
        <v>0.35099999999999998</v>
      </c>
      <c r="S802">
        <v>0.33510000000000001</v>
      </c>
      <c r="T802">
        <v>0.31690000000000002</v>
      </c>
      <c r="U802">
        <v>0.33779999999999999</v>
      </c>
      <c r="V802">
        <v>0.40500000000000003</v>
      </c>
      <c r="W802">
        <v>0.4929</v>
      </c>
      <c r="X802">
        <v>0.57289999999999996</v>
      </c>
      <c r="Y802">
        <v>0.57440000000000002</v>
      </c>
      <c r="Z802">
        <v>0.61980000000000002</v>
      </c>
      <c r="AA802">
        <v>0.59150000000000003</v>
      </c>
      <c r="AB802">
        <v>0.57689999999999997</v>
      </c>
      <c r="AC802">
        <v>0.60609999999999997</v>
      </c>
    </row>
    <row r="803" spans="1:29" x14ac:dyDescent="0.45">
      <c r="A803" t="s">
        <v>90</v>
      </c>
      <c r="B803" t="s">
        <v>436</v>
      </c>
      <c r="C803" t="s">
        <v>437</v>
      </c>
      <c r="D803" t="s">
        <v>424</v>
      </c>
      <c r="E803" t="str">
        <f t="shared" si="12"/>
        <v>OK|solar pv|Winter</v>
      </c>
      <c r="F803">
        <v>1</v>
      </c>
      <c r="G803">
        <v>1</v>
      </c>
      <c r="H803">
        <v>1</v>
      </c>
      <c r="I803">
        <v>1</v>
      </c>
      <c r="J803">
        <v>1</v>
      </c>
      <c r="K803">
        <v>1</v>
      </c>
      <c r="L803">
        <v>1</v>
      </c>
      <c r="M803">
        <v>1</v>
      </c>
      <c r="N803">
        <v>1</v>
      </c>
      <c r="O803">
        <v>1</v>
      </c>
      <c r="P803">
        <v>1</v>
      </c>
      <c r="Q803">
        <v>1</v>
      </c>
      <c r="R803">
        <v>1</v>
      </c>
      <c r="S803">
        <v>1</v>
      </c>
      <c r="T803">
        <v>1</v>
      </c>
      <c r="U803">
        <v>1</v>
      </c>
      <c r="V803">
        <v>1</v>
      </c>
      <c r="W803">
        <v>1</v>
      </c>
      <c r="X803">
        <v>1</v>
      </c>
      <c r="Y803">
        <v>1</v>
      </c>
      <c r="Z803">
        <v>1</v>
      </c>
      <c r="AA803">
        <v>1</v>
      </c>
      <c r="AB803">
        <v>1</v>
      </c>
      <c r="AC803">
        <v>1</v>
      </c>
    </row>
    <row r="804" spans="1:29" x14ac:dyDescent="0.45">
      <c r="A804" t="s">
        <v>90</v>
      </c>
      <c r="B804" t="s">
        <v>436</v>
      </c>
      <c r="C804" t="s">
        <v>437</v>
      </c>
      <c r="D804" t="s">
        <v>425</v>
      </c>
      <c r="E804" t="str">
        <f t="shared" si="12"/>
        <v>OK|solar pv|Spring</v>
      </c>
      <c r="F804">
        <v>1</v>
      </c>
      <c r="G804">
        <v>1</v>
      </c>
      <c r="H804">
        <v>1</v>
      </c>
      <c r="I804">
        <v>1</v>
      </c>
      <c r="J804">
        <v>1</v>
      </c>
      <c r="K804">
        <v>1</v>
      </c>
      <c r="L804">
        <v>1</v>
      </c>
      <c r="M804">
        <v>1</v>
      </c>
      <c r="N804">
        <v>1</v>
      </c>
      <c r="O804">
        <v>1</v>
      </c>
      <c r="P804">
        <v>1</v>
      </c>
      <c r="Q804">
        <v>1</v>
      </c>
      <c r="R804">
        <v>1</v>
      </c>
      <c r="S804">
        <v>1</v>
      </c>
      <c r="T804">
        <v>1</v>
      </c>
      <c r="U804">
        <v>1</v>
      </c>
      <c r="V804">
        <v>1</v>
      </c>
      <c r="W804">
        <v>1</v>
      </c>
      <c r="X804">
        <v>1</v>
      </c>
      <c r="Y804">
        <v>1</v>
      </c>
      <c r="Z804">
        <v>1</v>
      </c>
      <c r="AA804">
        <v>1</v>
      </c>
      <c r="AB804">
        <v>1</v>
      </c>
      <c r="AC804">
        <v>1</v>
      </c>
    </row>
    <row r="805" spans="1:29" x14ac:dyDescent="0.45">
      <c r="A805" t="s">
        <v>90</v>
      </c>
      <c r="B805" t="s">
        <v>436</v>
      </c>
      <c r="C805" t="s">
        <v>437</v>
      </c>
      <c r="D805" t="s">
        <v>426</v>
      </c>
      <c r="E805" t="str">
        <f t="shared" si="12"/>
        <v>OK|solar pv|Summer</v>
      </c>
      <c r="F805">
        <v>1</v>
      </c>
      <c r="G805">
        <v>1</v>
      </c>
      <c r="H805">
        <v>1</v>
      </c>
      <c r="I805">
        <v>1</v>
      </c>
      <c r="J805">
        <v>1</v>
      </c>
      <c r="K805">
        <v>1</v>
      </c>
      <c r="L805">
        <v>1</v>
      </c>
      <c r="M805">
        <v>1</v>
      </c>
      <c r="N805">
        <v>1</v>
      </c>
      <c r="O805">
        <v>1</v>
      </c>
      <c r="P805">
        <v>1</v>
      </c>
      <c r="Q805">
        <v>1</v>
      </c>
      <c r="R805">
        <v>1</v>
      </c>
      <c r="S805">
        <v>1</v>
      </c>
      <c r="T805">
        <v>1</v>
      </c>
      <c r="U805">
        <v>1</v>
      </c>
      <c r="V805">
        <v>1</v>
      </c>
      <c r="W805">
        <v>1</v>
      </c>
      <c r="X805">
        <v>1</v>
      </c>
      <c r="Y805">
        <v>1</v>
      </c>
      <c r="Z805">
        <v>1</v>
      </c>
      <c r="AA805">
        <v>1</v>
      </c>
      <c r="AB805">
        <v>1</v>
      </c>
      <c r="AC805">
        <v>1</v>
      </c>
    </row>
    <row r="806" spans="1:29" x14ac:dyDescent="0.45">
      <c r="A806" t="s">
        <v>90</v>
      </c>
      <c r="B806" t="s">
        <v>436</v>
      </c>
      <c r="C806" t="s">
        <v>437</v>
      </c>
      <c r="D806" t="s">
        <v>427</v>
      </c>
      <c r="E806" t="str">
        <f t="shared" si="12"/>
        <v>OK|solar pv|Fall</v>
      </c>
      <c r="F806">
        <v>1</v>
      </c>
      <c r="G806">
        <v>1</v>
      </c>
      <c r="H806">
        <v>1</v>
      </c>
      <c r="I806">
        <v>1</v>
      </c>
      <c r="J806">
        <v>1</v>
      </c>
      <c r="K806">
        <v>1</v>
      </c>
      <c r="L806">
        <v>1</v>
      </c>
      <c r="M806">
        <v>1</v>
      </c>
      <c r="N806">
        <v>1</v>
      </c>
      <c r="O806">
        <v>1</v>
      </c>
      <c r="P806">
        <v>1</v>
      </c>
      <c r="Q806">
        <v>1</v>
      </c>
      <c r="R806">
        <v>1</v>
      </c>
      <c r="S806">
        <v>1</v>
      </c>
      <c r="T806">
        <v>1</v>
      </c>
      <c r="U806">
        <v>1</v>
      </c>
      <c r="V806">
        <v>1</v>
      </c>
      <c r="W806">
        <v>1</v>
      </c>
      <c r="X806">
        <v>1</v>
      </c>
      <c r="Y806">
        <v>1</v>
      </c>
      <c r="Z806">
        <v>1</v>
      </c>
      <c r="AA806">
        <v>1</v>
      </c>
      <c r="AB806">
        <v>1</v>
      </c>
      <c r="AC806">
        <v>1</v>
      </c>
    </row>
    <row r="807" spans="1:29" x14ac:dyDescent="0.45">
      <c r="A807" t="s">
        <v>90</v>
      </c>
      <c r="B807" t="s">
        <v>436</v>
      </c>
      <c r="C807" t="s">
        <v>437</v>
      </c>
      <c r="D807" t="s">
        <v>428</v>
      </c>
      <c r="E807" t="str">
        <f t="shared" si="12"/>
        <v>OK|solar pv|Summer Peak</v>
      </c>
      <c r="F807">
        <v>1</v>
      </c>
      <c r="G807">
        <v>1</v>
      </c>
      <c r="H807">
        <v>1</v>
      </c>
      <c r="I807">
        <v>1</v>
      </c>
      <c r="J807">
        <v>1</v>
      </c>
      <c r="K807">
        <v>1.12E-2</v>
      </c>
      <c r="L807">
        <v>0.80300000000000005</v>
      </c>
      <c r="M807">
        <v>0.77259999999999995</v>
      </c>
      <c r="N807">
        <v>0.82069999999999999</v>
      </c>
      <c r="O807">
        <v>0.84009999999999996</v>
      </c>
      <c r="P807">
        <v>0.88439999999999996</v>
      </c>
      <c r="Q807">
        <v>0.91490000000000005</v>
      </c>
      <c r="R807">
        <v>0.92400000000000004</v>
      </c>
      <c r="S807">
        <v>0.91490000000000005</v>
      </c>
      <c r="T807">
        <v>0.87990000000000002</v>
      </c>
      <c r="U807">
        <v>0.87480000000000002</v>
      </c>
      <c r="V807">
        <v>0.89700000000000002</v>
      </c>
      <c r="W807">
        <v>0.86780000000000002</v>
      </c>
      <c r="X807">
        <v>0.17799999999999999</v>
      </c>
      <c r="Y807">
        <v>1</v>
      </c>
      <c r="Z807">
        <v>1</v>
      </c>
      <c r="AA807">
        <v>1</v>
      </c>
      <c r="AB807">
        <v>1</v>
      </c>
      <c r="AC807">
        <v>1</v>
      </c>
    </row>
    <row r="808" spans="1:29" x14ac:dyDescent="0.45">
      <c r="A808" t="s">
        <v>90</v>
      </c>
      <c r="B808" t="s">
        <v>436</v>
      </c>
      <c r="C808" t="s">
        <v>437</v>
      </c>
      <c r="D808" t="s">
        <v>429</v>
      </c>
      <c r="E808" t="str">
        <f t="shared" si="12"/>
        <v>OK|solar pv|Winter Peak</v>
      </c>
      <c r="F808">
        <v>1</v>
      </c>
      <c r="G808">
        <v>1</v>
      </c>
      <c r="H808">
        <v>1</v>
      </c>
      <c r="I808">
        <v>1</v>
      </c>
      <c r="J808">
        <v>1</v>
      </c>
      <c r="K808">
        <v>1</v>
      </c>
      <c r="L808">
        <v>1</v>
      </c>
      <c r="M808">
        <v>0.33379999999999999</v>
      </c>
      <c r="N808">
        <v>0.85819999999999996</v>
      </c>
      <c r="O808">
        <v>0.99850000000000005</v>
      </c>
      <c r="P808">
        <v>0.99329999999999996</v>
      </c>
      <c r="Q808">
        <v>0.96840000000000004</v>
      </c>
      <c r="R808">
        <v>0.96260000000000001</v>
      </c>
      <c r="S808">
        <v>0.94369999999999998</v>
      </c>
      <c r="T808">
        <v>0.91969999999999996</v>
      </c>
      <c r="U808">
        <v>0.83789999999999998</v>
      </c>
      <c r="V808">
        <v>0.33560000000000001</v>
      </c>
      <c r="W808">
        <v>0</v>
      </c>
      <c r="X808">
        <v>1</v>
      </c>
      <c r="Y808">
        <v>1</v>
      </c>
      <c r="Z808">
        <v>1</v>
      </c>
      <c r="AA808">
        <v>1</v>
      </c>
      <c r="AB808">
        <v>1</v>
      </c>
      <c r="AC808">
        <v>1</v>
      </c>
    </row>
    <row r="809" spans="1:29" x14ac:dyDescent="0.45">
      <c r="A809" t="s">
        <v>90</v>
      </c>
      <c r="B809" t="s">
        <v>438</v>
      </c>
      <c r="C809" t="s">
        <v>439</v>
      </c>
      <c r="D809" t="s">
        <v>424</v>
      </c>
      <c r="E809" t="str">
        <f t="shared" si="12"/>
        <v>OK|solar thermal|Winter</v>
      </c>
      <c r="F809">
        <v>1</v>
      </c>
      <c r="G809">
        <v>1</v>
      </c>
      <c r="H809">
        <v>1</v>
      </c>
      <c r="I809">
        <v>1</v>
      </c>
      <c r="J809">
        <v>1</v>
      </c>
      <c r="K809">
        <v>1</v>
      </c>
      <c r="L809">
        <v>1</v>
      </c>
      <c r="M809">
        <v>1</v>
      </c>
      <c r="N809">
        <v>1</v>
      </c>
      <c r="O809">
        <v>1</v>
      </c>
      <c r="P809">
        <v>1</v>
      </c>
      <c r="Q809">
        <v>1</v>
      </c>
      <c r="R809">
        <v>1</v>
      </c>
      <c r="S809">
        <v>1</v>
      </c>
      <c r="T809">
        <v>1</v>
      </c>
      <c r="U809">
        <v>1</v>
      </c>
      <c r="V809">
        <v>1</v>
      </c>
      <c r="W809">
        <v>1</v>
      </c>
      <c r="X809">
        <v>1</v>
      </c>
      <c r="Y809">
        <v>1</v>
      </c>
      <c r="Z809">
        <v>1</v>
      </c>
      <c r="AA809">
        <v>1</v>
      </c>
      <c r="AB809">
        <v>1</v>
      </c>
      <c r="AC809">
        <v>1</v>
      </c>
    </row>
    <row r="810" spans="1:29" x14ac:dyDescent="0.45">
      <c r="A810" t="s">
        <v>90</v>
      </c>
      <c r="B810" t="s">
        <v>438</v>
      </c>
      <c r="C810" t="s">
        <v>439</v>
      </c>
      <c r="D810" t="s">
        <v>425</v>
      </c>
      <c r="E810" t="str">
        <f t="shared" si="12"/>
        <v>OK|solar thermal|Spring</v>
      </c>
      <c r="F810">
        <v>1</v>
      </c>
      <c r="G810">
        <v>1</v>
      </c>
      <c r="H810">
        <v>1</v>
      </c>
      <c r="I810">
        <v>1</v>
      </c>
      <c r="J810">
        <v>1</v>
      </c>
      <c r="K810">
        <v>1</v>
      </c>
      <c r="L810">
        <v>1</v>
      </c>
      <c r="M810">
        <v>1</v>
      </c>
      <c r="N810">
        <v>1</v>
      </c>
      <c r="O810">
        <v>1</v>
      </c>
      <c r="P810">
        <v>1</v>
      </c>
      <c r="Q810">
        <v>1</v>
      </c>
      <c r="R810">
        <v>1</v>
      </c>
      <c r="S810">
        <v>1</v>
      </c>
      <c r="T810">
        <v>1</v>
      </c>
      <c r="U810">
        <v>1</v>
      </c>
      <c r="V810">
        <v>1</v>
      </c>
      <c r="W810">
        <v>1</v>
      </c>
      <c r="X810">
        <v>1</v>
      </c>
      <c r="Y810">
        <v>1</v>
      </c>
      <c r="Z810">
        <v>1</v>
      </c>
      <c r="AA810">
        <v>1</v>
      </c>
      <c r="AB810">
        <v>1</v>
      </c>
      <c r="AC810">
        <v>1</v>
      </c>
    </row>
    <row r="811" spans="1:29" x14ac:dyDescent="0.45">
      <c r="A811" t="s">
        <v>90</v>
      </c>
      <c r="B811" t="s">
        <v>438</v>
      </c>
      <c r="C811" t="s">
        <v>439</v>
      </c>
      <c r="D811" t="s">
        <v>426</v>
      </c>
      <c r="E811" t="str">
        <f t="shared" si="12"/>
        <v>OK|solar thermal|Summer</v>
      </c>
      <c r="F811">
        <v>1</v>
      </c>
      <c r="G811">
        <v>1</v>
      </c>
      <c r="H811">
        <v>1</v>
      </c>
      <c r="I811">
        <v>1</v>
      </c>
      <c r="J811">
        <v>1</v>
      </c>
      <c r="K811">
        <v>1</v>
      </c>
      <c r="L811">
        <v>1</v>
      </c>
      <c r="M811">
        <v>1</v>
      </c>
      <c r="N811">
        <v>1</v>
      </c>
      <c r="O811">
        <v>1</v>
      </c>
      <c r="P811">
        <v>1</v>
      </c>
      <c r="Q811">
        <v>1</v>
      </c>
      <c r="R811">
        <v>1</v>
      </c>
      <c r="S811">
        <v>1</v>
      </c>
      <c r="T811">
        <v>1</v>
      </c>
      <c r="U811">
        <v>1</v>
      </c>
      <c r="V811">
        <v>1</v>
      </c>
      <c r="W811">
        <v>1</v>
      </c>
      <c r="X811">
        <v>1</v>
      </c>
      <c r="Y811">
        <v>1</v>
      </c>
      <c r="Z811">
        <v>1</v>
      </c>
      <c r="AA811">
        <v>1</v>
      </c>
      <c r="AB811">
        <v>1</v>
      </c>
      <c r="AC811">
        <v>1</v>
      </c>
    </row>
    <row r="812" spans="1:29" x14ac:dyDescent="0.45">
      <c r="A812" t="s">
        <v>90</v>
      </c>
      <c r="B812" t="s">
        <v>438</v>
      </c>
      <c r="C812" t="s">
        <v>439</v>
      </c>
      <c r="D812" t="s">
        <v>427</v>
      </c>
      <c r="E812" t="str">
        <f t="shared" si="12"/>
        <v>OK|solar thermal|Fall</v>
      </c>
      <c r="F812">
        <v>1</v>
      </c>
      <c r="G812">
        <v>1</v>
      </c>
      <c r="H812">
        <v>1</v>
      </c>
      <c r="I812">
        <v>1</v>
      </c>
      <c r="J812">
        <v>1</v>
      </c>
      <c r="K812">
        <v>1</v>
      </c>
      <c r="L812">
        <v>1</v>
      </c>
      <c r="M812">
        <v>1</v>
      </c>
      <c r="N812">
        <v>1</v>
      </c>
      <c r="O812">
        <v>1</v>
      </c>
      <c r="P812">
        <v>1</v>
      </c>
      <c r="Q812">
        <v>1</v>
      </c>
      <c r="R812">
        <v>1</v>
      </c>
      <c r="S812">
        <v>1</v>
      </c>
      <c r="T812">
        <v>1</v>
      </c>
      <c r="U812">
        <v>1</v>
      </c>
      <c r="V812">
        <v>1</v>
      </c>
      <c r="W812">
        <v>1</v>
      </c>
      <c r="X812">
        <v>1</v>
      </c>
      <c r="Y812">
        <v>1</v>
      </c>
      <c r="Z812">
        <v>1</v>
      </c>
      <c r="AA812">
        <v>1</v>
      </c>
      <c r="AB812">
        <v>1</v>
      </c>
      <c r="AC812">
        <v>1</v>
      </c>
    </row>
    <row r="813" spans="1:29" x14ac:dyDescent="0.45">
      <c r="A813" t="s">
        <v>90</v>
      </c>
      <c r="B813" t="s">
        <v>438</v>
      </c>
      <c r="C813" t="s">
        <v>439</v>
      </c>
      <c r="D813" t="s">
        <v>428</v>
      </c>
      <c r="E813" t="str">
        <f t="shared" si="12"/>
        <v>OK|solar thermal|Summer Peak</v>
      </c>
      <c r="F813">
        <v>1</v>
      </c>
      <c r="G813">
        <v>1</v>
      </c>
      <c r="H813">
        <v>1</v>
      </c>
      <c r="I813">
        <v>1</v>
      </c>
      <c r="J813">
        <v>1</v>
      </c>
      <c r="K813">
        <v>1</v>
      </c>
      <c r="L813">
        <v>1</v>
      </c>
      <c r="M813">
        <v>0</v>
      </c>
      <c r="N813">
        <v>0.8639</v>
      </c>
      <c r="O813">
        <v>1</v>
      </c>
      <c r="P813">
        <v>1</v>
      </c>
      <c r="Q813">
        <v>0.97160000000000002</v>
      </c>
      <c r="R813">
        <v>0.96719999999999995</v>
      </c>
      <c r="S813">
        <v>1</v>
      </c>
      <c r="T813">
        <v>1</v>
      </c>
      <c r="U813">
        <v>1</v>
      </c>
      <c r="V813">
        <v>1</v>
      </c>
      <c r="W813">
        <v>1</v>
      </c>
      <c r="X813">
        <v>1</v>
      </c>
      <c r="Y813">
        <v>0.93130000000000002</v>
      </c>
      <c r="Z813">
        <v>0.70220000000000005</v>
      </c>
      <c r="AA813">
        <v>1</v>
      </c>
      <c r="AB813">
        <v>1</v>
      </c>
      <c r="AC813">
        <v>1</v>
      </c>
    </row>
    <row r="814" spans="1:29" x14ac:dyDescent="0.45">
      <c r="A814" t="s">
        <v>90</v>
      </c>
      <c r="B814" t="s">
        <v>438</v>
      </c>
      <c r="C814" t="s">
        <v>439</v>
      </c>
      <c r="D814" t="s">
        <v>429</v>
      </c>
      <c r="E814" t="str">
        <f t="shared" si="12"/>
        <v>OK|solar thermal|Winter Peak</v>
      </c>
      <c r="F814">
        <v>1</v>
      </c>
      <c r="G814">
        <v>1</v>
      </c>
      <c r="H814">
        <v>1</v>
      </c>
      <c r="I814">
        <v>1</v>
      </c>
      <c r="J814">
        <v>1</v>
      </c>
      <c r="K814">
        <v>1</v>
      </c>
      <c r="L814">
        <v>1</v>
      </c>
      <c r="M814">
        <v>1</v>
      </c>
      <c r="N814">
        <v>1</v>
      </c>
      <c r="O814">
        <v>0.2419</v>
      </c>
      <c r="P814">
        <v>0.95320000000000005</v>
      </c>
      <c r="Q814">
        <v>0.88039999999999996</v>
      </c>
      <c r="R814">
        <v>0.97819999999999996</v>
      </c>
      <c r="S814">
        <v>0.98950000000000005</v>
      </c>
      <c r="T814">
        <v>0.99270000000000003</v>
      </c>
      <c r="U814">
        <v>1</v>
      </c>
      <c r="V814">
        <v>1</v>
      </c>
      <c r="W814">
        <v>1</v>
      </c>
      <c r="X814">
        <v>0.89019999999999999</v>
      </c>
      <c r="Y814">
        <v>0</v>
      </c>
      <c r="Z814">
        <v>1</v>
      </c>
      <c r="AA814">
        <v>1</v>
      </c>
      <c r="AB814">
        <v>1</v>
      </c>
      <c r="AC814">
        <v>1</v>
      </c>
    </row>
    <row r="815" spans="1:29" x14ac:dyDescent="0.45">
      <c r="A815" t="s">
        <v>90</v>
      </c>
      <c r="B815" t="s">
        <v>440</v>
      </c>
      <c r="C815" t="s">
        <v>441</v>
      </c>
      <c r="D815" t="s">
        <v>424</v>
      </c>
      <c r="E815" t="str">
        <f t="shared" si="12"/>
        <v>OK|offshore wind|Winter</v>
      </c>
      <c r="F815">
        <v>1</v>
      </c>
      <c r="G815">
        <v>1</v>
      </c>
      <c r="H815">
        <v>1</v>
      </c>
      <c r="I815">
        <v>1</v>
      </c>
      <c r="J815">
        <v>1</v>
      </c>
      <c r="K815">
        <v>1</v>
      </c>
      <c r="L815">
        <v>1</v>
      </c>
      <c r="M815">
        <v>1</v>
      </c>
      <c r="N815">
        <v>1</v>
      </c>
      <c r="O815">
        <v>1</v>
      </c>
      <c r="P815">
        <v>1</v>
      </c>
      <c r="Q815">
        <v>1</v>
      </c>
      <c r="R815">
        <v>1</v>
      </c>
      <c r="S815">
        <v>1</v>
      </c>
      <c r="T815">
        <v>1</v>
      </c>
      <c r="U815">
        <v>1</v>
      </c>
      <c r="V815">
        <v>1</v>
      </c>
      <c r="W815">
        <v>1</v>
      </c>
      <c r="X815">
        <v>1</v>
      </c>
      <c r="Y815">
        <v>1</v>
      </c>
      <c r="Z815">
        <v>1</v>
      </c>
      <c r="AA815">
        <v>1</v>
      </c>
      <c r="AB815">
        <v>1</v>
      </c>
      <c r="AC815">
        <v>1</v>
      </c>
    </row>
    <row r="816" spans="1:29" x14ac:dyDescent="0.45">
      <c r="A816" t="s">
        <v>90</v>
      </c>
      <c r="B816" t="s">
        <v>440</v>
      </c>
      <c r="C816" t="s">
        <v>441</v>
      </c>
      <c r="D816" t="s">
        <v>425</v>
      </c>
      <c r="E816" t="str">
        <f t="shared" si="12"/>
        <v>OK|offshore wind|Spring</v>
      </c>
      <c r="F816">
        <v>1</v>
      </c>
      <c r="G816">
        <v>1</v>
      </c>
      <c r="H816">
        <v>1</v>
      </c>
      <c r="I816">
        <v>1</v>
      </c>
      <c r="J816">
        <v>1</v>
      </c>
      <c r="K816">
        <v>1</v>
      </c>
      <c r="L816">
        <v>1</v>
      </c>
      <c r="M816">
        <v>1</v>
      </c>
      <c r="N816">
        <v>1</v>
      </c>
      <c r="O816">
        <v>1</v>
      </c>
      <c r="P816">
        <v>1</v>
      </c>
      <c r="Q816">
        <v>1</v>
      </c>
      <c r="R816">
        <v>1</v>
      </c>
      <c r="S816">
        <v>1</v>
      </c>
      <c r="T816">
        <v>1</v>
      </c>
      <c r="U816">
        <v>1</v>
      </c>
      <c r="V816">
        <v>1</v>
      </c>
      <c r="W816">
        <v>1</v>
      </c>
      <c r="X816">
        <v>1</v>
      </c>
      <c r="Y816">
        <v>1</v>
      </c>
      <c r="Z816">
        <v>1</v>
      </c>
      <c r="AA816">
        <v>1</v>
      </c>
      <c r="AB816">
        <v>1</v>
      </c>
      <c r="AC816">
        <v>1</v>
      </c>
    </row>
    <row r="817" spans="1:29" x14ac:dyDescent="0.45">
      <c r="A817" t="s">
        <v>90</v>
      </c>
      <c r="B817" t="s">
        <v>440</v>
      </c>
      <c r="C817" t="s">
        <v>441</v>
      </c>
      <c r="D817" t="s">
        <v>426</v>
      </c>
      <c r="E817" t="str">
        <f t="shared" si="12"/>
        <v>OK|offshore wind|Summer</v>
      </c>
      <c r="F817">
        <v>1</v>
      </c>
      <c r="G817">
        <v>1</v>
      </c>
      <c r="H817">
        <v>1</v>
      </c>
      <c r="I817">
        <v>1</v>
      </c>
      <c r="J817">
        <v>1</v>
      </c>
      <c r="K817">
        <v>1</v>
      </c>
      <c r="L817">
        <v>1</v>
      </c>
      <c r="M817">
        <v>1</v>
      </c>
      <c r="N817">
        <v>1</v>
      </c>
      <c r="O817">
        <v>1</v>
      </c>
      <c r="P817">
        <v>1</v>
      </c>
      <c r="Q817">
        <v>1</v>
      </c>
      <c r="R817">
        <v>1</v>
      </c>
      <c r="S817">
        <v>1</v>
      </c>
      <c r="T817">
        <v>1</v>
      </c>
      <c r="U817">
        <v>1</v>
      </c>
      <c r="V817">
        <v>1</v>
      </c>
      <c r="W817">
        <v>1</v>
      </c>
      <c r="X817">
        <v>1</v>
      </c>
      <c r="Y817">
        <v>1</v>
      </c>
      <c r="Z817">
        <v>1</v>
      </c>
      <c r="AA817">
        <v>1</v>
      </c>
      <c r="AB817">
        <v>1</v>
      </c>
      <c r="AC817">
        <v>1</v>
      </c>
    </row>
    <row r="818" spans="1:29" x14ac:dyDescent="0.45">
      <c r="A818" t="s">
        <v>90</v>
      </c>
      <c r="B818" t="s">
        <v>440</v>
      </c>
      <c r="C818" t="s">
        <v>441</v>
      </c>
      <c r="D818" t="s">
        <v>427</v>
      </c>
      <c r="E818" t="str">
        <f t="shared" si="12"/>
        <v>OK|offshore wind|Fall</v>
      </c>
      <c r="F818">
        <v>1</v>
      </c>
      <c r="G818">
        <v>1</v>
      </c>
      <c r="H818">
        <v>1</v>
      </c>
      <c r="I818">
        <v>1</v>
      </c>
      <c r="J818">
        <v>1</v>
      </c>
      <c r="K818">
        <v>1</v>
      </c>
      <c r="L818">
        <v>1</v>
      </c>
      <c r="M818">
        <v>1</v>
      </c>
      <c r="N818">
        <v>1</v>
      </c>
      <c r="O818">
        <v>1</v>
      </c>
      <c r="P818">
        <v>1</v>
      </c>
      <c r="Q818">
        <v>1</v>
      </c>
      <c r="R818">
        <v>1</v>
      </c>
      <c r="S818">
        <v>1</v>
      </c>
      <c r="T818">
        <v>1</v>
      </c>
      <c r="U818">
        <v>1</v>
      </c>
      <c r="V818">
        <v>1</v>
      </c>
      <c r="W818">
        <v>1</v>
      </c>
      <c r="X818">
        <v>1</v>
      </c>
      <c r="Y818">
        <v>1</v>
      </c>
      <c r="Z818">
        <v>1</v>
      </c>
      <c r="AA818">
        <v>1</v>
      </c>
      <c r="AB818">
        <v>1</v>
      </c>
      <c r="AC818">
        <v>1</v>
      </c>
    </row>
    <row r="819" spans="1:29" x14ac:dyDescent="0.45">
      <c r="A819" t="s">
        <v>90</v>
      </c>
      <c r="B819" t="s">
        <v>440</v>
      </c>
      <c r="C819" t="s">
        <v>441</v>
      </c>
      <c r="D819" t="s">
        <v>428</v>
      </c>
      <c r="E819" t="str">
        <f t="shared" si="12"/>
        <v>OK|offshore wind|Summer Peak</v>
      </c>
      <c r="F819">
        <v>0.40810000000000002</v>
      </c>
      <c r="G819">
        <v>0.4239</v>
      </c>
      <c r="H819">
        <v>0.45760000000000001</v>
      </c>
      <c r="I819">
        <v>0.50319999999999998</v>
      </c>
      <c r="J819">
        <v>0.53649999999999998</v>
      </c>
      <c r="K819">
        <v>0.59399999999999997</v>
      </c>
      <c r="L819">
        <v>0.61929999999999996</v>
      </c>
      <c r="M819">
        <v>0.68859999999999999</v>
      </c>
      <c r="N819">
        <v>0.73480000000000001</v>
      </c>
      <c r="O819">
        <v>0.84350000000000003</v>
      </c>
      <c r="P819">
        <v>0.78200000000000003</v>
      </c>
      <c r="Q819">
        <v>0.74650000000000005</v>
      </c>
      <c r="R819">
        <v>0.63690000000000002</v>
      </c>
      <c r="S819">
        <v>0.60860000000000003</v>
      </c>
      <c r="T819">
        <v>0.64339999999999997</v>
      </c>
      <c r="U819">
        <v>0.69269999999999998</v>
      </c>
      <c r="V819">
        <v>0.71450000000000002</v>
      </c>
      <c r="W819">
        <v>0.75070000000000003</v>
      </c>
      <c r="X819">
        <v>0.72489999999999999</v>
      </c>
      <c r="Y819">
        <v>0.66049999999999998</v>
      </c>
      <c r="Z819">
        <v>0.69140000000000001</v>
      </c>
      <c r="AA819">
        <v>0.63080000000000003</v>
      </c>
      <c r="AB819">
        <v>0.63429999999999997</v>
      </c>
      <c r="AC819">
        <v>0.64390000000000003</v>
      </c>
    </row>
    <row r="820" spans="1:29" x14ac:dyDescent="0.45">
      <c r="A820" t="s">
        <v>90</v>
      </c>
      <c r="B820" t="s">
        <v>440</v>
      </c>
      <c r="C820" t="s">
        <v>441</v>
      </c>
      <c r="D820" t="s">
        <v>429</v>
      </c>
      <c r="E820" t="str">
        <f t="shared" si="12"/>
        <v>OK|offshore wind|Winter Peak</v>
      </c>
      <c r="F820">
        <v>0.95309999999999995</v>
      </c>
      <c r="G820">
        <v>0.95030000000000003</v>
      </c>
      <c r="H820">
        <v>0.95540000000000003</v>
      </c>
      <c r="I820">
        <v>0.96679999999999999</v>
      </c>
      <c r="J820">
        <v>1</v>
      </c>
      <c r="K820">
        <v>1</v>
      </c>
      <c r="L820">
        <v>1</v>
      </c>
      <c r="M820">
        <v>0.99209999999999998</v>
      </c>
      <c r="N820">
        <v>0.90149999999999997</v>
      </c>
      <c r="O820">
        <v>0.79779999999999995</v>
      </c>
      <c r="P820">
        <v>0.71879999999999999</v>
      </c>
      <c r="Q820">
        <v>0.67300000000000004</v>
      </c>
      <c r="R820">
        <v>0.60860000000000003</v>
      </c>
      <c r="S820">
        <v>0.58009999999999995</v>
      </c>
      <c r="T820">
        <v>0.58799999999999997</v>
      </c>
      <c r="U820">
        <v>0.61019999999999996</v>
      </c>
      <c r="V820">
        <v>0.61839999999999995</v>
      </c>
      <c r="W820">
        <v>0.60909999999999997</v>
      </c>
      <c r="X820">
        <v>0.62880000000000003</v>
      </c>
      <c r="Y820">
        <v>0.72889999999999999</v>
      </c>
      <c r="Z820">
        <v>0.84719999999999995</v>
      </c>
      <c r="AA820">
        <v>0.92220000000000002</v>
      </c>
      <c r="AB820">
        <v>0.86950000000000005</v>
      </c>
      <c r="AC820">
        <v>0.8054</v>
      </c>
    </row>
    <row r="821" spans="1:29" x14ac:dyDescent="0.45">
      <c r="A821" t="s">
        <v>92</v>
      </c>
      <c r="B821" t="s">
        <v>434</v>
      </c>
      <c r="C821" t="s">
        <v>435</v>
      </c>
      <c r="D821" t="s">
        <v>424</v>
      </c>
      <c r="E821" t="str">
        <f t="shared" si="12"/>
        <v>OR|onshore wind|Winter</v>
      </c>
      <c r="F821">
        <v>1</v>
      </c>
      <c r="G821">
        <v>1</v>
      </c>
      <c r="H821">
        <v>1</v>
      </c>
      <c r="I821">
        <v>1</v>
      </c>
      <c r="J821">
        <v>1</v>
      </c>
      <c r="K821">
        <v>1</v>
      </c>
      <c r="L821">
        <v>1</v>
      </c>
      <c r="M821">
        <v>1</v>
      </c>
      <c r="N821">
        <v>1</v>
      </c>
      <c r="O821">
        <v>1</v>
      </c>
      <c r="P821">
        <v>1</v>
      </c>
      <c r="Q821">
        <v>1</v>
      </c>
      <c r="R821">
        <v>1</v>
      </c>
      <c r="S821">
        <v>1</v>
      </c>
      <c r="T821">
        <v>1</v>
      </c>
      <c r="U821">
        <v>1</v>
      </c>
      <c r="V821">
        <v>1</v>
      </c>
      <c r="W821">
        <v>1</v>
      </c>
      <c r="X821">
        <v>1</v>
      </c>
      <c r="Y821">
        <v>1</v>
      </c>
      <c r="Z821">
        <v>1</v>
      </c>
      <c r="AA821">
        <v>1</v>
      </c>
      <c r="AB821">
        <v>1</v>
      </c>
      <c r="AC821">
        <v>1</v>
      </c>
    </row>
    <row r="822" spans="1:29" x14ac:dyDescent="0.45">
      <c r="A822" t="s">
        <v>92</v>
      </c>
      <c r="B822" t="s">
        <v>434</v>
      </c>
      <c r="C822" t="s">
        <v>435</v>
      </c>
      <c r="D822" t="s">
        <v>425</v>
      </c>
      <c r="E822" t="str">
        <f t="shared" si="12"/>
        <v>OR|onshore wind|Spring</v>
      </c>
      <c r="F822">
        <v>1</v>
      </c>
      <c r="G822">
        <v>1</v>
      </c>
      <c r="H822">
        <v>1</v>
      </c>
      <c r="I822">
        <v>1</v>
      </c>
      <c r="J822">
        <v>1</v>
      </c>
      <c r="K822">
        <v>1</v>
      </c>
      <c r="L822">
        <v>1</v>
      </c>
      <c r="M822">
        <v>1</v>
      </c>
      <c r="N822">
        <v>1</v>
      </c>
      <c r="O822">
        <v>1</v>
      </c>
      <c r="P822">
        <v>1</v>
      </c>
      <c r="Q822">
        <v>1</v>
      </c>
      <c r="R822">
        <v>1</v>
      </c>
      <c r="S822">
        <v>1</v>
      </c>
      <c r="T822">
        <v>1</v>
      </c>
      <c r="U822">
        <v>1</v>
      </c>
      <c r="V822">
        <v>1</v>
      </c>
      <c r="W822">
        <v>1</v>
      </c>
      <c r="X822">
        <v>1</v>
      </c>
      <c r="Y822">
        <v>1</v>
      </c>
      <c r="Z822">
        <v>1</v>
      </c>
      <c r="AA822">
        <v>1</v>
      </c>
      <c r="AB822">
        <v>1</v>
      </c>
      <c r="AC822">
        <v>1</v>
      </c>
    </row>
    <row r="823" spans="1:29" x14ac:dyDescent="0.45">
      <c r="A823" t="s">
        <v>92</v>
      </c>
      <c r="B823" t="s">
        <v>434</v>
      </c>
      <c r="C823" t="s">
        <v>435</v>
      </c>
      <c r="D823" t="s">
        <v>426</v>
      </c>
      <c r="E823" t="str">
        <f t="shared" si="12"/>
        <v>OR|onshore wind|Summer</v>
      </c>
      <c r="F823">
        <v>1</v>
      </c>
      <c r="G823">
        <v>1</v>
      </c>
      <c r="H823">
        <v>1</v>
      </c>
      <c r="I823">
        <v>1</v>
      </c>
      <c r="J823">
        <v>1</v>
      </c>
      <c r="K823">
        <v>1</v>
      </c>
      <c r="L823">
        <v>1</v>
      </c>
      <c r="M823">
        <v>1</v>
      </c>
      <c r="N823">
        <v>1</v>
      </c>
      <c r="O823">
        <v>1</v>
      </c>
      <c r="P823">
        <v>1</v>
      </c>
      <c r="Q823">
        <v>1</v>
      </c>
      <c r="R823">
        <v>1</v>
      </c>
      <c r="S823">
        <v>1</v>
      </c>
      <c r="T823">
        <v>1</v>
      </c>
      <c r="U823">
        <v>1</v>
      </c>
      <c r="V823">
        <v>1</v>
      </c>
      <c r="W823">
        <v>1</v>
      </c>
      <c r="X823">
        <v>1</v>
      </c>
      <c r="Y823">
        <v>1</v>
      </c>
      <c r="Z823">
        <v>1</v>
      </c>
      <c r="AA823">
        <v>1</v>
      </c>
      <c r="AB823">
        <v>1</v>
      </c>
      <c r="AC823">
        <v>1</v>
      </c>
    </row>
    <row r="824" spans="1:29" x14ac:dyDescent="0.45">
      <c r="A824" t="s">
        <v>92</v>
      </c>
      <c r="B824" t="s">
        <v>434</v>
      </c>
      <c r="C824" t="s">
        <v>435</v>
      </c>
      <c r="D824" t="s">
        <v>427</v>
      </c>
      <c r="E824" t="str">
        <f t="shared" si="12"/>
        <v>OR|onshore wind|Fall</v>
      </c>
      <c r="F824">
        <v>1</v>
      </c>
      <c r="G824">
        <v>1</v>
      </c>
      <c r="H824">
        <v>1</v>
      </c>
      <c r="I824">
        <v>1</v>
      </c>
      <c r="J824">
        <v>1</v>
      </c>
      <c r="K824">
        <v>1</v>
      </c>
      <c r="L824">
        <v>1</v>
      </c>
      <c r="M824">
        <v>1</v>
      </c>
      <c r="N824">
        <v>1</v>
      </c>
      <c r="O824">
        <v>1</v>
      </c>
      <c r="P824">
        <v>1</v>
      </c>
      <c r="Q824">
        <v>1</v>
      </c>
      <c r="R824">
        <v>1</v>
      </c>
      <c r="S824">
        <v>1</v>
      </c>
      <c r="T824">
        <v>1</v>
      </c>
      <c r="U824">
        <v>1</v>
      </c>
      <c r="V824">
        <v>1</v>
      </c>
      <c r="W824">
        <v>1</v>
      </c>
      <c r="X824">
        <v>1</v>
      </c>
      <c r="Y824">
        <v>1</v>
      </c>
      <c r="Z824">
        <v>1</v>
      </c>
      <c r="AA824">
        <v>1</v>
      </c>
      <c r="AB824">
        <v>1</v>
      </c>
      <c r="AC824">
        <v>1</v>
      </c>
    </row>
    <row r="825" spans="1:29" x14ac:dyDescent="0.45">
      <c r="A825" t="s">
        <v>92</v>
      </c>
      <c r="B825" t="s">
        <v>434</v>
      </c>
      <c r="C825" t="s">
        <v>435</v>
      </c>
      <c r="D825" t="s">
        <v>428</v>
      </c>
      <c r="E825" t="str">
        <f t="shared" si="12"/>
        <v>OR|onshore wind|Summer Peak</v>
      </c>
      <c r="F825">
        <v>0.49509999999999998</v>
      </c>
      <c r="G825">
        <v>0.43430000000000002</v>
      </c>
      <c r="H825">
        <v>0.40539999999999998</v>
      </c>
      <c r="I825">
        <v>0.40660000000000002</v>
      </c>
      <c r="J825">
        <v>0.41220000000000001</v>
      </c>
      <c r="K825">
        <v>0.46239999999999998</v>
      </c>
      <c r="L825">
        <v>0.41099999999999998</v>
      </c>
      <c r="M825">
        <v>0.34949999999999998</v>
      </c>
      <c r="N825">
        <v>0.32100000000000001</v>
      </c>
      <c r="O825">
        <v>0.4083</v>
      </c>
      <c r="P825">
        <v>0.48520000000000002</v>
      </c>
      <c r="Q825">
        <v>0.51459999999999995</v>
      </c>
      <c r="R825">
        <v>0.62980000000000003</v>
      </c>
      <c r="S825">
        <v>0.64090000000000003</v>
      </c>
      <c r="T825">
        <v>0.58320000000000005</v>
      </c>
      <c r="U825">
        <v>0.4168</v>
      </c>
      <c r="V825">
        <v>0.67200000000000004</v>
      </c>
      <c r="W825">
        <v>0.64470000000000005</v>
      </c>
      <c r="X825">
        <v>0.84179999999999999</v>
      </c>
      <c r="Y825">
        <v>0.70309999999999995</v>
      </c>
      <c r="Z825">
        <v>0.54559999999999997</v>
      </c>
      <c r="AA825">
        <v>0.50309999999999999</v>
      </c>
      <c r="AB825">
        <v>0.44159999999999999</v>
      </c>
      <c r="AC825">
        <v>0.53390000000000004</v>
      </c>
    </row>
    <row r="826" spans="1:29" x14ac:dyDescent="0.45">
      <c r="A826" t="s">
        <v>92</v>
      </c>
      <c r="B826" t="s">
        <v>434</v>
      </c>
      <c r="C826" t="s">
        <v>435</v>
      </c>
      <c r="D826" t="s">
        <v>429</v>
      </c>
      <c r="E826" t="str">
        <f t="shared" si="12"/>
        <v>OR|onshore wind|Winter Peak</v>
      </c>
      <c r="F826">
        <v>0.74780000000000002</v>
      </c>
      <c r="G826">
        <v>0.72589999999999999</v>
      </c>
      <c r="H826">
        <v>0.68320000000000003</v>
      </c>
      <c r="I826">
        <v>0.69210000000000005</v>
      </c>
      <c r="J826">
        <v>0.65080000000000005</v>
      </c>
      <c r="K826">
        <v>0.57520000000000004</v>
      </c>
      <c r="L826">
        <v>0.55720000000000003</v>
      </c>
      <c r="M826">
        <v>0.55430000000000001</v>
      </c>
      <c r="N826">
        <v>0.6341</v>
      </c>
      <c r="O826">
        <v>0.6482</v>
      </c>
      <c r="P826">
        <v>0.60750000000000004</v>
      </c>
      <c r="Q826">
        <v>0.55310000000000004</v>
      </c>
      <c r="R826">
        <v>0.54349999999999998</v>
      </c>
      <c r="S826">
        <v>0.50780000000000003</v>
      </c>
      <c r="T826">
        <v>0.52129999999999999</v>
      </c>
      <c r="U826">
        <v>0.48949999999999999</v>
      </c>
      <c r="V826">
        <v>0.52380000000000004</v>
      </c>
      <c r="W826">
        <v>0.44819999999999999</v>
      </c>
      <c r="X826">
        <v>0.3851</v>
      </c>
      <c r="Y826">
        <v>0.3553</v>
      </c>
      <c r="Z826">
        <v>0.3306</v>
      </c>
      <c r="AA826">
        <v>0.33500000000000002</v>
      </c>
      <c r="AB826">
        <v>0.34079999999999999</v>
      </c>
      <c r="AC826">
        <v>0.35339999999999999</v>
      </c>
    </row>
    <row r="827" spans="1:29" x14ac:dyDescent="0.45">
      <c r="A827" t="s">
        <v>92</v>
      </c>
      <c r="B827" t="s">
        <v>436</v>
      </c>
      <c r="C827" t="s">
        <v>437</v>
      </c>
      <c r="D827" t="s">
        <v>424</v>
      </c>
      <c r="E827" t="str">
        <f t="shared" si="12"/>
        <v>OR|solar pv|Winter</v>
      </c>
      <c r="F827">
        <v>1</v>
      </c>
      <c r="G827">
        <v>1</v>
      </c>
      <c r="H827">
        <v>1</v>
      </c>
      <c r="I827">
        <v>1</v>
      </c>
      <c r="J827">
        <v>1</v>
      </c>
      <c r="K827">
        <v>1</v>
      </c>
      <c r="L827">
        <v>1</v>
      </c>
      <c r="M827">
        <v>1</v>
      </c>
      <c r="N827">
        <v>1</v>
      </c>
      <c r="O827">
        <v>1</v>
      </c>
      <c r="P827">
        <v>1</v>
      </c>
      <c r="Q827">
        <v>1</v>
      </c>
      <c r="R827">
        <v>1</v>
      </c>
      <c r="S827">
        <v>1</v>
      </c>
      <c r="T827">
        <v>1</v>
      </c>
      <c r="U827">
        <v>1</v>
      </c>
      <c r="V827">
        <v>1</v>
      </c>
      <c r="W827">
        <v>1</v>
      </c>
      <c r="X827">
        <v>1</v>
      </c>
      <c r="Y827">
        <v>1</v>
      </c>
      <c r="Z827">
        <v>1</v>
      </c>
      <c r="AA827">
        <v>1</v>
      </c>
      <c r="AB827">
        <v>1</v>
      </c>
      <c r="AC827">
        <v>1</v>
      </c>
    </row>
    <row r="828" spans="1:29" x14ac:dyDescent="0.45">
      <c r="A828" t="s">
        <v>92</v>
      </c>
      <c r="B828" t="s">
        <v>436</v>
      </c>
      <c r="C828" t="s">
        <v>437</v>
      </c>
      <c r="D828" t="s">
        <v>425</v>
      </c>
      <c r="E828" t="str">
        <f t="shared" si="12"/>
        <v>OR|solar pv|Spring</v>
      </c>
      <c r="F828">
        <v>1</v>
      </c>
      <c r="G828">
        <v>1</v>
      </c>
      <c r="H828">
        <v>1</v>
      </c>
      <c r="I828">
        <v>1</v>
      </c>
      <c r="J828">
        <v>1</v>
      </c>
      <c r="K828">
        <v>1</v>
      </c>
      <c r="L828">
        <v>1</v>
      </c>
      <c r="M828">
        <v>1</v>
      </c>
      <c r="N828">
        <v>1</v>
      </c>
      <c r="O828">
        <v>1</v>
      </c>
      <c r="P828">
        <v>1</v>
      </c>
      <c r="Q828">
        <v>1</v>
      </c>
      <c r="R828">
        <v>1</v>
      </c>
      <c r="S828">
        <v>1</v>
      </c>
      <c r="T828">
        <v>1</v>
      </c>
      <c r="U828">
        <v>1</v>
      </c>
      <c r="V828">
        <v>1</v>
      </c>
      <c r="W828">
        <v>1</v>
      </c>
      <c r="X828">
        <v>1</v>
      </c>
      <c r="Y828">
        <v>1</v>
      </c>
      <c r="Z828">
        <v>1</v>
      </c>
      <c r="AA828">
        <v>1</v>
      </c>
      <c r="AB828">
        <v>1</v>
      </c>
      <c r="AC828">
        <v>1</v>
      </c>
    </row>
    <row r="829" spans="1:29" x14ac:dyDescent="0.45">
      <c r="A829" t="s">
        <v>92</v>
      </c>
      <c r="B829" t="s">
        <v>436</v>
      </c>
      <c r="C829" t="s">
        <v>437</v>
      </c>
      <c r="D829" t="s">
        <v>426</v>
      </c>
      <c r="E829" t="str">
        <f t="shared" si="12"/>
        <v>OR|solar pv|Summer</v>
      </c>
      <c r="F829">
        <v>1</v>
      </c>
      <c r="G829">
        <v>1</v>
      </c>
      <c r="H829">
        <v>1</v>
      </c>
      <c r="I829">
        <v>1</v>
      </c>
      <c r="J829">
        <v>1</v>
      </c>
      <c r="K829">
        <v>1</v>
      </c>
      <c r="L829">
        <v>1</v>
      </c>
      <c r="M829">
        <v>1</v>
      </c>
      <c r="N829">
        <v>1</v>
      </c>
      <c r="O829">
        <v>1</v>
      </c>
      <c r="P829">
        <v>1</v>
      </c>
      <c r="Q829">
        <v>1</v>
      </c>
      <c r="R829">
        <v>1</v>
      </c>
      <c r="S829">
        <v>1</v>
      </c>
      <c r="T829">
        <v>1</v>
      </c>
      <c r="U829">
        <v>1</v>
      </c>
      <c r="V829">
        <v>1</v>
      </c>
      <c r="W829">
        <v>1</v>
      </c>
      <c r="X829">
        <v>1</v>
      </c>
      <c r="Y829">
        <v>1</v>
      </c>
      <c r="Z829">
        <v>1</v>
      </c>
      <c r="AA829">
        <v>1</v>
      </c>
      <c r="AB829">
        <v>1</v>
      </c>
      <c r="AC829">
        <v>1</v>
      </c>
    </row>
    <row r="830" spans="1:29" x14ac:dyDescent="0.45">
      <c r="A830" t="s">
        <v>92</v>
      </c>
      <c r="B830" t="s">
        <v>436</v>
      </c>
      <c r="C830" t="s">
        <v>437</v>
      </c>
      <c r="D830" t="s">
        <v>427</v>
      </c>
      <c r="E830" t="str">
        <f t="shared" si="12"/>
        <v>OR|solar pv|Fall</v>
      </c>
      <c r="F830">
        <v>1</v>
      </c>
      <c r="G830">
        <v>1</v>
      </c>
      <c r="H830">
        <v>1</v>
      </c>
      <c r="I830">
        <v>1</v>
      </c>
      <c r="J830">
        <v>1</v>
      </c>
      <c r="K830">
        <v>1</v>
      </c>
      <c r="L830">
        <v>1</v>
      </c>
      <c r="M830">
        <v>1</v>
      </c>
      <c r="N830">
        <v>1</v>
      </c>
      <c r="O830">
        <v>1</v>
      </c>
      <c r="P830">
        <v>1</v>
      </c>
      <c r="Q830">
        <v>1</v>
      </c>
      <c r="R830">
        <v>1</v>
      </c>
      <c r="S830">
        <v>1</v>
      </c>
      <c r="T830">
        <v>1</v>
      </c>
      <c r="U830">
        <v>1</v>
      </c>
      <c r="V830">
        <v>1</v>
      </c>
      <c r="W830">
        <v>1</v>
      </c>
      <c r="X830">
        <v>1</v>
      </c>
      <c r="Y830">
        <v>1</v>
      </c>
      <c r="Z830">
        <v>1</v>
      </c>
      <c r="AA830">
        <v>1</v>
      </c>
      <c r="AB830">
        <v>1</v>
      </c>
      <c r="AC830">
        <v>1</v>
      </c>
    </row>
    <row r="831" spans="1:29" x14ac:dyDescent="0.45">
      <c r="A831" t="s">
        <v>92</v>
      </c>
      <c r="B831" t="s">
        <v>436</v>
      </c>
      <c r="C831" t="s">
        <v>437</v>
      </c>
      <c r="D831" t="s">
        <v>428</v>
      </c>
      <c r="E831" t="str">
        <f t="shared" si="12"/>
        <v>OR|solar pv|Summer Peak</v>
      </c>
      <c r="F831">
        <v>1</v>
      </c>
      <c r="G831">
        <v>1</v>
      </c>
      <c r="H831">
        <v>1</v>
      </c>
      <c r="I831">
        <v>1</v>
      </c>
      <c r="J831">
        <v>0.51829999999999998</v>
      </c>
      <c r="K831">
        <v>0.96479999999999999</v>
      </c>
      <c r="L831">
        <v>0.93630000000000002</v>
      </c>
      <c r="M831">
        <v>0.94399999999999995</v>
      </c>
      <c r="N831">
        <v>0.97009999999999996</v>
      </c>
      <c r="O831">
        <v>0.94830000000000003</v>
      </c>
      <c r="P831">
        <v>0.98599999999999999</v>
      </c>
      <c r="Q831">
        <v>0.92379999999999995</v>
      </c>
      <c r="R831">
        <v>0.88129999999999997</v>
      </c>
      <c r="S831">
        <v>0.86719999999999997</v>
      </c>
      <c r="T831">
        <v>0.88109999999999999</v>
      </c>
      <c r="U831">
        <v>0.88939999999999997</v>
      </c>
      <c r="V831">
        <v>0.99590000000000001</v>
      </c>
      <c r="W831">
        <v>0.9355</v>
      </c>
      <c r="X831">
        <v>0.49049999999999999</v>
      </c>
      <c r="Y831">
        <v>1</v>
      </c>
      <c r="Z831">
        <v>1</v>
      </c>
      <c r="AA831">
        <v>1</v>
      </c>
      <c r="AB831">
        <v>1</v>
      </c>
      <c r="AC831">
        <v>1</v>
      </c>
    </row>
    <row r="832" spans="1:29" x14ac:dyDescent="0.45">
      <c r="A832" t="s">
        <v>92</v>
      </c>
      <c r="B832" t="s">
        <v>436</v>
      </c>
      <c r="C832" t="s">
        <v>437</v>
      </c>
      <c r="D832" t="s">
        <v>429</v>
      </c>
      <c r="E832" t="str">
        <f t="shared" si="12"/>
        <v>OR|solar pv|Winter Peak</v>
      </c>
      <c r="F832">
        <v>1</v>
      </c>
      <c r="G832">
        <v>1</v>
      </c>
      <c r="H832">
        <v>1</v>
      </c>
      <c r="I832">
        <v>1</v>
      </c>
      <c r="J832">
        <v>1</v>
      </c>
      <c r="K832">
        <v>1</v>
      </c>
      <c r="L832">
        <v>1</v>
      </c>
      <c r="M832">
        <v>0.40749999999999997</v>
      </c>
      <c r="N832">
        <v>0.82120000000000004</v>
      </c>
      <c r="O832">
        <v>0.745</v>
      </c>
      <c r="P832">
        <v>0.91849999999999998</v>
      </c>
      <c r="Q832">
        <v>0.92410000000000003</v>
      </c>
      <c r="R832">
        <v>0.90910000000000002</v>
      </c>
      <c r="S832">
        <v>0.94279999999999997</v>
      </c>
      <c r="T832">
        <v>0.85929999999999995</v>
      </c>
      <c r="U832">
        <v>0.65169999999999995</v>
      </c>
      <c r="V832">
        <v>1.26E-2</v>
      </c>
      <c r="W832">
        <v>1</v>
      </c>
      <c r="X832">
        <v>1</v>
      </c>
      <c r="Y832">
        <v>1</v>
      </c>
      <c r="Z832">
        <v>1</v>
      </c>
      <c r="AA832">
        <v>1</v>
      </c>
      <c r="AB832">
        <v>1</v>
      </c>
      <c r="AC832">
        <v>1</v>
      </c>
    </row>
    <row r="833" spans="1:29" x14ac:dyDescent="0.45">
      <c r="A833" t="s">
        <v>92</v>
      </c>
      <c r="B833" t="s">
        <v>438</v>
      </c>
      <c r="C833" t="s">
        <v>439</v>
      </c>
      <c r="D833" t="s">
        <v>424</v>
      </c>
      <c r="E833" t="str">
        <f t="shared" si="12"/>
        <v>OR|solar thermal|Winter</v>
      </c>
      <c r="F833">
        <v>1</v>
      </c>
      <c r="G833">
        <v>1</v>
      </c>
      <c r="H833">
        <v>1</v>
      </c>
      <c r="I833">
        <v>1</v>
      </c>
      <c r="J833">
        <v>1</v>
      </c>
      <c r="K833">
        <v>1</v>
      </c>
      <c r="L833">
        <v>1</v>
      </c>
      <c r="M833">
        <v>1</v>
      </c>
      <c r="N833">
        <v>1</v>
      </c>
      <c r="O833">
        <v>1</v>
      </c>
      <c r="P833">
        <v>1</v>
      </c>
      <c r="Q833">
        <v>1</v>
      </c>
      <c r="R833">
        <v>1</v>
      </c>
      <c r="S833">
        <v>1</v>
      </c>
      <c r="T833">
        <v>1</v>
      </c>
      <c r="U833">
        <v>1</v>
      </c>
      <c r="V833">
        <v>1</v>
      </c>
      <c r="W833">
        <v>1</v>
      </c>
      <c r="X833">
        <v>1</v>
      </c>
      <c r="Y833">
        <v>1</v>
      </c>
      <c r="Z833">
        <v>1</v>
      </c>
      <c r="AA833">
        <v>1</v>
      </c>
      <c r="AB833">
        <v>1</v>
      </c>
      <c r="AC833">
        <v>1</v>
      </c>
    </row>
    <row r="834" spans="1:29" x14ac:dyDescent="0.45">
      <c r="A834" t="s">
        <v>92</v>
      </c>
      <c r="B834" t="s">
        <v>438</v>
      </c>
      <c r="C834" t="s">
        <v>439</v>
      </c>
      <c r="D834" t="s">
        <v>425</v>
      </c>
      <c r="E834" t="str">
        <f t="shared" si="12"/>
        <v>OR|solar thermal|Spring</v>
      </c>
      <c r="F834">
        <v>1</v>
      </c>
      <c r="G834">
        <v>1</v>
      </c>
      <c r="H834">
        <v>1</v>
      </c>
      <c r="I834">
        <v>1</v>
      </c>
      <c r="J834">
        <v>1</v>
      </c>
      <c r="K834">
        <v>1</v>
      </c>
      <c r="L834">
        <v>1</v>
      </c>
      <c r="M834">
        <v>1</v>
      </c>
      <c r="N834">
        <v>1</v>
      </c>
      <c r="O834">
        <v>1</v>
      </c>
      <c r="P834">
        <v>1</v>
      </c>
      <c r="Q834">
        <v>1</v>
      </c>
      <c r="R834">
        <v>1</v>
      </c>
      <c r="S834">
        <v>1</v>
      </c>
      <c r="T834">
        <v>1</v>
      </c>
      <c r="U834">
        <v>1</v>
      </c>
      <c r="V834">
        <v>1</v>
      </c>
      <c r="W834">
        <v>1</v>
      </c>
      <c r="X834">
        <v>1</v>
      </c>
      <c r="Y834">
        <v>1</v>
      </c>
      <c r="Z834">
        <v>1</v>
      </c>
      <c r="AA834">
        <v>1</v>
      </c>
      <c r="AB834">
        <v>1</v>
      </c>
      <c r="AC834">
        <v>1</v>
      </c>
    </row>
    <row r="835" spans="1:29" x14ac:dyDescent="0.45">
      <c r="A835" t="s">
        <v>92</v>
      </c>
      <c r="B835" t="s">
        <v>438</v>
      </c>
      <c r="C835" t="s">
        <v>439</v>
      </c>
      <c r="D835" t="s">
        <v>426</v>
      </c>
      <c r="E835" t="str">
        <f t="shared" si="12"/>
        <v>OR|solar thermal|Summer</v>
      </c>
      <c r="F835">
        <v>1</v>
      </c>
      <c r="G835">
        <v>1</v>
      </c>
      <c r="H835">
        <v>1</v>
      </c>
      <c r="I835">
        <v>1</v>
      </c>
      <c r="J835">
        <v>1</v>
      </c>
      <c r="K835">
        <v>1</v>
      </c>
      <c r="L835">
        <v>1</v>
      </c>
      <c r="M835">
        <v>1</v>
      </c>
      <c r="N835">
        <v>1</v>
      </c>
      <c r="O835">
        <v>1</v>
      </c>
      <c r="P835">
        <v>1</v>
      </c>
      <c r="Q835">
        <v>1</v>
      </c>
      <c r="R835">
        <v>1</v>
      </c>
      <c r="S835">
        <v>1</v>
      </c>
      <c r="T835">
        <v>1</v>
      </c>
      <c r="U835">
        <v>1</v>
      </c>
      <c r="V835">
        <v>1</v>
      </c>
      <c r="W835">
        <v>1</v>
      </c>
      <c r="X835">
        <v>1</v>
      </c>
      <c r="Y835">
        <v>1</v>
      </c>
      <c r="Z835">
        <v>1</v>
      </c>
      <c r="AA835">
        <v>1</v>
      </c>
      <c r="AB835">
        <v>1</v>
      </c>
      <c r="AC835">
        <v>1</v>
      </c>
    </row>
    <row r="836" spans="1:29" x14ac:dyDescent="0.45">
      <c r="A836" t="s">
        <v>92</v>
      </c>
      <c r="B836" t="s">
        <v>438</v>
      </c>
      <c r="C836" t="s">
        <v>439</v>
      </c>
      <c r="D836" t="s">
        <v>427</v>
      </c>
      <c r="E836" t="str">
        <f t="shared" si="12"/>
        <v>OR|solar thermal|Fall</v>
      </c>
      <c r="F836">
        <v>1</v>
      </c>
      <c r="G836">
        <v>1</v>
      </c>
      <c r="H836">
        <v>1</v>
      </c>
      <c r="I836">
        <v>1</v>
      </c>
      <c r="J836">
        <v>1</v>
      </c>
      <c r="K836">
        <v>1</v>
      </c>
      <c r="L836">
        <v>1</v>
      </c>
      <c r="M836">
        <v>1</v>
      </c>
      <c r="N836">
        <v>1</v>
      </c>
      <c r="O836">
        <v>1</v>
      </c>
      <c r="P836">
        <v>1</v>
      </c>
      <c r="Q836">
        <v>1</v>
      </c>
      <c r="R836">
        <v>1</v>
      </c>
      <c r="S836">
        <v>1</v>
      </c>
      <c r="T836">
        <v>1</v>
      </c>
      <c r="U836">
        <v>1</v>
      </c>
      <c r="V836">
        <v>1</v>
      </c>
      <c r="W836">
        <v>1</v>
      </c>
      <c r="X836">
        <v>1</v>
      </c>
      <c r="Y836">
        <v>1</v>
      </c>
      <c r="Z836">
        <v>1</v>
      </c>
      <c r="AA836">
        <v>1</v>
      </c>
      <c r="AB836">
        <v>1</v>
      </c>
      <c r="AC836">
        <v>1</v>
      </c>
    </row>
    <row r="837" spans="1:29" x14ac:dyDescent="0.45">
      <c r="A837" t="s">
        <v>92</v>
      </c>
      <c r="B837" t="s">
        <v>438</v>
      </c>
      <c r="C837" t="s">
        <v>439</v>
      </c>
      <c r="D837" t="s">
        <v>428</v>
      </c>
      <c r="E837" t="str">
        <f t="shared" ref="E837:E900" si="13">A837&amp;"|"&amp;C837&amp;"|"&amp;D837</f>
        <v>OR|solar thermal|Summer Peak</v>
      </c>
      <c r="F837">
        <v>1</v>
      </c>
      <c r="G837">
        <v>1</v>
      </c>
      <c r="H837">
        <v>1</v>
      </c>
      <c r="I837">
        <v>1</v>
      </c>
      <c r="J837">
        <v>1</v>
      </c>
      <c r="K837">
        <v>1</v>
      </c>
      <c r="L837">
        <v>1</v>
      </c>
      <c r="M837">
        <v>0</v>
      </c>
      <c r="N837">
        <v>0.8639</v>
      </c>
      <c r="O837">
        <v>1</v>
      </c>
      <c r="P837">
        <v>1</v>
      </c>
      <c r="Q837">
        <v>0.97160000000000002</v>
      </c>
      <c r="R837">
        <v>0.96719999999999995</v>
      </c>
      <c r="S837">
        <v>1</v>
      </c>
      <c r="T837">
        <v>1</v>
      </c>
      <c r="U837">
        <v>1</v>
      </c>
      <c r="V837">
        <v>1</v>
      </c>
      <c r="W837">
        <v>1</v>
      </c>
      <c r="X837">
        <v>1</v>
      </c>
      <c r="Y837">
        <v>0.93130000000000002</v>
      </c>
      <c r="Z837">
        <v>0.70220000000000005</v>
      </c>
      <c r="AA837">
        <v>1</v>
      </c>
      <c r="AB837">
        <v>1</v>
      </c>
      <c r="AC837">
        <v>1</v>
      </c>
    </row>
    <row r="838" spans="1:29" x14ac:dyDescent="0.45">
      <c r="A838" t="s">
        <v>92</v>
      </c>
      <c r="B838" t="s">
        <v>438</v>
      </c>
      <c r="C838" t="s">
        <v>439</v>
      </c>
      <c r="D838" t="s">
        <v>429</v>
      </c>
      <c r="E838" t="str">
        <f t="shared" si="13"/>
        <v>OR|solar thermal|Winter Peak</v>
      </c>
      <c r="F838">
        <v>1</v>
      </c>
      <c r="G838">
        <v>1</v>
      </c>
      <c r="H838">
        <v>1</v>
      </c>
      <c r="I838">
        <v>1</v>
      </c>
      <c r="J838">
        <v>1</v>
      </c>
      <c r="K838">
        <v>1</v>
      </c>
      <c r="L838">
        <v>1</v>
      </c>
      <c r="M838">
        <v>1</v>
      </c>
      <c r="N838">
        <v>1</v>
      </c>
      <c r="O838">
        <v>0.2419</v>
      </c>
      <c r="P838">
        <v>0.95320000000000005</v>
      </c>
      <c r="Q838">
        <v>0.88039999999999996</v>
      </c>
      <c r="R838">
        <v>0.97819999999999996</v>
      </c>
      <c r="S838">
        <v>0.98950000000000005</v>
      </c>
      <c r="T838">
        <v>0.99270000000000003</v>
      </c>
      <c r="U838">
        <v>1</v>
      </c>
      <c r="V838">
        <v>1</v>
      </c>
      <c r="W838">
        <v>1</v>
      </c>
      <c r="X838">
        <v>0.89019999999999999</v>
      </c>
      <c r="Y838">
        <v>0</v>
      </c>
      <c r="Z838">
        <v>1</v>
      </c>
      <c r="AA838">
        <v>1</v>
      </c>
      <c r="AB838">
        <v>1</v>
      </c>
      <c r="AC838">
        <v>1</v>
      </c>
    </row>
    <row r="839" spans="1:29" x14ac:dyDescent="0.45">
      <c r="A839" t="s">
        <v>92</v>
      </c>
      <c r="B839" t="s">
        <v>440</v>
      </c>
      <c r="C839" t="s">
        <v>441</v>
      </c>
      <c r="D839" t="s">
        <v>424</v>
      </c>
      <c r="E839" t="str">
        <f t="shared" si="13"/>
        <v>OR|offshore wind|Winter</v>
      </c>
      <c r="F839">
        <v>1</v>
      </c>
      <c r="G839">
        <v>1</v>
      </c>
      <c r="H839">
        <v>1</v>
      </c>
      <c r="I839">
        <v>1</v>
      </c>
      <c r="J839">
        <v>1</v>
      </c>
      <c r="K839">
        <v>1</v>
      </c>
      <c r="L839">
        <v>1</v>
      </c>
      <c r="M839">
        <v>1</v>
      </c>
      <c r="N839">
        <v>1</v>
      </c>
      <c r="O839">
        <v>1</v>
      </c>
      <c r="P839">
        <v>1</v>
      </c>
      <c r="Q839">
        <v>1</v>
      </c>
      <c r="R839">
        <v>1</v>
      </c>
      <c r="S839">
        <v>1</v>
      </c>
      <c r="T839">
        <v>1</v>
      </c>
      <c r="U839">
        <v>1</v>
      </c>
      <c r="V839">
        <v>1</v>
      </c>
      <c r="W839">
        <v>1</v>
      </c>
      <c r="X839">
        <v>1</v>
      </c>
      <c r="Y839">
        <v>1</v>
      </c>
      <c r="Z839">
        <v>1</v>
      </c>
      <c r="AA839">
        <v>1</v>
      </c>
      <c r="AB839">
        <v>1</v>
      </c>
      <c r="AC839">
        <v>1</v>
      </c>
    </row>
    <row r="840" spans="1:29" x14ac:dyDescent="0.45">
      <c r="A840" t="s">
        <v>92</v>
      </c>
      <c r="B840" t="s">
        <v>440</v>
      </c>
      <c r="C840" t="s">
        <v>441</v>
      </c>
      <c r="D840" t="s">
        <v>425</v>
      </c>
      <c r="E840" t="str">
        <f t="shared" si="13"/>
        <v>OR|offshore wind|Spring</v>
      </c>
      <c r="F840">
        <v>1</v>
      </c>
      <c r="G840">
        <v>1</v>
      </c>
      <c r="H840">
        <v>1</v>
      </c>
      <c r="I840">
        <v>1</v>
      </c>
      <c r="J840">
        <v>1</v>
      </c>
      <c r="K840">
        <v>1</v>
      </c>
      <c r="L840">
        <v>1</v>
      </c>
      <c r="M840">
        <v>1</v>
      </c>
      <c r="N840">
        <v>1</v>
      </c>
      <c r="O840">
        <v>1</v>
      </c>
      <c r="P840">
        <v>1</v>
      </c>
      <c r="Q840">
        <v>1</v>
      </c>
      <c r="R840">
        <v>1</v>
      </c>
      <c r="S840">
        <v>1</v>
      </c>
      <c r="T840">
        <v>1</v>
      </c>
      <c r="U840">
        <v>1</v>
      </c>
      <c r="V840">
        <v>1</v>
      </c>
      <c r="W840">
        <v>1</v>
      </c>
      <c r="X840">
        <v>1</v>
      </c>
      <c r="Y840">
        <v>1</v>
      </c>
      <c r="Z840">
        <v>1</v>
      </c>
      <c r="AA840">
        <v>1</v>
      </c>
      <c r="AB840">
        <v>1</v>
      </c>
      <c r="AC840">
        <v>1</v>
      </c>
    </row>
    <row r="841" spans="1:29" x14ac:dyDescent="0.45">
      <c r="A841" t="s">
        <v>92</v>
      </c>
      <c r="B841" t="s">
        <v>440</v>
      </c>
      <c r="C841" t="s">
        <v>441</v>
      </c>
      <c r="D841" t="s">
        <v>426</v>
      </c>
      <c r="E841" t="str">
        <f t="shared" si="13"/>
        <v>OR|offshore wind|Summer</v>
      </c>
      <c r="F841">
        <v>1</v>
      </c>
      <c r="G841">
        <v>1</v>
      </c>
      <c r="H841">
        <v>1</v>
      </c>
      <c r="I841">
        <v>1</v>
      </c>
      <c r="J841">
        <v>1</v>
      </c>
      <c r="K841">
        <v>1</v>
      </c>
      <c r="L841">
        <v>1</v>
      </c>
      <c r="M841">
        <v>1</v>
      </c>
      <c r="N841">
        <v>1</v>
      </c>
      <c r="O841">
        <v>1</v>
      </c>
      <c r="P841">
        <v>1</v>
      </c>
      <c r="Q841">
        <v>1</v>
      </c>
      <c r="R841">
        <v>1</v>
      </c>
      <c r="S841">
        <v>1</v>
      </c>
      <c r="T841">
        <v>1</v>
      </c>
      <c r="U841">
        <v>1</v>
      </c>
      <c r="V841">
        <v>1</v>
      </c>
      <c r="W841">
        <v>1</v>
      </c>
      <c r="X841">
        <v>1</v>
      </c>
      <c r="Y841">
        <v>1</v>
      </c>
      <c r="Z841">
        <v>1</v>
      </c>
      <c r="AA841">
        <v>1</v>
      </c>
      <c r="AB841">
        <v>1</v>
      </c>
      <c r="AC841">
        <v>1</v>
      </c>
    </row>
    <row r="842" spans="1:29" x14ac:dyDescent="0.45">
      <c r="A842" t="s">
        <v>92</v>
      </c>
      <c r="B842" t="s">
        <v>440</v>
      </c>
      <c r="C842" t="s">
        <v>441</v>
      </c>
      <c r="D842" t="s">
        <v>427</v>
      </c>
      <c r="E842" t="str">
        <f t="shared" si="13"/>
        <v>OR|offshore wind|Fall</v>
      </c>
      <c r="F842">
        <v>1</v>
      </c>
      <c r="G842">
        <v>1</v>
      </c>
      <c r="H842">
        <v>1</v>
      </c>
      <c r="I842">
        <v>1</v>
      </c>
      <c r="J842">
        <v>1</v>
      </c>
      <c r="K842">
        <v>1</v>
      </c>
      <c r="L842">
        <v>1</v>
      </c>
      <c r="M842">
        <v>1</v>
      </c>
      <c r="N842">
        <v>1</v>
      </c>
      <c r="O842">
        <v>1</v>
      </c>
      <c r="P842">
        <v>1</v>
      </c>
      <c r="Q842">
        <v>1</v>
      </c>
      <c r="R842">
        <v>1</v>
      </c>
      <c r="S842">
        <v>1</v>
      </c>
      <c r="T842">
        <v>1</v>
      </c>
      <c r="U842">
        <v>1</v>
      </c>
      <c r="V842">
        <v>1</v>
      </c>
      <c r="W842">
        <v>1</v>
      </c>
      <c r="X842">
        <v>1</v>
      </c>
      <c r="Y842">
        <v>1</v>
      </c>
      <c r="Z842">
        <v>1</v>
      </c>
      <c r="AA842">
        <v>1</v>
      </c>
      <c r="AB842">
        <v>1</v>
      </c>
      <c r="AC842">
        <v>1</v>
      </c>
    </row>
    <row r="843" spans="1:29" x14ac:dyDescent="0.45">
      <c r="A843" t="s">
        <v>92</v>
      </c>
      <c r="B843" t="s">
        <v>440</v>
      </c>
      <c r="C843" t="s">
        <v>441</v>
      </c>
      <c r="D843" t="s">
        <v>428</v>
      </c>
      <c r="E843" t="str">
        <f t="shared" si="13"/>
        <v>OR|offshore wind|Summer Peak</v>
      </c>
      <c r="F843">
        <v>0.40810000000000002</v>
      </c>
      <c r="G843">
        <v>0.4239</v>
      </c>
      <c r="H843">
        <v>0.45760000000000001</v>
      </c>
      <c r="I843">
        <v>0.50319999999999998</v>
      </c>
      <c r="J843">
        <v>0.53649999999999998</v>
      </c>
      <c r="K843">
        <v>0.59399999999999997</v>
      </c>
      <c r="L843">
        <v>0.61929999999999996</v>
      </c>
      <c r="M843">
        <v>0.68859999999999999</v>
      </c>
      <c r="N843">
        <v>0.73480000000000001</v>
      </c>
      <c r="O843">
        <v>0.84350000000000003</v>
      </c>
      <c r="P843">
        <v>0.78200000000000003</v>
      </c>
      <c r="Q843">
        <v>0.74650000000000005</v>
      </c>
      <c r="R843">
        <v>0.63690000000000002</v>
      </c>
      <c r="S843">
        <v>0.60860000000000003</v>
      </c>
      <c r="T843">
        <v>0.64339999999999997</v>
      </c>
      <c r="U843">
        <v>0.69269999999999998</v>
      </c>
      <c r="V843">
        <v>0.71450000000000002</v>
      </c>
      <c r="W843">
        <v>0.75070000000000003</v>
      </c>
      <c r="X843">
        <v>0.72489999999999999</v>
      </c>
      <c r="Y843">
        <v>0.66049999999999998</v>
      </c>
      <c r="Z843">
        <v>0.69140000000000001</v>
      </c>
      <c r="AA843">
        <v>0.63080000000000003</v>
      </c>
      <c r="AB843">
        <v>0.63429999999999997</v>
      </c>
      <c r="AC843">
        <v>0.64390000000000003</v>
      </c>
    </row>
    <row r="844" spans="1:29" x14ac:dyDescent="0.45">
      <c r="A844" t="s">
        <v>92</v>
      </c>
      <c r="B844" t="s">
        <v>440</v>
      </c>
      <c r="C844" t="s">
        <v>441</v>
      </c>
      <c r="D844" t="s">
        <v>429</v>
      </c>
      <c r="E844" t="str">
        <f t="shared" si="13"/>
        <v>OR|offshore wind|Winter Peak</v>
      </c>
      <c r="F844">
        <v>0.95309999999999995</v>
      </c>
      <c r="G844">
        <v>0.95030000000000003</v>
      </c>
      <c r="H844">
        <v>0.95540000000000003</v>
      </c>
      <c r="I844">
        <v>0.96679999999999999</v>
      </c>
      <c r="J844">
        <v>1</v>
      </c>
      <c r="K844">
        <v>1</v>
      </c>
      <c r="L844">
        <v>1</v>
      </c>
      <c r="M844">
        <v>0.99209999999999998</v>
      </c>
      <c r="N844">
        <v>0.90149999999999997</v>
      </c>
      <c r="O844">
        <v>0.79779999999999995</v>
      </c>
      <c r="P844">
        <v>0.71879999999999999</v>
      </c>
      <c r="Q844">
        <v>0.67300000000000004</v>
      </c>
      <c r="R844">
        <v>0.60860000000000003</v>
      </c>
      <c r="S844">
        <v>0.58009999999999995</v>
      </c>
      <c r="T844">
        <v>0.58799999999999997</v>
      </c>
      <c r="U844">
        <v>0.61019999999999996</v>
      </c>
      <c r="V844">
        <v>0.61839999999999995</v>
      </c>
      <c r="W844">
        <v>0.60909999999999997</v>
      </c>
      <c r="X844">
        <v>0.62880000000000003</v>
      </c>
      <c r="Y844">
        <v>0.72889999999999999</v>
      </c>
      <c r="Z844">
        <v>0.84719999999999995</v>
      </c>
      <c r="AA844">
        <v>0.92220000000000002</v>
      </c>
      <c r="AB844">
        <v>0.86950000000000005</v>
      </c>
      <c r="AC844">
        <v>0.8054</v>
      </c>
    </row>
    <row r="845" spans="1:29" x14ac:dyDescent="0.45">
      <c r="A845" t="s">
        <v>94</v>
      </c>
      <c r="B845" t="s">
        <v>434</v>
      </c>
      <c r="C845" t="s">
        <v>435</v>
      </c>
      <c r="D845" t="s">
        <v>424</v>
      </c>
      <c r="E845" t="str">
        <f t="shared" si="13"/>
        <v>PA|onshore wind|Winter</v>
      </c>
      <c r="F845">
        <v>1</v>
      </c>
      <c r="G845">
        <v>1</v>
      </c>
      <c r="H845">
        <v>1</v>
      </c>
      <c r="I845">
        <v>1</v>
      </c>
      <c r="J845">
        <v>1</v>
      </c>
      <c r="K845">
        <v>1</v>
      </c>
      <c r="L845">
        <v>1</v>
      </c>
      <c r="M845">
        <v>1</v>
      </c>
      <c r="N845">
        <v>1</v>
      </c>
      <c r="O845">
        <v>1</v>
      </c>
      <c r="P845">
        <v>1</v>
      </c>
      <c r="Q845">
        <v>1</v>
      </c>
      <c r="R845">
        <v>1</v>
      </c>
      <c r="S845">
        <v>1</v>
      </c>
      <c r="T845">
        <v>1</v>
      </c>
      <c r="U845">
        <v>1</v>
      </c>
      <c r="V845">
        <v>1</v>
      </c>
      <c r="W845">
        <v>1</v>
      </c>
      <c r="X845">
        <v>1</v>
      </c>
      <c r="Y845">
        <v>1</v>
      </c>
      <c r="Z845">
        <v>1</v>
      </c>
      <c r="AA845">
        <v>1</v>
      </c>
      <c r="AB845">
        <v>1</v>
      </c>
      <c r="AC845">
        <v>1</v>
      </c>
    </row>
    <row r="846" spans="1:29" x14ac:dyDescent="0.45">
      <c r="A846" t="s">
        <v>94</v>
      </c>
      <c r="B846" t="s">
        <v>434</v>
      </c>
      <c r="C846" t="s">
        <v>435</v>
      </c>
      <c r="D846" t="s">
        <v>425</v>
      </c>
      <c r="E846" t="str">
        <f t="shared" si="13"/>
        <v>PA|onshore wind|Spring</v>
      </c>
      <c r="F846">
        <v>1</v>
      </c>
      <c r="G846">
        <v>1</v>
      </c>
      <c r="H846">
        <v>1</v>
      </c>
      <c r="I846">
        <v>1</v>
      </c>
      <c r="J846">
        <v>1</v>
      </c>
      <c r="K846">
        <v>1</v>
      </c>
      <c r="L846">
        <v>1</v>
      </c>
      <c r="M846">
        <v>1</v>
      </c>
      <c r="N846">
        <v>1</v>
      </c>
      <c r="O846">
        <v>1</v>
      </c>
      <c r="P846">
        <v>1</v>
      </c>
      <c r="Q846">
        <v>1</v>
      </c>
      <c r="R846">
        <v>1</v>
      </c>
      <c r="S846">
        <v>1</v>
      </c>
      <c r="T846">
        <v>1</v>
      </c>
      <c r="U846">
        <v>1</v>
      </c>
      <c r="V846">
        <v>1</v>
      </c>
      <c r="W846">
        <v>1</v>
      </c>
      <c r="X846">
        <v>1</v>
      </c>
      <c r="Y846">
        <v>1</v>
      </c>
      <c r="Z846">
        <v>1</v>
      </c>
      <c r="AA846">
        <v>1</v>
      </c>
      <c r="AB846">
        <v>1</v>
      </c>
      <c r="AC846">
        <v>1</v>
      </c>
    </row>
    <row r="847" spans="1:29" x14ac:dyDescent="0.45">
      <c r="A847" t="s">
        <v>94</v>
      </c>
      <c r="B847" t="s">
        <v>434</v>
      </c>
      <c r="C847" t="s">
        <v>435</v>
      </c>
      <c r="D847" t="s">
        <v>426</v>
      </c>
      <c r="E847" t="str">
        <f t="shared" si="13"/>
        <v>PA|onshore wind|Summer</v>
      </c>
      <c r="F847">
        <v>1</v>
      </c>
      <c r="G847">
        <v>1</v>
      </c>
      <c r="H847">
        <v>1</v>
      </c>
      <c r="I847">
        <v>1</v>
      </c>
      <c r="J847">
        <v>1</v>
      </c>
      <c r="K847">
        <v>1</v>
      </c>
      <c r="L847">
        <v>1</v>
      </c>
      <c r="M847">
        <v>1</v>
      </c>
      <c r="N847">
        <v>1</v>
      </c>
      <c r="O847">
        <v>1</v>
      </c>
      <c r="P847">
        <v>1</v>
      </c>
      <c r="Q847">
        <v>1</v>
      </c>
      <c r="R847">
        <v>1</v>
      </c>
      <c r="S847">
        <v>1</v>
      </c>
      <c r="T847">
        <v>1</v>
      </c>
      <c r="U847">
        <v>1</v>
      </c>
      <c r="V847">
        <v>1</v>
      </c>
      <c r="W847">
        <v>1</v>
      </c>
      <c r="X847">
        <v>1</v>
      </c>
      <c r="Y847">
        <v>1</v>
      </c>
      <c r="Z847">
        <v>1</v>
      </c>
      <c r="AA847">
        <v>1</v>
      </c>
      <c r="AB847">
        <v>1</v>
      </c>
      <c r="AC847">
        <v>1</v>
      </c>
    </row>
    <row r="848" spans="1:29" x14ac:dyDescent="0.45">
      <c r="A848" t="s">
        <v>94</v>
      </c>
      <c r="B848" t="s">
        <v>434</v>
      </c>
      <c r="C848" t="s">
        <v>435</v>
      </c>
      <c r="D848" t="s">
        <v>427</v>
      </c>
      <c r="E848" t="str">
        <f t="shared" si="13"/>
        <v>PA|onshore wind|Fall</v>
      </c>
      <c r="F848">
        <v>1</v>
      </c>
      <c r="G848">
        <v>1</v>
      </c>
      <c r="H848">
        <v>1</v>
      </c>
      <c r="I848">
        <v>1</v>
      </c>
      <c r="J848">
        <v>1</v>
      </c>
      <c r="K848">
        <v>1</v>
      </c>
      <c r="L848">
        <v>1</v>
      </c>
      <c r="M848">
        <v>1</v>
      </c>
      <c r="N848">
        <v>1</v>
      </c>
      <c r="O848">
        <v>1</v>
      </c>
      <c r="P848">
        <v>1</v>
      </c>
      <c r="Q848">
        <v>1</v>
      </c>
      <c r="R848">
        <v>1</v>
      </c>
      <c r="S848">
        <v>1</v>
      </c>
      <c r="T848">
        <v>1</v>
      </c>
      <c r="U848">
        <v>1</v>
      </c>
      <c r="V848">
        <v>1</v>
      </c>
      <c r="W848">
        <v>1</v>
      </c>
      <c r="X848">
        <v>1</v>
      </c>
      <c r="Y848">
        <v>1</v>
      </c>
      <c r="Z848">
        <v>1</v>
      </c>
      <c r="AA848">
        <v>1</v>
      </c>
      <c r="AB848">
        <v>1</v>
      </c>
      <c r="AC848">
        <v>1</v>
      </c>
    </row>
    <row r="849" spans="1:29" x14ac:dyDescent="0.45">
      <c r="A849" t="s">
        <v>94</v>
      </c>
      <c r="B849" t="s">
        <v>434</v>
      </c>
      <c r="C849" t="s">
        <v>435</v>
      </c>
      <c r="D849" t="s">
        <v>428</v>
      </c>
      <c r="E849" t="str">
        <f t="shared" si="13"/>
        <v>PA|onshore wind|Summer Peak</v>
      </c>
      <c r="F849">
        <v>0.40210000000000001</v>
      </c>
      <c r="G849">
        <v>0.4073</v>
      </c>
      <c r="H849">
        <v>0.47220000000000001</v>
      </c>
      <c r="I849">
        <v>0.42259999999999998</v>
      </c>
      <c r="J849">
        <v>0.41410000000000002</v>
      </c>
      <c r="K849">
        <v>0.39889999999999998</v>
      </c>
      <c r="L849">
        <v>0.2737</v>
      </c>
      <c r="M849">
        <v>0.1593</v>
      </c>
      <c r="N849">
        <v>0.1053</v>
      </c>
      <c r="O849">
        <v>0.1394</v>
      </c>
      <c r="P849">
        <v>0.1094</v>
      </c>
      <c r="Q849">
        <v>0.1283</v>
      </c>
      <c r="R849">
        <v>0.2772</v>
      </c>
      <c r="S849">
        <v>0.36599999999999999</v>
      </c>
      <c r="T849">
        <v>0.35959999999999998</v>
      </c>
      <c r="U849">
        <v>0.30809999999999998</v>
      </c>
      <c r="V849">
        <v>0.58199999999999996</v>
      </c>
      <c r="W849">
        <v>0.68240000000000001</v>
      </c>
      <c r="X849">
        <v>0.75970000000000004</v>
      </c>
      <c r="Y849">
        <v>0.49399999999999999</v>
      </c>
      <c r="Z849">
        <v>0.46489999999999998</v>
      </c>
      <c r="AA849">
        <v>0.4899</v>
      </c>
      <c r="AB849">
        <v>0.26779999999999998</v>
      </c>
      <c r="AC849">
        <v>0.2273</v>
      </c>
    </row>
    <row r="850" spans="1:29" x14ac:dyDescent="0.45">
      <c r="A850" t="s">
        <v>94</v>
      </c>
      <c r="B850" t="s">
        <v>434</v>
      </c>
      <c r="C850" t="s">
        <v>435</v>
      </c>
      <c r="D850" t="s">
        <v>429</v>
      </c>
      <c r="E850" t="str">
        <f t="shared" si="13"/>
        <v>PA|onshore wind|Winter Peak</v>
      </c>
      <c r="F850">
        <v>0.92249999999999999</v>
      </c>
      <c r="G850">
        <v>0.92179999999999995</v>
      </c>
      <c r="H850">
        <v>0.93010000000000004</v>
      </c>
      <c r="I850">
        <v>0.90410000000000001</v>
      </c>
      <c r="J850">
        <v>0.88880000000000003</v>
      </c>
      <c r="K850">
        <v>0.84860000000000002</v>
      </c>
      <c r="L850">
        <v>0.8236</v>
      </c>
      <c r="M850">
        <v>0.76100000000000001</v>
      </c>
      <c r="N850">
        <v>0.63539999999999996</v>
      </c>
      <c r="O850">
        <v>0.54930000000000001</v>
      </c>
      <c r="P850">
        <v>0.49980000000000002</v>
      </c>
      <c r="Q850">
        <v>0.51690000000000003</v>
      </c>
      <c r="R850">
        <v>0.51449999999999996</v>
      </c>
      <c r="S850">
        <v>0.50329999999999997</v>
      </c>
      <c r="T850">
        <v>0.48349999999999999</v>
      </c>
      <c r="U850">
        <v>0.4113</v>
      </c>
      <c r="V850">
        <v>0.56899999999999995</v>
      </c>
      <c r="W850">
        <v>0.69899999999999995</v>
      </c>
      <c r="X850">
        <v>0.65949999999999998</v>
      </c>
      <c r="Y850">
        <v>0.56969999999999998</v>
      </c>
      <c r="Z850">
        <v>0.436</v>
      </c>
      <c r="AA850">
        <v>0.30819999999999997</v>
      </c>
      <c r="AB850">
        <v>0.19239999999999999</v>
      </c>
      <c r="AC850">
        <v>0.20860000000000001</v>
      </c>
    </row>
    <row r="851" spans="1:29" x14ac:dyDescent="0.45">
      <c r="A851" t="s">
        <v>94</v>
      </c>
      <c r="B851" t="s">
        <v>436</v>
      </c>
      <c r="C851" t="s">
        <v>437</v>
      </c>
      <c r="D851" t="s">
        <v>424</v>
      </c>
      <c r="E851" t="str">
        <f t="shared" si="13"/>
        <v>PA|solar pv|Winter</v>
      </c>
      <c r="F851">
        <v>1</v>
      </c>
      <c r="G851">
        <v>1</v>
      </c>
      <c r="H851">
        <v>1</v>
      </c>
      <c r="I851">
        <v>1</v>
      </c>
      <c r="J851">
        <v>1</v>
      </c>
      <c r="K851">
        <v>1</v>
      </c>
      <c r="L851">
        <v>1</v>
      </c>
      <c r="M851">
        <v>1</v>
      </c>
      <c r="N851">
        <v>1</v>
      </c>
      <c r="O851">
        <v>1</v>
      </c>
      <c r="P851">
        <v>1</v>
      </c>
      <c r="Q851">
        <v>1</v>
      </c>
      <c r="R851">
        <v>1</v>
      </c>
      <c r="S851">
        <v>1</v>
      </c>
      <c r="T851">
        <v>1</v>
      </c>
      <c r="U851">
        <v>1</v>
      </c>
      <c r="V851">
        <v>1</v>
      </c>
      <c r="W851">
        <v>1</v>
      </c>
      <c r="X851">
        <v>1</v>
      </c>
      <c r="Y851">
        <v>1</v>
      </c>
      <c r="Z851">
        <v>1</v>
      </c>
      <c r="AA851">
        <v>1</v>
      </c>
      <c r="AB851">
        <v>1</v>
      </c>
      <c r="AC851">
        <v>1</v>
      </c>
    </row>
    <row r="852" spans="1:29" x14ac:dyDescent="0.45">
      <c r="A852" t="s">
        <v>94</v>
      </c>
      <c r="B852" t="s">
        <v>436</v>
      </c>
      <c r="C852" t="s">
        <v>437</v>
      </c>
      <c r="D852" t="s">
        <v>425</v>
      </c>
      <c r="E852" t="str">
        <f t="shared" si="13"/>
        <v>PA|solar pv|Spring</v>
      </c>
      <c r="F852">
        <v>1</v>
      </c>
      <c r="G852">
        <v>1</v>
      </c>
      <c r="H852">
        <v>1</v>
      </c>
      <c r="I852">
        <v>1</v>
      </c>
      <c r="J852">
        <v>1</v>
      </c>
      <c r="K852">
        <v>1</v>
      </c>
      <c r="L852">
        <v>1</v>
      </c>
      <c r="M852">
        <v>1</v>
      </c>
      <c r="N852">
        <v>1</v>
      </c>
      <c r="O852">
        <v>1</v>
      </c>
      <c r="P852">
        <v>1</v>
      </c>
      <c r="Q852">
        <v>1</v>
      </c>
      <c r="R852">
        <v>1</v>
      </c>
      <c r="S852">
        <v>1</v>
      </c>
      <c r="T852">
        <v>1</v>
      </c>
      <c r="U852">
        <v>1</v>
      </c>
      <c r="V852">
        <v>1</v>
      </c>
      <c r="W852">
        <v>1</v>
      </c>
      <c r="X852">
        <v>1</v>
      </c>
      <c r="Y852">
        <v>1</v>
      </c>
      <c r="Z852">
        <v>1</v>
      </c>
      <c r="AA852">
        <v>1</v>
      </c>
      <c r="AB852">
        <v>1</v>
      </c>
      <c r="AC852">
        <v>1</v>
      </c>
    </row>
    <row r="853" spans="1:29" x14ac:dyDescent="0.45">
      <c r="A853" t="s">
        <v>94</v>
      </c>
      <c r="B853" t="s">
        <v>436</v>
      </c>
      <c r="C853" t="s">
        <v>437</v>
      </c>
      <c r="D853" t="s">
        <v>426</v>
      </c>
      <c r="E853" t="str">
        <f t="shared" si="13"/>
        <v>PA|solar pv|Summer</v>
      </c>
      <c r="F853">
        <v>1</v>
      </c>
      <c r="G853">
        <v>1</v>
      </c>
      <c r="H853">
        <v>1</v>
      </c>
      <c r="I853">
        <v>1</v>
      </c>
      <c r="J853">
        <v>1</v>
      </c>
      <c r="K853">
        <v>1</v>
      </c>
      <c r="L853">
        <v>1</v>
      </c>
      <c r="M853">
        <v>1</v>
      </c>
      <c r="N853">
        <v>1</v>
      </c>
      <c r="O853">
        <v>1</v>
      </c>
      <c r="P853">
        <v>1</v>
      </c>
      <c r="Q853">
        <v>1</v>
      </c>
      <c r="R853">
        <v>1</v>
      </c>
      <c r="S853">
        <v>1</v>
      </c>
      <c r="T853">
        <v>1</v>
      </c>
      <c r="U853">
        <v>1</v>
      </c>
      <c r="V853">
        <v>1</v>
      </c>
      <c r="W853">
        <v>1</v>
      </c>
      <c r="X853">
        <v>1</v>
      </c>
      <c r="Y853">
        <v>1</v>
      </c>
      <c r="Z853">
        <v>1</v>
      </c>
      <c r="AA853">
        <v>1</v>
      </c>
      <c r="AB853">
        <v>1</v>
      </c>
      <c r="AC853">
        <v>1</v>
      </c>
    </row>
    <row r="854" spans="1:29" x14ac:dyDescent="0.45">
      <c r="A854" t="s">
        <v>94</v>
      </c>
      <c r="B854" t="s">
        <v>436</v>
      </c>
      <c r="C854" t="s">
        <v>437</v>
      </c>
      <c r="D854" t="s">
        <v>427</v>
      </c>
      <c r="E854" t="str">
        <f t="shared" si="13"/>
        <v>PA|solar pv|Fall</v>
      </c>
      <c r="F854">
        <v>1</v>
      </c>
      <c r="G854">
        <v>1</v>
      </c>
      <c r="H854">
        <v>1</v>
      </c>
      <c r="I854">
        <v>1</v>
      </c>
      <c r="J854">
        <v>1</v>
      </c>
      <c r="K854">
        <v>1</v>
      </c>
      <c r="L854">
        <v>1</v>
      </c>
      <c r="M854">
        <v>1</v>
      </c>
      <c r="N854">
        <v>1</v>
      </c>
      <c r="O854">
        <v>1</v>
      </c>
      <c r="P854">
        <v>1</v>
      </c>
      <c r="Q854">
        <v>1</v>
      </c>
      <c r="R854">
        <v>1</v>
      </c>
      <c r="S854">
        <v>1</v>
      </c>
      <c r="T854">
        <v>1</v>
      </c>
      <c r="U854">
        <v>1</v>
      </c>
      <c r="V854">
        <v>1</v>
      </c>
      <c r="W854">
        <v>1</v>
      </c>
      <c r="X854">
        <v>1</v>
      </c>
      <c r="Y854">
        <v>1</v>
      </c>
      <c r="Z854">
        <v>1</v>
      </c>
      <c r="AA854">
        <v>1</v>
      </c>
      <c r="AB854">
        <v>1</v>
      </c>
      <c r="AC854">
        <v>1</v>
      </c>
    </row>
    <row r="855" spans="1:29" x14ac:dyDescent="0.45">
      <c r="A855" t="s">
        <v>94</v>
      </c>
      <c r="B855" t="s">
        <v>436</v>
      </c>
      <c r="C855" t="s">
        <v>437</v>
      </c>
      <c r="D855" t="s">
        <v>428</v>
      </c>
      <c r="E855" t="str">
        <f t="shared" si="13"/>
        <v>PA|solar pv|Summer Peak</v>
      </c>
      <c r="F855">
        <v>1</v>
      </c>
      <c r="G855">
        <v>1</v>
      </c>
      <c r="H855">
        <v>1</v>
      </c>
      <c r="I855">
        <v>1</v>
      </c>
      <c r="J855">
        <v>0.18379999999999999</v>
      </c>
      <c r="K855">
        <v>0.70889999999999997</v>
      </c>
      <c r="L855">
        <v>0.84689999999999999</v>
      </c>
      <c r="M855">
        <v>0.85189999999999999</v>
      </c>
      <c r="N855">
        <v>0.94979999999999998</v>
      </c>
      <c r="O855">
        <v>0.97860000000000003</v>
      </c>
      <c r="P855">
        <v>0.93130000000000002</v>
      </c>
      <c r="Q855">
        <v>0.96450000000000002</v>
      </c>
      <c r="R855">
        <v>0.98180000000000001</v>
      </c>
      <c r="S855">
        <v>0.93479999999999996</v>
      </c>
      <c r="T855">
        <v>0.91290000000000004</v>
      </c>
      <c r="U855">
        <v>0.85929999999999995</v>
      </c>
      <c r="V855">
        <v>0.77290000000000003</v>
      </c>
      <c r="W855">
        <v>0.82850000000000001</v>
      </c>
      <c r="X855">
        <v>0.73029999999999995</v>
      </c>
      <c r="Y855">
        <v>1</v>
      </c>
      <c r="Z855">
        <v>1</v>
      </c>
      <c r="AA855">
        <v>1</v>
      </c>
      <c r="AB855">
        <v>1</v>
      </c>
      <c r="AC855">
        <v>1</v>
      </c>
    </row>
    <row r="856" spans="1:29" x14ac:dyDescent="0.45">
      <c r="A856" t="s">
        <v>94</v>
      </c>
      <c r="B856" t="s">
        <v>436</v>
      </c>
      <c r="C856" t="s">
        <v>437</v>
      </c>
      <c r="D856" t="s">
        <v>429</v>
      </c>
      <c r="E856" t="str">
        <f t="shared" si="13"/>
        <v>PA|solar pv|Winter Peak</v>
      </c>
      <c r="F856">
        <v>1</v>
      </c>
      <c r="G856">
        <v>1</v>
      </c>
      <c r="H856">
        <v>1</v>
      </c>
      <c r="I856">
        <v>1</v>
      </c>
      <c r="J856">
        <v>1</v>
      </c>
      <c r="K856">
        <v>1</v>
      </c>
      <c r="L856">
        <v>1</v>
      </c>
      <c r="M856">
        <v>0.56169999999999998</v>
      </c>
      <c r="N856">
        <v>0.6673</v>
      </c>
      <c r="O856">
        <v>0.68899999999999995</v>
      </c>
      <c r="P856">
        <v>0.88990000000000002</v>
      </c>
      <c r="Q856">
        <v>0.8589</v>
      </c>
      <c r="R856">
        <v>0.89300000000000002</v>
      </c>
      <c r="S856">
        <v>0.88700000000000001</v>
      </c>
      <c r="T856">
        <v>0.97050000000000003</v>
      </c>
      <c r="U856">
        <v>0.92210000000000003</v>
      </c>
      <c r="V856">
        <v>7.9200000000000007E-2</v>
      </c>
      <c r="W856">
        <v>1</v>
      </c>
      <c r="X856">
        <v>1</v>
      </c>
      <c r="Y856">
        <v>1</v>
      </c>
      <c r="Z856">
        <v>1</v>
      </c>
      <c r="AA856">
        <v>1</v>
      </c>
      <c r="AB856">
        <v>1</v>
      </c>
      <c r="AC856">
        <v>1</v>
      </c>
    </row>
    <row r="857" spans="1:29" x14ac:dyDescent="0.45">
      <c r="A857" t="s">
        <v>94</v>
      </c>
      <c r="B857" t="s">
        <v>438</v>
      </c>
      <c r="C857" t="s">
        <v>439</v>
      </c>
      <c r="D857" t="s">
        <v>424</v>
      </c>
      <c r="E857" t="str">
        <f t="shared" si="13"/>
        <v>PA|solar thermal|Winter</v>
      </c>
      <c r="F857">
        <v>1</v>
      </c>
      <c r="G857">
        <v>1</v>
      </c>
      <c r="H857">
        <v>1</v>
      </c>
      <c r="I857">
        <v>1</v>
      </c>
      <c r="J857">
        <v>1</v>
      </c>
      <c r="K857">
        <v>1</v>
      </c>
      <c r="L857">
        <v>1</v>
      </c>
      <c r="M857">
        <v>1</v>
      </c>
      <c r="N857">
        <v>1</v>
      </c>
      <c r="O857">
        <v>1</v>
      </c>
      <c r="P857">
        <v>1</v>
      </c>
      <c r="Q857">
        <v>1</v>
      </c>
      <c r="R857">
        <v>1</v>
      </c>
      <c r="S857">
        <v>1</v>
      </c>
      <c r="T857">
        <v>1</v>
      </c>
      <c r="U857">
        <v>1</v>
      </c>
      <c r="V857">
        <v>1</v>
      </c>
      <c r="W857">
        <v>1</v>
      </c>
      <c r="X857">
        <v>1</v>
      </c>
      <c r="Y857">
        <v>1</v>
      </c>
      <c r="Z857">
        <v>1</v>
      </c>
      <c r="AA857">
        <v>1</v>
      </c>
      <c r="AB857">
        <v>1</v>
      </c>
      <c r="AC857">
        <v>1</v>
      </c>
    </row>
    <row r="858" spans="1:29" x14ac:dyDescent="0.45">
      <c r="A858" t="s">
        <v>94</v>
      </c>
      <c r="B858" t="s">
        <v>438</v>
      </c>
      <c r="C858" t="s">
        <v>439</v>
      </c>
      <c r="D858" t="s">
        <v>425</v>
      </c>
      <c r="E858" t="str">
        <f t="shared" si="13"/>
        <v>PA|solar thermal|Spring</v>
      </c>
      <c r="F858">
        <v>1</v>
      </c>
      <c r="G858">
        <v>1</v>
      </c>
      <c r="H858">
        <v>1</v>
      </c>
      <c r="I858">
        <v>1</v>
      </c>
      <c r="J858">
        <v>1</v>
      </c>
      <c r="K858">
        <v>1</v>
      </c>
      <c r="L858">
        <v>1</v>
      </c>
      <c r="M858">
        <v>1</v>
      </c>
      <c r="N858">
        <v>1</v>
      </c>
      <c r="O858">
        <v>1</v>
      </c>
      <c r="P858">
        <v>1</v>
      </c>
      <c r="Q858">
        <v>1</v>
      </c>
      <c r="R858">
        <v>1</v>
      </c>
      <c r="S858">
        <v>1</v>
      </c>
      <c r="T858">
        <v>1</v>
      </c>
      <c r="U858">
        <v>1</v>
      </c>
      <c r="V858">
        <v>1</v>
      </c>
      <c r="W858">
        <v>1</v>
      </c>
      <c r="X858">
        <v>1</v>
      </c>
      <c r="Y858">
        <v>1</v>
      </c>
      <c r="Z858">
        <v>1</v>
      </c>
      <c r="AA858">
        <v>1</v>
      </c>
      <c r="AB858">
        <v>1</v>
      </c>
      <c r="AC858">
        <v>1</v>
      </c>
    </row>
    <row r="859" spans="1:29" x14ac:dyDescent="0.45">
      <c r="A859" t="s">
        <v>94</v>
      </c>
      <c r="B859" t="s">
        <v>438</v>
      </c>
      <c r="C859" t="s">
        <v>439</v>
      </c>
      <c r="D859" t="s">
        <v>426</v>
      </c>
      <c r="E859" t="str">
        <f t="shared" si="13"/>
        <v>PA|solar thermal|Summer</v>
      </c>
      <c r="F859">
        <v>1</v>
      </c>
      <c r="G859">
        <v>1</v>
      </c>
      <c r="H859">
        <v>1</v>
      </c>
      <c r="I859">
        <v>1</v>
      </c>
      <c r="J859">
        <v>1</v>
      </c>
      <c r="K859">
        <v>1</v>
      </c>
      <c r="L859">
        <v>1</v>
      </c>
      <c r="M859">
        <v>1</v>
      </c>
      <c r="N859">
        <v>1</v>
      </c>
      <c r="O859">
        <v>1</v>
      </c>
      <c r="P859">
        <v>1</v>
      </c>
      <c r="Q859">
        <v>1</v>
      </c>
      <c r="R859">
        <v>1</v>
      </c>
      <c r="S859">
        <v>1</v>
      </c>
      <c r="T859">
        <v>1</v>
      </c>
      <c r="U859">
        <v>1</v>
      </c>
      <c r="V859">
        <v>1</v>
      </c>
      <c r="W859">
        <v>1</v>
      </c>
      <c r="X859">
        <v>1</v>
      </c>
      <c r="Y859">
        <v>1</v>
      </c>
      <c r="Z859">
        <v>1</v>
      </c>
      <c r="AA859">
        <v>1</v>
      </c>
      <c r="AB859">
        <v>1</v>
      </c>
      <c r="AC859">
        <v>1</v>
      </c>
    </row>
    <row r="860" spans="1:29" x14ac:dyDescent="0.45">
      <c r="A860" t="s">
        <v>94</v>
      </c>
      <c r="B860" t="s">
        <v>438</v>
      </c>
      <c r="C860" t="s">
        <v>439</v>
      </c>
      <c r="D860" t="s">
        <v>427</v>
      </c>
      <c r="E860" t="str">
        <f t="shared" si="13"/>
        <v>PA|solar thermal|Fall</v>
      </c>
      <c r="F860">
        <v>1</v>
      </c>
      <c r="G860">
        <v>1</v>
      </c>
      <c r="H860">
        <v>1</v>
      </c>
      <c r="I860">
        <v>1</v>
      </c>
      <c r="J860">
        <v>1</v>
      </c>
      <c r="K860">
        <v>1</v>
      </c>
      <c r="L860">
        <v>1</v>
      </c>
      <c r="M860">
        <v>1</v>
      </c>
      <c r="N860">
        <v>1</v>
      </c>
      <c r="O860">
        <v>1</v>
      </c>
      <c r="P860">
        <v>1</v>
      </c>
      <c r="Q860">
        <v>1</v>
      </c>
      <c r="R860">
        <v>1</v>
      </c>
      <c r="S860">
        <v>1</v>
      </c>
      <c r="T860">
        <v>1</v>
      </c>
      <c r="U860">
        <v>1</v>
      </c>
      <c r="V860">
        <v>1</v>
      </c>
      <c r="W860">
        <v>1</v>
      </c>
      <c r="X860">
        <v>1</v>
      </c>
      <c r="Y860">
        <v>1</v>
      </c>
      <c r="Z860">
        <v>1</v>
      </c>
      <c r="AA860">
        <v>1</v>
      </c>
      <c r="AB860">
        <v>1</v>
      </c>
      <c r="AC860">
        <v>1</v>
      </c>
    </row>
    <row r="861" spans="1:29" x14ac:dyDescent="0.45">
      <c r="A861" t="s">
        <v>94</v>
      </c>
      <c r="B861" t="s">
        <v>438</v>
      </c>
      <c r="C861" t="s">
        <v>439</v>
      </c>
      <c r="D861" t="s">
        <v>428</v>
      </c>
      <c r="E861" t="str">
        <f t="shared" si="13"/>
        <v>PA|solar thermal|Summer Peak</v>
      </c>
      <c r="F861">
        <v>1</v>
      </c>
      <c r="G861">
        <v>1</v>
      </c>
      <c r="H861">
        <v>1</v>
      </c>
      <c r="I861">
        <v>1</v>
      </c>
      <c r="J861">
        <v>1</v>
      </c>
      <c r="K861">
        <v>1</v>
      </c>
      <c r="L861">
        <v>1</v>
      </c>
      <c r="M861">
        <v>0</v>
      </c>
      <c r="N861">
        <v>0.8639</v>
      </c>
      <c r="O861">
        <v>1</v>
      </c>
      <c r="P861">
        <v>1</v>
      </c>
      <c r="Q861">
        <v>0.97160000000000002</v>
      </c>
      <c r="R861">
        <v>0.96719999999999995</v>
      </c>
      <c r="S861">
        <v>1</v>
      </c>
      <c r="T861">
        <v>1</v>
      </c>
      <c r="U861">
        <v>1</v>
      </c>
      <c r="V861">
        <v>1</v>
      </c>
      <c r="W861">
        <v>1</v>
      </c>
      <c r="X861">
        <v>1</v>
      </c>
      <c r="Y861">
        <v>0.93130000000000002</v>
      </c>
      <c r="Z861">
        <v>0.70220000000000005</v>
      </c>
      <c r="AA861">
        <v>1</v>
      </c>
      <c r="AB861">
        <v>1</v>
      </c>
      <c r="AC861">
        <v>1</v>
      </c>
    </row>
    <row r="862" spans="1:29" x14ac:dyDescent="0.45">
      <c r="A862" t="s">
        <v>94</v>
      </c>
      <c r="B862" t="s">
        <v>438</v>
      </c>
      <c r="C862" t="s">
        <v>439</v>
      </c>
      <c r="D862" t="s">
        <v>429</v>
      </c>
      <c r="E862" t="str">
        <f t="shared" si="13"/>
        <v>PA|solar thermal|Winter Peak</v>
      </c>
      <c r="F862">
        <v>1</v>
      </c>
      <c r="G862">
        <v>1</v>
      </c>
      <c r="H862">
        <v>1</v>
      </c>
      <c r="I862">
        <v>1</v>
      </c>
      <c r="J862">
        <v>1</v>
      </c>
      <c r="K862">
        <v>1</v>
      </c>
      <c r="L862">
        <v>1</v>
      </c>
      <c r="M862">
        <v>1</v>
      </c>
      <c r="N862">
        <v>1</v>
      </c>
      <c r="O862">
        <v>0.2419</v>
      </c>
      <c r="P862">
        <v>0.95320000000000005</v>
      </c>
      <c r="Q862">
        <v>0.88039999999999996</v>
      </c>
      <c r="R862">
        <v>0.97819999999999996</v>
      </c>
      <c r="S862">
        <v>0.98950000000000005</v>
      </c>
      <c r="T862">
        <v>0.99270000000000003</v>
      </c>
      <c r="U862">
        <v>1</v>
      </c>
      <c r="V862">
        <v>1</v>
      </c>
      <c r="W862">
        <v>1</v>
      </c>
      <c r="X862">
        <v>0.89019999999999999</v>
      </c>
      <c r="Y862">
        <v>0</v>
      </c>
      <c r="Z862">
        <v>1</v>
      </c>
      <c r="AA862">
        <v>1</v>
      </c>
      <c r="AB862">
        <v>1</v>
      </c>
      <c r="AC862">
        <v>1</v>
      </c>
    </row>
    <row r="863" spans="1:29" x14ac:dyDescent="0.45">
      <c r="A863" t="s">
        <v>94</v>
      </c>
      <c r="B863" t="s">
        <v>440</v>
      </c>
      <c r="C863" t="s">
        <v>441</v>
      </c>
      <c r="D863" t="s">
        <v>424</v>
      </c>
      <c r="E863" t="str">
        <f t="shared" si="13"/>
        <v>PA|offshore wind|Winter</v>
      </c>
      <c r="F863">
        <v>1</v>
      </c>
      <c r="G863">
        <v>1</v>
      </c>
      <c r="H863">
        <v>1</v>
      </c>
      <c r="I863">
        <v>1</v>
      </c>
      <c r="J863">
        <v>1</v>
      </c>
      <c r="K863">
        <v>1</v>
      </c>
      <c r="L863">
        <v>1</v>
      </c>
      <c r="M863">
        <v>1</v>
      </c>
      <c r="N863">
        <v>1</v>
      </c>
      <c r="O863">
        <v>1</v>
      </c>
      <c r="P863">
        <v>1</v>
      </c>
      <c r="Q863">
        <v>1</v>
      </c>
      <c r="R863">
        <v>1</v>
      </c>
      <c r="S863">
        <v>1</v>
      </c>
      <c r="T863">
        <v>1</v>
      </c>
      <c r="U863">
        <v>1</v>
      </c>
      <c r="V863">
        <v>1</v>
      </c>
      <c r="W863">
        <v>1</v>
      </c>
      <c r="X863">
        <v>1</v>
      </c>
      <c r="Y863">
        <v>1</v>
      </c>
      <c r="Z863">
        <v>1</v>
      </c>
      <c r="AA863">
        <v>1</v>
      </c>
      <c r="AB863">
        <v>1</v>
      </c>
      <c r="AC863">
        <v>1</v>
      </c>
    </row>
    <row r="864" spans="1:29" x14ac:dyDescent="0.45">
      <c r="A864" t="s">
        <v>94</v>
      </c>
      <c r="B864" t="s">
        <v>440</v>
      </c>
      <c r="C864" t="s">
        <v>441</v>
      </c>
      <c r="D864" t="s">
        <v>425</v>
      </c>
      <c r="E864" t="str">
        <f t="shared" si="13"/>
        <v>PA|offshore wind|Spring</v>
      </c>
      <c r="F864">
        <v>1</v>
      </c>
      <c r="G864">
        <v>1</v>
      </c>
      <c r="H864">
        <v>1</v>
      </c>
      <c r="I864">
        <v>1</v>
      </c>
      <c r="J864">
        <v>1</v>
      </c>
      <c r="K864">
        <v>1</v>
      </c>
      <c r="L864">
        <v>1</v>
      </c>
      <c r="M864">
        <v>1</v>
      </c>
      <c r="N864">
        <v>1</v>
      </c>
      <c r="O864">
        <v>1</v>
      </c>
      <c r="P864">
        <v>1</v>
      </c>
      <c r="Q864">
        <v>1</v>
      </c>
      <c r="R864">
        <v>1</v>
      </c>
      <c r="S864">
        <v>1</v>
      </c>
      <c r="T864">
        <v>1</v>
      </c>
      <c r="U864">
        <v>1</v>
      </c>
      <c r="V864">
        <v>1</v>
      </c>
      <c r="W864">
        <v>1</v>
      </c>
      <c r="X864">
        <v>1</v>
      </c>
      <c r="Y864">
        <v>1</v>
      </c>
      <c r="Z864">
        <v>1</v>
      </c>
      <c r="AA864">
        <v>1</v>
      </c>
      <c r="AB864">
        <v>1</v>
      </c>
      <c r="AC864">
        <v>1</v>
      </c>
    </row>
    <row r="865" spans="1:29" x14ac:dyDescent="0.45">
      <c r="A865" t="s">
        <v>94</v>
      </c>
      <c r="B865" t="s">
        <v>440</v>
      </c>
      <c r="C865" t="s">
        <v>441</v>
      </c>
      <c r="D865" t="s">
        <v>426</v>
      </c>
      <c r="E865" t="str">
        <f t="shared" si="13"/>
        <v>PA|offshore wind|Summer</v>
      </c>
      <c r="F865">
        <v>1</v>
      </c>
      <c r="G865">
        <v>1</v>
      </c>
      <c r="H865">
        <v>1</v>
      </c>
      <c r="I865">
        <v>1</v>
      </c>
      <c r="J865">
        <v>1</v>
      </c>
      <c r="K865">
        <v>1</v>
      </c>
      <c r="L865">
        <v>1</v>
      </c>
      <c r="M865">
        <v>1</v>
      </c>
      <c r="N865">
        <v>1</v>
      </c>
      <c r="O865">
        <v>1</v>
      </c>
      <c r="P865">
        <v>1</v>
      </c>
      <c r="Q865">
        <v>1</v>
      </c>
      <c r="R865">
        <v>1</v>
      </c>
      <c r="S865">
        <v>1</v>
      </c>
      <c r="T865">
        <v>1</v>
      </c>
      <c r="U865">
        <v>1</v>
      </c>
      <c r="V865">
        <v>1</v>
      </c>
      <c r="W865">
        <v>1</v>
      </c>
      <c r="X865">
        <v>1</v>
      </c>
      <c r="Y865">
        <v>1</v>
      </c>
      <c r="Z865">
        <v>1</v>
      </c>
      <c r="AA865">
        <v>1</v>
      </c>
      <c r="AB865">
        <v>1</v>
      </c>
      <c r="AC865">
        <v>1</v>
      </c>
    </row>
    <row r="866" spans="1:29" x14ac:dyDescent="0.45">
      <c r="A866" t="s">
        <v>94</v>
      </c>
      <c r="B866" t="s">
        <v>440</v>
      </c>
      <c r="C866" t="s">
        <v>441</v>
      </c>
      <c r="D866" t="s">
        <v>427</v>
      </c>
      <c r="E866" t="str">
        <f t="shared" si="13"/>
        <v>PA|offshore wind|Fall</v>
      </c>
      <c r="F866">
        <v>1</v>
      </c>
      <c r="G866">
        <v>1</v>
      </c>
      <c r="H866">
        <v>1</v>
      </c>
      <c r="I866">
        <v>1</v>
      </c>
      <c r="J866">
        <v>1</v>
      </c>
      <c r="K866">
        <v>1</v>
      </c>
      <c r="L866">
        <v>1</v>
      </c>
      <c r="M866">
        <v>1</v>
      </c>
      <c r="N866">
        <v>1</v>
      </c>
      <c r="O866">
        <v>1</v>
      </c>
      <c r="P866">
        <v>1</v>
      </c>
      <c r="Q866">
        <v>1</v>
      </c>
      <c r="R866">
        <v>1</v>
      </c>
      <c r="S866">
        <v>1</v>
      </c>
      <c r="T866">
        <v>1</v>
      </c>
      <c r="U866">
        <v>1</v>
      </c>
      <c r="V866">
        <v>1</v>
      </c>
      <c r="W866">
        <v>1</v>
      </c>
      <c r="X866">
        <v>1</v>
      </c>
      <c r="Y866">
        <v>1</v>
      </c>
      <c r="Z866">
        <v>1</v>
      </c>
      <c r="AA866">
        <v>1</v>
      </c>
      <c r="AB866">
        <v>1</v>
      </c>
      <c r="AC866">
        <v>1</v>
      </c>
    </row>
    <row r="867" spans="1:29" x14ac:dyDescent="0.45">
      <c r="A867" t="s">
        <v>94</v>
      </c>
      <c r="B867" t="s">
        <v>440</v>
      </c>
      <c r="C867" t="s">
        <v>441</v>
      </c>
      <c r="D867" t="s">
        <v>428</v>
      </c>
      <c r="E867" t="str">
        <f t="shared" si="13"/>
        <v>PA|offshore wind|Summer Peak</v>
      </c>
      <c r="F867">
        <v>0.1113</v>
      </c>
      <c r="G867">
        <v>8.3400000000000002E-2</v>
      </c>
      <c r="H867">
        <v>7.0499999999999993E-2</v>
      </c>
      <c r="I867">
        <v>8.2900000000000001E-2</v>
      </c>
      <c r="J867">
        <v>9.1200000000000003E-2</v>
      </c>
      <c r="K867">
        <v>0.1406</v>
      </c>
      <c r="L867">
        <v>0.16350000000000001</v>
      </c>
      <c r="M867">
        <v>0.22439999999999999</v>
      </c>
      <c r="N867">
        <v>0.24890000000000001</v>
      </c>
      <c r="O867">
        <v>0.46610000000000001</v>
      </c>
      <c r="P867">
        <v>0.1867</v>
      </c>
      <c r="Q867">
        <v>0.22159999999999999</v>
      </c>
      <c r="R867">
        <v>0.26019999999999999</v>
      </c>
      <c r="S867">
        <v>0.33589999999999998</v>
      </c>
      <c r="T867">
        <v>0.37480000000000002</v>
      </c>
      <c r="U867">
        <v>0.49859999999999999</v>
      </c>
      <c r="V867">
        <v>0.51449999999999996</v>
      </c>
      <c r="W867">
        <v>0.55900000000000005</v>
      </c>
      <c r="X867">
        <v>0.61919999999999997</v>
      </c>
      <c r="Y867">
        <v>0.65749999999999997</v>
      </c>
      <c r="Z867">
        <v>0.62749999999999995</v>
      </c>
      <c r="AA867">
        <v>0.67930000000000001</v>
      </c>
      <c r="AB867">
        <v>0.57289999999999996</v>
      </c>
      <c r="AC867">
        <v>0.56289999999999996</v>
      </c>
    </row>
    <row r="868" spans="1:29" x14ac:dyDescent="0.45">
      <c r="A868" t="s">
        <v>94</v>
      </c>
      <c r="B868" t="s">
        <v>440</v>
      </c>
      <c r="C868" t="s">
        <v>441</v>
      </c>
      <c r="D868" t="s">
        <v>429</v>
      </c>
      <c r="E868" t="str">
        <f t="shared" si="13"/>
        <v>PA|offshore wind|Winter Peak</v>
      </c>
      <c r="F868">
        <v>0.80900000000000005</v>
      </c>
      <c r="G868">
        <v>0.76219999999999999</v>
      </c>
      <c r="H868">
        <v>0.74370000000000003</v>
      </c>
      <c r="I868">
        <v>0.79169999999999996</v>
      </c>
      <c r="J868">
        <v>0.76819999999999999</v>
      </c>
      <c r="K868">
        <v>0.73109999999999997</v>
      </c>
      <c r="L868">
        <v>0.76919999999999999</v>
      </c>
      <c r="M868">
        <v>0.79049999999999998</v>
      </c>
      <c r="N868">
        <v>0.7016</v>
      </c>
      <c r="O868">
        <v>0.63019999999999998</v>
      </c>
      <c r="P868">
        <v>0.4879</v>
      </c>
      <c r="Q868">
        <v>0.35260000000000002</v>
      </c>
      <c r="R868">
        <v>0.2676</v>
      </c>
      <c r="S868">
        <v>0.28070000000000001</v>
      </c>
      <c r="T868">
        <v>0.35980000000000001</v>
      </c>
      <c r="U868">
        <v>0.44719999999999999</v>
      </c>
      <c r="V868">
        <v>0.59209999999999996</v>
      </c>
      <c r="W868">
        <v>0.64600000000000002</v>
      </c>
      <c r="X868">
        <v>0.61529999999999996</v>
      </c>
      <c r="Y868">
        <v>0.62970000000000004</v>
      </c>
      <c r="Z868">
        <v>0.55359999999999998</v>
      </c>
      <c r="AA868">
        <v>0.54369999999999996</v>
      </c>
      <c r="AB868">
        <v>0.58450000000000002</v>
      </c>
      <c r="AC868">
        <v>0.63300000000000001</v>
      </c>
    </row>
    <row r="869" spans="1:29" x14ac:dyDescent="0.45">
      <c r="A869" t="s">
        <v>96</v>
      </c>
      <c r="B869" t="s">
        <v>434</v>
      </c>
      <c r="C869" t="s">
        <v>435</v>
      </c>
      <c r="D869" t="s">
        <v>424</v>
      </c>
      <c r="E869" t="str">
        <f t="shared" si="13"/>
        <v>RI|onshore wind|Winter</v>
      </c>
      <c r="F869">
        <v>1</v>
      </c>
      <c r="G869">
        <v>1</v>
      </c>
      <c r="H869">
        <v>1</v>
      </c>
      <c r="I869">
        <v>1</v>
      </c>
      <c r="J869">
        <v>1</v>
      </c>
      <c r="K869">
        <v>1</v>
      </c>
      <c r="L869">
        <v>1</v>
      </c>
      <c r="M869">
        <v>1</v>
      </c>
      <c r="N869">
        <v>1</v>
      </c>
      <c r="O869">
        <v>1</v>
      </c>
      <c r="P869">
        <v>1</v>
      </c>
      <c r="Q869">
        <v>1</v>
      </c>
      <c r="R869">
        <v>1</v>
      </c>
      <c r="S869">
        <v>1</v>
      </c>
      <c r="T869">
        <v>1</v>
      </c>
      <c r="U869">
        <v>1</v>
      </c>
      <c r="V869">
        <v>1</v>
      </c>
      <c r="W869">
        <v>1</v>
      </c>
      <c r="X869">
        <v>1</v>
      </c>
      <c r="Y869">
        <v>1</v>
      </c>
      <c r="Z869">
        <v>1</v>
      </c>
      <c r="AA869">
        <v>1</v>
      </c>
      <c r="AB869">
        <v>1</v>
      </c>
      <c r="AC869">
        <v>1</v>
      </c>
    </row>
    <row r="870" spans="1:29" x14ac:dyDescent="0.45">
      <c r="A870" t="s">
        <v>96</v>
      </c>
      <c r="B870" t="s">
        <v>434</v>
      </c>
      <c r="C870" t="s">
        <v>435</v>
      </c>
      <c r="D870" t="s">
        <v>425</v>
      </c>
      <c r="E870" t="str">
        <f t="shared" si="13"/>
        <v>RI|onshore wind|Spring</v>
      </c>
      <c r="F870">
        <v>1</v>
      </c>
      <c r="G870">
        <v>1</v>
      </c>
      <c r="H870">
        <v>1</v>
      </c>
      <c r="I870">
        <v>1</v>
      </c>
      <c r="J870">
        <v>1</v>
      </c>
      <c r="K870">
        <v>1</v>
      </c>
      <c r="L870">
        <v>1</v>
      </c>
      <c r="M870">
        <v>1</v>
      </c>
      <c r="N870">
        <v>1</v>
      </c>
      <c r="O870">
        <v>1</v>
      </c>
      <c r="P870">
        <v>1</v>
      </c>
      <c r="Q870">
        <v>1</v>
      </c>
      <c r="R870">
        <v>1</v>
      </c>
      <c r="S870">
        <v>1</v>
      </c>
      <c r="T870">
        <v>1</v>
      </c>
      <c r="U870">
        <v>1</v>
      </c>
      <c r="V870">
        <v>1</v>
      </c>
      <c r="W870">
        <v>1</v>
      </c>
      <c r="X870">
        <v>1</v>
      </c>
      <c r="Y870">
        <v>1</v>
      </c>
      <c r="Z870">
        <v>1</v>
      </c>
      <c r="AA870">
        <v>1</v>
      </c>
      <c r="AB870">
        <v>1</v>
      </c>
      <c r="AC870">
        <v>1</v>
      </c>
    </row>
    <row r="871" spans="1:29" x14ac:dyDescent="0.45">
      <c r="A871" t="s">
        <v>96</v>
      </c>
      <c r="B871" t="s">
        <v>434</v>
      </c>
      <c r="C871" t="s">
        <v>435</v>
      </c>
      <c r="D871" t="s">
        <v>426</v>
      </c>
      <c r="E871" t="str">
        <f t="shared" si="13"/>
        <v>RI|onshore wind|Summer</v>
      </c>
      <c r="F871">
        <v>1</v>
      </c>
      <c r="G871">
        <v>1</v>
      </c>
      <c r="H871">
        <v>1</v>
      </c>
      <c r="I871">
        <v>1</v>
      </c>
      <c r="J871">
        <v>1</v>
      </c>
      <c r="K871">
        <v>1</v>
      </c>
      <c r="L871">
        <v>1</v>
      </c>
      <c r="M871">
        <v>1</v>
      </c>
      <c r="N871">
        <v>1</v>
      </c>
      <c r="O871">
        <v>1</v>
      </c>
      <c r="P871">
        <v>1</v>
      </c>
      <c r="Q871">
        <v>1</v>
      </c>
      <c r="R871">
        <v>1</v>
      </c>
      <c r="S871">
        <v>1</v>
      </c>
      <c r="T871">
        <v>1</v>
      </c>
      <c r="U871">
        <v>1</v>
      </c>
      <c r="V871">
        <v>1</v>
      </c>
      <c r="W871">
        <v>1</v>
      </c>
      <c r="X871">
        <v>1</v>
      </c>
      <c r="Y871">
        <v>1</v>
      </c>
      <c r="Z871">
        <v>1</v>
      </c>
      <c r="AA871">
        <v>1</v>
      </c>
      <c r="AB871">
        <v>1</v>
      </c>
      <c r="AC871">
        <v>1</v>
      </c>
    </row>
    <row r="872" spans="1:29" x14ac:dyDescent="0.45">
      <c r="A872" t="s">
        <v>96</v>
      </c>
      <c r="B872" t="s">
        <v>434</v>
      </c>
      <c r="C872" t="s">
        <v>435</v>
      </c>
      <c r="D872" t="s">
        <v>427</v>
      </c>
      <c r="E872" t="str">
        <f t="shared" si="13"/>
        <v>RI|onshore wind|Fall</v>
      </c>
      <c r="F872">
        <v>1</v>
      </c>
      <c r="G872">
        <v>1</v>
      </c>
      <c r="H872">
        <v>1</v>
      </c>
      <c r="I872">
        <v>1</v>
      </c>
      <c r="J872">
        <v>1</v>
      </c>
      <c r="K872">
        <v>1</v>
      </c>
      <c r="L872">
        <v>1</v>
      </c>
      <c r="M872">
        <v>1</v>
      </c>
      <c r="N872">
        <v>1</v>
      </c>
      <c r="O872">
        <v>1</v>
      </c>
      <c r="P872">
        <v>1</v>
      </c>
      <c r="Q872">
        <v>1</v>
      </c>
      <c r="R872">
        <v>1</v>
      </c>
      <c r="S872">
        <v>1</v>
      </c>
      <c r="T872">
        <v>1</v>
      </c>
      <c r="U872">
        <v>1</v>
      </c>
      <c r="V872">
        <v>1</v>
      </c>
      <c r="W872">
        <v>1</v>
      </c>
      <c r="X872">
        <v>1</v>
      </c>
      <c r="Y872">
        <v>1</v>
      </c>
      <c r="Z872">
        <v>1</v>
      </c>
      <c r="AA872">
        <v>1</v>
      </c>
      <c r="AB872">
        <v>1</v>
      </c>
      <c r="AC872">
        <v>1</v>
      </c>
    </row>
    <row r="873" spans="1:29" x14ac:dyDescent="0.45">
      <c r="A873" t="s">
        <v>96</v>
      </c>
      <c r="B873" t="s">
        <v>434</v>
      </c>
      <c r="C873" t="s">
        <v>435</v>
      </c>
      <c r="D873" t="s">
        <v>428</v>
      </c>
      <c r="E873" t="str">
        <f t="shared" si="13"/>
        <v>RI|onshore wind|Summer Peak</v>
      </c>
      <c r="F873">
        <v>0.57640000000000002</v>
      </c>
      <c r="G873">
        <v>0.54469999999999996</v>
      </c>
      <c r="H873">
        <v>0.54620000000000002</v>
      </c>
      <c r="I873">
        <v>0.56459999999999999</v>
      </c>
      <c r="J873">
        <v>0.54649999999999999</v>
      </c>
      <c r="K873">
        <v>0.6371</v>
      </c>
      <c r="L873">
        <v>0.50439999999999996</v>
      </c>
      <c r="M873">
        <v>0.4239</v>
      </c>
      <c r="N873">
        <v>0.39150000000000001</v>
      </c>
      <c r="O873">
        <v>0.44290000000000002</v>
      </c>
      <c r="P873">
        <v>0.40400000000000003</v>
      </c>
      <c r="Q873">
        <v>0.40260000000000001</v>
      </c>
      <c r="R873">
        <v>0.37680000000000002</v>
      </c>
      <c r="S873">
        <v>0.37869999999999998</v>
      </c>
      <c r="T873">
        <v>0.38669999999999999</v>
      </c>
      <c r="U873">
        <v>0.36919999999999997</v>
      </c>
      <c r="V873">
        <v>0.33929999999999999</v>
      </c>
      <c r="W873">
        <v>0.4446</v>
      </c>
      <c r="X873">
        <v>0.42009999999999997</v>
      </c>
      <c r="Y873">
        <v>0.42480000000000001</v>
      </c>
      <c r="Z873">
        <v>0.48609999999999998</v>
      </c>
      <c r="AA873">
        <v>0.48130000000000001</v>
      </c>
      <c r="AB873">
        <v>0.50960000000000005</v>
      </c>
      <c r="AC873">
        <v>0.51649999999999996</v>
      </c>
    </row>
    <row r="874" spans="1:29" x14ac:dyDescent="0.45">
      <c r="A874" t="s">
        <v>96</v>
      </c>
      <c r="B874" t="s">
        <v>434</v>
      </c>
      <c r="C874" t="s">
        <v>435</v>
      </c>
      <c r="D874" t="s">
        <v>429</v>
      </c>
      <c r="E874" t="str">
        <f t="shared" si="13"/>
        <v>RI|onshore wind|Winter Peak</v>
      </c>
      <c r="F874">
        <v>0.83230000000000004</v>
      </c>
      <c r="G874">
        <v>0.86629999999999996</v>
      </c>
      <c r="H874">
        <v>0.81100000000000005</v>
      </c>
      <c r="I874">
        <v>0.80959999999999999</v>
      </c>
      <c r="J874">
        <v>0.86070000000000002</v>
      </c>
      <c r="K874">
        <v>0.95040000000000002</v>
      </c>
      <c r="L874">
        <v>0.94910000000000005</v>
      </c>
      <c r="M874">
        <v>0.86680000000000001</v>
      </c>
      <c r="N874">
        <v>0.78010000000000002</v>
      </c>
      <c r="O874">
        <v>0.59850000000000003</v>
      </c>
      <c r="P874">
        <v>0.42499999999999999</v>
      </c>
      <c r="Q874">
        <v>0.30130000000000001</v>
      </c>
      <c r="R874">
        <v>0.2417</v>
      </c>
      <c r="S874">
        <v>0.25390000000000001</v>
      </c>
      <c r="T874">
        <v>0.29520000000000002</v>
      </c>
      <c r="U874">
        <v>0.4491</v>
      </c>
      <c r="V874">
        <v>0.6</v>
      </c>
      <c r="W874">
        <v>0.70709999999999995</v>
      </c>
      <c r="X874">
        <v>0.77980000000000005</v>
      </c>
      <c r="Y874">
        <v>0.84970000000000001</v>
      </c>
      <c r="Z874">
        <v>0.88549999999999995</v>
      </c>
      <c r="AA874">
        <v>0.79079999999999995</v>
      </c>
      <c r="AB874">
        <v>0.7954</v>
      </c>
      <c r="AC874">
        <v>0.75219999999999998</v>
      </c>
    </row>
    <row r="875" spans="1:29" x14ac:dyDescent="0.45">
      <c r="A875" t="s">
        <v>96</v>
      </c>
      <c r="B875" t="s">
        <v>436</v>
      </c>
      <c r="C875" t="s">
        <v>437</v>
      </c>
      <c r="D875" t="s">
        <v>424</v>
      </c>
      <c r="E875" t="str">
        <f t="shared" si="13"/>
        <v>RI|solar pv|Winter</v>
      </c>
      <c r="F875">
        <v>1</v>
      </c>
      <c r="G875">
        <v>1</v>
      </c>
      <c r="H875">
        <v>1</v>
      </c>
      <c r="I875">
        <v>1</v>
      </c>
      <c r="J875">
        <v>1</v>
      </c>
      <c r="K875">
        <v>1</v>
      </c>
      <c r="L875">
        <v>1</v>
      </c>
      <c r="M875">
        <v>1</v>
      </c>
      <c r="N875">
        <v>1</v>
      </c>
      <c r="O875">
        <v>1</v>
      </c>
      <c r="P875">
        <v>1</v>
      </c>
      <c r="Q875">
        <v>1</v>
      </c>
      <c r="R875">
        <v>1</v>
      </c>
      <c r="S875">
        <v>1</v>
      </c>
      <c r="T875">
        <v>1</v>
      </c>
      <c r="U875">
        <v>1</v>
      </c>
      <c r="V875">
        <v>1</v>
      </c>
      <c r="W875">
        <v>1</v>
      </c>
      <c r="X875">
        <v>1</v>
      </c>
      <c r="Y875">
        <v>1</v>
      </c>
      <c r="Z875">
        <v>1</v>
      </c>
      <c r="AA875">
        <v>1</v>
      </c>
      <c r="AB875">
        <v>1</v>
      </c>
      <c r="AC875">
        <v>1</v>
      </c>
    </row>
    <row r="876" spans="1:29" x14ac:dyDescent="0.45">
      <c r="A876" t="s">
        <v>96</v>
      </c>
      <c r="B876" t="s">
        <v>436</v>
      </c>
      <c r="C876" t="s">
        <v>437</v>
      </c>
      <c r="D876" t="s">
        <v>425</v>
      </c>
      <c r="E876" t="str">
        <f t="shared" si="13"/>
        <v>RI|solar pv|Spring</v>
      </c>
      <c r="F876">
        <v>1</v>
      </c>
      <c r="G876">
        <v>1</v>
      </c>
      <c r="H876">
        <v>1</v>
      </c>
      <c r="I876">
        <v>1</v>
      </c>
      <c r="J876">
        <v>1</v>
      </c>
      <c r="K876">
        <v>1</v>
      </c>
      <c r="L876">
        <v>1</v>
      </c>
      <c r="M876">
        <v>1</v>
      </c>
      <c r="N876">
        <v>1</v>
      </c>
      <c r="O876">
        <v>1</v>
      </c>
      <c r="P876">
        <v>1</v>
      </c>
      <c r="Q876">
        <v>1</v>
      </c>
      <c r="R876">
        <v>1</v>
      </c>
      <c r="S876">
        <v>1</v>
      </c>
      <c r="T876">
        <v>1</v>
      </c>
      <c r="U876">
        <v>1</v>
      </c>
      <c r="V876">
        <v>1</v>
      </c>
      <c r="W876">
        <v>1</v>
      </c>
      <c r="X876">
        <v>1</v>
      </c>
      <c r="Y876">
        <v>1</v>
      </c>
      <c r="Z876">
        <v>1</v>
      </c>
      <c r="AA876">
        <v>1</v>
      </c>
      <c r="AB876">
        <v>1</v>
      </c>
      <c r="AC876">
        <v>1</v>
      </c>
    </row>
    <row r="877" spans="1:29" x14ac:dyDescent="0.45">
      <c r="A877" t="s">
        <v>96</v>
      </c>
      <c r="B877" t="s">
        <v>436</v>
      </c>
      <c r="C877" t="s">
        <v>437</v>
      </c>
      <c r="D877" t="s">
        <v>426</v>
      </c>
      <c r="E877" t="str">
        <f t="shared" si="13"/>
        <v>RI|solar pv|Summer</v>
      </c>
      <c r="F877">
        <v>1</v>
      </c>
      <c r="G877">
        <v>1</v>
      </c>
      <c r="H877">
        <v>1</v>
      </c>
      <c r="I877">
        <v>1</v>
      </c>
      <c r="J877">
        <v>1</v>
      </c>
      <c r="K877">
        <v>1</v>
      </c>
      <c r="L877">
        <v>1</v>
      </c>
      <c r="M877">
        <v>1</v>
      </c>
      <c r="N877">
        <v>1</v>
      </c>
      <c r="O877">
        <v>1</v>
      </c>
      <c r="P877">
        <v>1</v>
      </c>
      <c r="Q877">
        <v>1</v>
      </c>
      <c r="R877">
        <v>1</v>
      </c>
      <c r="S877">
        <v>1</v>
      </c>
      <c r="T877">
        <v>1</v>
      </c>
      <c r="U877">
        <v>1</v>
      </c>
      <c r="V877">
        <v>1</v>
      </c>
      <c r="W877">
        <v>1</v>
      </c>
      <c r="X877">
        <v>1</v>
      </c>
      <c r="Y877">
        <v>1</v>
      </c>
      <c r="Z877">
        <v>1</v>
      </c>
      <c r="AA877">
        <v>1</v>
      </c>
      <c r="AB877">
        <v>1</v>
      </c>
      <c r="AC877">
        <v>1</v>
      </c>
    </row>
    <row r="878" spans="1:29" x14ac:dyDescent="0.45">
      <c r="A878" t="s">
        <v>96</v>
      </c>
      <c r="B878" t="s">
        <v>436</v>
      </c>
      <c r="C878" t="s">
        <v>437</v>
      </c>
      <c r="D878" t="s">
        <v>427</v>
      </c>
      <c r="E878" t="str">
        <f t="shared" si="13"/>
        <v>RI|solar pv|Fall</v>
      </c>
      <c r="F878">
        <v>1</v>
      </c>
      <c r="G878">
        <v>1</v>
      </c>
      <c r="H878">
        <v>1</v>
      </c>
      <c r="I878">
        <v>1</v>
      </c>
      <c r="J878">
        <v>1</v>
      </c>
      <c r="K878">
        <v>1</v>
      </c>
      <c r="L878">
        <v>1</v>
      </c>
      <c r="M878">
        <v>1</v>
      </c>
      <c r="N878">
        <v>1</v>
      </c>
      <c r="O878">
        <v>1</v>
      </c>
      <c r="P878">
        <v>1</v>
      </c>
      <c r="Q878">
        <v>1</v>
      </c>
      <c r="R878">
        <v>1</v>
      </c>
      <c r="S878">
        <v>1</v>
      </c>
      <c r="T878">
        <v>1</v>
      </c>
      <c r="U878">
        <v>1</v>
      </c>
      <c r="V878">
        <v>1</v>
      </c>
      <c r="W878">
        <v>1</v>
      </c>
      <c r="X878">
        <v>1</v>
      </c>
      <c r="Y878">
        <v>1</v>
      </c>
      <c r="Z878">
        <v>1</v>
      </c>
      <c r="AA878">
        <v>1</v>
      </c>
      <c r="AB878">
        <v>1</v>
      </c>
      <c r="AC878">
        <v>1</v>
      </c>
    </row>
    <row r="879" spans="1:29" x14ac:dyDescent="0.45">
      <c r="A879" t="s">
        <v>96</v>
      </c>
      <c r="B879" t="s">
        <v>436</v>
      </c>
      <c r="C879" t="s">
        <v>437</v>
      </c>
      <c r="D879" t="s">
        <v>428</v>
      </c>
      <c r="E879" t="str">
        <f t="shared" si="13"/>
        <v>RI|solar pv|Summer Peak</v>
      </c>
      <c r="F879">
        <v>1</v>
      </c>
      <c r="G879">
        <v>1</v>
      </c>
      <c r="H879">
        <v>1</v>
      </c>
      <c r="I879">
        <v>1</v>
      </c>
      <c r="J879">
        <v>0.29949999999999999</v>
      </c>
      <c r="K879">
        <v>0.64629999999999999</v>
      </c>
      <c r="L879">
        <v>0.56179999999999997</v>
      </c>
      <c r="M879">
        <v>0.78869999999999996</v>
      </c>
      <c r="N879">
        <v>0.85760000000000003</v>
      </c>
      <c r="O879">
        <v>0.94769999999999999</v>
      </c>
      <c r="P879">
        <v>0.96260000000000001</v>
      </c>
      <c r="Q879">
        <v>0.95130000000000003</v>
      </c>
      <c r="R879">
        <v>0.95899999999999996</v>
      </c>
      <c r="S879">
        <v>0.85319999999999996</v>
      </c>
      <c r="T879">
        <v>0.85709999999999997</v>
      </c>
      <c r="U879">
        <v>0.8478</v>
      </c>
      <c r="V879">
        <v>0.80449999999999999</v>
      </c>
      <c r="W879">
        <v>0.6623</v>
      </c>
      <c r="X879">
        <v>0</v>
      </c>
      <c r="Y879">
        <v>1</v>
      </c>
      <c r="Z879">
        <v>1</v>
      </c>
      <c r="AA879">
        <v>1</v>
      </c>
      <c r="AB879">
        <v>1</v>
      </c>
      <c r="AC879">
        <v>1</v>
      </c>
    </row>
    <row r="880" spans="1:29" x14ac:dyDescent="0.45">
      <c r="A880" t="s">
        <v>96</v>
      </c>
      <c r="B880" t="s">
        <v>436</v>
      </c>
      <c r="C880" t="s">
        <v>437</v>
      </c>
      <c r="D880" t="s">
        <v>429</v>
      </c>
      <c r="E880" t="str">
        <f t="shared" si="13"/>
        <v>RI|solar pv|Winter Peak</v>
      </c>
      <c r="F880">
        <v>1</v>
      </c>
      <c r="G880">
        <v>1</v>
      </c>
      <c r="H880">
        <v>1</v>
      </c>
      <c r="I880">
        <v>1</v>
      </c>
      <c r="J880">
        <v>1</v>
      </c>
      <c r="K880">
        <v>1</v>
      </c>
      <c r="L880">
        <v>0.32750000000000001</v>
      </c>
      <c r="M880">
        <v>0.75600000000000001</v>
      </c>
      <c r="N880">
        <v>0.84240000000000004</v>
      </c>
      <c r="O880">
        <v>0.84570000000000001</v>
      </c>
      <c r="P880">
        <v>0.87680000000000002</v>
      </c>
      <c r="Q880">
        <v>0.85899999999999999</v>
      </c>
      <c r="R880">
        <v>0.75049999999999994</v>
      </c>
      <c r="S880">
        <v>0.74639999999999995</v>
      </c>
      <c r="T880">
        <v>0.76600000000000001</v>
      </c>
      <c r="U880">
        <v>0.47189999999999999</v>
      </c>
      <c r="V880">
        <v>0</v>
      </c>
      <c r="W880">
        <v>1</v>
      </c>
      <c r="X880">
        <v>1</v>
      </c>
      <c r="Y880">
        <v>1</v>
      </c>
      <c r="Z880">
        <v>1</v>
      </c>
      <c r="AA880">
        <v>1</v>
      </c>
      <c r="AB880">
        <v>1</v>
      </c>
      <c r="AC880">
        <v>1</v>
      </c>
    </row>
    <row r="881" spans="1:29" x14ac:dyDescent="0.45">
      <c r="A881" t="s">
        <v>96</v>
      </c>
      <c r="B881" t="s">
        <v>438</v>
      </c>
      <c r="C881" t="s">
        <v>439</v>
      </c>
      <c r="D881" t="s">
        <v>424</v>
      </c>
      <c r="E881" t="str">
        <f t="shared" si="13"/>
        <v>RI|solar thermal|Winter</v>
      </c>
      <c r="F881">
        <v>1</v>
      </c>
      <c r="G881">
        <v>1</v>
      </c>
      <c r="H881">
        <v>1</v>
      </c>
      <c r="I881">
        <v>1</v>
      </c>
      <c r="J881">
        <v>1</v>
      </c>
      <c r="K881">
        <v>1</v>
      </c>
      <c r="L881">
        <v>1</v>
      </c>
      <c r="M881">
        <v>1</v>
      </c>
      <c r="N881">
        <v>1</v>
      </c>
      <c r="O881">
        <v>1</v>
      </c>
      <c r="P881">
        <v>1</v>
      </c>
      <c r="Q881">
        <v>1</v>
      </c>
      <c r="R881">
        <v>1</v>
      </c>
      <c r="S881">
        <v>1</v>
      </c>
      <c r="T881">
        <v>1</v>
      </c>
      <c r="U881">
        <v>1</v>
      </c>
      <c r="V881">
        <v>1</v>
      </c>
      <c r="W881">
        <v>1</v>
      </c>
      <c r="X881">
        <v>1</v>
      </c>
      <c r="Y881">
        <v>1</v>
      </c>
      <c r="Z881">
        <v>1</v>
      </c>
      <c r="AA881">
        <v>1</v>
      </c>
      <c r="AB881">
        <v>1</v>
      </c>
      <c r="AC881">
        <v>1</v>
      </c>
    </row>
    <row r="882" spans="1:29" x14ac:dyDescent="0.45">
      <c r="A882" t="s">
        <v>96</v>
      </c>
      <c r="B882" t="s">
        <v>438</v>
      </c>
      <c r="C882" t="s">
        <v>439</v>
      </c>
      <c r="D882" t="s">
        <v>425</v>
      </c>
      <c r="E882" t="str">
        <f t="shared" si="13"/>
        <v>RI|solar thermal|Spring</v>
      </c>
      <c r="F882">
        <v>1</v>
      </c>
      <c r="G882">
        <v>1</v>
      </c>
      <c r="H882">
        <v>1</v>
      </c>
      <c r="I882">
        <v>1</v>
      </c>
      <c r="J882">
        <v>1</v>
      </c>
      <c r="K882">
        <v>1</v>
      </c>
      <c r="L882">
        <v>1</v>
      </c>
      <c r="M882">
        <v>1</v>
      </c>
      <c r="N882">
        <v>1</v>
      </c>
      <c r="O882">
        <v>1</v>
      </c>
      <c r="P882">
        <v>1</v>
      </c>
      <c r="Q882">
        <v>1</v>
      </c>
      <c r="R882">
        <v>1</v>
      </c>
      <c r="S882">
        <v>1</v>
      </c>
      <c r="T882">
        <v>1</v>
      </c>
      <c r="U882">
        <v>1</v>
      </c>
      <c r="V882">
        <v>1</v>
      </c>
      <c r="W882">
        <v>1</v>
      </c>
      <c r="X882">
        <v>1</v>
      </c>
      <c r="Y882">
        <v>1</v>
      </c>
      <c r="Z882">
        <v>1</v>
      </c>
      <c r="AA882">
        <v>1</v>
      </c>
      <c r="AB882">
        <v>1</v>
      </c>
      <c r="AC882">
        <v>1</v>
      </c>
    </row>
    <row r="883" spans="1:29" x14ac:dyDescent="0.45">
      <c r="A883" t="s">
        <v>96</v>
      </c>
      <c r="B883" t="s">
        <v>438</v>
      </c>
      <c r="C883" t="s">
        <v>439</v>
      </c>
      <c r="D883" t="s">
        <v>426</v>
      </c>
      <c r="E883" t="str">
        <f t="shared" si="13"/>
        <v>RI|solar thermal|Summer</v>
      </c>
      <c r="F883">
        <v>1</v>
      </c>
      <c r="G883">
        <v>1</v>
      </c>
      <c r="H883">
        <v>1</v>
      </c>
      <c r="I883">
        <v>1</v>
      </c>
      <c r="J883">
        <v>1</v>
      </c>
      <c r="K883">
        <v>1</v>
      </c>
      <c r="L883">
        <v>1</v>
      </c>
      <c r="M883">
        <v>1</v>
      </c>
      <c r="N883">
        <v>1</v>
      </c>
      <c r="O883">
        <v>1</v>
      </c>
      <c r="P883">
        <v>1</v>
      </c>
      <c r="Q883">
        <v>1</v>
      </c>
      <c r="R883">
        <v>1</v>
      </c>
      <c r="S883">
        <v>1</v>
      </c>
      <c r="T883">
        <v>1</v>
      </c>
      <c r="U883">
        <v>1</v>
      </c>
      <c r="V883">
        <v>1</v>
      </c>
      <c r="W883">
        <v>1</v>
      </c>
      <c r="X883">
        <v>1</v>
      </c>
      <c r="Y883">
        <v>1</v>
      </c>
      <c r="Z883">
        <v>1</v>
      </c>
      <c r="AA883">
        <v>1</v>
      </c>
      <c r="AB883">
        <v>1</v>
      </c>
      <c r="AC883">
        <v>1</v>
      </c>
    </row>
    <row r="884" spans="1:29" x14ac:dyDescent="0.45">
      <c r="A884" t="s">
        <v>96</v>
      </c>
      <c r="B884" t="s">
        <v>438</v>
      </c>
      <c r="C884" t="s">
        <v>439</v>
      </c>
      <c r="D884" t="s">
        <v>427</v>
      </c>
      <c r="E884" t="str">
        <f t="shared" si="13"/>
        <v>RI|solar thermal|Fall</v>
      </c>
      <c r="F884">
        <v>1</v>
      </c>
      <c r="G884">
        <v>1</v>
      </c>
      <c r="H884">
        <v>1</v>
      </c>
      <c r="I884">
        <v>1</v>
      </c>
      <c r="J884">
        <v>1</v>
      </c>
      <c r="K884">
        <v>1</v>
      </c>
      <c r="L884">
        <v>1</v>
      </c>
      <c r="M884">
        <v>1</v>
      </c>
      <c r="N884">
        <v>1</v>
      </c>
      <c r="O884">
        <v>1</v>
      </c>
      <c r="P884">
        <v>1</v>
      </c>
      <c r="Q884">
        <v>1</v>
      </c>
      <c r="R884">
        <v>1</v>
      </c>
      <c r="S884">
        <v>1</v>
      </c>
      <c r="T884">
        <v>1</v>
      </c>
      <c r="U884">
        <v>1</v>
      </c>
      <c r="V884">
        <v>1</v>
      </c>
      <c r="W884">
        <v>1</v>
      </c>
      <c r="X884">
        <v>1</v>
      </c>
      <c r="Y884">
        <v>1</v>
      </c>
      <c r="Z884">
        <v>1</v>
      </c>
      <c r="AA884">
        <v>1</v>
      </c>
      <c r="AB884">
        <v>1</v>
      </c>
      <c r="AC884">
        <v>1</v>
      </c>
    </row>
    <row r="885" spans="1:29" x14ac:dyDescent="0.45">
      <c r="A885" t="s">
        <v>96</v>
      </c>
      <c r="B885" t="s">
        <v>438</v>
      </c>
      <c r="C885" t="s">
        <v>439</v>
      </c>
      <c r="D885" t="s">
        <v>428</v>
      </c>
      <c r="E885" t="str">
        <f t="shared" si="13"/>
        <v>RI|solar thermal|Summer Peak</v>
      </c>
      <c r="F885">
        <v>1</v>
      </c>
      <c r="G885">
        <v>1</v>
      </c>
      <c r="H885">
        <v>1</v>
      </c>
      <c r="I885">
        <v>1</v>
      </c>
      <c r="J885">
        <v>1</v>
      </c>
      <c r="K885">
        <v>1</v>
      </c>
      <c r="L885">
        <v>1</v>
      </c>
      <c r="M885">
        <v>0</v>
      </c>
      <c r="N885">
        <v>0.8639</v>
      </c>
      <c r="O885">
        <v>1</v>
      </c>
      <c r="P885">
        <v>1</v>
      </c>
      <c r="Q885">
        <v>0.97160000000000002</v>
      </c>
      <c r="R885">
        <v>0.96719999999999995</v>
      </c>
      <c r="S885">
        <v>1</v>
      </c>
      <c r="T885">
        <v>1</v>
      </c>
      <c r="U885">
        <v>1</v>
      </c>
      <c r="V885">
        <v>1</v>
      </c>
      <c r="W885">
        <v>1</v>
      </c>
      <c r="X885">
        <v>1</v>
      </c>
      <c r="Y885">
        <v>0.93130000000000002</v>
      </c>
      <c r="Z885">
        <v>0.70220000000000005</v>
      </c>
      <c r="AA885">
        <v>1</v>
      </c>
      <c r="AB885">
        <v>1</v>
      </c>
      <c r="AC885">
        <v>1</v>
      </c>
    </row>
    <row r="886" spans="1:29" x14ac:dyDescent="0.45">
      <c r="A886" t="s">
        <v>96</v>
      </c>
      <c r="B886" t="s">
        <v>438</v>
      </c>
      <c r="C886" t="s">
        <v>439</v>
      </c>
      <c r="D886" t="s">
        <v>429</v>
      </c>
      <c r="E886" t="str">
        <f t="shared" si="13"/>
        <v>RI|solar thermal|Winter Peak</v>
      </c>
      <c r="F886">
        <v>1</v>
      </c>
      <c r="G886">
        <v>1</v>
      </c>
      <c r="H886">
        <v>1</v>
      </c>
      <c r="I886">
        <v>1</v>
      </c>
      <c r="J886">
        <v>1</v>
      </c>
      <c r="K886">
        <v>1</v>
      </c>
      <c r="L886">
        <v>1</v>
      </c>
      <c r="M886">
        <v>1</v>
      </c>
      <c r="N886">
        <v>1</v>
      </c>
      <c r="O886">
        <v>0.2419</v>
      </c>
      <c r="P886">
        <v>0.95320000000000005</v>
      </c>
      <c r="Q886">
        <v>0.88039999999999996</v>
      </c>
      <c r="R886">
        <v>0.97819999999999996</v>
      </c>
      <c r="S886">
        <v>0.98950000000000005</v>
      </c>
      <c r="T886">
        <v>0.99270000000000003</v>
      </c>
      <c r="U886">
        <v>1</v>
      </c>
      <c r="V886">
        <v>1</v>
      </c>
      <c r="W886">
        <v>1</v>
      </c>
      <c r="X886">
        <v>0.89019999999999999</v>
      </c>
      <c r="Y886">
        <v>0</v>
      </c>
      <c r="Z886">
        <v>1</v>
      </c>
      <c r="AA886">
        <v>1</v>
      </c>
      <c r="AB886">
        <v>1</v>
      </c>
      <c r="AC886">
        <v>1</v>
      </c>
    </row>
    <row r="887" spans="1:29" x14ac:dyDescent="0.45">
      <c r="A887" t="s">
        <v>96</v>
      </c>
      <c r="B887" t="s">
        <v>440</v>
      </c>
      <c r="C887" t="s">
        <v>441</v>
      </c>
      <c r="D887" t="s">
        <v>424</v>
      </c>
      <c r="E887" t="str">
        <f t="shared" si="13"/>
        <v>RI|offshore wind|Winter</v>
      </c>
      <c r="F887">
        <v>1</v>
      </c>
      <c r="G887">
        <v>1</v>
      </c>
      <c r="H887">
        <v>1</v>
      </c>
      <c r="I887">
        <v>1</v>
      </c>
      <c r="J887">
        <v>1</v>
      </c>
      <c r="K887">
        <v>1</v>
      </c>
      <c r="L887">
        <v>1</v>
      </c>
      <c r="M887">
        <v>1</v>
      </c>
      <c r="N887">
        <v>1</v>
      </c>
      <c r="O887">
        <v>1</v>
      </c>
      <c r="P887">
        <v>1</v>
      </c>
      <c r="Q887">
        <v>1</v>
      </c>
      <c r="R887">
        <v>1</v>
      </c>
      <c r="S887">
        <v>1</v>
      </c>
      <c r="T887">
        <v>1</v>
      </c>
      <c r="U887">
        <v>1</v>
      </c>
      <c r="V887">
        <v>1</v>
      </c>
      <c r="W887">
        <v>1</v>
      </c>
      <c r="X887">
        <v>1</v>
      </c>
      <c r="Y887">
        <v>1</v>
      </c>
      <c r="Z887">
        <v>1</v>
      </c>
      <c r="AA887">
        <v>1</v>
      </c>
      <c r="AB887">
        <v>1</v>
      </c>
      <c r="AC887">
        <v>1</v>
      </c>
    </row>
    <row r="888" spans="1:29" x14ac:dyDescent="0.45">
      <c r="A888" t="s">
        <v>96</v>
      </c>
      <c r="B888" t="s">
        <v>440</v>
      </c>
      <c r="C888" t="s">
        <v>441</v>
      </c>
      <c r="D888" t="s">
        <v>425</v>
      </c>
      <c r="E888" t="str">
        <f t="shared" si="13"/>
        <v>RI|offshore wind|Spring</v>
      </c>
      <c r="F888">
        <v>1</v>
      </c>
      <c r="G888">
        <v>1</v>
      </c>
      <c r="H888">
        <v>1</v>
      </c>
      <c r="I888">
        <v>1</v>
      </c>
      <c r="J888">
        <v>1</v>
      </c>
      <c r="K888">
        <v>1</v>
      </c>
      <c r="L888">
        <v>1</v>
      </c>
      <c r="M888">
        <v>1</v>
      </c>
      <c r="N888">
        <v>1</v>
      </c>
      <c r="O888">
        <v>1</v>
      </c>
      <c r="P888">
        <v>1</v>
      </c>
      <c r="Q888">
        <v>1</v>
      </c>
      <c r="R888">
        <v>1</v>
      </c>
      <c r="S888">
        <v>1</v>
      </c>
      <c r="T888">
        <v>1</v>
      </c>
      <c r="U888">
        <v>1</v>
      </c>
      <c r="V888">
        <v>1</v>
      </c>
      <c r="W888">
        <v>1</v>
      </c>
      <c r="X888">
        <v>1</v>
      </c>
      <c r="Y888">
        <v>1</v>
      </c>
      <c r="Z888">
        <v>1</v>
      </c>
      <c r="AA888">
        <v>1</v>
      </c>
      <c r="AB888">
        <v>1</v>
      </c>
      <c r="AC888">
        <v>1</v>
      </c>
    </row>
    <row r="889" spans="1:29" x14ac:dyDescent="0.45">
      <c r="A889" t="s">
        <v>96</v>
      </c>
      <c r="B889" t="s">
        <v>440</v>
      </c>
      <c r="C889" t="s">
        <v>441</v>
      </c>
      <c r="D889" t="s">
        <v>426</v>
      </c>
      <c r="E889" t="str">
        <f t="shared" si="13"/>
        <v>RI|offshore wind|Summer</v>
      </c>
      <c r="F889">
        <v>1</v>
      </c>
      <c r="G889">
        <v>1</v>
      </c>
      <c r="H889">
        <v>1</v>
      </c>
      <c r="I889">
        <v>1</v>
      </c>
      <c r="J889">
        <v>1</v>
      </c>
      <c r="K889">
        <v>1</v>
      </c>
      <c r="L889">
        <v>1</v>
      </c>
      <c r="M889">
        <v>1</v>
      </c>
      <c r="N889">
        <v>1</v>
      </c>
      <c r="O889">
        <v>1</v>
      </c>
      <c r="P889">
        <v>1</v>
      </c>
      <c r="Q889">
        <v>1</v>
      </c>
      <c r="R889">
        <v>1</v>
      </c>
      <c r="S889">
        <v>1</v>
      </c>
      <c r="T889">
        <v>1</v>
      </c>
      <c r="U889">
        <v>1</v>
      </c>
      <c r="V889">
        <v>1</v>
      </c>
      <c r="W889">
        <v>1</v>
      </c>
      <c r="X889">
        <v>1</v>
      </c>
      <c r="Y889">
        <v>1</v>
      </c>
      <c r="Z889">
        <v>1</v>
      </c>
      <c r="AA889">
        <v>1</v>
      </c>
      <c r="AB889">
        <v>1</v>
      </c>
      <c r="AC889">
        <v>1</v>
      </c>
    </row>
    <row r="890" spans="1:29" x14ac:dyDescent="0.45">
      <c r="A890" t="s">
        <v>96</v>
      </c>
      <c r="B890" t="s">
        <v>440</v>
      </c>
      <c r="C890" t="s">
        <v>441</v>
      </c>
      <c r="D890" t="s">
        <v>427</v>
      </c>
      <c r="E890" t="str">
        <f t="shared" si="13"/>
        <v>RI|offshore wind|Fall</v>
      </c>
      <c r="F890">
        <v>1</v>
      </c>
      <c r="G890">
        <v>1</v>
      </c>
      <c r="H890">
        <v>1</v>
      </c>
      <c r="I890">
        <v>1</v>
      </c>
      <c r="J890">
        <v>1</v>
      </c>
      <c r="K890">
        <v>1</v>
      </c>
      <c r="L890">
        <v>1</v>
      </c>
      <c r="M890">
        <v>1</v>
      </c>
      <c r="N890">
        <v>1</v>
      </c>
      <c r="O890">
        <v>1</v>
      </c>
      <c r="P890">
        <v>1</v>
      </c>
      <c r="Q890">
        <v>1</v>
      </c>
      <c r="R890">
        <v>1</v>
      </c>
      <c r="S890">
        <v>1</v>
      </c>
      <c r="T890">
        <v>1</v>
      </c>
      <c r="U890">
        <v>1</v>
      </c>
      <c r="V890">
        <v>1</v>
      </c>
      <c r="W890">
        <v>1</v>
      </c>
      <c r="X890">
        <v>1</v>
      </c>
      <c r="Y890">
        <v>1</v>
      </c>
      <c r="Z890">
        <v>1</v>
      </c>
      <c r="AA890">
        <v>1</v>
      </c>
      <c r="AB890">
        <v>1</v>
      </c>
      <c r="AC890">
        <v>1</v>
      </c>
    </row>
    <row r="891" spans="1:29" x14ac:dyDescent="0.45">
      <c r="A891" t="s">
        <v>96</v>
      </c>
      <c r="B891" t="s">
        <v>440</v>
      </c>
      <c r="C891" t="s">
        <v>441</v>
      </c>
      <c r="D891" t="s">
        <v>428</v>
      </c>
      <c r="E891" t="str">
        <f t="shared" si="13"/>
        <v>RI|offshore wind|Summer Peak</v>
      </c>
      <c r="F891">
        <v>0.27239999999999998</v>
      </c>
      <c r="G891">
        <v>0.26519999999999999</v>
      </c>
      <c r="H891">
        <v>0.1925</v>
      </c>
      <c r="I891">
        <v>0.2137</v>
      </c>
      <c r="J891">
        <v>0.1171</v>
      </c>
      <c r="K891">
        <v>0.158</v>
      </c>
      <c r="L891">
        <v>0.1457</v>
      </c>
      <c r="M891">
        <v>0.1163</v>
      </c>
      <c r="N891">
        <v>0.15959999999999999</v>
      </c>
      <c r="O891">
        <v>0.34339999999999998</v>
      </c>
      <c r="P891">
        <v>0.32840000000000003</v>
      </c>
      <c r="Q891">
        <v>0.62029999999999996</v>
      </c>
      <c r="R891">
        <v>0.51190000000000002</v>
      </c>
      <c r="S891">
        <v>0.50770000000000004</v>
      </c>
      <c r="T891">
        <v>0.52790000000000004</v>
      </c>
      <c r="U891">
        <v>0.58679999999999999</v>
      </c>
      <c r="V891">
        <v>0.57969999999999999</v>
      </c>
      <c r="W891">
        <v>0.57620000000000005</v>
      </c>
      <c r="X891">
        <v>0.54800000000000004</v>
      </c>
      <c r="Y891">
        <v>0.49270000000000003</v>
      </c>
      <c r="Z891">
        <v>0.51400000000000001</v>
      </c>
      <c r="AA891">
        <v>0.38740000000000002</v>
      </c>
      <c r="AB891">
        <v>0.31469999999999998</v>
      </c>
      <c r="AC891">
        <v>0.25190000000000001</v>
      </c>
    </row>
    <row r="892" spans="1:29" x14ac:dyDescent="0.45">
      <c r="A892" t="s">
        <v>96</v>
      </c>
      <c r="B892" t="s">
        <v>440</v>
      </c>
      <c r="C892" t="s">
        <v>441</v>
      </c>
      <c r="D892" t="s">
        <v>429</v>
      </c>
      <c r="E892" t="str">
        <f t="shared" si="13"/>
        <v>RI|offshore wind|Winter Peak</v>
      </c>
      <c r="F892">
        <v>0.78959999999999997</v>
      </c>
      <c r="G892">
        <v>0.70120000000000005</v>
      </c>
      <c r="H892">
        <v>0.6008</v>
      </c>
      <c r="I892">
        <v>0.36820000000000003</v>
      </c>
      <c r="J892">
        <v>0.33539999999999998</v>
      </c>
      <c r="K892">
        <v>0.247</v>
      </c>
      <c r="L892">
        <v>0.15229999999999999</v>
      </c>
      <c r="M892">
        <v>0.21210000000000001</v>
      </c>
      <c r="N892">
        <v>0.2535</v>
      </c>
      <c r="O892">
        <v>0.17929999999999999</v>
      </c>
      <c r="P892">
        <v>9.6299999999999997E-2</v>
      </c>
      <c r="Q892">
        <v>2.5999999999999999E-3</v>
      </c>
      <c r="R892">
        <v>0.432</v>
      </c>
      <c r="S892">
        <v>0.10730000000000001</v>
      </c>
      <c r="T892">
        <v>0.35849999999999999</v>
      </c>
      <c r="U892">
        <v>0.31619999999999998</v>
      </c>
      <c r="V892">
        <v>0.34799999999999998</v>
      </c>
      <c r="W892">
        <v>0.34370000000000001</v>
      </c>
      <c r="X892">
        <v>0.41520000000000001</v>
      </c>
      <c r="Y892">
        <v>0.35020000000000001</v>
      </c>
      <c r="Z892">
        <v>0.21940000000000001</v>
      </c>
      <c r="AA892">
        <v>0.2944</v>
      </c>
      <c r="AB892">
        <v>0.29920000000000002</v>
      </c>
      <c r="AC892">
        <v>0.3453</v>
      </c>
    </row>
    <row r="893" spans="1:29" x14ac:dyDescent="0.45">
      <c r="A893" t="s">
        <v>98</v>
      </c>
      <c r="B893" t="s">
        <v>434</v>
      </c>
      <c r="C893" t="s">
        <v>435</v>
      </c>
      <c r="D893" t="s">
        <v>424</v>
      </c>
      <c r="E893" t="str">
        <f t="shared" si="13"/>
        <v>SC|onshore wind|Winter</v>
      </c>
      <c r="F893">
        <v>1</v>
      </c>
      <c r="G893">
        <v>1</v>
      </c>
      <c r="H893">
        <v>1</v>
      </c>
      <c r="I893">
        <v>1</v>
      </c>
      <c r="J893">
        <v>1</v>
      </c>
      <c r="K893">
        <v>1</v>
      </c>
      <c r="L893">
        <v>1</v>
      </c>
      <c r="M893">
        <v>1</v>
      </c>
      <c r="N893">
        <v>1</v>
      </c>
      <c r="O893">
        <v>1</v>
      </c>
      <c r="P893">
        <v>1</v>
      </c>
      <c r="Q893">
        <v>1</v>
      </c>
      <c r="R893">
        <v>1</v>
      </c>
      <c r="S893">
        <v>1</v>
      </c>
      <c r="T893">
        <v>1</v>
      </c>
      <c r="U893">
        <v>1</v>
      </c>
      <c r="V893">
        <v>1</v>
      </c>
      <c r="W893">
        <v>1</v>
      </c>
      <c r="X893">
        <v>1</v>
      </c>
      <c r="Y893">
        <v>1</v>
      </c>
      <c r="Z893">
        <v>1</v>
      </c>
      <c r="AA893">
        <v>1</v>
      </c>
      <c r="AB893">
        <v>1</v>
      </c>
      <c r="AC893">
        <v>1</v>
      </c>
    </row>
    <row r="894" spans="1:29" x14ac:dyDescent="0.45">
      <c r="A894" t="s">
        <v>98</v>
      </c>
      <c r="B894" t="s">
        <v>434</v>
      </c>
      <c r="C894" t="s">
        <v>435</v>
      </c>
      <c r="D894" t="s">
        <v>425</v>
      </c>
      <c r="E894" t="str">
        <f t="shared" si="13"/>
        <v>SC|onshore wind|Spring</v>
      </c>
      <c r="F894">
        <v>1</v>
      </c>
      <c r="G894">
        <v>1</v>
      </c>
      <c r="H894">
        <v>1</v>
      </c>
      <c r="I894">
        <v>1</v>
      </c>
      <c r="J894">
        <v>1</v>
      </c>
      <c r="K894">
        <v>1</v>
      </c>
      <c r="L894">
        <v>1</v>
      </c>
      <c r="M894">
        <v>1</v>
      </c>
      <c r="N894">
        <v>1</v>
      </c>
      <c r="O894">
        <v>1</v>
      </c>
      <c r="P894">
        <v>1</v>
      </c>
      <c r="Q894">
        <v>1</v>
      </c>
      <c r="R894">
        <v>1</v>
      </c>
      <c r="S894">
        <v>1</v>
      </c>
      <c r="T894">
        <v>1</v>
      </c>
      <c r="U894">
        <v>1</v>
      </c>
      <c r="V894">
        <v>1</v>
      </c>
      <c r="W894">
        <v>1</v>
      </c>
      <c r="X894">
        <v>1</v>
      </c>
      <c r="Y894">
        <v>1</v>
      </c>
      <c r="Z894">
        <v>1</v>
      </c>
      <c r="AA894">
        <v>1</v>
      </c>
      <c r="AB894">
        <v>1</v>
      </c>
      <c r="AC894">
        <v>1</v>
      </c>
    </row>
    <row r="895" spans="1:29" x14ac:dyDescent="0.45">
      <c r="A895" t="s">
        <v>98</v>
      </c>
      <c r="B895" t="s">
        <v>434</v>
      </c>
      <c r="C895" t="s">
        <v>435</v>
      </c>
      <c r="D895" t="s">
        <v>426</v>
      </c>
      <c r="E895" t="str">
        <f t="shared" si="13"/>
        <v>SC|onshore wind|Summer</v>
      </c>
      <c r="F895">
        <v>1</v>
      </c>
      <c r="G895">
        <v>1</v>
      </c>
      <c r="H895">
        <v>1</v>
      </c>
      <c r="I895">
        <v>1</v>
      </c>
      <c r="J895">
        <v>1</v>
      </c>
      <c r="K895">
        <v>1</v>
      </c>
      <c r="L895">
        <v>1</v>
      </c>
      <c r="M895">
        <v>1</v>
      </c>
      <c r="N895">
        <v>1</v>
      </c>
      <c r="O895">
        <v>1</v>
      </c>
      <c r="P895">
        <v>1</v>
      </c>
      <c r="Q895">
        <v>1</v>
      </c>
      <c r="R895">
        <v>1</v>
      </c>
      <c r="S895">
        <v>1</v>
      </c>
      <c r="T895">
        <v>1</v>
      </c>
      <c r="U895">
        <v>1</v>
      </c>
      <c r="V895">
        <v>1</v>
      </c>
      <c r="W895">
        <v>1</v>
      </c>
      <c r="X895">
        <v>1</v>
      </c>
      <c r="Y895">
        <v>1</v>
      </c>
      <c r="Z895">
        <v>1</v>
      </c>
      <c r="AA895">
        <v>1</v>
      </c>
      <c r="AB895">
        <v>1</v>
      </c>
      <c r="AC895">
        <v>1</v>
      </c>
    </row>
    <row r="896" spans="1:29" x14ac:dyDescent="0.45">
      <c r="A896" t="s">
        <v>98</v>
      </c>
      <c r="B896" t="s">
        <v>434</v>
      </c>
      <c r="C896" t="s">
        <v>435</v>
      </c>
      <c r="D896" t="s">
        <v>427</v>
      </c>
      <c r="E896" t="str">
        <f t="shared" si="13"/>
        <v>SC|onshore wind|Fall</v>
      </c>
      <c r="F896">
        <v>1</v>
      </c>
      <c r="G896">
        <v>1</v>
      </c>
      <c r="H896">
        <v>1</v>
      </c>
      <c r="I896">
        <v>1</v>
      </c>
      <c r="J896">
        <v>1</v>
      </c>
      <c r="K896">
        <v>1</v>
      </c>
      <c r="L896">
        <v>1</v>
      </c>
      <c r="M896">
        <v>1</v>
      </c>
      <c r="N896">
        <v>1</v>
      </c>
      <c r="O896">
        <v>1</v>
      </c>
      <c r="P896">
        <v>1</v>
      </c>
      <c r="Q896">
        <v>1</v>
      </c>
      <c r="R896">
        <v>1</v>
      </c>
      <c r="S896">
        <v>1</v>
      </c>
      <c r="T896">
        <v>1</v>
      </c>
      <c r="U896">
        <v>1</v>
      </c>
      <c r="V896">
        <v>1</v>
      </c>
      <c r="W896">
        <v>1</v>
      </c>
      <c r="X896">
        <v>1</v>
      </c>
      <c r="Y896">
        <v>1</v>
      </c>
      <c r="Z896">
        <v>1</v>
      </c>
      <c r="AA896">
        <v>1</v>
      </c>
      <c r="AB896">
        <v>1</v>
      </c>
      <c r="AC896">
        <v>1</v>
      </c>
    </row>
    <row r="897" spans="1:29" x14ac:dyDescent="0.45">
      <c r="A897" t="s">
        <v>98</v>
      </c>
      <c r="B897" t="s">
        <v>434</v>
      </c>
      <c r="C897" t="s">
        <v>435</v>
      </c>
      <c r="D897" t="s">
        <v>428</v>
      </c>
      <c r="E897" t="str">
        <f t="shared" si="13"/>
        <v>SC|onshore wind|Summer Peak</v>
      </c>
      <c r="F897">
        <v>0.56869999999999998</v>
      </c>
      <c r="G897">
        <v>0.6452</v>
      </c>
      <c r="H897">
        <v>0.63829999999999998</v>
      </c>
      <c r="I897">
        <v>0.57909999999999995</v>
      </c>
      <c r="J897">
        <v>0.47470000000000001</v>
      </c>
      <c r="K897">
        <v>0.60919999999999996</v>
      </c>
      <c r="L897">
        <v>0.50070000000000003</v>
      </c>
      <c r="M897">
        <v>0.27989999999999998</v>
      </c>
      <c r="N897">
        <v>0.25879999999999997</v>
      </c>
      <c r="O897">
        <v>0.29849999999999999</v>
      </c>
      <c r="P897">
        <v>0.3473</v>
      </c>
      <c r="Q897">
        <v>0.44740000000000002</v>
      </c>
      <c r="R897">
        <v>0.4168</v>
      </c>
      <c r="S897">
        <v>0.41639999999999999</v>
      </c>
      <c r="T897">
        <v>0.59570000000000001</v>
      </c>
      <c r="U897">
        <v>0.55730000000000002</v>
      </c>
      <c r="V897">
        <v>0.62360000000000004</v>
      </c>
      <c r="W897">
        <v>0.52590000000000003</v>
      </c>
      <c r="X897">
        <v>0.54830000000000001</v>
      </c>
      <c r="Y897">
        <v>0.48309999999999997</v>
      </c>
      <c r="Z897">
        <v>0.69059999999999999</v>
      </c>
      <c r="AA897">
        <v>0.48930000000000001</v>
      </c>
      <c r="AB897">
        <v>0.43359999999999999</v>
      </c>
      <c r="AC897">
        <v>0.37319999999999998</v>
      </c>
    </row>
    <row r="898" spans="1:29" x14ac:dyDescent="0.45">
      <c r="A898" t="s">
        <v>98</v>
      </c>
      <c r="B898" t="s">
        <v>434</v>
      </c>
      <c r="C898" t="s">
        <v>435</v>
      </c>
      <c r="D898" t="s">
        <v>429</v>
      </c>
      <c r="E898" t="str">
        <f t="shared" si="13"/>
        <v>SC|onshore wind|Winter Peak</v>
      </c>
      <c r="F898">
        <v>0.57889999999999997</v>
      </c>
      <c r="G898">
        <v>0.56140000000000001</v>
      </c>
      <c r="H898">
        <v>0.50870000000000004</v>
      </c>
      <c r="I898">
        <v>0.54710000000000003</v>
      </c>
      <c r="J898">
        <v>0.59530000000000005</v>
      </c>
      <c r="K898">
        <v>0.54430000000000001</v>
      </c>
      <c r="L898">
        <v>0.65010000000000001</v>
      </c>
      <c r="M898">
        <v>0.67559999999999998</v>
      </c>
      <c r="N898">
        <v>0.43480000000000002</v>
      </c>
      <c r="O898">
        <v>0.34399999999999997</v>
      </c>
      <c r="P898">
        <v>0.30740000000000001</v>
      </c>
      <c r="Q898">
        <v>0.30969999999999998</v>
      </c>
      <c r="R898">
        <v>0.32129999999999997</v>
      </c>
      <c r="S898">
        <v>0.32340000000000002</v>
      </c>
      <c r="T898">
        <v>0.26719999999999999</v>
      </c>
      <c r="U898">
        <v>0.31950000000000001</v>
      </c>
      <c r="V898">
        <v>0.44379999999999997</v>
      </c>
      <c r="W898">
        <v>0.50609999999999999</v>
      </c>
      <c r="X898">
        <v>0.60060000000000002</v>
      </c>
      <c r="Y898">
        <v>0.61550000000000005</v>
      </c>
      <c r="Z898">
        <v>0.58550000000000002</v>
      </c>
      <c r="AA898">
        <v>0.67</v>
      </c>
      <c r="AB898">
        <v>0.64370000000000005</v>
      </c>
      <c r="AC898">
        <v>0.55779999999999996</v>
      </c>
    </row>
    <row r="899" spans="1:29" x14ac:dyDescent="0.45">
      <c r="A899" t="s">
        <v>98</v>
      </c>
      <c r="B899" t="s">
        <v>436</v>
      </c>
      <c r="C899" t="s">
        <v>437</v>
      </c>
      <c r="D899" t="s">
        <v>424</v>
      </c>
      <c r="E899" t="str">
        <f t="shared" si="13"/>
        <v>SC|solar pv|Winter</v>
      </c>
      <c r="F899">
        <v>1</v>
      </c>
      <c r="G899">
        <v>1</v>
      </c>
      <c r="H899">
        <v>1</v>
      </c>
      <c r="I899">
        <v>1</v>
      </c>
      <c r="J899">
        <v>1</v>
      </c>
      <c r="K899">
        <v>1</v>
      </c>
      <c r="L899">
        <v>1</v>
      </c>
      <c r="M899">
        <v>1</v>
      </c>
      <c r="N899">
        <v>1</v>
      </c>
      <c r="O899">
        <v>1</v>
      </c>
      <c r="P899">
        <v>1</v>
      </c>
      <c r="Q899">
        <v>1</v>
      </c>
      <c r="R899">
        <v>1</v>
      </c>
      <c r="S899">
        <v>1</v>
      </c>
      <c r="T899">
        <v>1</v>
      </c>
      <c r="U899">
        <v>1</v>
      </c>
      <c r="V899">
        <v>1</v>
      </c>
      <c r="W899">
        <v>1</v>
      </c>
      <c r="X899">
        <v>1</v>
      </c>
      <c r="Y899">
        <v>1</v>
      </c>
      <c r="Z899">
        <v>1</v>
      </c>
      <c r="AA899">
        <v>1</v>
      </c>
      <c r="AB899">
        <v>1</v>
      </c>
      <c r="AC899">
        <v>1</v>
      </c>
    </row>
    <row r="900" spans="1:29" x14ac:dyDescent="0.45">
      <c r="A900" t="s">
        <v>98</v>
      </c>
      <c r="B900" t="s">
        <v>436</v>
      </c>
      <c r="C900" t="s">
        <v>437</v>
      </c>
      <c r="D900" t="s">
        <v>425</v>
      </c>
      <c r="E900" t="str">
        <f t="shared" si="13"/>
        <v>SC|solar pv|Spring</v>
      </c>
      <c r="F900">
        <v>1</v>
      </c>
      <c r="G900">
        <v>1</v>
      </c>
      <c r="H900">
        <v>1</v>
      </c>
      <c r="I900">
        <v>1</v>
      </c>
      <c r="J900">
        <v>1</v>
      </c>
      <c r="K900">
        <v>1</v>
      </c>
      <c r="L900">
        <v>1</v>
      </c>
      <c r="M900">
        <v>1</v>
      </c>
      <c r="N900">
        <v>1</v>
      </c>
      <c r="O900">
        <v>1</v>
      </c>
      <c r="P900">
        <v>1</v>
      </c>
      <c r="Q900">
        <v>1</v>
      </c>
      <c r="R900">
        <v>1</v>
      </c>
      <c r="S900">
        <v>1</v>
      </c>
      <c r="T900">
        <v>1</v>
      </c>
      <c r="U900">
        <v>1</v>
      </c>
      <c r="V900">
        <v>1</v>
      </c>
      <c r="W900">
        <v>1</v>
      </c>
      <c r="X900">
        <v>1</v>
      </c>
      <c r="Y900">
        <v>1</v>
      </c>
      <c r="Z900">
        <v>1</v>
      </c>
      <c r="AA900">
        <v>1</v>
      </c>
      <c r="AB900">
        <v>1</v>
      </c>
      <c r="AC900">
        <v>1</v>
      </c>
    </row>
    <row r="901" spans="1:29" x14ac:dyDescent="0.45">
      <c r="A901" t="s">
        <v>98</v>
      </c>
      <c r="B901" t="s">
        <v>436</v>
      </c>
      <c r="C901" t="s">
        <v>437</v>
      </c>
      <c r="D901" t="s">
        <v>426</v>
      </c>
      <c r="E901" t="str">
        <f t="shared" ref="E901:E964" si="14">A901&amp;"|"&amp;C901&amp;"|"&amp;D901</f>
        <v>SC|solar pv|Summer</v>
      </c>
      <c r="F901">
        <v>1</v>
      </c>
      <c r="G901">
        <v>1</v>
      </c>
      <c r="H901">
        <v>1</v>
      </c>
      <c r="I901">
        <v>1</v>
      </c>
      <c r="J901">
        <v>1</v>
      </c>
      <c r="K901">
        <v>1</v>
      </c>
      <c r="L901">
        <v>1</v>
      </c>
      <c r="M901">
        <v>1</v>
      </c>
      <c r="N901">
        <v>1</v>
      </c>
      <c r="O901">
        <v>1</v>
      </c>
      <c r="P901">
        <v>1</v>
      </c>
      <c r="Q901">
        <v>1</v>
      </c>
      <c r="R901">
        <v>1</v>
      </c>
      <c r="S901">
        <v>1</v>
      </c>
      <c r="T901">
        <v>1</v>
      </c>
      <c r="U901">
        <v>1</v>
      </c>
      <c r="V901">
        <v>1</v>
      </c>
      <c r="W901">
        <v>1</v>
      </c>
      <c r="X901">
        <v>1</v>
      </c>
      <c r="Y901">
        <v>1</v>
      </c>
      <c r="Z901">
        <v>1</v>
      </c>
      <c r="AA901">
        <v>1</v>
      </c>
      <c r="AB901">
        <v>1</v>
      </c>
      <c r="AC901">
        <v>1</v>
      </c>
    </row>
    <row r="902" spans="1:29" x14ac:dyDescent="0.45">
      <c r="A902" t="s">
        <v>98</v>
      </c>
      <c r="B902" t="s">
        <v>436</v>
      </c>
      <c r="C902" t="s">
        <v>437</v>
      </c>
      <c r="D902" t="s">
        <v>427</v>
      </c>
      <c r="E902" t="str">
        <f t="shared" si="14"/>
        <v>SC|solar pv|Fall</v>
      </c>
      <c r="F902">
        <v>1</v>
      </c>
      <c r="G902">
        <v>1</v>
      </c>
      <c r="H902">
        <v>1</v>
      </c>
      <c r="I902">
        <v>1</v>
      </c>
      <c r="J902">
        <v>1</v>
      </c>
      <c r="K902">
        <v>1</v>
      </c>
      <c r="L902">
        <v>1</v>
      </c>
      <c r="M902">
        <v>1</v>
      </c>
      <c r="N902">
        <v>1</v>
      </c>
      <c r="O902">
        <v>1</v>
      </c>
      <c r="P902">
        <v>1</v>
      </c>
      <c r="Q902">
        <v>1</v>
      </c>
      <c r="R902">
        <v>1</v>
      </c>
      <c r="S902">
        <v>1</v>
      </c>
      <c r="T902">
        <v>1</v>
      </c>
      <c r="U902">
        <v>1</v>
      </c>
      <c r="V902">
        <v>1</v>
      </c>
      <c r="W902">
        <v>1</v>
      </c>
      <c r="X902">
        <v>1</v>
      </c>
      <c r="Y902">
        <v>1</v>
      </c>
      <c r="Z902">
        <v>1</v>
      </c>
      <c r="AA902">
        <v>1</v>
      </c>
      <c r="AB902">
        <v>1</v>
      </c>
      <c r="AC902">
        <v>1</v>
      </c>
    </row>
    <row r="903" spans="1:29" x14ac:dyDescent="0.45">
      <c r="A903" t="s">
        <v>98</v>
      </c>
      <c r="B903" t="s">
        <v>436</v>
      </c>
      <c r="C903" t="s">
        <v>437</v>
      </c>
      <c r="D903" t="s">
        <v>428</v>
      </c>
      <c r="E903" t="str">
        <f t="shared" si="14"/>
        <v>SC|solar pv|Summer Peak</v>
      </c>
      <c r="F903">
        <v>1</v>
      </c>
      <c r="G903">
        <v>1</v>
      </c>
      <c r="H903">
        <v>1</v>
      </c>
      <c r="I903">
        <v>1</v>
      </c>
      <c r="J903">
        <v>1</v>
      </c>
      <c r="K903">
        <v>0.26279999999999998</v>
      </c>
      <c r="L903">
        <v>0.92379999999999995</v>
      </c>
      <c r="M903">
        <v>0.90849999999999997</v>
      </c>
      <c r="N903">
        <v>0.92420000000000002</v>
      </c>
      <c r="O903">
        <v>0.93369999999999997</v>
      </c>
      <c r="P903">
        <v>0.89770000000000005</v>
      </c>
      <c r="Q903">
        <v>0.98419999999999996</v>
      </c>
      <c r="R903">
        <v>0.93530000000000002</v>
      </c>
      <c r="S903">
        <v>0.89029999999999998</v>
      </c>
      <c r="T903">
        <v>0.82989999999999997</v>
      </c>
      <c r="U903">
        <v>0.75639999999999996</v>
      </c>
      <c r="V903">
        <v>0.68189999999999995</v>
      </c>
      <c r="W903">
        <v>0.50729999999999997</v>
      </c>
      <c r="X903">
        <v>6.5500000000000003E-2</v>
      </c>
      <c r="Y903">
        <v>1</v>
      </c>
      <c r="Z903">
        <v>1</v>
      </c>
      <c r="AA903">
        <v>1</v>
      </c>
      <c r="AB903">
        <v>1</v>
      </c>
      <c r="AC903">
        <v>1</v>
      </c>
    </row>
    <row r="904" spans="1:29" x14ac:dyDescent="0.45">
      <c r="A904" t="s">
        <v>98</v>
      </c>
      <c r="B904" t="s">
        <v>436</v>
      </c>
      <c r="C904" t="s">
        <v>437</v>
      </c>
      <c r="D904" t="s">
        <v>429</v>
      </c>
      <c r="E904" t="str">
        <f t="shared" si="14"/>
        <v>SC|solar pv|Winter Peak</v>
      </c>
      <c r="F904">
        <v>1</v>
      </c>
      <c r="G904">
        <v>1</v>
      </c>
      <c r="H904">
        <v>1</v>
      </c>
      <c r="I904">
        <v>1</v>
      </c>
      <c r="J904">
        <v>1</v>
      </c>
      <c r="K904">
        <v>1</v>
      </c>
      <c r="L904">
        <v>1</v>
      </c>
      <c r="M904">
        <v>0.7601</v>
      </c>
      <c r="N904">
        <v>0.71840000000000004</v>
      </c>
      <c r="O904">
        <v>0.70950000000000002</v>
      </c>
      <c r="P904">
        <v>0.79800000000000004</v>
      </c>
      <c r="Q904">
        <v>0.81569999999999998</v>
      </c>
      <c r="R904">
        <v>0.77400000000000002</v>
      </c>
      <c r="S904">
        <v>0.74450000000000005</v>
      </c>
      <c r="T904">
        <v>0.70399999999999996</v>
      </c>
      <c r="U904">
        <v>0.67079999999999995</v>
      </c>
      <c r="V904">
        <v>0.1585</v>
      </c>
      <c r="W904">
        <v>1</v>
      </c>
      <c r="X904">
        <v>1</v>
      </c>
      <c r="Y904">
        <v>1</v>
      </c>
      <c r="Z904">
        <v>1</v>
      </c>
      <c r="AA904">
        <v>1</v>
      </c>
      <c r="AB904">
        <v>1</v>
      </c>
      <c r="AC904">
        <v>1</v>
      </c>
    </row>
    <row r="905" spans="1:29" x14ac:dyDescent="0.45">
      <c r="A905" t="s">
        <v>98</v>
      </c>
      <c r="B905" t="s">
        <v>438</v>
      </c>
      <c r="C905" t="s">
        <v>439</v>
      </c>
      <c r="D905" t="s">
        <v>424</v>
      </c>
      <c r="E905" t="str">
        <f t="shared" si="14"/>
        <v>SC|solar thermal|Winter</v>
      </c>
      <c r="F905">
        <v>1</v>
      </c>
      <c r="G905">
        <v>1</v>
      </c>
      <c r="H905">
        <v>1</v>
      </c>
      <c r="I905">
        <v>1</v>
      </c>
      <c r="J905">
        <v>1</v>
      </c>
      <c r="K905">
        <v>1</v>
      </c>
      <c r="L905">
        <v>1</v>
      </c>
      <c r="M905">
        <v>1</v>
      </c>
      <c r="N905">
        <v>1</v>
      </c>
      <c r="O905">
        <v>1</v>
      </c>
      <c r="P905">
        <v>1</v>
      </c>
      <c r="Q905">
        <v>1</v>
      </c>
      <c r="R905">
        <v>1</v>
      </c>
      <c r="S905">
        <v>1</v>
      </c>
      <c r="T905">
        <v>1</v>
      </c>
      <c r="U905">
        <v>1</v>
      </c>
      <c r="V905">
        <v>1</v>
      </c>
      <c r="W905">
        <v>1</v>
      </c>
      <c r="X905">
        <v>1</v>
      </c>
      <c r="Y905">
        <v>1</v>
      </c>
      <c r="Z905">
        <v>1</v>
      </c>
      <c r="AA905">
        <v>1</v>
      </c>
      <c r="AB905">
        <v>1</v>
      </c>
      <c r="AC905">
        <v>1</v>
      </c>
    </row>
    <row r="906" spans="1:29" x14ac:dyDescent="0.45">
      <c r="A906" t="s">
        <v>98</v>
      </c>
      <c r="B906" t="s">
        <v>438</v>
      </c>
      <c r="C906" t="s">
        <v>439</v>
      </c>
      <c r="D906" t="s">
        <v>425</v>
      </c>
      <c r="E906" t="str">
        <f t="shared" si="14"/>
        <v>SC|solar thermal|Spring</v>
      </c>
      <c r="F906">
        <v>1</v>
      </c>
      <c r="G906">
        <v>1</v>
      </c>
      <c r="H906">
        <v>1</v>
      </c>
      <c r="I906">
        <v>1</v>
      </c>
      <c r="J906">
        <v>1</v>
      </c>
      <c r="K906">
        <v>1</v>
      </c>
      <c r="L906">
        <v>1</v>
      </c>
      <c r="M906">
        <v>1</v>
      </c>
      <c r="N906">
        <v>1</v>
      </c>
      <c r="O906">
        <v>1</v>
      </c>
      <c r="P906">
        <v>1</v>
      </c>
      <c r="Q906">
        <v>1</v>
      </c>
      <c r="R906">
        <v>1</v>
      </c>
      <c r="S906">
        <v>1</v>
      </c>
      <c r="T906">
        <v>1</v>
      </c>
      <c r="U906">
        <v>1</v>
      </c>
      <c r="V906">
        <v>1</v>
      </c>
      <c r="W906">
        <v>1</v>
      </c>
      <c r="X906">
        <v>1</v>
      </c>
      <c r="Y906">
        <v>1</v>
      </c>
      <c r="Z906">
        <v>1</v>
      </c>
      <c r="AA906">
        <v>1</v>
      </c>
      <c r="AB906">
        <v>1</v>
      </c>
      <c r="AC906">
        <v>1</v>
      </c>
    </row>
    <row r="907" spans="1:29" x14ac:dyDescent="0.45">
      <c r="A907" t="s">
        <v>98</v>
      </c>
      <c r="B907" t="s">
        <v>438</v>
      </c>
      <c r="C907" t="s">
        <v>439</v>
      </c>
      <c r="D907" t="s">
        <v>426</v>
      </c>
      <c r="E907" t="str">
        <f t="shared" si="14"/>
        <v>SC|solar thermal|Summer</v>
      </c>
      <c r="F907">
        <v>1</v>
      </c>
      <c r="G907">
        <v>1</v>
      </c>
      <c r="H907">
        <v>1</v>
      </c>
      <c r="I907">
        <v>1</v>
      </c>
      <c r="J907">
        <v>1</v>
      </c>
      <c r="K907">
        <v>1</v>
      </c>
      <c r="L907">
        <v>1</v>
      </c>
      <c r="M907">
        <v>1</v>
      </c>
      <c r="N907">
        <v>1</v>
      </c>
      <c r="O907">
        <v>1</v>
      </c>
      <c r="P907">
        <v>1</v>
      </c>
      <c r="Q907">
        <v>1</v>
      </c>
      <c r="R907">
        <v>1</v>
      </c>
      <c r="S907">
        <v>1</v>
      </c>
      <c r="T907">
        <v>1</v>
      </c>
      <c r="U907">
        <v>1</v>
      </c>
      <c r="V907">
        <v>1</v>
      </c>
      <c r="W907">
        <v>1</v>
      </c>
      <c r="X907">
        <v>1</v>
      </c>
      <c r="Y907">
        <v>1</v>
      </c>
      <c r="Z907">
        <v>1</v>
      </c>
      <c r="AA907">
        <v>1</v>
      </c>
      <c r="AB907">
        <v>1</v>
      </c>
      <c r="AC907">
        <v>1</v>
      </c>
    </row>
    <row r="908" spans="1:29" x14ac:dyDescent="0.45">
      <c r="A908" t="s">
        <v>98</v>
      </c>
      <c r="B908" t="s">
        <v>438</v>
      </c>
      <c r="C908" t="s">
        <v>439</v>
      </c>
      <c r="D908" t="s">
        <v>427</v>
      </c>
      <c r="E908" t="str">
        <f t="shared" si="14"/>
        <v>SC|solar thermal|Fall</v>
      </c>
      <c r="F908">
        <v>1</v>
      </c>
      <c r="G908">
        <v>1</v>
      </c>
      <c r="H908">
        <v>1</v>
      </c>
      <c r="I908">
        <v>1</v>
      </c>
      <c r="J908">
        <v>1</v>
      </c>
      <c r="K908">
        <v>1</v>
      </c>
      <c r="L908">
        <v>1</v>
      </c>
      <c r="M908">
        <v>1</v>
      </c>
      <c r="N908">
        <v>1</v>
      </c>
      <c r="O908">
        <v>1</v>
      </c>
      <c r="P908">
        <v>1</v>
      </c>
      <c r="Q908">
        <v>1</v>
      </c>
      <c r="R908">
        <v>1</v>
      </c>
      <c r="S908">
        <v>1</v>
      </c>
      <c r="T908">
        <v>1</v>
      </c>
      <c r="U908">
        <v>1</v>
      </c>
      <c r="V908">
        <v>1</v>
      </c>
      <c r="W908">
        <v>1</v>
      </c>
      <c r="X908">
        <v>1</v>
      </c>
      <c r="Y908">
        <v>1</v>
      </c>
      <c r="Z908">
        <v>1</v>
      </c>
      <c r="AA908">
        <v>1</v>
      </c>
      <c r="AB908">
        <v>1</v>
      </c>
      <c r="AC908">
        <v>1</v>
      </c>
    </row>
    <row r="909" spans="1:29" x14ac:dyDescent="0.45">
      <c r="A909" t="s">
        <v>98</v>
      </c>
      <c r="B909" t="s">
        <v>438</v>
      </c>
      <c r="C909" t="s">
        <v>439</v>
      </c>
      <c r="D909" t="s">
        <v>428</v>
      </c>
      <c r="E909" t="str">
        <f t="shared" si="14"/>
        <v>SC|solar thermal|Summer Peak</v>
      </c>
      <c r="F909">
        <v>1</v>
      </c>
      <c r="G909">
        <v>1</v>
      </c>
      <c r="H909">
        <v>1</v>
      </c>
      <c r="I909">
        <v>1</v>
      </c>
      <c r="J909">
        <v>1</v>
      </c>
      <c r="K909">
        <v>1</v>
      </c>
      <c r="L909">
        <v>1</v>
      </c>
      <c r="M909">
        <v>0</v>
      </c>
      <c r="N909">
        <v>0.8639</v>
      </c>
      <c r="O909">
        <v>1</v>
      </c>
      <c r="P909">
        <v>1</v>
      </c>
      <c r="Q909">
        <v>0.97160000000000002</v>
      </c>
      <c r="R909">
        <v>0.96719999999999995</v>
      </c>
      <c r="S909">
        <v>1</v>
      </c>
      <c r="T909">
        <v>1</v>
      </c>
      <c r="U909">
        <v>1</v>
      </c>
      <c r="V909">
        <v>1</v>
      </c>
      <c r="W909">
        <v>1</v>
      </c>
      <c r="X909">
        <v>1</v>
      </c>
      <c r="Y909">
        <v>0.93130000000000002</v>
      </c>
      <c r="Z909">
        <v>0.70220000000000005</v>
      </c>
      <c r="AA909">
        <v>1</v>
      </c>
      <c r="AB909">
        <v>1</v>
      </c>
      <c r="AC909">
        <v>1</v>
      </c>
    </row>
    <row r="910" spans="1:29" x14ac:dyDescent="0.45">
      <c r="A910" t="s">
        <v>98</v>
      </c>
      <c r="B910" t="s">
        <v>438</v>
      </c>
      <c r="C910" t="s">
        <v>439</v>
      </c>
      <c r="D910" t="s">
        <v>429</v>
      </c>
      <c r="E910" t="str">
        <f t="shared" si="14"/>
        <v>SC|solar thermal|Winter Peak</v>
      </c>
      <c r="F910">
        <v>1</v>
      </c>
      <c r="G910">
        <v>1</v>
      </c>
      <c r="H910">
        <v>1</v>
      </c>
      <c r="I910">
        <v>1</v>
      </c>
      <c r="J910">
        <v>1</v>
      </c>
      <c r="K910">
        <v>1</v>
      </c>
      <c r="L910">
        <v>1</v>
      </c>
      <c r="M910">
        <v>1</v>
      </c>
      <c r="N910">
        <v>1</v>
      </c>
      <c r="O910">
        <v>0.2419</v>
      </c>
      <c r="P910">
        <v>0.95320000000000005</v>
      </c>
      <c r="Q910">
        <v>0.88039999999999996</v>
      </c>
      <c r="R910">
        <v>0.97819999999999996</v>
      </c>
      <c r="S910">
        <v>0.98950000000000005</v>
      </c>
      <c r="T910">
        <v>0.99270000000000003</v>
      </c>
      <c r="U910">
        <v>1</v>
      </c>
      <c r="V910">
        <v>1</v>
      </c>
      <c r="W910">
        <v>1</v>
      </c>
      <c r="X910">
        <v>0.89019999999999999</v>
      </c>
      <c r="Y910">
        <v>0</v>
      </c>
      <c r="Z910">
        <v>1</v>
      </c>
      <c r="AA910">
        <v>1</v>
      </c>
      <c r="AB910">
        <v>1</v>
      </c>
      <c r="AC910">
        <v>1</v>
      </c>
    </row>
    <row r="911" spans="1:29" x14ac:dyDescent="0.45">
      <c r="A911" t="s">
        <v>98</v>
      </c>
      <c r="B911" t="s">
        <v>440</v>
      </c>
      <c r="C911" t="s">
        <v>441</v>
      </c>
      <c r="D911" t="s">
        <v>424</v>
      </c>
      <c r="E911" t="str">
        <f t="shared" si="14"/>
        <v>SC|offshore wind|Winter</v>
      </c>
      <c r="F911">
        <v>1</v>
      </c>
      <c r="G911">
        <v>1</v>
      </c>
      <c r="H911">
        <v>1</v>
      </c>
      <c r="I911">
        <v>1</v>
      </c>
      <c r="J911">
        <v>1</v>
      </c>
      <c r="K911">
        <v>1</v>
      </c>
      <c r="L911">
        <v>1</v>
      </c>
      <c r="M911">
        <v>1</v>
      </c>
      <c r="N911">
        <v>1</v>
      </c>
      <c r="O911">
        <v>1</v>
      </c>
      <c r="P911">
        <v>1</v>
      </c>
      <c r="Q911">
        <v>1</v>
      </c>
      <c r="R911">
        <v>1</v>
      </c>
      <c r="S911">
        <v>1</v>
      </c>
      <c r="T911">
        <v>1</v>
      </c>
      <c r="U911">
        <v>1</v>
      </c>
      <c r="V911">
        <v>1</v>
      </c>
      <c r="W911">
        <v>1</v>
      </c>
      <c r="X911">
        <v>1</v>
      </c>
      <c r="Y911">
        <v>1</v>
      </c>
      <c r="Z911">
        <v>1</v>
      </c>
      <c r="AA911">
        <v>1</v>
      </c>
      <c r="AB911">
        <v>1</v>
      </c>
      <c r="AC911">
        <v>1</v>
      </c>
    </row>
    <row r="912" spans="1:29" x14ac:dyDescent="0.45">
      <c r="A912" t="s">
        <v>98</v>
      </c>
      <c r="B912" t="s">
        <v>440</v>
      </c>
      <c r="C912" t="s">
        <v>441</v>
      </c>
      <c r="D912" t="s">
        <v>425</v>
      </c>
      <c r="E912" t="str">
        <f t="shared" si="14"/>
        <v>SC|offshore wind|Spring</v>
      </c>
      <c r="F912">
        <v>1</v>
      </c>
      <c r="G912">
        <v>1</v>
      </c>
      <c r="H912">
        <v>1</v>
      </c>
      <c r="I912">
        <v>1</v>
      </c>
      <c r="J912">
        <v>1</v>
      </c>
      <c r="K912">
        <v>1</v>
      </c>
      <c r="L912">
        <v>1</v>
      </c>
      <c r="M912">
        <v>1</v>
      </c>
      <c r="N912">
        <v>1</v>
      </c>
      <c r="O912">
        <v>1</v>
      </c>
      <c r="P912">
        <v>1</v>
      </c>
      <c r="Q912">
        <v>1</v>
      </c>
      <c r="R912">
        <v>1</v>
      </c>
      <c r="S912">
        <v>1</v>
      </c>
      <c r="T912">
        <v>1</v>
      </c>
      <c r="U912">
        <v>1</v>
      </c>
      <c r="V912">
        <v>1</v>
      </c>
      <c r="W912">
        <v>1</v>
      </c>
      <c r="X912">
        <v>1</v>
      </c>
      <c r="Y912">
        <v>1</v>
      </c>
      <c r="Z912">
        <v>1</v>
      </c>
      <c r="AA912">
        <v>1</v>
      </c>
      <c r="AB912">
        <v>1</v>
      </c>
      <c r="AC912">
        <v>1</v>
      </c>
    </row>
    <row r="913" spans="1:29" x14ac:dyDescent="0.45">
      <c r="A913" t="s">
        <v>98</v>
      </c>
      <c r="B913" t="s">
        <v>440</v>
      </c>
      <c r="C913" t="s">
        <v>441</v>
      </c>
      <c r="D913" t="s">
        <v>426</v>
      </c>
      <c r="E913" t="str">
        <f t="shared" si="14"/>
        <v>SC|offshore wind|Summer</v>
      </c>
      <c r="F913">
        <v>1</v>
      </c>
      <c r="G913">
        <v>1</v>
      </c>
      <c r="H913">
        <v>1</v>
      </c>
      <c r="I913">
        <v>1</v>
      </c>
      <c r="J913">
        <v>1</v>
      </c>
      <c r="K913">
        <v>1</v>
      </c>
      <c r="L913">
        <v>1</v>
      </c>
      <c r="M913">
        <v>1</v>
      </c>
      <c r="N913">
        <v>1</v>
      </c>
      <c r="O913">
        <v>1</v>
      </c>
      <c r="P913">
        <v>1</v>
      </c>
      <c r="Q913">
        <v>1</v>
      </c>
      <c r="R913">
        <v>1</v>
      </c>
      <c r="S913">
        <v>1</v>
      </c>
      <c r="T913">
        <v>1</v>
      </c>
      <c r="U913">
        <v>1</v>
      </c>
      <c r="V913">
        <v>1</v>
      </c>
      <c r="W913">
        <v>1</v>
      </c>
      <c r="X913">
        <v>1</v>
      </c>
      <c r="Y913">
        <v>1</v>
      </c>
      <c r="Z913">
        <v>1</v>
      </c>
      <c r="AA913">
        <v>1</v>
      </c>
      <c r="AB913">
        <v>1</v>
      </c>
      <c r="AC913">
        <v>1</v>
      </c>
    </row>
    <row r="914" spans="1:29" x14ac:dyDescent="0.45">
      <c r="A914" t="s">
        <v>98</v>
      </c>
      <c r="B914" t="s">
        <v>440</v>
      </c>
      <c r="C914" t="s">
        <v>441</v>
      </c>
      <c r="D914" t="s">
        <v>427</v>
      </c>
      <c r="E914" t="str">
        <f t="shared" si="14"/>
        <v>SC|offshore wind|Fall</v>
      </c>
      <c r="F914">
        <v>1</v>
      </c>
      <c r="G914">
        <v>1</v>
      </c>
      <c r="H914">
        <v>1</v>
      </c>
      <c r="I914">
        <v>1</v>
      </c>
      <c r="J914">
        <v>1</v>
      </c>
      <c r="K914">
        <v>1</v>
      </c>
      <c r="L914">
        <v>1</v>
      </c>
      <c r="M914">
        <v>1</v>
      </c>
      <c r="N914">
        <v>1</v>
      </c>
      <c r="O914">
        <v>1</v>
      </c>
      <c r="P914">
        <v>1</v>
      </c>
      <c r="Q914">
        <v>1</v>
      </c>
      <c r="R914">
        <v>1</v>
      </c>
      <c r="S914">
        <v>1</v>
      </c>
      <c r="T914">
        <v>1</v>
      </c>
      <c r="U914">
        <v>1</v>
      </c>
      <c r="V914">
        <v>1</v>
      </c>
      <c r="W914">
        <v>1</v>
      </c>
      <c r="X914">
        <v>1</v>
      </c>
      <c r="Y914">
        <v>1</v>
      </c>
      <c r="Z914">
        <v>1</v>
      </c>
      <c r="AA914">
        <v>1</v>
      </c>
      <c r="AB914">
        <v>1</v>
      </c>
      <c r="AC914">
        <v>1</v>
      </c>
    </row>
    <row r="915" spans="1:29" x14ac:dyDescent="0.45">
      <c r="A915" t="s">
        <v>98</v>
      </c>
      <c r="B915" t="s">
        <v>440</v>
      </c>
      <c r="C915" t="s">
        <v>441</v>
      </c>
      <c r="D915" t="s">
        <v>428</v>
      </c>
      <c r="E915" t="str">
        <f t="shared" si="14"/>
        <v>SC|offshore wind|Summer Peak</v>
      </c>
      <c r="F915">
        <v>0.47139999999999999</v>
      </c>
      <c r="G915">
        <v>0.46610000000000001</v>
      </c>
      <c r="H915">
        <v>0.51259999999999994</v>
      </c>
      <c r="I915">
        <v>0.5806</v>
      </c>
      <c r="J915">
        <v>0.65049999999999997</v>
      </c>
      <c r="K915">
        <v>0.60589999999999999</v>
      </c>
      <c r="L915">
        <v>0.55659999999999998</v>
      </c>
      <c r="M915">
        <v>0.62139999999999995</v>
      </c>
      <c r="N915">
        <v>0.50519999999999998</v>
      </c>
      <c r="O915">
        <v>0.47599999999999998</v>
      </c>
      <c r="P915">
        <v>0.48670000000000002</v>
      </c>
      <c r="Q915">
        <v>0.41739999999999999</v>
      </c>
      <c r="R915">
        <v>0.45529999999999998</v>
      </c>
      <c r="S915">
        <v>0.4778</v>
      </c>
      <c r="T915">
        <v>0.58330000000000004</v>
      </c>
      <c r="U915">
        <v>0.61080000000000001</v>
      </c>
      <c r="V915">
        <v>0.59309999999999996</v>
      </c>
      <c r="W915">
        <v>0.54810000000000003</v>
      </c>
      <c r="X915">
        <v>0.57069999999999999</v>
      </c>
      <c r="Y915">
        <v>0.56130000000000002</v>
      </c>
      <c r="Z915">
        <v>0.4849</v>
      </c>
      <c r="AA915">
        <v>0.53979999999999995</v>
      </c>
      <c r="AB915">
        <v>0.46279999999999999</v>
      </c>
      <c r="AC915">
        <v>0.43169999999999997</v>
      </c>
    </row>
    <row r="916" spans="1:29" x14ac:dyDescent="0.45">
      <c r="A916" t="s">
        <v>98</v>
      </c>
      <c r="B916" t="s">
        <v>440</v>
      </c>
      <c r="C916" t="s">
        <v>441</v>
      </c>
      <c r="D916" t="s">
        <v>429</v>
      </c>
      <c r="E916" t="str">
        <f t="shared" si="14"/>
        <v>SC|offshore wind|Winter Peak</v>
      </c>
      <c r="F916">
        <v>0.39550000000000002</v>
      </c>
      <c r="G916">
        <v>0.42420000000000002</v>
      </c>
      <c r="H916">
        <v>0.36770000000000003</v>
      </c>
      <c r="I916">
        <v>0.38729999999999998</v>
      </c>
      <c r="J916">
        <v>0.3821</v>
      </c>
      <c r="K916">
        <v>0.3695</v>
      </c>
      <c r="L916">
        <v>0.35020000000000001</v>
      </c>
      <c r="M916">
        <v>0.37809999999999999</v>
      </c>
      <c r="N916">
        <v>0.42609999999999998</v>
      </c>
      <c r="O916">
        <v>0.3543</v>
      </c>
      <c r="P916">
        <v>0.30159999999999998</v>
      </c>
      <c r="Q916">
        <v>0.28120000000000001</v>
      </c>
      <c r="R916">
        <v>0.28660000000000002</v>
      </c>
      <c r="S916">
        <v>0.26719999999999999</v>
      </c>
      <c r="T916">
        <v>0.27339999999999998</v>
      </c>
      <c r="U916">
        <v>0.31769999999999998</v>
      </c>
      <c r="V916">
        <v>0.36399999999999999</v>
      </c>
      <c r="W916">
        <v>0.38019999999999998</v>
      </c>
      <c r="X916">
        <v>0.43459999999999999</v>
      </c>
      <c r="Y916">
        <v>0.4476</v>
      </c>
      <c r="Z916">
        <v>0.4743</v>
      </c>
      <c r="AA916">
        <v>0.59689999999999999</v>
      </c>
      <c r="AB916">
        <v>0.70879999999999999</v>
      </c>
      <c r="AC916">
        <v>0.7157</v>
      </c>
    </row>
    <row r="917" spans="1:29" x14ac:dyDescent="0.45">
      <c r="A917" t="s">
        <v>100</v>
      </c>
      <c r="B917" t="s">
        <v>434</v>
      </c>
      <c r="C917" t="s">
        <v>435</v>
      </c>
      <c r="D917" t="s">
        <v>424</v>
      </c>
      <c r="E917" t="str">
        <f t="shared" si="14"/>
        <v>SD|onshore wind|Winter</v>
      </c>
      <c r="F917">
        <v>1</v>
      </c>
      <c r="G917">
        <v>1</v>
      </c>
      <c r="H917">
        <v>1</v>
      </c>
      <c r="I917">
        <v>1</v>
      </c>
      <c r="J917">
        <v>1</v>
      </c>
      <c r="K917">
        <v>1</v>
      </c>
      <c r="L917">
        <v>1</v>
      </c>
      <c r="M917">
        <v>1</v>
      </c>
      <c r="N917">
        <v>1</v>
      </c>
      <c r="O917">
        <v>1</v>
      </c>
      <c r="P917">
        <v>1</v>
      </c>
      <c r="Q917">
        <v>1</v>
      </c>
      <c r="R917">
        <v>1</v>
      </c>
      <c r="S917">
        <v>1</v>
      </c>
      <c r="T917">
        <v>1</v>
      </c>
      <c r="U917">
        <v>1</v>
      </c>
      <c r="V917">
        <v>1</v>
      </c>
      <c r="W917">
        <v>1</v>
      </c>
      <c r="X917">
        <v>1</v>
      </c>
      <c r="Y917">
        <v>1</v>
      </c>
      <c r="Z917">
        <v>1</v>
      </c>
      <c r="AA917">
        <v>1</v>
      </c>
      <c r="AB917">
        <v>1</v>
      </c>
      <c r="AC917">
        <v>1</v>
      </c>
    </row>
    <row r="918" spans="1:29" x14ac:dyDescent="0.45">
      <c r="A918" t="s">
        <v>100</v>
      </c>
      <c r="B918" t="s">
        <v>434</v>
      </c>
      <c r="C918" t="s">
        <v>435</v>
      </c>
      <c r="D918" t="s">
        <v>425</v>
      </c>
      <c r="E918" t="str">
        <f t="shared" si="14"/>
        <v>SD|onshore wind|Spring</v>
      </c>
      <c r="F918">
        <v>1</v>
      </c>
      <c r="G918">
        <v>1</v>
      </c>
      <c r="H918">
        <v>1</v>
      </c>
      <c r="I918">
        <v>1</v>
      </c>
      <c r="J918">
        <v>1</v>
      </c>
      <c r="K918">
        <v>1</v>
      </c>
      <c r="L918">
        <v>1</v>
      </c>
      <c r="M918">
        <v>1</v>
      </c>
      <c r="N918">
        <v>1</v>
      </c>
      <c r="O918">
        <v>1</v>
      </c>
      <c r="P918">
        <v>1</v>
      </c>
      <c r="Q918">
        <v>1</v>
      </c>
      <c r="R918">
        <v>1</v>
      </c>
      <c r="S918">
        <v>1</v>
      </c>
      <c r="T918">
        <v>1</v>
      </c>
      <c r="U918">
        <v>1</v>
      </c>
      <c r="V918">
        <v>1</v>
      </c>
      <c r="W918">
        <v>1</v>
      </c>
      <c r="X918">
        <v>1</v>
      </c>
      <c r="Y918">
        <v>1</v>
      </c>
      <c r="Z918">
        <v>1</v>
      </c>
      <c r="AA918">
        <v>1</v>
      </c>
      <c r="AB918">
        <v>1</v>
      </c>
      <c r="AC918">
        <v>1</v>
      </c>
    </row>
    <row r="919" spans="1:29" x14ac:dyDescent="0.45">
      <c r="A919" t="s">
        <v>100</v>
      </c>
      <c r="B919" t="s">
        <v>434</v>
      </c>
      <c r="C919" t="s">
        <v>435</v>
      </c>
      <c r="D919" t="s">
        <v>426</v>
      </c>
      <c r="E919" t="str">
        <f t="shared" si="14"/>
        <v>SD|onshore wind|Summer</v>
      </c>
      <c r="F919">
        <v>1</v>
      </c>
      <c r="G919">
        <v>1</v>
      </c>
      <c r="H919">
        <v>1</v>
      </c>
      <c r="I919">
        <v>1</v>
      </c>
      <c r="J919">
        <v>1</v>
      </c>
      <c r="K919">
        <v>1</v>
      </c>
      <c r="L919">
        <v>1</v>
      </c>
      <c r="M919">
        <v>1</v>
      </c>
      <c r="N919">
        <v>1</v>
      </c>
      <c r="O919">
        <v>1</v>
      </c>
      <c r="P919">
        <v>1</v>
      </c>
      <c r="Q919">
        <v>1</v>
      </c>
      <c r="R919">
        <v>1</v>
      </c>
      <c r="S919">
        <v>1</v>
      </c>
      <c r="T919">
        <v>1</v>
      </c>
      <c r="U919">
        <v>1</v>
      </c>
      <c r="V919">
        <v>1</v>
      </c>
      <c r="W919">
        <v>1</v>
      </c>
      <c r="X919">
        <v>1</v>
      </c>
      <c r="Y919">
        <v>1</v>
      </c>
      <c r="Z919">
        <v>1</v>
      </c>
      <c r="AA919">
        <v>1</v>
      </c>
      <c r="AB919">
        <v>1</v>
      </c>
      <c r="AC919">
        <v>1</v>
      </c>
    </row>
    <row r="920" spans="1:29" x14ac:dyDescent="0.45">
      <c r="A920" t="s">
        <v>100</v>
      </c>
      <c r="B920" t="s">
        <v>434</v>
      </c>
      <c r="C920" t="s">
        <v>435</v>
      </c>
      <c r="D920" t="s">
        <v>427</v>
      </c>
      <c r="E920" t="str">
        <f t="shared" si="14"/>
        <v>SD|onshore wind|Fall</v>
      </c>
      <c r="F920">
        <v>1</v>
      </c>
      <c r="G920">
        <v>1</v>
      </c>
      <c r="H920">
        <v>1</v>
      </c>
      <c r="I920">
        <v>1</v>
      </c>
      <c r="J920">
        <v>1</v>
      </c>
      <c r="K920">
        <v>1</v>
      </c>
      <c r="L920">
        <v>1</v>
      </c>
      <c r="M920">
        <v>1</v>
      </c>
      <c r="N920">
        <v>1</v>
      </c>
      <c r="O920">
        <v>1</v>
      </c>
      <c r="P920">
        <v>1</v>
      </c>
      <c r="Q920">
        <v>1</v>
      </c>
      <c r="R920">
        <v>1</v>
      </c>
      <c r="S920">
        <v>1</v>
      </c>
      <c r="T920">
        <v>1</v>
      </c>
      <c r="U920">
        <v>1</v>
      </c>
      <c r="V920">
        <v>1</v>
      </c>
      <c r="W920">
        <v>1</v>
      </c>
      <c r="X920">
        <v>1</v>
      </c>
      <c r="Y920">
        <v>1</v>
      </c>
      <c r="Z920">
        <v>1</v>
      </c>
      <c r="AA920">
        <v>1</v>
      </c>
      <c r="AB920">
        <v>1</v>
      </c>
      <c r="AC920">
        <v>1</v>
      </c>
    </row>
    <row r="921" spans="1:29" x14ac:dyDescent="0.45">
      <c r="A921" t="s">
        <v>100</v>
      </c>
      <c r="B921" t="s">
        <v>434</v>
      </c>
      <c r="C921" t="s">
        <v>435</v>
      </c>
      <c r="D921" t="s">
        <v>428</v>
      </c>
      <c r="E921" t="str">
        <f t="shared" si="14"/>
        <v>SD|onshore wind|Summer Peak</v>
      </c>
      <c r="F921">
        <v>0.62509999999999999</v>
      </c>
      <c r="G921">
        <v>0.73729999999999996</v>
      </c>
      <c r="H921">
        <v>0.78659999999999997</v>
      </c>
      <c r="I921">
        <v>0.62980000000000003</v>
      </c>
      <c r="J921">
        <v>0.63859999999999995</v>
      </c>
      <c r="K921">
        <v>0.60260000000000002</v>
      </c>
      <c r="L921">
        <v>0.4965</v>
      </c>
      <c r="M921">
        <v>0.38719999999999999</v>
      </c>
      <c r="N921">
        <v>0.3861</v>
      </c>
      <c r="O921">
        <v>0.40600000000000003</v>
      </c>
      <c r="P921">
        <v>0.43390000000000001</v>
      </c>
      <c r="Q921">
        <v>0.53300000000000003</v>
      </c>
      <c r="R921">
        <v>0.5202</v>
      </c>
      <c r="S921">
        <v>0.53859999999999997</v>
      </c>
      <c r="T921">
        <v>0.52429999999999999</v>
      </c>
      <c r="U921">
        <v>0.50639999999999996</v>
      </c>
      <c r="V921">
        <v>0.4612</v>
      </c>
      <c r="W921">
        <v>0.59209999999999996</v>
      </c>
      <c r="X921">
        <v>0.6079</v>
      </c>
      <c r="Y921">
        <v>0.62539999999999996</v>
      </c>
      <c r="Z921">
        <v>0.53069999999999995</v>
      </c>
      <c r="AA921">
        <v>0.50870000000000004</v>
      </c>
      <c r="AB921">
        <v>0.58950000000000002</v>
      </c>
      <c r="AC921">
        <v>0.64439999999999997</v>
      </c>
    </row>
    <row r="922" spans="1:29" x14ac:dyDescent="0.45">
      <c r="A922" t="s">
        <v>100</v>
      </c>
      <c r="B922" t="s">
        <v>434</v>
      </c>
      <c r="C922" t="s">
        <v>435</v>
      </c>
      <c r="D922" t="s">
        <v>429</v>
      </c>
      <c r="E922" t="str">
        <f t="shared" si="14"/>
        <v>SD|onshore wind|Winter Peak</v>
      </c>
      <c r="F922">
        <v>0.19070000000000001</v>
      </c>
      <c r="G922">
        <v>0.19950000000000001</v>
      </c>
      <c r="H922">
        <v>0.20530000000000001</v>
      </c>
      <c r="I922">
        <v>0.1804</v>
      </c>
      <c r="J922">
        <v>0.15049999999999999</v>
      </c>
      <c r="K922">
        <v>0.16830000000000001</v>
      </c>
      <c r="L922">
        <v>0.19040000000000001</v>
      </c>
      <c r="M922">
        <v>0.2387</v>
      </c>
      <c r="N922">
        <v>0.33489999999999998</v>
      </c>
      <c r="O922">
        <v>0.46210000000000001</v>
      </c>
      <c r="P922">
        <v>0.48430000000000001</v>
      </c>
      <c r="Q922">
        <v>0.39510000000000001</v>
      </c>
      <c r="R922">
        <v>0.35720000000000002</v>
      </c>
      <c r="S922">
        <v>0.41170000000000001</v>
      </c>
      <c r="T922">
        <v>0.48280000000000001</v>
      </c>
      <c r="U922">
        <v>0.59219999999999995</v>
      </c>
      <c r="V922">
        <v>0.66110000000000002</v>
      </c>
      <c r="W922">
        <v>0.64849999999999997</v>
      </c>
      <c r="X922">
        <v>0.68859999999999999</v>
      </c>
      <c r="Y922">
        <v>0.77290000000000003</v>
      </c>
      <c r="Z922">
        <v>0.74050000000000005</v>
      </c>
      <c r="AA922">
        <v>0.7006</v>
      </c>
      <c r="AB922">
        <v>0.71120000000000005</v>
      </c>
      <c r="AC922">
        <v>0.60599999999999998</v>
      </c>
    </row>
    <row r="923" spans="1:29" x14ac:dyDescent="0.45">
      <c r="A923" t="s">
        <v>100</v>
      </c>
      <c r="B923" t="s">
        <v>436</v>
      </c>
      <c r="C923" t="s">
        <v>437</v>
      </c>
      <c r="D923" t="s">
        <v>424</v>
      </c>
      <c r="E923" t="str">
        <f t="shared" si="14"/>
        <v>SD|solar pv|Winter</v>
      </c>
      <c r="F923">
        <v>1</v>
      </c>
      <c r="G923">
        <v>1</v>
      </c>
      <c r="H923">
        <v>1</v>
      </c>
      <c r="I923">
        <v>1</v>
      </c>
      <c r="J923">
        <v>1</v>
      </c>
      <c r="K923">
        <v>1</v>
      </c>
      <c r="L923">
        <v>1</v>
      </c>
      <c r="M923">
        <v>1</v>
      </c>
      <c r="N923">
        <v>1</v>
      </c>
      <c r="O923">
        <v>1</v>
      </c>
      <c r="P923">
        <v>1</v>
      </c>
      <c r="Q923">
        <v>1</v>
      </c>
      <c r="R923">
        <v>1</v>
      </c>
      <c r="S923">
        <v>1</v>
      </c>
      <c r="T923">
        <v>1</v>
      </c>
      <c r="U923">
        <v>1</v>
      </c>
      <c r="V923">
        <v>1</v>
      </c>
      <c r="W923">
        <v>1</v>
      </c>
      <c r="X923">
        <v>1</v>
      </c>
      <c r="Y923">
        <v>1</v>
      </c>
      <c r="Z923">
        <v>1</v>
      </c>
      <c r="AA923">
        <v>1</v>
      </c>
      <c r="AB923">
        <v>1</v>
      </c>
      <c r="AC923">
        <v>1</v>
      </c>
    </row>
    <row r="924" spans="1:29" x14ac:dyDescent="0.45">
      <c r="A924" t="s">
        <v>100</v>
      </c>
      <c r="B924" t="s">
        <v>436</v>
      </c>
      <c r="C924" t="s">
        <v>437</v>
      </c>
      <c r="D924" t="s">
        <v>425</v>
      </c>
      <c r="E924" t="str">
        <f t="shared" si="14"/>
        <v>SD|solar pv|Spring</v>
      </c>
      <c r="F924">
        <v>1</v>
      </c>
      <c r="G924">
        <v>1</v>
      </c>
      <c r="H924">
        <v>1</v>
      </c>
      <c r="I924">
        <v>1</v>
      </c>
      <c r="J924">
        <v>1</v>
      </c>
      <c r="K924">
        <v>1</v>
      </c>
      <c r="L924">
        <v>1</v>
      </c>
      <c r="M924">
        <v>1</v>
      </c>
      <c r="N924">
        <v>1</v>
      </c>
      <c r="O924">
        <v>1</v>
      </c>
      <c r="P924">
        <v>1</v>
      </c>
      <c r="Q924">
        <v>1</v>
      </c>
      <c r="R924">
        <v>1</v>
      </c>
      <c r="S924">
        <v>1</v>
      </c>
      <c r="T924">
        <v>1</v>
      </c>
      <c r="U924">
        <v>1</v>
      </c>
      <c r="V924">
        <v>1</v>
      </c>
      <c r="W924">
        <v>1</v>
      </c>
      <c r="X924">
        <v>1</v>
      </c>
      <c r="Y924">
        <v>1</v>
      </c>
      <c r="Z924">
        <v>1</v>
      </c>
      <c r="AA924">
        <v>1</v>
      </c>
      <c r="AB924">
        <v>1</v>
      </c>
      <c r="AC924">
        <v>1</v>
      </c>
    </row>
    <row r="925" spans="1:29" x14ac:dyDescent="0.45">
      <c r="A925" t="s">
        <v>100</v>
      </c>
      <c r="B925" t="s">
        <v>436</v>
      </c>
      <c r="C925" t="s">
        <v>437</v>
      </c>
      <c r="D925" t="s">
        <v>426</v>
      </c>
      <c r="E925" t="str">
        <f t="shared" si="14"/>
        <v>SD|solar pv|Summer</v>
      </c>
      <c r="F925">
        <v>1</v>
      </c>
      <c r="G925">
        <v>1</v>
      </c>
      <c r="H925">
        <v>1</v>
      </c>
      <c r="I925">
        <v>1</v>
      </c>
      <c r="J925">
        <v>1</v>
      </c>
      <c r="K925">
        <v>1</v>
      </c>
      <c r="L925">
        <v>1</v>
      </c>
      <c r="M925">
        <v>1</v>
      </c>
      <c r="N925">
        <v>1</v>
      </c>
      <c r="O925">
        <v>1</v>
      </c>
      <c r="P925">
        <v>1</v>
      </c>
      <c r="Q925">
        <v>1</v>
      </c>
      <c r="R925">
        <v>1</v>
      </c>
      <c r="S925">
        <v>1</v>
      </c>
      <c r="T925">
        <v>1</v>
      </c>
      <c r="U925">
        <v>1</v>
      </c>
      <c r="V925">
        <v>1</v>
      </c>
      <c r="W925">
        <v>1</v>
      </c>
      <c r="X925">
        <v>1</v>
      </c>
      <c r="Y925">
        <v>1</v>
      </c>
      <c r="Z925">
        <v>1</v>
      </c>
      <c r="AA925">
        <v>1</v>
      </c>
      <c r="AB925">
        <v>1</v>
      </c>
      <c r="AC925">
        <v>1</v>
      </c>
    </row>
    <row r="926" spans="1:29" x14ac:dyDescent="0.45">
      <c r="A926" t="s">
        <v>100</v>
      </c>
      <c r="B926" t="s">
        <v>436</v>
      </c>
      <c r="C926" t="s">
        <v>437</v>
      </c>
      <c r="D926" t="s">
        <v>427</v>
      </c>
      <c r="E926" t="str">
        <f t="shared" si="14"/>
        <v>SD|solar pv|Fall</v>
      </c>
      <c r="F926">
        <v>1</v>
      </c>
      <c r="G926">
        <v>1</v>
      </c>
      <c r="H926">
        <v>1</v>
      </c>
      <c r="I926">
        <v>1</v>
      </c>
      <c r="J926">
        <v>1</v>
      </c>
      <c r="K926">
        <v>1</v>
      </c>
      <c r="L926">
        <v>1</v>
      </c>
      <c r="M926">
        <v>1</v>
      </c>
      <c r="N926">
        <v>1</v>
      </c>
      <c r="O926">
        <v>1</v>
      </c>
      <c r="P926">
        <v>1</v>
      </c>
      <c r="Q926">
        <v>1</v>
      </c>
      <c r="R926">
        <v>1</v>
      </c>
      <c r="S926">
        <v>1</v>
      </c>
      <c r="T926">
        <v>1</v>
      </c>
      <c r="U926">
        <v>1</v>
      </c>
      <c r="V926">
        <v>1</v>
      </c>
      <c r="W926">
        <v>1</v>
      </c>
      <c r="X926">
        <v>1</v>
      </c>
      <c r="Y926">
        <v>1</v>
      </c>
      <c r="Z926">
        <v>1</v>
      </c>
      <c r="AA926">
        <v>1</v>
      </c>
      <c r="AB926">
        <v>1</v>
      </c>
      <c r="AC926">
        <v>1</v>
      </c>
    </row>
    <row r="927" spans="1:29" x14ac:dyDescent="0.45">
      <c r="A927" t="s">
        <v>100</v>
      </c>
      <c r="B927" t="s">
        <v>436</v>
      </c>
      <c r="C927" t="s">
        <v>437</v>
      </c>
      <c r="D927" t="s">
        <v>428</v>
      </c>
      <c r="E927" t="str">
        <f t="shared" si="14"/>
        <v>SD|solar pv|Summer Peak</v>
      </c>
      <c r="F927">
        <v>1</v>
      </c>
      <c r="G927">
        <v>1</v>
      </c>
      <c r="H927">
        <v>1</v>
      </c>
      <c r="I927">
        <v>1</v>
      </c>
      <c r="J927">
        <v>0.33239999999999997</v>
      </c>
      <c r="K927">
        <v>0.71860000000000002</v>
      </c>
      <c r="L927">
        <v>0.86499999999999999</v>
      </c>
      <c r="M927">
        <v>0.85550000000000004</v>
      </c>
      <c r="N927">
        <v>0.90480000000000005</v>
      </c>
      <c r="O927">
        <v>0.92949999999999999</v>
      </c>
      <c r="P927">
        <v>0.92159999999999997</v>
      </c>
      <c r="Q927">
        <v>0.94169999999999998</v>
      </c>
      <c r="R927">
        <v>0.93899999999999995</v>
      </c>
      <c r="S927">
        <v>0.93720000000000003</v>
      </c>
      <c r="T927">
        <v>0.96819999999999995</v>
      </c>
      <c r="U927">
        <v>0.96509999999999996</v>
      </c>
      <c r="V927">
        <v>0.90720000000000001</v>
      </c>
      <c r="W927">
        <v>0.90539999999999998</v>
      </c>
      <c r="X927">
        <v>0.85809999999999997</v>
      </c>
      <c r="Y927">
        <v>0.43009999999999998</v>
      </c>
      <c r="Z927">
        <v>1</v>
      </c>
      <c r="AA927">
        <v>1</v>
      </c>
      <c r="AB927">
        <v>1</v>
      </c>
      <c r="AC927">
        <v>1</v>
      </c>
    </row>
    <row r="928" spans="1:29" x14ac:dyDescent="0.45">
      <c r="A928" t="s">
        <v>100</v>
      </c>
      <c r="B928" t="s">
        <v>436</v>
      </c>
      <c r="C928" t="s">
        <v>437</v>
      </c>
      <c r="D928" t="s">
        <v>429</v>
      </c>
      <c r="E928" t="str">
        <f t="shared" si="14"/>
        <v>SD|solar pv|Winter Peak</v>
      </c>
      <c r="F928">
        <v>1</v>
      </c>
      <c r="G928">
        <v>1</v>
      </c>
      <c r="H928">
        <v>1</v>
      </c>
      <c r="I928">
        <v>1</v>
      </c>
      <c r="J928">
        <v>1</v>
      </c>
      <c r="K928">
        <v>1</v>
      </c>
      <c r="L928">
        <v>1</v>
      </c>
      <c r="M928">
        <v>0.17330000000000001</v>
      </c>
      <c r="N928">
        <v>0.59060000000000001</v>
      </c>
      <c r="O928">
        <v>0.58640000000000003</v>
      </c>
      <c r="P928">
        <v>0.68630000000000002</v>
      </c>
      <c r="Q928">
        <v>0.73270000000000002</v>
      </c>
      <c r="R928">
        <v>0.74439999999999995</v>
      </c>
      <c r="S928">
        <v>0.70150000000000001</v>
      </c>
      <c r="T928">
        <v>0.71079999999999999</v>
      </c>
      <c r="U928">
        <v>0.61240000000000006</v>
      </c>
      <c r="V928">
        <v>3.5400000000000001E-2</v>
      </c>
      <c r="W928">
        <v>0</v>
      </c>
      <c r="X928">
        <v>1</v>
      </c>
      <c r="Y928">
        <v>1</v>
      </c>
      <c r="Z928">
        <v>1</v>
      </c>
      <c r="AA928">
        <v>1</v>
      </c>
      <c r="AB928">
        <v>1</v>
      </c>
      <c r="AC928">
        <v>1</v>
      </c>
    </row>
    <row r="929" spans="1:29" x14ac:dyDescent="0.45">
      <c r="A929" t="s">
        <v>100</v>
      </c>
      <c r="B929" t="s">
        <v>438</v>
      </c>
      <c r="C929" t="s">
        <v>439</v>
      </c>
      <c r="D929" t="s">
        <v>424</v>
      </c>
      <c r="E929" t="str">
        <f t="shared" si="14"/>
        <v>SD|solar thermal|Winter</v>
      </c>
      <c r="F929">
        <v>1</v>
      </c>
      <c r="G929">
        <v>1</v>
      </c>
      <c r="H929">
        <v>1</v>
      </c>
      <c r="I929">
        <v>1</v>
      </c>
      <c r="J929">
        <v>1</v>
      </c>
      <c r="K929">
        <v>1</v>
      </c>
      <c r="L929">
        <v>1</v>
      </c>
      <c r="M929">
        <v>1</v>
      </c>
      <c r="N929">
        <v>1</v>
      </c>
      <c r="O929">
        <v>1</v>
      </c>
      <c r="P929">
        <v>1</v>
      </c>
      <c r="Q929">
        <v>1</v>
      </c>
      <c r="R929">
        <v>1</v>
      </c>
      <c r="S929">
        <v>1</v>
      </c>
      <c r="T929">
        <v>1</v>
      </c>
      <c r="U929">
        <v>1</v>
      </c>
      <c r="V929">
        <v>1</v>
      </c>
      <c r="W929">
        <v>1</v>
      </c>
      <c r="X929">
        <v>1</v>
      </c>
      <c r="Y929">
        <v>1</v>
      </c>
      <c r="Z929">
        <v>1</v>
      </c>
      <c r="AA929">
        <v>1</v>
      </c>
      <c r="AB929">
        <v>1</v>
      </c>
      <c r="AC929">
        <v>1</v>
      </c>
    </row>
    <row r="930" spans="1:29" x14ac:dyDescent="0.45">
      <c r="A930" t="s">
        <v>100</v>
      </c>
      <c r="B930" t="s">
        <v>438</v>
      </c>
      <c r="C930" t="s">
        <v>439</v>
      </c>
      <c r="D930" t="s">
        <v>425</v>
      </c>
      <c r="E930" t="str">
        <f t="shared" si="14"/>
        <v>SD|solar thermal|Spring</v>
      </c>
      <c r="F930">
        <v>1</v>
      </c>
      <c r="G930">
        <v>1</v>
      </c>
      <c r="H930">
        <v>1</v>
      </c>
      <c r="I930">
        <v>1</v>
      </c>
      <c r="J930">
        <v>1</v>
      </c>
      <c r="K930">
        <v>1</v>
      </c>
      <c r="L930">
        <v>1</v>
      </c>
      <c r="M930">
        <v>1</v>
      </c>
      <c r="N930">
        <v>1</v>
      </c>
      <c r="O930">
        <v>1</v>
      </c>
      <c r="P930">
        <v>1</v>
      </c>
      <c r="Q930">
        <v>1</v>
      </c>
      <c r="R930">
        <v>1</v>
      </c>
      <c r="S930">
        <v>1</v>
      </c>
      <c r="T930">
        <v>1</v>
      </c>
      <c r="U930">
        <v>1</v>
      </c>
      <c r="V930">
        <v>1</v>
      </c>
      <c r="W930">
        <v>1</v>
      </c>
      <c r="X930">
        <v>1</v>
      </c>
      <c r="Y930">
        <v>1</v>
      </c>
      <c r="Z930">
        <v>1</v>
      </c>
      <c r="AA930">
        <v>1</v>
      </c>
      <c r="AB930">
        <v>1</v>
      </c>
      <c r="AC930">
        <v>1</v>
      </c>
    </row>
    <row r="931" spans="1:29" x14ac:dyDescent="0.45">
      <c r="A931" t="s">
        <v>100</v>
      </c>
      <c r="B931" t="s">
        <v>438</v>
      </c>
      <c r="C931" t="s">
        <v>439</v>
      </c>
      <c r="D931" t="s">
        <v>426</v>
      </c>
      <c r="E931" t="str">
        <f t="shared" si="14"/>
        <v>SD|solar thermal|Summer</v>
      </c>
      <c r="F931">
        <v>1</v>
      </c>
      <c r="G931">
        <v>1</v>
      </c>
      <c r="H931">
        <v>1</v>
      </c>
      <c r="I931">
        <v>1</v>
      </c>
      <c r="J931">
        <v>1</v>
      </c>
      <c r="K931">
        <v>1</v>
      </c>
      <c r="L931">
        <v>1</v>
      </c>
      <c r="M931">
        <v>1</v>
      </c>
      <c r="N931">
        <v>1</v>
      </c>
      <c r="O931">
        <v>1</v>
      </c>
      <c r="P931">
        <v>1</v>
      </c>
      <c r="Q931">
        <v>1</v>
      </c>
      <c r="R931">
        <v>1</v>
      </c>
      <c r="S931">
        <v>1</v>
      </c>
      <c r="T931">
        <v>1</v>
      </c>
      <c r="U931">
        <v>1</v>
      </c>
      <c r="V931">
        <v>1</v>
      </c>
      <c r="W931">
        <v>1</v>
      </c>
      <c r="X931">
        <v>1</v>
      </c>
      <c r="Y931">
        <v>1</v>
      </c>
      <c r="Z931">
        <v>1</v>
      </c>
      <c r="AA931">
        <v>1</v>
      </c>
      <c r="AB931">
        <v>1</v>
      </c>
      <c r="AC931">
        <v>1</v>
      </c>
    </row>
    <row r="932" spans="1:29" x14ac:dyDescent="0.45">
      <c r="A932" t="s">
        <v>100</v>
      </c>
      <c r="B932" t="s">
        <v>438</v>
      </c>
      <c r="C932" t="s">
        <v>439</v>
      </c>
      <c r="D932" t="s">
        <v>427</v>
      </c>
      <c r="E932" t="str">
        <f t="shared" si="14"/>
        <v>SD|solar thermal|Fall</v>
      </c>
      <c r="F932">
        <v>1</v>
      </c>
      <c r="G932">
        <v>1</v>
      </c>
      <c r="H932">
        <v>1</v>
      </c>
      <c r="I932">
        <v>1</v>
      </c>
      <c r="J932">
        <v>1</v>
      </c>
      <c r="K932">
        <v>1</v>
      </c>
      <c r="L932">
        <v>1</v>
      </c>
      <c r="M932">
        <v>1</v>
      </c>
      <c r="N932">
        <v>1</v>
      </c>
      <c r="O932">
        <v>1</v>
      </c>
      <c r="P932">
        <v>1</v>
      </c>
      <c r="Q932">
        <v>1</v>
      </c>
      <c r="R932">
        <v>1</v>
      </c>
      <c r="S932">
        <v>1</v>
      </c>
      <c r="T932">
        <v>1</v>
      </c>
      <c r="U932">
        <v>1</v>
      </c>
      <c r="V932">
        <v>1</v>
      </c>
      <c r="W932">
        <v>1</v>
      </c>
      <c r="X932">
        <v>1</v>
      </c>
      <c r="Y932">
        <v>1</v>
      </c>
      <c r="Z932">
        <v>1</v>
      </c>
      <c r="AA932">
        <v>1</v>
      </c>
      <c r="AB932">
        <v>1</v>
      </c>
      <c r="AC932">
        <v>1</v>
      </c>
    </row>
    <row r="933" spans="1:29" x14ac:dyDescent="0.45">
      <c r="A933" t="s">
        <v>100</v>
      </c>
      <c r="B933" t="s">
        <v>438</v>
      </c>
      <c r="C933" t="s">
        <v>439</v>
      </c>
      <c r="D933" t="s">
        <v>428</v>
      </c>
      <c r="E933" t="str">
        <f t="shared" si="14"/>
        <v>SD|solar thermal|Summer Peak</v>
      </c>
      <c r="F933">
        <v>1</v>
      </c>
      <c r="G933">
        <v>1</v>
      </c>
      <c r="H933">
        <v>1</v>
      </c>
      <c r="I933">
        <v>1</v>
      </c>
      <c r="J933">
        <v>1</v>
      </c>
      <c r="K933">
        <v>1</v>
      </c>
      <c r="L933">
        <v>1</v>
      </c>
      <c r="M933">
        <v>0</v>
      </c>
      <c r="N933">
        <v>0.8639</v>
      </c>
      <c r="O933">
        <v>1</v>
      </c>
      <c r="P933">
        <v>1</v>
      </c>
      <c r="Q933">
        <v>0.97160000000000002</v>
      </c>
      <c r="R933">
        <v>0.96719999999999995</v>
      </c>
      <c r="S933">
        <v>1</v>
      </c>
      <c r="T933">
        <v>1</v>
      </c>
      <c r="U933">
        <v>1</v>
      </c>
      <c r="V933">
        <v>1</v>
      </c>
      <c r="W933">
        <v>1</v>
      </c>
      <c r="X933">
        <v>1</v>
      </c>
      <c r="Y933">
        <v>0.93130000000000002</v>
      </c>
      <c r="Z933">
        <v>0.70220000000000005</v>
      </c>
      <c r="AA933">
        <v>1</v>
      </c>
      <c r="AB933">
        <v>1</v>
      </c>
      <c r="AC933">
        <v>1</v>
      </c>
    </row>
    <row r="934" spans="1:29" x14ac:dyDescent="0.45">
      <c r="A934" t="s">
        <v>100</v>
      </c>
      <c r="B934" t="s">
        <v>438</v>
      </c>
      <c r="C934" t="s">
        <v>439</v>
      </c>
      <c r="D934" t="s">
        <v>429</v>
      </c>
      <c r="E934" t="str">
        <f t="shared" si="14"/>
        <v>SD|solar thermal|Winter Peak</v>
      </c>
      <c r="F934">
        <v>1</v>
      </c>
      <c r="G934">
        <v>1</v>
      </c>
      <c r="H934">
        <v>1</v>
      </c>
      <c r="I934">
        <v>1</v>
      </c>
      <c r="J934">
        <v>1</v>
      </c>
      <c r="K934">
        <v>1</v>
      </c>
      <c r="L934">
        <v>1</v>
      </c>
      <c r="M934">
        <v>1</v>
      </c>
      <c r="N934">
        <v>1</v>
      </c>
      <c r="O934">
        <v>0.2419</v>
      </c>
      <c r="P934">
        <v>0.95320000000000005</v>
      </c>
      <c r="Q934">
        <v>0.88039999999999996</v>
      </c>
      <c r="R934">
        <v>0.97819999999999996</v>
      </c>
      <c r="S934">
        <v>0.98950000000000005</v>
      </c>
      <c r="T934">
        <v>0.99270000000000003</v>
      </c>
      <c r="U934">
        <v>1</v>
      </c>
      <c r="V934">
        <v>1</v>
      </c>
      <c r="W934">
        <v>1</v>
      </c>
      <c r="X934">
        <v>0.89019999999999999</v>
      </c>
      <c r="Y934">
        <v>0</v>
      </c>
      <c r="Z934">
        <v>1</v>
      </c>
      <c r="AA934">
        <v>1</v>
      </c>
      <c r="AB934">
        <v>1</v>
      </c>
      <c r="AC934">
        <v>1</v>
      </c>
    </row>
    <row r="935" spans="1:29" x14ac:dyDescent="0.45">
      <c r="A935" t="s">
        <v>100</v>
      </c>
      <c r="B935" t="s">
        <v>440</v>
      </c>
      <c r="C935" t="s">
        <v>441</v>
      </c>
      <c r="D935" t="s">
        <v>424</v>
      </c>
      <c r="E935" t="str">
        <f t="shared" si="14"/>
        <v>SD|offshore wind|Winter</v>
      </c>
      <c r="F935">
        <v>1</v>
      </c>
      <c r="G935">
        <v>1</v>
      </c>
      <c r="H935">
        <v>1</v>
      </c>
      <c r="I935">
        <v>1</v>
      </c>
      <c r="J935">
        <v>1</v>
      </c>
      <c r="K935">
        <v>1</v>
      </c>
      <c r="L935">
        <v>1</v>
      </c>
      <c r="M935">
        <v>1</v>
      </c>
      <c r="N935">
        <v>1</v>
      </c>
      <c r="O935">
        <v>1</v>
      </c>
      <c r="P935">
        <v>1</v>
      </c>
      <c r="Q935">
        <v>1</v>
      </c>
      <c r="R935">
        <v>1</v>
      </c>
      <c r="S935">
        <v>1</v>
      </c>
      <c r="T935">
        <v>1</v>
      </c>
      <c r="U935">
        <v>1</v>
      </c>
      <c r="V935">
        <v>1</v>
      </c>
      <c r="W935">
        <v>1</v>
      </c>
      <c r="X935">
        <v>1</v>
      </c>
      <c r="Y935">
        <v>1</v>
      </c>
      <c r="Z935">
        <v>1</v>
      </c>
      <c r="AA935">
        <v>1</v>
      </c>
      <c r="AB935">
        <v>1</v>
      </c>
      <c r="AC935">
        <v>1</v>
      </c>
    </row>
    <row r="936" spans="1:29" x14ac:dyDescent="0.45">
      <c r="A936" t="s">
        <v>100</v>
      </c>
      <c r="B936" t="s">
        <v>440</v>
      </c>
      <c r="C936" t="s">
        <v>441</v>
      </c>
      <c r="D936" t="s">
        <v>425</v>
      </c>
      <c r="E936" t="str">
        <f t="shared" si="14"/>
        <v>SD|offshore wind|Spring</v>
      </c>
      <c r="F936">
        <v>1</v>
      </c>
      <c r="G936">
        <v>1</v>
      </c>
      <c r="H936">
        <v>1</v>
      </c>
      <c r="I936">
        <v>1</v>
      </c>
      <c r="J936">
        <v>1</v>
      </c>
      <c r="K936">
        <v>1</v>
      </c>
      <c r="L936">
        <v>1</v>
      </c>
      <c r="M936">
        <v>1</v>
      </c>
      <c r="N936">
        <v>1</v>
      </c>
      <c r="O936">
        <v>1</v>
      </c>
      <c r="P936">
        <v>1</v>
      </c>
      <c r="Q936">
        <v>1</v>
      </c>
      <c r="R936">
        <v>1</v>
      </c>
      <c r="S936">
        <v>1</v>
      </c>
      <c r="T936">
        <v>1</v>
      </c>
      <c r="U936">
        <v>1</v>
      </c>
      <c r="V936">
        <v>1</v>
      </c>
      <c r="W936">
        <v>1</v>
      </c>
      <c r="X936">
        <v>1</v>
      </c>
      <c r="Y936">
        <v>1</v>
      </c>
      <c r="Z936">
        <v>1</v>
      </c>
      <c r="AA936">
        <v>1</v>
      </c>
      <c r="AB936">
        <v>1</v>
      </c>
      <c r="AC936">
        <v>1</v>
      </c>
    </row>
    <row r="937" spans="1:29" x14ac:dyDescent="0.45">
      <c r="A937" t="s">
        <v>100</v>
      </c>
      <c r="B937" t="s">
        <v>440</v>
      </c>
      <c r="C937" t="s">
        <v>441</v>
      </c>
      <c r="D937" t="s">
        <v>426</v>
      </c>
      <c r="E937" t="str">
        <f t="shared" si="14"/>
        <v>SD|offshore wind|Summer</v>
      </c>
      <c r="F937">
        <v>1</v>
      </c>
      <c r="G937">
        <v>1</v>
      </c>
      <c r="H937">
        <v>1</v>
      </c>
      <c r="I937">
        <v>1</v>
      </c>
      <c r="J937">
        <v>1</v>
      </c>
      <c r="K937">
        <v>1</v>
      </c>
      <c r="L937">
        <v>1</v>
      </c>
      <c r="M937">
        <v>1</v>
      </c>
      <c r="N937">
        <v>1</v>
      </c>
      <c r="O937">
        <v>1</v>
      </c>
      <c r="P937">
        <v>1</v>
      </c>
      <c r="Q937">
        <v>1</v>
      </c>
      <c r="R937">
        <v>1</v>
      </c>
      <c r="S937">
        <v>1</v>
      </c>
      <c r="T937">
        <v>1</v>
      </c>
      <c r="U937">
        <v>1</v>
      </c>
      <c r="V937">
        <v>1</v>
      </c>
      <c r="W937">
        <v>1</v>
      </c>
      <c r="X937">
        <v>1</v>
      </c>
      <c r="Y937">
        <v>1</v>
      </c>
      <c r="Z937">
        <v>1</v>
      </c>
      <c r="AA937">
        <v>1</v>
      </c>
      <c r="AB937">
        <v>1</v>
      </c>
      <c r="AC937">
        <v>1</v>
      </c>
    </row>
    <row r="938" spans="1:29" x14ac:dyDescent="0.45">
      <c r="A938" t="s">
        <v>100</v>
      </c>
      <c r="B938" t="s">
        <v>440</v>
      </c>
      <c r="C938" t="s">
        <v>441</v>
      </c>
      <c r="D938" t="s">
        <v>427</v>
      </c>
      <c r="E938" t="str">
        <f t="shared" si="14"/>
        <v>SD|offshore wind|Fall</v>
      </c>
      <c r="F938">
        <v>1</v>
      </c>
      <c r="G938">
        <v>1</v>
      </c>
      <c r="H938">
        <v>1</v>
      </c>
      <c r="I938">
        <v>1</v>
      </c>
      <c r="J938">
        <v>1</v>
      </c>
      <c r="K938">
        <v>1</v>
      </c>
      <c r="L938">
        <v>1</v>
      </c>
      <c r="M938">
        <v>1</v>
      </c>
      <c r="N938">
        <v>1</v>
      </c>
      <c r="O938">
        <v>1</v>
      </c>
      <c r="P938">
        <v>1</v>
      </c>
      <c r="Q938">
        <v>1</v>
      </c>
      <c r="R938">
        <v>1</v>
      </c>
      <c r="S938">
        <v>1</v>
      </c>
      <c r="T938">
        <v>1</v>
      </c>
      <c r="U938">
        <v>1</v>
      </c>
      <c r="V938">
        <v>1</v>
      </c>
      <c r="W938">
        <v>1</v>
      </c>
      <c r="X938">
        <v>1</v>
      </c>
      <c r="Y938">
        <v>1</v>
      </c>
      <c r="Z938">
        <v>1</v>
      </c>
      <c r="AA938">
        <v>1</v>
      </c>
      <c r="AB938">
        <v>1</v>
      </c>
      <c r="AC938">
        <v>1</v>
      </c>
    </row>
    <row r="939" spans="1:29" x14ac:dyDescent="0.45">
      <c r="A939" t="s">
        <v>100</v>
      </c>
      <c r="B939" t="s">
        <v>440</v>
      </c>
      <c r="C939" t="s">
        <v>441</v>
      </c>
      <c r="D939" t="s">
        <v>428</v>
      </c>
      <c r="E939" t="str">
        <f t="shared" si="14"/>
        <v>SD|offshore wind|Summer Peak</v>
      </c>
      <c r="F939">
        <v>0.40810000000000002</v>
      </c>
      <c r="G939">
        <v>0.4239</v>
      </c>
      <c r="H939">
        <v>0.45760000000000001</v>
      </c>
      <c r="I939">
        <v>0.50319999999999998</v>
      </c>
      <c r="J939">
        <v>0.53649999999999998</v>
      </c>
      <c r="K939">
        <v>0.59399999999999997</v>
      </c>
      <c r="L939">
        <v>0.61929999999999996</v>
      </c>
      <c r="M939">
        <v>0.68859999999999999</v>
      </c>
      <c r="N939">
        <v>0.73480000000000001</v>
      </c>
      <c r="O939">
        <v>0.84350000000000003</v>
      </c>
      <c r="P939">
        <v>0.78200000000000003</v>
      </c>
      <c r="Q939">
        <v>0.74650000000000005</v>
      </c>
      <c r="R939">
        <v>0.63690000000000002</v>
      </c>
      <c r="S939">
        <v>0.60860000000000003</v>
      </c>
      <c r="T939">
        <v>0.64339999999999997</v>
      </c>
      <c r="U939">
        <v>0.69269999999999998</v>
      </c>
      <c r="V939">
        <v>0.71450000000000002</v>
      </c>
      <c r="W939">
        <v>0.75070000000000003</v>
      </c>
      <c r="X939">
        <v>0.72489999999999999</v>
      </c>
      <c r="Y939">
        <v>0.66049999999999998</v>
      </c>
      <c r="Z939">
        <v>0.69140000000000001</v>
      </c>
      <c r="AA939">
        <v>0.63080000000000003</v>
      </c>
      <c r="AB939">
        <v>0.63429999999999997</v>
      </c>
      <c r="AC939">
        <v>0.64390000000000003</v>
      </c>
    </row>
    <row r="940" spans="1:29" x14ac:dyDescent="0.45">
      <c r="A940" t="s">
        <v>100</v>
      </c>
      <c r="B940" t="s">
        <v>440</v>
      </c>
      <c r="C940" t="s">
        <v>441</v>
      </c>
      <c r="D940" t="s">
        <v>429</v>
      </c>
      <c r="E940" t="str">
        <f t="shared" si="14"/>
        <v>SD|offshore wind|Winter Peak</v>
      </c>
      <c r="F940">
        <v>0.95309999999999995</v>
      </c>
      <c r="G940">
        <v>0.95030000000000003</v>
      </c>
      <c r="H940">
        <v>0.95540000000000003</v>
      </c>
      <c r="I940">
        <v>0.96679999999999999</v>
      </c>
      <c r="J940">
        <v>1</v>
      </c>
      <c r="K940">
        <v>1</v>
      </c>
      <c r="L940">
        <v>1</v>
      </c>
      <c r="M940">
        <v>0.99209999999999998</v>
      </c>
      <c r="N940">
        <v>0.90149999999999997</v>
      </c>
      <c r="O940">
        <v>0.79779999999999995</v>
      </c>
      <c r="P940">
        <v>0.71879999999999999</v>
      </c>
      <c r="Q940">
        <v>0.67300000000000004</v>
      </c>
      <c r="R940">
        <v>0.60860000000000003</v>
      </c>
      <c r="S940">
        <v>0.58009999999999995</v>
      </c>
      <c r="T940">
        <v>0.58799999999999997</v>
      </c>
      <c r="U940">
        <v>0.61019999999999996</v>
      </c>
      <c r="V940">
        <v>0.61839999999999995</v>
      </c>
      <c r="W940">
        <v>0.60909999999999997</v>
      </c>
      <c r="X940">
        <v>0.62880000000000003</v>
      </c>
      <c r="Y940">
        <v>0.72889999999999999</v>
      </c>
      <c r="Z940">
        <v>0.84719999999999995</v>
      </c>
      <c r="AA940">
        <v>0.92220000000000002</v>
      </c>
      <c r="AB940">
        <v>0.86950000000000005</v>
      </c>
      <c r="AC940">
        <v>0.8054</v>
      </c>
    </row>
    <row r="941" spans="1:29" x14ac:dyDescent="0.45">
      <c r="A941" t="s">
        <v>102</v>
      </c>
      <c r="B941" t="s">
        <v>434</v>
      </c>
      <c r="C941" t="s">
        <v>435</v>
      </c>
      <c r="D941" t="s">
        <v>424</v>
      </c>
      <c r="E941" t="str">
        <f t="shared" si="14"/>
        <v>TN|onshore wind|Winter</v>
      </c>
      <c r="F941">
        <v>1</v>
      </c>
      <c r="G941">
        <v>1</v>
      </c>
      <c r="H941">
        <v>1</v>
      </c>
      <c r="I941">
        <v>1</v>
      </c>
      <c r="J941">
        <v>1</v>
      </c>
      <c r="K941">
        <v>1</v>
      </c>
      <c r="L941">
        <v>1</v>
      </c>
      <c r="M941">
        <v>1</v>
      </c>
      <c r="N941">
        <v>1</v>
      </c>
      <c r="O941">
        <v>1</v>
      </c>
      <c r="P941">
        <v>1</v>
      </c>
      <c r="Q941">
        <v>1</v>
      </c>
      <c r="R941">
        <v>1</v>
      </c>
      <c r="S941">
        <v>1</v>
      </c>
      <c r="T941">
        <v>1</v>
      </c>
      <c r="U941">
        <v>1</v>
      </c>
      <c r="V941">
        <v>1</v>
      </c>
      <c r="W941">
        <v>1</v>
      </c>
      <c r="X941">
        <v>1</v>
      </c>
      <c r="Y941">
        <v>1</v>
      </c>
      <c r="Z941">
        <v>1</v>
      </c>
      <c r="AA941">
        <v>1</v>
      </c>
      <c r="AB941">
        <v>1</v>
      </c>
      <c r="AC941">
        <v>1</v>
      </c>
    </row>
    <row r="942" spans="1:29" x14ac:dyDescent="0.45">
      <c r="A942" t="s">
        <v>102</v>
      </c>
      <c r="B942" t="s">
        <v>434</v>
      </c>
      <c r="C942" t="s">
        <v>435</v>
      </c>
      <c r="D942" t="s">
        <v>425</v>
      </c>
      <c r="E942" t="str">
        <f t="shared" si="14"/>
        <v>TN|onshore wind|Spring</v>
      </c>
      <c r="F942">
        <v>1</v>
      </c>
      <c r="G942">
        <v>1</v>
      </c>
      <c r="H942">
        <v>1</v>
      </c>
      <c r="I942">
        <v>1</v>
      </c>
      <c r="J942">
        <v>1</v>
      </c>
      <c r="K942">
        <v>1</v>
      </c>
      <c r="L942">
        <v>1</v>
      </c>
      <c r="M942">
        <v>1</v>
      </c>
      <c r="N942">
        <v>1</v>
      </c>
      <c r="O942">
        <v>1</v>
      </c>
      <c r="P942">
        <v>1</v>
      </c>
      <c r="Q942">
        <v>1</v>
      </c>
      <c r="R942">
        <v>1</v>
      </c>
      <c r="S942">
        <v>1</v>
      </c>
      <c r="T942">
        <v>1</v>
      </c>
      <c r="U942">
        <v>1</v>
      </c>
      <c r="V942">
        <v>1</v>
      </c>
      <c r="W942">
        <v>1</v>
      </c>
      <c r="X942">
        <v>1</v>
      </c>
      <c r="Y942">
        <v>1</v>
      </c>
      <c r="Z942">
        <v>1</v>
      </c>
      <c r="AA942">
        <v>1</v>
      </c>
      <c r="AB942">
        <v>1</v>
      </c>
      <c r="AC942">
        <v>1</v>
      </c>
    </row>
    <row r="943" spans="1:29" x14ac:dyDescent="0.45">
      <c r="A943" t="s">
        <v>102</v>
      </c>
      <c r="B943" t="s">
        <v>434</v>
      </c>
      <c r="C943" t="s">
        <v>435</v>
      </c>
      <c r="D943" t="s">
        <v>426</v>
      </c>
      <c r="E943" t="str">
        <f t="shared" si="14"/>
        <v>TN|onshore wind|Summer</v>
      </c>
      <c r="F943">
        <v>1</v>
      </c>
      <c r="G943">
        <v>1</v>
      </c>
      <c r="H943">
        <v>1</v>
      </c>
      <c r="I943">
        <v>1</v>
      </c>
      <c r="J943">
        <v>1</v>
      </c>
      <c r="K943">
        <v>1</v>
      </c>
      <c r="L943">
        <v>1</v>
      </c>
      <c r="M943">
        <v>1</v>
      </c>
      <c r="N943">
        <v>1</v>
      </c>
      <c r="O943">
        <v>1</v>
      </c>
      <c r="P943">
        <v>1</v>
      </c>
      <c r="Q943">
        <v>1</v>
      </c>
      <c r="R943">
        <v>1</v>
      </c>
      <c r="S943">
        <v>1</v>
      </c>
      <c r="T943">
        <v>1</v>
      </c>
      <c r="U943">
        <v>1</v>
      </c>
      <c r="V943">
        <v>1</v>
      </c>
      <c r="W943">
        <v>1</v>
      </c>
      <c r="X943">
        <v>1</v>
      </c>
      <c r="Y943">
        <v>1</v>
      </c>
      <c r="Z943">
        <v>1</v>
      </c>
      <c r="AA943">
        <v>1</v>
      </c>
      <c r="AB943">
        <v>1</v>
      </c>
      <c r="AC943">
        <v>1</v>
      </c>
    </row>
    <row r="944" spans="1:29" x14ac:dyDescent="0.45">
      <c r="A944" t="s">
        <v>102</v>
      </c>
      <c r="B944" t="s">
        <v>434</v>
      </c>
      <c r="C944" t="s">
        <v>435</v>
      </c>
      <c r="D944" t="s">
        <v>427</v>
      </c>
      <c r="E944" t="str">
        <f t="shared" si="14"/>
        <v>TN|onshore wind|Fall</v>
      </c>
      <c r="F944">
        <v>1</v>
      </c>
      <c r="G944">
        <v>1</v>
      </c>
      <c r="H944">
        <v>1</v>
      </c>
      <c r="I944">
        <v>1</v>
      </c>
      <c r="J944">
        <v>1</v>
      </c>
      <c r="K944">
        <v>1</v>
      </c>
      <c r="L944">
        <v>1</v>
      </c>
      <c r="M944">
        <v>1</v>
      </c>
      <c r="N944">
        <v>1</v>
      </c>
      <c r="O944">
        <v>1</v>
      </c>
      <c r="P944">
        <v>1</v>
      </c>
      <c r="Q944">
        <v>1</v>
      </c>
      <c r="R944">
        <v>1</v>
      </c>
      <c r="S944">
        <v>1</v>
      </c>
      <c r="T944">
        <v>1</v>
      </c>
      <c r="U944">
        <v>1</v>
      </c>
      <c r="V944">
        <v>1</v>
      </c>
      <c r="W944">
        <v>1</v>
      </c>
      <c r="X944">
        <v>1</v>
      </c>
      <c r="Y944">
        <v>1</v>
      </c>
      <c r="Z944">
        <v>1</v>
      </c>
      <c r="AA944">
        <v>1</v>
      </c>
      <c r="AB944">
        <v>1</v>
      </c>
      <c r="AC944">
        <v>1</v>
      </c>
    </row>
    <row r="945" spans="1:29" x14ac:dyDescent="0.45">
      <c r="A945" t="s">
        <v>102</v>
      </c>
      <c r="B945" t="s">
        <v>434</v>
      </c>
      <c r="C945" t="s">
        <v>435</v>
      </c>
      <c r="D945" t="s">
        <v>428</v>
      </c>
      <c r="E945" t="str">
        <f t="shared" si="14"/>
        <v>TN|onshore wind|Summer Peak</v>
      </c>
      <c r="F945">
        <v>0.92130000000000001</v>
      </c>
      <c r="G945">
        <v>0.92800000000000005</v>
      </c>
      <c r="H945">
        <v>0.95289999999999997</v>
      </c>
      <c r="I945">
        <v>0.94940000000000002</v>
      </c>
      <c r="J945">
        <v>0.93440000000000001</v>
      </c>
      <c r="K945">
        <v>0.94220000000000004</v>
      </c>
      <c r="L945">
        <v>0.96179999999999999</v>
      </c>
      <c r="M945">
        <v>0.91600000000000004</v>
      </c>
      <c r="N945">
        <v>0.81699999999999995</v>
      </c>
      <c r="O945">
        <v>0.7732</v>
      </c>
      <c r="P945">
        <v>0.76719999999999999</v>
      </c>
      <c r="Q945">
        <v>0.75590000000000002</v>
      </c>
      <c r="R945">
        <v>0.69110000000000005</v>
      </c>
      <c r="S945">
        <v>0.75690000000000002</v>
      </c>
      <c r="T945">
        <v>0.82179999999999997</v>
      </c>
      <c r="U945">
        <v>0.83940000000000003</v>
      </c>
      <c r="V945">
        <v>0.86229999999999996</v>
      </c>
      <c r="W945">
        <v>0.89380000000000004</v>
      </c>
      <c r="X945">
        <v>0.9103</v>
      </c>
      <c r="Y945">
        <v>0.9335</v>
      </c>
      <c r="Z945">
        <v>0.92900000000000005</v>
      </c>
      <c r="AA945">
        <v>0.9536</v>
      </c>
      <c r="AB945">
        <v>0.97609999999999997</v>
      </c>
      <c r="AC945">
        <v>0.98950000000000005</v>
      </c>
    </row>
    <row r="946" spans="1:29" x14ac:dyDescent="0.45">
      <c r="A946" t="s">
        <v>102</v>
      </c>
      <c r="B946" t="s">
        <v>434</v>
      </c>
      <c r="C946" t="s">
        <v>435</v>
      </c>
      <c r="D946" t="s">
        <v>429</v>
      </c>
      <c r="E946" t="str">
        <f t="shared" si="14"/>
        <v>TN|onshore wind|Winter Peak</v>
      </c>
      <c r="F946">
        <v>0.88390000000000002</v>
      </c>
      <c r="G946">
        <v>0.8569</v>
      </c>
      <c r="H946">
        <v>0.83889999999999998</v>
      </c>
      <c r="I946">
        <v>0.8246</v>
      </c>
      <c r="J946">
        <v>0.80969999999999998</v>
      </c>
      <c r="K946">
        <v>0.77990000000000004</v>
      </c>
      <c r="L946">
        <v>0.79559999999999997</v>
      </c>
      <c r="M946">
        <v>0.80669999999999997</v>
      </c>
      <c r="N946">
        <v>0.85460000000000003</v>
      </c>
      <c r="O946">
        <v>0.89159999999999995</v>
      </c>
      <c r="P946">
        <v>0.94589999999999996</v>
      </c>
      <c r="Q946">
        <v>0.95920000000000005</v>
      </c>
      <c r="R946">
        <v>0.97199999999999998</v>
      </c>
      <c r="S946">
        <v>0.96030000000000004</v>
      </c>
      <c r="T946">
        <v>0.88890000000000002</v>
      </c>
      <c r="U946">
        <v>0.85070000000000001</v>
      </c>
      <c r="V946">
        <v>0.92669999999999997</v>
      </c>
      <c r="W946">
        <v>0.88770000000000004</v>
      </c>
      <c r="X946">
        <v>0.87509999999999999</v>
      </c>
      <c r="Y946">
        <v>0.84089999999999998</v>
      </c>
      <c r="Z946">
        <v>0.81079999999999997</v>
      </c>
      <c r="AA946">
        <v>0.80730000000000002</v>
      </c>
      <c r="AB946">
        <v>0.79849999999999999</v>
      </c>
      <c r="AC946">
        <v>0.78990000000000005</v>
      </c>
    </row>
    <row r="947" spans="1:29" x14ac:dyDescent="0.45">
      <c r="A947" t="s">
        <v>102</v>
      </c>
      <c r="B947" t="s">
        <v>436</v>
      </c>
      <c r="C947" t="s">
        <v>437</v>
      </c>
      <c r="D947" t="s">
        <v>424</v>
      </c>
      <c r="E947" t="str">
        <f t="shared" si="14"/>
        <v>TN|solar pv|Winter</v>
      </c>
      <c r="F947">
        <v>1</v>
      </c>
      <c r="G947">
        <v>1</v>
      </c>
      <c r="H947">
        <v>1</v>
      </c>
      <c r="I947">
        <v>1</v>
      </c>
      <c r="J947">
        <v>1</v>
      </c>
      <c r="K947">
        <v>1</v>
      </c>
      <c r="L947">
        <v>1</v>
      </c>
      <c r="M947">
        <v>1</v>
      </c>
      <c r="N947">
        <v>1</v>
      </c>
      <c r="O947">
        <v>1</v>
      </c>
      <c r="P947">
        <v>1</v>
      </c>
      <c r="Q947">
        <v>1</v>
      </c>
      <c r="R947">
        <v>1</v>
      </c>
      <c r="S947">
        <v>1</v>
      </c>
      <c r="T947">
        <v>1</v>
      </c>
      <c r="U947">
        <v>1</v>
      </c>
      <c r="V947">
        <v>1</v>
      </c>
      <c r="W947">
        <v>1</v>
      </c>
      <c r="X947">
        <v>1</v>
      </c>
      <c r="Y947">
        <v>1</v>
      </c>
      <c r="Z947">
        <v>1</v>
      </c>
      <c r="AA947">
        <v>1</v>
      </c>
      <c r="AB947">
        <v>1</v>
      </c>
      <c r="AC947">
        <v>1</v>
      </c>
    </row>
    <row r="948" spans="1:29" x14ac:dyDescent="0.45">
      <c r="A948" t="s">
        <v>102</v>
      </c>
      <c r="B948" t="s">
        <v>436</v>
      </c>
      <c r="C948" t="s">
        <v>437</v>
      </c>
      <c r="D948" t="s">
        <v>425</v>
      </c>
      <c r="E948" t="str">
        <f t="shared" si="14"/>
        <v>TN|solar pv|Spring</v>
      </c>
      <c r="F948">
        <v>1</v>
      </c>
      <c r="G948">
        <v>1</v>
      </c>
      <c r="H948">
        <v>1</v>
      </c>
      <c r="I948">
        <v>1</v>
      </c>
      <c r="J948">
        <v>1</v>
      </c>
      <c r="K948">
        <v>1</v>
      </c>
      <c r="L948">
        <v>1</v>
      </c>
      <c r="M948">
        <v>1</v>
      </c>
      <c r="N948">
        <v>1</v>
      </c>
      <c r="O948">
        <v>1</v>
      </c>
      <c r="P948">
        <v>1</v>
      </c>
      <c r="Q948">
        <v>1</v>
      </c>
      <c r="R948">
        <v>1</v>
      </c>
      <c r="S948">
        <v>1</v>
      </c>
      <c r="T948">
        <v>1</v>
      </c>
      <c r="U948">
        <v>1</v>
      </c>
      <c r="V948">
        <v>1</v>
      </c>
      <c r="W948">
        <v>1</v>
      </c>
      <c r="X948">
        <v>1</v>
      </c>
      <c r="Y948">
        <v>1</v>
      </c>
      <c r="Z948">
        <v>1</v>
      </c>
      <c r="AA948">
        <v>1</v>
      </c>
      <c r="AB948">
        <v>1</v>
      </c>
      <c r="AC948">
        <v>1</v>
      </c>
    </row>
    <row r="949" spans="1:29" x14ac:dyDescent="0.45">
      <c r="A949" t="s">
        <v>102</v>
      </c>
      <c r="B949" t="s">
        <v>436</v>
      </c>
      <c r="C949" t="s">
        <v>437</v>
      </c>
      <c r="D949" t="s">
        <v>426</v>
      </c>
      <c r="E949" t="str">
        <f t="shared" si="14"/>
        <v>TN|solar pv|Summer</v>
      </c>
      <c r="F949">
        <v>1</v>
      </c>
      <c r="G949">
        <v>1</v>
      </c>
      <c r="H949">
        <v>1</v>
      </c>
      <c r="I949">
        <v>1</v>
      </c>
      <c r="J949">
        <v>1</v>
      </c>
      <c r="K949">
        <v>1</v>
      </c>
      <c r="L949">
        <v>1</v>
      </c>
      <c r="M949">
        <v>1</v>
      </c>
      <c r="N949">
        <v>1</v>
      </c>
      <c r="O949">
        <v>1</v>
      </c>
      <c r="P949">
        <v>1</v>
      </c>
      <c r="Q949">
        <v>1</v>
      </c>
      <c r="R949">
        <v>1</v>
      </c>
      <c r="S949">
        <v>1</v>
      </c>
      <c r="T949">
        <v>1</v>
      </c>
      <c r="U949">
        <v>1</v>
      </c>
      <c r="V949">
        <v>1</v>
      </c>
      <c r="W949">
        <v>1</v>
      </c>
      <c r="X949">
        <v>1</v>
      </c>
      <c r="Y949">
        <v>1</v>
      </c>
      <c r="Z949">
        <v>1</v>
      </c>
      <c r="AA949">
        <v>1</v>
      </c>
      <c r="AB949">
        <v>1</v>
      </c>
      <c r="AC949">
        <v>1</v>
      </c>
    </row>
    <row r="950" spans="1:29" x14ac:dyDescent="0.45">
      <c r="A950" t="s">
        <v>102</v>
      </c>
      <c r="B950" t="s">
        <v>436</v>
      </c>
      <c r="C950" t="s">
        <v>437</v>
      </c>
      <c r="D950" t="s">
        <v>427</v>
      </c>
      <c r="E950" t="str">
        <f t="shared" si="14"/>
        <v>TN|solar pv|Fall</v>
      </c>
      <c r="F950">
        <v>1</v>
      </c>
      <c r="G950">
        <v>1</v>
      </c>
      <c r="H950">
        <v>1</v>
      </c>
      <c r="I950">
        <v>1</v>
      </c>
      <c r="J950">
        <v>1</v>
      </c>
      <c r="K950">
        <v>1</v>
      </c>
      <c r="L950">
        <v>1</v>
      </c>
      <c r="M950">
        <v>1</v>
      </c>
      <c r="N950">
        <v>1</v>
      </c>
      <c r="O950">
        <v>1</v>
      </c>
      <c r="P950">
        <v>1</v>
      </c>
      <c r="Q950">
        <v>1</v>
      </c>
      <c r="R950">
        <v>1</v>
      </c>
      <c r="S950">
        <v>1</v>
      </c>
      <c r="T950">
        <v>1</v>
      </c>
      <c r="U950">
        <v>1</v>
      </c>
      <c r="V950">
        <v>1</v>
      </c>
      <c r="W950">
        <v>1</v>
      </c>
      <c r="X950">
        <v>1</v>
      </c>
      <c r="Y950">
        <v>1</v>
      </c>
      <c r="Z950">
        <v>1</v>
      </c>
      <c r="AA950">
        <v>1</v>
      </c>
      <c r="AB950">
        <v>1</v>
      </c>
      <c r="AC950">
        <v>1</v>
      </c>
    </row>
    <row r="951" spans="1:29" x14ac:dyDescent="0.45">
      <c r="A951" t="s">
        <v>102</v>
      </c>
      <c r="B951" t="s">
        <v>436</v>
      </c>
      <c r="C951" t="s">
        <v>437</v>
      </c>
      <c r="D951" t="s">
        <v>428</v>
      </c>
      <c r="E951" t="str">
        <f t="shared" si="14"/>
        <v>TN|solar pv|Summer Peak</v>
      </c>
      <c r="F951">
        <v>1</v>
      </c>
      <c r="G951">
        <v>1</v>
      </c>
      <c r="H951">
        <v>1</v>
      </c>
      <c r="I951">
        <v>1</v>
      </c>
      <c r="J951">
        <v>9.7799999999999998E-2</v>
      </c>
      <c r="K951">
        <v>0.76329999999999998</v>
      </c>
      <c r="L951">
        <v>0.92330000000000001</v>
      </c>
      <c r="M951">
        <v>0.84540000000000004</v>
      </c>
      <c r="N951">
        <v>0.88480000000000003</v>
      </c>
      <c r="O951">
        <v>0.89639999999999997</v>
      </c>
      <c r="P951">
        <v>0.9325</v>
      </c>
      <c r="Q951">
        <v>0.92059999999999997</v>
      </c>
      <c r="R951">
        <v>0.94710000000000005</v>
      </c>
      <c r="S951">
        <v>0.90680000000000005</v>
      </c>
      <c r="T951">
        <v>0.88109999999999999</v>
      </c>
      <c r="U951">
        <v>0.90059999999999996</v>
      </c>
      <c r="V951">
        <v>0.95950000000000002</v>
      </c>
      <c r="W951">
        <v>0.66</v>
      </c>
      <c r="X951">
        <v>1</v>
      </c>
      <c r="Y951">
        <v>1</v>
      </c>
      <c r="Z951">
        <v>1</v>
      </c>
      <c r="AA951">
        <v>1</v>
      </c>
      <c r="AB951">
        <v>1</v>
      </c>
      <c r="AC951">
        <v>1</v>
      </c>
    </row>
    <row r="952" spans="1:29" x14ac:dyDescent="0.45">
      <c r="A952" t="s">
        <v>102</v>
      </c>
      <c r="B952" t="s">
        <v>436</v>
      </c>
      <c r="C952" t="s">
        <v>437</v>
      </c>
      <c r="D952" t="s">
        <v>429</v>
      </c>
      <c r="E952" t="str">
        <f t="shared" si="14"/>
        <v>TN|solar pv|Winter Peak</v>
      </c>
      <c r="F952">
        <v>1</v>
      </c>
      <c r="G952">
        <v>1</v>
      </c>
      <c r="H952">
        <v>1</v>
      </c>
      <c r="I952">
        <v>1</v>
      </c>
      <c r="J952">
        <v>1</v>
      </c>
      <c r="K952">
        <v>1</v>
      </c>
      <c r="L952">
        <v>5.9200000000000003E-2</v>
      </c>
      <c r="M952">
        <v>0.28010000000000002</v>
      </c>
      <c r="N952">
        <v>0.40570000000000001</v>
      </c>
      <c r="O952">
        <v>0.46160000000000001</v>
      </c>
      <c r="P952">
        <v>0.63239999999999996</v>
      </c>
      <c r="Q952">
        <v>0.78069999999999995</v>
      </c>
      <c r="R952">
        <v>0.87329999999999997</v>
      </c>
      <c r="S952">
        <v>1</v>
      </c>
      <c r="T952">
        <v>0.84589999999999999</v>
      </c>
      <c r="U952">
        <v>0.68140000000000001</v>
      </c>
      <c r="V952">
        <v>0.22070000000000001</v>
      </c>
      <c r="W952">
        <v>1</v>
      </c>
      <c r="X952">
        <v>1</v>
      </c>
      <c r="Y952">
        <v>1</v>
      </c>
      <c r="Z952">
        <v>1</v>
      </c>
      <c r="AA952">
        <v>1</v>
      </c>
      <c r="AB952">
        <v>1</v>
      </c>
      <c r="AC952">
        <v>1</v>
      </c>
    </row>
    <row r="953" spans="1:29" x14ac:dyDescent="0.45">
      <c r="A953" t="s">
        <v>102</v>
      </c>
      <c r="B953" t="s">
        <v>438</v>
      </c>
      <c r="C953" t="s">
        <v>439</v>
      </c>
      <c r="D953" t="s">
        <v>424</v>
      </c>
      <c r="E953" t="str">
        <f t="shared" si="14"/>
        <v>TN|solar thermal|Winter</v>
      </c>
      <c r="F953">
        <v>1</v>
      </c>
      <c r="G953">
        <v>1</v>
      </c>
      <c r="H953">
        <v>1</v>
      </c>
      <c r="I953">
        <v>1</v>
      </c>
      <c r="J953">
        <v>1</v>
      </c>
      <c r="K953">
        <v>1</v>
      </c>
      <c r="L953">
        <v>1</v>
      </c>
      <c r="M953">
        <v>1</v>
      </c>
      <c r="N953">
        <v>1</v>
      </c>
      <c r="O953">
        <v>1</v>
      </c>
      <c r="P953">
        <v>1</v>
      </c>
      <c r="Q953">
        <v>1</v>
      </c>
      <c r="R953">
        <v>1</v>
      </c>
      <c r="S953">
        <v>1</v>
      </c>
      <c r="T953">
        <v>1</v>
      </c>
      <c r="U953">
        <v>1</v>
      </c>
      <c r="V953">
        <v>1</v>
      </c>
      <c r="W953">
        <v>1</v>
      </c>
      <c r="X953">
        <v>1</v>
      </c>
      <c r="Y953">
        <v>1</v>
      </c>
      <c r="Z953">
        <v>1</v>
      </c>
      <c r="AA953">
        <v>1</v>
      </c>
      <c r="AB953">
        <v>1</v>
      </c>
      <c r="AC953">
        <v>1</v>
      </c>
    </row>
    <row r="954" spans="1:29" x14ac:dyDescent="0.45">
      <c r="A954" t="s">
        <v>102</v>
      </c>
      <c r="B954" t="s">
        <v>438</v>
      </c>
      <c r="C954" t="s">
        <v>439</v>
      </c>
      <c r="D954" t="s">
        <v>425</v>
      </c>
      <c r="E954" t="str">
        <f t="shared" si="14"/>
        <v>TN|solar thermal|Spring</v>
      </c>
      <c r="F954">
        <v>1</v>
      </c>
      <c r="G954">
        <v>1</v>
      </c>
      <c r="H954">
        <v>1</v>
      </c>
      <c r="I954">
        <v>1</v>
      </c>
      <c r="J954">
        <v>1</v>
      </c>
      <c r="K954">
        <v>1</v>
      </c>
      <c r="L954">
        <v>1</v>
      </c>
      <c r="M954">
        <v>1</v>
      </c>
      <c r="N954">
        <v>1</v>
      </c>
      <c r="O954">
        <v>1</v>
      </c>
      <c r="P954">
        <v>1</v>
      </c>
      <c r="Q954">
        <v>1</v>
      </c>
      <c r="R954">
        <v>1</v>
      </c>
      <c r="S954">
        <v>1</v>
      </c>
      <c r="T954">
        <v>1</v>
      </c>
      <c r="U954">
        <v>1</v>
      </c>
      <c r="V954">
        <v>1</v>
      </c>
      <c r="W954">
        <v>1</v>
      </c>
      <c r="X954">
        <v>1</v>
      </c>
      <c r="Y954">
        <v>1</v>
      </c>
      <c r="Z954">
        <v>1</v>
      </c>
      <c r="AA954">
        <v>1</v>
      </c>
      <c r="AB954">
        <v>1</v>
      </c>
      <c r="AC954">
        <v>1</v>
      </c>
    </row>
    <row r="955" spans="1:29" x14ac:dyDescent="0.45">
      <c r="A955" t="s">
        <v>102</v>
      </c>
      <c r="B955" t="s">
        <v>438</v>
      </c>
      <c r="C955" t="s">
        <v>439</v>
      </c>
      <c r="D955" t="s">
        <v>426</v>
      </c>
      <c r="E955" t="str">
        <f t="shared" si="14"/>
        <v>TN|solar thermal|Summer</v>
      </c>
      <c r="F955">
        <v>1</v>
      </c>
      <c r="G955">
        <v>1</v>
      </c>
      <c r="H955">
        <v>1</v>
      </c>
      <c r="I955">
        <v>1</v>
      </c>
      <c r="J955">
        <v>1</v>
      </c>
      <c r="K955">
        <v>1</v>
      </c>
      <c r="L955">
        <v>1</v>
      </c>
      <c r="M955">
        <v>1</v>
      </c>
      <c r="N955">
        <v>1</v>
      </c>
      <c r="O955">
        <v>1</v>
      </c>
      <c r="P955">
        <v>1</v>
      </c>
      <c r="Q955">
        <v>1</v>
      </c>
      <c r="R955">
        <v>1</v>
      </c>
      <c r="S955">
        <v>1</v>
      </c>
      <c r="T955">
        <v>1</v>
      </c>
      <c r="U955">
        <v>1</v>
      </c>
      <c r="V955">
        <v>1</v>
      </c>
      <c r="W955">
        <v>1</v>
      </c>
      <c r="X955">
        <v>1</v>
      </c>
      <c r="Y955">
        <v>1</v>
      </c>
      <c r="Z955">
        <v>1</v>
      </c>
      <c r="AA955">
        <v>1</v>
      </c>
      <c r="AB955">
        <v>1</v>
      </c>
      <c r="AC955">
        <v>1</v>
      </c>
    </row>
    <row r="956" spans="1:29" x14ac:dyDescent="0.45">
      <c r="A956" t="s">
        <v>102</v>
      </c>
      <c r="B956" t="s">
        <v>438</v>
      </c>
      <c r="C956" t="s">
        <v>439</v>
      </c>
      <c r="D956" t="s">
        <v>427</v>
      </c>
      <c r="E956" t="str">
        <f t="shared" si="14"/>
        <v>TN|solar thermal|Fall</v>
      </c>
      <c r="F956">
        <v>1</v>
      </c>
      <c r="G956">
        <v>1</v>
      </c>
      <c r="H956">
        <v>1</v>
      </c>
      <c r="I956">
        <v>1</v>
      </c>
      <c r="J956">
        <v>1</v>
      </c>
      <c r="K956">
        <v>1</v>
      </c>
      <c r="L956">
        <v>1</v>
      </c>
      <c r="M956">
        <v>1</v>
      </c>
      <c r="N956">
        <v>1</v>
      </c>
      <c r="O956">
        <v>1</v>
      </c>
      <c r="P956">
        <v>1</v>
      </c>
      <c r="Q956">
        <v>1</v>
      </c>
      <c r="R956">
        <v>1</v>
      </c>
      <c r="S956">
        <v>1</v>
      </c>
      <c r="T956">
        <v>1</v>
      </c>
      <c r="U956">
        <v>1</v>
      </c>
      <c r="V956">
        <v>1</v>
      </c>
      <c r="W956">
        <v>1</v>
      </c>
      <c r="X956">
        <v>1</v>
      </c>
      <c r="Y956">
        <v>1</v>
      </c>
      <c r="Z956">
        <v>1</v>
      </c>
      <c r="AA956">
        <v>1</v>
      </c>
      <c r="AB956">
        <v>1</v>
      </c>
      <c r="AC956">
        <v>1</v>
      </c>
    </row>
    <row r="957" spans="1:29" x14ac:dyDescent="0.45">
      <c r="A957" t="s">
        <v>102</v>
      </c>
      <c r="B957" t="s">
        <v>438</v>
      </c>
      <c r="C957" t="s">
        <v>439</v>
      </c>
      <c r="D957" t="s">
        <v>428</v>
      </c>
      <c r="E957" t="str">
        <f t="shared" si="14"/>
        <v>TN|solar thermal|Summer Peak</v>
      </c>
      <c r="F957">
        <v>1</v>
      </c>
      <c r="G957">
        <v>1</v>
      </c>
      <c r="H957">
        <v>1</v>
      </c>
      <c r="I957">
        <v>1</v>
      </c>
      <c r="J957">
        <v>1</v>
      </c>
      <c r="K957">
        <v>1</v>
      </c>
      <c r="L957">
        <v>1</v>
      </c>
      <c r="M957">
        <v>0</v>
      </c>
      <c r="N957">
        <v>0.8639</v>
      </c>
      <c r="O957">
        <v>1</v>
      </c>
      <c r="P957">
        <v>1</v>
      </c>
      <c r="Q957">
        <v>0.97160000000000002</v>
      </c>
      <c r="R957">
        <v>0.96719999999999995</v>
      </c>
      <c r="S957">
        <v>1</v>
      </c>
      <c r="T957">
        <v>1</v>
      </c>
      <c r="U957">
        <v>1</v>
      </c>
      <c r="V957">
        <v>1</v>
      </c>
      <c r="W957">
        <v>1</v>
      </c>
      <c r="X957">
        <v>1</v>
      </c>
      <c r="Y957">
        <v>0.93130000000000002</v>
      </c>
      <c r="Z957">
        <v>0.70220000000000005</v>
      </c>
      <c r="AA957">
        <v>1</v>
      </c>
      <c r="AB957">
        <v>1</v>
      </c>
      <c r="AC957">
        <v>1</v>
      </c>
    </row>
    <row r="958" spans="1:29" x14ac:dyDescent="0.45">
      <c r="A958" t="s">
        <v>102</v>
      </c>
      <c r="B958" t="s">
        <v>438</v>
      </c>
      <c r="C958" t="s">
        <v>439</v>
      </c>
      <c r="D958" t="s">
        <v>429</v>
      </c>
      <c r="E958" t="str">
        <f t="shared" si="14"/>
        <v>TN|solar thermal|Winter Peak</v>
      </c>
      <c r="F958">
        <v>1</v>
      </c>
      <c r="G958">
        <v>1</v>
      </c>
      <c r="H958">
        <v>1</v>
      </c>
      <c r="I958">
        <v>1</v>
      </c>
      <c r="J958">
        <v>1</v>
      </c>
      <c r="K958">
        <v>1</v>
      </c>
      <c r="L958">
        <v>1</v>
      </c>
      <c r="M958">
        <v>1</v>
      </c>
      <c r="N958">
        <v>1</v>
      </c>
      <c r="O958">
        <v>0.2419</v>
      </c>
      <c r="P958">
        <v>0.95320000000000005</v>
      </c>
      <c r="Q958">
        <v>0.88039999999999996</v>
      </c>
      <c r="R958">
        <v>0.97819999999999996</v>
      </c>
      <c r="S958">
        <v>0.98950000000000005</v>
      </c>
      <c r="T958">
        <v>0.99270000000000003</v>
      </c>
      <c r="U958">
        <v>1</v>
      </c>
      <c r="V958">
        <v>1</v>
      </c>
      <c r="W958">
        <v>1</v>
      </c>
      <c r="X958">
        <v>0.89019999999999999</v>
      </c>
      <c r="Y958">
        <v>0</v>
      </c>
      <c r="Z958">
        <v>1</v>
      </c>
      <c r="AA958">
        <v>1</v>
      </c>
      <c r="AB958">
        <v>1</v>
      </c>
      <c r="AC958">
        <v>1</v>
      </c>
    </row>
    <row r="959" spans="1:29" x14ac:dyDescent="0.45">
      <c r="A959" t="s">
        <v>102</v>
      </c>
      <c r="B959" t="s">
        <v>440</v>
      </c>
      <c r="C959" t="s">
        <v>441</v>
      </c>
      <c r="D959" t="s">
        <v>424</v>
      </c>
      <c r="E959" t="str">
        <f t="shared" si="14"/>
        <v>TN|offshore wind|Winter</v>
      </c>
      <c r="F959">
        <v>1</v>
      </c>
      <c r="G959">
        <v>1</v>
      </c>
      <c r="H959">
        <v>1</v>
      </c>
      <c r="I959">
        <v>1</v>
      </c>
      <c r="J959">
        <v>1</v>
      </c>
      <c r="K959">
        <v>1</v>
      </c>
      <c r="L959">
        <v>1</v>
      </c>
      <c r="M959">
        <v>1</v>
      </c>
      <c r="N959">
        <v>1</v>
      </c>
      <c r="O959">
        <v>1</v>
      </c>
      <c r="P959">
        <v>1</v>
      </c>
      <c r="Q959">
        <v>1</v>
      </c>
      <c r="R959">
        <v>1</v>
      </c>
      <c r="S959">
        <v>1</v>
      </c>
      <c r="T959">
        <v>1</v>
      </c>
      <c r="U959">
        <v>1</v>
      </c>
      <c r="V959">
        <v>1</v>
      </c>
      <c r="W959">
        <v>1</v>
      </c>
      <c r="X959">
        <v>1</v>
      </c>
      <c r="Y959">
        <v>1</v>
      </c>
      <c r="Z959">
        <v>1</v>
      </c>
      <c r="AA959">
        <v>1</v>
      </c>
      <c r="AB959">
        <v>1</v>
      </c>
      <c r="AC959">
        <v>1</v>
      </c>
    </row>
    <row r="960" spans="1:29" x14ac:dyDescent="0.45">
      <c r="A960" t="s">
        <v>102</v>
      </c>
      <c r="B960" t="s">
        <v>440</v>
      </c>
      <c r="C960" t="s">
        <v>441</v>
      </c>
      <c r="D960" t="s">
        <v>425</v>
      </c>
      <c r="E960" t="str">
        <f t="shared" si="14"/>
        <v>TN|offshore wind|Spring</v>
      </c>
      <c r="F960">
        <v>1</v>
      </c>
      <c r="G960">
        <v>1</v>
      </c>
      <c r="H960">
        <v>1</v>
      </c>
      <c r="I960">
        <v>1</v>
      </c>
      <c r="J960">
        <v>1</v>
      </c>
      <c r="K960">
        <v>1</v>
      </c>
      <c r="L960">
        <v>1</v>
      </c>
      <c r="M960">
        <v>1</v>
      </c>
      <c r="N960">
        <v>1</v>
      </c>
      <c r="O960">
        <v>1</v>
      </c>
      <c r="P960">
        <v>1</v>
      </c>
      <c r="Q960">
        <v>1</v>
      </c>
      <c r="R960">
        <v>1</v>
      </c>
      <c r="S960">
        <v>1</v>
      </c>
      <c r="T960">
        <v>1</v>
      </c>
      <c r="U960">
        <v>1</v>
      </c>
      <c r="V960">
        <v>1</v>
      </c>
      <c r="W960">
        <v>1</v>
      </c>
      <c r="X960">
        <v>1</v>
      </c>
      <c r="Y960">
        <v>1</v>
      </c>
      <c r="Z960">
        <v>1</v>
      </c>
      <c r="AA960">
        <v>1</v>
      </c>
      <c r="AB960">
        <v>1</v>
      </c>
      <c r="AC960">
        <v>1</v>
      </c>
    </row>
    <row r="961" spans="1:29" x14ac:dyDescent="0.45">
      <c r="A961" t="s">
        <v>102</v>
      </c>
      <c r="B961" t="s">
        <v>440</v>
      </c>
      <c r="C961" t="s">
        <v>441</v>
      </c>
      <c r="D961" t="s">
        <v>426</v>
      </c>
      <c r="E961" t="str">
        <f t="shared" si="14"/>
        <v>TN|offshore wind|Summer</v>
      </c>
      <c r="F961">
        <v>1</v>
      </c>
      <c r="G961">
        <v>1</v>
      </c>
      <c r="H961">
        <v>1</v>
      </c>
      <c r="I961">
        <v>1</v>
      </c>
      <c r="J961">
        <v>1</v>
      </c>
      <c r="K961">
        <v>1</v>
      </c>
      <c r="L961">
        <v>1</v>
      </c>
      <c r="M961">
        <v>1</v>
      </c>
      <c r="N961">
        <v>1</v>
      </c>
      <c r="O961">
        <v>1</v>
      </c>
      <c r="P961">
        <v>1</v>
      </c>
      <c r="Q961">
        <v>1</v>
      </c>
      <c r="R961">
        <v>1</v>
      </c>
      <c r="S961">
        <v>1</v>
      </c>
      <c r="T961">
        <v>1</v>
      </c>
      <c r="U961">
        <v>1</v>
      </c>
      <c r="V961">
        <v>1</v>
      </c>
      <c r="W961">
        <v>1</v>
      </c>
      <c r="X961">
        <v>1</v>
      </c>
      <c r="Y961">
        <v>1</v>
      </c>
      <c r="Z961">
        <v>1</v>
      </c>
      <c r="AA961">
        <v>1</v>
      </c>
      <c r="AB961">
        <v>1</v>
      </c>
      <c r="AC961">
        <v>1</v>
      </c>
    </row>
    <row r="962" spans="1:29" x14ac:dyDescent="0.45">
      <c r="A962" t="s">
        <v>102</v>
      </c>
      <c r="B962" t="s">
        <v>440</v>
      </c>
      <c r="C962" t="s">
        <v>441</v>
      </c>
      <c r="D962" t="s">
        <v>427</v>
      </c>
      <c r="E962" t="str">
        <f t="shared" si="14"/>
        <v>TN|offshore wind|Fall</v>
      </c>
      <c r="F962">
        <v>1</v>
      </c>
      <c r="G962">
        <v>1</v>
      </c>
      <c r="H962">
        <v>1</v>
      </c>
      <c r="I962">
        <v>1</v>
      </c>
      <c r="J962">
        <v>1</v>
      </c>
      <c r="K962">
        <v>1</v>
      </c>
      <c r="L962">
        <v>1</v>
      </c>
      <c r="M962">
        <v>1</v>
      </c>
      <c r="N962">
        <v>1</v>
      </c>
      <c r="O962">
        <v>1</v>
      </c>
      <c r="P962">
        <v>1</v>
      </c>
      <c r="Q962">
        <v>1</v>
      </c>
      <c r="R962">
        <v>1</v>
      </c>
      <c r="S962">
        <v>1</v>
      </c>
      <c r="T962">
        <v>1</v>
      </c>
      <c r="U962">
        <v>1</v>
      </c>
      <c r="V962">
        <v>1</v>
      </c>
      <c r="W962">
        <v>1</v>
      </c>
      <c r="X962">
        <v>1</v>
      </c>
      <c r="Y962">
        <v>1</v>
      </c>
      <c r="Z962">
        <v>1</v>
      </c>
      <c r="AA962">
        <v>1</v>
      </c>
      <c r="AB962">
        <v>1</v>
      </c>
      <c r="AC962">
        <v>1</v>
      </c>
    </row>
    <row r="963" spans="1:29" x14ac:dyDescent="0.45">
      <c r="A963" t="s">
        <v>102</v>
      </c>
      <c r="B963" t="s">
        <v>440</v>
      </c>
      <c r="C963" t="s">
        <v>441</v>
      </c>
      <c r="D963" t="s">
        <v>428</v>
      </c>
      <c r="E963" t="str">
        <f t="shared" si="14"/>
        <v>TN|offshore wind|Summer Peak</v>
      </c>
      <c r="F963">
        <v>0.40810000000000002</v>
      </c>
      <c r="G963">
        <v>0.4239</v>
      </c>
      <c r="H963">
        <v>0.45760000000000001</v>
      </c>
      <c r="I963">
        <v>0.50319999999999998</v>
      </c>
      <c r="J963">
        <v>0.53649999999999998</v>
      </c>
      <c r="K963">
        <v>0.59399999999999997</v>
      </c>
      <c r="L963">
        <v>0.61929999999999996</v>
      </c>
      <c r="M963">
        <v>0.68859999999999999</v>
      </c>
      <c r="N963">
        <v>0.73480000000000001</v>
      </c>
      <c r="O963">
        <v>0.84350000000000003</v>
      </c>
      <c r="P963">
        <v>0.78200000000000003</v>
      </c>
      <c r="Q963">
        <v>0.74650000000000005</v>
      </c>
      <c r="R963">
        <v>0.63690000000000002</v>
      </c>
      <c r="S963">
        <v>0.60860000000000003</v>
      </c>
      <c r="T963">
        <v>0.64339999999999997</v>
      </c>
      <c r="U963">
        <v>0.69269999999999998</v>
      </c>
      <c r="V963">
        <v>0.71450000000000002</v>
      </c>
      <c r="W963">
        <v>0.75070000000000003</v>
      </c>
      <c r="X963">
        <v>0.72489999999999999</v>
      </c>
      <c r="Y963">
        <v>0.66049999999999998</v>
      </c>
      <c r="Z963">
        <v>0.69140000000000001</v>
      </c>
      <c r="AA963">
        <v>0.63080000000000003</v>
      </c>
      <c r="AB963">
        <v>0.63429999999999997</v>
      </c>
      <c r="AC963">
        <v>0.64390000000000003</v>
      </c>
    </row>
    <row r="964" spans="1:29" x14ac:dyDescent="0.45">
      <c r="A964" t="s">
        <v>102</v>
      </c>
      <c r="B964" t="s">
        <v>440</v>
      </c>
      <c r="C964" t="s">
        <v>441</v>
      </c>
      <c r="D964" t="s">
        <v>429</v>
      </c>
      <c r="E964" t="str">
        <f t="shared" si="14"/>
        <v>TN|offshore wind|Winter Peak</v>
      </c>
      <c r="F964">
        <v>0.95309999999999995</v>
      </c>
      <c r="G964">
        <v>0.95030000000000003</v>
      </c>
      <c r="H964">
        <v>0.95540000000000003</v>
      </c>
      <c r="I964">
        <v>0.96679999999999999</v>
      </c>
      <c r="J964">
        <v>1</v>
      </c>
      <c r="K964">
        <v>1</v>
      </c>
      <c r="L964">
        <v>1</v>
      </c>
      <c r="M964">
        <v>0.99209999999999998</v>
      </c>
      <c r="N964">
        <v>0.90149999999999997</v>
      </c>
      <c r="O964">
        <v>0.79779999999999995</v>
      </c>
      <c r="P964">
        <v>0.71879999999999999</v>
      </c>
      <c r="Q964">
        <v>0.67300000000000004</v>
      </c>
      <c r="R964">
        <v>0.60860000000000003</v>
      </c>
      <c r="S964">
        <v>0.58009999999999995</v>
      </c>
      <c r="T964">
        <v>0.58799999999999997</v>
      </c>
      <c r="U964">
        <v>0.61019999999999996</v>
      </c>
      <c r="V964">
        <v>0.61839999999999995</v>
      </c>
      <c r="W964">
        <v>0.60909999999999997</v>
      </c>
      <c r="X964">
        <v>0.62880000000000003</v>
      </c>
      <c r="Y964">
        <v>0.72889999999999999</v>
      </c>
      <c r="Z964">
        <v>0.84719999999999995</v>
      </c>
      <c r="AA964">
        <v>0.92220000000000002</v>
      </c>
      <c r="AB964">
        <v>0.86950000000000005</v>
      </c>
      <c r="AC964">
        <v>0.8054</v>
      </c>
    </row>
    <row r="965" spans="1:29" x14ac:dyDescent="0.45">
      <c r="A965" t="s">
        <v>104</v>
      </c>
      <c r="B965" t="s">
        <v>434</v>
      </c>
      <c r="C965" t="s">
        <v>435</v>
      </c>
      <c r="D965" t="s">
        <v>424</v>
      </c>
      <c r="E965" t="str">
        <f t="shared" ref="E965:E1028" si="15">A965&amp;"|"&amp;C965&amp;"|"&amp;D965</f>
        <v>TX|onshore wind|Winter</v>
      </c>
      <c r="F965">
        <v>1</v>
      </c>
      <c r="G965">
        <v>1</v>
      </c>
      <c r="H965">
        <v>1</v>
      </c>
      <c r="I965">
        <v>1</v>
      </c>
      <c r="J965">
        <v>1</v>
      </c>
      <c r="K965">
        <v>1</v>
      </c>
      <c r="L965">
        <v>1</v>
      </c>
      <c r="M965">
        <v>1</v>
      </c>
      <c r="N965">
        <v>1</v>
      </c>
      <c r="O965">
        <v>1</v>
      </c>
      <c r="P965">
        <v>1</v>
      </c>
      <c r="Q965">
        <v>1</v>
      </c>
      <c r="R965">
        <v>1</v>
      </c>
      <c r="S965">
        <v>1</v>
      </c>
      <c r="T965">
        <v>1</v>
      </c>
      <c r="U965">
        <v>1</v>
      </c>
      <c r="V965">
        <v>1</v>
      </c>
      <c r="W965">
        <v>1</v>
      </c>
      <c r="X965">
        <v>1</v>
      </c>
      <c r="Y965">
        <v>1</v>
      </c>
      <c r="Z965">
        <v>1</v>
      </c>
      <c r="AA965">
        <v>1</v>
      </c>
      <c r="AB965">
        <v>1</v>
      </c>
      <c r="AC965">
        <v>1</v>
      </c>
    </row>
    <row r="966" spans="1:29" x14ac:dyDescent="0.45">
      <c r="A966" t="s">
        <v>104</v>
      </c>
      <c r="B966" t="s">
        <v>434</v>
      </c>
      <c r="C966" t="s">
        <v>435</v>
      </c>
      <c r="D966" t="s">
        <v>425</v>
      </c>
      <c r="E966" t="str">
        <f t="shared" si="15"/>
        <v>TX|onshore wind|Spring</v>
      </c>
      <c r="F966">
        <v>1</v>
      </c>
      <c r="G966">
        <v>1</v>
      </c>
      <c r="H966">
        <v>1</v>
      </c>
      <c r="I966">
        <v>1</v>
      </c>
      <c r="J966">
        <v>1</v>
      </c>
      <c r="K966">
        <v>1</v>
      </c>
      <c r="L966">
        <v>1</v>
      </c>
      <c r="M966">
        <v>1</v>
      </c>
      <c r="N966">
        <v>1</v>
      </c>
      <c r="O966">
        <v>1</v>
      </c>
      <c r="P966">
        <v>1</v>
      </c>
      <c r="Q966">
        <v>1</v>
      </c>
      <c r="R966">
        <v>1</v>
      </c>
      <c r="S966">
        <v>1</v>
      </c>
      <c r="T966">
        <v>1</v>
      </c>
      <c r="U966">
        <v>1</v>
      </c>
      <c r="V966">
        <v>1</v>
      </c>
      <c r="W966">
        <v>1</v>
      </c>
      <c r="X966">
        <v>1</v>
      </c>
      <c r="Y966">
        <v>1</v>
      </c>
      <c r="Z966">
        <v>1</v>
      </c>
      <c r="AA966">
        <v>1</v>
      </c>
      <c r="AB966">
        <v>1</v>
      </c>
      <c r="AC966">
        <v>1</v>
      </c>
    </row>
    <row r="967" spans="1:29" x14ac:dyDescent="0.45">
      <c r="A967" t="s">
        <v>104</v>
      </c>
      <c r="B967" t="s">
        <v>434</v>
      </c>
      <c r="C967" t="s">
        <v>435</v>
      </c>
      <c r="D967" t="s">
        <v>426</v>
      </c>
      <c r="E967" t="str">
        <f t="shared" si="15"/>
        <v>TX|onshore wind|Summer</v>
      </c>
      <c r="F967">
        <v>1</v>
      </c>
      <c r="G967">
        <v>1</v>
      </c>
      <c r="H967">
        <v>1</v>
      </c>
      <c r="I967">
        <v>1</v>
      </c>
      <c r="J967">
        <v>1</v>
      </c>
      <c r="K967">
        <v>1</v>
      </c>
      <c r="L967">
        <v>1</v>
      </c>
      <c r="M967">
        <v>1</v>
      </c>
      <c r="N967">
        <v>1</v>
      </c>
      <c r="O967">
        <v>1</v>
      </c>
      <c r="P967">
        <v>1</v>
      </c>
      <c r="Q967">
        <v>1</v>
      </c>
      <c r="R967">
        <v>1</v>
      </c>
      <c r="S967">
        <v>1</v>
      </c>
      <c r="T967">
        <v>1</v>
      </c>
      <c r="U967">
        <v>1</v>
      </c>
      <c r="V967">
        <v>1</v>
      </c>
      <c r="W967">
        <v>1</v>
      </c>
      <c r="X967">
        <v>1</v>
      </c>
      <c r="Y967">
        <v>1</v>
      </c>
      <c r="Z967">
        <v>1</v>
      </c>
      <c r="AA967">
        <v>1</v>
      </c>
      <c r="AB967">
        <v>1</v>
      </c>
      <c r="AC967">
        <v>1</v>
      </c>
    </row>
    <row r="968" spans="1:29" x14ac:dyDescent="0.45">
      <c r="A968" t="s">
        <v>104</v>
      </c>
      <c r="B968" t="s">
        <v>434</v>
      </c>
      <c r="C968" t="s">
        <v>435</v>
      </c>
      <c r="D968" t="s">
        <v>427</v>
      </c>
      <c r="E968" t="str">
        <f t="shared" si="15"/>
        <v>TX|onshore wind|Fall</v>
      </c>
      <c r="F968">
        <v>1</v>
      </c>
      <c r="G968">
        <v>1</v>
      </c>
      <c r="H968">
        <v>1</v>
      </c>
      <c r="I968">
        <v>1</v>
      </c>
      <c r="J968">
        <v>1</v>
      </c>
      <c r="K968">
        <v>1</v>
      </c>
      <c r="L968">
        <v>1</v>
      </c>
      <c r="M968">
        <v>1</v>
      </c>
      <c r="N968">
        <v>1</v>
      </c>
      <c r="O968">
        <v>1</v>
      </c>
      <c r="P968">
        <v>1</v>
      </c>
      <c r="Q968">
        <v>1</v>
      </c>
      <c r="R968">
        <v>1</v>
      </c>
      <c r="S968">
        <v>1</v>
      </c>
      <c r="T968">
        <v>1</v>
      </c>
      <c r="U968">
        <v>1</v>
      </c>
      <c r="V968">
        <v>1</v>
      </c>
      <c r="W968">
        <v>1</v>
      </c>
      <c r="X968">
        <v>1</v>
      </c>
      <c r="Y968">
        <v>1</v>
      </c>
      <c r="Z968">
        <v>1</v>
      </c>
      <c r="AA968">
        <v>1</v>
      </c>
      <c r="AB968">
        <v>1</v>
      </c>
      <c r="AC968">
        <v>1</v>
      </c>
    </row>
    <row r="969" spans="1:29" x14ac:dyDescent="0.45">
      <c r="A969" t="s">
        <v>104</v>
      </c>
      <c r="B969" t="s">
        <v>434</v>
      </c>
      <c r="C969" t="s">
        <v>435</v>
      </c>
      <c r="D969" t="s">
        <v>428</v>
      </c>
      <c r="E969" t="str">
        <f t="shared" si="15"/>
        <v>TX|onshore wind|Summer Peak</v>
      </c>
      <c r="F969">
        <v>0.79730000000000001</v>
      </c>
      <c r="G969">
        <v>0.81369999999999998</v>
      </c>
      <c r="H969">
        <v>0.77869999999999995</v>
      </c>
      <c r="I969">
        <v>0.80730000000000002</v>
      </c>
      <c r="J969">
        <v>0.77439999999999998</v>
      </c>
      <c r="K969">
        <v>0.80859999999999999</v>
      </c>
      <c r="L969">
        <v>0.90610000000000002</v>
      </c>
      <c r="M969">
        <v>0.85289999999999999</v>
      </c>
      <c r="N969">
        <v>0.62239999999999995</v>
      </c>
      <c r="O969">
        <v>0.48130000000000001</v>
      </c>
      <c r="P969">
        <v>0.54449999999999998</v>
      </c>
      <c r="Q969">
        <v>0.60360000000000003</v>
      </c>
      <c r="R969">
        <v>0.73970000000000002</v>
      </c>
      <c r="S969">
        <v>0.77149999999999996</v>
      </c>
      <c r="T969">
        <v>0.76419999999999999</v>
      </c>
      <c r="U969">
        <v>0.82509999999999994</v>
      </c>
      <c r="V969">
        <v>0.82169999999999999</v>
      </c>
      <c r="W969">
        <v>0.8004</v>
      </c>
      <c r="X969">
        <v>0.79630000000000001</v>
      </c>
      <c r="Y969">
        <v>0.77159999999999995</v>
      </c>
      <c r="Z969">
        <v>0.75839999999999996</v>
      </c>
      <c r="AA969">
        <v>0.72009999999999996</v>
      </c>
      <c r="AB969">
        <v>0.7712</v>
      </c>
      <c r="AC969">
        <v>0.79930000000000001</v>
      </c>
    </row>
    <row r="970" spans="1:29" x14ac:dyDescent="0.45">
      <c r="A970" t="s">
        <v>104</v>
      </c>
      <c r="B970" t="s">
        <v>434</v>
      </c>
      <c r="C970" t="s">
        <v>435</v>
      </c>
      <c r="D970" t="s">
        <v>429</v>
      </c>
      <c r="E970" t="str">
        <f t="shared" si="15"/>
        <v>TX|onshore wind|Winter Peak</v>
      </c>
      <c r="F970">
        <v>0.89829999999999999</v>
      </c>
      <c r="G970">
        <v>0.81889999999999996</v>
      </c>
      <c r="H970">
        <v>0.80659999999999998</v>
      </c>
      <c r="I970">
        <v>0.81299999999999994</v>
      </c>
      <c r="J970">
        <v>0.84870000000000001</v>
      </c>
      <c r="K970">
        <v>0.83299999999999996</v>
      </c>
      <c r="L970">
        <v>0.80330000000000001</v>
      </c>
      <c r="M970">
        <v>0.79059999999999997</v>
      </c>
      <c r="N970">
        <v>0.71960000000000002</v>
      </c>
      <c r="O970">
        <v>0.74590000000000001</v>
      </c>
      <c r="P970">
        <v>0.6542</v>
      </c>
      <c r="Q970">
        <v>0.69510000000000005</v>
      </c>
      <c r="R970">
        <v>0.70989999999999998</v>
      </c>
      <c r="S970">
        <v>0.72299999999999998</v>
      </c>
      <c r="T970">
        <v>0.83479999999999999</v>
      </c>
      <c r="U970">
        <v>0.89839999999999998</v>
      </c>
      <c r="V970">
        <v>0.84260000000000002</v>
      </c>
      <c r="W970">
        <v>0.75160000000000005</v>
      </c>
      <c r="X970">
        <v>0.77900000000000003</v>
      </c>
      <c r="Y970">
        <v>0.74460000000000004</v>
      </c>
      <c r="Z970">
        <v>0.69020000000000004</v>
      </c>
      <c r="AA970">
        <v>0.69410000000000005</v>
      </c>
      <c r="AB970">
        <v>0.72560000000000002</v>
      </c>
      <c r="AC970">
        <v>0.75890000000000002</v>
      </c>
    </row>
    <row r="971" spans="1:29" x14ac:dyDescent="0.45">
      <c r="A971" t="s">
        <v>104</v>
      </c>
      <c r="B971" t="s">
        <v>436</v>
      </c>
      <c r="C971" t="s">
        <v>437</v>
      </c>
      <c r="D971" t="s">
        <v>424</v>
      </c>
      <c r="E971" t="str">
        <f t="shared" si="15"/>
        <v>TX|solar pv|Winter</v>
      </c>
      <c r="F971">
        <v>1</v>
      </c>
      <c r="G971">
        <v>1</v>
      </c>
      <c r="H971">
        <v>1</v>
      </c>
      <c r="I971">
        <v>1</v>
      </c>
      <c r="J971">
        <v>1</v>
      </c>
      <c r="K971">
        <v>1</v>
      </c>
      <c r="L971">
        <v>1</v>
      </c>
      <c r="M971">
        <v>1</v>
      </c>
      <c r="N971">
        <v>1</v>
      </c>
      <c r="O971">
        <v>1</v>
      </c>
      <c r="P971">
        <v>1</v>
      </c>
      <c r="Q971">
        <v>1</v>
      </c>
      <c r="R971">
        <v>1</v>
      </c>
      <c r="S971">
        <v>1</v>
      </c>
      <c r="T971">
        <v>1</v>
      </c>
      <c r="U971">
        <v>1</v>
      </c>
      <c r="V971">
        <v>1</v>
      </c>
      <c r="W971">
        <v>1</v>
      </c>
      <c r="X971">
        <v>1</v>
      </c>
      <c r="Y971">
        <v>1</v>
      </c>
      <c r="Z971">
        <v>1</v>
      </c>
      <c r="AA971">
        <v>1</v>
      </c>
      <c r="AB971">
        <v>1</v>
      </c>
      <c r="AC971">
        <v>1</v>
      </c>
    </row>
    <row r="972" spans="1:29" x14ac:dyDescent="0.45">
      <c r="A972" t="s">
        <v>104</v>
      </c>
      <c r="B972" t="s">
        <v>436</v>
      </c>
      <c r="C972" t="s">
        <v>437</v>
      </c>
      <c r="D972" t="s">
        <v>425</v>
      </c>
      <c r="E972" t="str">
        <f t="shared" si="15"/>
        <v>TX|solar pv|Spring</v>
      </c>
      <c r="F972">
        <v>1</v>
      </c>
      <c r="G972">
        <v>1</v>
      </c>
      <c r="H972">
        <v>1</v>
      </c>
      <c r="I972">
        <v>1</v>
      </c>
      <c r="J972">
        <v>1</v>
      </c>
      <c r="K972">
        <v>1</v>
      </c>
      <c r="L972">
        <v>1</v>
      </c>
      <c r="M972">
        <v>1</v>
      </c>
      <c r="N972">
        <v>1</v>
      </c>
      <c r="O972">
        <v>1</v>
      </c>
      <c r="P972">
        <v>1</v>
      </c>
      <c r="Q972">
        <v>1</v>
      </c>
      <c r="R972">
        <v>1</v>
      </c>
      <c r="S972">
        <v>1</v>
      </c>
      <c r="T972">
        <v>1</v>
      </c>
      <c r="U972">
        <v>1</v>
      </c>
      <c r="V972">
        <v>1</v>
      </c>
      <c r="W972">
        <v>1</v>
      </c>
      <c r="X972">
        <v>1</v>
      </c>
      <c r="Y972">
        <v>1</v>
      </c>
      <c r="Z972">
        <v>1</v>
      </c>
      <c r="AA972">
        <v>1</v>
      </c>
      <c r="AB972">
        <v>1</v>
      </c>
      <c r="AC972">
        <v>1</v>
      </c>
    </row>
    <row r="973" spans="1:29" x14ac:dyDescent="0.45">
      <c r="A973" t="s">
        <v>104</v>
      </c>
      <c r="B973" t="s">
        <v>436</v>
      </c>
      <c r="C973" t="s">
        <v>437</v>
      </c>
      <c r="D973" t="s">
        <v>426</v>
      </c>
      <c r="E973" t="str">
        <f t="shared" si="15"/>
        <v>TX|solar pv|Summer</v>
      </c>
      <c r="F973">
        <v>1</v>
      </c>
      <c r="G973">
        <v>1</v>
      </c>
      <c r="H973">
        <v>1</v>
      </c>
      <c r="I973">
        <v>1</v>
      </c>
      <c r="J973">
        <v>1</v>
      </c>
      <c r="K973">
        <v>1</v>
      </c>
      <c r="L973">
        <v>1</v>
      </c>
      <c r="M973">
        <v>1</v>
      </c>
      <c r="N973">
        <v>1</v>
      </c>
      <c r="O973">
        <v>1</v>
      </c>
      <c r="P973">
        <v>1</v>
      </c>
      <c r="Q973">
        <v>1</v>
      </c>
      <c r="R973">
        <v>1</v>
      </c>
      <c r="S973">
        <v>1</v>
      </c>
      <c r="T973">
        <v>1</v>
      </c>
      <c r="U973">
        <v>1</v>
      </c>
      <c r="V973">
        <v>1</v>
      </c>
      <c r="W973">
        <v>1</v>
      </c>
      <c r="X973">
        <v>1</v>
      </c>
      <c r="Y973">
        <v>1</v>
      </c>
      <c r="Z973">
        <v>1</v>
      </c>
      <c r="AA973">
        <v>1</v>
      </c>
      <c r="AB973">
        <v>1</v>
      </c>
      <c r="AC973">
        <v>1</v>
      </c>
    </row>
    <row r="974" spans="1:29" x14ac:dyDescent="0.45">
      <c r="A974" t="s">
        <v>104</v>
      </c>
      <c r="B974" t="s">
        <v>436</v>
      </c>
      <c r="C974" t="s">
        <v>437</v>
      </c>
      <c r="D974" t="s">
        <v>427</v>
      </c>
      <c r="E974" t="str">
        <f t="shared" si="15"/>
        <v>TX|solar pv|Fall</v>
      </c>
      <c r="F974">
        <v>1</v>
      </c>
      <c r="G974">
        <v>1</v>
      </c>
      <c r="H974">
        <v>1</v>
      </c>
      <c r="I974">
        <v>1</v>
      </c>
      <c r="J974">
        <v>1</v>
      </c>
      <c r="K974">
        <v>1</v>
      </c>
      <c r="L974">
        <v>1</v>
      </c>
      <c r="M974">
        <v>1</v>
      </c>
      <c r="N974">
        <v>1</v>
      </c>
      <c r="O974">
        <v>1</v>
      </c>
      <c r="P974">
        <v>1</v>
      </c>
      <c r="Q974">
        <v>1</v>
      </c>
      <c r="R974">
        <v>1</v>
      </c>
      <c r="S974">
        <v>1</v>
      </c>
      <c r="T974">
        <v>1</v>
      </c>
      <c r="U974">
        <v>1</v>
      </c>
      <c r="V974">
        <v>1</v>
      </c>
      <c r="W974">
        <v>1</v>
      </c>
      <c r="X974">
        <v>1</v>
      </c>
      <c r="Y974">
        <v>1</v>
      </c>
      <c r="Z974">
        <v>1</v>
      </c>
      <c r="AA974">
        <v>1</v>
      </c>
      <c r="AB974">
        <v>1</v>
      </c>
      <c r="AC974">
        <v>1</v>
      </c>
    </row>
    <row r="975" spans="1:29" x14ac:dyDescent="0.45">
      <c r="A975" t="s">
        <v>104</v>
      </c>
      <c r="B975" t="s">
        <v>436</v>
      </c>
      <c r="C975" t="s">
        <v>437</v>
      </c>
      <c r="D975" t="s">
        <v>428</v>
      </c>
      <c r="E975" t="str">
        <f t="shared" si="15"/>
        <v>TX|solar pv|Summer Peak</v>
      </c>
      <c r="F975">
        <v>1</v>
      </c>
      <c r="G975">
        <v>1</v>
      </c>
      <c r="H975">
        <v>1</v>
      </c>
      <c r="I975">
        <v>1</v>
      </c>
      <c r="J975">
        <v>1</v>
      </c>
      <c r="K975">
        <v>1.5299999999999999E-2</v>
      </c>
      <c r="L975">
        <v>0.81479999999999997</v>
      </c>
      <c r="M975">
        <v>0.81740000000000002</v>
      </c>
      <c r="N975">
        <v>0.83960000000000001</v>
      </c>
      <c r="O975">
        <v>0.87880000000000003</v>
      </c>
      <c r="P975">
        <v>0.9405</v>
      </c>
      <c r="Q975">
        <v>0.9738</v>
      </c>
      <c r="R975">
        <v>0.97870000000000001</v>
      </c>
      <c r="S975">
        <v>0.97289999999999999</v>
      </c>
      <c r="T975">
        <v>0.9819</v>
      </c>
      <c r="U975">
        <v>0.97460000000000002</v>
      </c>
      <c r="V975">
        <v>0.99719999999999998</v>
      </c>
      <c r="W975">
        <v>0.87409999999999999</v>
      </c>
      <c r="X975">
        <v>0.61750000000000005</v>
      </c>
      <c r="Y975">
        <v>1</v>
      </c>
      <c r="Z975">
        <v>1</v>
      </c>
      <c r="AA975">
        <v>1</v>
      </c>
      <c r="AB975">
        <v>1</v>
      </c>
      <c r="AC975">
        <v>1</v>
      </c>
    </row>
    <row r="976" spans="1:29" x14ac:dyDescent="0.45">
      <c r="A976" t="s">
        <v>104</v>
      </c>
      <c r="B976" t="s">
        <v>436</v>
      </c>
      <c r="C976" t="s">
        <v>437</v>
      </c>
      <c r="D976" t="s">
        <v>429</v>
      </c>
      <c r="E976" t="str">
        <f t="shared" si="15"/>
        <v>TX|solar pv|Winter Peak</v>
      </c>
      <c r="F976">
        <v>1</v>
      </c>
      <c r="G976">
        <v>1</v>
      </c>
      <c r="H976">
        <v>1</v>
      </c>
      <c r="I976">
        <v>1</v>
      </c>
      <c r="J976">
        <v>1</v>
      </c>
      <c r="K976">
        <v>1</v>
      </c>
      <c r="L976">
        <v>1</v>
      </c>
      <c r="M976">
        <v>0.21690000000000001</v>
      </c>
      <c r="N976">
        <v>0.85719999999999996</v>
      </c>
      <c r="O976">
        <v>0.89059999999999995</v>
      </c>
      <c r="P976">
        <v>0.9133</v>
      </c>
      <c r="Q976">
        <v>0.93869999999999998</v>
      </c>
      <c r="R976">
        <v>0.97250000000000003</v>
      </c>
      <c r="S976">
        <v>0.96899999999999997</v>
      </c>
      <c r="T976">
        <v>0.96099999999999997</v>
      </c>
      <c r="U976">
        <v>0.91700000000000004</v>
      </c>
      <c r="V976">
        <v>0.80989999999999995</v>
      </c>
      <c r="W976">
        <v>0</v>
      </c>
      <c r="X976">
        <v>1</v>
      </c>
      <c r="Y976">
        <v>1</v>
      </c>
      <c r="Z976">
        <v>1</v>
      </c>
      <c r="AA976">
        <v>1</v>
      </c>
      <c r="AB976">
        <v>1</v>
      </c>
      <c r="AC976">
        <v>1</v>
      </c>
    </row>
    <row r="977" spans="1:29" x14ac:dyDescent="0.45">
      <c r="A977" t="s">
        <v>104</v>
      </c>
      <c r="B977" t="s">
        <v>438</v>
      </c>
      <c r="C977" t="s">
        <v>439</v>
      </c>
      <c r="D977" t="s">
        <v>424</v>
      </c>
      <c r="E977" t="str">
        <f t="shared" si="15"/>
        <v>TX|solar thermal|Winter</v>
      </c>
      <c r="F977">
        <v>1</v>
      </c>
      <c r="G977">
        <v>1</v>
      </c>
      <c r="H977">
        <v>1</v>
      </c>
      <c r="I977">
        <v>1</v>
      </c>
      <c r="J977">
        <v>1</v>
      </c>
      <c r="K977">
        <v>1</v>
      </c>
      <c r="L977">
        <v>1</v>
      </c>
      <c r="M977">
        <v>1</v>
      </c>
      <c r="N977">
        <v>1</v>
      </c>
      <c r="O977">
        <v>1</v>
      </c>
      <c r="P977">
        <v>1</v>
      </c>
      <c r="Q977">
        <v>1</v>
      </c>
      <c r="R977">
        <v>1</v>
      </c>
      <c r="S977">
        <v>1</v>
      </c>
      <c r="T977">
        <v>1</v>
      </c>
      <c r="U977">
        <v>1</v>
      </c>
      <c r="V977">
        <v>1</v>
      </c>
      <c r="W977">
        <v>1</v>
      </c>
      <c r="X977">
        <v>1</v>
      </c>
      <c r="Y977">
        <v>1</v>
      </c>
      <c r="Z977">
        <v>1</v>
      </c>
      <c r="AA977">
        <v>1</v>
      </c>
      <c r="AB977">
        <v>1</v>
      </c>
      <c r="AC977">
        <v>1</v>
      </c>
    </row>
    <row r="978" spans="1:29" x14ac:dyDescent="0.45">
      <c r="A978" t="s">
        <v>104</v>
      </c>
      <c r="B978" t="s">
        <v>438</v>
      </c>
      <c r="C978" t="s">
        <v>439</v>
      </c>
      <c r="D978" t="s">
        <v>425</v>
      </c>
      <c r="E978" t="str">
        <f t="shared" si="15"/>
        <v>TX|solar thermal|Spring</v>
      </c>
      <c r="F978">
        <v>1</v>
      </c>
      <c r="G978">
        <v>1</v>
      </c>
      <c r="H978">
        <v>1</v>
      </c>
      <c r="I978">
        <v>1</v>
      </c>
      <c r="J978">
        <v>1</v>
      </c>
      <c r="K978">
        <v>1</v>
      </c>
      <c r="L978">
        <v>1</v>
      </c>
      <c r="M978">
        <v>1</v>
      </c>
      <c r="N978">
        <v>1</v>
      </c>
      <c r="O978">
        <v>1</v>
      </c>
      <c r="P978">
        <v>1</v>
      </c>
      <c r="Q978">
        <v>1</v>
      </c>
      <c r="R978">
        <v>1</v>
      </c>
      <c r="S978">
        <v>1</v>
      </c>
      <c r="T978">
        <v>1</v>
      </c>
      <c r="U978">
        <v>1</v>
      </c>
      <c r="V978">
        <v>1</v>
      </c>
      <c r="W978">
        <v>1</v>
      </c>
      <c r="X978">
        <v>1</v>
      </c>
      <c r="Y978">
        <v>1</v>
      </c>
      <c r="Z978">
        <v>1</v>
      </c>
      <c r="AA978">
        <v>1</v>
      </c>
      <c r="AB978">
        <v>1</v>
      </c>
      <c r="AC978">
        <v>1</v>
      </c>
    </row>
    <row r="979" spans="1:29" x14ac:dyDescent="0.45">
      <c r="A979" t="s">
        <v>104</v>
      </c>
      <c r="B979" t="s">
        <v>438</v>
      </c>
      <c r="C979" t="s">
        <v>439</v>
      </c>
      <c r="D979" t="s">
        <v>426</v>
      </c>
      <c r="E979" t="str">
        <f t="shared" si="15"/>
        <v>TX|solar thermal|Summer</v>
      </c>
      <c r="F979">
        <v>1</v>
      </c>
      <c r="G979">
        <v>1</v>
      </c>
      <c r="H979">
        <v>1</v>
      </c>
      <c r="I979">
        <v>1</v>
      </c>
      <c r="J979">
        <v>1</v>
      </c>
      <c r="K979">
        <v>1</v>
      </c>
      <c r="L979">
        <v>1</v>
      </c>
      <c r="M979">
        <v>1</v>
      </c>
      <c r="N979">
        <v>1</v>
      </c>
      <c r="O979">
        <v>1</v>
      </c>
      <c r="P979">
        <v>1</v>
      </c>
      <c r="Q979">
        <v>1</v>
      </c>
      <c r="R979">
        <v>1</v>
      </c>
      <c r="S979">
        <v>1</v>
      </c>
      <c r="T979">
        <v>1</v>
      </c>
      <c r="U979">
        <v>1</v>
      </c>
      <c r="V979">
        <v>1</v>
      </c>
      <c r="W979">
        <v>1</v>
      </c>
      <c r="X979">
        <v>1</v>
      </c>
      <c r="Y979">
        <v>1</v>
      </c>
      <c r="Z979">
        <v>1</v>
      </c>
      <c r="AA979">
        <v>1</v>
      </c>
      <c r="AB979">
        <v>1</v>
      </c>
      <c r="AC979">
        <v>1</v>
      </c>
    </row>
    <row r="980" spans="1:29" x14ac:dyDescent="0.45">
      <c r="A980" t="s">
        <v>104</v>
      </c>
      <c r="B980" t="s">
        <v>438</v>
      </c>
      <c r="C980" t="s">
        <v>439</v>
      </c>
      <c r="D980" t="s">
        <v>427</v>
      </c>
      <c r="E980" t="str">
        <f t="shared" si="15"/>
        <v>TX|solar thermal|Fall</v>
      </c>
      <c r="F980">
        <v>1</v>
      </c>
      <c r="G980">
        <v>1</v>
      </c>
      <c r="H980">
        <v>1</v>
      </c>
      <c r="I980">
        <v>1</v>
      </c>
      <c r="J980">
        <v>1</v>
      </c>
      <c r="K980">
        <v>1</v>
      </c>
      <c r="L980">
        <v>1</v>
      </c>
      <c r="M980">
        <v>1</v>
      </c>
      <c r="N980">
        <v>1</v>
      </c>
      <c r="O980">
        <v>1</v>
      </c>
      <c r="P980">
        <v>1</v>
      </c>
      <c r="Q980">
        <v>1</v>
      </c>
      <c r="R980">
        <v>1</v>
      </c>
      <c r="S980">
        <v>1</v>
      </c>
      <c r="T980">
        <v>1</v>
      </c>
      <c r="U980">
        <v>1</v>
      </c>
      <c r="V980">
        <v>1</v>
      </c>
      <c r="W980">
        <v>1</v>
      </c>
      <c r="X980">
        <v>1</v>
      </c>
      <c r="Y980">
        <v>1</v>
      </c>
      <c r="Z980">
        <v>1</v>
      </c>
      <c r="AA980">
        <v>1</v>
      </c>
      <c r="AB980">
        <v>1</v>
      </c>
      <c r="AC980">
        <v>1</v>
      </c>
    </row>
    <row r="981" spans="1:29" x14ac:dyDescent="0.45">
      <c r="A981" t="s">
        <v>104</v>
      </c>
      <c r="B981" t="s">
        <v>438</v>
      </c>
      <c r="C981" t="s">
        <v>439</v>
      </c>
      <c r="D981" t="s">
        <v>428</v>
      </c>
      <c r="E981" t="str">
        <f t="shared" si="15"/>
        <v>TX|solar thermal|Summer Peak</v>
      </c>
      <c r="F981">
        <v>1</v>
      </c>
      <c r="G981">
        <v>1</v>
      </c>
      <c r="H981">
        <v>1</v>
      </c>
      <c r="I981">
        <v>1</v>
      </c>
      <c r="J981">
        <v>1</v>
      </c>
      <c r="K981">
        <v>1</v>
      </c>
      <c r="L981">
        <v>1</v>
      </c>
      <c r="M981">
        <v>0</v>
      </c>
      <c r="N981">
        <v>0.8639</v>
      </c>
      <c r="O981">
        <v>1</v>
      </c>
      <c r="P981">
        <v>1</v>
      </c>
      <c r="Q981">
        <v>0.97160000000000002</v>
      </c>
      <c r="R981">
        <v>0.96719999999999995</v>
      </c>
      <c r="S981">
        <v>1</v>
      </c>
      <c r="T981">
        <v>1</v>
      </c>
      <c r="U981">
        <v>1</v>
      </c>
      <c r="V981">
        <v>1</v>
      </c>
      <c r="W981">
        <v>1</v>
      </c>
      <c r="X981">
        <v>1</v>
      </c>
      <c r="Y981">
        <v>0.93130000000000002</v>
      </c>
      <c r="Z981">
        <v>0.70220000000000005</v>
      </c>
      <c r="AA981">
        <v>1</v>
      </c>
      <c r="AB981">
        <v>1</v>
      </c>
      <c r="AC981">
        <v>1</v>
      </c>
    </row>
    <row r="982" spans="1:29" x14ac:dyDescent="0.45">
      <c r="A982" t="s">
        <v>104</v>
      </c>
      <c r="B982" t="s">
        <v>438</v>
      </c>
      <c r="C982" t="s">
        <v>439</v>
      </c>
      <c r="D982" t="s">
        <v>429</v>
      </c>
      <c r="E982" t="str">
        <f t="shared" si="15"/>
        <v>TX|solar thermal|Winter Peak</v>
      </c>
      <c r="F982">
        <v>1</v>
      </c>
      <c r="G982">
        <v>1</v>
      </c>
      <c r="H982">
        <v>1</v>
      </c>
      <c r="I982">
        <v>1</v>
      </c>
      <c r="J982">
        <v>1</v>
      </c>
      <c r="K982">
        <v>1</v>
      </c>
      <c r="L982">
        <v>1</v>
      </c>
      <c r="M982">
        <v>1</v>
      </c>
      <c r="N982">
        <v>1</v>
      </c>
      <c r="O982">
        <v>0.2419</v>
      </c>
      <c r="P982">
        <v>0.95320000000000005</v>
      </c>
      <c r="Q982">
        <v>0.88039999999999996</v>
      </c>
      <c r="R982">
        <v>0.97819999999999996</v>
      </c>
      <c r="S982">
        <v>0.98950000000000005</v>
      </c>
      <c r="T982">
        <v>0.99270000000000003</v>
      </c>
      <c r="U982">
        <v>1</v>
      </c>
      <c r="V982">
        <v>1</v>
      </c>
      <c r="W982">
        <v>1</v>
      </c>
      <c r="X982">
        <v>0.89019999999999999</v>
      </c>
      <c r="Y982">
        <v>0</v>
      </c>
      <c r="Z982">
        <v>1</v>
      </c>
      <c r="AA982">
        <v>1</v>
      </c>
      <c r="AB982">
        <v>1</v>
      </c>
      <c r="AC982">
        <v>1</v>
      </c>
    </row>
    <row r="983" spans="1:29" x14ac:dyDescent="0.45">
      <c r="A983" t="s">
        <v>104</v>
      </c>
      <c r="B983" t="s">
        <v>440</v>
      </c>
      <c r="C983" t="s">
        <v>441</v>
      </c>
      <c r="D983" t="s">
        <v>424</v>
      </c>
      <c r="E983" t="str">
        <f t="shared" si="15"/>
        <v>TX|offshore wind|Winter</v>
      </c>
      <c r="F983">
        <v>1</v>
      </c>
      <c r="G983">
        <v>1</v>
      </c>
      <c r="H983">
        <v>1</v>
      </c>
      <c r="I983">
        <v>1</v>
      </c>
      <c r="J983">
        <v>1</v>
      </c>
      <c r="K983">
        <v>1</v>
      </c>
      <c r="L983">
        <v>1</v>
      </c>
      <c r="M983">
        <v>1</v>
      </c>
      <c r="N983">
        <v>1</v>
      </c>
      <c r="O983">
        <v>1</v>
      </c>
      <c r="P983">
        <v>1</v>
      </c>
      <c r="Q983">
        <v>1</v>
      </c>
      <c r="R983">
        <v>1</v>
      </c>
      <c r="S983">
        <v>1</v>
      </c>
      <c r="T983">
        <v>1</v>
      </c>
      <c r="U983">
        <v>1</v>
      </c>
      <c r="V983">
        <v>1</v>
      </c>
      <c r="W983">
        <v>1</v>
      </c>
      <c r="X983">
        <v>1</v>
      </c>
      <c r="Y983">
        <v>1</v>
      </c>
      <c r="Z983">
        <v>1</v>
      </c>
      <c r="AA983">
        <v>1</v>
      </c>
      <c r="AB983">
        <v>1</v>
      </c>
      <c r="AC983">
        <v>1</v>
      </c>
    </row>
    <row r="984" spans="1:29" x14ac:dyDescent="0.45">
      <c r="A984" t="s">
        <v>104</v>
      </c>
      <c r="B984" t="s">
        <v>440</v>
      </c>
      <c r="C984" t="s">
        <v>441</v>
      </c>
      <c r="D984" t="s">
        <v>425</v>
      </c>
      <c r="E984" t="str">
        <f t="shared" si="15"/>
        <v>TX|offshore wind|Spring</v>
      </c>
      <c r="F984">
        <v>1</v>
      </c>
      <c r="G984">
        <v>1</v>
      </c>
      <c r="H984">
        <v>1</v>
      </c>
      <c r="I984">
        <v>1</v>
      </c>
      <c r="J984">
        <v>1</v>
      </c>
      <c r="K984">
        <v>1</v>
      </c>
      <c r="L984">
        <v>1</v>
      </c>
      <c r="M984">
        <v>1</v>
      </c>
      <c r="N984">
        <v>1</v>
      </c>
      <c r="O984">
        <v>1</v>
      </c>
      <c r="P984">
        <v>1</v>
      </c>
      <c r="Q984">
        <v>1</v>
      </c>
      <c r="R984">
        <v>1</v>
      </c>
      <c r="S984">
        <v>1</v>
      </c>
      <c r="T984">
        <v>1</v>
      </c>
      <c r="U984">
        <v>1</v>
      </c>
      <c r="V984">
        <v>1</v>
      </c>
      <c r="W984">
        <v>1</v>
      </c>
      <c r="X984">
        <v>1</v>
      </c>
      <c r="Y984">
        <v>1</v>
      </c>
      <c r="Z984">
        <v>1</v>
      </c>
      <c r="AA984">
        <v>1</v>
      </c>
      <c r="AB984">
        <v>1</v>
      </c>
      <c r="AC984">
        <v>1</v>
      </c>
    </row>
    <row r="985" spans="1:29" x14ac:dyDescent="0.45">
      <c r="A985" t="s">
        <v>104</v>
      </c>
      <c r="B985" t="s">
        <v>440</v>
      </c>
      <c r="C985" t="s">
        <v>441</v>
      </c>
      <c r="D985" t="s">
        <v>426</v>
      </c>
      <c r="E985" t="str">
        <f t="shared" si="15"/>
        <v>TX|offshore wind|Summer</v>
      </c>
      <c r="F985">
        <v>1</v>
      </c>
      <c r="G985">
        <v>1</v>
      </c>
      <c r="H985">
        <v>1</v>
      </c>
      <c r="I985">
        <v>1</v>
      </c>
      <c r="J985">
        <v>1</v>
      </c>
      <c r="K985">
        <v>1</v>
      </c>
      <c r="L985">
        <v>1</v>
      </c>
      <c r="M985">
        <v>1</v>
      </c>
      <c r="N985">
        <v>1</v>
      </c>
      <c r="O985">
        <v>1</v>
      </c>
      <c r="P985">
        <v>1</v>
      </c>
      <c r="Q985">
        <v>1</v>
      </c>
      <c r="R985">
        <v>1</v>
      </c>
      <c r="S985">
        <v>1</v>
      </c>
      <c r="T985">
        <v>1</v>
      </c>
      <c r="U985">
        <v>1</v>
      </c>
      <c r="V985">
        <v>1</v>
      </c>
      <c r="W985">
        <v>1</v>
      </c>
      <c r="X985">
        <v>1</v>
      </c>
      <c r="Y985">
        <v>1</v>
      </c>
      <c r="Z985">
        <v>1</v>
      </c>
      <c r="AA985">
        <v>1</v>
      </c>
      <c r="AB985">
        <v>1</v>
      </c>
      <c r="AC985">
        <v>1</v>
      </c>
    </row>
    <row r="986" spans="1:29" x14ac:dyDescent="0.45">
      <c r="A986" t="s">
        <v>104</v>
      </c>
      <c r="B986" t="s">
        <v>440</v>
      </c>
      <c r="C986" t="s">
        <v>441</v>
      </c>
      <c r="D986" t="s">
        <v>427</v>
      </c>
      <c r="E986" t="str">
        <f t="shared" si="15"/>
        <v>TX|offshore wind|Fall</v>
      </c>
      <c r="F986">
        <v>1</v>
      </c>
      <c r="G986">
        <v>1</v>
      </c>
      <c r="H986">
        <v>1</v>
      </c>
      <c r="I986">
        <v>1</v>
      </c>
      <c r="J986">
        <v>1</v>
      </c>
      <c r="K986">
        <v>1</v>
      </c>
      <c r="L986">
        <v>1</v>
      </c>
      <c r="M986">
        <v>1</v>
      </c>
      <c r="N986">
        <v>1</v>
      </c>
      <c r="O986">
        <v>1</v>
      </c>
      <c r="P986">
        <v>1</v>
      </c>
      <c r="Q986">
        <v>1</v>
      </c>
      <c r="R986">
        <v>1</v>
      </c>
      <c r="S986">
        <v>1</v>
      </c>
      <c r="T986">
        <v>1</v>
      </c>
      <c r="U986">
        <v>1</v>
      </c>
      <c r="V986">
        <v>1</v>
      </c>
      <c r="W986">
        <v>1</v>
      </c>
      <c r="X986">
        <v>1</v>
      </c>
      <c r="Y986">
        <v>1</v>
      </c>
      <c r="Z986">
        <v>1</v>
      </c>
      <c r="AA986">
        <v>1</v>
      </c>
      <c r="AB986">
        <v>1</v>
      </c>
      <c r="AC986">
        <v>1</v>
      </c>
    </row>
    <row r="987" spans="1:29" x14ac:dyDescent="0.45">
      <c r="A987" t="s">
        <v>104</v>
      </c>
      <c r="B987" t="s">
        <v>440</v>
      </c>
      <c r="C987" t="s">
        <v>441</v>
      </c>
      <c r="D987" t="s">
        <v>428</v>
      </c>
      <c r="E987" t="str">
        <f t="shared" si="15"/>
        <v>TX|offshore wind|Summer Peak</v>
      </c>
      <c r="F987">
        <v>0.40810000000000002</v>
      </c>
      <c r="G987">
        <v>0.4239</v>
      </c>
      <c r="H987">
        <v>0.45760000000000001</v>
      </c>
      <c r="I987">
        <v>0.50319999999999998</v>
      </c>
      <c r="J987">
        <v>0.53649999999999998</v>
      </c>
      <c r="K987">
        <v>0.59399999999999997</v>
      </c>
      <c r="L987">
        <v>0.61929999999999996</v>
      </c>
      <c r="M987">
        <v>0.68859999999999999</v>
      </c>
      <c r="N987">
        <v>0.73480000000000001</v>
      </c>
      <c r="O987">
        <v>0.84350000000000003</v>
      </c>
      <c r="P987">
        <v>0.78200000000000003</v>
      </c>
      <c r="Q987">
        <v>0.74650000000000005</v>
      </c>
      <c r="R987">
        <v>0.63690000000000002</v>
      </c>
      <c r="S987">
        <v>0.60860000000000003</v>
      </c>
      <c r="T987">
        <v>0.64339999999999997</v>
      </c>
      <c r="U987">
        <v>0.69269999999999998</v>
      </c>
      <c r="V987">
        <v>0.71450000000000002</v>
      </c>
      <c r="W987">
        <v>0.75070000000000003</v>
      </c>
      <c r="X987">
        <v>0.72489999999999999</v>
      </c>
      <c r="Y987">
        <v>0.66049999999999998</v>
      </c>
      <c r="Z987">
        <v>0.69140000000000001</v>
      </c>
      <c r="AA987">
        <v>0.63080000000000003</v>
      </c>
      <c r="AB987">
        <v>0.63429999999999997</v>
      </c>
      <c r="AC987">
        <v>0.64390000000000003</v>
      </c>
    </row>
    <row r="988" spans="1:29" x14ac:dyDescent="0.45">
      <c r="A988" t="s">
        <v>104</v>
      </c>
      <c r="B988" t="s">
        <v>440</v>
      </c>
      <c r="C988" t="s">
        <v>441</v>
      </c>
      <c r="D988" t="s">
        <v>429</v>
      </c>
      <c r="E988" t="str">
        <f t="shared" si="15"/>
        <v>TX|offshore wind|Winter Peak</v>
      </c>
      <c r="F988">
        <v>0.95309999999999995</v>
      </c>
      <c r="G988">
        <v>0.95030000000000003</v>
      </c>
      <c r="H988">
        <v>0.95540000000000003</v>
      </c>
      <c r="I988">
        <v>0.96679999999999999</v>
      </c>
      <c r="J988">
        <v>1</v>
      </c>
      <c r="K988">
        <v>1</v>
      </c>
      <c r="L988">
        <v>1</v>
      </c>
      <c r="M988">
        <v>0.99209999999999998</v>
      </c>
      <c r="N988">
        <v>0.90149999999999997</v>
      </c>
      <c r="O988">
        <v>0.79779999999999995</v>
      </c>
      <c r="P988">
        <v>0.71879999999999999</v>
      </c>
      <c r="Q988">
        <v>0.67300000000000004</v>
      </c>
      <c r="R988">
        <v>0.60860000000000003</v>
      </c>
      <c r="S988">
        <v>0.58009999999999995</v>
      </c>
      <c r="T988">
        <v>0.58799999999999997</v>
      </c>
      <c r="U988">
        <v>0.61019999999999996</v>
      </c>
      <c r="V988">
        <v>0.61839999999999995</v>
      </c>
      <c r="W988">
        <v>0.60909999999999997</v>
      </c>
      <c r="X988">
        <v>0.62880000000000003</v>
      </c>
      <c r="Y988">
        <v>0.72889999999999999</v>
      </c>
      <c r="Z988">
        <v>0.84719999999999995</v>
      </c>
      <c r="AA988">
        <v>0.92220000000000002</v>
      </c>
      <c r="AB988">
        <v>0.86950000000000005</v>
      </c>
      <c r="AC988">
        <v>0.8054</v>
      </c>
    </row>
    <row r="989" spans="1:29" x14ac:dyDescent="0.45">
      <c r="A989" t="s">
        <v>106</v>
      </c>
      <c r="B989" t="s">
        <v>434</v>
      </c>
      <c r="C989" t="s">
        <v>435</v>
      </c>
      <c r="D989" t="s">
        <v>424</v>
      </c>
      <c r="E989" t="str">
        <f t="shared" si="15"/>
        <v>UT|onshore wind|Winter</v>
      </c>
      <c r="F989">
        <v>1</v>
      </c>
      <c r="G989">
        <v>1</v>
      </c>
      <c r="H989">
        <v>1</v>
      </c>
      <c r="I989">
        <v>1</v>
      </c>
      <c r="J989">
        <v>1</v>
      </c>
      <c r="K989">
        <v>1</v>
      </c>
      <c r="L989">
        <v>1</v>
      </c>
      <c r="M989">
        <v>1</v>
      </c>
      <c r="N989">
        <v>1</v>
      </c>
      <c r="O989">
        <v>1</v>
      </c>
      <c r="P989">
        <v>1</v>
      </c>
      <c r="Q989">
        <v>1</v>
      </c>
      <c r="R989">
        <v>1</v>
      </c>
      <c r="S989">
        <v>1</v>
      </c>
      <c r="T989">
        <v>1</v>
      </c>
      <c r="U989">
        <v>1</v>
      </c>
      <c r="V989">
        <v>1</v>
      </c>
      <c r="W989">
        <v>1</v>
      </c>
      <c r="X989">
        <v>1</v>
      </c>
      <c r="Y989">
        <v>1</v>
      </c>
      <c r="Z989">
        <v>1</v>
      </c>
      <c r="AA989">
        <v>1</v>
      </c>
      <c r="AB989">
        <v>1</v>
      </c>
      <c r="AC989">
        <v>1</v>
      </c>
    </row>
    <row r="990" spans="1:29" x14ac:dyDescent="0.45">
      <c r="A990" t="s">
        <v>106</v>
      </c>
      <c r="B990" t="s">
        <v>434</v>
      </c>
      <c r="C990" t="s">
        <v>435</v>
      </c>
      <c r="D990" t="s">
        <v>425</v>
      </c>
      <c r="E990" t="str">
        <f t="shared" si="15"/>
        <v>UT|onshore wind|Spring</v>
      </c>
      <c r="F990">
        <v>1</v>
      </c>
      <c r="G990">
        <v>1</v>
      </c>
      <c r="H990">
        <v>1</v>
      </c>
      <c r="I990">
        <v>1</v>
      </c>
      <c r="J990">
        <v>1</v>
      </c>
      <c r="K990">
        <v>1</v>
      </c>
      <c r="L990">
        <v>1</v>
      </c>
      <c r="M990">
        <v>1</v>
      </c>
      <c r="N990">
        <v>1</v>
      </c>
      <c r="O990">
        <v>1</v>
      </c>
      <c r="P990">
        <v>1</v>
      </c>
      <c r="Q990">
        <v>1</v>
      </c>
      <c r="R990">
        <v>1</v>
      </c>
      <c r="S990">
        <v>1</v>
      </c>
      <c r="T990">
        <v>1</v>
      </c>
      <c r="U990">
        <v>1</v>
      </c>
      <c r="V990">
        <v>1</v>
      </c>
      <c r="W990">
        <v>1</v>
      </c>
      <c r="X990">
        <v>1</v>
      </c>
      <c r="Y990">
        <v>1</v>
      </c>
      <c r="Z990">
        <v>1</v>
      </c>
      <c r="AA990">
        <v>1</v>
      </c>
      <c r="AB990">
        <v>1</v>
      </c>
      <c r="AC990">
        <v>1</v>
      </c>
    </row>
    <row r="991" spans="1:29" x14ac:dyDescent="0.45">
      <c r="A991" t="s">
        <v>106</v>
      </c>
      <c r="B991" t="s">
        <v>434</v>
      </c>
      <c r="C991" t="s">
        <v>435</v>
      </c>
      <c r="D991" t="s">
        <v>426</v>
      </c>
      <c r="E991" t="str">
        <f t="shared" si="15"/>
        <v>UT|onshore wind|Summer</v>
      </c>
      <c r="F991">
        <v>1</v>
      </c>
      <c r="G991">
        <v>1</v>
      </c>
      <c r="H991">
        <v>1</v>
      </c>
      <c r="I991">
        <v>1</v>
      </c>
      <c r="J991">
        <v>1</v>
      </c>
      <c r="K991">
        <v>1</v>
      </c>
      <c r="L991">
        <v>1</v>
      </c>
      <c r="M991">
        <v>1</v>
      </c>
      <c r="N991">
        <v>1</v>
      </c>
      <c r="O991">
        <v>1</v>
      </c>
      <c r="P991">
        <v>1</v>
      </c>
      <c r="Q991">
        <v>1</v>
      </c>
      <c r="R991">
        <v>1</v>
      </c>
      <c r="S991">
        <v>1</v>
      </c>
      <c r="T991">
        <v>1</v>
      </c>
      <c r="U991">
        <v>1</v>
      </c>
      <c r="V991">
        <v>1</v>
      </c>
      <c r="W991">
        <v>1</v>
      </c>
      <c r="X991">
        <v>1</v>
      </c>
      <c r="Y991">
        <v>1</v>
      </c>
      <c r="Z991">
        <v>1</v>
      </c>
      <c r="AA991">
        <v>1</v>
      </c>
      <c r="AB991">
        <v>1</v>
      </c>
      <c r="AC991">
        <v>1</v>
      </c>
    </row>
    <row r="992" spans="1:29" x14ac:dyDescent="0.45">
      <c r="A992" t="s">
        <v>106</v>
      </c>
      <c r="B992" t="s">
        <v>434</v>
      </c>
      <c r="C992" t="s">
        <v>435</v>
      </c>
      <c r="D992" t="s">
        <v>427</v>
      </c>
      <c r="E992" t="str">
        <f t="shared" si="15"/>
        <v>UT|onshore wind|Fall</v>
      </c>
      <c r="F992">
        <v>1</v>
      </c>
      <c r="G992">
        <v>1</v>
      </c>
      <c r="H992">
        <v>1</v>
      </c>
      <c r="I992">
        <v>1</v>
      </c>
      <c r="J992">
        <v>1</v>
      </c>
      <c r="K992">
        <v>1</v>
      </c>
      <c r="L992">
        <v>1</v>
      </c>
      <c r="M992">
        <v>1</v>
      </c>
      <c r="N992">
        <v>1</v>
      </c>
      <c r="O992">
        <v>1</v>
      </c>
      <c r="P992">
        <v>1</v>
      </c>
      <c r="Q992">
        <v>1</v>
      </c>
      <c r="R992">
        <v>1</v>
      </c>
      <c r="S992">
        <v>1</v>
      </c>
      <c r="T992">
        <v>1</v>
      </c>
      <c r="U992">
        <v>1</v>
      </c>
      <c r="V992">
        <v>1</v>
      </c>
      <c r="W992">
        <v>1</v>
      </c>
      <c r="X992">
        <v>1</v>
      </c>
      <c r="Y992">
        <v>1</v>
      </c>
      <c r="Z992">
        <v>1</v>
      </c>
      <c r="AA992">
        <v>1</v>
      </c>
      <c r="AB992">
        <v>1</v>
      </c>
      <c r="AC992">
        <v>1</v>
      </c>
    </row>
    <row r="993" spans="1:29" x14ac:dyDescent="0.45">
      <c r="A993" t="s">
        <v>106</v>
      </c>
      <c r="B993" t="s">
        <v>434</v>
      </c>
      <c r="C993" t="s">
        <v>435</v>
      </c>
      <c r="D993" t="s">
        <v>428</v>
      </c>
      <c r="E993" t="str">
        <f t="shared" si="15"/>
        <v>UT|onshore wind|Summer Peak</v>
      </c>
      <c r="F993">
        <v>0.88200000000000001</v>
      </c>
      <c r="G993">
        <v>0.84230000000000005</v>
      </c>
      <c r="H993">
        <v>0.7802</v>
      </c>
      <c r="I993">
        <v>0.71319999999999995</v>
      </c>
      <c r="J993">
        <v>0.65659999999999996</v>
      </c>
      <c r="K993">
        <v>0.53249999999999997</v>
      </c>
      <c r="L993">
        <v>0.46939999999999998</v>
      </c>
      <c r="M993">
        <v>0.55769999999999997</v>
      </c>
      <c r="N993">
        <v>0.4506</v>
      </c>
      <c r="O993">
        <v>0.44330000000000003</v>
      </c>
      <c r="P993">
        <v>0.41920000000000002</v>
      </c>
      <c r="Q993">
        <v>0.48259999999999997</v>
      </c>
      <c r="R993">
        <v>0.43930000000000002</v>
      </c>
      <c r="S993">
        <v>0.56510000000000005</v>
      </c>
      <c r="T993">
        <v>0.60680000000000001</v>
      </c>
      <c r="U993">
        <v>0.63449999999999995</v>
      </c>
      <c r="V993">
        <v>0.6139</v>
      </c>
      <c r="W993">
        <v>0.69510000000000005</v>
      </c>
      <c r="X993">
        <v>0.80640000000000001</v>
      </c>
      <c r="Y993">
        <v>0.76959999999999995</v>
      </c>
      <c r="Z993">
        <v>0.72370000000000001</v>
      </c>
      <c r="AA993">
        <v>0.8216</v>
      </c>
      <c r="AB993">
        <v>0.75919999999999999</v>
      </c>
      <c r="AC993">
        <v>0.64749999999999996</v>
      </c>
    </row>
    <row r="994" spans="1:29" x14ac:dyDescent="0.45">
      <c r="A994" t="s">
        <v>106</v>
      </c>
      <c r="B994" t="s">
        <v>434</v>
      </c>
      <c r="C994" t="s">
        <v>435</v>
      </c>
      <c r="D994" t="s">
        <v>429</v>
      </c>
      <c r="E994" t="str">
        <f t="shared" si="15"/>
        <v>UT|onshore wind|Winter Peak</v>
      </c>
      <c r="F994">
        <v>0.70069999999999999</v>
      </c>
      <c r="G994">
        <v>0.72440000000000004</v>
      </c>
      <c r="H994">
        <v>0.72850000000000004</v>
      </c>
      <c r="I994">
        <v>0.73650000000000004</v>
      </c>
      <c r="J994">
        <v>0.75839999999999996</v>
      </c>
      <c r="K994">
        <v>0.77739999999999998</v>
      </c>
      <c r="L994">
        <v>0.80710000000000004</v>
      </c>
      <c r="M994">
        <v>0.78890000000000005</v>
      </c>
      <c r="N994">
        <v>0.76449999999999996</v>
      </c>
      <c r="O994">
        <v>0.71409999999999996</v>
      </c>
      <c r="P994">
        <v>0.68710000000000004</v>
      </c>
      <c r="Q994">
        <v>0.67949999999999999</v>
      </c>
      <c r="R994">
        <v>0.66169999999999995</v>
      </c>
      <c r="S994">
        <v>0.64459999999999995</v>
      </c>
      <c r="T994">
        <v>0.66800000000000004</v>
      </c>
      <c r="U994">
        <v>0.69520000000000004</v>
      </c>
      <c r="V994">
        <v>0.72689999999999999</v>
      </c>
      <c r="W994">
        <v>0.74209999999999998</v>
      </c>
      <c r="X994">
        <v>0.72560000000000002</v>
      </c>
      <c r="Y994">
        <v>0.71479999999999999</v>
      </c>
      <c r="Z994">
        <v>0.7107</v>
      </c>
      <c r="AA994">
        <v>0.73540000000000005</v>
      </c>
      <c r="AB994">
        <v>0.76339999999999997</v>
      </c>
      <c r="AC994">
        <v>0.80189999999999995</v>
      </c>
    </row>
    <row r="995" spans="1:29" x14ac:dyDescent="0.45">
      <c r="A995" t="s">
        <v>106</v>
      </c>
      <c r="B995" t="s">
        <v>436</v>
      </c>
      <c r="C995" t="s">
        <v>437</v>
      </c>
      <c r="D995" t="s">
        <v>424</v>
      </c>
      <c r="E995" t="str">
        <f t="shared" si="15"/>
        <v>UT|solar pv|Winter</v>
      </c>
      <c r="F995">
        <v>1</v>
      </c>
      <c r="G995">
        <v>1</v>
      </c>
      <c r="H995">
        <v>1</v>
      </c>
      <c r="I995">
        <v>1</v>
      </c>
      <c r="J995">
        <v>1</v>
      </c>
      <c r="K995">
        <v>1</v>
      </c>
      <c r="L995">
        <v>1</v>
      </c>
      <c r="M995">
        <v>1</v>
      </c>
      <c r="N995">
        <v>1</v>
      </c>
      <c r="O995">
        <v>1</v>
      </c>
      <c r="P995">
        <v>1</v>
      </c>
      <c r="Q995">
        <v>1</v>
      </c>
      <c r="R995">
        <v>1</v>
      </c>
      <c r="S995">
        <v>1</v>
      </c>
      <c r="T995">
        <v>1</v>
      </c>
      <c r="U995">
        <v>1</v>
      </c>
      <c r="V995">
        <v>1</v>
      </c>
      <c r="W995">
        <v>1</v>
      </c>
      <c r="X995">
        <v>1</v>
      </c>
      <c r="Y995">
        <v>1</v>
      </c>
      <c r="Z995">
        <v>1</v>
      </c>
      <c r="AA995">
        <v>1</v>
      </c>
      <c r="AB995">
        <v>1</v>
      </c>
      <c r="AC995">
        <v>1</v>
      </c>
    </row>
    <row r="996" spans="1:29" x14ac:dyDescent="0.45">
      <c r="A996" t="s">
        <v>106</v>
      </c>
      <c r="B996" t="s">
        <v>436</v>
      </c>
      <c r="C996" t="s">
        <v>437</v>
      </c>
      <c r="D996" t="s">
        <v>425</v>
      </c>
      <c r="E996" t="str">
        <f t="shared" si="15"/>
        <v>UT|solar pv|Spring</v>
      </c>
      <c r="F996">
        <v>1</v>
      </c>
      <c r="G996">
        <v>1</v>
      </c>
      <c r="H996">
        <v>1</v>
      </c>
      <c r="I996">
        <v>1</v>
      </c>
      <c r="J996">
        <v>1</v>
      </c>
      <c r="K996">
        <v>1</v>
      </c>
      <c r="L996">
        <v>1</v>
      </c>
      <c r="M996">
        <v>1</v>
      </c>
      <c r="N996">
        <v>1</v>
      </c>
      <c r="O996">
        <v>1</v>
      </c>
      <c r="P996">
        <v>1</v>
      </c>
      <c r="Q996">
        <v>1</v>
      </c>
      <c r="R996">
        <v>1</v>
      </c>
      <c r="S996">
        <v>1</v>
      </c>
      <c r="T996">
        <v>1</v>
      </c>
      <c r="U996">
        <v>1</v>
      </c>
      <c r="V996">
        <v>1</v>
      </c>
      <c r="W996">
        <v>1</v>
      </c>
      <c r="X996">
        <v>1</v>
      </c>
      <c r="Y996">
        <v>1</v>
      </c>
      <c r="Z996">
        <v>1</v>
      </c>
      <c r="AA996">
        <v>1</v>
      </c>
      <c r="AB996">
        <v>1</v>
      </c>
      <c r="AC996">
        <v>1</v>
      </c>
    </row>
    <row r="997" spans="1:29" x14ac:dyDescent="0.45">
      <c r="A997" t="s">
        <v>106</v>
      </c>
      <c r="B997" t="s">
        <v>436</v>
      </c>
      <c r="C997" t="s">
        <v>437</v>
      </c>
      <c r="D997" t="s">
        <v>426</v>
      </c>
      <c r="E997" t="str">
        <f t="shared" si="15"/>
        <v>UT|solar pv|Summer</v>
      </c>
      <c r="F997">
        <v>1</v>
      </c>
      <c r="G997">
        <v>1</v>
      </c>
      <c r="H997">
        <v>1</v>
      </c>
      <c r="I997">
        <v>1</v>
      </c>
      <c r="J997">
        <v>1</v>
      </c>
      <c r="K997">
        <v>1</v>
      </c>
      <c r="L997">
        <v>1</v>
      </c>
      <c r="M997">
        <v>1</v>
      </c>
      <c r="N997">
        <v>1</v>
      </c>
      <c r="O997">
        <v>1</v>
      </c>
      <c r="P997">
        <v>1</v>
      </c>
      <c r="Q997">
        <v>1</v>
      </c>
      <c r="R997">
        <v>1</v>
      </c>
      <c r="S997">
        <v>1</v>
      </c>
      <c r="T997">
        <v>1</v>
      </c>
      <c r="U997">
        <v>1</v>
      </c>
      <c r="V997">
        <v>1</v>
      </c>
      <c r="W997">
        <v>1</v>
      </c>
      <c r="X997">
        <v>1</v>
      </c>
      <c r="Y997">
        <v>1</v>
      </c>
      <c r="Z997">
        <v>1</v>
      </c>
      <c r="AA997">
        <v>1</v>
      </c>
      <c r="AB997">
        <v>1</v>
      </c>
      <c r="AC997">
        <v>1</v>
      </c>
    </row>
    <row r="998" spans="1:29" x14ac:dyDescent="0.45">
      <c r="A998" t="s">
        <v>106</v>
      </c>
      <c r="B998" t="s">
        <v>436</v>
      </c>
      <c r="C998" t="s">
        <v>437</v>
      </c>
      <c r="D998" t="s">
        <v>427</v>
      </c>
      <c r="E998" t="str">
        <f t="shared" si="15"/>
        <v>UT|solar pv|Fall</v>
      </c>
      <c r="F998">
        <v>1</v>
      </c>
      <c r="G998">
        <v>1</v>
      </c>
      <c r="H998">
        <v>1</v>
      </c>
      <c r="I998">
        <v>1</v>
      </c>
      <c r="J998">
        <v>1</v>
      </c>
      <c r="K998">
        <v>1</v>
      </c>
      <c r="L998">
        <v>1</v>
      </c>
      <c r="M998">
        <v>1</v>
      </c>
      <c r="N998">
        <v>1</v>
      </c>
      <c r="O998">
        <v>1</v>
      </c>
      <c r="P998">
        <v>1</v>
      </c>
      <c r="Q998">
        <v>1</v>
      </c>
      <c r="R998">
        <v>1</v>
      </c>
      <c r="S998">
        <v>1</v>
      </c>
      <c r="T998">
        <v>1</v>
      </c>
      <c r="U998">
        <v>1</v>
      </c>
      <c r="V998">
        <v>1</v>
      </c>
      <c r="W998">
        <v>1</v>
      </c>
      <c r="X998">
        <v>1</v>
      </c>
      <c r="Y998">
        <v>1</v>
      </c>
      <c r="Z998">
        <v>1</v>
      </c>
      <c r="AA998">
        <v>1</v>
      </c>
      <c r="AB998">
        <v>1</v>
      </c>
      <c r="AC998">
        <v>1</v>
      </c>
    </row>
    <row r="999" spans="1:29" x14ac:dyDescent="0.45">
      <c r="A999" t="s">
        <v>106</v>
      </c>
      <c r="B999" t="s">
        <v>436</v>
      </c>
      <c r="C999" t="s">
        <v>437</v>
      </c>
      <c r="D999" t="s">
        <v>428</v>
      </c>
      <c r="E999" t="str">
        <f t="shared" si="15"/>
        <v>UT|solar pv|Summer Peak</v>
      </c>
      <c r="F999">
        <v>1</v>
      </c>
      <c r="G999">
        <v>1</v>
      </c>
      <c r="H999">
        <v>1</v>
      </c>
      <c r="I999">
        <v>1</v>
      </c>
      <c r="J999">
        <v>1</v>
      </c>
      <c r="K999">
        <v>0.72629999999999995</v>
      </c>
      <c r="L999">
        <v>0.85509999999999997</v>
      </c>
      <c r="M999">
        <v>0.94740000000000002</v>
      </c>
      <c r="N999">
        <v>0.97489999999999999</v>
      </c>
      <c r="O999">
        <v>0.99</v>
      </c>
      <c r="P999">
        <v>1</v>
      </c>
      <c r="Q999">
        <v>0.9788</v>
      </c>
      <c r="R999">
        <v>0.96579999999999999</v>
      </c>
      <c r="S999">
        <v>0.84340000000000004</v>
      </c>
      <c r="T999">
        <v>0.83889999999999998</v>
      </c>
      <c r="U999">
        <v>0.83779999999999999</v>
      </c>
      <c r="V999">
        <v>0.7712</v>
      </c>
      <c r="W999">
        <v>0.71199999999999997</v>
      </c>
      <c r="X999">
        <v>0.15279999999999999</v>
      </c>
      <c r="Y999">
        <v>1</v>
      </c>
      <c r="Z999">
        <v>1</v>
      </c>
      <c r="AA999">
        <v>1</v>
      </c>
      <c r="AB999">
        <v>1</v>
      </c>
      <c r="AC999">
        <v>1</v>
      </c>
    </row>
    <row r="1000" spans="1:29" x14ac:dyDescent="0.45">
      <c r="A1000" t="s">
        <v>106</v>
      </c>
      <c r="B1000" t="s">
        <v>436</v>
      </c>
      <c r="C1000" t="s">
        <v>437</v>
      </c>
      <c r="D1000" t="s">
        <v>429</v>
      </c>
      <c r="E1000" t="str">
        <f t="shared" si="15"/>
        <v>UT|solar pv|Winter Peak</v>
      </c>
      <c r="F1000">
        <v>1</v>
      </c>
      <c r="G1000">
        <v>1</v>
      </c>
      <c r="H1000">
        <v>1</v>
      </c>
      <c r="I1000">
        <v>1</v>
      </c>
      <c r="J1000">
        <v>1</v>
      </c>
      <c r="K1000">
        <v>1</v>
      </c>
      <c r="L1000">
        <v>1</v>
      </c>
      <c r="M1000">
        <v>0.69679999999999997</v>
      </c>
      <c r="N1000">
        <v>0.84840000000000004</v>
      </c>
      <c r="O1000">
        <v>0.9415</v>
      </c>
      <c r="P1000">
        <v>0.96750000000000003</v>
      </c>
      <c r="Q1000">
        <v>0.95399999999999996</v>
      </c>
      <c r="R1000">
        <v>0.98270000000000002</v>
      </c>
      <c r="S1000">
        <v>0.99619999999999997</v>
      </c>
      <c r="T1000">
        <v>0.98509999999999998</v>
      </c>
      <c r="U1000">
        <v>0.82530000000000003</v>
      </c>
      <c r="V1000">
        <v>3.1899999999999998E-2</v>
      </c>
      <c r="W1000">
        <v>1</v>
      </c>
      <c r="X1000">
        <v>1</v>
      </c>
      <c r="Y1000">
        <v>1</v>
      </c>
      <c r="Z1000">
        <v>1</v>
      </c>
      <c r="AA1000">
        <v>1</v>
      </c>
      <c r="AB1000">
        <v>1</v>
      </c>
      <c r="AC1000">
        <v>1</v>
      </c>
    </row>
    <row r="1001" spans="1:29" x14ac:dyDescent="0.45">
      <c r="A1001" t="s">
        <v>106</v>
      </c>
      <c r="B1001" t="s">
        <v>438</v>
      </c>
      <c r="C1001" t="s">
        <v>439</v>
      </c>
      <c r="D1001" t="s">
        <v>424</v>
      </c>
      <c r="E1001" t="str">
        <f t="shared" si="15"/>
        <v>UT|solar thermal|Winter</v>
      </c>
      <c r="F1001">
        <v>1</v>
      </c>
      <c r="G1001">
        <v>1</v>
      </c>
      <c r="H1001">
        <v>1</v>
      </c>
      <c r="I1001">
        <v>1</v>
      </c>
      <c r="J1001">
        <v>1</v>
      </c>
      <c r="K1001">
        <v>1</v>
      </c>
      <c r="L1001">
        <v>1</v>
      </c>
      <c r="M1001">
        <v>1</v>
      </c>
      <c r="N1001">
        <v>1</v>
      </c>
      <c r="O1001">
        <v>1</v>
      </c>
      <c r="P1001">
        <v>1</v>
      </c>
      <c r="Q1001">
        <v>1</v>
      </c>
      <c r="R1001">
        <v>1</v>
      </c>
      <c r="S1001">
        <v>1</v>
      </c>
      <c r="T1001">
        <v>1</v>
      </c>
      <c r="U1001">
        <v>1</v>
      </c>
      <c r="V1001">
        <v>1</v>
      </c>
      <c r="W1001">
        <v>1</v>
      </c>
      <c r="X1001">
        <v>1</v>
      </c>
      <c r="Y1001">
        <v>1</v>
      </c>
      <c r="Z1001">
        <v>1</v>
      </c>
      <c r="AA1001">
        <v>1</v>
      </c>
      <c r="AB1001">
        <v>1</v>
      </c>
      <c r="AC1001">
        <v>1</v>
      </c>
    </row>
    <row r="1002" spans="1:29" x14ac:dyDescent="0.45">
      <c r="A1002" t="s">
        <v>106</v>
      </c>
      <c r="B1002" t="s">
        <v>438</v>
      </c>
      <c r="C1002" t="s">
        <v>439</v>
      </c>
      <c r="D1002" t="s">
        <v>425</v>
      </c>
      <c r="E1002" t="str">
        <f t="shared" si="15"/>
        <v>UT|solar thermal|Spring</v>
      </c>
      <c r="F1002">
        <v>1</v>
      </c>
      <c r="G1002">
        <v>1</v>
      </c>
      <c r="H1002">
        <v>1</v>
      </c>
      <c r="I1002">
        <v>1</v>
      </c>
      <c r="J1002">
        <v>1</v>
      </c>
      <c r="K1002">
        <v>1</v>
      </c>
      <c r="L1002">
        <v>1</v>
      </c>
      <c r="M1002">
        <v>1</v>
      </c>
      <c r="N1002">
        <v>1</v>
      </c>
      <c r="O1002">
        <v>1</v>
      </c>
      <c r="P1002">
        <v>1</v>
      </c>
      <c r="Q1002">
        <v>1</v>
      </c>
      <c r="R1002">
        <v>1</v>
      </c>
      <c r="S1002">
        <v>1</v>
      </c>
      <c r="T1002">
        <v>1</v>
      </c>
      <c r="U1002">
        <v>1</v>
      </c>
      <c r="V1002">
        <v>1</v>
      </c>
      <c r="W1002">
        <v>1</v>
      </c>
      <c r="X1002">
        <v>1</v>
      </c>
      <c r="Y1002">
        <v>1</v>
      </c>
      <c r="Z1002">
        <v>1</v>
      </c>
      <c r="AA1002">
        <v>1</v>
      </c>
      <c r="AB1002">
        <v>1</v>
      </c>
      <c r="AC1002">
        <v>1</v>
      </c>
    </row>
    <row r="1003" spans="1:29" x14ac:dyDescent="0.45">
      <c r="A1003" t="s">
        <v>106</v>
      </c>
      <c r="B1003" t="s">
        <v>438</v>
      </c>
      <c r="C1003" t="s">
        <v>439</v>
      </c>
      <c r="D1003" t="s">
        <v>426</v>
      </c>
      <c r="E1003" t="str">
        <f t="shared" si="15"/>
        <v>UT|solar thermal|Summer</v>
      </c>
      <c r="F1003">
        <v>1</v>
      </c>
      <c r="G1003">
        <v>1</v>
      </c>
      <c r="H1003">
        <v>1</v>
      </c>
      <c r="I1003">
        <v>1</v>
      </c>
      <c r="J1003">
        <v>1</v>
      </c>
      <c r="K1003">
        <v>1</v>
      </c>
      <c r="L1003">
        <v>1</v>
      </c>
      <c r="M1003">
        <v>1</v>
      </c>
      <c r="N1003">
        <v>1</v>
      </c>
      <c r="O1003">
        <v>1</v>
      </c>
      <c r="P1003">
        <v>1</v>
      </c>
      <c r="Q1003">
        <v>1</v>
      </c>
      <c r="R1003">
        <v>1</v>
      </c>
      <c r="S1003">
        <v>1</v>
      </c>
      <c r="T1003">
        <v>1</v>
      </c>
      <c r="U1003">
        <v>1</v>
      </c>
      <c r="V1003">
        <v>1</v>
      </c>
      <c r="W1003">
        <v>1</v>
      </c>
      <c r="X1003">
        <v>1</v>
      </c>
      <c r="Y1003">
        <v>1</v>
      </c>
      <c r="Z1003">
        <v>1</v>
      </c>
      <c r="AA1003">
        <v>1</v>
      </c>
      <c r="AB1003">
        <v>1</v>
      </c>
      <c r="AC1003">
        <v>1</v>
      </c>
    </row>
    <row r="1004" spans="1:29" x14ac:dyDescent="0.45">
      <c r="A1004" t="s">
        <v>106</v>
      </c>
      <c r="B1004" t="s">
        <v>438</v>
      </c>
      <c r="C1004" t="s">
        <v>439</v>
      </c>
      <c r="D1004" t="s">
        <v>427</v>
      </c>
      <c r="E1004" t="str">
        <f t="shared" si="15"/>
        <v>UT|solar thermal|Fall</v>
      </c>
      <c r="F1004">
        <v>1</v>
      </c>
      <c r="G1004">
        <v>1</v>
      </c>
      <c r="H1004">
        <v>1</v>
      </c>
      <c r="I1004">
        <v>1</v>
      </c>
      <c r="J1004">
        <v>1</v>
      </c>
      <c r="K1004">
        <v>1</v>
      </c>
      <c r="L1004">
        <v>1</v>
      </c>
      <c r="M1004">
        <v>1</v>
      </c>
      <c r="N1004">
        <v>1</v>
      </c>
      <c r="O1004">
        <v>1</v>
      </c>
      <c r="P1004">
        <v>1</v>
      </c>
      <c r="Q1004">
        <v>1</v>
      </c>
      <c r="R1004">
        <v>1</v>
      </c>
      <c r="S1004">
        <v>1</v>
      </c>
      <c r="T1004">
        <v>1</v>
      </c>
      <c r="U1004">
        <v>1</v>
      </c>
      <c r="V1004">
        <v>1</v>
      </c>
      <c r="W1004">
        <v>1</v>
      </c>
      <c r="X1004">
        <v>1</v>
      </c>
      <c r="Y1004">
        <v>1</v>
      </c>
      <c r="Z1004">
        <v>1</v>
      </c>
      <c r="AA1004">
        <v>1</v>
      </c>
      <c r="AB1004">
        <v>1</v>
      </c>
      <c r="AC1004">
        <v>1</v>
      </c>
    </row>
    <row r="1005" spans="1:29" x14ac:dyDescent="0.45">
      <c r="A1005" t="s">
        <v>106</v>
      </c>
      <c r="B1005" t="s">
        <v>438</v>
      </c>
      <c r="C1005" t="s">
        <v>439</v>
      </c>
      <c r="D1005" t="s">
        <v>428</v>
      </c>
      <c r="E1005" t="str">
        <f t="shared" si="15"/>
        <v>UT|solar thermal|Summer Peak</v>
      </c>
      <c r="F1005">
        <v>1</v>
      </c>
      <c r="G1005">
        <v>1</v>
      </c>
      <c r="H1005">
        <v>1</v>
      </c>
      <c r="I1005">
        <v>1</v>
      </c>
      <c r="J1005">
        <v>1</v>
      </c>
      <c r="K1005">
        <v>1</v>
      </c>
      <c r="L1005">
        <v>1</v>
      </c>
      <c r="M1005">
        <v>0</v>
      </c>
      <c r="N1005">
        <v>0.8639</v>
      </c>
      <c r="O1005">
        <v>1</v>
      </c>
      <c r="P1005">
        <v>1</v>
      </c>
      <c r="Q1005">
        <v>0.97160000000000002</v>
      </c>
      <c r="R1005">
        <v>0.96719999999999995</v>
      </c>
      <c r="S1005">
        <v>1</v>
      </c>
      <c r="T1005">
        <v>1</v>
      </c>
      <c r="U1005">
        <v>1</v>
      </c>
      <c r="V1005">
        <v>1</v>
      </c>
      <c r="W1005">
        <v>1</v>
      </c>
      <c r="X1005">
        <v>1</v>
      </c>
      <c r="Y1005">
        <v>0.93130000000000002</v>
      </c>
      <c r="Z1005">
        <v>0.70220000000000005</v>
      </c>
      <c r="AA1005">
        <v>1</v>
      </c>
      <c r="AB1005">
        <v>1</v>
      </c>
      <c r="AC1005">
        <v>1</v>
      </c>
    </row>
    <row r="1006" spans="1:29" x14ac:dyDescent="0.45">
      <c r="A1006" t="s">
        <v>106</v>
      </c>
      <c r="B1006" t="s">
        <v>438</v>
      </c>
      <c r="C1006" t="s">
        <v>439</v>
      </c>
      <c r="D1006" t="s">
        <v>429</v>
      </c>
      <c r="E1006" t="str">
        <f t="shared" si="15"/>
        <v>UT|solar thermal|Winter Peak</v>
      </c>
      <c r="F1006">
        <v>1</v>
      </c>
      <c r="G1006">
        <v>1</v>
      </c>
      <c r="H1006">
        <v>1</v>
      </c>
      <c r="I1006">
        <v>1</v>
      </c>
      <c r="J1006">
        <v>1</v>
      </c>
      <c r="K1006">
        <v>1</v>
      </c>
      <c r="L1006">
        <v>1</v>
      </c>
      <c r="M1006">
        <v>1</v>
      </c>
      <c r="N1006">
        <v>1</v>
      </c>
      <c r="O1006">
        <v>0.2419</v>
      </c>
      <c r="P1006">
        <v>0.95320000000000005</v>
      </c>
      <c r="Q1006">
        <v>0.88039999999999996</v>
      </c>
      <c r="R1006">
        <v>0.97819999999999996</v>
      </c>
      <c r="S1006">
        <v>0.98950000000000005</v>
      </c>
      <c r="T1006">
        <v>0.99270000000000003</v>
      </c>
      <c r="U1006">
        <v>1</v>
      </c>
      <c r="V1006">
        <v>1</v>
      </c>
      <c r="W1006">
        <v>1</v>
      </c>
      <c r="X1006">
        <v>0.89019999999999999</v>
      </c>
      <c r="Y1006">
        <v>0</v>
      </c>
      <c r="Z1006">
        <v>1</v>
      </c>
      <c r="AA1006">
        <v>1</v>
      </c>
      <c r="AB1006">
        <v>1</v>
      </c>
      <c r="AC1006">
        <v>1</v>
      </c>
    </row>
    <row r="1007" spans="1:29" x14ac:dyDescent="0.45">
      <c r="A1007" t="s">
        <v>106</v>
      </c>
      <c r="B1007" t="s">
        <v>440</v>
      </c>
      <c r="C1007" t="s">
        <v>441</v>
      </c>
      <c r="D1007" t="s">
        <v>424</v>
      </c>
      <c r="E1007" t="str">
        <f t="shared" si="15"/>
        <v>UT|offshore wind|Winter</v>
      </c>
      <c r="F1007">
        <v>1</v>
      </c>
      <c r="G1007">
        <v>1</v>
      </c>
      <c r="H1007">
        <v>1</v>
      </c>
      <c r="I1007">
        <v>1</v>
      </c>
      <c r="J1007">
        <v>1</v>
      </c>
      <c r="K1007">
        <v>1</v>
      </c>
      <c r="L1007">
        <v>1</v>
      </c>
      <c r="M1007">
        <v>1</v>
      </c>
      <c r="N1007">
        <v>1</v>
      </c>
      <c r="O1007">
        <v>1</v>
      </c>
      <c r="P1007">
        <v>1</v>
      </c>
      <c r="Q1007">
        <v>1</v>
      </c>
      <c r="R1007">
        <v>1</v>
      </c>
      <c r="S1007">
        <v>1</v>
      </c>
      <c r="T1007">
        <v>1</v>
      </c>
      <c r="U1007">
        <v>1</v>
      </c>
      <c r="V1007">
        <v>1</v>
      </c>
      <c r="W1007">
        <v>1</v>
      </c>
      <c r="X1007">
        <v>1</v>
      </c>
      <c r="Y1007">
        <v>1</v>
      </c>
      <c r="Z1007">
        <v>1</v>
      </c>
      <c r="AA1007">
        <v>1</v>
      </c>
      <c r="AB1007">
        <v>1</v>
      </c>
      <c r="AC1007">
        <v>1</v>
      </c>
    </row>
    <row r="1008" spans="1:29" x14ac:dyDescent="0.45">
      <c r="A1008" t="s">
        <v>106</v>
      </c>
      <c r="B1008" t="s">
        <v>440</v>
      </c>
      <c r="C1008" t="s">
        <v>441</v>
      </c>
      <c r="D1008" t="s">
        <v>425</v>
      </c>
      <c r="E1008" t="str">
        <f t="shared" si="15"/>
        <v>UT|offshore wind|Spring</v>
      </c>
      <c r="F1008">
        <v>1</v>
      </c>
      <c r="G1008">
        <v>1</v>
      </c>
      <c r="H1008">
        <v>1</v>
      </c>
      <c r="I1008">
        <v>1</v>
      </c>
      <c r="J1008">
        <v>1</v>
      </c>
      <c r="K1008">
        <v>1</v>
      </c>
      <c r="L1008">
        <v>1</v>
      </c>
      <c r="M1008">
        <v>1</v>
      </c>
      <c r="N1008">
        <v>1</v>
      </c>
      <c r="O1008">
        <v>1</v>
      </c>
      <c r="P1008">
        <v>1</v>
      </c>
      <c r="Q1008">
        <v>1</v>
      </c>
      <c r="R1008">
        <v>1</v>
      </c>
      <c r="S1008">
        <v>1</v>
      </c>
      <c r="T1008">
        <v>1</v>
      </c>
      <c r="U1008">
        <v>1</v>
      </c>
      <c r="V1008">
        <v>1</v>
      </c>
      <c r="W1008">
        <v>1</v>
      </c>
      <c r="X1008">
        <v>1</v>
      </c>
      <c r="Y1008">
        <v>1</v>
      </c>
      <c r="Z1008">
        <v>1</v>
      </c>
      <c r="AA1008">
        <v>1</v>
      </c>
      <c r="AB1008">
        <v>1</v>
      </c>
      <c r="AC1008">
        <v>1</v>
      </c>
    </row>
    <row r="1009" spans="1:29" x14ac:dyDescent="0.45">
      <c r="A1009" t="s">
        <v>106</v>
      </c>
      <c r="B1009" t="s">
        <v>440</v>
      </c>
      <c r="C1009" t="s">
        <v>441</v>
      </c>
      <c r="D1009" t="s">
        <v>426</v>
      </c>
      <c r="E1009" t="str">
        <f t="shared" si="15"/>
        <v>UT|offshore wind|Summer</v>
      </c>
      <c r="F1009">
        <v>1</v>
      </c>
      <c r="G1009">
        <v>1</v>
      </c>
      <c r="H1009">
        <v>1</v>
      </c>
      <c r="I1009">
        <v>1</v>
      </c>
      <c r="J1009">
        <v>1</v>
      </c>
      <c r="K1009">
        <v>1</v>
      </c>
      <c r="L1009">
        <v>1</v>
      </c>
      <c r="M1009">
        <v>1</v>
      </c>
      <c r="N1009">
        <v>1</v>
      </c>
      <c r="O1009">
        <v>1</v>
      </c>
      <c r="P1009">
        <v>1</v>
      </c>
      <c r="Q1009">
        <v>1</v>
      </c>
      <c r="R1009">
        <v>1</v>
      </c>
      <c r="S1009">
        <v>1</v>
      </c>
      <c r="T1009">
        <v>1</v>
      </c>
      <c r="U1009">
        <v>1</v>
      </c>
      <c r="V1009">
        <v>1</v>
      </c>
      <c r="W1009">
        <v>1</v>
      </c>
      <c r="X1009">
        <v>1</v>
      </c>
      <c r="Y1009">
        <v>1</v>
      </c>
      <c r="Z1009">
        <v>1</v>
      </c>
      <c r="AA1009">
        <v>1</v>
      </c>
      <c r="AB1009">
        <v>1</v>
      </c>
      <c r="AC1009">
        <v>1</v>
      </c>
    </row>
    <row r="1010" spans="1:29" x14ac:dyDescent="0.45">
      <c r="A1010" t="s">
        <v>106</v>
      </c>
      <c r="B1010" t="s">
        <v>440</v>
      </c>
      <c r="C1010" t="s">
        <v>441</v>
      </c>
      <c r="D1010" t="s">
        <v>427</v>
      </c>
      <c r="E1010" t="str">
        <f t="shared" si="15"/>
        <v>UT|offshore wind|Fall</v>
      </c>
      <c r="F1010">
        <v>1</v>
      </c>
      <c r="G1010">
        <v>1</v>
      </c>
      <c r="H1010">
        <v>1</v>
      </c>
      <c r="I1010">
        <v>1</v>
      </c>
      <c r="J1010">
        <v>1</v>
      </c>
      <c r="K1010">
        <v>1</v>
      </c>
      <c r="L1010">
        <v>1</v>
      </c>
      <c r="M1010">
        <v>1</v>
      </c>
      <c r="N1010">
        <v>1</v>
      </c>
      <c r="O1010">
        <v>1</v>
      </c>
      <c r="P1010">
        <v>1</v>
      </c>
      <c r="Q1010">
        <v>1</v>
      </c>
      <c r="R1010">
        <v>1</v>
      </c>
      <c r="S1010">
        <v>1</v>
      </c>
      <c r="T1010">
        <v>1</v>
      </c>
      <c r="U1010">
        <v>1</v>
      </c>
      <c r="V1010">
        <v>1</v>
      </c>
      <c r="W1010">
        <v>1</v>
      </c>
      <c r="X1010">
        <v>1</v>
      </c>
      <c r="Y1010">
        <v>1</v>
      </c>
      <c r="Z1010">
        <v>1</v>
      </c>
      <c r="AA1010">
        <v>1</v>
      </c>
      <c r="AB1010">
        <v>1</v>
      </c>
      <c r="AC1010">
        <v>1</v>
      </c>
    </row>
    <row r="1011" spans="1:29" x14ac:dyDescent="0.45">
      <c r="A1011" t="s">
        <v>106</v>
      </c>
      <c r="B1011" t="s">
        <v>440</v>
      </c>
      <c r="C1011" t="s">
        <v>441</v>
      </c>
      <c r="D1011" t="s">
        <v>428</v>
      </c>
      <c r="E1011" t="str">
        <f t="shared" si="15"/>
        <v>UT|offshore wind|Summer Peak</v>
      </c>
      <c r="F1011">
        <v>0.40810000000000002</v>
      </c>
      <c r="G1011">
        <v>0.4239</v>
      </c>
      <c r="H1011">
        <v>0.45760000000000001</v>
      </c>
      <c r="I1011">
        <v>0.50319999999999998</v>
      </c>
      <c r="J1011">
        <v>0.53649999999999998</v>
      </c>
      <c r="K1011">
        <v>0.59399999999999997</v>
      </c>
      <c r="L1011">
        <v>0.61929999999999996</v>
      </c>
      <c r="M1011">
        <v>0.68859999999999999</v>
      </c>
      <c r="N1011">
        <v>0.73480000000000001</v>
      </c>
      <c r="O1011">
        <v>0.84350000000000003</v>
      </c>
      <c r="P1011">
        <v>0.78200000000000003</v>
      </c>
      <c r="Q1011">
        <v>0.74650000000000005</v>
      </c>
      <c r="R1011">
        <v>0.63690000000000002</v>
      </c>
      <c r="S1011">
        <v>0.60860000000000003</v>
      </c>
      <c r="T1011">
        <v>0.64339999999999997</v>
      </c>
      <c r="U1011">
        <v>0.69269999999999998</v>
      </c>
      <c r="V1011">
        <v>0.71450000000000002</v>
      </c>
      <c r="W1011">
        <v>0.75070000000000003</v>
      </c>
      <c r="X1011">
        <v>0.72489999999999999</v>
      </c>
      <c r="Y1011">
        <v>0.66049999999999998</v>
      </c>
      <c r="Z1011">
        <v>0.69140000000000001</v>
      </c>
      <c r="AA1011">
        <v>0.63080000000000003</v>
      </c>
      <c r="AB1011">
        <v>0.63429999999999997</v>
      </c>
      <c r="AC1011">
        <v>0.64390000000000003</v>
      </c>
    </row>
    <row r="1012" spans="1:29" x14ac:dyDescent="0.45">
      <c r="A1012" t="s">
        <v>106</v>
      </c>
      <c r="B1012" t="s">
        <v>440</v>
      </c>
      <c r="C1012" t="s">
        <v>441</v>
      </c>
      <c r="D1012" t="s">
        <v>429</v>
      </c>
      <c r="E1012" t="str">
        <f t="shared" si="15"/>
        <v>UT|offshore wind|Winter Peak</v>
      </c>
      <c r="F1012">
        <v>0.95309999999999995</v>
      </c>
      <c r="G1012">
        <v>0.95030000000000003</v>
      </c>
      <c r="H1012">
        <v>0.95540000000000003</v>
      </c>
      <c r="I1012">
        <v>0.96679999999999999</v>
      </c>
      <c r="J1012">
        <v>1</v>
      </c>
      <c r="K1012">
        <v>1</v>
      </c>
      <c r="L1012">
        <v>1</v>
      </c>
      <c r="M1012">
        <v>0.99209999999999998</v>
      </c>
      <c r="N1012">
        <v>0.90149999999999997</v>
      </c>
      <c r="O1012">
        <v>0.79779999999999995</v>
      </c>
      <c r="P1012">
        <v>0.71879999999999999</v>
      </c>
      <c r="Q1012">
        <v>0.67300000000000004</v>
      </c>
      <c r="R1012">
        <v>0.60860000000000003</v>
      </c>
      <c r="S1012">
        <v>0.58009999999999995</v>
      </c>
      <c r="T1012">
        <v>0.58799999999999997</v>
      </c>
      <c r="U1012">
        <v>0.61019999999999996</v>
      </c>
      <c r="V1012">
        <v>0.61839999999999995</v>
      </c>
      <c r="W1012">
        <v>0.60909999999999997</v>
      </c>
      <c r="X1012">
        <v>0.62880000000000003</v>
      </c>
      <c r="Y1012">
        <v>0.72889999999999999</v>
      </c>
      <c r="Z1012">
        <v>0.84719999999999995</v>
      </c>
      <c r="AA1012">
        <v>0.92220000000000002</v>
      </c>
      <c r="AB1012">
        <v>0.86950000000000005</v>
      </c>
      <c r="AC1012">
        <v>0.8054</v>
      </c>
    </row>
    <row r="1013" spans="1:29" x14ac:dyDescent="0.45">
      <c r="A1013" t="s">
        <v>108</v>
      </c>
      <c r="B1013" t="s">
        <v>434</v>
      </c>
      <c r="C1013" t="s">
        <v>435</v>
      </c>
      <c r="D1013" t="s">
        <v>424</v>
      </c>
      <c r="E1013" t="str">
        <f t="shared" si="15"/>
        <v>VA|onshore wind|Winter</v>
      </c>
      <c r="F1013">
        <v>1</v>
      </c>
      <c r="G1013">
        <v>1</v>
      </c>
      <c r="H1013">
        <v>1</v>
      </c>
      <c r="I1013">
        <v>1</v>
      </c>
      <c r="J1013">
        <v>1</v>
      </c>
      <c r="K1013">
        <v>1</v>
      </c>
      <c r="L1013">
        <v>1</v>
      </c>
      <c r="M1013">
        <v>1</v>
      </c>
      <c r="N1013">
        <v>1</v>
      </c>
      <c r="O1013">
        <v>1</v>
      </c>
      <c r="P1013">
        <v>1</v>
      </c>
      <c r="Q1013">
        <v>1</v>
      </c>
      <c r="R1013">
        <v>1</v>
      </c>
      <c r="S1013">
        <v>1</v>
      </c>
      <c r="T1013">
        <v>1</v>
      </c>
      <c r="U1013">
        <v>1</v>
      </c>
      <c r="V1013">
        <v>1</v>
      </c>
      <c r="W1013">
        <v>1</v>
      </c>
      <c r="X1013">
        <v>1</v>
      </c>
      <c r="Y1013">
        <v>1</v>
      </c>
      <c r="Z1013">
        <v>1</v>
      </c>
      <c r="AA1013">
        <v>1</v>
      </c>
      <c r="AB1013">
        <v>1</v>
      </c>
      <c r="AC1013">
        <v>1</v>
      </c>
    </row>
    <row r="1014" spans="1:29" x14ac:dyDescent="0.45">
      <c r="A1014" t="s">
        <v>108</v>
      </c>
      <c r="B1014" t="s">
        <v>434</v>
      </c>
      <c r="C1014" t="s">
        <v>435</v>
      </c>
      <c r="D1014" t="s">
        <v>425</v>
      </c>
      <c r="E1014" t="str">
        <f t="shared" si="15"/>
        <v>VA|onshore wind|Spring</v>
      </c>
      <c r="F1014">
        <v>1</v>
      </c>
      <c r="G1014">
        <v>1</v>
      </c>
      <c r="H1014">
        <v>1</v>
      </c>
      <c r="I1014">
        <v>1</v>
      </c>
      <c r="J1014">
        <v>1</v>
      </c>
      <c r="K1014">
        <v>1</v>
      </c>
      <c r="L1014">
        <v>1</v>
      </c>
      <c r="M1014">
        <v>1</v>
      </c>
      <c r="N1014">
        <v>1</v>
      </c>
      <c r="O1014">
        <v>1</v>
      </c>
      <c r="P1014">
        <v>1</v>
      </c>
      <c r="Q1014">
        <v>1</v>
      </c>
      <c r="R1014">
        <v>1</v>
      </c>
      <c r="S1014">
        <v>1</v>
      </c>
      <c r="T1014">
        <v>1</v>
      </c>
      <c r="U1014">
        <v>1</v>
      </c>
      <c r="V1014">
        <v>1</v>
      </c>
      <c r="W1014">
        <v>1</v>
      </c>
      <c r="X1014">
        <v>1</v>
      </c>
      <c r="Y1014">
        <v>1</v>
      </c>
      <c r="Z1014">
        <v>1</v>
      </c>
      <c r="AA1014">
        <v>1</v>
      </c>
      <c r="AB1014">
        <v>1</v>
      </c>
      <c r="AC1014">
        <v>1</v>
      </c>
    </row>
    <row r="1015" spans="1:29" x14ac:dyDescent="0.45">
      <c r="A1015" t="s">
        <v>108</v>
      </c>
      <c r="B1015" t="s">
        <v>434</v>
      </c>
      <c r="C1015" t="s">
        <v>435</v>
      </c>
      <c r="D1015" t="s">
        <v>426</v>
      </c>
      <c r="E1015" t="str">
        <f t="shared" si="15"/>
        <v>VA|onshore wind|Summer</v>
      </c>
      <c r="F1015">
        <v>1</v>
      </c>
      <c r="G1015">
        <v>1</v>
      </c>
      <c r="H1015">
        <v>1</v>
      </c>
      <c r="I1015">
        <v>1</v>
      </c>
      <c r="J1015">
        <v>1</v>
      </c>
      <c r="K1015">
        <v>1</v>
      </c>
      <c r="L1015">
        <v>1</v>
      </c>
      <c r="M1015">
        <v>1</v>
      </c>
      <c r="N1015">
        <v>1</v>
      </c>
      <c r="O1015">
        <v>1</v>
      </c>
      <c r="P1015">
        <v>1</v>
      </c>
      <c r="Q1015">
        <v>1</v>
      </c>
      <c r="R1015">
        <v>1</v>
      </c>
      <c r="S1015">
        <v>1</v>
      </c>
      <c r="T1015">
        <v>1</v>
      </c>
      <c r="U1015">
        <v>1</v>
      </c>
      <c r="V1015">
        <v>1</v>
      </c>
      <c r="W1015">
        <v>1</v>
      </c>
      <c r="X1015">
        <v>1</v>
      </c>
      <c r="Y1015">
        <v>1</v>
      </c>
      <c r="Z1015">
        <v>1</v>
      </c>
      <c r="AA1015">
        <v>1</v>
      </c>
      <c r="AB1015">
        <v>1</v>
      </c>
      <c r="AC1015">
        <v>1</v>
      </c>
    </row>
    <row r="1016" spans="1:29" x14ac:dyDescent="0.45">
      <c r="A1016" t="s">
        <v>108</v>
      </c>
      <c r="B1016" t="s">
        <v>434</v>
      </c>
      <c r="C1016" t="s">
        <v>435</v>
      </c>
      <c r="D1016" t="s">
        <v>427</v>
      </c>
      <c r="E1016" t="str">
        <f t="shared" si="15"/>
        <v>VA|onshore wind|Fall</v>
      </c>
      <c r="F1016">
        <v>1</v>
      </c>
      <c r="G1016">
        <v>1</v>
      </c>
      <c r="H1016">
        <v>1</v>
      </c>
      <c r="I1016">
        <v>1</v>
      </c>
      <c r="J1016">
        <v>1</v>
      </c>
      <c r="K1016">
        <v>1</v>
      </c>
      <c r="L1016">
        <v>1</v>
      </c>
      <c r="M1016">
        <v>1</v>
      </c>
      <c r="N1016">
        <v>1</v>
      </c>
      <c r="O1016">
        <v>1</v>
      </c>
      <c r="P1016">
        <v>1</v>
      </c>
      <c r="Q1016">
        <v>1</v>
      </c>
      <c r="R1016">
        <v>1</v>
      </c>
      <c r="S1016">
        <v>1</v>
      </c>
      <c r="T1016">
        <v>1</v>
      </c>
      <c r="U1016">
        <v>1</v>
      </c>
      <c r="V1016">
        <v>1</v>
      </c>
      <c r="W1016">
        <v>1</v>
      </c>
      <c r="X1016">
        <v>1</v>
      </c>
      <c r="Y1016">
        <v>1</v>
      </c>
      <c r="Z1016">
        <v>1</v>
      </c>
      <c r="AA1016">
        <v>1</v>
      </c>
      <c r="AB1016">
        <v>1</v>
      </c>
      <c r="AC1016">
        <v>1</v>
      </c>
    </row>
    <row r="1017" spans="1:29" x14ac:dyDescent="0.45">
      <c r="A1017" t="s">
        <v>108</v>
      </c>
      <c r="B1017" t="s">
        <v>434</v>
      </c>
      <c r="C1017" t="s">
        <v>435</v>
      </c>
      <c r="D1017" t="s">
        <v>428</v>
      </c>
      <c r="E1017" t="str">
        <f t="shared" si="15"/>
        <v>VA|onshore wind|Summer Peak</v>
      </c>
      <c r="F1017">
        <v>0.60619999999999996</v>
      </c>
      <c r="G1017">
        <v>0.63790000000000002</v>
      </c>
      <c r="H1017">
        <v>0.55840000000000001</v>
      </c>
      <c r="I1017">
        <v>0.47910000000000003</v>
      </c>
      <c r="J1017">
        <v>0.61770000000000003</v>
      </c>
      <c r="K1017">
        <v>0.59530000000000005</v>
      </c>
      <c r="L1017">
        <v>0.50819999999999999</v>
      </c>
      <c r="M1017">
        <v>0.54249999999999998</v>
      </c>
      <c r="N1017">
        <v>0.59840000000000004</v>
      </c>
      <c r="O1017">
        <v>0.64</v>
      </c>
      <c r="P1017">
        <v>0.62690000000000001</v>
      </c>
      <c r="Q1017">
        <v>0.2286</v>
      </c>
      <c r="R1017">
        <v>0.28920000000000001</v>
      </c>
      <c r="S1017">
        <v>0.247</v>
      </c>
      <c r="T1017">
        <v>0.27650000000000002</v>
      </c>
      <c r="U1017">
        <v>0.29149999999999998</v>
      </c>
      <c r="V1017">
        <v>0.42909999999999998</v>
      </c>
      <c r="W1017">
        <v>0.54149999999999998</v>
      </c>
      <c r="X1017">
        <v>0.88649999999999995</v>
      </c>
      <c r="Y1017">
        <v>0.501</v>
      </c>
      <c r="Z1017">
        <v>0.54610000000000003</v>
      </c>
      <c r="AA1017">
        <v>0.54869999999999997</v>
      </c>
      <c r="AB1017">
        <v>0.44679999999999997</v>
      </c>
      <c r="AC1017">
        <v>0.34470000000000001</v>
      </c>
    </row>
    <row r="1018" spans="1:29" x14ac:dyDescent="0.45">
      <c r="A1018" t="s">
        <v>108</v>
      </c>
      <c r="B1018" t="s">
        <v>434</v>
      </c>
      <c r="C1018" t="s">
        <v>435</v>
      </c>
      <c r="D1018" t="s">
        <v>429</v>
      </c>
      <c r="E1018" t="str">
        <f t="shared" si="15"/>
        <v>VA|onshore wind|Winter Peak</v>
      </c>
      <c r="F1018">
        <v>0.52400000000000002</v>
      </c>
      <c r="G1018">
        <v>0.46489999999999998</v>
      </c>
      <c r="H1018">
        <v>0.40529999999999999</v>
      </c>
      <c r="I1018">
        <v>0.4103</v>
      </c>
      <c r="J1018">
        <v>0.40200000000000002</v>
      </c>
      <c r="K1018">
        <v>0.42409999999999998</v>
      </c>
      <c r="L1018">
        <v>0.38529999999999998</v>
      </c>
      <c r="M1018">
        <v>0.34460000000000002</v>
      </c>
      <c r="N1018">
        <v>0.3589</v>
      </c>
      <c r="O1018">
        <v>0.30320000000000003</v>
      </c>
      <c r="P1018">
        <v>0.31119999999999998</v>
      </c>
      <c r="Q1018">
        <v>0.3745</v>
      </c>
      <c r="R1018">
        <v>0.3261</v>
      </c>
      <c r="S1018">
        <v>0.31280000000000002</v>
      </c>
      <c r="T1018">
        <v>0.32329999999999998</v>
      </c>
      <c r="U1018">
        <v>0.37569999999999998</v>
      </c>
      <c r="V1018">
        <v>0.53110000000000002</v>
      </c>
      <c r="W1018">
        <v>0.68910000000000005</v>
      </c>
      <c r="X1018">
        <v>0.63600000000000001</v>
      </c>
      <c r="Y1018">
        <v>0.76239999999999997</v>
      </c>
      <c r="Z1018">
        <v>0.79349999999999998</v>
      </c>
      <c r="AA1018">
        <v>0.79469999999999996</v>
      </c>
      <c r="AB1018">
        <v>0.71960000000000002</v>
      </c>
      <c r="AC1018">
        <v>0.66800000000000004</v>
      </c>
    </row>
    <row r="1019" spans="1:29" x14ac:dyDescent="0.45">
      <c r="A1019" t="s">
        <v>108</v>
      </c>
      <c r="B1019" t="s">
        <v>436</v>
      </c>
      <c r="C1019" t="s">
        <v>437</v>
      </c>
      <c r="D1019" t="s">
        <v>424</v>
      </c>
      <c r="E1019" t="str">
        <f t="shared" si="15"/>
        <v>VA|solar pv|Winter</v>
      </c>
      <c r="F1019">
        <v>1</v>
      </c>
      <c r="G1019">
        <v>1</v>
      </c>
      <c r="H1019">
        <v>1</v>
      </c>
      <c r="I1019">
        <v>1</v>
      </c>
      <c r="J1019">
        <v>1</v>
      </c>
      <c r="K1019">
        <v>1</v>
      </c>
      <c r="L1019">
        <v>1</v>
      </c>
      <c r="M1019">
        <v>1</v>
      </c>
      <c r="N1019">
        <v>1</v>
      </c>
      <c r="O1019">
        <v>1</v>
      </c>
      <c r="P1019">
        <v>1</v>
      </c>
      <c r="Q1019">
        <v>1</v>
      </c>
      <c r="R1019">
        <v>1</v>
      </c>
      <c r="S1019">
        <v>1</v>
      </c>
      <c r="T1019">
        <v>1</v>
      </c>
      <c r="U1019">
        <v>1</v>
      </c>
      <c r="V1019">
        <v>1</v>
      </c>
      <c r="W1019">
        <v>1</v>
      </c>
      <c r="X1019">
        <v>1</v>
      </c>
      <c r="Y1019">
        <v>1</v>
      </c>
      <c r="Z1019">
        <v>1</v>
      </c>
      <c r="AA1019">
        <v>1</v>
      </c>
      <c r="AB1019">
        <v>1</v>
      </c>
      <c r="AC1019">
        <v>1</v>
      </c>
    </row>
    <row r="1020" spans="1:29" x14ac:dyDescent="0.45">
      <c r="A1020" t="s">
        <v>108</v>
      </c>
      <c r="B1020" t="s">
        <v>436</v>
      </c>
      <c r="C1020" t="s">
        <v>437</v>
      </c>
      <c r="D1020" t="s">
        <v>425</v>
      </c>
      <c r="E1020" t="str">
        <f t="shared" si="15"/>
        <v>VA|solar pv|Spring</v>
      </c>
      <c r="F1020">
        <v>1</v>
      </c>
      <c r="G1020">
        <v>1</v>
      </c>
      <c r="H1020">
        <v>1</v>
      </c>
      <c r="I1020">
        <v>1</v>
      </c>
      <c r="J1020">
        <v>1</v>
      </c>
      <c r="K1020">
        <v>1</v>
      </c>
      <c r="L1020">
        <v>1</v>
      </c>
      <c r="M1020">
        <v>1</v>
      </c>
      <c r="N1020">
        <v>1</v>
      </c>
      <c r="O1020">
        <v>1</v>
      </c>
      <c r="P1020">
        <v>1</v>
      </c>
      <c r="Q1020">
        <v>1</v>
      </c>
      <c r="R1020">
        <v>1</v>
      </c>
      <c r="S1020">
        <v>1</v>
      </c>
      <c r="T1020">
        <v>1</v>
      </c>
      <c r="U1020">
        <v>1</v>
      </c>
      <c r="V1020">
        <v>1</v>
      </c>
      <c r="W1020">
        <v>1</v>
      </c>
      <c r="X1020">
        <v>1</v>
      </c>
      <c r="Y1020">
        <v>1</v>
      </c>
      <c r="Z1020">
        <v>1</v>
      </c>
      <c r="AA1020">
        <v>1</v>
      </c>
      <c r="AB1020">
        <v>1</v>
      </c>
      <c r="AC1020">
        <v>1</v>
      </c>
    </row>
    <row r="1021" spans="1:29" x14ac:dyDescent="0.45">
      <c r="A1021" t="s">
        <v>108</v>
      </c>
      <c r="B1021" t="s">
        <v>436</v>
      </c>
      <c r="C1021" t="s">
        <v>437</v>
      </c>
      <c r="D1021" t="s">
        <v>426</v>
      </c>
      <c r="E1021" t="str">
        <f t="shared" si="15"/>
        <v>VA|solar pv|Summer</v>
      </c>
      <c r="F1021">
        <v>1</v>
      </c>
      <c r="G1021">
        <v>1</v>
      </c>
      <c r="H1021">
        <v>1</v>
      </c>
      <c r="I1021">
        <v>1</v>
      </c>
      <c r="J1021">
        <v>1</v>
      </c>
      <c r="K1021">
        <v>1</v>
      </c>
      <c r="L1021">
        <v>1</v>
      </c>
      <c r="M1021">
        <v>1</v>
      </c>
      <c r="N1021">
        <v>1</v>
      </c>
      <c r="O1021">
        <v>1</v>
      </c>
      <c r="P1021">
        <v>1</v>
      </c>
      <c r="Q1021">
        <v>1</v>
      </c>
      <c r="R1021">
        <v>1</v>
      </c>
      <c r="S1021">
        <v>1</v>
      </c>
      <c r="T1021">
        <v>1</v>
      </c>
      <c r="U1021">
        <v>1</v>
      </c>
      <c r="V1021">
        <v>1</v>
      </c>
      <c r="W1021">
        <v>1</v>
      </c>
      <c r="X1021">
        <v>1</v>
      </c>
      <c r="Y1021">
        <v>1</v>
      </c>
      <c r="Z1021">
        <v>1</v>
      </c>
      <c r="AA1021">
        <v>1</v>
      </c>
      <c r="AB1021">
        <v>1</v>
      </c>
      <c r="AC1021">
        <v>1</v>
      </c>
    </row>
    <row r="1022" spans="1:29" x14ac:dyDescent="0.45">
      <c r="A1022" t="s">
        <v>108</v>
      </c>
      <c r="B1022" t="s">
        <v>436</v>
      </c>
      <c r="C1022" t="s">
        <v>437</v>
      </c>
      <c r="D1022" t="s">
        <v>427</v>
      </c>
      <c r="E1022" t="str">
        <f t="shared" si="15"/>
        <v>VA|solar pv|Fall</v>
      </c>
      <c r="F1022">
        <v>1</v>
      </c>
      <c r="G1022">
        <v>1</v>
      </c>
      <c r="H1022">
        <v>1</v>
      </c>
      <c r="I1022">
        <v>1</v>
      </c>
      <c r="J1022">
        <v>1</v>
      </c>
      <c r="K1022">
        <v>1</v>
      </c>
      <c r="L1022">
        <v>1</v>
      </c>
      <c r="M1022">
        <v>1</v>
      </c>
      <c r="N1022">
        <v>1</v>
      </c>
      <c r="O1022">
        <v>1</v>
      </c>
      <c r="P1022">
        <v>1</v>
      </c>
      <c r="Q1022">
        <v>1</v>
      </c>
      <c r="R1022">
        <v>1</v>
      </c>
      <c r="S1022">
        <v>1</v>
      </c>
      <c r="T1022">
        <v>1</v>
      </c>
      <c r="U1022">
        <v>1</v>
      </c>
      <c r="V1022">
        <v>1</v>
      </c>
      <c r="W1022">
        <v>1</v>
      </c>
      <c r="X1022">
        <v>1</v>
      </c>
      <c r="Y1022">
        <v>1</v>
      </c>
      <c r="Z1022">
        <v>1</v>
      </c>
      <c r="AA1022">
        <v>1</v>
      </c>
      <c r="AB1022">
        <v>1</v>
      </c>
      <c r="AC1022">
        <v>1</v>
      </c>
    </row>
    <row r="1023" spans="1:29" x14ac:dyDescent="0.45">
      <c r="A1023" t="s">
        <v>108</v>
      </c>
      <c r="B1023" t="s">
        <v>436</v>
      </c>
      <c r="C1023" t="s">
        <v>437</v>
      </c>
      <c r="D1023" t="s">
        <v>428</v>
      </c>
      <c r="E1023" t="str">
        <f t="shared" si="15"/>
        <v>VA|solar pv|Summer Peak</v>
      </c>
      <c r="F1023">
        <v>1</v>
      </c>
      <c r="G1023">
        <v>1</v>
      </c>
      <c r="H1023">
        <v>1</v>
      </c>
      <c r="I1023">
        <v>1</v>
      </c>
      <c r="J1023">
        <v>1</v>
      </c>
      <c r="K1023">
        <v>0.56110000000000004</v>
      </c>
      <c r="L1023">
        <v>0.9425</v>
      </c>
      <c r="M1023">
        <v>0.96089999999999998</v>
      </c>
      <c r="N1023">
        <v>0.92569999999999997</v>
      </c>
      <c r="O1023">
        <v>0.90990000000000004</v>
      </c>
      <c r="P1023">
        <v>0.88170000000000004</v>
      </c>
      <c r="Q1023">
        <v>0.86019999999999996</v>
      </c>
      <c r="R1023">
        <v>0.84930000000000005</v>
      </c>
      <c r="S1023">
        <v>0.85229999999999995</v>
      </c>
      <c r="T1023">
        <v>0.76349999999999996</v>
      </c>
      <c r="U1023">
        <v>0.64959999999999996</v>
      </c>
      <c r="V1023">
        <v>0.53900000000000003</v>
      </c>
      <c r="W1023">
        <v>0.44180000000000003</v>
      </c>
      <c r="X1023">
        <v>5.5899999999999998E-2</v>
      </c>
      <c r="Y1023">
        <v>1</v>
      </c>
      <c r="Z1023">
        <v>1</v>
      </c>
      <c r="AA1023">
        <v>1</v>
      </c>
      <c r="AB1023">
        <v>1</v>
      </c>
      <c r="AC1023">
        <v>1</v>
      </c>
    </row>
    <row r="1024" spans="1:29" x14ac:dyDescent="0.45">
      <c r="A1024" t="s">
        <v>108</v>
      </c>
      <c r="B1024" t="s">
        <v>436</v>
      </c>
      <c r="C1024" t="s">
        <v>437</v>
      </c>
      <c r="D1024" t="s">
        <v>429</v>
      </c>
      <c r="E1024" t="str">
        <f t="shared" si="15"/>
        <v>VA|solar pv|Winter Peak</v>
      </c>
      <c r="F1024">
        <v>1</v>
      </c>
      <c r="G1024">
        <v>1</v>
      </c>
      <c r="H1024">
        <v>1</v>
      </c>
      <c r="I1024">
        <v>1</v>
      </c>
      <c r="J1024">
        <v>1</v>
      </c>
      <c r="K1024">
        <v>1</v>
      </c>
      <c r="L1024">
        <v>1</v>
      </c>
      <c r="M1024">
        <v>0.25669999999999998</v>
      </c>
      <c r="N1024">
        <v>0.36</v>
      </c>
      <c r="O1024">
        <v>0.51570000000000005</v>
      </c>
      <c r="P1024">
        <v>0.6351</v>
      </c>
      <c r="Q1024">
        <v>0.81899999999999995</v>
      </c>
      <c r="R1024">
        <v>0.8387</v>
      </c>
      <c r="S1024">
        <v>0.64229999999999998</v>
      </c>
      <c r="T1024">
        <v>0.36990000000000001</v>
      </c>
      <c r="U1024">
        <v>0.21329999999999999</v>
      </c>
      <c r="V1024">
        <v>2.3300000000000001E-2</v>
      </c>
      <c r="W1024">
        <v>1</v>
      </c>
      <c r="X1024">
        <v>1</v>
      </c>
      <c r="Y1024">
        <v>1</v>
      </c>
      <c r="Z1024">
        <v>1</v>
      </c>
      <c r="AA1024">
        <v>1</v>
      </c>
      <c r="AB1024">
        <v>1</v>
      </c>
      <c r="AC1024">
        <v>1</v>
      </c>
    </row>
    <row r="1025" spans="1:29" x14ac:dyDescent="0.45">
      <c r="A1025" t="s">
        <v>108</v>
      </c>
      <c r="B1025" t="s">
        <v>438</v>
      </c>
      <c r="C1025" t="s">
        <v>439</v>
      </c>
      <c r="D1025" t="s">
        <v>424</v>
      </c>
      <c r="E1025" t="str">
        <f t="shared" si="15"/>
        <v>VA|solar thermal|Winter</v>
      </c>
      <c r="F1025">
        <v>1</v>
      </c>
      <c r="G1025">
        <v>1</v>
      </c>
      <c r="H1025">
        <v>1</v>
      </c>
      <c r="I1025">
        <v>1</v>
      </c>
      <c r="J1025">
        <v>1</v>
      </c>
      <c r="K1025">
        <v>1</v>
      </c>
      <c r="L1025">
        <v>1</v>
      </c>
      <c r="M1025">
        <v>1</v>
      </c>
      <c r="N1025">
        <v>1</v>
      </c>
      <c r="O1025">
        <v>1</v>
      </c>
      <c r="P1025">
        <v>1</v>
      </c>
      <c r="Q1025">
        <v>1</v>
      </c>
      <c r="R1025">
        <v>1</v>
      </c>
      <c r="S1025">
        <v>1</v>
      </c>
      <c r="T1025">
        <v>1</v>
      </c>
      <c r="U1025">
        <v>1</v>
      </c>
      <c r="V1025">
        <v>1</v>
      </c>
      <c r="W1025">
        <v>1</v>
      </c>
      <c r="X1025">
        <v>1</v>
      </c>
      <c r="Y1025">
        <v>1</v>
      </c>
      <c r="Z1025">
        <v>1</v>
      </c>
      <c r="AA1025">
        <v>1</v>
      </c>
      <c r="AB1025">
        <v>1</v>
      </c>
      <c r="AC1025">
        <v>1</v>
      </c>
    </row>
    <row r="1026" spans="1:29" x14ac:dyDescent="0.45">
      <c r="A1026" t="s">
        <v>108</v>
      </c>
      <c r="B1026" t="s">
        <v>438</v>
      </c>
      <c r="C1026" t="s">
        <v>439</v>
      </c>
      <c r="D1026" t="s">
        <v>425</v>
      </c>
      <c r="E1026" t="str">
        <f t="shared" si="15"/>
        <v>VA|solar thermal|Spring</v>
      </c>
      <c r="F1026">
        <v>1</v>
      </c>
      <c r="G1026">
        <v>1</v>
      </c>
      <c r="H1026">
        <v>1</v>
      </c>
      <c r="I1026">
        <v>1</v>
      </c>
      <c r="J1026">
        <v>1</v>
      </c>
      <c r="K1026">
        <v>1</v>
      </c>
      <c r="L1026">
        <v>1</v>
      </c>
      <c r="M1026">
        <v>1</v>
      </c>
      <c r="N1026">
        <v>1</v>
      </c>
      <c r="O1026">
        <v>1</v>
      </c>
      <c r="P1026">
        <v>1</v>
      </c>
      <c r="Q1026">
        <v>1</v>
      </c>
      <c r="R1026">
        <v>1</v>
      </c>
      <c r="S1026">
        <v>1</v>
      </c>
      <c r="T1026">
        <v>1</v>
      </c>
      <c r="U1026">
        <v>1</v>
      </c>
      <c r="V1026">
        <v>1</v>
      </c>
      <c r="W1026">
        <v>1</v>
      </c>
      <c r="X1026">
        <v>1</v>
      </c>
      <c r="Y1026">
        <v>1</v>
      </c>
      <c r="Z1026">
        <v>1</v>
      </c>
      <c r="AA1026">
        <v>1</v>
      </c>
      <c r="AB1026">
        <v>1</v>
      </c>
      <c r="AC1026">
        <v>1</v>
      </c>
    </row>
    <row r="1027" spans="1:29" x14ac:dyDescent="0.45">
      <c r="A1027" t="s">
        <v>108</v>
      </c>
      <c r="B1027" t="s">
        <v>438</v>
      </c>
      <c r="C1027" t="s">
        <v>439</v>
      </c>
      <c r="D1027" t="s">
        <v>426</v>
      </c>
      <c r="E1027" t="str">
        <f t="shared" si="15"/>
        <v>VA|solar thermal|Summer</v>
      </c>
      <c r="F1027">
        <v>1</v>
      </c>
      <c r="G1027">
        <v>1</v>
      </c>
      <c r="H1027">
        <v>1</v>
      </c>
      <c r="I1027">
        <v>1</v>
      </c>
      <c r="J1027">
        <v>1</v>
      </c>
      <c r="K1027">
        <v>1</v>
      </c>
      <c r="L1027">
        <v>1</v>
      </c>
      <c r="M1027">
        <v>1</v>
      </c>
      <c r="N1027">
        <v>1</v>
      </c>
      <c r="O1027">
        <v>1</v>
      </c>
      <c r="P1027">
        <v>1</v>
      </c>
      <c r="Q1027">
        <v>1</v>
      </c>
      <c r="R1027">
        <v>1</v>
      </c>
      <c r="S1027">
        <v>1</v>
      </c>
      <c r="T1027">
        <v>1</v>
      </c>
      <c r="U1027">
        <v>1</v>
      </c>
      <c r="V1027">
        <v>1</v>
      </c>
      <c r="W1027">
        <v>1</v>
      </c>
      <c r="X1027">
        <v>1</v>
      </c>
      <c r="Y1027">
        <v>1</v>
      </c>
      <c r="Z1027">
        <v>1</v>
      </c>
      <c r="AA1027">
        <v>1</v>
      </c>
      <c r="AB1027">
        <v>1</v>
      </c>
      <c r="AC1027">
        <v>1</v>
      </c>
    </row>
    <row r="1028" spans="1:29" x14ac:dyDescent="0.45">
      <c r="A1028" t="s">
        <v>108</v>
      </c>
      <c r="B1028" t="s">
        <v>438</v>
      </c>
      <c r="C1028" t="s">
        <v>439</v>
      </c>
      <c r="D1028" t="s">
        <v>427</v>
      </c>
      <c r="E1028" t="str">
        <f t="shared" si="15"/>
        <v>VA|solar thermal|Fall</v>
      </c>
      <c r="F1028">
        <v>1</v>
      </c>
      <c r="G1028">
        <v>1</v>
      </c>
      <c r="H1028">
        <v>1</v>
      </c>
      <c r="I1028">
        <v>1</v>
      </c>
      <c r="J1028">
        <v>1</v>
      </c>
      <c r="K1028">
        <v>1</v>
      </c>
      <c r="L1028">
        <v>1</v>
      </c>
      <c r="M1028">
        <v>1</v>
      </c>
      <c r="N1028">
        <v>1</v>
      </c>
      <c r="O1028">
        <v>1</v>
      </c>
      <c r="P1028">
        <v>1</v>
      </c>
      <c r="Q1028">
        <v>1</v>
      </c>
      <c r="R1028">
        <v>1</v>
      </c>
      <c r="S1028">
        <v>1</v>
      </c>
      <c r="T1028">
        <v>1</v>
      </c>
      <c r="U1028">
        <v>1</v>
      </c>
      <c r="V1028">
        <v>1</v>
      </c>
      <c r="W1028">
        <v>1</v>
      </c>
      <c r="X1028">
        <v>1</v>
      </c>
      <c r="Y1028">
        <v>1</v>
      </c>
      <c r="Z1028">
        <v>1</v>
      </c>
      <c r="AA1028">
        <v>1</v>
      </c>
      <c r="AB1028">
        <v>1</v>
      </c>
      <c r="AC1028">
        <v>1</v>
      </c>
    </row>
    <row r="1029" spans="1:29" x14ac:dyDescent="0.45">
      <c r="A1029" t="s">
        <v>108</v>
      </c>
      <c r="B1029" t="s">
        <v>438</v>
      </c>
      <c r="C1029" t="s">
        <v>439</v>
      </c>
      <c r="D1029" t="s">
        <v>428</v>
      </c>
      <c r="E1029" t="str">
        <f t="shared" ref="E1029:E1092" si="16">A1029&amp;"|"&amp;C1029&amp;"|"&amp;D1029</f>
        <v>VA|solar thermal|Summer Peak</v>
      </c>
      <c r="F1029">
        <v>1</v>
      </c>
      <c r="G1029">
        <v>1</v>
      </c>
      <c r="H1029">
        <v>1</v>
      </c>
      <c r="I1029">
        <v>1</v>
      </c>
      <c r="J1029">
        <v>1</v>
      </c>
      <c r="K1029">
        <v>1</v>
      </c>
      <c r="L1029">
        <v>1</v>
      </c>
      <c r="M1029">
        <v>0</v>
      </c>
      <c r="N1029">
        <v>0.8639</v>
      </c>
      <c r="O1029">
        <v>1</v>
      </c>
      <c r="P1029">
        <v>1</v>
      </c>
      <c r="Q1029">
        <v>0.97160000000000002</v>
      </c>
      <c r="R1029">
        <v>0.96719999999999995</v>
      </c>
      <c r="S1029">
        <v>1</v>
      </c>
      <c r="T1029">
        <v>1</v>
      </c>
      <c r="U1029">
        <v>1</v>
      </c>
      <c r="V1029">
        <v>1</v>
      </c>
      <c r="W1029">
        <v>1</v>
      </c>
      <c r="X1029">
        <v>1</v>
      </c>
      <c r="Y1029">
        <v>0.93130000000000002</v>
      </c>
      <c r="Z1029">
        <v>0.70220000000000005</v>
      </c>
      <c r="AA1029">
        <v>1</v>
      </c>
      <c r="AB1029">
        <v>1</v>
      </c>
      <c r="AC1029">
        <v>1</v>
      </c>
    </row>
    <row r="1030" spans="1:29" x14ac:dyDescent="0.45">
      <c r="A1030" t="s">
        <v>108</v>
      </c>
      <c r="B1030" t="s">
        <v>438</v>
      </c>
      <c r="C1030" t="s">
        <v>439</v>
      </c>
      <c r="D1030" t="s">
        <v>429</v>
      </c>
      <c r="E1030" t="str">
        <f t="shared" si="16"/>
        <v>VA|solar thermal|Winter Peak</v>
      </c>
      <c r="F1030">
        <v>1</v>
      </c>
      <c r="G1030">
        <v>1</v>
      </c>
      <c r="H1030">
        <v>1</v>
      </c>
      <c r="I1030">
        <v>1</v>
      </c>
      <c r="J1030">
        <v>1</v>
      </c>
      <c r="K1030">
        <v>1</v>
      </c>
      <c r="L1030">
        <v>1</v>
      </c>
      <c r="M1030">
        <v>1</v>
      </c>
      <c r="N1030">
        <v>1</v>
      </c>
      <c r="O1030">
        <v>0.2419</v>
      </c>
      <c r="P1030">
        <v>0.95320000000000005</v>
      </c>
      <c r="Q1030">
        <v>0.88039999999999996</v>
      </c>
      <c r="R1030">
        <v>0.97819999999999996</v>
      </c>
      <c r="S1030">
        <v>0.98950000000000005</v>
      </c>
      <c r="T1030">
        <v>0.99270000000000003</v>
      </c>
      <c r="U1030">
        <v>1</v>
      </c>
      <c r="V1030">
        <v>1</v>
      </c>
      <c r="W1030">
        <v>1</v>
      </c>
      <c r="X1030">
        <v>0.89019999999999999</v>
      </c>
      <c r="Y1030">
        <v>0</v>
      </c>
      <c r="Z1030">
        <v>1</v>
      </c>
      <c r="AA1030">
        <v>1</v>
      </c>
      <c r="AB1030">
        <v>1</v>
      </c>
      <c r="AC1030">
        <v>1</v>
      </c>
    </row>
    <row r="1031" spans="1:29" x14ac:dyDescent="0.45">
      <c r="A1031" t="s">
        <v>108</v>
      </c>
      <c r="B1031" t="s">
        <v>440</v>
      </c>
      <c r="C1031" t="s">
        <v>441</v>
      </c>
      <c r="D1031" t="s">
        <v>424</v>
      </c>
      <c r="E1031" t="str">
        <f t="shared" si="16"/>
        <v>VA|offshore wind|Winter</v>
      </c>
      <c r="F1031">
        <v>1</v>
      </c>
      <c r="G1031">
        <v>1</v>
      </c>
      <c r="H1031">
        <v>1</v>
      </c>
      <c r="I1031">
        <v>1</v>
      </c>
      <c r="J1031">
        <v>1</v>
      </c>
      <c r="K1031">
        <v>1</v>
      </c>
      <c r="L1031">
        <v>1</v>
      </c>
      <c r="M1031">
        <v>1</v>
      </c>
      <c r="N1031">
        <v>1</v>
      </c>
      <c r="O1031">
        <v>1</v>
      </c>
      <c r="P1031">
        <v>1</v>
      </c>
      <c r="Q1031">
        <v>1</v>
      </c>
      <c r="R1031">
        <v>1</v>
      </c>
      <c r="S1031">
        <v>1</v>
      </c>
      <c r="T1031">
        <v>1</v>
      </c>
      <c r="U1031">
        <v>1</v>
      </c>
      <c r="V1031">
        <v>1</v>
      </c>
      <c r="W1031">
        <v>1</v>
      </c>
      <c r="X1031">
        <v>1</v>
      </c>
      <c r="Y1031">
        <v>1</v>
      </c>
      <c r="Z1031">
        <v>1</v>
      </c>
      <c r="AA1031">
        <v>1</v>
      </c>
      <c r="AB1031">
        <v>1</v>
      </c>
      <c r="AC1031">
        <v>1</v>
      </c>
    </row>
    <row r="1032" spans="1:29" x14ac:dyDescent="0.45">
      <c r="A1032" t="s">
        <v>108</v>
      </c>
      <c r="B1032" t="s">
        <v>440</v>
      </c>
      <c r="C1032" t="s">
        <v>441</v>
      </c>
      <c r="D1032" t="s">
        <v>425</v>
      </c>
      <c r="E1032" t="str">
        <f t="shared" si="16"/>
        <v>VA|offshore wind|Spring</v>
      </c>
      <c r="F1032">
        <v>1</v>
      </c>
      <c r="G1032">
        <v>1</v>
      </c>
      <c r="H1032">
        <v>1</v>
      </c>
      <c r="I1032">
        <v>1</v>
      </c>
      <c r="J1032">
        <v>1</v>
      </c>
      <c r="K1032">
        <v>1</v>
      </c>
      <c r="L1032">
        <v>1</v>
      </c>
      <c r="M1032">
        <v>1</v>
      </c>
      <c r="N1032">
        <v>1</v>
      </c>
      <c r="O1032">
        <v>1</v>
      </c>
      <c r="P1032">
        <v>1</v>
      </c>
      <c r="Q1032">
        <v>1</v>
      </c>
      <c r="R1032">
        <v>1</v>
      </c>
      <c r="S1032">
        <v>1</v>
      </c>
      <c r="T1032">
        <v>1</v>
      </c>
      <c r="U1032">
        <v>1</v>
      </c>
      <c r="V1032">
        <v>1</v>
      </c>
      <c r="W1032">
        <v>1</v>
      </c>
      <c r="X1032">
        <v>1</v>
      </c>
      <c r="Y1032">
        <v>1</v>
      </c>
      <c r="Z1032">
        <v>1</v>
      </c>
      <c r="AA1032">
        <v>1</v>
      </c>
      <c r="AB1032">
        <v>1</v>
      </c>
      <c r="AC1032">
        <v>1</v>
      </c>
    </row>
    <row r="1033" spans="1:29" x14ac:dyDescent="0.45">
      <c r="A1033" t="s">
        <v>108</v>
      </c>
      <c r="B1033" t="s">
        <v>440</v>
      </c>
      <c r="C1033" t="s">
        <v>441</v>
      </c>
      <c r="D1033" t="s">
        <v>426</v>
      </c>
      <c r="E1033" t="str">
        <f t="shared" si="16"/>
        <v>VA|offshore wind|Summer</v>
      </c>
      <c r="F1033">
        <v>1</v>
      </c>
      <c r="G1033">
        <v>1</v>
      </c>
      <c r="H1033">
        <v>1</v>
      </c>
      <c r="I1033">
        <v>1</v>
      </c>
      <c r="J1033">
        <v>1</v>
      </c>
      <c r="K1033">
        <v>1</v>
      </c>
      <c r="L1033">
        <v>1</v>
      </c>
      <c r="M1033">
        <v>1</v>
      </c>
      <c r="N1033">
        <v>1</v>
      </c>
      <c r="O1033">
        <v>1</v>
      </c>
      <c r="P1033">
        <v>1</v>
      </c>
      <c r="Q1033">
        <v>1</v>
      </c>
      <c r="R1033">
        <v>1</v>
      </c>
      <c r="S1033">
        <v>1</v>
      </c>
      <c r="T1033">
        <v>1</v>
      </c>
      <c r="U1033">
        <v>1</v>
      </c>
      <c r="V1033">
        <v>1</v>
      </c>
      <c r="W1033">
        <v>1</v>
      </c>
      <c r="X1033">
        <v>1</v>
      </c>
      <c r="Y1033">
        <v>1</v>
      </c>
      <c r="Z1033">
        <v>1</v>
      </c>
      <c r="AA1033">
        <v>1</v>
      </c>
      <c r="AB1033">
        <v>1</v>
      </c>
      <c r="AC1033">
        <v>1</v>
      </c>
    </row>
    <row r="1034" spans="1:29" x14ac:dyDescent="0.45">
      <c r="A1034" t="s">
        <v>108</v>
      </c>
      <c r="B1034" t="s">
        <v>440</v>
      </c>
      <c r="C1034" t="s">
        <v>441</v>
      </c>
      <c r="D1034" t="s">
        <v>427</v>
      </c>
      <c r="E1034" t="str">
        <f t="shared" si="16"/>
        <v>VA|offshore wind|Fall</v>
      </c>
      <c r="F1034">
        <v>1</v>
      </c>
      <c r="G1034">
        <v>1</v>
      </c>
      <c r="H1034">
        <v>1</v>
      </c>
      <c r="I1034">
        <v>1</v>
      </c>
      <c r="J1034">
        <v>1</v>
      </c>
      <c r="K1034">
        <v>1</v>
      </c>
      <c r="L1034">
        <v>1</v>
      </c>
      <c r="M1034">
        <v>1</v>
      </c>
      <c r="N1034">
        <v>1</v>
      </c>
      <c r="O1034">
        <v>1</v>
      </c>
      <c r="P1034">
        <v>1</v>
      </c>
      <c r="Q1034">
        <v>1</v>
      </c>
      <c r="R1034">
        <v>1</v>
      </c>
      <c r="S1034">
        <v>1</v>
      </c>
      <c r="T1034">
        <v>1</v>
      </c>
      <c r="U1034">
        <v>1</v>
      </c>
      <c r="V1034">
        <v>1</v>
      </c>
      <c r="W1034">
        <v>1</v>
      </c>
      <c r="X1034">
        <v>1</v>
      </c>
      <c r="Y1034">
        <v>1</v>
      </c>
      <c r="Z1034">
        <v>1</v>
      </c>
      <c r="AA1034">
        <v>1</v>
      </c>
      <c r="AB1034">
        <v>1</v>
      </c>
      <c r="AC1034">
        <v>1</v>
      </c>
    </row>
    <row r="1035" spans="1:29" x14ac:dyDescent="0.45">
      <c r="A1035" t="s">
        <v>108</v>
      </c>
      <c r="B1035" t="s">
        <v>440</v>
      </c>
      <c r="C1035" t="s">
        <v>441</v>
      </c>
      <c r="D1035" t="s">
        <v>428</v>
      </c>
      <c r="E1035" t="str">
        <f t="shared" si="16"/>
        <v>VA|offshore wind|Summer Peak</v>
      </c>
      <c r="F1035">
        <v>0.28339999999999999</v>
      </c>
      <c r="G1035">
        <v>0.27700000000000002</v>
      </c>
      <c r="H1035">
        <v>0.34410000000000002</v>
      </c>
      <c r="I1035">
        <v>0.55589999999999995</v>
      </c>
      <c r="J1035">
        <v>0.60340000000000005</v>
      </c>
      <c r="K1035">
        <v>0.62390000000000001</v>
      </c>
      <c r="L1035">
        <v>0.51539999999999997</v>
      </c>
      <c r="M1035">
        <v>0.41220000000000001</v>
      </c>
      <c r="N1035">
        <v>0.3795</v>
      </c>
      <c r="O1035">
        <v>0.37680000000000002</v>
      </c>
      <c r="P1035">
        <v>0.45519999999999999</v>
      </c>
      <c r="Q1035">
        <v>0.39269999999999999</v>
      </c>
      <c r="R1035">
        <v>0.34229999999999999</v>
      </c>
      <c r="S1035">
        <v>0.29549999999999998</v>
      </c>
      <c r="T1035">
        <v>0.25309999999999999</v>
      </c>
      <c r="U1035">
        <v>0.2281</v>
      </c>
      <c r="V1035">
        <v>0.20799999999999999</v>
      </c>
      <c r="W1035">
        <v>0.21629999999999999</v>
      </c>
      <c r="X1035">
        <v>0.14419999999999999</v>
      </c>
      <c r="Y1035">
        <v>0.13589999999999999</v>
      </c>
      <c r="Z1035">
        <v>0.22720000000000001</v>
      </c>
      <c r="AA1035">
        <v>0.3216</v>
      </c>
      <c r="AB1035">
        <v>0.40749999999999997</v>
      </c>
      <c r="AC1035">
        <v>0.37730000000000002</v>
      </c>
    </row>
    <row r="1036" spans="1:29" x14ac:dyDescent="0.45">
      <c r="A1036" t="s">
        <v>108</v>
      </c>
      <c r="B1036" t="s">
        <v>440</v>
      </c>
      <c r="C1036" t="s">
        <v>441</v>
      </c>
      <c r="D1036" t="s">
        <v>429</v>
      </c>
      <c r="E1036" t="str">
        <f t="shared" si="16"/>
        <v>VA|offshore wind|Winter Peak</v>
      </c>
      <c r="F1036">
        <v>0.62590000000000001</v>
      </c>
      <c r="G1036">
        <v>0.59260000000000002</v>
      </c>
      <c r="H1036">
        <v>0.53010000000000002</v>
      </c>
      <c r="I1036">
        <v>0.504</v>
      </c>
      <c r="J1036">
        <v>0.41749999999999998</v>
      </c>
      <c r="K1036">
        <v>0.34589999999999999</v>
      </c>
      <c r="L1036">
        <v>0.25590000000000002</v>
      </c>
      <c r="M1036">
        <v>0.23569999999999999</v>
      </c>
      <c r="N1036">
        <v>0.20619999999999999</v>
      </c>
      <c r="O1036">
        <v>0.18190000000000001</v>
      </c>
      <c r="P1036">
        <v>0.18840000000000001</v>
      </c>
      <c r="Q1036">
        <v>0.27989999999999998</v>
      </c>
      <c r="R1036">
        <v>0.30349999999999999</v>
      </c>
      <c r="S1036">
        <v>0.36349999999999999</v>
      </c>
      <c r="T1036">
        <v>0.47010000000000002</v>
      </c>
      <c r="U1036">
        <v>0.54400000000000004</v>
      </c>
      <c r="V1036">
        <v>0.61460000000000004</v>
      </c>
      <c r="W1036">
        <v>0.64710000000000001</v>
      </c>
      <c r="X1036">
        <v>0.64790000000000003</v>
      </c>
      <c r="Y1036">
        <v>0.9829</v>
      </c>
      <c r="Z1036">
        <v>1</v>
      </c>
      <c r="AA1036">
        <v>0.98340000000000005</v>
      </c>
      <c r="AB1036">
        <v>0.8155</v>
      </c>
      <c r="AC1036">
        <v>0.71919999999999995</v>
      </c>
    </row>
    <row r="1037" spans="1:29" x14ac:dyDescent="0.45">
      <c r="A1037" t="s">
        <v>110</v>
      </c>
      <c r="B1037" t="s">
        <v>434</v>
      </c>
      <c r="C1037" t="s">
        <v>435</v>
      </c>
      <c r="D1037" t="s">
        <v>424</v>
      </c>
      <c r="E1037" t="str">
        <f t="shared" si="16"/>
        <v>VT|onshore wind|Winter</v>
      </c>
      <c r="F1037">
        <v>1</v>
      </c>
      <c r="G1037">
        <v>1</v>
      </c>
      <c r="H1037">
        <v>1</v>
      </c>
      <c r="I1037">
        <v>1</v>
      </c>
      <c r="J1037">
        <v>1</v>
      </c>
      <c r="K1037">
        <v>1</v>
      </c>
      <c r="L1037">
        <v>1</v>
      </c>
      <c r="M1037">
        <v>1</v>
      </c>
      <c r="N1037">
        <v>1</v>
      </c>
      <c r="O1037">
        <v>1</v>
      </c>
      <c r="P1037">
        <v>1</v>
      </c>
      <c r="Q1037">
        <v>1</v>
      </c>
      <c r="R1037">
        <v>1</v>
      </c>
      <c r="S1037">
        <v>1</v>
      </c>
      <c r="T1037">
        <v>1</v>
      </c>
      <c r="U1037">
        <v>1</v>
      </c>
      <c r="V1037">
        <v>1</v>
      </c>
      <c r="W1037">
        <v>1</v>
      </c>
      <c r="X1037">
        <v>1</v>
      </c>
      <c r="Y1037">
        <v>1</v>
      </c>
      <c r="Z1037">
        <v>1</v>
      </c>
      <c r="AA1037">
        <v>1</v>
      </c>
      <c r="AB1037">
        <v>1</v>
      </c>
      <c r="AC1037">
        <v>1</v>
      </c>
    </row>
    <row r="1038" spans="1:29" x14ac:dyDescent="0.45">
      <c r="A1038" t="s">
        <v>110</v>
      </c>
      <c r="B1038" t="s">
        <v>434</v>
      </c>
      <c r="C1038" t="s">
        <v>435</v>
      </c>
      <c r="D1038" t="s">
        <v>425</v>
      </c>
      <c r="E1038" t="str">
        <f t="shared" si="16"/>
        <v>VT|onshore wind|Spring</v>
      </c>
      <c r="F1038">
        <v>1</v>
      </c>
      <c r="G1038">
        <v>1</v>
      </c>
      <c r="H1038">
        <v>1</v>
      </c>
      <c r="I1038">
        <v>1</v>
      </c>
      <c r="J1038">
        <v>1</v>
      </c>
      <c r="K1038">
        <v>1</v>
      </c>
      <c r="L1038">
        <v>1</v>
      </c>
      <c r="M1038">
        <v>1</v>
      </c>
      <c r="N1038">
        <v>1</v>
      </c>
      <c r="O1038">
        <v>1</v>
      </c>
      <c r="P1038">
        <v>1</v>
      </c>
      <c r="Q1038">
        <v>1</v>
      </c>
      <c r="R1038">
        <v>1</v>
      </c>
      <c r="S1038">
        <v>1</v>
      </c>
      <c r="T1038">
        <v>1</v>
      </c>
      <c r="U1038">
        <v>1</v>
      </c>
      <c r="V1038">
        <v>1</v>
      </c>
      <c r="W1038">
        <v>1</v>
      </c>
      <c r="X1038">
        <v>1</v>
      </c>
      <c r="Y1038">
        <v>1</v>
      </c>
      <c r="Z1038">
        <v>1</v>
      </c>
      <c r="AA1038">
        <v>1</v>
      </c>
      <c r="AB1038">
        <v>1</v>
      </c>
      <c r="AC1038">
        <v>1</v>
      </c>
    </row>
    <row r="1039" spans="1:29" x14ac:dyDescent="0.45">
      <c r="A1039" t="s">
        <v>110</v>
      </c>
      <c r="B1039" t="s">
        <v>434</v>
      </c>
      <c r="C1039" t="s">
        <v>435</v>
      </c>
      <c r="D1039" t="s">
        <v>426</v>
      </c>
      <c r="E1039" t="str">
        <f t="shared" si="16"/>
        <v>VT|onshore wind|Summer</v>
      </c>
      <c r="F1039">
        <v>1</v>
      </c>
      <c r="G1039">
        <v>1</v>
      </c>
      <c r="H1039">
        <v>1</v>
      </c>
      <c r="I1039">
        <v>1</v>
      </c>
      <c r="J1039">
        <v>1</v>
      </c>
      <c r="K1039">
        <v>1</v>
      </c>
      <c r="L1039">
        <v>1</v>
      </c>
      <c r="M1039">
        <v>1</v>
      </c>
      <c r="N1039">
        <v>1</v>
      </c>
      <c r="O1039">
        <v>1</v>
      </c>
      <c r="P1039">
        <v>1</v>
      </c>
      <c r="Q1039">
        <v>1</v>
      </c>
      <c r="R1039">
        <v>1</v>
      </c>
      <c r="S1039">
        <v>1</v>
      </c>
      <c r="T1039">
        <v>1</v>
      </c>
      <c r="U1039">
        <v>1</v>
      </c>
      <c r="V1039">
        <v>1</v>
      </c>
      <c r="W1039">
        <v>1</v>
      </c>
      <c r="X1039">
        <v>1</v>
      </c>
      <c r="Y1039">
        <v>1</v>
      </c>
      <c r="Z1039">
        <v>1</v>
      </c>
      <c r="AA1039">
        <v>1</v>
      </c>
      <c r="AB1039">
        <v>1</v>
      </c>
      <c r="AC1039">
        <v>1</v>
      </c>
    </row>
    <row r="1040" spans="1:29" x14ac:dyDescent="0.45">
      <c r="A1040" t="s">
        <v>110</v>
      </c>
      <c r="B1040" t="s">
        <v>434</v>
      </c>
      <c r="C1040" t="s">
        <v>435</v>
      </c>
      <c r="D1040" t="s">
        <v>427</v>
      </c>
      <c r="E1040" t="str">
        <f t="shared" si="16"/>
        <v>VT|onshore wind|Fall</v>
      </c>
      <c r="F1040">
        <v>1</v>
      </c>
      <c r="G1040">
        <v>1</v>
      </c>
      <c r="H1040">
        <v>1</v>
      </c>
      <c r="I1040">
        <v>1</v>
      </c>
      <c r="J1040">
        <v>1</v>
      </c>
      <c r="K1040">
        <v>1</v>
      </c>
      <c r="L1040">
        <v>1</v>
      </c>
      <c r="M1040">
        <v>1</v>
      </c>
      <c r="N1040">
        <v>1</v>
      </c>
      <c r="O1040">
        <v>1</v>
      </c>
      <c r="P1040">
        <v>1</v>
      </c>
      <c r="Q1040">
        <v>1</v>
      </c>
      <c r="R1040">
        <v>1</v>
      </c>
      <c r="S1040">
        <v>1</v>
      </c>
      <c r="T1040">
        <v>1</v>
      </c>
      <c r="U1040">
        <v>1</v>
      </c>
      <c r="V1040">
        <v>1</v>
      </c>
      <c r="W1040">
        <v>1</v>
      </c>
      <c r="X1040">
        <v>1</v>
      </c>
      <c r="Y1040">
        <v>1</v>
      </c>
      <c r="Z1040">
        <v>1</v>
      </c>
      <c r="AA1040">
        <v>1</v>
      </c>
      <c r="AB1040">
        <v>1</v>
      </c>
      <c r="AC1040">
        <v>1</v>
      </c>
    </row>
    <row r="1041" spans="1:29" x14ac:dyDescent="0.45">
      <c r="A1041" t="s">
        <v>110</v>
      </c>
      <c r="B1041" t="s">
        <v>434</v>
      </c>
      <c r="C1041" t="s">
        <v>435</v>
      </c>
      <c r="D1041" t="s">
        <v>428</v>
      </c>
      <c r="E1041" t="str">
        <f t="shared" si="16"/>
        <v>VT|onshore wind|Summer Peak</v>
      </c>
      <c r="F1041">
        <v>0.92059999999999997</v>
      </c>
      <c r="G1041">
        <v>0.80579999999999996</v>
      </c>
      <c r="H1041">
        <v>0.66410000000000002</v>
      </c>
      <c r="I1041">
        <v>0.56769999999999998</v>
      </c>
      <c r="J1041">
        <v>0.61770000000000003</v>
      </c>
      <c r="K1041">
        <v>0.58930000000000005</v>
      </c>
      <c r="L1041">
        <v>0.33939999999999998</v>
      </c>
      <c r="M1041">
        <v>0.2293</v>
      </c>
      <c r="N1041">
        <v>0.25159999999999999</v>
      </c>
      <c r="O1041">
        <v>0.34</v>
      </c>
      <c r="P1041">
        <v>0.49049999999999999</v>
      </c>
      <c r="Q1041">
        <v>0.51690000000000003</v>
      </c>
      <c r="R1041">
        <v>0.38640000000000002</v>
      </c>
      <c r="S1041">
        <v>0.49909999999999999</v>
      </c>
      <c r="T1041">
        <v>0.61429999999999996</v>
      </c>
      <c r="U1041">
        <v>0.32990000000000003</v>
      </c>
      <c r="V1041">
        <v>0.22559999999999999</v>
      </c>
      <c r="W1041">
        <v>0.46210000000000001</v>
      </c>
      <c r="X1041">
        <v>0.50549999999999995</v>
      </c>
      <c r="Y1041">
        <v>0.35920000000000002</v>
      </c>
      <c r="Z1041">
        <v>0.31259999999999999</v>
      </c>
      <c r="AA1041">
        <v>0.42259999999999998</v>
      </c>
      <c r="AB1041">
        <v>0.48359999999999997</v>
      </c>
      <c r="AC1041">
        <v>0.57399999999999995</v>
      </c>
    </row>
    <row r="1042" spans="1:29" x14ac:dyDescent="0.45">
      <c r="A1042" t="s">
        <v>110</v>
      </c>
      <c r="B1042" t="s">
        <v>434</v>
      </c>
      <c r="C1042" t="s">
        <v>435</v>
      </c>
      <c r="D1042" t="s">
        <v>429</v>
      </c>
      <c r="E1042" t="str">
        <f t="shared" si="16"/>
        <v>VT|onshore wind|Winter Peak</v>
      </c>
      <c r="F1042">
        <v>0.98029999999999995</v>
      </c>
      <c r="G1042">
        <v>0.996</v>
      </c>
      <c r="H1042">
        <v>1</v>
      </c>
      <c r="I1042">
        <v>1</v>
      </c>
      <c r="J1042">
        <v>0.96399999999999997</v>
      </c>
      <c r="K1042">
        <v>0.96899999999999997</v>
      </c>
      <c r="L1042">
        <v>0.93069999999999997</v>
      </c>
      <c r="M1042">
        <v>0.85119999999999996</v>
      </c>
      <c r="N1042">
        <v>0.7107</v>
      </c>
      <c r="O1042">
        <v>0.65529999999999999</v>
      </c>
      <c r="P1042">
        <v>0.63660000000000005</v>
      </c>
      <c r="Q1042">
        <v>0.65249999999999997</v>
      </c>
      <c r="R1042">
        <v>0.70340000000000003</v>
      </c>
      <c r="S1042">
        <v>0.43390000000000001</v>
      </c>
      <c r="T1042">
        <v>0.28939999999999999</v>
      </c>
      <c r="U1042">
        <v>0.27789999999999998</v>
      </c>
      <c r="V1042">
        <v>0.34350000000000003</v>
      </c>
      <c r="W1042">
        <v>0.47699999999999998</v>
      </c>
      <c r="X1042">
        <v>0.53320000000000001</v>
      </c>
      <c r="Y1042">
        <v>0.39889999999999998</v>
      </c>
      <c r="Z1042">
        <v>0.62580000000000002</v>
      </c>
      <c r="AA1042">
        <v>0.67610000000000003</v>
      </c>
      <c r="AB1042">
        <v>0.56950000000000001</v>
      </c>
      <c r="AC1042">
        <v>0.63919999999999999</v>
      </c>
    </row>
    <row r="1043" spans="1:29" x14ac:dyDescent="0.45">
      <c r="A1043" t="s">
        <v>110</v>
      </c>
      <c r="B1043" t="s">
        <v>436</v>
      </c>
      <c r="C1043" t="s">
        <v>437</v>
      </c>
      <c r="D1043" t="s">
        <v>424</v>
      </c>
      <c r="E1043" t="str">
        <f t="shared" si="16"/>
        <v>VT|solar pv|Winter</v>
      </c>
      <c r="F1043">
        <v>1</v>
      </c>
      <c r="G1043">
        <v>1</v>
      </c>
      <c r="H1043">
        <v>1</v>
      </c>
      <c r="I1043">
        <v>1</v>
      </c>
      <c r="J1043">
        <v>1</v>
      </c>
      <c r="K1043">
        <v>1</v>
      </c>
      <c r="L1043">
        <v>1</v>
      </c>
      <c r="M1043">
        <v>1</v>
      </c>
      <c r="N1043">
        <v>1</v>
      </c>
      <c r="O1043">
        <v>1</v>
      </c>
      <c r="P1043">
        <v>1</v>
      </c>
      <c r="Q1043">
        <v>1</v>
      </c>
      <c r="R1043">
        <v>1</v>
      </c>
      <c r="S1043">
        <v>1</v>
      </c>
      <c r="T1043">
        <v>1</v>
      </c>
      <c r="U1043">
        <v>1</v>
      </c>
      <c r="V1043">
        <v>1</v>
      </c>
      <c r="W1043">
        <v>1</v>
      </c>
      <c r="X1043">
        <v>1</v>
      </c>
      <c r="Y1043">
        <v>1</v>
      </c>
      <c r="Z1043">
        <v>1</v>
      </c>
      <c r="AA1043">
        <v>1</v>
      </c>
      <c r="AB1043">
        <v>1</v>
      </c>
      <c r="AC1043">
        <v>1</v>
      </c>
    </row>
    <row r="1044" spans="1:29" x14ac:dyDescent="0.45">
      <c r="A1044" t="s">
        <v>110</v>
      </c>
      <c r="B1044" t="s">
        <v>436</v>
      </c>
      <c r="C1044" t="s">
        <v>437</v>
      </c>
      <c r="D1044" t="s">
        <v>425</v>
      </c>
      <c r="E1044" t="str">
        <f t="shared" si="16"/>
        <v>VT|solar pv|Spring</v>
      </c>
      <c r="F1044">
        <v>1</v>
      </c>
      <c r="G1044">
        <v>1</v>
      </c>
      <c r="H1044">
        <v>1</v>
      </c>
      <c r="I1044">
        <v>1</v>
      </c>
      <c r="J1044">
        <v>1</v>
      </c>
      <c r="K1044">
        <v>1</v>
      </c>
      <c r="L1044">
        <v>1</v>
      </c>
      <c r="M1044">
        <v>1</v>
      </c>
      <c r="N1044">
        <v>1</v>
      </c>
      <c r="O1044">
        <v>1</v>
      </c>
      <c r="P1044">
        <v>1</v>
      </c>
      <c r="Q1044">
        <v>1</v>
      </c>
      <c r="R1044">
        <v>1</v>
      </c>
      <c r="S1044">
        <v>1</v>
      </c>
      <c r="T1044">
        <v>1</v>
      </c>
      <c r="U1044">
        <v>1</v>
      </c>
      <c r="V1044">
        <v>1</v>
      </c>
      <c r="W1044">
        <v>1</v>
      </c>
      <c r="X1044">
        <v>1</v>
      </c>
      <c r="Y1044">
        <v>1</v>
      </c>
      <c r="Z1044">
        <v>1</v>
      </c>
      <c r="AA1044">
        <v>1</v>
      </c>
      <c r="AB1044">
        <v>1</v>
      </c>
      <c r="AC1044">
        <v>1</v>
      </c>
    </row>
    <row r="1045" spans="1:29" x14ac:dyDescent="0.45">
      <c r="A1045" t="s">
        <v>110</v>
      </c>
      <c r="B1045" t="s">
        <v>436</v>
      </c>
      <c r="C1045" t="s">
        <v>437</v>
      </c>
      <c r="D1045" t="s">
        <v>426</v>
      </c>
      <c r="E1045" t="str">
        <f t="shared" si="16"/>
        <v>VT|solar pv|Summer</v>
      </c>
      <c r="F1045">
        <v>1</v>
      </c>
      <c r="G1045">
        <v>1</v>
      </c>
      <c r="H1045">
        <v>1</v>
      </c>
      <c r="I1045">
        <v>1</v>
      </c>
      <c r="J1045">
        <v>1</v>
      </c>
      <c r="K1045">
        <v>1</v>
      </c>
      <c r="L1045">
        <v>1</v>
      </c>
      <c r="M1045">
        <v>1</v>
      </c>
      <c r="N1045">
        <v>1</v>
      </c>
      <c r="O1045">
        <v>1</v>
      </c>
      <c r="P1045">
        <v>1</v>
      </c>
      <c r="Q1045">
        <v>1</v>
      </c>
      <c r="R1045">
        <v>1</v>
      </c>
      <c r="S1045">
        <v>1</v>
      </c>
      <c r="T1045">
        <v>1</v>
      </c>
      <c r="U1045">
        <v>1</v>
      </c>
      <c r="V1045">
        <v>1</v>
      </c>
      <c r="W1045">
        <v>1</v>
      </c>
      <c r="X1045">
        <v>1</v>
      </c>
      <c r="Y1045">
        <v>1</v>
      </c>
      <c r="Z1045">
        <v>1</v>
      </c>
      <c r="AA1045">
        <v>1</v>
      </c>
      <c r="AB1045">
        <v>1</v>
      </c>
      <c r="AC1045">
        <v>1</v>
      </c>
    </row>
    <row r="1046" spans="1:29" x14ac:dyDescent="0.45">
      <c r="A1046" t="s">
        <v>110</v>
      </c>
      <c r="B1046" t="s">
        <v>436</v>
      </c>
      <c r="C1046" t="s">
        <v>437</v>
      </c>
      <c r="D1046" t="s">
        <v>427</v>
      </c>
      <c r="E1046" t="str">
        <f t="shared" si="16"/>
        <v>VT|solar pv|Fall</v>
      </c>
      <c r="F1046">
        <v>1</v>
      </c>
      <c r="G1046">
        <v>1</v>
      </c>
      <c r="H1046">
        <v>1</v>
      </c>
      <c r="I1046">
        <v>1</v>
      </c>
      <c r="J1046">
        <v>1</v>
      </c>
      <c r="K1046">
        <v>1</v>
      </c>
      <c r="L1046">
        <v>1</v>
      </c>
      <c r="M1046">
        <v>1</v>
      </c>
      <c r="N1046">
        <v>1</v>
      </c>
      <c r="O1046">
        <v>1</v>
      </c>
      <c r="P1046">
        <v>1</v>
      </c>
      <c r="Q1046">
        <v>1</v>
      </c>
      <c r="R1046">
        <v>1</v>
      </c>
      <c r="S1046">
        <v>1</v>
      </c>
      <c r="T1046">
        <v>1</v>
      </c>
      <c r="U1046">
        <v>1</v>
      </c>
      <c r="V1046">
        <v>1</v>
      </c>
      <c r="W1046">
        <v>1</v>
      </c>
      <c r="X1046">
        <v>1</v>
      </c>
      <c r="Y1046">
        <v>1</v>
      </c>
      <c r="Z1046">
        <v>1</v>
      </c>
      <c r="AA1046">
        <v>1</v>
      </c>
      <c r="AB1046">
        <v>1</v>
      </c>
      <c r="AC1046">
        <v>1</v>
      </c>
    </row>
    <row r="1047" spans="1:29" x14ac:dyDescent="0.45">
      <c r="A1047" t="s">
        <v>110</v>
      </c>
      <c r="B1047" t="s">
        <v>436</v>
      </c>
      <c r="C1047" t="s">
        <v>437</v>
      </c>
      <c r="D1047" t="s">
        <v>428</v>
      </c>
      <c r="E1047" t="str">
        <f t="shared" si="16"/>
        <v>VT|solar pv|Summer Peak</v>
      </c>
      <c r="F1047">
        <v>1</v>
      </c>
      <c r="G1047">
        <v>1</v>
      </c>
      <c r="H1047">
        <v>1</v>
      </c>
      <c r="I1047">
        <v>1</v>
      </c>
      <c r="J1047">
        <v>0.44619999999999999</v>
      </c>
      <c r="K1047">
        <v>0.87480000000000002</v>
      </c>
      <c r="L1047">
        <v>1</v>
      </c>
      <c r="M1047">
        <v>1</v>
      </c>
      <c r="N1047">
        <v>1</v>
      </c>
      <c r="O1047">
        <v>1</v>
      </c>
      <c r="P1047">
        <v>1</v>
      </c>
      <c r="Q1047">
        <v>0.94750000000000001</v>
      </c>
      <c r="R1047">
        <v>0.96530000000000005</v>
      </c>
      <c r="S1047">
        <v>0.93240000000000001</v>
      </c>
      <c r="T1047">
        <v>0.96099999999999997</v>
      </c>
      <c r="U1047">
        <v>0.93720000000000003</v>
      </c>
      <c r="V1047">
        <v>0.93969999999999998</v>
      </c>
      <c r="W1047">
        <v>0.97130000000000005</v>
      </c>
      <c r="X1047">
        <v>1</v>
      </c>
      <c r="Y1047">
        <v>1</v>
      </c>
      <c r="Z1047">
        <v>1</v>
      </c>
      <c r="AA1047">
        <v>1</v>
      </c>
      <c r="AB1047">
        <v>1</v>
      </c>
      <c r="AC1047">
        <v>1</v>
      </c>
    </row>
    <row r="1048" spans="1:29" x14ac:dyDescent="0.45">
      <c r="A1048" t="s">
        <v>110</v>
      </c>
      <c r="B1048" t="s">
        <v>436</v>
      </c>
      <c r="C1048" t="s">
        <v>437</v>
      </c>
      <c r="D1048" t="s">
        <v>429</v>
      </c>
      <c r="E1048" t="str">
        <f t="shared" si="16"/>
        <v>VT|solar pv|Winter Peak</v>
      </c>
      <c r="F1048">
        <v>1</v>
      </c>
      <c r="G1048">
        <v>1</v>
      </c>
      <c r="H1048">
        <v>1</v>
      </c>
      <c r="I1048">
        <v>1</v>
      </c>
      <c r="J1048">
        <v>1</v>
      </c>
      <c r="K1048">
        <v>1</v>
      </c>
      <c r="L1048">
        <v>0.37490000000000001</v>
      </c>
      <c r="M1048">
        <v>0.72109999999999996</v>
      </c>
      <c r="N1048">
        <v>0.74280000000000002</v>
      </c>
      <c r="O1048">
        <v>0.93410000000000004</v>
      </c>
      <c r="P1048">
        <v>0.92079999999999995</v>
      </c>
      <c r="Q1048">
        <v>0.98319999999999996</v>
      </c>
      <c r="R1048">
        <v>0.97870000000000001</v>
      </c>
      <c r="S1048">
        <v>0.96199999999999997</v>
      </c>
      <c r="T1048">
        <v>0.89359999999999995</v>
      </c>
      <c r="U1048">
        <v>0.19969999999999999</v>
      </c>
      <c r="V1048">
        <v>1</v>
      </c>
      <c r="W1048">
        <v>1</v>
      </c>
      <c r="X1048">
        <v>1</v>
      </c>
      <c r="Y1048">
        <v>1</v>
      </c>
      <c r="Z1048">
        <v>1</v>
      </c>
      <c r="AA1048">
        <v>1</v>
      </c>
      <c r="AB1048">
        <v>1</v>
      </c>
      <c r="AC1048">
        <v>1</v>
      </c>
    </row>
    <row r="1049" spans="1:29" x14ac:dyDescent="0.45">
      <c r="A1049" t="s">
        <v>110</v>
      </c>
      <c r="B1049" t="s">
        <v>438</v>
      </c>
      <c r="C1049" t="s">
        <v>439</v>
      </c>
      <c r="D1049" t="s">
        <v>424</v>
      </c>
      <c r="E1049" t="str">
        <f t="shared" si="16"/>
        <v>VT|solar thermal|Winter</v>
      </c>
      <c r="F1049">
        <v>1</v>
      </c>
      <c r="G1049">
        <v>1</v>
      </c>
      <c r="H1049">
        <v>1</v>
      </c>
      <c r="I1049">
        <v>1</v>
      </c>
      <c r="J1049">
        <v>1</v>
      </c>
      <c r="K1049">
        <v>1</v>
      </c>
      <c r="L1049">
        <v>1</v>
      </c>
      <c r="M1049">
        <v>1</v>
      </c>
      <c r="N1049">
        <v>1</v>
      </c>
      <c r="O1049">
        <v>1</v>
      </c>
      <c r="P1049">
        <v>1</v>
      </c>
      <c r="Q1049">
        <v>1</v>
      </c>
      <c r="R1049">
        <v>1</v>
      </c>
      <c r="S1049">
        <v>1</v>
      </c>
      <c r="T1049">
        <v>1</v>
      </c>
      <c r="U1049">
        <v>1</v>
      </c>
      <c r="V1049">
        <v>1</v>
      </c>
      <c r="W1049">
        <v>1</v>
      </c>
      <c r="X1049">
        <v>1</v>
      </c>
      <c r="Y1049">
        <v>1</v>
      </c>
      <c r="Z1049">
        <v>1</v>
      </c>
      <c r="AA1049">
        <v>1</v>
      </c>
      <c r="AB1049">
        <v>1</v>
      </c>
      <c r="AC1049">
        <v>1</v>
      </c>
    </row>
    <row r="1050" spans="1:29" x14ac:dyDescent="0.45">
      <c r="A1050" t="s">
        <v>110</v>
      </c>
      <c r="B1050" t="s">
        <v>438</v>
      </c>
      <c r="C1050" t="s">
        <v>439</v>
      </c>
      <c r="D1050" t="s">
        <v>425</v>
      </c>
      <c r="E1050" t="str">
        <f t="shared" si="16"/>
        <v>VT|solar thermal|Spring</v>
      </c>
      <c r="F1050">
        <v>1</v>
      </c>
      <c r="G1050">
        <v>1</v>
      </c>
      <c r="H1050">
        <v>1</v>
      </c>
      <c r="I1050">
        <v>1</v>
      </c>
      <c r="J1050">
        <v>1</v>
      </c>
      <c r="K1050">
        <v>1</v>
      </c>
      <c r="L1050">
        <v>1</v>
      </c>
      <c r="M1050">
        <v>1</v>
      </c>
      <c r="N1050">
        <v>1</v>
      </c>
      <c r="O1050">
        <v>1</v>
      </c>
      <c r="P1050">
        <v>1</v>
      </c>
      <c r="Q1050">
        <v>1</v>
      </c>
      <c r="R1050">
        <v>1</v>
      </c>
      <c r="S1050">
        <v>1</v>
      </c>
      <c r="T1050">
        <v>1</v>
      </c>
      <c r="U1050">
        <v>1</v>
      </c>
      <c r="V1050">
        <v>1</v>
      </c>
      <c r="W1050">
        <v>1</v>
      </c>
      <c r="X1050">
        <v>1</v>
      </c>
      <c r="Y1050">
        <v>1</v>
      </c>
      <c r="Z1050">
        <v>1</v>
      </c>
      <c r="AA1050">
        <v>1</v>
      </c>
      <c r="AB1050">
        <v>1</v>
      </c>
      <c r="AC1050">
        <v>1</v>
      </c>
    </row>
    <row r="1051" spans="1:29" x14ac:dyDescent="0.45">
      <c r="A1051" t="s">
        <v>110</v>
      </c>
      <c r="B1051" t="s">
        <v>438</v>
      </c>
      <c r="C1051" t="s">
        <v>439</v>
      </c>
      <c r="D1051" t="s">
        <v>426</v>
      </c>
      <c r="E1051" t="str">
        <f t="shared" si="16"/>
        <v>VT|solar thermal|Summer</v>
      </c>
      <c r="F1051">
        <v>1</v>
      </c>
      <c r="G1051">
        <v>1</v>
      </c>
      <c r="H1051">
        <v>1</v>
      </c>
      <c r="I1051">
        <v>1</v>
      </c>
      <c r="J1051">
        <v>1</v>
      </c>
      <c r="K1051">
        <v>1</v>
      </c>
      <c r="L1051">
        <v>1</v>
      </c>
      <c r="M1051">
        <v>1</v>
      </c>
      <c r="N1051">
        <v>1</v>
      </c>
      <c r="O1051">
        <v>1</v>
      </c>
      <c r="P1051">
        <v>1</v>
      </c>
      <c r="Q1051">
        <v>1</v>
      </c>
      <c r="R1051">
        <v>1</v>
      </c>
      <c r="S1051">
        <v>1</v>
      </c>
      <c r="T1051">
        <v>1</v>
      </c>
      <c r="U1051">
        <v>1</v>
      </c>
      <c r="V1051">
        <v>1</v>
      </c>
      <c r="W1051">
        <v>1</v>
      </c>
      <c r="X1051">
        <v>1</v>
      </c>
      <c r="Y1051">
        <v>1</v>
      </c>
      <c r="Z1051">
        <v>1</v>
      </c>
      <c r="AA1051">
        <v>1</v>
      </c>
      <c r="AB1051">
        <v>1</v>
      </c>
      <c r="AC1051">
        <v>1</v>
      </c>
    </row>
    <row r="1052" spans="1:29" x14ac:dyDescent="0.45">
      <c r="A1052" t="s">
        <v>110</v>
      </c>
      <c r="B1052" t="s">
        <v>438</v>
      </c>
      <c r="C1052" t="s">
        <v>439</v>
      </c>
      <c r="D1052" t="s">
        <v>427</v>
      </c>
      <c r="E1052" t="str">
        <f t="shared" si="16"/>
        <v>VT|solar thermal|Fall</v>
      </c>
      <c r="F1052">
        <v>1</v>
      </c>
      <c r="G1052">
        <v>1</v>
      </c>
      <c r="H1052">
        <v>1</v>
      </c>
      <c r="I1052">
        <v>1</v>
      </c>
      <c r="J1052">
        <v>1</v>
      </c>
      <c r="K1052">
        <v>1</v>
      </c>
      <c r="L1052">
        <v>1</v>
      </c>
      <c r="M1052">
        <v>1</v>
      </c>
      <c r="N1052">
        <v>1</v>
      </c>
      <c r="O1052">
        <v>1</v>
      </c>
      <c r="P1052">
        <v>1</v>
      </c>
      <c r="Q1052">
        <v>1</v>
      </c>
      <c r="R1052">
        <v>1</v>
      </c>
      <c r="S1052">
        <v>1</v>
      </c>
      <c r="T1052">
        <v>1</v>
      </c>
      <c r="U1052">
        <v>1</v>
      </c>
      <c r="V1052">
        <v>1</v>
      </c>
      <c r="W1052">
        <v>1</v>
      </c>
      <c r="X1052">
        <v>1</v>
      </c>
      <c r="Y1052">
        <v>1</v>
      </c>
      <c r="Z1052">
        <v>1</v>
      </c>
      <c r="AA1052">
        <v>1</v>
      </c>
      <c r="AB1052">
        <v>1</v>
      </c>
      <c r="AC1052">
        <v>1</v>
      </c>
    </row>
    <row r="1053" spans="1:29" x14ac:dyDescent="0.45">
      <c r="A1053" t="s">
        <v>110</v>
      </c>
      <c r="B1053" t="s">
        <v>438</v>
      </c>
      <c r="C1053" t="s">
        <v>439</v>
      </c>
      <c r="D1053" t="s">
        <v>428</v>
      </c>
      <c r="E1053" t="str">
        <f t="shared" si="16"/>
        <v>VT|solar thermal|Summer Peak</v>
      </c>
      <c r="F1053">
        <v>1</v>
      </c>
      <c r="G1053">
        <v>1</v>
      </c>
      <c r="H1053">
        <v>1</v>
      </c>
      <c r="I1053">
        <v>1</v>
      </c>
      <c r="J1053">
        <v>1</v>
      </c>
      <c r="K1053">
        <v>1</v>
      </c>
      <c r="L1053">
        <v>1</v>
      </c>
      <c r="M1053">
        <v>0</v>
      </c>
      <c r="N1053">
        <v>0.8639</v>
      </c>
      <c r="O1053">
        <v>1</v>
      </c>
      <c r="P1053">
        <v>1</v>
      </c>
      <c r="Q1053">
        <v>0.97160000000000002</v>
      </c>
      <c r="R1053">
        <v>0.96719999999999995</v>
      </c>
      <c r="S1053">
        <v>1</v>
      </c>
      <c r="T1053">
        <v>1</v>
      </c>
      <c r="U1053">
        <v>1</v>
      </c>
      <c r="V1053">
        <v>1</v>
      </c>
      <c r="W1053">
        <v>1</v>
      </c>
      <c r="X1053">
        <v>1</v>
      </c>
      <c r="Y1053">
        <v>0.93130000000000002</v>
      </c>
      <c r="Z1053">
        <v>0.70220000000000005</v>
      </c>
      <c r="AA1053">
        <v>1</v>
      </c>
      <c r="AB1053">
        <v>1</v>
      </c>
      <c r="AC1053">
        <v>1</v>
      </c>
    </row>
    <row r="1054" spans="1:29" x14ac:dyDescent="0.45">
      <c r="A1054" t="s">
        <v>110</v>
      </c>
      <c r="B1054" t="s">
        <v>438</v>
      </c>
      <c r="C1054" t="s">
        <v>439</v>
      </c>
      <c r="D1054" t="s">
        <v>429</v>
      </c>
      <c r="E1054" t="str">
        <f t="shared" si="16"/>
        <v>VT|solar thermal|Winter Peak</v>
      </c>
      <c r="F1054">
        <v>1</v>
      </c>
      <c r="G1054">
        <v>1</v>
      </c>
      <c r="H1054">
        <v>1</v>
      </c>
      <c r="I1054">
        <v>1</v>
      </c>
      <c r="J1054">
        <v>1</v>
      </c>
      <c r="K1054">
        <v>1</v>
      </c>
      <c r="L1054">
        <v>1</v>
      </c>
      <c r="M1054">
        <v>1</v>
      </c>
      <c r="N1054">
        <v>1</v>
      </c>
      <c r="O1054">
        <v>0.2419</v>
      </c>
      <c r="P1054">
        <v>0.95320000000000005</v>
      </c>
      <c r="Q1054">
        <v>0.88039999999999996</v>
      </c>
      <c r="R1054">
        <v>0.97819999999999996</v>
      </c>
      <c r="S1054">
        <v>0.98950000000000005</v>
      </c>
      <c r="T1054">
        <v>0.99270000000000003</v>
      </c>
      <c r="U1054">
        <v>1</v>
      </c>
      <c r="V1054">
        <v>1</v>
      </c>
      <c r="W1054">
        <v>1</v>
      </c>
      <c r="X1054">
        <v>0.89019999999999999</v>
      </c>
      <c r="Y1054">
        <v>0</v>
      </c>
      <c r="Z1054">
        <v>1</v>
      </c>
      <c r="AA1054">
        <v>1</v>
      </c>
      <c r="AB1054">
        <v>1</v>
      </c>
      <c r="AC1054">
        <v>1</v>
      </c>
    </row>
    <row r="1055" spans="1:29" x14ac:dyDescent="0.45">
      <c r="A1055" t="s">
        <v>110</v>
      </c>
      <c r="B1055" t="s">
        <v>440</v>
      </c>
      <c r="C1055" t="s">
        <v>441</v>
      </c>
      <c r="D1055" t="s">
        <v>424</v>
      </c>
      <c r="E1055" t="str">
        <f t="shared" si="16"/>
        <v>VT|offshore wind|Winter</v>
      </c>
      <c r="F1055">
        <v>1</v>
      </c>
      <c r="G1055">
        <v>1</v>
      </c>
      <c r="H1055">
        <v>1</v>
      </c>
      <c r="I1055">
        <v>1</v>
      </c>
      <c r="J1055">
        <v>1</v>
      </c>
      <c r="K1055">
        <v>1</v>
      </c>
      <c r="L1055">
        <v>1</v>
      </c>
      <c r="M1055">
        <v>1</v>
      </c>
      <c r="N1055">
        <v>1</v>
      </c>
      <c r="O1055">
        <v>1</v>
      </c>
      <c r="P1055">
        <v>1</v>
      </c>
      <c r="Q1055">
        <v>1</v>
      </c>
      <c r="R1055">
        <v>1</v>
      </c>
      <c r="S1055">
        <v>1</v>
      </c>
      <c r="T1055">
        <v>1</v>
      </c>
      <c r="U1055">
        <v>1</v>
      </c>
      <c r="V1055">
        <v>1</v>
      </c>
      <c r="W1055">
        <v>1</v>
      </c>
      <c r="X1055">
        <v>1</v>
      </c>
      <c r="Y1055">
        <v>1</v>
      </c>
      <c r="Z1055">
        <v>1</v>
      </c>
      <c r="AA1055">
        <v>1</v>
      </c>
      <c r="AB1055">
        <v>1</v>
      </c>
      <c r="AC1055">
        <v>1</v>
      </c>
    </row>
    <row r="1056" spans="1:29" x14ac:dyDescent="0.45">
      <c r="A1056" t="s">
        <v>110</v>
      </c>
      <c r="B1056" t="s">
        <v>440</v>
      </c>
      <c r="C1056" t="s">
        <v>441</v>
      </c>
      <c r="D1056" t="s">
        <v>425</v>
      </c>
      <c r="E1056" t="str">
        <f t="shared" si="16"/>
        <v>VT|offshore wind|Spring</v>
      </c>
      <c r="F1056">
        <v>1</v>
      </c>
      <c r="G1056">
        <v>1</v>
      </c>
      <c r="H1056">
        <v>1</v>
      </c>
      <c r="I1056">
        <v>1</v>
      </c>
      <c r="J1056">
        <v>1</v>
      </c>
      <c r="K1056">
        <v>1</v>
      </c>
      <c r="L1056">
        <v>1</v>
      </c>
      <c r="M1056">
        <v>1</v>
      </c>
      <c r="N1056">
        <v>1</v>
      </c>
      <c r="O1056">
        <v>1</v>
      </c>
      <c r="P1056">
        <v>1</v>
      </c>
      <c r="Q1056">
        <v>1</v>
      </c>
      <c r="R1056">
        <v>1</v>
      </c>
      <c r="S1056">
        <v>1</v>
      </c>
      <c r="T1056">
        <v>1</v>
      </c>
      <c r="U1056">
        <v>1</v>
      </c>
      <c r="V1056">
        <v>1</v>
      </c>
      <c r="W1056">
        <v>1</v>
      </c>
      <c r="X1056">
        <v>1</v>
      </c>
      <c r="Y1056">
        <v>1</v>
      </c>
      <c r="Z1056">
        <v>1</v>
      </c>
      <c r="AA1056">
        <v>1</v>
      </c>
      <c r="AB1056">
        <v>1</v>
      </c>
      <c r="AC1056">
        <v>1</v>
      </c>
    </row>
    <row r="1057" spans="1:29" x14ac:dyDescent="0.45">
      <c r="A1057" t="s">
        <v>110</v>
      </c>
      <c r="B1057" t="s">
        <v>440</v>
      </c>
      <c r="C1057" t="s">
        <v>441</v>
      </c>
      <c r="D1057" t="s">
        <v>426</v>
      </c>
      <c r="E1057" t="str">
        <f t="shared" si="16"/>
        <v>VT|offshore wind|Summer</v>
      </c>
      <c r="F1057">
        <v>1</v>
      </c>
      <c r="G1057">
        <v>1</v>
      </c>
      <c r="H1057">
        <v>1</v>
      </c>
      <c r="I1057">
        <v>1</v>
      </c>
      <c r="J1057">
        <v>1</v>
      </c>
      <c r="K1057">
        <v>1</v>
      </c>
      <c r="L1057">
        <v>1</v>
      </c>
      <c r="M1057">
        <v>1</v>
      </c>
      <c r="N1057">
        <v>1</v>
      </c>
      <c r="O1057">
        <v>1</v>
      </c>
      <c r="P1057">
        <v>1</v>
      </c>
      <c r="Q1057">
        <v>1</v>
      </c>
      <c r="R1057">
        <v>1</v>
      </c>
      <c r="S1057">
        <v>1</v>
      </c>
      <c r="T1057">
        <v>1</v>
      </c>
      <c r="U1057">
        <v>1</v>
      </c>
      <c r="V1057">
        <v>1</v>
      </c>
      <c r="W1057">
        <v>1</v>
      </c>
      <c r="X1057">
        <v>1</v>
      </c>
      <c r="Y1057">
        <v>1</v>
      </c>
      <c r="Z1057">
        <v>1</v>
      </c>
      <c r="AA1057">
        <v>1</v>
      </c>
      <c r="AB1057">
        <v>1</v>
      </c>
      <c r="AC1057">
        <v>1</v>
      </c>
    </row>
    <row r="1058" spans="1:29" x14ac:dyDescent="0.45">
      <c r="A1058" t="s">
        <v>110</v>
      </c>
      <c r="B1058" t="s">
        <v>440</v>
      </c>
      <c r="C1058" t="s">
        <v>441</v>
      </c>
      <c r="D1058" t="s">
        <v>427</v>
      </c>
      <c r="E1058" t="str">
        <f t="shared" si="16"/>
        <v>VT|offshore wind|Fall</v>
      </c>
      <c r="F1058">
        <v>1</v>
      </c>
      <c r="G1058">
        <v>1</v>
      </c>
      <c r="H1058">
        <v>1</v>
      </c>
      <c r="I1058">
        <v>1</v>
      </c>
      <c r="J1058">
        <v>1</v>
      </c>
      <c r="K1058">
        <v>1</v>
      </c>
      <c r="L1058">
        <v>1</v>
      </c>
      <c r="M1058">
        <v>1</v>
      </c>
      <c r="N1058">
        <v>1</v>
      </c>
      <c r="O1058">
        <v>1</v>
      </c>
      <c r="P1058">
        <v>1</v>
      </c>
      <c r="Q1058">
        <v>1</v>
      </c>
      <c r="R1058">
        <v>1</v>
      </c>
      <c r="S1058">
        <v>1</v>
      </c>
      <c r="T1058">
        <v>1</v>
      </c>
      <c r="U1058">
        <v>1</v>
      </c>
      <c r="V1058">
        <v>1</v>
      </c>
      <c r="W1058">
        <v>1</v>
      </c>
      <c r="X1058">
        <v>1</v>
      </c>
      <c r="Y1058">
        <v>1</v>
      </c>
      <c r="Z1058">
        <v>1</v>
      </c>
      <c r="AA1058">
        <v>1</v>
      </c>
      <c r="AB1058">
        <v>1</v>
      </c>
      <c r="AC1058">
        <v>1</v>
      </c>
    </row>
    <row r="1059" spans="1:29" x14ac:dyDescent="0.45">
      <c r="A1059" t="s">
        <v>110</v>
      </c>
      <c r="B1059" t="s">
        <v>440</v>
      </c>
      <c r="C1059" t="s">
        <v>441</v>
      </c>
      <c r="D1059" t="s">
        <v>428</v>
      </c>
      <c r="E1059" t="str">
        <f t="shared" si="16"/>
        <v>VT|offshore wind|Summer Peak</v>
      </c>
      <c r="F1059">
        <v>0.20449999999999999</v>
      </c>
      <c r="G1059">
        <v>0.1729</v>
      </c>
      <c r="H1059">
        <v>0.14549999999999999</v>
      </c>
      <c r="I1059">
        <v>0.1237</v>
      </c>
      <c r="J1059">
        <v>0.10630000000000001</v>
      </c>
      <c r="K1059">
        <v>0.1008</v>
      </c>
      <c r="L1059">
        <v>9.0899999999999995E-2</v>
      </c>
      <c r="M1059">
        <v>8.2400000000000001E-2</v>
      </c>
      <c r="N1059">
        <v>8.3400000000000002E-2</v>
      </c>
      <c r="O1059">
        <v>0.1069</v>
      </c>
      <c r="P1059">
        <v>0.13650000000000001</v>
      </c>
      <c r="Q1059">
        <v>0.1101</v>
      </c>
      <c r="R1059">
        <v>0.1295</v>
      </c>
      <c r="S1059">
        <v>0.15890000000000001</v>
      </c>
      <c r="T1059">
        <v>0.1636</v>
      </c>
      <c r="U1059">
        <v>0.129</v>
      </c>
      <c r="V1059">
        <v>0.1275</v>
      </c>
      <c r="W1059">
        <v>0.125</v>
      </c>
      <c r="X1059">
        <v>0.1149</v>
      </c>
      <c r="Y1059">
        <v>0.13900000000000001</v>
      </c>
      <c r="Z1059">
        <v>0.15260000000000001</v>
      </c>
      <c r="AA1059">
        <v>0.1245</v>
      </c>
      <c r="AB1059">
        <v>7.6300000000000007E-2</v>
      </c>
      <c r="AC1059">
        <v>7.1800000000000003E-2</v>
      </c>
    </row>
    <row r="1060" spans="1:29" x14ac:dyDescent="0.45">
      <c r="A1060" t="s">
        <v>110</v>
      </c>
      <c r="B1060" t="s">
        <v>440</v>
      </c>
      <c r="C1060" t="s">
        <v>441</v>
      </c>
      <c r="D1060" t="s">
        <v>429</v>
      </c>
      <c r="E1060" t="str">
        <f t="shared" si="16"/>
        <v>VT|offshore wind|Winter Peak</v>
      </c>
      <c r="F1060">
        <v>0.94530000000000003</v>
      </c>
      <c r="G1060">
        <v>0.87150000000000005</v>
      </c>
      <c r="H1060">
        <v>0.88070000000000004</v>
      </c>
      <c r="I1060">
        <v>0.89859999999999995</v>
      </c>
      <c r="J1060">
        <v>0.85409999999999997</v>
      </c>
      <c r="K1060">
        <v>0.69489999999999996</v>
      </c>
      <c r="L1060">
        <v>0.63590000000000002</v>
      </c>
      <c r="M1060">
        <v>0.77510000000000001</v>
      </c>
      <c r="N1060">
        <v>0.879</v>
      </c>
      <c r="O1060">
        <v>0.81759999999999999</v>
      </c>
      <c r="P1060">
        <v>0.69599999999999995</v>
      </c>
      <c r="Q1060">
        <v>0.61799999999999999</v>
      </c>
      <c r="R1060">
        <v>0.60099999999999998</v>
      </c>
      <c r="S1060">
        <v>0.6724</v>
      </c>
      <c r="T1060">
        <v>0.78029999999999999</v>
      </c>
      <c r="U1060">
        <v>0.69840000000000002</v>
      </c>
      <c r="V1060">
        <v>0.70909999999999995</v>
      </c>
      <c r="W1060">
        <v>0.63870000000000005</v>
      </c>
      <c r="X1060">
        <v>0.52280000000000004</v>
      </c>
      <c r="Y1060">
        <v>0.39529999999999998</v>
      </c>
      <c r="Z1060">
        <v>0.3301</v>
      </c>
      <c r="AA1060">
        <v>0.27039999999999997</v>
      </c>
      <c r="AB1060">
        <v>0.2059</v>
      </c>
      <c r="AC1060">
        <v>0.2087</v>
      </c>
    </row>
    <row r="1061" spans="1:29" x14ac:dyDescent="0.45">
      <c r="A1061" t="s">
        <v>112</v>
      </c>
      <c r="B1061" t="s">
        <v>434</v>
      </c>
      <c r="C1061" t="s">
        <v>435</v>
      </c>
      <c r="D1061" t="s">
        <v>424</v>
      </c>
      <c r="E1061" t="str">
        <f t="shared" si="16"/>
        <v>WA|onshore wind|Winter</v>
      </c>
      <c r="F1061">
        <v>1</v>
      </c>
      <c r="G1061">
        <v>1</v>
      </c>
      <c r="H1061">
        <v>1</v>
      </c>
      <c r="I1061">
        <v>1</v>
      </c>
      <c r="J1061">
        <v>1</v>
      </c>
      <c r="K1061">
        <v>1</v>
      </c>
      <c r="L1061">
        <v>1</v>
      </c>
      <c r="M1061">
        <v>1</v>
      </c>
      <c r="N1061">
        <v>1</v>
      </c>
      <c r="O1061">
        <v>1</v>
      </c>
      <c r="P1061">
        <v>1</v>
      </c>
      <c r="Q1061">
        <v>1</v>
      </c>
      <c r="R1061">
        <v>1</v>
      </c>
      <c r="S1061">
        <v>1</v>
      </c>
      <c r="T1061">
        <v>1</v>
      </c>
      <c r="U1061">
        <v>1</v>
      </c>
      <c r="V1061">
        <v>1</v>
      </c>
      <c r="W1061">
        <v>1</v>
      </c>
      <c r="X1061">
        <v>1</v>
      </c>
      <c r="Y1061">
        <v>1</v>
      </c>
      <c r="Z1061">
        <v>1</v>
      </c>
      <c r="AA1061">
        <v>1</v>
      </c>
      <c r="AB1061">
        <v>1</v>
      </c>
      <c r="AC1061">
        <v>1</v>
      </c>
    </row>
    <row r="1062" spans="1:29" x14ac:dyDescent="0.45">
      <c r="A1062" t="s">
        <v>112</v>
      </c>
      <c r="B1062" t="s">
        <v>434</v>
      </c>
      <c r="C1062" t="s">
        <v>435</v>
      </c>
      <c r="D1062" t="s">
        <v>425</v>
      </c>
      <c r="E1062" t="str">
        <f t="shared" si="16"/>
        <v>WA|onshore wind|Spring</v>
      </c>
      <c r="F1062">
        <v>1</v>
      </c>
      <c r="G1062">
        <v>1</v>
      </c>
      <c r="H1062">
        <v>1</v>
      </c>
      <c r="I1062">
        <v>1</v>
      </c>
      <c r="J1062">
        <v>1</v>
      </c>
      <c r="K1062">
        <v>1</v>
      </c>
      <c r="L1062">
        <v>1</v>
      </c>
      <c r="M1062">
        <v>1</v>
      </c>
      <c r="N1062">
        <v>1</v>
      </c>
      <c r="O1062">
        <v>1</v>
      </c>
      <c r="P1062">
        <v>1</v>
      </c>
      <c r="Q1062">
        <v>1</v>
      </c>
      <c r="R1062">
        <v>1</v>
      </c>
      <c r="S1062">
        <v>1</v>
      </c>
      <c r="T1062">
        <v>1</v>
      </c>
      <c r="U1062">
        <v>1</v>
      </c>
      <c r="V1062">
        <v>1</v>
      </c>
      <c r="W1062">
        <v>1</v>
      </c>
      <c r="X1062">
        <v>1</v>
      </c>
      <c r="Y1062">
        <v>1</v>
      </c>
      <c r="Z1062">
        <v>1</v>
      </c>
      <c r="AA1062">
        <v>1</v>
      </c>
      <c r="AB1062">
        <v>1</v>
      </c>
      <c r="AC1062">
        <v>1</v>
      </c>
    </row>
    <row r="1063" spans="1:29" x14ac:dyDescent="0.45">
      <c r="A1063" t="s">
        <v>112</v>
      </c>
      <c r="B1063" t="s">
        <v>434</v>
      </c>
      <c r="C1063" t="s">
        <v>435</v>
      </c>
      <c r="D1063" t="s">
        <v>426</v>
      </c>
      <c r="E1063" t="str">
        <f t="shared" si="16"/>
        <v>WA|onshore wind|Summer</v>
      </c>
      <c r="F1063">
        <v>1</v>
      </c>
      <c r="G1063">
        <v>1</v>
      </c>
      <c r="H1063">
        <v>1</v>
      </c>
      <c r="I1063">
        <v>1</v>
      </c>
      <c r="J1063">
        <v>1</v>
      </c>
      <c r="K1063">
        <v>1</v>
      </c>
      <c r="L1063">
        <v>1</v>
      </c>
      <c r="M1063">
        <v>1</v>
      </c>
      <c r="N1063">
        <v>1</v>
      </c>
      <c r="O1063">
        <v>1</v>
      </c>
      <c r="P1063">
        <v>1</v>
      </c>
      <c r="Q1063">
        <v>1</v>
      </c>
      <c r="R1063">
        <v>1</v>
      </c>
      <c r="S1063">
        <v>1</v>
      </c>
      <c r="T1063">
        <v>1</v>
      </c>
      <c r="U1063">
        <v>1</v>
      </c>
      <c r="V1063">
        <v>1</v>
      </c>
      <c r="W1063">
        <v>1</v>
      </c>
      <c r="X1063">
        <v>1</v>
      </c>
      <c r="Y1063">
        <v>1</v>
      </c>
      <c r="Z1063">
        <v>1</v>
      </c>
      <c r="AA1063">
        <v>1</v>
      </c>
      <c r="AB1063">
        <v>1</v>
      </c>
      <c r="AC1063">
        <v>1</v>
      </c>
    </row>
    <row r="1064" spans="1:29" x14ac:dyDescent="0.45">
      <c r="A1064" t="s">
        <v>112</v>
      </c>
      <c r="B1064" t="s">
        <v>434</v>
      </c>
      <c r="C1064" t="s">
        <v>435</v>
      </c>
      <c r="D1064" t="s">
        <v>427</v>
      </c>
      <c r="E1064" t="str">
        <f t="shared" si="16"/>
        <v>WA|onshore wind|Fall</v>
      </c>
      <c r="F1064">
        <v>1</v>
      </c>
      <c r="G1064">
        <v>1</v>
      </c>
      <c r="H1064">
        <v>1</v>
      </c>
      <c r="I1064">
        <v>1</v>
      </c>
      <c r="J1064">
        <v>1</v>
      </c>
      <c r="K1064">
        <v>1</v>
      </c>
      <c r="L1064">
        <v>1</v>
      </c>
      <c r="M1064">
        <v>1</v>
      </c>
      <c r="N1064">
        <v>1</v>
      </c>
      <c r="O1064">
        <v>1</v>
      </c>
      <c r="P1064">
        <v>1</v>
      </c>
      <c r="Q1064">
        <v>1</v>
      </c>
      <c r="R1064">
        <v>1</v>
      </c>
      <c r="S1064">
        <v>1</v>
      </c>
      <c r="T1064">
        <v>1</v>
      </c>
      <c r="U1064">
        <v>1</v>
      </c>
      <c r="V1064">
        <v>1</v>
      </c>
      <c r="W1064">
        <v>1</v>
      </c>
      <c r="X1064">
        <v>1</v>
      </c>
      <c r="Y1064">
        <v>1</v>
      </c>
      <c r="Z1064">
        <v>1</v>
      </c>
      <c r="AA1064">
        <v>1</v>
      </c>
      <c r="AB1064">
        <v>1</v>
      </c>
      <c r="AC1064">
        <v>1</v>
      </c>
    </row>
    <row r="1065" spans="1:29" x14ac:dyDescent="0.45">
      <c r="A1065" t="s">
        <v>112</v>
      </c>
      <c r="B1065" t="s">
        <v>434</v>
      </c>
      <c r="C1065" t="s">
        <v>435</v>
      </c>
      <c r="D1065" t="s">
        <v>428</v>
      </c>
      <c r="E1065" t="str">
        <f t="shared" si="16"/>
        <v>WA|onshore wind|Summer Peak</v>
      </c>
      <c r="F1065">
        <v>0.41599999999999998</v>
      </c>
      <c r="G1065">
        <v>0.4551</v>
      </c>
      <c r="H1065">
        <v>0.51919999999999999</v>
      </c>
      <c r="I1065">
        <v>0.56579999999999997</v>
      </c>
      <c r="J1065">
        <v>0.61350000000000005</v>
      </c>
      <c r="K1065">
        <v>0.69330000000000003</v>
      </c>
      <c r="L1065">
        <v>0.8135</v>
      </c>
      <c r="M1065">
        <v>0.76359999999999995</v>
      </c>
      <c r="N1065">
        <v>0.6915</v>
      </c>
      <c r="O1065">
        <v>0.69259999999999999</v>
      </c>
      <c r="P1065">
        <v>0.69289999999999996</v>
      </c>
      <c r="Q1065">
        <v>0.5595</v>
      </c>
      <c r="R1065">
        <v>0.47889999999999999</v>
      </c>
      <c r="S1065">
        <v>0.43809999999999999</v>
      </c>
      <c r="T1065">
        <v>0.43219999999999997</v>
      </c>
      <c r="U1065">
        <v>0.43230000000000002</v>
      </c>
      <c r="V1065">
        <v>0.45190000000000002</v>
      </c>
      <c r="W1065">
        <v>0.61899999999999999</v>
      </c>
      <c r="X1065">
        <v>0.64690000000000003</v>
      </c>
      <c r="Y1065">
        <v>0.67610000000000003</v>
      </c>
      <c r="Z1065">
        <v>0.68789999999999996</v>
      </c>
      <c r="AA1065">
        <v>0.66739999999999999</v>
      </c>
      <c r="AB1065">
        <v>0.75570000000000004</v>
      </c>
      <c r="AC1065">
        <v>0.73580000000000001</v>
      </c>
    </row>
    <row r="1066" spans="1:29" x14ac:dyDescent="0.45">
      <c r="A1066" t="s">
        <v>112</v>
      </c>
      <c r="B1066" t="s">
        <v>434</v>
      </c>
      <c r="C1066" t="s">
        <v>435</v>
      </c>
      <c r="D1066" t="s">
        <v>429</v>
      </c>
      <c r="E1066" t="str">
        <f t="shared" si="16"/>
        <v>WA|onshore wind|Winter Peak</v>
      </c>
      <c r="F1066">
        <v>0.59440000000000004</v>
      </c>
      <c r="G1066">
        <v>0.61280000000000001</v>
      </c>
      <c r="H1066">
        <v>0.63060000000000005</v>
      </c>
      <c r="I1066">
        <v>0.57989999999999997</v>
      </c>
      <c r="J1066">
        <v>0.54559999999999997</v>
      </c>
      <c r="K1066">
        <v>0.53920000000000001</v>
      </c>
      <c r="L1066">
        <v>0.54290000000000005</v>
      </c>
      <c r="M1066">
        <v>0.52510000000000001</v>
      </c>
      <c r="N1066">
        <v>0.41920000000000002</v>
      </c>
      <c r="O1066">
        <v>0.40100000000000002</v>
      </c>
      <c r="P1066">
        <v>0.40150000000000002</v>
      </c>
      <c r="Q1066">
        <v>0.40629999999999999</v>
      </c>
      <c r="R1066">
        <v>0.37859999999999999</v>
      </c>
      <c r="S1066">
        <v>0.4113</v>
      </c>
      <c r="T1066">
        <v>0.43990000000000001</v>
      </c>
      <c r="U1066">
        <v>0.39689999999999998</v>
      </c>
      <c r="V1066">
        <v>0.43530000000000002</v>
      </c>
      <c r="W1066">
        <v>0.43169999999999997</v>
      </c>
      <c r="X1066">
        <v>0.46579999999999999</v>
      </c>
      <c r="Y1066">
        <v>0.46500000000000002</v>
      </c>
      <c r="Z1066">
        <v>0.42970000000000003</v>
      </c>
      <c r="AA1066">
        <v>0.43330000000000002</v>
      </c>
      <c r="AB1066">
        <v>0.4239</v>
      </c>
      <c r="AC1066">
        <v>0.38529999999999998</v>
      </c>
    </row>
    <row r="1067" spans="1:29" x14ac:dyDescent="0.45">
      <c r="A1067" t="s">
        <v>112</v>
      </c>
      <c r="B1067" t="s">
        <v>436</v>
      </c>
      <c r="C1067" t="s">
        <v>437</v>
      </c>
      <c r="D1067" t="s">
        <v>424</v>
      </c>
      <c r="E1067" t="str">
        <f t="shared" si="16"/>
        <v>WA|solar pv|Winter</v>
      </c>
      <c r="F1067">
        <v>1</v>
      </c>
      <c r="G1067">
        <v>1</v>
      </c>
      <c r="H1067">
        <v>1</v>
      </c>
      <c r="I1067">
        <v>1</v>
      </c>
      <c r="J1067">
        <v>1</v>
      </c>
      <c r="K1067">
        <v>1</v>
      </c>
      <c r="L1067">
        <v>1</v>
      </c>
      <c r="M1067">
        <v>1</v>
      </c>
      <c r="N1067">
        <v>1</v>
      </c>
      <c r="O1067">
        <v>1</v>
      </c>
      <c r="P1067">
        <v>1</v>
      </c>
      <c r="Q1067">
        <v>1</v>
      </c>
      <c r="R1067">
        <v>1</v>
      </c>
      <c r="S1067">
        <v>1</v>
      </c>
      <c r="T1067">
        <v>1</v>
      </c>
      <c r="U1067">
        <v>1</v>
      </c>
      <c r="V1067">
        <v>1</v>
      </c>
      <c r="W1067">
        <v>1</v>
      </c>
      <c r="X1067">
        <v>1</v>
      </c>
      <c r="Y1067">
        <v>1</v>
      </c>
      <c r="Z1067">
        <v>1</v>
      </c>
      <c r="AA1067">
        <v>1</v>
      </c>
      <c r="AB1067">
        <v>1</v>
      </c>
      <c r="AC1067">
        <v>1</v>
      </c>
    </row>
    <row r="1068" spans="1:29" x14ac:dyDescent="0.45">
      <c r="A1068" t="s">
        <v>112</v>
      </c>
      <c r="B1068" t="s">
        <v>436</v>
      </c>
      <c r="C1068" t="s">
        <v>437</v>
      </c>
      <c r="D1068" t="s">
        <v>425</v>
      </c>
      <c r="E1068" t="str">
        <f t="shared" si="16"/>
        <v>WA|solar pv|Spring</v>
      </c>
      <c r="F1068">
        <v>1</v>
      </c>
      <c r="G1068">
        <v>1</v>
      </c>
      <c r="H1068">
        <v>1</v>
      </c>
      <c r="I1068">
        <v>1</v>
      </c>
      <c r="J1068">
        <v>1</v>
      </c>
      <c r="K1068">
        <v>1</v>
      </c>
      <c r="L1068">
        <v>1</v>
      </c>
      <c r="M1068">
        <v>1</v>
      </c>
      <c r="N1068">
        <v>1</v>
      </c>
      <c r="O1068">
        <v>1</v>
      </c>
      <c r="P1068">
        <v>1</v>
      </c>
      <c r="Q1068">
        <v>1</v>
      </c>
      <c r="R1068">
        <v>1</v>
      </c>
      <c r="S1068">
        <v>1</v>
      </c>
      <c r="T1068">
        <v>1</v>
      </c>
      <c r="U1068">
        <v>1</v>
      </c>
      <c r="V1068">
        <v>1</v>
      </c>
      <c r="W1068">
        <v>1</v>
      </c>
      <c r="X1068">
        <v>1</v>
      </c>
      <c r="Y1068">
        <v>1</v>
      </c>
      <c r="Z1068">
        <v>1</v>
      </c>
      <c r="AA1068">
        <v>1</v>
      </c>
      <c r="AB1068">
        <v>1</v>
      </c>
      <c r="AC1068">
        <v>1</v>
      </c>
    </row>
    <row r="1069" spans="1:29" x14ac:dyDescent="0.45">
      <c r="A1069" t="s">
        <v>112</v>
      </c>
      <c r="B1069" t="s">
        <v>436</v>
      </c>
      <c r="C1069" t="s">
        <v>437</v>
      </c>
      <c r="D1069" t="s">
        <v>426</v>
      </c>
      <c r="E1069" t="str">
        <f t="shared" si="16"/>
        <v>WA|solar pv|Summer</v>
      </c>
      <c r="F1069">
        <v>1</v>
      </c>
      <c r="G1069">
        <v>1</v>
      </c>
      <c r="H1069">
        <v>1</v>
      </c>
      <c r="I1069">
        <v>1</v>
      </c>
      <c r="J1069">
        <v>1</v>
      </c>
      <c r="K1069">
        <v>1</v>
      </c>
      <c r="L1069">
        <v>1</v>
      </c>
      <c r="M1069">
        <v>1</v>
      </c>
      <c r="N1069">
        <v>1</v>
      </c>
      <c r="O1069">
        <v>1</v>
      </c>
      <c r="P1069">
        <v>1</v>
      </c>
      <c r="Q1069">
        <v>1</v>
      </c>
      <c r="R1069">
        <v>1</v>
      </c>
      <c r="S1069">
        <v>1</v>
      </c>
      <c r="T1069">
        <v>1</v>
      </c>
      <c r="U1069">
        <v>1</v>
      </c>
      <c r="V1069">
        <v>1</v>
      </c>
      <c r="W1069">
        <v>1</v>
      </c>
      <c r="X1069">
        <v>1</v>
      </c>
      <c r="Y1069">
        <v>1</v>
      </c>
      <c r="Z1069">
        <v>1</v>
      </c>
      <c r="AA1069">
        <v>1</v>
      </c>
      <c r="AB1069">
        <v>1</v>
      </c>
      <c r="AC1069">
        <v>1</v>
      </c>
    </row>
    <row r="1070" spans="1:29" x14ac:dyDescent="0.45">
      <c r="A1070" t="s">
        <v>112</v>
      </c>
      <c r="B1070" t="s">
        <v>436</v>
      </c>
      <c r="C1070" t="s">
        <v>437</v>
      </c>
      <c r="D1070" t="s">
        <v>427</v>
      </c>
      <c r="E1070" t="str">
        <f t="shared" si="16"/>
        <v>WA|solar pv|Fall</v>
      </c>
      <c r="F1070">
        <v>1</v>
      </c>
      <c r="G1070">
        <v>1</v>
      </c>
      <c r="H1070">
        <v>1</v>
      </c>
      <c r="I1070">
        <v>1</v>
      </c>
      <c r="J1070">
        <v>1</v>
      </c>
      <c r="K1070">
        <v>1</v>
      </c>
      <c r="L1070">
        <v>1</v>
      </c>
      <c r="M1070">
        <v>1</v>
      </c>
      <c r="N1070">
        <v>1</v>
      </c>
      <c r="O1070">
        <v>1</v>
      </c>
      <c r="P1070">
        <v>1</v>
      </c>
      <c r="Q1070">
        <v>1</v>
      </c>
      <c r="R1070">
        <v>1</v>
      </c>
      <c r="S1070">
        <v>1</v>
      </c>
      <c r="T1070">
        <v>1</v>
      </c>
      <c r="U1070">
        <v>1</v>
      </c>
      <c r="V1070">
        <v>1</v>
      </c>
      <c r="W1070">
        <v>1</v>
      </c>
      <c r="X1070">
        <v>1</v>
      </c>
      <c r="Y1070">
        <v>1</v>
      </c>
      <c r="Z1070">
        <v>1</v>
      </c>
      <c r="AA1070">
        <v>1</v>
      </c>
      <c r="AB1070">
        <v>1</v>
      </c>
      <c r="AC1070">
        <v>1</v>
      </c>
    </row>
    <row r="1071" spans="1:29" x14ac:dyDescent="0.45">
      <c r="A1071" t="s">
        <v>112</v>
      </c>
      <c r="B1071" t="s">
        <v>436</v>
      </c>
      <c r="C1071" t="s">
        <v>437</v>
      </c>
      <c r="D1071" t="s">
        <v>428</v>
      </c>
      <c r="E1071" t="str">
        <f t="shared" si="16"/>
        <v>WA|solar pv|Summer Peak</v>
      </c>
      <c r="F1071">
        <v>1</v>
      </c>
      <c r="G1071">
        <v>1</v>
      </c>
      <c r="H1071">
        <v>1</v>
      </c>
      <c r="I1071">
        <v>1</v>
      </c>
      <c r="J1071">
        <v>0.1714</v>
      </c>
      <c r="K1071">
        <v>0.78049999999999997</v>
      </c>
      <c r="L1071">
        <v>0.96430000000000005</v>
      </c>
      <c r="M1071">
        <v>1</v>
      </c>
      <c r="N1071">
        <v>1</v>
      </c>
      <c r="O1071">
        <v>0.98280000000000001</v>
      </c>
      <c r="P1071">
        <v>0.97019999999999995</v>
      </c>
      <c r="Q1071">
        <v>0.96460000000000001</v>
      </c>
      <c r="R1071">
        <v>0.97409999999999997</v>
      </c>
      <c r="S1071">
        <v>0.97460000000000002</v>
      </c>
      <c r="T1071">
        <v>0.93679999999999997</v>
      </c>
      <c r="U1071">
        <v>0.91820000000000002</v>
      </c>
      <c r="V1071">
        <v>0.80710000000000004</v>
      </c>
      <c r="W1071">
        <v>0.53010000000000002</v>
      </c>
      <c r="X1071">
        <v>2.7699999999999999E-2</v>
      </c>
      <c r="Y1071">
        <v>1</v>
      </c>
      <c r="Z1071">
        <v>1</v>
      </c>
      <c r="AA1071">
        <v>1</v>
      </c>
      <c r="AB1071">
        <v>1</v>
      </c>
      <c r="AC1071">
        <v>1</v>
      </c>
    </row>
    <row r="1072" spans="1:29" x14ac:dyDescent="0.45">
      <c r="A1072" t="s">
        <v>112</v>
      </c>
      <c r="B1072" t="s">
        <v>436</v>
      </c>
      <c r="C1072" t="s">
        <v>437</v>
      </c>
      <c r="D1072" t="s">
        <v>429</v>
      </c>
      <c r="E1072" t="str">
        <f t="shared" si="16"/>
        <v>WA|solar pv|Winter Peak</v>
      </c>
      <c r="F1072">
        <v>1</v>
      </c>
      <c r="G1072">
        <v>1</v>
      </c>
      <c r="H1072">
        <v>1</v>
      </c>
      <c r="I1072">
        <v>1</v>
      </c>
      <c r="J1072">
        <v>1</v>
      </c>
      <c r="K1072">
        <v>1</v>
      </c>
      <c r="L1072">
        <v>0.70620000000000005</v>
      </c>
      <c r="M1072">
        <v>0.84640000000000004</v>
      </c>
      <c r="N1072">
        <v>0.96409999999999996</v>
      </c>
      <c r="O1072">
        <v>0.95220000000000005</v>
      </c>
      <c r="P1072">
        <v>0.97609999999999997</v>
      </c>
      <c r="Q1072">
        <v>0.99780000000000002</v>
      </c>
      <c r="R1072">
        <v>0.97699999999999998</v>
      </c>
      <c r="S1072">
        <v>0.90980000000000005</v>
      </c>
      <c r="T1072">
        <v>0.83199999999999996</v>
      </c>
      <c r="U1072">
        <v>0.62539999999999996</v>
      </c>
      <c r="V1072">
        <v>8.0000000000000004E-4</v>
      </c>
      <c r="W1072">
        <v>1</v>
      </c>
      <c r="X1072">
        <v>1</v>
      </c>
      <c r="Y1072">
        <v>1</v>
      </c>
      <c r="Z1072">
        <v>1</v>
      </c>
      <c r="AA1072">
        <v>1</v>
      </c>
      <c r="AB1072">
        <v>1</v>
      </c>
      <c r="AC1072">
        <v>1</v>
      </c>
    </row>
    <row r="1073" spans="1:29" x14ac:dyDescent="0.45">
      <c r="A1073" t="s">
        <v>112</v>
      </c>
      <c r="B1073" t="s">
        <v>438</v>
      </c>
      <c r="C1073" t="s">
        <v>439</v>
      </c>
      <c r="D1073" t="s">
        <v>424</v>
      </c>
      <c r="E1073" t="str">
        <f t="shared" si="16"/>
        <v>WA|solar thermal|Winter</v>
      </c>
      <c r="F1073">
        <v>1</v>
      </c>
      <c r="G1073">
        <v>1</v>
      </c>
      <c r="H1073">
        <v>1</v>
      </c>
      <c r="I1073">
        <v>1</v>
      </c>
      <c r="J1073">
        <v>1</v>
      </c>
      <c r="K1073">
        <v>1</v>
      </c>
      <c r="L1073">
        <v>1</v>
      </c>
      <c r="M1073">
        <v>1</v>
      </c>
      <c r="N1073">
        <v>1</v>
      </c>
      <c r="O1073">
        <v>1</v>
      </c>
      <c r="P1073">
        <v>1</v>
      </c>
      <c r="Q1073">
        <v>1</v>
      </c>
      <c r="R1073">
        <v>1</v>
      </c>
      <c r="S1073">
        <v>1</v>
      </c>
      <c r="T1073">
        <v>1</v>
      </c>
      <c r="U1073">
        <v>1</v>
      </c>
      <c r="V1073">
        <v>1</v>
      </c>
      <c r="W1073">
        <v>1</v>
      </c>
      <c r="X1073">
        <v>1</v>
      </c>
      <c r="Y1073">
        <v>1</v>
      </c>
      <c r="Z1073">
        <v>1</v>
      </c>
      <c r="AA1073">
        <v>1</v>
      </c>
      <c r="AB1073">
        <v>1</v>
      </c>
      <c r="AC1073">
        <v>1</v>
      </c>
    </row>
    <row r="1074" spans="1:29" x14ac:dyDescent="0.45">
      <c r="A1074" t="s">
        <v>112</v>
      </c>
      <c r="B1074" t="s">
        <v>438</v>
      </c>
      <c r="C1074" t="s">
        <v>439</v>
      </c>
      <c r="D1074" t="s">
        <v>425</v>
      </c>
      <c r="E1074" t="str">
        <f t="shared" si="16"/>
        <v>WA|solar thermal|Spring</v>
      </c>
      <c r="F1074">
        <v>1</v>
      </c>
      <c r="G1074">
        <v>1</v>
      </c>
      <c r="H1074">
        <v>1</v>
      </c>
      <c r="I1074">
        <v>1</v>
      </c>
      <c r="J1074">
        <v>1</v>
      </c>
      <c r="K1074">
        <v>1</v>
      </c>
      <c r="L1074">
        <v>1</v>
      </c>
      <c r="M1074">
        <v>1</v>
      </c>
      <c r="N1074">
        <v>1</v>
      </c>
      <c r="O1074">
        <v>1</v>
      </c>
      <c r="P1074">
        <v>1</v>
      </c>
      <c r="Q1074">
        <v>1</v>
      </c>
      <c r="R1074">
        <v>1</v>
      </c>
      <c r="S1074">
        <v>1</v>
      </c>
      <c r="T1074">
        <v>1</v>
      </c>
      <c r="U1074">
        <v>1</v>
      </c>
      <c r="V1074">
        <v>1</v>
      </c>
      <c r="W1074">
        <v>1</v>
      </c>
      <c r="X1074">
        <v>1</v>
      </c>
      <c r="Y1074">
        <v>1</v>
      </c>
      <c r="Z1074">
        <v>1</v>
      </c>
      <c r="AA1074">
        <v>1</v>
      </c>
      <c r="AB1074">
        <v>1</v>
      </c>
      <c r="AC1074">
        <v>1</v>
      </c>
    </row>
    <row r="1075" spans="1:29" x14ac:dyDescent="0.45">
      <c r="A1075" t="s">
        <v>112</v>
      </c>
      <c r="B1075" t="s">
        <v>438</v>
      </c>
      <c r="C1075" t="s">
        <v>439</v>
      </c>
      <c r="D1075" t="s">
        <v>426</v>
      </c>
      <c r="E1075" t="str">
        <f t="shared" si="16"/>
        <v>WA|solar thermal|Summer</v>
      </c>
      <c r="F1075">
        <v>1</v>
      </c>
      <c r="G1075">
        <v>1</v>
      </c>
      <c r="H1075">
        <v>1</v>
      </c>
      <c r="I1075">
        <v>1</v>
      </c>
      <c r="J1075">
        <v>1</v>
      </c>
      <c r="K1075">
        <v>1</v>
      </c>
      <c r="L1075">
        <v>1</v>
      </c>
      <c r="M1075">
        <v>1</v>
      </c>
      <c r="N1075">
        <v>1</v>
      </c>
      <c r="O1075">
        <v>1</v>
      </c>
      <c r="P1075">
        <v>1</v>
      </c>
      <c r="Q1075">
        <v>1</v>
      </c>
      <c r="R1075">
        <v>1</v>
      </c>
      <c r="S1075">
        <v>1</v>
      </c>
      <c r="T1075">
        <v>1</v>
      </c>
      <c r="U1075">
        <v>1</v>
      </c>
      <c r="V1075">
        <v>1</v>
      </c>
      <c r="W1075">
        <v>1</v>
      </c>
      <c r="X1075">
        <v>1</v>
      </c>
      <c r="Y1075">
        <v>1</v>
      </c>
      <c r="Z1075">
        <v>1</v>
      </c>
      <c r="AA1075">
        <v>1</v>
      </c>
      <c r="AB1075">
        <v>1</v>
      </c>
      <c r="AC1075">
        <v>1</v>
      </c>
    </row>
    <row r="1076" spans="1:29" x14ac:dyDescent="0.45">
      <c r="A1076" t="s">
        <v>112</v>
      </c>
      <c r="B1076" t="s">
        <v>438</v>
      </c>
      <c r="C1076" t="s">
        <v>439</v>
      </c>
      <c r="D1076" t="s">
        <v>427</v>
      </c>
      <c r="E1076" t="str">
        <f t="shared" si="16"/>
        <v>WA|solar thermal|Fall</v>
      </c>
      <c r="F1076">
        <v>1</v>
      </c>
      <c r="G1076">
        <v>1</v>
      </c>
      <c r="H1076">
        <v>1</v>
      </c>
      <c r="I1076">
        <v>1</v>
      </c>
      <c r="J1076">
        <v>1</v>
      </c>
      <c r="K1076">
        <v>1</v>
      </c>
      <c r="L1076">
        <v>1</v>
      </c>
      <c r="M1076">
        <v>1</v>
      </c>
      <c r="N1076">
        <v>1</v>
      </c>
      <c r="O1076">
        <v>1</v>
      </c>
      <c r="P1076">
        <v>1</v>
      </c>
      <c r="Q1076">
        <v>1</v>
      </c>
      <c r="R1076">
        <v>1</v>
      </c>
      <c r="S1076">
        <v>1</v>
      </c>
      <c r="T1076">
        <v>1</v>
      </c>
      <c r="U1076">
        <v>1</v>
      </c>
      <c r="V1076">
        <v>1</v>
      </c>
      <c r="W1076">
        <v>1</v>
      </c>
      <c r="X1076">
        <v>1</v>
      </c>
      <c r="Y1076">
        <v>1</v>
      </c>
      <c r="Z1076">
        <v>1</v>
      </c>
      <c r="AA1076">
        <v>1</v>
      </c>
      <c r="AB1076">
        <v>1</v>
      </c>
      <c r="AC1076">
        <v>1</v>
      </c>
    </row>
    <row r="1077" spans="1:29" x14ac:dyDescent="0.45">
      <c r="A1077" t="s">
        <v>112</v>
      </c>
      <c r="B1077" t="s">
        <v>438</v>
      </c>
      <c r="C1077" t="s">
        <v>439</v>
      </c>
      <c r="D1077" t="s">
        <v>428</v>
      </c>
      <c r="E1077" t="str">
        <f t="shared" si="16"/>
        <v>WA|solar thermal|Summer Peak</v>
      </c>
      <c r="F1077">
        <v>1</v>
      </c>
      <c r="G1077">
        <v>1</v>
      </c>
      <c r="H1077">
        <v>1</v>
      </c>
      <c r="I1077">
        <v>1</v>
      </c>
      <c r="J1077">
        <v>1</v>
      </c>
      <c r="K1077">
        <v>1</v>
      </c>
      <c r="L1077">
        <v>1</v>
      </c>
      <c r="M1077">
        <v>0</v>
      </c>
      <c r="N1077">
        <v>0.8639</v>
      </c>
      <c r="O1077">
        <v>1</v>
      </c>
      <c r="P1077">
        <v>1</v>
      </c>
      <c r="Q1077">
        <v>0.97160000000000002</v>
      </c>
      <c r="R1077">
        <v>0.96719999999999995</v>
      </c>
      <c r="S1077">
        <v>1</v>
      </c>
      <c r="T1077">
        <v>1</v>
      </c>
      <c r="U1077">
        <v>1</v>
      </c>
      <c r="V1077">
        <v>1</v>
      </c>
      <c r="W1077">
        <v>1</v>
      </c>
      <c r="X1077">
        <v>1</v>
      </c>
      <c r="Y1077">
        <v>0.93130000000000002</v>
      </c>
      <c r="Z1077">
        <v>0.70220000000000005</v>
      </c>
      <c r="AA1077">
        <v>1</v>
      </c>
      <c r="AB1077">
        <v>1</v>
      </c>
      <c r="AC1077">
        <v>1</v>
      </c>
    </row>
    <row r="1078" spans="1:29" x14ac:dyDescent="0.45">
      <c r="A1078" t="s">
        <v>112</v>
      </c>
      <c r="B1078" t="s">
        <v>438</v>
      </c>
      <c r="C1078" t="s">
        <v>439</v>
      </c>
      <c r="D1078" t="s">
        <v>429</v>
      </c>
      <c r="E1078" t="str">
        <f t="shared" si="16"/>
        <v>WA|solar thermal|Winter Peak</v>
      </c>
      <c r="F1078">
        <v>1</v>
      </c>
      <c r="G1078">
        <v>1</v>
      </c>
      <c r="H1078">
        <v>1</v>
      </c>
      <c r="I1078">
        <v>1</v>
      </c>
      <c r="J1078">
        <v>1</v>
      </c>
      <c r="K1078">
        <v>1</v>
      </c>
      <c r="L1078">
        <v>1</v>
      </c>
      <c r="M1078">
        <v>1</v>
      </c>
      <c r="N1078">
        <v>1</v>
      </c>
      <c r="O1078">
        <v>0.2419</v>
      </c>
      <c r="P1078">
        <v>0.95320000000000005</v>
      </c>
      <c r="Q1078">
        <v>0.88039999999999996</v>
      </c>
      <c r="R1078">
        <v>0.97819999999999996</v>
      </c>
      <c r="S1078">
        <v>0.98950000000000005</v>
      </c>
      <c r="T1078">
        <v>0.99270000000000003</v>
      </c>
      <c r="U1078">
        <v>1</v>
      </c>
      <c r="V1078">
        <v>1</v>
      </c>
      <c r="W1078">
        <v>1</v>
      </c>
      <c r="X1078">
        <v>0.89019999999999999</v>
      </c>
      <c r="Y1078">
        <v>0</v>
      </c>
      <c r="Z1078">
        <v>1</v>
      </c>
      <c r="AA1078">
        <v>1</v>
      </c>
      <c r="AB1078">
        <v>1</v>
      </c>
      <c r="AC1078">
        <v>1</v>
      </c>
    </row>
    <row r="1079" spans="1:29" x14ac:dyDescent="0.45">
      <c r="A1079" t="s">
        <v>112</v>
      </c>
      <c r="B1079" t="s">
        <v>440</v>
      </c>
      <c r="C1079" t="s">
        <v>441</v>
      </c>
      <c r="D1079" t="s">
        <v>424</v>
      </c>
      <c r="E1079" t="str">
        <f t="shared" si="16"/>
        <v>WA|offshore wind|Winter</v>
      </c>
      <c r="F1079">
        <v>1</v>
      </c>
      <c r="G1079">
        <v>1</v>
      </c>
      <c r="H1079">
        <v>1</v>
      </c>
      <c r="I1079">
        <v>1</v>
      </c>
      <c r="J1079">
        <v>1</v>
      </c>
      <c r="K1079">
        <v>1</v>
      </c>
      <c r="L1079">
        <v>1</v>
      </c>
      <c r="M1079">
        <v>1</v>
      </c>
      <c r="N1079">
        <v>1</v>
      </c>
      <c r="O1079">
        <v>1</v>
      </c>
      <c r="P1079">
        <v>1</v>
      </c>
      <c r="Q1079">
        <v>1</v>
      </c>
      <c r="R1079">
        <v>1</v>
      </c>
      <c r="S1079">
        <v>1</v>
      </c>
      <c r="T1079">
        <v>1</v>
      </c>
      <c r="U1079">
        <v>1</v>
      </c>
      <c r="V1079">
        <v>1</v>
      </c>
      <c r="W1079">
        <v>1</v>
      </c>
      <c r="X1079">
        <v>1</v>
      </c>
      <c r="Y1079">
        <v>1</v>
      </c>
      <c r="Z1079">
        <v>1</v>
      </c>
      <c r="AA1079">
        <v>1</v>
      </c>
      <c r="AB1079">
        <v>1</v>
      </c>
      <c r="AC1079">
        <v>1</v>
      </c>
    </row>
    <row r="1080" spans="1:29" x14ac:dyDescent="0.45">
      <c r="A1080" t="s">
        <v>112</v>
      </c>
      <c r="B1080" t="s">
        <v>440</v>
      </c>
      <c r="C1080" t="s">
        <v>441</v>
      </c>
      <c r="D1080" t="s">
        <v>425</v>
      </c>
      <c r="E1080" t="str">
        <f t="shared" si="16"/>
        <v>WA|offshore wind|Spring</v>
      </c>
      <c r="F1080">
        <v>1</v>
      </c>
      <c r="G1080">
        <v>1</v>
      </c>
      <c r="H1080">
        <v>1</v>
      </c>
      <c r="I1080">
        <v>1</v>
      </c>
      <c r="J1080">
        <v>1</v>
      </c>
      <c r="K1080">
        <v>1</v>
      </c>
      <c r="L1080">
        <v>1</v>
      </c>
      <c r="M1080">
        <v>1</v>
      </c>
      <c r="N1080">
        <v>1</v>
      </c>
      <c r="O1080">
        <v>1</v>
      </c>
      <c r="P1080">
        <v>1</v>
      </c>
      <c r="Q1080">
        <v>1</v>
      </c>
      <c r="R1080">
        <v>1</v>
      </c>
      <c r="S1080">
        <v>1</v>
      </c>
      <c r="T1080">
        <v>1</v>
      </c>
      <c r="U1080">
        <v>1</v>
      </c>
      <c r="V1080">
        <v>1</v>
      </c>
      <c r="W1080">
        <v>1</v>
      </c>
      <c r="X1080">
        <v>1</v>
      </c>
      <c r="Y1080">
        <v>1</v>
      </c>
      <c r="Z1080">
        <v>1</v>
      </c>
      <c r="AA1080">
        <v>1</v>
      </c>
      <c r="AB1080">
        <v>1</v>
      </c>
      <c r="AC1080">
        <v>1</v>
      </c>
    </row>
    <row r="1081" spans="1:29" x14ac:dyDescent="0.45">
      <c r="A1081" t="s">
        <v>112</v>
      </c>
      <c r="B1081" t="s">
        <v>440</v>
      </c>
      <c r="C1081" t="s">
        <v>441</v>
      </c>
      <c r="D1081" t="s">
        <v>426</v>
      </c>
      <c r="E1081" t="str">
        <f t="shared" si="16"/>
        <v>WA|offshore wind|Summer</v>
      </c>
      <c r="F1081">
        <v>1</v>
      </c>
      <c r="G1081">
        <v>1</v>
      </c>
      <c r="H1081">
        <v>1</v>
      </c>
      <c r="I1081">
        <v>1</v>
      </c>
      <c r="J1081">
        <v>1</v>
      </c>
      <c r="K1081">
        <v>1</v>
      </c>
      <c r="L1081">
        <v>1</v>
      </c>
      <c r="M1081">
        <v>1</v>
      </c>
      <c r="N1081">
        <v>1</v>
      </c>
      <c r="O1081">
        <v>1</v>
      </c>
      <c r="P1081">
        <v>1</v>
      </c>
      <c r="Q1081">
        <v>1</v>
      </c>
      <c r="R1081">
        <v>1</v>
      </c>
      <c r="S1081">
        <v>1</v>
      </c>
      <c r="T1081">
        <v>1</v>
      </c>
      <c r="U1081">
        <v>1</v>
      </c>
      <c r="V1081">
        <v>1</v>
      </c>
      <c r="W1081">
        <v>1</v>
      </c>
      <c r="X1081">
        <v>1</v>
      </c>
      <c r="Y1081">
        <v>1</v>
      </c>
      <c r="Z1081">
        <v>1</v>
      </c>
      <c r="AA1081">
        <v>1</v>
      </c>
      <c r="AB1081">
        <v>1</v>
      </c>
      <c r="AC1081">
        <v>1</v>
      </c>
    </row>
    <row r="1082" spans="1:29" x14ac:dyDescent="0.45">
      <c r="A1082" t="s">
        <v>112</v>
      </c>
      <c r="B1082" t="s">
        <v>440</v>
      </c>
      <c r="C1082" t="s">
        <v>441</v>
      </c>
      <c r="D1082" t="s">
        <v>427</v>
      </c>
      <c r="E1082" t="str">
        <f t="shared" si="16"/>
        <v>WA|offshore wind|Fall</v>
      </c>
      <c r="F1082">
        <v>1</v>
      </c>
      <c r="G1082">
        <v>1</v>
      </c>
      <c r="H1082">
        <v>1</v>
      </c>
      <c r="I1082">
        <v>1</v>
      </c>
      <c r="J1082">
        <v>1</v>
      </c>
      <c r="K1082">
        <v>1</v>
      </c>
      <c r="L1082">
        <v>1</v>
      </c>
      <c r="M1082">
        <v>1</v>
      </c>
      <c r="N1082">
        <v>1</v>
      </c>
      <c r="O1082">
        <v>1</v>
      </c>
      <c r="P1082">
        <v>1</v>
      </c>
      <c r="Q1082">
        <v>1</v>
      </c>
      <c r="R1082">
        <v>1</v>
      </c>
      <c r="S1082">
        <v>1</v>
      </c>
      <c r="T1082">
        <v>1</v>
      </c>
      <c r="U1082">
        <v>1</v>
      </c>
      <c r="V1082">
        <v>1</v>
      </c>
      <c r="W1082">
        <v>1</v>
      </c>
      <c r="X1082">
        <v>1</v>
      </c>
      <c r="Y1082">
        <v>1</v>
      </c>
      <c r="Z1082">
        <v>1</v>
      </c>
      <c r="AA1082">
        <v>1</v>
      </c>
      <c r="AB1082">
        <v>1</v>
      </c>
      <c r="AC1082">
        <v>1</v>
      </c>
    </row>
    <row r="1083" spans="1:29" x14ac:dyDescent="0.45">
      <c r="A1083" t="s">
        <v>112</v>
      </c>
      <c r="B1083" t="s">
        <v>440</v>
      </c>
      <c r="C1083" t="s">
        <v>441</v>
      </c>
      <c r="D1083" t="s">
        <v>428</v>
      </c>
      <c r="E1083" t="str">
        <f t="shared" si="16"/>
        <v>WA|offshore wind|Summer Peak</v>
      </c>
      <c r="F1083">
        <v>0.40810000000000002</v>
      </c>
      <c r="G1083">
        <v>0.4239</v>
      </c>
      <c r="H1083">
        <v>0.45760000000000001</v>
      </c>
      <c r="I1083">
        <v>0.50319999999999998</v>
      </c>
      <c r="J1083">
        <v>0.53649999999999998</v>
      </c>
      <c r="K1083">
        <v>0.59399999999999997</v>
      </c>
      <c r="L1083">
        <v>0.61929999999999996</v>
      </c>
      <c r="M1083">
        <v>0.68859999999999999</v>
      </c>
      <c r="N1083">
        <v>0.73480000000000001</v>
      </c>
      <c r="O1083">
        <v>0.84350000000000003</v>
      </c>
      <c r="P1083">
        <v>0.78200000000000003</v>
      </c>
      <c r="Q1083">
        <v>0.74650000000000005</v>
      </c>
      <c r="R1083">
        <v>0.63690000000000002</v>
      </c>
      <c r="S1083">
        <v>0.60860000000000003</v>
      </c>
      <c r="T1083">
        <v>0.64339999999999997</v>
      </c>
      <c r="U1083">
        <v>0.69269999999999998</v>
      </c>
      <c r="V1083">
        <v>0.71450000000000002</v>
      </c>
      <c r="W1083">
        <v>0.75070000000000003</v>
      </c>
      <c r="X1083">
        <v>0.72489999999999999</v>
      </c>
      <c r="Y1083">
        <v>0.66049999999999998</v>
      </c>
      <c r="Z1083">
        <v>0.69140000000000001</v>
      </c>
      <c r="AA1083">
        <v>0.63080000000000003</v>
      </c>
      <c r="AB1083">
        <v>0.63429999999999997</v>
      </c>
      <c r="AC1083">
        <v>0.64390000000000003</v>
      </c>
    </row>
    <row r="1084" spans="1:29" x14ac:dyDescent="0.45">
      <c r="A1084" t="s">
        <v>112</v>
      </c>
      <c r="B1084" t="s">
        <v>440</v>
      </c>
      <c r="C1084" t="s">
        <v>441</v>
      </c>
      <c r="D1084" t="s">
        <v>429</v>
      </c>
      <c r="E1084" t="str">
        <f t="shared" si="16"/>
        <v>WA|offshore wind|Winter Peak</v>
      </c>
      <c r="F1084">
        <v>0.95309999999999995</v>
      </c>
      <c r="G1084">
        <v>0.95030000000000003</v>
      </c>
      <c r="H1084">
        <v>0.95540000000000003</v>
      </c>
      <c r="I1084">
        <v>0.96679999999999999</v>
      </c>
      <c r="J1084">
        <v>1</v>
      </c>
      <c r="K1084">
        <v>1</v>
      </c>
      <c r="L1084">
        <v>1</v>
      </c>
      <c r="M1084">
        <v>0.99209999999999998</v>
      </c>
      <c r="N1084">
        <v>0.90149999999999997</v>
      </c>
      <c r="O1084">
        <v>0.79779999999999995</v>
      </c>
      <c r="P1084">
        <v>0.71879999999999999</v>
      </c>
      <c r="Q1084">
        <v>0.67300000000000004</v>
      </c>
      <c r="R1084">
        <v>0.60860000000000003</v>
      </c>
      <c r="S1084">
        <v>0.58009999999999995</v>
      </c>
      <c r="T1084">
        <v>0.58799999999999997</v>
      </c>
      <c r="U1084">
        <v>0.61019999999999996</v>
      </c>
      <c r="V1084">
        <v>0.61839999999999995</v>
      </c>
      <c r="W1084">
        <v>0.60909999999999997</v>
      </c>
      <c r="X1084">
        <v>0.62880000000000003</v>
      </c>
      <c r="Y1084">
        <v>0.72889999999999999</v>
      </c>
      <c r="Z1084">
        <v>0.84719999999999995</v>
      </c>
      <c r="AA1084">
        <v>0.92220000000000002</v>
      </c>
      <c r="AB1084">
        <v>0.86950000000000005</v>
      </c>
      <c r="AC1084">
        <v>0.8054</v>
      </c>
    </row>
    <row r="1085" spans="1:29" x14ac:dyDescent="0.45">
      <c r="A1085" t="s">
        <v>114</v>
      </c>
      <c r="B1085" t="s">
        <v>434</v>
      </c>
      <c r="C1085" t="s">
        <v>435</v>
      </c>
      <c r="D1085" t="s">
        <v>424</v>
      </c>
      <c r="E1085" t="str">
        <f t="shared" si="16"/>
        <v>WI|onshore wind|Winter</v>
      </c>
      <c r="F1085">
        <v>1</v>
      </c>
      <c r="G1085">
        <v>1</v>
      </c>
      <c r="H1085">
        <v>1</v>
      </c>
      <c r="I1085">
        <v>1</v>
      </c>
      <c r="J1085">
        <v>1</v>
      </c>
      <c r="K1085">
        <v>1</v>
      </c>
      <c r="L1085">
        <v>1</v>
      </c>
      <c r="M1085">
        <v>1</v>
      </c>
      <c r="N1085">
        <v>1</v>
      </c>
      <c r="O1085">
        <v>1</v>
      </c>
      <c r="P1085">
        <v>1</v>
      </c>
      <c r="Q1085">
        <v>1</v>
      </c>
      <c r="R1085">
        <v>1</v>
      </c>
      <c r="S1085">
        <v>1</v>
      </c>
      <c r="T1085">
        <v>1</v>
      </c>
      <c r="U1085">
        <v>1</v>
      </c>
      <c r="V1085">
        <v>1</v>
      </c>
      <c r="W1085">
        <v>1</v>
      </c>
      <c r="X1085">
        <v>1</v>
      </c>
      <c r="Y1085">
        <v>1</v>
      </c>
      <c r="Z1085">
        <v>1</v>
      </c>
      <c r="AA1085">
        <v>1</v>
      </c>
      <c r="AB1085">
        <v>1</v>
      </c>
      <c r="AC1085">
        <v>1</v>
      </c>
    </row>
    <row r="1086" spans="1:29" x14ac:dyDescent="0.45">
      <c r="A1086" t="s">
        <v>114</v>
      </c>
      <c r="B1086" t="s">
        <v>434</v>
      </c>
      <c r="C1086" t="s">
        <v>435</v>
      </c>
      <c r="D1086" t="s">
        <v>425</v>
      </c>
      <c r="E1086" t="str">
        <f t="shared" si="16"/>
        <v>WI|onshore wind|Spring</v>
      </c>
      <c r="F1086">
        <v>1</v>
      </c>
      <c r="G1086">
        <v>1</v>
      </c>
      <c r="H1086">
        <v>1</v>
      </c>
      <c r="I1086">
        <v>1</v>
      </c>
      <c r="J1086">
        <v>1</v>
      </c>
      <c r="K1086">
        <v>1</v>
      </c>
      <c r="L1086">
        <v>1</v>
      </c>
      <c r="M1086">
        <v>1</v>
      </c>
      <c r="N1086">
        <v>1</v>
      </c>
      <c r="O1086">
        <v>1</v>
      </c>
      <c r="P1086">
        <v>1</v>
      </c>
      <c r="Q1086">
        <v>1</v>
      </c>
      <c r="R1086">
        <v>1</v>
      </c>
      <c r="S1086">
        <v>1</v>
      </c>
      <c r="T1086">
        <v>1</v>
      </c>
      <c r="U1086">
        <v>1</v>
      </c>
      <c r="V1086">
        <v>1</v>
      </c>
      <c r="W1086">
        <v>1</v>
      </c>
      <c r="X1086">
        <v>1</v>
      </c>
      <c r="Y1086">
        <v>1</v>
      </c>
      <c r="Z1086">
        <v>1</v>
      </c>
      <c r="AA1086">
        <v>1</v>
      </c>
      <c r="AB1086">
        <v>1</v>
      </c>
      <c r="AC1086">
        <v>1</v>
      </c>
    </row>
    <row r="1087" spans="1:29" x14ac:dyDescent="0.45">
      <c r="A1087" t="s">
        <v>114</v>
      </c>
      <c r="B1087" t="s">
        <v>434</v>
      </c>
      <c r="C1087" t="s">
        <v>435</v>
      </c>
      <c r="D1087" t="s">
        <v>426</v>
      </c>
      <c r="E1087" t="str">
        <f t="shared" si="16"/>
        <v>WI|onshore wind|Summer</v>
      </c>
      <c r="F1087">
        <v>1</v>
      </c>
      <c r="G1087">
        <v>1</v>
      </c>
      <c r="H1087">
        <v>1</v>
      </c>
      <c r="I1087">
        <v>1</v>
      </c>
      <c r="J1087">
        <v>1</v>
      </c>
      <c r="K1087">
        <v>1</v>
      </c>
      <c r="L1087">
        <v>1</v>
      </c>
      <c r="M1087">
        <v>1</v>
      </c>
      <c r="N1087">
        <v>1</v>
      </c>
      <c r="O1087">
        <v>1</v>
      </c>
      <c r="P1087">
        <v>1</v>
      </c>
      <c r="Q1087">
        <v>1</v>
      </c>
      <c r="R1087">
        <v>1</v>
      </c>
      <c r="S1087">
        <v>1</v>
      </c>
      <c r="T1087">
        <v>1</v>
      </c>
      <c r="U1087">
        <v>1</v>
      </c>
      <c r="V1087">
        <v>1</v>
      </c>
      <c r="W1087">
        <v>1</v>
      </c>
      <c r="X1087">
        <v>1</v>
      </c>
      <c r="Y1087">
        <v>1</v>
      </c>
      <c r="Z1087">
        <v>1</v>
      </c>
      <c r="AA1087">
        <v>1</v>
      </c>
      <c r="AB1087">
        <v>1</v>
      </c>
      <c r="AC1087">
        <v>1</v>
      </c>
    </row>
    <row r="1088" spans="1:29" x14ac:dyDescent="0.45">
      <c r="A1088" t="s">
        <v>114</v>
      </c>
      <c r="B1088" t="s">
        <v>434</v>
      </c>
      <c r="C1088" t="s">
        <v>435</v>
      </c>
      <c r="D1088" t="s">
        <v>427</v>
      </c>
      <c r="E1088" t="str">
        <f t="shared" si="16"/>
        <v>WI|onshore wind|Fall</v>
      </c>
      <c r="F1088">
        <v>1</v>
      </c>
      <c r="G1088">
        <v>1</v>
      </c>
      <c r="H1088">
        <v>1</v>
      </c>
      <c r="I1088">
        <v>1</v>
      </c>
      <c r="J1088">
        <v>1</v>
      </c>
      <c r="K1088">
        <v>1</v>
      </c>
      <c r="L1088">
        <v>1</v>
      </c>
      <c r="M1088">
        <v>1</v>
      </c>
      <c r="N1088">
        <v>1</v>
      </c>
      <c r="O1088">
        <v>1</v>
      </c>
      <c r="P1088">
        <v>1</v>
      </c>
      <c r="Q1088">
        <v>1</v>
      </c>
      <c r="R1088">
        <v>1</v>
      </c>
      <c r="S1088">
        <v>1</v>
      </c>
      <c r="T1088">
        <v>1</v>
      </c>
      <c r="U1088">
        <v>1</v>
      </c>
      <c r="V1088">
        <v>1</v>
      </c>
      <c r="W1088">
        <v>1</v>
      </c>
      <c r="X1088">
        <v>1</v>
      </c>
      <c r="Y1088">
        <v>1</v>
      </c>
      <c r="Z1088">
        <v>1</v>
      </c>
      <c r="AA1088">
        <v>1</v>
      </c>
      <c r="AB1088">
        <v>1</v>
      </c>
      <c r="AC1088">
        <v>1</v>
      </c>
    </row>
    <row r="1089" spans="1:29" x14ac:dyDescent="0.45">
      <c r="A1089" t="s">
        <v>114</v>
      </c>
      <c r="B1089" t="s">
        <v>434</v>
      </c>
      <c r="C1089" t="s">
        <v>435</v>
      </c>
      <c r="D1089" t="s">
        <v>428</v>
      </c>
      <c r="E1089" t="str">
        <f t="shared" si="16"/>
        <v>WI|onshore wind|Summer Peak</v>
      </c>
      <c r="F1089">
        <v>0.3851</v>
      </c>
      <c r="G1089">
        <v>0.33850000000000002</v>
      </c>
      <c r="H1089">
        <v>0.29480000000000001</v>
      </c>
      <c r="I1089">
        <v>0.2908</v>
      </c>
      <c r="J1089">
        <v>0.3034</v>
      </c>
      <c r="K1089">
        <v>0.42420000000000002</v>
      </c>
      <c r="L1089">
        <v>0.31969999999999998</v>
      </c>
      <c r="M1089">
        <v>0.25629999999999997</v>
      </c>
      <c r="N1089">
        <v>0.22470000000000001</v>
      </c>
      <c r="O1089">
        <v>0.2046</v>
      </c>
      <c r="P1089">
        <v>0.23400000000000001</v>
      </c>
      <c r="Q1089">
        <v>0.28970000000000001</v>
      </c>
      <c r="R1089">
        <v>0.32379999999999998</v>
      </c>
      <c r="S1089">
        <v>0.39450000000000002</v>
      </c>
      <c r="T1089">
        <v>0.32429999999999998</v>
      </c>
      <c r="U1089">
        <v>0.33639999999999998</v>
      </c>
      <c r="V1089">
        <v>0.34189999999999998</v>
      </c>
      <c r="W1089">
        <v>0.42320000000000002</v>
      </c>
      <c r="X1089">
        <v>0.48130000000000001</v>
      </c>
      <c r="Y1089">
        <v>0.38240000000000002</v>
      </c>
      <c r="Z1089">
        <v>0.29199999999999998</v>
      </c>
      <c r="AA1089">
        <v>0.28910000000000002</v>
      </c>
      <c r="AB1089">
        <v>0.35709999999999997</v>
      </c>
      <c r="AC1089">
        <v>0.36580000000000001</v>
      </c>
    </row>
    <row r="1090" spans="1:29" x14ac:dyDescent="0.45">
      <c r="A1090" t="s">
        <v>114</v>
      </c>
      <c r="B1090" t="s">
        <v>434</v>
      </c>
      <c r="C1090" t="s">
        <v>435</v>
      </c>
      <c r="D1090" t="s">
        <v>429</v>
      </c>
      <c r="E1090" t="str">
        <f t="shared" si="16"/>
        <v>WI|onshore wind|Winter Peak</v>
      </c>
      <c r="F1090">
        <v>0.53680000000000005</v>
      </c>
      <c r="G1090">
        <v>0.5292</v>
      </c>
      <c r="H1090">
        <v>0.33260000000000001</v>
      </c>
      <c r="I1090">
        <v>0.24249999999999999</v>
      </c>
      <c r="J1090">
        <v>0.25130000000000002</v>
      </c>
      <c r="K1090">
        <v>0.36470000000000002</v>
      </c>
      <c r="L1090">
        <v>0.30270000000000002</v>
      </c>
      <c r="M1090">
        <v>0.34739999999999999</v>
      </c>
      <c r="N1090">
        <v>0.2094</v>
      </c>
      <c r="O1090">
        <v>0.1678</v>
      </c>
      <c r="P1090">
        <v>0.2467</v>
      </c>
      <c r="Q1090">
        <v>0.35260000000000002</v>
      </c>
      <c r="R1090">
        <v>0.38179999999999997</v>
      </c>
      <c r="S1090">
        <v>0.43049999999999999</v>
      </c>
      <c r="T1090">
        <v>0.35189999999999999</v>
      </c>
      <c r="U1090">
        <v>0.39329999999999998</v>
      </c>
      <c r="V1090">
        <v>0.47139999999999999</v>
      </c>
      <c r="W1090">
        <v>0.39079999999999998</v>
      </c>
      <c r="X1090">
        <v>0.30059999999999998</v>
      </c>
      <c r="Y1090">
        <v>0.2944</v>
      </c>
      <c r="Z1090">
        <v>0.39800000000000002</v>
      </c>
      <c r="AA1090">
        <v>0.51049999999999995</v>
      </c>
      <c r="AB1090">
        <v>0.61890000000000001</v>
      </c>
      <c r="AC1090">
        <v>0.75370000000000004</v>
      </c>
    </row>
    <row r="1091" spans="1:29" x14ac:dyDescent="0.45">
      <c r="A1091" t="s">
        <v>114</v>
      </c>
      <c r="B1091" t="s">
        <v>436</v>
      </c>
      <c r="C1091" t="s">
        <v>437</v>
      </c>
      <c r="D1091" t="s">
        <v>424</v>
      </c>
      <c r="E1091" t="str">
        <f t="shared" si="16"/>
        <v>WI|solar pv|Winter</v>
      </c>
      <c r="F1091">
        <v>1</v>
      </c>
      <c r="G1091">
        <v>1</v>
      </c>
      <c r="H1091">
        <v>1</v>
      </c>
      <c r="I1091">
        <v>1</v>
      </c>
      <c r="J1091">
        <v>1</v>
      </c>
      <c r="K1091">
        <v>1</v>
      </c>
      <c r="L1091">
        <v>1</v>
      </c>
      <c r="M1091">
        <v>1</v>
      </c>
      <c r="N1091">
        <v>1</v>
      </c>
      <c r="O1091">
        <v>1</v>
      </c>
      <c r="P1091">
        <v>1</v>
      </c>
      <c r="Q1091">
        <v>1</v>
      </c>
      <c r="R1091">
        <v>1</v>
      </c>
      <c r="S1091">
        <v>1</v>
      </c>
      <c r="T1091">
        <v>1</v>
      </c>
      <c r="U1091">
        <v>1</v>
      </c>
      <c r="V1091">
        <v>1</v>
      </c>
      <c r="W1091">
        <v>1</v>
      </c>
      <c r="X1091">
        <v>1</v>
      </c>
      <c r="Y1091">
        <v>1</v>
      </c>
      <c r="Z1091">
        <v>1</v>
      </c>
      <c r="AA1091">
        <v>1</v>
      </c>
      <c r="AB1091">
        <v>1</v>
      </c>
      <c r="AC1091">
        <v>1</v>
      </c>
    </row>
    <row r="1092" spans="1:29" x14ac:dyDescent="0.45">
      <c r="A1092" t="s">
        <v>114</v>
      </c>
      <c r="B1092" t="s">
        <v>436</v>
      </c>
      <c r="C1092" t="s">
        <v>437</v>
      </c>
      <c r="D1092" t="s">
        <v>425</v>
      </c>
      <c r="E1092" t="str">
        <f t="shared" si="16"/>
        <v>WI|solar pv|Spring</v>
      </c>
      <c r="F1092">
        <v>1</v>
      </c>
      <c r="G1092">
        <v>1</v>
      </c>
      <c r="H1092">
        <v>1</v>
      </c>
      <c r="I1092">
        <v>1</v>
      </c>
      <c r="J1092">
        <v>1</v>
      </c>
      <c r="K1092">
        <v>1</v>
      </c>
      <c r="L1092">
        <v>1</v>
      </c>
      <c r="M1092">
        <v>1</v>
      </c>
      <c r="N1092">
        <v>1</v>
      </c>
      <c r="O1092">
        <v>1</v>
      </c>
      <c r="P1092">
        <v>1</v>
      </c>
      <c r="Q1092">
        <v>1</v>
      </c>
      <c r="R1092">
        <v>1</v>
      </c>
      <c r="S1092">
        <v>1</v>
      </c>
      <c r="T1092">
        <v>1</v>
      </c>
      <c r="U1092">
        <v>1</v>
      </c>
      <c r="V1092">
        <v>1</v>
      </c>
      <c r="W1092">
        <v>1</v>
      </c>
      <c r="X1092">
        <v>1</v>
      </c>
      <c r="Y1092">
        <v>1</v>
      </c>
      <c r="Z1092">
        <v>1</v>
      </c>
      <c r="AA1092">
        <v>1</v>
      </c>
      <c r="AB1092">
        <v>1</v>
      </c>
      <c r="AC1092">
        <v>1</v>
      </c>
    </row>
    <row r="1093" spans="1:29" x14ac:dyDescent="0.45">
      <c r="A1093" t="s">
        <v>114</v>
      </c>
      <c r="B1093" t="s">
        <v>436</v>
      </c>
      <c r="C1093" t="s">
        <v>437</v>
      </c>
      <c r="D1093" t="s">
        <v>426</v>
      </c>
      <c r="E1093" t="str">
        <f t="shared" ref="E1093:E1156" si="17">A1093&amp;"|"&amp;C1093&amp;"|"&amp;D1093</f>
        <v>WI|solar pv|Summer</v>
      </c>
      <c r="F1093">
        <v>1</v>
      </c>
      <c r="G1093">
        <v>1</v>
      </c>
      <c r="H1093">
        <v>1</v>
      </c>
      <c r="I1093">
        <v>1</v>
      </c>
      <c r="J1093">
        <v>1</v>
      </c>
      <c r="K1093">
        <v>1</v>
      </c>
      <c r="L1093">
        <v>1</v>
      </c>
      <c r="M1093">
        <v>1</v>
      </c>
      <c r="N1093">
        <v>1</v>
      </c>
      <c r="O1093">
        <v>1</v>
      </c>
      <c r="P1093">
        <v>1</v>
      </c>
      <c r="Q1093">
        <v>1</v>
      </c>
      <c r="R1093">
        <v>1</v>
      </c>
      <c r="S1093">
        <v>1</v>
      </c>
      <c r="T1093">
        <v>1</v>
      </c>
      <c r="U1093">
        <v>1</v>
      </c>
      <c r="V1093">
        <v>1</v>
      </c>
      <c r="W1093">
        <v>1</v>
      </c>
      <c r="X1093">
        <v>1</v>
      </c>
      <c r="Y1093">
        <v>1</v>
      </c>
      <c r="Z1093">
        <v>1</v>
      </c>
      <c r="AA1093">
        <v>1</v>
      </c>
      <c r="AB1093">
        <v>1</v>
      </c>
      <c r="AC1093">
        <v>1</v>
      </c>
    </row>
    <row r="1094" spans="1:29" x14ac:dyDescent="0.45">
      <c r="A1094" t="s">
        <v>114</v>
      </c>
      <c r="B1094" t="s">
        <v>436</v>
      </c>
      <c r="C1094" t="s">
        <v>437</v>
      </c>
      <c r="D1094" t="s">
        <v>427</v>
      </c>
      <c r="E1094" t="str">
        <f t="shared" si="17"/>
        <v>WI|solar pv|Fall</v>
      </c>
      <c r="F1094">
        <v>1</v>
      </c>
      <c r="G1094">
        <v>1</v>
      </c>
      <c r="H1094">
        <v>1</v>
      </c>
      <c r="I1094">
        <v>1</v>
      </c>
      <c r="J1094">
        <v>1</v>
      </c>
      <c r="K1094">
        <v>1</v>
      </c>
      <c r="L1094">
        <v>1</v>
      </c>
      <c r="M1094">
        <v>1</v>
      </c>
      <c r="N1094">
        <v>1</v>
      </c>
      <c r="O1094">
        <v>1</v>
      </c>
      <c r="P1094">
        <v>1</v>
      </c>
      <c r="Q1094">
        <v>1</v>
      </c>
      <c r="R1094">
        <v>1</v>
      </c>
      <c r="S1094">
        <v>1</v>
      </c>
      <c r="T1094">
        <v>1</v>
      </c>
      <c r="U1094">
        <v>1</v>
      </c>
      <c r="V1094">
        <v>1</v>
      </c>
      <c r="W1094">
        <v>1</v>
      </c>
      <c r="X1094">
        <v>1</v>
      </c>
      <c r="Y1094">
        <v>1</v>
      </c>
      <c r="Z1094">
        <v>1</v>
      </c>
      <c r="AA1094">
        <v>1</v>
      </c>
      <c r="AB1094">
        <v>1</v>
      </c>
      <c r="AC1094">
        <v>1</v>
      </c>
    </row>
    <row r="1095" spans="1:29" x14ac:dyDescent="0.45">
      <c r="A1095" t="s">
        <v>114</v>
      </c>
      <c r="B1095" t="s">
        <v>436</v>
      </c>
      <c r="C1095" t="s">
        <v>437</v>
      </c>
      <c r="D1095" t="s">
        <v>428</v>
      </c>
      <c r="E1095" t="str">
        <f t="shared" si="17"/>
        <v>WI|solar pv|Summer Peak</v>
      </c>
      <c r="F1095">
        <v>1</v>
      </c>
      <c r="G1095">
        <v>1</v>
      </c>
      <c r="H1095">
        <v>1</v>
      </c>
      <c r="I1095">
        <v>1</v>
      </c>
      <c r="J1095">
        <v>6.4299999999999996E-2</v>
      </c>
      <c r="K1095">
        <v>0.84770000000000001</v>
      </c>
      <c r="L1095">
        <v>0.98540000000000005</v>
      </c>
      <c r="M1095">
        <v>0.98929999999999996</v>
      </c>
      <c r="N1095">
        <v>0.9768</v>
      </c>
      <c r="O1095">
        <v>0.98460000000000003</v>
      </c>
      <c r="P1095">
        <v>0.96109999999999995</v>
      </c>
      <c r="Q1095">
        <v>0.96479999999999999</v>
      </c>
      <c r="R1095">
        <v>0.96</v>
      </c>
      <c r="S1095">
        <v>0.95599999999999996</v>
      </c>
      <c r="T1095">
        <v>0.9647</v>
      </c>
      <c r="U1095">
        <v>0.95569999999999999</v>
      </c>
      <c r="V1095">
        <v>0.9325</v>
      </c>
      <c r="W1095">
        <v>0.88660000000000005</v>
      </c>
      <c r="X1095">
        <v>3.4500000000000003E-2</v>
      </c>
      <c r="Y1095">
        <v>1</v>
      </c>
      <c r="Z1095">
        <v>1</v>
      </c>
      <c r="AA1095">
        <v>1</v>
      </c>
      <c r="AB1095">
        <v>1</v>
      </c>
      <c r="AC1095">
        <v>1</v>
      </c>
    </row>
    <row r="1096" spans="1:29" x14ac:dyDescent="0.45">
      <c r="A1096" t="s">
        <v>114</v>
      </c>
      <c r="B1096" t="s">
        <v>436</v>
      </c>
      <c r="C1096" t="s">
        <v>437</v>
      </c>
      <c r="D1096" t="s">
        <v>429</v>
      </c>
      <c r="E1096" t="str">
        <f t="shared" si="17"/>
        <v>WI|solar pv|Winter Peak</v>
      </c>
      <c r="F1096">
        <v>1</v>
      </c>
      <c r="G1096">
        <v>1</v>
      </c>
      <c r="H1096">
        <v>1</v>
      </c>
      <c r="I1096">
        <v>1</v>
      </c>
      <c r="J1096">
        <v>1</v>
      </c>
      <c r="K1096">
        <v>1</v>
      </c>
      <c r="L1096">
        <v>1</v>
      </c>
      <c r="M1096">
        <v>0.65500000000000003</v>
      </c>
      <c r="N1096">
        <v>0.6361</v>
      </c>
      <c r="O1096">
        <v>0.64019999999999999</v>
      </c>
      <c r="P1096">
        <v>0.64400000000000002</v>
      </c>
      <c r="Q1096">
        <v>0.62760000000000005</v>
      </c>
      <c r="R1096">
        <v>0.5635</v>
      </c>
      <c r="S1096">
        <v>0.44979999999999998</v>
      </c>
      <c r="T1096">
        <v>0.4284</v>
      </c>
      <c r="U1096">
        <v>0.38419999999999999</v>
      </c>
      <c r="V1096">
        <v>0</v>
      </c>
      <c r="W1096">
        <v>1</v>
      </c>
      <c r="X1096">
        <v>1</v>
      </c>
      <c r="Y1096">
        <v>1</v>
      </c>
      <c r="Z1096">
        <v>1</v>
      </c>
      <c r="AA1096">
        <v>1</v>
      </c>
      <c r="AB1096">
        <v>1</v>
      </c>
      <c r="AC1096">
        <v>1</v>
      </c>
    </row>
    <row r="1097" spans="1:29" x14ac:dyDescent="0.45">
      <c r="A1097" t="s">
        <v>114</v>
      </c>
      <c r="B1097" t="s">
        <v>438</v>
      </c>
      <c r="C1097" t="s">
        <v>439</v>
      </c>
      <c r="D1097" t="s">
        <v>424</v>
      </c>
      <c r="E1097" t="str">
        <f t="shared" si="17"/>
        <v>WI|solar thermal|Winter</v>
      </c>
      <c r="F1097">
        <v>1</v>
      </c>
      <c r="G1097">
        <v>1</v>
      </c>
      <c r="H1097">
        <v>1</v>
      </c>
      <c r="I1097">
        <v>1</v>
      </c>
      <c r="J1097">
        <v>1</v>
      </c>
      <c r="K1097">
        <v>1</v>
      </c>
      <c r="L1097">
        <v>1</v>
      </c>
      <c r="M1097">
        <v>1</v>
      </c>
      <c r="N1097">
        <v>1</v>
      </c>
      <c r="O1097">
        <v>1</v>
      </c>
      <c r="P1097">
        <v>1</v>
      </c>
      <c r="Q1097">
        <v>1</v>
      </c>
      <c r="R1097">
        <v>1</v>
      </c>
      <c r="S1097">
        <v>1</v>
      </c>
      <c r="T1097">
        <v>1</v>
      </c>
      <c r="U1097">
        <v>1</v>
      </c>
      <c r="V1097">
        <v>1</v>
      </c>
      <c r="W1097">
        <v>1</v>
      </c>
      <c r="X1097">
        <v>1</v>
      </c>
      <c r="Y1097">
        <v>1</v>
      </c>
      <c r="Z1097">
        <v>1</v>
      </c>
      <c r="AA1097">
        <v>1</v>
      </c>
      <c r="AB1097">
        <v>1</v>
      </c>
      <c r="AC1097">
        <v>1</v>
      </c>
    </row>
    <row r="1098" spans="1:29" x14ac:dyDescent="0.45">
      <c r="A1098" t="s">
        <v>114</v>
      </c>
      <c r="B1098" t="s">
        <v>438</v>
      </c>
      <c r="C1098" t="s">
        <v>439</v>
      </c>
      <c r="D1098" t="s">
        <v>425</v>
      </c>
      <c r="E1098" t="str">
        <f t="shared" si="17"/>
        <v>WI|solar thermal|Spring</v>
      </c>
      <c r="F1098">
        <v>1</v>
      </c>
      <c r="G1098">
        <v>1</v>
      </c>
      <c r="H1098">
        <v>1</v>
      </c>
      <c r="I1098">
        <v>1</v>
      </c>
      <c r="J1098">
        <v>1</v>
      </c>
      <c r="K1098">
        <v>1</v>
      </c>
      <c r="L1098">
        <v>1</v>
      </c>
      <c r="M1098">
        <v>1</v>
      </c>
      <c r="N1098">
        <v>1</v>
      </c>
      <c r="O1098">
        <v>1</v>
      </c>
      <c r="P1098">
        <v>1</v>
      </c>
      <c r="Q1098">
        <v>1</v>
      </c>
      <c r="R1098">
        <v>1</v>
      </c>
      <c r="S1098">
        <v>1</v>
      </c>
      <c r="T1098">
        <v>1</v>
      </c>
      <c r="U1098">
        <v>1</v>
      </c>
      <c r="V1098">
        <v>1</v>
      </c>
      <c r="W1098">
        <v>1</v>
      </c>
      <c r="X1098">
        <v>1</v>
      </c>
      <c r="Y1098">
        <v>1</v>
      </c>
      <c r="Z1098">
        <v>1</v>
      </c>
      <c r="AA1098">
        <v>1</v>
      </c>
      <c r="AB1098">
        <v>1</v>
      </c>
      <c r="AC1098">
        <v>1</v>
      </c>
    </row>
    <row r="1099" spans="1:29" x14ac:dyDescent="0.45">
      <c r="A1099" t="s">
        <v>114</v>
      </c>
      <c r="B1099" t="s">
        <v>438</v>
      </c>
      <c r="C1099" t="s">
        <v>439</v>
      </c>
      <c r="D1099" t="s">
        <v>426</v>
      </c>
      <c r="E1099" t="str">
        <f t="shared" si="17"/>
        <v>WI|solar thermal|Summer</v>
      </c>
      <c r="F1099">
        <v>1</v>
      </c>
      <c r="G1099">
        <v>1</v>
      </c>
      <c r="H1099">
        <v>1</v>
      </c>
      <c r="I1099">
        <v>1</v>
      </c>
      <c r="J1099">
        <v>1</v>
      </c>
      <c r="K1099">
        <v>1</v>
      </c>
      <c r="L1099">
        <v>1</v>
      </c>
      <c r="M1099">
        <v>1</v>
      </c>
      <c r="N1099">
        <v>1</v>
      </c>
      <c r="O1099">
        <v>1</v>
      </c>
      <c r="P1099">
        <v>1</v>
      </c>
      <c r="Q1099">
        <v>1</v>
      </c>
      <c r="R1099">
        <v>1</v>
      </c>
      <c r="S1099">
        <v>1</v>
      </c>
      <c r="T1099">
        <v>1</v>
      </c>
      <c r="U1099">
        <v>1</v>
      </c>
      <c r="V1099">
        <v>1</v>
      </c>
      <c r="W1099">
        <v>1</v>
      </c>
      <c r="X1099">
        <v>1</v>
      </c>
      <c r="Y1099">
        <v>1</v>
      </c>
      <c r="Z1099">
        <v>1</v>
      </c>
      <c r="AA1099">
        <v>1</v>
      </c>
      <c r="AB1099">
        <v>1</v>
      </c>
      <c r="AC1099">
        <v>1</v>
      </c>
    </row>
    <row r="1100" spans="1:29" x14ac:dyDescent="0.45">
      <c r="A1100" t="s">
        <v>114</v>
      </c>
      <c r="B1100" t="s">
        <v>438</v>
      </c>
      <c r="C1100" t="s">
        <v>439</v>
      </c>
      <c r="D1100" t="s">
        <v>427</v>
      </c>
      <c r="E1100" t="str">
        <f t="shared" si="17"/>
        <v>WI|solar thermal|Fall</v>
      </c>
      <c r="F1100">
        <v>1</v>
      </c>
      <c r="G1100">
        <v>1</v>
      </c>
      <c r="H1100">
        <v>1</v>
      </c>
      <c r="I1100">
        <v>1</v>
      </c>
      <c r="J1100">
        <v>1</v>
      </c>
      <c r="K1100">
        <v>1</v>
      </c>
      <c r="L1100">
        <v>1</v>
      </c>
      <c r="M1100">
        <v>1</v>
      </c>
      <c r="N1100">
        <v>1</v>
      </c>
      <c r="O1100">
        <v>1</v>
      </c>
      <c r="P1100">
        <v>1</v>
      </c>
      <c r="Q1100">
        <v>1</v>
      </c>
      <c r="R1100">
        <v>1</v>
      </c>
      <c r="S1100">
        <v>1</v>
      </c>
      <c r="T1100">
        <v>1</v>
      </c>
      <c r="U1100">
        <v>1</v>
      </c>
      <c r="V1100">
        <v>1</v>
      </c>
      <c r="W1100">
        <v>1</v>
      </c>
      <c r="X1100">
        <v>1</v>
      </c>
      <c r="Y1100">
        <v>1</v>
      </c>
      <c r="Z1100">
        <v>1</v>
      </c>
      <c r="AA1100">
        <v>1</v>
      </c>
      <c r="AB1100">
        <v>1</v>
      </c>
      <c r="AC1100">
        <v>1</v>
      </c>
    </row>
    <row r="1101" spans="1:29" x14ac:dyDescent="0.45">
      <c r="A1101" t="s">
        <v>114</v>
      </c>
      <c r="B1101" t="s">
        <v>438</v>
      </c>
      <c r="C1101" t="s">
        <v>439</v>
      </c>
      <c r="D1101" t="s">
        <v>428</v>
      </c>
      <c r="E1101" t="str">
        <f t="shared" si="17"/>
        <v>WI|solar thermal|Summer Peak</v>
      </c>
      <c r="F1101">
        <v>1</v>
      </c>
      <c r="G1101">
        <v>1</v>
      </c>
      <c r="H1101">
        <v>1</v>
      </c>
      <c r="I1101">
        <v>1</v>
      </c>
      <c r="J1101">
        <v>1</v>
      </c>
      <c r="K1101">
        <v>1</v>
      </c>
      <c r="L1101">
        <v>1</v>
      </c>
      <c r="M1101">
        <v>0</v>
      </c>
      <c r="N1101">
        <v>0.8639</v>
      </c>
      <c r="O1101">
        <v>1</v>
      </c>
      <c r="P1101">
        <v>1</v>
      </c>
      <c r="Q1101">
        <v>0.97160000000000002</v>
      </c>
      <c r="R1101">
        <v>0.96719999999999995</v>
      </c>
      <c r="S1101">
        <v>1</v>
      </c>
      <c r="T1101">
        <v>1</v>
      </c>
      <c r="U1101">
        <v>1</v>
      </c>
      <c r="V1101">
        <v>1</v>
      </c>
      <c r="W1101">
        <v>1</v>
      </c>
      <c r="X1101">
        <v>1</v>
      </c>
      <c r="Y1101">
        <v>0.93130000000000002</v>
      </c>
      <c r="Z1101">
        <v>0.70220000000000005</v>
      </c>
      <c r="AA1101">
        <v>1</v>
      </c>
      <c r="AB1101">
        <v>1</v>
      </c>
      <c r="AC1101">
        <v>1</v>
      </c>
    </row>
    <row r="1102" spans="1:29" x14ac:dyDescent="0.45">
      <c r="A1102" t="s">
        <v>114</v>
      </c>
      <c r="B1102" t="s">
        <v>438</v>
      </c>
      <c r="C1102" t="s">
        <v>439</v>
      </c>
      <c r="D1102" t="s">
        <v>429</v>
      </c>
      <c r="E1102" t="str">
        <f t="shared" si="17"/>
        <v>WI|solar thermal|Winter Peak</v>
      </c>
      <c r="F1102">
        <v>1</v>
      </c>
      <c r="G1102">
        <v>1</v>
      </c>
      <c r="H1102">
        <v>1</v>
      </c>
      <c r="I1102">
        <v>1</v>
      </c>
      <c r="J1102">
        <v>1</v>
      </c>
      <c r="K1102">
        <v>1</v>
      </c>
      <c r="L1102">
        <v>1</v>
      </c>
      <c r="M1102">
        <v>1</v>
      </c>
      <c r="N1102">
        <v>1</v>
      </c>
      <c r="O1102">
        <v>0.2419</v>
      </c>
      <c r="P1102">
        <v>0.95320000000000005</v>
      </c>
      <c r="Q1102">
        <v>0.88039999999999996</v>
      </c>
      <c r="R1102">
        <v>0.97819999999999996</v>
      </c>
      <c r="S1102">
        <v>0.98950000000000005</v>
      </c>
      <c r="T1102">
        <v>0.99270000000000003</v>
      </c>
      <c r="U1102">
        <v>1</v>
      </c>
      <c r="V1102">
        <v>1</v>
      </c>
      <c r="W1102">
        <v>1</v>
      </c>
      <c r="X1102">
        <v>0.89019999999999999</v>
      </c>
      <c r="Y1102">
        <v>0</v>
      </c>
      <c r="Z1102">
        <v>1</v>
      </c>
      <c r="AA1102">
        <v>1</v>
      </c>
      <c r="AB1102">
        <v>1</v>
      </c>
      <c r="AC1102">
        <v>1</v>
      </c>
    </row>
    <row r="1103" spans="1:29" x14ac:dyDescent="0.45">
      <c r="A1103" t="s">
        <v>114</v>
      </c>
      <c r="B1103" t="s">
        <v>440</v>
      </c>
      <c r="C1103" t="s">
        <v>441</v>
      </c>
      <c r="D1103" t="s">
        <v>424</v>
      </c>
      <c r="E1103" t="str">
        <f t="shared" si="17"/>
        <v>WI|offshore wind|Winter</v>
      </c>
      <c r="F1103">
        <v>1</v>
      </c>
      <c r="G1103">
        <v>1</v>
      </c>
      <c r="H1103">
        <v>1</v>
      </c>
      <c r="I1103">
        <v>1</v>
      </c>
      <c r="J1103">
        <v>1</v>
      </c>
      <c r="K1103">
        <v>1</v>
      </c>
      <c r="L1103">
        <v>1</v>
      </c>
      <c r="M1103">
        <v>1</v>
      </c>
      <c r="N1103">
        <v>1</v>
      </c>
      <c r="O1103">
        <v>1</v>
      </c>
      <c r="P1103">
        <v>1</v>
      </c>
      <c r="Q1103">
        <v>1</v>
      </c>
      <c r="R1103">
        <v>1</v>
      </c>
      <c r="S1103">
        <v>1</v>
      </c>
      <c r="T1103">
        <v>1</v>
      </c>
      <c r="U1103">
        <v>1</v>
      </c>
      <c r="V1103">
        <v>1</v>
      </c>
      <c r="W1103">
        <v>1</v>
      </c>
      <c r="X1103">
        <v>1</v>
      </c>
      <c r="Y1103">
        <v>1</v>
      </c>
      <c r="Z1103">
        <v>1</v>
      </c>
      <c r="AA1103">
        <v>1</v>
      </c>
      <c r="AB1103">
        <v>1</v>
      </c>
      <c r="AC1103">
        <v>1</v>
      </c>
    </row>
    <row r="1104" spans="1:29" x14ac:dyDescent="0.45">
      <c r="A1104" t="s">
        <v>114</v>
      </c>
      <c r="B1104" t="s">
        <v>440</v>
      </c>
      <c r="C1104" t="s">
        <v>441</v>
      </c>
      <c r="D1104" t="s">
        <v>425</v>
      </c>
      <c r="E1104" t="str">
        <f t="shared" si="17"/>
        <v>WI|offshore wind|Spring</v>
      </c>
      <c r="F1104">
        <v>1</v>
      </c>
      <c r="G1104">
        <v>1</v>
      </c>
      <c r="H1104">
        <v>1</v>
      </c>
      <c r="I1104">
        <v>1</v>
      </c>
      <c r="J1104">
        <v>1</v>
      </c>
      <c r="K1104">
        <v>1</v>
      </c>
      <c r="L1104">
        <v>1</v>
      </c>
      <c r="M1104">
        <v>1</v>
      </c>
      <c r="N1104">
        <v>1</v>
      </c>
      <c r="O1104">
        <v>1</v>
      </c>
      <c r="P1104">
        <v>1</v>
      </c>
      <c r="Q1104">
        <v>1</v>
      </c>
      <c r="R1104">
        <v>1</v>
      </c>
      <c r="S1104">
        <v>1</v>
      </c>
      <c r="T1104">
        <v>1</v>
      </c>
      <c r="U1104">
        <v>1</v>
      </c>
      <c r="V1104">
        <v>1</v>
      </c>
      <c r="W1104">
        <v>1</v>
      </c>
      <c r="X1104">
        <v>1</v>
      </c>
      <c r="Y1104">
        <v>1</v>
      </c>
      <c r="Z1104">
        <v>1</v>
      </c>
      <c r="AA1104">
        <v>1</v>
      </c>
      <c r="AB1104">
        <v>1</v>
      </c>
      <c r="AC1104">
        <v>1</v>
      </c>
    </row>
    <row r="1105" spans="1:29" x14ac:dyDescent="0.45">
      <c r="A1105" t="s">
        <v>114</v>
      </c>
      <c r="B1105" t="s">
        <v>440</v>
      </c>
      <c r="C1105" t="s">
        <v>441</v>
      </c>
      <c r="D1105" t="s">
        <v>426</v>
      </c>
      <c r="E1105" t="str">
        <f t="shared" si="17"/>
        <v>WI|offshore wind|Summer</v>
      </c>
      <c r="F1105">
        <v>1</v>
      </c>
      <c r="G1105">
        <v>1</v>
      </c>
      <c r="H1105">
        <v>1</v>
      </c>
      <c r="I1105">
        <v>1</v>
      </c>
      <c r="J1105">
        <v>1</v>
      </c>
      <c r="K1105">
        <v>1</v>
      </c>
      <c r="L1105">
        <v>1</v>
      </c>
      <c r="M1105">
        <v>1</v>
      </c>
      <c r="N1105">
        <v>1</v>
      </c>
      <c r="O1105">
        <v>1</v>
      </c>
      <c r="P1105">
        <v>1</v>
      </c>
      <c r="Q1105">
        <v>1</v>
      </c>
      <c r="R1105">
        <v>1</v>
      </c>
      <c r="S1105">
        <v>1</v>
      </c>
      <c r="T1105">
        <v>1</v>
      </c>
      <c r="U1105">
        <v>1</v>
      </c>
      <c r="V1105">
        <v>1</v>
      </c>
      <c r="W1105">
        <v>1</v>
      </c>
      <c r="X1105">
        <v>1</v>
      </c>
      <c r="Y1105">
        <v>1</v>
      </c>
      <c r="Z1105">
        <v>1</v>
      </c>
      <c r="AA1105">
        <v>1</v>
      </c>
      <c r="AB1105">
        <v>1</v>
      </c>
      <c r="AC1105">
        <v>1</v>
      </c>
    </row>
    <row r="1106" spans="1:29" x14ac:dyDescent="0.45">
      <c r="A1106" t="s">
        <v>114</v>
      </c>
      <c r="B1106" t="s">
        <v>440</v>
      </c>
      <c r="C1106" t="s">
        <v>441</v>
      </c>
      <c r="D1106" t="s">
        <v>427</v>
      </c>
      <c r="E1106" t="str">
        <f t="shared" si="17"/>
        <v>WI|offshore wind|Fall</v>
      </c>
      <c r="F1106">
        <v>1</v>
      </c>
      <c r="G1106">
        <v>1</v>
      </c>
      <c r="H1106">
        <v>1</v>
      </c>
      <c r="I1106">
        <v>1</v>
      </c>
      <c r="J1106">
        <v>1</v>
      </c>
      <c r="K1106">
        <v>1</v>
      </c>
      <c r="L1106">
        <v>1</v>
      </c>
      <c r="M1106">
        <v>1</v>
      </c>
      <c r="N1106">
        <v>1</v>
      </c>
      <c r="O1106">
        <v>1</v>
      </c>
      <c r="P1106">
        <v>1</v>
      </c>
      <c r="Q1106">
        <v>1</v>
      </c>
      <c r="R1106">
        <v>1</v>
      </c>
      <c r="S1106">
        <v>1</v>
      </c>
      <c r="T1106">
        <v>1</v>
      </c>
      <c r="U1106">
        <v>1</v>
      </c>
      <c r="V1106">
        <v>1</v>
      </c>
      <c r="W1106">
        <v>1</v>
      </c>
      <c r="X1106">
        <v>1</v>
      </c>
      <c r="Y1106">
        <v>1</v>
      </c>
      <c r="Z1106">
        <v>1</v>
      </c>
      <c r="AA1106">
        <v>1</v>
      </c>
      <c r="AB1106">
        <v>1</v>
      </c>
      <c r="AC1106">
        <v>1</v>
      </c>
    </row>
    <row r="1107" spans="1:29" x14ac:dyDescent="0.45">
      <c r="A1107" t="s">
        <v>114</v>
      </c>
      <c r="B1107" t="s">
        <v>440</v>
      </c>
      <c r="C1107" t="s">
        <v>441</v>
      </c>
      <c r="D1107" t="s">
        <v>428</v>
      </c>
      <c r="E1107" t="str">
        <f t="shared" si="17"/>
        <v>WI|offshore wind|Summer Peak</v>
      </c>
      <c r="F1107">
        <v>0.40810000000000002</v>
      </c>
      <c r="G1107">
        <v>0.4239</v>
      </c>
      <c r="H1107">
        <v>0.45760000000000001</v>
      </c>
      <c r="I1107">
        <v>0.50319999999999998</v>
      </c>
      <c r="J1107">
        <v>0.53649999999999998</v>
      </c>
      <c r="K1107">
        <v>0.59399999999999997</v>
      </c>
      <c r="L1107">
        <v>0.61929999999999996</v>
      </c>
      <c r="M1107">
        <v>0.68859999999999999</v>
      </c>
      <c r="N1107">
        <v>0.73480000000000001</v>
      </c>
      <c r="O1107">
        <v>0.84350000000000003</v>
      </c>
      <c r="P1107">
        <v>0.78200000000000003</v>
      </c>
      <c r="Q1107">
        <v>0.74650000000000005</v>
      </c>
      <c r="R1107">
        <v>0.63690000000000002</v>
      </c>
      <c r="S1107">
        <v>0.60860000000000003</v>
      </c>
      <c r="T1107">
        <v>0.64339999999999997</v>
      </c>
      <c r="U1107">
        <v>0.69269999999999998</v>
      </c>
      <c r="V1107">
        <v>0.71450000000000002</v>
      </c>
      <c r="W1107">
        <v>0.75070000000000003</v>
      </c>
      <c r="X1107">
        <v>0.72489999999999999</v>
      </c>
      <c r="Y1107">
        <v>0.66049999999999998</v>
      </c>
      <c r="Z1107">
        <v>0.69140000000000001</v>
      </c>
      <c r="AA1107">
        <v>0.63080000000000003</v>
      </c>
      <c r="AB1107">
        <v>0.63429999999999997</v>
      </c>
      <c r="AC1107">
        <v>0.64390000000000003</v>
      </c>
    </row>
    <row r="1108" spans="1:29" x14ac:dyDescent="0.45">
      <c r="A1108" t="s">
        <v>114</v>
      </c>
      <c r="B1108" t="s">
        <v>440</v>
      </c>
      <c r="C1108" t="s">
        <v>441</v>
      </c>
      <c r="D1108" t="s">
        <v>429</v>
      </c>
      <c r="E1108" t="str">
        <f t="shared" si="17"/>
        <v>WI|offshore wind|Winter Peak</v>
      </c>
      <c r="F1108">
        <v>0.95309999999999995</v>
      </c>
      <c r="G1108">
        <v>0.95030000000000003</v>
      </c>
      <c r="H1108">
        <v>0.95540000000000003</v>
      </c>
      <c r="I1108">
        <v>0.96679999999999999</v>
      </c>
      <c r="J1108">
        <v>1</v>
      </c>
      <c r="K1108">
        <v>1</v>
      </c>
      <c r="L1108">
        <v>1</v>
      </c>
      <c r="M1108">
        <v>0.99209999999999998</v>
      </c>
      <c r="N1108">
        <v>0.90149999999999997</v>
      </c>
      <c r="O1108">
        <v>0.79779999999999995</v>
      </c>
      <c r="P1108">
        <v>0.71879999999999999</v>
      </c>
      <c r="Q1108">
        <v>0.67300000000000004</v>
      </c>
      <c r="R1108">
        <v>0.60860000000000003</v>
      </c>
      <c r="S1108">
        <v>0.58009999999999995</v>
      </c>
      <c r="T1108">
        <v>0.58799999999999997</v>
      </c>
      <c r="U1108">
        <v>0.61019999999999996</v>
      </c>
      <c r="V1108">
        <v>0.61839999999999995</v>
      </c>
      <c r="W1108">
        <v>0.60909999999999997</v>
      </c>
      <c r="X1108">
        <v>0.62880000000000003</v>
      </c>
      <c r="Y1108">
        <v>0.72889999999999999</v>
      </c>
      <c r="Z1108">
        <v>0.84719999999999995</v>
      </c>
      <c r="AA1108">
        <v>0.92220000000000002</v>
      </c>
      <c r="AB1108">
        <v>0.86950000000000005</v>
      </c>
      <c r="AC1108">
        <v>0.8054</v>
      </c>
    </row>
    <row r="1109" spans="1:29" x14ac:dyDescent="0.45">
      <c r="A1109" t="s">
        <v>116</v>
      </c>
      <c r="B1109" t="s">
        <v>434</v>
      </c>
      <c r="C1109" t="s">
        <v>435</v>
      </c>
      <c r="D1109" t="s">
        <v>424</v>
      </c>
      <c r="E1109" t="str">
        <f t="shared" si="17"/>
        <v>WV|onshore wind|Winter</v>
      </c>
      <c r="F1109">
        <v>1</v>
      </c>
      <c r="G1109">
        <v>1</v>
      </c>
      <c r="H1109">
        <v>1</v>
      </c>
      <c r="I1109">
        <v>1</v>
      </c>
      <c r="J1109">
        <v>1</v>
      </c>
      <c r="K1109">
        <v>1</v>
      </c>
      <c r="L1109">
        <v>1</v>
      </c>
      <c r="M1109">
        <v>1</v>
      </c>
      <c r="N1109">
        <v>1</v>
      </c>
      <c r="O1109">
        <v>1</v>
      </c>
      <c r="P1109">
        <v>1</v>
      </c>
      <c r="Q1109">
        <v>1</v>
      </c>
      <c r="R1109">
        <v>1</v>
      </c>
      <c r="S1109">
        <v>1</v>
      </c>
      <c r="T1109">
        <v>1</v>
      </c>
      <c r="U1109">
        <v>1</v>
      </c>
      <c r="V1109">
        <v>1</v>
      </c>
      <c r="W1109">
        <v>1</v>
      </c>
      <c r="X1109">
        <v>1</v>
      </c>
      <c r="Y1109">
        <v>1</v>
      </c>
      <c r="Z1109">
        <v>1</v>
      </c>
      <c r="AA1109">
        <v>1</v>
      </c>
      <c r="AB1109">
        <v>1</v>
      </c>
      <c r="AC1109">
        <v>1</v>
      </c>
    </row>
    <row r="1110" spans="1:29" x14ac:dyDescent="0.45">
      <c r="A1110" t="s">
        <v>116</v>
      </c>
      <c r="B1110" t="s">
        <v>434</v>
      </c>
      <c r="C1110" t="s">
        <v>435</v>
      </c>
      <c r="D1110" t="s">
        <v>425</v>
      </c>
      <c r="E1110" t="str">
        <f t="shared" si="17"/>
        <v>WV|onshore wind|Spring</v>
      </c>
      <c r="F1110">
        <v>1</v>
      </c>
      <c r="G1110">
        <v>1</v>
      </c>
      <c r="H1110">
        <v>1</v>
      </c>
      <c r="I1110">
        <v>1</v>
      </c>
      <c r="J1110">
        <v>1</v>
      </c>
      <c r="K1110">
        <v>1</v>
      </c>
      <c r="L1110">
        <v>1</v>
      </c>
      <c r="M1110">
        <v>1</v>
      </c>
      <c r="N1110">
        <v>1</v>
      </c>
      <c r="O1110">
        <v>1</v>
      </c>
      <c r="P1110">
        <v>1</v>
      </c>
      <c r="Q1110">
        <v>1</v>
      </c>
      <c r="R1110">
        <v>1</v>
      </c>
      <c r="S1110">
        <v>1</v>
      </c>
      <c r="T1110">
        <v>1</v>
      </c>
      <c r="U1110">
        <v>1</v>
      </c>
      <c r="V1110">
        <v>1</v>
      </c>
      <c r="W1110">
        <v>1</v>
      </c>
      <c r="X1110">
        <v>1</v>
      </c>
      <c r="Y1110">
        <v>1</v>
      </c>
      <c r="Z1110">
        <v>1</v>
      </c>
      <c r="AA1110">
        <v>1</v>
      </c>
      <c r="AB1110">
        <v>1</v>
      </c>
      <c r="AC1110">
        <v>1</v>
      </c>
    </row>
    <row r="1111" spans="1:29" x14ac:dyDescent="0.45">
      <c r="A1111" t="s">
        <v>116</v>
      </c>
      <c r="B1111" t="s">
        <v>434</v>
      </c>
      <c r="C1111" t="s">
        <v>435</v>
      </c>
      <c r="D1111" t="s">
        <v>426</v>
      </c>
      <c r="E1111" t="str">
        <f t="shared" si="17"/>
        <v>WV|onshore wind|Summer</v>
      </c>
      <c r="F1111">
        <v>1</v>
      </c>
      <c r="G1111">
        <v>1</v>
      </c>
      <c r="H1111">
        <v>1</v>
      </c>
      <c r="I1111">
        <v>1</v>
      </c>
      <c r="J1111">
        <v>1</v>
      </c>
      <c r="K1111">
        <v>1</v>
      </c>
      <c r="L1111">
        <v>1</v>
      </c>
      <c r="M1111">
        <v>1</v>
      </c>
      <c r="N1111">
        <v>1</v>
      </c>
      <c r="O1111">
        <v>1</v>
      </c>
      <c r="P1111">
        <v>1</v>
      </c>
      <c r="Q1111">
        <v>1</v>
      </c>
      <c r="R1111">
        <v>1</v>
      </c>
      <c r="S1111">
        <v>1</v>
      </c>
      <c r="T1111">
        <v>1</v>
      </c>
      <c r="U1111">
        <v>1</v>
      </c>
      <c r="V1111">
        <v>1</v>
      </c>
      <c r="W1111">
        <v>1</v>
      </c>
      <c r="X1111">
        <v>1</v>
      </c>
      <c r="Y1111">
        <v>1</v>
      </c>
      <c r="Z1111">
        <v>1</v>
      </c>
      <c r="AA1111">
        <v>1</v>
      </c>
      <c r="AB1111">
        <v>1</v>
      </c>
      <c r="AC1111">
        <v>1</v>
      </c>
    </row>
    <row r="1112" spans="1:29" x14ac:dyDescent="0.45">
      <c r="A1112" t="s">
        <v>116</v>
      </c>
      <c r="B1112" t="s">
        <v>434</v>
      </c>
      <c r="C1112" t="s">
        <v>435</v>
      </c>
      <c r="D1112" t="s">
        <v>427</v>
      </c>
      <c r="E1112" t="str">
        <f t="shared" si="17"/>
        <v>WV|onshore wind|Fall</v>
      </c>
      <c r="F1112">
        <v>1</v>
      </c>
      <c r="G1112">
        <v>1</v>
      </c>
      <c r="H1112">
        <v>1</v>
      </c>
      <c r="I1112">
        <v>1</v>
      </c>
      <c r="J1112">
        <v>1</v>
      </c>
      <c r="K1112">
        <v>1</v>
      </c>
      <c r="L1112">
        <v>1</v>
      </c>
      <c r="M1112">
        <v>1</v>
      </c>
      <c r="N1112">
        <v>1</v>
      </c>
      <c r="O1112">
        <v>1</v>
      </c>
      <c r="P1112">
        <v>1</v>
      </c>
      <c r="Q1112">
        <v>1</v>
      </c>
      <c r="R1112">
        <v>1</v>
      </c>
      <c r="S1112">
        <v>1</v>
      </c>
      <c r="T1112">
        <v>1</v>
      </c>
      <c r="U1112">
        <v>1</v>
      </c>
      <c r="V1112">
        <v>1</v>
      </c>
      <c r="W1112">
        <v>1</v>
      </c>
      <c r="X1112">
        <v>1</v>
      </c>
      <c r="Y1112">
        <v>1</v>
      </c>
      <c r="Z1112">
        <v>1</v>
      </c>
      <c r="AA1112">
        <v>1</v>
      </c>
      <c r="AB1112">
        <v>1</v>
      </c>
      <c r="AC1112">
        <v>1</v>
      </c>
    </row>
    <row r="1113" spans="1:29" x14ac:dyDescent="0.45">
      <c r="A1113" t="s">
        <v>116</v>
      </c>
      <c r="B1113" t="s">
        <v>434</v>
      </c>
      <c r="C1113" t="s">
        <v>435</v>
      </c>
      <c r="D1113" t="s">
        <v>428</v>
      </c>
      <c r="E1113" t="str">
        <f t="shared" si="17"/>
        <v>WV|onshore wind|Summer Peak</v>
      </c>
      <c r="F1113">
        <v>0.92130000000000001</v>
      </c>
      <c r="G1113">
        <v>0.92800000000000005</v>
      </c>
      <c r="H1113">
        <v>0.95289999999999997</v>
      </c>
      <c r="I1113">
        <v>0.94940000000000002</v>
      </c>
      <c r="J1113">
        <v>0.93440000000000001</v>
      </c>
      <c r="K1113">
        <v>0.94220000000000004</v>
      </c>
      <c r="L1113">
        <v>0.96179999999999999</v>
      </c>
      <c r="M1113">
        <v>0.91600000000000004</v>
      </c>
      <c r="N1113">
        <v>0.81699999999999995</v>
      </c>
      <c r="O1113">
        <v>0.7732</v>
      </c>
      <c r="P1113">
        <v>0.76719999999999999</v>
      </c>
      <c r="Q1113">
        <v>0.75590000000000002</v>
      </c>
      <c r="R1113">
        <v>0.69110000000000005</v>
      </c>
      <c r="S1113">
        <v>0.75690000000000002</v>
      </c>
      <c r="T1113">
        <v>0.82179999999999997</v>
      </c>
      <c r="U1113">
        <v>0.83940000000000003</v>
      </c>
      <c r="V1113">
        <v>0.86229999999999996</v>
      </c>
      <c r="W1113">
        <v>0.89380000000000004</v>
      </c>
      <c r="X1113">
        <v>0.9103</v>
      </c>
      <c r="Y1113">
        <v>0.9335</v>
      </c>
      <c r="Z1113">
        <v>0.92900000000000005</v>
      </c>
      <c r="AA1113">
        <v>0.9536</v>
      </c>
      <c r="AB1113">
        <v>0.97609999999999997</v>
      </c>
      <c r="AC1113">
        <v>0.98950000000000005</v>
      </c>
    </row>
    <row r="1114" spans="1:29" x14ac:dyDescent="0.45">
      <c r="A1114" t="s">
        <v>116</v>
      </c>
      <c r="B1114" t="s">
        <v>434</v>
      </c>
      <c r="C1114" t="s">
        <v>435</v>
      </c>
      <c r="D1114" t="s">
        <v>429</v>
      </c>
      <c r="E1114" t="str">
        <f t="shared" si="17"/>
        <v>WV|onshore wind|Winter Peak</v>
      </c>
      <c r="F1114">
        <v>0.88390000000000002</v>
      </c>
      <c r="G1114">
        <v>0.8569</v>
      </c>
      <c r="H1114">
        <v>0.83889999999999998</v>
      </c>
      <c r="I1114">
        <v>0.8246</v>
      </c>
      <c r="J1114">
        <v>0.80969999999999998</v>
      </c>
      <c r="K1114">
        <v>0.77990000000000004</v>
      </c>
      <c r="L1114">
        <v>0.79559999999999997</v>
      </c>
      <c r="M1114">
        <v>0.80669999999999997</v>
      </c>
      <c r="N1114">
        <v>0.85460000000000003</v>
      </c>
      <c r="O1114">
        <v>0.89159999999999995</v>
      </c>
      <c r="P1114">
        <v>0.94589999999999996</v>
      </c>
      <c r="Q1114">
        <v>0.95920000000000005</v>
      </c>
      <c r="R1114">
        <v>0.97199999999999998</v>
      </c>
      <c r="S1114">
        <v>0.96030000000000004</v>
      </c>
      <c r="T1114">
        <v>0.88890000000000002</v>
      </c>
      <c r="U1114">
        <v>0.85070000000000001</v>
      </c>
      <c r="V1114">
        <v>0.92669999999999997</v>
      </c>
      <c r="W1114">
        <v>0.88770000000000004</v>
      </c>
      <c r="X1114">
        <v>0.87509999999999999</v>
      </c>
      <c r="Y1114">
        <v>0.84089999999999998</v>
      </c>
      <c r="Z1114">
        <v>0.81079999999999997</v>
      </c>
      <c r="AA1114">
        <v>0.80730000000000002</v>
      </c>
      <c r="AB1114">
        <v>0.79849999999999999</v>
      </c>
      <c r="AC1114">
        <v>0.78990000000000005</v>
      </c>
    </row>
    <row r="1115" spans="1:29" x14ac:dyDescent="0.45">
      <c r="A1115" t="s">
        <v>116</v>
      </c>
      <c r="B1115" t="s">
        <v>436</v>
      </c>
      <c r="C1115" t="s">
        <v>437</v>
      </c>
      <c r="D1115" t="s">
        <v>424</v>
      </c>
      <c r="E1115" t="str">
        <f t="shared" si="17"/>
        <v>WV|solar pv|Winter</v>
      </c>
      <c r="F1115">
        <v>1</v>
      </c>
      <c r="G1115">
        <v>1</v>
      </c>
      <c r="H1115">
        <v>1</v>
      </c>
      <c r="I1115">
        <v>1</v>
      </c>
      <c r="J1115">
        <v>1</v>
      </c>
      <c r="K1115">
        <v>1</v>
      </c>
      <c r="L1115">
        <v>1</v>
      </c>
      <c r="M1115">
        <v>1</v>
      </c>
      <c r="N1115">
        <v>1</v>
      </c>
      <c r="O1115">
        <v>1</v>
      </c>
      <c r="P1115">
        <v>1</v>
      </c>
      <c r="Q1115">
        <v>1</v>
      </c>
      <c r="R1115">
        <v>1</v>
      </c>
      <c r="S1115">
        <v>1</v>
      </c>
      <c r="T1115">
        <v>1</v>
      </c>
      <c r="U1115">
        <v>1</v>
      </c>
      <c r="V1115">
        <v>1</v>
      </c>
      <c r="W1115">
        <v>1</v>
      </c>
      <c r="X1115">
        <v>1</v>
      </c>
      <c r="Y1115">
        <v>1</v>
      </c>
      <c r="Z1115">
        <v>1</v>
      </c>
      <c r="AA1115">
        <v>1</v>
      </c>
      <c r="AB1115">
        <v>1</v>
      </c>
      <c r="AC1115">
        <v>1</v>
      </c>
    </row>
    <row r="1116" spans="1:29" x14ac:dyDescent="0.45">
      <c r="A1116" t="s">
        <v>116</v>
      </c>
      <c r="B1116" t="s">
        <v>436</v>
      </c>
      <c r="C1116" t="s">
        <v>437</v>
      </c>
      <c r="D1116" t="s">
        <v>425</v>
      </c>
      <c r="E1116" t="str">
        <f t="shared" si="17"/>
        <v>WV|solar pv|Spring</v>
      </c>
      <c r="F1116">
        <v>1</v>
      </c>
      <c r="G1116">
        <v>1</v>
      </c>
      <c r="H1116">
        <v>1</v>
      </c>
      <c r="I1116">
        <v>1</v>
      </c>
      <c r="J1116">
        <v>1</v>
      </c>
      <c r="K1116">
        <v>1</v>
      </c>
      <c r="L1116">
        <v>1</v>
      </c>
      <c r="M1116">
        <v>1</v>
      </c>
      <c r="N1116">
        <v>1</v>
      </c>
      <c r="O1116">
        <v>1</v>
      </c>
      <c r="P1116">
        <v>1</v>
      </c>
      <c r="Q1116">
        <v>1</v>
      </c>
      <c r="R1116">
        <v>1</v>
      </c>
      <c r="S1116">
        <v>1</v>
      </c>
      <c r="T1116">
        <v>1</v>
      </c>
      <c r="U1116">
        <v>1</v>
      </c>
      <c r="V1116">
        <v>1</v>
      </c>
      <c r="W1116">
        <v>1</v>
      </c>
      <c r="X1116">
        <v>1</v>
      </c>
      <c r="Y1116">
        <v>1</v>
      </c>
      <c r="Z1116">
        <v>1</v>
      </c>
      <c r="AA1116">
        <v>1</v>
      </c>
      <c r="AB1116">
        <v>1</v>
      </c>
      <c r="AC1116">
        <v>1</v>
      </c>
    </row>
    <row r="1117" spans="1:29" x14ac:dyDescent="0.45">
      <c r="A1117" t="s">
        <v>116</v>
      </c>
      <c r="B1117" t="s">
        <v>436</v>
      </c>
      <c r="C1117" t="s">
        <v>437</v>
      </c>
      <c r="D1117" t="s">
        <v>426</v>
      </c>
      <c r="E1117" t="str">
        <f t="shared" si="17"/>
        <v>WV|solar pv|Summer</v>
      </c>
      <c r="F1117">
        <v>1</v>
      </c>
      <c r="G1117">
        <v>1</v>
      </c>
      <c r="H1117">
        <v>1</v>
      </c>
      <c r="I1117">
        <v>1</v>
      </c>
      <c r="J1117">
        <v>1</v>
      </c>
      <c r="K1117">
        <v>1</v>
      </c>
      <c r="L1117">
        <v>1</v>
      </c>
      <c r="M1117">
        <v>1</v>
      </c>
      <c r="N1117">
        <v>1</v>
      </c>
      <c r="O1117">
        <v>1</v>
      </c>
      <c r="P1117">
        <v>1</v>
      </c>
      <c r="Q1117">
        <v>1</v>
      </c>
      <c r="R1117">
        <v>1</v>
      </c>
      <c r="S1117">
        <v>1</v>
      </c>
      <c r="T1117">
        <v>1</v>
      </c>
      <c r="U1117">
        <v>1</v>
      </c>
      <c r="V1117">
        <v>1</v>
      </c>
      <c r="W1117">
        <v>1</v>
      </c>
      <c r="X1117">
        <v>1</v>
      </c>
      <c r="Y1117">
        <v>1</v>
      </c>
      <c r="Z1117">
        <v>1</v>
      </c>
      <c r="AA1117">
        <v>1</v>
      </c>
      <c r="AB1117">
        <v>1</v>
      </c>
      <c r="AC1117">
        <v>1</v>
      </c>
    </row>
    <row r="1118" spans="1:29" x14ac:dyDescent="0.45">
      <c r="A1118" t="s">
        <v>116</v>
      </c>
      <c r="B1118" t="s">
        <v>436</v>
      </c>
      <c r="C1118" t="s">
        <v>437</v>
      </c>
      <c r="D1118" t="s">
        <v>427</v>
      </c>
      <c r="E1118" t="str">
        <f t="shared" si="17"/>
        <v>WV|solar pv|Fall</v>
      </c>
      <c r="F1118">
        <v>1</v>
      </c>
      <c r="G1118">
        <v>1</v>
      </c>
      <c r="H1118">
        <v>1</v>
      </c>
      <c r="I1118">
        <v>1</v>
      </c>
      <c r="J1118">
        <v>1</v>
      </c>
      <c r="K1118">
        <v>1</v>
      </c>
      <c r="L1118">
        <v>1</v>
      </c>
      <c r="M1118">
        <v>1</v>
      </c>
      <c r="N1118">
        <v>1</v>
      </c>
      <c r="O1118">
        <v>1</v>
      </c>
      <c r="P1118">
        <v>1</v>
      </c>
      <c r="Q1118">
        <v>1</v>
      </c>
      <c r="R1118">
        <v>1</v>
      </c>
      <c r="S1118">
        <v>1</v>
      </c>
      <c r="T1118">
        <v>1</v>
      </c>
      <c r="U1118">
        <v>1</v>
      </c>
      <c r="V1118">
        <v>1</v>
      </c>
      <c r="W1118">
        <v>1</v>
      </c>
      <c r="X1118">
        <v>1</v>
      </c>
      <c r="Y1118">
        <v>1</v>
      </c>
      <c r="Z1118">
        <v>1</v>
      </c>
      <c r="AA1118">
        <v>1</v>
      </c>
      <c r="AB1118">
        <v>1</v>
      </c>
      <c r="AC1118">
        <v>1</v>
      </c>
    </row>
    <row r="1119" spans="1:29" x14ac:dyDescent="0.45">
      <c r="A1119" t="s">
        <v>116</v>
      </c>
      <c r="B1119" t="s">
        <v>436</v>
      </c>
      <c r="C1119" t="s">
        <v>437</v>
      </c>
      <c r="D1119" t="s">
        <v>428</v>
      </c>
      <c r="E1119" t="str">
        <f t="shared" si="17"/>
        <v>WV|solar pv|Summer Peak</v>
      </c>
      <c r="F1119">
        <v>1</v>
      </c>
      <c r="G1119">
        <v>1</v>
      </c>
      <c r="H1119">
        <v>1</v>
      </c>
      <c r="I1119">
        <v>1</v>
      </c>
      <c r="J1119">
        <v>0.23300000000000001</v>
      </c>
      <c r="K1119">
        <v>0.72799999999999998</v>
      </c>
      <c r="L1119">
        <v>0.88009999999999999</v>
      </c>
      <c r="M1119">
        <v>0.92520000000000002</v>
      </c>
      <c r="N1119">
        <v>0.94710000000000005</v>
      </c>
      <c r="O1119">
        <v>0.95</v>
      </c>
      <c r="P1119">
        <v>0.97099999999999997</v>
      </c>
      <c r="Q1119">
        <v>0.97389999999999999</v>
      </c>
      <c r="R1119">
        <v>0.97009999999999996</v>
      </c>
      <c r="S1119">
        <v>0.96579999999999999</v>
      </c>
      <c r="T1119">
        <v>0.96309999999999996</v>
      </c>
      <c r="U1119">
        <v>0.96740000000000004</v>
      </c>
      <c r="V1119">
        <v>0.94110000000000005</v>
      </c>
      <c r="W1119">
        <v>0.95469999999999999</v>
      </c>
      <c r="X1119">
        <v>0.94199999999999995</v>
      </c>
      <c r="Y1119">
        <v>0.87960000000000005</v>
      </c>
      <c r="Z1119">
        <v>0.79139999999999999</v>
      </c>
      <c r="AA1119">
        <v>0.79200000000000004</v>
      </c>
      <c r="AB1119">
        <v>1</v>
      </c>
      <c r="AC1119">
        <v>1</v>
      </c>
    </row>
    <row r="1120" spans="1:29" x14ac:dyDescent="0.45">
      <c r="A1120" t="s">
        <v>116</v>
      </c>
      <c r="B1120" t="s">
        <v>436</v>
      </c>
      <c r="C1120" t="s">
        <v>437</v>
      </c>
      <c r="D1120" t="s">
        <v>429</v>
      </c>
      <c r="E1120" t="str">
        <f t="shared" si="17"/>
        <v>WV|solar pv|Winter Peak</v>
      </c>
      <c r="F1120">
        <v>1</v>
      </c>
      <c r="G1120">
        <v>1</v>
      </c>
      <c r="H1120">
        <v>1</v>
      </c>
      <c r="I1120">
        <v>1</v>
      </c>
      <c r="J1120">
        <v>1</v>
      </c>
      <c r="K1120">
        <v>1</v>
      </c>
      <c r="L1120">
        <v>1</v>
      </c>
      <c r="M1120">
        <v>0.91820000000000002</v>
      </c>
      <c r="N1120">
        <v>0.88980000000000004</v>
      </c>
      <c r="O1120">
        <v>0.87790000000000001</v>
      </c>
      <c r="P1120">
        <v>0.88090000000000002</v>
      </c>
      <c r="Q1120">
        <v>0.90290000000000004</v>
      </c>
      <c r="R1120">
        <v>0.93200000000000005</v>
      </c>
      <c r="S1120">
        <v>0.92700000000000005</v>
      </c>
      <c r="T1120">
        <v>0.89710000000000001</v>
      </c>
      <c r="U1120">
        <v>0.87209999999999999</v>
      </c>
      <c r="V1120">
        <v>0.84419999999999995</v>
      </c>
      <c r="W1120">
        <v>0.86119999999999997</v>
      </c>
      <c r="X1120">
        <v>0.69</v>
      </c>
      <c r="Y1120">
        <v>0.02</v>
      </c>
      <c r="Z1120">
        <v>1</v>
      </c>
      <c r="AA1120">
        <v>1</v>
      </c>
      <c r="AB1120">
        <v>1</v>
      </c>
      <c r="AC1120">
        <v>1</v>
      </c>
    </row>
    <row r="1121" spans="1:29" x14ac:dyDescent="0.45">
      <c r="A1121" t="s">
        <v>116</v>
      </c>
      <c r="B1121" t="s">
        <v>438</v>
      </c>
      <c r="C1121" t="s">
        <v>439</v>
      </c>
      <c r="D1121" t="s">
        <v>424</v>
      </c>
      <c r="E1121" t="str">
        <f t="shared" si="17"/>
        <v>WV|solar thermal|Winter</v>
      </c>
      <c r="F1121">
        <v>1</v>
      </c>
      <c r="G1121">
        <v>1</v>
      </c>
      <c r="H1121">
        <v>1</v>
      </c>
      <c r="I1121">
        <v>1</v>
      </c>
      <c r="J1121">
        <v>1</v>
      </c>
      <c r="K1121">
        <v>1</v>
      </c>
      <c r="L1121">
        <v>1</v>
      </c>
      <c r="M1121">
        <v>1</v>
      </c>
      <c r="N1121">
        <v>1</v>
      </c>
      <c r="O1121">
        <v>1</v>
      </c>
      <c r="P1121">
        <v>1</v>
      </c>
      <c r="Q1121">
        <v>1</v>
      </c>
      <c r="R1121">
        <v>1</v>
      </c>
      <c r="S1121">
        <v>1</v>
      </c>
      <c r="T1121">
        <v>1</v>
      </c>
      <c r="U1121">
        <v>1</v>
      </c>
      <c r="V1121">
        <v>1</v>
      </c>
      <c r="W1121">
        <v>1</v>
      </c>
      <c r="X1121">
        <v>1</v>
      </c>
      <c r="Y1121">
        <v>1</v>
      </c>
      <c r="Z1121">
        <v>1</v>
      </c>
      <c r="AA1121">
        <v>1</v>
      </c>
      <c r="AB1121">
        <v>1</v>
      </c>
      <c r="AC1121">
        <v>1</v>
      </c>
    </row>
    <row r="1122" spans="1:29" x14ac:dyDescent="0.45">
      <c r="A1122" t="s">
        <v>116</v>
      </c>
      <c r="B1122" t="s">
        <v>438</v>
      </c>
      <c r="C1122" t="s">
        <v>439</v>
      </c>
      <c r="D1122" t="s">
        <v>425</v>
      </c>
      <c r="E1122" t="str">
        <f t="shared" si="17"/>
        <v>WV|solar thermal|Spring</v>
      </c>
      <c r="F1122">
        <v>1</v>
      </c>
      <c r="G1122">
        <v>1</v>
      </c>
      <c r="H1122">
        <v>1</v>
      </c>
      <c r="I1122">
        <v>1</v>
      </c>
      <c r="J1122">
        <v>1</v>
      </c>
      <c r="K1122">
        <v>1</v>
      </c>
      <c r="L1122">
        <v>1</v>
      </c>
      <c r="M1122">
        <v>1</v>
      </c>
      <c r="N1122">
        <v>1</v>
      </c>
      <c r="O1122">
        <v>1</v>
      </c>
      <c r="P1122">
        <v>1</v>
      </c>
      <c r="Q1122">
        <v>1</v>
      </c>
      <c r="R1122">
        <v>1</v>
      </c>
      <c r="S1122">
        <v>1</v>
      </c>
      <c r="T1122">
        <v>1</v>
      </c>
      <c r="U1122">
        <v>1</v>
      </c>
      <c r="V1122">
        <v>1</v>
      </c>
      <c r="W1122">
        <v>1</v>
      </c>
      <c r="X1122">
        <v>1</v>
      </c>
      <c r="Y1122">
        <v>1</v>
      </c>
      <c r="Z1122">
        <v>1</v>
      </c>
      <c r="AA1122">
        <v>1</v>
      </c>
      <c r="AB1122">
        <v>1</v>
      </c>
      <c r="AC1122">
        <v>1</v>
      </c>
    </row>
    <row r="1123" spans="1:29" x14ac:dyDescent="0.45">
      <c r="A1123" t="s">
        <v>116</v>
      </c>
      <c r="B1123" t="s">
        <v>438</v>
      </c>
      <c r="C1123" t="s">
        <v>439</v>
      </c>
      <c r="D1123" t="s">
        <v>426</v>
      </c>
      <c r="E1123" t="str">
        <f t="shared" si="17"/>
        <v>WV|solar thermal|Summer</v>
      </c>
      <c r="F1123">
        <v>1</v>
      </c>
      <c r="G1123">
        <v>1</v>
      </c>
      <c r="H1123">
        <v>1</v>
      </c>
      <c r="I1123">
        <v>1</v>
      </c>
      <c r="J1123">
        <v>1</v>
      </c>
      <c r="K1123">
        <v>1</v>
      </c>
      <c r="L1123">
        <v>1</v>
      </c>
      <c r="M1123">
        <v>1</v>
      </c>
      <c r="N1123">
        <v>1</v>
      </c>
      <c r="O1123">
        <v>1</v>
      </c>
      <c r="P1123">
        <v>1</v>
      </c>
      <c r="Q1123">
        <v>1</v>
      </c>
      <c r="R1123">
        <v>1</v>
      </c>
      <c r="S1123">
        <v>1</v>
      </c>
      <c r="T1123">
        <v>1</v>
      </c>
      <c r="U1123">
        <v>1</v>
      </c>
      <c r="V1123">
        <v>1</v>
      </c>
      <c r="W1123">
        <v>1</v>
      </c>
      <c r="X1123">
        <v>1</v>
      </c>
      <c r="Y1123">
        <v>1</v>
      </c>
      <c r="Z1123">
        <v>1</v>
      </c>
      <c r="AA1123">
        <v>1</v>
      </c>
      <c r="AB1123">
        <v>1</v>
      </c>
      <c r="AC1123">
        <v>1</v>
      </c>
    </row>
    <row r="1124" spans="1:29" x14ac:dyDescent="0.45">
      <c r="A1124" t="s">
        <v>116</v>
      </c>
      <c r="B1124" t="s">
        <v>438</v>
      </c>
      <c r="C1124" t="s">
        <v>439</v>
      </c>
      <c r="D1124" t="s">
        <v>427</v>
      </c>
      <c r="E1124" t="str">
        <f t="shared" si="17"/>
        <v>WV|solar thermal|Fall</v>
      </c>
      <c r="F1124">
        <v>1</v>
      </c>
      <c r="G1124">
        <v>1</v>
      </c>
      <c r="H1124">
        <v>1</v>
      </c>
      <c r="I1124">
        <v>1</v>
      </c>
      <c r="J1124">
        <v>1</v>
      </c>
      <c r="K1124">
        <v>1</v>
      </c>
      <c r="L1124">
        <v>1</v>
      </c>
      <c r="M1124">
        <v>1</v>
      </c>
      <c r="N1124">
        <v>1</v>
      </c>
      <c r="O1124">
        <v>1</v>
      </c>
      <c r="P1124">
        <v>1</v>
      </c>
      <c r="Q1124">
        <v>1</v>
      </c>
      <c r="R1124">
        <v>1</v>
      </c>
      <c r="S1124">
        <v>1</v>
      </c>
      <c r="T1124">
        <v>1</v>
      </c>
      <c r="U1124">
        <v>1</v>
      </c>
      <c r="V1124">
        <v>1</v>
      </c>
      <c r="W1124">
        <v>1</v>
      </c>
      <c r="X1124">
        <v>1</v>
      </c>
      <c r="Y1124">
        <v>1</v>
      </c>
      <c r="Z1124">
        <v>1</v>
      </c>
      <c r="AA1124">
        <v>1</v>
      </c>
      <c r="AB1124">
        <v>1</v>
      </c>
      <c r="AC1124">
        <v>1</v>
      </c>
    </row>
    <row r="1125" spans="1:29" x14ac:dyDescent="0.45">
      <c r="A1125" t="s">
        <v>116</v>
      </c>
      <c r="B1125" t="s">
        <v>438</v>
      </c>
      <c r="C1125" t="s">
        <v>439</v>
      </c>
      <c r="D1125" t="s">
        <v>428</v>
      </c>
      <c r="E1125" t="str">
        <f t="shared" si="17"/>
        <v>WV|solar thermal|Summer Peak</v>
      </c>
      <c r="F1125">
        <v>1</v>
      </c>
      <c r="G1125">
        <v>1</v>
      </c>
      <c r="H1125">
        <v>1</v>
      </c>
      <c r="I1125">
        <v>1</v>
      </c>
      <c r="J1125">
        <v>1</v>
      </c>
      <c r="K1125">
        <v>1</v>
      </c>
      <c r="L1125">
        <v>1</v>
      </c>
      <c r="M1125">
        <v>0</v>
      </c>
      <c r="N1125">
        <v>0.8639</v>
      </c>
      <c r="O1125">
        <v>1</v>
      </c>
      <c r="P1125">
        <v>1</v>
      </c>
      <c r="Q1125">
        <v>0.97160000000000002</v>
      </c>
      <c r="R1125">
        <v>0.96719999999999995</v>
      </c>
      <c r="S1125">
        <v>1</v>
      </c>
      <c r="T1125">
        <v>1</v>
      </c>
      <c r="U1125">
        <v>1</v>
      </c>
      <c r="V1125">
        <v>1</v>
      </c>
      <c r="W1125">
        <v>1</v>
      </c>
      <c r="X1125">
        <v>1</v>
      </c>
      <c r="Y1125">
        <v>0.93130000000000002</v>
      </c>
      <c r="Z1125">
        <v>0.70220000000000005</v>
      </c>
      <c r="AA1125">
        <v>1</v>
      </c>
      <c r="AB1125">
        <v>1</v>
      </c>
      <c r="AC1125">
        <v>1</v>
      </c>
    </row>
    <row r="1126" spans="1:29" x14ac:dyDescent="0.45">
      <c r="A1126" t="s">
        <v>116</v>
      </c>
      <c r="B1126" t="s">
        <v>438</v>
      </c>
      <c r="C1126" t="s">
        <v>439</v>
      </c>
      <c r="D1126" t="s">
        <v>429</v>
      </c>
      <c r="E1126" t="str">
        <f t="shared" si="17"/>
        <v>WV|solar thermal|Winter Peak</v>
      </c>
      <c r="F1126">
        <v>1</v>
      </c>
      <c r="G1126">
        <v>1</v>
      </c>
      <c r="H1126">
        <v>1</v>
      </c>
      <c r="I1126">
        <v>1</v>
      </c>
      <c r="J1126">
        <v>1</v>
      </c>
      <c r="K1126">
        <v>1</v>
      </c>
      <c r="L1126">
        <v>1</v>
      </c>
      <c r="M1126">
        <v>1</v>
      </c>
      <c r="N1126">
        <v>1</v>
      </c>
      <c r="O1126">
        <v>0.2419</v>
      </c>
      <c r="P1126">
        <v>0.95320000000000005</v>
      </c>
      <c r="Q1126">
        <v>0.88039999999999996</v>
      </c>
      <c r="R1126">
        <v>0.97819999999999996</v>
      </c>
      <c r="S1126">
        <v>0.98950000000000005</v>
      </c>
      <c r="T1126">
        <v>0.99270000000000003</v>
      </c>
      <c r="U1126">
        <v>1</v>
      </c>
      <c r="V1126">
        <v>1</v>
      </c>
      <c r="W1126">
        <v>1</v>
      </c>
      <c r="X1126">
        <v>0.89019999999999999</v>
      </c>
      <c r="Y1126">
        <v>0</v>
      </c>
      <c r="Z1126">
        <v>1</v>
      </c>
      <c r="AA1126">
        <v>1</v>
      </c>
      <c r="AB1126">
        <v>1</v>
      </c>
      <c r="AC1126">
        <v>1</v>
      </c>
    </row>
    <row r="1127" spans="1:29" x14ac:dyDescent="0.45">
      <c r="A1127" t="s">
        <v>116</v>
      </c>
      <c r="B1127" t="s">
        <v>440</v>
      </c>
      <c r="C1127" t="s">
        <v>441</v>
      </c>
      <c r="D1127" t="s">
        <v>424</v>
      </c>
      <c r="E1127" t="str">
        <f t="shared" si="17"/>
        <v>WV|offshore wind|Winter</v>
      </c>
      <c r="F1127">
        <v>1</v>
      </c>
      <c r="G1127">
        <v>1</v>
      </c>
      <c r="H1127">
        <v>1</v>
      </c>
      <c r="I1127">
        <v>1</v>
      </c>
      <c r="J1127">
        <v>1</v>
      </c>
      <c r="K1127">
        <v>1</v>
      </c>
      <c r="L1127">
        <v>1</v>
      </c>
      <c r="M1127">
        <v>1</v>
      </c>
      <c r="N1127">
        <v>1</v>
      </c>
      <c r="O1127">
        <v>1</v>
      </c>
      <c r="P1127">
        <v>1</v>
      </c>
      <c r="Q1127">
        <v>1</v>
      </c>
      <c r="R1127">
        <v>1</v>
      </c>
      <c r="S1127">
        <v>1</v>
      </c>
      <c r="T1127">
        <v>1</v>
      </c>
      <c r="U1127">
        <v>1</v>
      </c>
      <c r="V1127">
        <v>1</v>
      </c>
      <c r="W1127">
        <v>1</v>
      </c>
      <c r="X1127">
        <v>1</v>
      </c>
      <c r="Y1127">
        <v>1</v>
      </c>
      <c r="Z1127">
        <v>1</v>
      </c>
      <c r="AA1127">
        <v>1</v>
      </c>
      <c r="AB1127">
        <v>1</v>
      </c>
      <c r="AC1127">
        <v>1</v>
      </c>
    </row>
    <row r="1128" spans="1:29" x14ac:dyDescent="0.45">
      <c r="A1128" t="s">
        <v>116</v>
      </c>
      <c r="B1128" t="s">
        <v>440</v>
      </c>
      <c r="C1128" t="s">
        <v>441</v>
      </c>
      <c r="D1128" t="s">
        <v>425</v>
      </c>
      <c r="E1128" t="str">
        <f t="shared" si="17"/>
        <v>WV|offshore wind|Spring</v>
      </c>
      <c r="F1128">
        <v>1</v>
      </c>
      <c r="G1128">
        <v>1</v>
      </c>
      <c r="H1128">
        <v>1</v>
      </c>
      <c r="I1128">
        <v>1</v>
      </c>
      <c r="J1128">
        <v>1</v>
      </c>
      <c r="K1128">
        <v>1</v>
      </c>
      <c r="L1128">
        <v>1</v>
      </c>
      <c r="M1128">
        <v>1</v>
      </c>
      <c r="N1128">
        <v>1</v>
      </c>
      <c r="O1128">
        <v>1</v>
      </c>
      <c r="P1128">
        <v>1</v>
      </c>
      <c r="Q1128">
        <v>1</v>
      </c>
      <c r="R1128">
        <v>1</v>
      </c>
      <c r="S1128">
        <v>1</v>
      </c>
      <c r="T1128">
        <v>1</v>
      </c>
      <c r="U1128">
        <v>1</v>
      </c>
      <c r="V1128">
        <v>1</v>
      </c>
      <c r="W1128">
        <v>1</v>
      </c>
      <c r="X1128">
        <v>1</v>
      </c>
      <c r="Y1128">
        <v>1</v>
      </c>
      <c r="Z1128">
        <v>1</v>
      </c>
      <c r="AA1128">
        <v>1</v>
      </c>
      <c r="AB1128">
        <v>1</v>
      </c>
      <c r="AC1128">
        <v>1</v>
      </c>
    </row>
    <row r="1129" spans="1:29" x14ac:dyDescent="0.45">
      <c r="A1129" t="s">
        <v>116</v>
      </c>
      <c r="B1129" t="s">
        <v>440</v>
      </c>
      <c r="C1129" t="s">
        <v>441</v>
      </c>
      <c r="D1129" t="s">
        <v>426</v>
      </c>
      <c r="E1129" t="str">
        <f t="shared" si="17"/>
        <v>WV|offshore wind|Summer</v>
      </c>
      <c r="F1129">
        <v>1</v>
      </c>
      <c r="G1129">
        <v>1</v>
      </c>
      <c r="H1129">
        <v>1</v>
      </c>
      <c r="I1129">
        <v>1</v>
      </c>
      <c r="J1129">
        <v>1</v>
      </c>
      <c r="K1129">
        <v>1</v>
      </c>
      <c r="L1129">
        <v>1</v>
      </c>
      <c r="M1129">
        <v>1</v>
      </c>
      <c r="N1129">
        <v>1</v>
      </c>
      <c r="O1129">
        <v>1</v>
      </c>
      <c r="P1129">
        <v>1</v>
      </c>
      <c r="Q1129">
        <v>1</v>
      </c>
      <c r="R1129">
        <v>1</v>
      </c>
      <c r="S1129">
        <v>1</v>
      </c>
      <c r="T1129">
        <v>1</v>
      </c>
      <c r="U1129">
        <v>1</v>
      </c>
      <c r="V1129">
        <v>1</v>
      </c>
      <c r="W1129">
        <v>1</v>
      </c>
      <c r="X1129">
        <v>1</v>
      </c>
      <c r="Y1129">
        <v>1</v>
      </c>
      <c r="Z1129">
        <v>1</v>
      </c>
      <c r="AA1129">
        <v>1</v>
      </c>
      <c r="AB1129">
        <v>1</v>
      </c>
      <c r="AC1129">
        <v>1</v>
      </c>
    </row>
    <row r="1130" spans="1:29" x14ac:dyDescent="0.45">
      <c r="A1130" t="s">
        <v>116</v>
      </c>
      <c r="B1130" t="s">
        <v>440</v>
      </c>
      <c r="C1130" t="s">
        <v>441</v>
      </c>
      <c r="D1130" t="s">
        <v>427</v>
      </c>
      <c r="E1130" t="str">
        <f t="shared" si="17"/>
        <v>WV|offshore wind|Fall</v>
      </c>
      <c r="F1130">
        <v>1</v>
      </c>
      <c r="G1130">
        <v>1</v>
      </c>
      <c r="H1130">
        <v>1</v>
      </c>
      <c r="I1130">
        <v>1</v>
      </c>
      <c r="J1130">
        <v>1</v>
      </c>
      <c r="K1130">
        <v>1</v>
      </c>
      <c r="L1130">
        <v>1</v>
      </c>
      <c r="M1130">
        <v>1</v>
      </c>
      <c r="N1130">
        <v>1</v>
      </c>
      <c r="O1130">
        <v>1</v>
      </c>
      <c r="P1130">
        <v>1</v>
      </c>
      <c r="Q1130">
        <v>1</v>
      </c>
      <c r="R1130">
        <v>1</v>
      </c>
      <c r="S1130">
        <v>1</v>
      </c>
      <c r="T1130">
        <v>1</v>
      </c>
      <c r="U1130">
        <v>1</v>
      </c>
      <c r="V1130">
        <v>1</v>
      </c>
      <c r="W1130">
        <v>1</v>
      </c>
      <c r="X1130">
        <v>1</v>
      </c>
      <c r="Y1130">
        <v>1</v>
      </c>
      <c r="Z1130">
        <v>1</v>
      </c>
      <c r="AA1130">
        <v>1</v>
      </c>
      <c r="AB1130">
        <v>1</v>
      </c>
      <c r="AC1130">
        <v>1</v>
      </c>
    </row>
    <row r="1131" spans="1:29" x14ac:dyDescent="0.45">
      <c r="A1131" t="s">
        <v>116</v>
      </c>
      <c r="B1131" t="s">
        <v>440</v>
      </c>
      <c r="C1131" t="s">
        <v>441</v>
      </c>
      <c r="D1131" t="s">
        <v>428</v>
      </c>
      <c r="E1131" t="str">
        <f t="shared" si="17"/>
        <v>WV|offshore wind|Summer Peak</v>
      </c>
      <c r="F1131">
        <v>0.40810000000000002</v>
      </c>
      <c r="G1131">
        <v>0.4239</v>
      </c>
      <c r="H1131">
        <v>0.45760000000000001</v>
      </c>
      <c r="I1131">
        <v>0.50319999999999998</v>
      </c>
      <c r="J1131">
        <v>0.53649999999999998</v>
      </c>
      <c r="K1131">
        <v>0.59399999999999997</v>
      </c>
      <c r="L1131">
        <v>0.61929999999999996</v>
      </c>
      <c r="M1131">
        <v>0.68859999999999999</v>
      </c>
      <c r="N1131">
        <v>0.73480000000000001</v>
      </c>
      <c r="O1131">
        <v>0.84350000000000003</v>
      </c>
      <c r="P1131">
        <v>0.78200000000000003</v>
      </c>
      <c r="Q1131">
        <v>0.74650000000000005</v>
      </c>
      <c r="R1131">
        <v>0.63690000000000002</v>
      </c>
      <c r="S1131">
        <v>0.60860000000000003</v>
      </c>
      <c r="T1131">
        <v>0.64339999999999997</v>
      </c>
      <c r="U1131">
        <v>0.69269999999999998</v>
      </c>
      <c r="V1131">
        <v>0.71450000000000002</v>
      </c>
      <c r="W1131">
        <v>0.75070000000000003</v>
      </c>
      <c r="X1131">
        <v>0.72489999999999999</v>
      </c>
      <c r="Y1131">
        <v>0.66049999999999998</v>
      </c>
      <c r="Z1131">
        <v>0.69140000000000001</v>
      </c>
      <c r="AA1131">
        <v>0.63080000000000003</v>
      </c>
      <c r="AB1131">
        <v>0.63429999999999997</v>
      </c>
      <c r="AC1131">
        <v>0.64390000000000003</v>
      </c>
    </row>
    <row r="1132" spans="1:29" x14ac:dyDescent="0.45">
      <c r="A1132" t="s">
        <v>116</v>
      </c>
      <c r="B1132" t="s">
        <v>440</v>
      </c>
      <c r="C1132" t="s">
        <v>441</v>
      </c>
      <c r="D1132" t="s">
        <v>429</v>
      </c>
      <c r="E1132" t="str">
        <f t="shared" si="17"/>
        <v>WV|offshore wind|Winter Peak</v>
      </c>
      <c r="F1132">
        <v>0.95309999999999995</v>
      </c>
      <c r="G1132">
        <v>0.95030000000000003</v>
      </c>
      <c r="H1132">
        <v>0.95540000000000003</v>
      </c>
      <c r="I1132">
        <v>0.96679999999999999</v>
      </c>
      <c r="J1132">
        <v>1</v>
      </c>
      <c r="K1132">
        <v>1</v>
      </c>
      <c r="L1132">
        <v>1</v>
      </c>
      <c r="M1132">
        <v>0.99209999999999998</v>
      </c>
      <c r="N1132">
        <v>0.90149999999999997</v>
      </c>
      <c r="O1132">
        <v>0.79779999999999995</v>
      </c>
      <c r="P1132">
        <v>0.71879999999999999</v>
      </c>
      <c r="Q1132">
        <v>0.67300000000000004</v>
      </c>
      <c r="R1132">
        <v>0.60860000000000003</v>
      </c>
      <c r="S1132">
        <v>0.58009999999999995</v>
      </c>
      <c r="T1132">
        <v>0.58799999999999997</v>
      </c>
      <c r="U1132">
        <v>0.61019999999999996</v>
      </c>
      <c r="V1132">
        <v>0.61839999999999995</v>
      </c>
      <c r="W1132">
        <v>0.60909999999999997</v>
      </c>
      <c r="X1132">
        <v>0.62880000000000003</v>
      </c>
      <c r="Y1132">
        <v>0.72889999999999999</v>
      </c>
      <c r="Z1132">
        <v>0.84719999999999995</v>
      </c>
      <c r="AA1132">
        <v>0.92220000000000002</v>
      </c>
      <c r="AB1132">
        <v>0.86950000000000005</v>
      </c>
      <c r="AC1132">
        <v>0.8054</v>
      </c>
    </row>
    <row r="1133" spans="1:29" x14ac:dyDescent="0.45">
      <c r="A1133" t="s">
        <v>118</v>
      </c>
      <c r="B1133" t="s">
        <v>434</v>
      </c>
      <c r="C1133" t="s">
        <v>435</v>
      </c>
      <c r="D1133" t="s">
        <v>424</v>
      </c>
      <c r="E1133" t="str">
        <f t="shared" si="17"/>
        <v>WY|onshore wind|Winter</v>
      </c>
      <c r="F1133">
        <v>1</v>
      </c>
      <c r="G1133">
        <v>1</v>
      </c>
      <c r="H1133">
        <v>1</v>
      </c>
      <c r="I1133">
        <v>1</v>
      </c>
      <c r="J1133">
        <v>1</v>
      </c>
      <c r="K1133">
        <v>1</v>
      </c>
      <c r="L1133">
        <v>1</v>
      </c>
      <c r="M1133">
        <v>1</v>
      </c>
      <c r="N1133">
        <v>1</v>
      </c>
      <c r="O1133">
        <v>1</v>
      </c>
      <c r="P1133">
        <v>1</v>
      </c>
      <c r="Q1133">
        <v>1</v>
      </c>
      <c r="R1133">
        <v>1</v>
      </c>
      <c r="S1133">
        <v>1</v>
      </c>
      <c r="T1133">
        <v>1</v>
      </c>
      <c r="U1133">
        <v>1</v>
      </c>
      <c r="V1133">
        <v>1</v>
      </c>
      <c r="W1133">
        <v>1</v>
      </c>
      <c r="X1133">
        <v>1</v>
      </c>
      <c r="Y1133">
        <v>1</v>
      </c>
      <c r="Z1133">
        <v>1</v>
      </c>
      <c r="AA1133">
        <v>1</v>
      </c>
      <c r="AB1133">
        <v>1</v>
      </c>
      <c r="AC1133">
        <v>1</v>
      </c>
    </row>
    <row r="1134" spans="1:29" x14ac:dyDescent="0.45">
      <c r="A1134" t="s">
        <v>118</v>
      </c>
      <c r="B1134" t="s">
        <v>434</v>
      </c>
      <c r="C1134" t="s">
        <v>435</v>
      </c>
      <c r="D1134" t="s">
        <v>425</v>
      </c>
      <c r="E1134" t="str">
        <f t="shared" si="17"/>
        <v>WY|onshore wind|Spring</v>
      </c>
      <c r="F1134">
        <v>1</v>
      </c>
      <c r="G1134">
        <v>1</v>
      </c>
      <c r="H1134">
        <v>1</v>
      </c>
      <c r="I1134">
        <v>1</v>
      </c>
      <c r="J1134">
        <v>1</v>
      </c>
      <c r="K1134">
        <v>1</v>
      </c>
      <c r="L1134">
        <v>1</v>
      </c>
      <c r="M1134">
        <v>1</v>
      </c>
      <c r="N1134">
        <v>1</v>
      </c>
      <c r="O1134">
        <v>1</v>
      </c>
      <c r="P1134">
        <v>1</v>
      </c>
      <c r="Q1134">
        <v>1</v>
      </c>
      <c r="R1134">
        <v>1</v>
      </c>
      <c r="S1134">
        <v>1</v>
      </c>
      <c r="T1134">
        <v>1</v>
      </c>
      <c r="U1134">
        <v>1</v>
      </c>
      <c r="V1134">
        <v>1</v>
      </c>
      <c r="W1134">
        <v>1</v>
      </c>
      <c r="X1134">
        <v>1</v>
      </c>
      <c r="Y1134">
        <v>1</v>
      </c>
      <c r="Z1134">
        <v>1</v>
      </c>
      <c r="AA1134">
        <v>1</v>
      </c>
      <c r="AB1134">
        <v>1</v>
      </c>
      <c r="AC1134">
        <v>1</v>
      </c>
    </row>
    <row r="1135" spans="1:29" x14ac:dyDescent="0.45">
      <c r="A1135" t="s">
        <v>118</v>
      </c>
      <c r="B1135" t="s">
        <v>434</v>
      </c>
      <c r="C1135" t="s">
        <v>435</v>
      </c>
      <c r="D1135" t="s">
        <v>426</v>
      </c>
      <c r="E1135" t="str">
        <f t="shared" si="17"/>
        <v>WY|onshore wind|Summer</v>
      </c>
      <c r="F1135">
        <v>1</v>
      </c>
      <c r="G1135">
        <v>1</v>
      </c>
      <c r="H1135">
        <v>1</v>
      </c>
      <c r="I1135">
        <v>1</v>
      </c>
      <c r="J1135">
        <v>1</v>
      </c>
      <c r="K1135">
        <v>1</v>
      </c>
      <c r="L1135">
        <v>1</v>
      </c>
      <c r="M1135">
        <v>1</v>
      </c>
      <c r="N1135">
        <v>1</v>
      </c>
      <c r="O1135">
        <v>1</v>
      </c>
      <c r="P1135">
        <v>1</v>
      </c>
      <c r="Q1135">
        <v>1</v>
      </c>
      <c r="R1135">
        <v>1</v>
      </c>
      <c r="S1135">
        <v>1</v>
      </c>
      <c r="T1135">
        <v>1</v>
      </c>
      <c r="U1135">
        <v>1</v>
      </c>
      <c r="V1135">
        <v>1</v>
      </c>
      <c r="W1135">
        <v>1</v>
      </c>
      <c r="X1135">
        <v>1</v>
      </c>
      <c r="Y1135">
        <v>1</v>
      </c>
      <c r="Z1135">
        <v>1</v>
      </c>
      <c r="AA1135">
        <v>1</v>
      </c>
      <c r="AB1135">
        <v>1</v>
      </c>
      <c r="AC1135">
        <v>1</v>
      </c>
    </row>
    <row r="1136" spans="1:29" x14ac:dyDescent="0.45">
      <c r="A1136" t="s">
        <v>118</v>
      </c>
      <c r="B1136" t="s">
        <v>434</v>
      </c>
      <c r="C1136" t="s">
        <v>435</v>
      </c>
      <c r="D1136" t="s">
        <v>427</v>
      </c>
      <c r="E1136" t="str">
        <f t="shared" si="17"/>
        <v>WY|onshore wind|Fall</v>
      </c>
      <c r="F1136">
        <v>1</v>
      </c>
      <c r="G1136">
        <v>1</v>
      </c>
      <c r="H1136">
        <v>1</v>
      </c>
      <c r="I1136">
        <v>1</v>
      </c>
      <c r="J1136">
        <v>1</v>
      </c>
      <c r="K1136">
        <v>1</v>
      </c>
      <c r="L1136">
        <v>1</v>
      </c>
      <c r="M1136">
        <v>1</v>
      </c>
      <c r="N1136">
        <v>1</v>
      </c>
      <c r="O1136">
        <v>1</v>
      </c>
      <c r="P1136">
        <v>1</v>
      </c>
      <c r="Q1136">
        <v>1</v>
      </c>
      <c r="R1136">
        <v>1</v>
      </c>
      <c r="S1136">
        <v>1</v>
      </c>
      <c r="T1136">
        <v>1</v>
      </c>
      <c r="U1136">
        <v>1</v>
      </c>
      <c r="V1136">
        <v>1</v>
      </c>
      <c r="W1136">
        <v>1</v>
      </c>
      <c r="X1136">
        <v>1</v>
      </c>
      <c r="Y1136">
        <v>1</v>
      </c>
      <c r="Z1136">
        <v>1</v>
      </c>
      <c r="AA1136">
        <v>1</v>
      </c>
      <c r="AB1136">
        <v>1</v>
      </c>
      <c r="AC1136">
        <v>1</v>
      </c>
    </row>
    <row r="1137" spans="1:29" x14ac:dyDescent="0.45">
      <c r="A1137" t="s">
        <v>118</v>
      </c>
      <c r="B1137" t="s">
        <v>434</v>
      </c>
      <c r="C1137" t="s">
        <v>435</v>
      </c>
      <c r="D1137" t="s">
        <v>428</v>
      </c>
      <c r="E1137" t="str">
        <f t="shared" si="17"/>
        <v>WY|onshore wind|Summer Peak</v>
      </c>
      <c r="F1137">
        <v>0.5504</v>
      </c>
      <c r="G1137">
        <v>0.54090000000000005</v>
      </c>
      <c r="H1137">
        <v>0.5675</v>
      </c>
      <c r="I1137">
        <v>0.52629999999999999</v>
      </c>
      <c r="J1137">
        <v>0.48449999999999999</v>
      </c>
      <c r="K1137">
        <v>0.62539999999999996</v>
      </c>
      <c r="L1137">
        <v>0.55710000000000004</v>
      </c>
      <c r="M1137">
        <v>0.38400000000000001</v>
      </c>
      <c r="N1137">
        <v>0.3805</v>
      </c>
      <c r="O1137">
        <v>0.2702</v>
      </c>
      <c r="P1137">
        <v>0.4466</v>
      </c>
      <c r="Q1137">
        <v>0.61170000000000002</v>
      </c>
      <c r="R1137">
        <v>0.56799999999999995</v>
      </c>
      <c r="S1137">
        <v>0.55279999999999996</v>
      </c>
      <c r="T1137">
        <v>0.56120000000000003</v>
      </c>
      <c r="U1137">
        <v>0.51829999999999998</v>
      </c>
      <c r="V1137">
        <v>0.40539999999999998</v>
      </c>
      <c r="W1137">
        <v>0.58340000000000003</v>
      </c>
      <c r="X1137">
        <v>0.80759999999999998</v>
      </c>
      <c r="Y1137">
        <v>0.73209999999999997</v>
      </c>
      <c r="Z1137">
        <v>0.81269999999999998</v>
      </c>
      <c r="AA1137">
        <v>0.80959999999999999</v>
      </c>
      <c r="AB1137">
        <v>0.88049999999999995</v>
      </c>
      <c r="AC1137">
        <v>0.87609999999999999</v>
      </c>
    </row>
    <row r="1138" spans="1:29" x14ac:dyDescent="0.45">
      <c r="A1138" t="s">
        <v>118</v>
      </c>
      <c r="B1138" t="s">
        <v>434</v>
      </c>
      <c r="C1138" t="s">
        <v>435</v>
      </c>
      <c r="D1138" t="s">
        <v>429</v>
      </c>
      <c r="E1138" t="str">
        <f t="shared" si="17"/>
        <v>WY|onshore wind|Winter Peak</v>
      </c>
      <c r="F1138">
        <v>0.68340000000000001</v>
      </c>
      <c r="G1138">
        <v>0.65049999999999997</v>
      </c>
      <c r="H1138">
        <v>0.65200000000000002</v>
      </c>
      <c r="I1138">
        <v>0.62570000000000003</v>
      </c>
      <c r="J1138">
        <v>0.55420000000000003</v>
      </c>
      <c r="K1138">
        <v>0.4698</v>
      </c>
      <c r="L1138">
        <v>0.3821</v>
      </c>
      <c r="M1138">
        <v>0.29249999999999998</v>
      </c>
      <c r="N1138">
        <v>0.20519999999999999</v>
      </c>
      <c r="O1138">
        <v>0.18479999999999999</v>
      </c>
      <c r="P1138">
        <v>0.22109999999999999</v>
      </c>
      <c r="Q1138">
        <v>0.3982</v>
      </c>
      <c r="R1138">
        <v>0.51249999999999996</v>
      </c>
      <c r="S1138">
        <v>0.51990000000000003</v>
      </c>
      <c r="T1138">
        <v>0.52590000000000003</v>
      </c>
      <c r="U1138">
        <v>0.47439999999999999</v>
      </c>
      <c r="V1138">
        <v>0.45340000000000003</v>
      </c>
      <c r="W1138">
        <v>0.49349999999999999</v>
      </c>
      <c r="X1138">
        <v>0.55469999999999997</v>
      </c>
      <c r="Y1138">
        <v>0.58089999999999997</v>
      </c>
      <c r="Z1138">
        <v>0.59630000000000005</v>
      </c>
      <c r="AA1138">
        <v>0.59860000000000002</v>
      </c>
      <c r="AB1138">
        <v>0.61809999999999998</v>
      </c>
      <c r="AC1138">
        <v>0.66210000000000002</v>
      </c>
    </row>
    <row r="1139" spans="1:29" x14ac:dyDescent="0.45">
      <c r="A1139" t="s">
        <v>118</v>
      </c>
      <c r="B1139" t="s">
        <v>436</v>
      </c>
      <c r="C1139" t="s">
        <v>437</v>
      </c>
      <c r="D1139" t="s">
        <v>424</v>
      </c>
      <c r="E1139" t="str">
        <f t="shared" si="17"/>
        <v>WY|solar pv|Winter</v>
      </c>
      <c r="F1139">
        <v>1</v>
      </c>
      <c r="G1139">
        <v>1</v>
      </c>
      <c r="H1139">
        <v>1</v>
      </c>
      <c r="I1139">
        <v>1</v>
      </c>
      <c r="J1139">
        <v>1</v>
      </c>
      <c r="K1139">
        <v>1</v>
      </c>
      <c r="L1139">
        <v>1</v>
      </c>
      <c r="M1139">
        <v>1</v>
      </c>
      <c r="N1139">
        <v>1</v>
      </c>
      <c r="O1139">
        <v>1</v>
      </c>
      <c r="P1139">
        <v>1</v>
      </c>
      <c r="Q1139">
        <v>1</v>
      </c>
      <c r="R1139">
        <v>1</v>
      </c>
      <c r="S1139">
        <v>1</v>
      </c>
      <c r="T1139">
        <v>1</v>
      </c>
      <c r="U1139">
        <v>1</v>
      </c>
      <c r="V1139">
        <v>1</v>
      </c>
      <c r="W1139">
        <v>1</v>
      </c>
      <c r="X1139">
        <v>1</v>
      </c>
      <c r="Y1139">
        <v>1</v>
      </c>
      <c r="Z1139">
        <v>1</v>
      </c>
      <c r="AA1139">
        <v>1</v>
      </c>
      <c r="AB1139">
        <v>1</v>
      </c>
      <c r="AC1139">
        <v>1</v>
      </c>
    </row>
    <row r="1140" spans="1:29" x14ac:dyDescent="0.45">
      <c r="A1140" t="s">
        <v>118</v>
      </c>
      <c r="B1140" t="s">
        <v>436</v>
      </c>
      <c r="C1140" t="s">
        <v>437</v>
      </c>
      <c r="D1140" t="s">
        <v>425</v>
      </c>
      <c r="E1140" t="str">
        <f t="shared" si="17"/>
        <v>WY|solar pv|Spring</v>
      </c>
      <c r="F1140">
        <v>1</v>
      </c>
      <c r="G1140">
        <v>1</v>
      </c>
      <c r="H1140">
        <v>1</v>
      </c>
      <c r="I1140">
        <v>1</v>
      </c>
      <c r="J1140">
        <v>1</v>
      </c>
      <c r="K1140">
        <v>1</v>
      </c>
      <c r="L1140">
        <v>1</v>
      </c>
      <c r="M1140">
        <v>1</v>
      </c>
      <c r="N1140">
        <v>1</v>
      </c>
      <c r="O1140">
        <v>1</v>
      </c>
      <c r="P1140">
        <v>1</v>
      </c>
      <c r="Q1140">
        <v>1</v>
      </c>
      <c r="R1140">
        <v>1</v>
      </c>
      <c r="S1140">
        <v>1</v>
      </c>
      <c r="T1140">
        <v>1</v>
      </c>
      <c r="U1140">
        <v>1</v>
      </c>
      <c r="V1140">
        <v>1</v>
      </c>
      <c r="W1140">
        <v>1</v>
      </c>
      <c r="X1140">
        <v>1</v>
      </c>
      <c r="Y1140">
        <v>1</v>
      </c>
      <c r="Z1140">
        <v>1</v>
      </c>
      <c r="AA1140">
        <v>1</v>
      </c>
      <c r="AB1140">
        <v>1</v>
      </c>
      <c r="AC1140">
        <v>1</v>
      </c>
    </row>
    <row r="1141" spans="1:29" x14ac:dyDescent="0.45">
      <c r="A1141" t="s">
        <v>118</v>
      </c>
      <c r="B1141" t="s">
        <v>436</v>
      </c>
      <c r="C1141" t="s">
        <v>437</v>
      </c>
      <c r="D1141" t="s">
        <v>426</v>
      </c>
      <c r="E1141" t="str">
        <f t="shared" si="17"/>
        <v>WY|solar pv|Summer</v>
      </c>
      <c r="F1141">
        <v>1</v>
      </c>
      <c r="G1141">
        <v>1</v>
      </c>
      <c r="H1141">
        <v>1</v>
      </c>
      <c r="I1141">
        <v>1</v>
      </c>
      <c r="J1141">
        <v>1</v>
      </c>
      <c r="K1141">
        <v>1</v>
      </c>
      <c r="L1141">
        <v>1</v>
      </c>
      <c r="M1141">
        <v>1</v>
      </c>
      <c r="N1141">
        <v>1</v>
      </c>
      <c r="O1141">
        <v>1</v>
      </c>
      <c r="P1141">
        <v>1</v>
      </c>
      <c r="Q1141">
        <v>1</v>
      </c>
      <c r="R1141">
        <v>1</v>
      </c>
      <c r="S1141">
        <v>1</v>
      </c>
      <c r="T1141">
        <v>1</v>
      </c>
      <c r="U1141">
        <v>1</v>
      </c>
      <c r="V1141">
        <v>1</v>
      </c>
      <c r="W1141">
        <v>1</v>
      </c>
      <c r="X1141">
        <v>1</v>
      </c>
      <c r="Y1141">
        <v>1</v>
      </c>
      <c r="Z1141">
        <v>1</v>
      </c>
      <c r="AA1141">
        <v>1</v>
      </c>
      <c r="AB1141">
        <v>1</v>
      </c>
      <c r="AC1141">
        <v>1</v>
      </c>
    </row>
    <row r="1142" spans="1:29" x14ac:dyDescent="0.45">
      <c r="A1142" t="s">
        <v>118</v>
      </c>
      <c r="B1142" t="s">
        <v>436</v>
      </c>
      <c r="C1142" t="s">
        <v>437</v>
      </c>
      <c r="D1142" t="s">
        <v>427</v>
      </c>
      <c r="E1142" t="str">
        <f t="shared" si="17"/>
        <v>WY|solar pv|Fall</v>
      </c>
      <c r="F1142">
        <v>1</v>
      </c>
      <c r="G1142">
        <v>1</v>
      </c>
      <c r="H1142">
        <v>1</v>
      </c>
      <c r="I1142">
        <v>1</v>
      </c>
      <c r="J1142">
        <v>1</v>
      </c>
      <c r="K1142">
        <v>1</v>
      </c>
      <c r="L1142">
        <v>1</v>
      </c>
      <c r="M1142">
        <v>1</v>
      </c>
      <c r="N1142">
        <v>1</v>
      </c>
      <c r="O1142">
        <v>1</v>
      </c>
      <c r="P1142">
        <v>1</v>
      </c>
      <c r="Q1142">
        <v>1</v>
      </c>
      <c r="R1142">
        <v>1</v>
      </c>
      <c r="S1142">
        <v>1</v>
      </c>
      <c r="T1142">
        <v>1</v>
      </c>
      <c r="U1142">
        <v>1</v>
      </c>
      <c r="V1142">
        <v>1</v>
      </c>
      <c r="W1142">
        <v>1</v>
      </c>
      <c r="X1142">
        <v>1</v>
      </c>
      <c r="Y1142">
        <v>1</v>
      </c>
      <c r="Z1142">
        <v>1</v>
      </c>
      <c r="AA1142">
        <v>1</v>
      </c>
      <c r="AB1142">
        <v>1</v>
      </c>
      <c r="AC1142">
        <v>1</v>
      </c>
    </row>
    <row r="1143" spans="1:29" x14ac:dyDescent="0.45">
      <c r="A1143" t="s">
        <v>118</v>
      </c>
      <c r="B1143" t="s">
        <v>436</v>
      </c>
      <c r="C1143" t="s">
        <v>437</v>
      </c>
      <c r="D1143" t="s">
        <v>428</v>
      </c>
      <c r="E1143" t="str">
        <f t="shared" si="17"/>
        <v>WY|solar pv|Summer Peak</v>
      </c>
      <c r="F1143">
        <v>1</v>
      </c>
      <c r="G1143">
        <v>1</v>
      </c>
      <c r="H1143">
        <v>1</v>
      </c>
      <c r="I1143">
        <v>1</v>
      </c>
      <c r="J1143">
        <v>0.4597</v>
      </c>
      <c r="K1143">
        <v>0.76690000000000003</v>
      </c>
      <c r="L1143">
        <v>0.93920000000000003</v>
      </c>
      <c r="M1143">
        <v>0.9617</v>
      </c>
      <c r="N1143">
        <v>0.9637</v>
      </c>
      <c r="O1143">
        <v>0.97319999999999995</v>
      </c>
      <c r="P1143">
        <v>0.98119999999999996</v>
      </c>
      <c r="Q1143">
        <v>0.97740000000000005</v>
      </c>
      <c r="R1143">
        <v>1</v>
      </c>
      <c r="S1143">
        <v>0.98850000000000005</v>
      </c>
      <c r="T1143">
        <v>0.94769999999999999</v>
      </c>
      <c r="U1143">
        <v>0.94469999999999998</v>
      </c>
      <c r="V1143">
        <v>0.79549999999999998</v>
      </c>
      <c r="W1143">
        <v>0.5474</v>
      </c>
      <c r="X1143">
        <v>2.64E-2</v>
      </c>
      <c r="Y1143">
        <v>1</v>
      </c>
      <c r="Z1143">
        <v>1</v>
      </c>
      <c r="AA1143">
        <v>1</v>
      </c>
      <c r="AB1143">
        <v>1</v>
      </c>
      <c r="AC1143">
        <v>1</v>
      </c>
    </row>
    <row r="1144" spans="1:29" x14ac:dyDescent="0.45">
      <c r="A1144" t="s">
        <v>118</v>
      </c>
      <c r="B1144" t="s">
        <v>436</v>
      </c>
      <c r="C1144" t="s">
        <v>437</v>
      </c>
      <c r="D1144" t="s">
        <v>429</v>
      </c>
      <c r="E1144" t="str">
        <f t="shared" si="17"/>
        <v>WY|solar pv|Winter Peak</v>
      </c>
      <c r="F1144">
        <v>1</v>
      </c>
      <c r="G1144">
        <v>1</v>
      </c>
      <c r="H1144">
        <v>1</v>
      </c>
      <c r="I1144">
        <v>1</v>
      </c>
      <c r="J1144">
        <v>1</v>
      </c>
      <c r="K1144">
        <v>1</v>
      </c>
      <c r="L1144">
        <v>0.57820000000000005</v>
      </c>
      <c r="M1144">
        <v>0.79510000000000003</v>
      </c>
      <c r="N1144">
        <v>0.90480000000000005</v>
      </c>
      <c r="O1144">
        <v>0.93600000000000005</v>
      </c>
      <c r="P1144">
        <v>0.96799999999999997</v>
      </c>
      <c r="Q1144">
        <v>0.96389999999999998</v>
      </c>
      <c r="R1144">
        <v>0.96140000000000003</v>
      </c>
      <c r="S1144">
        <v>0.93859999999999999</v>
      </c>
      <c r="T1144">
        <v>0.97729999999999995</v>
      </c>
      <c r="U1144">
        <v>0.43519999999999998</v>
      </c>
      <c r="V1144">
        <v>5.1000000000000004E-3</v>
      </c>
      <c r="W1144">
        <v>1</v>
      </c>
      <c r="X1144">
        <v>1</v>
      </c>
      <c r="Y1144">
        <v>1</v>
      </c>
      <c r="Z1144">
        <v>1</v>
      </c>
      <c r="AA1144">
        <v>1</v>
      </c>
      <c r="AB1144">
        <v>1</v>
      </c>
      <c r="AC1144">
        <v>1</v>
      </c>
    </row>
    <row r="1145" spans="1:29" x14ac:dyDescent="0.45">
      <c r="A1145" t="s">
        <v>118</v>
      </c>
      <c r="B1145" t="s">
        <v>438</v>
      </c>
      <c r="C1145" t="s">
        <v>439</v>
      </c>
      <c r="D1145" t="s">
        <v>424</v>
      </c>
      <c r="E1145" t="str">
        <f t="shared" si="17"/>
        <v>WY|solar thermal|Winter</v>
      </c>
      <c r="F1145">
        <v>1</v>
      </c>
      <c r="G1145">
        <v>1</v>
      </c>
      <c r="H1145">
        <v>1</v>
      </c>
      <c r="I1145">
        <v>1</v>
      </c>
      <c r="J1145">
        <v>1</v>
      </c>
      <c r="K1145">
        <v>1</v>
      </c>
      <c r="L1145">
        <v>1</v>
      </c>
      <c r="M1145">
        <v>1</v>
      </c>
      <c r="N1145">
        <v>1</v>
      </c>
      <c r="O1145">
        <v>1</v>
      </c>
      <c r="P1145">
        <v>1</v>
      </c>
      <c r="Q1145">
        <v>1</v>
      </c>
      <c r="R1145">
        <v>1</v>
      </c>
      <c r="S1145">
        <v>1</v>
      </c>
      <c r="T1145">
        <v>1</v>
      </c>
      <c r="U1145">
        <v>1</v>
      </c>
      <c r="V1145">
        <v>1</v>
      </c>
      <c r="W1145">
        <v>1</v>
      </c>
      <c r="X1145">
        <v>1</v>
      </c>
      <c r="Y1145">
        <v>1</v>
      </c>
      <c r="Z1145">
        <v>1</v>
      </c>
      <c r="AA1145">
        <v>1</v>
      </c>
      <c r="AB1145">
        <v>1</v>
      </c>
      <c r="AC1145">
        <v>1</v>
      </c>
    </row>
    <row r="1146" spans="1:29" x14ac:dyDescent="0.45">
      <c r="A1146" t="s">
        <v>118</v>
      </c>
      <c r="B1146" t="s">
        <v>438</v>
      </c>
      <c r="C1146" t="s">
        <v>439</v>
      </c>
      <c r="D1146" t="s">
        <v>425</v>
      </c>
      <c r="E1146" t="str">
        <f t="shared" si="17"/>
        <v>WY|solar thermal|Spring</v>
      </c>
      <c r="F1146">
        <v>1</v>
      </c>
      <c r="G1146">
        <v>1</v>
      </c>
      <c r="H1146">
        <v>1</v>
      </c>
      <c r="I1146">
        <v>1</v>
      </c>
      <c r="J1146">
        <v>1</v>
      </c>
      <c r="K1146">
        <v>1</v>
      </c>
      <c r="L1146">
        <v>1</v>
      </c>
      <c r="M1146">
        <v>1</v>
      </c>
      <c r="N1146">
        <v>1</v>
      </c>
      <c r="O1146">
        <v>1</v>
      </c>
      <c r="P1146">
        <v>1</v>
      </c>
      <c r="Q1146">
        <v>1</v>
      </c>
      <c r="R1146">
        <v>1</v>
      </c>
      <c r="S1146">
        <v>1</v>
      </c>
      <c r="T1146">
        <v>1</v>
      </c>
      <c r="U1146">
        <v>1</v>
      </c>
      <c r="V1146">
        <v>1</v>
      </c>
      <c r="W1146">
        <v>1</v>
      </c>
      <c r="X1146">
        <v>1</v>
      </c>
      <c r="Y1146">
        <v>1</v>
      </c>
      <c r="Z1146">
        <v>1</v>
      </c>
      <c r="AA1146">
        <v>1</v>
      </c>
      <c r="AB1146">
        <v>1</v>
      </c>
      <c r="AC1146">
        <v>1</v>
      </c>
    </row>
    <row r="1147" spans="1:29" x14ac:dyDescent="0.45">
      <c r="A1147" t="s">
        <v>118</v>
      </c>
      <c r="B1147" t="s">
        <v>438</v>
      </c>
      <c r="C1147" t="s">
        <v>439</v>
      </c>
      <c r="D1147" t="s">
        <v>426</v>
      </c>
      <c r="E1147" t="str">
        <f t="shared" si="17"/>
        <v>WY|solar thermal|Summer</v>
      </c>
      <c r="F1147">
        <v>1</v>
      </c>
      <c r="G1147">
        <v>1</v>
      </c>
      <c r="H1147">
        <v>1</v>
      </c>
      <c r="I1147">
        <v>1</v>
      </c>
      <c r="J1147">
        <v>1</v>
      </c>
      <c r="K1147">
        <v>1</v>
      </c>
      <c r="L1147">
        <v>1</v>
      </c>
      <c r="M1147">
        <v>1</v>
      </c>
      <c r="N1147">
        <v>1</v>
      </c>
      <c r="O1147">
        <v>1</v>
      </c>
      <c r="P1147">
        <v>1</v>
      </c>
      <c r="Q1147">
        <v>1</v>
      </c>
      <c r="R1147">
        <v>1</v>
      </c>
      <c r="S1147">
        <v>1</v>
      </c>
      <c r="T1147">
        <v>1</v>
      </c>
      <c r="U1147">
        <v>1</v>
      </c>
      <c r="V1147">
        <v>1</v>
      </c>
      <c r="W1147">
        <v>1</v>
      </c>
      <c r="X1147">
        <v>1</v>
      </c>
      <c r="Y1147">
        <v>1</v>
      </c>
      <c r="Z1147">
        <v>1</v>
      </c>
      <c r="AA1147">
        <v>1</v>
      </c>
      <c r="AB1147">
        <v>1</v>
      </c>
      <c r="AC1147">
        <v>1</v>
      </c>
    </row>
    <row r="1148" spans="1:29" x14ac:dyDescent="0.45">
      <c r="A1148" t="s">
        <v>118</v>
      </c>
      <c r="B1148" t="s">
        <v>438</v>
      </c>
      <c r="C1148" t="s">
        <v>439</v>
      </c>
      <c r="D1148" t="s">
        <v>427</v>
      </c>
      <c r="E1148" t="str">
        <f t="shared" si="17"/>
        <v>WY|solar thermal|Fall</v>
      </c>
      <c r="F1148">
        <v>1</v>
      </c>
      <c r="G1148">
        <v>1</v>
      </c>
      <c r="H1148">
        <v>1</v>
      </c>
      <c r="I1148">
        <v>1</v>
      </c>
      <c r="J1148">
        <v>1</v>
      </c>
      <c r="K1148">
        <v>1</v>
      </c>
      <c r="L1148">
        <v>1</v>
      </c>
      <c r="M1148">
        <v>1</v>
      </c>
      <c r="N1148">
        <v>1</v>
      </c>
      <c r="O1148">
        <v>1</v>
      </c>
      <c r="P1148">
        <v>1</v>
      </c>
      <c r="Q1148">
        <v>1</v>
      </c>
      <c r="R1148">
        <v>1</v>
      </c>
      <c r="S1148">
        <v>1</v>
      </c>
      <c r="T1148">
        <v>1</v>
      </c>
      <c r="U1148">
        <v>1</v>
      </c>
      <c r="V1148">
        <v>1</v>
      </c>
      <c r="W1148">
        <v>1</v>
      </c>
      <c r="X1148">
        <v>1</v>
      </c>
      <c r="Y1148">
        <v>1</v>
      </c>
      <c r="Z1148">
        <v>1</v>
      </c>
      <c r="AA1148">
        <v>1</v>
      </c>
      <c r="AB1148">
        <v>1</v>
      </c>
      <c r="AC1148">
        <v>1</v>
      </c>
    </row>
    <row r="1149" spans="1:29" x14ac:dyDescent="0.45">
      <c r="A1149" t="s">
        <v>118</v>
      </c>
      <c r="B1149" t="s">
        <v>438</v>
      </c>
      <c r="C1149" t="s">
        <v>439</v>
      </c>
      <c r="D1149" t="s">
        <v>428</v>
      </c>
      <c r="E1149" t="str">
        <f t="shared" si="17"/>
        <v>WY|solar thermal|Summer Peak</v>
      </c>
      <c r="F1149">
        <v>1</v>
      </c>
      <c r="G1149">
        <v>1</v>
      </c>
      <c r="H1149">
        <v>1</v>
      </c>
      <c r="I1149">
        <v>1</v>
      </c>
      <c r="J1149">
        <v>1</v>
      </c>
      <c r="K1149">
        <v>1</v>
      </c>
      <c r="L1149">
        <v>1</v>
      </c>
      <c r="M1149">
        <v>0</v>
      </c>
      <c r="N1149">
        <v>0.8639</v>
      </c>
      <c r="O1149">
        <v>1</v>
      </c>
      <c r="P1149">
        <v>1</v>
      </c>
      <c r="Q1149">
        <v>0.97160000000000002</v>
      </c>
      <c r="R1149">
        <v>0.96719999999999995</v>
      </c>
      <c r="S1149">
        <v>1</v>
      </c>
      <c r="T1149">
        <v>1</v>
      </c>
      <c r="U1149">
        <v>1</v>
      </c>
      <c r="V1149">
        <v>1</v>
      </c>
      <c r="W1149">
        <v>1</v>
      </c>
      <c r="X1149">
        <v>1</v>
      </c>
      <c r="Y1149">
        <v>0.93130000000000002</v>
      </c>
      <c r="Z1149">
        <v>0.70220000000000005</v>
      </c>
      <c r="AA1149">
        <v>1</v>
      </c>
      <c r="AB1149">
        <v>1</v>
      </c>
      <c r="AC1149">
        <v>1</v>
      </c>
    </row>
    <row r="1150" spans="1:29" x14ac:dyDescent="0.45">
      <c r="A1150" t="s">
        <v>118</v>
      </c>
      <c r="B1150" t="s">
        <v>438</v>
      </c>
      <c r="C1150" t="s">
        <v>439</v>
      </c>
      <c r="D1150" t="s">
        <v>429</v>
      </c>
      <c r="E1150" t="str">
        <f t="shared" si="17"/>
        <v>WY|solar thermal|Winter Peak</v>
      </c>
      <c r="F1150">
        <v>1</v>
      </c>
      <c r="G1150">
        <v>1</v>
      </c>
      <c r="H1150">
        <v>1</v>
      </c>
      <c r="I1150">
        <v>1</v>
      </c>
      <c r="J1150">
        <v>1</v>
      </c>
      <c r="K1150">
        <v>1</v>
      </c>
      <c r="L1150">
        <v>1</v>
      </c>
      <c r="M1150">
        <v>1</v>
      </c>
      <c r="N1150">
        <v>1</v>
      </c>
      <c r="O1150">
        <v>0.2419</v>
      </c>
      <c r="P1150">
        <v>0.95320000000000005</v>
      </c>
      <c r="Q1150">
        <v>0.88039999999999996</v>
      </c>
      <c r="R1150">
        <v>0.97819999999999996</v>
      </c>
      <c r="S1150">
        <v>0.98950000000000005</v>
      </c>
      <c r="T1150">
        <v>0.99270000000000003</v>
      </c>
      <c r="U1150">
        <v>1</v>
      </c>
      <c r="V1150">
        <v>1</v>
      </c>
      <c r="W1150">
        <v>1</v>
      </c>
      <c r="X1150">
        <v>0.89019999999999999</v>
      </c>
      <c r="Y1150">
        <v>0</v>
      </c>
      <c r="Z1150">
        <v>1</v>
      </c>
      <c r="AA1150">
        <v>1</v>
      </c>
      <c r="AB1150">
        <v>1</v>
      </c>
      <c r="AC1150">
        <v>1</v>
      </c>
    </row>
    <row r="1151" spans="1:29" x14ac:dyDescent="0.45">
      <c r="A1151" t="s">
        <v>118</v>
      </c>
      <c r="B1151" t="s">
        <v>440</v>
      </c>
      <c r="C1151" t="s">
        <v>441</v>
      </c>
      <c r="D1151" t="s">
        <v>424</v>
      </c>
      <c r="E1151" t="str">
        <f t="shared" si="17"/>
        <v>WY|offshore wind|Winter</v>
      </c>
      <c r="F1151">
        <v>1</v>
      </c>
      <c r="G1151">
        <v>1</v>
      </c>
      <c r="H1151">
        <v>1</v>
      </c>
      <c r="I1151">
        <v>1</v>
      </c>
      <c r="J1151">
        <v>1</v>
      </c>
      <c r="K1151">
        <v>1</v>
      </c>
      <c r="L1151">
        <v>1</v>
      </c>
      <c r="M1151">
        <v>1</v>
      </c>
      <c r="N1151">
        <v>1</v>
      </c>
      <c r="O1151">
        <v>1</v>
      </c>
      <c r="P1151">
        <v>1</v>
      </c>
      <c r="Q1151">
        <v>1</v>
      </c>
      <c r="R1151">
        <v>1</v>
      </c>
      <c r="S1151">
        <v>1</v>
      </c>
      <c r="T1151">
        <v>1</v>
      </c>
      <c r="U1151">
        <v>1</v>
      </c>
      <c r="V1151">
        <v>1</v>
      </c>
      <c r="W1151">
        <v>1</v>
      </c>
      <c r="X1151">
        <v>1</v>
      </c>
      <c r="Y1151">
        <v>1</v>
      </c>
      <c r="Z1151">
        <v>1</v>
      </c>
      <c r="AA1151">
        <v>1</v>
      </c>
      <c r="AB1151">
        <v>1</v>
      </c>
      <c r="AC1151">
        <v>1</v>
      </c>
    </row>
    <row r="1152" spans="1:29" x14ac:dyDescent="0.45">
      <c r="A1152" t="s">
        <v>118</v>
      </c>
      <c r="B1152" t="s">
        <v>440</v>
      </c>
      <c r="C1152" t="s">
        <v>441</v>
      </c>
      <c r="D1152" t="s">
        <v>425</v>
      </c>
      <c r="E1152" t="str">
        <f t="shared" si="17"/>
        <v>WY|offshore wind|Spring</v>
      </c>
      <c r="F1152">
        <v>1</v>
      </c>
      <c r="G1152">
        <v>1</v>
      </c>
      <c r="H1152">
        <v>1</v>
      </c>
      <c r="I1152">
        <v>1</v>
      </c>
      <c r="J1152">
        <v>1</v>
      </c>
      <c r="K1152">
        <v>1</v>
      </c>
      <c r="L1152">
        <v>1</v>
      </c>
      <c r="M1152">
        <v>1</v>
      </c>
      <c r="N1152">
        <v>1</v>
      </c>
      <c r="O1152">
        <v>1</v>
      </c>
      <c r="P1152">
        <v>1</v>
      </c>
      <c r="Q1152">
        <v>1</v>
      </c>
      <c r="R1152">
        <v>1</v>
      </c>
      <c r="S1152">
        <v>1</v>
      </c>
      <c r="T1152">
        <v>1</v>
      </c>
      <c r="U1152">
        <v>1</v>
      </c>
      <c r="V1152">
        <v>1</v>
      </c>
      <c r="W1152">
        <v>1</v>
      </c>
      <c r="X1152">
        <v>1</v>
      </c>
      <c r="Y1152">
        <v>1</v>
      </c>
      <c r="Z1152">
        <v>1</v>
      </c>
      <c r="AA1152">
        <v>1</v>
      </c>
      <c r="AB1152">
        <v>1</v>
      </c>
      <c r="AC1152">
        <v>1</v>
      </c>
    </row>
    <row r="1153" spans="1:29" x14ac:dyDescent="0.45">
      <c r="A1153" t="s">
        <v>118</v>
      </c>
      <c r="B1153" t="s">
        <v>440</v>
      </c>
      <c r="C1153" t="s">
        <v>441</v>
      </c>
      <c r="D1153" t="s">
        <v>426</v>
      </c>
      <c r="E1153" t="str">
        <f t="shared" si="17"/>
        <v>WY|offshore wind|Summer</v>
      </c>
      <c r="F1153">
        <v>1</v>
      </c>
      <c r="G1153">
        <v>1</v>
      </c>
      <c r="H1153">
        <v>1</v>
      </c>
      <c r="I1153">
        <v>1</v>
      </c>
      <c r="J1153">
        <v>1</v>
      </c>
      <c r="K1153">
        <v>1</v>
      </c>
      <c r="L1153">
        <v>1</v>
      </c>
      <c r="M1153">
        <v>1</v>
      </c>
      <c r="N1153">
        <v>1</v>
      </c>
      <c r="O1153">
        <v>1</v>
      </c>
      <c r="P1153">
        <v>1</v>
      </c>
      <c r="Q1153">
        <v>1</v>
      </c>
      <c r="R1153">
        <v>1</v>
      </c>
      <c r="S1153">
        <v>1</v>
      </c>
      <c r="T1153">
        <v>1</v>
      </c>
      <c r="U1153">
        <v>1</v>
      </c>
      <c r="V1153">
        <v>1</v>
      </c>
      <c r="W1153">
        <v>1</v>
      </c>
      <c r="X1153">
        <v>1</v>
      </c>
      <c r="Y1153">
        <v>1</v>
      </c>
      <c r="Z1153">
        <v>1</v>
      </c>
      <c r="AA1153">
        <v>1</v>
      </c>
      <c r="AB1153">
        <v>1</v>
      </c>
      <c r="AC1153">
        <v>1</v>
      </c>
    </row>
    <row r="1154" spans="1:29" x14ac:dyDescent="0.45">
      <c r="A1154" t="s">
        <v>118</v>
      </c>
      <c r="B1154" t="s">
        <v>440</v>
      </c>
      <c r="C1154" t="s">
        <v>441</v>
      </c>
      <c r="D1154" t="s">
        <v>427</v>
      </c>
      <c r="E1154" t="str">
        <f t="shared" si="17"/>
        <v>WY|offshore wind|Fall</v>
      </c>
      <c r="F1154">
        <v>1</v>
      </c>
      <c r="G1154">
        <v>1</v>
      </c>
      <c r="H1154">
        <v>1</v>
      </c>
      <c r="I1154">
        <v>1</v>
      </c>
      <c r="J1154">
        <v>1</v>
      </c>
      <c r="K1154">
        <v>1</v>
      </c>
      <c r="L1154">
        <v>1</v>
      </c>
      <c r="M1154">
        <v>1</v>
      </c>
      <c r="N1154">
        <v>1</v>
      </c>
      <c r="O1154">
        <v>1</v>
      </c>
      <c r="P1154">
        <v>1</v>
      </c>
      <c r="Q1154">
        <v>1</v>
      </c>
      <c r="R1154">
        <v>1</v>
      </c>
      <c r="S1154">
        <v>1</v>
      </c>
      <c r="T1154">
        <v>1</v>
      </c>
      <c r="U1154">
        <v>1</v>
      </c>
      <c r="V1154">
        <v>1</v>
      </c>
      <c r="W1154">
        <v>1</v>
      </c>
      <c r="X1154">
        <v>1</v>
      </c>
      <c r="Y1154">
        <v>1</v>
      </c>
      <c r="Z1154">
        <v>1</v>
      </c>
      <c r="AA1154">
        <v>1</v>
      </c>
      <c r="AB1154">
        <v>1</v>
      </c>
      <c r="AC1154">
        <v>1</v>
      </c>
    </row>
    <row r="1155" spans="1:29" x14ac:dyDescent="0.45">
      <c r="A1155" t="s">
        <v>118</v>
      </c>
      <c r="B1155" t="s">
        <v>440</v>
      </c>
      <c r="C1155" t="s">
        <v>441</v>
      </c>
      <c r="D1155" t="s">
        <v>428</v>
      </c>
      <c r="E1155" t="str">
        <f t="shared" si="17"/>
        <v>WY|offshore wind|Summer Peak</v>
      </c>
      <c r="F1155">
        <v>0.40810000000000002</v>
      </c>
      <c r="G1155">
        <v>0.4239</v>
      </c>
      <c r="H1155">
        <v>0.45760000000000001</v>
      </c>
      <c r="I1155">
        <v>0.50319999999999998</v>
      </c>
      <c r="J1155">
        <v>0.53649999999999998</v>
      </c>
      <c r="K1155">
        <v>0.59399999999999997</v>
      </c>
      <c r="L1155">
        <v>0.61929999999999996</v>
      </c>
      <c r="M1155">
        <v>0.68859999999999999</v>
      </c>
      <c r="N1155">
        <v>0.73480000000000001</v>
      </c>
      <c r="O1155">
        <v>0.84350000000000003</v>
      </c>
      <c r="P1155">
        <v>0.78200000000000003</v>
      </c>
      <c r="Q1155">
        <v>0.74650000000000005</v>
      </c>
      <c r="R1155">
        <v>0.63690000000000002</v>
      </c>
      <c r="S1155">
        <v>0.60860000000000003</v>
      </c>
      <c r="T1155">
        <v>0.64339999999999997</v>
      </c>
      <c r="U1155">
        <v>0.69269999999999998</v>
      </c>
      <c r="V1155">
        <v>0.71450000000000002</v>
      </c>
      <c r="W1155">
        <v>0.75070000000000003</v>
      </c>
      <c r="X1155">
        <v>0.72489999999999999</v>
      </c>
      <c r="Y1155">
        <v>0.66049999999999998</v>
      </c>
      <c r="Z1155">
        <v>0.69140000000000001</v>
      </c>
      <c r="AA1155">
        <v>0.63080000000000003</v>
      </c>
      <c r="AB1155">
        <v>0.63429999999999997</v>
      </c>
      <c r="AC1155">
        <v>0.64390000000000003</v>
      </c>
    </row>
    <row r="1156" spans="1:29" x14ac:dyDescent="0.45">
      <c r="A1156" t="s">
        <v>118</v>
      </c>
      <c r="B1156" t="s">
        <v>440</v>
      </c>
      <c r="C1156" t="s">
        <v>441</v>
      </c>
      <c r="D1156" t="s">
        <v>429</v>
      </c>
      <c r="E1156" t="str">
        <f t="shared" si="17"/>
        <v>WY|offshore wind|Winter Peak</v>
      </c>
      <c r="F1156">
        <v>0.95309999999999995</v>
      </c>
      <c r="G1156">
        <v>0.95030000000000003</v>
      </c>
      <c r="H1156">
        <v>0.95540000000000003</v>
      </c>
      <c r="I1156">
        <v>0.96679999999999999</v>
      </c>
      <c r="J1156">
        <v>1</v>
      </c>
      <c r="K1156">
        <v>1</v>
      </c>
      <c r="L1156">
        <v>1</v>
      </c>
      <c r="M1156">
        <v>0.99209999999999998</v>
      </c>
      <c r="N1156">
        <v>0.90149999999999997</v>
      </c>
      <c r="O1156">
        <v>0.79779999999999995</v>
      </c>
      <c r="P1156">
        <v>0.71879999999999999</v>
      </c>
      <c r="Q1156">
        <v>0.67300000000000004</v>
      </c>
      <c r="R1156">
        <v>0.60860000000000003</v>
      </c>
      <c r="S1156">
        <v>0.58009999999999995</v>
      </c>
      <c r="T1156">
        <v>0.58799999999999997</v>
      </c>
      <c r="U1156">
        <v>0.61019999999999996</v>
      </c>
      <c r="V1156">
        <v>0.61839999999999995</v>
      </c>
      <c r="W1156">
        <v>0.60909999999999997</v>
      </c>
      <c r="X1156">
        <v>0.62880000000000003</v>
      </c>
      <c r="Y1156">
        <v>0.72889999999999999</v>
      </c>
      <c r="Z1156">
        <v>0.84719999999999995</v>
      </c>
      <c r="AA1156">
        <v>0.92220000000000002</v>
      </c>
      <c r="AB1156">
        <v>0.86950000000000005</v>
      </c>
      <c r="AC1156">
        <v>0.8054</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E349"/>
  <sheetViews>
    <sheetView workbookViewId="0"/>
  </sheetViews>
  <sheetFormatPr defaultRowHeight="14.25" x14ac:dyDescent="0.45"/>
  <cols>
    <col min="1" max="1" width="10" customWidth="1"/>
    <col min="2" max="2" width="14" customWidth="1"/>
    <col min="3" max="3" width="16" customWidth="1"/>
  </cols>
  <sheetData>
    <row r="1" spans="1:30" x14ac:dyDescent="0.45">
      <c r="A1" s="8" t="s">
        <v>442</v>
      </c>
      <c r="B1" s="9"/>
      <c r="C1" s="9"/>
      <c r="D1" s="9"/>
      <c r="E1" s="9"/>
      <c r="F1" s="9"/>
      <c r="G1" s="9"/>
      <c r="H1" s="9"/>
      <c r="I1" s="9"/>
      <c r="J1" s="9"/>
      <c r="K1" s="9"/>
      <c r="L1" s="9"/>
      <c r="M1" s="9"/>
      <c r="N1" s="9"/>
      <c r="O1" s="9"/>
      <c r="P1" s="9"/>
      <c r="Q1" s="9"/>
      <c r="R1" s="9"/>
      <c r="S1" s="9"/>
      <c r="T1" s="9"/>
      <c r="U1" s="9"/>
      <c r="V1" s="9"/>
      <c r="W1" s="9"/>
      <c r="X1" s="9"/>
      <c r="Y1" s="9"/>
      <c r="Z1" s="9"/>
      <c r="AA1" s="9"/>
      <c r="AB1" s="9"/>
      <c r="AC1" s="9"/>
      <c r="AD1" s="9"/>
    </row>
    <row r="2" spans="1:30" ht="409.5" x14ac:dyDescent="0.45">
      <c r="A2" s="10" t="s">
        <v>443</v>
      </c>
    </row>
    <row r="3" spans="1:30" ht="60" customHeight="1" x14ac:dyDescent="0.45">
      <c r="A3" s="7" t="s">
        <v>147</v>
      </c>
      <c r="B3" s="7" t="s">
        <v>444</v>
      </c>
      <c r="C3" s="7" t="s">
        <v>445</v>
      </c>
      <c r="D3" s="7" t="s">
        <v>446</v>
      </c>
      <c r="E3" s="7" t="s">
        <v>447</v>
      </c>
      <c r="F3" s="7" t="s">
        <v>448</v>
      </c>
      <c r="G3" s="7" t="s">
        <v>449</v>
      </c>
    </row>
    <row r="4" spans="1:30" x14ac:dyDescent="0.45">
      <c r="A4" t="s">
        <v>2</v>
      </c>
      <c r="B4">
        <f>INDEX(Src_MCF_hydro!$AC$5:$AC$52,MATCH($A4,Src_MCF_hydro!$A$5:$A$52,0))</f>
        <v>0.78856899999999996</v>
      </c>
      <c r="C4" t="str">
        <f>IFERROR(VLOOKUP($A4,Keys!$B$10:$C$14,2,FALSE),"")</f>
        <v/>
      </c>
      <c r="D4" t="str">
        <f>IFERROR(VLOOKUP($A4,Keys!$B$17:$C$26,2,FALSE),"")</f>
        <v/>
      </c>
      <c r="E4">
        <f>IF($C4&lt;&gt;"",$C4,IF($D4&lt;&gt;"",ROUND($D4/$B4,Keys!$C$5),1))</f>
        <v>1</v>
      </c>
      <c r="F4">
        <f t="shared" ref="F4:F51" si="0">$B4*$E4</f>
        <v>0.78856899999999996</v>
      </c>
      <c r="G4">
        <f>IF($D4&lt;&gt;"",IF(ABS($F4-$D4)&gt;Keys!$C$6,1,0),0)</f>
        <v>0</v>
      </c>
    </row>
    <row r="5" spans="1:30" x14ac:dyDescent="0.45">
      <c r="A5" t="s">
        <v>5</v>
      </c>
      <c r="B5">
        <f>INDEX(Src_MCF_hydro!$AC$5:$AC$52,MATCH($A5,Src_MCF_hydro!$A$5:$A$52,0))</f>
        <v>0.70997100000000002</v>
      </c>
      <c r="C5" t="str">
        <f>IFERROR(VLOOKUP($A5,Keys!$B$10:$C$14,2,FALSE),"")</f>
        <v/>
      </c>
      <c r="D5" t="str">
        <f>IFERROR(VLOOKUP($A5,Keys!$B$17:$C$26,2,FALSE),"")</f>
        <v/>
      </c>
      <c r="E5">
        <f>IF($C5&lt;&gt;"",$C5,IF($D5&lt;&gt;"",ROUND($D5/$B5,Keys!$C$5),1))</f>
        <v>1</v>
      </c>
      <c r="F5">
        <f t="shared" si="0"/>
        <v>0.70997100000000002</v>
      </c>
      <c r="G5">
        <f>IF($D5&lt;&gt;"",IF(ABS($F5-$D5)&gt;Keys!$C$6,1,0),0)</f>
        <v>0</v>
      </c>
    </row>
    <row r="6" spans="1:30" x14ac:dyDescent="0.45">
      <c r="A6" t="s">
        <v>9</v>
      </c>
      <c r="B6">
        <f>INDEX(Src_MCF_hydro!$AC$5:$AC$52,MATCH($A6,Src_MCF_hydro!$A$5:$A$52,0))</f>
        <v>0.86868000000000001</v>
      </c>
      <c r="C6" t="str">
        <f>IFERROR(VLOOKUP($A6,Keys!$B$10:$C$14,2,FALSE),"")</f>
        <v/>
      </c>
      <c r="D6">
        <f>IFERROR(VLOOKUP($A6,Keys!$B$17:$C$26,2,FALSE),"")</f>
        <v>0.55000000000000004</v>
      </c>
      <c r="E6">
        <f>IF($C6&lt;&gt;"",$C6,IF($D6&lt;&gt;"",ROUND($D6/$B6,Keys!$C$5),1))</f>
        <v>0.6331</v>
      </c>
      <c r="F6">
        <f t="shared" si="0"/>
        <v>0.54996130799999998</v>
      </c>
      <c r="G6">
        <f>IF($D6&lt;&gt;"",IF(ABS($F6-$D6)&gt;Keys!$C$6,1,0),0)</f>
        <v>0</v>
      </c>
    </row>
    <row r="7" spans="1:30" x14ac:dyDescent="0.45">
      <c r="A7" t="s">
        <v>12</v>
      </c>
      <c r="B7">
        <f>INDEX(Src_MCF_hydro!$AC$5:$AC$52,MATCH($A7,Src_MCF_hydro!$A$5:$A$52,0))</f>
        <v>0.77985400000000005</v>
      </c>
      <c r="C7" t="str">
        <f>IFERROR(VLOOKUP($A7,Keys!$B$10:$C$14,2,FALSE),"")</f>
        <v/>
      </c>
      <c r="D7" t="str">
        <f>IFERROR(VLOOKUP($A7,Keys!$B$17:$C$26,2,FALSE),"")</f>
        <v/>
      </c>
      <c r="E7">
        <f>IF($C7&lt;&gt;"",$C7,IF($D7&lt;&gt;"",ROUND($D7/$B7,Keys!$C$5),1))</f>
        <v>1</v>
      </c>
      <c r="F7">
        <f t="shared" si="0"/>
        <v>0.77985400000000005</v>
      </c>
      <c r="G7">
        <f>IF($D7&lt;&gt;"",IF(ABS($F7-$D7)&gt;Keys!$C$6,1,0),0)</f>
        <v>0</v>
      </c>
    </row>
    <row r="8" spans="1:30" x14ac:dyDescent="0.45">
      <c r="A8" t="s">
        <v>15</v>
      </c>
      <c r="B8">
        <f>INDEX(Src_MCF_hydro!$AC$5:$AC$52,MATCH($A8,Src_MCF_hydro!$A$5:$A$52,0))</f>
        <v>0.91566599999999998</v>
      </c>
      <c r="C8" t="str">
        <f>IFERROR(VLOOKUP($A8,Keys!$B$10:$C$14,2,FALSE),"")</f>
        <v/>
      </c>
      <c r="D8">
        <f>IFERROR(VLOOKUP($A8,Keys!$B$17:$C$26,2,FALSE),"")</f>
        <v>0.7</v>
      </c>
      <c r="E8">
        <f>IF($C8&lt;&gt;"",$C8,IF($D8&lt;&gt;"",ROUND($D8/$B8,Keys!$C$5),1))</f>
        <v>0.76449999999999996</v>
      </c>
      <c r="F8">
        <f t="shared" si="0"/>
        <v>0.700026657</v>
      </c>
      <c r="G8">
        <f>IF($D8&lt;&gt;"",IF(ABS($F8-$D8)&gt;Keys!$C$6,1,0),0)</f>
        <v>0</v>
      </c>
    </row>
    <row r="9" spans="1:30" x14ac:dyDescent="0.45">
      <c r="A9" t="s">
        <v>17</v>
      </c>
      <c r="B9">
        <f>INDEX(Src_MCF_hydro!$AC$5:$AC$52,MATCH($A9,Src_MCF_hydro!$A$5:$A$52,0))</f>
        <v>0.75283</v>
      </c>
      <c r="C9" t="str">
        <f>IFERROR(VLOOKUP($A9,Keys!$B$10:$C$14,2,FALSE),"")</f>
        <v/>
      </c>
      <c r="D9" t="str">
        <f>IFERROR(VLOOKUP($A9,Keys!$B$17:$C$26,2,FALSE),"")</f>
        <v/>
      </c>
      <c r="E9">
        <f>IF($C9&lt;&gt;"",$C9,IF($D9&lt;&gt;"",ROUND($D9/$B9,Keys!$C$5),1))</f>
        <v>1</v>
      </c>
      <c r="F9">
        <f t="shared" si="0"/>
        <v>0.75283</v>
      </c>
      <c r="G9">
        <f>IF($D9&lt;&gt;"",IF(ABS($F9-$D9)&gt;Keys!$C$6,1,0),0)</f>
        <v>0</v>
      </c>
    </row>
    <row r="10" spans="1:30" x14ac:dyDescent="0.45">
      <c r="A10" t="s">
        <v>20</v>
      </c>
      <c r="B10">
        <f>INDEX(Src_MCF_hydro!$AC$5:$AC$52,MATCH($A10,Src_MCF_hydro!$A$5:$A$52,0))</f>
        <v>0.73608399999999996</v>
      </c>
      <c r="C10" t="str">
        <f>IFERROR(VLOOKUP($A10,Keys!$B$10:$C$14,2,FALSE),"")</f>
        <v/>
      </c>
      <c r="D10" t="str">
        <f>IFERROR(VLOOKUP($A10,Keys!$B$17:$C$26,2,FALSE),"")</f>
        <v/>
      </c>
      <c r="E10">
        <f>IF($C10&lt;&gt;"",$C10,IF($D10&lt;&gt;"",ROUND($D10/$B10,Keys!$C$5),1))</f>
        <v>1</v>
      </c>
      <c r="F10">
        <f t="shared" si="0"/>
        <v>0.73608399999999996</v>
      </c>
      <c r="G10">
        <f>IF($D10&lt;&gt;"",IF(ABS($F10-$D10)&gt;Keys!$C$6,1,0),0)</f>
        <v>0</v>
      </c>
    </row>
    <row r="11" spans="1:30" x14ac:dyDescent="0.45">
      <c r="A11" t="s">
        <v>23</v>
      </c>
      <c r="B11">
        <f>INDEX(Src_MCF_hydro!$AC$5:$AC$52,MATCH($A11,Src_MCF_hydro!$A$5:$A$52,0))</f>
        <v>1</v>
      </c>
      <c r="C11">
        <f>IFERROR(VLOOKUP($A11,Keys!$B$10:$C$14,2,FALSE),"")</f>
        <v>0.50039999999999996</v>
      </c>
      <c r="D11" t="str">
        <f>IFERROR(VLOOKUP($A11,Keys!$B$17:$C$26,2,FALSE),"")</f>
        <v/>
      </c>
      <c r="E11">
        <f>IF($C11&lt;&gt;"",$C11,IF($D11&lt;&gt;"",ROUND($D11/$B11,Keys!$C$5),1))</f>
        <v>0.50039999999999996</v>
      </c>
      <c r="F11">
        <f t="shared" si="0"/>
        <v>0.50039999999999996</v>
      </c>
      <c r="G11">
        <f>IF($D11&lt;&gt;"",IF(ABS($F11-$D11)&gt;Keys!$C$6,1,0),0)</f>
        <v>0</v>
      </c>
    </row>
    <row r="12" spans="1:30" x14ac:dyDescent="0.45">
      <c r="A12" t="s">
        <v>25</v>
      </c>
      <c r="B12">
        <f>INDEX(Src_MCF_hydro!$AC$5:$AC$52,MATCH($A12,Src_MCF_hydro!$A$5:$A$52,0))</f>
        <v>0.81289800000000001</v>
      </c>
      <c r="C12" t="str">
        <f>IFERROR(VLOOKUP($A12,Keys!$B$10:$C$14,2,FALSE),"")</f>
        <v/>
      </c>
      <c r="D12" t="str">
        <f>IFERROR(VLOOKUP($A12,Keys!$B$17:$C$26,2,FALSE),"")</f>
        <v/>
      </c>
      <c r="E12">
        <f>IF($C12&lt;&gt;"",$C12,IF($D12&lt;&gt;"",ROUND($D12/$B12,Keys!$C$5),1))</f>
        <v>1</v>
      </c>
      <c r="F12">
        <f t="shared" si="0"/>
        <v>0.81289800000000001</v>
      </c>
      <c r="G12">
        <f>IF($D12&lt;&gt;"",IF(ABS($F12-$D12)&gt;Keys!$C$6,1,0),0)</f>
        <v>0</v>
      </c>
    </row>
    <row r="13" spans="1:30" x14ac:dyDescent="0.45">
      <c r="A13" t="s">
        <v>28</v>
      </c>
      <c r="B13">
        <f>INDEX(Src_MCF_hydro!$AC$5:$AC$52,MATCH($A13,Src_MCF_hydro!$A$5:$A$52,0))</f>
        <v>0.86579700000000004</v>
      </c>
      <c r="C13" t="str">
        <f>IFERROR(VLOOKUP($A13,Keys!$B$10:$C$14,2,FALSE),"")</f>
        <v/>
      </c>
      <c r="D13">
        <f>IFERROR(VLOOKUP($A13,Keys!$B$17:$C$26,2,FALSE),"")</f>
        <v>0.75</v>
      </c>
      <c r="E13">
        <f>IF($C13&lt;&gt;"",$C13,IF($D13&lt;&gt;"",ROUND($D13/$B13,Keys!$C$5),1))</f>
        <v>0.86629999999999996</v>
      </c>
      <c r="F13">
        <f t="shared" si="0"/>
        <v>0.75003994110000005</v>
      </c>
      <c r="G13">
        <f>IF($D13&lt;&gt;"",IF(ABS($F13-$D13)&gt;Keys!$C$6,1,0),0)</f>
        <v>0</v>
      </c>
    </row>
    <row r="14" spans="1:30" x14ac:dyDescent="0.45">
      <c r="A14" t="s">
        <v>31</v>
      </c>
      <c r="B14">
        <f>INDEX(Src_MCF_hydro!$AC$5:$AC$52,MATCH($A14,Src_MCF_hydro!$A$5:$A$52,0))</f>
        <v>0.83618999999999999</v>
      </c>
      <c r="C14" t="str">
        <f>IFERROR(VLOOKUP($A14,Keys!$B$10:$C$14,2,FALSE),"")</f>
        <v/>
      </c>
      <c r="D14" t="str">
        <f>IFERROR(VLOOKUP($A14,Keys!$B$17:$C$26,2,FALSE),"")</f>
        <v/>
      </c>
      <c r="E14">
        <f>IF($C14&lt;&gt;"",$C14,IF($D14&lt;&gt;"",ROUND($D14/$B14,Keys!$C$5),1))</f>
        <v>1</v>
      </c>
      <c r="F14">
        <f t="shared" si="0"/>
        <v>0.83618999999999999</v>
      </c>
      <c r="G14">
        <f>IF($D14&lt;&gt;"",IF(ABS($F14-$D14)&gt;Keys!$C$6,1,0),0)</f>
        <v>0</v>
      </c>
    </row>
    <row r="15" spans="1:30" x14ac:dyDescent="0.45">
      <c r="A15" t="s">
        <v>34</v>
      </c>
      <c r="B15">
        <f>INDEX(Src_MCF_hydro!$AC$5:$AC$52,MATCH($A15,Src_MCF_hydro!$A$5:$A$52,0))</f>
        <v>0.43059399999999998</v>
      </c>
      <c r="C15" t="str">
        <f>IFERROR(VLOOKUP($A15,Keys!$B$10:$C$14,2,FALSE),"")</f>
        <v/>
      </c>
      <c r="D15" t="str">
        <f>IFERROR(VLOOKUP($A15,Keys!$B$17:$C$26,2,FALSE),"")</f>
        <v/>
      </c>
      <c r="E15">
        <f>IF($C15&lt;&gt;"",$C15,IF($D15&lt;&gt;"",ROUND($D15/$B15,Keys!$C$5),1))</f>
        <v>1</v>
      </c>
      <c r="F15">
        <f t="shared" si="0"/>
        <v>0.43059399999999998</v>
      </c>
      <c r="G15">
        <f>IF($D15&lt;&gt;"",IF(ABS($F15-$D15)&gt;Keys!$C$6,1,0),0)</f>
        <v>0</v>
      </c>
    </row>
    <row r="16" spans="1:30" x14ac:dyDescent="0.45">
      <c r="A16" t="s">
        <v>36</v>
      </c>
      <c r="B16">
        <f>INDEX(Src_MCF_hydro!$AC$5:$AC$52,MATCH($A16,Src_MCF_hydro!$A$5:$A$52,0))</f>
        <v>0.75653899999999996</v>
      </c>
      <c r="C16" t="str">
        <f>IFERROR(VLOOKUP($A16,Keys!$B$10:$C$14,2,FALSE),"")</f>
        <v/>
      </c>
      <c r="D16" t="str">
        <f>IFERROR(VLOOKUP($A16,Keys!$B$17:$C$26,2,FALSE),"")</f>
        <v/>
      </c>
      <c r="E16">
        <f>IF($C16&lt;&gt;"",$C16,IF($D16&lt;&gt;"",ROUND($D16/$B16,Keys!$C$5),1))</f>
        <v>1</v>
      </c>
      <c r="F16">
        <f t="shared" si="0"/>
        <v>0.75653899999999996</v>
      </c>
      <c r="G16">
        <f>IF($D16&lt;&gt;"",IF(ABS($F16-$D16)&gt;Keys!$C$6,1,0),0)</f>
        <v>0</v>
      </c>
    </row>
    <row r="17" spans="1:7" x14ac:dyDescent="0.45">
      <c r="A17" t="s">
        <v>39</v>
      </c>
      <c r="B17">
        <f>INDEX(Src_MCF_hydro!$AC$5:$AC$52,MATCH($A17,Src_MCF_hydro!$A$5:$A$52,0))</f>
        <v>0.54661800000000005</v>
      </c>
      <c r="C17" t="str">
        <f>IFERROR(VLOOKUP($A17,Keys!$B$10:$C$14,2,FALSE),"")</f>
        <v/>
      </c>
      <c r="D17" t="str">
        <f>IFERROR(VLOOKUP($A17,Keys!$B$17:$C$26,2,FALSE),"")</f>
        <v/>
      </c>
      <c r="E17">
        <f>IF($C17&lt;&gt;"",$C17,IF($D17&lt;&gt;"",ROUND($D17/$B17,Keys!$C$5),1))</f>
        <v>1</v>
      </c>
      <c r="F17">
        <f t="shared" si="0"/>
        <v>0.54661800000000005</v>
      </c>
      <c r="G17">
        <f>IF($D17&lt;&gt;"",IF(ABS($F17-$D17)&gt;Keys!$C$6,1,0),0)</f>
        <v>0</v>
      </c>
    </row>
    <row r="18" spans="1:7" x14ac:dyDescent="0.45">
      <c r="A18" t="s">
        <v>42</v>
      </c>
      <c r="B18">
        <f>INDEX(Src_MCF_hydro!$AC$5:$AC$52,MATCH($A18,Src_MCF_hydro!$A$5:$A$52,0))</f>
        <v>0.64640500000000001</v>
      </c>
      <c r="C18" t="str">
        <f>IFERROR(VLOOKUP($A18,Keys!$B$10:$C$14,2,FALSE),"")</f>
        <v/>
      </c>
      <c r="D18" t="str">
        <f>IFERROR(VLOOKUP($A18,Keys!$B$17:$C$26,2,FALSE),"")</f>
        <v/>
      </c>
      <c r="E18">
        <f>IF($C18&lt;&gt;"",$C18,IF($D18&lt;&gt;"",ROUND($D18/$B18,Keys!$C$5),1))</f>
        <v>1</v>
      </c>
      <c r="F18">
        <f t="shared" si="0"/>
        <v>0.64640500000000001</v>
      </c>
      <c r="G18">
        <f>IF($D18&lt;&gt;"",IF(ABS($F18-$D18)&gt;Keys!$C$6,1,0),0)</f>
        <v>0</v>
      </c>
    </row>
    <row r="19" spans="1:7" x14ac:dyDescent="0.45">
      <c r="A19" t="s">
        <v>44</v>
      </c>
      <c r="B19">
        <f>INDEX(Src_MCF_hydro!$AC$5:$AC$52,MATCH($A19,Src_MCF_hydro!$A$5:$A$52,0))</f>
        <v>0.75773400000000002</v>
      </c>
      <c r="C19" t="str">
        <f>IFERROR(VLOOKUP($A19,Keys!$B$10:$C$14,2,FALSE),"")</f>
        <v/>
      </c>
      <c r="D19" t="str">
        <f>IFERROR(VLOOKUP($A19,Keys!$B$17:$C$26,2,FALSE),"")</f>
        <v/>
      </c>
      <c r="E19">
        <f>IF($C19&lt;&gt;"",$C19,IF($D19&lt;&gt;"",ROUND($D19/$B19,Keys!$C$5),1))</f>
        <v>1</v>
      </c>
      <c r="F19">
        <f t="shared" si="0"/>
        <v>0.75773400000000002</v>
      </c>
      <c r="G19">
        <f>IF($D19&lt;&gt;"",IF(ABS($F19-$D19)&gt;Keys!$C$6,1,0),0)</f>
        <v>0</v>
      </c>
    </row>
    <row r="20" spans="1:7" x14ac:dyDescent="0.45">
      <c r="A20" t="s">
        <v>47</v>
      </c>
      <c r="B20">
        <f>INDEX(Src_MCF_hydro!$AC$5:$AC$52,MATCH($A20,Src_MCF_hydro!$A$5:$A$52,0))</f>
        <v>0.59989700000000001</v>
      </c>
      <c r="C20" t="str">
        <f>IFERROR(VLOOKUP($A20,Keys!$B$10:$C$14,2,FALSE),"")</f>
        <v/>
      </c>
      <c r="D20" t="str">
        <f>IFERROR(VLOOKUP($A20,Keys!$B$17:$C$26,2,FALSE),"")</f>
        <v/>
      </c>
      <c r="E20">
        <f>IF($C20&lt;&gt;"",$C20,IF($D20&lt;&gt;"",ROUND($D20/$B20,Keys!$C$5),1))</f>
        <v>1</v>
      </c>
      <c r="F20">
        <f t="shared" si="0"/>
        <v>0.59989700000000001</v>
      </c>
      <c r="G20">
        <f>IF($D20&lt;&gt;"",IF(ABS($F20-$D20)&gt;Keys!$C$6,1,0),0)</f>
        <v>0</v>
      </c>
    </row>
    <row r="21" spans="1:7" x14ac:dyDescent="0.45">
      <c r="A21" t="s">
        <v>50</v>
      </c>
      <c r="B21">
        <f>INDEX(Src_MCF_hydro!$AC$5:$AC$52,MATCH($A21,Src_MCF_hydro!$A$5:$A$52,0))</f>
        <v>0.49823099999999998</v>
      </c>
      <c r="C21" t="str">
        <f>IFERROR(VLOOKUP($A21,Keys!$B$10:$C$14,2,FALSE),"")</f>
        <v/>
      </c>
      <c r="D21" t="str">
        <f>IFERROR(VLOOKUP($A21,Keys!$B$17:$C$26,2,FALSE),"")</f>
        <v/>
      </c>
      <c r="E21">
        <f>IF($C21&lt;&gt;"",$C21,IF($D21&lt;&gt;"",ROUND($D21/$B21,Keys!$C$5),1))</f>
        <v>1</v>
      </c>
      <c r="F21">
        <f t="shared" si="0"/>
        <v>0.49823099999999998</v>
      </c>
      <c r="G21">
        <f>IF($D21&lt;&gt;"",IF(ABS($F21-$D21)&gt;Keys!$C$6,1,0),0)</f>
        <v>0</v>
      </c>
    </row>
    <row r="22" spans="1:7" x14ac:dyDescent="0.45">
      <c r="A22" t="s">
        <v>53</v>
      </c>
      <c r="B22">
        <f>INDEX(Src_MCF_hydro!$AC$5:$AC$52,MATCH($A22,Src_MCF_hydro!$A$5:$A$52,0))</f>
        <v>0.74843700000000002</v>
      </c>
      <c r="C22" t="str">
        <f>IFERROR(VLOOKUP($A22,Keys!$B$10:$C$14,2,FALSE),"")</f>
        <v/>
      </c>
      <c r="D22" t="str">
        <f>IFERROR(VLOOKUP($A22,Keys!$B$17:$C$26,2,FALSE),"")</f>
        <v/>
      </c>
      <c r="E22">
        <f>IF($C22&lt;&gt;"",$C22,IF($D22&lt;&gt;"",ROUND($D22/$B22,Keys!$C$5),1))</f>
        <v>1</v>
      </c>
      <c r="F22">
        <f t="shared" si="0"/>
        <v>0.74843700000000002</v>
      </c>
      <c r="G22">
        <f>IF($D22&lt;&gt;"",IF(ABS($F22-$D22)&gt;Keys!$C$6,1,0),0)</f>
        <v>0</v>
      </c>
    </row>
    <row r="23" spans="1:7" x14ac:dyDescent="0.45">
      <c r="A23" t="s">
        <v>55</v>
      </c>
      <c r="B23">
        <f>INDEX(Src_MCF_hydro!$AC$5:$AC$52,MATCH($A23,Src_MCF_hydro!$A$5:$A$52,0))</f>
        <v>0.78508500000000003</v>
      </c>
      <c r="C23" t="str">
        <f>IFERROR(VLOOKUP($A23,Keys!$B$10:$C$14,2,FALSE),"")</f>
        <v/>
      </c>
      <c r="D23" t="str">
        <f>IFERROR(VLOOKUP($A23,Keys!$B$17:$C$26,2,FALSE),"")</f>
        <v/>
      </c>
      <c r="E23">
        <f>IF($C23&lt;&gt;"",$C23,IF($D23&lt;&gt;"",ROUND($D23/$B23,Keys!$C$5),1))</f>
        <v>1</v>
      </c>
      <c r="F23">
        <f t="shared" si="0"/>
        <v>0.78508500000000003</v>
      </c>
      <c r="G23">
        <f>IF($D23&lt;&gt;"",IF(ABS($F23-$D23)&gt;Keys!$C$6,1,0),0)</f>
        <v>0</v>
      </c>
    </row>
    <row r="24" spans="1:7" x14ac:dyDescent="0.45">
      <c r="A24" t="s">
        <v>58</v>
      </c>
      <c r="B24">
        <f>INDEX(Src_MCF_hydro!$AC$5:$AC$52,MATCH($A24,Src_MCF_hydro!$A$5:$A$52,0))</f>
        <v>0.88971599999999995</v>
      </c>
      <c r="C24" t="str">
        <f>IFERROR(VLOOKUP($A24,Keys!$B$10:$C$14,2,FALSE),"")</f>
        <v/>
      </c>
      <c r="D24">
        <f>IFERROR(VLOOKUP($A24,Keys!$B$17:$C$26,2,FALSE),"")</f>
        <v>0.75</v>
      </c>
      <c r="E24">
        <f>IF($C24&lt;&gt;"",$C24,IF($D24&lt;&gt;"",ROUND($D24/$B24,Keys!$C$5),1))</f>
        <v>0.84299999999999997</v>
      </c>
      <c r="F24">
        <f t="shared" si="0"/>
        <v>0.75003058799999989</v>
      </c>
      <c r="G24">
        <f>IF($D24&lt;&gt;"",IF(ABS($F24-$D24)&gt;Keys!$C$6,1,0),0)</f>
        <v>0</v>
      </c>
    </row>
    <row r="25" spans="1:7" x14ac:dyDescent="0.45">
      <c r="A25" t="s">
        <v>61</v>
      </c>
      <c r="B25">
        <f>INDEX(Src_MCF_hydro!$AC$5:$AC$52,MATCH($A25,Src_MCF_hydro!$A$5:$A$52,0))</f>
        <v>0.54088199999999997</v>
      </c>
      <c r="C25" t="str">
        <f>IFERROR(VLOOKUP($A25,Keys!$B$10:$C$14,2,FALSE),"")</f>
        <v/>
      </c>
      <c r="D25" t="str">
        <f>IFERROR(VLOOKUP($A25,Keys!$B$17:$C$26,2,FALSE),"")</f>
        <v/>
      </c>
      <c r="E25">
        <f>IF($C25&lt;&gt;"",$C25,IF($D25&lt;&gt;"",ROUND($D25/$B25,Keys!$C$5),1))</f>
        <v>1</v>
      </c>
      <c r="F25">
        <f t="shared" si="0"/>
        <v>0.54088199999999997</v>
      </c>
      <c r="G25">
        <f>IF($D25&lt;&gt;"",IF(ABS($F25-$D25)&gt;Keys!$C$6,1,0),0)</f>
        <v>0</v>
      </c>
    </row>
    <row r="26" spans="1:7" x14ac:dyDescent="0.45">
      <c r="A26" t="s">
        <v>63</v>
      </c>
      <c r="B26">
        <f>INDEX(Src_MCF_hydro!$AC$5:$AC$52,MATCH($A26,Src_MCF_hydro!$A$5:$A$52,0))</f>
        <v>0.70353600000000005</v>
      </c>
      <c r="C26" t="str">
        <f>IFERROR(VLOOKUP($A26,Keys!$B$10:$C$14,2,FALSE),"")</f>
        <v/>
      </c>
      <c r="D26" t="str">
        <f>IFERROR(VLOOKUP($A26,Keys!$B$17:$C$26,2,FALSE),"")</f>
        <v/>
      </c>
      <c r="E26">
        <f>IF($C26&lt;&gt;"",$C26,IF($D26&lt;&gt;"",ROUND($D26/$B26,Keys!$C$5),1))</f>
        <v>1</v>
      </c>
      <c r="F26">
        <f t="shared" si="0"/>
        <v>0.70353600000000005</v>
      </c>
      <c r="G26">
        <f>IF($D26&lt;&gt;"",IF(ABS($F26-$D26)&gt;Keys!$C$6,1,0),0)</f>
        <v>0</v>
      </c>
    </row>
    <row r="27" spans="1:7" x14ac:dyDescent="0.45">
      <c r="A27" t="s">
        <v>65</v>
      </c>
      <c r="B27">
        <f>INDEX(Src_MCF_hydro!$AC$5:$AC$52,MATCH($A27,Src_MCF_hydro!$A$5:$A$52,0))</f>
        <v>0.77946300000000002</v>
      </c>
      <c r="C27" t="str">
        <f>IFERROR(VLOOKUP($A27,Keys!$B$10:$C$14,2,FALSE),"")</f>
        <v/>
      </c>
      <c r="D27" t="str">
        <f>IFERROR(VLOOKUP($A27,Keys!$B$17:$C$26,2,FALSE),"")</f>
        <v/>
      </c>
      <c r="E27">
        <f>IF($C27&lt;&gt;"",$C27,IF($D27&lt;&gt;"",ROUND($D27/$B27,Keys!$C$5),1))</f>
        <v>1</v>
      </c>
      <c r="F27">
        <f t="shared" si="0"/>
        <v>0.77946300000000002</v>
      </c>
      <c r="G27">
        <f>IF($D27&lt;&gt;"",IF(ABS($F27-$D27)&gt;Keys!$C$6,1,0),0)</f>
        <v>0</v>
      </c>
    </row>
    <row r="28" spans="1:7" x14ac:dyDescent="0.45">
      <c r="A28" t="s">
        <v>68</v>
      </c>
      <c r="B28">
        <f>INDEX(Src_MCF_hydro!$AC$5:$AC$52,MATCH($A28,Src_MCF_hydro!$A$5:$A$52,0))</f>
        <v>0.78747199999999995</v>
      </c>
      <c r="C28" t="str">
        <f>IFERROR(VLOOKUP($A28,Keys!$B$10:$C$14,2,FALSE),"")</f>
        <v/>
      </c>
      <c r="D28" t="str">
        <f>IFERROR(VLOOKUP($A28,Keys!$B$17:$C$26,2,FALSE),"")</f>
        <v/>
      </c>
      <c r="E28">
        <f>IF($C28&lt;&gt;"",$C28,IF($D28&lt;&gt;"",ROUND($D28/$B28,Keys!$C$5),1))</f>
        <v>1</v>
      </c>
      <c r="F28">
        <f t="shared" si="0"/>
        <v>0.78747199999999995</v>
      </c>
      <c r="G28">
        <f>IF($D28&lt;&gt;"",IF(ABS($F28-$D28)&gt;Keys!$C$6,1,0),0)</f>
        <v>0</v>
      </c>
    </row>
    <row r="29" spans="1:7" x14ac:dyDescent="0.45">
      <c r="A29" t="s">
        <v>72</v>
      </c>
      <c r="B29">
        <f>INDEX(Src_MCF_hydro!$AC$5:$AC$52,MATCH($A29,Src_MCF_hydro!$A$5:$A$52,0))</f>
        <v>1</v>
      </c>
      <c r="C29">
        <f>IFERROR(VLOOKUP($A29,Keys!$B$10:$C$14,2,FALSE),"")</f>
        <v>0.47270000000000001</v>
      </c>
      <c r="D29" t="str">
        <f>IFERROR(VLOOKUP($A29,Keys!$B$17:$C$26,2,FALSE),"")</f>
        <v/>
      </c>
      <c r="E29">
        <f>IF($C29&lt;&gt;"",$C29,IF($D29&lt;&gt;"",ROUND($D29/$B29,Keys!$C$5),1))</f>
        <v>0.47270000000000001</v>
      </c>
      <c r="F29">
        <f t="shared" si="0"/>
        <v>0.47270000000000001</v>
      </c>
      <c r="G29">
        <f>IF($D29&lt;&gt;"",IF(ABS($F29-$D29)&gt;Keys!$C$6,1,0),0)</f>
        <v>0</v>
      </c>
    </row>
    <row r="30" spans="1:7" x14ac:dyDescent="0.45">
      <c r="A30" t="s">
        <v>76</v>
      </c>
      <c r="B30">
        <f>INDEX(Src_MCF_hydro!$AC$5:$AC$52,MATCH($A30,Src_MCF_hydro!$A$5:$A$52,0))</f>
        <v>0.80720800000000004</v>
      </c>
      <c r="C30" t="str">
        <f>IFERROR(VLOOKUP($A30,Keys!$B$10:$C$14,2,FALSE),"")</f>
        <v/>
      </c>
      <c r="D30" t="str">
        <f>IFERROR(VLOOKUP($A30,Keys!$B$17:$C$26,2,FALSE),"")</f>
        <v/>
      </c>
      <c r="E30">
        <f>IF($C30&lt;&gt;"",$C30,IF($D30&lt;&gt;"",ROUND($D30/$B30,Keys!$C$5),1))</f>
        <v>1</v>
      </c>
      <c r="F30">
        <f t="shared" si="0"/>
        <v>0.80720800000000004</v>
      </c>
      <c r="G30">
        <f>IF($D30&lt;&gt;"",IF(ABS($F30-$D30)&gt;Keys!$C$6,1,0),0)</f>
        <v>0</v>
      </c>
    </row>
    <row r="31" spans="1:7" x14ac:dyDescent="0.45">
      <c r="A31" t="s">
        <v>78</v>
      </c>
      <c r="B31">
        <f>INDEX(Src_MCF_hydro!$AC$5:$AC$52,MATCH($A31,Src_MCF_hydro!$A$5:$A$52,0))</f>
        <v>0.35567900000000002</v>
      </c>
      <c r="C31" t="str">
        <f>IFERROR(VLOOKUP($A31,Keys!$B$10:$C$14,2,FALSE),"")</f>
        <v/>
      </c>
      <c r="D31" t="str">
        <f>IFERROR(VLOOKUP($A31,Keys!$B$17:$C$26,2,FALSE),"")</f>
        <v/>
      </c>
      <c r="E31">
        <f>IF($C31&lt;&gt;"",$C31,IF($D31&lt;&gt;"",ROUND($D31/$B31,Keys!$C$5),1))</f>
        <v>1</v>
      </c>
      <c r="F31">
        <f t="shared" si="0"/>
        <v>0.35567900000000002</v>
      </c>
      <c r="G31">
        <f>IF($D31&lt;&gt;"",IF(ABS($F31-$D31)&gt;Keys!$C$6,1,0),0)</f>
        <v>0</v>
      </c>
    </row>
    <row r="32" spans="1:7" x14ac:dyDescent="0.45">
      <c r="A32" t="s">
        <v>80</v>
      </c>
      <c r="B32">
        <f>INDEX(Src_MCF_hydro!$AC$5:$AC$52,MATCH($A32,Src_MCF_hydro!$A$5:$A$52,0))</f>
        <v>0.45816699999999999</v>
      </c>
      <c r="C32" t="str">
        <f>IFERROR(VLOOKUP($A32,Keys!$B$10:$C$14,2,FALSE),"")</f>
        <v/>
      </c>
      <c r="D32" t="str">
        <f>IFERROR(VLOOKUP($A32,Keys!$B$17:$C$26,2,FALSE),"")</f>
        <v/>
      </c>
      <c r="E32">
        <f>IF($C32&lt;&gt;"",$C32,IF($D32&lt;&gt;"",ROUND($D32/$B32,Keys!$C$5),1))</f>
        <v>1</v>
      </c>
      <c r="F32">
        <f t="shared" si="0"/>
        <v>0.45816699999999999</v>
      </c>
      <c r="G32">
        <f>IF($D32&lt;&gt;"",IF(ABS($F32-$D32)&gt;Keys!$C$6,1,0),0)</f>
        <v>0</v>
      </c>
    </row>
    <row r="33" spans="1:7" x14ac:dyDescent="0.45">
      <c r="A33" t="s">
        <v>82</v>
      </c>
      <c r="B33">
        <f>INDEX(Src_MCF_hydro!$AC$5:$AC$52,MATCH($A33,Src_MCF_hydro!$A$5:$A$52,0))</f>
        <v>0.29959599999999997</v>
      </c>
      <c r="C33" t="str">
        <f>IFERROR(VLOOKUP($A33,Keys!$B$10:$C$14,2,FALSE),"")</f>
        <v/>
      </c>
      <c r="D33" t="str">
        <f>IFERROR(VLOOKUP($A33,Keys!$B$17:$C$26,2,FALSE),"")</f>
        <v/>
      </c>
      <c r="E33">
        <f>IF($C33&lt;&gt;"",$C33,IF($D33&lt;&gt;"",ROUND($D33/$B33,Keys!$C$5),1))</f>
        <v>1</v>
      </c>
      <c r="F33">
        <f t="shared" si="0"/>
        <v>0.29959599999999997</v>
      </c>
      <c r="G33">
        <f>IF($D33&lt;&gt;"",IF(ABS($F33-$D33)&gt;Keys!$C$6,1,0),0)</f>
        <v>0</v>
      </c>
    </row>
    <row r="34" spans="1:7" x14ac:dyDescent="0.45">
      <c r="A34" t="s">
        <v>84</v>
      </c>
      <c r="B34">
        <f>INDEX(Src_MCF_hydro!$AC$5:$AC$52,MATCH($A34,Src_MCF_hydro!$A$5:$A$52,0))</f>
        <v>0.96957099999999996</v>
      </c>
      <c r="C34" t="str">
        <f>IFERROR(VLOOKUP($A34,Keys!$B$10:$C$14,2,FALSE),"")</f>
        <v/>
      </c>
      <c r="D34">
        <f>IFERROR(VLOOKUP($A34,Keys!$B$17:$C$26,2,FALSE),"")</f>
        <v>0.4</v>
      </c>
      <c r="E34">
        <f>IF($C34&lt;&gt;"",$C34,IF($D34&lt;&gt;"",ROUND($D34/$B34,Keys!$C$5),1))</f>
        <v>0.41260000000000002</v>
      </c>
      <c r="F34">
        <f t="shared" si="0"/>
        <v>0.40004499459999998</v>
      </c>
      <c r="G34">
        <f>IF($D34&lt;&gt;"",IF(ABS($F34-$D34)&gt;Keys!$C$6,1,0),0)</f>
        <v>0</v>
      </c>
    </row>
    <row r="35" spans="1:7" x14ac:dyDescent="0.45">
      <c r="A35" t="s">
        <v>86</v>
      </c>
      <c r="B35">
        <f>INDEX(Src_MCF_hydro!$AC$5:$AC$52,MATCH($A35,Src_MCF_hydro!$A$5:$A$52,0))</f>
        <v>0.90315699999999999</v>
      </c>
      <c r="C35" t="str">
        <f>IFERROR(VLOOKUP($A35,Keys!$B$10:$C$14,2,FALSE),"")</f>
        <v/>
      </c>
      <c r="D35">
        <f>IFERROR(VLOOKUP($A35,Keys!$B$17:$C$26,2,FALSE),"")</f>
        <v>0.9</v>
      </c>
      <c r="E35">
        <f>IF($C35&lt;&gt;"",$C35,IF($D35&lt;&gt;"",ROUND($D35/$B35,Keys!$C$5),1))</f>
        <v>0.99650000000000005</v>
      </c>
      <c r="F35">
        <f t="shared" si="0"/>
        <v>0.89999595050000003</v>
      </c>
      <c r="G35">
        <f>IF($D35&lt;&gt;"",IF(ABS($F35-$D35)&gt;Keys!$C$6,1,0),0)</f>
        <v>0</v>
      </c>
    </row>
    <row r="36" spans="1:7" x14ac:dyDescent="0.45">
      <c r="A36" t="s">
        <v>88</v>
      </c>
      <c r="B36">
        <f>INDEX(Src_MCF_hydro!$AC$5:$AC$52,MATCH($A36,Src_MCF_hydro!$A$5:$A$52,0))</f>
        <v>0.80702200000000002</v>
      </c>
      <c r="C36" t="str">
        <f>IFERROR(VLOOKUP($A36,Keys!$B$10:$C$14,2,FALSE),"")</f>
        <v/>
      </c>
      <c r="D36" t="str">
        <f>IFERROR(VLOOKUP($A36,Keys!$B$17:$C$26,2,FALSE),"")</f>
        <v/>
      </c>
      <c r="E36">
        <f>IF($C36&lt;&gt;"",$C36,IF($D36&lt;&gt;"",ROUND($D36/$B36,Keys!$C$5),1))</f>
        <v>1</v>
      </c>
      <c r="F36">
        <f t="shared" si="0"/>
        <v>0.80702200000000002</v>
      </c>
      <c r="G36">
        <f>IF($D36&lt;&gt;"",IF(ABS($F36-$D36)&gt;Keys!$C$6,1,0),0)</f>
        <v>0</v>
      </c>
    </row>
    <row r="37" spans="1:7" x14ac:dyDescent="0.45">
      <c r="A37" t="s">
        <v>90</v>
      </c>
      <c r="B37">
        <f>INDEX(Src_MCF_hydro!$AC$5:$AC$52,MATCH($A37,Src_MCF_hydro!$A$5:$A$52,0))</f>
        <v>0.87068299999999998</v>
      </c>
      <c r="C37" t="str">
        <f>IFERROR(VLOOKUP($A37,Keys!$B$10:$C$14,2,FALSE),"")</f>
        <v/>
      </c>
      <c r="D37">
        <f>IFERROR(VLOOKUP($A37,Keys!$B$17:$C$26,2,FALSE),"")</f>
        <v>0.75</v>
      </c>
      <c r="E37">
        <f>IF($C37&lt;&gt;"",$C37,IF($D37&lt;&gt;"",ROUND($D37/$B37,Keys!$C$5),1))</f>
        <v>0.86140000000000005</v>
      </c>
      <c r="F37">
        <f t="shared" si="0"/>
        <v>0.75000633620000001</v>
      </c>
      <c r="G37">
        <f>IF($D37&lt;&gt;"",IF(ABS($F37-$D37)&gt;Keys!$C$6,1,0),0)</f>
        <v>0</v>
      </c>
    </row>
    <row r="38" spans="1:7" x14ac:dyDescent="0.45">
      <c r="A38" t="s">
        <v>92</v>
      </c>
      <c r="B38">
        <f>INDEX(Src_MCF_hydro!$AC$5:$AC$52,MATCH($A38,Src_MCF_hydro!$A$5:$A$52,0))</f>
        <v>1</v>
      </c>
      <c r="C38">
        <f>IFERROR(VLOOKUP($A38,Keys!$B$10:$C$14,2,FALSE),"")</f>
        <v>0.75</v>
      </c>
      <c r="D38" t="str">
        <f>IFERROR(VLOOKUP($A38,Keys!$B$17:$C$26,2,FALSE),"")</f>
        <v/>
      </c>
      <c r="E38">
        <f>IF($C38&lt;&gt;"",$C38,IF($D38&lt;&gt;"",ROUND($D38/$B38,Keys!$C$5),1))</f>
        <v>0.75</v>
      </c>
      <c r="F38">
        <f t="shared" si="0"/>
        <v>0.75</v>
      </c>
      <c r="G38">
        <f>IF($D38&lt;&gt;"",IF(ABS($F38-$D38)&gt;Keys!$C$6,1,0),0)</f>
        <v>0</v>
      </c>
    </row>
    <row r="39" spans="1:7" x14ac:dyDescent="0.45">
      <c r="A39" t="s">
        <v>94</v>
      </c>
      <c r="B39">
        <f>INDEX(Src_MCF_hydro!$AC$5:$AC$52,MATCH($A39,Src_MCF_hydro!$A$5:$A$52,0))</f>
        <v>0.44725300000000001</v>
      </c>
      <c r="C39" t="str">
        <f>IFERROR(VLOOKUP($A39,Keys!$B$10:$C$14,2,FALSE),"")</f>
        <v/>
      </c>
      <c r="D39" t="str">
        <f>IFERROR(VLOOKUP($A39,Keys!$B$17:$C$26,2,FALSE),"")</f>
        <v/>
      </c>
      <c r="E39">
        <f>IF($C39&lt;&gt;"",$C39,IF($D39&lt;&gt;"",ROUND($D39/$B39,Keys!$C$5),1))</f>
        <v>1</v>
      </c>
      <c r="F39">
        <f t="shared" si="0"/>
        <v>0.44725300000000001</v>
      </c>
      <c r="G39">
        <f>IF($D39&lt;&gt;"",IF(ABS($F39-$D39)&gt;Keys!$C$6,1,0),0)</f>
        <v>0</v>
      </c>
    </row>
    <row r="40" spans="1:7" x14ac:dyDescent="0.45">
      <c r="A40" t="s">
        <v>96</v>
      </c>
      <c r="B40">
        <f>INDEX(Src_MCF_hydro!$AC$5:$AC$52,MATCH($A40,Src_MCF_hydro!$A$5:$A$52,0))</f>
        <v>0.43117499999999997</v>
      </c>
      <c r="C40" t="str">
        <f>IFERROR(VLOOKUP($A40,Keys!$B$10:$C$14,2,FALSE),"")</f>
        <v/>
      </c>
      <c r="D40" t="str">
        <f>IFERROR(VLOOKUP($A40,Keys!$B$17:$C$26,2,FALSE),"")</f>
        <v/>
      </c>
      <c r="E40">
        <f>IF($C40&lt;&gt;"",$C40,IF($D40&lt;&gt;"",ROUND($D40/$B40,Keys!$C$5),1))</f>
        <v>1</v>
      </c>
      <c r="F40">
        <f t="shared" si="0"/>
        <v>0.43117499999999997</v>
      </c>
      <c r="G40">
        <f>IF($D40&lt;&gt;"",IF(ABS($F40-$D40)&gt;Keys!$C$6,1,0),0)</f>
        <v>0</v>
      </c>
    </row>
    <row r="41" spans="1:7" x14ac:dyDescent="0.45">
      <c r="A41" t="s">
        <v>98</v>
      </c>
      <c r="B41">
        <f>INDEX(Src_MCF_hydro!$AC$5:$AC$52,MATCH($A41,Src_MCF_hydro!$A$5:$A$52,0))</f>
        <v>0.29378199999999999</v>
      </c>
      <c r="C41" t="str">
        <f>IFERROR(VLOOKUP($A41,Keys!$B$10:$C$14,2,FALSE),"")</f>
        <v/>
      </c>
      <c r="D41" t="str">
        <f>IFERROR(VLOOKUP($A41,Keys!$B$17:$C$26,2,FALSE),"")</f>
        <v/>
      </c>
      <c r="E41">
        <f>IF($C41&lt;&gt;"",$C41,IF($D41&lt;&gt;"",ROUND($D41/$B41,Keys!$C$5),1))</f>
        <v>1</v>
      </c>
      <c r="F41">
        <f t="shared" si="0"/>
        <v>0.29378199999999999</v>
      </c>
      <c r="G41">
        <f>IF($D41&lt;&gt;"",IF(ABS($F41-$D41)&gt;Keys!$C$6,1,0),0)</f>
        <v>0</v>
      </c>
    </row>
    <row r="42" spans="1:7" x14ac:dyDescent="0.45">
      <c r="A42" t="s">
        <v>100</v>
      </c>
      <c r="B42">
        <f>INDEX(Src_MCF_hydro!$AC$5:$AC$52,MATCH($A42,Src_MCF_hydro!$A$5:$A$52,0))</f>
        <v>0.93392299999999995</v>
      </c>
      <c r="C42" t="str">
        <f>IFERROR(VLOOKUP($A42,Keys!$B$10:$C$14,2,FALSE),"")</f>
        <v/>
      </c>
      <c r="D42">
        <f>IFERROR(VLOOKUP($A42,Keys!$B$17:$C$26,2,FALSE),"")</f>
        <v>0.75</v>
      </c>
      <c r="E42">
        <f>IF($C42&lt;&gt;"",$C42,IF($D42&lt;&gt;"",ROUND($D42/$B42,Keys!$C$5),1))</f>
        <v>0.80310000000000004</v>
      </c>
      <c r="F42">
        <f t="shared" si="0"/>
        <v>0.75003356129999998</v>
      </c>
      <c r="G42">
        <f>IF($D42&lt;&gt;"",IF(ABS($F42-$D42)&gt;Keys!$C$6,1,0),0)</f>
        <v>0</v>
      </c>
    </row>
    <row r="43" spans="1:7" x14ac:dyDescent="0.45">
      <c r="A43" t="s">
        <v>102</v>
      </c>
      <c r="B43">
        <f>INDEX(Src_MCF_hydro!$AC$5:$AC$52,MATCH($A43,Src_MCF_hydro!$A$5:$A$52,0))</f>
        <v>0.92208000000000001</v>
      </c>
      <c r="C43" t="str">
        <f>IFERROR(VLOOKUP($A43,Keys!$B$10:$C$14,2,FALSE),"")</f>
        <v/>
      </c>
      <c r="D43">
        <f>IFERROR(VLOOKUP($A43,Keys!$B$17:$C$26,2,FALSE),"")</f>
        <v>0.75</v>
      </c>
      <c r="E43">
        <f>IF($C43&lt;&gt;"",$C43,IF($D43&lt;&gt;"",ROUND($D43/$B43,Keys!$C$5),1))</f>
        <v>0.81340000000000001</v>
      </c>
      <c r="F43">
        <f t="shared" si="0"/>
        <v>0.75001987199999998</v>
      </c>
      <c r="G43">
        <f>IF($D43&lt;&gt;"",IF(ABS($F43-$D43)&gt;Keys!$C$6,1,0),0)</f>
        <v>0</v>
      </c>
    </row>
    <row r="44" spans="1:7" x14ac:dyDescent="0.45">
      <c r="A44" t="s">
        <v>104</v>
      </c>
      <c r="B44">
        <f>INDEX(Src_MCF_hydro!$AC$5:$AC$52,MATCH($A44,Src_MCF_hydro!$A$5:$A$52,0))</f>
        <v>0.485819</v>
      </c>
      <c r="C44" t="str">
        <f>IFERROR(VLOOKUP($A44,Keys!$B$10:$C$14,2,FALSE),"")</f>
        <v/>
      </c>
      <c r="D44" t="str">
        <f>IFERROR(VLOOKUP($A44,Keys!$B$17:$C$26,2,FALSE),"")</f>
        <v/>
      </c>
      <c r="E44">
        <f>IF($C44&lt;&gt;"",$C44,IF($D44&lt;&gt;"",ROUND($D44/$B44,Keys!$C$5),1))</f>
        <v>1</v>
      </c>
      <c r="F44">
        <f t="shared" si="0"/>
        <v>0.485819</v>
      </c>
      <c r="G44">
        <f>IF($D44&lt;&gt;"",IF(ABS($F44-$D44)&gt;Keys!$C$6,1,0),0)</f>
        <v>0</v>
      </c>
    </row>
    <row r="45" spans="1:7" x14ac:dyDescent="0.45">
      <c r="A45" t="s">
        <v>106</v>
      </c>
      <c r="B45">
        <f>INDEX(Src_MCF_hydro!$AC$5:$AC$52,MATCH($A45,Src_MCF_hydro!$A$5:$A$52,0))</f>
        <v>0.73715699999999995</v>
      </c>
      <c r="C45" t="str">
        <f>IFERROR(VLOOKUP($A45,Keys!$B$10:$C$14,2,FALSE),"")</f>
        <v/>
      </c>
      <c r="D45" t="str">
        <f>IFERROR(VLOOKUP($A45,Keys!$B$17:$C$26,2,FALSE),"")</f>
        <v/>
      </c>
      <c r="E45">
        <f>IF($C45&lt;&gt;"",$C45,IF($D45&lt;&gt;"",ROUND($D45/$B45,Keys!$C$5),1))</f>
        <v>1</v>
      </c>
      <c r="F45">
        <f t="shared" si="0"/>
        <v>0.73715699999999995</v>
      </c>
      <c r="G45">
        <f>IF($D45&lt;&gt;"",IF(ABS($F45-$D45)&gt;Keys!$C$6,1,0),0)</f>
        <v>0</v>
      </c>
    </row>
    <row r="46" spans="1:7" x14ac:dyDescent="0.45">
      <c r="A46" t="s">
        <v>108</v>
      </c>
      <c r="B46">
        <f>INDEX(Src_MCF_hydro!$AC$5:$AC$52,MATCH($A46,Src_MCF_hydro!$A$5:$A$52,0))</f>
        <v>0.62505100000000002</v>
      </c>
      <c r="C46" t="str">
        <f>IFERROR(VLOOKUP($A46,Keys!$B$10:$C$14,2,FALSE),"")</f>
        <v/>
      </c>
      <c r="D46" t="str">
        <f>IFERROR(VLOOKUP($A46,Keys!$B$17:$C$26,2,FALSE),"")</f>
        <v/>
      </c>
      <c r="E46">
        <f>IF($C46&lt;&gt;"",$C46,IF($D46&lt;&gt;"",ROUND($D46/$B46,Keys!$C$5),1))</f>
        <v>1</v>
      </c>
      <c r="F46">
        <f t="shared" si="0"/>
        <v>0.62505100000000002</v>
      </c>
      <c r="G46">
        <f>IF($D46&lt;&gt;"",IF(ABS($F46-$D46)&gt;Keys!$C$6,1,0),0)</f>
        <v>0</v>
      </c>
    </row>
    <row r="47" spans="1:7" x14ac:dyDescent="0.45">
      <c r="A47" t="s">
        <v>110</v>
      </c>
      <c r="B47">
        <f>INDEX(Src_MCF_hydro!$AC$5:$AC$52,MATCH($A47,Src_MCF_hydro!$A$5:$A$52,0))</f>
        <v>1</v>
      </c>
      <c r="C47">
        <f>IFERROR(VLOOKUP($A47,Keys!$B$10:$C$14,2,FALSE),"")</f>
        <v>0.36</v>
      </c>
      <c r="D47" t="str">
        <f>IFERROR(VLOOKUP($A47,Keys!$B$17:$C$26,2,FALSE),"")</f>
        <v/>
      </c>
      <c r="E47">
        <f>IF($C47&lt;&gt;"",$C47,IF($D47&lt;&gt;"",ROUND($D47/$B47,Keys!$C$5),1))</f>
        <v>0.36</v>
      </c>
      <c r="F47">
        <f t="shared" si="0"/>
        <v>0.36</v>
      </c>
      <c r="G47">
        <f>IF($D47&lt;&gt;"",IF(ABS($F47-$D47)&gt;Keys!$C$6,1,0),0)</f>
        <v>0</v>
      </c>
    </row>
    <row r="48" spans="1:7" x14ac:dyDescent="0.45">
      <c r="A48" t="s">
        <v>112</v>
      </c>
      <c r="B48">
        <f>INDEX(Src_MCF_hydro!$AC$5:$AC$52,MATCH($A48,Src_MCF_hydro!$A$5:$A$52,0))</f>
        <v>0.71941200000000005</v>
      </c>
      <c r="C48" t="str">
        <f>IFERROR(VLOOKUP($A48,Keys!$B$10:$C$14,2,FALSE),"")</f>
        <v/>
      </c>
      <c r="D48" t="str">
        <f>IFERROR(VLOOKUP($A48,Keys!$B$17:$C$26,2,FALSE),"")</f>
        <v/>
      </c>
      <c r="E48">
        <f>IF($C48&lt;&gt;"",$C48,IF($D48&lt;&gt;"",ROUND($D48/$B48,Keys!$C$5),1))</f>
        <v>1</v>
      </c>
      <c r="F48">
        <f t="shared" si="0"/>
        <v>0.71941200000000005</v>
      </c>
      <c r="G48">
        <f>IF($D48&lt;&gt;"",IF(ABS($F48-$D48)&gt;Keys!$C$6,1,0),0)</f>
        <v>0</v>
      </c>
    </row>
    <row r="49" spans="1:31" x14ac:dyDescent="0.45">
      <c r="A49" t="s">
        <v>114</v>
      </c>
      <c r="B49">
        <f>INDEX(Src_MCF_hydro!$AC$5:$AC$52,MATCH($A49,Src_MCF_hydro!$A$5:$A$52,0))</f>
        <v>0.91465099999999999</v>
      </c>
      <c r="C49" t="str">
        <f>IFERROR(VLOOKUP($A49,Keys!$B$10:$C$14,2,FALSE),"")</f>
        <v/>
      </c>
      <c r="D49">
        <f>IFERROR(VLOOKUP($A49,Keys!$B$17:$C$26,2,FALSE),"")</f>
        <v>0.75</v>
      </c>
      <c r="E49">
        <f>IF($C49&lt;&gt;"",$C49,IF($D49&lt;&gt;"",ROUND($D49/$B49,Keys!$C$5),1))</f>
        <v>0.82</v>
      </c>
      <c r="F49">
        <f t="shared" si="0"/>
        <v>0.75001381999999994</v>
      </c>
      <c r="G49">
        <f>IF($D49&lt;&gt;"",IF(ABS($F49-$D49)&gt;Keys!$C$6,1,0),0)</f>
        <v>0</v>
      </c>
    </row>
    <row r="50" spans="1:31" x14ac:dyDescent="0.45">
      <c r="A50" t="s">
        <v>116</v>
      </c>
      <c r="B50">
        <f>INDEX(Src_MCF_hydro!$AC$5:$AC$52,MATCH($A50,Src_MCF_hydro!$A$5:$A$52,0))</f>
        <v>0.64201799999999998</v>
      </c>
      <c r="C50" t="str">
        <f>IFERROR(VLOOKUP($A50,Keys!$B$10:$C$14,2,FALSE),"")</f>
        <v/>
      </c>
      <c r="D50" t="str">
        <f>IFERROR(VLOOKUP($A50,Keys!$B$17:$C$26,2,FALSE),"")</f>
        <v/>
      </c>
      <c r="E50">
        <f>IF($C50&lt;&gt;"",$C50,IF($D50&lt;&gt;"",ROUND($D50/$B50,Keys!$C$5),1))</f>
        <v>1</v>
      </c>
      <c r="F50">
        <f t="shared" si="0"/>
        <v>0.64201799999999998</v>
      </c>
      <c r="G50">
        <f>IF($D50&lt;&gt;"",IF(ABS($F50-$D50)&gt;Keys!$C$6,1,0),0)</f>
        <v>0</v>
      </c>
    </row>
    <row r="51" spans="1:31" x14ac:dyDescent="0.45">
      <c r="A51" t="s">
        <v>118</v>
      </c>
      <c r="B51">
        <f>INDEX(Src_MCF_hydro!$AC$5:$AC$52,MATCH($A51,Src_MCF_hydro!$A$5:$A$52,0))</f>
        <v>1</v>
      </c>
      <c r="C51">
        <f>IFERROR(VLOOKUP($A51,Keys!$B$10:$C$14,2,FALSE),"")</f>
        <v>0.4854</v>
      </c>
      <c r="D51" t="str">
        <f>IFERROR(VLOOKUP($A51,Keys!$B$17:$C$26,2,FALSE),"")</f>
        <v/>
      </c>
      <c r="E51">
        <f>IF($C51&lt;&gt;"",$C51,IF($D51&lt;&gt;"",ROUND($D51/$B51,Keys!$C$5),1))</f>
        <v>0.4854</v>
      </c>
      <c r="F51">
        <f t="shared" si="0"/>
        <v>0.4854</v>
      </c>
      <c r="G51">
        <f>IF($D51&lt;&gt;"",IF(ABS($F51-$D51)&gt;Keys!$C$6,1,0),0)</f>
        <v>0</v>
      </c>
    </row>
    <row r="53" spans="1:31" x14ac:dyDescent="0.45">
      <c r="A53" s="8" t="s">
        <v>450</v>
      </c>
      <c r="B53" s="9"/>
      <c r="C53" s="9"/>
      <c r="D53" s="9"/>
      <c r="E53" s="9"/>
      <c r="F53" s="9"/>
      <c r="G53" s="9"/>
      <c r="H53" s="9"/>
      <c r="I53" s="9"/>
      <c r="J53" s="9"/>
      <c r="K53" s="9"/>
      <c r="L53" s="9"/>
      <c r="M53" s="9"/>
      <c r="N53" s="9"/>
      <c r="O53" s="9"/>
      <c r="P53" s="9"/>
      <c r="Q53" s="9"/>
      <c r="R53" s="9"/>
      <c r="S53" s="9"/>
      <c r="T53" s="9"/>
      <c r="U53" s="9"/>
      <c r="V53" s="9"/>
      <c r="W53" s="9"/>
      <c r="X53" s="9"/>
      <c r="Y53" s="9"/>
      <c r="Z53" s="9"/>
      <c r="AA53" s="9"/>
      <c r="AB53" s="9"/>
      <c r="AC53" s="9"/>
      <c r="AD53" s="9"/>
    </row>
    <row r="54" spans="1:31" ht="409.5" x14ac:dyDescent="0.45">
      <c r="A54" s="10" t="s">
        <v>451</v>
      </c>
    </row>
    <row r="55" spans="1:31" ht="60" customHeight="1" x14ac:dyDescent="0.45">
      <c r="A55" s="7" t="s">
        <v>147</v>
      </c>
      <c r="B55" s="7" t="s">
        <v>398</v>
      </c>
      <c r="C55" s="7" t="s">
        <v>399</v>
      </c>
      <c r="D55" s="7" t="s">
        <v>452</v>
      </c>
      <c r="E55" s="7" t="s">
        <v>453</v>
      </c>
      <c r="F55" s="1" t="s">
        <v>400</v>
      </c>
      <c r="G55" s="1" t="s">
        <v>401</v>
      </c>
      <c r="H55" s="1" t="s">
        <v>402</v>
      </c>
      <c r="I55" s="1" t="s">
        <v>403</v>
      </c>
      <c r="J55" s="1" t="s">
        <v>404</v>
      </c>
      <c r="K55" s="1" t="s">
        <v>405</v>
      </c>
      <c r="L55" s="1" t="s">
        <v>406</v>
      </c>
      <c r="M55" s="1" t="s">
        <v>407</v>
      </c>
      <c r="N55" s="1" t="s">
        <v>408</v>
      </c>
      <c r="O55" s="1" t="s">
        <v>409</v>
      </c>
      <c r="P55" s="1" t="s">
        <v>410</v>
      </c>
      <c r="Q55" s="1" t="s">
        <v>411</v>
      </c>
      <c r="R55" s="1" t="s">
        <v>412</v>
      </c>
      <c r="S55" s="1" t="s">
        <v>413</v>
      </c>
      <c r="T55" s="1" t="s">
        <v>414</v>
      </c>
      <c r="U55" s="1" t="s">
        <v>415</v>
      </c>
      <c r="V55" s="1" t="s">
        <v>416</v>
      </c>
      <c r="W55" s="1" t="s">
        <v>417</v>
      </c>
      <c r="X55" s="1" t="s">
        <v>418</v>
      </c>
      <c r="Y55" s="1" t="s">
        <v>419</v>
      </c>
      <c r="Z55" s="1" t="s">
        <v>420</v>
      </c>
      <c r="AA55" s="1" t="s">
        <v>421</v>
      </c>
      <c r="AB55" s="1" t="s">
        <v>422</v>
      </c>
      <c r="AC55" s="1" t="s">
        <v>423</v>
      </c>
      <c r="AE55" s="7" t="s">
        <v>454</v>
      </c>
    </row>
    <row r="56" spans="1:31" x14ac:dyDescent="0.45">
      <c r="A56" t="s">
        <v>2</v>
      </c>
      <c r="B56" t="s">
        <v>424</v>
      </c>
      <c r="C56" t="str">
        <f t="shared" ref="C56:C119" si="1">A56&amp;"|"&amp;B56</f>
        <v>AL|Winter</v>
      </c>
      <c r="D56">
        <f>INDEX(Src_BHRaSYC_nuclear!$HF$5:$HF$52,MATCH($A56,Src_BHRaSYC_nuclear!$A$5:$A$52,0))</f>
        <v>1</v>
      </c>
      <c r="E56">
        <f>INDEX(Src_HYECFCA_nuclear!$B$5:$B$52,MATCH($A56,Src_HYECFCA_nuclear!$A$5:$A$52,0))</f>
        <v>0.97914999999999996</v>
      </c>
      <c r="F56">
        <f>IF($D56=1,ROUND(Keys!$C$2/(INDEX(Src_SYSHECF_nuclear!$D$5:$D$292,MATCH($C56,Src_SYSHECF_nuclear!$C$5:$C$292,0))*$E56),Keys!$C$5),Keys!$C$4)</f>
        <v>1.0912999999999999</v>
      </c>
      <c r="G56">
        <f>IF($D56=1,ROUND(Keys!$C$2/(INDEX(Src_SYSHECF_nuclear!$E$5:$E$292,MATCH($C56,Src_SYSHECF_nuclear!$C$5:$C$292,0))*$E56),Keys!$C$5),Keys!$C$4)</f>
        <v>1.0912999999999999</v>
      </c>
      <c r="H56">
        <f>IF($D56=1,ROUND(Keys!$C$2/(INDEX(Src_SYSHECF_nuclear!$F$5:$F$292,MATCH($C56,Src_SYSHECF_nuclear!$C$5:$C$292,0))*$E56),Keys!$C$5),Keys!$C$4)</f>
        <v>1.0912999999999999</v>
      </c>
      <c r="I56">
        <f>IF($D56=1,ROUND(Keys!$C$2/(INDEX(Src_SYSHECF_nuclear!$G$5:$G$292,MATCH($C56,Src_SYSHECF_nuclear!$C$5:$C$292,0))*$E56),Keys!$C$5),Keys!$C$4)</f>
        <v>1.0912999999999999</v>
      </c>
      <c r="J56">
        <f>IF($D56=1,ROUND(Keys!$C$2/(INDEX(Src_SYSHECF_nuclear!$H$5:$H$292,MATCH($C56,Src_SYSHECF_nuclear!$C$5:$C$292,0))*$E56),Keys!$C$5),Keys!$C$4)</f>
        <v>1.0912999999999999</v>
      </c>
      <c r="K56">
        <f>IF($D56=1,ROUND(Keys!$C$2/(INDEX(Src_SYSHECF_nuclear!$I$5:$I$292,MATCH($C56,Src_SYSHECF_nuclear!$C$5:$C$292,0))*$E56),Keys!$C$5),Keys!$C$4)</f>
        <v>1.0912999999999999</v>
      </c>
      <c r="L56">
        <f>IF($D56=1,ROUND(Keys!$C$2/(INDEX(Src_SYSHECF_nuclear!$J$5:$J$292,MATCH($C56,Src_SYSHECF_nuclear!$C$5:$C$292,0))*$E56),Keys!$C$5),Keys!$C$4)</f>
        <v>1.0912999999999999</v>
      </c>
      <c r="M56">
        <f>IF($D56=1,ROUND(Keys!$C$2/(INDEX(Src_SYSHECF_nuclear!$K$5:$K$292,MATCH($C56,Src_SYSHECF_nuclear!$C$5:$C$292,0))*$E56),Keys!$C$5),Keys!$C$4)</f>
        <v>1.0912999999999999</v>
      </c>
      <c r="N56">
        <f>IF($D56=1,ROUND(Keys!$C$2/(INDEX(Src_SYSHECF_nuclear!$L$5:$L$292,MATCH($C56,Src_SYSHECF_nuclear!$C$5:$C$292,0))*$E56),Keys!$C$5),Keys!$C$4)</f>
        <v>1.0912999999999999</v>
      </c>
      <c r="O56">
        <f>IF($D56=1,ROUND(Keys!$C$2/(INDEX(Src_SYSHECF_nuclear!$M$5:$M$292,MATCH($C56,Src_SYSHECF_nuclear!$C$5:$C$292,0))*$E56),Keys!$C$5),Keys!$C$4)</f>
        <v>1.0912999999999999</v>
      </c>
      <c r="P56">
        <f>IF($D56=1,ROUND(Keys!$C$2/(INDEX(Src_SYSHECF_nuclear!$N$5:$N$292,MATCH($C56,Src_SYSHECF_nuclear!$C$5:$C$292,0))*$E56),Keys!$C$5),Keys!$C$4)</f>
        <v>1.0912999999999999</v>
      </c>
      <c r="Q56">
        <f>IF($D56=1,ROUND(Keys!$C$2/(INDEX(Src_SYSHECF_nuclear!$O$5:$O$292,MATCH($C56,Src_SYSHECF_nuclear!$C$5:$C$292,0))*$E56),Keys!$C$5),Keys!$C$4)</f>
        <v>1.0912999999999999</v>
      </c>
      <c r="R56">
        <f>IF($D56=1,ROUND(Keys!$C$2/(INDEX(Src_SYSHECF_nuclear!$P$5:$P$292,MATCH($C56,Src_SYSHECF_nuclear!$C$5:$C$292,0))*$E56),Keys!$C$5),Keys!$C$4)</f>
        <v>1.0912999999999999</v>
      </c>
      <c r="S56">
        <f>IF($D56=1,ROUND(Keys!$C$2/(INDEX(Src_SYSHECF_nuclear!$Q$5:$Q$292,MATCH($C56,Src_SYSHECF_nuclear!$C$5:$C$292,0))*$E56),Keys!$C$5),Keys!$C$4)</f>
        <v>1.0912999999999999</v>
      </c>
      <c r="T56">
        <f>IF($D56=1,ROUND(Keys!$C$2/(INDEX(Src_SYSHECF_nuclear!$R$5:$R$292,MATCH($C56,Src_SYSHECF_nuclear!$C$5:$C$292,0))*$E56),Keys!$C$5),Keys!$C$4)</f>
        <v>1.0912999999999999</v>
      </c>
      <c r="U56">
        <f>IF($D56=1,ROUND(Keys!$C$2/(INDEX(Src_SYSHECF_nuclear!$S$5:$S$292,MATCH($C56,Src_SYSHECF_nuclear!$C$5:$C$292,0))*$E56),Keys!$C$5),Keys!$C$4)</f>
        <v>1.0912999999999999</v>
      </c>
      <c r="V56">
        <f>IF($D56=1,ROUND(Keys!$C$2/(INDEX(Src_SYSHECF_nuclear!$T$5:$T$292,MATCH($C56,Src_SYSHECF_nuclear!$C$5:$C$292,0))*$E56),Keys!$C$5),Keys!$C$4)</f>
        <v>1.0912999999999999</v>
      </c>
      <c r="W56">
        <f>IF($D56=1,ROUND(Keys!$C$2/(INDEX(Src_SYSHECF_nuclear!$U$5:$U$292,MATCH($C56,Src_SYSHECF_nuclear!$C$5:$C$292,0))*$E56),Keys!$C$5),Keys!$C$4)</f>
        <v>1.0912999999999999</v>
      </c>
      <c r="X56">
        <f>IF($D56=1,ROUND(Keys!$C$2/(INDEX(Src_SYSHECF_nuclear!$V$5:$V$292,MATCH($C56,Src_SYSHECF_nuclear!$C$5:$C$292,0))*$E56),Keys!$C$5),Keys!$C$4)</f>
        <v>1.0912999999999999</v>
      </c>
      <c r="Y56">
        <f>IF($D56=1,ROUND(Keys!$C$2/(INDEX(Src_SYSHECF_nuclear!$W$5:$W$292,MATCH($C56,Src_SYSHECF_nuclear!$C$5:$C$292,0))*$E56),Keys!$C$5),Keys!$C$4)</f>
        <v>1.0912999999999999</v>
      </c>
      <c r="Z56">
        <f>IF($D56=1,ROUND(Keys!$C$2/(INDEX(Src_SYSHECF_nuclear!$X$5:$X$292,MATCH($C56,Src_SYSHECF_nuclear!$C$5:$C$292,0))*$E56),Keys!$C$5),Keys!$C$4)</f>
        <v>1.0912999999999999</v>
      </c>
      <c r="AA56">
        <f>IF($D56=1,ROUND(Keys!$C$2/(INDEX(Src_SYSHECF_nuclear!$Y$5:$Y$292,MATCH($C56,Src_SYSHECF_nuclear!$C$5:$C$292,0))*$E56),Keys!$C$5),Keys!$C$4)</f>
        <v>1.0912999999999999</v>
      </c>
      <c r="AB56">
        <f>IF($D56=1,ROUND(Keys!$C$2/(INDEX(Src_SYSHECF_nuclear!$Z$5:$Z$292,MATCH($C56,Src_SYSHECF_nuclear!$C$5:$C$292,0))*$E56),Keys!$C$5),Keys!$C$4)</f>
        <v>1.0912999999999999</v>
      </c>
      <c r="AC56">
        <f>IF($D56=1,ROUND(Keys!$C$2/(INDEX(Src_SYSHECF_nuclear!$AA$5:$AA$292,MATCH($C56,Src_SYSHECF_nuclear!$C$5:$C$292,0))*$E56),Keys!$C$5),Keys!$C$4)</f>
        <v>1.0912999999999999</v>
      </c>
      <c r="AE56">
        <f>IF($D56=1,IF(ABS(INDEX(Src_SYSHECF_nuclear!$D$5:$D$292,MATCH($C56,Src_SYSHECF_nuclear!$C$5:$C$292,0))*$E56*F56-Keys!$C$2)&gt;Keys!$C$6,1,0),0)</f>
        <v>0</v>
      </c>
    </row>
    <row r="57" spans="1:31" x14ac:dyDescent="0.45">
      <c r="A57" t="s">
        <v>2</v>
      </c>
      <c r="B57" t="s">
        <v>425</v>
      </c>
      <c r="C57" t="str">
        <f t="shared" si="1"/>
        <v>AL|Spring</v>
      </c>
      <c r="D57">
        <f>INDEX(Src_BHRaSYC_nuclear!$HF$5:$HF$52,MATCH($A57,Src_BHRaSYC_nuclear!$A$5:$A$52,0))</f>
        <v>1</v>
      </c>
      <c r="E57">
        <f>INDEX(Src_HYECFCA_nuclear!$B$5:$B$52,MATCH($A57,Src_HYECFCA_nuclear!$A$5:$A$52,0))</f>
        <v>0.97914999999999996</v>
      </c>
      <c r="F57">
        <f>IF($D57=1,ROUND(Keys!$C$2/(INDEX(Src_SYSHECF_nuclear!$D$5:$D$292,MATCH($C57,Src_SYSHECF_nuclear!$C$5:$C$292,0))*$E57),Keys!$C$5),Keys!$C$4)</f>
        <v>1.0912999999999999</v>
      </c>
      <c r="G57">
        <f>IF($D57=1,ROUND(Keys!$C$2/(INDEX(Src_SYSHECF_nuclear!$E$5:$E$292,MATCH($C57,Src_SYSHECF_nuclear!$C$5:$C$292,0))*$E57),Keys!$C$5),Keys!$C$4)</f>
        <v>1.0912999999999999</v>
      </c>
      <c r="H57">
        <f>IF($D57=1,ROUND(Keys!$C$2/(INDEX(Src_SYSHECF_nuclear!$F$5:$F$292,MATCH($C57,Src_SYSHECF_nuclear!$C$5:$C$292,0))*$E57),Keys!$C$5),Keys!$C$4)</f>
        <v>1.0912999999999999</v>
      </c>
      <c r="I57">
        <f>IF($D57=1,ROUND(Keys!$C$2/(INDEX(Src_SYSHECF_nuclear!$G$5:$G$292,MATCH($C57,Src_SYSHECF_nuclear!$C$5:$C$292,0))*$E57),Keys!$C$5),Keys!$C$4)</f>
        <v>1.0912999999999999</v>
      </c>
      <c r="J57">
        <f>IF($D57=1,ROUND(Keys!$C$2/(INDEX(Src_SYSHECF_nuclear!$H$5:$H$292,MATCH($C57,Src_SYSHECF_nuclear!$C$5:$C$292,0))*$E57),Keys!$C$5),Keys!$C$4)</f>
        <v>1.0912999999999999</v>
      </c>
      <c r="K57">
        <f>IF($D57=1,ROUND(Keys!$C$2/(INDEX(Src_SYSHECF_nuclear!$I$5:$I$292,MATCH($C57,Src_SYSHECF_nuclear!$C$5:$C$292,0))*$E57),Keys!$C$5),Keys!$C$4)</f>
        <v>1.0912999999999999</v>
      </c>
      <c r="L57">
        <f>IF($D57=1,ROUND(Keys!$C$2/(INDEX(Src_SYSHECF_nuclear!$J$5:$J$292,MATCH($C57,Src_SYSHECF_nuclear!$C$5:$C$292,0))*$E57),Keys!$C$5),Keys!$C$4)</f>
        <v>1.0912999999999999</v>
      </c>
      <c r="M57">
        <f>IF($D57=1,ROUND(Keys!$C$2/(INDEX(Src_SYSHECF_nuclear!$K$5:$K$292,MATCH($C57,Src_SYSHECF_nuclear!$C$5:$C$292,0))*$E57),Keys!$C$5),Keys!$C$4)</f>
        <v>1.0912999999999999</v>
      </c>
      <c r="N57">
        <f>IF($D57=1,ROUND(Keys!$C$2/(INDEX(Src_SYSHECF_nuclear!$L$5:$L$292,MATCH($C57,Src_SYSHECF_nuclear!$C$5:$C$292,0))*$E57),Keys!$C$5),Keys!$C$4)</f>
        <v>1.0912999999999999</v>
      </c>
      <c r="O57">
        <f>IF($D57=1,ROUND(Keys!$C$2/(INDEX(Src_SYSHECF_nuclear!$M$5:$M$292,MATCH($C57,Src_SYSHECF_nuclear!$C$5:$C$292,0))*$E57),Keys!$C$5),Keys!$C$4)</f>
        <v>1.0912999999999999</v>
      </c>
      <c r="P57">
        <f>IF($D57=1,ROUND(Keys!$C$2/(INDEX(Src_SYSHECF_nuclear!$N$5:$N$292,MATCH($C57,Src_SYSHECF_nuclear!$C$5:$C$292,0))*$E57),Keys!$C$5),Keys!$C$4)</f>
        <v>1.0912999999999999</v>
      </c>
      <c r="Q57">
        <f>IF($D57=1,ROUND(Keys!$C$2/(INDEX(Src_SYSHECF_nuclear!$O$5:$O$292,MATCH($C57,Src_SYSHECF_nuclear!$C$5:$C$292,0))*$E57),Keys!$C$5),Keys!$C$4)</f>
        <v>1.0912999999999999</v>
      </c>
      <c r="R57">
        <f>IF($D57=1,ROUND(Keys!$C$2/(INDEX(Src_SYSHECF_nuclear!$P$5:$P$292,MATCH($C57,Src_SYSHECF_nuclear!$C$5:$C$292,0))*$E57),Keys!$C$5),Keys!$C$4)</f>
        <v>1.0912999999999999</v>
      </c>
      <c r="S57">
        <f>IF($D57=1,ROUND(Keys!$C$2/(INDEX(Src_SYSHECF_nuclear!$Q$5:$Q$292,MATCH($C57,Src_SYSHECF_nuclear!$C$5:$C$292,0))*$E57),Keys!$C$5),Keys!$C$4)</f>
        <v>1.0912999999999999</v>
      </c>
      <c r="T57">
        <f>IF($D57=1,ROUND(Keys!$C$2/(INDEX(Src_SYSHECF_nuclear!$R$5:$R$292,MATCH($C57,Src_SYSHECF_nuclear!$C$5:$C$292,0))*$E57),Keys!$C$5),Keys!$C$4)</f>
        <v>1.0912999999999999</v>
      </c>
      <c r="U57">
        <f>IF($D57=1,ROUND(Keys!$C$2/(INDEX(Src_SYSHECF_nuclear!$S$5:$S$292,MATCH($C57,Src_SYSHECF_nuclear!$C$5:$C$292,0))*$E57),Keys!$C$5),Keys!$C$4)</f>
        <v>1.0912999999999999</v>
      </c>
      <c r="V57">
        <f>IF($D57=1,ROUND(Keys!$C$2/(INDEX(Src_SYSHECF_nuclear!$T$5:$T$292,MATCH($C57,Src_SYSHECF_nuclear!$C$5:$C$292,0))*$E57),Keys!$C$5),Keys!$C$4)</f>
        <v>1.0912999999999999</v>
      </c>
      <c r="W57">
        <f>IF($D57=1,ROUND(Keys!$C$2/(INDEX(Src_SYSHECF_nuclear!$U$5:$U$292,MATCH($C57,Src_SYSHECF_nuclear!$C$5:$C$292,0))*$E57),Keys!$C$5),Keys!$C$4)</f>
        <v>1.0912999999999999</v>
      </c>
      <c r="X57">
        <f>IF($D57=1,ROUND(Keys!$C$2/(INDEX(Src_SYSHECF_nuclear!$V$5:$V$292,MATCH($C57,Src_SYSHECF_nuclear!$C$5:$C$292,0))*$E57),Keys!$C$5),Keys!$C$4)</f>
        <v>1.0912999999999999</v>
      </c>
      <c r="Y57">
        <f>IF($D57=1,ROUND(Keys!$C$2/(INDEX(Src_SYSHECF_nuclear!$W$5:$W$292,MATCH($C57,Src_SYSHECF_nuclear!$C$5:$C$292,0))*$E57),Keys!$C$5),Keys!$C$4)</f>
        <v>1.0912999999999999</v>
      </c>
      <c r="Z57">
        <f>IF($D57=1,ROUND(Keys!$C$2/(INDEX(Src_SYSHECF_nuclear!$X$5:$X$292,MATCH($C57,Src_SYSHECF_nuclear!$C$5:$C$292,0))*$E57),Keys!$C$5),Keys!$C$4)</f>
        <v>1.0912999999999999</v>
      </c>
      <c r="AA57">
        <f>IF($D57=1,ROUND(Keys!$C$2/(INDEX(Src_SYSHECF_nuclear!$Y$5:$Y$292,MATCH($C57,Src_SYSHECF_nuclear!$C$5:$C$292,0))*$E57),Keys!$C$5),Keys!$C$4)</f>
        <v>1.0912999999999999</v>
      </c>
      <c r="AB57">
        <f>IF($D57=1,ROUND(Keys!$C$2/(INDEX(Src_SYSHECF_nuclear!$Z$5:$Z$292,MATCH($C57,Src_SYSHECF_nuclear!$C$5:$C$292,0))*$E57),Keys!$C$5),Keys!$C$4)</f>
        <v>1.0912999999999999</v>
      </c>
      <c r="AC57">
        <f>IF($D57=1,ROUND(Keys!$C$2/(INDEX(Src_SYSHECF_nuclear!$AA$5:$AA$292,MATCH($C57,Src_SYSHECF_nuclear!$C$5:$C$292,0))*$E57),Keys!$C$5),Keys!$C$4)</f>
        <v>1.0912999999999999</v>
      </c>
      <c r="AE57">
        <f>IF($D57=1,IF(ABS(INDEX(Src_SYSHECF_nuclear!$D$5:$D$292,MATCH($C57,Src_SYSHECF_nuclear!$C$5:$C$292,0))*$E57*F57-Keys!$C$2)&gt;Keys!$C$6,1,0),0)</f>
        <v>0</v>
      </c>
    </row>
    <row r="58" spans="1:31" x14ac:dyDescent="0.45">
      <c r="A58" t="s">
        <v>2</v>
      </c>
      <c r="B58" t="s">
        <v>426</v>
      </c>
      <c r="C58" t="str">
        <f t="shared" si="1"/>
        <v>AL|Summer</v>
      </c>
      <c r="D58">
        <f>INDEX(Src_BHRaSYC_nuclear!$HF$5:$HF$52,MATCH($A58,Src_BHRaSYC_nuclear!$A$5:$A$52,0))</f>
        <v>1</v>
      </c>
      <c r="E58">
        <f>INDEX(Src_HYECFCA_nuclear!$B$5:$B$52,MATCH($A58,Src_HYECFCA_nuclear!$A$5:$A$52,0))</f>
        <v>0.97914999999999996</v>
      </c>
      <c r="F58">
        <f>IF($D58=1,ROUND(Keys!$C$2/(INDEX(Src_SYSHECF_nuclear!$D$5:$D$292,MATCH($C58,Src_SYSHECF_nuclear!$C$5:$C$292,0))*$E58),Keys!$C$5),Keys!$C$4)</f>
        <v>1.0912999999999999</v>
      </c>
      <c r="G58">
        <f>IF($D58=1,ROUND(Keys!$C$2/(INDEX(Src_SYSHECF_nuclear!$E$5:$E$292,MATCH($C58,Src_SYSHECF_nuclear!$C$5:$C$292,0))*$E58),Keys!$C$5),Keys!$C$4)</f>
        <v>1.0912999999999999</v>
      </c>
      <c r="H58">
        <f>IF($D58=1,ROUND(Keys!$C$2/(INDEX(Src_SYSHECF_nuclear!$F$5:$F$292,MATCH($C58,Src_SYSHECF_nuclear!$C$5:$C$292,0))*$E58),Keys!$C$5),Keys!$C$4)</f>
        <v>1.0912999999999999</v>
      </c>
      <c r="I58">
        <f>IF($D58=1,ROUND(Keys!$C$2/(INDEX(Src_SYSHECF_nuclear!$G$5:$G$292,MATCH($C58,Src_SYSHECF_nuclear!$C$5:$C$292,0))*$E58),Keys!$C$5),Keys!$C$4)</f>
        <v>1.0912999999999999</v>
      </c>
      <c r="J58">
        <f>IF($D58=1,ROUND(Keys!$C$2/(INDEX(Src_SYSHECF_nuclear!$H$5:$H$292,MATCH($C58,Src_SYSHECF_nuclear!$C$5:$C$292,0))*$E58),Keys!$C$5),Keys!$C$4)</f>
        <v>1.0912999999999999</v>
      </c>
      <c r="K58">
        <f>IF($D58=1,ROUND(Keys!$C$2/(INDEX(Src_SYSHECF_nuclear!$I$5:$I$292,MATCH($C58,Src_SYSHECF_nuclear!$C$5:$C$292,0))*$E58),Keys!$C$5),Keys!$C$4)</f>
        <v>1.0912999999999999</v>
      </c>
      <c r="L58">
        <f>IF($D58=1,ROUND(Keys!$C$2/(INDEX(Src_SYSHECF_nuclear!$J$5:$J$292,MATCH($C58,Src_SYSHECF_nuclear!$C$5:$C$292,0))*$E58),Keys!$C$5),Keys!$C$4)</f>
        <v>1.0914999999999999</v>
      </c>
      <c r="M58">
        <f>IF($D58=1,ROUND(Keys!$C$2/(INDEX(Src_SYSHECF_nuclear!$K$5:$K$292,MATCH($C58,Src_SYSHECF_nuclear!$C$5:$C$292,0))*$E58),Keys!$C$5),Keys!$C$4)</f>
        <v>1.0912999999999999</v>
      </c>
      <c r="N58">
        <f>IF($D58=1,ROUND(Keys!$C$2/(INDEX(Src_SYSHECF_nuclear!$L$5:$L$292,MATCH($C58,Src_SYSHECF_nuclear!$C$5:$C$292,0))*$E58),Keys!$C$5),Keys!$C$4)</f>
        <v>1.0912999999999999</v>
      </c>
      <c r="O58">
        <f>IF($D58=1,ROUND(Keys!$C$2/(INDEX(Src_SYSHECF_nuclear!$M$5:$M$292,MATCH($C58,Src_SYSHECF_nuclear!$C$5:$C$292,0))*$E58),Keys!$C$5),Keys!$C$4)</f>
        <v>1.0912999999999999</v>
      </c>
      <c r="P58">
        <f>IF($D58=1,ROUND(Keys!$C$2/(INDEX(Src_SYSHECF_nuclear!$N$5:$N$292,MATCH($C58,Src_SYSHECF_nuclear!$C$5:$C$292,0))*$E58),Keys!$C$5),Keys!$C$4)</f>
        <v>1.0912999999999999</v>
      </c>
      <c r="Q58">
        <f>IF($D58=1,ROUND(Keys!$C$2/(INDEX(Src_SYSHECF_nuclear!$O$5:$O$292,MATCH($C58,Src_SYSHECF_nuclear!$C$5:$C$292,0))*$E58),Keys!$C$5),Keys!$C$4)</f>
        <v>1.0912999999999999</v>
      </c>
      <c r="R58">
        <f>IF($D58=1,ROUND(Keys!$C$2/(INDEX(Src_SYSHECF_nuclear!$P$5:$P$292,MATCH($C58,Src_SYSHECF_nuclear!$C$5:$C$292,0))*$E58),Keys!$C$5),Keys!$C$4)</f>
        <v>1.0912999999999999</v>
      </c>
      <c r="S58">
        <f>IF($D58=1,ROUND(Keys!$C$2/(INDEX(Src_SYSHECF_nuclear!$Q$5:$Q$292,MATCH($C58,Src_SYSHECF_nuclear!$C$5:$C$292,0))*$E58),Keys!$C$5),Keys!$C$4)</f>
        <v>1.0912999999999999</v>
      </c>
      <c r="T58">
        <f>IF($D58=1,ROUND(Keys!$C$2/(INDEX(Src_SYSHECF_nuclear!$R$5:$R$292,MATCH($C58,Src_SYSHECF_nuclear!$C$5:$C$292,0))*$E58),Keys!$C$5),Keys!$C$4)</f>
        <v>1.0912999999999999</v>
      </c>
      <c r="U58">
        <f>IF($D58=1,ROUND(Keys!$C$2/(INDEX(Src_SYSHECF_nuclear!$S$5:$S$292,MATCH($C58,Src_SYSHECF_nuclear!$C$5:$C$292,0))*$E58),Keys!$C$5),Keys!$C$4)</f>
        <v>1.0912999999999999</v>
      </c>
      <c r="V58">
        <f>IF($D58=1,ROUND(Keys!$C$2/(INDEX(Src_SYSHECF_nuclear!$T$5:$T$292,MATCH($C58,Src_SYSHECF_nuclear!$C$5:$C$292,0))*$E58),Keys!$C$5),Keys!$C$4)</f>
        <v>1.0912999999999999</v>
      </c>
      <c r="W58">
        <f>IF($D58=1,ROUND(Keys!$C$2/(INDEX(Src_SYSHECF_nuclear!$U$5:$U$292,MATCH($C58,Src_SYSHECF_nuclear!$C$5:$C$292,0))*$E58),Keys!$C$5),Keys!$C$4)</f>
        <v>1.0912999999999999</v>
      </c>
      <c r="X58">
        <f>IF($D58=1,ROUND(Keys!$C$2/(INDEX(Src_SYSHECF_nuclear!$V$5:$V$292,MATCH($C58,Src_SYSHECF_nuclear!$C$5:$C$292,0))*$E58),Keys!$C$5),Keys!$C$4)</f>
        <v>1.0912999999999999</v>
      </c>
      <c r="Y58">
        <f>IF($D58=1,ROUND(Keys!$C$2/(INDEX(Src_SYSHECF_nuclear!$W$5:$W$292,MATCH($C58,Src_SYSHECF_nuclear!$C$5:$C$292,0))*$E58),Keys!$C$5),Keys!$C$4)</f>
        <v>1.0912999999999999</v>
      </c>
      <c r="Z58">
        <f>IF($D58=1,ROUND(Keys!$C$2/(INDEX(Src_SYSHECF_nuclear!$X$5:$X$292,MATCH($C58,Src_SYSHECF_nuclear!$C$5:$C$292,0))*$E58),Keys!$C$5),Keys!$C$4)</f>
        <v>1.0912999999999999</v>
      </c>
      <c r="AA58">
        <f>IF($D58=1,ROUND(Keys!$C$2/(INDEX(Src_SYSHECF_nuclear!$Y$5:$Y$292,MATCH($C58,Src_SYSHECF_nuclear!$C$5:$C$292,0))*$E58),Keys!$C$5),Keys!$C$4)</f>
        <v>1.0912999999999999</v>
      </c>
      <c r="AB58">
        <f>IF($D58=1,ROUND(Keys!$C$2/(INDEX(Src_SYSHECF_nuclear!$Z$5:$Z$292,MATCH($C58,Src_SYSHECF_nuclear!$C$5:$C$292,0))*$E58),Keys!$C$5),Keys!$C$4)</f>
        <v>1.0912999999999999</v>
      </c>
      <c r="AC58">
        <f>IF($D58=1,ROUND(Keys!$C$2/(INDEX(Src_SYSHECF_nuclear!$AA$5:$AA$292,MATCH($C58,Src_SYSHECF_nuclear!$C$5:$C$292,0))*$E58),Keys!$C$5),Keys!$C$4)</f>
        <v>1.0912999999999999</v>
      </c>
      <c r="AE58">
        <f>IF($D58=1,IF(ABS(INDEX(Src_SYSHECF_nuclear!$D$5:$D$292,MATCH($C58,Src_SYSHECF_nuclear!$C$5:$C$292,0))*$E58*F58-Keys!$C$2)&gt;Keys!$C$6,1,0),0)</f>
        <v>0</v>
      </c>
    </row>
    <row r="59" spans="1:31" x14ac:dyDescent="0.45">
      <c r="A59" t="s">
        <v>2</v>
      </c>
      <c r="B59" t="s">
        <v>427</v>
      </c>
      <c r="C59" t="str">
        <f t="shared" si="1"/>
        <v>AL|Fall</v>
      </c>
      <c r="D59">
        <f>INDEX(Src_BHRaSYC_nuclear!$HF$5:$HF$52,MATCH($A59,Src_BHRaSYC_nuclear!$A$5:$A$52,0))</f>
        <v>1</v>
      </c>
      <c r="E59">
        <f>INDEX(Src_HYECFCA_nuclear!$B$5:$B$52,MATCH($A59,Src_HYECFCA_nuclear!$A$5:$A$52,0))</f>
        <v>0.97914999999999996</v>
      </c>
      <c r="F59">
        <f>IF($D59=1,ROUND(Keys!$C$2/(INDEX(Src_SYSHECF_nuclear!$D$5:$D$292,MATCH($C59,Src_SYSHECF_nuclear!$C$5:$C$292,0))*$E59),Keys!$C$5),Keys!$C$4)</f>
        <v>1.0912999999999999</v>
      </c>
      <c r="G59">
        <f>IF($D59=1,ROUND(Keys!$C$2/(INDEX(Src_SYSHECF_nuclear!$E$5:$E$292,MATCH($C59,Src_SYSHECF_nuclear!$C$5:$C$292,0))*$E59),Keys!$C$5),Keys!$C$4)</f>
        <v>1.0912999999999999</v>
      </c>
      <c r="H59">
        <f>IF($D59=1,ROUND(Keys!$C$2/(INDEX(Src_SYSHECF_nuclear!$F$5:$F$292,MATCH($C59,Src_SYSHECF_nuclear!$C$5:$C$292,0))*$E59),Keys!$C$5),Keys!$C$4)</f>
        <v>1.0912999999999999</v>
      </c>
      <c r="I59">
        <f>IF($D59=1,ROUND(Keys!$C$2/(INDEX(Src_SYSHECF_nuclear!$G$5:$G$292,MATCH($C59,Src_SYSHECF_nuclear!$C$5:$C$292,0))*$E59),Keys!$C$5),Keys!$C$4)</f>
        <v>1.0912999999999999</v>
      </c>
      <c r="J59">
        <f>IF($D59=1,ROUND(Keys!$C$2/(INDEX(Src_SYSHECF_nuclear!$H$5:$H$292,MATCH($C59,Src_SYSHECF_nuclear!$C$5:$C$292,0))*$E59),Keys!$C$5),Keys!$C$4)</f>
        <v>1.0912999999999999</v>
      </c>
      <c r="K59">
        <f>IF($D59=1,ROUND(Keys!$C$2/(INDEX(Src_SYSHECF_nuclear!$I$5:$I$292,MATCH($C59,Src_SYSHECF_nuclear!$C$5:$C$292,0))*$E59),Keys!$C$5),Keys!$C$4)</f>
        <v>1.0966</v>
      </c>
      <c r="L59">
        <f>IF($D59=1,ROUND(Keys!$C$2/(INDEX(Src_SYSHECF_nuclear!$J$5:$J$292,MATCH($C59,Src_SYSHECF_nuclear!$C$5:$C$292,0))*$E59),Keys!$C$5),Keys!$C$4)</f>
        <v>1.0931999999999999</v>
      </c>
      <c r="M59">
        <f>IF($D59=1,ROUND(Keys!$C$2/(INDEX(Src_SYSHECF_nuclear!$K$5:$K$292,MATCH($C59,Src_SYSHECF_nuclear!$C$5:$C$292,0))*$E59),Keys!$C$5),Keys!$C$4)</f>
        <v>1.0912999999999999</v>
      </c>
      <c r="N59">
        <f>IF($D59=1,ROUND(Keys!$C$2/(INDEX(Src_SYSHECF_nuclear!$L$5:$L$292,MATCH($C59,Src_SYSHECF_nuclear!$C$5:$C$292,0))*$E59),Keys!$C$5),Keys!$C$4)</f>
        <v>1.0912999999999999</v>
      </c>
      <c r="O59">
        <f>IF($D59=1,ROUND(Keys!$C$2/(INDEX(Src_SYSHECF_nuclear!$M$5:$M$292,MATCH($C59,Src_SYSHECF_nuclear!$C$5:$C$292,0))*$E59),Keys!$C$5),Keys!$C$4)</f>
        <v>1.0912999999999999</v>
      </c>
      <c r="P59">
        <f>IF($D59=1,ROUND(Keys!$C$2/(INDEX(Src_SYSHECF_nuclear!$N$5:$N$292,MATCH($C59,Src_SYSHECF_nuclear!$C$5:$C$292,0))*$E59),Keys!$C$5),Keys!$C$4)</f>
        <v>1.0912999999999999</v>
      </c>
      <c r="Q59">
        <f>IF($D59=1,ROUND(Keys!$C$2/(INDEX(Src_SYSHECF_nuclear!$O$5:$O$292,MATCH($C59,Src_SYSHECF_nuclear!$C$5:$C$292,0))*$E59),Keys!$C$5),Keys!$C$4)</f>
        <v>1.0912999999999999</v>
      </c>
      <c r="R59">
        <f>IF($D59=1,ROUND(Keys!$C$2/(INDEX(Src_SYSHECF_nuclear!$P$5:$P$292,MATCH($C59,Src_SYSHECF_nuclear!$C$5:$C$292,0))*$E59),Keys!$C$5),Keys!$C$4)</f>
        <v>1.0912999999999999</v>
      </c>
      <c r="S59">
        <f>IF($D59=1,ROUND(Keys!$C$2/(INDEX(Src_SYSHECF_nuclear!$Q$5:$Q$292,MATCH($C59,Src_SYSHECF_nuclear!$C$5:$C$292,0))*$E59),Keys!$C$5),Keys!$C$4)</f>
        <v>1.0912999999999999</v>
      </c>
      <c r="T59">
        <f>IF($D59=1,ROUND(Keys!$C$2/(INDEX(Src_SYSHECF_nuclear!$R$5:$R$292,MATCH($C59,Src_SYSHECF_nuclear!$C$5:$C$292,0))*$E59),Keys!$C$5),Keys!$C$4)</f>
        <v>1.0912999999999999</v>
      </c>
      <c r="U59">
        <f>IF($D59=1,ROUND(Keys!$C$2/(INDEX(Src_SYSHECF_nuclear!$S$5:$S$292,MATCH($C59,Src_SYSHECF_nuclear!$C$5:$C$292,0))*$E59),Keys!$C$5),Keys!$C$4)</f>
        <v>1.0912999999999999</v>
      </c>
      <c r="V59">
        <f>IF($D59=1,ROUND(Keys!$C$2/(INDEX(Src_SYSHECF_nuclear!$T$5:$T$292,MATCH($C59,Src_SYSHECF_nuclear!$C$5:$C$292,0))*$E59),Keys!$C$5),Keys!$C$4)</f>
        <v>1.0912999999999999</v>
      </c>
      <c r="W59">
        <f>IF($D59=1,ROUND(Keys!$C$2/(INDEX(Src_SYSHECF_nuclear!$U$5:$U$292,MATCH($C59,Src_SYSHECF_nuclear!$C$5:$C$292,0))*$E59),Keys!$C$5),Keys!$C$4)</f>
        <v>1.0912999999999999</v>
      </c>
      <c r="X59">
        <f>IF($D59=1,ROUND(Keys!$C$2/(INDEX(Src_SYSHECF_nuclear!$V$5:$V$292,MATCH($C59,Src_SYSHECF_nuclear!$C$5:$C$292,0))*$E59),Keys!$C$5),Keys!$C$4)</f>
        <v>1.0912999999999999</v>
      </c>
      <c r="Y59">
        <f>IF($D59=1,ROUND(Keys!$C$2/(INDEX(Src_SYSHECF_nuclear!$W$5:$W$292,MATCH($C59,Src_SYSHECF_nuclear!$C$5:$C$292,0))*$E59),Keys!$C$5),Keys!$C$4)</f>
        <v>1.0912999999999999</v>
      </c>
      <c r="Z59">
        <f>IF($D59=1,ROUND(Keys!$C$2/(INDEX(Src_SYSHECF_nuclear!$X$5:$X$292,MATCH($C59,Src_SYSHECF_nuclear!$C$5:$C$292,0))*$E59),Keys!$C$5),Keys!$C$4)</f>
        <v>1.0912999999999999</v>
      </c>
      <c r="AA59">
        <f>IF($D59=1,ROUND(Keys!$C$2/(INDEX(Src_SYSHECF_nuclear!$Y$5:$Y$292,MATCH($C59,Src_SYSHECF_nuclear!$C$5:$C$292,0))*$E59),Keys!$C$5),Keys!$C$4)</f>
        <v>1.0912999999999999</v>
      </c>
      <c r="AB59">
        <f>IF($D59=1,ROUND(Keys!$C$2/(INDEX(Src_SYSHECF_nuclear!$Z$5:$Z$292,MATCH($C59,Src_SYSHECF_nuclear!$C$5:$C$292,0))*$E59),Keys!$C$5),Keys!$C$4)</f>
        <v>1.0912999999999999</v>
      </c>
      <c r="AC59">
        <f>IF($D59=1,ROUND(Keys!$C$2/(INDEX(Src_SYSHECF_nuclear!$AA$5:$AA$292,MATCH($C59,Src_SYSHECF_nuclear!$C$5:$C$292,0))*$E59),Keys!$C$5),Keys!$C$4)</f>
        <v>1.0912999999999999</v>
      </c>
      <c r="AE59">
        <f>IF($D59=1,IF(ABS(INDEX(Src_SYSHECF_nuclear!$D$5:$D$292,MATCH($C59,Src_SYSHECF_nuclear!$C$5:$C$292,0))*$E59*F59-Keys!$C$2)&gt;Keys!$C$6,1,0),0)</f>
        <v>0</v>
      </c>
    </row>
    <row r="60" spans="1:31" x14ac:dyDescent="0.45">
      <c r="A60" t="s">
        <v>2</v>
      </c>
      <c r="B60" t="s">
        <v>428</v>
      </c>
      <c r="C60" t="str">
        <f t="shared" si="1"/>
        <v>AL|Summer Peak</v>
      </c>
      <c r="D60">
        <f>INDEX(Src_BHRaSYC_nuclear!$HF$5:$HF$52,MATCH($A60,Src_BHRaSYC_nuclear!$A$5:$A$52,0))</f>
        <v>1</v>
      </c>
      <c r="E60">
        <f>INDEX(Src_HYECFCA_nuclear!$B$5:$B$52,MATCH($A60,Src_HYECFCA_nuclear!$A$5:$A$52,0))</f>
        <v>0.97914999999999996</v>
      </c>
      <c r="F60">
        <f>IF($D60=1,ROUND(Keys!$C$2/(INDEX(Src_SYSHECF_nuclear!$D$5:$D$292,MATCH($C60,Src_SYSHECF_nuclear!$C$5:$C$292,0))*$E60),Keys!$C$5),Keys!$C$4)</f>
        <v>1.0912999999999999</v>
      </c>
      <c r="G60">
        <f>IF($D60=1,ROUND(Keys!$C$2/(INDEX(Src_SYSHECF_nuclear!$E$5:$E$292,MATCH($C60,Src_SYSHECF_nuclear!$C$5:$C$292,0))*$E60),Keys!$C$5),Keys!$C$4)</f>
        <v>1.0912999999999999</v>
      </c>
      <c r="H60">
        <f>IF($D60=1,ROUND(Keys!$C$2/(INDEX(Src_SYSHECF_nuclear!$F$5:$F$292,MATCH($C60,Src_SYSHECF_nuclear!$C$5:$C$292,0))*$E60),Keys!$C$5),Keys!$C$4)</f>
        <v>1.0912999999999999</v>
      </c>
      <c r="I60">
        <f>IF($D60=1,ROUND(Keys!$C$2/(INDEX(Src_SYSHECF_nuclear!$G$5:$G$292,MATCH($C60,Src_SYSHECF_nuclear!$C$5:$C$292,0))*$E60),Keys!$C$5),Keys!$C$4)</f>
        <v>1.0912999999999999</v>
      </c>
      <c r="J60">
        <f>IF($D60=1,ROUND(Keys!$C$2/(INDEX(Src_SYSHECF_nuclear!$H$5:$H$292,MATCH($C60,Src_SYSHECF_nuclear!$C$5:$C$292,0))*$E60),Keys!$C$5),Keys!$C$4)</f>
        <v>1.0912999999999999</v>
      </c>
      <c r="K60">
        <f>IF($D60=1,ROUND(Keys!$C$2/(INDEX(Src_SYSHECF_nuclear!$I$5:$I$292,MATCH($C60,Src_SYSHECF_nuclear!$C$5:$C$292,0))*$E60),Keys!$C$5),Keys!$C$4)</f>
        <v>1.0912999999999999</v>
      </c>
      <c r="L60">
        <f>IF($D60=1,ROUND(Keys!$C$2/(INDEX(Src_SYSHECF_nuclear!$J$5:$J$292,MATCH($C60,Src_SYSHECF_nuclear!$C$5:$C$292,0))*$E60),Keys!$C$5),Keys!$C$4)</f>
        <v>1.0912999999999999</v>
      </c>
      <c r="M60">
        <f>IF($D60=1,ROUND(Keys!$C$2/(INDEX(Src_SYSHECF_nuclear!$K$5:$K$292,MATCH($C60,Src_SYSHECF_nuclear!$C$5:$C$292,0))*$E60),Keys!$C$5),Keys!$C$4)</f>
        <v>1.0912999999999999</v>
      </c>
      <c r="N60">
        <f>IF($D60=1,ROUND(Keys!$C$2/(INDEX(Src_SYSHECF_nuclear!$L$5:$L$292,MATCH($C60,Src_SYSHECF_nuclear!$C$5:$C$292,0))*$E60),Keys!$C$5),Keys!$C$4)</f>
        <v>1.0912999999999999</v>
      </c>
      <c r="O60">
        <f>IF($D60=1,ROUND(Keys!$C$2/(INDEX(Src_SYSHECF_nuclear!$M$5:$M$292,MATCH($C60,Src_SYSHECF_nuclear!$C$5:$C$292,0))*$E60),Keys!$C$5),Keys!$C$4)</f>
        <v>1.0912999999999999</v>
      </c>
      <c r="P60">
        <f>IF($D60=1,ROUND(Keys!$C$2/(INDEX(Src_SYSHECF_nuclear!$N$5:$N$292,MATCH($C60,Src_SYSHECF_nuclear!$C$5:$C$292,0))*$E60),Keys!$C$5),Keys!$C$4)</f>
        <v>1.0912999999999999</v>
      </c>
      <c r="Q60">
        <f>IF($D60=1,ROUND(Keys!$C$2/(INDEX(Src_SYSHECF_nuclear!$O$5:$O$292,MATCH($C60,Src_SYSHECF_nuclear!$C$5:$C$292,0))*$E60),Keys!$C$5),Keys!$C$4)</f>
        <v>1.0912999999999999</v>
      </c>
      <c r="R60">
        <f>IF($D60=1,ROUND(Keys!$C$2/(INDEX(Src_SYSHECF_nuclear!$P$5:$P$292,MATCH($C60,Src_SYSHECF_nuclear!$C$5:$C$292,0))*$E60),Keys!$C$5),Keys!$C$4)</f>
        <v>1.0912999999999999</v>
      </c>
      <c r="S60">
        <f>IF($D60=1,ROUND(Keys!$C$2/(INDEX(Src_SYSHECF_nuclear!$Q$5:$Q$292,MATCH($C60,Src_SYSHECF_nuclear!$C$5:$C$292,0))*$E60),Keys!$C$5),Keys!$C$4)</f>
        <v>1.0912999999999999</v>
      </c>
      <c r="T60">
        <f>IF($D60=1,ROUND(Keys!$C$2/(INDEX(Src_SYSHECF_nuclear!$R$5:$R$292,MATCH($C60,Src_SYSHECF_nuclear!$C$5:$C$292,0))*$E60),Keys!$C$5),Keys!$C$4)</f>
        <v>1.0912999999999999</v>
      </c>
      <c r="U60">
        <f>IF($D60=1,ROUND(Keys!$C$2/(INDEX(Src_SYSHECF_nuclear!$S$5:$S$292,MATCH($C60,Src_SYSHECF_nuclear!$C$5:$C$292,0))*$E60),Keys!$C$5),Keys!$C$4)</f>
        <v>1.0912999999999999</v>
      </c>
      <c r="V60">
        <f>IF($D60=1,ROUND(Keys!$C$2/(INDEX(Src_SYSHECF_nuclear!$T$5:$T$292,MATCH($C60,Src_SYSHECF_nuclear!$C$5:$C$292,0))*$E60),Keys!$C$5),Keys!$C$4)</f>
        <v>1.0912999999999999</v>
      </c>
      <c r="W60">
        <f>IF($D60=1,ROUND(Keys!$C$2/(INDEX(Src_SYSHECF_nuclear!$U$5:$U$292,MATCH($C60,Src_SYSHECF_nuclear!$C$5:$C$292,0))*$E60),Keys!$C$5),Keys!$C$4)</f>
        <v>1.0912999999999999</v>
      </c>
      <c r="X60">
        <f>IF($D60=1,ROUND(Keys!$C$2/(INDEX(Src_SYSHECF_nuclear!$V$5:$V$292,MATCH($C60,Src_SYSHECF_nuclear!$C$5:$C$292,0))*$E60),Keys!$C$5),Keys!$C$4)</f>
        <v>1.0912999999999999</v>
      </c>
      <c r="Y60">
        <f>IF($D60=1,ROUND(Keys!$C$2/(INDEX(Src_SYSHECF_nuclear!$W$5:$W$292,MATCH($C60,Src_SYSHECF_nuclear!$C$5:$C$292,0))*$E60),Keys!$C$5),Keys!$C$4)</f>
        <v>1.0912999999999999</v>
      </c>
      <c r="Z60">
        <f>IF($D60=1,ROUND(Keys!$C$2/(INDEX(Src_SYSHECF_nuclear!$X$5:$X$292,MATCH($C60,Src_SYSHECF_nuclear!$C$5:$C$292,0))*$E60),Keys!$C$5),Keys!$C$4)</f>
        <v>1.0912999999999999</v>
      </c>
      <c r="AA60">
        <f>IF($D60=1,ROUND(Keys!$C$2/(INDEX(Src_SYSHECF_nuclear!$Y$5:$Y$292,MATCH($C60,Src_SYSHECF_nuclear!$C$5:$C$292,0))*$E60),Keys!$C$5),Keys!$C$4)</f>
        <v>1.0912999999999999</v>
      </c>
      <c r="AB60">
        <f>IF($D60=1,ROUND(Keys!$C$2/(INDEX(Src_SYSHECF_nuclear!$Z$5:$Z$292,MATCH($C60,Src_SYSHECF_nuclear!$C$5:$C$292,0))*$E60),Keys!$C$5),Keys!$C$4)</f>
        <v>1.0912999999999999</v>
      </c>
      <c r="AC60">
        <f>IF($D60=1,ROUND(Keys!$C$2/(INDEX(Src_SYSHECF_nuclear!$AA$5:$AA$292,MATCH($C60,Src_SYSHECF_nuclear!$C$5:$C$292,0))*$E60),Keys!$C$5),Keys!$C$4)</f>
        <v>1.0912999999999999</v>
      </c>
      <c r="AE60">
        <f>IF($D60=1,IF(ABS(INDEX(Src_SYSHECF_nuclear!$D$5:$D$292,MATCH($C60,Src_SYSHECF_nuclear!$C$5:$C$292,0))*$E60*F60-Keys!$C$2)&gt;Keys!$C$6,1,0),0)</f>
        <v>0</v>
      </c>
    </row>
    <row r="61" spans="1:31" x14ac:dyDescent="0.45">
      <c r="A61" t="s">
        <v>2</v>
      </c>
      <c r="B61" t="s">
        <v>429</v>
      </c>
      <c r="C61" t="str">
        <f t="shared" si="1"/>
        <v>AL|Winter Peak</v>
      </c>
      <c r="D61">
        <f>INDEX(Src_BHRaSYC_nuclear!$HF$5:$HF$52,MATCH($A61,Src_BHRaSYC_nuclear!$A$5:$A$52,0))</f>
        <v>1</v>
      </c>
      <c r="E61">
        <f>INDEX(Src_HYECFCA_nuclear!$B$5:$B$52,MATCH($A61,Src_HYECFCA_nuclear!$A$5:$A$52,0))</f>
        <v>0.97914999999999996</v>
      </c>
      <c r="F61">
        <f>IF($D61=1,ROUND(Keys!$C$2/(INDEX(Src_SYSHECF_nuclear!$D$5:$D$292,MATCH($C61,Src_SYSHECF_nuclear!$C$5:$C$292,0))*$E61),Keys!$C$5),Keys!$C$4)</f>
        <v>1.0912999999999999</v>
      </c>
      <c r="G61">
        <f>IF($D61=1,ROUND(Keys!$C$2/(INDEX(Src_SYSHECF_nuclear!$E$5:$E$292,MATCH($C61,Src_SYSHECF_nuclear!$C$5:$C$292,0))*$E61),Keys!$C$5),Keys!$C$4)</f>
        <v>1.0912999999999999</v>
      </c>
      <c r="H61">
        <f>IF($D61=1,ROUND(Keys!$C$2/(INDEX(Src_SYSHECF_nuclear!$F$5:$F$292,MATCH($C61,Src_SYSHECF_nuclear!$C$5:$C$292,0))*$E61),Keys!$C$5),Keys!$C$4)</f>
        <v>1.0912999999999999</v>
      </c>
      <c r="I61">
        <f>IF($D61=1,ROUND(Keys!$C$2/(INDEX(Src_SYSHECF_nuclear!$G$5:$G$292,MATCH($C61,Src_SYSHECF_nuclear!$C$5:$C$292,0))*$E61),Keys!$C$5),Keys!$C$4)</f>
        <v>1.0912999999999999</v>
      </c>
      <c r="J61">
        <f>IF($D61=1,ROUND(Keys!$C$2/(INDEX(Src_SYSHECF_nuclear!$H$5:$H$292,MATCH($C61,Src_SYSHECF_nuclear!$C$5:$C$292,0))*$E61),Keys!$C$5),Keys!$C$4)</f>
        <v>1.0912999999999999</v>
      </c>
      <c r="K61">
        <f>IF($D61=1,ROUND(Keys!$C$2/(INDEX(Src_SYSHECF_nuclear!$I$5:$I$292,MATCH($C61,Src_SYSHECF_nuclear!$C$5:$C$292,0))*$E61),Keys!$C$5),Keys!$C$4)</f>
        <v>1.0912999999999999</v>
      </c>
      <c r="L61">
        <f>IF($D61=1,ROUND(Keys!$C$2/(INDEX(Src_SYSHECF_nuclear!$J$5:$J$292,MATCH($C61,Src_SYSHECF_nuclear!$C$5:$C$292,0))*$E61),Keys!$C$5),Keys!$C$4)</f>
        <v>1.0912999999999999</v>
      </c>
      <c r="M61">
        <f>IF($D61=1,ROUND(Keys!$C$2/(INDEX(Src_SYSHECF_nuclear!$K$5:$K$292,MATCH($C61,Src_SYSHECF_nuclear!$C$5:$C$292,0))*$E61),Keys!$C$5),Keys!$C$4)</f>
        <v>1.0912999999999999</v>
      </c>
      <c r="N61">
        <f>IF($D61=1,ROUND(Keys!$C$2/(INDEX(Src_SYSHECF_nuclear!$L$5:$L$292,MATCH($C61,Src_SYSHECF_nuclear!$C$5:$C$292,0))*$E61),Keys!$C$5),Keys!$C$4)</f>
        <v>1.0912999999999999</v>
      </c>
      <c r="O61">
        <f>IF($D61=1,ROUND(Keys!$C$2/(INDEX(Src_SYSHECF_nuclear!$M$5:$M$292,MATCH($C61,Src_SYSHECF_nuclear!$C$5:$C$292,0))*$E61),Keys!$C$5),Keys!$C$4)</f>
        <v>1.0912999999999999</v>
      </c>
      <c r="P61">
        <f>IF($D61=1,ROUND(Keys!$C$2/(INDEX(Src_SYSHECF_nuclear!$N$5:$N$292,MATCH($C61,Src_SYSHECF_nuclear!$C$5:$C$292,0))*$E61),Keys!$C$5),Keys!$C$4)</f>
        <v>1.0912999999999999</v>
      </c>
      <c r="Q61">
        <f>IF($D61=1,ROUND(Keys!$C$2/(INDEX(Src_SYSHECF_nuclear!$O$5:$O$292,MATCH($C61,Src_SYSHECF_nuclear!$C$5:$C$292,0))*$E61),Keys!$C$5),Keys!$C$4)</f>
        <v>1.0912999999999999</v>
      </c>
      <c r="R61">
        <f>IF($D61=1,ROUND(Keys!$C$2/(INDEX(Src_SYSHECF_nuclear!$P$5:$P$292,MATCH($C61,Src_SYSHECF_nuclear!$C$5:$C$292,0))*$E61),Keys!$C$5),Keys!$C$4)</f>
        <v>1.0912999999999999</v>
      </c>
      <c r="S61">
        <f>IF($D61=1,ROUND(Keys!$C$2/(INDEX(Src_SYSHECF_nuclear!$Q$5:$Q$292,MATCH($C61,Src_SYSHECF_nuclear!$C$5:$C$292,0))*$E61),Keys!$C$5),Keys!$C$4)</f>
        <v>1.0912999999999999</v>
      </c>
      <c r="T61">
        <f>IF($D61=1,ROUND(Keys!$C$2/(INDEX(Src_SYSHECF_nuclear!$R$5:$R$292,MATCH($C61,Src_SYSHECF_nuclear!$C$5:$C$292,0))*$E61),Keys!$C$5),Keys!$C$4)</f>
        <v>1.0912999999999999</v>
      </c>
      <c r="U61">
        <f>IF($D61=1,ROUND(Keys!$C$2/(INDEX(Src_SYSHECF_nuclear!$S$5:$S$292,MATCH($C61,Src_SYSHECF_nuclear!$C$5:$C$292,0))*$E61),Keys!$C$5),Keys!$C$4)</f>
        <v>1.0912999999999999</v>
      </c>
      <c r="V61">
        <f>IF($D61=1,ROUND(Keys!$C$2/(INDEX(Src_SYSHECF_nuclear!$T$5:$T$292,MATCH($C61,Src_SYSHECF_nuclear!$C$5:$C$292,0))*$E61),Keys!$C$5),Keys!$C$4)</f>
        <v>1.0912999999999999</v>
      </c>
      <c r="W61">
        <f>IF($D61=1,ROUND(Keys!$C$2/(INDEX(Src_SYSHECF_nuclear!$U$5:$U$292,MATCH($C61,Src_SYSHECF_nuclear!$C$5:$C$292,0))*$E61),Keys!$C$5),Keys!$C$4)</f>
        <v>1.0912999999999999</v>
      </c>
      <c r="X61">
        <f>IF($D61=1,ROUND(Keys!$C$2/(INDEX(Src_SYSHECF_nuclear!$V$5:$V$292,MATCH($C61,Src_SYSHECF_nuclear!$C$5:$C$292,0))*$E61),Keys!$C$5),Keys!$C$4)</f>
        <v>1.0912999999999999</v>
      </c>
      <c r="Y61">
        <f>IF($D61=1,ROUND(Keys!$C$2/(INDEX(Src_SYSHECF_nuclear!$W$5:$W$292,MATCH($C61,Src_SYSHECF_nuclear!$C$5:$C$292,0))*$E61),Keys!$C$5),Keys!$C$4)</f>
        <v>1.0912999999999999</v>
      </c>
      <c r="Z61">
        <f>IF($D61=1,ROUND(Keys!$C$2/(INDEX(Src_SYSHECF_nuclear!$X$5:$X$292,MATCH($C61,Src_SYSHECF_nuclear!$C$5:$C$292,0))*$E61),Keys!$C$5),Keys!$C$4)</f>
        <v>1.0912999999999999</v>
      </c>
      <c r="AA61">
        <f>IF($D61=1,ROUND(Keys!$C$2/(INDEX(Src_SYSHECF_nuclear!$Y$5:$Y$292,MATCH($C61,Src_SYSHECF_nuclear!$C$5:$C$292,0))*$E61),Keys!$C$5),Keys!$C$4)</f>
        <v>1.0912999999999999</v>
      </c>
      <c r="AB61">
        <f>IF($D61=1,ROUND(Keys!$C$2/(INDEX(Src_SYSHECF_nuclear!$Z$5:$Z$292,MATCH($C61,Src_SYSHECF_nuclear!$C$5:$C$292,0))*$E61),Keys!$C$5),Keys!$C$4)</f>
        <v>1.0912999999999999</v>
      </c>
      <c r="AC61">
        <f>IF($D61=1,ROUND(Keys!$C$2/(INDEX(Src_SYSHECF_nuclear!$AA$5:$AA$292,MATCH($C61,Src_SYSHECF_nuclear!$C$5:$C$292,0))*$E61),Keys!$C$5),Keys!$C$4)</f>
        <v>1.0912999999999999</v>
      </c>
      <c r="AE61">
        <f>IF($D61=1,IF(ABS(INDEX(Src_SYSHECF_nuclear!$D$5:$D$292,MATCH($C61,Src_SYSHECF_nuclear!$C$5:$C$292,0))*$E61*F61-Keys!$C$2)&gt;Keys!$C$6,1,0),0)</f>
        <v>0</v>
      </c>
    </row>
    <row r="62" spans="1:31" x14ac:dyDescent="0.45">
      <c r="A62" t="s">
        <v>5</v>
      </c>
      <c r="B62" t="s">
        <v>424</v>
      </c>
      <c r="C62" t="str">
        <f t="shared" si="1"/>
        <v>AR|Winter</v>
      </c>
      <c r="D62">
        <f>INDEX(Src_BHRaSYC_nuclear!$HF$5:$HF$52,MATCH($A62,Src_BHRaSYC_nuclear!$A$5:$A$52,0))</f>
        <v>1</v>
      </c>
      <c r="E62">
        <f>INDEX(Src_HYECFCA_nuclear!$B$5:$B$52,MATCH($A62,Src_HYECFCA_nuclear!$A$5:$A$52,0))</f>
        <v>1.0182500000000001</v>
      </c>
      <c r="F62">
        <f>IF($D62=1,ROUND(Keys!$C$2/(INDEX(Src_SYSHECF_nuclear!$D$5:$D$292,MATCH($C62,Src_SYSHECF_nuclear!$C$5:$C$292,0))*$E62),Keys!$C$5),Keys!$C$4)</f>
        <v>1.0155000000000001</v>
      </c>
      <c r="G62">
        <f>IF($D62=1,ROUND(Keys!$C$2/(INDEX(Src_SYSHECF_nuclear!$E$5:$E$292,MATCH($C62,Src_SYSHECF_nuclear!$C$5:$C$292,0))*$E62),Keys!$C$5),Keys!$C$4)</f>
        <v>1.0155000000000001</v>
      </c>
      <c r="H62">
        <f>IF($D62=1,ROUND(Keys!$C$2/(INDEX(Src_SYSHECF_nuclear!$F$5:$F$292,MATCH($C62,Src_SYSHECF_nuclear!$C$5:$C$292,0))*$E62),Keys!$C$5),Keys!$C$4)</f>
        <v>1.0155000000000001</v>
      </c>
      <c r="I62">
        <f>IF($D62=1,ROUND(Keys!$C$2/(INDEX(Src_SYSHECF_nuclear!$G$5:$G$292,MATCH($C62,Src_SYSHECF_nuclear!$C$5:$C$292,0))*$E62),Keys!$C$5),Keys!$C$4)</f>
        <v>1.0155000000000001</v>
      </c>
      <c r="J62">
        <f>IF($D62=1,ROUND(Keys!$C$2/(INDEX(Src_SYSHECF_nuclear!$H$5:$H$292,MATCH($C62,Src_SYSHECF_nuclear!$C$5:$C$292,0))*$E62),Keys!$C$5),Keys!$C$4)</f>
        <v>1.0155000000000001</v>
      </c>
      <c r="K62">
        <f>IF($D62=1,ROUND(Keys!$C$2/(INDEX(Src_SYSHECF_nuclear!$I$5:$I$292,MATCH($C62,Src_SYSHECF_nuclear!$C$5:$C$292,0))*$E62),Keys!$C$5),Keys!$C$4)</f>
        <v>1.0155000000000001</v>
      </c>
      <c r="L62">
        <f>IF($D62=1,ROUND(Keys!$C$2/(INDEX(Src_SYSHECF_nuclear!$J$5:$J$292,MATCH($C62,Src_SYSHECF_nuclear!$C$5:$C$292,0))*$E62),Keys!$C$5),Keys!$C$4)</f>
        <v>1.0155000000000001</v>
      </c>
      <c r="M62">
        <f>IF($D62=1,ROUND(Keys!$C$2/(INDEX(Src_SYSHECF_nuclear!$K$5:$K$292,MATCH($C62,Src_SYSHECF_nuclear!$C$5:$C$292,0))*$E62),Keys!$C$5),Keys!$C$4)</f>
        <v>1.0155000000000001</v>
      </c>
      <c r="N62">
        <f>IF($D62=1,ROUND(Keys!$C$2/(INDEX(Src_SYSHECF_nuclear!$L$5:$L$292,MATCH($C62,Src_SYSHECF_nuclear!$C$5:$C$292,0))*$E62),Keys!$C$5),Keys!$C$4)</f>
        <v>1.0155000000000001</v>
      </c>
      <c r="O62">
        <f>IF($D62=1,ROUND(Keys!$C$2/(INDEX(Src_SYSHECF_nuclear!$M$5:$M$292,MATCH($C62,Src_SYSHECF_nuclear!$C$5:$C$292,0))*$E62),Keys!$C$5),Keys!$C$4)</f>
        <v>1.0155000000000001</v>
      </c>
      <c r="P62">
        <f>IF($D62=1,ROUND(Keys!$C$2/(INDEX(Src_SYSHECF_nuclear!$N$5:$N$292,MATCH($C62,Src_SYSHECF_nuclear!$C$5:$C$292,0))*$E62),Keys!$C$5),Keys!$C$4)</f>
        <v>1.0155000000000001</v>
      </c>
      <c r="Q62">
        <f>IF($D62=1,ROUND(Keys!$C$2/(INDEX(Src_SYSHECF_nuclear!$O$5:$O$292,MATCH($C62,Src_SYSHECF_nuclear!$C$5:$C$292,0))*$E62),Keys!$C$5),Keys!$C$4)</f>
        <v>1.0155000000000001</v>
      </c>
      <c r="R62">
        <f>IF($D62=1,ROUND(Keys!$C$2/(INDEX(Src_SYSHECF_nuclear!$P$5:$P$292,MATCH($C62,Src_SYSHECF_nuclear!$C$5:$C$292,0))*$E62),Keys!$C$5),Keys!$C$4)</f>
        <v>1.0155000000000001</v>
      </c>
      <c r="S62">
        <f>IF($D62=1,ROUND(Keys!$C$2/(INDEX(Src_SYSHECF_nuclear!$Q$5:$Q$292,MATCH($C62,Src_SYSHECF_nuclear!$C$5:$C$292,0))*$E62),Keys!$C$5),Keys!$C$4)</f>
        <v>1.0155000000000001</v>
      </c>
      <c r="T62">
        <f>IF($D62=1,ROUND(Keys!$C$2/(INDEX(Src_SYSHECF_nuclear!$R$5:$R$292,MATCH($C62,Src_SYSHECF_nuclear!$C$5:$C$292,0))*$E62),Keys!$C$5),Keys!$C$4)</f>
        <v>1.0155000000000001</v>
      </c>
      <c r="U62">
        <f>IF($D62=1,ROUND(Keys!$C$2/(INDEX(Src_SYSHECF_nuclear!$S$5:$S$292,MATCH($C62,Src_SYSHECF_nuclear!$C$5:$C$292,0))*$E62),Keys!$C$5),Keys!$C$4)</f>
        <v>1.0155000000000001</v>
      </c>
      <c r="V62">
        <f>IF($D62=1,ROUND(Keys!$C$2/(INDEX(Src_SYSHECF_nuclear!$T$5:$T$292,MATCH($C62,Src_SYSHECF_nuclear!$C$5:$C$292,0))*$E62),Keys!$C$5),Keys!$C$4)</f>
        <v>1.0155000000000001</v>
      </c>
      <c r="W62">
        <f>IF($D62=1,ROUND(Keys!$C$2/(INDEX(Src_SYSHECF_nuclear!$U$5:$U$292,MATCH($C62,Src_SYSHECF_nuclear!$C$5:$C$292,0))*$E62),Keys!$C$5),Keys!$C$4)</f>
        <v>1.0155000000000001</v>
      </c>
      <c r="X62">
        <f>IF($D62=1,ROUND(Keys!$C$2/(INDEX(Src_SYSHECF_nuclear!$V$5:$V$292,MATCH($C62,Src_SYSHECF_nuclear!$C$5:$C$292,0))*$E62),Keys!$C$5),Keys!$C$4)</f>
        <v>1.0155000000000001</v>
      </c>
      <c r="Y62">
        <f>IF($D62=1,ROUND(Keys!$C$2/(INDEX(Src_SYSHECF_nuclear!$W$5:$W$292,MATCH($C62,Src_SYSHECF_nuclear!$C$5:$C$292,0))*$E62),Keys!$C$5),Keys!$C$4)</f>
        <v>1.0155000000000001</v>
      </c>
      <c r="Z62">
        <f>IF($D62=1,ROUND(Keys!$C$2/(INDEX(Src_SYSHECF_nuclear!$X$5:$X$292,MATCH($C62,Src_SYSHECF_nuclear!$C$5:$C$292,0))*$E62),Keys!$C$5),Keys!$C$4)</f>
        <v>1.0155000000000001</v>
      </c>
      <c r="AA62">
        <f>IF($D62=1,ROUND(Keys!$C$2/(INDEX(Src_SYSHECF_nuclear!$Y$5:$Y$292,MATCH($C62,Src_SYSHECF_nuclear!$C$5:$C$292,0))*$E62),Keys!$C$5),Keys!$C$4)</f>
        <v>1.0155000000000001</v>
      </c>
      <c r="AB62">
        <f>IF($D62=1,ROUND(Keys!$C$2/(INDEX(Src_SYSHECF_nuclear!$Z$5:$Z$292,MATCH($C62,Src_SYSHECF_nuclear!$C$5:$C$292,0))*$E62),Keys!$C$5),Keys!$C$4)</f>
        <v>1.0155000000000001</v>
      </c>
      <c r="AC62">
        <f>IF($D62=1,ROUND(Keys!$C$2/(INDEX(Src_SYSHECF_nuclear!$AA$5:$AA$292,MATCH($C62,Src_SYSHECF_nuclear!$C$5:$C$292,0))*$E62),Keys!$C$5),Keys!$C$4)</f>
        <v>1.0155000000000001</v>
      </c>
      <c r="AE62">
        <f>IF($D62=1,IF(ABS(INDEX(Src_SYSHECF_nuclear!$D$5:$D$292,MATCH($C62,Src_SYSHECF_nuclear!$C$5:$C$292,0))*$E62*F62-Keys!$C$2)&gt;Keys!$C$6,1,0),0)</f>
        <v>0</v>
      </c>
    </row>
    <row r="63" spans="1:31" x14ac:dyDescent="0.45">
      <c r="A63" t="s">
        <v>5</v>
      </c>
      <c r="B63" t="s">
        <v>425</v>
      </c>
      <c r="C63" t="str">
        <f t="shared" si="1"/>
        <v>AR|Spring</v>
      </c>
      <c r="D63">
        <f>INDEX(Src_BHRaSYC_nuclear!$HF$5:$HF$52,MATCH($A63,Src_BHRaSYC_nuclear!$A$5:$A$52,0))</f>
        <v>1</v>
      </c>
      <c r="E63">
        <f>INDEX(Src_HYECFCA_nuclear!$B$5:$B$52,MATCH($A63,Src_HYECFCA_nuclear!$A$5:$A$52,0))</f>
        <v>1.0182500000000001</v>
      </c>
      <c r="F63">
        <f>IF($D63=1,ROUND(Keys!$C$2/(INDEX(Src_SYSHECF_nuclear!$D$5:$D$292,MATCH($C63,Src_SYSHECF_nuclear!$C$5:$C$292,0))*$E63),Keys!$C$5),Keys!$C$4)</f>
        <v>1.0155000000000001</v>
      </c>
      <c r="G63">
        <f>IF($D63=1,ROUND(Keys!$C$2/(INDEX(Src_SYSHECF_nuclear!$E$5:$E$292,MATCH($C63,Src_SYSHECF_nuclear!$C$5:$C$292,0))*$E63),Keys!$C$5),Keys!$C$4)</f>
        <v>1.0155000000000001</v>
      </c>
      <c r="H63">
        <f>IF($D63=1,ROUND(Keys!$C$2/(INDEX(Src_SYSHECF_nuclear!$F$5:$F$292,MATCH($C63,Src_SYSHECF_nuclear!$C$5:$C$292,0))*$E63),Keys!$C$5),Keys!$C$4)</f>
        <v>1.0155000000000001</v>
      </c>
      <c r="I63">
        <f>IF($D63=1,ROUND(Keys!$C$2/(INDEX(Src_SYSHECF_nuclear!$G$5:$G$292,MATCH($C63,Src_SYSHECF_nuclear!$C$5:$C$292,0))*$E63),Keys!$C$5),Keys!$C$4)</f>
        <v>1.0155000000000001</v>
      </c>
      <c r="J63">
        <f>IF($D63=1,ROUND(Keys!$C$2/(INDEX(Src_SYSHECF_nuclear!$H$5:$H$292,MATCH($C63,Src_SYSHECF_nuclear!$C$5:$C$292,0))*$E63),Keys!$C$5),Keys!$C$4)</f>
        <v>1.0155000000000001</v>
      </c>
      <c r="K63">
        <f>IF($D63=1,ROUND(Keys!$C$2/(INDEX(Src_SYSHECF_nuclear!$I$5:$I$292,MATCH($C63,Src_SYSHECF_nuclear!$C$5:$C$292,0))*$E63),Keys!$C$5),Keys!$C$4)</f>
        <v>1.0222</v>
      </c>
      <c r="L63">
        <f>IF($D63=1,ROUND(Keys!$C$2/(INDEX(Src_SYSHECF_nuclear!$J$5:$J$292,MATCH($C63,Src_SYSHECF_nuclear!$C$5:$C$292,0))*$E63),Keys!$C$5),Keys!$C$4)</f>
        <v>1.0222</v>
      </c>
      <c r="M63">
        <f>IF($D63=1,ROUND(Keys!$C$2/(INDEX(Src_SYSHECF_nuclear!$K$5:$K$292,MATCH($C63,Src_SYSHECF_nuclear!$C$5:$C$292,0))*$E63),Keys!$C$5),Keys!$C$4)</f>
        <v>1.0155000000000001</v>
      </c>
      <c r="N63">
        <f>IF($D63=1,ROUND(Keys!$C$2/(INDEX(Src_SYSHECF_nuclear!$L$5:$L$292,MATCH($C63,Src_SYSHECF_nuclear!$C$5:$C$292,0))*$E63),Keys!$C$5),Keys!$C$4)</f>
        <v>1.0155000000000001</v>
      </c>
      <c r="O63">
        <f>IF($D63=1,ROUND(Keys!$C$2/(INDEX(Src_SYSHECF_nuclear!$M$5:$M$292,MATCH($C63,Src_SYSHECF_nuclear!$C$5:$C$292,0))*$E63),Keys!$C$5),Keys!$C$4)</f>
        <v>1.0155000000000001</v>
      </c>
      <c r="P63">
        <f>IF($D63=1,ROUND(Keys!$C$2/(INDEX(Src_SYSHECF_nuclear!$N$5:$N$292,MATCH($C63,Src_SYSHECF_nuclear!$C$5:$C$292,0))*$E63),Keys!$C$5),Keys!$C$4)</f>
        <v>1.0155000000000001</v>
      </c>
      <c r="Q63">
        <f>IF($D63=1,ROUND(Keys!$C$2/(INDEX(Src_SYSHECF_nuclear!$O$5:$O$292,MATCH($C63,Src_SYSHECF_nuclear!$C$5:$C$292,0))*$E63),Keys!$C$5),Keys!$C$4)</f>
        <v>1.0155000000000001</v>
      </c>
      <c r="R63">
        <f>IF($D63=1,ROUND(Keys!$C$2/(INDEX(Src_SYSHECF_nuclear!$P$5:$P$292,MATCH($C63,Src_SYSHECF_nuclear!$C$5:$C$292,0))*$E63),Keys!$C$5),Keys!$C$4)</f>
        <v>1.0155000000000001</v>
      </c>
      <c r="S63">
        <f>IF($D63=1,ROUND(Keys!$C$2/(INDEX(Src_SYSHECF_nuclear!$Q$5:$Q$292,MATCH($C63,Src_SYSHECF_nuclear!$C$5:$C$292,0))*$E63),Keys!$C$5),Keys!$C$4)</f>
        <v>1.0155000000000001</v>
      </c>
      <c r="T63">
        <f>IF($D63=1,ROUND(Keys!$C$2/(INDEX(Src_SYSHECF_nuclear!$R$5:$R$292,MATCH($C63,Src_SYSHECF_nuclear!$C$5:$C$292,0))*$E63),Keys!$C$5),Keys!$C$4)</f>
        <v>1.0155000000000001</v>
      </c>
      <c r="U63">
        <f>IF($D63=1,ROUND(Keys!$C$2/(INDEX(Src_SYSHECF_nuclear!$S$5:$S$292,MATCH($C63,Src_SYSHECF_nuclear!$C$5:$C$292,0))*$E63),Keys!$C$5),Keys!$C$4)</f>
        <v>1.0155000000000001</v>
      </c>
      <c r="V63">
        <f>IF($D63=1,ROUND(Keys!$C$2/(INDEX(Src_SYSHECF_nuclear!$T$5:$T$292,MATCH($C63,Src_SYSHECF_nuclear!$C$5:$C$292,0))*$E63),Keys!$C$5),Keys!$C$4)</f>
        <v>1.0155000000000001</v>
      </c>
      <c r="W63">
        <f>IF($D63=1,ROUND(Keys!$C$2/(INDEX(Src_SYSHECF_nuclear!$U$5:$U$292,MATCH($C63,Src_SYSHECF_nuclear!$C$5:$C$292,0))*$E63),Keys!$C$5),Keys!$C$4)</f>
        <v>1.0155000000000001</v>
      </c>
      <c r="X63">
        <f>IF($D63=1,ROUND(Keys!$C$2/(INDEX(Src_SYSHECF_nuclear!$V$5:$V$292,MATCH($C63,Src_SYSHECF_nuclear!$C$5:$C$292,0))*$E63),Keys!$C$5),Keys!$C$4)</f>
        <v>1.0155000000000001</v>
      </c>
      <c r="Y63">
        <f>IF($D63=1,ROUND(Keys!$C$2/(INDEX(Src_SYSHECF_nuclear!$W$5:$W$292,MATCH($C63,Src_SYSHECF_nuclear!$C$5:$C$292,0))*$E63),Keys!$C$5),Keys!$C$4)</f>
        <v>1.0155000000000001</v>
      </c>
      <c r="Z63">
        <f>IF($D63=1,ROUND(Keys!$C$2/(INDEX(Src_SYSHECF_nuclear!$X$5:$X$292,MATCH($C63,Src_SYSHECF_nuclear!$C$5:$C$292,0))*$E63),Keys!$C$5),Keys!$C$4)</f>
        <v>1.0155000000000001</v>
      </c>
      <c r="AA63">
        <f>IF($D63=1,ROUND(Keys!$C$2/(INDEX(Src_SYSHECF_nuclear!$Y$5:$Y$292,MATCH($C63,Src_SYSHECF_nuclear!$C$5:$C$292,0))*$E63),Keys!$C$5),Keys!$C$4)</f>
        <v>1.0155000000000001</v>
      </c>
      <c r="AB63">
        <f>IF($D63=1,ROUND(Keys!$C$2/(INDEX(Src_SYSHECF_nuclear!$Z$5:$Z$292,MATCH($C63,Src_SYSHECF_nuclear!$C$5:$C$292,0))*$E63),Keys!$C$5),Keys!$C$4)</f>
        <v>1.0155000000000001</v>
      </c>
      <c r="AC63">
        <f>IF($D63=1,ROUND(Keys!$C$2/(INDEX(Src_SYSHECF_nuclear!$AA$5:$AA$292,MATCH($C63,Src_SYSHECF_nuclear!$C$5:$C$292,0))*$E63),Keys!$C$5),Keys!$C$4)</f>
        <v>1.0155000000000001</v>
      </c>
      <c r="AE63">
        <f>IF($D63=1,IF(ABS(INDEX(Src_SYSHECF_nuclear!$D$5:$D$292,MATCH($C63,Src_SYSHECF_nuclear!$C$5:$C$292,0))*$E63*F63-Keys!$C$2)&gt;Keys!$C$6,1,0),0)</f>
        <v>0</v>
      </c>
    </row>
    <row r="64" spans="1:31" x14ac:dyDescent="0.45">
      <c r="A64" t="s">
        <v>5</v>
      </c>
      <c r="B64" t="s">
        <v>426</v>
      </c>
      <c r="C64" t="str">
        <f t="shared" si="1"/>
        <v>AR|Summer</v>
      </c>
      <c r="D64">
        <f>INDEX(Src_BHRaSYC_nuclear!$HF$5:$HF$52,MATCH($A64,Src_BHRaSYC_nuclear!$A$5:$A$52,0))</f>
        <v>1</v>
      </c>
      <c r="E64">
        <f>INDEX(Src_HYECFCA_nuclear!$B$5:$B$52,MATCH($A64,Src_HYECFCA_nuclear!$A$5:$A$52,0))</f>
        <v>1.0182500000000001</v>
      </c>
      <c r="F64">
        <f>IF($D64=1,ROUND(Keys!$C$2/(INDEX(Src_SYSHECF_nuclear!$D$5:$D$292,MATCH($C64,Src_SYSHECF_nuclear!$C$5:$C$292,0))*$E64),Keys!$C$5),Keys!$C$4)</f>
        <v>1.0155000000000001</v>
      </c>
      <c r="G64">
        <f>IF($D64=1,ROUND(Keys!$C$2/(INDEX(Src_SYSHECF_nuclear!$E$5:$E$292,MATCH($C64,Src_SYSHECF_nuclear!$C$5:$C$292,0))*$E64),Keys!$C$5),Keys!$C$4)</f>
        <v>1.0155000000000001</v>
      </c>
      <c r="H64">
        <f>IF($D64=1,ROUND(Keys!$C$2/(INDEX(Src_SYSHECF_nuclear!$F$5:$F$292,MATCH($C64,Src_SYSHECF_nuclear!$C$5:$C$292,0))*$E64),Keys!$C$5),Keys!$C$4)</f>
        <v>1.0155000000000001</v>
      </c>
      <c r="I64">
        <f>IF($D64=1,ROUND(Keys!$C$2/(INDEX(Src_SYSHECF_nuclear!$G$5:$G$292,MATCH($C64,Src_SYSHECF_nuclear!$C$5:$C$292,0))*$E64),Keys!$C$5),Keys!$C$4)</f>
        <v>1.0155000000000001</v>
      </c>
      <c r="J64">
        <f>IF($D64=1,ROUND(Keys!$C$2/(INDEX(Src_SYSHECF_nuclear!$H$5:$H$292,MATCH($C64,Src_SYSHECF_nuclear!$C$5:$C$292,0))*$E64),Keys!$C$5),Keys!$C$4)</f>
        <v>1.0155000000000001</v>
      </c>
      <c r="K64">
        <f>IF($D64=1,ROUND(Keys!$C$2/(INDEX(Src_SYSHECF_nuclear!$I$5:$I$292,MATCH($C64,Src_SYSHECF_nuclear!$C$5:$C$292,0))*$E64),Keys!$C$5),Keys!$C$4)</f>
        <v>1.0209999999999999</v>
      </c>
      <c r="L64">
        <f>IF($D64=1,ROUND(Keys!$C$2/(INDEX(Src_SYSHECF_nuclear!$J$5:$J$292,MATCH($C64,Src_SYSHECF_nuclear!$C$5:$C$292,0))*$E64),Keys!$C$5),Keys!$C$4)</f>
        <v>1.0209999999999999</v>
      </c>
      <c r="M64">
        <f>IF($D64=1,ROUND(Keys!$C$2/(INDEX(Src_SYSHECF_nuclear!$K$5:$K$292,MATCH($C64,Src_SYSHECF_nuclear!$C$5:$C$292,0))*$E64),Keys!$C$5),Keys!$C$4)</f>
        <v>1.0155000000000001</v>
      </c>
      <c r="N64">
        <f>IF($D64=1,ROUND(Keys!$C$2/(INDEX(Src_SYSHECF_nuclear!$L$5:$L$292,MATCH($C64,Src_SYSHECF_nuclear!$C$5:$C$292,0))*$E64),Keys!$C$5),Keys!$C$4)</f>
        <v>1.0155000000000001</v>
      </c>
      <c r="O64">
        <f>IF($D64=1,ROUND(Keys!$C$2/(INDEX(Src_SYSHECF_nuclear!$M$5:$M$292,MATCH($C64,Src_SYSHECF_nuclear!$C$5:$C$292,0))*$E64),Keys!$C$5),Keys!$C$4)</f>
        <v>1.0155000000000001</v>
      </c>
      <c r="P64">
        <f>IF($D64=1,ROUND(Keys!$C$2/(INDEX(Src_SYSHECF_nuclear!$N$5:$N$292,MATCH($C64,Src_SYSHECF_nuclear!$C$5:$C$292,0))*$E64),Keys!$C$5),Keys!$C$4)</f>
        <v>1.0155000000000001</v>
      </c>
      <c r="Q64">
        <f>IF($D64=1,ROUND(Keys!$C$2/(INDEX(Src_SYSHECF_nuclear!$O$5:$O$292,MATCH($C64,Src_SYSHECF_nuclear!$C$5:$C$292,0))*$E64),Keys!$C$5),Keys!$C$4)</f>
        <v>1.0155000000000001</v>
      </c>
      <c r="R64">
        <f>IF($D64=1,ROUND(Keys!$C$2/(INDEX(Src_SYSHECF_nuclear!$P$5:$P$292,MATCH($C64,Src_SYSHECF_nuclear!$C$5:$C$292,0))*$E64),Keys!$C$5),Keys!$C$4)</f>
        <v>1.0155000000000001</v>
      </c>
      <c r="S64">
        <f>IF($D64=1,ROUND(Keys!$C$2/(INDEX(Src_SYSHECF_nuclear!$Q$5:$Q$292,MATCH($C64,Src_SYSHECF_nuclear!$C$5:$C$292,0))*$E64),Keys!$C$5),Keys!$C$4)</f>
        <v>1.0155000000000001</v>
      </c>
      <c r="T64">
        <f>IF($D64=1,ROUND(Keys!$C$2/(INDEX(Src_SYSHECF_nuclear!$R$5:$R$292,MATCH($C64,Src_SYSHECF_nuclear!$C$5:$C$292,0))*$E64),Keys!$C$5),Keys!$C$4)</f>
        <v>1.0155000000000001</v>
      </c>
      <c r="U64">
        <f>IF($D64=1,ROUND(Keys!$C$2/(INDEX(Src_SYSHECF_nuclear!$S$5:$S$292,MATCH($C64,Src_SYSHECF_nuclear!$C$5:$C$292,0))*$E64),Keys!$C$5),Keys!$C$4)</f>
        <v>1.0155000000000001</v>
      </c>
      <c r="V64">
        <f>IF($D64=1,ROUND(Keys!$C$2/(INDEX(Src_SYSHECF_nuclear!$T$5:$T$292,MATCH($C64,Src_SYSHECF_nuclear!$C$5:$C$292,0))*$E64),Keys!$C$5),Keys!$C$4)</f>
        <v>1.0155000000000001</v>
      </c>
      <c r="W64">
        <f>IF($D64=1,ROUND(Keys!$C$2/(INDEX(Src_SYSHECF_nuclear!$U$5:$U$292,MATCH($C64,Src_SYSHECF_nuclear!$C$5:$C$292,0))*$E64),Keys!$C$5),Keys!$C$4)</f>
        <v>1.0155000000000001</v>
      </c>
      <c r="X64">
        <f>IF($D64=1,ROUND(Keys!$C$2/(INDEX(Src_SYSHECF_nuclear!$V$5:$V$292,MATCH($C64,Src_SYSHECF_nuclear!$C$5:$C$292,0))*$E64),Keys!$C$5),Keys!$C$4)</f>
        <v>1.0155000000000001</v>
      </c>
      <c r="Y64">
        <f>IF($D64=1,ROUND(Keys!$C$2/(INDEX(Src_SYSHECF_nuclear!$W$5:$W$292,MATCH($C64,Src_SYSHECF_nuclear!$C$5:$C$292,0))*$E64),Keys!$C$5),Keys!$C$4)</f>
        <v>1.0155000000000001</v>
      </c>
      <c r="Z64">
        <f>IF($D64=1,ROUND(Keys!$C$2/(INDEX(Src_SYSHECF_nuclear!$X$5:$X$292,MATCH($C64,Src_SYSHECF_nuclear!$C$5:$C$292,0))*$E64),Keys!$C$5),Keys!$C$4)</f>
        <v>1.0155000000000001</v>
      </c>
      <c r="AA64">
        <f>IF($D64=1,ROUND(Keys!$C$2/(INDEX(Src_SYSHECF_nuclear!$Y$5:$Y$292,MATCH($C64,Src_SYSHECF_nuclear!$C$5:$C$292,0))*$E64),Keys!$C$5),Keys!$C$4)</f>
        <v>1.0155000000000001</v>
      </c>
      <c r="AB64">
        <f>IF($D64=1,ROUND(Keys!$C$2/(INDEX(Src_SYSHECF_nuclear!$Z$5:$Z$292,MATCH($C64,Src_SYSHECF_nuclear!$C$5:$C$292,0))*$E64),Keys!$C$5),Keys!$C$4)</f>
        <v>1.0155000000000001</v>
      </c>
      <c r="AC64">
        <f>IF($D64=1,ROUND(Keys!$C$2/(INDEX(Src_SYSHECF_nuclear!$AA$5:$AA$292,MATCH($C64,Src_SYSHECF_nuclear!$C$5:$C$292,0))*$E64),Keys!$C$5),Keys!$C$4)</f>
        <v>1.0155000000000001</v>
      </c>
      <c r="AE64">
        <f>IF($D64=1,IF(ABS(INDEX(Src_SYSHECF_nuclear!$D$5:$D$292,MATCH($C64,Src_SYSHECF_nuclear!$C$5:$C$292,0))*$E64*F64-Keys!$C$2)&gt;Keys!$C$6,1,0),0)</f>
        <v>0</v>
      </c>
    </row>
    <row r="65" spans="1:31" x14ac:dyDescent="0.45">
      <c r="A65" t="s">
        <v>5</v>
      </c>
      <c r="B65" t="s">
        <v>427</v>
      </c>
      <c r="C65" t="str">
        <f t="shared" si="1"/>
        <v>AR|Fall</v>
      </c>
      <c r="D65">
        <f>INDEX(Src_BHRaSYC_nuclear!$HF$5:$HF$52,MATCH($A65,Src_BHRaSYC_nuclear!$A$5:$A$52,0))</f>
        <v>1</v>
      </c>
      <c r="E65">
        <f>INDEX(Src_HYECFCA_nuclear!$B$5:$B$52,MATCH($A65,Src_HYECFCA_nuclear!$A$5:$A$52,0))</f>
        <v>1.0182500000000001</v>
      </c>
      <c r="F65">
        <f>IF($D65=1,ROUND(Keys!$C$2/(INDEX(Src_SYSHECF_nuclear!$D$5:$D$292,MATCH($C65,Src_SYSHECF_nuclear!$C$5:$C$292,0))*$E65),Keys!$C$5),Keys!$C$4)</f>
        <v>1.0155000000000001</v>
      </c>
      <c r="G65">
        <f>IF($D65=1,ROUND(Keys!$C$2/(INDEX(Src_SYSHECF_nuclear!$E$5:$E$292,MATCH($C65,Src_SYSHECF_nuclear!$C$5:$C$292,0))*$E65),Keys!$C$5),Keys!$C$4)</f>
        <v>1.0155000000000001</v>
      </c>
      <c r="H65">
        <f>IF($D65=1,ROUND(Keys!$C$2/(INDEX(Src_SYSHECF_nuclear!$F$5:$F$292,MATCH($C65,Src_SYSHECF_nuclear!$C$5:$C$292,0))*$E65),Keys!$C$5),Keys!$C$4)</f>
        <v>1.0155000000000001</v>
      </c>
      <c r="I65">
        <f>IF($D65=1,ROUND(Keys!$C$2/(INDEX(Src_SYSHECF_nuclear!$G$5:$G$292,MATCH($C65,Src_SYSHECF_nuclear!$C$5:$C$292,0))*$E65),Keys!$C$5),Keys!$C$4)</f>
        <v>1.0155000000000001</v>
      </c>
      <c r="J65">
        <f>IF($D65=1,ROUND(Keys!$C$2/(INDEX(Src_SYSHECF_nuclear!$H$5:$H$292,MATCH($C65,Src_SYSHECF_nuclear!$C$5:$C$292,0))*$E65),Keys!$C$5),Keys!$C$4)</f>
        <v>1.0155000000000001</v>
      </c>
      <c r="K65">
        <f>IF($D65=1,ROUND(Keys!$C$2/(INDEX(Src_SYSHECF_nuclear!$I$5:$I$292,MATCH($C65,Src_SYSHECF_nuclear!$C$5:$C$292,0))*$E65),Keys!$C$5),Keys!$C$4)</f>
        <v>1.0197000000000001</v>
      </c>
      <c r="L65">
        <f>IF($D65=1,ROUND(Keys!$C$2/(INDEX(Src_SYSHECF_nuclear!$J$5:$J$292,MATCH($C65,Src_SYSHECF_nuclear!$C$5:$C$292,0))*$E65),Keys!$C$5),Keys!$C$4)</f>
        <v>1.0169999999999999</v>
      </c>
      <c r="M65">
        <f>IF($D65=1,ROUND(Keys!$C$2/(INDEX(Src_SYSHECF_nuclear!$K$5:$K$292,MATCH($C65,Src_SYSHECF_nuclear!$C$5:$C$292,0))*$E65),Keys!$C$5),Keys!$C$4)</f>
        <v>1.0155000000000001</v>
      </c>
      <c r="N65">
        <f>IF($D65=1,ROUND(Keys!$C$2/(INDEX(Src_SYSHECF_nuclear!$L$5:$L$292,MATCH($C65,Src_SYSHECF_nuclear!$C$5:$C$292,0))*$E65),Keys!$C$5),Keys!$C$4)</f>
        <v>1.0155000000000001</v>
      </c>
      <c r="O65">
        <f>IF($D65=1,ROUND(Keys!$C$2/(INDEX(Src_SYSHECF_nuclear!$M$5:$M$292,MATCH($C65,Src_SYSHECF_nuclear!$C$5:$C$292,0))*$E65),Keys!$C$5),Keys!$C$4)</f>
        <v>1.0155000000000001</v>
      </c>
      <c r="P65">
        <f>IF($D65=1,ROUND(Keys!$C$2/(INDEX(Src_SYSHECF_nuclear!$N$5:$N$292,MATCH($C65,Src_SYSHECF_nuclear!$C$5:$C$292,0))*$E65),Keys!$C$5),Keys!$C$4)</f>
        <v>1.0155000000000001</v>
      </c>
      <c r="Q65">
        <f>IF($D65=1,ROUND(Keys!$C$2/(INDEX(Src_SYSHECF_nuclear!$O$5:$O$292,MATCH($C65,Src_SYSHECF_nuclear!$C$5:$C$292,0))*$E65),Keys!$C$5),Keys!$C$4)</f>
        <v>1.0155000000000001</v>
      </c>
      <c r="R65">
        <f>IF($D65=1,ROUND(Keys!$C$2/(INDEX(Src_SYSHECF_nuclear!$P$5:$P$292,MATCH($C65,Src_SYSHECF_nuclear!$C$5:$C$292,0))*$E65),Keys!$C$5),Keys!$C$4)</f>
        <v>1.0155000000000001</v>
      </c>
      <c r="S65">
        <f>IF($D65=1,ROUND(Keys!$C$2/(INDEX(Src_SYSHECF_nuclear!$Q$5:$Q$292,MATCH($C65,Src_SYSHECF_nuclear!$C$5:$C$292,0))*$E65),Keys!$C$5),Keys!$C$4)</f>
        <v>1.0155000000000001</v>
      </c>
      <c r="T65">
        <f>IF($D65=1,ROUND(Keys!$C$2/(INDEX(Src_SYSHECF_nuclear!$R$5:$R$292,MATCH($C65,Src_SYSHECF_nuclear!$C$5:$C$292,0))*$E65),Keys!$C$5),Keys!$C$4)</f>
        <v>1.0155000000000001</v>
      </c>
      <c r="U65">
        <f>IF($D65=1,ROUND(Keys!$C$2/(INDEX(Src_SYSHECF_nuclear!$S$5:$S$292,MATCH($C65,Src_SYSHECF_nuclear!$C$5:$C$292,0))*$E65),Keys!$C$5),Keys!$C$4)</f>
        <v>1.0155000000000001</v>
      </c>
      <c r="V65">
        <f>IF($D65=1,ROUND(Keys!$C$2/(INDEX(Src_SYSHECF_nuclear!$T$5:$T$292,MATCH($C65,Src_SYSHECF_nuclear!$C$5:$C$292,0))*$E65),Keys!$C$5),Keys!$C$4)</f>
        <v>1.0155000000000001</v>
      </c>
      <c r="W65">
        <f>IF($D65=1,ROUND(Keys!$C$2/(INDEX(Src_SYSHECF_nuclear!$U$5:$U$292,MATCH($C65,Src_SYSHECF_nuclear!$C$5:$C$292,0))*$E65),Keys!$C$5),Keys!$C$4)</f>
        <v>1.0155000000000001</v>
      </c>
      <c r="X65">
        <f>IF($D65=1,ROUND(Keys!$C$2/(INDEX(Src_SYSHECF_nuclear!$V$5:$V$292,MATCH($C65,Src_SYSHECF_nuclear!$C$5:$C$292,0))*$E65),Keys!$C$5),Keys!$C$4)</f>
        <v>1.0155000000000001</v>
      </c>
      <c r="Y65">
        <f>IF($D65=1,ROUND(Keys!$C$2/(INDEX(Src_SYSHECF_nuclear!$W$5:$W$292,MATCH($C65,Src_SYSHECF_nuclear!$C$5:$C$292,0))*$E65),Keys!$C$5),Keys!$C$4)</f>
        <v>1.0155000000000001</v>
      </c>
      <c r="Z65">
        <f>IF($D65=1,ROUND(Keys!$C$2/(INDEX(Src_SYSHECF_nuclear!$X$5:$X$292,MATCH($C65,Src_SYSHECF_nuclear!$C$5:$C$292,0))*$E65),Keys!$C$5),Keys!$C$4)</f>
        <v>1.0155000000000001</v>
      </c>
      <c r="AA65">
        <f>IF($D65=1,ROUND(Keys!$C$2/(INDEX(Src_SYSHECF_nuclear!$Y$5:$Y$292,MATCH($C65,Src_SYSHECF_nuclear!$C$5:$C$292,0))*$E65),Keys!$C$5),Keys!$C$4)</f>
        <v>1.0155000000000001</v>
      </c>
      <c r="AB65">
        <f>IF($D65=1,ROUND(Keys!$C$2/(INDEX(Src_SYSHECF_nuclear!$Z$5:$Z$292,MATCH($C65,Src_SYSHECF_nuclear!$C$5:$C$292,0))*$E65),Keys!$C$5),Keys!$C$4)</f>
        <v>1.0155000000000001</v>
      </c>
      <c r="AC65">
        <f>IF($D65=1,ROUND(Keys!$C$2/(INDEX(Src_SYSHECF_nuclear!$AA$5:$AA$292,MATCH($C65,Src_SYSHECF_nuclear!$C$5:$C$292,0))*$E65),Keys!$C$5),Keys!$C$4)</f>
        <v>1.0155000000000001</v>
      </c>
      <c r="AE65">
        <f>IF($D65=1,IF(ABS(INDEX(Src_SYSHECF_nuclear!$D$5:$D$292,MATCH($C65,Src_SYSHECF_nuclear!$C$5:$C$292,0))*$E65*F65-Keys!$C$2)&gt;Keys!$C$6,1,0),0)</f>
        <v>0</v>
      </c>
    </row>
    <row r="66" spans="1:31" x14ac:dyDescent="0.45">
      <c r="A66" t="s">
        <v>5</v>
      </c>
      <c r="B66" t="s">
        <v>428</v>
      </c>
      <c r="C66" t="str">
        <f t="shared" si="1"/>
        <v>AR|Summer Peak</v>
      </c>
      <c r="D66">
        <f>INDEX(Src_BHRaSYC_nuclear!$HF$5:$HF$52,MATCH($A66,Src_BHRaSYC_nuclear!$A$5:$A$52,0))</f>
        <v>1</v>
      </c>
      <c r="E66">
        <f>INDEX(Src_HYECFCA_nuclear!$B$5:$B$52,MATCH($A66,Src_HYECFCA_nuclear!$A$5:$A$52,0))</f>
        <v>1.0182500000000001</v>
      </c>
      <c r="F66">
        <f>IF($D66=1,ROUND(Keys!$C$2/(INDEX(Src_SYSHECF_nuclear!$D$5:$D$292,MATCH($C66,Src_SYSHECF_nuclear!$C$5:$C$292,0))*$E66),Keys!$C$5),Keys!$C$4)</f>
        <v>1.0155000000000001</v>
      </c>
      <c r="G66">
        <f>IF($D66=1,ROUND(Keys!$C$2/(INDEX(Src_SYSHECF_nuclear!$E$5:$E$292,MATCH($C66,Src_SYSHECF_nuclear!$C$5:$C$292,0))*$E66),Keys!$C$5),Keys!$C$4)</f>
        <v>1.0155000000000001</v>
      </c>
      <c r="H66">
        <f>IF($D66=1,ROUND(Keys!$C$2/(INDEX(Src_SYSHECF_nuclear!$F$5:$F$292,MATCH($C66,Src_SYSHECF_nuclear!$C$5:$C$292,0))*$E66),Keys!$C$5),Keys!$C$4)</f>
        <v>1.0155000000000001</v>
      </c>
      <c r="I66">
        <f>IF($D66=1,ROUND(Keys!$C$2/(INDEX(Src_SYSHECF_nuclear!$G$5:$G$292,MATCH($C66,Src_SYSHECF_nuclear!$C$5:$C$292,0))*$E66),Keys!$C$5),Keys!$C$4)</f>
        <v>1.0155000000000001</v>
      </c>
      <c r="J66">
        <f>IF($D66=1,ROUND(Keys!$C$2/(INDEX(Src_SYSHECF_nuclear!$H$5:$H$292,MATCH($C66,Src_SYSHECF_nuclear!$C$5:$C$292,0))*$E66),Keys!$C$5),Keys!$C$4)</f>
        <v>1.0155000000000001</v>
      </c>
      <c r="K66">
        <f>IF($D66=1,ROUND(Keys!$C$2/(INDEX(Src_SYSHECF_nuclear!$I$5:$I$292,MATCH($C66,Src_SYSHECF_nuclear!$C$5:$C$292,0))*$E66),Keys!$C$5),Keys!$C$4)</f>
        <v>1.0155000000000001</v>
      </c>
      <c r="L66">
        <f>IF($D66=1,ROUND(Keys!$C$2/(INDEX(Src_SYSHECF_nuclear!$J$5:$J$292,MATCH($C66,Src_SYSHECF_nuclear!$C$5:$C$292,0))*$E66),Keys!$C$5),Keys!$C$4)</f>
        <v>1.0155000000000001</v>
      </c>
      <c r="M66">
        <f>IF($D66=1,ROUND(Keys!$C$2/(INDEX(Src_SYSHECF_nuclear!$K$5:$K$292,MATCH($C66,Src_SYSHECF_nuclear!$C$5:$C$292,0))*$E66),Keys!$C$5),Keys!$C$4)</f>
        <v>1.0155000000000001</v>
      </c>
      <c r="N66">
        <f>IF($D66=1,ROUND(Keys!$C$2/(INDEX(Src_SYSHECF_nuclear!$L$5:$L$292,MATCH($C66,Src_SYSHECF_nuclear!$C$5:$C$292,0))*$E66),Keys!$C$5),Keys!$C$4)</f>
        <v>1.0155000000000001</v>
      </c>
      <c r="O66">
        <f>IF($D66=1,ROUND(Keys!$C$2/(INDEX(Src_SYSHECF_nuclear!$M$5:$M$292,MATCH($C66,Src_SYSHECF_nuclear!$C$5:$C$292,0))*$E66),Keys!$C$5),Keys!$C$4)</f>
        <v>1.0155000000000001</v>
      </c>
      <c r="P66">
        <f>IF($D66=1,ROUND(Keys!$C$2/(INDEX(Src_SYSHECF_nuclear!$N$5:$N$292,MATCH($C66,Src_SYSHECF_nuclear!$C$5:$C$292,0))*$E66),Keys!$C$5),Keys!$C$4)</f>
        <v>1.0155000000000001</v>
      </c>
      <c r="Q66">
        <f>IF($D66=1,ROUND(Keys!$C$2/(INDEX(Src_SYSHECF_nuclear!$O$5:$O$292,MATCH($C66,Src_SYSHECF_nuclear!$C$5:$C$292,0))*$E66),Keys!$C$5),Keys!$C$4)</f>
        <v>1.0155000000000001</v>
      </c>
      <c r="R66">
        <f>IF($D66=1,ROUND(Keys!$C$2/(INDEX(Src_SYSHECF_nuclear!$P$5:$P$292,MATCH($C66,Src_SYSHECF_nuclear!$C$5:$C$292,0))*$E66),Keys!$C$5),Keys!$C$4)</f>
        <v>1.0155000000000001</v>
      </c>
      <c r="S66">
        <f>IF($D66=1,ROUND(Keys!$C$2/(INDEX(Src_SYSHECF_nuclear!$Q$5:$Q$292,MATCH($C66,Src_SYSHECF_nuclear!$C$5:$C$292,0))*$E66),Keys!$C$5),Keys!$C$4)</f>
        <v>1.0155000000000001</v>
      </c>
      <c r="T66">
        <f>IF($D66=1,ROUND(Keys!$C$2/(INDEX(Src_SYSHECF_nuclear!$R$5:$R$292,MATCH($C66,Src_SYSHECF_nuclear!$C$5:$C$292,0))*$E66),Keys!$C$5),Keys!$C$4)</f>
        <v>1.0155000000000001</v>
      </c>
      <c r="U66">
        <f>IF($D66=1,ROUND(Keys!$C$2/(INDEX(Src_SYSHECF_nuclear!$S$5:$S$292,MATCH($C66,Src_SYSHECF_nuclear!$C$5:$C$292,0))*$E66),Keys!$C$5),Keys!$C$4)</f>
        <v>1.0155000000000001</v>
      </c>
      <c r="V66">
        <f>IF($D66=1,ROUND(Keys!$C$2/(INDEX(Src_SYSHECF_nuclear!$T$5:$T$292,MATCH($C66,Src_SYSHECF_nuclear!$C$5:$C$292,0))*$E66),Keys!$C$5),Keys!$C$4)</f>
        <v>1.0155000000000001</v>
      </c>
      <c r="W66">
        <f>IF($D66=1,ROUND(Keys!$C$2/(INDEX(Src_SYSHECF_nuclear!$U$5:$U$292,MATCH($C66,Src_SYSHECF_nuclear!$C$5:$C$292,0))*$E66),Keys!$C$5),Keys!$C$4)</f>
        <v>1.0155000000000001</v>
      </c>
      <c r="X66">
        <f>IF($D66=1,ROUND(Keys!$C$2/(INDEX(Src_SYSHECF_nuclear!$V$5:$V$292,MATCH($C66,Src_SYSHECF_nuclear!$C$5:$C$292,0))*$E66),Keys!$C$5),Keys!$C$4)</f>
        <v>1.0155000000000001</v>
      </c>
      <c r="Y66">
        <f>IF($D66=1,ROUND(Keys!$C$2/(INDEX(Src_SYSHECF_nuclear!$W$5:$W$292,MATCH($C66,Src_SYSHECF_nuclear!$C$5:$C$292,0))*$E66),Keys!$C$5),Keys!$C$4)</f>
        <v>1.0155000000000001</v>
      </c>
      <c r="Z66">
        <f>IF($D66=1,ROUND(Keys!$C$2/(INDEX(Src_SYSHECF_nuclear!$X$5:$X$292,MATCH($C66,Src_SYSHECF_nuclear!$C$5:$C$292,0))*$E66),Keys!$C$5),Keys!$C$4)</f>
        <v>1.0155000000000001</v>
      </c>
      <c r="AA66">
        <f>IF($D66=1,ROUND(Keys!$C$2/(INDEX(Src_SYSHECF_nuclear!$Y$5:$Y$292,MATCH($C66,Src_SYSHECF_nuclear!$C$5:$C$292,0))*$E66),Keys!$C$5),Keys!$C$4)</f>
        <v>1.0155000000000001</v>
      </c>
      <c r="AB66">
        <f>IF($D66=1,ROUND(Keys!$C$2/(INDEX(Src_SYSHECF_nuclear!$Z$5:$Z$292,MATCH($C66,Src_SYSHECF_nuclear!$C$5:$C$292,0))*$E66),Keys!$C$5),Keys!$C$4)</f>
        <v>1.0155000000000001</v>
      </c>
      <c r="AC66">
        <f>IF($D66=1,ROUND(Keys!$C$2/(INDEX(Src_SYSHECF_nuclear!$AA$5:$AA$292,MATCH($C66,Src_SYSHECF_nuclear!$C$5:$C$292,0))*$E66),Keys!$C$5),Keys!$C$4)</f>
        <v>1.0155000000000001</v>
      </c>
      <c r="AE66">
        <f>IF($D66=1,IF(ABS(INDEX(Src_SYSHECF_nuclear!$D$5:$D$292,MATCH($C66,Src_SYSHECF_nuclear!$C$5:$C$292,0))*$E66*F66-Keys!$C$2)&gt;Keys!$C$6,1,0),0)</f>
        <v>0</v>
      </c>
    </row>
    <row r="67" spans="1:31" x14ac:dyDescent="0.45">
      <c r="A67" t="s">
        <v>5</v>
      </c>
      <c r="B67" t="s">
        <v>429</v>
      </c>
      <c r="C67" t="str">
        <f t="shared" si="1"/>
        <v>AR|Winter Peak</v>
      </c>
      <c r="D67">
        <f>INDEX(Src_BHRaSYC_nuclear!$HF$5:$HF$52,MATCH($A67,Src_BHRaSYC_nuclear!$A$5:$A$52,0))</f>
        <v>1</v>
      </c>
      <c r="E67">
        <f>INDEX(Src_HYECFCA_nuclear!$B$5:$B$52,MATCH($A67,Src_HYECFCA_nuclear!$A$5:$A$52,0))</f>
        <v>1.0182500000000001</v>
      </c>
      <c r="F67">
        <f>IF($D67=1,ROUND(Keys!$C$2/(INDEX(Src_SYSHECF_nuclear!$D$5:$D$292,MATCH($C67,Src_SYSHECF_nuclear!$C$5:$C$292,0))*$E67),Keys!$C$5),Keys!$C$4)</f>
        <v>1.0155000000000001</v>
      </c>
      <c r="G67">
        <f>IF($D67=1,ROUND(Keys!$C$2/(INDEX(Src_SYSHECF_nuclear!$E$5:$E$292,MATCH($C67,Src_SYSHECF_nuclear!$C$5:$C$292,0))*$E67),Keys!$C$5),Keys!$C$4)</f>
        <v>1.0155000000000001</v>
      </c>
      <c r="H67">
        <f>IF($D67=1,ROUND(Keys!$C$2/(INDEX(Src_SYSHECF_nuclear!$F$5:$F$292,MATCH($C67,Src_SYSHECF_nuclear!$C$5:$C$292,0))*$E67),Keys!$C$5),Keys!$C$4)</f>
        <v>1.0155000000000001</v>
      </c>
      <c r="I67">
        <f>IF($D67=1,ROUND(Keys!$C$2/(INDEX(Src_SYSHECF_nuclear!$G$5:$G$292,MATCH($C67,Src_SYSHECF_nuclear!$C$5:$C$292,0))*$E67),Keys!$C$5),Keys!$C$4)</f>
        <v>1.0155000000000001</v>
      </c>
      <c r="J67">
        <f>IF($D67=1,ROUND(Keys!$C$2/(INDEX(Src_SYSHECF_nuclear!$H$5:$H$292,MATCH($C67,Src_SYSHECF_nuclear!$C$5:$C$292,0))*$E67),Keys!$C$5),Keys!$C$4)</f>
        <v>1.0155000000000001</v>
      </c>
      <c r="K67">
        <f>IF($D67=1,ROUND(Keys!$C$2/(INDEX(Src_SYSHECF_nuclear!$I$5:$I$292,MATCH($C67,Src_SYSHECF_nuclear!$C$5:$C$292,0))*$E67),Keys!$C$5),Keys!$C$4)</f>
        <v>1.0155000000000001</v>
      </c>
      <c r="L67">
        <f>IF($D67=1,ROUND(Keys!$C$2/(INDEX(Src_SYSHECF_nuclear!$J$5:$J$292,MATCH($C67,Src_SYSHECF_nuclear!$C$5:$C$292,0))*$E67),Keys!$C$5),Keys!$C$4)</f>
        <v>1.0155000000000001</v>
      </c>
      <c r="M67">
        <f>IF($D67=1,ROUND(Keys!$C$2/(INDEX(Src_SYSHECF_nuclear!$K$5:$K$292,MATCH($C67,Src_SYSHECF_nuclear!$C$5:$C$292,0))*$E67),Keys!$C$5),Keys!$C$4)</f>
        <v>1.0155000000000001</v>
      </c>
      <c r="N67">
        <f>IF($D67=1,ROUND(Keys!$C$2/(INDEX(Src_SYSHECF_nuclear!$L$5:$L$292,MATCH($C67,Src_SYSHECF_nuclear!$C$5:$C$292,0))*$E67),Keys!$C$5),Keys!$C$4)</f>
        <v>1.0155000000000001</v>
      </c>
      <c r="O67">
        <f>IF($D67=1,ROUND(Keys!$C$2/(INDEX(Src_SYSHECF_nuclear!$M$5:$M$292,MATCH($C67,Src_SYSHECF_nuclear!$C$5:$C$292,0))*$E67),Keys!$C$5),Keys!$C$4)</f>
        <v>1.0155000000000001</v>
      </c>
      <c r="P67">
        <f>IF($D67=1,ROUND(Keys!$C$2/(INDEX(Src_SYSHECF_nuclear!$N$5:$N$292,MATCH($C67,Src_SYSHECF_nuclear!$C$5:$C$292,0))*$E67),Keys!$C$5),Keys!$C$4)</f>
        <v>1.0155000000000001</v>
      </c>
      <c r="Q67">
        <f>IF($D67=1,ROUND(Keys!$C$2/(INDEX(Src_SYSHECF_nuclear!$O$5:$O$292,MATCH($C67,Src_SYSHECF_nuclear!$C$5:$C$292,0))*$E67),Keys!$C$5),Keys!$C$4)</f>
        <v>1.0155000000000001</v>
      </c>
      <c r="R67">
        <f>IF($D67=1,ROUND(Keys!$C$2/(INDEX(Src_SYSHECF_nuclear!$P$5:$P$292,MATCH($C67,Src_SYSHECF_nuclear!$C$5:$C$292,0))*$E67),Keys!$C$5),Keys!$C$4)</f>
        <v>1.0155000000000001</v>
      </c>
      <c r="S67">
        <f>IF($D67=1,ROUND(Keys!$C$2/(INDEX(Src_SYSHECF_nuclear!$Q$5:$Q$292,MATCH($C67,Src_SYSHECF_nuclear!$C$5:$C$292,0))*$E67),Keys!$C$5),Keys!$C$4)</f>
        <v>1.0155000000000001</v>
      </c>
      <c r="T67">
        <f>IF($D67=1,ROUND(Keys!$C$2/(INDEX(Src_SYSHECF_nuclear!$R$5:$R$292,MATCH($C67,Src_SYSHECF_nuclear!$C$5:$C$292,0))*$E67),Keys!$C$5),Keys!$C$4)</f>
        <v>1.0155000000000001</v>
      </c>
      <c r="U67">
        <f>IF($D67=1,ROUND(Keys!$C$2/(INDEX(Src_SYSHECF_nuclear!$S$5:$S$292,MATCH($C67,Src_SYSHECF_nuclear!$C$5:$C$292,0))*$E67),Keys!$C$5),Keys!$C$4)</f>
        <v>1.0155000000000001</v>
      </c>
      <c r="V67">
        <f>IF($D67=1,ROUND(Keys!$C$2/(INDEX(Src_SYSHECF_nuclear!$T$5:$T$292,MATCH($C67,Src_SYSHECF_nuclear!$C$5:$C$292,0))*$E67),Keys!$C$5),Keys!$C$4)</f>
        <v>1.0155000000000001</v>
      </c>
      <c r="W67">
        <f>IF($D67=1,ROUND(Keys!$C$2/(INDEX(Src_SYSHECF_nuclear!$U$5:$U$292,MATCH($C67,Src_SYSHECF_nuclear!$C$5:$C$292,0))*$E67),Keys!$C$5),Keys!$C$4)</f>
        <v>1.0155000000000001</v>
      </c>
      <c r="X67">
        <f>IF($D67=1,ROUND(Keys!$C$2/(INDEX(Src_SYSHECF_nuclear!$V$5:$V$292,MATCH($C67,Src_SYSHECF_nuclear!$C$5:$C$292,0))*$E67),Keys!$C$5),Keys!$C$4)</f>
        <v>1.0155000000000001</v>
      </c>
      <c r="Y67">
        <f>IF($D67=1,ROUND(Keys!$C$2/(INDEX(Src_SYSHECF_nuclear!$W$5:$W$292,MATCH($C67,Src_SYSHECF_nuclear!$C$5:$C$292,0))*$E67),Keys!$C$5),Keys!$C$4)</f>
        <v>1.0155000000000001</v>
      </c>
      <c r="Z67">
        <f>IF($D67=1,ROUND(Keys!$C$2/(INDEX(Src_SYSHECF_nuclear!$X$5:$X$292,MATCH($C67,Src_SYSHECF_nuclear!$C$5:$C$292,0))*$E67),Keys!$C$5),Keys!$C$4)</f>
        <v>1.0155000000000001</v>
      </c>
      <c r="AA67">
        <f>IF($D67=1,ROUND(Keys!$C$2/(INDEX(Src_SYSHECF_nuclear!$Y$5:$Y$292,MATCH($C67,Src_SYSHECF_nuclear!$C$5:$C$292,0))*$E67),Keys!$C$5),Keys!$C$4)</f>
        <v>1.0155000000000001</v>
      </c>
      <c r="AB67">
        <f>IF($D67=1,ROUND(Keys!$C$2/(INDEX(Src_SYSHECF_nuclear!$Z$5:$Z$292,MATCH($C67,Src_SYSHECF_nuclear!$C$5:$C$292,0))*$E67),Keys!$C$5),Keys!$C$4)</f>
        <v>1.0155000000000001</v>
      </c>
      <c r="AC67">
        <f>IF($D67=1,ROUND(Keys!$C$2/(INDEX(Src_SYSHECF_nuclear!$AA$5:$AA$292,MATCH($C67,Src_SYSHECF_nuclear!$C$5:$C$292,0))*$E67),Keys!$C$5),Keys!$C$4)</f>
        <v>1.0155000000000001</v>
      </c>
      <c r="AE67">
        <f>IF($D67=1,IF(ABS(INDEX(Src_SYSHECF_nuclear!$D$5:$D$292,MATCH($C67,Src_SYSHECF_nuclear!$C$5:$C$292,0))*$E67*F67-Keys!$C$2)&gt;Keys!$C$6,1,0),0)</f>
        <v>0</v>
      </c>
    </row>
    <row r="68" spans="1:31" x14ac:dyDescent="0.45">
      <c r="A68" t="s">
        <v>9</v>
      </c>
      <c r="B68" t="s">
        <v>424</v>
      </c>
      <c r="C68" t="str">
        <f t="shared" si="1"/>
        <v>AZ|Winter</v>
      </c>
      <c r="D68">
        <f>INDEX(Src_BHRaSYC_nuclear!$HF$5:$HF$52,MATCH($A68,Src_BHRaSYC_nuclear!$A$5:$A$52,0))</f>
        <v>1</v>
      </c>
      <c r="E68">
        <f>INDEX(Src_HYECFCA_nuclear!$B$5:$B$52,MATCH($A68,Src_HYECFCA_nuclear!$A$5:$A$52,0))</f>
        <v>0.98321000000000003</v>
      </c>
      <c r="F68">
        <f>IF($D68=1,ROUND(Keys!$C$2/(INDEX(Src_SYSHECF_nuclear!$D$5:$D$292,MATCH($C68,Src_SYSHECF_nuclear!$C$5:$C$292,0))*$E68),Keys!$C$5),Keys!$C$4)</f>
        <v>1.0537000000000001</v>
      </c>
      <c r="G68">
        <f>IF($D68=1,ROUND(Keys!$C$2/(INDEX(Src_SYSHECF_nuclear!$E$5:$E$292,MATCH($C68,Src_SYSHECF_nuclear!$C$5:$C$292,0))*$E68),Keys!$C$5),Keys!$C$4)</f>
        <v>1.0537000000000001</v>
      </c>
      <c r="H68">
        <f>IF($D68=1,ROUND(Keys!$C$2/(INDEX(Src_SYSHECF_nuclear!$F$5:$F$292,MATCH($C68,Src_SYSHECF_nuclear!$C$5:$C$292,0))*$E68),Keys!$C$5),Keys!$C$4)</f>
        <v>1.0537000000000001</v>
      </c>
      <c r="I68">
        <f>IF($D68=1,ROUND(Keys!$C$2/(INDEX(Src_SYSHECF_nuclear!$G$5:$G$292,MATCH($C68,Src_SYSHECF_nuclear!$C$5:$C$292,0))*$E68),Keys!$C$5),Keys!$C$4)</f>
        <v>1.0537000000000001</v>
      </c>
      <c r="J68">
        <f>IF($D68=1,ROUND(Keys!$C$2/(INDEX(Src_SYSHECF_nuclear!$H$5:$H$292,MATCH($C68,Src_SYSHECF_nuclear!$C$5:$C$292,0))*$E68),Keys!$C$5),Keys!$C$4)</f>
        <v>1.0537000000000001</v>
      </c>
      <c r="K68">
        <f>IF($D68=1,ROUND(Keys!$C$2/(INDEX(Src_SYSHECF_nuclear!$I$5:$I$292,MATCH($C68,Src_SYSHECF_nuclear!$C$5:$C$292,0))*$E68),Keys!$C$5),Keys!$C$4)</f>
        <v>1.0537000000000001</v>
      </c>
      <c r="L68">
        <f>IF($D68=1,ROUND(Keys!$C$2/(INDEX(Src_SYSHECF_nuclear!$J$5:$J$292,MATCH($C68,Src_SYSHECF_nuclear!$C$5:$C$292,0))*$E68),Keys!$C$5),Keys!$C$4)</f>
        <v>1.0564</v>
      </c>
      <c r="M68">
        <f>IF($D68=1,ROUND(Keys!$C$2/(INDEX(Src_SYSHECF_nuclear!$K$5:$K$292,MATCH($C68,Src_SYSHECF_nuclear!$C$5:$C$292,0))*$E68),Keys!$C$5),Keys!$C$4)</f>
        <v>1.1631</v>
      </c>
      <c r="N68">
        <f>IF($D68=1,ROUND(Keys!$C$2/(INDEX(Src_SYSHECF_nuclear!$L$5:$L$292,MATCH($C68,Src_SYSHECF_nuclear!$C$5:$C$292,0))*$E68),Keys!$C$5),Keys!$C$4)</f>
        <v>1.2152000000000001</v>
      </c>
      <c r="O68">
        <f>IF($D68=1,ROUND(Keys!$C$2/(INDEX(Src_SYSHECF_nuclear!$M$5:$M$292,MATCH($C68,Src_SYSHECF_nuclear!$C$5:$C$292,0))*$E68),Keys!$C$5),Keys!$C$4)</f>
        <v>1.2161</v>
      </c>
      <c r="P68">
        <f>IF($D68=1,ROUND(Keys!$C$2/(INDEX(Src_SYSHECF_nuclear!$N$5:$N$292,MATCH($C68,Src_SYSHECF_nuclear!$C$5:$C$292,0))*$E68),Keys!$C$5),Keys!$C$4)</f>
        <v>1.1833</v>
      </c>
      <c r="Q68">
        <f>IF($D68=1,ROUND(Keys!$C$2/(INDEX(Src_SYSHECF_nuclear!$O$5:$O$292,MATCH($C68,Src_SYSHECF_nuclear!$C$5:$C$292,0))*$E68),Keys!$C$5),Keys!$C$4)</f>
        <v>1.1668000000000001</v>
      </c>
      <c r="R68">
        <f>IF($D68=1,ROUND(Keys!$C$2/(INDEX(Src_SYSHECF_nuclear!$P$5:$P$292,MATCH($C68,Src_SYSHECF_nuclear!$C$5:$C$292,0))*$E68),Keys!$C$5),Keys!$C$4)</f>
        <v>1.1657999999999999</v>
      </c>
      <c r="S68">
        <f>IF($D68=1,ROUND(Keys!$C$2/(INDEX(Src_SYSHECF_nuclear!$Q$5:$Q$292,MATCH($C68,Src_SYSHECF_nuclear!$C$5:$C$292,0))*$E68),Keys!$C$5),Keys!$C$4)</f>
        <v>1.1616</v>
      </c>
      <c r="T68">
        <f>IF($D68=1,ROUND(Keys!$C$2/(INDEX(Src_SYSHECF_nuclear!$R$5:$R$292,MATCH($C68,Src_SYSHECF_nuclear!$C$5:$C$292,0))*$E68),Keys!$C$5),Keys!$C$4)</f>
        <v>1.1767000000000001</v>
      </c>
      <c r="U68">
        <f>IF($D68=1,ROUND(Keys!$C$2/(INDEX(Src_SYSHECF_nuclear!$S$5:$S$292,MATCH($C68,Src_SYSHECF_nuclear!$C$5:$C$292,0))*$E68),Keys!$C$5),Keys!$C$4)</f>
        <v>1.1623000000000001</v>
      </c>
      <c r="V68">
        <f>IF($D68=1,ROUND(Keys!$C$2/(INDEX(Src_SYSHECF_nuclear!$T$5:$T$292,MATCH($C68,Src_SYSHECF_nuclear!$C$5:$C$292,0))*$E68),Keys!$C$5),Keys!$C$4)</f>
        <v>1.089</v>
      </c>
      <c r="W68">
        <f>IF($D68=1,ROUND(Keys!$C$2/(INDEX(Src_SYSHECF_nuclear!$U$5:$U$292,MATCH($C68,Src_SYSHECF_nuclear!$C$5:$C$292,0))*$E68),Keys!$C$5),Keys!$C$4)</f>
        <v>1.0541</v>
      </c>
      <c r="X68">
        <f>IF($D68=1,ROUND(Keys!$C$2/(INDEX(Src_SYSHECF_nuclear!$V$5:$V$292,MATCH($C68,Src_SYSHECF_nuclear!$C$5:$C$292,0))*$E68),Keys!$C$5),Keys!$C$4)</f>
        <v>1.0537000000000001</v>
      </c>
      <c r="Y68">
        <f>IF($D68=1,ROUND(Keys!$C$2/(INDEX(Src_SYSHECF_nuclear!$W$5:$W$292,MATCH($C68,Src_SYSHECF_nuclear!$C$5:$C$292,0))*$E68),Keys!$C$5),Keys!$C$4)</f>
        <v>1.0537000000000001</v>
      </c>
      <c r="Z68">
        <f>IF($D68=1,ROUND(Keys!$C$2/(INDEX(Src_SYSHECF_nuclear!$X$5:$X$292,MATCH($C68,Src_SYSHECF_nuclear!$C$5:$C$292,0))*$E68),Keys!$C$5),Keys!$C$4)</f>
        <v>1.0537000000000001</v>
      </c>
      <c r="AA68">
        <f>IF($D68=1,ROUND(Keys!$C$2/(INDEX(Src_SYSHECF_nuclear!$Y$5:$Y$292,MATCH($C68,Src_SYSHECF_nuclear!$C$5:$C$292,0))*$E68),Keys!$C$5),Keys!$C$4)</f>
        <v>1.0537000000000001</v>
      </c>
      <c r="AB68">
        <f>IF($D68=1,ROUND(Keys!$C$2/(INDEX(Src_SYSHECF_nuclear!$Z$5:$Z$292,MATCH($C68,Src_SYSHECF_nuclear!$C$5:$C$292,0))*$E68),Keys!$C$5),Keys!$C$4)</f>
        <v>1.0537000000000001</v>
      </c>
      <c r="AC68">
        <f>IF($D68=1,ROUND(Keys!$C$2/(INDEX(Src_SYSHECF_nuclear!$AA$5:$AA$292,MATCH($C68,Src_SYSHECF_nuclear!$C$5:$C$292,0))*$E68),Keys!$C$5),Keys!$C$4)</f>
        <v>1.0537000000000001</v>
      </c>
      <c r="AE68">
        <f>IF($D68=1,IF(ABS(INDEX(Src_SYSHECF_nuclear!$D$5:$D$292,MATCH($C68,Src_SYSHECF_nuclear!$C$5:$C$292,0))*$E68*F68-Keys!$C$2)&gt;Keys!$C$6,1,0),0)</f>
        <v>0</v>
      </c>
    </row>
    <row r="69" spans="1:31" x14ac:dyDescent="0.45">
      <c r="A69" t="s">
        <v>9</v>
      </c>
      <c r="B69" t="s">
        <v>425</v>
      </c>
      <c r="C69" t="str">
        <f t="shared" si="1"/>
        <v>AZ|Spring</v>
      </c>
      <c r="D69">
        <f>INDEX(Src_BHRaSYC_nuclear!$HF$5:$HF$52,MATCH($A69,Src_BHRaSYC_nuclear!$A$5:$A$52,0))</f>
        <v>1</v>
      </c>
      <c r="E69">
        <f>INDEX(Src_HYECFCA_nuclear!$B$5:$B$52,MATCH($A69,Src_HYECFCA_nuclear!$A$5:$A$52,0))</f>
        <v>0.98321000000000003</v>
      </c>
      <c r="F69">
        <f>IF($D69=1,ROUND(Keys!$C$2/(INDEX(Src_SYSHECF_nuclear!$D$5:$D$292,MATCH($C69,Src_SYSHECF_nuclear!$C$5:$C$292,0))*$E69),Keys!$C$5),Keys!$C$4)</f>
        <v>1.0537000000000001</v>
      </c>
      <c r="G69">
        <f>IF($D69=1,ROUND(Keys!$C$2/(INDEX(Src_SYSHECF_nuclear!$E$5:$E$292,MATCH($C69,Src_SYSHECF_nuclear!$C$5:$C$292,0))*$E69),Keys!$C$5),Keys!$C$4)</f>
        <v>1.0537000000000001</v>
      </c>
      <c r="H69">
        <f>IF($D69=1,ROUND(Keys!$C$2/(INDEX(Src_SYSHECF_nuclear!$F$5:$F$292,MATCH($C69,Src_SYSHECF_nuclear!$C$5:$C$292,0))*$E69),Keys!$C$5),Keys!$C$4)</f>
        <v>1.0537000000000001</v>
      </c>
      <c r="I69">
        <f>IF($D69=1,ROUND(Keys!$C$2/(INDEX(Src_SYSHECF_nuclear!$G$5:$G$292,MATCH($C69,Src_SYSHECF_nuclear!$C$5:$C$292,0))*$E69),Keys!$C$5),Keys!$C$4)</f>
        <v>1.0537000000000001</v>
      </c>
      <c r="J69">
        <f>IF($D69=1,ROUND(Keys!$C$2/(INDEX(Src_SYSHECF_nuclear!$H$5:$H$292,MATCH($C69,Src_SYSHECF_nuclear!$C$5:$C$292,0))*$E69),Keys!$C$5),Keys!$C$4)</f>
        <v>1.0537000000000001</v>
      </c>
      <c r="K69">
        <f>IF($D69=1,ROUND(Keys!$C$2/(INDEX(Src_SYSHECF_nuclear!$I$5:$I$292,MATCH($C69,Src_SYSHECF_nuclear!$C$5:$C$292,0))*$E69),Keys!$C$5),Keys!$C$4)</f>
        <v>1.0537000000000001</v>
      </c>
      <c r="L69">
        <f>IF($D69=1,ROUND(Keys!$C$2/(INDEX(Src_SYSHECF_nuclear!$J$5:$J$292,MATCH($C69,Src_SYSHECF_nuclear!$C$5:$C$292,0))*$E69),Keys!$C$5),Keys!$C$4)</f>
        <v>1.0537000000000001</v>
      </c>
      <c r="M69">
        <f>IF($D69=1,ROUND(Keys!$C$2/(INDEX(Src_SYSHECF_nuclear!$K$5:$K$292,MATCH($C69,Src_SYSHECF_nuclear!$C$5:$C$292,0))*$E69),Keys!$C$5),Keys!$C$4)</f>
        <v>1.0537000000000001</v>
      </c>
      <c r="N69">
        <f>IF($D69=1,ROUND(Keys!$C$2/(INDEX(Src_SYSHECF_nuclear!$L$5:$L$292,MATCH($C69,Src_SYSHECF_nuclear!$C$5:$C$292,0))*$E69),Keys!$C$5),Keys!$C$4)</f>
        <v>1.0602</v>
      </c>
      <c r="O69">
        <f>IF($D69=1,ROUND(Keys!$C$2/(INDEX(Src_SYSHECF_nuclear!$M$5:$M$292,MATCH($C69,Src_SYSHECF_nuclear!$C$5:$C$292,0))*$E69),Keys!$C$5),Keys!$C$4)</f>
        <v>1.0587</v>
      </c>
      <c r="P69">
        <f>IF($D69=1,ROUND(Keys!$C$2/(INDEX(Src_SYSHECF_nuclear!$N$5:$N$292,MATCH($C69,Src_SYSHECF_nuclear!$C$5:$C$292,0))*$E69),Keys!$C$5),Keys!$C$4)</f>
        <v>1.0555000000000001</v>
      </c>
      <c r="Q69">
        <f>IF($D69=1,ROUND(Keys!$C$2/(INDEX(Src_SYSHECF_nuclear!$O$5:$O$292,MATCH($C69,Src_SYSHECF_nuclear!$C$5:$C$292,0))*$E69),Keys!$C$5),Keys!$C$4)</f>
        <v>1.0546</v>
      </c>
      <c r="R69">
        <f>IF($D69=1,ROUND(Keys!$C$2/(INDEX(Src_SYSHECF_nuclear!$P$5:$P$292,MATCH($C69,Src_SYSHECF_nuclear!$C$5:$C$292,0))*$E69),Keys!$C$5),Keys!$C$4)</f>
        <v>1.0549999999999999</v>
      </c>
      <c r="S69">
        <f>IF($D69=1,ROUND(Keys!$C$2/(INDEX(Src_SYSHECF_nuclear!$Q$5:$Q$292,MATCH($C69,Src_SYSHECF_nuclear!$C$5:$C$292,0))*$E69),Keys!$C$5),Keys!$C$4)</f>
        <v>1.0549999999999999</v>
      </c>
      <c r="T69">
        <f>IF($D69=1,ROUND(Keys!$C$2/(INDEX(Src_SYSHECF_nuclear!$R$5:$R$292,MATCH($C69,Src_SYSHECF_nuclear!$C$5:$C$292,0))*$E69),Keys!$C$5),Keys!$C$4)</f>
        <v>1.0612999999999999</v>
      </c>
      <c r="U69">
        <f>IF($D69=1,ROUND(Keys!$C$2/(INDEX(Src_SYSHECF_nuclear!$S$5:$S$292,MATCH($C69,Src_SYSHECF_nuclear!$C$5:$C$292,0))*$E69),Keys!$C$5),Keys!$C$4)</f>
        <v>1.0576000000000001</v>
      </c>
      <c r="V69">
        <f>IF($D69=1,ROUND(Keys!$C$2/(INDEX(Src_SYSHECF_nuclear!$T$5:$T$292,MATCH($C69,Src_SYSHECF_nuclear!$C$5:$C$292,0))*$E69),Keys!$C$5),Keys!$C$4)</f>
        <v>1.0537000000000001</v>
      </c>
      <c r="W69">
        <f>IF($D69=1,ROUND(Keys!$C$2/(INDEX(Src_SYSHECF_nuclear!$U$5:$U$292,MATCH($C69,Src_SYSHECF_nuclear!$C$5:$C$292,0))*$E69),Keys!$C$5),Keys!$C$4)</f>
        <v>1.0537000000000001</v>
      </c>
      <c r="X69">
        <f>IF($D69=1,ROUND(Keys!$C$2/(INDEX(Src_SYSHECF_nuclear!$V$5:$V$292,MATCH($C69,Src_SYSHECF_nuclear!$C$5:$C$292,0))*$E69),Keys!$C$5),Keys!$C$4)</f>
        <v>1.0537000000000001</v>
      </c>
      <c r="Y69">
        <f>IF($D69=1,ROUND(Keys!$C$2/(INDEX(Src_SYSHECF_nuclear!$W$5:$W$292,MATCH($C69,Src_SYSHECF_nuclear!$C$5:$C$292,0))*$E69),Keys!$C$5),Keys!$C$4)</f>
        <v>1.0537000000000001</v>
      </c>
      <c r="Z69">
        <f>IF($D69=1,ROUND(Keys!$C$2/(INDEX(Src_SYSHECF_nuclear!$X$5:$X$292,MATCH($C69,Src_SYSHECF_nuclear!$C$5:$C$292,0))*$E69),Keys!$C$5),Keys!$C$4)</f>
        <v>1.0537000000000001</v>
      </c>
      <c r="AA69">
        <f>IF($D69=1,ROUND(Keys!$C$2/(INDEX(Src_SYSHECF_nuclear!$Y$5:$Y$292,MATCH($C69,Src_SYSHECF_nuclear!$C$5:$C$292,0))*$E69),Keys!$C$5),Keys!$C$4)</f>
        <v>1.0537000000000001</v>
      </c>
      <c r="AB69">
        <f>IF($D69=1,ROUND(Keys!$C$2/(INDEX(Src_SYSHECF_nuclear!$Z$5:$Z$292,MATCH($C69,Src_SYSHECF_nuclear!$C$5:$C$292,0))*$E69),Keys!$C$5),Keys!$C$4)</f>
        <v>1.0537000000000001</v>
      </c>
      <c r="AC69">
        <f>IF($D69=1,ROUND(Keys!$C$2/(INDEX(Src_SYSHECF_nuclear!$AA$5:$AA$292,MATCH($C69,Src_SYSHECF_nuclear!$C$5:$C$292,0))*$E69),Keys!$C$5),Keys!$C$4)</f>
        <v>1.0537000000000001</v>
      </c>
      <c r="AE69">
        <f>IF($D69=1,IF(ABS(INDEX(Src_SYSHECF_nuclear!$D$5:$D$292,MATCH($C69,Src_SYSHECF_nuclear!$C$5:$C$292,0))*$E69*F69-Keys!$C$2)&gt;Keys!$C$6,1,0),0)</f>
        <v>0</v>
      </c>
    </row>
    <row r="70" spans="1:31" x14ac:dyDescent="0.45">
      <c r="A70" t="s">
        <v>9</v>
      </c>
      <c r="B70" t="s">
        <v>426</v>
      </c>
      <c r="C70" t="str">
        <f t="shared" si="1"/>
        <v>AZ|Summer</v>
      </c>
      <c r="D70">
        <f>INDEX(Src_BHRaSYC_nuclear!$HF$5:$HF$52,MATCH($A70,Src_BHRaSYC_nuclear!$A$5:$A$52,0))</f>
        <v>1</v>
      </c>
      <c r="E70">
        <f>INDEX(Src_HYECFCA_nuclear!$B$5:$B$52,MATCH($A70,Src_HYECFCA_nuclear!$A$5:$A$52,0))</f>
        <v>0.98321000000000003</v>
      </c>
      <c r="F70">
        <f>IF($D70=1,ROUND(Keys!$C$2/(INDEX(Src_SYSHECF_nuclear!$D$5:$D$292,MATCH($C70,Src_SYSHECF_nuclear!$C$5:$C$292,0))*$E70),Keys!$C$5),Keys!$C$4)</f>
        <v>1.0537000000000001</v>
      </c>
      <c r="G70">
        <f>IF($D70=1,ROUND(Keys!$C$2/(INDEX(Src_SYSHECF_nuclear!$E$5:$E$292,MATCH($C70,Src_SYSHECF_nuclear!$C$5:$C$292,0))*$E70),Keys!$C$5),Keys!$C$4)</f>
        <v>1.0537000000000001</v>
      </c>
      <c r="H70">
        <f>IF($D70=1,ROUND(Keys!$C$2/(INDEX(Src_SYSHECF_nuclear!$F$5:$F$292,MATCH($C70,Src_SYSHECF_nuclear!$C$5:$C$292,0))*$E70),Keys!$C$5),Keys!$C$4)</f>
        <v>1.0537000000000001</v>
      </c>
      <c r="I70">
        <f>IF($D70=1,ROUND(Keys!$C$2/(INDEX(Src_SYSHECF_nuclear!$G$5:$G$292,MATCH($C70,Src_SYSHECF_nuclear!$C$5:$C$292,0))*$E70),Keys!$C$5),Keys!$C$4)</f>
        <v>1.0537000000000001</v>
      </c>
      <c r="J70">
        <f>IF($D70=1,ROUND(Keys!$C$2/(INDEX(Src_SYSHECF_nuclear!$H$5:$H$292,MATCH($C70,Src_SYSHECF_nuclear!$C$5:$C$292,0))*$E70),Keys!$C$5),Keys!$C$4)</f>
        <v>1.0537000000000001</v>
      </c>
      <c r="K70">
        <f>IF($D70=1,ROUND(Keys!$C$2/(INDEX(Src_SYSHECF_nuclear!$I$5:$I$292,MATCH($C70,Src_SYSHECF_nuclear!$C$5:$C$292,0))*$E70),Keys!$C$5),Keys!$C$4)</f>
        <v>1.0537000000000001</v>
      </c>
      <c r="L70">
        <f>IF($D70=1,ROUND(Keys!$C$2/(INDEX(Src_SYSHECF_nuclear!$J$5:$J$292,MATCH($C70,Src_SYSHECF_nuclear!$C$5:$C$292,0))*$E70),Keys!$C$5),Keys!$C$4)</f>
        <v>1.0537000000000001</v>
      </c>
      <c r="M70">
        <f>IF($D70=1,ROUND(Keys!$C$2/(INDEX(Src_SYSHECF_nuclear!$K$5:$K$292,MATCH($C70,Src_SYSHECF_nuclear!$C$5:$C$292,0))*$E70),Keys!$C$5),Keys!$C$4)</f>
        <v>1.0537000000000001</v>
      </c>
      <c r="N70">
        <f>IF($D70=1,ROUND(Keys!$C$2/(INDEX(Src_SYSHECF_nuclear!$L$5:$L$292,MATCH($C70,Src_SYSHECF_nuclear!$C$5:$C$292,0))*$E70),Keys!$C$5),Keys!$C$4)</f>
        <v>1.0537000000000001</v>
      </c>
      <c r="O70">
        <f>IF($D70=1,ROUND(Keys!$C$2/(INDEX(Src_SYSHECF_nuclear!$M$5:$M$292,MATCH($C70,Src_SYSHECF_nuclear!$C$5:$C$292,0))*$E70),Keys!$C$5),Keys!$C$4)</f>
        <v>1.0537000000000001</v>
      </c>
      <c r="P70">
        <f>IF($D70=1,ROUND(Keys!$C$2/(INDEX(Src_SYSHECF_nuclear!$N$5:$N$292,MATCH($C70,Src_SYSHECF_nuclear!$C$5:$C$292,0))*$E70),Keys!$C$5),Keys!$C$4)</f>
        <v>1.0537000000000001</v>
      </c>
      <c r="Q70">
        <f>IF($D70=1,ROUND(Keys!$C$2/(INDEX(Src_SYSHECF_nuclear!$O$5:$O$292,MATCH($C70,Src_SYSHECF_nuclear!$C$5:$C$292,0))*$E70),Keys!$C$5),Keys!$C$4)</f>
        <v>1.0537000000000001</v>
      </c>
      <c r="R70">
        <f>IF($D70=1,ROUND(Keys!$C$2/(INDEX(Src_SYSHECF_nuclear!$P$5:$P$292,MATCH($C70,Src_SYSHECF_nuclear!$C$5:$C$292,0))*$E70),Keys!$C$5),Keys!$C$4)</f>
        <v>1.0537000000000001</v>
      </c>
      <c r="S70">
        <f>IF($D70=1,ROUND(Keys!$C$2/(INDEX(Src_SYSHECF_nuclear!$Q$5:$Q$292,MATCH($C70,Src_SYSHECF_nuclear!$C$5:$C$292,0))*$E70),Keys!$C$5),Keys!$C$4)</f>
        <v>1.0537000000000001</v>
      </c>
      <c r="T70">
        <f>IF($D70=1,ROUND(Keys!$C$2/(INDEX(Src_SYSHECF_nuclear!$R$5:$R$292,MATCH($C70,Src_SYSHECF_nuclear!$C$5:$C$292,0))*$E70),Keys!$C$5),Keys!$C$4)</f>
        <v>1.0537000000000001</v>
      </c>
      <c r="U70">
        <f>IF($D70=1,ROUND(Keys!$C$2/(INDEX(Src_SYSHECF_nuclear!$S$5:$S$292,MATCH($C70,Src_SYSHECF_nuclear!$C$5:$C$292,0))*$E70),Keys!$C$5),Keys!$C$4)</f>
        <v>1.0537000000000001</v>
      </c>
      <c r="V70">
        <f>IF($D70=1,ROUND(Keys!$C$2/(INDEX(Src_SYSHECF_nuclear!$T$5:$T$292,MATCH($C70,Src_SYSHECF_nuclear!$C$5:$C$292,0))*$E70),Keys!$C$5),Keys!$C$4)</f>
        <v>1.0537000000000001</v>
      </c>
      <c r="W70">
        <f>IF($D70=1,ROUND(Keys!$C$2/(INDEX(Src_SYSHECF_nuclear!$U$5:$U$292,MATCH($C70,Src_SYSHECF_nuclear!$C$5:$C$292,0))*$E70),Keys!$C$5),Keys!$C$4)</f>
        <v>1.0537000000000001</v>
      </c>
      <c r="X70">
        <f>IF($D70=1,ROUND(Keys!$C$2/(INDEX(Src_SYSHECF_nuclear!$V$5:$V$292,MATCH($C70,Src_SYSHECF_nuclear!$C$5:$C$292,0))*$E70),Keys!$C$5),Keys!$C$4)</f>
        <v>1.0537000000000001</v>
      </c>
      <c r="Y70">
        <f>IF($D70=1,ROUND(Keys!$C$2/(INDEX(Src_SYSHECF_nuclear!$W$5:$W$292,MATCH($C70,Src_SYSHECF_nuclear!$C$5:$C$292,0))*$E70),Keys!$C$5),Keys!$C$4)</f>
        <v>1.0537000000000001</v>
      </c>
      <c r="Z70">
        <f>IF($D70=1,ROUND(Keys!$C$2/(INDEX(Src_SYSHECF_nuclear!$X$5:$X$292,MATCH($C70,Src_SYSHECF_nuclear!$C$5:$C$292,0))*$E70),Keys!$C$5),Keys!$C$4)</f>
        <v>1.0537000000000001</v>
      </c>
      <c r="AA70">
        <f>IF($D70=1,ROUND(Keys!$C$2/(INDEX(Src_SYSHECF_nuclear!$Y$5:$Y$292,MATCH($C70,Src_SYSHECF_nuclear!$C$5:$C$292,0))*$E70),Keys!$C$5),Keys!$C$4)</f>
        <v>1.0537000000000001</v>
      </c>
      <c r="AB70">
        <f>IF($D70=1,ROUND(Keys!$C$2/(INDEX(Src_SYSHECF_nuclear!$Z$5:$Z$292,MATCH($C70,Src_SYSHECF_nuclear!$C$5:$C$292,0))*$E70),Keys!$C$5),Keys!$C$4)</f>
        <v>1.0537000000000001</v>
      </c>
      <c r="AC70">
        <f>IF($D70=1,ROUND(Keys!$C$2/(INDEX(Src_SYSHECF_nuclear!$AA$5:$AA$292,MATCH($C70,Src_SYSHECF_nuclear!$C$5:$C$292,0))*$E70),Keys!$C$5),Keys!$C$4)</f>
        <v>1.0537000000000001</v>
      </c>
      <c r="AE70">
        <f>IF($D70=1,IF(ABS(INDEX(Src_SYSHECF_nuclear!$D$5:$D$292,MATCH($C70,Src_SYSHECF_nuclear!$C$5:$C$292,0))*$E70*F70-Keys!$C$2)&gt;Keys!$C$6,1,0),0)</f>
        <v>0</v>
      </c>
    </row>
    <row r="71" spans="1:31" x14ac:dyDescent="0.45">
      <c r="A71" t="s">
        <v>9</v>
      </c>
      <c r="B71" t="s">
        <v>427</v>
      </c>
      <c r="C71" t="str">
        <f t="shared" si="1"/>
        <v>AZ|Fall</v>
      </c>
      <c r="D71">
        <f>INDEX(Src_BHRaSYC_nuclear!$HF$5:$HF$52,MATCH($A71,Src_BHRaSYC_nuclear!$A$5:$A$52,0))</f>
        <v>1</v>
      </c>
      <c r="E71">
        <f>INDEX(Src_HYECFCA_nuclear!$B$5:$B$52,MATCH($A71,Src_HYECFCA_nuclear!$A$5:$A$52,0))</f>
        <v>0.98321000000000003</v>
      </c>
      <c r="F71">
        <f>IF($D71=1,ROUND(Keys!$C$2/(INDEX(Src_SYSHECF_nuclear!$D$5:$D$292,MATCH($C71,Src_SYSHECF_nuclear!$C$5:$C$292,0))*$E71),Keys!$C$5),Keys!$C$4)</f>
        <v>1.0537000000000001</v>
      </c>
      <c r="G71">
        <f>IF($D71=1,ROUND(Keys!$C$2/(INDEX(Src_SYSHECF_nuclear!$E$5:$E$292,MATCH($C71,Src_SYSHECF_nuclear!$C$5:$C$292,0))*$E71),Keys!$C$5),Keys!$C$4)</f>
        <v>1.0537000000000001</v>
      </c>
      <c r="H71">
        <f>IF($D71=1,ROUND(Keys!$C$2/(INDEX(Src_SYSHECF_nuclear!$F$5:$F$292,MATCH($C71,Src_SYSHECF_nuclear!$C$5:$C$292,0))*$E71),Keys!$C$5),Keys!$C$4)</f>
        <v>1.0537000000000001</v>
      </c>
      <c r="I71">
        <f>IF($D71=1,ROUND(Keys!$C$2/(INDEX(Src_SYSHECF_nuclear!$G$5:$G$292,MATCH($C71,Src_SYSHECF_nuclear!$C$5:$C$292,0))*$E71),Keys!$C$5),Keys!$C$4)</f>
        <v>1.0537000000000001</v>
      </c>
      <c r="J71">
        <f>IF($D71=1,ROUND(Keys!$C$2/(INDEX(Src_SYSHECF_nuclear!$H$5:$H$292,MATCH($C71,Src_SYSHECF_nuclear!$C$5:$C$292,0))*$E71),Keys!$C$5),Keys!$C$4)</f>
        <v>1.0537000000000001</v>
      </c>
      <c r="K71">
        <f>IF($D71=1,ROUND(Keys!$C$2/(INDEX(Src_SYSHECF_nuclear!$I$5:$I$292,MATCH($C71,Src_SYSHECF_nuclear!$C$5:$C$292,0))*$E71),Keys!$C$5),Keys!$C$4)</f>
        <v>1.0537000000000001</v>
      </c>
      <c r="L71">
        <f>IF($D71=1,ROUND(Keys!$C$2/(INDEX(Src_SYSHECF_nuclear!$J$5:$J$292,MATCH($C71,Src_SYSHECF_nuclear!$C$5:$C$292,0))*$E71),Keys!$C$5),Keys!$C$4)</f>
        <v>1.0577000000000001</v>
      </c>
      <c r="M71">
        <f>IF($D71=1,ROUND(Keys!$C$2/(INDEX(Src_SYSHECF_nuclear!$K$5:$K$292,MATCH($C71,Src_SYSHECF_nuclear!$C$5:$C$292,0))*$E71),Keys!$C$5),Keys!$C$4)</f>
        <v>1.1919</v>
      </c>
      <c r="N71">
        <f>IF($D71=1,ROUND(Keys!$C$2/(INDEX(Src_SYSHECF_nuclear!$L$5:$L$292,MATCH($C71,Src_SYSHECF_nuclear!$C$5:$C$292,0))*$E71),Keys!$C$5),Keys!$C$4)</f>
        <v>1.2103999999999999</v>
      </c>
      <c r="O71">
        <f>IF($D71=1,ROUND(Keys!$C$2/(INDEX(Src_SYSHECF_nuclear!$M$5:$M$292,MATCH($C71,Src_SYSHECF_nuclear!$C$5:$C$292,0))*$E71),Keys!$C$5),Keys!$C$4)</f>
        <v>1.1249</v>
      </c>
      <c r="P71">
        <f>IF($D71=1,ROUND(Keys!$C$2/(INDEX(Src_SYSHECF_nuclear!$N$5:$N$292,MATCH($C71,Src_SYSHECF_nuclear!$C$5:$C$292,0))*$E71),Keys!$C$5),Keys!$C$4)</f>
        <v>1.0770999999999999</v>
      </c>
      <c r="Q71">
        <f>IF($D71=1,ROUND(Keys!$C$2/(INDEX(Src_SYSHECF_nuclear!$O$5:$O$292,MATCH($C71,Src_SYSHECF_nuclear!$C$5:$C$292,0))*$E71),Keys!$C$5),Keys!$C$4)</f>
        <v>1.0691999999999999</v>
      </c>
      <c r="R71">
        <f>IF($D71=1,ROUND(Keys!$C$2/(INDEX(Src_SYSHECF_nuclear!$P$5:$P$292,MATCH($C71,Src_SYSHECF_nuclear!$C$5:$C$292,0))*$E71),Keys!$C$5),Keys!$C$4)</f>
        <v>1.069</v>
      </c>
      <c r="S71">
        <f>IF($D71=1,ROUND(Keys!$C$2/(INDEX(Src_SYSHECF_nuclear!$Q$5:$Q$292,MATCH($C71,Src_SYSHECF_nuclear!$C$5:$C$292,0))*$E71),Keys!$C$5),Keys!$C$4)</f>
        <v>1.0652999999999999</v>
      </c>
      <c r="T71">
        <f>IF($D71=1,ROUND(Keys!$C$2/(INDEX(Src_SYSHECF_nuclear!$R$5:$R$292,MATCH($C71,Src_SYSHECF_nuclear!$C$5:$C$292,0))*$E71),Keys!$C$5),Keys!$C$4)</f>
        <v>1.0652999999999999</v>
      </c>
      <c r="U71">
        <f>IF($D71=1,ROUND(Keys!$C$2/(INDEX(Src_SYSHECF_nuclear!$S$5:$S$292,MATCH($C71,Src_SYSHECF_nuclear!$C$5:$C$292,0))*$E71),Keys!$C$5),Keys!$C$4)</f>
        <v>1.0613999999999999</v>
      </c>
      <c r="V71">
        <f>IF($D71=1,ROUND(Keys!$C$2/(INDEX(Src_SYSHECF_nuclear!$T$5:$T$292,MATCH($C71,Src_SYSHECF_nuclear!$C$5:$C$292,0))*$E71),Keys!$C$5),Keys!$C$4)</f>
        <v>1.0575000000000001</v>
      </c>
      <c r="W71">
        <f>IF($D71=1,ROUND(Keys!$C$2/(INDEX(Src_SYSHECF_nuclear!$U$5:$U$292,MATCH($C71,Src_SYSHECF_nuclear!$C$5:$C$292,0))*$E71),Keys!$C$5),Keys!$C$4)</f>
        <v>1.0537000000000001</v>
      </c>
      <c r="X71">
        <f>IF($D71=1,ROUND(Keys!$C$2/(INDEX(Src_SYSHECF_nuclear!$V$5:$V$292,MATCH($C71,Src_SYSHECF_nuclear!$C$5:$C$292,0))*$E71),Keys!$C$5),Keys!$C$4)</f>
        <v>1.0537000000000001</v>
      </c>
      <c r="Y71">
        <f>IF($D71=1,ROUND(Keys!$C$2/(INDEX(Src_SYSHECF_nuclear!$W$5:$W$292,MATCH($C71,Src_SYSHECF_nuclear!$C$5:$C$292,0))*$E71),Keys!$C$5),Keys!$C$4)</f>
        <v>1.0537000000000001</v>
      </c>
      <c r="Z71">
        <f>IF($D71=1,ROUND(Keys!$C$2/(INDEX(Src_SYSHECF_nuclear!$X$5:$X$292,MATCH($C71,Src_SYSHECF_nuclear!$C$5:$C$292,0))*$E71),Keys!$C$5),Keys!$C$4)</f>
        <v>1.0537000000000001</v>
      </c>
      <c r="AA71">
        <f>IF($D71=1,ROUND(Keys!$C$2/(INDEX(Src_SYSHECF_nuclear!$Y$5:$Y$292,MATCH($C71,Src_SYSHECF_nuclear!$C$5:$C$292,0))*$E71),Keys!$C$5),Keys!$C$4)</f>
        <v>1.0537000000000001</v>
      </c>
      <c r="AB71">
        <f>IF($D71=1,ROUND(Keys!$C$2/(INDEX(Src_SYSHECF_nuclear!$Z$5:$Z$292,MATCH($C71,Src_SYSHECF_nuclear!$C$5:$C$292,0))*$E71),Keys!$C$5),Keys!$C$4)</f>
        <v>1.0537000000000001</v>
      </c>
      <c r="AC71">
        <f>IF($D71=1,ROUND(Keys!$C$2/(INDEX(Src_SYSHECF_nuclear!$AA$5:$AA$292,MATCH($C71,Src_SYSHECF_nuclear!$C$5:$C$292,0))*$E71),Keys!$C$5),Keys!$C$4)</f>
        <v>1.0537000000000001</v>
      </c>
      <c r="AE71">
        <f>IF($D71=1,IF(ABS(INDEX(Src_SYSHECF_nuclear!$D$5:$D$292,MATCH($C71,Src_SYSHECF_nuclear!$C$5:$C$292,0))*$E71*F71-Keys!$C$2)&gt;Keys!$C$6,1,0),0)</f>
        <v>0</v>
      </c>
    </row>
    <row r="72" spans="1:31" x14ac:dyDescent="0.45">
      <c r="A72" t="s">
        <v>9</v>
      </c>
      <c r="B72" t="s">
        <v>428</v>
      </c>
      <c r="C72" t="str">
        <f t="shared" si="1"/>
        <v>AZ|Summer Peak</v>
      </c>
      <c r="D72">
        <f>INDEX(Src_BHRaSYC_nuclear!$HF$5:$HF$52,MATCH($A72,Src_BHRaSYC_nuclear!$A$5:$A$52,0))</f>
        <v>1</v>
      </c>
      <c r="E72">
        <f>INDEX(Src_HYECFCA_nuclear!$B$5:$B$52,MATCH($A72,Src_HYECFCA_nuclear!$A$5:$A$52,0))</f>
        <v>0.98321000000000003</v>
      </c>
      <c r="F72">
        <f>IF($D72=1,ROUND(Keys!$C$2/(INDEX(Src_SYSHECF_nuclear!$D$5:$D$292,MATCH($C72,Src_SYSHECF_nuclear!$C$5:$C$292,0))*$E72),Keys!$C$5),Keys!$C$4)</f>
        <v>1.0537000000000001</v>
      </c>
      <c r="G72">
        <f>IF($D72=1,ROUND(Keys!$C$2/(INDEX(Src_SYSHECF_nuclear!$E$5:$E$292,MATCH($C72,Src_SYSHECF_nuclear!$C$5:$C$292,0))*$E72),Keys!$C$5),Keys!$C$4)</f>
        <v>1.0537000000000001</v>
      </c>
      <c r="H72">
        <f>IF($D72=1,ROUND(Keys!$C$2/(INDEX(Src_SYSHECF_nuclear!$F$5:$F$292,MATCH($C72,Src_SYSHECF_nuclear!$C$5:$C$292,0))*$E72),Keys!$C$5),Keys!$C$4)</f>
        <v>1.0537000000000001</v>
      </c>
      <c r="I72">
        <f>IF($D72=1,ROUND(Keys!$C$2/(INDEX(Src_SYSHECF_nuclear!$G$5:$G$292,MATCH($C72,Src_SYSHECF_nuclear!$C$5:$C$292,0))*$E72),Keys!$C$5),Keys!$C$4)</f>
        <v>1.0537000000000001</v>
      </c>
      <c r="J72">
        <f>IF($D72=1,ROUND(Keys!$C$2/(INDEX(Src_SYSHECF_nuclear!$H$5:$H$292,MATCH($C72,Src_SYSHECF_nuclear!$C$5:$C$292,0))*$E72),Keys!$C$5),Keys!$C$4)</f>
        <v>1.0537000000000001</v>
      </c>
      <c r="K72">
        <f>IF($D72=1,ROUND(Keys!$C$2/(INDEX(Src_SYSHECF_nuclear!$I$5:$I$292,MATCH($C72,Src_SYSHECF_nuclear!$C$5:$C$292,0))*$E72),Keys!$C$5),Keys!$C$4)</f>
        <v>1.0537000000000001</v>
      </c>
      <c r="L72">
        <f>IF($D72=1,ROUND(Keys!$C$2/(INDEX(Src_SYSHECF_nuclear!$J$5:$J$292,MATCH($C72,Src_SYSHECF_nuclear!$C$5:$C$292,0))*$E72),Keys!$C$5),Keys!$C$4)</f>
        <v>1.0537000000000001</v>
      </c>
      <c r="M72">
        <f>IF($D72=1,ROUND(Keys!$C$2/(INDEX(Src_SYSHECF_nuclear!$K$5:$K$292,MATCH($C72,Src_SYSHECF_nuclear!$C$5:$C$292,0))*$E72),Keys!$C$5),Keys!$C$4)</f>
        <v>1.0960000000000001</v>
      </c>
      <c r="N72">
        <f>IF($D72=1,ROUND(Keys!$C$2/(INDEX(Src_SYSHECF_nuclear!$L$5:$L$292,MATCH($C72,Src_SYSHECF_nuclear!$C$5:$C$292,0))*$E72),Keys!$C$5),Keys!$C$4)</f>
        <v>1.0851</v>
      </c>
      <c r="O72">
        <f>IF($D72=1,ROUND(Keys!$C$2/(INDEX(Src_SYSHECF_nuclear!$M$5:$M$292,MATCH($C72,Src_SYSHECF_nuclear!$C$5:$C$292,0))*$E72),Keys!$C$5),Keys!$C$4)</f>
        <v>1.054</v>
      </c>
      <c r="P72">
        <f>IF($D72=1,ROUND(Keys!$C$2/(INDEX(Src_SYSHECF_nuclear!$N$5:$N$292,MATCH($C72,Src_SYSHECF_nuclear!$C$5:$C$292,0))*$E72),Keys!$C$5),Keys!$C$4)</f>
        <v>1.0537000000000001</v>
      </c>
      <c r="Q72">
        <f>IF($D72=1,ROUND(Keys!$C$2/(INDEX(Src_SYSHECF_nuclear!$O$5:$O$292,MATCH($C72,Src_SYSHECF_nuclear!$C$5:$C$292,0))*$E72),Keys!$C$5),Keys!$C$4)</f>
        <v>1.0537000000000001</v>
      </c>
      <c r="R72">
        <f>IF($D72=1,ROUND(Keys!$C$2/(INDEX(Src_SYSHECF_nuclear!$P$5:$P$292,MATCH($C72,Src_SYSHECF_nuclear!$C$5:$C$292,0))*$E72),Keys!$C$5),Keys!$C$4)</f>
        <v>1.0537000000000001</v>
      </c>
      <c r="S72">
        <f>IF($D72=1,ROUND(Keys!$C$2/(INDEX(Src_SYSHECF_nuclear!$Q$5:$Q$292,MATCH($C72,Src_SYSHECF_nuclear!$C$5:$C$292,0))*$E72),Keys!$C$5),Keys!$C$4)</f>
        <v>1.0537000000000001</v>
      </c>
      <c r="T72">
        <f>IF($D72=1,ROUND(Keys!$C$2/(INDEX(Src_SYSHECF_nuclear!$R$5:$R$292,MATCH($C72,Src_SYSHECF_nuclear!$C$5:$C$292,0))*$E72),Keys!$C$5),Keys!$C$4)</f>
        <v>1.0537000000000001</v>
      </c>
      <c r="U72">
        <f>IF($D72=1,ROUND(Keys!$C$2/(INDEX(Src_SYSHECF_nuclear!$S$5:$S$292,MATCH($C72,Src_SYSHECF_nuclear!$C$5:$C$292,0))*$E72),Keys!$C$5),Keys!$C$4)</f>
        <v>1.0537000000000001</v>
      </c>
      <c r="V72">
        <f>IF($D72=1,ROUND(Keys!$C$2/(INDEX(Src_SYSHECF_nuclear!$T$5:$T$292,MATCH($C72,Src_SYSHECF_nuclear!$C$5:$C$292,0))*$E72),Keys!$C$5),Keys!$C$4)</f>
        <v>1.0537000000000001</v>
      </c>
      <c r="W72">
        <f>IF($D72=1,ROUND(Keys!$C$2/(INDEX(Src_SYSHECF_nuclear!$U$5:$U$292,MATCH($C72,Src_SYSHECF_nuclear!$C$5:$C$292,0))*$E72),Keys!$C$5),Keys!$C$4)</f>
        <v>1.0537000000000001</v>
      </c>
      <c r="X72">
        <f>IF($D72=1,ROUND(Keys!$C$2/(INDEX(Src_SYSHECF_nuclear!$V$5:$V$292,MATCH($C72,Src_SYSHECF_nuclear!$C$5:$C$292,0))*$E72),Keys!$C$5),Keys!$C$4)</f>
        <v>1.0537000000000001</v>
      </c>
      <c r="Y72">
        <f>IF($D72=1,ROUND(Keys!$C$2/(INDEX(Src_SYSHECF_nuclear!$W$5:$W$292,MATCH($C72,Src_SYSHECF_nuclear!$C$5:$C$292,0))*$E72),Keys!$C$5),Keys!$C$4)</f>
        <v>1.0537000000000001</v>
      </c>
      <c r="Z72">
        <f>IF($D72=1,ROUND(Keys!$C$2/(INDEX(Src_SYSHECF_nuclear!$X$5:$X$292,MATCH($C72,Src_SYSHECF_nuclear!$C$5:$C$292,0))*$E72),Keys!$C$5),Keys!$C$4)</f>
        <v>1.0537000000000001</v>
      </c>
      <c r="AA72">
        <f>IF($D72=1,ROUND(Keys!$C$2/(INDEX(Src_SYSHECF_nuclear!$Y$5:$Y$292,MATCH($C72,Src_SYSHECF_nuclear!$C$5:$C$292,0))*$E72),Keys!$C$5),Keys!$C$4)</f>
        <v>1.0537000000000001</v>
      </c>
      <c r="AB72">
        <f>IF($D72=1,ROUND(Keys!$C$2/(INDEX(Src_SYSHECF_nuclear!$Z$5:$Z$292,MATCH($C72,Src_SYSHECF_nuclear!$C$5:$C$292,0))*$E72),Keys!$C$5),Keys!$C$4)</f>
        <v>1.0537000000000001</v>
      </c>
      <c r="AC72">
        <f>IF($D72=1,ROUND(Keys!$C$2/(INDEX(Src_SYSHECF_nuclear!$AA$5:$AA$292,MATCH($C72,Src_SYSHECF_nuclear!$C$5:$C$292,0))*$E72),Keys!$C$5),Keys!$C$4)</f>
        <v>1.0537000000000001</v>
      </c>
      <c r="AE72">
        <f>IF($D72=1,IF(ABS(INDEX(Src_SYSHECF_nuclear!$D$5:$D$292,MATCH($C72,Src_SYSHECF_nuclear!$C$5:$C$292,0))*$E72*F72-Keys!$C$2)&gt;Keys!$C$6,1,0),0)</f>
        <v>0</v>
      </c>
    </row>
    <row r="73" spans="1:31" x14ac:dyDescent="0.45">
      <c r="A73" t="s">
        <v>9</v>
      </c>
      <c r="B73" t="s">
        <v>429</v>
      </c>
      <c r="C73" t="str">
        <f t="shared" si="1"/>
        <v>AZ|Winter Peak</v>
      </c>
      <c r="D73">
        <f>INDEX(Src_BHRaSYC_nuclear!$HF$5:$HF$52,MATCH($A73,Src_BHRaSYC_nuclear!$A$5:$A$52,0))</f>
        <v>1</v>
      </c>
      <c r="E73">
        <f>INDEX(Src_HYECFCA_nuclear!$B$5:$B$52,MATCH($A73,Src_HYECFCA_nuclear!$A$5:$A$52,0))</f>
        <v>0.98321000000000003</v>
      </c>
      <c r="F73">
        <f>IF($D73=1,ROUND(Keys!$C$2/(INDEX(Src_SYSHECF_nuclear!$D$5:$D$292,MATCH($C73,Src_SYSHECF_nuclear!$C$5:$C$292,0))*$E73),Keys!$C$5),Keys!$C$4)</f>
        <v>1.0537000000000001</v>
      </c>
      <c r="G73">
        <f>IF($D73=1,ROUND(Keys!$C$2/(INDEX(Src_SYSHECF_nuclear!$E$5:$E$292,MATCH($C73,Src_SYSHECF_nuclear!$C$5:$C$292,0))*$E73),Keys!$C$5),Keys!$C$4)</f>
        <v>1.0537000000000001</v>
      </c>
      <c r="H73">
        <f>IF($D73=1,ROUND(Keys!$C$2/(INDEX(Src_SYSHECF_nuclear!$F$5:$F$292,MATCH($C73,Src_SYSHECF_nuclear!$C$5:$C$292,0))*$E73),Keys!$C$5),Keys!$C$4)</f>
        <v>1.0537000000000001</v>
      </c>
      <c r="I73">
        <f>IF($D73=1,ROUND(Keys!$C$2/(INDEX(Src_SYSHECF_nuclear!$G$5:$G$292,MATCH($C73,Src_SYSHECF_nuclear!$C$5:$C$292,0))*$E73),Keys!$C$5),Keys!$C$4)</f>
        <v>1.0537000000000001</v>
      </c>
      <c r="J73">
        <f>IF($D73=1,ROUND(Keys!$C$2/(INDEX(Src_SYSHECF_nuclear!$H$5:$H$292,MATCH($C73,Src_SYSHECF_nuclear!$C$5:$C$292,0))*$E73),Keys!$C$5),Keys!$C$4)</f>
        <v>1.0537000000000001</v>
      </c>
      <c r="K73">
        <f>IF($D73=1,ROUND(Keys!$C$2/(INDEX(Src_SYSHECF_nuclear!$I$5:$I$292,MATCH($C73,Src_SYSHECF_nuclear!$C$5:$C$292,0))*$E73),Keys!$C$5),Keys!$C$4)</f>
        <v>1.0537000000000001</v>
      </c>
      <c r="L73">
        <f>IF($D73=1,ROUND(Keys!$C$2/(INDEX(Src_SYSHECF_nuclear!$J$5:$J$292,MATCH($C73,Src_SYSHECF_nuclear!$C$5:$C$292,0))*$E73),Keys!$C$5),Keys!$C$4)</f>
        <v>1.0537000000000001</v>
      </c>
      <c r="M73">
        <f>IF($D73=1,ROUND(Keys!$C$2/(INDEX(Src_SYSHECF_nuclear!$K$5:$K$292,MATCH($C73,Src_SYSHECF_nuclear!$C$5:$C$292,0))*$E73),Keys!$C$5),Keys!$C$4)</f>
        <v>1.0537000000000001</v>
      </c>
      <c r="N73">
        <f>IF($D73=1,ROUND(Keys!$C$2/(INDEX(Src_SYSHECF_nuclear!$L$5:$L$292,MATCH($C73,Src_SYSHECF_nuclear!$C$5:$C$292,0))*$E73),Keys!$C$5),Keys!$C$4)</f>
        <v>1.0882000000000001</v>
      </c>
      <c r="O73">
        <f>IF($D73=1,ROUND(Keys!$C$2/(INDEX(Src_SYSHECF_nuclear!$M$5:$M$292,MATCH($C73,Src_SYSHECF_nuclear!$C$5:$C$292,0))*$E73),Keys!$C$5),Keys!$C$4)</f>
        <v>1.0986</v>
      </c>
      <c r="P73">
        <f>IF($D73=1,ROUND(Keys!$C$2/(INDEX(Src_SYSHECF_nuclear!$N$5:$N$292,MATCH($C73,Src_SYSHECF_nuclear!$C$5:$C$292,0))*$E73),Keys!$C$5),Keys!$C$4)</f>
        <v>1.0842000000000001</v>
      </c>
      <c r="Q73">
        <f>IF($D73=1,ROUND(Keys!$C$2/(INDEX(Src_SYSHECF_nuclear!$O$5:$O$292,MATCH($C73,Src_SYSHECF_nuclear!$C$5:$C$292,0))*$E73),Keys!$C$5),Keys!$C$4)</f>
        <v>1.0842000000000001</v>
      </c>
      <c r="R73">
        <f>IF($D73=1,ROUND(Keys!$C$2/(INDEX(Src_SYSHECF_nuclear!$P$5:$P$292,MATCH($C73,Src_SYSHECF_nuclear!$C$5:$C$292,0))*$E73),Keys!$C$5),Keys!$C$4)</f>
        <v>1.0842000000000001</v>
      </c>
      <c r="S73">
        <f>IF($D73=1,ROUND(Keys!$C$2/(INDEX(Src_SYSHECF_nuclear!$Q$5:$Q$292,MATCH($C73,Src_SYSHECF_nuclear!$C$5:$C$292,0))*$E73),Keys!$C$5),Keys!$C$4)</f>
        <v>1.0842000000000001</v>
      </c>
      <c r="T73">
        <f>IF($D73=1,ROUND(Keys!$C$2/(INDEX(Src_SYSHECF_nuclear!$R$5:$R$292,MATCH($C73,Src_SYSHECF_nuclear!$C$5:$C$292,0))*$E73),Keys!$C$5),Keys!$C$4)</f>
        <v>1.1169</v>
      </c>
      <c r="U73">
        <f>IF($D73=1,ROUND(Keys!$C$2/(INDEX(Src_SYSHECF_nuclear!$S$5:$S$292,MATCH($C73,Src_SYSHECF_nuclear!$C$5:$C$292,0))*$E73),Keys!$C$5),Keys!$C$4)</f>
        <v>1.0842000000000001</v>
      </c>
      <c r="V73">
        <f>IF($D73=1,ROUND(Keys!$C$2/(INDEX(Src_SYSHECF_nuclear!$T$5:$T$292,MATCH($C73,Src_SYSHECF_nuclear!$C$5:$C$292,0))*$E73),Keys!$C$5),Keys!$C$4)</f>
        <v>1.0637000000000001</v>
      </c>
      <c r="W73">
        <f>IF($D73=1,ROUND(Keys!$C$2/(INDEX(Src_SYSHECF_nuclear!$U$5:$U$292,MATCH($C73,Src_SYSHECF_nuclear!$C$5:$C$292,0))*$E73),Keys!$C$5),Keys!$C$4)</f>
        <v>1.0537000000000001</v>
      </c>
      <c r="X73">
        <f>IF($D73=1,ROUND(Keys!$C$2/(INDEX(Src_SYSHECF_nuclear!$V$5:$V$292,MATCH($C73,Src_SYSHECF_nuclear!$C$5:$C$292,0))*$E73),Keys!$C$5),Keys!$C$4)</f>
        <v>1.0537000000000001</v>
      </c>
      <c r="Y73">
        <f>IF($D73=1,ROUND(Keys!$C$2/(INDEX(Src_SYSHECF_nuclear!$W$5:$W$292,MATCH($C73,Src_SYSHECF_nuclear!$C$5:$C$292,0))*$E73),Keys!$C$5),Keys!$C$4)</f>
        <v>1.0537000000000001</v>
      </c>
      <c r="Z73">
        <f>IF($D73=1,ROUND(Keys!$C$2/(INDEX(Src_SYSHECF_nuclear!$X$5:$X$292,MATCH($C73,Src_SYSHECF_nuclear!$C$5:$C$292,0))*$E73),Keys!$C$5),Keys!$C$4)</f>
        <v>1.0537000000000001</v>
      </c>
      <c r="AA73">
        <f>IF($D73=1,ROUND(Keys!$C$2/(INDEX(Src_SYSHECF_nuclear!$Y$5:$Y$292,MATCH($C73,Src_SYSHECF_nuclear!$C$5:$C$292,0))*$E73),Keys!$C$5),Keys!$C$4)</f>
        <v>1.0537000000000001</v>
      </c>
      <c r="AB73">
        <f>IF($D73=1,ROUND(Keys!$C$2/(INDEX(Src_SYSHECF_nuclear!$Z$5:$Z$292,MATCH($C73,Src_SYSHECF_nuclear!$C$5:$C$292,0))*$E73),Keys!$C$5),Keys!$C$4)</f>
        <v>1.0537000000000001</v>
      </c>
      <c r="AC73">
        <f>IF($D73=1,ROUND(Keys!$C$2/(INDEX(Src_SYSHECF_nuclear!$AA$5:$AA$292,MATCH($C73,Src_SYSHECF_nuclear!$C$5:$C$292,0))*$E73),Keys!$C$5),Keys!$C$4)</f>
        <v>1.0537000000000001</v>
      </c>
      <c r="AE73">
        <f>IF($D73=1,IF(ABS(INDEX(Src_SYSHECF_nuclear!$D$5:$D$292,MATCH($C73,Src_SYSHECF_nuclear!$C$5:$C$292,0))*$E73*F73-Keys!$C$2)&gt;Keys!$C$6,1,0),0)</f>
        <v>0</v>
      </c>
    </row>
    <row r="74" spans="1:31" x14ac:dyDescent="0.45">
      <c r="A74" t="s">
        <v>12</v>
      </c>
      <c r="B74" t="s">
        <v>424</v>
      </c>
      <c r="C74" t="str">
        <f t="shared" si="1"/>
        <v>CA|Winter</v>
      </c>
      <c r="D74">
        <f>INDEX(Src_BHRaSYC_nuclear!$HF$5:$HF$52,MATCH($A74,Src_BHRaSYC_nuclear!$A$5:$A$52,0))</f>
        <v>1</v>
      </c>
      <c r="E74">
        <f>INDEX(Src_HYECFCA_nuclear!$B$5:$B$52,MATCH($A74,Src_HYECFCA_nuclear!$A$5:$A$52,0))</f>
        <v>0.97719100000000003</v>
      </c>
      <c r="F74">
        <f>IF($D74=1,ROUND(Keys!$C$2/(INDEX(Src_SYSHECF_nuclear!$D$5:$D$292,MATCH($C74,Src_SYSHECF_nuclear!$C$5:$C$292,0))*$E74),Keys!$C$5),Keys!$C$4)</f>
        <v>1.0732999999999999</v>
      </c>
      <c r="G74">
        <f>IF($D74=1,ROUND(Keys!$C$2/(INDEX(Src_SYSHECF_nuclear!$E$5:$E$292,MATCH($C74,Src_SYSHECF_nuclear!$C$5:$C$292,0))*$E74),Keys!$C$5),Keys!$C$4)</f>
        <v>1.0732999999999999</v>
      </c>
      <c r="H74">
        <f>IF($D74=1,ROUND(Keys!$C$2/(INDEX(Src_SYSHECF_nuclear!$F$5:$F$292,MATCH($C74,Src_SYSHECF_nuclear!$C$5:$C$292,0))*$E74),Keys!$C$5),Keys!$C$4)</f>
        <v>1.0732999999999999</v>
      </c>
      <c r="I74">
        <f>IF($D74=1,ROUND(Keys!$C$2/(INDEX(Src_SYSHECF_nuclear!$G$5:$G$292,MATCH($C74,Src_SYSHECF_nuclear!$C$5:$C$292,0))*$E74),Keys!$C$5),Keys!$C$4)</f>
        <v>1.0732999999999999</v>
      </c>
      <c r="J74">
        <f>IF($D74=1,ROUND(Keys!$C$2/(INDEX(Src_SYSHECF_nuclear!$H$5:$H$292,MATCH($C74,Src_SYSHECF_nuclear!$C$5:$C$292,0))*$E74),Keys!$C$5),Keys!$C$4)</f>
        <v>1.0732999999999999</v>
      </c>
      <c r="K74">
        <f>IF($D74=1,ROUND(Keys!$C$2/(INDEX(Src_SYSHECF_nuclear!$I$5:$I$292,MATCH($C74,Src_SYSHECF_nuclear!$C$5:$C$292,0))*$E74),Keys!$C$5),Keys!$C$4)</f>
        <v>1.0732999999999999</v>
      </c>
      <c r="L74">
        <f>IF($D74=1,ROUND(Keys!$C$2/(INDEX(Src_SYSHECF_nuclear!$J$5:$J$292,MATCH($C74,Src_SYSHECF_nuclear!$C$5:$C$292,0))*$E74),Keys!$C$5),Keys!$C$4)</f>
        <v>1.1657999999999999</v>
      </c>
      <c r="M74">
        <f>IF($D74=1,ROUND(Keys!$C$2/(INDEX(Src_SYSHECF_nuclear!$K$5:$K$292,MATCH($C74,Src_SYSHECF_nuclear!$C$5:$C$292,0))*$E74),Keys!$C$5),Keys!$C$4)</f>
        <v>1.1859</v>
      </c>
      <c r="N74">
        <f>IF($D74=1,ROUND(Keys!$C$2/(INDEX(Src_SYSHECF_nuclear!$L$5:$L$292,MATCH($C74,Src_SYSHECF_nuclear!$C$5:$C$292,0))*$E74),Keys!$C$5),Keys!$C$4)</f>
        <v>1.1768000000000001</v>
      </c>
      <c r="O74">
        <f>IF($D74=1,ROUND(Keys!$C$2/(INDEX(Src_SYSHECF_nuclear!$M$5:$M$292,MATCH($C74,Src_SYSHECF_nuclear!$C$5:$C$292,0))*$E74),Keys!$C$5),Keys!$C$4)</f>
        <v>1.1526000000000001</v>
      </c>
      <c r="P74">
        <f>IF($D74=1,ROUND(Keys!$C$2/(INDEX(Src_SYSHECF_nuclear!$N$5:$N$292,MATCH($C74,Src_SYSHECF_nuclear!$C$5:$C$292,0))*$E74),Keys!$C$5),Keys!$C$4)</f>
        <v>1.1415</v>
      </c>
      <c r="Q74">
        <f>IF($D74=1,ROUND(Keys!$C$2/(INDEX(Src_SYSHECF_nuclear!$O$5:$O$292,MATCH($C74,Src_SYSHECF_nuclear!$C$5:$C$292,0))*$E74),Keys!$C$5),Keys!$C$4)</f>
        <v>1.1440999999999999</v>
      </c>
      <c r="R74">
        <f>IF($D74=1,ROUND(Keys!$C$2/(INDEX(Src_SYSHECF_nuclear!$P$5:$P$292,MATCH($C74,Src_SYSHECF_nuclear!$C$5:$C$292,0))*$E74),Keys!$C$5),Keys!$C$4)</f>
        <v>1.1455</v>
      </c>
      <c r="S74">
        <f>IF($D74=1,ROUND(Keys!$C$2/(INDEX(Src_SYSHECF_nuclear!$Q$5:$Q$292,MATCH($C74,Src_SYSHECF_nuclear!$C$5:$C$292,0))*$E74),Keys!$C$5),Keys!$C$4)</f>
        <v>1.1598999999999999</v>
      </c>
      <c r="T74">
        <f>IF($D74=1,ROUND(Keys!$C$2/(INDEX(Src_SYSHECF_nuclear!$R$5:$R$292,MATCH($C74,Src_SYSHECF_nuclear!$C$5:$C$292,0))*$E74),Keys!$C$5),Keys!$C$4)</f>
        <v>1.1540999999999999</v>
      </c>
      <c r="U74">
        <f>IF($D74=1,ROUND(Keys!$C$2/(INDEX(Src_SYSHECF_nuclear!$S$5:$S$292,MATCH($C74,Src_SYSHECF_nuclear!$C$5:$C$292,0))*$E74),Keys!$C$5),Keys!$C$4)</f>
        <v>1.0966</v>
      </c>
      <c r="V74">
        <f>IF($D74=1,ROUND(Keys!$C$2/(INDEX(Src_SYSHECF_nuclear!$T$5:$T$292,MATCH($C74,Src_SYSHECF_nuclear!$C$5:$C$292,0))*$E74),Keys!$C$5),Keys!$C$4)</f>
        <v>1.0732999999999999</v>
      </c>
      <c r="W74">
        <f>IF($D74=1,ROUND(Keys!$C$2/(INDEX(Src_SYSHECF_nuclear!$U$5:$U$292,MATCH($C74,Src_SYSHECF_nuclear!$C$5:$C$292,0))*$E74),Keys!$C$5),Keys!$C$4)</f>
        <v>1.0732999999999999</v>
      </c>
      <c r="X74">
        <f>IF($D74=1,ROUND(Keys!$C$2/(INDEX(Src_SYSHECF_nuclear!$V$5:$V$292,MATCH($C74,Src_SYSHECF_nuclear!$C$5:$C$292,0))*$E74),Keys!$C$5),Keys!$C$4)</f>
        <v>1.0732999999999999</v>
      </c>
      <c r="Y74">
        <f>IF($D74=1,ROUND(Keys!$C$2/(INDEX(Src_SYSHECF_nuclear!$W$5:$W$292,MATCH($C74,Src_SYSHECF_nuclear!$C$5:$C$292,0))*$E74),Keys!$C$5),Keys!$C$4)</f>
        <v>1.0732999999999999</v>
      </c>
      <c r="Z74">
        <f>IF($D74=1,ROUND(Keys!$C$2/(INDEX(Src_SYSHECF_nuclear!$X$5:$X$292,MATCH($C74,Src_SYSHECF_nuclear!$C$5:$C$292,0))*$E74),Keys!$C$5),Keys!$C$4)</f>
        <v>1.0732999999999999</v>
      </c>
      <c r="AA74">
        <f>IF($D74=1,ROUND(Keys!$C$2/(INDEX(Src_SYSHECF_nuclear!$Y$5:$Y$292,MATCH($C74,Src_SYSHECF_nuclear!$C$5:$C$292,0))*$E74),Keys!$C$5),Keys!$C$4)</f>
        <v>1.0732999999999999</v>
      </c>
      <c r="AB74">
        <f>IF($D74=1,ROUND(Keys!$C$2/(INDEX(Src_SYSHECF_nuclear!$Z$5:$Z$292,MATCH($C74,Src_SYSHECF_nuclear!$C$5:$C$292,0))*$E74),Keys!$C$5),Keys!$C$4)</f>
        <v>1.0732999999999999</v>
      </c>
      <c r="AC74">
        <f>IF($D74=1,ROUND(Keys!$C$2/(INDEX(Src_SYSHECF_nuclear!$AA$5:$AA$292,MATCH($C74,Src_SYSHECF_nuclear!$C$5:$C$292,0))*$E74),Keys!$C$5),Keys!$C$4)</f>
        <v>1.0732999999999999</v>
      </c>
      <c r="AE74">
        <f>IF($D74=1,IF(ABS(INDEX(Src_SYSHECF_nuclear!$D$5:$D$292,MATCH($C74,Src_SYSHECF_nuclear!$C$5:$C$292,0))*$E74*F74-Keys!$C$2)&gt;Keys!$C$6,1,0),0)</f>
        <v>0</v>
      </c>
    </row>
    <row r="75" spans="1:31" x14ac:dyDescent="0.45">
      <c r="A75" t="s">
        <v>12</v>
      </c>
      <c r="B75" t="s">
        <v>425</v>
      </c>
      <c r="C75" t="str">
        <f t="shared" si="1"/>
        <v>CA|Spring</v>
      </c>
      <c r="D75">
        <f>INDEX(Src_BHRaSYC_nuclear!$HF$5:$HF$52,MATCH($A75,Src_BHRaSYC_nuclear!$A$5:$A$52,0))</f>
        <v>1</v>
      </c>
      <c r="E75">
        <f>INDEX(Src_HYECFCA_nuclear!$B$5:$B$52,MATCH($A75,Src_HYECFCA_nuclear!$A$5:$A$52,0))</f>
        <v>0.97719100000000003</v>
      </c>
      <c r="F75">
        <f>IF($D75=1,ROUND(Keys!$C$2/(INDEX(Src_SYSHECF_nuclear!$D$5:$D$292,MATCH($C75,Src_SYSHECF_nuclear!$C$5:$C$292,0))*$E75),Keys!$C$5),Keys!$C$4)</f>
        <v>1.0732999999999999</v>
      </c>
      <c r="G75">
        <f>IF($D75=1,ROUND(Keys!$C$2/(INDEX(Src_SYSHECF_nuclear!$E$5:$E$292,MATCH($C75,Src_SYSHECF_nuclear!$C$5:$C$292,0))*$E75),Keys!$C$5),Keys!$C$4)</f>
        <v>1.0732999999999999</v>
      </c>
      <c r="H75">
        <f>IF($D75=1,ROUND(Keys!$C$2/(INDEX(Src_SYSHECF_nuclear!$F$5:$F$292,MATCH($C75,Src_SYSHECF_nuclear!$C$5:$C$292,0))*$E75),Keys!$C$5),Keys!$C$4)</f>
        <v>1.0732999999999999</v>
      </c>
      <c r="I75">
        <f>IF($D75=1,ROUND(Keys!$C$2/(INDEX(Src_SYSHECF_nuclear!$G$5:$G$292,MATCH($C75,Src_SYSHECF_nuclear!$C$5:$C$292,0))*$E75),Keys!$C$5),Keys!$C$4)</f>
        <v>1.0732999999999999</v>
      </c>
      <c r="J75">
        <f>IF($D75=1,ROUND(Keys!$C$2/(INDEX(Src_SYSHECF_nuclear!$H$5:$H$292,MATCH($C75,Src_SYSHECF_nuclear!$C$5:$C$292,0))*$E75),Keys!$C$5),Keys!$C$4)</f>
        <v>1.0732999999999999</v>
      </c>
      <c r="K75">
        <f>IF($D75=1,ROUND(Keys!$C$2/(INDEX(Src_SYSHECF_nuclear!$I$5:$I$292,MATCH($C75,Src_SYSHECF_nuclear!$C$5:$C$292,0))*$E75),Keys!$C$5),Keys!$C$4)</f>
        <v>1.0732999999999999</v>
      </c>
      <c r="L75">
        <f>IF($D75=1,ROUND(Keys!$C$2/(INDEX(Src_SYSHECF_nuclear!$J$5:$J$292,MATCH($C75,Src_SYSHECF_nuclear!$C$5:$C$292,0))*$E75),Keys!$C$5),Keys!$C$4)</f>
        <v>1.0732999999999999</v>
      </c>
      <c r="M75">
        <f>IF($D75=1,ROUND(Keys!$C$2/(INDEX(Src_SYSHECF_nuclear!$K$5:$K$292,MATCH($C75,Src_SYSHECF_nuclear!$C$5:$C$292,0))*$E75),Keys!$C$5),Keys!$C$4)</f>
        <v>1.0982000000000001</v>
      </c>
      <c r="N75">
        <f>IF($D75=1,ROUND(Keys!$C$2/(INDEX(Src_SYSHECF_nuclear!$L$5:$L$292,MATCH($C75,Src_SYSHECF_nuclear!$C$5:$C$292,0))*$E75),Keys!$C$5),Keys!$C$4)</f>
        <v>1.0891999999999999</v>
      </c>
      <c r="O75">
        <f>IF($D75=1,ROUND(Keys!$C$2/(INDEX(Src_SYSHECF_nuclear!$M$5:$M$292,MATCH($C75,Src_SYSHECF_nuclear!$C$5:$C$292,0))*$E75),Keys!$C$5),Keys!$C$4)</f>
        <v>1.0851999999999999</v>
      </c>
      <c r="P75">
        <f>IF($D75=1,ROUND(Keys!$C$2/(INDEX(Src_SYSHECF_nuclear!$N$5:$N$292,MATCH($C75,Src_SYSHECF_nuclear!$C$5:$C$292,0))*$E75),Keys!$C$5),Keys!$C$4)</f>
        <v>1.0851999999999999</v>
      </c>
      <c r="Q75">
        <f>IF($D75=1,ROUND(Keys!$C$2/(INDEX(Src_SYSHECF_nuclear!$O$5:$O$292,MATCH($C75,Src_SYSHECF_nuclear!$C$5:$C$292,0))*$E75),Keys!$C$5),Keys!$C$4)</f>
        <v>1.0851999999999999</v>
      </c>
      <c r="R75">
        <f>IF($D75=1,ROUND(Keys!$C$2/(INDEX(Src_SYSHECF_nuclear!$P$5:$P$292,MATCH($C75,Src_SYSHECF_nuclear!$C$5:$C$292,0))*$E75),Keys!$C$5),Keys!$C$4)</f>
        <v>1.0851999999999999</v>
      </c>
      <c r="S75">
        <f>IF($D75=1,ROUND(Keys!$C$2/(INDEX(Src_SYSHECF_nuclear!$Q$5:$Q$292,MATCH($C75,Src_SYSHECF_nuclear!$C$5:$C$292,0))*$E75),Keys!$C$5),Keys!$C$4)</f>
        <v>1.0973999999999999</v>
      </c>
      <c r="T75">
        <f>IF($D75=1,ROUND(Keys!$C$2/(INDEX(Src_SYSHECF_nuclear!$R$5:$R$292,MATCH($C75,Src_SYSHECF_nuclear!$C$5:$C$292,0))*$E75),Keys!$C$5),Keys!$C$4)</f>
        <v>1.0891999999999999</v>
      </c>
      <c r="U75">
        <f>IF($D75=1,ROUND(Keys!$C$2/(INDEX(Src_SYSHECF_nuclear!$S$5:$S$292,MATCH($C75,Src_SYSHECF_nuclear!$C$5:$C$292,0))*$E75),Keys!$C$5),Keys!$C$4)</f>
        <v>1.0811999999999999</v>
      </c>
      <c r="V75">
        <f>IF($D75=1,ROUND(Keys!$C$2/(INDEX(Src_SYSHECF_nuclear!$T$5:$T$292,MATCH($C75,Src_SYSHECF_nuclear!$C$5:$C$292,0))*$E75),Keys!$C$5),Keys!$C$4)</f>
        <v>1.0732999999999999</v>
      </c>
      <c r="W75">
        <f>IF($D75=1,ROUND(Keys!$C$2/(INDEX(Src_SYSHECF_nuclear!$U$5:$U$292,MATCH($C75,Src_SYSHECF_nuclear!$C$5:$C$292,0))*$E75),Keys!$C$5),Keys!$C$4)</f>
        <v>1.0732999999999999</v>
      </c>
      <c r="X75">
        <f>IF($D75=1,ROUND(Keys!$C$2/(INDEX(Src_SYSHECF_nuclear!$V$5:$V$292,MATCH($C75,Src_SYSHECF_nuclear!$C$5:$C$292,0))*$E75),Keys!$C$5),Keys!$C$4)</f>
        <v>1.0732999999999999</v>
      </c>
      <c r="Y75">
        <f>IF($D75=1,ROUND(Keys!$C$2/(INDEX(Src_SYSHECF_nuclear!$W$5:$W$292,MATCH($C75,Src_SYSHECF_nuclear!$C$5:$C$292,0))*$E75),Keys!$C$5),Keys!$C$4)</f>
        <v>1.0732999999999999</v>
      </c>
      <c r="Z75">
        <f>IF($D75=1,ROUND(Keys!$C$2/(INDEX(Src_SYSHECF_nuclear!$X$5:$X$292,MATCH($C75,Src_SYSHECF_nuclear!$C$5:$C$292,0))*$E75),Keys!$C$5),Keys!$C$4)</f>
        <v>1.0732999999999999</v>
      </c>
      <c r="AA75">
        <f>IF($D75=1,ROUND(Keys!$C$2/(INDEX(Src_SYSHECF_nuclear!$Y$5:$Y$292,MATCH($C75,Src_SYSHECF_nuclear!$C$5:$C$292,0))*$E75),Keys!$C$5),Keys!$C$4)</f>
        <v>1.0732999999999999</v>
      </c>
      <c r="AB75">
        <f>IF($D75=1,ROUND(Keys!$C$2/(INDEX(Src_SYSHECF_nuclear!$Z$5:$Z$292,MATCH($C75,Src_SYSHECF_nuclear!$C$5:$C$292,0))*$E75),Keys!$C$5),Keys!$C$4)</f>
        <v>1.0732999999999999</v>
      </c>
      <c r="AC75">
        <f>IF($D75=1,ROUND(Keys!$C$2/(INDEX(Src_SYSHECF_nuclear!$AA$5:$AA$292,MATCH($C75,Src_SYSHECF_nuclear!$C$5:$C$292,0))*$E75),Keys!$C$5),Keys!$C$4)</f>
        <v>1.0732999999999999</v>
      </c>
      <c r="AE75">
        <f>IF($D75=1,IF(ABS(INDEX(Src_SYSHECF_nuclear!$D$5:$D$292,MATCH($C75,Src_SYSHECF_nuclear!$C$5:$C$292,0))*$E75*F75-Keys!$C$2)&gt;Keys!$C$6,1,0),0)</f>
        <v>0</v>
      </c>
    </row>
    <row r="76" spans="1:31" x14ac:dyDescent="0.45">
      <c r="A76" t="s">
        <v>12</v>
      </c>
      <c r="B76" t="s">
        <v>426</v>
      </c>
      <c r="C76" t="str">
        <f t="shared" si="1"/>
        <v>CA|Summer</v>
      </c>
      <c r="D76">
        <f>INDEX(Src_BHRaSYC_nuclear!$HF$5:$HF$52,MATCH($A76,Src_BHRaSYC_nuclear!$A$5:$A$52,0))</f>
        <v>1</v>
      </c>
      <c r="E76">
        <f>INDEX(Src_HYECFCA_nuclear!$B$5:$B$52,MATCH($A76,Src_HYECFCA_nuclear!$A$5:$A$52,0))</f>
        <v>0.97719100000000003</v>
      </c>
      <c r="F76">
        <f>IF($D76=1,ROUND(Keys!$C$2/(INDEX(Src_SYSHECF_nuclear!$D$5:$D$292,MATCH($C76,Src_SYSHECF_nuclear!$C$5:$C$292,0))*$E76),Keys!$C$5),Keys!$C$4)</f>
        <v>1.0732999999999999</v>
      </c>
      <c r="G76">
        <f>IF($D76=1,ROUND(Keys!$C$2/(INDEX(Src_SYSHECF_nuclear!$E$5:$E$292,MATCH($C76,Src_SYSHECF_nuclear!$C$5:$C$292,0))*$E76),Keys!$C$5),Keys!$C$4)</f>
        <v>1.0732999999999999</v>
      </c>
      <c r="H76">
        <f>IF($D76=1,ROUND(Keys!$C$2/(INDEX(Src_SYSHECF_nuclear!$F$5:$F$292,MATCH($C76,Src_SYSHECF_nuclear!$C$5:$C$292,0))*$E76),Keys!$C$5),Keys!$C$4)</f>
        <v>1.0732999999999999</v>
      </c>
      <c r="I76">
        <f>IF($D76=1,ROUND(Keys!$C$2/(INDEX(Src_SYSHECF_nuclear!$G$5:$G$292,MATCH($C76,Src_SYSHECF_nuclear!$C$5:$C$292,0))*$E76),Keys!$C$5),Keys!$C$4)</f>
        <v>1.0732999999999999</v>
      </c>
      <c r="J76">
        <f>IF($D76=1,ROUND(Keys!$C$2/(INDEX(Src_SYSHECF_nuclear!$H$5:$H$292,MATCH($C76,Src_SYSHECF_nuclear!$C$5:$C$292,0))*$E76),Keys!$C$5),Keys!$C$4)</f>
        <v>1.0732999999999999</v>
      </c>
      <c r="K76">
        <f>IF($D76=1,ROUND(Keys!$C$2/(INDEX(Src_SYSHECF_nuclear!$I$5:$I$292,MATCH($C76,Src_SYSHECF_nuclear!$C$5:$C$292,0))*$E76),Keys!$C$5),Keys!$C$4)</f>
        <v>1.0797000000000001</v>
      </c>
      <c r="L76">
        <f>IF($D76=1,ROUND(Keys!$C$2/(INDEX(Src_SYSHECF_nuclear!$J$5:$J$292,MATCH($C76,Src_SYSHECF_nuclear!$C$5:$C$292,0))*$E76),Keys!$C$5),Keys!$C$4)</f>
        <v>1.1747000000000001</v>
      </c>
      <c r="M76">
        <f>IF($D76=1,ROUND(Keys!$C$2/(INDEX(Src_SYSHECF_nuclear!$K$5:$K$292,MATCH($C76,Src_SYSHECF_nuclear!$C$5:$C$292,0))*$E76),Keys!$C$5),Keys!$C$4)</f>
        <v>1.1936</v>
      </c>
      <c r="N76">
        <f>IF($D76=1,ROUND(Keys!$C$2/(INDEX(Src_SYSHECF_nuclear!$L$5:$L$292,MATCH($C76,Src_SYSHECF_nuclear!$C$5:$C$292,0))*$E76),Keys!$C$5),Keys!$C$4)</f>
        <v>1.1399999999999999</v>
      </c>
      <c r="O76">
        <f>IF($D76=1,ROUND(Keys!$C$2/(INDEX(Src_SYSHECF_nuclear!$M$5:$M$292,MATCH($C76,Src_SYSHECF_nuclear!$C$5:$C$292,0))*$E76),Keys!$C$5),Keys!$C$4)</f>
        <v>1.1141000000000001</v>
      </c>
      <c r="P76">
        <f>IF($D76=1,ROUND(Keys!$C$2/(INDEX(Src_SYSHECF_nuclear!$N$5:$N$292,MATCH($C76,Src_SYSHECF_nuclear!$C$5:$C$292,0))*$E76),Keys!$C$5),Keys!$C$4)</f>
        <v>1.0972999999999999</v>
      </c>
      <c r="Q76">
        <f>IF($D76=1,ROUND(Keys!$C$2/(INDEX(Src_SYSHECF_nuclear!$O$5:$O$292,MATCH($C76,Src_SYSHECF_nuclear!$C$5:$C$292,0))*$E76),Keys!$C$5),Keys!$C$4)</f>
        <v>1.0972999999999999</v>
      </c>
      <c r="R76">
        <f>IF($D76=1,ROUND(Keys!$C$2/(INDEX(Src_SYSHECF_nuclear!$P$5:$P$292,MATCH($C76,Src_SYSHECF_nuclear!$C$5:$C$292,0))*$E76),Keys!$C$5),Keys!$C$4)</f>
        <v>1.0972999999999999</v>
      </c>
      <c r="S76">
        <f>IF($D76=1,ROUND(Keys!$C$2/(INDEX(Src_SYSHECF_nuclear!$Q$5:$Q$292,MATCH($C76,Src_SYSHECF_nuclear!$C$5:$C$292,0))*$E76),Keys!$C$5),Keys!$C$4)</f>
        <v>1.1008</v>
      </c>
      <c r="T76">
        <f>IF($D76=1,ROUND(Keys!$C$2/(INDEX(Src_SYSHECF_nuclear!$R$5:$R$292,MATCH($C76,Src_SYSHECF_nuclear!$C$5:$C$292,0))*$E76),Keys!$C$5),Keys!$C$4)</f>
        <v>1.0938000000000001</v>
      </c>
      <c r="U76">
        <f>IF($D76=1,ROUND(Keys!$C$2/(INDEX(Src_SYSHECF_nuclear!$S$5:$S$292,MATCH($C76,Src_SYSHECF_nuclear!$C$5:$C$292,0))*$E76),Keys!$C$5),Keys!$C$4)</f>
        <v>1.0767</v>
      </c>
      <c r="V76">
        <f>IF($D76=1,ROUND(Keys!$C$2/(INDEX(Src_SYSHECF_nuclear!$T$5:$T$292,MATCH($C76,Src_SYSHECF_nuclear!$C$5:$C$292,0))*$E76),Keys!$C$5),Keys!$C$4)</f>
        <v>1.0732999999999999</v>
      </c>
      <c r="W76">
        <f>IF($D76=1,ROUND(Keys!$C$2/(INDEX(Src_SYSHECF_nuclear!$U$5:$U$292,MATCH($C76,Src_SYSHECF_nuclear!$C$5:$C$292,0))*$E76),Keys!$C$5),Keys!$C$4)</f>
        <v>1.0732999999999999</v>
      </c>
      <c r="X76">
        <f>IF($D76=1,ROUND(Keys!$C$2/(INDEX(Src_SYSHECF_nuclear!$V$5:$V$292,MATCH($C76,Src_SYSHECF_nuclear!$C$5:$C$292,0))*$E76),Keys!$C$5),Keys!$C$4)</f>
        <v>1.0732999999999999</v>
      </c>
      <c r="Y76">
        <f>IF($D76=1,ROUND(Keys!$C$2/(INDEX(Src_SYSHECF_nuclear!$W$5:$W$292,MATCH($C76,Src_SYSHECF_nuclear!$C$5:$C$292,0))*$E76),Keys!$C$5),Keys!$C$4)</f>
        <v>1.0732999999999999</v>
      </c>
      <c r="Z76">
        <f>IF($D76=1,ROUND(Keys!$C$2/(INDEX(Src_SYSHECF_nuclear!$X$5:$X$292,MATCH($C76,Src_SYSHECF_nuclear!$C$5:$C$292,0))*$E76),Keys!$C$5),Keys!$C$4)</f>
        <v>1.0732999999999999</v>
      </c>
      <c r="AA76">
        <f>IF($D76=1,ROUND(Keys!$C$2/(INDEX(Src_SYSHECF_nuclear!$Y$5:$Y$292,MATCH($C76,Src_SYSHECF_nuclear!$C$5:$C$292,0))*$E76),Keys!$C$5),Keys!$C$4)</f>
        <v>1.0732999999999999</v>
      </c>
      <c r="AB76">
        <f>IF($D76=1,ROUND(Keys!$C$2/(INDEX(Src_SYSHECF_nuclear!$Z$5:$Z$292,MATCH($C76,Src_SYSHECF_nuclear!$C$5:$C$292,0))*$E76),Keys!$C$5),Keys!$C$4)</f>
        <v>1.0732999999999999</v>
      </c>
      <c r="AC76">
        <f>IF($D76=1,ROUND(Keys!$C$2/(INDEX(Src_SYSHECF_nuclear!$AA$5:$AA$292,MATCH($C76,Src_SYSHECF_nuclear!$C$5:$C$292,0))*$E76),Keys!$C$5),Keys!$C$4)</f>
        <v>1.0732999999999999</v>
      </c>
      <c r="AE76">
        <f>IF($D76=1,IF(ABS(INDEX(Src_SYSHECF_nuclear!$D$5:$D$292,MATCH($C76,Src_SYSHECF_nuclear!$C$5:$C$292,0))*$E76*F76-Keys!$C$2)&gt;Keys!$C$6,1,0),0)</f>
        <v>0</v>
      </c>
    </row>
    <row r="77" spans="1:31" x14ac:dyDescent="0.45">
      <c r="A77" t="s">
        <v>12</v>
      </c>
      <c r="B77" t="s">
        <v>427</v>
      </c>
      <c r="C77" t="str">
        <f t="shared" si="1"/>
        <v>CA|Fall</v>
      </c>
      <c r="D77">
        <f>INDEX(Src_BHRaSYC_nuclear!$HF$5:$HF$52,MATCH($A77,Src_BHRaSYC_nuclear!$A$5:$A$52,0))</f>
        <v>1</v>
      </c>
      <c r="E77">
        <f>INDEX(Src_HYECFCA_nuclear!$B$5:$B$52,MATCH($A77,Src_HYECFCA_nuclear!$A$5:$A$52,0))</f>
        <v>0.97719100000000003</v>
      </c>
      <c r="F77">
        <f>IF($D77=1,ROUND(Keys!$C$2/(INDEX(Src_SYSHECF_nuclear!$D$5:$D$292,MATCH($C77,Src_SYSHECF_nuclear!$C$5:$C$292,0))*$E77),Keys!$C$5),Keys!$C$4)</f>
        <v>1.0732999999999999</v>
      </c>
      <c r="G77">
        <f>IF($D77=1,ROUND(Keys!$C$2/(INDEX(Src_SYSHECF_nuclear!$E$5:$E$292,MATCH($C77,Src_SYSHECF_nuclear!$C$5:$C$292,0))*$E77),Keys!$C$5),Keys!$C$4)</f>
        <v>1.0732999999999999</v>
      </c>
      <c r="H77">
        <f>IF($D77=1,ROUND(Keys!$C$2/(INDEX(Src_SYSHECF_nuclear!$F$5:$F$292,MATCH($C77,Src_SYSHECF_nuclear!$C$5:$C$292,0))*$E77),Keys!$C$5),Keys!$C$4)</f>
        <v>1.0732999999999999</v>
      </c>
      <c r="I77">
        <f>IF($D77=1,ROUND(Keys!$C$2/(INDEX(Src_SYSHECF_nuclear!$G$5:$G$292,MATCH($C77,Src_SYSHECF_nuclear!$C$5:$C$292,0))*$E77),Keys!$C$5),Keys!$C$4)</f>
        <v>1.0732999999999999</v>
      </c>
      <c r="J77">
        <f>IF($D77=1,ROUND(Keys!$C$2/(INDEX(Src_SYSHECF_nuclear!$H$5:$H$292,MATCH($C77,Src_SYSHECF_nuclear!$C$5:$C$292,0))*$E77),Keys!$C$5),Keys!$C$4)</f>
        <v>1.0732999999999999</v>
      </c>
      <c r="K77">
        <f>IF($D77=1,ROUND(Keys!$C$2/(INDEX(Src_SYSHECF_nuclear!$I$5:$I$292,MATCH($C77,Src_SYSHECF_nuclear!$C$5:$C$292,0))*$E77),Keys!$C$5),Keys!$C$4)</f>
        <v>1.0732999999999999</v>
      </c>
      <c r="L77">
        <f>IF($D77=1,ROUND(Keys!$C$2/(INDEX(Src_SYSHECF_nuclear!$J$5:$J$292,MATCH($C77,Src_SYSHECF_nuclear!$C$5:$C$292,0))*$E77),Keys!$C$5),Keys!$C$4)</f>
        <v>1.0732999999999999</v>
      </c>
      <c r="M77">
        <f>IF($D77=1,ROUND(Keys!$C$2/(INDEX(Src_SYSHECF_nuclear!$K$5:$K$292,MATCH($C77,Src_SYSHECF_nuclear!$C$5:$C$292,0))*$E77),Keys!$C$5),Keys!$C$4)</f>
        <v>1.0732999999999999</v>
      </c>
      <c r="N77">
        <f>IF($D77=1,ROUND(Keys!$C$2/(INDEX(Src_SYSHECF_nuclear!$L$5:$L$292,MATCH($C77,Src_SYSHECF_nuclear!$C$5:$C$292,0))*$E77),Keys!$C$5),Keys!$C$4)</f>
        <v>1.0732999999999999</v>
      </c>
      <c r="O77">
        <f>IF($D77=1,ROUND(Keys!$C$2/(INDEX(Src_SYSHECF_nuclear!$M$5:$M$292,MATCH($C77,Src_SYSHECF_nuclear!$C$5:$C$292,0))*$E77),Keys!$C$5),Keys!$C$4)</f>
        <v>1.0732999999999999</v>
      </c>
      <c r="P77">
        <f>IF($D77=1,ROUND(Keys!$C$2/(INDEX(Src_SYSHECF_nuclear!$N$5:$N$292,MATCH($C77,Src_SYSHECF_nuclear!$C$5:$C$292,0))*$E77),Keys!$C$5),Keys!$C$4)</f>
        <v>1.0732999999999999</v>
      </c>
      <c r="Q77">
        <f>IF($D77=1,ROUND(Keys!$C$2/(INDEX(Src_SYSHECF_nuclear!$O$5:$O$292,MATCH($C77,Src_SYSHECF_nuclear!$C$5:$C$292,0))*$E77),Keys!$C$5),Keys!$C$4)</f>
        <v>1.0732999999999999</v>
      </c>
      <c r="R77">
        <f>IF($D77=1,ROUND(Keys!$C$2/(INDEX(Src_SYSHECF_nuclear!$P$5:$P$292,MATCH($C77,Src_SYSHECF_nuclear!$C$5:$C$292,0))*$E77),Keys!$C$5),Keys!$C$4)</f>
        <v>1.0732999999999999</v>
      </c>
      <c r="S77">
        <f>IF($D77=1,ROUND(Keys!$C$2/(INDEX(Src_SYSHECF_nuclear!$Q$5:$Q$292,MATCH($C77,Src_SYSHECF_nuclear!$C$5:$C$292,0))*$E77),Keys!$C$5),Keys!$C$4)</f>
        <v>1.0732999999999999</v>
      </c>
      <c r="T77">
        <f>IF($D77=1,ROUND(Keys!$C$2/(INDEX(Src_SYSHECF_nuclear!$R$5:$R$292,MATCH($C77,Src_SYSHECF_nuclear!$C$5:$C$292,0))*$E77),Keys!$C$5),Keys!$C$4)</f>
        <v>1.0732999999999999</v>
      </c>
      <c r="U77">
        <f>IF($D77=1,ROUND(Keys!$C$2/(INDEX(Src_SYSHECF_nuclear!$S$5:$S$292,MATCH($C77,Src_SYSHECF_nuclear!$C$5:$C$292,0))*$E77),Keys!$C$5),Keys!$C$4)</f>
        <v>1.0732999999999999</v>
      </c>
      <c r="V77">
        <f>IF($D77=1,ROUND(Keys!$C$2/(INDEX(Src_SYSHECF_nuclear!$T$5:$T$292,MATCH($C77,Src_SYSHECF_nuclear!$C$5:$C$292,0))*$E77),Keys!$C$5),Keys!$C$4)</f>
        <v>1.0732999999999999</v>
      </c>
      <c r="W77">
        <f>IF($D77=1,ROUND(Keys!$C$2/(INDEX(Src_SYSHECF_nuclear!$U$5:$U$292,MATCH($C77,Src_SYSHECF_nuclear!$C$5:$C$292,0))*$E77),Keys!$C$5),Keys!$C$4)</f>
        <v>1.0732999999999999</v>
      </c>
      <c r="X77">
        <f>IF($D77=1,ROUND(Keys!$C$2/(INDEX(Src_SYSHECF_nuclear!$V$5:$V$292,MATCH($C77,Src_SYSHECF_nuclear!$C$5:$C$292,0))*$E77),Keys!$C$5),Keys!$C$4)</f>
        <v>1.0732999999999999</v>
      </c>
      <c r="Y77">
        <f>IF($D77=1,ROUND(Keys!$C$2/(INDEX(Src_SYSHECF_nuclear!$W$5:$W$292,MATCH($C77,Src_SYSHECF_nuclear!$C$5:$C$292,0))*$E77),Keys!$C$5),Keys!$C$4)</f>
        <v>1.0732999999999999</v>
      </c>
      <c r="Z77">
        <f>IF($D77=1,ROUND(Keys!$C$2/(INDEX(Src_SYSHECF_nuclear!$X$5:$X$292,MATCH($C77,Src_SYSHECF_nuclear!$C$5:$C$292,0))*$E77),Keys!$C$5),Keys!$C$4)</f>
        <v>1.0732999999999999</v>
      </c>
      <c r="AA77">
        <f>IF($D77=1,ROUND(Keys!$C$2/(INDEX(Src_SYSHECF_nuclear!$Y$5:$Y$292,MATCH($C77,Src_SYSHECF_nuclear!$C$5:$C$292,0))*$E77),Keys!$C$5),Keys!$C$4)</f>
        <v>1.0732999999999999</v>
      </c>
      <c r="AB77">
        <f>IF($D77=1,ROUND(Keys!$C$2/(INDEX(Src_SYSHECF_nuclear!$Z$5:$Z$292,MATCH($C77,Src_SYSHECF_nuclear!$C$5:$C$292,0))*$E77),Keys!$C$5),Keys!$C$4)</f>
        <v>1.0732999999999999</v>
      </c>
      <c r="AC77">
        <f>IF($D77=1,ROUND(Keys!$C$2/(INDEX(Src_SYSHECF_nuclear!$AA$5:$AA$292,MATCH($C77,Src_SYSHECF_nuclear!$C$5:$C$292,0))*$E77),Keys!$C$5),Keys!$C$4)</f>
        <v>1.0732999999999999</v>
      </c>
      <c r="AE77">
        <f>IF($D77=1,IF(ABS(INDEX(Src_SYSHECF_nuclear!$D$5:$D$292,MATCH($C77,Src_SYSHECF_nuclear!$C$5:$C$292,0))*$E77*F77-Keys!$C$2)&gt;Keys!$C$6,1,0),0)</f>
        <v>0</v>
      </c>
    </row>
    <row r="78" spans="1:31" x14ac:dyDescent="0.45">
      <c r="A78" t="s">
        <v>12</v>
      </c>
      <c r="B78" t="s">
        <v>428</v>
      </c>
      <c r="C78" t="str">
        <f t="shared" si="1"/>
        <v>CA|Summer Peak</v>
      </c>
      <c r="D78">
        <f>INDEX(Src_BHRaSYC_nuclear!$HF$5:$HF$52,MATCH($A78,Src_BHRaSYC_nuclear!$A$5:$A$52,0))</f>
        <v>1</v>
      </c>
      <c r="E78">
        <f>INDEX(Src_HYECFCA_nuclear!$B$5:$B$52,MATCH($A78,Src_HYECFCA_nuclear!$A$5:$A$52,0))</f>
        <v>0.97719100000000003</v>
      </c>
      <c r="F78">
        <f>IF($D78=1,ROUND(Keys!$C$2/(INDEX(Src_SYSHECF_nuclear!$D$5:$D$292,MATCH($C78,Src_SYSHECF_nuclear!$C$5:$C$292,0))*$E78),Keys!$C$5),Keys!$C$4)</f>
        <v>1.0732999999999999</v>
      </c>
      <c r="G78">
        <f>IF($D78=1,ROUND(Keys!$C$2/(INDEX(Src_SYSHECF_nuclear!$E$5:$E$292,MATCH($C78,Src_SYSHECF_nuclear!$C$5:$C$292,0))*$E78),Keys!$C$5),Keys!$C$4)</f>
        <v>1.0732999999999999</v>
      </c>
      <c r="H78">
        <f>IF($D78=1,ROUND(Keys!$C$2/(INDEX(Src_SYSHECF_nuclear!$F$5:$F$292,MATCH($C78,Src_SYSHECF_nuclear!$C$5:$C$292,0))*$E78),Keys!$C$5),Keys!$C$4)</f>
        <v>1.0732999999999999</v>
      </c>
      <c r="I78">
        <f>IF($D78=1,ROUND(Keys!$C$2/(INDEX(Src_SYSHECF_nuclear!$G$5:$G$292,MATCH($C78,Src_SYSHECF_nuclear!$C$5:$C$292,0))*$E78),Keys!$C$5),Keys!$C$4)</f>
        <v>1.0732999999999999</v>
      </c>
      <c r="J78">
        <f>IF($D78=1,ROUND(Keys!$C$2/(INDEX(Src_SYSHECF_nuclear!$H$5:$H$292,MATCH($C78,Src_SYSHECF_nuclear!$C$5:$C$292,0))*$E78),Keys!$C$5),Keys!$C$4)</f>
        <v>1.0732999999999999</v>
      </c>
      <c r="K78">
        <f>IF($D78=1,ROUND(Keys!$C$2/(INDEX(Src_SYSHECF_nuclear!$I$5:$I$292,MATCH($C78,Src_SYSHECF_nuclear!$C$5:$C$292,0))*$E78),Keys!$C$5),Keys!$C$4)</f>
        <v>1.0732999999999999</v>
      </c>
      <c r="L78">
        <f>IF($D78=1,ROUND(Keys!$C$2/(INDEX(Src_SYSHECF_nuclear!$J$5:$J$292,MATCH($C78,Src_SYSHECF_nuclear!$C$5:$C$292,0))*$E78),Keys!$C$5),Keys!$C$4)</f>
        <v>1.1103000000000001</v>
      </c>
      <c r="M78">
        <f>IF($D78=1,ROUND(Keys!$C$2/(INDEX(Src_SYSHECF_nuclear!$K$5:$K$292,MATCH($C78,Src_SYSHECF_nuclear!$C$5:$C$292,0))*$E78),Keys!$C$5),Keys!$C$4)</f>
        <v>1.1386000000000001</v>
      </c>
      <c r="N78">
        <f>IF($D78=1,ROUND(Keys!$C$2/(INDEX(Src_SYSHECF_nuclear!$L$5:$L$292,MATCH($C78,Src_SYSHECF_nuclear!$C$5:$C$292,0))*$E78),Keys!$C$5),Keys!$C$4)</f>
        <v>1.0914999999999999</v>
      </c>
      <c r="O78">
        <f>IF($D78=1,ROUND(Keys!$C$2/(INDEX(Src_SYSHECF_nuclear!$M$5:$M$292,MATCH($C78,Src_SYSHECF_nuclear!$C$5:$C$292,0))*$E78),Keys!$C$5),Keys!$C$4)</f>
        <v>1.0732999999999999</v>
      </c>
      <c r="P78">
        <f>IF($D78=1,ROUND(Keys!$C$2/(INDEX(Src_SYSHECF_nuclear!$N$5:$N$292,MATCH($C78,Src_SYSHECF_nuclear!$C$5:$C$292,0))*$E78),Keys!$C$5),Keys!$C$4)</f>
        <v>1.0732999999999999</v>
      </c>
      <c r="Q78">
        <f>IF($D78=1,ROUND(Keys!$C$2/(INDEX(Src_SYSHECF_nuclear!$O$5:$O$292,MATCH($C78,Src_SYSHECF_nuclear!$C$5:$C$292,0))*$E78),Keys!$C$5),Keys!$C$4)</f>
        <v>1.0732999999999999</v>
      </c>
      <c r="R78">
        <f>IF($D78=1,ROUND(Keys!$C$2/(INDEX(Src_SYSHECF_nuclear!$P$5:$P$292,MATCH($C78,Src_SYSHECF_nuclear!$C$5:$C$292,0))*$E78),Keys!$C$5),Keys!$C$4)</f>
        <v>1.0732999999999999</v>
      </c>
      <c r="S78">
        <f>IF($D78=1,ROUND(Keys!$C$2/(INDEX(Src_SYSHECF_nuclear!$Q$5:$Q$292,MATCH($C78,Src_SYSHECF_nuclear!$C$5:$C$292,0))*$E78),Keys!$C$5),Keys!$C$4)</f>
        <v>1.0732999999999999</v>
      </c>
      <c r="T78">
        <f>IF($D78=1,ROUND(Keys!$C$2/(INDEX(Src_SYSHECF_nuclear!$R$5:$R$292,MATCH($C78,Src_SYSHECF_nuclear!$C$5:$C$292,0))*$E78),Keys!$C$5),Keys!$C$4)</f>
        <v>1.0732999999999999</v>
      </c>
      <c r="U78">
        <f>IF($D78=1,ROUND(Keys!$C$2/(INDEX(Src_SYSHECF_nuclear!$S$5:$S$292,MATCH($C78,Src_SYSHECF_nuclear!$C$5:$C$292,0))*$E78),Keys!$C$5),Keys!$C$4)</f>
        <v>1.0732999999999999</v>
      </c>
      <c r="V78">
        <f>IF($D78=1,ROUND(Keys!$C$2/(INDEX(Src_SYSHECF_nuclear!$T$5:$T$292,MATCH($C78,Src_SYSHECF_nuclear!$C$5:$C$292,0))*$E78),Keys!$C$5),Keys!$C$4)</f>
        <v>1.0732999999999999</v>
      </c>
      <c r="W78">
        <f>IF($D78=1,ROUND(Keys!$C$2/(INDEX(Src_SYSHECF_nuclear!$U$5:$U$292,MATCH($C78,Src_SYSHECF_nuclear!$C$5:$C$292,0))*$E78),Keys!$C$5),Keys!$C$4)</f>
        <v>1.0732999999999999</v>
      </c>
      <c r="X78">
        <f>IF($D78=1,ROUND(Keys!$C$2/(INDEX(Src_SYSHECF_nuclear!$V$5:$V$292,MATCH($C78,Src_SYSHECF_nuclear!$C$5:$C$292,0))*$E78),Keys!$C$5),Keys!$C$4)</f>
        <v>1.0732999999999999</v>
      </c>
      <c r="Y78">
        <f>IF($D78=1,ROUND(Keys!$C$2/(INDEX(Src_SYSHECF_nuclear!$W$5:$W$292,MATCH($C78,Src_SYSHECF_nuclear!$C$5:$C$292,0))*$E78),Keys!$C$5),Keys!$C$4)</f>
        <v>1.0732999999999999</v>
      </c>
      <c r="Z78">
        <f>IF($D78=1,ROUND(Keys!$C$2/(INDEX(Src_SYSHECF_nuclear!$X$5:$X$292,MATCH($C78,Src_SYSHECF_nuclear!$C$5:$C$292,0))*$E78),Keys!$C$5),Keys!$C$4)</f>
        <v>1.0732999999999999</v>
      </c>
      <c r="AA78">
        <f>IF($D78=1,ROUND(Keys!$C$2/(INDEX(Src_SYSHECF_nuclear!$Y$5:$Y$292,MATCH($C78,Src_SYSHECF_nuclear!$C$5:$C$292,0))*$E78),Keys!$C$5),Keys!$C$4)</f>
        <v>1.0732999999999999</v>
      </c>
      <c r="AB78">
        <f>IF($D78=1,ROUND(Keys!$C$2/(INDEX(Src_SYSHECF_nuclear!$Z$5:$Z$292,MATCH($C78,Src_SYSHECF_nuclear!$C$5:$C$292,0))*$E78),Keys!$C$5),Keys!$C$4)</f>
        <v>1.0732999999999999</v>
      </c>
      <c r="AC78">
        <f>IF($D78=1,ROUND(Keys!$C$2/(INDEX(Src_SYSHECF_nuclear!$AA$5:$AA$292,MATCH($C78,Src_SYSHECF_nuclear!$C$5:$C$292,0))*$E78),Keys!$C$5),Keys!$C$4)</f>
        <v>1.0732999999999999</v>
      </c>
      <c r="AE78">
        <f>IF($D78=1,IF(ABS(INDEX(Src_SYSHECF_nuclear!$D$5:$D$292,MATCH($C78,Src_SYSHECF_nuclear!$C$5:$C$292,0))*$E78*F78-Keys!$C$2)&gt;Keys!$C$6,1,0),0)</f>
        <v>0</v>
      </c>
    </row>
    <row r="79" spans="1:31" x14ac:dyDescent="0.45">
      <c r="A79" t="s">
        <v>12</v>
      </c>
      <c r="B79" t="s">
        <v>429</v>
      </c>
      <c r="C79" t="str">
        <f t="shared" si="1"/>
        <v>CA|Winter Peak</v>
      </c>
      <c r="D79">
        <f>INDEX(Src_BHRaSYC_nuclear!$HF$5:$HF$52,MATCH($A79,Src_BHRaSYC_nuclear!$A$5:$A$52,0))</f>
        <v>1</v>
      </c>
      <c r="E79">
        <f>INDEX(Src_HYECFCA_nuclear!$B$5:$B$52,MATCH($A79,Src_HYECFCA_nuclear!$A$5:$A$52,0))</f>
        <v>0.97719100000000003</v>
      </c>
      <c r="F79">
        <f>IF($D79=1,ROUND(Keys!$C$2/(INDEX(Src_SYSHECF_nuclear!$D$5:$D$292,MATCH($C79,Src_SYSHECF_nuclear!$C$5:$C$292,0))*$E79),Keys!$C$5),Keys!$C$4)</f>
        <v>1.0732999999999999</v>
      </c>
      <c r="G79">
        <f>IF($D79=1,ROUND(Keys!$C$2/(INDEX(Src_SYSHECF_nuclear!$E$5:$E$292,MATCH($C79,Src_SYSHECF_nuclear!$C$5:$C$292,0))*$E79),Keys!$C$5),Keys!$C$4)</f>
        <v>1.0732999999999999</v>
      </c>
      <c r="H79">
        <f>IF($D79=1,ROUND(Keys!$C$2/(INDEX(Src_SYSHECF_nuclear!$F$5:$F$292,MATCH($C79,Src_SYSHECF_nuclear!$C$5:$C$292,0))*$E79),Keys!$C$5),Keys!$C$4)</f>
        <v>1.0732999999999999</v>
      </c>
      <c r="I79">
        <f>IF($D79=1,ROUND(Keys!$C$2/(INDEX(Src_SYSHECF_nuclear!$G$5:$G$292,MATCH($C79,Src_SYSHECF_nuclear!$C$5:$C$292,0))*$E79),Keys!$C$5),Keys!$C$4)</f>
        <v>1.0732999999999999</v>
      </c>
      <c r="J79">
        <f>IF($D79=1,ROUND(Keys!$C$2/(INDEX(Src_SYSHECF_nuclear!$H$5:$H$292,MATCH($C79,Src_SYSHECF_nuclear!$C$5:$C$292,0))*$E79),Keys!$C$5),Keys!$C$4)</f>
        <v>1.0732999999999999</v>
      </c>
      <c r="K79">
        <f>IF($D79=1,ROUND(Keys!$C$2/(INDEX(Src_SYSHECF_nuclear!$I$5:$I$292,MATCH($C79,Src_SYSHECF_nuclear!$C$5:$C$292,0))*$E79),Keys!$C$5),Keys!$C$4)</f>
        <v>1.0732999999999999</v>
      </c>
      <c r="L79">
        <f>IF($D79=1,ROUND(Keys!$C$2/(INDEX(Src_SYSHECF_nuclear!$J$5:$J$292,MATCH($C79,Src_SYSHECF_nuclear!$C$5:$C$292,0))*$E79),Keys!$C$5),Keys!$C$4)</f>
        <v>1.0732999999999999</v>
      </c>
      <c r="M79">
        <f>IF($D79=1,ROUND(Keys!$C$2/(INDEX(Src_SYSHECF_nuclear!$K$5:$K$292,MATCH($C79,Src_SYSHECF_nuclear!$C$5:$C$292,0))*$E79),Keys!$C$5),Keys!$C$4)</f>
        <v>1.0732999999999999</v>
      </c>
      <c r="N79">
        <f>IF($D79=1,ROUND(Keys!$C$2/(INDEX(Src_SYSHECF_nuclear!$L$5:$L$292,MATCH($C79,Src_SYSHECF_nuclear!$C$5:$C$292,0))*$E79),Keys!$C$5),Keys!$C$4)</f>
        <v>1.0732999999999999</v>
      </c>
      <c r="O79">
        <f>IF($D79=1,ROUND(Keys!$C$2/(INDEX(Src_SYSHECF_nuclear!$M$5:$M$292,MATCH($C79,Src_SYSHECF_nuclear!$C$5:$C$292,0))*$E79),Keys!$C$5),Keys!$C$4)</f>
        <v>1.0732999999999999</v>
      </c>
      <c r="P79">
        <f>IF($D79=1,ROUND(Keys!$C$2/(INDEX(Src_SYSHECF_nuclear!$N$5:$N$292,MATCH($C79,Src_SYSHECF_nuclear!$C$5:$C$292,0))*$E79),Keys!$C$5),Keys!$C$4)</f>
        <v>1.0732999999999999</v>
      </c>
      <c r="Q79">
        <f>IF($D79=1,ROUND(Keys!$C$2/(INDEX(Src_SYSHECF_nuclear!$O$5:$O$292,MATCH($C79,Src_SYSHECF_nuclear!$C$5:$C$292,0))*$E79),Keys!$C$5),Keys!$C$4)</f>
        <v>1.0732999999999999</v>
      </c>
      <c r="R79">
        <f>IF($D79=1,ROUND(Keys!$C$2/(INDEX(Src_SYSHECF_nuclear!$P$5:$P$292,MATCH($C79,Src_SYSHECF_nuclear!$C$5:$C$292,0))*$E79),Keys!$C$5),Keys!$C$4)</f>
        <v>1.0732999999999999</v>
      </c>
      <c r="S79">
        <f>IF($D79=1,ROUND(Keys!$C$2/(INDEX(Src_SYSHECF_nuclear!$Q$5:$Q$292,MATCH($C79,Src_SYSHECF_nuclear!$C$5:$C$292,0))*$E79),Keys!$C$5),Keys!$C$4)</f>
        <v>1.0732999999999999</v>
      </c>
      <c r="T79">
        <f>IF($D79=1,ROUND(Keys!$C$2/(INDEX(Src_SYSHECF_nuclear!$R$5:$R$292,MATCH($C79,Src_SYSHECF_nuclear!$C$5:$C$292,0))*$E79),Keys!$C$5),Keys!$C$4)</f>
        <v>1.0732999999999999</v>
      </c>
      <c r="U79">
        <f>IF($D79=1,ROUND(Keys!$C$2/(INDEX(Src_SYSHECF_nuclear!$S$5:$S$292,MATCH($C79,Src_SYSHECF_nuclear!$C$5:$C$292,0))*$E79),Keys!$C$5),Keys!$C$4)</f>
        <v>1.0732999999999999</v>
      </c>
      <c r="V79">
        <f>IF($D79=1,ROUND(Keys!$C$2/(INDEX(Src_SYSHECF_nuclear!$T$5:$T$292,MATCH($C79,Src_SYSHECF_nuclear!$C$5:$C$292,0))*$E79),Keys!$C$5),Keys!$C$4)</f>
        <v>1.0732999999999999</v>
      </c>
      <c r="W79">
        <f>IF($D79=1,ROUND(Keys!$C$2/(INDEX(Src_SYSHECF_nuclear!$U$5:$U$292,MATCH($C79,Src_SYSHECF_nuclear!$C$5:$C$292,0))*$E79),Keys!$C$5),Keys!$C$4)</f>
        <v>1.0732999999999999</v>
      </c>
      <c r="X79">
        <f>IF($D79=1,ROUND(Keys!$C$2/(INDEX(Src_SYSHECF_nuclear!$V$5:$V$292,MATCH($C79,Src_SYSHECF_nuclear!$C$5:$C$292,0))*$E79),Keys!$C$5),Keys!$C$4)</f>
        <v>1.0732999999999999</v>
      </c>
      <c r="Y79">
        <f>IF($D79=1,ROUND(Keys!$C$2/(INDEX(Src_SYSHECF_nuclear!$W$5:$W$292,MATCH($C79,Src_SYSHECF_nuclear!$C$5:$C$292,0))*$E79),Keys!$C$5),Keys!$C$4)</f>
        <v>1.0732999999999999</v>
      </c>
      <c r="Z79">
        <f>IF($D79=1,ROUND(Keys!$C$2/(INDEX(Src_SYSHECF_nuclear!$X$5:$X$292,MATCH($C79,Src_SYSHECF_nuclear!$C$5:$C$292,0))*$E79),Keys!$C$5),Keys!$C$4)</f>
        <v>1.0732999999999999</v>
      </c>
      <c r="AA79">
        <f>IF($D79=1,ROUND(Keys!$C$2/(INDEX(Src_SYSHECF_nuclear!$Y$5:$Y$292,MATCH($C79,Src_SYSHECF_nuclear!$C$5:$C$292,0))*$E79),Keys!$C$5),Keys!$C$4)</f>
        <v>1.0732999999999999</v>
      </c>
      <c r="AB79">
        <f>IF($D79=1,ROUND(Keys!$C$2/(INDEX(Src_SYSHECF_nuclear!$Z$5:$Z$292,MATCH($C79,Src_SYSHECF_nuclear!$C$5:$C$292,0))*$E79),Keys!$C$5),Keys!$C$4)</f>
        <v>1.0732999999999999</v>
      </c>
      <c r="AC79">
        <f>IF($D79=1,ROUND(Keys!$C$2/(INDEX(Src_SYSHECF_nuclear!$AA$5:$AA$292,MATCH($C79,Src_SYSHECF_nuclear!$C$5:$C$292,0))*$E79),Keys!$C$5),Keys!$C$4)</f>
        <v>1.0732999999999999</v>
      </c>
      <c r="AE79">
        <f>IF($D79=1,IF(ABS(INDEX(Src_SYSHECF_nuclear!$D$5:$D$292,MATCH($C79,Src_SYSHECF_nuclear!$C$5:$C$292,0))*$E79*F79-Keys!$C$2)&gt;Keys!$C$6,1,0),0)</f>
        <v>0</v>
      </c>
    </row>
    <row r="80" spans="1:31" x14ac:dyDescent="0.45">
      <c r="A80" t="s">
        <v>15</v>
      </c>
      <c r="B80" t="s">
        <v>424</v>
      </c>
      <c r="C80" t="str">
        <f t="shared" si="1"/>
        <v>CO|Winter</v>
      </c>
      <c r="D80">
        <f>INDEX(Src_BHRaSYC_nuclear!$HF$5:$HF$52,MATCH($A80,Src_BHRaSYC_nuclear!$A$5:$A$52,0))</f>
        <v>0</v>
      </c>
      <c r="E80">
        <f>INDEX(Src_HYECFCA_nuclear!$B$5:$B$52,MATCH($A80,Src_HYECFCA_nuclear!$A$5:$A$52,0))</f>
        <v>1</v>
      </c>
      <c r="F80">
        <f>IF($D80=1,ROUND(Keys!$C$2/(INDEX(Src_SYSHECF_nuclear!$D$5:$D$292,MATCH($C80,Src_SYSHECF_nuclear!$C$5:$C$292,0))*$E80),Keys!$C$5),Keys!$C$4)</f>
        <v>0.9</v>
      </c>
      <c r="G80">
        <f>IF($D80=1,ROUND(Keys!$C$2/(INDEX(Src_SYSHECF_nuclear!$E$5:$E$292,MATCH($C80,Src_SYSHECF_nuclear!$C$5:$C$292,0))*$E80),Keys!$C$5),Keys!$C$4)</f>
        <v>0.9</v>
      </c>
      <c r="H80">
        <f>IF($D80=1,ROUND(Keys!$C$2/(INDEX(Src_SYSHECF_nuclear!$F$5:$F$292,MATCH($C80,Src_SYSHECF_nuclear!$C$5:$C$292,0))*$E80),Keys!$C$5),Keys!$C$4)</f>
        <v>0.9</v>
      </c>
      <c r="I80">
        <f>IF($D80=1,ROUND(Keys!$C$2/(INDEX(Src_SYSHECF_nuclear!$G$5:$G$292,MATCH($C80,Src_SYSHECF_nuclear!$C$5:$C$292,0))*$E80),Keys!$C$5),Keys!$C$4)</f>
        <v>0.9</v>
      </c>
      <c r="J80">
        <f>IF($D80=1,ROUND(Keys!$C$2/(INDEX(Src_SYSHECF_nuclear!$H$5:$H$292,MATCH($C80,Src_SYSHECF_nuclear!$C$5:$C$292,0))*$E80),Keys!$C$5),Keys!$C$4)</f>
        <v>0.9</v>
      </c>
      <c r="K80">
        <f>IF($D80=1,ROUND(Keys!$C$2/(INDEX(Src_SYSHECF_nuclear!$I$5:$I$292,MATCH($C80,Src_SYSHECF_nuclear!$C$5:$C$292,0))*$E80),Keys!$C$5),Keys!$C$4)</f>
        <v>0.9</v>
      </c>
      <c r="L80">
        <f>IF($D80=1,ROUND(Keys!$C$2/(INDEX(Src_SYSHECF_nuclear!$J$5:$J$292,MATCH($C80,Src_SYSHECF_nuclear!$C$5:$C$292,0))*$E80),Keys!$C$5),Keys!$C$4)</f>
        <v>0.9</v>
      </c>
      <c r="M80">
        <f>IF($D80=1,ROUND(Keys!$C$2/(INDEX(Src_SYSHECF_nuclear!$K$5:$K$292,MATCH($C80,Src_SYSHECF_nuclear!$C$5:$C$292,0))*$E80),Keys!$C$5),Keys!$C$4)</f>
        <v>0.9</v>
      </c>
      <c r="N80">
        <f>IF($D80=1,ROUND(Keys!$C$2/(INDEX(Src_SYSHECF_nuclear!$L$5:$L$292,MATCH($C80,Src_SYSHECF_nuclear!$C$5:$C$292,0))*$E80),Keys!$C$5),Keys!$C$4)</f>
        <v>0.9</v>
      </c>
      <c r="O80">
        <f>IF($D80=1,ROUND(Keys!$C$2/(INDEX(Src_SYSHECF_nuclear!$M$5:$M$292,MATCH($C80,Src_SYSHECF_nuclear!$C$5:$C$292,0))*$E80),Keys!$C$5),Keys!$C$4)</f>
        <v>0.9</v>
      </c>
      <c r="P80">
        <f>IF($D80=1,ROUND(Keys!$C$2/(INDEX(Src_SYSHECF_nuclear!$N$5:$N$292,MATCH($C80,Src_SYSHECF_nuclear!$C$5:$C$292,0))*$E80),Keys!$C$5),Keys!$C$4)</f>
        <v>0.9</v>
      </c>
      <c r="Q80">
        <f>IF($D80=1,ROUND(Keys!$C$2/(INDEX(Src_SYSHECF_nuclear!$O$5:$O$292,MATCH($C80,Src_SYSHECF_nuclear!$C$5:$C$292,0))*$E80),Keys!$C$5),Keys!$C$4)</f>
        <v>0.9</v>
      </c>
      <c r="R80">
        <f>IF($D80=1,ROUND(Keys!$C$2/(INDEX(Src_SYSHECF_nuclear!$P$5:$P$292,MATCH($C80,Src_SYSHECF_nuclear!$C$5:$C$292,0))*$E80),Keys!$C$5),Keys!$C$4)</f>
        <v>0.9</v>
      </c>
      <c r="S80">
        <f>IF($D80=1,ROUND(Keys!$C$2/(INDEX(Src_SYSHECF_nuclear!$Q$5:$Q$292,MATCH($C80,Src_SYSHECF_nuclear!$C$5:$C$292,0))*$E80),Keys!$C$5),Keys!$C$4)</f>
        <v>0.9</v>
      </c>
      <c r="T80">
        <f>IF($D80=1,ROUND(Keys!$C$2/(INDEX(Src_SYSHECF_nuclear!$R$5:$R$292,MATCH($C80,Src_SYSHECF_nuclear!$C$5:$C$292,0))*$E80),Keys!$C$5),Keys!$C$4)</f>
        <v>0.9</v>
      </c>
      <c r="U80">
        <f>IF($D80=1,ROUND(Keys!$C$2/(INDEX(Src_SYSHECF_nuclear!$S$5:$S$292,MATCH($C80,Src_SYSHECF_nuclear!$C$5:$C$292,0))*$E80),Keys!$C$5),Keys!$C$4)</f>
        <v>0.9</v>
      </c>
      <c r="V80">
        <f>IF($D80=1,ROUND(Keys!$C$2/(INDEX(Src_SYSHECF_nuclear!$T$5:$T$292,MATCH($C80,Src_SYSHECF_nuclear!$C$5:$C$292,0))*$E80),Keys!$C$5),Keys!$C$4)</f>
        <v>0.9</v>
      </c>
      <c r="W80">
        <f>IF($D80=1,ROUND(Keys!$C$2/(INDEX(Src_SYSHECF_nuclear!$U$5:$U$292,MATCH($C80,Src_SYSHECF_nuclear!$C$5:$C$292,0))*$E80),Keys!$C$5),Keys!$C$4)</f>
        <v>0.9</v>
      </c>
      <c r="X80">
        <f>IF($D80=1,ROUND(Keys!$C$2/(INDEX(Src_SYSHECF_nuclear!$V$5:$V$292,MATCH($C80,Src_SYSHECF_nuclear!$C$5:$C$292,0))*$E80),Keys!$C$5),Keys!$C$4)</f>
        <v>0.9</v>
      </c>
      <c r="Y80">
        <f>IF($D80=1,ROUND(Keys!$C$2/(INDEX(Src_SYSHECF_nuclear!$W$5:$W$292,MATCH($C80,Src_SYSHECF_nuclear!$C$5:$C$292,0))*$E80),Keys!$C$5),Keys!$C$4)</f>
        <v>0.9</v>
      </c>
      <c r="Z80">
        <f>IF($D80=1,ROUND(Keys!$C$2/(INDEX(Src_SYSHECF_nuclear!$X$5:$X$292,MATCH($C80,Src_SYSHECF_nuclear!$C$5:$C$292,0))*$E80),Keys!$C$5),Keys!$C$4)</f>
        <v>0.9</v>
      </c>
      <c r="AA80">
        <f>IF($D80=1,ROUND(Keys!$C$2/(INDEX(Src_SYSHECF_nuclear!$Y$5:$Y$292,MATCH($C80,Src_SYSHECF_nuclear!$C$5:$C$292,0))*$E80),Keys!$C$5),Keys!$C$4)</f>
        <v>0.9</v>
      </c>
      <c r="AB80">
        <f>IF($D80=1,ROUND(Keys!$C$2/(INDEX(Src_SYSHECF_nuclear!$Z$5:$Z$292,MATCH($C80,Src_SYSHECF_nuclear!$C$5:$C$292,0))*$E80),Keys!$C$5),Keys!$C$4)</f>
        <v>0.9</v>
      </c>
      <c r="AC80">
        <f>IF($D80=1,ROUND(Keys!$C$2/(INDEX(Src_SYSHECF_nuclear!$AA$5:$AA$292,MATCH($C80,Src_SYSHECF_nuclear!$C$5:$C$292,0))*$E80),Keys!$C$5),Keys!$C$4)</f>
        <v>0.9</v>
      </c>
      <c r="AE80">
        <f>IF($D80=1,IF(ABS(INDEX(Src_SYSHECF_nuclear!$D$5:$D$292,MATCH($C80,Src_SYSHECF_nuclear!$C$5:$C$292,0))*$E80*F80-Keys!$C$2)&gt;Keys!$C$6,1,0),0)</f>
        <v>0</v>
      </c>
    </row>
    <row r="81" spans="1:31" x14ac:dyDescent="0.45">
      <c r="A81" t="s">
        <v>15</v>
      </c>
      <c r="B81" t="s">
        <v>425</v>
      </c>
      <c r="C81" t="str">
        <f t="shared" si="1"/>
        <v>CO|Spring</v>
      </c>
      <c r="D81">
        <f>INDEX(Src_BHRaSYC_nuclear!$HF$5:$HF$52,MATCH($A81,Src_BHRaSYC_nuclear!$A$5:$A$52,0))</f>
        <v>0</v>
      </c>
      <c r="E81">
        <f>INDEX(Src_HYECFCA_nuclear!$B$5:$B$52,MATCH($A81,Src_HYECFCA_nuclear!$A$5:$A$52,0))</f>
        <v>1</v>
      </c>
      <c r="F81">
        <f>IF($D81=1,ROUND(Keys!$C$2/(INDEX(Src_SYSHECF_nuclear!$D$5:$D$292,MATCH($C81,Src_SYSHECF_nuclear!$C$5:$C$292,0))*$E81),Keys!$C$5),Keys!$C$4)</f>
        <v>0.9</v>
      </c>
      <c r="G81">
        <f>IF($D81=1,ROUND(Keys!$C$2/(INDEX(Src_SYSHECF_nuclear!$E$5:$E$292,MATCH($C81,Src_SYSHECF_nuclear!$C$5:$C$292,0))*$E81),Keys!$C$5),Keys!$C$4)</f>
        <v>0.9</v>
      </c>
      <c r="H81">
        <f>IF($D81=1,ROUND(Keys!$C$2/(INDEX(Src_SYSHECF_nuclear!$F$5:$F$292,MATCH($C81,Src_SYSHECF_nuclear!$C$5:$C$292,0))*$E81),Keys!$C$5),Keys!$C$4)</f>
        <v>0.9</v>
      </c>
      <c r="I81">
        <f>IF($D81=1,ROUND(Keys!$C$2/(INDEX(Src_SYSHECF_nuclear!$G$5:$G$292,MATCH($C81,Src_SYSHECF_nuclear!$C$5:$C$292,0))*$E81),Keys!$C$5),Keys!$C$4)</f>
        <v>0.9</v>
      </c>
      <c r="J81">
        <f>IF($D81=1,ROUND(Keys!$C$2/(INDEX(Src_SYSHECF_nuclear!$H$5:$H$292,MATCH($C81,Src_SYSHECF_nuclear!$C$5:$C$292,0))*$E81),Keys!$C$5),Keys!$C$4)</f>
        <v>0.9</v>
      </c>
      <c r="K81">
        <f>IF($D81=1,ROUND(Keys!$C$2/(INDEX(Src_SYSHECF_nuclear!$I$5:$I$292,MATCH($C81,Src_SYSHECF_nuclear!$C$5:$C$292,0))*$E81),Keys!$C$5),Keys!$C$4)</f>
        <v>0.9</v>
      </c>
      <c r="L81">
        <f>IF($D81=1,ROUND(Keys!$C$2/(INDEX(Src_SYSHECF_nuclear!$J$5:$J$292,MATCH($C81,Src_SYSHECF_nuclear!$C$5:$C$292,0))*$E81),Keys!$C$5),Keys!$C$4)</f>
        <v>0.9</v>
      </c>
      <c r="M81">
        <f>IF($D81=1,ROUND(Keys!$C$2/(INDEX(Src_SYSHECF_nuclear!$K$5:$K$292,MATCH($C81,Src_SYSHECF_nuclear!$C$5:$C$292,0))*$E81),Keys!$C$5),Keys!$C$4)</f>
        <v>0.9</v>
      </c>
      <c r="N81">
        <f>IF($D81=1,ROUND(Keys!$C$2/(INDEX(Src_SYSHECF_nuclear!$L$5:$L$292,MATCH($C81,Src_SYSHECF_nuclear!$C$5:$C$292,0))*$E81),Keys!$C$5),Keys!$C$4)</f>
        <v>0.9</v>
      </c>
      <c r="O81">
        <f>IF($D81=1,ROUND(Keys!$C$2/(INDEX(Src_SYSHECF_nuclear!$M$5:$M$292,MATCH($C81,Src_SYSHECF_nuclear!$C$5:$C$292,0))*$E81),Keys!$C$5),Keys!$C$4)</f>
        <v>0.9</v>
      </c>
      <c r="P81">
        <f>IF($D81=1,ROUND(Keys!$C$2/(INDEX(Src_SYSHECF_nuclear!$N$5:$N$292,MATCH($C81,Src_SYSHECF_nuclear!$C$5:$C$292,0))*$E81),Keys!$C$5),Keys!$C$4)</f>
        <v>0.9</v>
      </c>
      <c r="Q81">
        <f>IF($D81=1,ROUND(Keys!$C$2/(INDEX(Src_SYSHECF_nuclear!$O$5:$O$292,MATCH($C81,Src_SYSHECF_nuclear!$C$5:$C$292,0))*$E81),Keys!$C$5),Keys!$C$4)</f>
        <v>0.9</v>
      </c>
      <c r="R81">
        <f>IF($D81=1,ROUND(Keys!$C$2/(INDEX(Src_SYSHECF_nuclear!$P$5:$P$292,MATCH($C81,Src_SYSHECF_nuclear!$C$5:$C$292,0))*$E81),Keys!$C$5),Keys!$C$4)</f>
        <v>0.9</v>
      </c>
      <c r="S81">
        <f>IF($D81=1,ROUND(Keys!$C$2/(INDEX(Src_SYSHECF_nuclear!$Q$5:$Q$292,MATCH($C81,Src_SYSHECF_nuclear!$C$5:$C$292,0))*$E81),Keys!$C$5),Keys!$C$4)</f>
        <v>0.9</v>
      </c>
      <c r="T81">
        <f>IF($D81=1,ROUND(Keys!$C$2/(INDEX(Src_SYSHECF_nuclear!$R$5:$R$292,MATCH($C81,Src_SYSHECF_nuclear!$C$5:$C$292,0))*$E81),Keys!$C$5),Keys!$C$4)</f>
        <v>0.9</v>
      </c>
      <c r="U81">
        <f>IF($D81=1,ROUND(Keys!$C$2/(INDEX(Src_SYSHECF_nuclear!$S$5:$S$292,MATCH($C81,Src_SYSHECF_nuclear!$C$5:$C$292,0))*$E81),Keys!$C$5),Keys!$C$4)</f>
        <v>0.9</v>
      </c>
      <c r="V81">
        <f>IF($D81=1,ROUND(Keys!$C$2/(INDEX(Src_SYSHECF_nuclear!$T$5:$T$292,MATCH($C81,Src_SYSHECF_nuclear!$C$5:$C$292,0))*$E81),Keys!$C$5),Keys!$C$4)</f>
        <v>0.9</v>
      </c>
      <c r="W81">
        <f>IF($D81=1,ROUND(Keys!$C$2/(INDEX(Src_SYSHECF_nuclear!$U$5:$U$292,MATCH($C81,Src_SYSHECF_nuclear!$C$5:$C$292,0))*$E81),Keys!$C$5),Keys!$C$4)</f>
        <v>0.9</v>
      </c>
      <c r="X81">
        <f>IF($D81=1,ROUND(Keys!$C$2/(INDEX(Src_SYSHECF_nuclear!$V$5:$V$292,MATCH($C81,Src_SYSHECF_nuclear!$C$5:$C$292,0))*$E81),Keys!$C$5),Keys!$C$4)</f>
        <v>0.9</v>
      </c>
      <c r="Y81">
        <f>IF($D81=1,ROUND(Keys!$C$2/(INDEX(Src_SYSHECF_nuclear!$W$5:$W$292,MATCH($C81,Src_SYSHECF_nuclear!$C$5:$C$292,0))*$E81),Keys!$C$5),Keys!$C$4)</f>
        <v>0.9</v>
      </c>
      <c r="Z81">
        <f>IF($D81=1,ROUND(Keys!$C$2/(INDEX(Src_SYSHECF_nuclear!$X$5:$X$292,MATCH($C81,Src_SYSHECF_nuclear!$C$5:$C$292,0))*$E81),Keys!$C$5),Keys!$C$4)</f>
        <v>0.9</v>
      </c>
      <c r="AA81">
        <f>IF($D81=1,ROUND(Keys!$C$2/(INDEX(Src_SYSHECF_nuclear!$Y$5:$Y$292,MATCH($C81,Src_SYSHECF_nuclear!$C$5:$C$292,0))*$E81),Keys!$C$5),Keys!$C$4)</f>
        <v>0.9</v>
      </c>
      <c r="AB81">
        <f>IF($D81=1,ROUND(Keys!$C$2/(INDEX(Src_SYSHECF_nuclear!$Z$5:$Z$292,MATCH($C81,Src_SYSHECF_nuclear!$C$5:$C$292,0))*$E81),Keys!$C$5),Keys!$C$4)</f>
        <v>0.9</v>
      </c>
      <c r="AC81">
        <f>IF($D81=1,ROUND(Keys!$C$2/(INDEX(Src_SYSHECF_nuclear!$AA$5:$AA$292,MATCH($C81,Src_SYSHECF_nuclear!$C$5:$C$292,0))*$E81),Keys!$C$5),Keys!$C$4)</f>
        <v>0.9</v>
      </c>
      <c r="AE81">
        <f>IF($D81=1,IF(ABS(INDEX(Src_SYSHECF_nuclear!$D$5:$D$292,MATCH($C81,Src_SYSHECF_nuclear!$C$5:$C$292,0))*$E81*F81-Keys!$C$2)&gt;Keys!$C$6,1,0),0)</f>
        <v>0</v>
      </c>
    </row>
    <row r="82" spans="1:31" x14ac:dyDescent="0.45">
      <c r="A82" t="s">
        <v>15</v>
      </c>
      <c r="B82" t="s">
        <v>426</v>
      </c>
      <c r="C82" t="str">
        <f t="shared" si="1"/>
        <v>CO|Summer</v>
      </c>
      <c r="D82">
        <f>INDEX(Src_BHRaSYC_nuclear!$HF$5:$HF$52,MATCH($A82,Src_BHRaSYC_nuclear!$A$5:$A$52,0))</f>
        <v>0</v>
      </c>
      <c r="E82">
        <f>INDEX(Src_HYECFCA_nuclear!$B$5:$B$52,MATCH($A82,Src_HYECFCA_nuclear!$A$5:$A$52,0))</f>
        <v>1</v>
      </c>
      <c r="F82">
        <f>IF($D82=1,ROUND(Keys!$C$2/(INDEX(Src_SYSHECF_nuclear!$D$5:$D$292,MATCH($C82,Src_SYSHECF_nuclear!$C$5:$C$292,0))*$E82),Keys!$C$5),Keys!$C$4)</f>
        <v>0.9</v>
      </c>
      <c r="G82">
        <f>IF($D82=1,ROUND(Keys!$C$2/(INDEX(Src_SYSHECF_nuclear!$E$5:$E$292,MATCH($C82,Src_SYSHECF_nuclear!$C$5:$C$292,0))*$E82),Keys!$C$5),Keys!$C$4)</f>
        <v>0.9</v>
      </c>
      <c r="H82">
        <f>IF($D82=1,ROUND(Keys!$C$2/(INDEX(Src_SYSHECF_nuclear!$F$5:$F$292,MATCH($C82,Src_SYSHECF_nuclear!$C$5:$C$292,0))*$E82),Keys!$C$5),Keys!$C$4)</f>
        <v>0.9</v>
      </c>
      <c r="I82">
        <f>IF($D82=1,ROUND(Keys!$C$2/(INDEX(Src_SYSHECF_nuclear!$G$5:$G$292,MATCH($C82,Src_SYSHECF_nuclear!$C$5:$C$292,0))*$E82),Keys!$C$5),Keys!$C$4)</f>
        <v>0.9</v>
      </c>
      <c r="J82">
        <f>IF($D82=1,ROUND(Keys!$C$2/(INDEX(Src_SYSHECF_nuclear!$H$5:$H$292,MATCH($C82,Src_SYSHECF_nuclear!$C$5:$C$292,0))*$E82),Keys!$C$5),Keys!$C$4)</f>
        <v>0.9</v>
      </c>
      <c r="K82">
        <f>IF($D82=1,ROUND(Keys!$C$2/(INDEX(Src_SYSHECF_nuclear!$I$5:$I$292,MATCH($C82,Src_SYSHECF_nuclear!$C$5:$C$292,0))*$E82),Keys!$C$5),Keys!$C$4)</f>
        <v>0.9</v>
      </c>
      <c r="L82">
        <f>IF($D82=1,ROUND(Keys!$C$2/(INDEX(Src_SYSHECF_nuclear!$J$5:$J$292,MATCH($C82,Src_SYSHECF_nuclear!$C$5:$C$292,0))*$E82),Keys!$C$5),Keys!$C$4)</f>
        <v>0.9</v>
      </c>
      <c r="M82">
        <f>IF($D82=1,ROUND(Keys!$C$2/(INDEX(Src_SYSHECF_nuclear!$K$5:$K$292,MATCH($C82,Src_SYSHECF_nuclear!$C$5:$C$292,0))*$E82),Keys!$C$5),Keys!$C$4)</f>
        <v>0.9</v>
      </c>
      <c r="N82">
        <f>IF($D82=1,ROUND(Keys!$C$2/(INDEX(Src_SYSHECF_nuclear!$L$5:$L$292,MATCH($C82,Src_SYSHECF_nuclear!$C$5:$C$292,0))*$E82),Keys!$C$5),Keys!$C$4)</f>
        <v>0.9</v>
      </c>
      <c r="O82">
        <f>IF($D82=1,ROUND(Keys!$C$2/(INDEX(Src_SYSHECF_nuclear!$M$5:$M$292,MATCH($C82,Src_SYSHECF_nuclear!$C$5:$C$292,0))*$E82),Keys!$C$5),Keys!$C$4)</f>
        <v>0.9</v>
      </c>
      <c r="P82">
        <f>IF($D82=1,ROUND(Keys!$C$2/(INDEX(Src_SYSHECF_nuclear!$N$5:$N$292,MATCH($C82,Src_SYSHECF_nuclear!$C$5:$C$292,0))*$E82),Keys!$C$5),Keys!$C$4)</f>
        <v>0.9</v>
      </c>
      <c r="Q82">
        <f>IF($D82=1,ROUND(Keys!$C$2/(INDEX(Src_SYSHECF_nuclear!$O$5:$O$292,MATCH($C82,Src_SYSHECF_nuclear!$C$5:$C$292,0))*$E82),Keys!$C$5),Keys!$C$4)</f>
        <v>0.9</v>
      </c>
      <c r="R82">
        <f>IF($D82=1,ROUND(Keys!$C$2/(INDEX(Src_SYSHECF_nuclear!$P$5:$P$292,MATCH($C82,Src_SYSHECF_nuclear!$C$5:$C$292,0))*$E82),Keys!$C$5),Keys!$C$4)</f>
        <v>0.9</v>
      </c>
      <c r="S82">
        <f>IF($D82=1,ROUND(Keys!$C$2/(INDEX(Src_SYSHECF_nuclear!$Q$5:$Q$292,MATCH($C82,Src_SYSHECF_nuclear!$C$5:$C$292,0))*$E82),Keys!$C$5),Keys!$C$4)</f>
        <v>0.9</v>
      </c>
      <c r="T82">
        <f>IF($D82=1,ROUND(Keys!$C$2/(INDEX(Src_SYSHECF_nuclear!$R$5:$R$292,MATCH($C82,Src_SYSHECF_nuclear!$C$5:$C$292,0))*$E82),Keys!$C$5),Keys!$C$4)</f>
        <v>0.9</v>
      </c>
      <c r="U82">
        <f>IF($D82=1,ROUND(Keys!$C$2/(INDEX(Src_SYSHECF_nuclear!$S$5:$S$292,MATCH($C82,Src_SYSHECF_nuclear!$C$5:$C$292,0))*$E82),Keys!$C$5),Keys!$C$4)</f>
        <v>0.9</v>
      </c>
      <c r="V82">
        <f>IF($D82=1,ROUND(Keys!$C$2/(INDEX(Src_SYSHECF_nuclear!$T$5:$T$292,MATCH($C82,Src_SYSHECF_nuclear!$C$5:$C$292,0))*$E82),Keys!$C$5),Keys!$C$4)</f>
        <v>0.9</v>
      </c>
      <c r="W82">
        <f>IF($D82=1,ROUND(Keys!$C$2/(INDEX(Src_SYSHECF_nuclear!$U$5:$U$292,MATCH($C82,Src_SYSHECF_nuclear!$C$5:$C$292,0))*$E82),Keys!$C$5),Keys!$C$4)</f>
        <v>0.9</v>
      </c>
      <c r="X82">
        <f>IF($D82=1,ROUND(Keys!$C$2/(INDEX(Src_SYSHECF_nuclear!$V$5:$V$292,MATCH($C82,Src_SYSHECF_nuclear!$C$5:$C$292,0))*$E82),Keys!$C$5),Keys!$C$4)</f>
        <v>0.9</v>
      </c>
      <c r="Y82">
        <f>IF($D82=1,ROUND(Keys!$C$2/(INDEX(Src_SYSHECF_nuclear!$W$5:$W$292,MATCH($C82,Src_SYSHECF_nuclear!$C$5:$C$292,0))*$E82),Keys!$C$5),Keys!$C$4)</f>
        <v>0.9</v>
      </c>
      <c r="Z82">
        <f>IF($D82=1,ROUND(Keys!$C$2/(INDEX(Src_SYSHECF_nuclear!$X$5:$X$292,MATCH($C82,Src_SYSHECF_nuclear!$C$5:$C$292,0))*$E82),Keys!$C$5),Keys!$C$4)</f>
        <v>0.9</v>
      </c>
      <c r="AA82">
        <f>IF($D82=1,ROUND(Keys!$C$2/(INDEX(Src_SYSHECF_nuclear!$Y$5:$Y$292,MATCH($C82,Src_SYSHECF_nuclear!$C$5:$C$292,0))*$E82),Keys!$C$5),Keys!$C$4)</f>
        <v>0.9</v>
      </c>
      <c r="AB82">
        <f>IF($D82=1,ROUND(Keys!$C$2/(INDEX(Src_SYSHECF_nuclear!$Z$5:$Z$292,MATCH($C82,Src_SYSHECF_nuclear!$C$5:$C$292,0))*$E82),Keys!$C$5),Keys!$C$4)</f>
        <v>0.9</v>
      </c>
      <c r="AC82">
        <f>IF($D82=1,ROUND(Keys!$C$2/(INDEX(Src_SYSHECF_nuclear!$AA$5:$AA$292,MATCH($C82,Src_SYSHECF_nuclear!$C$5:$C$292,0))*$E82),Keys!$C$5),Keys!$C$4)</f>
        <v>0.9</v>
      </c>
      <c r="AE82">
        <f>IF($D82=1,IF(ABS(INDEX(Src_SYSHECF_nuclear!$D$5:$D$292,MATCH($C82,Src_SYSHECF_nuclear!$C$5:$C$292,0))*$E82*F82-Keys!$C$2)&gt;Keys!$C$6,1,0),0)</f>
        <v>0</v>
      </c>
    </row>
    <row r="83" spans="1:31" x14ac:dyDescent="0.45">
      <c r="A83" t="s">
        <v>15</v>
      </c>
      <c r="B83" t="s">
        <v>427</v>
      </c>
      <c r="C83" t="str">
        <f t="shared" si="1"/>
        <v>CO|Fall</v>
      </c>
      <c r="D83">
        <f>INDEX(Src_BHRaSYC_nuclear!$HF$5:$HF$52,MATCH($A83,Src_BHRaSYC_nuclear!$A$5:$A$52,0))</f>
        <v>0</v>
      </c>
      <c r="E83">
        <f>INDEX(Src_HYECFCA_nuclear!$B$5:$B$52,MATCH($A83,Src_HYECFCA_nuclear!$A$5:$A$52,0))</f>
        <v>1</v>
      </c>
      <c r="F83">
        <f>IF($D83=1,ROUND(Keys!$C$2/(INDEX(Src_SYSHECF_nuclear!$D$5:$D$292,MATCH($C83,Src_SYSHECF_nuclear!$C$5:$C$292,0))*$E83),Keys!$C$5),Keys!$C$4)</f>
        <v>0.9</v>
      </c>
      <c r="G83">
        <f>IF($D83=1,ROUND(Keys!$C$2/(INDEX(Src_SYSHECF_nuclear!$E$5:$E$292,MATCH($C83,Src_SYSHECF_nuclear!$C$5:$C$292,0))*$E83),Keys!$C$5),Keys!$C$4)</f>
        <v>0.9</v>
      </c>
      <c r="H83">
        <f>IF($D83=1,ROUND(Keys!$C$2/(INDEX(Src_SYSHECF_nuclear!$F$5:$F$292,MATCH($C83,Src_SYSHECF_nuclear!$C$5:$C$292,0))*$E83),Keys!$C$5),Keys!$C$4)</f>
        <v>0.9</v>
      </c>
      <c r="I83">
        <f>IF($D83=1,ROUND(Keys!$C$2/(INDEX(Src_SYSHECF_nuclear!$G$5:$G$292,MATCH($C83,Src_SYSHECF_nuclear!$C$5:$C$292,0))*$E83),Keys!$C$5),Keys!$C$4)</f>
        <v>0.9</v>
      </c>
      <c r="J83">
        <f>IF($D83=1,ROUND(Keys!$C$2/(INDEX(Src_SYSHECF_nuclear!$H$5:$H$292,MATCH($C83,Src_SYSHECF_nuclear!$C$5:$C$292,0))*$E83),Keys!$C$5),Keys!$C$4)</f>
        <v>0.9</v>
      </c>
      <c r="K83">
        <f>IF($D83=1,ROUND(Keys!$C$2/(INDEX(Src_SYSHECF_nuclear!$I$5:$I$292,MATCH($C83,Src_SYSHECF_nuclear!$C$5:$C$292,0))*$E83),Keys!$C$5),Keys!$C$4)</f>
        <v>0.9</v>
      </c>
      <c r="L83">
        <f>IF($D83=1,ROUND(Keys!$C$2/(INDEX(Src_SYSHECF_nuclear!$J$5:$J$292,MATCH($C83,Src_SYSHECF_nuclear!$C$5:$C$292,0))*$E83),Keys!$C$5),Keys!$C$4)</f>
        <v>0.9</v>
      </c>
      <c r="M83">
        <f>IF($D83=1,ROUND(Keys!$C$2/(INDEX(Src_SYSHECF_nuclear!$K$5:$K$292,MATCH($C83,Src_SYSHECF_nuclear!$C$5:$C$292,0))*$E83),Keys!$C$5),Keys!$C$4)</f>
        <v>0.9</v>
      </c>
      <c r="N83">
        <f>IF($D83=1,ROUND(Keys!$C$2/(INDEX(Src_SYSHECF_nuclear!$L$5:$L$292,MATCH($C83,Src_SYSHECF_nuclear!$C$5:$C$292,0))*$E83),Keys!$C$5),Keys!$C$4)</f>
        <v>0.9</v>
      </c>
      <c r="O83">
        <f>IF($D83=1,ROUND(Keys!$C$2/(INDEX(Src_SYSHECF_nuclear!$M$5:$M$292,MATCH($C83,Src_SYSHECF_nuclear!$C$5:$C$292,0))*$E83),Keys!$C$5),Keys!$C$4)</f>
        <v>0.9</v>
      </c>
      <c r="P83">
        <f>IF($D83=1,ROUND(Keys!$C$2/(INDEX(Src_SYSHECF_nuclear!$N$5:$N$292,MATCH($C83,Src_SYSHECF_nuclear!$C$5:$C$292,0))*$E83),Keys!$C$5),Keys!$C$4)</f>
        <v>0.9</v>
      </c>
      <c r="Q83">
        <f>IF($D83=1,ROUND(Keys!$C$2/(INDEX(Src_SYSHECF_nuclear!$O$5:$O$292,MATCH($C83,Src_SYSHECF_nuclear!$C$5:$C$292,0))*$E83),Keys!$C$5),Keys!$C$4)</f>
        <v>0.9</v>
      </c>
      <c r="R83">
        <f>IF($D83=1,ROUND(Keys!$C$2/(INDEX(Src_SYSHECF_nuclear!$P$5:$P$292,MATCH($C83,Src_SYSHECF_nuclear!$C$5:$C$292,0))*$E83),Keys!$C$5),Keys!$C$4)</f>
        <v>0.9</v>
      </c>
      <c r="S83">
        <f>IF($D83=1,ROUND(Keys!$C$2/(INDEX(Src_SYSHECF_nuclear!$Q$5:$Q$292,MATCH($C83,Src_SYSHECF_nuclear!$C$5:$C$292,0))*$E83),Keys!$C$5),Keys!$C$4)</f>
        <v>0.9</v>
      </c>
      <c r="T83">
        <f>IF($D83=1,ROUND(Keys!$C$2/(INDEX(Src_SYSHECF_nuclear!$R$5:$R$292,MATCH($C83,Src_SYSHECF_nuclear!$C$5:$C$292,0))*$E83),Keys!$C$5),Keys!$C$4)</f>
        <v>0.9</v>
      </c>
      <c r="U83">
        <f>IF($D83=1,ROUND(Keys!$C$2/(INDEX(Src_SYSHECF_nuclear!$S$5:$S$292,MATCH($C83,Src_SYSHECF_nuclear!$C$5:$C$292,0))*$E83),Keys!$C$5),Keys!$C$4)</f>
        <v>0.9</v>
      </c>
      <c r="V83">
        <f>IF($D83=1,ROUND(Keys!$C$2/(INDEX(Src_SYSHECF_nuclear!$T$5:$T$292,MATCH($C83,Src_SYSHECF_nuclear!$C$5:$C$292,0))*$E83),Keys!$C$5),Keys!$C$4)</f>
        <v>0.9</v>
      </c>
      <c r="W83">
        <f>IF($D83=1,ROUND(Keys!$C$2/(INDEX(Src_SYSHECF_nuclear!$U$5:$U$292,MATCH($C83,Src_SYSHECF_nuclear!$C$5:$C$292,0))*$E83),Keys!$C$5),Keys!$C$4)</f>
        <v>0.9</v>
      </c>
      <c r="X83">
        <f>IF($D83=1,ROUND(Keys!$C$2/(INDEX(Src_SYSHECF_nuclear!$V$5:$V$292,MATCH($C83,Src_SYSHECF_nuclear!$C$5:$C$292,0))*$E83),Keys!$C$5),Keys!$C$4)</f>
        <v>0.9</v>
      </c>
      <c r="Y83">
        <f>IF($D83=1,ROUND(Keys!$C$2/(INDEX(Src_SYSHECF_nuclear!$W$5:$W$292,MATCH($C83,Src_SYSHECF_nuclear!$C$5:$C$292,0))*$E83),Keys!$C$5),Keys!$C$4)</f>
        <v>0.9</v>
      </c>
      <c r="Z83">
        <f>IF($D83=1,ROUND(Keys!$C$2/(INDEX(Src_SYSHECF_nuclear!$X$5:$X$292,MATCH($C83,Src_SYSHECF_nuclear!$C$5:$C$292,0))*$E83),Keys!$C$5),Keys!$C$4)</f>
        <v>0.9</v>
      </c>
      <c r="AA83">
        <f>IF($D83=1,ROUND(Keys!$C$2/(INDEX(Src_SYSHECF_nuclear!$Y$5:$Y$292,MATCH($C83,Src_SYSHECF_nuclear!$C$5:$C$292,0))*$E83),Keys!$C$5),Keys!$C$4)</f>
        <v>0.9</v>
      </c>
      <c r="AB83">
        <f>IF($D83=1,ROUND(Keys!$C$2/(INDEX(Src_SYSHECF_nuclear!$Z$5:$Z$292,MATCH($C83,Src_SYSHECF_nuclear!$C$5:$C$292,0))*$E83),Keys!$C$5),Keys!$C$4)</f>
        <v>0.9</v>
      </c>
      <c r="AC83">
        <f>IF($D83=1,ROUND(Keys!$C$2/(INDEX(Src_SYSHECF_nuclear!$AA$5:$AA$292,MATCH($C83,Src_SYSHECF_nuclear!$C$5:$C$292,0))*$E83),Keys!$C$5),Keys!$C$4)</f>
        <v>0.9</v>
      </c>
      <c r="AE83">
        <f>IF($D83=1,IF(ABS(INDEX(Src_SYSHECF_nuclear!$D$5:$D$292,MATCH($C83,Src_SYSHECF_nuclear!$C$5:$C$292,0))*$E83*F83-Keys!$C$2)&gt;Keys!$C$6,1,0),0)</f>
        <v>0</v>
      </c>
    </row>
    <row r="84" spans="1:31" x14ac:dyDescent="0.45">
      <c r="A84" t="s">
        <v>15</v>
      </c>
      <c r="B84" t="s">
        <v>428</v>
      </c>
      <c r="C84" t="str">
        <f t="shared" si="1"/>
        <v>CO|Summer Peak</v>
      </c>
      <c r="D84">
        <f>INDEX(Src_BHRaSYC_nuclear!$HF$5:$HF$52,MATCH($A84,Src_BHRaSYC_nuclear!$A$5:$A$52,0))</f>
        <v>0</v>
      </c>
      <c r="E84">
        <f>INDEX(Src_HYECFCA_nuclear!$B$5:$B$52,MATCH($A84,Src_HYECFCA_nuclear!$A$5:$A$52,0))</f>
        <v>1</v>
      </c>
      <c r="F84">
        <f>IF($D84=1,ROUND(Keys!$C$2/(INDEX(Src_SYSHECF_nuclear!$D$5:$D$292,MATCH($C84,Src_SYSHECF_nuclear!$C$5:$C$292,0))*$E84),Keys!$C$5),Keys!$C$4)</f>
        <v>0.9</v>
      </c>
      <c r="G84">
        <f>IF($D84=1,ROUND(Keys!$C$2/(INDEX(Src_SYSHECF_nuclear!$E$5:$E$292,MATCH($C84,Src_SYSHECF_nuclear!$C$5:$C$292,0))*$E84),Keys!$C$5),Keys!$C$4)</f>
        <v>0.9</v>
      </c>
      <c r="H84">
        <f>IF($D84=1,ROUND(Keys!$C$2/(INDEX(Src_SYSHECF_nuclear!$F$5:$F$292,MATCH($C84,Src_SYSHECF_nuclear!$C$5:$C$292,0))*$E84),Keys!$C$5),Keys!$C$4)</f>
        <v>0.9</v>
      </c>
      <c r="I84">
        <f>IF($D84=1,ROUND(Keys!$C$2/(INDEX(Src_SYSHECF_nuclear!$G$5:$G$292,MATCH($C84,Src_SYSHECF_nuclear!$C$5:$C$292,0))*$E84),Keys!$C$5),Keys!$C$4)</f>
        <v>0.9</v>
      </c>
      <c r="J84">
        <f>IF($D84=1,ROUND(Keys!$C$2/(INDEX(Src_SYSHECF_nuclear!$H$5:$H$292,MATCH($C84,Src_SYSHECF_nuclear!$C$5:$C$292,0))*$E84),Keys!$C$5),Keys!$C$4)</f>
        <v>0.9</v>
      </c>
      <c r="K84">
        <f>IF($D84=1,ROUND(Keys!$C$2/(INDEX(Src_SYSHECF_nuclear!$I$5:$I$292,MATCH($C84,Src_SYSHECF_nuclear!$C$5:$C$292,0))*$E84),Keys!$C$5),Keys!$C$4)</f>
        <v>0.9</v>
      </c>
      <c r="L84">
        <f>IF($D84=1,ROUND(Keys!$C$2/(INDEX(Src_SYSHECF_nuclear!$J$5:$J$292,MATCH($C84,Src_SYSHECF_nuclear!$C$5:$C$292,0))*$E84),Keys!$C$5),Keys!$C$4)</f>
        <v>0.9</v>
      </c>
      <c r="M84">
        <f>IF($D84=1,ROUND(Keys!$C$2/(INDEX(Src_SYSHECF_nuclear!$K$5:$K$292,MATCH($C84,Src_SYSHECF_nuclear!$C$5:$C$292,0))*$E84),Keys!$C$5),Keys!$C$4)</f>
        <v>0.9</v>
      </c>
      <c r="N84">
        <f>IF($D84=1,ROUND(Keys!$C$2/(INDEX(Src_SYSHECF_nuclear!$L$5:$L$292,MATCH($C84,Src_SYSHECF_nuclear!$C$5:$C$292,0))*$E84),Keys!$C$5),Keys!$C$4)</f>
        <v>0.9</v>
      </c>
      <c r="O84">
        <f>IF($D84=1,ROUND(Keys!$C$2/(INDEX(Src_SYSHECF_nuclear!$M$5:$M$292,MATCH($C84,Src_SYSHECF_nuclear!$C$5:$C$292,0))*$E84),Keys!$C$5),Keys!$C$4)</f>
        <v>0.9</v>
      </c>
      <c r="P84">
        <f>IF($D84=1,ROUND(Keys!$C$2/(INDEX(Src_SYSHECF_nuclear!$N$5:$N$292,MATCH($C84,Src_SYSHECF_nuclear!$C$5:$C$292,0))*$E84),Keys!$C$5),Keys!$C$4)</f>
        <v>0.9</v>
      </c>
      <c r="Q84">
        <f>IF($D84=1,ROUND(Keys!$C$2/(INDEX(Src_SYSHECF_nuclear!$O$5:$O$292,MATCH($C84,Src_SYSHECF_nuclear!$C$5:$C$292,0))*$E84),Keys!$C$5),Keys!$C$4)</f>
        <v>0.9</v>
      </c>
      <c r="R84">
        <f>IF($D84=1,ROUND(Keys!$C$2/(INDEX(Src_SYSHECF_nuclear!$P$5:$P$292,MATCH($C84,Src_SYSHECF_nuclear!$C$5:$C$292,0))*$E84),Keys!$C$5),Keys!$C$4)</f>
        <v>0.9</v>
      </c>
      <c r="S84">
        <f>IF($D84=1,ROUND(Keys!$C$2/(INDEX(Src_SYSHECF_nuclear!$Q$5:$Q$292,MATCH($C84,Src_SYSHECF_nuclear!$C$5:$C$292,0))*$E84),Keys!$C$5),Keys!$C$4)</f>
        <v>0.9</v>
      </c>
      <c r="T84">
        <f>IF($D84=1,ROUND(Keys!$C$2/(INDEX(Src_SYSHECF_nuclear!$R$5:$R$292,MATCH($C84,Src_SYSHECF_nuclear!$C$5:$C$292,0))*$E84),Keys!$C$5),Keys!$C$4)</f>
        <v>0.9</v>
      </c>
      <c r="U84">
        <f>IF($D84=1,ROUND(Keys!$C$2/(INDEX(Src_SYSHECF_nuclear!$S$5:$S$292,MATCH($C84,Src_SYSHECF_nuclear!$C$5:$C$292,0))*$E84),Keys!$C$5),Keys!$C$4)</f>
        <v>0.9</v>
      </c>
      <c r="V84">
        <f>IF($D84=1,ROUND(Keys!$C$2/(INDEX(Src_SYSHECF_nuclear!$T$5:$T$292,MATCH($C84,Src_SYSHECF_nuclear!$C$5:$C$292,0))*$E84),Keys!$C$5),Keys!$C$4)</f>
        <v>0.9</v>
      </c>
      <c r="W84">
        <f>IF($D84=1,ROUND(Keys!$C$2/(INDEX(Src_SYSHECF_nuclear!$U$5:$U$292,MATCH($C84,Src_SYSHECF_nuclear!$C$5:$C$292,0))*$E84),Keys!$C$5),Keys!$C$4)</f>
        <v>0.9</v>
      </c>
      <c r="X84">
        <f>IF($D84=1,ROUND(Keys!$C$2/(INDEX(Src_SYSHECF_nuclear!$V$5:$V$292,MATCH($C84,Src_SYSHECF_nuclear!$C$5:$C$292,0))*$E84),Keys!$C$5),Keys!$C$4)</f>
        <v>0.9</v>
      </c>
      <c r="Y84">
        <f>IF($D84=1,ROUND(Keys!$C$2/(INDEX(Src_SYSHECF_nuclear!$W$5:$W$292,MATCH($C84,Src_SYSHECF_nuclear!$C$5:$C$292,0))*$E84),Keys!$C$5),Keys!$C$4)</f>
        <v>0.9</v>
      </c>
      <c r="Z84">
        <f>IF($D84=1,ROUND(Keys!$C$2/(INDEX(Src_SYSHECF_nuclear!$X$5:$X$292,MATCH($C84,Src_SYSHECF_nuclear!$C$5:$C$292,0))*$E84),Keys!$C$5),Keys!$C$4)</f>
        <v>0.9</v>
      </c>
      <c r="AA84">
        <f>IF($D84=1,ROUND(Keys!$C$2/(INDEX(Src_SYSHECF_nuclear!$Y$5:$Y$292,MATCH($C84,Src_SYSHECF_nuclear!$C$5:$C$292,0))*$E84),Keys!$C$5),Keys!$C$4)</f>
        <v>0.9</v>
      </c>
      <c r="AB84">
        <f>IF($D84=1,ROUND(Keys!$C$2/(INDEX(Src_SYSHECF_nuclear!$Z$5:$Z$292,MATCH($C84,Src_SYSHECF_nuclear!$C$5:$C$292,0))*$E84),Keys!$C$5),Keys!$C$4)</f>
        <v>0.9</v>
      </c>
      <c r="AC84">
        <f>IF($D84=1,ROUND(Keys!$C$2/(INDEX(Src_SYSHECF_nuclear!$AA$5:$AA$292,MATCH($C84,Src_SYSHECF_nuclear!$C$5:$C$292,0))*$E84),Keys!$C$5),Keys!$C$4)</f>
        <v>0.9</v>
      </c>
      <c r="AE84">
        <f>IF($D84=1,IF(ABS(INDEX(Src_SYSHECF_nuclear!$D$5:$D$292,MATCH($C84,Src_SYSHECF_nuclear!$C$5:$C$292,0))*$E84*F84-Keys!$C$2)&gt;Keys!$C$6,1,0),0)</f>
        <v>0</v>
      </c>
    </row>
    <row r="85" spans="1:31" x14ac:dyDescent="0.45">
      <c r="A85" t="s">
        <v>15</v>
      </c>
      <c r="B85" t="s">
        <v>429</v>
      </c>
      <c r="C85" t="str">
        <f t="shared" si="1"/>
        <v>CO|Winter Peak</v>
      </c>
      <c r="D85">
        <f>INDEX(Src_BHRaSYC_nuclear!$HF$5:$HF$52,MATCH($A85,Src_BHRaSYC_nuclear!$A$5:$A$52,0))</f>
        <v>0</v>
      </c>
      <c r="E85">
        <f>INDEX(Src_HYECFCA_nuclear!$B$5:$B$52,MATCH($A85,Src_HYECFCA_nuclear!$A$5:$A$52,0))</f>
        <v>1</v>
      </c>
      <c r="F85">
        <f>IF($D85=1,ROUND(Keys!$C$2/(INDEX(Src_SYSHECF_nuclear!$D$5:$D$292,MATCH($C85,Src_SYSHECF_nuclear!$C$5:$C$292,0))*$E85),Keys!$C$5),Keys!$C$4)</f>
        <v>0.9</v>
      </c>
      <c r="G85">
        <f>IF($D85=1,ROUND(Keys!$C$2/(INDEX(Src_SYSHECF_nuclear!$E$5:$E$292,MATCH($C85,Src_SYSHECF_nuclear!$C$5:$C$292,0))*$E85),Keys!$C$5),Keys!$C$4)</f>
        <v>0.9</v>
      </c>
      <c r="H85">
        <f>IF($D85=1,ROUND(Keys!$C$2/(INDEX(Src_SYSHECF_nuclear!$F$5:$F$292,MATCH($C85,Src_SYSHECF_nuclear!$C$5:$C$292,0))*$E85),Keys!$C$5),Keys!$C$4)</f>
        <v>0.9</v>
      </c>
      <c r="I85">
        <f>IF($D85=1,ROUND(Keys!$C$2/(INDEX(Src_SYSHECF_nuclear!$G$5:$G$292,MATCH($C85,Src_SYSHECF_nuclear!$C$5:$C$292,0))*$E85),Keys!$C$5),Keys!$C$4)</f>
        <v>0.9</v>
      </c>
      <c r="J85">
        <f>IF($D85=1,ROUND(Keys!$C$2/(INDEX(Src_SYSHECF_nuclear!$H$5:$H$292,MATCH($C85,Src_SYSHECF_nuclear!$C$5:$C$292,0))*$E85),Keys!$C$5),Keys!$C$4)</f>
        <v>0.9</v>
      </c>
      <c r="K85">
        <f>IF($D85=1,ROUND(Keys!$C$2/(INDEX(Src_SYSHECF_nuclear!$I$5:$I$292,MATCH($C85,Src_SYSHECF_nuclear!$C$5:$C$292,0))*$E85),Keys!$C$5),Keys!$C$4)</f>
        <v>0.9</v>
      </c>
      <c r="L85">
        <f>IF($D85=1,ROUND(Keys!$C$2/(INDEX(Src_SYSHECF_nuclear!$J$5:$J$292,MATCH($C85,Src_SYSHECF_nuclear!$C$5:$C$292,0))*$E85),Keys!$C$5),Keys!$C$4)</f>
        <v>0.9</v>
      </c>
      <c r="M85">
        <f>IF($D85=1,ROUND(Keys!$C$2/(INDEX(Src_SYSHECF_nuclear!$K$5:$K$292,MATCH($C85,Src_SYSHECF_nuclear!$C$5:$C$292,0))*$E85),Keys!$C$5),Keys!$C$4)</f>
        <v>0.9</v>
      </c>
      <c r="N85">
        <f>IF($D85=1,ROUND(Keys!$C$2/(INDEX(Src_SYSHECF_nuclear!$L$5:$L$292,MATCH($C85,Src_SYSHECF_nuclear!$C$5:$C$292,0))*$E85),Keys!$C$5),Keys!$C$4)</f>
        <v>0.9</v>
      </c>
      <c r="O85">
        <f>IF($D85=1,ROUND(Keys!$C$2/(INDEX(Src_SYSHECF_nuclear!$M$5:$M$292,MATCH($C85,Src_SYSHECF_nuclear!$C$5:$C$292,0))*$E85),Keys!$C$5),Keys!$C$4)</f>
        <v>0.9</v>
      </c>
      <c r="P85">
        <f>IF($D85=1,ROUND(Keys!$C$2/(INDEX(Src_SYSHECF_nuclear!$N$5:$N$292,MATCH($C85,Src_SYSHECF_nuclear!$C$5:$C$292,0))*$E85),Keys!$C$5),Keys!$C$4)</f>
        <v>0.9</v>
      </c>
      <c r="Q85">
        <f>IF($D85=1,ROUND(Keys!$C$2/(INDEX(Src_SYSHECF_nuclear!$O$5:$O$292,MATCH($C85,Src_SYSHECF_nuclear!$C$5:$C$292,0))*$E85),Keys!$C$5),Keys!$C$4)</f>
        <v>0.9</v>
      </c>
      <c r="R85">
        <f>IF($D85=1,ROUND(Keys!$C$2/(INDEX(Src_SYSHECF_nuclear!$P$5:$P$292,MATCH($C85,Src_SYSHECF_nuclear!$C$5:$C$292,0))*$E85),Keys!$C$5),Keys!$C$4)</f>
        <v>0.9</v>
      </c>
      <c r="S85">
        <f>IF($D85=1,ROUND(Keys!$C$2/(INDEX(Src_SYSHECF_nuclear!$Q$5:$Q$292,MATCH($C85,Src_SYSHECF_nuclear!$C$5:$C$292,0))*$E85),Keys!$C$5),Keys!$C$4)</f>
        <v>0.9</v>
      </c>
      <c r="T85">
        <f>IF($D85=1,ROUND(Keys!$C$2/(INDEX(Src_SYSHECF_nuclear!$R$5:$R$292,MATCH($C85,Src_SYSHECF_nuclear!$C$5:$C$292,0))*$E85),Keys!$C$5),Keys!$C$4)</f>
        <v>0.9</v>
      </c>
      <c r="U85">
        <f>IF($D85=1,ROUND(Keys!$C$2/(INDEX(Src_SYSHECF_nuclear!$S$5:$S$292,MATCH($C85,Src_SYSHECF_nuclear!$C$5:$C$292,0))*$E85),Keys!$C$5),Keys!$C$4)</f>
        <v>0.9</v>
      </c>
      <c r="V85">
        <f>IF($D85=1,ROUND(Keys!$C$2/(INDEX(Src_SYSHECF_nuclear!$T$5:$T$292,MATCH($C85,Src_SYSHECF_nuclear!$C$5:$C$292,0))*$E85),Keys!$C$5),Keys!$C$4)</f>
        <v>0.9</v>
      </c>
      <c r="W85">
        <f>IF($D85=1,ROUND(Keys!$C$2/(INDEX(Src_SYSHECF_nuclear!$U$5:$U$292,MATCH($C85,Src_SYSHECF_nuclear!$C$5:$C$292,0))*$E85),Keys!$C$5),Keys!$C$4)</f>
        <v>0.9</v>
      </c>
      <c r="X85">
        <f>IF($D85=1,ROUND(Keys!$C$2/(INDEX(Src_SYSHECF_nuclear!$V$5:$V$292,MATCH($C85,Src_SYSHECF_nuclear!$C$5:$C$292,0))*$E85),Keys!$C$5),Keys!$C$4)</f>
        <v>0.9</v>
      </c>
      <c r="Y85">
        <f>IF($D85=1,ROUND(Keys!$C$2/(INDEX(Src_SYSHECF_nuclear!$W$5:$W$292,MATCH($C85,Src_SYSHECF_nuclear!$C$5:$C$292,0))*$E85),Keys!$C$5),Keys!$C$4)</f>
        <v>0.9</v>
      </c>
      <c r="Z85">
        <f>IF($D85=1,ROUND(Keys!$C$2/(INDEX(Src_SYSHECF_nuclear!$X$5:$X$292,MATCH($C85,Src_SYSHECF_nuclear!$C$5:$C$292,0))*$E85),Keys!$C$5),Keys!$C$4)</f>
        <v>0.9</v>
      </c>
      <c r="AA85">
        <f>IF($D85=1,ROUND(Keys!$C$2/(INDEX(Src_SYSHECF_nuclear!$Y$5:$Y$292,MATCH($C85,Src_SYSHECF_nuclear!$C$5:$C$292,0))*$E85),Keys!$C$5),Keys!$C$4)</f>
        <v>0.9</v>
      </c>
      <c r="AB85">
        <f>IF($D85=1,ROUND(Keys!$C$2/(INDEX(Src_SYSHECF_nuclear!$Z$5:$Z$292,MATCH($C85,Src_SYSHECF_nuclear!$C$5:$C$292,0))*$E85),Keys!$C$5),Keys!$C$4)</f>
        <v>0.9</v>
      </c>
      <c r="AC85">
        <f>IF($D85=1,ROUND(Keys!$C$2/(INDEX(Src_SYSHECF_nuclear!$AA$5:$AA$292,MATCH($C85,Src_SYSHECF_nuclear!$C$5:$C$292,0))*$E85),Keys!$C$5),Keys!$C$4)</f>
        <v>0.9</v>
      </c>
      <c r="AE85">
        <f>IF($D85=1,IF(ABS(INDEX(Src_SYSHECF_nuclear!$D$5:$D$292,MATCH($C85,Src_SYSHECF_nuclear!$C$5:$C$292,0))*$E85*F85-Keys!$C$2)&gt;Keys!$C$6,1,0),0)</f>
        <v>0</v>
      </c>
    </row>
    <row r="86" spans="1:31" x14ac:dyDescent="0.45">
      <c r="A86" t="s">
        <v>17</v>
      </c>
      <c r="B86" t="s">
        <v>424</v>
      </c>
      <c r="C86" t="str">
        <f t="shared" si="1"/>
        <v>CT|Winter</v>
      </c>
      <c r="D86">
        <f>INDEX(Src_BHRaSYC_nuclear!$HF$5:$HF$52,MATCH($A86,Src_BHRaSYC_nuclear!$A$5:$A$52,0))</f>
        <v>1</v>
      </c>
      <c r="E86">
        <f>INDEX(Src_HYECFCA_nuclear!$B$5:$B$52,MATCH($A86,Src_HYECFCA_nuclear!$A$5:$A$52,0))</f>
        <v>0.99424100000000004</v>
      </c>
      <c r="F86">
        <f>IF($D86=1,ROUND(Keys!$C$2/(INDEX(Src_SYSHECF_nuclear!$D$5:$D$292,MATCH($C86,Src_SYSHECF_nuclear!$C$5:$C$292,0))*$E86),Keys!$C$5),Keys!$C$4)</f>
        <v>1.0772999999999999</v>
      </c>
      <c r="G86">
        <f>IF($D86=1,ROUND(Keys!$C$2/(INDEX(Src_SYSHECF_nuclear!$E$5:$E$292,MATCH($C86,Src_SYSHECF_nuclear!$C$5:$C$292,0))*$E86),Keys!$C$5),Keys!$C$4)</f>
        <v>1.0772999999999999</v>
      </c>
      <c r="H86">
        <f>IF($D86=1,ROUND(Keys!$C$2/(INDEX(Src_SYSHECF_nuclear!$F$5:$F$292,MATCH($C86,Src_SYSHECF_nuclear!$C$5:$C$292,0))*$E86),Keys!$C$5),Keys!$C$4)</f>
        <v>1.0772999999999999</v>
      </c>
      <c r="I86">
        <f>IF($D86=1,ROUND(Keys!$C$2/(INDEX(Src_SYSHECF_nuclear!$G$5:$G$292,MATCH($C86,Src_SYSHECF_nuclear!$C$5:$C$292,0))*$E86),Keys!$C$5),Keys!$C$4)</f>
        <v>1.0772999999999999</v>
      </c>
      <c r="J86">
        <f>IF($D86=1,ROUND(Keys!$C$2/(INDEX(Src_SYSHECF_nuclear!$H$5:$H$292,MATCH($C86,Src_SYSHECF_nuclear!$C$5:$C$292,0))*$E86),Keys!$C$5),Keys!$C$4)</f>
        <v>1.0772999999999999</v>
      </c>
      <c r="K86">
        <f>IF($D86=1,ROUND(Keys!$C$2/(INDEX(Src_SYSHECF_nuclear!$I$5:$I$292,MATCH($C86,Src_SYSHECF_nuclear!$C$5:$C$292,0))*$E86),Keys!$C$5),Keys!$C$4)</f>
        <v>1.0772999999999999</v>
      </c>
      <c r="L86">
        <f>IF($D86=1,ROUND(Keys!$C$2/(INDEX(Src_SYSHECF_nuclear!$J$5:$J$292,MATCH($C86,Src_SYSHECF_nuclear!$C$5:$C$292,0))*$E86),Keys!$C$5),Keys!$C$4)</f>
        <v>1.0772999999999999</v>
      </c>
      <c r="M86">
        <f>IF($D86=1,ROUND(Keys!$C$2/(INDEX(Src_SYSHECF_nuclear!$K$5:$K$292,MATCH($C86,Src_SYSHECF_nuclear!$C$5:$C$292,0))*$E86),Keys!$C$5),Keys!$C$4)</f>
        <v>1.0772999999999999</v>
      </c>
      <c r="N86">
        <f>IF($D86=1,ROUND(Keys!$C$2/(INDEX(Src_SYSHECF_nuclear!$L$5:$L$292,MATCH($C86,Src_SYSHECF_nuclear!$C$5:$C$292,0))*$E86),Keys!$C$5),Keys!$C$4)</f>
        <v>1.0772999999999999</v>
      </c>
      <c r="O86">
        <f>IF($D86=1,ROUND(Keys!$C$2/(INDEX(Src_SYSHECF_nuclear!$M$5:$M$292,MATCH($C86,Src_SYSHECF_nuclear!$C$5:$C$292,0))*$E86),Keys!$C$5),Keys!$C$4)</f>
        <v>1.0772999999999999</v>
      </c>
      <c r="P86">
        <f>IF($D86=1,ROUND(Keys!$C$2/(INDEX(Src_SYSHECF_nuclear!$N$5:$N$292,MATCH($C86,Src_SYSHECF_nuclear!$C$5:$C$292,0))*$E86),Keys!$C$5),Keys!$C$4)</f>
        <v>1.0772999999999999</v>
      </c>
      <c r="Q86">
        <f>IF($D86=1,ROUND(Keys!$C$2/(INDEX(Src_SYSHECF_nuclear!$O$5:$O$292,MATCH($C86,Src_SYSHECF_nuclear!$C$5:$C$292,0))*$E86),Keys!$C$5),Keys!$C$4)</f>
        <v>1.0772999999999999</v>
      </c>
      <c r="R86">
        <f>IF($D86=1,ROUND(Keys!$C$2/(INDEX(Src_SYSHECF_nuclear!$P$5:$P$292,MATCH($C86,Src_SYSHECF_nuclear!$C$5:$C$292,0))*$E86),Keys!$C$5),Keys!$C$4)</f>
        <v>1.0772999999999999</v>
      </c>
      <c r="S86">
        <f>IF($D86=1,ROUND(Keys!$C$2/(INDEX(Src_SYSHECF_nuclear!$Q$5:$Q$292,MATCH($C86,Src_SYSHECF_nuclear!$C$5:$C$292,0))*$E86),Keys!$C$5),Keys!$C$4)</f>
        <v>1.0772999999999999</v>
      </c>
      <c r="T86">
        <f>IF($D86=1,ROUND(Keys!$C$2/(INDEX(Src_SYSHECF_nuclear!$R$5:$R$292,MATCH($C86,Src_SYSHECF_nuclear!$C$5:$C$292,0))*$E86),Keys!$C$5),Keys!$C$4)</f>
        <v>1.0772999999999999</v>
      </c>
      <c r="U86">
        <f>IF($D86=1,ROUND(Keys!$C$2/(INDEX(Src_SYSHECF_nuclear!$S$5:$S$292,MATCH($C86,Src_SYSHECF_nuclear!$C$5:$C$292,0))*$E86),Keys!$C$5),Keys!$C$4)</f>
        <v>1.0772999999999999</v>
      </c>
      <c r="V86">
        <f>IF($D86=1,ROUND(Keys!$C$2/(INDEX(Src_SYSHECF_nuclear!$T$5:$T$292,MATCH($C86,Src_SYSHECF_nuclear!$C$5:$C$292,0))*$E86),Keys!$C$5),Keys!$C$4)</f>
        <v>1.0772999999999999</v>
      </c>
      <c r="W86">
        <f>IF($D86=1,ROUND(Keys!$C$2/(INDEX(Src_SYSHECF_nuclear!$U$5:$U$292,MATCH($C86,Src_SYSHECF_nuclear!$C$5:$C$292,0))*$E86),Keys!$C$5),Keys!$C$4)</f>
        <v>1.0772999999999999</v>
      </c>
      <c r="X86">
        <f>IF($D86=1,ROUND(Keys!$C$2/(INDEX(Src_SYSHECF_nuclear!$V$5:$V$292,MATCH($C86,Src_SYSHECF_nuclear!$C$5:$C$292,0))*$E86),Keys!$C$5),Keys!$C$4)</f>
        <v>1.0772999999999999</v>
      </c>
      <c r="Y86">
        <f>IF($D86=1,ROUND(Keys!$C$2/(INDEX(Src_SYSHECF_nuclear!$W$5:$W$292,MATCH($C86,Src_SYSHECF_nuclear!$C$5:$C$292,0))*$E86),Keys!$C$5),Keys!$C$4)</f>
        <v>1.0772999999999999</v>
      </c>
      <c r="Z86">
        <f>IF($D86=1,ROUND(Keys!$C$2/(INDEX(Src_SYSHECF_nuclear!$X$5:$X$292,MATCH($C86,Src_SYSHECF_nuclear!$C$5:$C$292,0))*$E86),Keys!$C$5),Keys!$C$4)</f>
        <v>1.0772999999999999</v>
      </c>
      <c r="AA86">
        <f>IF($D86=1,ROUND(Keys!$C$2/(INDEX(Src_SYSHECF_nuclear!$Y$5:$Y$292,MATCH($C86,Src_SYSHECF_nuclear!$C$5:$C$292,0))*$E86),Keys!$C$5),Keys!$C$4)</f>
        <v>1.0772999999999999</v>
      </c>
      <c r="AB86">
        <f>IF($D86=1,ROUND(Keys!$C$2/(INDEX(Src_SYSHECF_nuclear!$Z$5:$Z$292,MATCH($C86,Src_SYSHECF_nuclear!$C$5:$C$292,0))*$E86),Keys!$C$5),Keys!$C$4)</f>
        <v>1.0772999999999999</v>
      </c>
      <c r="AC86">
        <f>IF($D86=1,ROUND(Keys!$C$2/(INDEX(Src_SYSHECF_nuclear!$AA$5:$AA$292,MATCH($C86,Src_SYSHECF_nuclear!$C$5:$C$292,0))*$E86),Keys!$C$5),Keys!$C$4)</f>
        <v>1.0772999999999999</v>
      </c>
      <c r="AE86">
        <f>IF($D86=1,IF(ABS(INDEX(Src_SYSHECF_nuclear!$D$5:$D$292,MATCH($C86,Src_SYSHECF_nuclear!$C$5:$C$292,0))*$E86*F86-Keys!$C$2)&gt;Keys!$C$6,1,0),0)</f>
        <v>0</v>
      </c>
    </row>
    <row r="87" spans="1:31" x14ac:dyDescent="0.45">
      <c r="A87" t="s">
        <v>17</v>
      </c>
      <c r="B87" t="s">
        <v>425</v>
      </c>
      <c r="C87" t="str">
        <f t="shared" si="1"/>
        <v>CT|Spring</v>
      </c>
      <c r="D87">
        <f>INDEX(Src_BHRaSYC_nuclear!$HF$5:$HF$52,MATCH($A87,Src_BHRaSYC_nuclear!$A$5:$A$52,0))</f>
        <v>1</v>
      </c>
      <c r="E87">
        <f>INDEX(Src_HYECFCA_nuclear!$B$5:$B$52,MATCH($A87,Src_HYECFCA_nuclear!$A$5:$A$52,0))</f>
        <v>0.99424100000000004</v>
      </c>
      <c r="F87">
        <f>IF($D87=1,ROUND(Keys!$C$2/(INDEX(Src_SYSHECF_nuclear!$D$5:$D$292,MATCH($C87,Src_SYSHECF_nuclear!$C$5:$C$292,0))*$E87),Keys!$C$5),Keys!$C$4)</f>
        <v>1.0824</v>
      </c>
      <c r="G87">
        <f>IF($D87=1,ROUND(Keys!$C$2/(INDEX(Src_SYSHECF_nuclear!$E$5:$E$292,MATCH($C87,Src_SYSHECF_nuclear!$C$5:$C$292,0))*$E87),Keys!$C$5),Keys!$C$4)</f>
        <v>1.0772999999999999</v>
      </c>
      <c r="H87">
        <f>IF($D87=1,ROUND(Keys!$C$2/(INDEX(Src_SYSHECF_nuclear!$F$5:$F$292,MATCH($C87,Src_SYSHECF_nuclear!$C$5:$C$292,0))*$E87),Keys!$C$5),Keys!$C$4)</f>
        <v>1.0772999999999999</v>
      </c>
      <c r="I87">
        <f>IF($D87=1,ROUND(Keys!$C$2/(INDEX(Src_SYSHECF_nuclear!$G$5:$G$292,MATCH($C87,Src_SYSHECF_nuclear!$C$5:$C$292,0))*$E87),Keys!$C$5),Keys!$C$4)</f>
        <v>1.0772999999999999</v>
      </c>
      <c r="J87">
        <f>IF($D87=1,ROUND(Keys!$C$2/(INDEX(Src_SYSHECF_nuclear!$H$5:$H$292,MATCH($C87,Src_SYSHECF_nuclear!$C$5:$C$292,0))*$E87),Keys!$C$5),Keys!$C$4)</f>
        <v>1.0772999999999999</v>
      </c>
      <c r="K87">
        <f>IF($D87=1,ROUND(Keys!$C$2/(INDEX(Src_SYSHECF_nuclear!$I$5:$I$292,MATCH($C87,Src_SYSHECF_nuclear!$C$5:$C$292,0))*$E87),Keys!$C$5),Keys!$C$4)</f>
        <v>1.0772999999999999</v>
      </c>
      <c r="L87">
        <f>IF($D87=1,ROUND(Keys!$C$2/(INDEX(Src_SYSHECF_nuclear!$J$5:$J$292,MATCH($C87,Src_SYSHECF_nuclear!$C$5:$C$292,0))*$E87),Keys!$C$5),Keys!$C$4)</f>
        <v>1.0772999999999999</v>
      </c>
      <c r="M87">
        <f>IF($D87=1,ROUND(Keys!$C$2/(INDEX(Src_SYSHECF_nuclear!$K$5:$K$292,MATCH($C87,Src_SYSHECF_nuclear!$C$5:$C$292,0))*$E87),Keys!$C$5),Keys!$C$4)</f>
        <v>1.0772999999999999</v>
      </c>
      <c r="N87">
        <f>IF($D87=1,ROUND(Keys!$C$2/(INDEX(Src_SYSHECF_nuclear!$L$5:$L$292,MATCH($C87,Src_SYSHECF_nuclear!$C$5:$C$292,0))*$E87),Keys!$C$5),Keys!$C$4)</f>
        <v>1.0772999999999999</v>
      </c>
      <c r="O87">
        <f>IF($D87=1,ROUND(Keys!$C$2/(INDEX(Src_SYSHECF_nuclear!$M$5:$M$292,MATCH($C87,Src_SYSHECF_nuclear!$C$5:$C$292,0))*$E87),Keys!$C$5),Keys!$C$4)</f>
        <v>1.0772999999999999</v>
      </c>
      <c r="P87">
        <f>IF($D87=1,ROUND(Keys!$C$2/(INDEX(Src_SYSHECF_nuclear!$N$5:$N$292,MATCH($C87,Src_SYSHECF_nuclear!$C$5:$C$292,0))*$E87),Keys!$C$5),Keys!$C$4)</f>
        <v>1.0772999999999999</v>
      </c>
      <c r="Q87">
        <f>IF($D87=1,ROUND(Keys!$C$2/(INDEX(Src_SYSHECF_nuclear!$O$5:$O$292,MATCH($C87,Src_SYSHECF_nuclear!$C$5:$C$292,0))*$E87),Keys!$C$5),Keys!$C$4)</f>
        <v>1.0772999999999999</v>
      </c>
      <c r="R87">
        <f>IF($D87=1,ROUND(Keys!$C$2/(INDEX(Src_SYSHECF_nuclear!$P$5:$P$292,MATCH($C87,Src_SYSHECF_nuclear!$C$5:$C$292,0))*$E87),Keys!$C$5),Keys!$C$4)</f>
        <v>1.0772999999999999</v>
      </c>
      <c r="S87">
        <f>IF($D87=1,ROUND(Keys!$C$2/(INDEX(Src_SYSHECF_nuclear!$Q$5:$Q$292,MATCH($C87,Src_SYSHECF_nuclear!$C$5:$C$292,0))*$E87),Keys!$C$5),Keys!$C$4)</f>
        <v>1.0772999999999999</v>
      </c>
      <c r="T87">
        <f>IF($D87=1,ROUND(Keys!$C$2/(INDEX(Src_SYSHECF_nuclear!$R$5:$R$292,MATCH($C87,Src_SYSHECF_nuclear!$C$5:$C$292,0))*$E87),Keys!$C$5),Keys!$C$4)</f>
        <v>1.0772999999999999</v>
      </c>
      <c r="U87">
        <f>IF($D87=1,ROUND(Keys!$C$2/(INDEX(Src_SYSHECF_nuclear!$S$5:$S$292,MATCH($C87,Src_SYSHECF_nuclear!$C$5:$C$292,0))*$E87),Keys!$C$5),Keys!$C$4)</f>
        <v>1.0772999999999999</v>
      </c>
      <c r="V87">
        <f>IF($D87=1,ROUND(Keys!$C$2/(INDEX(Src_SYSHECF_nuclear!$T$5:$T$292,MATCH($C87,Src_SYSHECF_nuclear!$C$5:$C$292,0))*$E87),Keys!$C$5),Keys!$C$4)</f>
        <v>1.0772999999999999</v>
      </c>
      <c r="W87">
        <f>IF($D87=1,ROUND(Keys!$C$2/(INDEX(Src_SYSHECF_nuclear!$U$5:$U$292,MATCH($C87,Src_SYSHECF_nuclear!$C$5:$C$292,0))*$E87),Keys!$C$5),Keys!$C$4)</f>
        <v>1.0772999999999999</v>
      </c>
      <c r="X87">
        <f>IF($D87=1,ROUND(Keys!$C$2/(INDEX(Src_SYSHECF_nuclear!$V$5:$V$292,MATCH($C87,Src_SYSHECF_nuclear!$C$5:$C$292,0))*$E87),Keys!$C$5),Keys!$C$4)</f>
        <v>1.0772999999999999</v>
      </c>
      <c r="Y87">
        <f>IF($D87=1,ROUND(Keys!$C$2/(INDEX(Src_SYSHECF_nuclear!$W$5:$W$292,MATCH($C87,Src_SYSHECF_nuclear!$C$5:$C$292,0))*$E87),Keys!$C$5),Keys!$C$4)</f>
        <v>1.0772999999999999</v>
      </c>
      <c r="Z87">
        <f>IF($D87=1,ROUND(Keys!$C$2/(INDEX(Src_SYSHECF_nuclear!$X$5:$X$292,MATCH($C87,Src_SYSHECF_nuclear!$C$5:$C$292,0))*$E87),Keys!$C$5),Keys!$C$4)</f>
        <v>1.0772999999999999</v>
      </c>
      <c r="AA87">
        <f>IF($D87=1,ROUND(Keys!$C$2/(INDEX(Src_SYSHECF_nuclear!$Y$5:$Y$292,MATCH($C87,Src_SYSHECF_nuclear!$C$5:$C$292,0))*$E87),Keys!$C$5),Keys!$C$4)</f>
        <v>1.0772999999999999</v>
      </c>
      <c r="AB87">
        <f>IF($D87=1,ROUND(Keys!$C$2/(INDEX(Src_SYSHECF_nuclear!$Z$5:$Z$292,MATCH($C87,Src_SYSHECF_nuclear!$C$5:$C$292,0))*$E87),Keys!$C$5),Keys!$C$4)</f>
        <v>1.0772999999999999</v>
      </c>
      <c r="AC87">
        <f>IF($D87=1,ROUND(Keys!$C$2/(INDEX(Src_SYSHECF_nuclear!$AA$5:$AA$292,MATCH($C87,Src_SYSHECF_nuclear!$C$5:$C$292,0))*$E87),Keys!$C$5),Keys!$C$4)</f>
        <v>1.0772999999999999</v>
      </c>
      <c r="AE87">
        <f>IF($D87=1,IF(ABS(INDEX(Src_SYSHECF_nuclear!$D$5:$D$292,MATCH($C87,Src_SYSHECF_nuclear!$C$5:$C$292,0))*$E87*F87-Keys!$C$2)&gt;Keys!$C$6,1,0),0)</f>
        <v>0</v>
      </c>
    </row>
    <row r="88" spans="1:31" x14ac:dyDescent="0.45">
      <c r="A88" t="s">
        <v>17</v>
      </c>
      <c r="B88" t="s">
        <v>426</v>
      </c>
      <c r="C88" t="str">
        <f t="shared" si="1"/>
        <v>CT|Summer</v>
      </c>
      <c r="D88">
        <f>INDEX(Src_BHRaSYC_nuclear!$HF$5:$HF$52,MATCH($A88,Src_BHRaSYC_nuclear!$A$5:$A$52,0))</f>
        <v>1</v>
      </c>
      <c r="E88">
        <f>INDEX(Src_HYECFCA_nuclear!$B$5:$B$52,MATCH($A88,Src_HYECFCA_nuclear!$A$5:$A$52,0))</f>
        <v>0.99424100000000004</v>
      </c>
      <c r="F88">
        <f>IF($D88=1,ROUND(Keys!$C$2/(INDEX(Src_SYSHECF_nuclear!$D$5:$D$292,MATCH($C88,Src_SYSHECF_nuclear!$C$5:$C$292,0))*$E88),Keys!$C$5),Keys!$C$4)</f>
        <v>1.0772999999999999</v>
      </c>
      <c r="G88">
        <f>IF($D88=1,ROUND(Keys!$C$2/(INDEX(Src_SYSHECF_nuclear!$E$5:$E$292,MATCH($C88,Src_SYSHECF_nuclear!$C$5:$C$292,0))*$E88),Keys!$C$5),Keys!$C$4)</f>
        <v>1.0772999999999999</v>
      </c>
      <c r="H88">
        <f>IF($D88=1,ROUND(Keys!$C$2/(INDEX(Src_SYSHECF_nuclear!$F$5:$F$292,MATCH($C88,Src_SYSHECF_nuclear!$C$5:$C$292,0))*$E88),Keys!$C$5),Keys!$C$4)</f>
        <v>1.0772999999999999</v>
      </c>
      <c r="I88">
        <f>IF($D88=1,ROUND(Keys!$C$2/(INDEX(Src_SYSHECF_nuclear!$G$5:$G$292,MATCH($C88,Src_SYSHECF_nuclear!$C$5:$C$292,0))*$E88),Keys!$C$5),Keys!$C$4)</f>
        <v>1.0772999999999999</v>
      </c>
      <c r="J88">
        <f>IF($D88=1,ROUND(Keys!$C$2/(INDEX(Src_SYSHECF_nuclear!$H$5:$H$292,MATCH($C88,Src_SYSHECF_nuclear!$C$5:$C$292,0))*$E88),Keys!$C$5),Keys!$C$4)</f>
        <v>1.0772999999999999</v>
      </c>
      <c r="K88">
        <f>IF($D88=1,ROUND(Keys!$C$2/(INDEX(Src_SYSHECF_nuclear!$I$5:$I$292,MATCH($C88,Src_SYSHECF_nuclear!$C$5:$C$292,0))*$E88),Keys!$C$5),Keys!$C$4)</f>
        <v>1.0772999999999999</v>
      </c>
      <c r="L88">
        <f>IF($D88=1,ROUND(Keys!$C$2/(INDEX(Src_SYSHECF_nuclear!$J$5:$J$292,MATCH($C88,Src_SYSHECF_nuclear!$C$5:$C$292,0))*$E88),Keys!$C$5),Keys!$C$4)</f>
        <v>1.0943000000000001</v>
      </c>
      <c r="M88">
        <f>IF($D88=1,ROUND(Keys!$C$2/(INDEX(Src_SYSHECF_nuclear!$K$5:$K$292,MATCH($C88,Src_SYSHECF_nuclear!$C$5:$C$292,0))*$E88),Keys!$C$5),Keys!$C$4)</f>
        <v>1.0831</v>
      </c>
      <c r="N88">
        <f>IF($D88=1,ROUND(Keys!$C$2/(INDEX(Src_SYSHECF_nuclear!$L$5:$L$292,MATCH($C88,Src_SYSHECF_nuclear!$C$5:$C$292,0))*$E88),Keys!$C$5),Keys!$C$4)</f>
        <v>1.0772999999999999</v>
      </c>
      <c r="O88">
        <f>IF($D88=1,ROUND(Keys!$C$2/(INDEX(Src_SYSHECF_nuclear!$M$5:$M$292,MATCH($C88,Src_SYSHECF_nuclear!$C$5:$C$292,0))*$E88),Keys!$C$5),Keys!$C$4)</f>
        <v>1.0772999999999999</v>
      </c>
      <c r="P88">
        <f>IF($D88=1,ROUND(Keys!$C$2/(INDEX(Src_SYSHECF_nuclear!$N$5:$N$292,MATCH($C88,Src_SYSHECF_nuclear!$C$5:$C$292,0))*$E88),Keys!$C$5),Keys!$C$4)</f>
        <v>1.0772999999999999</v>
      </c>
      <c r="Q88">
        <f>IF($D88=1,ROUND(Keys!$C$2/(INDEX(Src_SYSHECF_nuclear!$O$5:$O$292,MATCH($C88,Src_SYSHECF_nuclear!$C$5:$C$292,0))*$E88),Keys!$C$5),Keys!$C$4)</f>
        <v>1.0772999999999999</v>
      </c>
      <c r="R88">
        <f>IF($D88=1,ROUND(Keys!$C$2/(INDEX(Src_SYSHECF_nuclear!$P$5:$P$292,MATCH($C88,Src_SYSHECF_nuclear!$C$5:$C$292,0))*$E88),Keys!$C$5),Keys!$C$4)</f>
        <v>1.0772999999999999</v>
      </c>
      <c r="S88">
        <f>IF($D88=1,ROUND(Keys!$C$2/(INDEX(Src_SYSHECF_nuclear!$Q$5:$Q$292,MATCH($C88,Src_SYSHECF_nuclear!$C$5:$C$292,0))*$E88),Keys!$C$5),Keys!$C$4)</f>
        <v>1.0772999999999999</v>
      </c>
      <c r="T88">
        <f>IF($D88=1,ROUND(Keys!$C$2/(INDEX(Src_SYSHECF_nuclear!$R$5:$R$292,MATCH($C88,Src_SYSHECF_nuclear!$C$5:$C$292,0))*$E88),Keys!$C$5),Keys!$C$4)</f>
        <v>1.0772999999999999</v>
      </c>
      <c r="U88">
        <f>IF($D88=1,ROUND(Keys!$C$2/(INDEX(Src_SYSHECF_nuclear!$S$5:$S$292,MATCH($C88,Src_SYSHECF_nuclear!$C$5:$C$292,0))*$E88),Keys!$C$5),Keys!$C$4)</f>
        <v>1.0772999999999999</v>
      </c>
      <c r="V88">
        <f>IF($D88=1,ROUND(Keys!$C$2/(INDEX(Src_SYSHECF_nuclear!$T$5:$T$292,MATCH($C88,Src_SYSHECF_nuclear!$C$5:$C$292,0))*$E88),Keys!$C$5),Keys!$C$4)</f>
        <v>1.0772999999999999</v>
      </c>
      <c r="W88">
        <f>IF($D88=1,ROUND(Keys!$C$2/(INDEX(Src_SYSHECF_nuclear!$U$5:$U$292,MATCH($C88,Src_SYSHECF_nuclear!$C$5:$C$292,0))*$E88),Keys!$C$5),Keys!$C$4)</f>
        <v>1.0772999999999999</v>
      </c>
      <c r="X88">
        <f>IF($D88=1,ROUND(Keys!$C$2/(INDEX(Src_SYSHECF_nuclear!$V$5:$V$292,MATCH($C88,Src_SYSHECF_nuclear!$C$5:$C$292,0))*$E88),Keys!$C$5),Keys!$C$4)</f>
        <v>1.0772999999999999</v>
      </c>
      <c r="Y88">
        <f>IF($D88=1,ROUND(Keys!$C$2/(INDEX(Src_SYSHECF_nuclear!$W$5:$W$292,MATCH($C88,Src_SYSHECF_nuclear!$C$5:$C$292,0))*$E88),Keys!$C$5),Keys!$C$4)</f>
        <v>1.0772999999999999</v>
      </c>
      <c r="Z88">
        <f>IF($D88=1,ROUND(Keys!$C$2/(INDEX(Src_SYSHECF_nuclear!$X$5:$X$292,MATCH($C88,Src_SYSHECF_nuclear!$C$5:$C$292,0))*$E88),Keys!$C$5),Keys!$C$4)</f>
        <v>1.0772999999999999</v>
      </c>
      <c r="AA88">
        <f>IF($D88=1,ROUND(Keys!$C$2/(INDEX(Src_SYSHECF_nuclear!$Y$5:$Y$292,MATCH($C88,Src_SYSHECF_nuclear!$C$5:$C$292,0))*$E88),Keys!$C$5),Keys!$C$4)</f>
        <v>1.0772999999999999</v>
      </c>
      <c r="AB88">
        <f>IF($D88=1,ROUND(Keys!$C$2/(INDEX(Src_SYSHECF_nuclear!$Z$5:$Z$292,MATCH($C88,Src_SYSHECF_nuclear!$C$5:$C$292,0))*$E88),Keys!$C$5),Keys!$C$4)</f>
        <v>1.0772999999999999</v>
      </c>
      <c r="AC88">
        <f>IF($D88=1,ROUND(Keys!$C$2/(INDEX(Src_SYSHECF_nuclear!$AA$5:$AA$292,MATCH($C88,Src_SYSHECF_nuclear!$C$5:$C$292,0))*$E88),Keys!$C$5),Keys!$C$4)</f>
        <v>1.0772999999999999</v>
      </c>
      <c r="AE88">
        <f>IF($D88=1,IF(ABS(INDEX(Src_SYSHECF_nuclear!$D$5:$D$292,MATCH($C88,Src_SYSHECF_nuclear!$C$5:$C$292,0))*$E88*F88-Keys!$C$2)&gt;Keys!$C$6,1,0),0)</f>
        <v>0</v>
      </c>
    </row>
    <row r="89" spans="1:31" x14ac:dyDescent="0.45">
      <c r="A89" t="s">
        <v>17</v>
      </c>
      <c r="B89" t="s">
        <v>427</v>
      </c>
      <c r="C89" t="str">
        <f t="shared" si="1"/>
        <v>CT|Fall</v>
      </c>
      <c r="D89">
        <f>INDEX(Src_BHRaSYC_nuclear!$HF$5:$HF$52,MATCH($A89,Src_BHRaSYC_nuclear!$A$5:$A$52,0))</f>
        <v>1</v>
      </c>
      <c r="E89">
        <f>INDEX(Src_HYECFCA_nuclear!$B$5:$B$52,MATCH($A89,Src_HYECFCA_nuclear!$A$5:$A$52,0))</f>
        <v>0.99424100000000004</v>
      </c>
      <c r="F89">
        <f>IF($D89=1,ROUND(Keys!$C$2/(INDEX(Src_SYSHECF_nuclear!$D$5:$D$292,MATCH($C89,Src_SYSHECF_nuclear!$C$5:$C$292,0))*$E89),Keys!$C$5),Keys!$C$4)</f>
        <v>1.0772999999999999</v>
      </c>
      <c r="G89">
        <f>IF($D89=1,ROUND(Keys!$C$2/(INDEX(Src_SYSHECF_nuclear!$E$5:$E$292,MATCH($C89,Src_SYSHECF_nuclear!$C$5:$C$292,0))*$E89),Keys!$C$5),Keys!$C$4)</f>
        <v>1.0772999999999999</v>
      </c>
      <c r="H89">
        <f>IF($D89=1,ROUND(Keys!$C$2/(INDEX(Src_SYSHECF_nuclear!$F$5:$F$292,MATCH($C89,Src_SYSHECF_nuclear!$C$5:$C$292,0))*$E89),Keys!$C$5),Keys!$C$4)</f>
        <v>1.0772999999999999</v>
      </c>
      <c r="I89">
        <f>IF($D89=1,ROUND(Keys!$C$2/(INDEX(Src_SYSHECF_nuclear!$G$5:$G$292,MATCH($C89,Src_SYSHECF_nuclear!$C$5:$C$292,0))*$E89),Keys!$C$5),Keys!$C$4)</f>
        <v>1.0772999999999999</v>
      </c>
      <c r="J89">
        <f>IF($D89=1,ROUND(Keys!$C$2/(INDEX(Src_SYSHECF_nuclear!$H$5:$H$292,MATCH($C89,Src_SYSHECF_nuclear!$C$5:$C$292,0))*$E89),Keys!$C$5),Keys!$C$4)</f>
        <v>1.0772999999999999</v>
      </c>
      <c r="K89">
        <f>IF($D89=1,ROUND(Keys!$C$2/(INDEX(Src_SYSHECF_nuclear!$I$5:$I$292,MATCH($C89,Src_SYSHECF_nuclear!$C$5:$C$292,0))*$E89),Keys!$C$5),Keys!$C$4)</f>
        <v>1.0772999999999999</v>
      </c>
      <c r="L89">
        <f>IF($D89=1,ROUND(Keys!$C$2/(INDEX(Src_SYSHECF_nuclear!$J$5:$J$292,MATCH($C89,Src_SYSHECF_nuclear!$C$5:$C$292,0))*$E89),Keys!$C$5),Keys!$C$4)</f>
        <v>1.0860000000000001</v>
      </c>
      <c r="M89">
        <f>IF($D89=1,ROUND(Keys!$C$2/(INDEX(Src_SYSHECF_nuclear!$K$5:$K$292,MATCH($C89,Src_SYSHECF_nuclear!$C$5:$C$292,0))*$E89),Keys!$C$5),Keys!$C$4)</f>
        <v>1.0814999999999999</v>
      </c>
      <c r="N89">
        <f>IF($D89=1,ROUND(Keys!$C$2/(INDEX(Src_SYSHECF_nuclear!$L$5:$L$292,MATCH($C89,Src_SYSHECF_nuclear!$C$5:$C$292,0))*$E89),Keys!$C$5),Keys!$C$4)</f>
        <v>1.0772999999999999</v>
      </c>
      <c r="O89">
        <f>IF($D89=1,ROUND(Keys!$C$2/(INDEX(Src_SYSHECF_nuclear!$M$5:$M$292,MATCH($C89,Src_SYSHECF_nuclear!$C$5:$C$292,0))*$E89),Keys!$C$5),Keys!$C$4)</f>
        <v>1.0772999999999999</v>
      </c>
      <c r="P89">
        <f>IF($D89=1,ROUND(Keys!$C$2/(INDEX(Src_SYSHECF_nuclear!$N$5:$N$292,MATCH($C89,Src_SYSHECF_nuclear!$C$5:$C$292,0))*$E89),Keys!$C$5),Keys!$C$4)</f>
        <v>1.0772999999999999</v>
      </c>
      <c r="Q89">
        <f>IF($D89=1,ROUND(Keys!$C$2/(INDEX(Src_SYSHECF_nuclear!$O$5:$O$292,MATCH($C89,Src_SYSHECF_nuclear!$C$5:$C$292,0))*$E89),Keys!$C$5),Keys!$C$4)</f>
        <v>1.0772999999999999</v>
      </c>
      <c r="R89">
        <f>IF($D89=1,ROUND(Keys!$C$2/(INDEX(Src_SYSHECF_nuclear!$P$5:$P$292,MATCH($C89,Src_SYSHECF_nuclear!$C$5:$C$292,0))*$E89),Keys!$C$5),Keys!$C$4)</f>
        <v>1.0772999999999999</v>
      </c>
      <c r="S89">
        <f>IF($D89=1,ROUND(Keys!$C$2/(INDEX(Src_SYSHECF_nuclear!$Q$5:$Q$292,MATCH($C89,Src_SYSHECF_nuclear!$C$5:$C$292,0))*$E89),Keys!$C$5),Keys!$C$4)</f>
        <v>1.0772999999999999</v>
      </c>
      <c r="T89">
        <f>IF($D89=1,ROUND(Keys!$C$2/(INDEX(Src_SYSHECF_nuclear!$R$5:$R$292,MATCH($C89,Src_SYSHECF_nuclear!$C$5:$C$292,0))*$E89),Keys!$C$5),Keys!$C$4)</f>
        <v>1.0772999999999999</v>
      </c>
      <c r="U89">
        <f>IF($D89=1,ROUND(Keys!$C$2/(INDEX(Src_SYSHECF_nuclear!$S$5:$S$292,MATCH($C89,Src_SYSHECF_nuclear!$C$5:$C$292,0))*$E89),Keys!$C$5),Keys!$C$4)</f>
        <v>1.0772999999999999</v>
      </c>
      <c r="V89">
        <f>IF($D89=1,ROUND(Keys!$C$2/(INDEX(Src_SYSHECF_nuclear!$T$5:$T$292,MATCH($C89,Src_SYSHECF_nuclear!$C$5:$C$292,0))*$E89),Keys!$C$5),Keys!$C$4)</f>
        <v>1.0772999999999999</v>
      </c>
      <c r="W89">
        <f>IF($D89=1,ROUND(Keys!$C$2/(INDEX(Src_SYSHECF_nuclear!$U$5:$U$292,MATCH($C89,Src_SYSHECF_nuclear!$C$5:$C$292,0))*$E89),Keys!$C$5),Keys!$C$4)</f>
        <v>1.0772999999999999</v>
      </c>
      <c r="X89">
        <f>IF($D89=1,ROUND(Keys!$C$2/(INDEX(Src_SYSHECF_nuclear!$V$5:$V$292,MATCH($C89,Src_SYSHECF_nuclear!$C$5:$C$292,0))*$E89),Keys!$C$5),Keys!$C$4)</f>
        <v>1.0772999999999999</v>
      </c>
      <c r="Y89">
        <f>IF($D89=1,ROUND(Keys!$C$2/(INDEX(Src_SYSHECF_nuclear!$W$5:$W$292,MATCH($C89,Src_SYSHECF_nuclear!$C$5:$C$292,0))*$E89),Keys!$C$5),Keys!$C$4)</f>
        <v>1.0772999999999999</v>
      </c>
      <c r="Z89">
        <f>IF($D89=1,ROUND(Keys!$C$2/(INDEX(Src_SYSHECF_nuclear!$X$5:$X$292,MATCH($C89,Src_SYSHECF_nuclear!$C$5:$C$292,0))*$E89),Keys!$C$5),Keys!$C$4)</f>
        <v>1.0772999999999999</v>
      </c>
      <c r="AA89">
        <f>IF($D89=1,ROUND(Keys!$C$2/(INDEX(Src_SYSHECF_nuclear!$Y$5:$Y$292,MATCH($C89,Src_SYSHECF_nuclear!$C$5:$C$292,0))*$E89),Keys!$C$5),Keys!$C$4)</f>
        <v>1.0772999999999999</v>
      </c>
      <c r="AB89">
        <f>IF($D89=1,ROUND(Keys!$C$2/(INDEX(Src_SYSHECF_nuclear!$Z$5:$Z$292,MATCH($C89,Src_SYSHECF_nuclear!$C$5:$C$292,0))*$E89),Keys!$C$5),Keys!$C$4)</f>
        <v>1.0772999999999999</v>
      </c>
      <c r="AC89">
        <f>IF($D89=1,ROUND(Keys!$C$2/(INDEX(Src_SYSHECF_nuclear!$AA$5:$AA$292,MATCH($C89,Src_SYSHECF_nuclear!$C$5:$C$292,0))*$E89),Keys!$C$5),Keys!$C$4)</f>
        <v>1.0772999999999999</v>
      </c>
      <c r="AE89">
        <f>IF($D89=1,IF(ABS(INDEX(Src_SYSHECF_nuclear!$D$5:$D$292,MATCH($C89,Src_SYSHECF_nuclear!$C$5:$C$292,0))*$E89*F89-Keys!$C$2)&gt;Keys!$C$6,1,0),0)</f>
        <v>0</v>
      </c>
    </row>
    <row r="90" spans="1:31" x14ac:dyDescent="0.45">
      <c r="A90" t="s">
        <v>17</v>
      </c>
      <c r="B90" t="s">
        <v>428</v>
      </c>
      <c r="C90" t="str">
        <f t="shared" si="1"/>
        <v>CT|Summer Peak</v>
      </c>
      <c r="D90">
        <f>INDEX(Src_BHRaSYC_nuclear!$HF$5:$HF$52,MATCH($A90,Src_BHRaSYC_nuclear!$A$5:$A$52,0))</f>
        <v>1</v>
      </c>
      <c r="E90">
        <f>INDEX(Src_HYECFCA_nuclear!$B$5:$B$52,MATCH($A90,Src_HYECFCA_nuclear!$A$5:$A$52,0))</f>
        <v>0.99424100000000004</v>
      </c>
      <c r="F90">
        <f>IF($D90=1,ROUND(Keys!$C$2/(INDEX(Src_SYSHECF_nuclear!$D$5:$D$292,MATCH($C90,Src_SYSHECF_nuclear!$C$5:$C$292,0))*$E90),Keys!$C$5),Keys!$C$4)</f>
        <v>1.0772999999999999</v>
      </c>
      <c r="G90">
        <f>IF($D90=1,ROUND(Keys!$C$2/(INDEX(Src_SYSHECF_nuclear!$E$5:$E$292,MATCH($C90,Src_SYSHECF_nuclear!$C$5:$C$292,0))*$E90),Keys!$C$5),Keys!$C$4)</f>
        <v>1.0772999999999999</v>
      </c>
      <c r="H90">
        <f>IF($D90=1,ROUND(Keys!$C$2/(INDEX(Src_SYSHECF_nuclear!$F$5:$F$292,MATCH($C90,Src_SYSHECF_nuclear!$C$5:$C$292,0))*$E90),Keys!$C$5),Keys!$C$4)</f>
        <v>1.0772999999999999</v>
      </c>
      <c r="I90">
        <f>IF($D90=1,ROUND(Keys!$C$2/(INDEX(Src_SYSHECF_nuclear!$G$5:$G$292,MATCH($C90,Src_SYSHECF_nuclear!$C$5:$C$292,0))*$E90),Keys!$C$5),Keys!$C$4)</f>
        <v>1.0772999999999999</v>
      </c>
      <c r="J90">
        <f>IF($D90=1,ROUND(Keys!$C$2/(INDEX(Src_SYSHECF_nuclear!$H$5:$H$292,MATCH($C90,Src_SYSHECF_nuclear!$C$5:$C$292,0))*$E90),Keys!$C$5),Keys!$C$4)</f>
        <v>1.0772999999999999</v>
      </c>
      <c r="K90">
        <f>IF($D90=1,ROUND(Keys!$C$2/(INDEX(Src_SYSHECF_nuclear!$I$5:$I$292,MATCH($C90,Src_SYSHECF_nuclear!$C$5:$C$292,0))*$E90),Keys!$C$5),Keys!$C$4)</f>
        <v>1.0772999999999999</v>
      </c>
      <c r="L90">
        <f>IF($D90=1,ROUND(Keys!$C$2/(INDEX(Src_SYSHECF_nuclear!$J$5:$J$292,MATCH($C90,Src_SYSHECF_nuclear!$C$5:$C$292,0))*$E90),Keys!$C$5),Keys!$C$4)</f>
        <v>1.0772999999999999</v>
      </c>
      <c r="M90">
        <f>IF($D90=1,ROUND(Keys!$C$2/(INDEX(Src_SYSHECF_nuclear!$K$5:$K$292,MATCH($C90,Src_SYSHECF_nuclear!$C$5:$C$292,0))*$E90),Keys!$C$5),Keys!$C$4)</f>
        <v>1.0772999999999999</v>
      </c>
      <c r="N90">
        <f>IF($D90=1,ROUND(Keys!$C$2/(INDEX(Src_SYSHECF_nuclear!$L$5:$L$292,MATCH($C90,Src_SYSHECF_nuclear!$C$5:$C$292,0))*$E90),Keys!$C$5),Keys!$C$4)</f>
        <v>1.0772999999999999</v>
      </c>
      <c r="O90">
        <f>IF($D90=1,ROUND(Keys!$C$2/(INDEX(Src_SYSHECF_nuclear!$M$5:$M$292,MATCH($C90,Src_SYSHECF_nuclear!$C$5:$C$292,0))*$E90),Keys!$C$5),Keys!$C$4)</f>
        <v>1.0772999999999999</v>
      </c>
      <c r="P90">
        <f>IF($D90=1,ROUND(Keys!$C$2/(INDEX(Src_SYSHECF_nuclear!$N$5:$N$292,MATCH($C90,Src_SYSHECF_nuclear!$C$5:$C$292,0))*$E90),Keys!$C$5),Keys!$C$4)</f>
        <v>1.0772999999999999</v>
      </c>
      <c r="Q90">
        <f>IF($D90=1,ROUND(Keys!$C$2/(INDEX(Src_SYSHECF_nuclear!$O$5:$O$292,MATCH($C90,Src_SYSHECF_nuclear!$C$5:$C$292,0))*$E90),Keys!$C$5),Keys!$C$4)</f>
        <v>1.0772999999999999</v>
      </c>
      <c r="R90">
        <f>IF($D90=1,ROUND(Keys!$C$2/(INDEX(Src_SYSHECF_nuclear!$P$5:$P$292,MATCH($C90,Src_SYSHECF_nuclear!$C$5:$C$292,0))*$E90),Keys!$C$5),Keys!$C$4)</f>
        <v>1.0772999999999999</v>
      </c>
      <c r="S90">
        <f>IF($D90=1,ROUND(Keys!$C$2/(INDEX(Src_SYSHECF_nuclear!$Q$5:$Q$292,MATCH($C90,Src_SYSHECF_nuclear!$C$5:$C$292,0))*$E90),Keys!$C$5),Keys!$C$4)</f>
        <v>1.0772999999999999</v>
      </c>
      <c r="T90">
        <f>IF($D90=1,ROUND(Keys!$C$2/(INDEX(Src_SYSHECF_nuclear!$R$5:$R$292,MATCH($C90,Src_SYSHECF_nuclear!$C$5:$C$292,0))*$E90),Keys!$C$5),Keys!$C$4)</f>
        <v>1.0772999999999999</v>
      </c>
      <c r="U90">
        <f>IF($D90=1,ROUND(Keys!$C$2/(INDEX(Src_SYSHECF_nuclear!$S$5:$S$292,MATCH($C90,Src_SYSHECF_nuclear!$C$5:$C$292,0))*$E90),Keys!$C$5),Keys!$C$4)</f>
        <v>1.0772999999999999</v>
      </c>
      <c r="V90">
        <f>IF($D90=1,ROUND(Keys!$C$2/(INDEX(Src_SYSHECF_nuclear!$T$5:$T$292,MATCH($C90,Src_SYSHECF_nuclear!$C$5:$C$292,0))*$E90),Keys!$C$5),Keys!$C$4)</f>
        <v>1.0772999999999999</v>
      </c>
      <c r="W90">
        <f>IF($D90=1,ROUND(Keys!$C$2/(INDEX(Src_SYSHECF_nuclear!$U$5:$U$292,MATCH($C90,Src_SYSHECF_nuclear!$C$5:$C$292,0))*$E90),Keys!$C$5),Keys!$C$4)</f>
        <v>1.0772999999999999</v>
      </c>
      <c r="X90">
        <f>IF($D90=1,ROUND(Keys!$C$2/(INDEX(Src_SYSHECF_nuclear!$V$5:$V$292,MATCH($C90,Src_SYSHECF_nuclear!$C$5:$C$292,0))*$E90),Keys!$C$5),Keys!$C$4)</f>
        <v>1.0772999999999999</v>
      </c>
      <c r="Y90">
        <f>IF($D90=1,ROUND(Keys!$C$2/(INDEX(Src_SYSHECF_nuclear!$W$5:$W$292,MATCH($C90,Src_SYSHECF_nuclear!$C$5:$C$292,0))*$E90),Keys!$C$5),Keys!$C$4)</f>
        <v>1.0772999999999999</v>
      </c>
      <c r="Z90">
        <f>IF($D90=1,ROUND(Keys!$C$2/(INDEX(Src_SYSHECF_nuclear!$X$5:$X$292,MATCH($C90,Src_SYSHECF_nuclear!$C$5:$C$292,0))*$E90),Keys!$C$5),Keys!$C$4)</f>
        <v>1.0772999999999999</v>
      </c>
      <c r="AA90">
        <f>IF($D90=1,ROUND(Keys!$C$2/(INDEX(Src_SYSHECF_nuclear!$Y$5:$Y$292,MATCH($C90,Src_SYSHECF_nuclear!$C$5:$C$292,0))*$E90),Keys!$C$5),Keys!$C$4)</f>
        <v>1.0772999999999999</v>
      </c>
      <c r="AB90">
        <f>IF($D90=1,ROUND(Keys!$C$2/(INDEX(Src_SYSHECF_nuclear!$Z$5:$Z$292,MATCH($C90,Src_SYSHECF_nuclear!$C$5:$C$292,0))*$E90),Keys!$C$5),Keys!$C$4)</f>
        <v>1.0772999999999999</v>
      </c>
      <c r="AC90">
        <f>IF($D90=1,ROUND(Keys!$C$2/(INDEX(Src_SYSHECF_nuclear!$AA$5:$AA$292,MATCH($C90,Src_SYSHECF_nuclear!$C$5:$C$292,0))*$E90),Keys!$C$5),Keys!$C$4)</f>
        <v>1.0772999999999999</v>
      </c>
      <c r="AE90">
        <f>IF($D90=1,IF(ABS(INDEX(Src_SYSHECF_nuclear!$D$5:$D$292,MATCH($C90,Src_SYSHECF_nuclear!$C$5:$C$292,0))*$E90*F90-Keys!$C$2)&gt;Keys!$C$6,1,0),0)</f>
        <v>0</v>
      </c>
    </row>
    <row r="91" spans="1:31" x14ac:dyDescent="0.45">
      <c r="A91" t="s">
        <v>17</v>
      </c>
      <c r="B91" t="s">
        <v>429</v>
      </c>
      <c r="C91" t="str">
        <f t="shared" si="1"/>
        <v>CT|Winter Peak</v>
      </c>
      <c r="D91">
        <f>INDEX(Src_BHRaSYC_nuclear!$HF$5:$HF$52,MATCH($A91,Src_BHRaSYC_nuclear!$A$5:$A$52,0))</f>
        <v>1</v>
      </c>
      <c r="E91">
        <f>INDEX(Src_HYECFCA_nuclear!$B$5:$B$52,MATCH($A91,Src_HYECFCA_nuclear!$A$5:$A$52,0))</f>
        <v>0.99424100000000004</v>
      </c>
      <c r="F91">
        <f>IF($D91=1,ROUND(Keys!$C$2/(INDEX(Src_SYSHECF_nuclear!$D$5:$D$292,MATCH($C91,Src_SYSHECF_nuclear!$C$5:$C$292,0))*$E91),Keys!$C$5),Keys!$C$4)</f>
        <v>1.0772999999999999</v>
      </c>
      <c r="G91">
        <f>IF($D91=1,ROUND(Keys!$C$2/(INDEX(Src_SYSHECF_nuclear!$E$5:$E$292,MATCH($C91,Src_SYSHECF_nuclear!$C$5:$C$292,0))*$E91),Keys!$C$5),Keys!$C$4)</f>
        <v>1.0772999999999999</v>
      </c>
      <c r="H91">
        <f>IF($D91=1,ROUND(Keys!$C$2/(INDEX(Src_SYSHECF_nuclear!$F$5:$F$292,MATCH($C91,Src_SYSHECF_nuclear!$C$5:$C$292,0))*$E91),Keys!$C$5),Keys!$C$4)</f>
        <v>1.0772999999999999</v>
      </c>
      <c r="I91">
        <f>IF($D91=1,ROUND(Keys!$C$2/(INDEX(Src_SYSHECF_nuclear!$G$5:$G$292,MATCH($C91,Src_SYSHECF_nuclear!$C$5:$C$292,0))*$E91),Keys!$C$5),Keys!$C$4)</f>
        <v>1.0772999999999999</v>
      </c>
      <c r="J91">
        <f>IF($D91=1,ROUND(Keys!$C$2/(INDEX(Src_SYSHECF_nuclear!$H$5:$H$292,MATCH($C91,Src_SYSHECF_nuclear!$C$5:$C$292,0))*$E91),Keys!$C$5),Keys!$C$4)</f>
        <v>1.0772999999999999</v>
      </c>
      <c r="K91">
        <f>IF($D91=1,ROUND(Keys!$C$2/(INDEX(Src_SYSHECF_nuclear!$I$5:$I$292,MATCH($C91,Src_SYSHECF_nuclear!$C$5:$C$292,0))*$E91),Keys!$C$5),Keys!$C$4)</f>
        <v>1.0772999999999999</v>
      </c>
      <c r="L91">
        <f>IF($D91=1,ROUND(Keys!$C$2/(INDEX(Src_SYSHECF_nuclear!$J$5:$J$292,MATCH($C91,Src_SYSHECF_nuclear!$C$5:$C$292,0))*$E91),Keys!$C$5),Keys!$C$4)</f>
        <v>1.0772999999999999</v>
      </c>
      <c r="M91">
        <f>IF($D91=1,ROUND(Keys!$C$2/(INDEX(Src_SYSHECF_nuclear!$K$5:$K$292,MATCH($C91,Src_SYSHECF_nuclear!$C$5:$C$292,0))*$E91),Keys!$C$5),Keys!$C$4)</f>
        <v>1.0772999999999999</v>
      </c>
      <c r="N91">
        <f>IF($D91=1,ROUND(Keys!$C$2/(INDEX(Src_SYSHECF_nuclear!$L$5:$L$292,MATCH($C91,Src_SYSHECF_nuclear!$C$5:$C$292,0))*$E91),Keys!$C$5),Keys!$C$4)</f>
        <v>1.0772999999999999</v>
      </c>
      <c r="O91">
        <f>IF($D91=1,ROUND(Keys!$C$2/(INDEX(Src_SYSHECF_nuclear!$M$5:$M$292,MATCH($C91,Src_SYSHECF_nuclear!$C$5:$C$292,0))*$E91),Keys!$C$5),Keys!$C$4)</f>
        <v>1.0772999999999999</v>
      </c>
      <c r="P91">
        <f>IF($D91=1,ROUND(Keys!$C$2/(INDEX(Src_SYSHECF_nuclear!$N$5:$N$292,MATCH($C91,Src_SYSHECF_nuclear!$C$5:$C$292,0))*$E91),Keys!$C$5),Keys!$C$4)</f>
        <v>1.0772999999999999</v>
      </c>
      <c r="Q91">
        <f>IF($D91=1,ROUND(Keys!$C$2/(INDEX(Src_SYSHECF_nuclear!$O$5:$O$292,MATCH($C91,Src_SYSHECF_nuclear!$C$5:$C$292,0))*$E91),Keys!$C$5),Keys!$C$4)</f>
        <v>1.0772999999999999</v>
      </c>
      <c r="R91">
        <f>IF($D91=1,ROUND(Keys!$C$2/(INDEX(Src_SYSHECF_nuclear!$P$5:$P$292,MATCH($C91,Src_SYSHECF_nuclear!$C$5:$C$292,0))*$E91),Keys!$C$5),Keys!$C$4)</f>
        <v>1.0772999999999999</v>
      </c>
      <c r="S91">
        <f>IF($D91=1,ROUND(Keys!$C$2/(INDEX(Src_SYSHECF_nuclear!$Q$5:$Q$292,MATCH($C91,Src_SYSHECF_nuclear!$C$5:$C$292,0))*$E91),Keys!$C$5),Keys!$C$4)</f>
        <v>1.0772999999999999</v>
      </c>
      <c r="T91">
        <f>IF($D91=1,ROUND(Keys!$C$2/(INDEX(Src_SYSHECF_nuclear!$R$5:$R$292,MATCH($C91,Src_SYSHECF_nuclear!$C$5:$C$292,0))*$E91),Keys!$C$5),Keys!$C$4)</f>
        <v>1.0772999999999999</v>
      </c>
      <c r="U91">
        <f>IF($D91=1,ROUND(Keys!$C$2/(INDEX(Src_SYSHECF_nuclear!$S$5:$S$292,MATCH($C91,Src_SYSHECF_nuclear!$C$5:$C$292,0))*$E91),Keys!$C$5),Keys!$C$4)</f>
        <v>1.0772999999999999</v>
      </c>
      <c r="V91">
        <f>IF($D91=1,ROUND(Keys!$C$2/(INDEX(Src_SYSHECF_nuclear!$T$5:$T$292,MATCH($C91,Src_SYSHECF_nuclear!$C$5:$C$292,0))*$E91),Keys!$C$5),Keys!$C$4)</f>
        <v>1.0772999999999999</v>
      </c>
      <c r="W91">
        <f>IF($D91=1,ROUND(Keys!$C$2/(INDEX(Src_SYSHECF_nuclear!$U$5:$U$292,MATCH($C91,Src_SYSHECF_nuclear!$C$5:$C$292,0))*$E91),Keys!$C$5),Keys!$C$4)</f>
        <v>1.0772999999999999</v>
      </c>
      <c r="X91">
        <f>IF($D91=1,ROUND(Keys!$C$2/(INDEX(Src_SYSHECF_nuclear!$V$5:$V$292,MATCH($C91,Src_SYSHECF_nuclear!$C$5:$C$292,0))*$E91),Keys!$C$5),Keys!$C$4)</f>
        <v>1.0772999999999999</v>
      </c>
      <c r="Y91">
        <f>IF($D91=1,ROUND(Keys!$C$2/(INDEX(Src_SYSHECF_nuclear!$W$5:$W$292,MATCH($C91,Src_SYSHECF_nuclear!$C$5:$C$292,0))*$E91),Keys!$C$5),Keys!$C$4)</f>
        <v>1.0772999999999999</v>
      </c>
      <c r="Z91">
        <f>IF($D91=1,ROUND(Keys!$C$2/(INDEX(Src_SYSHECF_nuclear!$X$5:$X$292,MATCH($C91,Src_SYSHECF_nuclear!$C$5:$C$292,0))*$E91),Keys!$C$5),Keys!$C$4)</f>
        <v>1.0772999999999999</v>
      </c>
      <c r="AA91">
        <f>IF($D91=1,ROUND(Keys!$C$2/(INDEX(Src_SYSHECF_nuclear!$Y$5:$Y$292,MATCH($C91,Src_SYSHECF_nuclear!$C$5:$C$292,0))*$E91),Keys!$C$5),Keys!$C$4)</f>
        <v>1.0772999999999999</v>
      </c>
      <c r="AB91">
        <f>IF($D91=1,ROUND(Keys!$C$2/(INDEX(Src_SYSHECF_nuclear!$Z$5:$Z$292,MATCH($C91,Src_SYSHECF_nuclear!$C$5:$C$292,0))*$E91),Keys!$C$5),Keys!$C$4)</f>
        <v>1.0772999999999999</v>
      </c>
      <c r="AC91">
        <f>IF($D91=1,ROUND(Keys!$C$2/(INDEX(Src_SYSHECF_nuclear!$AA$5:$AA$292,MATCH($C91,Src_SYSHECF_nuclear!$C$5:$C$292,0))*$E91),Keys!$C$5),Keys!$C$4)</f>
        <v>1.0772999999999999</v>
      </c>
      <c r="AE91">
        <f>IF($D91=1,IF(ABS(INDEX(Src_SYSHECF_nuclear!$D$5:$D$292,MATCH($C91,Src_SYSHECF_nuclear!$C$5:$C$292,0))*$E91*F91-Keys!$C$2)&gt;Keys!$C$6,1,0),0)</f>
        <v>0</v>
      </c>
    </row>
    <row r="92" spans="1:31" x14ac:dyDescent="0.45">
      <c r="A92" t="s">
        <v>20</v>
      </c>
      <c r="B92" t="s">
        <v>424</v>
      </c>
      <c r="C92" t="str">
        <f t="shared" si="1"/>
        <v>DE|Winter</v>
      </c>
      <c r="D92">
        <f>INDEX(Src_BHRaSYC_nuclear!$HF$5:$HF$52,MATCH($A92,Src_BHRaSYC_nuclear!$A$5:$A$52,0))</f>
        <v>0</v>
      </c>
      <c r="E92">
        <f>INDEX(Src_HYECFCA_nuclear!$B$5:$B$52,MATCH($A92,Src_HYECFCA_nuclear!$A$5:$A$52,0))</f>
        <v>1</v>
      </c>
      <c r="F92">
        <f>IF($D92=1,ROUND(Keys!$C$2/(INDEX(Src_SYSHECF_nuclear!$D$5:$D$292,MATCH($C92,Src_SYSHECF_nuclear!$C$5:$C$292,0))*$E92),Keys!$C$5),Keys!$C$4)</f>
        <v>0.9</v>
      </c>
      <c r="G92">
        <f>IF($D92=1,ROUND(Keys!$C$2/(INDEX(Src_SYSHECF_nuclear!$E$5:$E$292,MATCH($C92,Src_SYSHECF_nuclear!$C$5:$C$292,0))*$E92),Keys!$C$5),Keys!$C$4)</f>
        <v>0.9</v>
      </c>
      <c r="H92">
        <f>IF($D92=1,ROUND(Keys!$C$2/(INDEX(Src_SYSHECF_nuclear!$F$5:$F$292,MATCH($C92,Src_SYSHECF_nuclear!$C$5:$C$292,0))*$E92),Keys!$C$5),Keys!$C$4)</f>
        <v>0.9</v>
      </c>
      <c r="I92">
        <f>IF($D92=1,ROUND(Keys!$C$2/(INDEX(Src_SYSHECF_nuclear!$G$5:$G$292,MATCH($C92,Src_SYSHECF_nuclear!$C$5:$C$292,0))*$E92),Keys!$C$5),Keys!$C$4)</f>
        <v>0.9</v>
      </c>
      <c r="J92">
        <f>IF($D92=1,ROUND(Keys!$C$2/(INDEX(Src_SYSHECF_nuclear!$H$5:$H$292,MATCH($C92,Src_SYSHECF_nuclear!$C$5:$C$292,0))*$E92),Keys!$C$5),Keys!$C$4)</f>
        <v>0.9</v>
      </c>
      <c r="K92">
        <f>IF($D92=1,ROUND(Keys!$C$2/(INDEX(Src_SYSHECF_nuclear!$I$5:$I$292,MATCH($C92,Src_SYSHECF_nuclear!$C$5:$C$292,0))*$E92),Keys!$C$5),Keys!$C$4)</f>
        <v>0.9</v>
      </c>
      <c r="L92">
        <f>IF($D92=1,ROUND(Keys!$C$2/(INDEX(Src_SYSHECF_nuclear!$J$5:$J$292,MATCH($C92,Src_SYSHECF_nuclear!$C$5:$C$292,0))*$E92),Keys!$C$5),Keys!$C$4)</f>
        <v>0.9</v>
      </c>
      <c r="M92">
        <f>IF($D92=1,ROUND(Keys!$C$2/(INDEX(Src_SYSHECF_nuclear!$K$5:$K$292,MATCH($C92,Src_SYSHECF_nuclear!$C$5:$C$292,0))*$E92),Keys!$C$5),Keys!$C$4)</f>
        <v>0.9</v>
      </c>
      <c r="N92">
        <f>IF($D92=1,ROUND(Keys!$C$2/(INDEX(Src_SYSHECF_nuclear!$L$5:$L$292,MATCH($C92,Src_SYSHECF_nuclear!$C$5:$C$292,0))*$E92),Keys!$C$5),Keys!$C$4)</f>
        <v>0.9</v>
      </c>
      <c r="O92">
        <f>IF($D92=1,ROUND(Keys!$C$2/(INDEX(Src_SYSHECF_nuclear!$M$5:$M$292,MATCH($C92,Src_SYSHECF_nuclear!$C$5:$C$292,0))*$E92),Keys!$C$5),Keys!$C$4)</f>
        <v>0.9</v>
      </c>
      <c r="P92">
        <f>IF($D92=1,ROUND(Keys!$C$2/(INDEX(Src_SYSHECF_nuclear!$N$5:$N$292,MATCH($C92,Src_SYSHECF_nuclear!$C$5:$C$292,0))*$E92),Keys!$C$5),Keys!$C$4)</f>
        <v>0.9</v>
      </c>
      <c r="Q92">
        <f>IF($D92=1,ROUND(Keys!$C$2/(INDEX(Src_SYSHECF_nuclear!$O$5:$O$292,MATCH($C92,Src_SYSHECF_nuclear!$C$5:$C$292,0))*$E92),Keys!$C$5),Keys!$C$4)</f>
        <v>0.9</v>
      </c>
      <c r="R92">
        <f>IF($D92=1,ROUND(Keys!$C$2/(INDEX(Src_SYSHECF_nuclear!$P$5:$P$292,MATCH($C92,Src_SYSHECF_nuclear!$C$5:$C$292,0))*$E92),Keys!$C$5),Keys!$C$4)</f>
        <v>0.9</v>
      </c>
      <c r="S92">
        <f>IF($D92=1,ROUND(Keys!$C$2/(INDEX(Src_SYSHECF_nuclear!$Q$5:$Q$292,MATCH($C92,Src_SYSHECF_nuclear!$C$5:$C$292,0))*$E92),Keys!$C$5),Keys!$C$4)</f>
        <v>0.9</v>
      </c>
      <c r="T92">
        <f>IF($D92=1,ROUND(Keys!$C$2/(INDEX(Src_SYSHECF_nuclear!$R$5:$R$292,MATCH($C92,Src_SYSHECF_nuclear!$C$5:$C$292,0))*$E92),Keys!$C$5),Keys!$C$4)</f>
        <v>0.9</v>
      </c>
      <c r="U92">
        <f>IF($D92=1,ROUND(Keys!$C$2/(INDEX(Src_SYSHECF_nuclear!$S$5:$S$292,MATCH($C92,Src_SYSHECF_nuclear!$C$5:$C$292,0))*$E92),Keys!$C$5),Keys!$C$4)</f>
        <v>0.9</v>
      </c>
      <c r="V92">
        <f>IF($D92=1,ROUND(Keys!$C$2/(INDEX(Src_SYSHECF_nuclear!$T$5:$T$292,MATCH($C92,Src_SYSHECF_nuclear!$C$5:$C$292,0))*$E92),Keys!$C$5),Keys!$C$4)</f>
        <v>0.9</v>
      </c>
      <c r="W92">
        <f>IF($D92=1,ROUND(Keys!$C$2/(INDEX(Src_SYSHECF_nuclear!$U$5:$U$292,MATCH($C92,Src_SYSHECF_nuclear!$C$5:$C$292,0))*$E92),Keys!$C$5),Keys!$C$4)</f>
        <v>0.9</v>
      </c>
      <c r="X92">
        <f>IF($D92=1,ROUND(Keys!$C$2/(INDEX(Src_SYSHECF_nuclear!$V$5:$V$292,MATCH($C92,Src_SYSHECF_nuclear!$C$5:$C$292,0))*$E92),Keys!$C$5),Keys!$C$4)</f>
        <v>0.9</v>
      </c>
      <c r="Y92">
        <f>IF($D92=1,ROUND(Keys!$C$2/(INDEX(Src_SYSHECF_nuclear!$W$5:$W$292,MATCH($C92,Src_SYSHECF_nuclear!$C$5:$C$292,0))*$E92),Keys!$C$5),Keys!$C$4)</f>
        <v>0.9</v>
      </c>
      <c r="Z92">
        <f>IF($D92=1,ROUND(Keys!$C$2/(INDEX(Src_SYSHECF_nuclear!$X$5:$X$292,MATCH($C92,Src_SYSHECF_nuclear!$C$5:$C$292,0))*$E92),Keys!$C$5),Keys!$C$4)</f>
        <v>0.9</v>
      </c>
      <c r="AA92">
        <f>IF($D92=1,ROUND(Keys!$C$2/(INDEX(Src_SYSHECF_nuclear!$Y$5:$Y$292,MATCH($C92,Src_SYSHECF_nuclear!$C$5:$C$292,0))*$E92),Keys!$C$5),Keys!$C$4)</f>
        <v>0.9</v>
      </c>
      <c r="AB92">
        <f>IF($D92=1,ROUND(Keys!$C$2/(INDEX(Src_SYSHECF_nuclear!$Z$5:$Z$292,MATCH($C92,Src_SYSHECF_nuclear!$C$5:$C$292,0))*$E92),Keys!$C$5),Keys!$C$4)</f>
        <v>0.9</v>
      </c>
      <c r="AC92">
        <f>IF($D92=1,ROUND(Keys!$C$2/(INDEX(Src_SYSHECF_nuclear!$AA$5:$AA$292,MATCH($C92,Src_SYSHECF_nuclear!$C$5:$C$292,0))*$E92),Keys!$C$5),Keys!$C$4)</f>
        <v>0.9</v>
      </c>
      <c r="AE92">
        <f>IF($D92=1,IF(ABS(INDEX(Src_SYSHECF_nuclear!$D$5:$D$292,MATCH($C92,Src_SYSHECF_nuclear!$C$5:$C$292,0))*$E92*F92-Keys!$C$2)&gt;Keys!$C$6,1,0),0)</f>
        <v>0</v>
      </c>
    </row>
    <row r="93" spans="1:31" x14ac:dyDescent="0.45">
      <c r="A93" t="s">
        <v>20</v>
      </c>
      <c r="B93" t="s">
        <v>425</v>
      </c>
      <c r="C93" t="str">
        <f t="shared" si="1"/>
        <v>DE|Spring</v>
      </c>
      <c r="D93">
        <f>INDEX(Src_BHRaSYC_nuclear!$HF$5:$HF$52,MATCH($A93,Src_BHRaSYC_nuclear!$A$5:$A$52,0))</f>
        <v>0</v>
      </c>
      <c r="E93">
        <f>INDEX(Src_HYECFCA_nuclear!$B$5:$B$52,MATCH($A93,Src_HYECFCA_nuclear!$A$5:$A$52,0))</f>
        <v>1</v>
      </c>
      <c r="F93">
        <f>IF($D93=1,ROUND(Keys!$C$2/(INDEX(Src_SYSHECF_nuclear!$D$5:$D$292,MATCH($C93,Src_SYSHECF_nuclear!$C$5:$C$292,0))*$E93),Keys!$C$5),Keys!$C$4)</f>
        <v>0.9</v>
      </c>
      <c r="G93">
        <f>IF($D93=1,ROUND(Keys!$C$2/(INDEX(Src_SYSHECF_nuclear!$E$5:$E$292,MATCH($C93,Src_SYSHECF_nuclear!$C$5:$C$292,0))*$E93),Keys!$C$5),Keys!$C$4)</f>
        <v>0.9</v>
      </c>
      <c r="H93">
        <f>IF($D93=1,ROUND(Keys!$C$2/(INDEX(Src_SYSHECF_nuclear!$F$5:$F$292,MATCH($C93,Src_SYSHECF_nuclear!$C$5:$C$292,0))*$E93),Keys!$C$5),Keys!$C$4)</f>
        <v>0.9</v>
      </c>
      <c r="I93">
        <f>IF($D93=1,ROUND(Keys!$C$2/(INDEX(Src_SYSHECF_nuclear!$G$5:$G$292,MATCH($C93,Src_SYSHECF_nuclear!$C$5:$C$292,0))*$E93),Keys!$C$5),Keys!$C$4)</f>
        <v>0.9</v>
      </c>
      <c r="J93">
        <f>IF($D93=1,ROUND(Keys!$C$2/(INDEX(Src_SYSHECF_nuclear!$H$5:$H$292,MATCH($C93,Src_SYSHECF_nuclear!$C$5:$C$292,0))*$E93),Keys!$C$5),Keys!$C$4)</f>
        <v>0.9</v>
      </c>
      <c r="K93">
        <f>IF($D93=1,ROUND(Keys!$C$2/(INDEX(Src_SYSHECF_nuclear!$I$5:$I$292,MATCH($C93,Src_SYSHECF_nuclear!$C$5:$C$292,0))*$E93),Keys!$C$5),Keys!$C$4)</f>
        <v>0.9</v>
      </c>
      <c r="L93">
        <f>IF($D93=1,ROUND(Keys!$C$2/(INDEX(Src_SYSHECF_nuclear!$J$5:$J$292,MATCH($C93,Src_SYSHECF_nuclear!$C$5:$C$292,0))*$E93),Keys!$C$5),Keys!$C$4)</f>
        <v>0.9</v>
      </c>
      <c r="M93">
        <f>IF($D93=1,ROUND(Keys!$C$2/(INDEX(Src_SYSHECF_nuclear!$K$5:$K$292,MATCH($C93,Src_SYSHECF_nuclear!$C$5:$C$292,0))*$E93),Keys!$C$5),Keys!$C$4)</f>
        <v>0.9</v>
      </c>
      <c r="N93">
        <f>IF($D93=1,ROUND(Keys!$C$2/(INDEX(Src_SYSHECF_nuclear!$L$5:$L$292,MATCH($C93,Src_SYSHECF_nuclear!$C$5:$C$292,0))*$E93),Keys!$C$5),Keys!$C$4)</f>
        <v>0.9</v>
      </c>
      <c r="O93">
        <f>IF($D93=1,ROUND(Keys!$C$2/(INDEX(Src_SYSHECF_nuclear!$M$5:$M$292,MATCH($C93,Src_SYSHECF_nuclear!$C$5:$C$292,0))*$E93),Keys!$C$5),Keys!$C$4)</f>
        <v>0.9</v>
      </c>
      <c r="P93">
        <f>IF($D93=1,ROUND(Keys!$C$2/(INDEX(Src_SYSHECF_nuclear!$N$5:$N$292,MATCH($C93,Src_SYSHECF_nuclear!$C$5:$C$292,0))*$E93),Keys!$C$5),Keys!$C$4)</f>
        <v>0.9</v>
      </c>
      <c r="Q93">
        <f>IF($D93=1,ROUND(Keys!$C$2/(INDEX(Src_SYSHECF_nuclear!$O$5:$O$292,MATCH($C93,Src_SYSHECF_nuclear!$C$5:$C$292,0))*$E93),Keys!$C$5),Keys!$C$4)</f>
        <v>0.9</v>
      </c>
      <c r="R93">
        <f>IF($D93=1,ROUND(Keys!$C$2/(INDEX(Src_SYSHECF_nuclear!$P$5:$P$292,MATCH($C93,Src_SYSHECF_nuclear!$C$5:$C$292,0))*$E93),Keys!$C$5),Keys!$C$4)</f>
        <v>0.9</v>
      </c>
      <c r="S93">
        <f>IF($D93=1,ROUND(Keys!$C$2/(INDEX(Src_SYSHECF_nuclear!$Q$5:$Q$292,MATCH($C93,Src_SYSHECF_nuclear!$C$5:$C$292,0))*$E93),Keys!$C$5),Keys!$C$4)</f>
        <v>0.9</v>
      </c>
      <c r="T93">
        <f>IF($D93=1,ROUND(Keys!$C$2/(INDEX(Src_SYSHECF_nuclear!$R$5:$R$292,MATCH($C93,Src_SYSHECF_nuclear!$C$5:$C$292,0))*$E93),Keys!$C$5),Keys!$C$4)</f>
        <v>0.9</v>
      </c>
      <c r="U93">
        <f>IF($D93=1,ROUND(Keys!$C$2/(INDEX(Src_SYSHECF_nuclear!$S$5:$S$292,MATCH($C93,Src_SYSHECF_nuclear!$C$5:$C$292,0))*$E93),Keys!$C$5),Keys!$C$4)</f>
        <v>0.9</v>
      </c>
      <c r="V93">
        <f>IF($D93=1,ROUND(Keys!$C$2/(INDEX(Src_SYSHECF_nuclear!$T$5:$T$292,MATCH($C93,Src_SYSHECF_nuclear!$C$5:$C$292,0))*$E93),Keys!$C$5),Keys!$C$4)</f>
        <v>0.9</v>
      </c>
      <c r="W93">
        <f>IF($D93=1,ROUND(Keys!$C$2/(INDEX(Src_SYSHECF_nuclear!$U$5:$U$292,MATCH($C93,Src_SYSHECF_nuclear!$C$5:$C$292,0))*$E93),Keys!$C$5),Keys!$C$4)</f>
        <v>0.9</v>
      </c>
      <c r="X93">
        <f>IF($D93=1,ROUND(Keys!$C$2/(INDEX(Src_SYSHECF_nuclear!$V$5:$V$292,MATCH($C93,Src_SYSHECF_nuclear!$C$5:$C$292,0))*$E93),Keys!$C$5),Keys!$C$4)</f>
        <v>0.9</v>
      </c>
      <c r="Y93">
        <f>IF($D93=1,ROUND(Keys!$C$2/(INDEX(Src_SYSHECF_nuclear!$W$5:$W$292,MATCH($C93,Src_SYSHECF_nuclear!$C$5:$C$292,0))*$E93),Keys!$C$5),Keys!$C$4)</f>
        <v>0.9</v>
      </c>
      <c r="Z93">
        <f>IF($D93=1,ROUND(Keys!$C$2/(INDEX(Src_SYSHECF_nuclear!$X$5:$X$292,MATCH($C93,Src_SYSHECF_nuclear!$C$5:$C$292,0))*$E93),Keys!$C$5),Keys!$C$4)</f>
        <v>0.9</v>
      </c>
      <c r="AA93">
        <f>IF($D93=1,ROUND(Keys!$C$2/(INDEX(Src_SYSHECF_nuclear!$Y$5:$Y$292,MATCH($C93,Src_SYSHECF_nuclear!$C$5:$C$292,0))*$E93),Keys!$C$5),Keys!$C$4)</f>
        <v>0.9</v>
      </c>
      <c r="AB93">
        <f>IF($D93=1,ROUND(Keys!$C$2/(INDEX(Src_SYSHECF_nuclear!$Z$5:$Z$292,MATCH($C93,Src_SYSHECF_nuclear!$C$5:$C$292,0))*$E93),Keys!$C$5),Keys!$C$4)</f>
        <v>0.9</v>
      </c>
      <c r="AC93">
        <f>IF($D93=1,ROUND(Keys!$C$2/(INDEX(Src_SYSHECF_nuclear!$AA$5:$AA$292,MATCH($C93,Src_SYSHECF_nuclear!$C$5:$C$292,0))*$E93),Keys!$C$5),Keys!$C$4)</f>
        <v>0.9</v>
      </c>
      <c r="AE93">
        <f>IF($D93=1,IF(ABS(INDEX(Src_SYSHECF_nuclear!$D$5:$D$292,MATCH($C93,Src_SYSHECF_nuclear!$C$5:$C$292,0))*$E93*F93-Keys!$C$2)&gt;Keys!$C$6,1,0),0)</f>
        <v>0</v>
      </c>
    </row>
    <row r="94" spans="1:31" x14ac:dyDescent="0.45">
      <c r="A94" t="s">
        <v>20</v>
      </c>
      <c r="B94" t="s">
        <v>426</v>
      </c>
      <c r="C94" t="str">
        <f t="shared" si="1"/>
        <v>DE|Summer</v>
      </c>
      <c r="D94">
        <f>INDEX(Src_BHRaSYC_nuclear!$HF$5:$HF$52,MATCH($A94,Src_BHRaSYC_nuclear!$A$5:$A$52,0))</f>
        <v>0</v>
      </c>
      <c r="E94">
        <f>INDEX(Src_HYECFCA_nuclear!$B$5:$B$52,MATCH($A94,Src_HYECFCA_nuclear!$A$5:$A$52,0))</f>
        <v>1</v>
      </c>
      <c r="F94">
        <f>IF($D94=1,ROUND(Keys!$C$2/(INDEX(Src_SYSHECF_nuclear!$D$5:$D$292,MATCH($C94,Src_SYSHECF_nuclear!$C$5:$C$292,0))*$E94),Keys!$C$5),Keys!$C$4)</f>
        <v>0.9</v>
      </c>
      <c r="G94">
        <f>IF($D94=1,ROUND(Keys!$C$2/(INDEX(Src_SYSHECF_nuclear!$E$5:$E$292,MATCH($C94,Src_SYSHECF_nuclear!$C$5:$C$292,0))*$E94),Keys!$C$5),Keys!$C$4)</f>
        <v>0.9</v>
      </c>
      <c r="H94">
        <f>IF($D94=1,ROUND(Keys!$C$2/(INDEX(Src_SYSHECF_nuclear!$F$5:$F$292,MATCH($C94,Src_SYSHECF_nuclear!$C$5:$C$292,0))*$E94),Keys!$C$5),Keys!$C$4)</f>
        <v>0.9</v>
      </c>
      <c r="I94">
        <f>IF($D94=1,ROUND(Keys!$C$2/(INDEX(Src_SYSHECF_nuclear!$G$5:$G$292,MATCH($C94,Src_SYSHECF_nuclear!$C$5:$C$292,0))*$E94),Keys!$C$5),Keys!$C$4)</f>
        <v>0.9</v>
      </c>
      <c r="J94">
        <f>IF($D94=1,ROUND(Keys!$C$2/(INDEX(Src_SYSHECF_nuclear!$H$5:$H$292,MATCH($C94,Src_SYSHECF_nuclear!$C$5:$C$292,0))*$E94),Keys!$C$5),Keys!$C$4)</f>
        <v>0.9</v>
      </c>
      <c r="K94">
        <f>IF($D94=1,ROUND(Keys!$C$2/(INDEX(Src_SYSHECF_nuclear!$I$5:$I$292,MATCH($C94,Src_SYSHECF_nuclear!$C$5:$C$292,0))*$E94),Keys!$C$5),Keys!$C$4)</f>
        <v>0.9</v>
      </c>
      <c r="L94">
        <f>IF($D94=1,ROUND(Keys!$C$2/(INDEX(Src_SYSHECF_nuclear!$J$5:$J$292,MATCH($C94,Src_SYSHECF_nuclear!$C$5:$C$292,0))*$E94),Keys!$C$5),Keys!$C$4)</f>
        <v>0.9</v>
      </c>
      <c r="M94">
        <f>IF($D94=1,ROUND(Keys!$C$2/(INDEX(Src_SYSHECF_nuclear!$K$5:$K$292,MATCH($C94,Src_SYSHECF_nuclear!$C$5:$C$292,0))*$E94),Keys!$C$5),Keys!$C$4)</f>
        <v>0.9</v>
      </c>
      <c r="N94">
        <f>IF($D94=1,ROUND(Keys!$C$2/(INDEX(Src_SYSHECF_nuclear!$L$5:$L$292,MATCH($C94,Src_SYSHECF_nuclear!$C$5:$C$292,0))*$E94),Keys!$C$5),Keys!$C$4)</f>
        <v>0.9</v>
      </c>
      <c r="O94">
        <f>IF($D94=1,ROUND(Keys!$C$2/(INDEX(Src_SYSHECF_nuclear!$M$5:$M$292,MATCH($C94,Src_SYSHECF_nuclear!$C$5:$C$292,0))*$E94),Keys!$C$5),Keys!$C$4)</f>
        <v>0.9</v>
      </c>
      <c r="P94">
        <f>IF($D94=1,ROUND(Keys!$C$2/(INDEX(Src_SYSHECF_nuclear!$N$5:$N$292,MATCH($C94,Src_SYSHECF_nuclear!$C$5:$C$292,0))*$E94),Keys!$C$5),Keys!$C$4)</f>
        <v>0.9</v>
      </c>
      <c r="Q94">
        <f>IF($D94=1,ROUND(Keys!$C$2/(INDEX(Src_SYSHECF_nuclear!$O$5:$O$292,MATCH($C94,Src_SYSHECF_nuclear!$C$5:$C$292,0))*$E94),Keys!$C$5),Keys!$C$4)</f>
        <v>0.9</v>
      </c>
      <c r="R94">
        <f>IF($D94=1,ROUND(Keys!$C$2/(INDEX(Src_SYSHECF_nuclear!$P$5:$P$292,MATCH($C94,Src_SYSHECF_nuclear!$C$5:$C$292,0))*$E94),Keys!$C$5),Keys!$C$4)</f>
        <v>0.9</v>
      </c>
      <c r="S94">
        <f>IF($D94=1,ROUND(Keys!$C$2/(INDEX(Src_SYSHECF_nuclear!$Q$5:$Q$292,MATCH($C94,Src_SYSHECF_nuclear!$C$5:$C$292,0))*$E94),Keys!$C$5),Keys!$C$4)</f>
        <v>0.9</v>
      </c>
      <c r="T94">
        <f>IF($D94=1,ROUND(Keys!$C$2/(INDEX(Src_SYSHECF_nuclear!$R$5:$R$292,MATCH($C94,Src_SYSHECF_nuclear!$C$5:$C$292,0))*$E94),Keys!$C$5),Keys!$C$4)</f>
        <v>0.9</v>
      </c>
      <c r="U94">
        <f>IF($D94=1,ROUND(Keys!$C$2/(INDEX(Src_SYSHECF_nuclear!$S$5:$S$292,MATCH($C94,Src_SYSHECF_nuclear!$C$5:$C$292,0))*$E94),Keys!$C$5),Keys!$C$4)</f>
        <v>0.9</v>
      </c>
      <c r="V94">
        <f>IF($D94=1,ROUND(Keys!$C$2/(INDEX(Src_SYSHECF_nuclear!$T$5:$T$292,MATCH($C94,Src_SYSHECF_nuclear!$C$5:$C$292,0))*$E94),Keys!$C$5),Keys!$C$4)</f>
        <v>0.9</v>
      </c>
      <c r="W94">
        <f>IF($D94=1,ROUND(Keys!$C$2/(INDEX(Src_SYSHECF_nuclear!$U$5:$U$292,MATCH($C94,Src_SYSHECF_nuclear!$C$5:$C$292,0))*$E94),Keys!$C$5),Keys!$C$4)</f>
        <v>0.9</v>
      </c>
      <c r="X94">
        <f>IF($D94=1,ROUND(Keys!$C$2/(INDEX(Src_SYSHECF_nuclear!$V$5:$V$292,MATCH($C94,Src_SYSHECF_nuclear!$C$5:$C$292,0))*$E94),Keys!$C$5),Keys!$C$4)</f>
        <v>0.9</v>
      </c>
      <c r="Y94">
        <f>IF($D94=1,ROUND(Keys!$C$2/(INDEX(Src_SYSHECF_nuclear!$W$5:$W$292,MATCH($C94,Src_SYSHECF_nuclear!$C$5:$C$292,0))*$E94),Keys!$C$5),Keys!$C$4)</f>
        <v>0.9</v>
      </c>
      <c r="Z94">
        <f>IF($D94=1,ROUND(Keys!$C$2/(INDEX(Src_SYSHECF_nuclear!$X$5:$X$292,MATCH($C94,Src_SYSHECF_nuclear!$C$5:$C$292,0))*$E94),Keys!$C$5),Keys!$C$4)</f>
        <v>0.9</v>
      </c>
      <c r="AA94">
        <f>IF($D94=1,ROUND(Keys!$C$2/(INDEX(Src_SYSHECF_nuclear!$Y$5:$Y$292,MATCH($C94,Src_SYSHECF_nuclear!$C$5:$C$292,0))*$E94),Keys!$C$5),Keys!$C$4)</f>
        <v>0.9</v>
      </c>
      <c r="AB94">
        <f>IF($D94=1,ROUND(Keys!$C$2/(INDEX(Src_SYSHECF_nuclear!$Z$5:$Z$292,MATCH($C94,Src_SYSHECF_nuclear!$C$5:$C$292,0))*$E94),Keys!$C$5),Keys!$C$4)</f>
        <v>0.9</v>
      </c>
      <c r="AC94">
        <f>IF($D94=1,ROUND(Keys!$C$2/(INDEX(Src_SYSHECF_nuclear!$AA$5:$AA$292,MATCH($C94,Src_SYSHECF_nuclear!$C$5:$C$292,0))*$E94),Keys!$C$5),Keys!$C$4)</f>
        <v>0.9</v>
      </c>
      <c r="AE94">
        <f>IF($D94=1,IF(ABS(INDEX(Src_SYSHECF_nuclear!$D$5:$D$292,MATCH($C94,Src_SYSHECF_nuclear!$C$5:$C$292,0))*$E94*F94-Keys!$C$2)&gt;Keys!$C$6,1,0),0)</f>
        <v>0</v>
      </c>
    </row>
    <row r="95" spans="1:31" x14ac:dyDescent="0.45">
      <c r="A95" t="s">
        <v>20</v>
      </c>
      <c r="B95" t="s">
        <v>427</v>
      </c>
      <c r="C95" t="str">
        <f t="shared" si="1"/>
        <v>DE|Fall</v>
      </c>
      <c r="D95">
        <f>INDEX(Src_BHRaSYC_nuclear!$HF$5:$HF$52,MATCH($A95,Src_BHRaSYC_nuclear!$A$5:$A$52,0))</f>
        <v>0</v>
      </c>
      <c r="E95">
        <f>INDEX(Src_HYECFCA_nuclear!$B$5:$B$52,MATCH($A95,Src_HYECFCA_nuclear!$A$5:$A$52,0))</f>
        <v>1</v>
      </c>
      <c r="F95">
        <f>IF($D95=1,ROUND(Keys!$C$2/(INDEX(Src_SYSHECF_nuclear!$D$5:$D$292,MATCH($C95,Src_SYSHECF_nuclear!$C$5:$C$292,0))*$E95),Keys!$C$5),Keys!$C$4)</f>
        <v>0.9</v>
      </c>
      <c r="G95">
        <f>IF($D95=1,ROUND(Keys!$C$2/(INDEX(Src_SYSHECF_nuclear!$E$5:$E$292,MATCH($C95,Src_SYSHECF_nuclear!$C$5:$C$292,0))*$E95),Keys!$C$5),Keys!$C$4)</f>
        <v>0.9</v>
      </c>
      <c r="H95">
        <f>IF($D95=1,ROUND(Keys!$C$2/(INDEX(Src_SYSHECF_nuclear!$F$5:$F$292,MATCH($C95,Src_SYSHECF_nuclear!$C$5:$C$292,0))*$E95),Keys!$C$5),Keys!$C$4)</f>
        <v>0.9</v>
      </c>
      <c r="I95">
        <f>IF($D95=1,ROUND(Keys!$C$2/(INDEX(Src_SYSHECF_nuclear!$G$5:$G$292,MATCH($C95,Src_SYSHECF_nuclear!$C$5:$C$292,0))*$E95),Keys!$C$5),Keys!$C$4)</f>
        <v>0.9</v>
      </c>
      <c r="J95">
        <f>IF($D95=1,ROUND(Keys!$C$2/(INDEX(Src_SYSHECF_nuclear!$H$5:$H$292,MATCH($C95,Src_SYSHECF_nuclear!$C$5:$C$292,0))*$E95),Keys!$C$5),Keys!$C$4)</f>
        <v>0.9</v>
      </c>
      <c r="K95">
        <f>IF($D95=1,ROUND(Keys!$C$2/(INDEX(Src_SYSHECF_nuclear!$I$5:$I$292,MATCH($C95,Src_SYSHECF_nuclear!$C$5:$C$292,0))*$E95),Keys!$C$5),Keys!$C$4)</f>
        <v>0.9</v>
      </c>
      <c r="L95">
        <f>IF($D95=1,ROUND(Keys!$C$2/(INDEX(Src_SYSHECF_nuclear!$J$5:$J$292,MATCH($C95,Src_SYSHECF_nuclear!$C$5:$C$292,0))*$E95),Keys!$C$5),Keys!$C$4)</f>
        <v>0.9</v>
      </c>
      <c r="M95">
        <f>IF($D95=1,ROUND(Keys!$C$2/(INDEX(Src_SYSHECF_nuclear!$K$5:$K$292,MATCH($C95,Src_SYSHECF_nuclear!$C$5:$C$292,0))*$E95),Keys!$C$5),Keys!$C$4)</f>
        <v>0.9</v>
      </c>
      <c r="N95">
        <f>IF($D95=1,ROUND(Keys!$C$2/(INDEX(Src_SYSHECF_nuclear!$L$5:$L$292,MATCH($C95,Src_SYSHECF_nuclear!$C$5:$C$292,0))*$E95),Keys!$C$5),Keys!$C$4)</f>
        <v>0.9</v>
      </c>
      <c r="O95">
        <f>IF($D95=1,ROUND(Keys!$C$2/(INDEX(Src_SYSHECF_nuclear!$M$5:$M$292,MATCH($C95,Src_SYSHECF_nuclear!$C$5:$C$292,0))*$E95),Keys!$C$5),Keys!$C$4)</f>
        <v>0.9</v>
      </c>
      <c r="P95">
        <f>IF($D95=1,ROUND(Keys!$C$2/(INDEX(Src_SYSHECF_nuclear!$N$5:$N$292,MATCH($C95,Src_SYSHECF_nuclear!$C$5:$C$292,0))*$E95),Keys!$C$5),Keys!$C$4)</f>
        <v>0.9</v>
      </c>
      <c r="Q95">
        <f>IF($D95=1,ROUND(Keys!$C$2/(INDEX(Src_SYSHECF_nuclear!$O$5:$O$292,MATCH($C95,Src_SYSHECF_nuclear!$C$5:$C$292,0))*$E95),Keys!$C$5),Keys!$C$4)</f>
        <v>0.9</v>
      </c>
      <c r="R95">
        <f>IF($D95=1,ROUND(Keys!$C$2/(INDEX(Src_SYSHECF_nuclear!$P$5:$P$292,MATCH($C95,Src_SYSHECF_nuclear!$C$5:$C$292,0))*$E95),Keys!$C$5),Keys!$C$4)</f>
        <v>0.9</v>
      </c>
      <c r="S95">
        <f>IF($D95=1,ROUND(Keys!$C$2/(INDEX(Src_SYSHECF_nuclear!$Q$5:$Q$292,MATCH($C95,Src_SYSHECF_nuclear!$C$5:$C$292,0))*$E95),Keys!$C$5),Keys!$C$4)</f>
        <v>0.9</v>
      </c>
      <c r="T95">
        <f>IF($D95=1,ROUND(Keys!$C$2/(INDEX(Src_SYSHECF_nuclear!$R$5:$R$292,MATCH($C95,Src_SYSHECF_nuclear!$C$5:$C$292,0))*$E95),Keys!$C$5),Keys!$C$4)</f>
        <v>0.9</v>
      </c>
      <c r="U95">
        <f>IF($D95=1,ROUND(Keys!$C$2/(INDEX(Src_SYSHECF_nuclear!$S$5:$S$292,MATCH($C95,Src_SYSHECF_nuclear!$C$5:$C$292,0))*$E95),Keys!$C$5),Keys!$C$4)</f>
        <v>0.9</v>
      </c>
      <c r="V95">
        <f>IF($D95=1,ROUND(Keys!$C$2/(INDEX(Src_SYSHECF_nuclear!$T$5:$T$292,MATCH($C95,Src_SYSHECF_nuclear!$C$5:$C$292,0))*$E95),Keys!$C$5),Keys!$C$4)</f>
        <v>0.9</v>
      </c>
      <c r="W95">
        <f>IF($D95=1,ROUND(Keys!$C$2/(INDEX(Src_SYSHECF_nuclear!$U$5:$U$292,MATCH($C95,Src_SYSHECF_nuclear!$C$5:$C$292,0))*$E95),Keys!$C$5),Keys!$C$4)</f>
        <v>0.9</v>
      </c>
      <c r="X95">
        <f>IF($D95=1,ROUND(Keys!$C$2/(INDEX(Src_SYSHECF_nuclear!$V$5:$V$292,MATCH($C95,Src_SYSHECF_nuclear!$C$5:$C$292,0))*$E95),Keys!$C$5),Keys!$C$4)</f>
        <v>0.9</v>
      </c>
      <c r="Y95">
        <f>IF($D95=1,ROUND(Keys!$C$2/(INDEX(Src_SYSHECF_nuclear!$W$5:$W$292,MATCH($C95,Src_SYSHECF_nuclear!$C$5:$C$292,0))*$E95),Keys!$C$5),Keys!$C$4)</f>
        <v>0.9</v>
      </c>
      <c r="Z95">
        <f>IF($D95=1,ROUND(Keys!$C$2/(INDEX(Src_SYSHECF_nuclear!$X$5:$X$292,MATCH($C95,Src_SYSHECF_nuclear!$C$5:$C$292,0))*$E95),Keys!$C$5),Keys!$C$4)</f>
        <v>0.9</v>
      </c>
      <c r="AA95">
        <f>IF($D95=1,ROUND(Keys!$C$2/(INDEX(Src_SYSHECF_nuclear!$Y$5:$Y$292,MATCH($C95,Src_SYSHECF_nuclear!$C$5:$C$292,0))*$E95),Keys!$C$5),Keys!$C$4)</f>
        <v>0.9</v>
      </c>
      <c r="AB95">
        <f>IF($D95=1,ROUND(Keys!$C$2/(INDEX(Src_SYSHECF_nuclear!$Z$5:$Z$292,MATCH($C95,Src_SYSHECF_nuclear!$C$5:$C$292,0))*$E95),Keys!$C$5),Keys!$C$4)</f>
        <v>0.9</v>
      </c>
      <c r="AC95">
        <f>IF($D95=1,ROUND(Keys!$C$2/(INDEX(Src_SYSHECF_nuclear!$AA$5:$AA$292,MATCH($C95,Src_SYSHECF_nuclear!$C$5:$C$292,0))*$E95),Keys!$C$5),Keys!$C$4)</f>
        <v>0.9</v>
      </c>
      <c r="AE95">
        <f>IF($D95=1,IF(ABS(INDEX(Src_SYSHECF_nuclear!$D$5:$D$292,MATCH($C95,Src_SYSHECF_nuclear!$C$5:$C$292,0))*$E95*F95-Keys!$C$2)&gt;Keys!$C$6,1,0),0)</f>
        <v>0</v>
      </c>
    </row>
    <row r="96" spans="1:31" x14ac:dyDescent="0.45">
      <c r="A96" t="s">
        <v>20</v>
      </c>
      <c r="B96" t="s">
        <v>428</v>
      </c>
      <c r="C96" t="str">
        <f t="shared" si="1"/>
        <v>DE|Summer Peak</v>
      </c>
      <c r="D96">
        <f>INDEX(Src_BHRaSYC_nuclear!$HF$5:$HF$52,MATCH($A96,Src_BHRaSYC_nuclear!$A$5:$A$52,0))</f>
        <v>0</v>
      </c>
      <c r="E96">
        <f>INDEX(Src_HYECFCA_nuclear!$B$5:$B$52,MATCH($A96,Src_HYECFCA_nuclear!$A$5:$A$52,0))</f>
        <v>1</v>
      </c>
      <c r="F96">
        <f>IF($D96=1,ROUND(Keys!$C$2/(INDEX(Src_SYSHECF_nuclear!$D$5:$D$292,MATCH($C96,Src_SYSHECF_nuclear!$C$5:$C$292,0))*$E96),Keys!$C$5),Keys!$C$4)</f>
        <v>0.9</v>
      </c>
      <c r="G96">
        <f>IF($D96=1,ROUND(Keys!$C$2/(INDEX(Src_SYSHECF_nuclear!$E$5:$E$292,MATCH($C96,Src_SYSHECF_nuclear!$C$5:$C$292,0))*$E96),Keys!$C$5),Keys!$C$4)</f>
        <v>0.9</v>
      </c>
      <c r="H96">
        <f>IF($D96=1,ROUND(Keys!$C$2/(INDEX(Src_SYSHECF_nuclear!$F$5:$F$292,MATCH($C96,Src_SYSHECF_nuclear!$C$5:$C$292,0))*$E96),Keys!$C$5),Keys!$C$4)</f>
        <v>0.9</v>
      </c>
      <c r="I96">
        <f>IF($D96=1,ROUND(Keys!$C$2/(INDEX(Src_SYSHECF_nuclear!$G$5:$G$292,MATCH($C96,Src_SYSHECF_nuclear!$C$5:$C$292,0))*$E96),Keys!$C$5),Keys!$C$4)</f>
        <v>0.9</v>
      </c>
      <c r="J96">
        <f>IF($D96=1,ROUND(Keys!$C$2/(INDEX(Src_SYSHECF_nuclear!$H$5:$H$292,MATCH($C96,Src_SYSHECF_nuclear!$C$5:$C$292,0))*$E96),Keys!$C$5),Keys!$C$4)</f>
        <v>0.9</v>
      </c>
      <c r="K96">
        <f>IF($D96=1,ROUND(Keys!$C$2/(INDEX(Src_SYSHECF_nuclear!$I$5:$I$292,MATCH($C96,Src_SYSHECF_nuclear!$C$5:$C$292,0))*$E96),Keys!$C$5),Keys!$C$4)</f>
        <v>0.9</v>
      </c>
      <c r="L96">
        <f>IF($D96=1,ROUND(Keys!$C$2/(INDEX(Src_SYSHECF_nuclear!$J$5:$J$292,MATCH($C96,Src_SYSHECF_nuclear!$C$5:$C$292,0))*$E96),Keys!$C$5),Keys!$C$4)</f>
        <v>0.9</v>
      </c>
      <c r="M96">
        <f>IF($D96=1,ROUND(Keys!$C$2/(INDEX(Src_SYSHECF_nuclear!$K$5:$K$292,MATCH($C96,Src_SYSHECF_nuclear!$C$5:$C$292,0))*$E96),Keys!$C$5),Keys!$C$4)</f>
        <v>0.9</v>
      </c>
      <c r="N96">
        <f>IF($D96=1,ROUND(Keys!$C$2/(INDEX(Src_SYSHECF_nuclear!$L$5:$L$292,MATCH($C96,Src_SYSHECF_nuclear!$C$5:$C$292,0))*$E96),Keys!$C$5),Keys!$C$4)</f>
        <v>0.9</v>
      </c>
      <c r="O96">
        <f>IF($D96=1,ROUND(Keys!$C$2/(INDEX(Src_SYSHECF_nuclear!$M$5:$M$292,MATCH($C96,Src_SYSHECF_nuclear!$C$5:$C$292,0))*$E96),Keys!$C$5),Keys!$C$4)</f>
        <v>0.9</v>
      </c>
      <c r="P96">
        <f>IF($D96=1,ROUND(Keys!$C$2/(INDEX(Src_SYSHECF_nuclear!$N$5:$N$292,MATCH($C96,Src_SYSHECF_nuclear!$C$5:$C$292,0))*$E96),Keys!$C$5),Keys!$C$4)</f>
        <v>0.9</v>
      </c>
      <c r="Q96">
        <f>IF($D96=1,ROUND(Keys!$C$2/(INDEX(Src_SYSHECF_nuclear!$O$5:$O$292,MATCH($C96,Src_SYSHECF_nuclear!$C$5:$C$292,0))*$E96),Keys!$C$5),Keys!$C$4)</f>
        <v>0.9</v>
      </c>
      <c r="R96">
        <f>IF($D96=1,ROUND(Keys!$C$2/(INDEX(Src_SYSHECF_nuclear!$P$5:$P$292,MATCH($C96,Src_SYSHECF_nuclear!$C$5:$C$292,0))*$E96),Keys!$C$5),Keys!$C$4)</f>
        <v>0.9</v>
      </c>
      <c r="S96">
        <f>IF($D96=1,ROUND(Keys!$C$2/(INDEX(Src_SYSHECF_nuclear!$Q$5:$Q$292,MATCH($C96,Src_SYSHECF_nuclear!$C$5:$C$292,0))*$E96),Keys!$C$5),Keys!$C$4)</f>
        <v>0.9</v>
      </c>
      <c r="T96">
        <f>IF($D96=1,ROUND(Keys!$C$2/(INDEX(Src_SYSHECF_nuclear!$R$5:$R$292,MATCH($C96,Src_SYSHECF_nuclear!$C$5:$C$292,0))*$E96),Keys!$C$5),Keys!$C$4)</f>
        <v>0.9</v>
      </c>
      <c r="U96">
        <f>IF($D96=1,ROUND(Keys!$C$2/(INDEX(Src_SYSHECF_nuclear!$S$5:$S$292,MATCH($C96,Src_SYSHECF_nuclear!$C$5:$C$292,0))*$E96),Keys!$C$5),Keys!$C$4)</f>
        <v>0.9</v>
      </c>
      <c r="V96">
        <f>IF($D96=1,ROUND(Keys!$C$2/(INDEX(Src_SYSHECF_nuclear!$T$5:$T$292,MATCH($C96,Src_SYSHECF_nuclear!$C$5:$C$292,0))*$E96),Keys!$C$5),Keys!$C$4)</f>
        <v>0.9</v>
      </c>
      <c r="W96">
        <f>IF($D96=1,ROUND(Keys!$C$2/(INDEX(Src_SYSHECF_nuclear!$U$5:$U$292,MATCH($C96,Src_SYSHECF_nuclear!$C$5:$C$292,0))*$E96),Keys!$C$5),Keys!$C$4)</f>
        <v>0.9</v>
      </c>
      <c r="X96">
        <f>IF($D96=1,ROUND(Keys!$C$2/(INDEX(Src_SYSHECF_nuclear!$V$5:$V$292,MATCH($C96,Src_SYSHECF_nuclear!$C$5:$C$292,0))*$E96),Keys!$C$5),Keys!$C$4)</f>
        <v>0.9</v>
      </c>
      <c r="Y96">
        <f>IF($D96=1,ROUND(Keys!$C$2/(INDEX(Src_SYSHECF_nuclear!$W$5:$W$292,MATCH($C96,Src_SYSHECF_nuclear!$C$5:$C$292,0))*$E96),Keys!$C$5),Keys!$C$4)</f>
        <v>0.9</v>
      </c>
      <c r="Z96">
        <f>IF($D96=1,ROUND(Keys!$C$2/(INDEX(Src_SYSHECF_nuclear!$X$5:$X$292,MATCH($C96,Src_SYSHECF_nuclear!$C$5:$C$292,0))*$E96),Keys!$C$5),Keys!$C$4)</f>
        <v>0.9</v>
      </c>
      <c r="AA96">
        <f>IF($D96=1,ROUND(Keys!$C$2/(INDEX(Src_SYSHECF_nuclear!$Y$5:$Y$292,MATCH($C96,Src_SYSHECF_nuclear!$C$5:$C$292,0))*$E96),Keys!$C$5),Keys!$C$4)</f>
        <v>0.9</v>
      </c>
      <c r="AB96">
        <f>IF($D96=1,ROUND(Keys!$C$2/(INDEX(Src_SYSHECF_nuclear!$Z$5:$Z$292,MATCH($C96,Src_SYSHECF_nuclear!$C$5:$C$292,0))*$E96),Keys!$C$5),Keys!$C$4)</f>
        <v>0.9</v>
      </c>
      <c r="AC96">
        <f>IF($D96=1,ROUND(Keys!$C$2/(INDEX(Src_SYSHECF_nuclear!$AA$5:$AA$292,MATCH($C96,Src_SYSHECF_nuclear!$C$5:$C$292,0))*$E96),Keys!$C$5),Keys!$C$4)</f>
        <v>0.9</v>
      </c>
      <c r="AE96">
        <f>IF($D96=1,IF(ABS(INDEX(Src_SYSHECF_nuclear!$D$5:$D$292,MATCH($C96,Src_SYSHECF_nuclear!$C$5:$C$292,0))*$E96*F96-Keys!$C$2)&gt;Keys!$C$6,1,0),0)</f>
        <v>0</v>
      </c>
    </row>
    <row r="97" spans="1:31" x14ac:dyDescent="0.45">
      <c r="A97" t="s">
        <v>20</v>
      </c>
      <c r="B97" t="s">
        <v>429</v>
      </c>
      <c r="C97" t="str">
        <f t="shared" si="1"/>
        <v>DE|Winter Peak</v>
      </c>
      <c r="D97">
        <f>INDEX(Src_BHRaSYC_nuclear!$HF$5:$HF$52,MATCH($A97,Src_BHRaSYC_nuclear!$A$5:$A$52,0))</f>
        <v>0</v>
      </c>
      <c r="E97">
        <f>INDEX(Src_HYECFCA_nuclear!$B$5:$B$52,MATCH($A97,Src_HYECFCA_nuclear!$A$5:$A$52,0))</f>
        <v>1</v>
      </c>
      <c r="F97">
        <f>IF($D97=1,ROUND(Keys!$C$2/(INDEX(Src_SYSHECF_nuclear!$D$5:$D$292,MATCH($C97,Src_SYSHECF_nuclear!$C$5:$C$292,0))*$E97),Keys!$C$5),Keys!$C$4)</f>
        <v>0.9</v>
      </c>
      <c r="G97">
        <f>IF($D97=1,ROUND(Keys!$C$2/(INDEX(Src_SYSHECF_nuclear!$E$5:$E$292,MATCH($C97,Src_SYSHECF_nuclear!$C$5:$C$292,0))*$E97),Keys!$C$5),Keys!$C$4)</f>
        <v>0.9</v>
      </c>
      <c r="H97">
        <f>IF($D97=1,ROUND(Keys!$C$2/(INDEX(Src_SYSHECF_nuclear!$F$5:$F$292,MATCH($C97,Src_SYSHECF_nuclear!$C$5:$C$292,0))*$E97),Keys!$C$5),Keys!$C$4)</f>
        <v>0.9</v>
      </c>
      <c r="I97">
        <f>IF($D97=1,ROUND(Keys!$C$2/(INDEX(Src_SYSHECF_nuclear!$G$5:$G$292,MATCH($C97,Src_SYSHECF_nuclear!$C$5:$C$292,0))*$E97),Keys!$C$5),Keys!$C$4)</f>
        <v>0.9</v>
      </c>
      <c r="J97">
        <f>IF($D97=1,ROUND(Keys!$C$2/(INDEX(Src_SYSHECF_nuclear!$H$5:$H$292,MATCH($C97,Src_SYSHECF_nuclear!$C$5:$C$292,0))*$E97),Keys!$C$5),Keys!$C$4)</f>
        <v>0.9</v>
      </c>
      <c r="K97">
        <f>IF($D97=1,ROUND(Keys!$C$2/(INDEX(Src_SYSHECF_nuclear!$I$5:$I$292,MATCH($C97,Src_SYSHECF_nuclear!$C$5:$C$292,0))*$E97),Keys!$C$5),Keys!$C$4)</f>
        <v>0.9</v>
      </c>
      <c r="L97">
        <f>IF($D97=1,ROUND(Keys!$C$2/(INDEX(Src_SYSHECF_nuclear!$J$5:$J$292,MATCH($C97,Src_SYSHECF_nuclear!$C$5:$C$292,0))*$E97),Keys!$C$5),Keys!$C$4)</f>
        <v>0.9</v>
      </c>
      <c r="M97">
        <f>IF($D97=1,ROUND(Keys!$C$2/(INDEX(Src_SYSHECF_nuclear!$K$5:$K$292,MATCH($C97,Src_SYSHECF_nuclear!$C$5:$C$292,0))*$E97),Keys!$C$5),Keys!$C$4)</f>
        <v>0.9</v>
      </c>
      <c r="N97">
        <f>IF($D97=1,ROUND(Keys!$C$2/(INDEX(Src_SYSHECF_nuclear!$L$5:$L$292,MATCH($C97,Src_SYSHECF_nuclear!$C$5:$C$292,0))*$E97),Keys!$C$5),Keys!$C$4)</f>
        <v>0.9</v>
      </c>
      <c r="O97">
        <f>IF($D97=1,ROUND(Keys!$C$2/(INDEX(Src_SYSHECF_nuclear!$M$5:$M$292,MATCH($C97,Src_SYSHECF_nuclear!$C$5:$C$292,0))*$E97),Keys!$C$5),Keys!$C$4)</f>
        <v>0.9</v>
      </c>
      <c r="P97">
        <f>IF($D97=1,ROUND(Keys!$C$2/(INDEX(Src_SYSHECF_nuclear!$N$5:$N$292,MATCH($C97,Src_SYSHECF_nuclear!$C$5:$C$292,0))*$E97),Keys!$C$5),Keys!$C$4)</f>
        <v>0.9</v>
      </c>
      <c r="Q97">
        <f>IF($D97=1,ROUND(Keys!$C$2/(INDEX(Src_SYSHECF_nuclear!$O$5:$O$292,MATCH($C97,Src_SYSHECF_nuclear!$C$5:$C$292,0))*$E97),Keys!$C$5),Keys!$C$4)</f>
        <v>0.9</v>
      </c>
      <c r="R97">
        <f>IF($D97=1,ROUND(Keys!$C$2/(INDEX(Src_SYSHECF_nuclear!$P$5:$P$292,MATCH($C97,Src_SYSHECF_nuclear!$C$5:$C$292,0))*$E97),Keys!$C$5),Keys!$C$4)</f>
        <v>0.9</v>
      </c>
      <c r="S97">
        <f>IF($D97=1,ROUND(Keys!$C$2/(INDEX(Src_SYSHECF_nuclear!$Q$5:$Q$292,MATCH($C97,Src_SYSHECF_nuclear!$C$5:$C$292,0))*$E97),Keys!$C$5),Keys!$C$4)</f>
        <v>0.9</v>
      </c>
      <c r="T97">
        <f>IF($D97=1,ROUND(Keys!$C$2/(INDEX(Src_SYSHECF_nuclear!$R$5:$R$292,MATCH($C97,Src_SYSHECF_nuclear!$C$5:$C$292,0))*$E97),Keys!$C$5),Keys!$C$4)</f>
        <v>0.9</v>
      </c>
      <c r="U97">
        <f>IF($D97=1,ROUND(Keys!$C$2/(INDEX(Src_SYSHECF_nuclear!$S$5:$S$292,MATCH($C97,Src_SYSHECF_nuclear!$C$5:$C$292,0))*$E97),Keys!$C$5),Keys!$C$4)</f>
        <v>0.9</v>
      </c>
      <c r="V97">
        <f>IF($D97=1,ROUND(Keys!$C$2/(INDEX(Src_SYSHECF_nuclear!$T$5:$T$292,MATCH($C97,Src_SYSHECF_nuclear!$C$5:$C$292,0))*$E97),Keys!$C$5),Keys!$C$4)</f>
        <v>0.9</v>
      </c>
      <c r="W97">
        <f>IF($D97=1,ROUND(Keys!$C$2/(INDEX(Src_SYSHECF_nuclear!$U$5:$U$292,MATCH($C97,Src_SYSHECF_nuclear!$C$5:$C$292,0))*$E97),Keys!$C$5),Keys!$C$4)</f>
        <v>0.9</v>
      </c>
      <c r="X97">
        <f>IF($D97=1,ROUND(Keys!$C$2/(INDEX(Src_SYSHECF_nuclear!$V$5:$V$292,MATCH($C97,Src_SYSHECF_nuclear!$C$5:$C$292,0))*$E97),Keys!$C$5),Keys!$C$4)</f>
        <v>0.9</v>
      </c>
      <c r="Y97">
        <f>IF($D97=1,ROUND(Keys!$C$2/(INDEX(Src_SYSHECF_nuclear!$W$5:$W$292,MATCH($C97,Src_SYSHECF_nuclear!$C$5:$C$292,0))*$E97),Keys!$C$5),Keys!$C$4)</f>
        <v>0.9</v>
      </c>
      <c r="Z97">
        <f>IF($D97=1,ROUND(Keys!$C$2/(INDEX(Src_SYSHECF_nuclear!$X$5:$X$292,MATCH($C97,Src_SYSHECF_nuclear!$C$5:$C$292,0))*$E97),Keys!$C$5),Keys!$C$4)</f>
        <v>0.9</v>
      </c>
      <c r="AA97">
        <f>IF($D97=1,ROUND(Keys!$C$2/(INDEX(Src_SYSHECF_nuclear!$Y$5:$Y$292,MATCH($C97,Src_SYSHECF_nuclear!$C$5:$C$292,0))*$E97),Keys!$C$5),Keys!$C$4)</f>
        <v>0.9</v>
      </c>
      <c r="AB97">
        <f>IF($D97=1,ROUND(Keys!$C$2/(INDEX(Src_SYSHECF_nuclear!$Z$5:$Z$292,MATCH($C97,Src_SYSHECF_nuclear!$C$5:$C$292,0))*$E97),Keys!$C$5),Keys!$C$4)</f>
        <v>0.9</v>
      </c>
      <c r="AC97">
        <f>IF($D97=1,ROUND(Keys!$C$2/(INDEX(Src_SYSHECF_nuclear!$AA$5:$AA$292,MATCH($C97,Src_SYSHECF_nuclear!$C$5:$C$292,0))*$E97),Keys!$C$5),Keys!$C$4)</f>
        <v>0.9</v>
      </c>
      <c r="AE97">
        <f>IF($D97=1,IF(ABS(INDEX(Src_SYSHECF_nuclear!$D$5:$D$292,MATCH($C97,Src_SYSHECF_nuclear!$C$5:$C$292,0))*$E97*F97-Keys!$C$2)&gt;Keys!$C$6,1,0),0)</f>
        <v>0</v>
      </c>
    </row>
    <row r="98" spans="1:31" x14ac:dyDescent="0.45">
      <c r="A98" t="s">
        <v>23</v>
      </c>
      <c r="B98" t="s">
        <v>424</v>
      </c>
      <c r="C98" t="str">
        <f t="shared" si="1"/>
        <v>FL|Winter</v>
      </c>
      <c r="D98">
        <f>INDEX(Src_BHRaSYC_nuclear!$HF$5:$HF$52,MATCH($A98,Src_BHRaSYC_nuclear!$A$5:$A$52,0))</f>
        <v>1</v>
      </c>
      <c r="E98">
        <f>INDEX(Src_HYECFCA_nuclear!$B$5:$B$52,MATCH($A98,Src_HYECFCA_nuclear!$A$5:$A$52,0))</f>
        <v>1.0280400000000001</v>
      </c>
      <c r="F98">
        <f>IF($D98=1,ROUND(Keys!$C$2/(INDEX(Src_SYSHECF_nuclear!$D$5:$D$292,MATCH($C98,Src_SYSHECF_nuclear!$C$5:$C$292,0))*$E98),Keys!$C$5),Keys!$C$4)</f>
        <v>1.0169999999999999</v>
      </c>
      <c r="G98">
        <f>IF($D98=1,ROUND(Keys!$C$2/(INDEX(Src_SYSHECF_nuclear!$E$5:$E$292,MATCH($C98,Src_SYSHECF_nuclear!$C$5:$C$292,0))*$E98),Keys!$C$5),Keys!$C$4)</f>
        <v>1.0169999999999999</v>
      </c>
      <c r="H98">
        <f>IF($D98=1,ROUND(Keys!$C$2/(INDEX(Src_SYSHECF_nuclear!$F$5:$F$292,MATCH($C98,Src_SYSHECF_nuclear!$C$5:$C$292,0))*$E98),Keys!$C$5),Keys!$C$4)</f>
        <v>1.0169999999999999</v>
      </c>
      <c r="I98">
        <f>IF($D98=1,ROUND(Keys!$C$2/(INDEX(Src_SYSHECF_nuclear!$G$5:$G$292,MATCH($C98,Src_SYSHECF_nuclear!$C$5:$C$292,0))*$E98),Keys!$C$5),Keys!$C$4)</f>
        <v>1.0169999999999999</v>
      </c>
      <c r="J98">
        <f>IF($D98=1,ROUND(Keys!$C$2/(INDEX(Src_SYSHECF_nuclear!$H$5:$H$292,MATCH($C98,Src_SYSHECF_nuclear!$C$5:$C$292,0))*$E98),Keys!$C$5),Keys!$C$4)</f>
        <v>1.0169999999999999</v>
      </c>
      <c r="K98">
        <f>IF($D98=1,ROUND(Keys!$C$2/(INDEX(Src_SYSHECF_nuclear!$I$5:$I$292,MATCH($C98,Src_SYSHECF_nuclear!$C$5:$C$292,0))*$E98),Keys!$C$5),Keys!$C$4)</f>
        <v>1.0169999999999999</v>
      </c>
      <c r="L98">
        <f>IF($D98=1,ROUND(Keys!$C$2/(INDEX(Src_SYSHECF_nuclear!$J$5:$J$292,MATCH($C98,Src_SYSHECF_nuclear!$C$5:$C$292,0))*$E98),Keys!$C$5),Keys!$C$4)</f>
        <v>1.0169999999999999</v>
      </c>
      <c r="M98">
        <f>IF($D98=1,ROUND(Keys!$C$2/(INDEX(Src_SYSHECF_nuclear!$K$5:$K$292,MATCH($C98,Src_SYSHECF_nuclear!$C$5:$C$292,0))*$E98),Keys!$C$5),Keys!$C$4)</f>
        <v>1.0358000000000001</v>
      </c>
      <c r="N98">
        <f>IF($D98=1,ROUND(Keys!$C$2/(INDEX(Src_SYSHECF_nuclear!$L$5:$L$292,MATCH($C98,Src_SYSHECF_nuclear!$C$5:$C$292,0))*$E98),Keys!$C$5),Keys!$C$4)</f>
        <v>1.046</v>
      </c>
      <c r="O98">
        <f>IF($D98=1,ROUND(Keys!$C$2/(INDEX(Src_SYSHECF_nuclear!$M$5:$M$292,MATCH($C98,Src_SYSHECF_nuclear!$C$5:$C$292,0))*$E98),Keys!$C$5),Keys!$C$4)</f>
        <v>1.0353000000000001</v>
      </c>
      <c r="P98">
        <f>IF($D98=1,ROUND(Keys!$C$2/(INDEX(Src_SYSHECF_nuclear!$N$5:$N$292,MATCH($C98,Src_SYSHECF_nuclear!$C$5:$C$292,0))*$E98),Keys!$C$5),Keys!$C$4)</f>
        <v>1.0329999999999999</v>
      </c>
      <c r="Q98">
        <f>IF($D98=1,ROUND(Keys!$C$2/(INDEX(Src_SYSHECF_nuclear!$O$5:$O$292,MATCH($C98,Src_SYSHECF_nuclear!$C$5:$C$292,0))*$E98),Keys!$C$5),Keys!$C$4)</f>
        <v>1.0270999999999999</v>
      </c>
      <c r="R98">
        <f>IF($D98=1,ROUND(Keys!$C$2/(INDEX(Src_SYSHECF_nuclear!$P$5:$P$292,MATCH($C98,Src_SYSHECF_nuclear!$C$5:$C$292,0))*$E98),Keys!$C$5),Keys!$C$4)</f>
        <v>1.0218</v>
      </c>
      <c r="S98">
        <f>IF($D98=1,ROUND(Keys!$C$2/(INDEX(Src_SYSHECF_nuclear!$Q$5:$Q$292,MATCH($C98,Src_SYSHECF_nuclear!$C$5:$C$292,0))*$E98),Keys!$C$5),Keys!$C$4)</f>
        <v>1.0261</v>
      </c>
      <c r="T98">
        <f>IF($D98=1,ROUND(Keys!$C$2/(INDEX(Src_SYSHECF_nuclear!$R$5:$R$292,MATCH($C98,Src_SYSHECF_nuclear!$C$5:$C$292,0))*$E98),Keys!$C$5),Keys!$C$4)</f>
        <v>1.0293000000000001</v>
      </c>
      <c r="U98">
        <f>IF($D98=1,ROUND(Keys!$C$2/(INDEX(Src_SYSHECF_nuclear!$S$5:$S$292,MATCH($C98,Src_SYSHECF_nuclear!$C$5:$C$292,0))*$E98),Keys!$C$5),Keys!$C$4)</f>
        <v>1.0223</v>
      </c>
      <c r="V98">
        <f>IF($D98=1,ROUND(Keys!$C$2/(INDEX(Src_SYSHECF_nuclear!$T$5:$T$292,MATCH($C98,Src_SYSHECF_nuclear!$C$5:$C$292,0))*$E98),Keys!$C$5),Keys!$C$4)</f>
        <v>1.0169999999999999</v>
      </c>
      <c r="W98">
        <f>IF($D98=1,ROUND(Keys!$C$2/(INDEX(Src_SYSHECF_nuclear!$U$5:$U$292,MATCH($C98,Src_SYSHECF_nuclear!$C$5:$C$292,0))*$E98),Keys!$C$5),Keys!$C$4)</f>
        <v>1.0169999999999999</v>
      </c>
      <c r="X98">
        <f>IF($D98=1,ROUND(Keys!$C$2/(INDEX(Src_SYSHECF_nuclear!$V$5:$V$292,MATCH($C98,Src_SYSHECF_nuclear!$C$5:$C$292,0))*$E98),Keys!$C$5),Keys!$C$4)</f>
        <v>1.0169999999999999</v>
      </c>
      <c r="Y98">
        <f>IF($D98=1,ROUND(Keys!$C$2/(INDEX(Src_SYSHECF_nuclear!$W$5:$W$292,MATCH($C98,Src_SYSHECF_nuclear!$C$5:$C$292,0))*$E98),Keys!$C$5),Keys!$C$4)</f>
        <v>1.0169999999999999</v>
      </c>
      <c r="Z98">
        <f>IF($D98=1,ROUND(Keys!$C$2/(INDEX(Src_SYSHECF_nuclear!$X$5:$X$292,MATCH($C98,Src_SYSHECF_nuclear!$C$5:$C$292,0))*$E98),Keys!$C$5),Keys!$C$4)</f>
        <v>1.0169999999999999</v>
      </c>
      <c r="AA98">
        <f>IF($D98=1,ROUND(Keys!$C$2/(INDEX(Src_SYSHECF_nuclear!$Y$5:$Y$292,MATCH($C98,Src_SYSHECF_nuclear!$C$5:$C$292,0))*$E98),Keys!$C$5),Keys!$C$4)</f>
        <v>1.0169999999999999</v>
      </c>
      <c r="AB98">
        <f>IF($D98=1,ROUND(Keys!$C$2/(INDEX(Src_SYSHECF_nuclear!$Z$5:$Z$292,MATCH($C98,Src_SYSHECF_nuclear!$C$5:$C$292,0))*$E98),Keys!$C$5),Keys!$C$4)</f>
        <v>1.0169999999999999</v>
      </c>
      <c r="AC98">
        <f>IF($D98=1,ROUND(Keys!$C$2/(INDEX(Src_SYSHECF_nuclear!$AA$5:$AA$292,MATCH($C98,Src_SYSHECF_nuclear!$C$5:$C$292,0))*$E98),Keys!$C$5),Keys!$C$4)</f>
        <v>1.0169999999999999</v>
      </c>
      <c r="AE98">
        <f>IF($D98=1,IF(ABS(INDEX(Src_SYSHECF_nuclear!$D$5:$D$292,MATCH($C98,Src_SYSHECF_nuclear!$C$5:$C$292,0))*$E98*F98-Keys!$C$2)&gt;Keys!$C$6,1,0),0)</f>
        <v>0</v>
      </c>
    </row>
    <row r="99" spans="1:31" x14ac:dyDescent="0.45">
      <c r="A99" t="s">
        <v>23</v>
      </c>
      <c r="B99" t="s">
        <v>425</v>
      </c>
      <c r="C99" t="str">
        <f t="shared" si="1"/>
        <v>FL|Spring</v>
      </c>
      <c r="D99">
        <f>INDEX(Src_BHRaSYC_nuclear!$HF$5:$HF$52,MATCH($A99,Src_BHRaSYC_nuclear!$A$5:$A$52,0))</f>
        <v>1</v>
      </c>
      <c r="E99">
        <f>INDEX(Src_HYECFCA_nuclear!$B$5:$B$52,MATCH($A99,Src_HYECFCA_nuclear!$A$5:$A$52,0))</f>
        <v>1.0280400000000001</v>
      </c>
      <c r="F99">
        <f>IF($D99=1,ROUND(Keys!$C$2/(INDEX(Src_SYSHECF_nuclear!$D$5:$D$292,MATCH($C99,Src_SYSHECF_nuclear!$C$5:$C$292,0))*$E99),Keys!$C$5),Keys!$C$4)</f>
        <v>1.0169999999999999</v>
      </c>
      <c r="G99">
        <f>IF($D99=1,ROUND(Keys!$C$2/(INDEX(Src_SYSHECF_nuclear!$E$5:$E$292,MATCH($C99,Src_SYSHECF_nuclear!$C$5:$C$292,0))*$E99),Keys!$C$5),Keys!$C$4)</f>
        <v>1.0169999999999999</v>
      </c>
      <c r="H99">
        <f>IF($D99=1,ROUND(Keys!$C$2/(INDEX(Src_SYSHECF_nuclear!$F$5:$F$292,MATCH($C99,Src_SYSHECF_nuclear!$C$5:$C$292,0))*$E99),Keys!$C$5),Keys!$C$4)</f>
        <v>1.0169999999999999</v>
      </c>
      <c r="I99">
        <f>IF($D99=1,ROUND(Keys!$C$2/(INDEX(Src_SYSHECF_nuclear!$G$5:$G$292,MATCH($C99,Src_SYSHECF_nuclear!$C$5:$C$292,0))*$E99),Keys!$C$5),Keys!$C$4)</f>
        <v>1.0169999999999999</v>
      </c>
      <c r="J99">
        <f>IF($D99=1,ROUND(Keys!$C$2/(INDEX(Src_SYSHECF_nuclear!$H$5:$H$292,MATCH($C99,Src_SYSHECF_nuclear!$C$5:$C$292,0))*$E99),Keys!$C$5),Keys!$C$4)</f>
        <v>1.0169999999999999</v>
      </c>
      <c r="K99">
        <f>IF($D99=1,ROUND(Keys!$C$2/(INDEX(Src_SYSHECF_nuclear!$I$5:$I$292,MATCH($C99,Src_SYSHECF_nuclear!$C$5:$C$292,0))*$E99),Keys!$C$5),Keys!$C$4)</f>
        <v>1.0169999999999999</v>
      </c>
      <c r="L99">
        <f>IF($D99=1,ROUND(Keys!$C$2/(INDEX(Src_SYSHECF_nuclear!$J$5:$J$292,MATCH($C99,Src_SYSHECF_nuclear!$C$5:$C$292,0))*$E99),Keys!$C$5),Keys!$C$4)</f>
        <v>1.0239</v>
      </c>
      <c r="M99">
        <f>IF($D99=1,ROUND(Keys!$C$2/(INDEX(Src_SYSHECF_nuclear!$K$5:$K$292,MATCH($C99,Src_SYSHECF_nuclear!$C$5:$C$292,0))*$E99),Keys!$C$5),Keys!$C$4)</f>
        <v>1.0449999999999999</v>
      </c>
      <c r="N99">
        <f>IF($D99=1,ROUND(Keys!$C$2/(INDEX(Src_SYSHECF_nuclear!$L$5:$L$292,MATCH($C99,Src_SYSHECF_nuclear!$C$5:$C$292,0))*$E99),Keys!$C$5),Keys!$C$4)</f>
        <v>1.0315000000000001</v>
      </c>
      <c r="O99">
        <f>IF($D99=1,ROUND(Keys!$C$2/(INDEX(Src_SYSHECF_nuclear!$M$5:$M$292,MATCH($C99,Src_SYSHECF_nuclear!$C$5:$C$292,0))*$E99),Keys!$C$5),Keys!$C$4)</f>
        <v>1.0224</v>
      </c>
      <c r="P99">
        <f>IF($D99=1,ROUND(Keys!$C$2/(INDEX(Src_SYSHECF_nuclear!$N$5:$N$292,MATCH($C99,Src_SYSHECF_nuclear!$C$5:$C$292,0))*$E99),Keys!$C$5),Keys!$C$4)</f>
        <v>1.0169999999999999</v>
      </c>
      <c r="Q99">
        <f>IF($D99=1,ROUND(Keys!$C$2/(INDEX(Src_SYSHECF_nuclear!$O$5:$O$292,MATCH($C99,Src_SYSHECF_nuclear!$C$5:$C$292,0))*$E99),Keys!$C$5),Keys!$C$4)</f>
        <v>1.0169999999999999</v>
      </c>
      <c r="R99">
        <f>IF($D99=1,ROUND(Keys!$C$2/(INDEX(Src_SYSHECF_nuclear!$P$5:$P$292,MATCH($C99,Src_SYSHECF_nuclear!$C$5:$C$292,0))*$E99),Keys!$C$5),Keys!$C$4)</f>
        <v>1.0170999999999999</v>
      </c>
      <c r="S99">
        <f>IF($D99=1,ROUND(Keys!$C$2/(INDEX(Src_SYSHECF_nuclear!$Q$5:$Q$292,MATCH($C99,Src_SYSHECF_nuclear!$C$5:$C$292,0))*$E99),Keys!$C$5),Keys!$C$4)</f>
        <v>1.0189999999999999</v>
      </c>
      <c r="T99">
        <f>IF($D99=1,ROUND(Keys!$C$2/(INDEX(Src_SYSHECF_nuclear!$R$5:$R$292,MATCH($C99,Src_SYSHECF_nuclear!$C$5:$C$292,0))*$E99),Keys!$C$5),Keys!$C$4)</f>
        <v>1.0203</v>
      </c>
      <c r="U99">
        <f>IF($D99=1,ROUND(Keys!$C$2/(INDEX(Src_SYSHECF_nuclear!$S$5:$S$292,MATCH($C99,Src_SYSHECF_nuclear!$C$5:$C$292,0))*$E99),Keys!$C$5),Keys!$C$4)</f>
        <v>1.0203</v>
      </c>
      <c r="V99">
        <f>IF($D99=1,ROUND(Keys!$C$2/(INDEX(Src_SYSHECF_nuclear!$T$5:$T$292,MATCH($C99,Src_SYSHECF_nuclear!$C$5:$C$292,0))*$E99),Keys!$C$5),Keys!$C$4)</f>
        <v>1.0169999999999999</v>
      </c>
      <c r="W99">
        <f>IF($D99=1,ROUND(Keys!$C$2/(INDEX(Src_SYSHECF_nuclear!$U$5:$U$292,MATCH($C99,Src_SYSHECF_nuclear!$C$5:$C$292,0))*$E99),Keys!$C$5),Keys!$C$4)</f>
        <v>1.0169999999999999</v>
      </c>
      <c r="X99">
        <f>IF($D99=1,ROUND(Keys!$C$2/(INDEX(Src_SYSHECF_nuclear!$V$5:$V$292,MATCH($C99,Src_SYSHECF_nuclear!$C$5:$C$292,0))*$E99),Keys!$C$5),Keys!$C$4)</f>
        <v>1.0169999999999999</v>
      </c>
      <c r="Y99">
        <f>IF($D99=1,ROUND(Keys!$C$2/(INDEX(Src_SYSHECF_nuclear!$W$5:$W$292,MATCH($C99,Src_SYSHECF_nuclear!$C$5:$C$292,0))*$E99),Keys!$C$5),Keys!$C$4)</f>
        <v>1.0169999999999999</v>
      </c>
      <c r="Z99">
        <f>IF($D99=1,ROUND(Keys!$C$2/(INDEX(Src_SYSHECF_nuclear!$X$5:$X$292,MATCH($C99,Src_SYSHECF_nuclear!$C$5:$C$292,0))*$E99),Keys!$C$5),Keys!$C$4)</f>
        <v>1.0169999999999999</v>
      </c>
      <c r="AA99">
        <f>IF($D99=1,ROUND(Keys!$C$2/(INDEX(Src_SYSHECF_nuclear!$Y$5:$Y$292,MATCH($C99,Src_SYSHECF_nuclear!$C$5:$C$292,0))*$E99),Keys!$C$5),Keys!$C$4)</f>
        <v>1.0169999999999999</v>
      </c>
      <c r="AB99">
        <f>IF($D99=1,ROUND(Keys!$C$2/(INDEX(Src_SYSHECF_nuclear!$Z$5:$Z$292,MATCH($C99,Src_SYSHECF_nuclear!$C$5:$C$292,0))*$E99),Keys!$C$5),Keys!$C$4)</f>
        <v>1.0169999999999999</v>
      </c>
      <c r="AC99">
        <f>IF($D99=1,ROUND(Keys!$C$2/(INDEX(Src_SYSHECF_nuclear!$AA$5:$AA$292,MATCH($C99,Src_SYSHECF_nuclear!$C$5:$C$292,0))*$E99),Keys!$C$5),Keys!$C$4)</f>
        <v>1.0169999999999999</v>
      </c>
      <c r="AE99">
        <f>IF($D99=1,IF(ABS(INDEX(Src_SYSHECF_nuclear!$D$5:$D$292,MATCH($C99,Src_SYSHECF_nuclear!$C$5:$C$292,0))*$E99*F99-Keys!$C$2)&gt;Keys!$C$6,1,0),0)</f>
        <v>0</v>
      </c>
    </row>
    <row r="100" spans="1:31" x14ac:dyDescent="0.45">
      <c r="A100" t="s">
        <v>23</v>
      </c>
      <c r="B100" t="s">
        <v>426</v>
      </c>
      <c r="C100" t="str">
        <f t="shared" si="1"/>
        <v>FL|Summer</v>
      </c>
      <c r="D100">
        <f>INDEX(Src_BHRaSYC_nuclear!$HF$5:$HF$52,MATCH($A100,Src_BHRaSYC_nuclear!$A$5:$A$52,0))</f>
        <v>1</v>
      </c>
      <c r="E100">
        <f>INDEX(Src_HYECFCA_nuclear!$B$5:$B$52,MATCH($A100,Src_HYECFCA_nuclear!$A$5:$A$52,0))</f>
        <v>1.0280400000000001</v>
      </c>
      <c r="F100">
        <f>IF($D100=1,ROUND(Keys!$C$2/(INDEX(Src_SYSHECF_nuclear!$D$5:$D$292,MATCH($C100,Src_SYSHECF_nuclear!$C$5:$C$292,0))*$E100),Keys!$C$5),Keys!$C$4)</f>
        <v>1.0169999999999999</v>
      </c>
      <c r="G100">
        <f>IF($D100=1,ROUND(Keys!$C$2/(INDEX(Src_SYSHECF_nuclear!$E$5:$E$292,MATCH($C100,Src_SYSHECF_nuclear!$C$5:$C$292,0))*$E100),Keys!$C$5),Keys!$C$4)</f>
        <v>1.0169999999999999</v>
      </c>
      <c r="H100">
        <f>IF($D100=1,ROUND(Keys!$C$2/(INDEX(Src_SYSHECF_nuclear!$F$5:$F$292,MATCH($C100,Src_SYSHECF_nuclear!$C$5:$C$292,0))*$E100),Keys!$C$5),Keys!$C$4)</f>
        <v>1.0169999999999999</v>
      </c>
      <c r="I100">
        <f>IF($D100=1,ROUND(Keys!$C$2/(INDEX(Src_SYSHECF_nuclear!$G$5:$G$292,MATCH($C100,Src_SYSHECF_nuclear!$C$5:$C$292,0))*$E100),Keys!$C$5),Keys!$C$4)</f>
        <v>1.0169999999999999</v>
      </c>
      <c r="J100">
        <f>IF($D100=1,ROUND(Keys!$C$2/(INDEX(Src_SYSHECF_nuclear!$H$5:$H$292,MATCH($C100,Src_SYSHECF_nuclear!$C$5:$C$292,0))*$E100),Keys!$C$5),Keys!$C$4)</f>
        <v>1.0169999999999999</v>
      </c>
      <c r="K100">
        <f>IF($D100=1,ROUND(Keys!$C$2/(INDEX(Src_SYSHECF_nuclear!$I$5:$I$292,MATCH($C100,Src_SYSHECF_nuclear!$C$5:$C$292,0))*$E100),Keys!$C$5),Keys!$C$4)</f>
        <v>1.0169999999999999</v>
      </c>
      <c r="L100">
        <f>IF($D100=1,ROUND(Keys!$C$2/(INDEX(Src_SYSHECF_nuclear!$J$5:$J$292,MATCH($C100,Src_SYSHECF_nuclear!$C$5:$C$292,0))*$E100),Keys!$C$5),Keys!$C$4)</f>
        <v>1.0235000000000001</v>
      </c>
      <c r="M100">
        <f>IF($D100=1,ROUND(Keys!$C$2/(INDEX(Src_SYSHECF_nuclear!$K$5:$K$292,MATCH($C100,Src_SYSHECF_nuclear!$C$5:$C$292,0))*$E100),Keys!$C$5),Keys!$C$4)</f>
        <v>1.0275000000000001</v>
      </c>
      <c r="N100">
        <f>IF($D100=1,ROUND(Keys!$C$2/(INDEX(Src_SYSHECF_nuclear!$L$5:$L$292,MATCH($C100,Src_SYSHECF_nuclear!$C$5:$C$292,0))*$E100),Keys!$C$5),Keys!$C$4)</f>
        <v>1.0169999999999999</v>
      </c>
      <c r="O100">
        <f>IF($D100=1,ROUND(Keys!$C$2/(INDEX(Src_SYSHECF_nuclear!$M$5:$M$292,MATCH($C100,Src_SYSHECF_nuclear!$C$5:$C$292,0))*$E100),Keys!$C$5),Keys!$C$4)</f>
        <v>1.0169999999999999</v>
      </c>
      <c r="P100">
        <f>IF($D100=1,ROUND(Keys!$C$2/(INDEX(Src_SYSHECF_nuclear!$N$5:$N$292,MATCH($C100,Src_SYSHECF_nuclear!$C$5:$C$292,0))*$E100),Keys!$C$5),Keys!$C$4)</f>
        <v>1.0169999999999999</v>
      </c>
      <c r="Q100">
        <f>IF($D100=1,ROUND(Keys!$C$2/(INDEX(Src_SYSHECF_nuclear!$O$5:$O$292,MATCH($C100,Src_SYSHECF_nuclear!$C$5:$C$292,0))*$E100),Keys!$C$5),Keys!$C$4)</f>
        <v>1.0169999999999999</v>
      </c>
      <c r="R100">
        <f>IF($D100=1,ROUND(Keys!$C$2/(INDEX(Src_SYSHECF_nuclear!$P$5:$P$292,MATCH($C100,Src_SYSHECF_nuclear!$C$5:$C$292,0))*$E100),Keys!$C$5),Keys!$C$4)</f>
        <v>1.0169999999999999</v>
      </c>
      <c r="S100">
        <f>IF($D100=1,ROUND(Keys!$C$2/(INDEX(Src_SYSHECF_nuclear!$Q$5:$Q$292,MATCH($C100,Src_SYSHECF_nuclear!$C$5:$C$292,0))*$E100),Keys!$C$5),Keys!$C$4)</f>
        <v>1.0169999999999999</v>
      </c>
      <c r="T100">
        <f>IF($D100=1,ROUND(Keys!$C$2/(INDEX(Src_SYSHECF_nuclear!$R$5:$R$292,MATCH($C100,Src_SYSHECF_nuclear!$C$5:$C$292,0))*$E100),Keys!$C$5),Keys!$C$4)</f>
        <v>1.0169999999999999</v>
      </c>
      <c r="U100">
        <f>IF($D100=1,ROUND(Keys!$C$2/(INDEX(Src_SYSHECF_nuclear!$S$5:$S$292,MATCH($C100,Src_SYSHECF_nuclear!$C$5:$C$292,0))*$E100),Keys!$C$5),Keys!$C$4)</f>
        <v>1.0169999999999999</v>
      </c>
      <c r="V100">
        <f>IF($D100=1,ROUND(Keys!$C$2/(INDEX(Src_SYSHECF_nuclear!$T$5:$T$292,MATCH($C100,Src_SYSHECF_nuclear!$C$5:$C$292,0))*$E100),Keys!$C$5),Keys!$C$4)</f>
        <v>1.0169999999999999</v>
      </c>
      <c r="W100">
        <f>IF($D100=1,ROUND(Keys!$C$2/(INDEX(Src_SYSHECF_nuclear!$U$5:$U$292,MATCH($C100,Src_SYSHECF_nuclear!$C$5:$C$292,0))*$E100),Keys!$C$5),Keys!$C$4)</f>
        <v>1.0169999999999999</v>
      </c>
      <c r="X100">
        <f>IF($D100=1,ROUND(Keys!$C$2/(INDEX(Src_SYSHECF_nuclear!$V$5:$V$292,MATCH($C100,Src_SYSHECF_nuclear!$C$5:$C$292,0))*$E100),Keys!$C$5),Keys!$C$4)</f>
        <v>1.0169999999999999</v>
      </c>
      <c r="Y100">
        <f>IF($D100=1,ROUND(Keys!$C$2/(INDEX(Src_SYSHECF_nuclear!$W$5:$W$292,MATCH($C100,Src_SYSHECF_nuclear!$C$5:$C$292,0))*$E100),Keys!$C$5),Keys!$C$4)</f>
        <v>1.0169999999999999</v>
      </c>
      <c r="Z100">
        <f>IF($D100=1,ROUND(Keys!$C$2/(INDEX(Src_SYSHECF_nuclear!$X$5:$X$292,MATCH($C100,Src_SYSHECF_nuclear!$C$5:$C$292,0))*$E100),Keys!$C$5),Keys!$C$4)</f>
        <v>1.0169999999999999</v>
      </c>
      <c r="AA100">
        <f>IF($D100=1,ROUND(Keys!$C$2/(INDEX(Src_SYSHECF_nuclear!$Y$5:$Y$292,MATCH($C100,Src_SYSHECF_nuclear!$C$5:$C$292,0))*$E100),Keys!$C$5),Keys!$C$4)</f>
        <v>1.0169999999999999</v>
      </c>
      <c r="AB100">
        <f>IF($D100=1,ROUND(Keys!$C$2/(INDEX(Src_SYSHECF_nuclear!$Z$5:$Z$292,MATCH($C100,Src_SYSHECF_nuclear!$C$5:$C$292,0))*$E100),Keys!$C$5),Keys!$C$4)</f>
        <v>1.0169999999999999</v>
      </c>
      <c r="AC100">
        <f>IF($D100=1,ROUND(Keys!$C$2/(INDEX(Src_SYSHECF_nuclear!$AA$5:$AA$292,MATCH($C100,Src_SYSHECF_nuclear!$C$5:$C$292,0))*$E100),Keys!$C$5),Keys!$C$4)</f>
        <v>1.0169999999999999</v>
      </c>
      <c r="AE100">
        <f>IF($D100=1,IF(ABS(INDEX(Src_SYSHECF_nuclear!$D$5:$D$292,MATCH($C100,Src_SYSHECF_nuclear!$C$5:$C$292,0))*$E100*F100-Keys!$C$2)&gt;Keys!$C$6,1,0),0)</f>
        <v>0</v>
      </c>
    </row>
    <row r="101" spans="1:31" x14ac:dyDescent="0.45">
      <c r="A101" t="s">
        <v>23</v>
      </c>
      <c r="B101" t="s">
        <v>427</v>
      </c>
      <c r="C101" t="str">
        <f t="shared" si="1"/>
        <v>FL|Fall</v>
      </c>
      <c r="D101">
        <f>INDEX(Src_BHRaSYC_nuclear!$HF$5:$HF$52,MATCH($A101,Src_BHRaSYC_nuclear!$A$5:$A$52,0))</f>
        <v>1</v>
      </c>
      <c r="E101">
        <f>INDEX(Src_HYECFCA_nuclear!$B$5:$B$52,MATCH($A101,Src_HYECFCA_nuclear!$A$5:$A$52,0))</f>
        <v>1.0280400000000001</v>
      </c>
      <c r="F101">
        <f>IF($D101=1,ROUND(Keys!$C$2/(INDEX(Src_SYSHECF_nuclear!$D$5:$D$292,MATCH($C101,Src_SYSHECF_nuclear!$C$5:$C$292,0))*$E101),Keys!$C$5),Keys!$C$4)</f>
        <v>1.0169999999999999</v>
      </c>
      <c r="G101">
        <f>IF($D101=1,ROUND(Keys!$C$2/(INDEX(Src_SYSHECF_nuclear!$E$5:$E$292,MATCH($C101,Src_SYSHECF_nuclear!$C$5:$C$292,0))*$E101),Keys!$C$5),Keys!$C$4)</f>
        <v>1.0169999999999999</v>
      </c>
      <c r="H101">
        <f>IF($D101=1,ROUND(Keys!$C$2/(INDEX(Src_SYSHECF_nuclear!$F$5:$F$292,MATCH($C101,Src_SYSHECF_nuclear!$C$5:$C$292,0))*$E101),Keys!$C$5),Keys!$C$4)</f>
        <v>1.0169999999999999</v>
      </c>
      <c r="I101">
        <f>IF($D101=1,ROUND(Keys!$C$2/(INDEX(Src_SYSHECF_nuclear!$G$5:$G$292,MATCH($C101,Src_SYSHECF_nuclear!$C$5:$C$292,0))*$E101),Keys!$C$5),Keys!$C$4)</f>
        <v>1.0169999999999999</v>
      </c>
      <c r="J101">
        <f>IF($D101=1,ROUND(Keys!$C$2/(INDEX(Src_SYSHECF_nuclear!$H$5:$H$292,MATCH($C101,Src_SYSHECF_nuclear!$C$5:$C$292,0))*$E101),Keys!$C$5),Keys!$C$4)</f>
        <v>1.0169999999999999</v>
      </c>
      <c r="K101">
        <f>IF($D101=1,ROUND(Keys!$C$2/(INDEX(Src_SYSHECF_nuclear!$I$5:$I$292,MATCH($C101,Src_SYSHECF_nuclear!$C$5:$C$292,0))*$E101),Keys!$C$5),Keys!$C$4)</f>
        <v>1.0169999999999999</v>
      </c>
      <c r="L101">
        <f>IF($D101=1,ROUND(Keys!$C$2/(INDEX(Src_SYSHECF_nuclear!$J$5:$J$292,MATCH($C101,Src_SYSHECF_nuclear!$C$5:$C$292,0))*$E101),Keys!$C$5),Keys!$C$4)</f>
        <v>1.0206</v>
      </c>
      <c r="M101">
        <f>IF($D101=1,ROUND(Keys!$C$2/(INDEX(Src_SYSHECF_nuclear!$K$5:$K$292,MATCH($C101,Src_SYSHECF_nuclear!$C$5:$C$292,0))*$E101),Keys!$C$5),Keys!$C$4)</f>
        <v>1.0206</v>
      </c>
      <c r="N101">
        <f>IF($D101=1,ROUND(Keys!$C$2/(INDEX(Src_SYSHECF_nuclear!$L$5:$L$292,MATCH($C101,Src_SYSHECF_nuclear!$C$5:$C$292,0))*$E101),Keys!$C$5),Keys!$C$4)</f>
        <v>1.0169999999999999</v>
      </c>
      <c r="O101">
        <f>IF($D101=1,ROUND(Keys!$C$2/(INDEX(Src_SYSHECF_nuclear!$M$5:$M$292,MATCH($C101,Src_SYSHECF_nuclear!$C$5:$C$292,0))*$E101),Keys!$C$5),Keys!$C$4)</f>
        <v>1.0169999999999999</v>
      </c>
      <c r="P101">
        <f>IF($D101=1,ROUND(Keys!$C$2/(INDEX(Src_SYSHECF_nuclear!$N$5:$N$292,MATCH($C101,Src_SYSHECF_nuclear!$C$5:$C$292,0))*$E101),Keys!$C$5),Keys!$C$4)</f>
        <v>1.0169999999999999</v>
      </c>
      <c r="Q101">
        <f>IF($D101=1,ROUND(Keys!$C$2/(INDEX(Src_SYSHECF_nuclear!$O$5:$O$292,MATCH($C101,Src_SYSHECF_nuclear!$C$5:$C$292,0))*$E101),Keys!$C$5),Keys!$C$4)</f>
        <v>1.0169999999999999</v>
      </c>
      <c r="R101">
        <f>IF($D101=1,ROUND(Keys!$C$2/(INDEX(Src_SYSHECF_nuclear!$P$5:$P$292,MATCH($C101,Src_SYSHECF_nuclear!$C$5:$C$292,0))*$E101),Keys!$C$5),Keys!$C$4)</f>
        <v>1.0169999999999999</v>
      </c>
      <c r="S101">
        <f>IF($D101=1,ROUND(Keys!$C$2/(INDEX(Src_SYSHECF_nuclear!$Q$5:$Q$292,MATCH($C101,Src_SYSHECF_nuclear!$C$5:$C$292,0))*$E101),Keys!$C$5),Keys!$C$4)</f>
        <v>1.0169999999999999</v>
      </c>
      <c r="T101">
        <f>IF($D101=1,ROUND(Keys!$C$2/(INDEX(Src_SYSHECF_nuclear!$R$5:$R$292,MATCH($C101,Src_SYSHECF_nuclear!$C$5:$C$292,0))*$E101),Keys!$C$5),Keys!$C$4)</f>
        <v>1.0169999999999999</v>
      </c>
      <c r="U101">
        <f>IF($D101=1,ROUND(Keys!$C$2/(INDEX(Src_SYSHECF_nuclear!$S$5:$S$292,MATCH($C101,Src_SYSHECF_nuclear!$C$5:$C$292,0))*$E101),Keys!$C$5),Keys!$C$4)</f>
        <v>1.0169999999999999</v>
      </c>
      <c r="V101">
        <f>IF($D101=1,ROUND(Keys!$C$2/(INDEX(Src_SYSHECF_nuclear!$T$5:$T$292,MATCH($C101,Src_SYSHECF_nuclear!$C$5:$C$292,0))*$E101),Keys!$C$5),Keys!$C$4)</f>
        <v>1.0169999999999999</v>
      </c>
      <c r="W101">
        <f>IF($D101=1,ROUND(Keys!$C$2/(INDEX(Src_SYSHECF_nuclear!$U$5:$U$292,MATCH($C101,Src_SYSHECF_nuclear!$C$5:$C$292,0))*$E101),Keys!$C$5),Keys!$C$4)</f>
        <v>1.0169999999999999</v>
      </c>
      <c r="X101">
        <f>IF($D101=1,ROUND(Keys!$C$2/(INDEX(Src_SYSHECF_nuclear!$V$5:$V$292,MATCH($C101,Src_SYSHECF_nuclear!$C$5:$C$292,0))*$E101),Keys!$C$5),Keys!$C$4)</f>
        <v>1.0169999999999999</v>
      </c>
      <c r="Y101">
        <f>IF($D101=1,ROUND(Keys!$C$2/(INDEX(Src_SYSHECF_nuclear!$W$5:$W$292,MATCH($C101,Src_SYSHECF_nuclear!$C$5:$C$292,0))*$E101),Keys!$C$5),Keys!$C$4)</f>
        <v>1.0169999999999999</v>
      </c>
      <c r="Z101">
        <f>IF($D101=1,ROUND(Keys!$C$2/(INDEX(Src_SYSHECF_nuclear!$X$5:$X$292,MATCH($C101,Src_SYSHECF_nuclear!$C$5:$C$292,0))*$E101),Keys!$C$5),Keys!$C$4)</f>
        <v>1.0169999999999999</v>
      </c>
      <c r="AA101">
        <f>IF($D101=1,ROUND(Keys!$C$2/(INDEX(Src_SYSHECF_nuclear!$Y$5:$Y$292,MATCH($C101,Src_SYSHECF_nuclear!$C$5:$C$292,0))*$E101),Keys!$C$5),Keys!$C$4)</f>
        <v>1.0169999999999999</v>
      </c>
      <c r="AB101">
        <f>IF($D101=1,ROUND(Keys!$C$2/(INDEX(Src_SYSHECF_nuclear!$Z$5:$Z$292,MATCH($C101,Src_SYSHECF_nuclear!$C$5:$C$292,0))*$E101),Keys!$C$5),Keys!$C$4)</f>
        <v>1.0169999999999999</v>
      </c>
      <c r="AC101">
        <f>IF($D101=1,ROUND(Keys!$C$2/(INDEX(Src_SYSHECF_nuclear!$AA$5:$AA$292,MATCH($C101,Src_SYSHECF_nuclear!$C$5:$C$292,0))*$E101),Keys!$C$5),Keys!$C$4)</f>
        <v>1.0169999999999999</v>
      </c>
      <c r="AE101">
        <f>IF($D101=1,IF(ABS(INDEX(Src_SYSHECF_nuclear!$D$5:$D$292,MATCH($C101,Src_SYSHECF_nuclear!$C$5:$C$292,0))*$E101*F101-Keys!$C$2)&gt;Keys!$C$6,1,0),0)</f>
        <v>0</v>
      </c>
    </row>
    <row r="102" spans="1:31" x14ac:dyDescent="0.45">
      <c r="A102" t="s">
        <v>23</v>
      </c>
      <c r="B102" t="s">
        <v>428</v>
      </c>
      <c r="C102" t="str">
        <f t="shared" si="1"/>
        <v>FL|Summer Peak</v>
      </c>
      <c r="D102">
        <f>INDEX(Src_BHRaSYC_nuclear!$HF$5:$HF$52,MATCH($A102,Src_BHRaSYC_nuclear!$A$5:$A$52,0))</f>
        <v>1</v>
      </c>
      <c r="E102">
        <f>INDEX(Src_HYECFCA_nuclear!$B$5:$B$52,MATCH($A102,Src_HYECFCA_nuclear!$A$5:$A$52,0))</f>
        <v>1.0280400000000001</v>
      </c>
      <c r="F102">
        <f>IF($D102=1,ROUND(Keys!$C$2/(INDEX(Src_SYSHECF_nuclear!$D$5:$D$292,MATCH($C102,Src_SYSHECF_nuclear!$C$5:$C$292,0))*$E102),Keys!$C$5),Keys!$C$4)</f>
        <v>1.0169999999999999</v>
      </c>
      <c r="G102">
        <f>IF($D102=1,ROUND(Keys!$C$2/(INDEX(Src_SYSHECF_nuclear!$E$5:$E$292,MATCH($C102,Src_SYSHECF_nuclear!$C$5:$C$292,0))*$E102),Keys!$C$5),Keys!$C$4)</f>
        <v>1.0169999999999999</v>
      </c>
      <c r="H102">
        <f>IF($D102=1,ROUND(Keys!$C$2/(INDEX(Src_SYSHECF_nuclear!$F$5:$F$292,MATCH($C102,Src_SYSHECF_nuclear!$C$5:$C$292,0))*$E102),Keys!$C$5),Keys!$C$4)</f>
        <v>1.0169999999999999</v>
      </c>
      <c r="I102">
        <f>IF($D102=1,ROUND(Keys!$C$2/(INDEX(Src_SYSHECF_nuclear!$G$5:$G$292,MATCH($C102,Src_SYSHECF_nuclear!$C$5:$C$292,0))*$E102),Keys!$C$5),Keys!$C$4)</f>
        <v>1.0169999999999999</v>
      </c>
      <c r="J102">
        <f>IF($D102=1,ROUND(Keys!$C$2/(INDEX(Src_SYSHECF_nuclear!$H$5:$H$292,MATCH($C102,Src_SYSHECF_nuclear!$C$5:$C$292,0))*$E102),Keys!$C$5),Keys!$C$4)</f>
        <v>1.0169999999999999</v>
      </c>
      <c r="K102">
        <f>IF($D102=1,ROUND(Keys!$C$2/(INDEX(Src_SYSHECF_nuclear!$I$5:$I$292,MATCH($C102,Src_SYSHECF_nuclear!$C$5:$C$292,0))*$E102),Keys!$C$5),Keys!$C$4)</f>
        <v>1.0169999999999999</v>
      </c>
      <c r="L102">
        <f>IF($D102=1,ROUND(Keys!$C$2/(INDEX(Src_SYSHECF_nuclear!$J$5:$J$292,MATCH($C102,Src_SYSHECF_nuclear!$C$5:$C$292,0))*$E102),Keys!$C$5),Keys!$C$4)</f>
        <v>1.0169999999999999</v>
      </c>
      <c r="M102">
        <f>IF($D102=1,ROUND(Keys!$C$2/(INDEX(Src_SYSHECF_nuclear!$K$5:$K$292,MATCH($C102,Src_SYSHECF_nuclear!$C$5:$C$292,0))*$E102),Keys!$C$5),Keys!$C$4)</f>
        <v>1.0169999999999999</v>
      </c>
      <c r="N102">
        <f>IF($D102=1,ROUND(Keys!$C$2/(INDEX(Src_SYSHECF_nuclear!$L$5:$L$292,MATCH($C102,Src_SYSHECF_nuclear!$C$5:$C$292,0))*$E102),Keys!$C$5),Keys!$C$4)</f>
        <v>1.0169999999999999</v>
      </c>
      <c r="O102">
        <f>IF($D102=1,ROUND(Keys!$C$2/(INDEX(Src_SYSHECF_nuclear!$M$5:$M$292,MATCH($C102,Src_SYSHECF_nuclear!$C$5:$C$292,0))*$E102),Keys!$C$5),Keys!$C$4)</f>
        <v>1.0169999999999999</v>
      </c>
      <c r="P102">
        <f>IF($D102=1,ROUND(Keys!$C$2/(INDEX(Src_SYSHECF_nuclear!$N$5:$N$292,MATCH($C102,Src_SYSHECF_nuclear!$C$5:$C$292,0))*$E102),Keys!$C$5),Keys!$C$4)</f>
        <v>1.0169999999999999</v>
      </c>
      <c r="Q102">
        <f>IF($D102=1,ROUND(Keys!$C$2/(INDEX(Src_SYSHECF_nuclear!$O$5:$O$292,MATCH($C102,Src_SYSHECF_nuclear!$C$5:$C$292,0))*$E102),Keys!$C$5),Keys!$C$4)</f>
        <v>1.0169999999999999</v>
      </c>
      <c r="R102">
        <f>IF($D102=1,ROUND(Keys!$C$2/(INDEX(Src_SYSHECF_nuclear!$P$5:$P$292,MATCH($C102,Src_SYSHECF_nuclear!$C$5:$C$292,0))*$E102),Keys!$C$5),Keys!$C$4)</f>
        <v>1.0169999999999999</v>
      </c>
      <c r="S102">
        <f>IF($D102=1,ROUND(Keys!$C$2/(INDEX(Src_SYSHECF_nuclear!$Q$5:$Q$292,MATCH($C102,Src_SYSHECF_nuclear!$C$5:$C$292,0))*$E102),Keys!$C$5),Keys!$C$4)</f>
        <v>1.0169999999999999</v>
      </c>
      <c r="T102">
        <f>IF($D102=1,ROUND(Keys!$C$2/(INDEX(Src_SYSHECF_nuclear!$R$5:$R$292,MATCH($C102,Src_SYSHECF_nuclear!$C$5:$C$292,0))*$E102),Keys!$C$5),Keys!$C$4)</f>
        <v>1.0169999999999999</v>
      </c>
      <c r="U102">
        <f>IF($D102=1,ROUND(Keys!$C$2/(INDEX(Src_SYSHECF_nuclear!$S$5:$S$292,MATCH($C102,Src_SYSHECF_nuclear!$C$5:$C$292,0))*$E102),Keys!$C$5),Keys!$C$4)</f>
        <v>1.0169999999999999</v>
      </c>
      <c r="V102">
        <f>IF($D102=1,ROUND(Keys!$C$2/(INDEX(Src_SYSHECF_nuclear!$T$5:$T$292,MATCH($C102,Src_SYSHECF_nuclear!$C$5:$C$292,0))*$E102),Keys!$C$5),Keys!$C$4)</f>
        <v>1.0169999999999999</v>
      </c>
      <c r="W102">
        <f>IF($D102=1,ROUND(Keys!$C$2/(INDEX(Src_SYSHECF_nuclear!$U$5:$U$292,MATCH($C102,Src_SYSHECF_nuclear!$C$5:$C$292,0))*$E102),Keys!$C$5),Keys!$C$4)</f>
        <v>1.0169999999999999</v>
      </c>
      <c r="X102">
        <f>IF($D102=1,ROUND(Keys!$C$2/(INDEX(Src_SYSHECF_nuclear!$V$5:$V$292,MATCH($C102,Src_SYSHECF_nuclear!$C$5:$C$292,0))*$E102),Keys!$C$5),Keys!$C$4)</f>
        <v>1.0169999999999999</v>
      </c>
      <c r="Y102">
        <f>IF($D102=1,ROUND(Keys!$C$2/(INDEX(Src_SYSHECF_nuclear!$W$5:$W$292,MATCH($C102,Src_SYSHECF_nuclear!$C$5:$C$292,0))*$E102),Keys!$C$5),Keys!$C$4)</f>
        <v>1.0169999999999999</v>
      </c>
      <c r="Z102">
        <f>IF($D102=1,ROUND(Keys!$C$2/(INDEX(Src_SYSHECF_nuclear!$X$5:$X$292,MATCH($C102,Src_SYSHECF_nuclear!$C$5:$C$292,0))*$E102),Keys!$C$5),Keys!$C$4)</f>
        <v>1.0169999999999999</v>
      </c>
      <c r="AA102">
        <f>IF($D102=1,ROUND(Keys!$C$2/(INDEX(Src_SYSHECF_nuclear!$Y$5:$Y$292,MATCH($C102,Src_SYSHECF_nuclear!$C$5:$C$292,0))*$E102),Keys!$C$5),Keys!$C$4)</f>
        <v>1.0169999999999999</v>
      </c>
      <c r="AB102">
        <f>IF($D102=1,ROUND(Keys!$C$2/(INDEX(Src_SYSHECF_nuclear!$Z$5:$Z$292,MATCH($C102,Src_SYSHECF_nuclear!$C$5:$C$292,0))*$E102),Keys!$C$5),Keys!$C$4)</f>
        <v>1.0169999999999999</v>
      </c>
      <c r="AC102">
        <f>IF($D102=1,ROUND(Keys!$C$2/(INDEX(Src_SYSHECF_nuclear!$AA$5:$AA$292,MATCH($C102,Src_SYSHECF_nuclear!$C$5:$C$292,0))*$E102),Keys!$C$5),Keys!$C$4)</f>
        <v>1.0169999999999999</v>
      </c>
      <c r="AE102">
        <f>IF($D102=1,IF(ABS(INDEX(Src_SYSHECF_nuclear!$D$5:$D$292,MATCH($C102,Src_SYSHECF_nuclear!$C$5:$C$292,0))*$E102*F102-Keys!$C$2)&gt;Keys!$C$6,1,0),0)</f>
        <v>0</v>
      </c>
    </row>
    <row r="103" spans="1:31" x14ac:dyDescent="0.45">
      <c r="A103" t="s">
        <v>23</v>
      </c>
      <c r="B103" t="s">
        <v>429</v>
      </c>
      <c r="C103" t="str">
        <f t="shared" si="1"/>
        <v>FL|Winter Peak</v>
      </c>
      <c r="D103">
        <f>INDEX(Src_BHRaSYC_nuclear!$HF$5:$HF$52,MATCH($A103,Src_BHRaSYC_nuclear!$A$5:$A$52,0))</f>
        <v>1</v>
      </c>
      <c r="E103">
        <f>INDEX(Src_HYECFCA_nuclear!$B$5:$B$52,MATCH($A103,Src_HYECFCA_nuclear!$A$5:$A$52,0))</f>
        <v>1.0280400000000001</v>
      </c>
      <c r="F103">
        <f>IF($D103=1,ROUND(Keys!$C$2/(INDEX(Src_SYSHECF_nuclear!$D$5:$D$292,MATCH($C103,Src_SYSHECF_nuclear!$C$5:$C$292,0))*$E103),Keys!$C$5),Keys!$C$4)</f>
        <v>1.0169999999999999</v>
      </c>
      <c r="G103">
        <f>IF($D103=1,ROUND(Keys!$C$2/(INDEX(Src_SYSHECF_nuclear!$E$5:$E$292,MATCH($C103,Src_SYSHECF_nuclear!$C$5:$C$292,0))*$E103),Keys!$C$5),Keys!$C$4)</f>
        <v>1.0169999999999999</v>
      </c>
      <c r="H103">
        <f>IF($D103=1,ROUND(Keys!$C$2/(INDEX(Src_SYSHECF_nuclear!$F$5:$F$292,MATCH($C103,Src_SYSHECF_nuclear!$C$5:$C$292,0))*$E103),Keys!$C$5),Keys!$C$4)</f>
        <v>1.0169999999999999</v>
      </c>
      <c r="I103">
        <f>IF($D103=1,ROUND(Keys!$C$2/(INDEX(Src_SYSHECF_nuclear!$G$5:$G$292,MATCH($C103,Src_SYSHECF_nuclear!$C$5:$C$292,0))*$E103),Keys!$C$5),Keys!$C$4)</f>
        <v>1.0169999999999999</v>
      </c>
      <c r="J103">
        <f>IF($D103=1,ROUND(Keys!$C$2/(INDEX(Src_SYSHECF_nuclear!$H$5:$H$292,MATCH($C103,Src_SYSHECF_nuclear!$C$5:$C$292,0))*$E103),Keys!$C$5),Keys!$C$4)</f>
        <v>1.0169999999999999</v>
      </c>
      <c r="K103">
        <f>IF($D103=1,ROUND(Keys!$C$2/(INDEX(Src_SYSHECF_nuclear!$I$5:$I$292,MATCH($C103,Src_SYSHECF_nuclear!$C$5:$C$292,0))*$E103),Keys!$C$5),Keys!$C$4)</f>
        <v>1.0169999999999999</v>
      </c>
      <c r="L103">
        <f>IF($D103=1,ROUND(Keys!$C$2/(INDEX(Src_SYSHECF_nuclear!$J$5:$J$292,MATCH($C103,Src_SYSHECF_nuclear!$C$5:$C$292,0))*$E103),Keys!$C$5),Keys!$C$4)</f>
        <v>1.0169999999999999</v>
      </c>
      <c r="M103">
        <f>IF($D103=1,ROUND(Keys!$C$2/(INDEX(Src_SYSHECF_nuclear!$K$5:$K$292,MATCH($C103,Src_SYSHECF_nuclear!$C$5:$C$292,0))*$E103),Keys!$C$5),Keys!$C$4)</f>
        <v>1.0169999999999999</v>
      </c>
      <c r="N103">
        <f>IF($D103=1,ROUND(Keys!$C$2/(INDEX(Src_SYSHECF_nuclear!$L$5:$L$292,MATCH($C103,Src_SYSHECF_nuclear!$C$5:$C$292,0))*$E103),Keys!$C$5),Keys!$C$4)</f>
        <v>1.0169999999999999</v>
      </c>
      <c r="O103">
        <f>IF($D103=1,ROUND(Keys!$C$2/(INDEX(Src_SYSHECF_nuclear!$M$5:$M$292,MATCH($C103,Src_SYSHECF_nuclear!$C$5:$C$292,0))*$E103),Keys!$C$5),Keys!$C$4)</f>
        <v>1.0169999999999999</v>
      </c>
      <c r="P103">
        <f>IF($D103=1,ROUND(Keys!$C$2/(INDEX(Src_SYSHECF_nuclear!$N$5:$N$292,MATCH($C103,Src_SYSHECF_nuclear!$C$5:$C$292,0))*$E103),Keys!$C$5),Keys!$C$4)</f>
        <v>1.0169999999999999</v>
      </c>
      <c r="Q103">
        <f>IF($D103=1,ROUND(Keys!$C$2/(INDEX(Src_SYSHECF_nuclear!$O$5:$O$292,MATCH($C103,Src_SYSHECF_nuclear!$C$5:$C$292,0))*$E103),Keys!$C$5),Keys!$C$4)</f>
        <v>1.0169999999999999</v>
      </c>
      <c r="R103">
        <f>IF($D103=1,ROUND(Keys!$C$2/(INDEX(Src_SYSHECF_nuclear!$P$5:$P$292,MATCH($C103,Src_SYSHECF_nuclear!$C$5:$C$292,0))*$E103),Keys!$C$5),Keys!$C$4)</f>
        <v>1.0169999999999999</v>
      </c>
      <c r="S103">
        <f>IF($D103=1,ROUND(Keys!$C$2/(INDEX(Src_SYSHECF_nuclear!$Q$5:$Q$292,MATCH($C103,Src_SYSHECF_nuclear!$C$5:$C$292,0))*$E103),Keys!$C$5),Keys!$C$4)</f>
        <v>1.0235000000000001</v>
      </c>
      <c r="T103">
        <f>IF($D103=1,ROUND(Keys!$C$2/(INDEX(Src_SYSHECF_nuclear!$R$5:$R$292,MATCH($C103,Src_SYSHECF_nuclear!$C$5:$C$292,0))*$E103),Keys!$C$5),Keys!$C$4)</f>
        <v>1.0333000000000001</v>
      </c>
      <c r="U103">
        <f>IF($D103=1,ROUND(Keys!$C$2/(INDEX(Src_SYSHECF_nuclear!$S$5:$S$292,MATCH($C103,Src_SYSHECF_nuclear!$C$5:$C$292,0))*$E103),Keys!$C$5),Keys!$C$4)</f>
        <v>1.0169999999999999</v>
      </c>
      <c r="V103">
        <f>IF($D103=1,ROUND(Keys!$C$2/(INDEX(Src_SYSHECF_nuclear!$T$5:$T$292,MATCH($C103,Src_SYSHECF_nuclear!$C$5:$C$292,0))*$E103),Keys!$C$5),Keys!$C$4)</f>
        <v>1.0169999999999999</v>
      </c>
      <c r="W103">
        <f>IF($D103=1,ROUND(Keys!$C$2/(INDEX(Src_SYSHECF_nuclear!$U$5:$U$292,MATCH($C103,Src_SYSHECF_nuclear!$C$5:$C$292,0))*$E103),Keys!$C$5),Keys!$C$4)</f>
        <v>1.0169999999999999</v>
      </c>
      <c r="X103">
        <f>IF($D103=1,ROUND(Keys!$C$2/(INDEX(Src_SYSHECF_nuclear!$V$5:$V$292,MATCH($C103,Src_SYSHECF_nuclear!$C$5:$C$292,0))*$E103),Keys!$C$5),Keys!$C$4)</f>
        <v>1.0169999999999999</v>
      </c>
      <c r="Y103">
        <f>IF($D103=1,ROUND(Keys!$C$2/(INDEX(Src_SYSHECF_nuclear!$W$5:$W$292,MATCH($C103,Src_SYSHECF_nuclear!$C$5:$C$292,0))*$E103),Keys!$C$5),Keys!$C$4)</f>
        <v>1.0169999999999999</v>
      </c>
      <c r="Z103">
        <f>IF($D103=1,ROUND(Keys!$C$2/(INDEX(Src_SYSHECF_nuclear!$X$5:$X$292,MATCH($C103,Src_SYSHECF_nuclear!$C$5:$C$292,0))*$E103),Keys!$C$5),Keys!$C$4)</f>
        <v>1.0169999999999999</v>
      </c>
      <c r="AA103">
        <f>IF($D103=1,ROUND(Keys!$C$2/(INDEX(Src_SYSHECF_nuclear!$Y$5:$Y$292,MATCH($C103,Src_SYSHECF_nuclear!$C$5:$C$292,0))*$E103),Keys!$C$5),Keys!$C$4)</f>
        <v>1.0169999999999999</v>
      </c>
      <c r="AB103">
        <f>IF($D103=1,ROUND(Keys!$C$2/(INDEX(Src_SYSHECF_nuclear!$Z$5:$Z$292,MATCH($C103,Src_SYSHECF_nuclear!$C$5:$C$292,0))*$E103),Keys!$C$5),Keys!$C$4)</f>
        <v>1.0169999999999999</v>
      </c>
      <c r="AC103">
        <f>IF($D103=1,ROUND(Keys!$C$2/(INDEX(Src_SYSHECF_nuclear!$AA$5:$AA$292,MATCH($C103,Src_SYSHECF_nuclear!$C$5:$C$292,0))*$E103),Keys!$C$5),Keys!$C$4)</f>
        <v>1.0169999999999999</v>
      </c>
      <c r="AE103">
        <f>IF($D103=1,IF(ABS(INDEX(Src_SYSHECF_nuclear!$D$5:$D$292,MATCH($C103,Src_SYSHECF_nuclear!$C$5:$C$292,0))*$E103*F103-Keys!$C$2)&gt;Keys!$C$6,1,0),0)</f>
        <v>0</v>
      </c>
    </row>
    <row r="104" spans="1:31" x14ac:dyDescent="0.45">
      <c r="A104" t="s">
        <v>25</v>
      </c>
      <c r="B104" t="s">
        <v>424</v>
      </c>
      <c r="C104" t="str">
        <f t="shared" si="1"/>
        <v>GA|Winter</v>
      </c>
      <c r="D104">
        <f>INDEX(Src_BHRaSYC_nuclear!$HF$5:$HF$52,MATCH($A104,Src_BHRaSYC_nuclear!$A$5:$A$52,0))</f>
        <v>1</v>
      </c>
      <c r="E104">
        <f>INDEX(Src_HYECFCA_nuclear!$B$5:$B$52,MATCH($A104,Src_HYECFCA_nuclear!$A$5:$A$52,0))</f>
        <v>1.03278</v>
      </c>
      <c r="F104">
        <f>IF($D104=1,ROUND(Keys!$C$2/(INDEX(Src_SYSHECF_nuclear!$D$5:$D$292,MATCH($C104,Src_SYSHECF_nuclear!$C$5:$C$292,0))*$E104),Keys!$C$5),Keys!$C$4)</f>
        <v>1.0484</v>
      </c>
      <c r="G104">
        <f>IF($D104=1,ROUND(Keys!$C$2/(INDEX(Src_SYSHECF_nuclear!$E$5:$E$292,MATCH($C104,Src_SYSHECF_nuclear!$C$5:$C$292,0))*$E104),Keys!$C$5),Keys!$C$4)</f>
        <v>1.0484</v>
      </c>
      <c r="H104">
        <f>IF($D104=1,ROUND(Keys!$C$2/(INDEX(Src_SYSHECF_nuclear!$F$5:$F$292,MATCH($C104,Src_SYSHECF_nuclear!$C$5:$C$292,0))*$E104),Keys!$C$5),Keys!$C$4)</f>
        <v>1.0484</v>
      </c>
      <c r="I104">
        <f>IF($D104=1,ROUND(Keys!$C$2/(INDEX(Src_SYSHECF_nuclear!$G$5:$G$292,MATCH($C104,Src_SYSHECF_nuclear!$C$5:$C$292,0))*$E104),Keys!$C$5),Keys!$C$4)</f>
        <v>1.0484</v>
      </c>
      <c r="J104">
        <f>IF($D104=1,ROUND(Keys!$C$2/(INDEX(Src_SYSHECF_nuclear!$H$5:$H$292,MATCH($C104,Src_SYSHECF_nuclear!$C$5:$C$292,0))*$E104),Keys!$C$5),Keys!$C$4)</f>
        <v>1.0484</v>
      </c>
      <c r="K104">
        <f>IF($D104=1,ROUND(Keys!$C$2/(INDEX(Src_SYSHECF_nuclear!$I$5:$I$292,MATCH($C104,Src_SYSHECF_nuclear!$C$5:$C$292,0))*$E104),Keys!$C$5),Keys!$C$4)</f>
        <v>1.0484</v>
      </c>
      <c r="L104">
        <f>IF($D104=1,ROUND(Keys!$C$2/(INDEX(Src_SYSHECF_nuclear!$J$5:$J$292,MATCH($C104,Src_SYSHECF_nuclear!$C$5:$C$292,0))*$E104),Keys!$C$5),Keys!$C$4)</f>
        <v>1.0484</v>
      </c>
      <c r="M104">
        <f>IF($D104=1,ROUND(Keys!$C$2/(INDEX(Src_SYSHECF_nuclear!$K$5:$K$292,MATCH($C104,Src_SYSHECF_nuclear!$C$5:$C$292,0))*$E104),Keys!$C$5),Keys!$C$4)</f>
        <v>1.0501</v>
      </c>
      <c r="N104">
        <f>IF($D104=1,ROUND(Keys!$C$2/(INDEX(Src_SYSHECF_nuclear!$L$5:$L$292,MATCH($C104,Src_SYSHECF_nuclear!$C$5:$C$292,0))*$E104),Keys!$C$5),Keys!$C$4)</f>
        <v>1.0484</v>
      </c>
      <c r="O104">
        <f>IF($D104=1,ROUND(Keys!$C$2/(INDEX(Src_SYSHECF_nuclear!$M$5:$M$292,MATCH($C104,Src_SYSHECF_nuclear!$C$5:$C$292,0))*$E104),Keys!$C$5),Keys!$C$4)</f>
        <v>1.0484</v>
      </c>
      <c r="P104">
        <f>IF($D104=1,ROUND(Keys!$C$2/(INDEX(Src_SYSHECF_nuclear!$N$5:$N$292,MATCH($C104,Src_SYSHECF_nuclear!$C$5:$C$292,0))*$E104),Keys!$C$5),Keys!$C$4)</f>
        <v>1.0484</v>
      </c>
      <c r="Q104">
        <f>IF($D104=1,ROUND(Keys!$C$2/(INDEX(Src_SYSHECF_nuclear!$O$5:$O$292,MATCH($C104,Src_SYSHECF_nuclear!$C$5:$C$292,0))*$E104),Keys!$C$5),Keys!$C$4)</f>
        <v>1.0484</v>
      </c>
      <c r="R104">
        <f>IF($D104=1,ROUND(Keys!$C$2/(INDEX(Src_SYSHECF_nuclear!$P$5:$P$292,MATCH($C104,Src_SYSHECF_nuclear!$C$5:$C$292,0))*$E104),Keys!$C$5),Keys!$C$4)</f>
        <v>1.0484</v>
      </c>
      <c r="S104">
        <f>IF($D104=1,ROUND(Keys!$C$2/(INDEX(Src_SYSHECF_nuclear!$Q$5:$Q$292,MATCH($C104,Src_SYSHECF_nuclear!$C$5:$C$292,0))*$E104),Keys!$C$5),Keys!$C$4)</f>
        <v>1.0484</v>
      </c>
      <c r="T104">
        <f>IF($D104=1,ROUND(Keys!$C$2/(INDEX(Src_SYSHECF_nuclear!$R$5:$R$292,MATCH($C104,Src_SYSHECF_nuclear!$C$5:$C$292,0))*$E104),Keys!$C$5),Keys!$C$4)</f>
        <v>1.0484</v>
      </c>
      <c r="U104">
        <f>IF($D104=1,ROUND(Keys!$C$2/(INDEX(Src_SYSHECF_nuclear!$S$5:$S$292,MATCH($C104,Src_SYSHECF_nuclear!$C$5:$C$292,0))*$E104),Keys!$C$5),Keys!$C$4)</f>
        <v>1.0484</v>
      </c>
      <c r="V104">
        <f>IF($D104=1,ROUND(Keys!$C$2/(INDEX(Src_SYSHECF_nuclear!$T$5:$T$292,MATCH($C104,Src_SYSHECF_nuclear!$C$5:$C$292,0))*$E104),Keys!$C$5),Keys!$C$4)</f>
        <v>1.0484</v>
      </c>
      <c r="W104">
        <f>IF($D104=1,ROUND(Keys!$C$2/(INDEX(Src_SYSHECF_nuclear!$U$5:$U$292,MATCH($C104,Src_SYSHECF_nuclear!$C$5:$C$292,0))*$E104),Keys!$C$5),Keys!$C$4)</f>
        <v>1.0484</v>
      </c>
      <c r="X104">
        <f>IF($D104=1,ROUND(Keys!$C$2/(INDEX(Src_SYSHECF_nuclear!$V$5:$V$292,MATCH($C104,Src_SYSHECF_nuclear!$C$5:$C$292,0))*$E104),Keys!$C$5),Keys!$C$4)</f>
        <v>1.0484</v>
      </c>
      <c r="Y104">
        <f>IF($D104=1,ROUND(Keys!$C$2/(INDEX(Src_SYSHECF_nuclear!$W$5:$W$292,MATCH($C104,Src_SYSHECF_nuclear!$C$5:$C$292,0))*$E104),Keys!$C$5),Keys!$C$4)</f>
        <v>1.0484</v>
      </c>
      <c r="Z104">
        <f>IF($D104=1,ROUND(Keys!$C$2/(INDEX(Src_SYSHECF_nuclear!$X$5:$X$292,MATCH($C104,Src_SYSHECF_nuclear!$C$5:$C$292,0))*$E104),Keys!$C$5),Keys!$C$4)</f>
        <v>1.0484</v>
      </c>
      <c r="AA104">
        <f>IF($D104=1,ROUND(Keys!$C$2/(INDEX(Src_SYSHECF_nuclear!$Y$5:$Y$292,MATCH($C104,Src_SYSHECF_nuclear!$C$5:$C$292,0))*$E104),Keys!$C$5),Keys!$C$4)</f>
        <v>1.0484</v>
      </c>
      <c r="AB104">
        <f>IF($D104=1,ROUND(Keys!$C$2/(INDEX(Src_SYSHECF_nuclear!$Z$5:$Z$292,MATCH($C104,Src_SYSHECF_nuclear!$C$5:$C$292,0))*$E104),Keys!$C$5),Keys!$C$4)</f>
        <v>1.0484</v>
      </c>
      <c r="AC104">
        <f>IF($D104=1,ROUND(Keys!$C$2/(INDEX(Src_SYSHECF_nuclear!$AA$5:$AA$292,MATCH($C104,Src_SYSHECF_nuclear!$C$5:$C$292,0))*$E104),Keys!$C$5),Keys!$C$4)</f>
        <v>1.0484</v>
      </c>
      <c r="AE104">
        <f>IF($D104=1,IF(ABS(INDEX(Src_SYSHECF_nuclear!$D$5:$D$292,MATCH($C104,Src_SYSHECF_nuclear!$C$5:$C$292,0))*$E104*F104-Keys!$C$2)&gt;Keys!$C$6,1,0),0)</f>
        <v>0</v>
      </c>
    </row>
    <row r="105" spans="1:31" x14ac:dyDescent="0.45">
      <c r="A105" t="s">
        <v>25</v>
      </c>
      <c r="B105" t="s">
        <v>425</v>
      </c>
      <c r="C105" t="str">
        <f t="shared" si="1"/>
        <v>GA|Spring</v>
      </c>
      <c r="D105">
        <f>INDEX(Src_BHRaSYC_nuclear!$HF$5:$HF$52,MATCH($A105,Src_BHRaSYC_nuclear!$A$5:$A$52,0))</f>
        <v>1</v>
      </c>
      <c r="E105">
        <f>INDEX(Src_HYECFCA_nuclear!$B$5:$B$52,MATCH($A105,Src_HYECFCA_nuclear!$A$5:$A$52,0))</f>
        <v>1.03278</v>
      </c>
      <c r="F105">
        <f>IF($D105=1,ROUND(Keys!$C$2/(INDEX(Src_SYSHECF_nuclear!$D$5:$D$292,MATCH($C105,Src_SYSHECF_nuclear!$C$5:$C$292,0))*$E105),Keys!$C$5),Keys!$C$4)</f>
        <v>1.0484</v>
      </c>
      <c r="G105">
        <f>IF($D105=1,ROUND(Keys!$C$2/(INDEX(Src_SYSHECF_nuclear!$E$5:$E$292,MATCH($C105,Src_SYSHECF_nuclear!$C$5:$C$292,0))*$E105),Keys!$C$5),Keys!$C$4)</f>
        <v>1.0484</v>
      </c>
      <c r="H105">
        <f>IF($D105=1,ROUND(Keys!$C$2/(INDEX(Src_SYSHECF_nuclear!$F$5:$F$292,MATCH($C105,Src_SYSHECF_nuclear!$C$5:$C$292,0))*$E105),Keys!$C$5),Keys!$C$4)</f>
        <v>1.0484</v>
      </c>
      <c r="I105">
        <f>IF($D105=1,ROUND(Keys!$C$2/(INDEX(Src_SYSHECF_nuclear!$G$5:$G$292,MATCH($C105,Src_SYSHECF_nuclear!$C$5:$C$292,0))*$E105),Keys!$C$5),Keys!$C$4)</f>
        <v>1.0484</v>
      </c>
      <c r="J105">
        <f>IF($D105=1,ROUND(Keys!$C$2/(INDEX(Src_SYSHECF_nuclear!$H$5:$H$292,MATCH($C105,Src_SYSHECF_nuclear!$C$5:$C$292,0))*$E105),Keys!$C$5),Keys!$C$4)</f>
        <v>1.0484</v>
      </c>
      <c r="K105">
        <f>IF($D105=1,ROUND(Keys!$C$2/(INDEX(Src_SYSHECF_nuclear!$I$5:$I$292,MATCH($C105,Src_SYSHECF_nuclear!$C$5:$C$292,0))*$E105),Keys!$C$5),Keys!$C$4)</f>
        <v>1.0484</v>
      </c>
      <c r="L105">
        <f>IF($D105=1,ROUND(Keys!$C$2/(INDEX(Src_SYSHECF_nuclear!$J$5:$J$292,MATCH($C105,Src_SYSHECF_nuclear!$C$5:$C$292,0))*$E105),Keys!$C$5),Keys!$C$4)</f>
        <v>1.0501</v>
      </c>
      <c r="M105">
        <f>IF($D105=1,ROUND(Keys!$C$2/(INDEX(Src_SYSHECF_nuclear!$K$5:$K$292,MATCH($C105,Src_SYSHECF_nuclear!$C$5:$C$292,0))*$E105),Keys!$C$5),Keys!$C$4)</f>
        <v>1.0501</v>
      </c>
      <c r="N105">
        <f>IF($D105=1,ROUND(Keys!$C$2/(INDEX(Src_SYSHECF_nuclear!$L$5:$L$292,MATCH($C105,Src_SYSHECF_nuclear!$C$5:$C$292,0))*$E105),Keys!$C$5),Keys!$C$4)</f>
        <v>1.0484</v>
      </c>
      <c r="O105">
        <f>IF($D105=1,ROUND(Keys!$C$2/(INDEX(Src_SYSHECF_nuclear!$M$5:$M$292,MATCH($C105,Src_SYSHECF_nuclear!$C$5:$C$292,0))*$E105),Keys!$C$5),Keys!$C$4)</f>
        <v>1.0484</v>
      </c>
      <c r="P105">
        <f>IF($D105=1,ROUND(Keys!$C$2/(INDEX(Src_SYSHECF_nuclear!$N$5:$N$292,MATCH($C105,Src_SYSHECF_nuclear!$C$5:$C$292,0))*$E105),Keys!$C$5),Keys!$C$4)</f>
        <v>1.0484</v>
      </c>
      <c r="Q105">
        <f>IF($D105=1,ROUND(Keys!$C$2/(INDEX(Src_SYSHECF_nuclear!$O$5:$O$292,MATCH($C105,Src_SYSHECF_nuclear!$C$5:$C$292,0))*$E105),Keys!$C$5),Keys!$C$4)</f>
        <v>1.0484</v>
      </c>
      <c r="R105">
        <f>IF($D105=1,ROUND(Keys!$C$2/(INDEX(Src_SYSHECF_nuclear!$P$5:$P$292,MATCH($C105,Src_SYSHECF_nuclear!$C$5:$C$292,0))*$E105),Keys!$C$5),Keys!$C$4)</f>
        <v>1.0484</v>
      </c>
      <c r="S105">
        <f>IF($D105=1,ROUND(Keys!$C$2/(INDEX(Src_SYSHECF_nuclear!$Q$5:$Q$292,MATCH($C105,Src_SYSHECF_nuclear!$C$5:$C$292,0))*$E105),Keys!$C$5),Keys!$C$4)</f>
        <v>1.0484</v>
      </c>
      <c r="T105">
        <f>IF($D105=1,ROUND(Keys!$C$2/(INDEX(Src_SYSHECF_nuclear!$R$5:$R$292,MATCH($C105,Src_SYSHECF_nuclear!$C$5:$C$292,0))*$E105),Keys!$C$5),Keys!$C$4)</f>
        <v>1.0484</v>
      </c>
      <c r="U105">
        <f>IF($D105=1,ROUND(Keys!$C$2/(INDEX(Src_SYSHECF_nuclear!$S$5:$S$292,MATCH($C105,Src_SYSHECF_nuclear!$C$5:$C$292,0))*$E105),Keys!$C$5),Keys!$C$4)</f>
        <v>1.0484</v>
      </c>
      <c r="V105">
        <f>IF($D105=1,ROUND(Keys!$C$2/(INDEX(Src_SYSHECF_nuclear!$T$5:$T$292,MATCH($C105,Src_SYSHECF_nuclear!$C$5:$C$292,0))*$E105),Keys!$C$5),Keys!$C$4)</f>
        <v>1.0484</v>
      </c>
      <c r="W105">
        <f>IF($D105=1,ROUND(Keys!$C$2/(INDEX(Src_SYSHECF_nuclear!$U$5:$U$292,MATCH($C105,Src_SYSHECF_nuclear!$C$5:$C$292,0))*$E105),Keys!$C$5),Keys!$C$4)</f>
        <v>1.0484</v>
      </c>
      <c r="X105">
        <f>IF($D105=1,ROUND(Keys!$C$2/(INDEX(Src_SYSHECF_nuclear!$V$5:$V$292,MATCH($C105,Src_SYSHECF_nuclear!$C$5:$C$292,0))*$E105),Keys!$C$5),Keys!$C$4)</f>
        <v>1.0484</v>
      </c>
      <c r="Y105">
        <f>IF($D105=1,ROUND(Keys!$C$2/(INDEX(Src_SYSHECF_nuclear!$W$5:$W$292,MATCH($C105,Src_SYSHECF_nuclear!$C$5:$C$292,0))*$E105),Keys!$C$5),Keys!$C$4)</f>
        <v>1.0484</v>
      </c>
      <c r="Z105">
        <f>IF($D105=1,ROUND(Keys!$C$2/(INDEX(Src_SYSHECF_nuclear!$X$5:$X$292,MATCH($C105,Src_SYSHECF_nuclear!$C$5:$C$292,0))*$E105),Keys!$C$5),Keys!$C$4)</f>
        <v>1.0484</v>
      </c>
      <c r="AA105">
        <f>IF($D105=1,ROUND(Keys!$C$2/(INDEX(Src_SYSHECF_nuclear!$Y$5:$Y$292,MATCH($C105,Src_SYSHECF_nuclear!$C$5:$C$292,0))*$E105),Keys!$C$5),Keys!$C$4)</f>
        <v>1.0484</v>
      </c>
      <c r="AB105">
        <f>IF($D105=1,ROUND(Keys!$C$2/(INDEX(Src_SYSHECF_nuclear!$Z$5:$Z$292,MATCH($C105,Src_SYSHECF_nuclear!$C$5:$C$292,0))*$E105),Keys!$C$5),Keys!$C$4)</f>
        <v>1.0484</v>
      </c>
      <c r="AC105">
        <f>IF($D105=1,ROUND(Keys!$C$2/(INDEX(Src_SYSHECF_nuclear!$AA$5:$AA$292,MATCH($C105,Src_SYSHECF_nuclear!$C$5:$C$292,0))*$E105),Keys!$C$5),Keys!$C$4)</f>
        <v>1.0484</v>
      </c>
      <c r="AE105">
        <f>IF($D105=1,IF(ABS(INDEX(Src_SYSHECF_nuclear!$D$5:$D$292,MATCH($C105,Src_SYSHECF_nuclear!$C$5:$C$292,0))*$E105*F105-Keys!$C$2)&gt;Keys!$C$6,1,0),0)</f>
        <v>0</v>
      </c>
    </row>
    <row r="106" spans="1:31" x14ac:dyDescent="0.45">
      <c r="A106" t="s">
        <v>25</v>
      </c>
      <c r="B106" t="s">
        <v>426</v>
      </c>
      <c r="C106" t="str">
        <f t="shared" si="1"/>
        <v>GA|Summer</v>
      </c>
      <c r="D106">
        <f>INDEX(Src_BHRaSYC_nuclear!$HF$5:$HF$52,MATCH($A106,Src_BHRaSYC_nuclear!$A$5:$A$52,0))</f>
        <v>1</v>
      </c>
      <c r="E106">
        <f>INDEX(Src_HYECFCA_nuclear!$B$5:$B$52,MATCH($A106,Src_HYECFCA_nuclear!$A$5:$A$52,0))</f>
        <v>1.03278</v>
      </c>
      <c r="F106">
        <f>IF($D106=1,ROUND(Keys!$C$2/(INDEX(Src_SYSHECF_nuclear!$D$5:$D$292,MATCH($C106,Src_SYSHECF_nuclear!$C$5:$C$292,0))*$E106),Keys!$C$5),Keys!$C$4)</f>
        <v>1.0484</v>
      </c>
      <c r="G106">
        <f>IF($D106=1,ROUND(Keys!$C$2/(INDEX(Src_SYSHECF_nuclear!$E$5:$E$292,MATCH($C106,Src_SYSHECF_nuclear!$C$5:$C$292,0))*$E106),Keys!$C$5),Keys!$C$4)</f>
        <v>1.0484</v>
      </c>
      <c r="H106">
        <f>IF($D106=1,ROUND(Keys!$C$2/(INDEX(Src_SYSHECF_nuclear!$F$5:$F$292,MATCH($C106,Src_SYSHECF_nuclear!$C$5:$C$292,0))*$E106),Keys!$C$5),Keys!$C$4)</f>
        <v>1.0484</v>
      </c>
      <c r="I106">
        <f>IF($D106=1,ROUND(Keys!$C$2/(INDEX(Src_SYSHECF_nuclear!$G$5:$G$292,MATCH($C106,Src_SYSHECF_nuclear!$C$5:$C$292,0))*$E106),Keys!$C$5),Keys!$C$4)</f>
        <v>1.0484</v>
      </c>
      <c r="J106">
        <f>IF($D106=1,ROUND(Keys!$C$2/(INDEX(Src_SYSHECF_nuclear!$H$5:$H$292,MATCH($C106,Src_SYSHECF_nuclear!$C$5:$C$292,0))*$E106),Keys!$C$5),Keys!$C$4)</f>
        <v>1.0484</v>
      </c>
      <c r="K106">
        <f>IF($D106=1,ROUND(Keys!$C$2/(INDEX(Src_SYSHECF_nuclear!$I$5:$I$292,MATCH($C106,Src_SYSHECF_nuclear!$C$5:$C$292,0))*$E106),Keys!$C$5),Keys!$C$4)</f>
        <v>1.0484</v>
      </c>
      <c r="L106">
        <f>IF($D106=1,ROUND(Keys!$C$2/(INDEX(Src_SYSHECF_nuclear!$J$5:$J$292,MATCH($C106,Src_SYSHECF_nuclear!$C$5:$C$292,0))*$E106),Keys!$C$5),Keys!$C$4)</f>
        <v>1.0538000000000001</v>
      </c>
      <c r="M106">
        <f>IF($D106=1,ROUND(Keys!$C$2/(INDEX(Src_SYSHECF_nuclear!$K$5:$K$292,MATCH($C106,Src_SYSHECF_nuclear!$C$5:$C$292,0))*$E106),Keys!$C$5),Keys!$C$4)</f>
        <v>1.0524</v>
      </c>
      <c r="N106">
        <f>IF($D106=1,ROUND(Keys!$C$2/(INDEX(Src_SYSHECF_nuclear!$L$5:$L$292,MATCH($C106,Src_SYSHECF_nuclear!$C$5:$C$292,0))*$E106),Keys!$C$5),Keys!$C$4)</f>
        <v>1.0484</v>
      </c>
      <c r="O106">
        <f>IF($D106=1,ROUND(Keys!$C$2/(INDEX(Src_SYSHECF_nuclear!$M$5:$M$292,MATCH($C106,Src_SYSHECF_nuclear!$C$5:$C$292,0))*$E106),Keys!$C$5),Keys!$C$4)</f>
        <v>1.0484</v>
      </c>
      <c r="P106">
        <f>IF($D106=1,ROUND(Keys!$C$2/(INDEX(Src_SYSHECF_nuclear!$N$5:$N$292,MATCH($C106,Src_SYSHECF_nuclear!$C$5:$C$292,0))*$E106),Keys!$C$5),Keys!$C$4)</f>
        <v>1.0484</v>
      </c>
      <c r="Q106">
        <f>IF($D106=1,ROUND(Keys!$C$2/(INDEX(Src_SYSHECF_nuclear!$O$5:$O$292,MATCH($C106,Src_SYSHECF_nuclear!$C$5:$C$292,0))*$E106),Keys!$C$5),Keys!$C$4)</f>
        <v>1.0484</v>
      </c>
      <c r="R106">
        <f>IF($D106=1,ROUND(Keys!$C$2/(INDEX(Src_SYSHECF_nuclear!$P$5:$P$292,MATCH($C106,Src_SYSHECF_nuclear!$C$5:$C$292,0))*$E106),Keys!$C$5),Keys!$C$4)</f>
        <v>1.0484</v>
      </c>
      <c r="S106">
        <f>IF($D106=1,ROUND(Keys!$C$2/(INDEX(Src_SYSHECF_nuclear!$Q$5:$Q$292,MATCH($C106,Src_SYSHECF_nuclear!$C$5:$C$292,0))*$E106),Keys!$C$5),Keys!$C$4)</f>
        <v>1.0484</v>
      </c>
      <c r="T106">
        <f>IF($D106=1,ROUND(Keys!$C$2/(INDEX(Src_SYSHECF_nuclear!$R$5:$R$292,MATCH($C106,Src_SYSHECF_nuclear!$C$5:$C$292,0))*$E106),Keys!$C$5),Keys!$C$4)</f>
        <v>1.0484</v>
      </c>
      <c r="U106">
        <f>IF($D106=1,ROUND(Keys!$C$2/(INDEX(Src_SYSHECF_nuclear!$S$5:$S$292,MATCH($C106,Src_SYSHECF_nuclear!$C$5:$C$292,0))*$E106),Keys!$C$5),Keys!$C$4)</f>
        <v>1.0484</v>
      </c>
      <c r="V106">
        <f>IF($D106=1,ROUND(Keys!$C$2/(INDEX(Src_SYSHECF_nuclear!$T$5:$T$292,MATCH($C106,Src_SYSHECF_nuclear!$C$5:$C$292,0))*$E106),Keys!$C$5),Keys!$C$4)</f>
        <v>1.0484</v>
      </c>
      <c r="W106">
        <f>IF($D106=1,ROUND(Keys!$C$2/(INDEX(Src_SYSHECF_nuclear!$U$5:$U$292,MATCH($C106,Src_SYSHECF_nuclear!$C$5:$C$292,0))*$E106),Keys!$C$5),Keys!$C$4)</f>
        <v>1.0484</v>
      </c>
      <c r="X106">
        <f>IF($D106=1,ROUND(Keys!$C$2/(INDEX(Src_SYSHECF_nuclear!$V$5:$V$292,MATCH($C106,Src_SYSHECF_nuclear!$C$5:$C$292,0))*$E106),Keys!$C$5),Keys!$C$4)</f>
        <v>1.0484</v>
      </c>
      <c r="Y106">
        <f>IF($D106=1,ROUND(Keys!$C$2/(INDEX(Src_SYSHECF_nuclear!$W$5:$W$292,MATCH($C106,Src_SYSHECF_nuclear!$C$5:$C$292,0))*$E106),Keys!$C$5),Keys!$C$4)</f>
        <v>1.0484</v>
      </c>
      <c r="Z106">
        <f>IF($D106=1,ROUND(Keys!$C$2/(INDEX(Src_SYSHECF_nuclear!$X$5:$X$292,MATCH($C106,Src_SYSHECF_nuclear!$C$5:$C$292,0))*$E106),Keys!$C$5),Keys!$C$4)</f>
        <v>1.0484</v>
      </c>
      <c r="AA106">
        <f>IF($D106=1,ROUND(Keys!$C$2/(INDEX(Src_SYSHECF_nuclear!$Y$5:$Y$292,MATCH($C106,Src_SYSHECF_nuclear!$C$5:$C$292,0))*$E106),Keys!$C$5),Keys!$C$4)</f>
        <v>1.0484</v>
      </c>
      <c r="AB106">
        <f>IF($D106=1,ROUND(Keys!$C$2/(INDEX(Src_SYSHECF_nuclear!$Z$5:$Z$292,MATCH($C106,Src_SYSHECF_nuclear!$C$5:$C$292,0))*$E106),Keys!$C$5),Keys!$C$4)</f>
        <v>1.0484</v>
      </c>
      <c r="AC106">
        <f>IF($D106=1,ROUND(Keys!$C$2/(INDEX(Src_SYSHECF_nuclear!$AA$5:$AA$292,MATCH($C106,Src_SYSHECF_nuclear!$C$5:$C$292,0))*$E106),Keys!$C$5),Keys!$C$4)</f>
        <v>1.0484</v>
      </c>
      <c r="AE106">
        <f>IF($D106=1,IF(ABS(INDEX(Src_SYSHECF_nuclear!$D$5:$D$292,MATCH($C106,Src_SYSHECF_nuclear!$C$5:$C$292,0))*$E106*F106-Keys!$C$2)&gt;Keys!$C$6,1,0),0)</f>
        <v>0</v>
      </c>
    </row>
    <row r="107" spans="1:31" x14ac:dyDescent="0.45">
      <c r="A107" t="s">
        <v>25</v>
      </c>
      <c r="B107" t="s">
        <v>427</v>
      </c>
      <c r="C107" t="str">
        <f t="shared" si="1"/>
        <v>GA|Fall</v>
      </c>
      <c r="D107">
        <f>INDEX(Src_BHRaSYC_nuclear!$HF$5:$HF$52,MATCH($A107,Src_BHRaSYC_nuclear!$A$5:$A$52,0))</f>
        <v>1</v>
      </c>
      <c r="E107">
        <f>INDEX(Src_HYECFCA_nuclear!$B$5:$B$52,MATCH($A107,Src_HYECFCA_nuclear!$A$5:$A$52,0))</f>
        <v>1.03278</v>
      </c>
      <c r="F107">
        <f>IF($D107=1,ROUND(Keys!$C$2/(INDEX(Src_SYSHECF_nuclear!$D$5:$D$292,MATCH($C107,Src_SYSHECF_nuclear!$C$5:$C$292,0))*$E107),Keys!$C$5),Keys!$C$4)</f>
        <v>1.0499000000000001</v>
      </c>
      <c r="G107">
        <f>IF($D107=1,ROUND(Keys!$C$2/(INDEX(Src_SYSHECF_nuclear!$E$5:$E$292,MATCH($C107,Src_SYSHECF_nuclear!$C$5:$C$292,0))*$E107),Keys!$C$5),Keys!$C$4)</f>
        <v>1.0484</v>
      </c>
      <c r="H107">
        <f>IF($D107=1,ROUND(Keys!$C$2/(INDEX(Src_SYSHECF_nuclear!$F$5:$F$292,MATCH($C107,Src_SYSHECF_nuclear!$C$5:$C$292,0))*$E107),Keys!$C$5),Keys!$C$4)</f>
        <v>1.0484</v>
      </c>
      <c r="I107">
        <f>IF($D107=1,ROUND(Keys!$C$2/(INDEX(Src_SYSHECF_nuclear!$G$5:$G$292,MATCH($C107,Src_SYSHECF_nuclear!$C$5:$C$292,0))*$E107),Keys!$C$5),Keys!$C$4)</f>
        <v>1.0484</v>
      </c>
      <c r="J107">
        <f>IF($D107=1,ROUND(Keys!$C$2/(INDEX(Src_SYSHECF_nuclear!$H$5:$H$292,MATCH($C107,Src_SYSHECF_nuclear!$C$5:$C$292,0))*$E107),Keys!$C$5),Keys!$C$4)</f>
        <v>1.0484</v>
      </c>
      <c r="K107">
        <f>IF($D107=1,ROUND(Keys!$C$2/(INDEX(Src_SYSHECF_nuclear!$I$5:$I$292,MATCH($C107,Src_SYSHECF_nuclear!$C$5:$C$292,0))*$E107),Keys!$C$5),Keys!$C$4)</f>
        <v>1.0484</v>
      </c>
      <c r="L107">
        <f>IF($D107=1,ROUND(Keys!$C$2/(INDEX(Src_SYSHECF_nuclear!$J$5:$J$292,MATCH($C107,Src_SYSHECF_nuclear!$C$5:$C$292,0))*$E107),Keys!$C$5),Keys!$C$4)</f>
        <v>1.0513999999999999</v>
      </c>
      <c r="M107">
        <f>IF($D107=1,ROUND(Keys!$C$2/(INDEX(Src_SYSHECF_nuclear!$K$5:$K$292,MATCH($C107,Src_SYSHECF_nuclear!$C$5:$C$292,0))*$E107),Keys!$C$5),Keys!$C$4)</f>
        <v>1.0508</v>
      </c>
      <c r="N107">
        <f>IF($D107=1,ROUND(Keys!$C$2/(INDEX(Src_SYSHECF_nuclear!$L$5:$L$292,MATCH($C107,Src_SYSHECF_nuclear!$C$5:$C$292,0))*$E107),Keys!$C$5),Keys!$C$4)</f>
        <v>1.0484</v>
      </c>
      <c r="O107">
        <f>IF($D107=1,ROUND(Keys!$C$2/(INDEX(Src_SYSHECF_nuclear!$M$5:$M$292,MATCH($C107,Src_SYSHECF_nuclear!$C$5:$C$292,0))*$E107),Keys!$C$5),Keys!$C$4)</f>
        <v>1.0484</v>
      </c>
      <c r="P107">
        <f>IF($D107=1,ROUND(Keys!$C$2/(INDEX(Src_SYSHECF_nuclear!$N$5:$N$292,MATCH($C107,Src_SYSHECF_nuclear!$C$5:$C$292,0))*$E107),Keys!$C$5),Keys!$C$4)</f>
        <v>1.0484</v>
      </c>
      <c r="Q107">
        <f>IF($D107=1,ROUND(Keys!$C$2/(INDEX(Src_SYSHECF_nuclear!$O$5:$O$292,MATCH($C107,Src_SYSHECF_nuclear!$C$5:$C$292,0))*$E107),Keys!$C$5),Keys!$C$4)</f>
        <v>1.0484</v>
      </c>
      <c r="R107">
        <f>IF($D107=1,ROUND(Keys!$C$2/(INDEX(Src_SYSHECF_nuclear!$P$5:$P$292,MATCH($C107,Src_SYSHECF_nuclear!$C$5:$C$292,0))*$E107),Keys!$C$5),Keys!$C$4)</f>
        <v>1.0484</v>
      </c>
      <c r="S107">
        <f>IF($D107=1,ROUND(Keys!$C$2/(INDEX(Src_SYSHECF_nuclear!$Q$5:$Q$292,MATCH($C107,Src_SYSHECF_nuclear!$C$5:$C$292,0))*$E107),Keys!$C$5),Keys!$C$4)</f>
        <v>1.0484</v>
      </c>
      <c r="T107">
        <f>IF($D107=1,ROUND(Keys!$C$2/(INDEX(Src_SYSHECF_nuclear!$R$5:$R$292,MATCH($C107,Src_SYSHECF_nuclear!$C$5:$C$292,0))*$E107),Keys!$C$5),Keys!$C$4)</f>
        <v>1.0484</v>
      </c>
      <c r="U107">
        <f>IF($D107=1,ROUND(Keys!$C$2/(INDEX(Src_SYSHECF_nuclear!$S$5:$S$292,MATCH($C107,Src_SYSHECF_nuclear!$C$5:$C$292,0))*$E107),Keys!$C$5),Keys!$C$4)</f>
        <v>1.0484</v>
      </c>
      <c r="V107">
        <f>IF($D107=1,ROUND(Keys!$C$2/(INDEX(Src_SYSHECF_nuclear!$T$5:$T$292,MATCH($C107,Src_SYSHECF_nuclear!$C$5:$C$292,0))*$E107),Keys!$C$5),Keys!$C$4)</f>
        <v>1.0484</v>
      </c>
      <c r="W107">
        <f>IF($D107=1,ROUND(Keys!$C$2/(INDEX(Src_SYSHECF_nuclear!$U$5:$U$292,MATCH($C107,Src_SYSHECF_nuclear!$C$5:$C$292,0))*$E107),Keys!$C$5),Keys!$C$4)</f>
        <v>1.0484</v>
      </c>
      <c r="X107">
        <f>IF($D107=1,ROUND(Keys!$C$2/(INDEX(Src_SYSHECF_nuclear!$V$5:$V$292,MATCH($C107,Src_SYSHECF_nuclear!$C$5:$C$292,0))*$E107),Keys!$C$5),Keys!$C$4)</f>
        <v>1.0484</v>
      </c>
      <c r="Y107">
        <f>IF($D107=1,ROUND(Keys!$C$2/(INDEX(Src_SYSHECF_nuclear!$W$5:$W$292,MATCH($C107,Src_SYSHECF_nuclear!$C$5:$C$292,0))*$E107),Keys!$C$5),Keys!$C$4)</f>
        <v>1.0484</v>
      </c>
      <c r="Z107">
        <f>IF($D107=1,ROUND(Keys!$C$2/(INDEX(Src_SYSHECF_nuclear!$X$5:$X$292,MATCH($C107,Src_SYSHECF_nuclear!$C$5:$C$292,0))*$E107),Keys!$C$5),Keys!$C$4)</f>
        <v>1.0484</v>
      </c>
      <c r="AA107">
        <f>IF($D107=1,ROUND(Keys!$C$2/(INDEX(Src_SYSHECF_nuclear!$Y$5:$Y$292,MATCH($C107,Src_SYSHECF_nuclear!$C$5:$C$292,0))*$E107),Keys!$C$5),Keys!$C$4)</f>
        <v>1.0484</v>
      </c>
      <c r="AB107">
        <f>IF($D107=1,ROUND(Keys!$C$2/(INDEX(Src_SYSHECF_nuclear!$Z$5:$Z$292,MATCH($C107,Src_SYSHECF_nuclear!$C$5:$C$292,0))*$E107),Keys!$C$5),Keys!$C$4)</f>
        <v>1.0484</v>
      </c>
      <c r="AC107">
        <f>IF($D107=1,ROUND(Keys!$C$2/(INDEX(Src_SYSHECF_nuclear!$AA$5:$AA$292,MATCH($C107,Src_SYSHECF_nuclear!$C$5:$C$292,0))*$E107),Keys!$C$5),Keys!$C$4)</f>
        <v>1.0484</v>
      </c>
      <c r="AE107">
        <f>IF($D107=1,IF(ABS(INDEX(Src_SYSHECF_nuclear!$D$5:$D$292,MATCH($C107,Src_SYSHECF_nuclear!$C$5:$C$292,0))*$E107*F107-Keys!$C$2)&gt;Keys!$C$6,1,0),0)</f>
        <v>0</v>
      </c>
    </row>
    <row r="108" spans="1:31" x14ac:dyDescent="0.45">
      <c r="A108" t="s">
        <v>25</v>
      </c>
      <c r="B108" t="s">
        <v>428</v>
      </c>
      <c r="C108" t="str">
        <f t="shared" si="1"/>
        <v>GA|Summer Peak</v>
      </c>
      <c r="D108">
        <f>INDEX(Src_BHRaSYC_nuclear!$HF$5:$HF$52,MATCH($A108,Src_BHRaSYC_nuclear!$A$5:$A$52,0))</f>
        <v>1</v>
      </c>
      <c r="E108">
        <f>INDEX(Src_HYECFCA_nuclear!$B$5:$B$52,MATCH($A108,Src_HYECFCA_nuclear!$A$5:$A$52,0))</f>
        <v>1.03278</v>
      </c>
      <c r="F108">
        <f>IF($D108=1,ROUND(Keys!$C$2/(INDEX(Src_SYSHECF_nuclear!$D$5:$D$292,MATCH($C108,Src_SYSHECF_nuclear!$C$5:$C$292,0))*$E108),Keys!$C$5),Keys!$C$4)</f>
        <v>1.0484</v>
      </c>
      <c r="G108">
        <f>IF($D108=1,ROUND(Keys!$C$2/(INDEX(Src_SYSHECF_nuclear!$E$5:$E$292,MATCH($C108,Src_SYSHECF_nuclear!$C$5:$C$292,0))*$E108),Keys!$C$5),Keys!$C$4)</f>
        <v>1.0484</v>
      </c>
      <c r="H108">
        <f>IF($D108=1,ROUND(Keys!$C$2/(INDEX(Src_SYSHECF_nuclear!$F$5:$F$292,MATCH($C108,Src_SYSHECF_nuclear!$C$5:$C$292,0))*$E108),Keys!$C$5),Keys!$C$4)</f>
        <v>1.0484</v>
      </c>
      <c r="I108">
        <f>IF($D108=1,ROUND(Keys!$C$2/(INDEX(Src_SYSHECF_nuclear!$G$5:$G$292,MATCH($C108,Src_SYSHECF_nuclear!$C$5:$C$292,0))*$E108),Keys!$C$5),Keys!$C$4)</f>
        <v>1.0484</v>
      </c>
      <c r="J108">
        <f>IF($D108=1,ROUND(Keys!$C$2/(INDEX(Src_SYSHECF_nuclear!$H$5:$H$292,MATCH($C108,Src_SYSHECF_nuclear!$C$5:$C$292,0))*$E108),Keys!$C$5),Keys!$C$4)</f>
        <v>1.0484</v>
      </c>
      <c r="K108">
        <f>IF($D108=1,ROUND(Keys!$C$2/(INDEX(Src_SYSHECF_nuclear!$I$5:$I$292,MATCH($C108,Src_SYSHECF_nuclear!$C$5:$C$292,0))*$E108),Keys!$C$5),Keys!$C$4)</f>
        <v>1.0484</v>
      </c>
      <c r="L108">
        <f>IF($D108=1,ROUND(Keys!$C$2/(INDEX(Src_SYSHECF_nuclear!$J$5:$J$292,MATCH($C108,Src_SYSHECF_nuclear!$C$5:$C$292,0))*$E108),Keys!$C$5),Keys!$C$4)</f>
        <v>1.0484</v>
      </c>
      <c r="M108">
        <f>IF($D108=1,ROUND(Keys!$C$2/(INDEX(Src_SYSHECF_nuclear!$K$5:$K$292,MATCH($C108,Src_SYSHECF_nuclear!$C$5:$C$292,0))*$E108),Keys!$C$5),Keys!$C$4)</f>
        <v>1.0484</v>
      </c>
      <c r="N108">
        <f>IF($D108=1,ROUND(Keys!$C$2/(INDEX(Src_SYSHECF_nuclear!$L$5:$L$292,MATCH($C108,Src_SYSHECF_nuclear!$C$5:$C$292,0))*$E108),Keys!$C$5),Keys!$C$4)</f>
        <v>1.0484</v>
      </c>
      <c r="O108">
        <f>IF($D108=1,ROUND(Keys!$C$2/(INDEX(Src_SYSHECF_nuclear!$M$5:$M$292,MATCH($C108,Src_SYSHECF_nuclear!$C$5:$C$292,0))*$E108),Keys!$C$5),Keys!$C$4)</f>
        <v>1.0484</v>
      </c>
      <c r="P108">
        <f>IF($D108=1,ROUND(Keys!$C$2/(INDEX(Src_SYSHECF_nuclear!$N$5:$N$292,MATCH($C108,Src_SYSHECF_nuclear!$C$5:$C$292,0))*$E108),Keys!$C$5),Keys!$C$4)</f>
        <v>1.0484</v>
      </c>
      <c r="Q108">
        <f>IF($D108=1,ROUND(Keys!$C$2/(INDEX(Src_SYSHECF_nuclear!$O$5:$O$292,MATCH($C108,Src_SYSHECF_nuclear!$C$5:$C$292,0))*$E108),Keys!$C$5),Keys!$C$4)</f>
        <v>1.0484</v>
      </c>
      <c r="R108">
        <f>IF($D108=1,ROUND(Keys!$C$2/(INDEX(Src_SYSHECF_nuclear!$P$5:$P$292,MATCH($C108,Src_SYSHECF_nuclear!$C$5:$C$292,0))*$E108),Keys!$C$5),Keys!$C$4)</f>
        <v>1.0484</v>
      </c>
      <c r="S108">
        <f>IF($D108=1,ROUND(Keys!$C$2/(INDEX(Src_SYSHECF_nuclear!$Q$5:$Q$292,MATCH($C108,Src_SYSHECF_nuclear!$C$5:$C$292,0))*$E108),Keys!$C$5),Keys!$C$4)</f>
        <v>1.0484</v>
      </c>
      <c r="T108">
        <f>IF($D108=1,ROUND(Keys!$C$2/(INDEX(Src_SYSHECF_nuclear!$R$5:$R$292,MATCH($C108,Src_SYSHECF_nuclear!$C$5:$C$292,0))*$E108),Keys!$C$5),Keys!$C$4)</f>
        <v>1.0484</v>
      </c>
      <c r="U108">
        <f>IF($D108=1,ROUND(Keys!$C$2/(INDEX(Src_SYSHECF_nuclear!$S$5:$S$292,MATCH($C108,Src_SYSHECF_nuclear!$C$5:$C$292,0))*$E108),Keys!$C$5),Keys!$C$4)</f>
        <v>1.0484</v>
      </c>
      <c r="V108">
        <f>IF($D108=1,ROUND(Keys!$C$2/(INDEX(Src_SYSHECF_nuclear!$T$5:$T$292,MATCH($C108,Src_SYSHECF_nuclear!$C$5:$C$292,0))*$E108),Keys!$C$5),Keys!$C$4)</f>
        <v>1.0484</v>
      </c>
      <c r="W108">
        <f>IF($D108=1,ROUND(Keys!$C$2/(INDEX(Src_SYSHECF_nuclear!$U$5:$U$292,MATCH($C108,Src_SYSHECF_nuclear!$C$5:$C$292,0))*$E108),Keys!$C$5),Keys!$C$4)</f>
        <v>1.0484</v>
      </c>
      <c r="X108">
        <f>IF($D108=1,ROUND(Keys!$C$2/(INDEX(Src_SYSHECF_nuclear!$V$5:$V$292,MATCH($C108,Src_SYSHECF_nuclear!$C$5:$C$292,0))*$E108),Keys!$C$5),Keys!$C$4)</f>
        <v>1.0484</v>
      </c>
      <c r="Y108">
        <f>IF($D108=1,ROUND(Keys!$C$2/(INDEX(Src_SYSHECF_nuclear!$W$5:$W$292,MATCH($C108,Src_SYSHECF_nuclear!$C$5:$C$292,0))*$E108),Keys!$C$5),Keys!$C$4)</f>
        <v>1.0484</v>
      </c>
      <c r="Z108">
        <f>IF($D108=1,ROUND(Keys!$C$2/(INDEX(Src_SYSHECF_nuclear!$X$5:$X$292,MATCH($C108,Src_SYSHECF_nuclear!$C$5:$C$292,0))*$E108),Keys!$C$5),Keys!$C$4)</f>
        <v>1.0484</v>
      </c>
      <c r="AA108">
        <f>IF($D108=1,ROUND(Keys!$C$2/(INDEX(Src_SYSHECF_nuclear!$Y$5:$Y$292,MATCH($C108,Src_SYSHECF_nuclear!$C$5:$C$292,0))*$E108),Keys!$C$5),Keys!$C$4)</f>
        <v>1.0484</v>
      </c>
      <c r="AB108">
        <f>IF($D108=1,ROUND(Keys!$C$2/(INDEX(Src_SYSHECF_nuclear!$Z$5:$Z$292,MATCH($C108,Src_SYSHECF_nuclear!$C$5:$C$292,0))*$E108),Keys!$C$5),Keys!$C$4)</f>
        <v>1.0484</v>
      </c>
      <c r="AC108">
        <f>IF($D108=1,ROUND(Keys!$C$2/(INDEX(Src_SYSHECF_nuclear!$AA$5:$AA$292,MATCH($C108,Src_SYSHECF_nuclear!$C$5:$C$292,0))*$E108),Keys!$C$5),Keys!$C$4)</f>
        <v>1.0484</v>
      </c>
      <c r="AE108">
        <f>IF($D108=1,IF(ABS(INDEX(Src_SYSHECF_nuclear!$D$5:$D$292,MATCH($C108,Src_SYSHECF_nuclear!$C$5:$C$292,0))*$E108*F108-Keys!$C$2)&gt;Keys!$C$6,1,0),0)</f>
        <v>0</v>
      </c>
    </row>
    <row r="109" spans="1:31" x14ac:dyDescent="0.45">
      <c r="A109" t="s">
        <v>25</v>
      </c>
      <c r="B109" t="s">
        <v>429</v>
      </c>
      <c r="C109" t="str">
        <f t="shared" si="1"/>
        <v>GA|Winter Peak</v>
      </c>
      <c r="D109">
        <f>INDEX(Src_BHRaSYC_nuclear!$HF$5:$HF$52,MATCH($A109,Src_BHRaSYC_nuclear!$A$5:$A$52,0))</f>
        <v>1</v>
      </c>
      <c r="E109">
        <f>INDEX(Src_HYECFCA_nuclear!$B$5:$B$52,MATCH($A109,Src_HYECFCA_nuclear!$A$5:$A$52,0))</f>
        <v>1.03278</v>
      </c>
      <c r="F109">
        <f>IF($D109=1,ROUND(Keys!$C$2/(INDEX(Src_SYSHECF_nuclear!$D$5:$D$292,MATCH($C109,Src_SYSHECF_nuclear!$C$5:$C$292,0))*$E109),Keys!$C$5),Keys!$C$4)</f>
        <v>1.0484</v>
      </c>
      <c r="G109">
        <f>IF($D109=1,ROUND(Keys!$C$2/(INDEX(Src_SYSHECF_nuclear!$E$5:$E$292,MATCH($C109,Src_SYSHECF_nuclear!$C$5:$C$292,0))*$E109),Keys!$C$5),Keys!$C$4)</f>
        <v>1.0484</v>
      </c>
      <c r="H109">
        <f>IF($D109=1,ROUND(Keys!$C$2/(INDEX(Src_SYSHECF_nuclear!$F$5:$F$292,MATCH($C109,Src_SYSHECF_nuclear!$C$5:$C$292,0))*$E109),Keys!$C$5),Keys!$C$4)</f>
        <v>1.0484</v>
      </c>
      <c r="I109">
        <f>IF($D109=1,ROUND(Keys!$C$2/(INDEX(Src_SYSHECF_nuclear!$G$5:$G$292,MATCH($C109,Src_SYSHECF_nuclear!$C$5:$C$292,0))*$E109),Keys!$C$5),Keys!$C$4)</f>
        <v>1.0484</v>
      </c>
      <c r="J109">
        <f>IF($D109=1,ROUND(Keys!$C$2/(INDEX(Src_SYSHECF_nuclear!$H$5:$H$292,MATCH($C109,Src_SYSHECF_nuclear!$C$5:$C$292,0))*$E109),Keys!$C$5),Keys!$C$4)</f>
        <v>1.0484</v>
      </c>
      <c r="K109">
        <f>IF($D109=1,ROUND(Keys!$C$2/(INDEX(Src_SYSHECF_nuclear!$I$5:$I$292,MATCH($C109,Src_SYSHECF_nuclear!$C$5:$C$292,0))*$E109),Keys!$C$5),Keys!$C$4)</f>
        <v>1.0484</v>
      </c>
      <c r="L109">
        <f>IF($D109=1,ROUND(Keys!$C$2/(INDEX(Src_SYSHECF_nuclear!$J$5:$J$292,MATCH($C109,Src_SYSHECF_nuclear!$C$5:$C$292,0))*$E109),Keys!$C$5),Keys!$C$4)</f>
        <v>1.0484</v>
      </c>
      <c r="M109">
        <f>IF($D109=1,ROUND(Keys!$C$2/(INDEX(Src_SYSHECF_nuclear!$K$5:$K$292,MATCH($C109,Src_SYSHECF_nuclear!$C$5:$C$292,0))*$E109),Keys!$C$5),Keys!$C$4)</f>
        <v>1.0484</v>
      </c>
      <c r="N109">
        <f>IF($D109=1,ROUND(Keys!$C$2/(INDEX(Src_SYSHECF_nuclear!$L$5:$L$292,MATCH($C109,Src_SYSHECF_nuclear!$C$5:$C$292,0))*$E109),Keys!$C$5),Keys!$C$4)</f>
        <v>1.0484</v>
      </c>
      <c r="O109">
        <f>IF($D109=1,ROUND(Keys!$C$2/(INDEX(Src_SYSHECF_nuclear!$M$5:$M$292,MATCH($C109,Src_SYSHECF_nuclear!$C$5:$C$292,0))*$E109),Keys!$C$5),Keys!$C$4)</f>
        <v>1.0484</v>
      </c>
      <c r="P109">
        <f>IF($D109=1,ROUND(Keys!$C$2/(INDEX(Src_SYSHECF_nuclear!$N$5:$N$292,MATCH($C109,Src_SYSHECF_nuclear!$C$5:$C$292,0))*$E109),Keys!$C$5),Keys!$C$4)</f>
        <v>1.0484</v>
      </c>
      <c r="Q109">
        <f>IF($D109=1,ROUND(Keys!$C$2/(INDEX(Src_SYSHECF_nuclear!$O$5:$O$292,MATCH($C109,Src_SYSHECF_nuclear!$C$5:$C$292,0))*$E109),Keys!$C$5),Keys!$C$4)</f>
        <v>1.0484</v>
      </c>
      <c r="R109">
        <f>IF($D109=1,ROUND(Keys!$C$2/(INDEX(Src_SYSHECF_nuclear!$P$5:$P$292,MATCH($C109,Src_SYSHECF_nuclear!$C$5:$C$292,0))*$E109),Keys!$C$5),Keys!$C$4)</f>
        <v>1.0484</v>
      </c>
      <c r="S109">
        <f>IF($D109=1,ROUND(Keys!$C$2/(INDEX(Src_SYSHECF_nuclear!$Q$5:$Q$292,MATCH($C109,Src_SYSHECF_nuclear!$C$5:$C$292,0))*$E109),Keys!$C$5),Keys!$C$4)</f>
        <v>1.0484</v>
      </c>
      <c r="T109">
        <f>IF($D109=1,ROUND(Keys!$C$2/(INDEX(Src_SYSHECF_nuclear!$R$5:$R$292,MATCH($C109,Src_SYSHECF_nuclear!$C$5:$C$292,0))*$E109),Keys!$C$5),Keys!$C$4)</f>
        <v>1.0484</v>
      </c>
      <c r="U109">
        <f>IF($D109=1,ROUND(Keys!$C$2/(INDEX(Src_SYSHECF_nuclear!$S$5:$S$292,MATCH($C109,Src_SYSHECF_nuclear!$C$5:$C$292,0))*$E109),Keys!$C$5),Keys!$C$4)</f>
        <v>1.0484</v>
      </c>
      <c r="V109">
        <f>IF($D109=1,ROUND(Keys!$C$2/(INDEX(Src_SYSHECF_nuclear!$T$5:$T$292,MATCH($C109,Src_SYSHECF_nuclear!$C$5:$C$292,0))*$E109),Keys!$C$5),Keys!$C$4)</f>
        <v>1.0484</v>
      </c>
      <c r="W109">
        <f>IF($D109=1,ROUND(Keys!$C$2/(INDEX(Src_SYSHECF_nuclear!$U$5:$U$292,MATCH($C109,Src_SYSHECF_nuclear!$C$5:$C$292,0))*$E109),Keys!$C$5),Keys!$C$4)</f>
        <v>1.0484</v>
      </c>
      <c r="X109">
        <f>IF($D109=1,ROUND(Keys!$C$2/(INDEX(Src_SYSHECF_nuclear!$V$5:$V$292,MATCH($C109,Src_SYSHECF_nuclear!$C$5:$C$292,0))*$E109),Keys!$C$5),Keys!$C$4)</f>
        <v>1.0484</v>
      </c>
      <c r="Y109">
        <f>IF($D109=1,ROUND(Keys!$C$2/(INDEX(Src_SYSHECF_nuclear!$W$5:$W$292,MATCH($C109,Src_SYSHECF_nuclear!$C$5:$C$292,0))*$E109),Keys!$C$5),Keys!$C$4)</f>
        <v>1.0484</v>
      </c>
      <c r="Z109">
        <f>IF($D109=1,ROUND(Keys!$C$2/(INDEX(Src_SYSHECF_nuclear!$X$5:$X$292,MATCH($C109,Src_SYSHECF_nuclear!$C$5:$C$292,0))*$E109),Keys!$C$5),Keys!$C$4)</f>
        <v>1.0484</v>
      </c>
      <c r="AA109">
        <f>IF($D109=1,ROUND(Keys!$C$2/(INDEX(Src_SYSHECF_nuclear!$Y$5:$Y$292,MATCH($C109,Src_SYSHECF_nuclear!$C$5:$C$292,0))*$E109),Keys!$C$5),Keys!$C$4)</f>
        <v>1.0484</v>
      </c>
      <c r="AB109">
        <f>IF($D109=1,ROUND(Keys!$C$2/(INDEX(Src_SYSHECF_nuclear!$Z$5:$Z$292,MATCH($C109,Src_SYSHECF_nuclear!$C$5:$C$292,0))*$E109),Keys!$C$5),Keys!$C$4)</f>
        <v>1.0484</v>
      </c>
      <c r="AC109">
        <f>IF($D109=1,ROUND(Keys!$C$2/(INDEX(Src_SYSHECF_nuclear!$AA$5:$AA$292,MATCH($C109,Src_SYSHECF_nuclear!$C$5:$C$292,0))*$E109),Keys!$C$5),Keys!$C$4)</f>
        <v>1.0484</v>
      </c>
      <c r="AE109">
        <f>IF($D109=1,IF(ABS(INDEX(Src_SYSHECF_nuclear!$D$5:$D$292,MATCH($C109,Src_SYSHECF_nuclear!$C$5:$C$292,0))*$E109*F109-Keys!$C$2)&gt;Keys!$C$6,1,0),0)</f>
        <v>0</v>
      </c>
    </row>
    <row r="110" spans="1:31" x14ac:dyDescent="0.45">
      <c r="A110" t="s">
        <v>28</v>
      </c>
      <c r="B110" t="s">
        <v>424</v>
      </c>
      <c r="C110" t="str">
        <f t="shared" si="1"/>
        <v>IA|Winter</v>
      </c>
      <c r="D110">
        <f>INDEX(Src_BHRaSYC_nuclear!$HF$5:$HF$52,MATCH($A110,Src_BHRaSYC_nuclear!$A$5:$A$52,0))</f>
        <v>0</v>
      </c>
      <c r="E110">
        <f>INDEX(Src_HYECFCA_nuclear!$B$5:$B$52,MATCH($A110,Src_HYECFCA_nuclear!$A$5:$A$52,0))</f>
        <v>1</v>
      </c>
      <c r="F110">
        <f>IF($D110=1,ROUND(Keys!$C$2/(INDEX(Src_SYSHECF_nuclear!$D$5:$D$292,MATCH($C110,Src_SYSHECF_nuclear!$C$5:$C$292,0))*$E110),Keys!$C$5),Keys!$C$4)</f>
        <v>0.9</v>
      </c>
      <c r="G110">
        <f>IF($D110=1,ROUND(Keys!$C$2/(INDEX(Src_SYSHECF_nuclear!$E$5:$E$292,MATCH($C110,Src_SYSHECF_nuclear!$C$5:$C$292,0))*$E110),Keys!$C$5),Keys!$C$4)</f>
        <v>0.9</v>
      </c>
      <c r="H110">
        <f>IF($D110=1,ROUND(Keys!$C$2/(INDEX(Src_SYSHECF_nuclear!$F$5:$F$292,MATCH($C110,Src_SYSHECF_nuclear!$C$5:$C$292,0))*$E110),Keys!$C$5),Keys!$C$4)</f>
        <v>0.9</v>
      </c>
      <c r="I110">
        <f>IF($D110=1,ROUND(Keys!$C$2/(INDEX(Src_SYSHECF_nuclear!$G$5:$G$292,MATCH($C110,Src_SYSHECF_nuclear!$C$5:$C$292,0))*$E110),Keys!$C$5),Keys!$C$4)</f>
        <v>0.9</v>
      </c>
      <c r="J110">
        <f>IF($D110=1,ROUND(Keys!$C$2/(INDEX(Src_SYSHECF_nuclear!$H$5:$H$292,MATCH($C110,Src_SYSHECF_nuclear!$C$5:$C$292,0))*$E110),Keys!$C$5),Keys!$C$4)</f>
        <v>0.9</v>
      </c>
      <c r="K110">
        <f>IF($D110=1,ROUND(Keys!$C$2/(INDEX(Src_SYSHECF_nuclear!$I$5:$I$292,MATCH($C110,Src_SYSHECF_nuclear!$C$5:$C$292,0))*$E110),Keys!$C$5),Keys!$C$4)</f>
        <v>0.9</v>
      </c>
      <c r="L110">
        <f>IF($D110=1,ROUND(Keys!$C$2/(INDEX(Src_SYSHECF_nuclear!$J$5:$J$292,MATCH($C110,Src_SYSHECF_nuclear!$C$5:$C$292,0))*$E110),Keys!$C$5),Keys!$C$4)</f>
        <v>0.9</v>
      </c>
      <c r="M110">
        <f>IF($D110=1,ROUND(Keys!$C$2/(INDEX(Src_SYSHECF_nuclear!$K$5:$K$292,MATCH($C110,Src_SYSHECF_nuclear!$C$5:$C$292,0))*$E110),Keys!$C$5),Keys!$C$4)</f>
        <v>0.9</v>
      </c>
      <c r="N110">
        <f>IF($D110=1,ROUND(Keys!$C$2/(INDEX(Src_SYSHECF_nuclear!$L$5:$L$292,MATCH($C110,Src_SYSHECF_nuclear!$C$5:$C$292,0))*$E110),Keys!$C$5),Keys!$C$4)</f>
        <v>0.9</v>
      </c>
      <c r="O110">
        <f>IF($D110=1,ROUND(Keys!$C$2/(INDEX(Src_SYSHECF_nuclear!$M$5:$M$292,MATCH($C110,Src_SYSHECF_nuclear!$C$5:$C$292,0))*$E110),Keys!$C$5),Keys!$C$4)</f>
        <v>0.9</v>
      </c>
      <c r="P110">
        <f>IF($D110=1,ROUND(Keys!$C$2/(INDEX(Src_SYSHECF_nuclear!$N$5:$N$292,MATCH($C110,Src_SYSHECF_nuclear!$C$5:$C$292,0))*$E110),Keys!$C$5),Keys!$C$4)</f>
        <v>0.9</v>
      </c>
      <c r="Q110">
        <f>IF($D110=1,ROUND(Keys!$C$2/(INDEX(Src_SYSHECF_nuclear!$O$5:$O$292,MATCH($C110,Src_SYSHECF_nuclear!$C$5:$C$292,0))*$E110),Keys!$C$5),Keys!$C$4)</f>
        <v>0.9</v>
      </c>
      <c r="R110">
        <f>IF($D110=1,ROUND(Keys!$C$2/(INDEX(Src_SYSHECF_nuclear!$P$5:$P$292,MATCH($C110,Src_SYSHECF_nuclear!$C$5:$C$292,0))*$E110),Keys!$C$5),Keys!$C$4)</f>
        <v>0.9</v>
      </c>
      <c r="S110">
        <f>IF($D110=1,ROUND(Keys!$C$2/(INDEX(Src_SYSHECF_nuclear!$Q$5:$Q$292,MATCH($C110,Src_SYSHECF_nuclear!$C$5:$C$292,0))*$E110),Keys!$C$5),Keys!$C$4)</f>
        <v>0.9</v>
      </c>
      <c r="T110">
        <f>IF($D110=1,ROUND(Keys!$C$2/(INDEX(Src_SYSHECF_nuclear!$R$5:$R$292,MATCH($C110,Src_SYSHECF_nuclear!$C$5:$C$292,0))*$E110),Keys!$C$5),Keys!$C$4)</f>
        <v>0.9</v>
      </c>
      <c r="U110">
        <f>IF($D110=1,ROUND(Keys!$C$2/(INDEX(Src_SYSHECF_nuclear!$S$5:$S$292,MATCH($C110,Src_SYSHECF_nuclear!$C$5:$C$292,0))*$E110),Keys!$C$5),Keys!$C$4)</f>
        <v>0.9</v>
      </c>
      <c r="V110">
        <f>IF($D110=1,ROUND(Keys!$C$2/(INDEX(Src_SYSHECF_nuclear!$T$5:$T$292,MATCH($C110,Src_SYSHECF_nuclear!$C$5:$C$292,0))*$E110),Keys!$C$5),Keys!$C$4)</f>
        <v>0.9</v>
      </c>
      <c r="W110">
        <f>IF($D110=1,ROUND(Keys!$C$2/(INDEX(Src_SYSHECF_nuclear!$U$5:$U$292,MATCH($C110,Src_SYSHECF_nuclear!$C$5:$C$292,0))*$E110),Keys!$C$5),Keys!$C$4)</f>
        <v>0.9</v>
      </c>
      <c r="X110">
        <f>IF($D110=1,ROUND(Keys!$C$2/(INDEX(Src_SYSHECF_nuclear!$V$5:$V$292,MATCH($C110,Src_SYSHECF_nuclear!$C$5:$C$292,0))*$E110),Keys!$C$5),Keys!$C$4)</f>
        <v>0.9</v>
      </c>
      <c r="Y110">
        <f>IF($D110=1,ROUND(Keys!$C$2/(INDEX(Src_SYSHECF_nuclear!$W$5:$W$292,MATCH($C110,Src_SYSHECF_nuclear!$C$5:$C$292,0))*$E110),Keys!$C$5),Keys!$C$4)</f>
        <v>0.9</v>
      </c>
      <c r="Z110">
        <f>IF($D110=1,ROUND(Keys!$C$2/(INDEX(Src_SYSHECF_nuclear!$X$5:$X$292,MATCH($C110,Src_SYSHECF_nuclear!$C$5:$C$292,0))*$E110),Keys!$C$5),Keys!$C$4)</f>
        <v>0.9</v>
      </c>
      <c r="AA110">
        <f>IF($D110=1,ROUND(Keys!$C$2/(INDEX(Src_SYSHECF_nuclear!$Y$5:$Y$292,MATCH($C110,Src_SYSHECF_nuclear!$C$5:$C$292,0))*$E110),Keys!$C$5),Keys!$C$4)</f>
        <v>0.9</v>
      </c>
      <c r="AB110">
        <f>IF($D110=1,ROUND(Keys!$C$2/(INDEX(Src_SYSHECF_nuclear!$Z$5:$Z$292,MATCH($C110,Src_SYSHECF_nuclear!$C$5:$C$292,0))*$E110),Keys!$C$5),Keys!$C$4)</f>
        <v>0.9</v>
      </c>
      <c r="AC110">
        <f>IF($D110=1,ROUND(Keys!$C$2/(INDEX(Src_SYSHECF_nuclear!$AA$5:$AA$292,MATCH($C110,Src_SYSHECF_nuclear!$C$5:$C$292,0))*$E110),Keys!$C$5),Keys!$C$4)</f>
        <v>0.9</v>
      </c>
      <c r="AE110">
        <f>IF($D110=1,IF(ABS(INDEX(Src_SYSHECF_nuclear!$D$5:$D$292,MATCH($C110,Src_SYSHECF_nuclear!$C$5:$C$292,0))*$E110*F110-Keys!$C$2)&gt;Keys!$C$6,1,0),0)</f>
        <v>0</v>
      </c>
    </row>
    <row r="111" spans="1:31" x14ac:dyDescent="0.45">
      <c r="A111" t="s">
        <v>28</v>
      </c>
      <c r="B111" t="s">
        <v>425</v>
      </c>
      <c r="C111" t="str">
        <f t="shared" si="1"/>
        <v>IA|Spring</v>
      </c>
      <c r="D111">
        <f>INDEX(Src_BHRaSYC_nuclear!$HF$5:$HF$52,MATCH($A111,Src_BHRaSYC_nuclear!$A$5:$A$52,0))</f>
        <v>0</v>
      </c>
      <c r="E111">
        <f>INDEX(Src_HYECFCA_nuclear!$B$5:$B$52,MATCH($A111,Src_HYECFCA_nuclear!$A$5:$A$52,0))</f>
        <v>1</v>
      </c>
      <c r="F111">
        <f>IF($D111=1,ROUND(Keys!$C$2/(INDEX(Src_SYSHECF_nuclear!$D$5:$D$292,MATCH($C111,Src_SYSHECF_nuclear!$C$5:$C$292,0))*$E111),Keys!$C$5),Keys!$C$4)</f>
        <v>0.9</v>
      </c>
      <c r="G111">
        <f>IF($D111=1,ROUND(Keys!$C$2/(INDEX(Src_SYSHECF_nuclear!$E$5:$E$292,MATCH($C111,Src_SYSHECF_nuclear!$C$5:$C$292,0))*$E111),Keys!$C$5),Keys!$C$4)</f>
        <v>0.9</v>
      </c>
      <c r="H111">
        <f>IF($D111=1,ROUND(Keys!$C$2/(INDEX(Src_SYSHECF_nuclear!$F$5:$F$292,MATCH($C111,Src_SYSHECF_nuclear!$C$5:$C$292,0))*$E111),Keys!$C$5),Keys!$C$4)</f>
        <v>0.9</v>
      </c>
      <c r="I111">
        <f>IF($D111=1,ROUND(Keys!$C$2/(INDEX(Src_SYSHECF_nuclear!$G$5:$G$292,MATCH($C111,Src_SYSHECF_nuclear!$C$5:$C$292,0))*$E111),Keys!$C$5),Keys!$C$4)</f>
        <v>0.9</v>
      </c>
      <c r="J111">
        <f>IF($D111=1,ROUND(Keys!$C$2/(INDEX(Src_SYSHECF_nuclear!$H$5:$H$292,MATCH($C111,Src_SYSHECF_nuclear!$C$5:$C$292,0))*$E111),Keys!$C$5),Keys!$C$4)</f>
        <v>0.9</v>
      </c>
      <c r="K111">
        <f>IF($D111=1,ROUND(Keys!$C$2/(INDEX(Src_SYSHECF_nuclear!$I$5:$I$292,MATCH($C111,Src_SYSHECF_nuclear!$C$5:$C$292,0))*$E111),Keys!$C$5),Keys!$C$4)</f>
        <v>0.9</v>
      </c>
      <c r="L111">
        <f>IF($D111=1,ROUND(Keys!$C$2/(INDEX(Src_SYSHECF_nuclear!$J$5:$J$292,MATCH($C111,Src_SYSHECF_nuclear!$C$5:$C$292,0))*$E111),Keys!$C$5),Keys!$C$4)</f>
        <v>0.9</v>
      </c>
      <c r="M111">
        <f>IF($D111=1,ROUND(Keys!$C$2/(INDEX(Src_SYSHECF_nuclear!$K$5:$K$292,MATCH($C111,Src_SYSHECF_nuclear!$C$5:$C$292,0))*$E111),Keys!$C$5),Keys!$C$4)</f>
        <v>0.9</v>
      </c>
      <c r="N111">
        <f>IF($D111=1,ROUND(Keys!$C$2/(INDEX(Src_SYSHECF_nuclear!$L$5:$L$292,MATCH($C111,Src_SYSHECF_nuclear!$C$5:$C$292,0))*$E111),Keys!$C$5),Keys!$C$4)</f>
        <v>0.9</v>
      </c>
      <c r="O111">
        <f>IF($D111=1,ROUND(Keys!$C$2/(INDEX(Src_SYSHECF_nuclear!$M$5:$M$292,MATCH($C111,Src_SYSHECF_nuclear!$C$5:$C$292,0))*$E111),Keys!$C$5),Keys!$C$4)</f>
        <v>0.9</v>
      </c>
      <c r="P111">
        <f>IF($D111=1,ROUND(Keys!$C$2/(INDEX(Src_SYSHECF_nuclear!$N$5:$N$292,MATCH($C111,Src_SYSHECF_nuclear!$C$5:$C$292,0))*$E111),Keys!$C$5),Keys!$C$4)</f>
        <v>0.9</v>
      </c>
      <c r="Q111">
        <f>IF($D111=1,ROUND(Keys!$C$2/(INDEX(Src_SYSHECF_nuclear!$O$5:$O$292,MATCH($C111,Src_SYSHECF_nuclear!$C$5:$C$292,0))*$E111),Keys!$C$5),Keys!$C$4)</f>
        <v>0.9</v>
      </c>
      <c r="R111">
        <f>IF($D111=1,ROUND(Keys!$C$2/(INDEX(Src_SYSHECF_nuclear!$P$5:$P$292,MATCH($C111,Src_SYSHECF_nuclear!$C$5:$C$292,0))*$E111),Keys!$C$5),Keys!$C$4)</f>
        <v>0.9</v>
      </c>
      <c r="S111">
        <f>IF($D111=1,ROUND(Keys!$C$2/(INDEX(Src_SYSHECF_nuclear!$Q$5:$Q$292,MATCH($C111,Src_SYSHECF_nuclear!$C$5:$C$292,0))*$E111),Keys!$C$5),Keys!$C$4)</f>
        <v>0.9</v>
      </c>
      <c r="T111">
        <f>IF($D111=1,ROUND(Keys!$C$2/(INDEX(Src_SYSHECF_nuclear!$R$5:$R$292,MATCH($C111,Src_SYSHECF_nuclear!$C$5:$C$292,0))*$E111),Keys!$C$5),Keys!$C$4)</f>
        <v>0.9</v>
      </c>
      <c r="U111">
        <f>IF($D111=1,ROUND(Keys!$C$2/(INDEX(Src_SYSHECF_nuclear!$S$5:$S$292,MATCH($C111,Src_SYSHECF_nuclear!$C$5:$C$292,0))*$E111),Keys!$C$5),Keys!$C$4)</f>
        <v>0.9</v>
      </c>
      <c r="V111">
        <f>IF($D111=1,ROUND(Keys!$C$2/(INDEX(Src_SYSHECF_nuclear!$T$5:$T$292,MATCH($C111,Src_SYSHECF_nuclear!$C$5:$C$292,0))*$E111),Keys!$C$5),Keys!$C$4)</f>
        <v>0.9</v>
      </c>
      <c r="W111">
        <f>IF($D111=1,ROUND(Keys!$C$2/(INDEX(Src_SYSHECF_nuclear!$U$5:$U$292,MATCH($C111,Src_SYSHECF_nuclear!$C$5:$C$292,0))*$E111),Keys!$C$5),Keys!$C$4)</f>
        <v>0.9</v>
      </c>
      <c r="X111">
        <f>IF($D111=1,ROUND(Keys!$C$2/(INDEX(Src_SYSHECF_nuclear!$V$5:$V$292,MATCH($C111,Src_SYSHECF_nuclear!$C$5:$C$292,0))*$E111),Keys!$C$5),Keys!$C$4)</f>
        <v>0.9</v>
      </c>
      <c r="Y111">
        <f>IF($D111=1,ROUND(Keys!$C$2/(INDEX(Src_SYSHECF_nuclear!$W$5:$W$292,MATCH($C111,Src_SYSHECF_nuclear!$C$5:$C$292,0))*$E111),Keys!$C$5),Keys!$C$4)</f>
        <v>0.9</v>
      </c>
      <c r="Z111">
        <f>IF($D111=1,ROUND(Keys!$C$2/(INDEX(Src_SYSHECF_nuclear!$X$5:$X$292,MATCH($C111,Src_SYSHECF_nuclear!$C$5:$C$292,0))*$E111),Keys!$C$5),Keys!$C$4)</f>
        <v>0.9</v>
      </c>
      <c r="AA111">
        <f>IF($D111=1,ROUND(Keys!$C$2/(INDEX(Src_SYSHECF_nuclear!$Y$5:$Y$292,MATCH($C111,Src_SYSHECF_nuclear!$C$5:$C$292,0))*$E111),Keys!$C$5),Keys!$C$4)</f>
        <v>0.9</v>
      </c>
      <c r="AB111">
        <f>IF($D111=1,ROUND(Keys!$C$2/(INDEX(Src_SYSHECF_nuclear!$Z$5:$Z$292,MATCH($C111,Src_SYSHECF_nuclear!$C$5:$C$292,0))*$E111),Keys!$C$5),Keys!$C$4)</f>
        <v>0.9</v>
      </c>
      <c r="AC111">
        <f>IF($D111=1,ROUND(Keys!$C$2/(INDEX(Src_SYSHECF_nuclear!$AA$5:$AA$292,MATCH($C111,Src_SYSHECF_nuclear!$C$5:$C$292,0))*$E111),Keys!$C$5),Keys!$C$4)</f>
        <v>0.9</v>
      </c>
      <c r="AE111">
        <f>IF($D111=1,IF(ABS(INDEX(Src_SYSHECF_nuclear!$D$5:$D$292,MATCH($C111,Src_SYSHECF_nuclear!$C$5:$C$292,0))*$E111*F111-Keys!$C$2)&gt;Keys!$C$6,1,0),0)</f>
        <v>0</v>
      </c>
    </row>
    <row r="112" spans="1:31" x14ac:dyDescent="0.45">
      <c r="A112" t="s">
        <v>28</v>
      </c>
      <c r="B112" t="s">
        <v>426</v>
      </c>
      <c r="C112" t="str">
        <f t="shared" si="1"/>
        <v>IA|Summer</v>
      </c>
      <c r="D112">
        <f>INDEX(Src_BHRaSYC_nuclear!$HF$5:$HF$52,MATCH($A112,Src_BHRaSYC_nuclear!$A$5:$A$52,0))</f>
        <v>0</v>
      </c>
      <c r="E112">
        <f>INDEX(Src_HYECFCA_nuclear!$B$5:$B$52,MATCH($A112,Src_HYECFCA_nuclear!$A$5:$A$52,0))</f>
        <v>1</v>
      </c>
      <c r="F112">
        <f>IF($D112=1,ROUND(Keys!$C$2/(INDEX(Src_SYSHECF_nuclear!$D$5:$D$292,MATCH($C112,Src_SYSHECF_nuclear!$C$5:$C$292,0))*$E112),Keys!$C$5),Keys!$C$4)</f>
        <v>0.9</v>
      </c>
      <c r="G112">
        <f>IF($D112=1,ROUND(Keys!$C$2/(INDEX(Src_SYSHECF_nuclear!$E$5:$E$292,MATCH($C112,Src_SYSHECF_nuclear!$C$5:$C$292,0))*$E112),Keys!$C$5),Keys!$C$4)</f>
        <v>0.9</v>
      </c>
      <c r="H112">
        <f>IF($D112=1,ROUND(Keys!$C$2/(INDEX(Src_SYSHECF_nuclear!$F$5:$F$292,MATCH($C112,Src_SYSHECF_nuclear!$C$5:$C$292,0))*$E112),Keys!$C$5),Keys!$C$4)</f>
        <v>0.9</v>
      </c>
      <c r="I112">
        <f>IF($D112=1,ROUND(Keys!$C$2/(INDEX(Src_SYSHECF_nuclear!$G$5:$G$292,MATCH($C112,Src_SYSHECF_nuclear!$C$5:$C$292,0))*$E112),Keys!$C$5),Keys!$C$4)</f>
        <v>0.9</v>
      </c>
      <c r="J112">
        <f>IF($D112=1,ROUND(Keys!$C$2/(INDEX(Src_SYSHECF_nuclear!$H$5:$H$292,MATCH($C112,Src_SYSHECF_nuclear!$C$5:$C$292,0))*$E112),Keys!$C$5),Keys!$C$4)</f>
        <v>0.9</v>
      </c>
      <c r="K112">
        <f>IF($D112=1,ROUND(Keys!$C$2/(INDEX(Src_SYSHECF_nuclear!$I$5:$I$292,MATCH($C112,Src_SYSHECF_nuclear!$C$5:$C$292,0))*$E112),Keys!$C$5),Keys!$C$4)</f>
        <v>0.9</v>
      </c>
      <c r="L112">
        <f>IF($D112=1,ROUND(Keys!$C$2/(INDEX(Src_SYSHECF_nuclear!$J$5:$J$292,MATCH($C112,Src_SYSHECF_nuclear!$C$5:$C$292,0))*$E112),Keys!$C$5),Keys!$C$4)</f>
        <v>0.9</v>
      </c>
      <c r="M112">
        <f>IF($D112=1,ROUND(Keys!$C$2/(INDEX(Src_SYSHECF_nuclear!$K$5:$K$292,MATCH($C112,Src_SYSHECF_nuclear!$C$5:$C$292,0))*$E112),Keys!$C$5),Keys!$C$4)</f>
        <v>0.9</v>
      </c>
      <c r="N112">
        <f>IF($D112=1,ROUND(Keys!$C$2/(INDEX(Src_SYSHECF_nuclear!$L$5:$L$292,MATCH($C112,Src_SYSHECF_nuclear!$C$5:$C$292,0))*$E112),Keys!$C$5),Keys!$C$4)</f>
        <v>0.9</v>
      </c>
      <c r="O112">
        <f>IF($D112=1,ROUND(Keys!$C$2/(INDEX(Src_SYSHECF_nuclear!$M$5:$M$292,MATCH($C112,Src_SYSHECF_nuclear!$C$5:$C$292,0))*$E112),Keys!$C$5),Keys!$C$4)</f>
        <v>0.9</v>
      </c>
      <c r="P112">
        <f>IF($D112=1,ROUND(Keys!$C$2/(INDEX(Src_SYSHECF_nuclear!$N$5:$N$292,MATCH($C112,Src_SYSHECF_nuclear!$C$5:$C$292,0))*$E112),Keys!$C$5),Keys!$C$4)</f>
        <v>0.9</v>
      </c>
      <c r="Q112">
        <f>IF($D112=1,ROUND(Keys!$C$2/(INDEX(Src_SYSHECF_nuclear!$O$5:$O$292,MATCH($C112,Src_SYSHECF_nuclear!$C$5:$C$292,0))*$E112),Keys!$C$5),Keys!$C$4)</f>
        <v>0.9</v>
      </c>
      <c r="R112">
        <f>IF($D112=1,ROUND(Keys!$C$2/(INDEX(Src_SYSHECF_nuclear!$P$5:$P$292,MATCH($C112,Src_SYSHECF_nuclear!$C$5:$C$292,0))*$E112),Keys!$C$5),Keys!$C$4)</f>
        <v>0.9</v>
      </c>
      <c r="S112">
        <f>IF($D112=1,ROUND(Keys!$C$2/(INDEX(Src_SYSHECF_nuclear!$Q$5:$Q$292,MATCH($C112,Src_SYSHECF_nuclear!$C$5:$C$292,0))*$E112),Keys!$C$5),Keys!$C$4)</f>
        <v>0.9</v>
      </c>
      <c r="T112">
        <f>IF($D112=1,ROUND(Keys!$C$2/(INDEX(Src_SYSHECF_nuclear!$R$5:$R$292,MATCH($C112,Src_SYSHECF_nuclear!$C$5:$C$292,0))*$E112),Keys!$C$5),Keys!$C$4)</f>
        <v>0.9</v>
      </c>
      <c r="U112">
        <f>IF($D112=1,ROUND(Keys!$C$2/(INDEX(Src_SYSHECF_nuclear!$S$5:$S$292,MATCH($C112,Src_SYSHECF_nuclear!$C$5:$C$292,0))*$E112),Keys!$C$5),Keys!$C$4)</f>
        <v>0.9</v>
      </c>
      <c r="V112">
        <f>IF($D112=1,ROUND(Keys!$C$2/(INDEX(Src_SYSHECF_nuclear!$T$5:$T$292,MATCH($C112,Src_SYSHECF_nuclear!$C$5:$C$292,0))*$E112),Keys!$C$5),Keys!$C$4)</f>
        <v>0.9</v>
      </c>
      <c r="W112">
        <f>IF($D112=1,ROUND(Keys!$C$2/(INDEX(Src_SYSHECF_nuclear!$U$5:$U$292,MATCH($C112,Src_SYSHECF_nuclear!$C$5:$C$292,0))*$E112),Keys!$C$5),Keys!$C$4)</f>
        <v>0.9</v>
      </c>
      <c r="X112">
        <f>IF($D112=1,ROUND(Keys!$C$2/(INDEX(Src_SYSHECF_nuclear!$V$5:$V$292,MATCH($C112,Src_SYSHECF_nuclear!$C$5:$C$292,0))*$E112),Keys!$C$5),Keys!$C$4)</f>
        <v>0.9</v>
      </c>
      <c r="Y112">
        <f>IF($D112=1,ROUND(Keys!$C$2/(INDEX(Src_SYSHECF_nuclear!$W$5:$W$292,MATCH($C112,Src_SYSHECF_nuclear!$C$5:$C$292,0))*$E112),Keys!$C$5),Keys!$C$4)</f>
        <v>0.9</v>
      </c>
      <c r="Z112">
        <f>IF($D112=1,ROUND(Keys!$C$2/(INDEX(Src_SYSHECF_nuclear!$X$5:$X$292,MATCH($C112,Src_SYSHECF_nuclear!$C$5:$C$292,0))*$E112),Keys!$C$5),Keys!$C$4)</f>
        <v>0.9</v>
      </c>
      <c r="AA112">
        <f>IF($D112=1,ROUND(Keys!$C$2/(INDEX(Src_SYSHECF_nuclear!$Y$5:$Y$292,MATCH($C112,Src_SYSHECF_nuclear!$C$5:$C$292,0))*$E112),Keys!$C$5),Keys!$C$4)</f>
        <v>0.9</v>
      </c>
      <c r="AB112">
        <f>IF($D112=1,ROUND(Keys!$C$2/(INDEX(Src_SYSHECF_nuclear!$Z$5:$Z$292,MATCH($C112,Src_SYSHECF_nuclear!$C$5:$C$292,0))*$E112),Keys!$C$5),Keys!$C$4)</f>
        <v>0.9</v>
      </c>
      <c r="AC112">
        <f>IF($D112=1,ROUND(Keys!$C$2/(INDEX(Src_SYSHECF_nuclear!$AA$5:$AA$292,MATCH($C112,Src_SYSHECF_nuclear!$C$5:$C$292,0))*$E112),Keys!$C$5),Keys!$C$4)</f>
        <v>0.9</v>
      </c>
      <c r="AE112">
        <f>IF($D112=1,IF(ABS(INDEX(Src_SYSHECF_nuclear!$D$5:$D$292,MATCH($C112,Src_SYSHECF_nuclear!$C$5:$C$292,0))*$E112*F112-Keys!$C$2)&gt;Keys!$C$6,1,0),0)</f>
        <v>0</v>
      </c>
    </row>
    <row r="113" spans="1:31" x14ac:dyDescent="0.45">
      <c r="A113" t="s">
        <v>28</v>
      </c>
      <c r="B113" t="s">
        <v>427</v>
      </c>
      <c r="C113" t="str">
        <f t="shared" si="1"/>
        <v>IA|Fall</v>
      </c>
      <c r="D113">
        <f>INDEX(Src_BHRaSYC_nuclear!$HF$5:$HF$52,MATCH($A113,Src_BHRaSYC_nuclear!$A$5:$A$52,0))</f>
        <v>0</v>
      </c>
      <c r="E113">
        <f>INDEX(Src_HYECFCA_nuclear!$B$5:$B$52,MATCH($A113,Src_HYECFCA_nuclear!$A$5:$A$52,0))</f>
        <v>1</v>
      </c>
      <c r="F113">
        <f>IF($D113=1,ROUND(Keys!$C$2/(INDEX(Src_SYSHECF_nuclear!$D$5:$D$292,MATCH($C113,Src_SYSHECF_nuclear!$C$5:$C$292,0))*$E113),Keys!$C$5),Keys!$C$4)</f>
        <v>0.9</v>
      </c>
      <c r="G113">
        <f>IF($D113=1,ROUND(Keys!$C$2/(INDEX(Src_SYSHECF_nuclear!$E$5:$E$292,MATCH($C113,Src_SYSHECF_nuclear!$C$5:$C$292,0))*$E113),Keys!$C$5),Keys!$C$4)</f>
        <v>0.9</v>
      </c>
      <c r="H113">
        <f>IF($D113=1,ROUND(Keys!$C$2/(INDEX(Src_SYSHECF_nuclear!$F$5:$F$292,MATCH($C113,Src_SYSHECF_nuclear!$C$5:$C$292,0))*$E113),Keys!$C$5),Keys!$C$4)</f>
        <v>0.9</v>
      </c>
      <c r="I113">
        <f>IF($D113=1,ROUND(Keys!$C$2/(INDEX(Src_SYSHECF_nuclear!$G$5:$G$292,MATCH($C113,Src_SYSHECF_nuclear!$C$5:$C$292,0))*$E113),Keys!$C$5),Keys!$C$4)</f>
        <v>0.9</v>
      </c>
      <c r="J113">
        <f>IF($D113=1,ROUND(Keys!$C$2/(INDEX(Src_SYSHECF_nuclear!$H$5:$H$292,MATCH($C113,Src_SYSHECF_nuclear!$C$5:$C$292,0))*$E113),Keys!$C$5),Keys!$C$4)</f>
        <v>0.9</v>
      </c>
      <c r="K113">
        <f>IF($D113=1,ROUND(Keys!$C$2/(INDEX(Src_SYSHECF_nuclear!$I$5:$I$292,MATCH($C113,Src_SYSHECF_nuclear!$C$5:$C$292,0))*$E113),Keys!$C$5),Keys!$C$4)</f>
        <v>0.9</v>
      </c>
      <c r="L113">
        <f>IF($D113=1,ROUND(Keys!$C$2/(INDEX(Src_SYSHECF_nuclear!$J$5:$J$292,MATCH($C113,Src_SYSHECF_nuclear!$C$5:$C$292,0))*$E113),Keys!$C$5),Keys!$C$4)</f>
        <v>0.9</v>
      </c>
      <c r="M113">
        <f>IF($D113=1,ROUND(Keys!$C$2/(INDEX(Src_SYSHECF_nuclear!$K$5:$K$292,MATCH($C113,Src_SYSHECF_nuclear!$C$5:$C$292,0))*$E113),Keys!$C$5),Keys!$C$4)</f>
        <v>0.9</v>
      </c>
      <c r="N113">
        <f>IF($D113=1,ROUND(Keys!$C$2/(INDEX(Src_SYSHECF_nuclear!$L$5:$L$292,MATCH($C113,Src_SYSHECF_nuclear!$C$5:$C$292,0))*$E113),Keys!$C$5),Keys!$C$4)</f>
        <v>0.9</v>
      </c>
      <c r="O113">
        <f>IF($D113=1,ROUND(Keys!$C$2/(INDEX(Src_SYSHECF_nuclear!$M$5:$M$292,MATCH($C113,Src_SYSHECF_nuclear!$C$5:$C$292,0))*$E113),Keys!$C$5),Keys!$C$4)</f>
        <v>0.9</v>
      </c>
      <c r="P113">
        <f>IF($D113=1,ROUND(Keys!$C$2/(INDEX(Src_SYSHECF_nuclear!$N$5:$N$292,MATCH($C113,Src_SYSHECF_nuclear!$C$5:$C$292,0))*$E113),Keys!$C$5),Keys!$C$4)</f>
        <v>0.9</v>
      </c>
      <c r="Q113">
        <f>IF($D113=1,ROUND(Keys!$C$2/(INDEX(Src_SYSHECF_nuclear!$O$5:$O$292,MATCH($C113,Src_SYSHECF_nuclear!$C$5:$C$292,0))*$E113),Keys!$C$5),Keys!$C$4)</f>
        <v>0.9</v>
      </c>
      <c r="R113">
        <f>IF($D113=1,ROUND(Keys!$C$2/(INDEX(Src_SYSHECF_nuclear!$P$5:$P$292,MATCH($C113,Src_SYSHECF_nuclear!$C$5:$C$292,0))*$E113),Keys!$C$5),Keys!$C$4)</f>
        <v>0.9</v>
      </c>
      <c r="S113">
        <f>IF($D113=1,ROUND(Keys!$C$2/(INDEX(Src_SYSHECF_nuclear!$Q$5:$Q$292,MATCH($C113,Src_SYSHECF_nuclear!$C$5:$C$292,0))*$E113),Keys!$C$5),Keys!$C$4)</f>
        <v>0.9</v>
      </c>
      <c r="T113">
        <f>IF($D113=1,ROUND(Keys!$C$2/(INDEX(Src_SYSHECF_nuclear!$R$5:$R$292,MATCH($C113,Src_SYSHECF_nuclear!$C$5:$C$292,0))*$E113),Keys!$C$5),Keys!$C$4)</f>
        <v>0.9</v>
      </c>
      <c r="U113">
        <f>IF($D113=1,ROUND(Keys!$C$2/(INDEX(Src_SYSHECF_nuclear!$S$5:$S$292,MATCH($C113,Src_SYSHECF_nuclear!$C$5:$C$292,0))*$E113),Keys!$C$5),Keys!$C$4)</f>
        <v>0.9</v>
      </c>
      <c r="V113">
        <f>IF($D113=1,ROUND(Keys!$C$2/(INDEX(Src_SYSHECF_nuclear!$T$5:$T$292,MATCH($C113,Src_SYSHECF_nuclear!$C$5:$C$292,0))*$E113),Keys!$C$5),Keys!$C$4)</f>
        <v>0.9</v>
      </c>
      <c r="W113">
        <f>IF($D113=1,ROUND(Keys!$C$2/(INDEX(Src_SYSHECF_nuclear!$U$5:$U$292,MATCH($C113,Src_SYSHECF_nuclear!$C$5:$C$292,0))*$E113),Keys!$C$5),Keys!$C$4)</f>
        <v>0.9</v>
      </c>
      <c r="X113">
        <f>IF($D113=1,ROUND(Keys!$C$2/(INDEX(Src_SYSHECF_nuclear!$V$5:$V$292,MATCH($C113,Src_SYSHECF_nuclear!$C$5:$C$292,0))*$E113),Keys!$C$5),Keys!$C$4)</f>
        <v>0.9</v>
      </c>
      <c r="Y113">
        <f>IF($D113=1,ROUND(Keys!$C$2/(INDEX(Src_SYSHECF_nuclear!$W$5:$W$292,MATCH($C113,Src_SYSHECF_nuclear!$C$5:$C$292,0))*$E113),Keys!$C$5),Keys!$C$4)</f>
        <v>0.9</v>
      </c>
      <c r="Z113">
        <f>IF($D113=1,ROUND(Keys!$C$2/(INDEX(Src_SYSHECF_nuclear!$X$5:$X$292,MATCH($C113,Src_SYSHECF_nuclear!$C$5:$C$292,0))*$E113),Keys!$C$5),Keys!$C$4)</f>
        <v>0.9</v>
      </c>
      <c r="AA113">
        <f>IF($D113=1,ROUND(Keys!$C$2/(INDEX(Src_SYSHECF_nuclear!$Y$5:$Y$292,MATCH($C113,Src_SYSHECF_nuclear!$C$5:$C$292,0))*$E113),Keys!$C$5),Keys!$C$4)</f>
        <v>0.9</v>
      </c>
      <c r="AB113">
        <f>IF($D113=1,ROUND(Keys!$C$2/(INDEX(Src_SYSHECF_nuclear!$Z$5:$Z$292,MATCH($C113,Src_SYSHECF_nuclear!$C$5:$C$292,0))*$E113),Keys!$C$5),Keys!$C$4)</f>
        <v>0.9</v>
      </c>
      <c r="AC113">
        <f>IF($D113=1,ROUND(Keys!$C$2/(INDEX(Src_SYSHECF_nuclear!$AA$5:$AA$292,MATCH($C113,Src_SYSHECF_nuclear!$C$5:$C$292,0))*$E113),Keys!$C$5),Keys!$C$4)</f>
        <v>0.9</v>
      </c>
      <c r="AE113">
        <f>IF($D113=1,IF(ABS(INDEX(Src_SYSHECF_nuclear!$D$5:$D$292,MATCH($C113,Src_SYSHECF_nuclear!$C$5:$C$292,0))*$E113*F113-Keys!$C$2)&gt;Keys!$C$6,1,0),0)</f>
        <v>0</v>
      </c>
    </row>
    <row r="114" spans="1:31" x14ac:dyDescent="0.45">
      <c r="A114" t="s">
        <v>28</v>
      </c>
      <c r="B114" t="s">
        <v>428</v>
      </c>
      <c r="C114" t="str">
        <f t="shared" si="1"/>
        <v>IA|Summer Peak</v>
      </c>
      <c r="D114">
        <f>INDEX(Src_BHRaSYC_nuclear!$HF$5:$HF$52,MATCH($A114,Src_BHRaSYC_nuclear!$A$5:$A$52,0))</f>
        <v>0</v>
      </c>
      <c r="E114">
        <f>INDEX(Src_HYECFCA_nuclear!$B$5:$B$52,MATCH($A114,Src_HYECFCA_nuclear!$A$5:$A$52,0))</f>
        <v>1</v>
      </c>
      <c r="F114">
        <f>IF($D114=1,ROUND(Keys!$C$2/(INDEX(Src_SYSHECF_nuclear!$D$5:$D$292,MATCH($C114,Src_SYSHECF_nuclear!$C$5:$C$292,0))*$E114),Keys!$C$5),Keys!$C$4)</f>
        <v>0.9</v>
      </c>
      <c r="G114">
        <f>IF($D114=1,ROUND(Keys!$C$2/(INDEX(Src_SYSHECF_nuclear!$E$5:$E$292,MATCH($C114,Src_SYSHECF_nuclear!$C$5:$C$292,0))*$E114),Keys!$C$5),Keys!$C$4)</f>
        <v>0.9</v>
      </c>
      <c r="H114">
        <f>IF($D114=1,ROUND(Keys!$C$2/(INDEX(Src_SYSHECF_nuclear!$F$5:$F$292,MATCH($C114,Src_SYSHECF_nuclear!$C$5:$C$292,0))*$E114),Keys!$C$5),Keys!$C$4)</f>
        <v>0.9</v>
      </c>
      <c r="I114">
        <f>IF($D114=1,ROUND(Keys!$C$2/(INDEX(Src_SYSHECF_nuclear!$G$5:$G$292,MATCH($C114,Src_SYSHECF_nuclear!$C$5:$C$292,0))*$E114),Keys!$C$5),Keys!$C$4)</f>
        <v>0.9</v>
      </c>
      <c r="J114">
        <f>IF($D114=1,ROUND(Keys!$C$2/(INDEX(Src_SYSHECF_nuclear!$H$5:$H$292,MATCH($C114,Src_SYSHECF_nuclear!$C$5:$C$292,0))*$E114),Keys!$C$5),Keys!$C$4)</f>
        <v>0.9</v>
      </c>
      <c r="K114">
        <f>IF($D114=1,ROUND(Keys!$C$2/(INDEX(Src_SYSHECF_nuclear!$I$5:$I$292,MATCH($C114,Src_SYSHECF_nuclear!$C$5:$C$292,0))*$E114),Keys!$C$5),Keys!$C$4)</f>
        <v>0.9</v>
      </c>
      <c r="L114">
        <f>IF($D114=1,ROUND(Keys!$C$2/(INDEX(Src_SYSHECF_nuclear!$J$5:$J$292,MATCH($C114,Src_SYSHECF_nuclear!$C$5:$C$292,0))*$E114),Keys!$C$5),Keys!$C$4)</f>
        <v>0.9</v>
      </c>
      <c r="M114">
        <f>IF($D114=1,ROUND(Keys!$C$2/(INDEX(Src_SYSHECF_nuclear!$K$5:$K$292,MATCH($C114,Src_SYSHECF_nuclear!$C$5:$C$292,0))*$E114),Keys!$C$5),Keys!$C$4)</f>
        <v>0.9</v>
      </c>
      <c r="N114">
        <f>IF($D114=1,ROUND(Keys!$C$2/(INDEX(Src_SYSHECF_nuclear!$L$5:$L$292,MATCH($C114,Src_SYSHECF_nuclear!$C$5:$C$292,0))*$E114),Keys!$C$5),Keys!$C$4)</f>
        <v>0.9</v>
      </c>
      <c r="O114">
        <f>IF($D114=1,ROUND(Keys!$C$2/(INDEX(Src_SYSHECF_nuclear!$M$5:$M$292,MATCH($C114,Src_SYSHECF_nuclear!$C$5:$C$292,0))*$E114),Keys!$C$5),Keys!$C$4)</f>
        <v>0.9</v>
      </c>
      <c r="P114">
        <f>IF($D114=1,ROUND(Keys!$C$2/(INDEX(Src_SYSHECF_nuclear!$N$5:$N$292,MATCH($C114,Src_SYSHECF_nuclear!$C$5:$C$292,0))*$E114),Keys!$C$5),Keys!$C$4)</f>
        <v>0.9</v>
      </c>
      <c r="Q114">
        <f>IF($D114=1,ROUND(Keys!$C$2/(INDEX(Src_SYSHECF_nuclear!$O$5:$O$292,MATCH($C114,Src_SYSHECF_nuclear!$C$5:$C$292,0))*$E114),Keys!$C$5),Keys!$C$4)</f>
        <v>0.9</v>
      </c>
      <c r="R114">
        <f>IF($D114=1,ROUND(Keys!$C$2/(INDEX(Src_SYSHECF_nuclear!$P$5:$P$292,MATCH($C114,Src_SYSHECF_nuclear!$C$5:$C$292,0))*$E114),Keys!$C$5),Keys!$C$4)</f>
        <v>0.9</v>
      </c>
      <c r="S114">
        <f>IF($D114=1,ROUND(Keys!$C$2/(INDEX(Src_SYSHECF_nuclear!$Q$5:$Q$292,MATCH($C114,Src_SYSHECF_nuclear!$C$5:$C$292,0))*$E114),Keys!$C$5),Keys!$C$4)</f>
        <v>0.9</v>
      </c>
      <c r="T114">
        <f>IF($D114=1,ROUND(Keys!$C$2/(INDEX(Src_SYSHECF_nuclear!$R$5:$R$292,MATCH($C114,Src_SYSHECF_nuclear!$C$5:$C$292,0))*$E114),Keys!$C$5),Keys!$C$4)</f>
        <v>0.9</v>
      </c>
      <c r="U114">
        <f>IF($D114=1,ROUND(Keys!$C$2/(INDEX(Src_SYSHECF_nuclear!$S$5:$S$292,MATCH($C114,Src_SYSHECF_nuclear!$C$5:$C$292,0))*$E114),Keys!$C$5),Keys!$C$4)</f>
        <v>0.9</v>
      </c>
      <c r="V114">
        <f>IF($D114=1,ROUND(Keys!$C$2/(INDEX(Src_SYSHECF_nuclear!$T$5:$T$292,MATCH($C114,Src_SYSHECF_nuclear!$C$5:$C$292,0))*$E114),Keys!$C$5),Keys!$C$4)</f>
        <v>0.9</v>
      </c>
      <c r="W114">
        <f>IF($D114=1,ROUND(Keys!$C$2/(INDEX(Src_SYSHECF_nuclear!$U$5:$U$292,MATCH($C114,Src_SYSHECF_nuclear!$C$5:$C$292,0))*$E114),Keys!$C$5),Keys!$C$4)</f>
        <v>0.9</v>
      </c>
      <c r="X114">
        <f>IF($D114=1,ROUND(Keys!$C$2/(INDEX(Src_SYSHECF_nuclear!$V$5:$V$292,MATCH($C114,Src_SYSHECF_nuclear!$C$5:$C$292,0))*$E114),Keys!$C$5),Keys!$C$4)</f>
        <v>0.9</v>
      </c>
      <c r="Y114">
        <f>IF($D114=1,ROUND(Keys!$C$2/(INDEX(Src_SYSHECF_nuclear!$W$5:$W$292,MATCH($C114,Src_SYSHECF_nuclear!$C$5:$C$292,0))*$E114),Keys!$C$5),Keys!$C$4)</f>
        <v>0.9</v>
      </c>
      <c r="Z114">
        <f>IF($D114=1,ROUND(Keys!$C$2/(INDEX(Src_SYSHECF_nuclear!$X$5:$X$292,MATCH($C114,Src_SYSHECF_nuclear!$C$5:$C$292,0))*$E114),Keys!$C$5),Keys!$C$4)</f>
        <v>0.9</v>
      </c>
      <c r="AA114">
        <f>IF($D114=1,ROUND(Keys!$C$2/(INDEX(Src_SYSHECF_nuclear!$Y$5:$Y$292,MATCH($C114,Src_SYSHECF_nuclear!$C$5:$C$292,0))*$E114),Keys!$C$5),Keys!$C$4)</f>
        <v>0.9</v>
      </c>
      <c r="AB114">
        <f>IF($D114=1,ROUND(Keys!$C$2/(INDEX(Src_SYSHECF_nuclear!$Z$5:$Z$292,MATCH($C114,Src_SYSHECF_nuclear!$C$5:$C$292,0))*$E114),Keys!$C$5),Keys!$C$4)</f>
        <v>0.9</v>
      </c>
      <c r="AC114">
        <f>IF($D114=1,ROUND(Keys!$C$2/(INDEX(Src_SYSHECF_nuclear!$AA$5:$AA$292,MATCH($C114,Src_SYSHECF_nuclear!$C$5:$C$292,0))*$E114),Keys!$C$5),Keys!$C$4)</f>
        <v>0.9</v>
      </c>
      <c r="AE114">
        <f>IF($D114=1,IF(ABS(INDEX(Src_SYSHECF_nuclear!$D$5:$D$292,MATCH($C114,Src_SYSHECF_nuclear!$C$5:$C$292,0))*$E114*F114-Keys!$C$2)&gt;Keys!$C$6,1,0),0)</f>
        <v>0</v>
      </c>
    </row>
    <row r="115" spans="1:31" x14ac:dyDescent="0.45">
      <c r="A115" t="s">
        <v>28</v>
      </c>
      <c r="B115" t="s">
        <v>429</v>
      </c>
      <c r="C115" t="str">
        <f t="shared" si="1"/>
        <v>IA|Winter Peak</v>
      </c>
      <c r="D115">
        <f>INDEX(Src_BHRaSYC_nuclear!$HF$5:$HF$52,MATCH($A115,Src_BHRaSYC_nuclear!$A$5:$A$52,0))</f>
        <v>0</v>
      </c>
      <c r="E115">
        <f>INDEX(Src_HYECFCA_nuclear!$B$5:$B$52,MATCH($A115,Src_HYECFCA_nuclear!$A$5:$A$52,0))</f>
        <v>1</v>
      </c>
      <c r="F115">
        <f>IF($D115=1,ROUND(Keys!$C$2/(INDEX(Src_SYSHECF_nuclear!$D$5:$D$292,MATCH($C115,Src_SYSHECF_nuclear!$C$5:$C$292,0))*$E115),Keys!$C$5),Keys!$C$4)</f>
        <v>0.9</v>
      </c>
      <c r="G115">
        <f>IF($D115=1,ROUND(Keys!$C$2/(INDEX(Src_SYSHECF_nuclear!$E$5:$E$292,MATCH($C115,Src_SYSHECF_nuclear!$C$5:$C$292,0))*$E115),Keys!$C$5),Keys!$C$4)</f>
        <v>0.9</v>
      </c>
      <c r="H115">
        <f>IF($D115=1,ROUND(Keys!$C$2/(INDEX(Src_SYSHECF_nuclear!$F$5:$F$292,MATCH($C115,Src_SYSHECF_nuclear!$C$5:$C$292,0))*$E115),Keys!$C$5),Keys!$C$4)</f>
        <v>0.9</v>
      </c>
      <c r="I115">
        <f>IF($D115=1,ROUND(Keys!$C$2/(INDEX(Src_SYSHECF_nuclear!$G$5:$G$292,MATCH($C115,Src_SYSHECF_nuclear!$C$5:$C$292,0))*$E115),Keys!$C$5),Keys!$C$4)</f>
        <v>0.9</v>
      </c>
      <c r="J115">
        <f>IF($D115=1,ROUND(Keys!$C$2/(INDEX(Src_SYSHECF_nuclear!$H$5:$H$292,MATCH($C115,Src_SYSHECF_nuclear!$C$5:$C$292,0))*$E115),Keys!$C$5),Keys!$C$4)</f>
        <v>0.9</v>
      </c>
      <c r="K115">
        <f>IF($D115=1,ROUND(Keys!$C$2/(INDEX(Src_SYSHECF_nuclear!$I$5:$I$292,MATCH($C115,Src_SYSHECF_nuclear!$C$5:$C$292,0))*$E115),Keys!$C$5),Keys!$C$4)</f>
        <v>0.9</v>
      </c>
      <c r="L115">
        <f>IF($D115=1,ROUND(Keys!$C$2/(INDEX(Src_SYSHECF_nuclear!$J$5:$J$292,MATCH($C115,Src_SYSHECF_nuclear!$C$5:$C$292,0))*$E115),Keys!$C$5),Keys!$C$4)</f>
        <v>0.9</v>
      </c>
      <c r="M115">
        <f>IF($D115=1,ROUND(Keys!$C$2/(INDEX(Src_SYSHECF_nuclear!$K$5:$K$292,MATCH($C115,Src_SYSHECF_nuclear!$C$5:$C$292,0))*$E115),Keys!$C$5),Keys!$C$4)</f>
        <v>0.9</v>
      </c>
      <c r="N115">
        <f>IF($D115=1,ROUND(Keys!$C$2/(INDEX(Src_SYSHECF_nuclear!$L$5:$L$292,MATCH($C115,Src_SYSHECF_nuclear!$C$5:$C$292,0))*$E115),Keys!$C$5),Keys!$C$4)</f>
        <v>0.9</v>
      </c>
      <c r="O115">
        <f>IF($D115=1,ROUND(Keys!$C$2/(INDEX(Src_SYSHECF_nuclear!$M$5:$M$292,MATCH($C115,Src_SYSHECF_nuclear!$C$5:$C$292,0))*$E115),Keys!$C$5),Keys!$C$4)</f>
        <v>0.9</v>
      </c>
      <c r="P115">
        <f>IF($D115=1,ROUND(Keys!$C$2/(INDEX(Src_SYSHECF_nuclear!$N$5:$N$292,MATCH($C115,Src_SYSHECF_nuclear!$C$5:$C$292,0))*$E115),Keys!$C$5),Keys!$C$4)</f>
        <v>0.9</v>
      </c>
      <c r="Q115">
        <f>IF($D115=1,ROUND(Keys!$C$2/(INDEX(Src_SYSHECF_nuclear!$O$5:$O$292,MATCH($C115,Src_SYSHECF_nuclear!$C$5:$C$292,0))*$E115),Keys!$C$5),Keys!$C$4)</f>
        <v>0.9</v>
      </c>
      <c r="R115">
        <f>IF($D115=1,ROUND(Keys!$C$2/(INDEX(Src_SYSHECF_nuclear!$P$5:$P$292,MATCH($C115,Src_SYSHECF_nuclear!$C$5:$C$292,0))*$E115),Keys!$C$5),Keys!$C$4)</f>
        <v>0.9</v>
      </c>
      <c r="S115">
        <f>IF($D115=1,ROUND(Keys!$C$2/(INDEX(Src_SYSHECF_nuclear!$Q$5:$Q$292,MATCH($C115,Src_SYSHECF_nuclear!$C$5:$C$292,0))*$E115),Keys!$C$5),Keys!$C$4)</f>
        <v>0.9</v>
      </c>
      <c r="T115">
        <f>IF($D115=1,ROUND(Keys!$C$2/(INDEX(Src_SYSHECF_nuclear!$R$5:$R$292,MATCH($C115,Src_SYSHECF_nuclear!$C$5:$C$292,0))*$E115),Keys!$C$5),Keys!$C$4)</f>
        <v>0.9</v>
      </c>
      <c r="U115">
        <f>IF($D115=1,ROUND(Keys!$C$2/(INDEX(Src_SYSHECF_nuclear!$S$5:$S$292,MATCH($C115,Src_SYSHECF_nuclear!$C$5:$C$292,0))*$E115),Keys!$C$5),Keys!$C$4)</f>
        <v>0.9</v>
      </c>
      <c r="V115">
        <f>IF($D115=1,ROUND(Keys!$C$2/(INDEX(Src_SYSHECF_nuclear!$T$5:$T$292,MATCH($C115,Src_SYSHECF_nuclear!$C$5:$C$292,0))*$E115),Keys!$C$5),Keys!$C$4)</f>
        <v>0.9</v>
      </c>
      <c r="W115">
        <f>IF($D115=1,ROUND(Keys!$C$2/(INDEX(Src_SYSHECF_nuclear!$U$5:$U$292,MATCH($C115,Src_SYSHECF_nuclear!$C$5:$C$292,0))*$E115),Keys!$C$5),Keys!$C$4)</f>
        <v>0.9</v>
      </c>
      <c r="X115">
        <f>IF($D115=1,ROUND(Keys!$C$2/(INDEX(Src_SYSHECF_nuclear!$V$5:$V$292,MATCH($C115,Src_SYSHECF_nuclear!$C$5:$C$292,0))*$E115),Keys!$C$5),Keys!$C$4)</f>
        <v>0.9</v>
      </c>
      <c r="Y115">
        <f>IF($D115=1,ROUND(Keys!$C$2/(INDEX(Src_SYSHECF_nuclear!$W$5:$W$292,MATCH($C115,Src_SYSHECF_nuclear!$C$5:$C$292,0))*$E115),Keys!$C$5),Keys!$C$4)</f>
        <v>0.9</v>
      </c>
      <c r="Z115">
        <f>IF($D115=1,ROUND(Keys!$C$2/(INDEX(Src_SYSHECF_nuclear!$X$5:$X$292,MATCH($C115,Src_SYSHECF_nuclear!$C$5:$C$292,0))*$E115),Keys!$C$5),Keys!$C$4)</f>
        <v>0.9</v>
      </c>
      <c r="AA115">
        <f>IF($D115=1,ROUND(Keys!$C$2/(INDEX(Src_SYSHECF_nuclear!$Y$5:$Y$292,MATCH($C115,Src_SYSHECF_nuclear!$C$5:$C$292,0))*$E115),Keys!$C$5),Keys!$C$4)</f>
        <v>0.9</v>
      </c>
      <c r="AB115">
        <f>IF($D115=1,ROUND(Keys!$C$2/(INDEX(Src_SYSHECF_nuclear!$Z$5:$Z$292,MATCH($C115,Src_SYSHECF_nuclear!$C$5:$C$292,0))*$E115),Keys!$C$5),Keys!$C$4)</f>
        <v>0.9</v>
      </c>
      <c r="AC115">
        <f>IF($D115=1,ROUND(Keys!$C$2/(INDEX(Src_SYSHECF_nuclear!$AA$5:$AA$292,MATCH($C115,Src_SYSHECF_nuclear!$C$5:$C$292,0))*$E115),Keys!$C$5),Keys!$C$4)</f>
        <v>0.9</v>
      </c>
      <c r="AE115">
        <f>IF($D115=1,IF(ABS(INDEX(Src_SYSHECF_nuclear!$D$5:$D$292,MATCH($C115,Src_SYSHECF_nuclear!$C$5:$C$292,0))*$E115*F115-Keys!$C$2)&gt;Keys!$C$6,1,0),0)</f>
        <v>0</v>
      </c>
    </row>
    <row r="116" spans="1:31" x14ac:dyDescent="0.45">
      <c r="A116" t="s">
        <v>31</v>
      </c>
      <c r="B116" t="s">
        <v>424</v>
      </c>
      <c r="C116" t="str">
        <f t="shared" si="1"/>
        <v>ID|Winter</v>
      </c>
      <c r="D116">
        <f>INDEX(Src_BHRaSYC_nuclear!$HF$5:$HF$52,MATCH($A116,Src_BHRaSYC_nuclear!$A$5:$A$52,0))</f>
        <v>0</v>
      </c>
      <c r="E116">
        <f>INDEX(Src_HYECFCA_nuclear!$B$5:$B$52,MATCH($A116,Src_HYECFCA_nuclear!$A$5:$A$52,0))</f>
        <v>1</v>
      </c>
      <c r="F116">
        <f>IF($D116=1,ROUND(Keys!$C$2/(INDEX(Src_SYSHECF_nuclear!$D$5:$D$292,MATCH($C116,Src_SYSHECF_nuclear!$C$5:$C$292,0))*$E116),Keys!$C$5),Keys!$C$4)</f>
        <v>0.9</v>
      </c>
      <c r="G116">
        <f>IF($D116=1,ROUND(Keys!$C$2/(INDEX(Src_SYSHECF_nuclear!$E$5:$E$292,MATCH($C116,Src_SYSHECF_nuclear!$C$5:$C$292,0))*$E116),Keys!$C$5),Keys!$C$4)</f>
        <v>0.9</v>
      </c>
      <c r="H116">
        <f>IF($D116=1,ROUND(Keys!$C$2/(INDEX(Src_SYSHECF_nuclear!$F$5:$F$292,MATCH($C116,Src_SYSHECF_nuclear!$C$5:$C$292,0))*$E116),Keys!$C$5),Keys!$C$4)</f>
        <v>0.9</v>
      </c>
      <c r="I116">
        <f>IF($D116=1,ROUND(Keys!$C$2/(INDEX(Src_SYSHECF_nuclear!$G$5:$G$292,MATCH($C116,Src_SYSHECF_nuclear!$C$5:$C$292,0))*$E116),Keys!$C$5),Keys!$C$4)</f>
        <v>0.9</v>
      </c>
      <c r="J116">
        <f>IF($D116=1,ROUND(Keys!$C$2/(INDEX(Src_SYSHECF_nuclear!$H$5:$H$292,MATCH($C116,Src_SYSHECF_nuclear!$C$5:$C$292,0))*$E116),Keys!$C$5),Keys!$C$4)</f>
        <v>0.9</v>
      </c>
      <c r="K116">
        <f>IF($D116=1,ROUND(Keys!$C$2/(INDEX(Src_SYSHECF_nuclear!$I$5:$I$292,MATCH($C116,Src_SYSHECF_nuclear!$C$5:$C$292,0))*$E116),Keys!$C$5),Keys!$C$4)</f>
        <v>0.9</v>
      </c>
      <c r="L116">
        <f>IF($D116=1,ROUND(Keys!$C$2/(INDEX(Src_SYSHECF_nuclear!$J$5:$J$292,MATCH($C116,Src_SYSHECF_nuclear!$C$5:$C$292,0))*$E116),Keys!$C$5),Keys!$C$4)</f>
        <v>0.9</v>
      </c>
      <c r="M116">
        <f>IF($D116=1,ROUND(Keys!$C$2/(INDEX(Src_SYSHECF_nuclear!$K$5:$K$292,MATCH($C116,Src_SYSHECF_nuclear!$C$5:$C$292,0))*$E116),Keys!$C$5),Keys!$C$4)</f>
        <v>0.9</v>
      </c>
      <c r="N116">
        <f>IF($D116=1,ROUND(Keys!$C$2/(INDEX(Src_SYSHECF_nuclear!$L$5:$L$292,MATCH($C116,Src_SYSHECF_nuclear!$C$5:$C$292,0))*$E116),Keys!$C$5),Keys!$C$4)</f>
        <v>0.9</v>
      </c>
      <c r="O116">
        <f>IF($D116=1,ROUND(Keys!$C$2/(INDEX(Src_SYSHECF_nuclear!$M$5:$M$292,MATCH($C116,Src_SYSHECF_nuclear!$C$5:$C$292,0))*$E116),Keys!$C$5),Keys!$C$4)</f>
        <v>0.9</v>
      </c>
      <c r="P116">
        <f>IF($D116=1,ROUND(Keys!$C$2/(INDEX(Src_SYSHECF_nuclear!$N$5:$N$292,MATCH($C116,Src_SYSHECF_nuclear!$C$5:$C$292,0))*$E116),Keys!$C$5),Keys!$C$4)</f>
        <v>0.9</v>
      </c>
      <c r="Q116">
        <f>IF($D116=1,ROUND(Keys!$C$2/(INDEX(Src_SYSHECF_nuclear!$O$5:$O$292,MATCH($C116,Src_SYSHECF_nuclear!$C$5:$C$292,0))*$E116),Keys!$C$5),Keys!$C$4)</f>
        <v>0.9</v>
      </c>
      <c r="R116">
        <f>IF($D116=1,ROUND(Keys!$C$2/(INDEX(Src_SYSHECF_nuclear!$P$5:$P$292,MATCH($C116,Src_SYSHECF_nuclear!$C$5:$C$292,0))*$E116),Keys!$C$5),Keys!$C$4)</f>
        <v>0.9</v>
      </c>
      <c r="S116">
        <f>IF($D116=1,ROUND(Keys!$C$2/(INDEX(Src_SYSHECF_nuclear!$Q$5:$Q$292,MATCH($C116,Src_SYSHECF_nuclear!$C$5:$C$292,0))*$E116),Keys!$C$5),Keys!$C$4)</f>
        <v>0.9</v>
      </c>
      <c r="T116">
        <f>IF($D116=1,ROUND(Keys!$C$2/(INDEX(Src_SYSHECF_nuclear!$R$5:$R$292,MATCH($C116,Src_SYSHECF_nuclear!$C$5:$C$292,0))*$E116),Keys!$C$5),Keys!$C$4)</f>
        <v>0.9</v>
      </c>
      <c r="U116">
        <f>IF($D116=1,ROUND(Keys!$C$2/(INDEX(Src_SYSHECF_nuclear!$S$5:$S$292,MATCH($C116,Src_SYSHECF_nuclear!$C$5:$C$292,0))*$E116),Keys!$C$5),Keys!$C$4)</f>
        <v>0.9</v>
      </c>
      <c r="V116">
        <f>IF($D116=1,ROUND(Keys!$C$2/(INDEX(Src_SYSHECF_nuclear!$T$5:$T$292,MATCH($C116,Src_SYSHECF_nuclear!$C$5:$C$292,0))*$E116),Keys!$C$5),Keys!$C$4)</f>
        <v>0.9</v>
      </c>
      <c r="W116">
        <f>IF($D116=1,ROUND(Keys!$C$2/(INDEX(Src_SYSHECF_nuclear!$U$5:$U$292,MATCH($C116,Src_SYSHECF_nuclear!$C$5:$C$292,0))*$E116),Keys!$C$5),Keys!$C$4)</f>
        <v>0.9</v>
      </c>
      <c r="X116">
        <f>IF($D116=1,ROUND(Keys!$C$2/(INDEX(Src_SYSHECF_nuclear!$V$5:$V$292,MATCH($C116,Src_SYSHECF_nuclear!$C$5:$C$292,0))*$E116),Keys!$C$5),Keys!$C$4)</f>
        <v>0.9</v>
      </c>
      <c r="Y116">
        <f>IF($D116=1,ROUND(Keys!$C$2/(INDEX(Src_SYSHECF_nuclear!$W$5:$W$292,MATCH($C116,Src_SYSHECF_nuclear!$C$5:$C$292,0))*$E116),Keys!$C$5),Keys!$C$4)</f>
        <v>0.9</v>
      </c>
      <c r="Z116">
        <f>IF($D116=1,ROUND(Keys!$C$2/(INDEX(Src_SYSHECF_nuclear!$X$5:$X$292,MATCH($C116,Src_SYSHECF_nuclear!$C$5:$C$292,0))*$E116),Keys!$C$5),Keys!$C$4)</f>
        <v>0.9</v>
      </c>
      <c r="AA116">
        <f>IF($D116=1,ROUND(Keys!$C$2/(INDEX(Src_SYSHECF_nuclear!$Y$5:$Y$292,MATCH($C116,Src_SYSHECF_nuclear!$C$5:$C$292,0))*$E116),Keys!$C$5),Keys!$C$4)</f>
        <v>0.9</v>
      </c>
      <c r="AB116">
        <f>IF($D116=1,ROUND(Keys!$C$2/(INDEX(Src_SYSHECF_nuclear!$Z$5:$Z$292,MATCH($C116,Src_SYSHECF_nuclear!$C$5:$C$292,0))*$E116),Keys!$C$5),Keys!$C$4)</f>
        <v>0.9</v>
      </c>
      <c r="AC116">
        <f>IF($D116=1,ROUND(Keys!$C$2/(INDEX(Src_SYSHECF_nuclear!$AA$5:$AA$292,MATCH($C116,Src_SYSHECF_nuclear!$C$5:$C$292,0))*$E116),Keys!$C$5),Keys!$C$4)</f>
        <v>0.9</v>
      </c>
      <c r="AE116">
        <f>IF($D116=1,IF(ABS(INDEX(Src_SYSHECF_nuclear!$D$5:$D$292,MATCH($C116,Src_SYSHECF_nuclear!$C$5:$C$292,0))*$E116*F116-Keys!$C$2)&gt;Keys!$C$6,1,0),0)</f>
        <v>0</v>
      </c>
    </row>
    <row r="117" spans="1:31" x14ac:dyDescent="0.45">
      <c r="A117" t="s">
        <v>31</v>
      </c>
      <c r="B117" t="s">
        <v>425</v>
      </c>
      <c r="C117" t="str">
        <f t="shared" si="1"/>
        <v>ID|Spring</v>
      </c>
      <c r="D117">
        <f>INDEX(Src_BHRaSYC_nuclear!$HF$5:$HF$52,MATCH($A117,Src_BHRaSYC_nuclear!$A$5:$A$52,0))</f>
        <v>0</v>
      </c>
      <c r="E117">
        <f>INDEX(Src_HYECFCA_nuclear!$B$5:$B$52,MATCH($A117,Src_HYECFCA_nuclear!$A$5:$A$52,0))</f>
        <v>1</v>
      </c>
      <c r="F117">
        <f>IF($D117=1,ROUND(Keys!$C$2/(INDEX(Src_SYSHECF_nuclear!$D$5:$D$292,MATCH($C117,Src_SYSHECF_nuclear!$C$5:$C$292,0))*$E117),Keys!$C$5),Keys!$C$4)</f>
        <v>0.9</v>
      </c>
      <c r="G117">
        <f>IF($D117=1,ROUND(Keys!$C$2/(INDEX(Src_SYSHECF_nuclear!$E$5:$E$292,MATCH($C117,Src_SYSHECF_nuclear!$C$5:$C$292,0))*$E117),Keys!$C$5),Keys!$C$4)</f>
        <v>0.9</v>
      </c>
      <c r="H117">
        <f>IF($D117=1,ROUND(Keys!$C$2/(INDEX(Src_SYSHECF_nuclear!$F$5:$F$292,MATCH($C117,Src_SYSHECF_nuclear!$C$5:$C$292,0))*$E117),Keys!$C$5),Keys!$C$4)</f>
        <v>0.9</v>
      </c>
      <c r="I117">
        <f>IF($D117=1,ROUND(Keys!$C$2/(INDEX(Src_SYSHECF_nuclear!$G$5:$G$292,MATCH($C117,Src_SYSHECF_nuclear!$C$5:$C$292,0))*$E117),Keys!$C$5),Keys!$C$4)</f>
        <v>0.9</v>
      </c>
      <c r="J117">
        <f>IF($D117=1,ROUND(Keys!$C$2/(INDEX(Src_SYSHECF_nuclear!$H$5:$H$292,MATCH($C117,Src_SYSHECF_nuclear!$C$5:$C$292,0))*$E117),Keys!$C$5),Keys!$C$4)</f>
        <v>0.9</v>
      </c>
      <c r="K117">
        <f>IF($D117=1,ROUND(Keys!$C$2/(INDEX(Src_SYSHECF_nuclear!$I$5:$I$292,MATCH($C117,Src_SYSHECF_nuclear!$C$5:$C$292,0))*$E117),Keys!$C$5),Keys!$C$4)</f>
        <v>0.9</v>
      </c>
      <c r="L117">
        <f>IF($D117=1,ROUND(Keys!$C$2/(INDEX(Src_SYSHECF_nuclear!$J$5:$J$292,MATCH($C117,Src_SYSHECF_nuclear!$C$5:$C$292,0))*$E117),Keys!$C$5),Keys!$C$4)</f>
        <v>0.9</v>
      </c>
      <c r="M117">
        <f>IF($D117=1,ROUND(Keys!$C$2/(INDEX(Src_SYSHECF_nuclear!$K$5:$K$292,MATCH($C117,Src_SYSHECF_nuclear!$C$5:$C$292,0))*$E117),Keys!$C$5),Keys!$C$4)</f>
        <v>0.9</v>
      </c>
      <c r="N117">
        <f>IF($D117=1,ROUND(Keys!$C$2/(INDEX(Src_SYSHECF_nuclear!$L$5:$L$292,MATCH($C117,Src_SYSHECF_nuclear!$C$5:$C$292,0))*$E117),Keys!$C$5),Keys!$C$4)</f>
        <v>0.9</v>
      </c>
      <c r="O117">
        <f>IF($D117=1,ROUND(Keys!$C$2/(INDEX(Src_SYSHECF_nuclear!$M$5:$M$292,MATCH($C117,Src_SYSHECF_nuclear!$C$5:$C$292,0))*$E117),Keys!$C$5),Keys!$C$4)</f>
        <v>0.9</v>
      </c>
      <c r="P117">
        <f>IF($D117=1,ROUND(Keys!$C$2/(INDEX(Src_SYSHECF_nuclear!$N$5:$N$292,MATCH($C117,Src_SYSHECF_nuclear!$C$5:$C$292,0))*$E117),Keys!$C$5),Keys!$C$4)</f>
        <v>0.9</v>
      </c>
      <c r="Q117">
        <f>IF($D117=1,ROUND(Keys!$C$2/(INDEX(Src_SYSHECF_nuclear!$O$5:$O$292,MATCH($C117,Src_SYSHECF_nuclear!$C$5:$C$292,0))*$E117),Keys!$C$5),Keys!$C$4)</f>
        <v>0.9</v>
      </c>
      <c r="R117">
        <f>IF($D117=1,ROUND(Keys!$C$2/(INDEX(Src_SYSHECF_nuclear!$P$5:$P$292,MATCH($C117,Src_SYSHECF_nuclear!$C$5:$C$292,0))*$E117),Keys!$C$5),Keys!$C$4)</f>
        <v>0.9</v>
      </c>
      <c r="S117">
        <f>IF($D117=1,ROUND(Keys!$C$2/(INDEX(Src_SYSHECF_nuclear!$Q$5:$Q$292,MATCH($C117,Src_SYSHECF_nuclear!$C$5:$C$292,0))*$E117),Keys!$C$5),Keys!$C$4)</f>
        <v>0.9</v>
      </c>
      <c r="T117">
        <f>IF($D117=1,ROUND(Keys!$C$2/(INDEX(Src_SYSHECF_nuclear!$R$5:$R$292,MATCH($C117,Src_SYSHECF_nuclear!$C$5:$C$292,0))*$E117),Keys!$C$5),Keys!$C$4)</f>
        <v>0.9</v>
      </c>
      <c r="U117">
        <f>IF($D117=1,ROUND(Keys!$C$2/(INDEX(Src_SYSHECF_nuclear!$S$5:$S$292,MATCH($C117,Src_SYSHECF_nuclear!$C$5:$C$292,0))*$E117),Keys!$C$5),Keys!$C$4)</f>
        <v>0.9</v>
      </c>
      <c r="V117">
        <f>IF($D117=1,ROUND(Keys!$C$2/(INDEX(Src_SYSHECF_nuclear!$T$5:$T$292,MATCH($C117,Src_SYSHECF_nuclear!$C$5:$C$292,0))*$E117),Keys!$C$5),Keys!$C$4)</f>
        <v>0.9</v>
      </c>
      <c r="W117">
        <f>IF($D117=1,ROUND(Keys!$C$2/(INDEX(Src_SYSHECF_nuclear!$U$5:$U$292,MATCH($C117,Src_SYSHECF_nuclear!$C$5:$C$292,0))*$E117),Keys!$C$5),Keys!$C$4)</f>
        <v>0.9</v>
      </c>
      <c r="X117">
        <f>IF($D117=1,ROUND(Keys!$C$2/(INDEX(Src_SYSHECF_nuclear!$V$5:$V$292,MATCH($C117,Src_SYSHECF_nuclear!$C$5:$C$292,0))*$E117),Keys!$C$5),Keys!$C$4)</f>
        <v>0.9</v>
      </c>
      <c r="Y117">
        <f>IF($D117=1,ROUND(Keys!$C$2/(INDEX(Src_SYSHECF_nuclear!$W$5:$W$292,MATCH($C117,Src_SYSHECF_nuclear!$C$5:$C$292,0))*$E117),Keys!$C$5),Keys!$C$4)</f>
        <v>0.9</v>
      </c>
      <c r="Z117">
        <f>IF($D117=1,ROUND(Keys!$C$2/(INDEX(Src_SYSHECF_nuclear!$X$5:$X$292,MATCH($C117,Src_SYSHECF_nuclear!$C$5:$C$292,0))*$E117),Keys!$C$5),Keys!$C$4)</f>
        <v>0.9</v>
      </c>
      <c r="AA117">
        <f>IF($D117=1,ROUND(Keys!$C$2/(INDEX(Src_SYSHECF_nuclear!$Y$5:$Y$292,MATCH($C117,Src_SYSHECF_nuclear!$C$5:$C$292,0))*$E117),Keys!$C$5),Keys!$C$4)</f>
        <v>0.9</v>
      </c>
      <c r="AB117">
        <f>IF($D117=1,ROUND(Keys!$C$2/(INDEX(Src_SYSHECF_nuclear!$Z$5:$Z$292,MATCH($C117,Src_SYSHECF_nuclear!$C$5:$C$292,0))*$E117),Keys!$C$5),Keys!$C$4)</f>
        <v>0.9</v>
      </c>
      <c r="AC117">
        <f>IF($D117=1,ROUND(Keys!$C$2/(INDEX(Src_SYSHECF_nuclear!$AA$5:$AA$292,MATCH($C117,Src_SYSHECF_nuclear!$C$5:$C$292,0))*$E117),Keys!$C$5),Keys!$C$4)</f>
        <v>0.9</v>
      </c>
      <c r="AE117">
        <f>IF($D117=1,IF(ABS(INDEX(Src_SYSHECF_nuclear!$D$5:$D$292,MATCH($C117,Src_SYSHECF_nuclear!$C$5:$C$292,0))*$E117*F117-Keys!$C$2)&gt;Keys!$C$6,1,0),0)</f>
        <v>0</v>
      </c>
    </row>
    <row r="118" spans="1:31" x14ac:dyDescent="0.45">
      <c r="A118" t="s">
        <v>31</v>
      </c>
      <c r="B118" t="s">
        <v>426</v>
      </c>
      <c r="C118" t="str">
        <f t="shared" si="1"/>
        <v>ID|Summer</v>
      </c>
      <c r="D118">
        <f>INDEX(Src_BHRaSYC_nuclear!$HF$5:$HF$52,MATCH($A118,Src_BHRaSYC_nuclear!$A$5:$A$52,0))</f>
        <v>0</v>
      </c>
      <c r="E118">
        <f>INDEX(Src_HYECFCA_nuclear!$B$5:$B$52,MATCH($A118,Src_HYECFCA_nuclear!$A$5:$A$52,0))</f>
        <v>1</v>
      </c>
      <c r="F118">
        <f>IF($D118=1,ROUND(Keys!$C$2/(INDEX(Src_SYSHECF_nuclear!$D$5:$D$292,MATCH($C118,Src_SYSHECF_nuclear!$C$5:$C$292,0))*$E118),Keys!$C$5),Keys!$C$4)</f>
        <v>0.9</v>
      </c>
      <c r="G118">
        <f>IF($D118=1,ROUND(Keys!$C$2/(INDEX(Src_SYSHECF_nuclear!$E$5:$E$292,MATCH($C118,Src_SYSHECF_nuclear!$C$5:$C$292,0))*$E118),Keys!$C$5),Keys!$C$4)</f>
        <v>0.9</v>
      </c>
      <c r="H118">
        <f>IF($D118=1,ROUND(Keys!$C$2/(INDEX(Src_SYSHECF_nuclear!$F$5:$F$292,MATCH($C118,Src_SYSHECF_nuclear!$C$5:$C$292,0))*$E118),Keys!$C$5),Keys!$C$4)</f>
        <v>0.9</v>
      </c>
      <c r="I118">
        <f>IF($D118=1,ROUND(Keys!$C$2/(INDEX(Src_SYSHECF_nuclear!$G$5:$G$292,MATCH($C118,Src_SYSHECF_nuclear!$C$5:$C$292,0))*$E118),Keys!$C$5),Keys!$C$4)</f>
        <v>0.9</v>
      </c>
      <c r="J118">
        <f>IF($D118=1,ROUND(Keys!$C$2/(INDEX(Src_SYSHECF_nuclear!$H$5:$H$292,MATCH($C118,Src_SYSHECF_nuclear!$C$5:$C$292,0))*$E118),Keys!$C$5),Keys!$C$4)</f>
        <v>0.9</v>
      </c>
      <c r="K118">
        <f>IF($D118=1,ROUND(Keys!$C$2/(INDEX(Src_SYSHECF_nuclear!$I$5:$I$292,MATCH($C118,Src_SYSHECF_nuclear!$C$5:$C$292,0))*$E118),Keys!$C$5),Keys!$C$4)</f>
        <v>0.9</v>
      </c>
      <c r="L118">
        <f>IF($D118=1,ROUND(Keys!$C$2/(INDEX(Src_SYSHECF_nuclear!$J$5:$J$292,MATCH($C118,Src_SYSHECF_nuclear!$C$5:$C$292,0))*$E118),Keys!$C$5),Keys!$C$4)</f>
        <v>0.9</v>
      </c>
      <c r="M118">
        <f>IF($D118=1,ROUND(Keys!$C$2/(INDEX(Src_SYSHECF_nuclear!$K$5:$K$292,MATCH($C118,Src_SYSHECF_nuclear!$C$5:$C$292,0))*$E118),Keys!$C$5),Keys!$C$4)</f>
        <v>0.9</v>
      </c>
      <c r="N118">
        <f>IF($D118=1,ROUND(Keys!$C$2/(INDEX(Src_SYSHECF_nuclear!$L$5:$L$292,MATCH($C118,Src_SYSHECF_nuclear!$C$5:$C$292,0))*$E118),Keys!$C$5),Keys!$C$4)</f>
        <v>0.9</v>
      </c>
      <c r="O118">
        <f>IF($D118=1,ROUND(Keys!$C$2/(INDEX(Src_SYSHECF_nuclear!$M$5:$M$292,MATCH($C118,Src_SYSHECF_nuclear!$C$5:$C$292,0))*$E118),Keys!$C$5),Keys!$C$4)</f>
        <v>0.9</v>
      </c>
      <c r="P118">
        <f>IF($D118=1,ROUND(Keys!$C$2/(INDEX(Src_SYSHECF_nuclear!$N$5:$N$292,MATCH($C118,Src_SYSHECF_nuclear!$C$5:$C$292,0))*$E118),Keys!$C$5),Keys!$C$4)</f>
        <v>0.9</v>
      </c>
      <c r="Q118">
        <f>IF($D118=1,ROUND(Keys!$C$2/(INDEX(Src_SYSHECF_nuclear!$O$5:$O$292,MATCH($C118,Src_SYSHECF_nuclear!$C$5:$C$292,0))*$E118),Keys!$C$5),Keys!$C$4)</f>
        <v>0.9</v>
      </c>
      <c r="R118">
        <f>IF($D118=1,ROUND(Keys!$C$2/(INDEX(Src_SYSHECF_nuclear!$P$5:$P$292,MATCH($C118,Src_SYSHECF_nuclear!$C$5:$C$292,0))*$E118),Keys!$C$5),Keys!$C$4)</f>
        <v>0.9</v>
      </c>
      <c r="S118">
        <f>IF($D118=1,ROUND(Keys!$C$2/(INDEX(Src_SYSHECF_nuclear!$Q$5:$Q$292,MATCH($C118,Src_SYSHECF_nuclear!$C$5:$C$292,0))*$E118),Keys!$C$5),Keys!$C$4)</f>
        <v>0.9</v>
      </c>
      <c r="T118">
        <f>IF($D118=1,ROUND(Keys!$C$2/(INDEX(Src_SYSHECF_nuclear!$R$5:$R$292,MATCH($C118,Src_SYSHECF_nuclear!$C$5:$C$292,0))*$E118),Keys!$C$5),Keys!$C$4)</f>
        <v>0.9</v>
      </c>
      <c r="U118">
        <f>IF($D118=1,ROUND(Keys!$C$2/(INDEX(Src_SYSHECF_nuclear!$S$5:$S$292,MATCH($C118,Src_SYSHECF_nuclear!$C$5:$C$292,0))*$E118),Keys!$C$5),Keys!$C$4)</f>
        <v>0.9</v>
      </c>
      <c r="V118">
        <f>IF($D118=1,ROUND(Keys!$C$2/(INDEX(Src_SYSHECF_nuclear!$T$5:$T$292,MATCH($C118,Src_SYSHECF_nuclear!$C$5:$C$292,0))*$E118),Keys!$C$5),Keys!$C$4)</f>
        <v>0.9</v>
      </c>
      <c r="W118">
        <f>IF($D118=1,ROUND(Keys!$C$2/(INDEX(Src_SYSHECF_nuclear!$U$5:$U$292,MATCH($C118,Src_SYSHECF_nuclear!$C$5:$C$292,0))*$E118),Keys!$C$5),Keys!$C$4)</f>
        <v>0.9</v>
      </c>
      <c r="X118">
        <f>IF($D118=1,ROUND(Keys!$C$2/(INDEX(Src_SYSHECF_nuclear!$V$5:$V$292,MATCH($C118,Src_SYSHECF_nuclear!$C$5:$C$292,0))*$E118),Keys!$C$5),Keys!$C$4)</f>
        <v>0.9</v>
      </c>
      <c r="Y118">
        <f>IF($D118=1,ROUND(Keys!$C$2/(INDEX(Src_SYSHECF_nuclear!$W$5:$W$292,MATCH($C118,Src_SYSHECF_nuclear!$C$5:$C$292,0))*$E118),Keys!$C$5),Keys!$C$4)</f>
        <v>0.9</v>
      </c>
      <c r="Z118">
        <f>IF($D118=1,ROUND(Keys!$C$2/(INDEX(Src_SYSHECF_nuclear!$X$5:$X$292,MATCH($C118,Src_SYSHECF_nuclear!$C$5:$C$292,0))*$E118),Keys!$C$5),Keys!$C$4)</f>
        <v>0.9</v>
      </c>
      <c r="AA118">
        <f>IF($D118=1,ROUND(Keys!$C$2/(INDEX(Src_SYSHECF_nuclear!$Y$5:$Y$292,MATCH($C118,Src_SYSHECF_nuclear!$C$5:$C$292,0))*$E118),Keys!$C$5),Keys!$C$4)</f>
        <v>0.9</v>
      </c>
      <c r="AB118">
        <f>IF($D118=1,ROUND(Keys!$C$2/(INDEX(Src_SYSHECF_nuclear!$Z$5:$Z$292,MATCH($C118,Src_SYSHECF_nuclear!$C$5:$C$292,0))*$E118),Keys!$C$5),Keys!$C$4)</f>
        <v>0.9</v>
      </c>
      <c r="AC118">
        <f>IF($D118=1,ROUND(Keys!$C$2/(INDEX(Src_SYSHECF_nuclear!$AA$5:$AA$292,MATCH($C118,Src_SYSHECF_nuclear!$C$5:$C$292,0))*$E118),Keys!$C$5),Keys!$C$4)</f>
        <v>0.9</v>
      </c>
      <c r="AE118">
        <f>IF($D118=1,IF(ABS(INDEX(Src_SYSHECF_nuclear!$D$5:$D$292,MATCH($C118,Src_SYSHECF_nuclear!$C$5:$C$292,0))*$E118*F118-Keys!$C$2)&gt;Keys!$C$6,1,0),0)</f>
        <v>0</v>
      </c>
    </row>
    <row r="119" spans="1:31" x14ac:dyDescent="0.45">
      <c r="A119" t="s">
        <v>31</v>
      </c>
      <c r="B119" t="s">
        <v>427</v>
      </c>
      <c r="C119" t="str">
        <f t="shared" si="1"/>
        <v>ID|Fall</v>
      </c>
      <c r="D119">
        <f>INDEX(Src_BHRaSYC_nuclear!$HF$5:$HF$52,MATCH($A119,Src_BHRaSYC_nuclear!$A$5:$A$52,0))</f>
        <v>0</v>
      </c>
      <c r="E119">
        <f>INDEX(Src_HYECFCA_nuclear!$B$5:$B$52,MATCH($A119,Src_HYECFCA_nuclear!$A$5:$A$52,0))</f>
        <v>1</v>
      </c>
      <c r="F119">
        <f>IF($D119=1,ROUND(Keys!$C$2/(INDEX(Src_SYSHECF_nuclear!$D$5:$D$292,MATCH($C119,Src_SYSHECF_nuclear!$C$5:$C$292,0))*$E119),Keys!$C$5),Keys!$C$4)</f>
        <v>0.9</v>
      </c>
      <c r="G119">
        <f>IF($D119=1,ROUND(Keys!$C$2/(INDEX(Src_SYSHECF_nuclear!$E$5:$E$292,MATCH($C119,Src_SYSHECF_nuclear!$C$5:$C$292,0))*$E119),Keys!$C$5),Keys!$C$4)</f>
        <v>0.9</v>
      </c>
      <c r="H119">
        <f>IF($D119=1,ROUND(Keys!$C$2/(INDEX(Src_SYSHECF_nuclear!$F$5:$F$292,MATCH($C119,Src_SYSHECF_nuclear!$C$5:$C$292,0))*$E119),Keys!$C$5),Keys!$C$4)</f>
        <v>0.9</v>
      </c>
      <c r="I119">
        <f>IF($D119=1,ROUND(Keys!$C$2/(INDEX(Src_SYSHECF_nuclear!$G$5:$G$292,MATCH($C119,Src_SYSHECF_nuclear!$C$5:$C$292,0))*$E119),Keys!$C$5),Keys!$C$4)</f>
        <v>0.9</v>
      </c>
      <c r="J119">
        <f>IF($D119=1,ROUND(Keys!$C$2/(INDEX(Src_SYSHECF_nuclear!$H$5:$H$292,MATCH($C119,Src_SYSHECF_nuclear!$C$5:$C$292,0))*$E119),Keys!$C$5),Keys!$C$4)</f>
        <v>0.9</v>
      </c>
      <c r="K119">
        <f>IF($D119=1,ROUND(Keys!$C$2/(INDEX(Src_SYSHECF_nuclear!$I$5:$I$292,MATCH($C119,Src_SYSHECF_nuclear!$C$5:$C$292,0))*$E119),Keys!$C$5),Keys!$C$4)</f>
        <v>0.9</v>
      </c>
      <c r="L119">
        <f>IF($D119=1,ROUND(Keys!$C$2/(INDEX(Src_SYSHECF_nuclear!$J$5:$J$292,MATCH($C119,Src_SYSHECF_nuclear!$C$5:$C$292,0))*$E119),Keys!$C$5),Keys!$C$4)</f>
        <v>0.9</v>
      </c>
      <c r="M119">
        <f>IF($D119=1,ROUND(Keys!$C$2/(INDEX(Src_SYSHECF_nuclear!$K$5:$K$292,MATCH($C119,Src_SYSHECF_nuclear!$C$5:$C$292,0))*$E119),Keys!$C$5),Keys!$C$4)</f>
        <v>0.9</v>
      </c>
      <c r="N119">
        <f>IF($D119=1,ROUND(Keys!$C$2/(INDEX(Src_SYSHECF_nuclear!$L$5:$L$292,MATCH($C119,Src_SYSHECF_nuclear!$C$5:$C$292,0))*$E119),Keys!$C$5),Keys!$C$4)</f>
        <v>0.9</v>
      </c>
      <c r="O119">
        <f>IF($D119=1,ROUND(Keys!$C$2/(INDEX(Src_SYSHECF_nuclear!$M$5:$M$292,MATCH($C119,Src_SYSHECF_nuclear!$C$5:$C$292,0))*$E119),Keys!$C$5),Keys!$C$4)</f>
        <v>0.9</v>
      </c>
      <c r="P119">
        <f>IF($D119=1,ROUND(Keys!$C$2/(INDEX(Src_SYSHECF_nuclear!$N$5:$N$292,MATCH($C119,Src_SYSHECF_nuclear!$C$5:$C$292,0))*$E119),Keys!$C$5),Keys!$C$4)</f>
        <v>0.9</v>
      </c>
      <c r="Q119">
        <f>IF($D119=1,ROUND(Keys!$C$2/(INDEX(Src_SYSHECF_nuclear!$O$5:$O$292,MATCH($C119,Src_SYSHECF_nuclear!$C$5:$C$292,0))*$E119),Keys!$C$5),Keys!$C$4)</f>
        <v>0.9</v>
      </c>
      <c r="R119">
        <f>IF($D119=1,ROUND(Keys!$C$2/(INDEX(Src_SYSHECF_nuclear!$P$5:$P$292,MATCH($C119,Src_SYSHECF_nuclear!$C$5:$C$292,0))*$E119),Keys!$C$5),Keys!$C$4)</f>
        <v>0.9</v>
      </c>
      <c r="S119">
        <f>IF($D119=1,ROUND(Keys!$C$2/(INDEX(Src_SYSHECF_nuclear!$Q$5:$Q$292,MATCH($C119,Src_SYSHECF_nuclear!$C$5:$C$292,0))*$E119),Keys!$C$5),Keys!$C$4)</f>
        <v>0.9</v>
      </c>
      <c r="T119">
        <f>IF($D119=1,ROUND(Keys!$C$2/(INDEX(Src_SYSHECF_nuclear!$R$5:$R$292,MATCH($C119,Src_SYSHECF_nuclear!$C$5:$C$292,0))*$E119),Keys!$C$5),Keys!$C$4)</f>
        <v>0.9</v>
      </c>
      <c r="U119">
        <f>IF($D119=1,ROUND(Keys!$C$2/(INDEX(Src_SYSHECF_nuclear!$S$5:$S$292,MATCH($C119,Src_SYSHECF_nuclear!$C$5:$C$292,0))*$E119),Keys!$C$5),Keys!$C$4)</f>
        <v>0.9</v>
      </c>
      <c r="V119">
        <f>IF($D119=1,ROUND(Keys!$C$2/(INDEX(Src_SYSHECF_nuclear!$T$5:$T$292,MATCH($C119,Src_SYSHECF_nuclear!$C$5:$C$292,0))*$E119),Keys!$C$5),Keys!$C$4)</f>
        <v>0.9</v>
      </c>
      <c r="W119">
        <f>IF($D119=1,ROUND(Keys!$C$2/(INDEX(Src_SYSHECF_nuclear!$U$5:$U$292,MATCH($C119,Src_SYSHECF_nuclear!$C$5:$C$292,0))*$E119),Keys!$C$5),Keys!$C$4)</f>
        <v>0.9</v>
      </c>
      <c r="X119">
        <f>IF($D119=1,ROUND(Keys!$C$2/(INDEX(Src_SYSHECF_nuclear!$V$5:$V$292,MATCH($C119,Src_SYSHECF_nuclear!$C$5:$C$292,0))*$E119),Keys!$C$5),Keys!$C$4)</f>
        <v>0.9</v>
      </c>
      <c r="Y119">
        <f>IF($D119=1,ROUND(Keys!$C$2/(INDEX(Src_SYSHECF_nuclear!$W$5:$W$292,MATCH($C119,Src_SYSHECF_nuclear!$C$5:$C$292,0))*$E119),Keys!$C$5),Keys!$C$4)</f>
        <v>0.9</v>
      </c>
      <c r="Z119">
        <f>IF($D119=1,ROUND(Keys!$C$2/(INDEX(Src_SYSHECF_nuclear!$X$5:$X$292,MATCH($C119,Src_SYSHECF_nuclear!$C$5:$C$292,0))*$E119),Keys!$C$5),Keys!$C$4)</f>
        <v>0.9</v>
      </c>
      <c r="AA119">
        <f>IF($D119=1,ROUND(Keys!$C$2/(INDEX(Src_SYSHECF_nuclear!$Y$5:$Y$292,MATCH($C119,Src_SYSHECF_nuclear!$C$5:$C$292,0))*$E119),Keys!$C$5),Keys!$C$4)</f>
        <v>0.9</v>
      </c>
      <c r="AB119">
        <f>IF($D119=1,ROUND(Keys!$C$2/(INDEX(Src_SYSHECF_nuclear!$Z$5:$Z$292,MATCH($C119,Src_SYSHECF_nuclear!$C$5:$C$292,0))*$E119),Keys!$C$5),Keys!$C$4)</f>
        <v>0.9</v>
      </c>
      <c r="AC119">
        <f>IF($D119=1,ROUND(Keys!$C$2/(INDEX(Src_SYSHECF_nuclear!$AA$5:$AA$292,MATCH($C119,Src_SYSHECF_nuclear!$C$5:$C$292,0))*$E119),Keys!$C$5),Keys!$C$4)</f>
        <v>0.9</v>
      </c>
      <c r="AE119">
        <f>IF($D119=1,IF(ABS(INDEX(Src_SYSHECF_nuclear!$D$5:$D$292,MATCH($C119,Src_SYSHECF_nuclear!$C$5:$C$292,0))*$E119*F119-Keys!$C$2)&gt;Keys!$C$6,1,0),0)</f>
        <v>0</v>
      </c>
    </row>
    <row r="120" spans="1:31" x14ac:dyDescent="0.45">
      <c r="A120" t="s">
        <v>31</v>
      </c>
      <c r="B120" t="s">
        <v>428</v>
      </c>
      <c r="C120" t="str">
        <f t="shared" ref="C120:C183" si="2">A120&amp;"|"&amp;B120</f>
        <v>ID|Summer Peak</v>
      </c>
      <c r="D120">
        <f>INDEX(Src_BHRaSYC_nuclear!$HF$5:$HF$52,MATCH($A120,Src_BHRaSYC_nuclear!$A$5:$A$52,0))</f>
        <v>0</v>
      </c>
      <c r="E120">
        <f>INDEX(Src_HYECFCA_nuclear!$B$5:$B$52,MATCH($A120,Src_HYECFCA_nuclear!$A$5:$A$52,0))</f>
        <v>1</v>
      </c>
      <c r="F120">
        <f>IF($D120=1,ROUND(Keys!$C$2/(INDEX(Src_SYSHECF_nuclear!$D$5:$D$292,MATCH($C120,Src_SYSHECF_nuclear!$C$5:$C$292,0))*$E120),Keys!$C$5),Keys!$C$4)</f>
        <v>0.9</v>
      </c>
      <c r="G120">
        <f>IF($D120=1,ROUND(Keys!$C$2/(INDEX(Src_SYSHECF_nuclear!$E$5:$E$292,MATCH($C120,Src_SYSHECF_nuclear!$C$5:$C$292,0))*$E120),Keys!$C$5),Keys!$C$4)</f>
        <v>0.9</v>
      </c>
      <c r="H120">
        <f>IF($D120=1,ROUND(Keys!$C$2/(INDEX(Src_SYSHECF_nuclear!$F$5:$F$292,MATCH($C120,Src_SYSHECF_nuclear!$C$5:$C$292,0))*$E120),Keys!$C$5),Keys!$C$4)</f>
        <v>0.9</v>
      </c>
      <c r="I120">
        <f>IF($D120=1,ROUND(Keys!$C$2/(INDEX(Src_SYSHECF_nuclear!$G$5:$G$292,MATCH($C120,Src_SYSHECF_nuclear!$C$5:$C$292,0))*$E120),Keys!$C$5),Keys!$C$4)</f>
        <v>0.9</v>
      </c>
      <c r="J120">
        <f>IF($D120=1,ROUND(Keys!$C$2/(INDEX(Src_SYSHECF_nuclear!$H$5:$H$292,MATCH($C120,Src_SYSHECF_nuclear!$C$5:$C$292,0))*$E120),Keys!$C$5),Keys!$C$4)</f>
        <v>0.9</v>
      </c>
      <c r="K120">
        <f>IF($D120=1,ROUND(Keys!$C$2/(INDEX(Src_SYSHECF_nuclear!$I$5:$I$292,MATCH($C120,Src_SYSHECF_nuclear!$C$5:$C$292,0))*$E120),Keys!$C$5),Keys!$C$4)</f>
        <v>0.9</v>
      </c>
      <c r="L120">
        <f>IF($D120=1,ROUND(Keys!$C$2/(INDEX(Src_SYSHECF_nuclear!$J$5:$J$292,MATCH($C120,Src_SYSHECF_nuclear!$C$5:$C$292,0))*$E120),Keys!$C$5),Keys!$C$4)</f>
        <v>0.9</v>
      </c>
      <c r="M120">
        <f>IF($D120=1,ROUND(Keys!$C$2/(INDEX(Src_SYSHECF_nuclear!$K$5:$K$292,MATCH($C120,Src_SYSHECF_nuclear!$C$5:$C$292,0))*$E120),Keys!$C$5),Keys!$C$4)</f>
        <v>0.9</v>
      </c>
      <c r="N120">
        <f>IF($D120=1,ROUND(Keys!$C$2/(INDEX(Src_SYSHECF_nuclear!$L$5:$L$292,MATCH($C120,Src_SYSHECF_nuclear!$C$5:$C$292,0))*$E120),Keys!$C$5),Keys!$C$4)</f>
        <v>0.9</v>
      </c>
      <c r="O120">
        <f>IF($D120=1,ROUND(Keys!$C$2/(INDEX(Src_SYSHECF_nuclear!$M$5:$M$292,MATCH($C120,Src_SYSHECF_nuclear!$C$5:$C$292,0))*$E120),Keys!$C$5),Keys!$C$4)</f>
        <v>0.9</v>
      </c>
      <c r="P120">
        <f>IF($D120=1,ROUND(Keys!$C$2/(INDEX(Src_SYSHECF_nuclear!$N$5:$N$292,MATCH($C120,Src_SYSHECF_nuclear!$C$5:$C$292,0))*$E120),Keys!$C$5),Keys!$C$4)</f>
        <v>0.9</v>
      </c>
      <c r="Q120">
        <f>IF($D120=1,ROUND(Keys!$C$2/(INDEX(Src_SYSHECF_nuclear!$O$5:$O$292,MATCH($C120,Src_SYSHECF_nuclear!$C$5:$C$292,0))*$E120),Keys!$C$5),Keys!$C$4)</f>
        <v>0.9</v>
      </c>
      <c r="R120">
        <f>IF($D120=1,ROUND(Keys!$C$2/(INDEX(Src_SYSHECF_nuclear!$P$5:$P$292,MATCH($C120,Src_SYSHECF_nuclear!$C$5:$C$292,0))*$E120),Keys!$C$5),Keys!$C$4)</f>
        <v>0.9</v>
      </c>
      <c r="S120">
        <f>IF($D120=1,ROUND(Keys!$C$2/(INDEX(Src_SYSHECF_nuclear!$Q$5:$Q$292,MATCH($C120,Src_SYSHECF_nuclear!$C$5:$C$292,0))*$E120),Keys!$C$5),Keys!$C$4)</f>
        <v>0.9</v>
      </c>
      <c r="T120">
        <f>IF($D120=1,ROUND(Keys!$C$2/(INDEX(Src_SYSHECF_nuclear!$R$5:$R$292,MATCH($C120,Src_SYSHECF_nuclear!$C$5:$C$292,0))*$E120),Keys!$C$5),Keys!$C$4)</f>
        <v>0.9</v>
      </c>
      <c r="U120">
        <f>IF($D120=1,ROUND(Keys!$C$2/(INDEX(Src_SYSHECF_nuclear!$S$5:$S$292,MATCH($C120,Src_SYSHECF_nuclear!$C$5:$C$292,0))*$E120),Keys!$C$5),Keys!$C$4)</f>
        <v>0.9</v>
      </c>
      <c r="V120">
        <f>IF($D120=1,ROUND(Keys!$C$2/(INDEX(Src_SYSHECF_nuclear!$T$5:$T$292,MATCH($C120,Src_SYSHECF_nuclear!$C$5:$C$292,0))*$E120),Keys!$C$5),Keys!$C$4)</f>
        <v>0.9</v>
      </c>
      <c r="W120">
        <f>IF($D120=1,ROUND(Keys!$C$2/(INDEX(Src_SYSHECF_nuclear!$U$5:$U$292,MATCH($C120,Src_SYSHECF_nuclear!$C$5:$C$292,0))*$E120),Keys!$C$5),Keys!$C$4)</f>
        <v>0.9</v>
      </c>
      <c r="X120">
        <f>IF($D120=1,ROUND(Keys!$C$2/(INDEX(Src_SYSHECF_nuclear!$V$5:$V$292,MATCH($C120,Src_SYSHECF_nuclear!$C$5:$C$292,0))*$E120),Keys!$C$5),Keys!$C$4)</f>
        <v>0.9</v>
      </c>
      <c r="Y120">
        <f>IF($D120=1,ROUND(Keys!$C$2/(INDEX(Src_SYSHECF_nuclear!$W$5:$W$292,MATCH($C120,Src_SYSHECF_nuclear!$C$5:$C$292,0))*$E120),Keys!$C$5),Keys!$C$4)</f>
        <v>0.9</v>
      </c>
      <c r="Z120">
        <f>IF($D120=1,ROUND(Keys!$C$2/(INDEX(Src_SYSHECF_nuclear!$X$5:$X$292,MATCH($C120,Src_SYSHECF_nuclear!$C$5:$C$292,0))*$E120),Keys!$C$5),Keys!$C$4)</f>
        <v>0.9</v>
      </c>
      <c r="AA120">
        <f>IF($D120=1,ROUND(Keys!$C$2/(INDEX(Src_SYSHECF_nuclear!$Y$5:$Y$292,MATCH($C120,Src_SYSHECF_nuclear!$C$5:$C$292,0))*$E120),Keys!$C$5),Keys!$C$4)</f>
        <v>0.9</v>
      </c>
      <c r="AB120">
        <f>IF($D120=1,ROUND(Keys!$C$2/(INDEX(Src_SYSHECF_nuclear!$Z$5:$Z$292,MATCH($C120,Src_SYSHECF_nuclear!$C$5:$C$292,0))*$E120),Keys!$C$5),Keys!$C$4)</f>
        <v>0.9</v>
      </c>
      <c r="AC120">
        <f>IF($D120=1,ROUND(Keys!$C$2/(INDEX(Src_SYSHECF_nuclear!$AA$5:$AA$292,MATCH($C120,Src_SYSHECF_nuclear!$C$5:$C$292,0))*$E120),Keys!$C$5),Keys!$C$4)</f>
        <v>0.9</v>
      </c>
      <c r="AE120">
        <f>IF($D120=1,IF(ABS(INDEX(Src_SYSHECF_nuclear!$D$5:$D$292,MATCH($C120,Src_SYSHECF_nuclear!$C$5:$C$292,0))*$E120*F120-Keys!$C$2)&gt;Keys!$C$6,1,0),0)</f>
        <v>0</v>
      </c>
    </row>
    <row r="121" spans="1:31" x14ac:dyDescent="0.45">
      <c r="A121" t="s">
        <v>31</v>
      </c>
      <c r="B121" t="s">
        <v>429</v>
      </c>
      <c r="C121" t="str">
        <f t="shared" si="2"/>
        <v>ID|Winter Peak</v>
      </c>
      <c r="D121">
        <f>INDEX(Src_BHRaSYC_nuclear!$HF$5:$HF$52,MATCH($A121,Src_BHRaSYC_nuclear!$A$5:$A$52,0))</f>
        <v>0</v>
      </c>
      <c r="E121">
        <f>INDEX(Src_HYECFCA_nuclear!$B$5:$B$52,MATCH($A121,Src_HYECFCA_nuclear!$A$5:$A$52,0))</f>
        <v>1</v>
      </c>
      <c r="F121">
        <f>IF($D121=1,ROUND(Keys!$C$2/(INDEX(Src_SYSHECF_nuclear!$D$5:$D$292,MATCH($C121,Src_SYSHECF_nuclear!$C$5:$C$292,0))*$E121),Keys!$C$5),Keys!$C$4)</f>
        <v>0.9</v>
      </c>
      <c r="G121">
        <f>IF($D121=1,ROUND(Keys!$C$2/(INDEX(Src_SYSHECF_nuclear!$E$5:$E$292,MATCH($C121,Src_SYSHECF_nuclear!$C$5:$C$292,0))*$E121),Keys!$C$5),Keys!$C$4)</f>
        <v>0.9</v>
      </c>
      <c r="H121">
        <f>IF($D121=1,ROUND(Keys!$C$2/(INDEX(Src_SYSHECF_nuclear!$F$5:$F$292,MATCH($C121,Src_SYSHECF_nuclear!$C$5:$C$292,0))*$E121),Keys!$C$5),Keys!$C$4)</f>
        <v>0.9</v>
      </c>
      <c r="I121">
        <f>IF($D121=1,ROUND(Keys!$C$2/(INDEX(Src_SYSHECF_nuclear!$G$5:$G$292,MATCH($C121,Src_SYSHECF_nuclear!$C$5:$C$292,0))*$E121),Keys!$C$5),Keys!$C$4)</f>
        <v>0.9</v>
      </c>
      <c r="J121">
        <f>IF($D121=1,ROUND(Keys!$C$2/(INDEX(Src_SYSHECF_nuclear!$H$5:$H$292,MATCH($C121,Src_SYSHECF_nuclear!$C$5:$C$292,0))*$E121),Keys!$C$5),Keys!$C$4)</f>
        <v>0.9</v>
      </c>
      <c r="K121">
        <f>IF($D121=1,ROUND(Keys!$C$2/(INDEX(Src_SYSHECF_nuclear!$I$5:$I$292,MATCH($C121,Src_SYSHECF_nuclear!$C$5:$C$292,0))*$E121),Keys!$C$5),Keys!$C$4)</f>
        <v>0.9</v>
      </c>
      <c r="L121">
        <f>IF($D121=1,ROUND(Keys!$C$2/(INDEX(Src_SYSHECF_nuclear!$J$5:$J$292,MATCH($C121,Src_SYSHECF_nuclear!$C$5:$C$292,0))*$E121),Keys!$C$5),Keys!$C$4)</f>
        <v>0.9</v>
      </c>
      <c r="M121">
        <f>IF($D121=1,ROUND(Keys!$C$2/(INDEX(Src_SYSHECF_nuclear!$K$5:$K$292,MATCH($C121,Src_SYSHECF_nuclear!$C$5:$C$292,0))*$E121),Keys!$C$5),Keys!$C$4)</f>
        <v>0.9</v>
      </c>
      <c r="N121">
        <f>IF($D121=1,ROUND(Keys!$C$2/(INDEX(Src_SYSHECF_nuclear!$L$5:$L$292,MATCH($C121,Src_SYSHECF_nuclear!$C$5:$C$292,0))*$E121),Keys!$C$5),Keys!$C$4)</f>
        <v>0.9</v>
      </c>
      <c r="O121">
        <f>IF($D121=1,ROUND(Keys!$C$2/(INDEX(Src_SYSHECF_nuclear!$M$5:$M$292,MATCH($C121,Src_SYSHECF_nuclear!$C$5:$C$292,0))*$E121),Keys!$C$5),Keys!$C$4)</f>
        <v>0.9</v>
      </c>
      <c r="P121">
        <f>IF($D121=1,ROUND(Keys!$C$2/(INDEX(Src_SYSHECF_nuclear!$N$5:$N$292,MATCH($C121,Src_SYSHECF_nuclear!$C$5:$C$292,0))*$E121),Keys!$C$5),Keys!$C$4)</f>
        <v>0.9</v>
      </c>
      <c r="Q121">
        <f>IF($D121=1,ROUND(Keys!$C$2/(INDEX(Src_SYSHECF_nuclear!$O$5:$O$292,MATCH($C121,Src_SYSHECF_nuclear!$C$5:$C$292,0))*$E121),Keys!$C$5),Keys!$C$4)</f>
        <v>0.9</v>
      </c>
      <c r="R121">
        <f>IF($D121=1,ROUND(Keys!$C$2/(INDEX(Src_SYSHECF_nuclear!$P$5:$P$292,MATCH($C121,Src_SYSHECF_nuclear!$C$5:$C$292,0))*$E121),Keys!$C$5),Keys!$C$4)</f>
        <v>0.9</v>
      </c>
      <c r="S121">
        <f>IF($D121=1,ROUND(Keys!$C$2/(INDEX(Src_SYSHECF_nuclear!$Q$5:$Q$292,MATCH($C121,Src_SYSHECF_nuclear!$C$5:$C$292,0))*$E121),Keys!$C$5),Keys!$C$4)</f>
        <v>0.9</v>
      </c>
      <c r="T121">
        <f>IF($D121=1,ROUND(Keys!$C$2/(INDEX(Src_SYSHECF_nuclear!$R$5:$R$292,MATCH($C121,Src_SYSHECF_nuclear!$C$5:$C$292,0))*$E121),Keys!$C$5),Keys!$C$4)</f>
        <v>0.9</v>
      </c>
      <c r="U121">
        <f>IF($D121=1,ROUND(Keys!$C$2/(INDEX(Src_SYSHECF_nuclear!$S$5:$S$292,MATCH($C121,Src_SYSHECF_nuclear!$C$5:$C$292,0))*$E121),Keys!$C$5),Keys!$C$4)</f>
        <v>0.9</v>
      </c>
      <c r="V121">
        <f>IF($D121=1,ROUND(Keys!$C$2/(INDEX(Src_SYSHECF_nuclear!$T$5:$T$292,MATCH($C121,Src_SYSHECF_nuclear!$C$5:$C$292,0))*$E121),Keys!$C$5),Keys!$C$4)</f>
        <v>0.9</v>
      </c>
      <c r="W121">
        <f>IF($D121=1,ROUND(Keys!$C$2/(INDEX(Src_SYSHECF_nuclear!$U$5:$U$292,MATCH($C121,Src_SYSHECF_nuclear!$C$5:$C$292,0))*$E121),Keys!$C$5),Keys!$C$4)</f>
        <v>0.9</v>
      </c>
      <c r="X121">
        <f>IF($D121=1,ROUND(Keys!$C$2/(INDEX(Src_SYSHECF_nuclear!$V$5:$V$292,MATCH($C121,Src_SYSHECF_nuclear!$C$5:$C$292,0))*$E121),Keys!$C$5),Keys!$C$4)</f>
        <v>0.9</v>
      </c>
      <c r="Y121">
        <f>IF($D121=1,ROUND(Keys!$C$2/(INDEX(Src_SYSHECF_nuclear!$W$5:$W$292,MATCH($C121,Src_SYSHECF_nuclear!$C$5:$C$292,0))*$E121),Keys!$C$5),Keys!$C$4)</f>
        <v>0.9</v>
      </c>
      <c r="Z121">
        <f>IF($D121=1,ROUND(Keys!$C$2/(INDEX(Src_SYSHECF_nuclear!$X$5:$X$292,MATCH($C121,Src_SYSHECF_nuclear!$C$5:$C$292,0))*$E121),Keys!$C$5),Keys!$C$4)</f>
        <v>0.9</v>
      </c>
      <c r="AA121">
        <f>IF($D121=1,ROUND(Keys!$C$2/(INDEX(Src_SYSHECF_nuclear!$Y$5:$Y$292,MATCH($C121,Src_SYSHECF_nuclear!$C$5:$C$292,0))*$E121),Keys!$C$5),Keys!$C$4)</f>
        <v>0.9</v>
      </c>
      <c r="AB121">
        <f>IF($D121=1,ROUND(Keys!$C$2/(INDEX(Src_SYSHECF_nuclear!$Z$5:$Z$292,MATCH($C121,Src_SYSHECF_nuclear!$C$5:$C$292,0))*$E121),Keys!$C$5),Keys!$C$4)</f>
        <v>0.9</v>
      </c>
      <c r="AC121">
        <f>IF($D121=1,ROUND(Keys!$C$2/(INDEX(Src_SYSHECF_nuclear!$AA$5:$AA$292,MATCH($C121,Src_SYSHECF_nuclear!$C$5:$C$292,0))*$E121),Keys!$C$5),Keys!$C$4)</f>
        <v>0.9</v>
      </c>
      <c r="AE121">
        <f>IF($D121=1,IF(ABS(INDEX(Src_SYSHECF_nuclear!$D$5:$D$292,MATCH($C121,Src_SYSHECF_nuclear!$C$5:$C$292,0))*$E121*F121-Keys!$C$2)&gt;Keys!$C$6,1,0),0)</f>
        <v>0</v>
      </c>
    </row>
    <row r="122" spans="1:31" x14ac:dyDescent="0.45">
      <c r="A122" t="s">
        <v>34</v>
      </c>
      <c r="B122" t="s">
        <v>424</v>
      </c>
      <c r="C122" t="str">
        <f t="shared" si="2"/>
        <v>IL|Winter</v>
      </c>
      <c r="D122">
        <f>INDEX(Src_BHRaSYC_nuclear!$HF$5:$HF$52,MATCH($A122,Src_BHRaSYC_nuclear!$A$5:$A$52,0))</f>
        <v>1</v>
      </c>
      <c r="E122">
        <f>INDEX(Src_HYECFCA_nuclear!$B$5:$B$52,MATCH($A122,Src_HYECFCA_nuclear!$A$5:$A$52,0))</f>
        <v>0.99198900000000001</v>
      </c>
      <c r="F122">
        <f>IF($D122=1,ROUND(Keys!$C$2/(INDEX(Src_SYSHECF_nuclear!$D$5:$D$292,MATCH($C122,Src_SYSHECF_nuclear!$C$5:$C$292,0))*$E122),Keys!$C$5),Keys!$C$4)</f>
        <v>1.0136000000000001</v>
      </c>
      <c r="G122">
        <f>IF($D122=1,ROUND(Keys!$C$2/(INDEX(Src_SYSHECF_nuclear!$E$5:$E$292,MATCH($C122,Src_SYSHECF_nuclear!$C$5:$C$292,0))*$E122),Keys!$C$5),Keys!$C$4)</f>
        <v>1.0158</v>
      </c>
      <c r="H122">
        <f>IF($D122=1,ROUND(Keys!$C$2/(INDEX(Src_SYSHECF_nuclear!$F$5:$F$292,MATCH($C122,Src_SYSHECF_nuclear!$C$5:$C$292,0))*$E122),Keys!$C$5),Keys!$C$4)</f>
        <v>1.0175000000000001</v>
      </c>
      <c r="I122">
        <f>IF($D122=1,ROUND(Keys!$C$2/(INDEX(Src_SYSHECF_nuclear!$G$5:$G$292,MATCH($C122,Src_SYSHECF_nuclear!$C$5:$C$292,0))*$E122),Keys!$C$5),Keys!$C$4)</f>
        <v>1.0158</v>
      </c>
      <c r="J122">
        <f>IF($D122=1,ROUND(Keys!$C$2/(INDEX(Src_SYSHECF_nuclear!$H$5:$H$292,MATCH($C122,Src_SYSHECF_nuclear!$C$5:$C$292,0))*$E122),Keys!$C$5),Keys!$C$4)</f>
        <v>1.0156000000000001</v>
      </c>
      <c r="K122">
        <f>IF($D122=1,ROUND(Keys!$C$2/(INDEX(Src_SYSHECF_nuclear!$I$5:$I$292,MATCH($C122,Src_SYSHECF_nuclear!$C$5:$C$292,0))*$E122),Keys!$C$5),Keys!$C$4)</f>
        <v>1.0184</v>
      </c>
      <c r="L122">
        <f>IF($D122=1,ROUND(Keys!$C$2/(INDEX(Src_SYSHECF_nuclear!$J$5:$J$292,MATCH($C122,Src_SYSHECF_nuclear!$C$5:$C$292,0))*$E122),Keys!$C$5),Keys!$C$4)</f>
        <v>1.0177</v>
      </c>
      <c r="M122">
        <f>IF($D122=1,ROUND(Keys!$C$2/(INDEX(Src_SYSHECF_nuclear!$K$5:$K$292,MATCH($C122,Src_SYSHECF_nuclear!$C$5:$C$292,0))*$E122),Keys!$C$5),Keys!$C$4)</f>
        <v>1.0145999999999999</v>
      </c>
      <c r="N122">
        <f>IF($D122=1,ROUND(Keys!$C$2/(INDEX(Src_SYSHECF_nuclear!$L$5:$L$292,MATCH($C122,Src_SYSHECF_nuclear!$C$5:$C$292,0))*$E122),Keys!$C$5),Keys!$C$4)</f>
        <v>1.0159</v>
      </c>
      <c r="O122">
        <f>IF($D122=1,ROUND(Keys!$C$2/(INDEX(Src_SYSHECF_nuclear!$M$5:$M$292,MATCH($C122,Src_SYSHECF_nuclear!$C$5:$C$292,0))*$E122),Keys!$C$5),Keys!$C$4)</f>
        <v>1.0147999999999999</v>
      </c>
      <c r="P122">
        <f>IF($D122=1,ROUND(Keys!$C$2/(INDEX(Src_SYSHECF_nuclear!$N$5:$N$292,MATCH($C122,Src_SYSHECF_nuclear!$C$5:$C$292,0))*$E122),Keys!$C$5),Keys!$C$4)</f>
        <v>1.0135000000000001</v>
      </c>
      <c r="Q122">
        <f>IF($D122=1,ROUND(Keys!$C$2/(INDEX(Src_SYSHECF_nuclear!$O$5:$O$292,MATCH($C122,Src_SYSHECF_nuclear!$C$5:$C$292,0))*$E122),Keys!$C$5),Keys!$C$4)</f>
        <v>1.0135000000000001</v>
      </c>
      <c r="R122">
        <f>IF($D122=1,ROUND(Keys!$C$2/(INDEX(Src_SYSHECF_nuclear!$P$5:$P$292,MATCH($C122,Src_SYSHECF_nuclear!$C$5:$C$292,0))*$E122),Keys!$C$5),Keys!$C$4)</f>
        <v>1.0135000000000001</v>
      </c>
      <c r="S122">
        <f>IF($D122=1,ROUND(Keys!$C$2/(INDEX(Src_SYSHECF_nuclear!$Q$5:$Q$292,MATCH($C122,Src_SYSHECF_nuclear!$C$5:$C$292,0))*$E122),Keys!$C$5),Keys!$C$4)</f>
        <v>1.014</v>
      </c>
      <c r="T122">
        <f>IF($D122=1,ROUND(Keys!$C$2/(INDEX(Src_SYSHECF_nuclear!$R$5:$R$292,MATCH($C122,Src_SYSHECF_nuclear!$C$5:$C$292,0))*$E122),Keys!$C$5),Keys!$C$4)</f>
        <v>1.0141</v>
      </c>
      <c r="U122">
        <f>IF($D122=1,ROUND(Keys!$C$2/(INDEX(Src_SYSHECF_nuclear!$S$5:$S$292,MATCH($C122,Src_SYSHECF_nuclear!$C$5:$C$292,0))*$E122),Keys!$C$5),Keys!$C$4)</f>
        <v>1.0135000000000001</v>
      </c>
      <c r="V122">
        <f>IF($D122=1,ROUND(Keys!$C$2/(INDEX(Src_SYSHECF_nuclear!$T$5:$T$292,MATCH($C122,Src_SYSHECF_nuclear!$C$5:$C$292,0))*$E122),Keys!$C$5),Keys!$C$4)</f>
        <v>1.0135000000000001</v>
      </c>
      <c r="W122">
        <f>IF($D122=1,ROUND(Keys!$C$2/(INDEX(Src_SYSHECF_nuclear!$U$5:$U$292,MATCH($C122,Src_SYSHECF_nuclear!$C$5:$C$292,0))*$E122),Keys!$C$5),Keys!$C$4)</f>
        <v>1.0135000000000001</v>
      </c>
      <c r="X122">
        <f>IF($D122=1,ROUND(Keys!$C$2/(INDEX(Src_SYSHECF_nuclear!$V$5:$V$292,MATCH($C122,Src_SYSHECF_nuclear!$C$5:$C$292,0))*$E122),Keys!$C$5),Keys!$C$4)</f>
        <v>1.0135000000000001</v>
      </c>
      <c r="Y122">
        <f>IF($D122=1,ROUND(Keys!$C$2/(INDEX(Src_SYSHECF_nuclear!$W$5:$W$292,MATCH($C122,Src_SYSHECF_nuclear!$C$5:$C$292,0))*$E122),Keys!$C$5),Keys!$C$4)</f>
        <v>1.0135000000000001</v>
      </c>
      <c r="Z122">
        <f>IF($D122=1,ROUND(Keys!$C$2/(INDEX(Src_SYSHECF_nuclear!$X$5:$X$292,MATCH($C122,Src_SYSHECF_nuclear!$C$5:$C$292,0))*$E122),Keys!$C$5),Keys!$C$4)</f>
        <v>1.0135000000000001</v>
      </c>
      <c r="AA122">
        <f>IF($D122=1,ROUND(Keys!$C$2/(INDEX(Src_SYSHECF_nuclear!$Y$5:$Y$292,MATCH($C122,Src_SYSHECF_nuclear!$C$5:$C$292,0))*$E122),Keys!$C$5),Keys!$C$4)</f>
        <v>1.0135000000000001</v>
      </c>
      <c r="AB122">
        <f>IF($D122=1,ROUND(Keys!$C$2/(INDEX(Src_SYSHECF_nuclear!$Z$5:$Z$292,MATCH($C122,Src_SYSHECF_nuclear!$C$5:$C$292,0))*$E122),Keys!$C$5),Keys!$C$4)</f>
        <v>1.0135000000000001</v>
      </c>
      <c r="AC122">
        <f>IF($D122=1,ROUND(Keys!$C$2/(INDEX(Src_SYSHECF_nuclear!$AA$5:$AA$292,MATCH($C122,Src_SYSHECF_nuclear!$C$5:$C$292,0))*$E122),Keys!$C$5),Keys!$C$4)</f>
        <v>1.0135000000000001</v>
      </c>
      <c r="AE122">
        <f>IF($D122=1,IF(ABS(INDEX(Src_SYSHECF_nuclear!$D$5:$D$292,MATCH($C122,Src_SYSHECF_nuclear!$C$5:$C$292,0))*$E122*F122-Keys!$C$2)&gt;Keys!$C$6,1,0),0)</f>
        <v>0</v>
      </c>
    </row>
    <row r="123" spans="1:31" x14ac:dyDescent="0.45">
      <c r="A123" t="s">
        <v>34</v>
      </c>
      <c r="B123" t="s">
        <v>425</v>
      </c>
      <c r="C123" t="str">
        <f t="shared" si="2"/>
        <v>IL|Spring</v>
      </c>
      <c r="D123">
        <f>INDEX(Src_BHRaSYC_nuclear!$HF$5:$HF$52,MATCH($A123,Src_BHRaSYC_nuclear!$A$5:$A$52,0))</f>
        <v>1</v>
      </c>
      <c r="E123">
        <f>INDEX(Src_HYECFCA_nuclear!$B$5:$B$52,MATCH($A123,Src_HYECFCA_nuclear!$A$5:$A$52,0))</f>
        <v>0.99198900000000001</v>
      </c>
      <c r="F123">
        <f>IF($D123=1,ROUND(Keys!$C$2/(INDEX(Src_SYSHECF_nuclear!$D$5:$D$292,MATCH($C123,Src_SYSHECF_nuclear!$C$5:$C$292,0))*$E123),Keys!$C$5),Keys!$C$4)</f>
        <v>1.0148999999999999</v>
      </c>
      <c r="G123">
        <f>IF($D123=1,ROUND(Keys!$C$2/(INDEX(Src_SYSHECF_nuclear!$E$5:$E$292,MATCH($C123,Src_SYSHECF_nuclear!$C$5:$C$292,0))*$E123),Keys!$C$5),Keys!$C$4)</f>
        <v>1.0136000000000001</v>
      </c>
      <c r="H123">
        <f>IF($D123=1,ROUND(Keys!$C$2/(INDEX(Src_SYSHECF_nuclear!$F$5:$F$292,MATCH($C123,Src_SYSHECF_nuclear!$C$5:$C$292,0))*$E123),Keys!$C$5),Keys!$C$4)</f>
        <v>1.0139</v>
      </c>
      <c r="I123">
        <f>IF($D123=1,ROUND(Keys!$C$2/(INDEX(Src_SYSHECF_nuclear!$G$5:$G$292,MATCH($C123,Src_SYSHECF_nuclear!$C$5:$C$292,0))*$E123),Keys!$C$5),Keys!$C$4)</f>
        <v>1.0135000000000001</v>
      </c>
      <c r="J123">
        <f>IF($D123=1,ROUND(Keys!$C$2/(INDEX(Src_SYSHECF_nuclear!$H$5:$H$292,MATCH($C123,Src_SYSHECF_nuclear!$C$5:$C$292,0))*$E123),Keys!$C$5),Keys!$C$4)</f>
        <v>1.0135000000000001</v>
      </c>
      <c r="K123">
        <f>IF($D123=1,ROUND(Keys!$C$2/(INDEX(Src_SYSHECF_nuclear!$I$5:$I$292,MATCH($C123,Src_SYSHECF_nuclear!$C$5:$C$292,0))*$E123),Keys!$C$5),Keys!$C$4)</f>
        <v>1.0182</v>
      </c>
      <c r="L123">
        <f>IF($D123=1,ROUND(Keys!$C$2/(INDEX(Src_SYSHECF_nuclear!$J$5:$J$292,MATCH($C123,Src_SYSHECF_nuclear!$C$5:$C$292,0))*$E123),Keys!$C$5),Keys!$C$4)</f>
        <v>1.0153000000000001</v>
      </c>
      <c r="M123">
        <f>IF($D123=1,ROUND(Keys!$C$2/(INDEX(Src_SYSHECF_nuclear!$K$5:$K$292,MATCH($C123,Src_SYSHECF_nuclear!$C$5:$C$292,0))*$E123),Keys!$C$5),Keys!$C$4)</f>
        <v>1.0135000000000001</v>
      </c>
      <c r="N123">
        <f>IF($D123=1,ROUND(Keys!$C$2/(INDEX(Src_SYSHECF_nuclear!$L$5:$L$292,MATCH($C123,Src_SYSHECF_nuclear!$C$5:$C$292,0))*$E123),Keys!$C$5),Keys!$C$4)</f>
        <v>1.0135000000000001</v>
      </c>
      <c r="O123">
        <f>IF($D123=1,ROUND(Keys!$C$2/(INDEX(Src_SYSHECF_nuclear!$M$5:$M$292,MATCH($C123,Src_SYSHECF_nuclear!$C$5:$C$292,0))*$E123),Keys!$C$5),Keys!$C$4)</f>
        <v>1.0135000000000001</v>
      </c>
      <c r="P123">
        <f>IF($D123=1,ROUND(Keys!$C$2/(INDEX(Src_SYSHECF_nuclear!$N$5:$N$292,MATCH($C123,Src_SYSHECF_nuclear!$C$5:$C$292,0))*$E123),Keys!$C$5),Keys!$C$4)</f>
        <v>1.0135000000000001</v>
      </c>
      <c r="Q123">
        <f>IF($D123=1,ROUND(Keys!$C$2/(INDEX(Src_SYSHECF_nuclear!$O$5:$O$292,MATCH($C123,Src_SYSHECF_nuclear!$C$5:$C$292,0))*$E123),Keys!$C$5),Keys!$C$4)</f>
        <v>1.0135000000000001</v>
      </c>
      <c r="R123">
        <f>IF($D123=1,ROUND(Keys!$C$2/(INDEX(Src_SYSHECF_nuclear!$P$5:$P$292,MATCH($C123,Src_SYSHECF_nuclear!$C$5:$C$292,0))*$E123),Keys!$C$5),Keys!$C$4)</f>
        <v>1.0135000000000001</v>
      </c>
      <c r="S123">
        <f>IF($D123=1,ROUND(Keys!$C$2/(INDEX(Src_SYSHECF_nuclear!$Q$5:$Q$292,MATCH($C123,Src_SYSHECF_nuclear!$C$5:$C$292,0))*$E123),Keys!$C$5),Keys!$C$4)</f>
        <v>1.0135000000000001</v>
      </c>
      <c r="T123">
        <f>IF($D123=1,ROUND(Keys!$C$2/(INDEX(Src_SYSHECF_nuclear!$R$5:$R$292,MATCH($C123,Src_SYSHECF_nuclear!$C$5:$C$292,0))*$E123),Keys!$C$5),Keys!$C$4)</f>
        <v>1.0135000000000001</v>
      </c>
      <c r="U123">
        <f>IF($D123=1,ROUND(Keys!$C$2/(INDEX(Src_SYSHECF_nuclear!$S$5:$S$292,MATCH($C123,Src_SYSHECF_nuclear!$C$5:$C$292,0))*$E123),Keys!$C$5),Keys!$C$4)</f>
        <v>1.0135000000000001</v>
      </c>
      <c r="V123">
        <f>IF($D123=1,ROUND(Keys!$C$2/(INDEX(Src_SYSHECF_nuclear!$T$5:$T$292,MATCH($C123,Src_SYSHECF_nuclear!$C$5:$C$292,0))*$E123),Keys!$C$5),Keys!$C$4)</f>
        <v>1.0135000000000001</v>
      </c>
      <c r="W123">
        <f>IF($D123=1,ROUND(Keys!$C$2/(INDEX(Src_SYSHECF_nuclear!$U$5:$U$292,MATCH($C123,Src_SYSHECF_nuclear!$C$5:$C$292,0))*$E123),Keys!$C$5),Keys!$C$4)</f>
        <v>1.0135000000000001</v>
      </c>
      <c r="X123">
        <f>IF($D123=1,ROUND(Keys!$C$2/(INDEX(Src_SYSHECF_nuclear!$V$5:$V$292,MATCH($C123,Src_SYSHECF_nuclear!$C$5:$C$292,0))*$E123),Keys!$C$5),Keys!$C$4)</f>
        <v>1.0135000000000001</v>
      </c>
      <c r="Y123">
        <f>IF($D123=1,ROUND(Keys!$C$2/(INDEX(Src_SYSHECF_nuclear!$W$5:$W$292,MATCH($C123,Src_SYSHECF_nuclear!$C$5:$C$292,0))*$E123),Keys!$C$5),Keys!$C$4)</f>
        <v>1.0135000000000001</v>
      </c>
      <c r="Z123">
        <f>IF($D123=1,ROUND(Keys!$C$2/(INDEX(Src_SYSHECF_nuclear!$X$5:$X$292,MATCH($C123,Src_SYSHECF_nuclear!$C$5:$C$292,0))*$E123),Keys!$C$5),Keys!$C$4)</f>
        <v>1.0135000000000001</v>
      </c>
      <c r="AA123">
        <f>IF($D123=1,ROUND(Keys!$C$2/(INDEX(Src_SYSHECF_nuclear!$Y$5:$Y$292,MATCH($C123,Src_SYSHECF_nuclear!$C$5:$C$292,0))*$E123),Keys!$C$5),Keys!$C$4)</f>
        <v>1.0135000000000001</v>
      </c>
      <c r="AB123">
        <f>IF($D123=1,ROUND(Keys!$C$2/(INDEX(Src_SYSHECF_nuclear!$Z$5:$Z$292,MATCH($C123,Src_SYSHECF_nuclear!$C$5:$C$292,0))*$E123),Keys!$C$5),Keys!$C$4)</f>
        <v>1.0135000000000001</v>
      </c>
      <c r="AC123">
        <f>IF($D123=1,ROUND(Keys!$C$2/(INDEX(Src_SYSHECF_nuclear!$AA$5:$AA$292,MATCH($C123,Src_SYSHECF_nuclear!$C$5:$C$292,0))*$E123),Keys!$C$5),Keys!$C$4)</f>
        <v>1.0135000000000001</v>
      </c>
      <c r="AE123">
        <f>IF($D123=1,IF(ABS(INDEX(Src_SYSHECF_nuclear!$D$5:$D$292,MATCH($C123,Src_SYSHECF_nuclear!$C$5:$C$292,0))*$E123*F123-Keys!$C$2)&gt;Keys!$C$6,1,0),0)</f>
        <v>0</v>
      </c>
    </row>
    <row r="124" spans="1:31" x14ac:dyDescent="0.45">
      <c r="A124" t="s">
        <v>34</v>
      </c>
      <c r="B124" t="s">
        <v>426</v>
      </c>
      <c r="C124" t="str">
        <f t="shared" si="2"/>
        <v>IL|Summer</v>
      </c>
      <c r="D124">
        <f>INDEX(Src_BHRaSYC_nuclear!$HF$5:$HF$52,MATCH($A124,Src_BHRaSYC_nuclear!$A$5:$A$52,0))</f>
        <v>1</v>
      </c>
      <c r="E124">
        <f>INDEX(Src_HYECFCA_nuclear!$B$5:$B$52,MATCH($A124,Src_HYECFCA_nuclear!$A$5:$A$52,0))</f>
        <v>0.99198900000000001</v>
      </c>
      <c r="F124">
        <f>IF($D124=1,ROUND(Keys!$C$2/(INDEX(Src_SYSHECF_nuclear!$D$5:$D$292,MATCH($C124,Src_SYSHECF_nuclear!$C$5:$C$292,0))*$E124),Keys!$C$5),Keys!$C$4)</f>
        <v>1.0136000000000001</v>
      </c>
      <c r="G124">
        <f>IF($D124=1,ROUND(Keys!$C$2/(INDEX(Src_SYSHECF_nuclear!$E$5:$E$292,MATCH($C124,Src_SYSHECF_nuclear!$C$5:$C$292,0))*$E124),Keys!$C$5),Keys!$C$4)</f>
        <v>1.0152000000000001</v>
      </c>
      <c r="H124">
        <f>IF($D124=1,ROUND(Keys!$C$2/(INDEX(Src_SYSHECF_nuclear!$F$5:$F$292,MATCH($C124,Src_SYSHECF_nuclear!$C$5:$C$292,0))*$E124),Keys!$C$5),Keys!$C$4)</f>
        <v>1.018</v>
      </c>
      <c r="I124">
        <f>IF($D124=1,ROUND(Keys!$C$2/(INDEX(Src_SYSHECF_nuclear!$G$5:$G$292,MATCH($C124,Src_SYSHECF_nuclear!$C$5:$C$292,0))*$E124),Keys!$C$5),Keys!$C$4)</f>
        <v>1.0145999999999999</v>
      </c>
      <c r="J124">
        <f>IF($D124=1,ROUND(Keys!$C$2/(INDEX(Src_SYSHECF_nuclear!$H$5:$H$292,MATCH($C124,Src_SYSHECF_nuclear!$C$5:$C$292,0))*$E124),Keys!$C$5),Keys!$C$4)</f>
        <v>1.0145999999999999</v>
      </c>
      <c r="K124">
        <f>IF($D124=1,ROUND(Keys!$C$2/(INDEX(Src_SYSHECF_nuclear!$I$5:$I$292,MATCH($C124,Src_SYSHECF_nuclear!$C$5:$C$292,0))*$E124),Keys!$C$5),Keys!$C$4)</f>
        <v>1.022</v>
      </c>
      <c r="L124">
        <f>IF($D124=1,ROUND(Keys!$C$2/(INDEX(Src_SYSHECF_nuclear!$J$5:$J$292,MATCH($C124,Src_SYSHECF_nuclear!$C$5:$C$292,0))*$E124),Keys!$C$5),Keys!$C$4)</f>
        <v>1.0154000000000001</v>
      </c>
      <c r="M124">
        <f>IF($D124=1,ROUND(Keys!$C$2/(INDEX(Src_SYSHECF_nuclear!$K$5:$K$292,MATCH($C124,Src_SYSHECF_nuclear!$C$5:$C$292,0))*$E124),Keys!$C$5),Keys!$C$4)</f>
        <v>1.0136000000000001</v>
      </c>
      <c r="N124">
        <f>IF($D124=1,ROUND(Keys!$C$2/(INDEX(Src_SYSHECF_nuclear!$L$5:$L$292,MATCH($C124,Src_SYSHECF_nuclear!$C$5:$C$292,0))*$E124),Keys!$C$5),Keys!$C$4)</f>
        <v>1.0135000000000001</v>
      </c>
      <c r="O124">
        <f>IF($D124=1,ROUND(Keys!$C$2/(INDEX(Src_SYSHECF_nuclear!$M$5:$M$292,MATCH($C124,Src_SYSHECF_nuclear!$C$5:$C$292,0))*$E124),Keys!$C$5),Keys!$C$4)</f>
        <v>1.0135000000000001</v>
      </c>
      <c r="P124">
        <f>IF($D124=1,ROUND(Keys!$C$2/(INDEX(Src_SYSHECF_nuclear!$N$5:$N$292,MATCH($C124,Src_SYSHECF_nuclear!$C$5:$C$292,0))*$E124),Keys!$C$5),Keys!$C$4)</f>
        <v>1.0135000000000001</v>
      </c>
      <c r="Q124">
        <f>IF($D124=1,ROUND(Keys!$C$2/(INDEX(Src_SYSHECF_nuclear!$O$5:$O$292,MATCH($C124,Src_SYSHECF_nuclear!$C$5:$C$292,0))*$E124),Keys!$C$5),Keys!$C$4)</f>
        <v>1.0135000000000001</v>
      </c>
      <c r="R124">
        <f>IF($D124=1,ROUND(Keys!$C$2/(INDEX(Src_SYSHECF_nuclear!$P$5:$P$292,MATCH($C124,Src_SYSHECF_nuclear!$C$5:$C$292,0))*$E124),Keys!$C$5),Keys!$C$4)</f>
        <v>1.0135000000000001</v>
      </c>
      <c r="S124">
        <f>IF($D124=1,ROUND(Keys!$C$2/(INDEX(Src_SYSHECF_nuclear!$Q$5:$Q$292,MATCH($C124,Src_SYSHECF_nuclear!$C$5:$C$292,0))*$E124),Keys!$C$5),Keys!$C$4)</f>
        <v>1.0135000000000001</v>
      </c>
      <c r="T124">
        <f>IF($D124=1,ROUND(Keys!$C$2/(INDEX(Src_SYSHECF_nuclear!$R$5:$R$292,MATCH($C124,Src_SYSHECF_nuclear!$C$5:$C$292,0))*$E124),Keys!$C$5),Keys!$C$4)</f>
        <v>1.0135000000000001</v>
      </c>
      <c r="U124">
        <f>IF($D124=1,ROUND(Keys!$C$2/(INDEX(Src_SYSHECF_nuclear!$S$5:$S$292,MATCH($C124,Src_SYSHECF_nuclear!$C$5:$C$292,0))*$E124),Keys!$C$5),Keys!$C$4)</f>
        <v>1.0135000000000001</v>
      </c>
      <c r="V124">
        <f>IF($D124=1,ROUND(Keys!$C$2/(INDEX(Src_SYSHECF_nuclear!$T$5:$T$292,MATCH($C124,Src_SYSHECF_nuclear!$C$5:$C$292,0))*$E124),Keys!$C$5),Keys!$C$4)</f>
        <v>1.0135000000000001</v>
      </c>
      <c r="W124">
        <f>IF($D124=1,ROUND(Keys!$C$2/(INDEX(Src_SYSHECF_nuclear!$U$5:$U$292,MATCH($C124,Src_SYSHECF_nuclear!$C$5:$C$292,0))*$E124),Keys!$C$5),Keys!$C$4)</f>
        <v>1.0135000000000001</v>
      </c>
      <c r="X124">
        <f>IF($D124=1,ROUND(Keys!$C$2/(INDEX(Src_SYSHECF_nuclear!$V$5:$V$292,MATCH($C124,Src_SYSHECF_nuclear!$C$5:$C$292,0))*$E124),Keys!$C$5),Keys!$C$4)</f>
        <v>1.0135000000000001</v>
      </c>
      <c r="Y124">
        <f>IF($D124=1,ROUND(Keys!$C$2/(INDEX(Src_SYSHECF_nuclear!$W$5:$W$292,MATCH($C124,Src_SYSHECF_nuclear!$C$5:$C$292,0))*$E124),Keys!$C$5),Keys!$C$4)</f>
        <v>1.0135000000000001</v>
      </c>
      <c r="Z124">
        <f>IF($D124=1,ROUND(Keys!$C$2/(INDEX(Src_SYSHECF_nuclear!$X$5:$X$292,MATCH($C124,Src_SYSHECF_nuclear!$C$5:$C$292,0))*$E124),Keys!$C$5),Keys!$C$4)</f>
        <v>1.0135000000000001</v>
      </c>
      <c r="AA124">
        <f>IF($D124=1,ROUND(Keys!$C$2/(INDEX(Src_SYSHECF_nuclear!$Y$5:$Y$292,MATCH($C124,Src_SYSHECF_nuclear!$C$5:$C$292,0))*$E124),Keys!$C$5),Keys!$C$4)</f>
        <v>1.0135000000000001</v>
      </c>
      <c r="AB124">
        <f>IF($D124=1,ROUND(Keys!$C$2/(INDEX(Src_SYSHECF_nuclear!$Z$5:$Z$292,MATCH($C124,Src_SYSHECF_nuclear!$C$5:$C$292,0))*$E124),Keys!$C$5),Keys!$C$4)</f>
        <v>1.0135000000000001</v>
      </c>
      <c r="AC124">
        <f>IF($D124=1,ROUND(Keys!$C$2/(INDEX(Src_SYSHECF_nuclear!$AA$5:$AA$292,MATCH($C124,Src_SYSHECF_nuclear!$C$5:$C$292,0))*$E124),Keys!$C$5),Keys!$C$4)</f>
        <v>1.0135000000000001</v>
      </c>
      <c r="AE124">
        <f>IF($D124=1,IF(ABS(INDEX(Src_SYSHECF_nuclear!$D$5:$D$292,MATCH($C124,Src_SYSHECF_nuclear!$C$5:$C$292,0))*$E124*F124-Keys!$C$2)&gt;Keys!$C$6,1,0),0)</f>
        <v>0</v>
      </c>
    </row>
    <row r="125" spans="1:31" x14ac:dyDescent="0.45">
      <c r="A125" t="s">
        <v>34</v>
      </c>
      <c r="B125" t="s">
        <v>427</v>
      </c>
      <c r="C125" t="str">
        <f t="shared" si="2"/>
        <v>IL|Fall</v>
      </c>
      <c r="D125">
        <f>INDEX(Src_BHRaSYC_nuclear!$HF$5:$HF$52,MATCH($A125,Src_BHRaSYC_nuclear!$A$5:$A$52,0))</f>
        <v>1</v>
      </c>
      <c r="E125">
        <f>INDEX(Src_HYECFCA_nuclear!$B$5:$B$52,MATCH($A125,Src_HYECFCA_nuclear!$A$5:$A$52,0))</f>
        <v>0.99198900000000001</v>
      </c>
      <c r="F125">
        <f>IF($D125=1,ROUND(Keys!$C$2/(INDEX(Src_SYSHECF_nuclear!$D$5:$D$292,MATCH($C125,Src_SYSHECF_nuclear!$C$5:$C$292,0))*$E125),Keys!$C$5),Keys!$C$4)</f>
        <v>1.0135000000000001</v>
      </c>
      <c r="G125">
        <f>IF($D125=1,ROUND(Keys!$C$2/(INDEX(Src_SYSHECF_nuclear!$E$5:$E$292,MATCH($C125,Src_SYSHECF_nuclear!$C$5:$C$292,0))*$E125),Keys!$C$5),Keys!$C$4)</f>
        <v>1.0135000000000001</v>
      </c>
      <c r="H125">
        <f>IF($D125=1,ROUND(Keys!$C$2/(INDEX(Src_SYSHECF_nuclear!$F$5:$F$292,MATCH($C125,Src_SYSHECF_nuclear!$C$5:$C$292,0))*$E125),Keys!$C$5),Keys!$C$4)</f>
        <v>1.0135000000000001</v>
      </c>
      <c r="I125">
        <f>IF($D125=1,ROUND(Keys!$C$2/(INDEX(Src_SYSHECF_nuclear!$G$5:$G$292,MATCH($C125,Src_SYSHECF_nuclear!$C$5:$C$292,0))*$E125),Keys!$C$5),Keys!$C$4)</f>
        <v>1.0135000000000001</v>
      </c>
      <c r="J125">
        <f>IF($D125=1,ROUND(Keys!$C$2/(INDEX(Src_SYSHECF_nuclear!$H$5:$H$292,MATCH($C125,Src_SYSHECF_nuclear!$C$5:$C$292,0))*$E125),Keys!$C$5),Keys!$C$4)</f>
        <v>1.0135000000000001</v>
      </c>
      <c r="K125">
        <f>IF($D125=1,ROUND(Keys!$C$2/(INDEX(Src_SYSHECF_nuclear!$I$5:$I$292,MATCH($C125,Src_SYSHECF_nuclear!$C$5:$C$292,0))*$E125),Keys!$C$5),Keys!$C$4)</f>
        <v>1.0135000000000001</v>
      </c>
      <c r="L125">
        <f>IF($D125=1,ROUND(Keys!$C$2/(INDEX(Src_SYSHECF_nuclear!$J$5:$J$292,MATCH($C125,Src_SYSHECF_nuclear!$C$5:$C$292,0))*$E125),Keys!$C$5),Keys!$C$4)</f>
        <v>1.0135000000000001</v>
      </c>
      <c r="M125">
        <f>IF($D125=1,ROUND(Keys!$C$2/(INDEX(Src_SYSHECF_nuclear!$K$5:$K$292,MATCH($C125,Src_SYSHECF_nuclear!$C$5:$C$292,0))*$E125),Keys!$C$5),Keys!$C$4)</f>
        <v>1.0135000000000001</v>
      </c>
      <c r="N125">
        <f>IF($D125=1,ROUND(Keys!$C$2/(INDEX(Src_SYSHECF_nuclear!$L$5:$L$292,MATCH($C125,Src_SYSHECF_nuclear!$C$5:$C$292,0))*$E125),Keys!$C$5),Keys!$C$4)</f>
        <v>1.0135000000000001</v>
      </c>
      <c r="O125">
        <f>IF($D125=1,ROUND(Keys!$C$2/(INDEX(Src_SYSHECF_nuclear!$M$5:$M$292,MATCH($C125,Src_SYSHECF_nuclear!$C$5:$C$292,0))*$E125),Keys!$C$5),Keys!$C$4)</f>
        <v>1.0135000000000001</v>
      </c>
      <c r="P125">
        <f>IF($D125=1,ROUND(Keys!$C$2/(INDEX(Src_SYSHECF_nuclear!$N$5:$N$292,MATCH($C125,Src_SYSHECF_nuclear!$C$5:$C$292,0))*$E125),Keys!$C$5),Keys!$C$4)</f>
        <v>1.0135000000000001</v>
      </c>
      <c r="Q125">
        <f>IF($D125=1,ROUND(Keys!$C$2/(INDEX(Src_SYSHECF_nuclear!$O$5:$O$292,MATCH($C125,Src_SYSHECF_nuclear!$C$5:$C$292,0))*$E125),Keys!$C$5),Keys!$C$4)</f>
        <v>1.0135000000000001</v>
      </c>
      <c r="R125">
        <f>IF($D125=1,ROUND(Keys!$C$2/(INDEX(Src_SYSHECF_nuclear!$P$5:$P$292,MATCH($C125,Src_SYSHECF_nuclear!$C$5:$C$292,0))*$E125),Keys!$C$5),Keys!$C$4)</f>
        <v>1.0135000000000001</v>
      </c>
      <c r="S125">
        <f>IF($D125=1,ROUND(Keys!$C$2/(INDEX(Src_SYSHECF_nuclear!$Q$5:$Q$292,MATCH($C125,Src_SYSHECF_nuclear!$C$5:$C$292,0))*$E125),Keys!$C$5),Keys!$C$4)</f>
        <v>1.0135000000000001</v>
      </c>
      <c r="T125">
        <f>IF($D125=1,ROUND(Keys!$C$2/(INDEX(Src_SYSHECF_nuclear!$R$5:$R$292,MATCH($C125,Src_SYSHECF_nuclear!$C$5:$C$292,0))*$E125),Keys!$C$5),Keys!$C$4)</f>
        <v>1.0135000000000001</v>
      </c>
      <c r="U125">
        <f>IF($D125=1,ROUND(Keys!$C$2/(INDEX(Src_SYSHECF_nuclear!$S$5:$S$292,MATCH($C125,Src_SYSHECF_nuclear!$C$5:$C$292,0))*$E125),Keys!$C$5),Keys!$C$4)</f>
        <v>1.0135000000000001</v>
      </c>
      <c r="V125">
        <f>IF($D125=1,ROUND(Keys!$C$2/(INDEX(Src_SYSHECF_nuclear!$T$5:$T$292,MATCH($C125,Src_SYSHECF_nuclear!$C$5:$C$292,0))*$E125),Keys!$C$5),Keys!$C$4)</f>
        <v>1.0135000000000001</v>
      </c>
      <c r="W125">
        <f>IF($D125=1,ROUND(Keys!$C$2/(INDEX(Src_SYSHECF_nuclear!$U$5:$U$292,MATCH($C125,Src_SYSHECF_nuclear!$C$5:$C$292,0))*$E125),Keys!$C$5),Keys!$C$4)</f>
        <v>1.0135000000000001</v>
      </c>
      <c r="X125">
        <f>IF($D125=1,ROUND(Keys!$C$2/(INDEX(Src_SYSHECF_nuclear!$V$5:$V$292,MATCH($C125,Src_SYSHECF_nuclear!$C$5:$C$292,0))*$E125),Keys!$C$5),Keys!$C$4)</f>
        <v>1.0135000000000001</v>
      </c>
      <c r="Y125">
        <f>IF($D125=1,ROUND(Keys!$C$2/(INDEX(Src_SYSHECF_nuclear!$W$5:$W$292,MATCH($C125,Src_SYSHECF_nuclear!$C$5:$C$292,0))*$E125),Keys!$C$5),Keys!$C$4)</f>
        <v>1.0135000000000001</v>
      </c>
      <c r="Z125">
        <f>IF($D125=1,ROUND(Keys!$C$2/(INDEX(Src_SYSHECF_nuclear!$X$5:$X$292,MATCH($C125,Src_SYSHECF_nuclear!$C$5:$C$292,0))*$E125),Keys!$C$5),Keys!$C$4)</f>
        <v>1.0135000000000001</v>
      </c>
      <c r="AA125">
        <f>IF($D125=1,ROUND(Keys!$C$2/(INDEX(Src_SYSHECF_nuclear!$Y$5:$Y$292,MATCH($C125,Src_SYSHECF_nuclear!$C$5:$C$292,0))*$E125),Keys!$C$5),Keys!$C$4)</f>
        <v>1.0135000000000001</v>
      </c>
      <c r="AB125">
        <f>IF($D125=1,ROUND(Keys!$C$2/(INDEX(Src_SYSHECF_nuclear!$Z$5:$Z$292,MATCH($C125,Src_SYSHECF_nuclear!$C$5:$C$292,0))*$E125),Keys!$C$5),Keys!$C$4)</f>
        <v>1.0135000000000001</v>
      </c>
      <c r="AC125">
        <f>IF($D125=1,ROUND(Keys!$C$2/(INDEX(Src_SYSHECF_nuclear!$AA$5:$AA$292,MATCH($C125,Src_SYSHECF_nuclear!$C$5:$C$292,0))*$E125),Keys!$C$5),Keys!$C$4)</f>
        <v>1.0135000000000001</v>
      </c>
      <c r="AE125">
        <f>IF($D125=1,IF(ABS(INDEX(Src_SYSHECF_nuclear!$D$5:$D$292,MATCH($C125,Src_SYSHECF_nuclear!$C$5:$C$292,0))*$E125*F125-Keys!$C$2)&gt;Keys!$C$6,1,0),0)</f>
        <v>0</v>
      </c>
    </row>
    <row r="126" spans="1:31" x14ac:dyDescent="0.45">
      <c r="A126" t="s">
        <v>34</v>
      </c>
      <c r="B126" t="s">
        <v>428</v>
      </c>
      <c r="C126" t="str">
        <f t="shared" si="2"/>
        <v>IL|Summer Peak</v>
      </c>
      <c r="D126">
        <f>INDEX(Src_BHRaSYC_nuclear!$HF$5:$HF$52,MATCH($A126,Src_BHRaSYC_nuclear!$A$5:$A$52,0))</f>
        <v>1</v>
      </c>
      <c r="E126">
        <f>INDEX(Src_HYECFCA_nuclear!$B$5:$B$52,MATCH($A126,Src_HYECFCA_nuclear!$A$5:$A$52,0))</f>
        <v>0.99198900000000001</v>
      </c>
      <c r="F126">
        <f>IF($D126=1,ROUND(Keys!$C$2/(INDEX(Src_SYSHECF_nuclear!$D$5:$D$292,MATCH($C126,Src_SYSHECF_nuclear!$C$5:$C$292,0))*$E126),Keys!$C$5),Keys!$C$4)</f>
        <v>1.0135000000000001</v>
      </c>
      <c r="G126">
        <f>IF($D126=1,ROUND(Keys!$C$2/(INDEX(Src_SYSHECF_nuclear!$E$5:$E$292,MATCH($C126,Src_SYSHECF_nuclear!$C$5:$C$292,0))*$E126),Keys!$C$5),Keys!$C$4)</f>
        <v>1.0135000000000001</v>
      </c>
      <c r="H126">
        <f>IF($D126=1,ROUND(Keys!$C$2/(INDEX(Src_SYSHECF_nuclear!$F$5:$F$292,MATCH($C126,Src_SYSHECF_nuclear!$C$5:$C$292,0))*$E126),Keys!$C$5),Keys!$C$4)</f>
        <v>1.0135000000000001</v>
      </c>
      <c r="I126">
        <f>IF($D126=1,ROUND(Keys!$C$2/(INDEX(Src_SYSHECF_nuclear!$G$5:$G$292,MATCH($C126,Src_SYSHECF_nuclear!$C$5:$C$292,0))*$E126),Keys!$C$5),Keys!$C$4)</f>
        <v>1.0135000000000001</v>
      </c>
      <c r="J126">
        <f>IF($D126=1,ROUND(Keys!$C$2/(INDEX(Src_SYSHECF_nuclear!$H$5:$H$292,MATCH($C126,Src_SYSHECF_nuclear!$C$5:$C$292,0))*$E126),Keys!$C$5),Keys!$C$4)</f>
        <v>1.0135000000000001</v>
      </c>
      <c r="K126">
        <f>IF($D126=1,ROUND(Keys!$C$2/(INDEX(Src_SYSHECF_nuclear!$I$5:$I$292,MATCH($C126,Src_SYSHECF_nuclear!$C$5:$C$292,0))*$E126),Keys!$C$5),Keys!$C$4)</f>
        <v>1.0135000000000001</v>
      </c>
      <c r="L126">
        <f>IF($D126=1,ROUND(Keys!$C$2/(INDEX(Src_SYSHECF_nuclear!$J$5:$J$292,MATCH($C126,Src_SYSHECF_nuclear!$C$5:$C$292,0))*$E126),Keys!$C$5),Keys!$C$4)</f>
        <v>1.0135000000000001</v>
      </c>
      <c r="M126">
        <f>IF($D126=1,ROUND(Keys!$C$2/(INDEX(Src_SYSHECF_nuclear!$K$5:$K$292,MATCH($C126,Src_SYSHECF_nuclear!$C$5:$C$292,0))*$E126),Keys!$C$5),Keys!$C$4)</f>
        <v>1.0135000000000001</v>
      </c>
      <c r="N126">
        <f>IF($D126=1,ROUND(Keys!$C$2/(INDEX(Src_SYSHECF_nuclear!$L$5:$L$292,MATCH($C126,Src_SYSHECF_nuclear!$C$5:$C$292,0))*$E126),Keys!$C$5),Keys!$C$4)</f>
        <v>1.0135000000000001</v>
      </c>
      <c r="O126">
        <f>IF($D126=1,ROUND(Keys!$C$2/(INDEX(Src_SYSHECF_nuclear!$M$5:$M$292,MATCH($C126,Src_SYSHECF_nuclear!$C$5:$C$292,0))*$E126),Keys!$C$5),Keys!$C$4)</f>
        <v>1.0135000000000001</v>
      </c>
      <c r="P126">
        <f>IF($D126=1,ROUND(Keys!$C$2/(INDEX(Src_SYSHECF_nuclear!$N$5:$N$292,MATCH($C126,Src_SYSHECF_nuclear!$C$5:$C$292,0))*$E126),Keys!$C$5),Keys!$C$4)</f>
        <v>1.0135000000000001</v>
      </c>
      <c r="Q126">
        <f>IF($D126=1,ROUND(Keys!$C$2/(INDEX(Src_SYSHECF_nuclear!$O$5:$O$292,MATCH($C126,Src_SYSHECF_nuclear!$C$5:$C$292,0))*$E126),Keys!$C$5),Keys!$C$4)</f>
        <v>1.0135000000000001</v>
      </c>
      <c r="R126">
        <f>IF($D126=1,ROUND(Keys!$C$2/(INDEX(Src_SYSHECF_nuclear!$P$5:$P$292,MATCH($C126,Src_SYSHECF_nuclear!$C$5:$C$292,0))*$E126),Keys!$C$5),Keys!$C$4)</f>
        <v>1.0135000000000001</v>
      </c>
      <c r="S126">
        <f>IF($D126=1,ROUND(Keys!$C$2/(INDEX(Src_SYSHECF_nuclear!$Q$5:$Q$292,MATCH($C126,Src_SYSHECF_nuclear!$C$5:$C$292,0))*$E126),Keys!$C$5),Keys!$C$4)</f>
        <v>1.0135000000000001</v>
      </c>
      <c r="T126">
        <f>IF($D126=1,ROUND(Keys!$C$2/(INDEX(Src_SYSHECF_nuclear!$R$5:$R$292,MATCH($C126,Src_SYSHECF_nuclear!$C$5:$C$292,0))*$E126),Keys!$C$5),Keys!$C$4)</f>
        <v>1.0135000000000001</v>
      </c>
      <c r="U126">
        <f>IF($D126=1,ROUND(Keys!$C$2/(INDEX(Src_SYSHECF_nuclear!$S$5:$S$292,MATCH($C126,Src_SYSHECF_nuclear!$C$5:$C$292,0))*$E126),Keys!$C$5),Keys!$C$4)</f>
        <v>1.0135000000000001</v>
      </c>
      <c r="V126">
        <f>IF($D126=1,ROUND(Keys!$C$2/(INDEX(Src_SYSHECF_nuclear!$T$5:$T$292,MATCH($C126,Src_SYSHECF_nuclear!$C$5:$C$292,0))*$E126),Keys!$C$5),Keys!$C$4)</f>
        <v>1.0135000000000001</v>
      </c>
      <c r="W126">
        <f>IF($D126=1,ROUND(Keys!$C$2/(INDEX(Src_SYSHECF_nuclear!$U$5:$U$292,MATCH($C126,Src_SYSHECF_nuclear!$C$5:$C$292,0))*$E126),Keys!$C$5),Keys!$C$4)</f>
        <v>1.0135000000000001</v>
      </c>
      <c r="X126">
        <f>IF($D126=1,ROUND(Keys!$C$2/(INDEX(Src_SYSHECF_nuclear!$V$5:$V$292,MATCH($C126,Src_SYSHECF_nuclear!$C$5:$C$292,0))*$E126),Keys!$C$5),Keys!$C$4)</f>
        <v>1.0135000000000001</v>
      </c>
      <c r="Y126">
        <f>IF($D126=1,ROUND(Keys!$C$2/(INDEX(Src_SYSHECF_nuclear!$W$5:$W$292,MATCH($C126,Src_SYSHECF_nuclear!$C$5:$C$292,0))*$E126),Keys!$C$5),Keys!$C$4)</f>
        <v>1.0135000000000001</v>
      </c>
      <c r="Z126">
        <f>IF($D126=1,ROUND(Keys!$C$2/(INDEX(Src_SYSHECF_nuclear!$X$5:$X$292,MATCH($C126,Src_SYSHECF_nuclear!$C$5:$C$292,0))*$E126),Keys!$C$5),Keys!$C$4)</f>
        <v>1.0135000000000001</v>
      </c>
      <c r="AA126">
        <f>IF($D126=1,ROUND(Keys!$C$2/(INDEX(Src_SYSHECF_nuclear!$Y$5:$Y$292,MATCH($C126,Src_SYSHECF_nuclear!$C$5:$C$292,0))*$E126),Keys!$C$5),Keys!$C$4)</f>
        <v>1.0135000000000001</v>
      </c>
      <c r="AB126">
        <f>IF($D126=1,ROUND(Keys!$C$2/(INDEX(Src_SYSHECF_nuclear!$Z$5:$Z$292,MATCH($C126,Src_SYSHECF_nuclear!$C$5:$C$292,0))*$E126),Keys!$C$5),Keys!$C$4)</f>
        <v>1.0135000000000001</v>
      </c>
      <c r="AC126">
        <f>IF($D126=1,ROUND(Keys!$C$2/(INDEX(Src_SYSHECF_nuclear!$AA$5:$AA$292,MATCH($C126,Src_SYSHECF_nuclear!$C$5:$C$292,0))*$E126),Keys!$C$5),Keys!$C$4)</f>
        <v>1.0135000000000001</v>
      </c>
      <c r="AE126">
        <f>IF($D126=1,IF(ABS(INDEX(Src_SYSHECF_nuclear!$D$5:$D$292,MATCH($C126,Src_SYSHECF_nuclear!$C$5:$C$292,0))*$E126*F126-Keys!$C$2)&gt;Keys!$C$6,1,0),0)</f>
        <v>0</v>
      </c>
    </row>
    <row r="127" spans="1:31" x14ac:dyDescent="0.45">
      <c r="A127" t="s">
        <v>34</v>
      </c>
      <c r="B127" t="s">
        <v>429</v>
      </c>
      <c r="C127" t="str">
        <f t="shared" si="2"/>
        <v>IL|Winter Peak</v>
      </c>
      <c r="D127">
        <f>INDEX(Src_BHRaSYC_nuclear!$HF$5:$HF$52,MATCH($A127,Src_BHRaSYC_nuclear!$A$5:$A$52,0))</f>
        <v>1</v>
      </c>
      <c r="E127">
        <f>INDEX(Src_HYECFCA_nuclear!$B$5:$B$52,MATCH($A127,Src_HYECFCA_nuclear!$A$5:$A$52,0))</f>
        <v>0.99198900000000001</v>
      </c>
      <c r="F127">
        <f>IF($D127=1,ROUND(Keys!$C$2/(INDEX(Src_SYSHECF_nuclear!$D$5:$D$292,MATCH($C127,Src_SYSHECF_nuclear!$C$5:$C$292,0))*$E127),Keys!$C$5),Keys!$C$4)</f>
        <v>1.0135000000000001</v>
      </c>
      <c r="G127">
        <f>IF($D127=1,ROUND(Keys!$C$2/(INDEX(Src_SYSHECF_nuclear!$E$5:$E$292,MATCH($C127,Src_SYSHECF_nuclear!$C$5:$C$292,0))*$E127),Keys!$C$5),Keys!$C$4)</f>
        <v>1.0135000000000001</v>
      </c>
      <c r="H127">
        <f>IF($D127=1,ROUND(Keys!$C$2/(INDEX(Src_SYSHECF_nuclear!$F$5:$F$292,MATCH($C127,Src_SYSHECF_nuclear!$C$5:$C$292,0))*$E127),Keys!$C$5),Keys!$C$4)</f>
        <v>1.0135000000000001</v>
      </c>
      <c r="I127">
        <f>IF($D127=1,ROUND(Keys!$C$2/(INDEX(Src_SYSHECF_nuclear!$G$5:$G$292,MATCH($C127,Src_SYSHECF_nuclear!$C$5:$C$292,0))*$E127),Keys!$C$5),Keys!$C$4)</f>
        <v>1.0135000000000001</v>
      </c>
      <c r="J127">
        <f>IF($D127=1,ROUND(Keys!$C$2/(INDEX(Src_SYSHECF_nuclear!$H$5:$H$292,MATCH($C127,Src_SYSHECF_nuclear!$C$5:$C$292,0))*$E127),Keys!$C$5),Keys!$C$4)</f>
        <v>1.0135000000000001</v>
      </c>
      <c r="K127">
        <f>IF($D127=1,ROUND(Keys!$C$2/(INDEX(Src_SYSHECF_nuclear!$I$5:$I$292,MATCH($C127,Src_SYSHECF_nuclear!$C$5:$C$292,0))*$E127),Keys!$C$5),Keys!$C$4)</f>
        <v>1.0135000000000001</v>
      </c>
      <c r="L127">
        <f>IF($D127=1,ROUND(Keys!$C$2/(INDEX(Src_SYSHECF_nuclear!$J$5:$J$292,MATCH($C127,Src_SYSHECF_nuclear!$C$5:$C$292,0))*$E127),Keys!$C$5),Keys!$C$4)</f>
        <v>1.0135000000000001</v>
      </c>
      <c r="M127">
        <f>IF($D127=1,ROUND(Keys!$C$2/(INDEX(Src_SYSHECF_nuclear!$K$5:$K$292,MATCH($C127,Src_SYSHECF_nuclear!$C$5:$C$292,0))*$E127),Keys!$C$5),Keys!$C$4)</f>
        <v>1.0135000000000001</v>
      </c>
      <c r="N127">
        <f>IF($D127=1,ROUND(Keys!$C$2/(INDEX(Src_SYSHECF_nuclear!$L$5:$L$292,MATCH($C127,Src_SYSHECF_nuclear!$C$5:$C$292,0))*$E127),Keys!$C$5),Keys!$C$4)</f>
        <v>1.0135000000000001</v>
      </c>
      <c r="O127">
        <f>IF($D127=1,ROUND(Keys!$C$2/(INDEX(Src_SYSHECF_nuclear!$M$5:$M$292,MATCH($C127,Src_SYSHECF_nuclear!$C$5:$C$292,0))*$E127),Keys!$C$5),Keys!$C$4)</f>
        <v>1.0135000000000001</v>
      </c>
      <c r="P127">
        <f>IF($D127=1,ROUND(Keys!$C$2/(INDEX(Src_SYSHECF_nuclear!$N$5:$N$292,MATCH($C127,Src_SYSHECF_nuclear!$C$5:$C$292,0))*$E127),Keys!$C$5),Keys!$C$4)</f>
        <v>1.0135000000000001</v>
      </c>
      <c r="Q127">
        <f>IF($D127=1,ROUND(Keys!$C$2/(INDEX(Src_SYSHECF_nuclear!$O$5:$O$292,MATCH($C127,Src_SYSHECF_nuclear!$C$5:$C$292,0))*$E127),Keys!$C$5),Keys!$C$4)</f>
        <v>1.0135000000000001</v>
      </c>
      <c r="R127">
        <f>IF($D127=1,ROUND(Keys!$C$2/(INDEX(Src_SYSHECF_nuclear!$P$5:$P$292,MATCH($C127,Src_SYSHECF_nuclear!$C$5:$C$292,0))*$E127),Keys!$C$5),Keys!$C$4)</f>
        <v>1.0135000000000001</v>
      </c>
      <c r="S127">
        <f>IF($D127=1,ROUND(Keys!$C$2/(INDEX(Src_SYSHECF_nuclear!$Q$5:$Q$292,MATCH($C127,Src_SYSHECF_nuclear!$C$5:$C$292,0))*$E127),Keys!$C$5),Keys!$C$4)</f>
        <v>1.0135000000000001</v>
      </c>
      <c r="T127">
        <f>IF($D127=1,ROUND(Keys!$C$2/(INDEX(Src_SYSHECF_nuclear!$R$5:$R$292,MATCH($C127,Src_SYSHECF_nuclear!$C$5:$C$292,0))*$E127),Keys!$C$5),Keys!$C$4)</f>
        <v>1.0135000000000001</v>
      </c>
      <c r="U127">
        <f>IF($D127=1,ROUND(Keys!$C$2/(INDEX(Src_SYSHECF_nuclear!$S$5:$S$292,MATCH($C127,Src_SYSHECF_nuclear!$C$5:$C$292,0))*$E127),Keys!$C$5),Keys!$C$4)</f>
        <v>1.0135000000000001</v>
      </c>
      <c r="V127">
        <f>IF($D127=1,ROUND(Keys!$C$2/(INDEX(Src_SYSHECF_nuclear!$T$5:$T$292,MATCH($C127,Src_SYSHECF_nuclear!$C$5:$C$292,0))*$E127),Keys!$C$5),Keys!$C$4)</f>
        <v>1.0135000000000001</v>
      </c>
      <c r="W127">
        <f>IF($D127=1,ROUND(Keys!$C$2/(INDEX(Src_SYSHECF_nuclear!$U$5:$U$292,MATCH($C127,Src_SYSHECF_nuclear!$C$5:$C$292,0))*$E127),Keys!$C$5),Keys!$C$4)</f>
        <v>1.0135000000000001</v>
      </c>
      <c r="X127">
        <f>IF($D127=1,ROUND(Keys!$C$2/(INDEX(Src_SYSHECF_nuclear!$V$5:$V$292,MATCH($C127,Src_SYSHECF_nuclear!$C$5:$C$292,0))*$E127),Keys!$C$5),Keys!$C$4)</f>
        <v>1.0135000000000001</v>
      </c>
      <c r="Y127">
        <f>IF($D127=1,ROUND(Keys!$C$2/(INDEX(Src_SYSHECF_nuclear!$W$5:$W$292,MATCH($C127,Src_SYSHECF_nuclear!$C$5:$C$292,0))*$E127),Keys!$C$5),Keys!$C$4)</f>
        <v>1.0135000000000001</v>
      </c>
      <c r="Z127">
        <f>IF($D127=1,ROUND(Keys!$C$2/(INDEX(Src_SYSHECF_nuclear!$X$5:$X$292,MATCH($C127,Src_SYSHECF_nuclear!$C$5:$C$292,0))*$E127),Keys!$C$5),Keys!$C$4)</f>
        <v>1.0135000000000001</v>
      </c>
      <c r="AA127">
        <f>IF($D127=1,ROUND(Keys!$C$2/(INDEX(Src_SYSHECF_nuclear!$Y$5:$Y$292,MATCH($C127,Src_SYSHECF_nuclear!$C$5:$C$292,0))*$E127),Keys!$C$5),Keys!$C$4)</f>
        <v>1.0135000000000001</v>
      </c>
      <c r="AB127">
        <f>IF($D127=1,ROUND(Keys!$C$2/(INDEX(Src_SYSHECF_nuclear!$Z$5:$Z$292,MATCH($C127,Src_SYSHECF_nuclear!$C$5:$C$292,0))*$E127),Keys!$C$5),Keys!$C$4)</f>
        <v>1.0135000000000001</v>
      </c>
      <c r="AC127">
        <f>IF($D127=1,ROUND(Keys!$C$2/(INDEX(Src_SYSHECF_nuclear!$AA$5:$AA$292,MATCH($C127,Src_SYSHECF_nuclear!$C$5:$C$292,0))*$E127),Keys!$C$5),Keys!$C$4)</f>
        <v>1.0135000000000001</v>
      </c>
      <c r="AE127">
        <f>IF($D127=1,IF(ABS(INDEX(Src_SYSHECF_nuclear!$D$5:$D$292,MATCH($C127,Src_SYSHECF_nuclear!$C$5:$C$292,0))*$E127*F127-Keys!$C$2)&gt;Keys!$C$6,1,0),0)</f>
        <v>0</v>
      </c>
    </row>
    <row r="128" spans="1:31" x14ac:dyDescent="0.45">
      <c r="A128" t="s">
        <v>36</v>
      </c>
      <c r="B128" t="s">
        <v>424</v>
      </c>
      <c r="C128" t="str">
        <f t="shared" si="2"/>
        <v>IN|Winter</v>
      </c>
      <c r="D128">
        <f>INDEX(Src_BHRaSYC_nuclear!$HF$5:$HF$52,MATCH($A128,Src_BHRaSYC_nuclear!$A$5:$A$52,0))</f>
        <v>0</v>
      </c>
      <c r="E128">
        <f>INDEX(Src_HYECFCA_nuclear!$B$5:$B$52,MATCH($A128,Src_HYECFCA_nuclear!$A$5:$A$52,0))</f>
        <v>1</v>
      </c>
      <c r="F128">
        <f>IF($D128=1,ROUND(Keys!$C$2/(INDEX(Src_SYSHECF_nuclear!$D$5:$D$292,MATCH($C128,Src_SYSHECF_nuclear!$C$5:$C$292,0))*$E128),Keys!$C$5),Keys!$C$4)</f>
        <v>0.9</v>
      </c>
      <c r="G128">
        <f>IF($D128=1,ROUND(Keys!$C$2/(INDEX(Src_SYSHECF_nuclear!$E$5:$E$292,MATCH($C128,Src_SYSHECF_nuclear!$C$5:$C$292,0))*$E128),Keys!$C$5),Keys!$C$4)</f>
        <v>0.9</v>
      </c>
      <c r="H128">
        <f>IF($D128=1,ROUND(Keys!$C$2/(INDEX(Src_SYSHECF_nuclear!$F$5:$F$292,MATCH($C128,Src_SYSHECF_nuclear!$C$5:$C$292,0))*$E128),Keys!$C$5),Keys!$C$4)</f>
        <v>0.9</v>
      </c>
      <c r="I128">
        <f>IF($D128=1,ROUND(Keys!$C$2/(INDEX(Src_SYSHECF_nuclear!$G$5:$G$292,MATCH($C128,Src_SYSHECF_nuclear!$C$5:$C$292,0))*$E128),Keys!$C$5),Keys!$C$4)</f>
        <v>0.9</v>
      </c>
      <c r="J128">
        <f>IF($D128=1,ROUND(Keys!$C$2/(INDEX(Src_SYSHECF_nuclear!$H$5:$H$292,MATCH($C128,Src_SYSHECF_nuclear!$C$5:$C$292,0))*$E128),Keys!$C$5),Keys!$C$4)</f>
        <v>0.9</v>
      </c>
      <c r="K128">
        <f>IF($D128=1,ROUND(Keys!$C$2/(INDEX(Src_SYSHECF_nuclear!$I$5:$I$292,MATCH($C128,Src_SYSHECF_nuclear!$C$5:$C$292,0))*$E128),Keys!$C$5),Keys!$C$4)</f>
        <v>0.9</v>
      </c>
      <c r="L128">
        <f>IF($D128=1,ROUND(Keys!$C$2/(INDEX(Src_SYSHECF_nuclear!$J$5:$J$292,MATCH($C128,Src_SYSHECF_nuclear!$C$5:$C$292,0))*$E128),Keys!$C$5),Keys!$C$4)</f>
        <v>0.9</v>
      </c>
      <c r="M128">
        <f>IF($D128=1,ROUND(Keys!$C$2/(INDEX(Src_SYSHECF_nuclear!$K$5:$K$292,MATCH($C128,Src_SYSHECF_nuclear!$C$5:$C$292,0))*$E128),Keys!$C$5),Keys!$C$4)</f>
        <v>0.9</v>
      </c>
      <c r="N128">
        <f>IF($D128=1,ROUND(Keys!$C$2/(INDEX(Src_SYSHECF_nuclear!$L$5:$L$292,MATCH($C128,Src_SYSHECF_nuclear!$C$5:$C$292,0))*$E128),Keys!$C$5),Keys!$C$4)</f>
        <v>0.9</v>
      </c>
      <c r="O128">
        <f>IF($D128=1,ROUND(Keys!$C$2/(INDEX(Src_SYSHECF_nuclear!$M$5:$M$292,MATCH($C128,Src_SYSHECF_nuclear!$C$5:$C$292,0))*$E128),Keys!$C$5),Keys!$C$4)</f>
        <v>0.9</v>
      </c>
      <c r="P128">
        <f>IF($D128=1,ROUND(Keys!$C$2/(INDEX(Src_SYSHECF_nuclear!$N$5:$N$292,MATCH($C128,Src_SYSHECF_nuclear!$C$5:$C$292,0))*$E128),Keys!$C$5),Keys!$C$4)</f>
        <v>0.9</v>
      </c>
      <c r="Q128">
        <f>IF($D128=1,ROUND(Keys!$C$2/(INDEX(Src_SYSHECF_nuclear!$O$5:$O$292,MATCH($C128,Src_SYSHECF_nuclear!$C$5:$C$292,0))*$E128),Keys!$C$5),Keys!$C$4)</f>
        <v>0.9</v>
      </c>
      <c r="R128">
        <f>IF($D128=1,ROUND(Keys!$C$2/(INDEX(Src_SYSHECF_nuclear!$P$5:$P$292,MATCH($C128,Src_SYSHECF_nuclear!$C$5:$C$292,0))*$E128),Keys!$C$5),Keys!$C$4)</f>
        <v>0.9</v>
      </c>
      <c r="S128">
        <f>IF($D128=1,ROUND(Keys!$C$2/(INDEX(Src_SYSHECF_nuclear!$Q$5:$Q$292,MATCH($C128,Src_SYSHECF_nuclear!$C$5:$C$292,0))*$E128),Keys!$C$5),Keys!$C$4)</f>
        <v>0.9</v>
      </c>
      <c r="T128">
        <f>IF($D128=1,ROUND(Keys!$C$2/(INDEX(Src_SYSHECF_nuclear!$R$5:$R$292,MATCH($C128,Src_SYSHECF_nuclear!$C$5:$C$292,0))*$E128),Keys!$C$5),Keys!$C$4)</f>
        <v>0.9</v>
      </c>
      <c r="U128">
        <f>IF($D128=1,ROUND(Keys!$C$2/(INDEX(Src_SYSHECF_nuclear!$S$5:$S$292,MATCH($C128,Src_SYSHECF_nuclear!$C$5:$C$292,0))*$E128),Keys!$C$5),Keys!$C$4)</f>
        <v>0.9</v>
      </c>
      <c r="V128">
        <f>IF($D128=1,ROUND(Keys!$C$2/(INDEX(Src_SYSHECF_nuclear!$T$5:$T$292,MATCH($C128,Src_SYSHECF_nuclear!$C$5:$C$292,0))*$E128),Keys!$C$5),Keys!$C$4)</f>
        <v>0.9</v>
      </c>
      <c r="W128">
        <f>IF($D128=1,ROUND(Keys!$C$2/(INDEX(Src_SYSHECF_nuclear!$U$5:$U$292,MATCH($C128,Src_SYSHECF_nuclear!$C$5:$C$292,0))*$E128),Keys!$C$5),Keys!$C$4)</f>
        <v>0.9</v>
      </c>
      <c r="X128">
        <f>IF($D128=1,ROUND(Keys!$C$2/(INDEX(Src_SYSHECF_nuclear!$V$5:$V$292,MATCH($C128,Src_SYSHECF_nuclear!$C$5:$C$292,0))*$E128),Keys!$C$5),Keys!$C$4)</f>
        <v>0.9</v>
      </c>
      <c r="Y128">
        <f>IF($D128=1,ROUND(Keys!$C$2/(INDEX(Src_SYSHECF_nuclear!$W$5:$W$292,MATCH($C128,Src_SYSHECF_nuclear!$C$5:$C$292,0))*$E128),Keys!$C$5),Keys!$C$4)</f>
        <v>0.9</v>
      </c>
      <c r="Z128">
        <f>IF($D128=1,ROUND(Keys!$C$2/(INDEX(Src_SYSHECF_nuclear!$X$5:$X$292,MATCH($C128,Src_SYSHECF_nuclear!$C$5:$C$292,0))*$E128),Keys!$C$5),Keys!$C$4)</f>
        <v>0.9</v>
      </c>
      <c r="AA128">
        <f>IF($D128=1,ROUND(Keys!$C$2/(INDEX(Src_SYSHECF_nuclear!$Y$5:$Y$292,MATCH($C128,Src_SYSHECF_nuclear!$C$5:$C$292,0))*$E128),Keys!$C$5),Keys!$C$4)</f>
        <v>0.9</v>
      </c>
      <c r="AB128">
        <f>IF($D128=1,ROUND(Keys!$C$2/(INDEX(Src_SYSHECF_nuclear!$Z$5:$Z$292,MATCH($C128,Src_SYSHECF_nuclear!$C$5:$C$292,0))*$E128),Keys!$C$5),Keys!$C$4)</f>
        <v>0.9</v>
      </c>
      <c r="AC128">
        <f>IF($D128=1,ROUND(Keys!$C$2/(INDEX(Src_SYSHECF_nuclear!$AA$5:$AA$292,MATCH($C128,Src_SYSHECF_nuclear!$C$5:$C$292,0))*$E128),Keys!$C$5),Keys!$C$4)</f>
        <v>0.9</v>
      </c>
      <c r="AE128">
        <f>IF($D128=1,IF(ABS(INDEX(Src_SYSHECF_nuclear!$D$5:$D$292,MATCH($C128,Src_SYSHECF_nuclear!$C$5:$C$292,0))*$E128*F128-Keys!$C$2)&gt;Keys!$C$6,1,0),0)</f>
        <v>0</v>
      </c>
    </row>
    <row r="129" spans="1:31" x14ac:dyDescent="0.45">
      <c r="A129" t="s">
        <v>36</v>
      </c>
      <c r="B129" t="s">
        <v>425</v>
      </c>
      <c r="C129" t="str">
        <f t="shared" si="2"/>
        <v>IN|Spring</v>
      </c>
      <c r="D129">
        <f>INDEX(Src_BHRaSYC_nuclear!$HF$5:$HF$52,MATCH($A129,Src_BHRaSYC_nuclear!$A$5:$A$52,0))</f>
        <v>0</v>
      </c>
      <c r="E129">
        <f>INDEX(Src_HYECFCA_nuclear!$B$5:$B$52,MATCH($A129,Src_HYECFCA_nuclear!$A$5:$A$52,0))</f>
        <v>1</v>
      </c>
      <c r="F129">
        <f>IF($D129=1,ROUND(Keys!$C$2/(INDEX(Src_SYSHECF_nuclear!$D$5:$D$292,MATCH($C129,Src_SYSHECF_nuclear!$C$5:$C$292,0))*$E129),Keys!$C$5),Keys!$C$4)</f>
        <v>0.9</v>
      </c>
      <c r="G129">
        <f>IF($D129=1,ROUND(Keys!$C$2/(INDEX(Src_SYSHECF_nuclear!$E$5:$E$292,MATCH($C129,Src_SYSHECF_nuclear!$C$5:$C$292,0))*$E129),Keys!$C$5),Keys!$C$4)</f>
        <v>0.9</v>
      </c>
      <c r="H129">
        <f>IF($D129=1,ROUND(Keys!$C$2/(INDEX(Src_SYSHECF_nuclear!$F$5:$F$292,MATCH($C129,Src_SYSHECF_nuclear!$C$5:$C$292,0))*$E129),Keys!$C$5),Keys!$C$4)</f>
        <v>0.9</v>
      </c>
      <c r="I129">
        <f>IF($D129=1,ROUND(Keys!$C$2/(INDEX(Src_SYSHECF_nuclear!$G$5:$G$292,MATCH($C129,Src_SYSHECF_nuclear!$C$5:$C$292,0))*$E129),Keys!$C$5),Keys!$C$4)</f>
        <v>0.9</v>
      </c>
      <c r="J129">
        <f>IF($D129=1,ROUND(Keys!$C$2/(INDEX(Src_SYSHECF_nuclear!$H$5:$H$292,MATCH($C129,Src_SYSHECF_nuclear!$C$5:$C$292,0))*$E129),Keys!$C$5),Keys!$C$4)</f>
        <v>0.9</v>
      </c>
      <c r="K129">
        <f>IF($D129=1,ROUND(Keys!$C$2/(INDEX(Src_SYSHECF_nuclear!$I$5:$I$292,MATCH($C129,Src_SYSHECF_nuclear!$C$5:$C$292,0))*$E129),Keys!$C$5),Keys!$C$4)</f>
        <v>0.9</v>
      </c>
      <c r="L129">
        <f>IF($D129=1,ROUND(Keys!$C$2/(INDEX(Src_SYSHECF_nuclear!$J$5:$J$292,MATCH($C129,Src_SYSHECF_nuclear!$C$5:$C$292,0))*$E129),Keys!$C$5),Keys!$C$4)</f>
        <v>0.9</v>
      </c>
      <c r="M129">
        <f>IF($D129=1,ROUND(Keys!$C$2/(INDEX(Src_SYSHECF_nuclear!$K$5:$K$292,MATCH($C129,Src_SYSHECF_nuclear!$C$5:$C$292,0))*$E129),Keys!$C$5),Keys!$C$4)</f>
        <v>0.9</v>
      </c>
      <c r="N129">
        <f>IF($D129=1,ROUND(Keys!$C$2/(INDEX(Src_SYSHECF_nuclear!$L$5:$L$292,MATCH($C129,Src_SYSHECF_nuclear!$C$5:$C$292,0))*$E129),Keys!$C$5),Keys!$C$4)</f>
        <v>0.9</v>
      </c>
      <c r="O129">
        <f>IF($D129=1,ROUND(Keys!$C$2/(INDEX(Src_SYSHECF_nuclear!$M$5:$M$292,MATCH($C129,Src_SYSHECF_nuclear!$C$5:$C$292,0))*$E129),Keys!$C$5),Keys!$C$4)</f>
        <v>0.9</v>
      </c>
      <c r="P129">
        <f>IF($D129=1,ROUND(Keys!$C$2/(INDEX(Src_SYSHECF_nuclear!$N$5:$N$292,MATCH($C129,Src_SYSHECF_nuclear!$C$5:$C$292,0))*$E129),Keys!$C$5),Keys!$C$4)</f>
        <v>0.9</v>
      </c>
      <c r="Q129">
        <f>IF($D129=1,ROUND(Keys!$C$2/(INDEX(Src_SYSHECF_nuclear!$O$5:$O$292,MATCH($C129,Src_SYSHECF_nuclear!$C$5:$C$292,0))*$E129),Keys!$C$5),Keys!$C$4)</f>
        <v>0.9</v>
      </c>
      <c r="R129">
        <f>IF($D129=1,ROUND(Keys!$C$2/(INDEX(Src_SYSHECF_nuclear!$P$5:$P$292,MATCH($C129,Src_SYSHECF_nuclear!$C$5:$C$292,0))*$E129),Keys!$C$5),Keys!$C$4)</f>
        <v>0.9</v>
      </c>
      <c r="S129">
        <f>IF($D129=1,ROUND(Keys!$C$2/(INDEX(Src_SYSHECF_nuclear!$Q$5:$Q$292,MATCH($C129,Src_SYSHECF_nuclear!$C$5:$C$292,0))*$E129),Keys!$C$5),Keys!$C$4)</f>
        <v>0.9</v>
      </c>
      <c r="T129">
        <f>IF($D129=1,ROUND(Keys!$C$2/(INDEX(Src_SYSHECF_nuclear!$R$5:$R$292,MATCH($C129,Src_SYSHECF_nuclear!$C$5:$C$292,0))*$E129),Keys!$C$5),Keys!$C$4)</f>
        <v>0.9</v>
      </c>
      <c r="U129">
        <f>IF($D129=1,ROUND(Keys!$C$2/(INDEX(Src_SYSHECF_nuclear!$S$5:$S$292,MATCH($C129,Src_SYSHECF_nuclear!$C$5:$C$292,0))*$E129),Keys!$C$5),Keys!$C$4)</f>
        <v>0.9</v>
      </c>
      <c r="V129">
        <f>IF($D129=1,ROUND(Keys!$C$2/(INDEX(Src_SYSHECF_nuclear!$T$5:$T$292,MATCH($C129,Src_SYSHECF_nuclear!$C$5:$C$292,0))*$E129),Keys!$C$5),Keys!$C$4)</f>
        <v>0.9</v>
      </c>
      <c r="W129">
        <f>IF($D129=1,ROUND(Keys!$C$2/(INDEX(Src_SYSHECF_nuclear!$U$5:$U$292,MATCH($C129,Src_SYSHECF_nuclear!$C$5:$C$292,0))*$E129),Keys!$C$5),Keys!$C$4)</f>
        <v>0.9</v>
      </c>
      <c r="X129">
        <f>IF($D129=1,ROUND(Keys!$C$2/(INDEX(Src_SYSHECF_nuclear!$V$5:$V$292,MATCH($C129,Src_SYSHECF_nuclear!$C$5:$C$292,0))*$E129),Keys!$C$5),Keys!$C$4)</f>
        <v>0.9</v>
      </c>
      <c r="Y129">
        <f>IF($D129=1,ROUND(Keys!$C$2/(INDEX(Src_SYSHECF_nuclear!$W$5:$W$292,MATCH($C129,Src_SYSHECF_nuclear!$C$5:$C$292,0))*$E129),Keys!$C$5),Keys!$C$4)</f>
        <v>0.9</v>
      </c>
      <c r="Z129">
        <f>IF($D129=1,ROUND(Keys!$C$2/(INDEX(Src_SYSHECF_nuclear!$X$5:$X$292,MATCH($C129,Src_SYSHECF_nuclear!$C$5:$C$292,0))*$E129),Keys!$C$5),Keys!$C$4)</f>
        <v>0.9</v>
      </c>
      <c r="AA129">
        <f>IF($D129=1,ROUND(Keys!$C$2/(INDEX(Src_SYSHECF_nuclear!$Y$5:$Y$292,MATCH($C129,Src_SYSHECF_nuclear!$C$5:$C$292,0))*$E129),Keys!$C$5),Keys!$C$4)</f>
        <v>0.9</v>
      </c>
      <c r="AB129">
        <f>IF($D129=1,ROUND(Keys!$C$2/(INDEX(Src_SYSHECF_nuclear!$Z$5:$Z$292,MATCH($C129,Src_SYSHECF_nuclear!$C$5:$C$292,0))*$E129),Keys!$C$5),Keys!$C$4)</f>
        <v>0.9</v>
      </c>
      <c r="AC129">
        <f>IF($D129=1,ROUND(Keys!$C$2/(INDEX(Src_SYSHECF_nuclear!$AA$5:$AA$292,MATCH($C129,Src_SYSHECF_nuclear!$C$5:$C$292,0))*$E129),Keys!$C$5),Keys!$C$4)</f>
        <v>0.9</v>
      </c>
      <c r="AE129">
        <f>IF($D129=1,IF(ABS(INDEX(Src_SYSHECF_nuclear!$D$5:$D$292,MATCH($C129,Src_SYSHECF_nuclear!$C$5:$C$292,0))*$E129*F129-Keys!$C$2)&gt;Keys!$C$6,1,0),0)</f>
        <v>0</v>
      </c>
    </row>
    <row r="130" spans="1:31" x14ac:dyDescent="0.45">
      <c r="A130" t="s">
        <v>36</v>
      </c>
      <c r="B130" t="s">
        <v>426</v>
      </c>
      <c r="C130" t="str">
        <f t="shared" si="2"/>
        <v>IN|Summer</v>
      </c>
      <c r="D130">
        <f>INDEX(Src_BHRaSYC_nuclear!$HF$5:$HF$52,MATCH($A130,Src_BHRaSYC_nuclear!$A$5:$A$52,0))</f>
        <v>0</v>
      </c>
      <c r="E130">
        <f>INDEX(Src_HYECFCA_nuclear!$B$5:$B$52,MATCH($A130,Src_HYECFCA_nuclear!$A$5:$A$52,0))</f>
        <v>1</v>
      </c>
      <c r="F130">
        <f>IF($D130=1,ROUND(Keys!$C$2/(INDEX(Src_SYSHECF_nuclear!$D$5:$D$292,MATCH($C130,Src_SYSHECF_nuclear!$C$5:$C$292,0))*$E130),Keys!$C$5),Keys!$C$4)</f>
        <v>0.9</v>
      </c>
      <c r="G130">
        <f>IF($D130=1,ROUND(Keys!$C$2/(INDEX(Src_SYSHECF_nuclear!$E$5:$E$292,MATCH($C130,Src_SYSHECF_nuclear!$C$5:$C$292,0))*$E130),Keys!$C$5),Keys!$C$4)</f>
        <v>0.9</v>
      </c>
      <c r="H130">
        <f>IF($D130=1,ROUND(Keys!$C$2/(INDEX(Src_SYSHECF_nuclear!$F$5:$F$292,MATCH($C130,Src_SYSHECF_nuclear!$C$5:$C$292,0))*$E130),Keys!$C$5),Keys!$C$4)</f>
        <v>0.9</v>
      </c>
      <c r="I130">
        <f>IF($D130=1,ROUND(Keys!$C$2/(INDEX(Src_SYSHECF_nuclear!$G$5:$G$292,MATCH($C130,Src_SYSHECF_nuclear!$C$5:$C$292,0))*$E130),Keys!$C$5),Keys!$C$4)</f>
        <v>0.9</v>
      </c>
      <c r="J130">
        <f>IF($D130=1,ROUND(Keys!$C$2/(INDEX(Src_SYSHECF_nuclear!$H$5:$H$292,MATCH($C130,Src_SYSHECF_nuclear!$C$5:$C$292,0))*$E130),Keys!$C$5),Keys!$C$4)</f>
        <v>0.9</v>
      </c>
      <c r="K130">
        <f>IF($D130=1,ROUND(Keys!$C$2/(INDEX(Src_SYSHECF_nuclear!$I$5:$I$292,MATCH($C130,Src_SYSHECF_nuclear!$C$5:$C$292,0))*$E130),Keys!$C$5),Keys!$C$4)</f>
        <v>0.9</v>
      </c>
      <c r="L130">
        <f>IF($D130=1,ROUND(Keys!$C$2/(INDEX(Src_SYSHECF_nuclear!$J$5:$J$292,MATCH($C130,Src_SYSHECF_nuclear!$C$5:$C$292,0))*$E130),Keys!$C$5),Keys!$C$4)</f>
        <v>0.9</v>
      </c>
      <c r="M130">
        <f>IF($D130=1,ROUND(Keys!$C$2/(INDEX(Src_SYSHECF_nuclear!$K$5:$K$292,MATCH($C130,Src_SYSHECF_nuclear!$C$5:$C$292,0))*$E130),Keys!$C$5),Keys!$C$4)</f>
        <v>0.9</v>
      </c>
      <c r="N130">
        <f>IF($D130=1,ROUND(Keys!$C$2/(INDEX(Src_SYSHECF_nuclear!$L$5:$L$292,MATCH($C130,Src_SYSHECF_nuclear!$C$5:$C$292,0))*$E130),Keys!$C$5),Keys!$C$4)</f>
        <v>0.9</v>
      </c>
      <c r="O130">
        <f>IF($D130=1,ROUND(Keys!$C$2/(INDEX(Src_SYSHECF_nuclear!$M$5:$M$292,MATCH($C130,Src_SYSHECF_nuclear!$C$5:$C$292,0))*$E130),Keys!$C$5),Keys!$C$4)</f>
        <v>0.9</v>
      </c>
      <c r="P130">
        <f>IF($D130=1,ROUND(Keys!$C$2/(INDEX(Src_SYSHECF_nuclear!$N$5:$N$292,MATCH($C130,Src_SYSHECF_nuclear!$C$5:$C$292,0))*$E130),Keys!$C$5),Keys!$C$4)</f>
        <v>0.9</v>
      </c>
      <c r="Q130">
        <f>IF($D130=1,ROUND(Keys!$C$2/(INDEX(Src_SYSHECF_nuclear!$O$5:$O$292,MATCH($C130,Src_SYSHECF_nuclear!$C$5:$C$292,0))*$E130),Keys!$C$5),Keys!$C$4)</f>
        <v>0.9</v>
      </c>
      <c r="R130">
        <f>IF($D130=1,ROUND(Keys!$C$2/(INDEX(Src_SYSHECF_nuclear!$P$5:$P$292,MATCH($C130,Src_SYSHECF_nuclear!$C$5:$C$292,0))*$E130),Keys!$C$5),Keys!$C$4)</f>
        <v>0.9</v>
      </c>
      <c r="S130">
        <f>IF($D130=1,ROUND(Keys!$C$2/(INDEX(Src_SYSHECF_nuclear!$Q$5:$Q$292,MATCH($C130,Src_SYSHECF_nuclear!$C$5:$C$292,0))*$E130),Keys!$C$5),Keys!$C$4)</f>
        <v>0.9</v>
      </c>
      <c r="T130">
        <f>IF($D130=1,ROUND(Keys!$C$2/(INDEX(Src_SYSHECF_nuclear!$R$5:$R$292,MATCH($C130,Src_SYSHECF_nuclear!$C$5:$C$292,0))*$E130),Keys!$C$5),Keys!$C$4)</f>
        <v>0.9</v>
      </c>
      <c r="U130">
        <f>IF($D130=1,ROUND(Keys!$C$2/(INDEX(Src_SYSHECF_nuclear!$S$5:$S$292,MATCH($C130,Src_SYSHECF_nuclear!$C$5:$C$292,0))*$E130),Keys!$C$5),Keys!$C$4)</f>
        <v>0.9</v>
      </c>
      <c r="V130">
        <f>IF($D130=1,ROUND(Keys!$C$2/(INDEX(Src_SYSHECF_nuclear!$T$5:$T$292,MATCH($C130,Src_SYSHECF_nuclear!$C$5:$C$292,0))*$E130),Keys!$C$5),Keys!$C$4)</f>
        <v>0.9</v>
      </c>
      <c r="W130">
        <f>IF($D130=1,ROUND(Keys!$C$2/(INDEX(Src_SYSHECF_nuclear!$U$5:$U$292,MATCH($C130,Src_SYSHECF_nuclear!$C$5:$C$292,0))*$E130),Keys!$C$5),Keys!$C$4)</f>
        <v>0.9</v>
      </c>
      <c r="X130">
        <f>IF($D130=1,ROUND(Keys!$C$2/(INDEX(Src_SYSHECF_nuclear!$V$5:$V$292,MATCH($C130,Src_SYSHECF_nuclear!$C$5:$C$292,0))*$E130),Keys!$C$5),Keys!$C$4)</f>
        <v>0.9</v>
      </c>
      <c r="Y130">
        <f>IF($D130=1,ROUND(Keys!$C$2/(INDEX(Src_SYSHECF_nuclear!$W$5:$W$292,MATCH($C130,Src_SYSHECF_nuclear!$C$5:$C$292,0))*$E130),Keys!$C$5),Keys!$C$4)</f>
        <v>0.9</v>
      </c>
      <c r="Z130">
        <f>IF($D130=1,ROUND(Keys!$C$2/(INDEX(Src_SYSHECF_nuclear!$X$5:$X$292,MATCH($C130,Src_SYSHECF_nuclear!$C$5:$C$292,0))*$E130),Keys!$C$5),Keys!$C$4)</f>
        <v>0.9</v>
      </c>
      <c r="AA130">
        <f>IF($D130=1,ROUND(Keys!$C$2/(INDEX(Src_SYSHECF_nuclear!$Y$5:$Y$292,MATCH($C130,Src_SYSHECF_nuclear!$C$5:$C$292,0))*$E130),Keys!$C$5),Keys!$C$4)</f>
        <v>0.9</v>
      </c>
      <c r="AB130">
        <f>IF($D130=1,ROUND(Keys!$C$2/(INDEX(Src_SYSHECF_nuclear!$Z$5:$Z$292,MATCH($C130,Src_SYSHECF_nuclear!$C$5:$C$292,0))*$E130),Keys!$C$5),Keys!$C$4)</f>
        <v>0.9</v>
      </c>
      <c r="AC130">
        <f>IF($D130=1,ROUND(Keys!$C$2/(INDEX(Src_SYSHECF_nuclear!$AA$5:$AA$292,MATCH($C130,Src_SYSHECF_nuclear!$C$5:$C$292,0))*$E130),Keys!$C$5),Keys!$C$4)</f>
        <v>0.9</v>
      </c>
      <c r="AE130">
        <f>IF($D130=1,IF(ABS(INDEX(Src_SYSHECF_nuclear!$D$5:$D$292,MATCH($C130,Src_SYSHECF_nuclear!$C$5:$C$292,0))*$E130*F130-Keys!$C$2)&gt;Keys!$C$6,1,0),0)</f>
        <v>0</v>
      </c>
    </row>
    <row r="131" spans="1:31" x14ac:dyDescent="0.45">
      <c r="A131" t="s">
        <v>36</v>
      </c>
      <c r="B131" t="s">
        <v>427</v>
      </c>
      <c r="C131" t="str">
        <f t="shared" si="2"/>
        <v>IN|Fall</v>
      </c>
      <c r="D131">
        <f>INDEX(Src_BHRaSYC_nuclear!$HF$5:$HF$52,MATCH($A131,Src_BHRaSYC_nuclear!$A$5:$A$52,0))</f>
        <v>0</v>
      </c>
      <c r="E131">
        <f>INDEX(Src_HYECFCA_nuclear!$B$5:$B$52,MATCH($A131,Src_HYECFCA_nuclear!$A$5:$A$52,0))</f>
        <v>1</v>
      </c>
      <c r="F131">
        <f>IF($D131=1,ROUND(Keys!$C$2/(INDEX(Src_SYSHECF_nuclear!$D$5:$D$292,MATCH($C131,Src_SYSHECF_nuclear!$C$5:$C$292,0))*$E131),Keys!$C$5),Keys!$C$4)</f>
        <v>0.9</v>
      </c>
      <c r="G131">
        <f>IF($D131=1,ROUND(Keys!$C$2/(INDEX(Src_SYSHECF_nuclear!$E$5:$E$292,MATCH($C131,Src_SYSHECF_nuclear!$C$5:$C$292,0))*$E131),Keys!$C$5),Keys!$C$4)</f>
        <v>0.9</v>
      </c>
      <c r="H131">
        <f>IF($D131=1,ROUND(Keys!$C$2/(INDEX(Src_SYSHECF_nuclear!$F$5:$F$292,MATCH($C131,Src_SYSHECF_nuclear!$C$5:$C$292,0))*$E131),Keys!$C$5),Keys!$C$4)</f>
        <v>0.9</v>
      </c>
      <c r="I131">
        <f>IF($D131=1,ROUND(Keys!$C$2/(INDEX(Src_SYSHECF_nuclear!$G$5:$G$292,MATCH($C131,Src_SYSHECF_nuclear!$C$5:$C$292,0))*$E131),Keys!$C$5),Keys!$C$4)</f>
        <v>0.9</v>
      </c>
      <c r="J131">
        <f>IF($D131=1,ROUND(Keys!$C$2/(INDEX(Src_SYSHECF_nuclear!$H$5:$H$292,MATCH($C131,Src_SYSHECF_nuclear!$C$5:$C$292,0))*$E131),Keys!$C$5),Keys!$C$4)</f>
        <v>0.9</v>
      </c>
      <c r="K131">
        <f>IF($D131=1,ROUND(Keys!$C$2/(INDEX(Src_SYSHECF_nuclear!$I$5:$I$292,MATCH($C131,Src_SYSHECF_nuclear!$C$5:$C$292,0))*$E131),Keys!$C$5),Keys!$C$4)</f>
        <v>0.9</v>
      </c>
      <c r="L131">
        <f>IF($D131=1,ROUND(Keys!$C$2/(INDEX(Src_SYSHECF_nuclear!$J$5:$J$292,MATCH($C131,Src_SYSHECF_nuclear!$C$5:$C$292,0))*$E131),Keys!$C$5),Keys!$C$4)</f>
        <v>0.9</v>
      </c>
      <c r="M131">
        <f>IF($D131=1,ROUND(Keys!$C$2/(INDEX(Src_SYSHECF_nuclear!$K$5:$K$292,MATCH($C131,Src_SYSHECF_nuclear!$C$5:$C$292,0))*$E131),Keys!$C$5),Keys!$C$4)</f>
        <v>0.9</v>
      </c>
      <c r="N131">
        <f>IF($D131=1,ROUND(Keys!$C$2/(INDEX(Src_SYSHECF_nuclear!$L$5:$L$292,MATCH($C131,Src_SYSHECF_nuclear!$C$5:$C$292,0))*$E131),Keys!$C$5),Keys!$C$4)</f>
        <v>0.9</v>
      </c>
      <c r="O131">
        <f>IF($D131=1,ROUND(Keys!$C$2/(INDEX(Src_SYSHECF_nuclear!$M$5:$M$292,MATCH($C131,Src_SYSHECF_nuclear!$C$5:$C$292,0))*$E131),Keys!$C$5),Keys!$C$4)</f>
        <v>0.9</v>
      </c>
      <c r="P131">
        <f>IF($D131=1,ROUND(Keys!$C$2/(INDEX(Src_SYSHECF_nuclear!$N$5:$N$292,MATCH($C131,Src_SYSHECF_nuclear!$C$5:$C$292,0))*$E131),Keys!$C$5),Keys!$C$4)</f>
        <v>0.9</v>
      </c>
      <c r="Q131">
        <f>IF($D131=1,ROUND(Keys!$C$2/(INDEX(Src_SYSHECF_nuclear!$O$5:$O$292,MATCH($C131,Src_SYSHECF_nuclear!$C$5:$C$292,0))*$E131),Keys!$C$5),Keys!$C$4)</f>
        <v>0.9</v>
      </c>
      <c r="R131">
        <f>IF($D131=1,ROUND(Keys!$C$2/(INDEX(Src_SYSHECF_nuclear!$P$5:$P$292,MATCH($C131,Src_SYSHECF_nuclear!$C$5:$C$292,0))*$E131),Keys!$C$5),Keys!$C$4)</f>
        <v>0.9</v>
      </c>
      <c r="S131">
        <f>IF($D131=1,ROUND(Keys!$C$2/(INDEX(Src_SYSHECF_nuclear!$Q$5:$Q$292,MATCH($C131,Src_SYSHECF_nuclear!$C$5:$C$292,0))*$E131),Keys!$C$5),Keys!$C$4)</f>
        <v>0.9</v>
      </c>
      <c r="T131">
        <f>IF($D131=1,ROUND(Keys!$C$2/(INDEX(Src_SYSHECF_nuclear!$R$5:$R$292,MATCH($C131,Src_SYSHECF_nuclear!$C$5:$C$292,0))*$E131),Keys!$C$5),Keys!$C$4)</f>
        <v>0.9</v>
      </c>
      <c r="U131">
        <f>IF($D131=1,ROUND(Keys!$C$2/(INDEX(Src_SYSHECF_nuclear!$S$5:$S$292,MATCH($C131,Src_SYSHECF_nuclear!$C$5:$C$292,0))*$E131),Keys!$C$5),Keys!$C$4)</f>
        <v>0.9</v>
      </c>
      <c r="V131">
        <f>IF($D131=1,ROUND(Keys!$C$2/(INDEX(Src_SYSHECF_nuclear!$T$5:$T$292,MATCH($C131,Src_SYSHECF_nuclear!$C$5:$C$292,0))*$E131),Keys!$C$5),Keys!$C$4)</f>
        <v>0.9</v>
      </c>
      <c r="W131">
        <f>IF($D131=1,ROUND(Keys!$C$2/(INDEX(Src_SYSHECF_nuclear!$U$5:$U$292,MATCH($C131,Src_SYSHECF_nuclear!$C$5:$C$292,0))*$E131),Keys!$C$5),Keys!$C$4)</f>
        <v>0.9</v>
      </c>
      <c r="X131">
        <f>IF($D131=1,ROUND(Keys!$C$2/(INDEX(Src_SYSHECF_nuclear!$V$5:$V$292,MATCH($C131,Src_SYSHECF_nuclear!$C$5:$C$292,0))*$E131),Keys!$C$5),Keys!$C$4)</f>
        <v>0.9</v>
      </c>
      <c r="Y131">
        <f>IF($D131=1,ROUND(Keys!$C$2/(INDEX(Src_SYSHECF_nuclear!$W$5:$W$292,MATCH($C131,Src_SYSHECF_nuclear!$C$5:$C$292,0))*$E131),Keys!$C$5),Keys!$C$4)</f>
        <v>0.9</v>
      </c>
      <c r="Z131">
        <f>IF($D131=1,ROUND(Keys!$C$2/(INDEX(Src_SYSHECF_nuclear!$X$5:$X$292,MATCH($C131,Src_SYSHECF_nuclear!$C$5:$C$292,0))*$E131),Keys!$C$5),Keys!$C$4)</f>
        <v>0.9</v>
      </c>
      <c r="AA131">
        <f>IF($D131=1,ROUND(Keys!$C$2/(INDEX(Src_SYSHECF_nuclear!$Y$5:$Y$292,MATCH($C131,Src_SYSHECF_nuclear!$C$5:$C$292,0))*$E131),Keys!$C$5),Keys!$C$4)</f>
        <v>0.9</v>
      </c>
      <c r="AB131">
        <f>IF($D131=1,ROUND(Keys!$C$2/(INDEX(Src_SYSHECF_nuclear!$Z$5:$Z$292,MATCH($C131,Src_SYSHECF_nuclear!$C$5:$C$292,0))*$E131),Keys!$C$5),Keys!$C$4)</f>
        <v>0.9</v>
      </c>
      <c r="AC131">
        <f>IF($D131=1,ROUND(Keys!$C$2/(INDEX(Src_SYSHECF_nuclear!$AA$5:$AA$292,MATCH($C131,Src_SYSHECF_nuclear!$C$5:$C$292,0))*$E131),Keys!$C$5),Keys!$C$4)</f>
        <v>0.9</v>
      </c>
      <c r="AE131">
        <f>IF($D131=1,IF(ABS(INDEX(Src_SYSHECF_nuclear!$D$5:$D$292,MATCH($C131,Src_SYSHECF_nuclear!$C$5:$C$292,0))*$E131*F131-Keys!$C$2)&gt;Keys!$C$6,1,0),0)</f>
        <v>0</v>
      </c>
    </row>
    <row r="132" spans="1:31" x14ac:dyDescent="0.45">
      <c r="A132" t="s">
        <v>36</v>
      </c>
      <c r="B132" t="s">
        <v>428</v>
      </c>
      <c r="C132" t="str">
        <f t="shared" si="2"/>
        <v>IN|Summer Peak</v>
      </c>
      <c r="D132">
        <f>INDEX(Src_BHRaSYC_nuclear!$HF$5:$HF$52,MATCH($A132,Src_BHRaSYC_nuclear!$A$5:$A$52,0))</f>
        <v>0</v>
      </c>
      <c r="E132">
        <f>INDEX(Src_HYECFCA_nuclear!$B$5:$B$52,MATCH($A132,Src_HYECFCA_nuclear!$A$5:$A$52,0))</f>
        <v>1</v>
      </c>
      <c r="F132">
        <f>IF($D132=1,ROUND(Keys!$C$2/(INDEX(Src_SYSHECF_nuclear!$D$5:$D$292,MATCH($C132,Src_SYSHECF_nuclear!$C$5:$C$292,0))*$E132),Keys!$C$5),Keys!$C$4)</f>
        <v>0.9</v>
      </c>
      <c r="G132">
        <f>IF($D132=1,ROUND(Keys!$C$2/(INDEX(Src_SYSHECF_nuclear!$E$5:$E$292,MATCH($C132,Src_SYSHECF_nuclear!$C$5:$C$292,0))*$E132),Keys!$C$5),Keys!$C$4)</f>
        <v>0.9</v>
      </c>
      <c r="H132">
        <f>IF($D132=1,ROUND(Keys!$C$2/(INDEX(Src_SYSHECF_nuclear!$F$5:$F$292,MATCH($C132,Src_SYSHECF_nuclear!$C$5:$C$292,0))*$E132),Keys!$C$5),Keys!$C$4)</f>
        <v>0.9</v>
      </c>
      <c r="I132">
        <f>IF($D132=1,ROUND(Keys!$C$2/(INDEX(Src_SYSHECF_nuclear!$G$5:$G$292,MATCH($C132,Src_SYSHECF_nuclear!$C$5:$C$292,0))*$E132),Keys!$C$5),Keys!$C$4)</f>
        <v>0.9</v>
      </c>
      <c r="J132">
        <f>IF($D132=1,ROUND(Keys!$C$2/(INDEX(Src_SYSHECF_nuclear!$H$5:$H$292,MATCH($C132,Src_SYSHECF_nuclear!$C$5:$C$292,0))*$E132),Keys!$C$5),Keys!$C$4)</f>
        <v>0.9</v>
      </c>
      <c r="K132">
        <f>IF($D132=1,ROUND(Keys!$C$2/(INDEX(Src_SYSHECF_nuclear!$I$5:$I$292,MATCH($C132,Src_SYSHECF_nuclear!$C$5:$C$292,0))*$E132),Keys!$C$5),Keys!$C$4)</f>
        <v>0.9</v>
      </c>
      <c r="L132">
        <f>IF($D132=1,ROUND(Keys!$C$2/(INDEX(Src_SYSHECF_nuclear!$J$5:$J$292,MATCH($C132,Src_SYSHECF_nuclear!$C$5:$C$292,0))*$E132),Keys!$C$5),Keys!$C$4)</f>
        <v>0.9</v>
      </c>
      <c r="M132">
        <f>IF($D132=1,ROUND(Keys!$C$2/(INDEX(Src_SYSHECF_nuclear!$K$5:$K$292,MATCH($C132,Src_SYSHECF_nuclear!$C$5:$C$292,0))*$E132),Keys!$C$5),Keys!$C$4)</f>
        <v>0.9</v>
      </c>
      <c r="N132">
        <f>IF($D132=1,ROUND(Keys!$C$2/(INDEX(Src_SYSHECF_nuclear!$L$5:$L$292,MATCH($C132,Src_SYSHECF_nuclear!$C$5:$C$292,0))*$E132),Keys!$C$5),Keys!$C$4)</f>
        <v>0.9</v>
      </c>
      <c r="O132">
        <f>IF($D132=1,ROUND(Keys!$C$2/(INDEX(Src_SYSHECF_nuclear!$M$5:$M$292,MATCH($C132,Src_SYSHECF_nuclear!$C$5:$C$292,0))*$E132),Keys!$C$5),Keys!$C$4)</f>
        <v>0.9</v>
      </c>
      <c r="P132">
        <f>IF($D132=1,ROUND(Keys!$C$2/(INDEX(Src_SYSHECF_nuclear!$N$5:$N$292,MATCH($C132,Src_SYSHECF_nuclear!$C$5:$C$292,0))*$E132),Keys!$C$5),Keys!$C$4)</f>
        <v>0.9</v>
      </c>
      <c r="Q132">
        <f>IF($D132=1,ROUND(Keys!$C$2/(INDEX(Src_SYSHECF_nuclear!$O$5:$O$292,MATCH($C132,Src_SYSHECF_nuclear!$C$5:$C$292,0))*$E132),Keys!$C$5),Keys!$C$4)</f>
        <v>0.9</v>
      </c>
      <c r="R132">
        <f>IF($D132=1,ROUND(Keys!$C$2/(INDEX(Src_SYSHECF_nuclear!$P$5:$P$292,MATCH($C132,Src_SYSHECF_nuclear!$C$5:$C$292,0))*$E132),Keys!$C$5),Keys!$C$4)</f>
        <v>0.9</v>
      </c>
      <c r="S132">
        <f>IF($D132=1,ROUND(Keys!$C$2/(INDEX(Src_SYSHECF_nuclear!$Q$5:$Q$292,MATCH($C132,Src_SYSHECF_nuclear!$C$5:$C$292,0))*$E132),Keys!$C$5),Keys!$C$4)</f>
        <v>0.9</v>
      </c>
      <c r="T132">
        <f>IF($D132=1,ROUND(Keys!$C$2/(INDEX(Src_SYSHECF_nuclear!$R$5:$R$292,MATCH($C132,Src_SYSHECF_nuclear!$C$5:$C$292,0))*$E132),Keys!$C$5),Keys!$C$4)</f>
        <v>0.9</v>
      </c>
      <c r="U132">
        <f>IF($D132=1,ROUND(Keys!$C$2/(INDEX(Src_SYSHECF_nuclear!$S$5:$S$292,MATCH($C132,Src_SYSHECF_nuclear!$C$5:$C$292,0))*$E132),Keys!$C$5),Keys!$C$4)</f>
        <v>0.9</v>
      </c>
      <c r="V132">
        <f>IF($D132=1,ROUND(Keys!$C$2/(INDEX(Src_SYSHECF_nuclear!$T$5:$T$292,MATCH($C132,Src_SYSHECF_nuclear!$C$5:$C$292,0))*$E132),Keys!$C$5),Keys!$C$4)</f>
        <v>0.9</v>
      </c>
      <c r="W132">
        <f>IF($D132=1,ROUND(Keys!$C$2/(INDEX(Src_SYSHECF_nuclear!$U$5:$U$292,MATCH($C132,Src_SYSHECF_nuclear!$C$5:$C$292,0))*$E132),Keys!$C$5),Keys!$C$4)</f>
        <v>0.9</v>
      </c>
      <c r="X132">
        <f>IF($D132=1,ROUND(Keys!$C$2/(INDEX(Src_SYSHECF_nuclear!$V$5:$V$292,MATCH($C132,Src_SYSHECF_nuclear!$C$5:$C$292,0))*$E132),Keys!$C$5),Keys!$C$4)</f>
        <v>0.9</v>
      </c>
      <c r="Y132">
        <f>IF($D132=1,ROUND(Keys!$C$2/(INDEX(Src_SYSHECF_nuclear!$W$5:$W$292,MATCH($C132,Src_SYSHECF_nuclear!$C$5:$C$292,0))*$E132),Keys!$C$5),Keys!$C$4)</f>
        <v>0.9</v>
      </c>
      <c r="Z132">
        <f>IF($D132=1,ROUND(Keys!$C$2/(INDEX(Src_SYSHECF_nuclear!$X$5:$X$292,MATCH($C132,Src_SYSHECF_nuclear!$C$5:$C$292,0))*$E132),Keys!$C$5),Keys!$C$4)</f>
        <v>0.9</v>
      </c>
      <c r="AA132">
        <f>IF($D132=1,ROUND(Keys!$C$2/(INDEX(Src_SYSHECF_nuclear!$Y$5:$Y$292,MATCH($C132,Src_SYSHECF_nuclear!$C$5:$C$292,0))*$E132),Keys!$C$5),Keys!$C$4)</f>
        <v>0.9</v>
      </c>
      <c r="AB132">
        <f>IF($D132=1,ROUND(Keys!$C$2/(INDEX(Src_SYSHECF_nuclear!$Z$5:$Z$292,MATCH($C132,Src_SYSHECF_nuclear!$C$5:$C$292,0))*$E132),Keys!$C$5),Keys!$C$4)</f>
        <v>0.9</v>
      </c>
      <c r="AC132">
        <f>IF($D132=1,ROUND(Keys!$C$2/(INDEX(Src_SYSHECF_nuclear!$AA$5:$AA$292,MATCH($C132,Src_SYSHECF_nuclear!$C$5:$C$292,0))*$E132),Keys!$C$5),Keys!$C$4)</f>
        <v>0.9</v>
      </c>
      <c r="AE132">
        <f>IF($D132=1,IF(ABS(INDEX(Src_SYSHECF_nuclear!$D$5:$D$292,MATCH($C132,Src_SYSHECF_nuclear!$C$5:$C$292,0))*$E132*F132-Keys!$C$2)&gt;Keys!$C$6,1,0),0)</f>
        <v>0</v>
      </c>
    </row>
    <row r="133" spans="1:31" x14ac:dyDescent="0.45">
      <c r="A133" t="s">
        <v>36</v>
      </c>
      <c r="B133" t="s">
        <v>429</v>
      </c>
      <c r="C133" t="str">
        <f t="shared" si="2"/>
        <v>IN|Winter Peak</v>
      </c>
      <c r="D133">
        <f>INDEX(Src_BHRaSYC_nuclear!$HF$5:$HF$52,MATCH($A133,Src_BHRaSYC_nuclear!$A$5:$A$52,0))</f>
        <v>0</v>
      </c>
      <c r="E133">
        <f>INDEX(Src_HYECFCA_nuclear!$B$5:$B$52,MATCH($A133,Src_HYECFCA_nuclear!$A$5:$A$52,0))</f>
        <v>1</v>
      </c>
      <c r="F133">
        <f>IF($D133=1,ROUND(Keys!$C$2/(INDEX(Src_SYSHECF_nuclear!$D$5:$D$292,MATCH($C133,Src_SYSHECF_nuclear!$C$5:$C$292,0))*$E133),Keys!$C$5),Keys!$C$4)</f>
        <v>0.9</v>
      </c>
      <c r="G133">
        <f>IF($D133=1,ROUND(Keys!$C$2/(INDEX(Src_SYSHECF_nuclear!$E$5:$E$292,MATCH($C133,Src_SYSHECF_nuclear!$C$5:$C$292,0))*$E133),Keys!$C$5),Keys!$C$4)</f>
        <v>0.9</v>
      </c>
      <c r="H133">
        <f>IF($D133=1,ROUND(Keys!$C$2/(INDEX(Src_SYSHECF_nuclear!$F$5:$F$292,MATCH($C133,Src_SYSHECF_nuclear!$C$5:$C$292,0))*$E133),Keys!$C$5),Keys!$C$4)</f>
        <v>0.9</v>
      </c>
      <c r="I133">
        <f>IF($D133=1,ROUND(Keys!$C$2/(INDEX(Src_SYSHECF_nuclear!$G$5:$G$292,MATCH($C133,Src_SYSHECF_nuclear!$C$5:$C$292,0))*$E133),Keys!$C$5),Keys!$C$4)</f>
        <v>0.9</v>
      </c>
      <c r="J133">
        <f>IF($D133=1,ROUND(Keys!$C$2/(INDEX(Src_SYSHECF_nuclear!$H$5:$H$292,MATCH($C133,Src_SYSHECF_nuclear!$C$5:$C$292,0))*$E133),Keys!$C$5),Keys!$C$4)</f>
        <v>0.9</v>
      </c>
      <c r="K133">
        <f>IF($D133=1,ROUND(Keys!$C$2/(INDEX(Src_SYSHECF_nuclear!$I$5:$I$292,MATCH($C133,Src_SYSHECF_nuclear!$C$5:$C$292,0))*$E133),Keys!$C$5),Keys!$C$4)</f>
        <v>0.9</v>
      </c>
      <c r="L133">
        <f>IF($D133=1,ROUND(Keys!$C$2/(INDEX(Src_SYSHECF_nuclear!$J$5:$J$292,MATCH($C133,Src_SYSHECF_nuclear!$C$5:$C$292,0))*$E133),Keys!$C$5),Keys!$C$4)</f>
        <v>0.9</v>
      </c>
      <c r="M133">
        <f>IF($D133=1,ROUND(Keys!$C$2/(INDEX(Src_SYSHECF_nuclear!$K$5:$K$292,MATCH($C133,Src_SYSHECF_nuclear!$C$5:$C$292,0))*$E133),Keys!$C$5),Keys!$C$4)</f>
        <v>0.9</v>
      </c>
      <c r="N133">
        <f>IF($D133=1,ROUND(Keys!$C$2/(INDEX(Src_SYSHECF_nuclear!$L$5:$L$292,MATCH($C133,Src_SYSHECF_nuclear!$C$5:$C$292,0))*$E133),Keys!$C$5),Keys!$C$4)</f>
        <v>0.9</v>
      </c>
      <c r="O133">
        <f>IF($D133=1,ROUND(Keys!$C$2/(INDEX(Src_SYSHECF_nuclear!$M$5:$M$292,MATCH($C133,Src_SYSHECF_nuclear!$C$5:$C$292,0))*$E133),Keys!$C$5),Keys!$C$4)</f>
        <v>0.9</v>
      </c>
      <c r="P133">
        <f>IF($D133=1,ROUND(Keys!$C$2/(INDEX(Src_SYSHECF_nuclear!$N$5:$N$292,MATCH($C133,Src_SYSHECF_nuclear!$C$5:$C$292,0))*$E133),Keys!$C$5),Keys!$C$4)</f>
        <v>0.9</v>
      </c>
      <c r="Q133">
        <f>IF($D133=1,ROUND(Keys!$C$2/(INDEX(Src_SYSHECF_nuclear!$O$5:$O$292,MATCH($C133,Src_SYSHECF_nuclear!$C$5:$C$292,0))*$E133),Keys!$C$5),Keys!$C$4)</f>
        <v>0.9</v>
      </c>
      <c r="R133">
        <f>IF($D133=1,ROUND(Keys!$C$2/(INDEX(Src_SYSHECF_nuclear!$P$5:$P$292,MATCH($C133,Src_SYSHECF_nuclear!$C$5:$C$292,0))*$E133),Keys!$C$5),Keys!$C$4)</f>
        <v>0.9</v>
      </c>
      <c r="S133">
        <f>IF($D133=1,ROUND(Keys!$C$2/(INDEX(Src_SYSHECF_nuclear!$Q$5:$Q$292,MATCH($C133,Src_SYSHECF_nuclear!$C$5:$C$292,0))*$E133),Keys!$C$5),Keys!$C$4)</f>
        <v>0.9</v>
      </c>
      <c r="T133">
        <f>IF($D133=1,ROUND(Keys!$C$2/(INDEX(Src_SYSHECF_nuclear!$R$5:$R$292,MATCH($C133,Src_SYSHECF_nuclear!$C$5:$C$292,0))*$E133),Keys!$C$5),Keys!$C$4)</f>
        <v>0.9</v>
      </c>
      <c r="U133">
        <f>IF($D133=1,ROUND(Keys!$C$2/(INDEX(Src_SYSHECF_nuclear!$S$5:$S$292,MATCH($C133,Src_SYSHECF_nuclear!$C$5:$C$292,0))*$E133),Keys!$C$5),Keys!$C$4)</f>
        <v>0.9</v>
      </c>
      <c r="V133">
        <f>IF($D133=1,ROUND(Keys!$C$2/(INDEX(Src_SYSHECF_nuclear!$T$5:$T$292,MATCH($C133,Src_SYSHECF_nuclear!$C$5:$C$292,0))*$E133),Keys!$C$5),Keys!$C$4)</f>
        <v>0.9</v>
      </c>
      <c r="W133">
        <f>IF($D133=1,ROUND(Keys!$C$2/(INDEX(Src_SYSHECF_nuclear!$U$5:$U$292,MATCH($C133,Src_SYSHECF_nuclear!$C$5:$C$292,0))*$E133),Keys!$C$5),Keys!$C$4)</f>
        <v>0.9</v>
      </c>
      <c r="X133">
        <f>IF($D133=1,ROUND(Keys!$C$2/(INDEX(Src_SYSHECF_nuclear!$V$5:$V$292,MATCH($C133,Src_SYSHECF_nuclear!$C$5:$C$292,0))*$E133),Keys!$C$5),Keys!$C$4)</f>
        <v>0.9</v>
      </c>
      <c r="Y133">
        <f>IF($D133=1,ROUND(Keys!$C$2/(INDEX(Src_SYSHECF_nuclear!$W$5:$W$292,MATCH($C133,Src_SYSHECF_nuclear!$C$5:$C$292,0))*$E133),Keys!$C$5),Keys!$C$4)</f>
        <v>0.9</v>
      </c>
      <c r="Z133">
        <f>IF($D133=1,ROUND(Keys!$C$2/(INDEX(Src_SYSHECF_nuclear!$X$5:$X$292,MATCH($C133,Src_SYSHECF_nuclear!$C$5:$C$292,0))*$E133),Keys!$C$5),Keys!$C$4)</f>
        <v>0.9</v>
      </c>
      <c r="AA133">
        <f>IF($D133=1,ROUND(Keys!$C$2/(INDEX(Src_SYSHECF_nuclear!$Y$5:$Y$292,MATCH($C133,Src_SYSHECF_nuclear!$C$5:$C$292,0))*$E133),Keys!$C$5),Keys!$C$4)</f>
        <v>0.9</v>
      </c>
      <c r="AB133">
        <f>IF($D133=1,ROUND(Keys!$C$2/(INDEX(Src_SYSHECF_nuclear!$Z$5:$Z$292,MATCH($C133,Src_SYSHECF_nuclear!$C$5:$C$292,0))*$E133),Keys!$C$5),Keys!$C$4)</f>
        <v>0.9</v>
      </c>
      <c r="AC133">
        <f>IF($D133=1,ROUND(Keys!$C$2/(INDEX(Src_SYSHECF_nuclear!$AA$5:$AA$292,MATCH($C133,Src_SYSHECF_nuclear!$C$5:$C$292,0))*$E133),Keys!$C$5),Keys!$C$4)</f>
        <v>0.9</v>
      </c>
      <c r="AE133">
        <f>IF($D133=1,IF(ABS(INDEX(Src_SYSHECF_nuclear!$D$5:$D$292,MATCH($C133,Src_SYSHECF_nuclear!$C$5:$C$292,0))*$E133*F133-Keys!$C$2)&gt;Keys!$C$6,1,0),0)</f>
        <v>0</v>
      </c>
    </row>
    <row r="134" spans="1:31" x14ac:dyDescent="0.45">
      <c r="A134" t="s">
        <v>39</v>
      </c>
      <c r="B134" t="s">
        <v>424</v>
      </c>
      <c r="C134" t="str">
        <f t="shared" si="2"/>
        <v>KS|Winter</v>
      </c>
      <c r="D134">
        <f>INDEX(Src_BHRaSYC_nuclear!$HF$5:$HF$52,MATCH($A134,Src_BHRaSYC_nuclear!$A$5:$A$52,0))</f>
        <v>1</v>
      </c>
      <c r="E134">
        <f>INDEX(Src_HYECFCA_nuclear!$B$5:$B$52,MATCH($A134,Src_HYECFCA_nuclear!$A$5:$A$52,0))</f>
        <v>1.0034700000000001</v>
      </c>
      <c r="F134">
        <f>IF($D134=1,ROUND(Keys!$C$2/(INDEX(Src_SYSHECF_nuclear!$D$5:$D$292,MATCH($C134,Src_SYSHECF_nuclear!$C$5:$C$292,0))*$E134),Keys!$C$5),Keys!$C$4)</f>
        <v>1.2716000000000001</v>
      </c>
      <c r="G134">
        <f>IF($D134=1,ROUND(Keys!$C$2/(INDEX(Src_SYSHECF_nuclear!$E$5:$E$292,MATCH($C134,Src_SYSHECF_nuclear!$C$5:$C$292,0))*$E134),Keys!$C$5),Keys!$C$4)</f>
        <v>1.3015000000000001</v>
      </c>
      <c r="H134">
        <f>IF($D134=1,ROUND(Keys!$C$2/(INDEX(Src_SYSHECF_nuclear!$F$5:$F$292,MATCH($C134,Src_SYSHECF_nuclear!$C$5:$C$292,0))*$E134),Keys!$C$5),Keys!$C$4)</f>
        <v>1.3219000000000001</v>
      </c>
      <c r="I134">
        <f>IF($D134=1,ROUND(Keys!$C$2/(INDEX(Src_SYSHECF_nuclear!$G$5:$G$292,MATCH($C134,Src_SYSHECF_nuclear!$C$5:$C$292,0))*$E134),Keys!$C$5),Keys!$C$4)</f>
        <v>1.3237000000000001</v>
      </c>
      <c r="J134">
        <f>IF($D134=1,ROUND(Keys!$C$2/(INDEX(Src_SYSHECF_nuclear!$H$5:$H$292,MATCH($C134,Src_SYSHECF_nuclear!$C$5:$C$292,0))*$E134),Keys!$C$5),Keys!$C$4)</f>
        <v>1.3313999999999999</v>
      </c>
      <c r="K134">
        <f>IF($D134=1,ROUND(Keys!$C$2/(INDEX(Src_SYSHECF_nuclear!$I$5:$I$292,MATCH($C134,Src_SYSHECF_nuclear!$C$5:$C$292,0))*$E134),Keys!$C$5),Keys!$C$4)</f>
        <v>1.2897000000000001</v>
      </c>
      <c r="L134">
        <f>IF($D134=1,ROUND(Keys!$C$2/(INDEX(Src_SYSHECF_nuclear!$J$5:$J$292,MATCH($C134,Src_SYSHECF_nuclear!$C$5:$C$292,0))*$E134),Keys!$C$5),Keys!$C$4)</f>
        <v>1.2345999999999999</v>
      </c>
      <c r="M134">
        <f>IF($D134=1,ROUND(Keys!$C$2/(INDEX(Src_SYSHECF_nuclear!$K$5:$K$292,MATCH($C134,Src_SYSHECF_nuclear!$C$5:$C$292,0))*$E134),Keys!$C$5),Keys!$C$4)</f>
        <v>1.2142999999999999</v>
      </c>
      <c r="N134">
        <f>IF($D134=1,ROUND(Keys!$C$2/(INDEX(Src_SYSHECF_nuclear!$L$5:$L$292,MATCH($C134,Src_SYSHECF_nuclear!$C$5:$C$292,0))*$E134),Keys!$C$5),Keys!$C$4)</f>
        <v>1.2234</v>
      </c>
      <c r="O134">
        <f>IF($D134=1,ROUND(Keys!$C$2/(INDEX(Src_SYSHECF_nuclear!$M$5:$M$292,MATCH($C134,Src_SYSHECF_nuclear!$C$5:$C$292,0))*$E134),Keys!$C$5),Keys!$C$4)</f>
        <v>1.2233000000000001</v>
      </c>
      <c r="P134">
        <f>IF($D134=1,ROUND(Keys!$C$2/(INDEX(Src_SYSHECF_nuclear!$N$5:$N$292,MATCH($C134,Src_SYSHECF_nuclear!$C$5:$C$292,0))*$E134),Keys!$C$5),Keys!$C$4)</f>
        <v>1.1979</v>
      </c>
      <c r="Q134">
        <f>IF($D134=1,ROUND(Keys!$C$2/(INDEX(Src_SYSHECF_nuclear!$O$5:$O$292,MATCH($C134,Src_SYSHECF_nuclear!$C$5:$C$292,0))*$E134),Keys!$C$5),Keys!$C$4)</f>
        <v>1.2250000000000001</v>
      </c>
      <c r="R134">
        <f>IF($D134=1,ROUND(Keys!$C$2/(INDEX(Src_SYSHECF_nuclear!$P$5:$P$292,MATCH($C134,Src_SYSHECF_nuclear!$C$5:$C$292,0))*$E134),Keys!$C$5),Keys!$C$4)</f>
        <v>1.2211000000000001</v>
      </c>
      <c r="S134">
        <f>IF($D134=1,ROUND(Keys!$C$2/(INDEX(Src_SYSHECF_nuclear!$Q$5:$Q$292,MATCH($C134,Src_SYSHECF_nuclear!$C$5:$C$292,0))*$E134),Keys!$C$5),Keys!$C$4)</f>
        <v>1.2282</v>
      </c>
      <c r="T134">
        <f>IF($D134=1,ROUND(Keys!$C$2/(INDEX(Src_SYSHECF_nuclear!$R$5:$R$292,MATCH($C134,Src_SYSHECF_nuclear!$C$5:$C$292,0))*$E134),Keys!$C$5),Keys!$C$4)</f>
        <v>1.2152000000000001</v>
      </c>
      <c r="U134">
        <f>IF($D134=1,ROUND(Keys!$C$2/(INDEX(Src_SYSHECF_nuclear!$S$5:$S$292,MATCH($C134,Src_SYSHECF_nuclear!$C$5:$C$292,0))*$E134),Keys!$C$5),Keys!$C$4)</f>
        <v>1.2000999999999999</v>
      </c>
      <c r="V134">
        <f>IF($D134=1,ROUND(Keys!$C$2/(INDEX(Src_SYSHECF_nuclear!$T$5:$T$292,MATCH($C134,Src_SYSHECF_nuclear!$C$5:$C$292,0))*$E134),Keys!$C$5),Keys!$C$4)</f>
        <v>1.1617999999999999</v>
      </c>
      <c r="W134">
        <f>IF($D134=1,ROUND(Keys!$C$2/(INDEX(Src_SYSHECF_nuclear!$U$5:$U$292,MATCH($C134,Src_SYSHECF_nuclear!$C$5:$C$292,0))*$E134),Keys!$C$5),Keys!$C$4)</f>
        <v>1.1327</v>
      </c>
      <c r="X134">
        <f>IF($D134=1,ROUND(Keys!$C$2/(INDEX(Src_SYSHECF_nuclear!$V$5:$V$292,MATCH($C134,Src_SYSHECF_nuclear!$C$5:$C$292,0))*$E134),Keys!$C$5),Keys!$C$4)</f>
        <v>1.103</v>
      </c>
      <c r="Y134">
        <f>IF($D134=1,ROUND(Keys!$C$2/(INDEX(Src_SYSHECF_nuclear!$W$5:$W$292,MATCH($C134,Src_SYSHECF_nuclear!$C$5:$C$292,0))*$E134),Keys!$C$5),Keys!$C$4)</f>
        <v>1.1081000000000001</v>
      </c>
      <c r="Z134">
        <f>IF($D134=1,ROUND(Keys!$C$2/(INDEX(Src_SYSHECF_nuclear!$X$5:$X$292,MATCH($C134,Src_SYSHECF_nuclear!$C$5:$C$292,0))*$E134),Keys!$C$5),Keys!$C$4)</f>
        <v>1.1276999999999999</v>
      </c>
      <c r="AA134">
        <f>IF($D134=1,ROUND(Keys!$C$2/(INDEX(Src_SYSHECF_nuclear!$Y$5:$Y$292,MATCH($C134,Src_SYSHECF_nuclear!$C$5:$C$292,0))*$E134),Keys!$C$5),Keys!$C$4)</f>
        <v>1.1708000000000001</v>
      </c>
      <c r="AB134">
        <f>IF($D134=1,ROUND(Keys!$C$2/(INDEX(Src_SYSHECF_nuclear!$Z$5:$Z$292,MATCH($C134,Src_SYSHECF_nuclear!$C$5:$C$292,0))*$E134),Keys!$C$5),Keys!$C$4)</f>
        <v>1.1967000000000001</v>
      </c>
      <c r="AC134">
        <f>IF($D134=1,ROUND(Keys!$C$2/(INDEX(Src_SYSHECF_nuclear!$AA$5:$AA$292,MATCH($C134,Src_SYSHECF_nuclear!$C$5:$C$292,0))*$E134),Keys!$C$5),Keys!$C$4)</f>
        <v>1.2339</v>
      </c>
      <c r="AE134">
        <f>IF($D134=1,IF(ABS(INDEX(Src_SYSHECF_nuclear!$D$5:$D$292,MATCH($C134,Src_SYSHECF_nuclear!$C$5:$C$292,0))*$E134*F134-Keys!$C$2)&gt;Keys!$C$6,1,0),0)</f>
        <v>0</v>
      </c>
    </row>
    <row r="135" spans="1:31" x14ac:dyDescent="0.45">
      <c r="A135" t="s">
        <v>39</v>
      </c>
      <c r="B135" t="s">
        <v>425</v>
      </c>
      <c r="C135" t="str">
        <f t="shared" si="2"/>
        <v>KS|Spring</v>
      </c>
      <c r="D135">
        <f>INDEX(Src_BHRaSYC_nuclear!$HF$5:$HF$52,MATCH($A135,Src_BHRaSYC_nuclear!$A$5:$A$52,0))</f>
        <v>1</v>
      </c>
      <c r="E135">
        <f>INDEX(Src_HYECFCA_nuclear!$B$5:$B$52,MATCH($A135,Src_HYECFCA_nuclear!$A$5:$A$52,0))</f>
        <v>1.0034700000000001</v>
      </c>
      <c r="F135">
        <f>IF($D135=1,ROUND(Keys!$C$2/(INDEX(Src_SYSHECF_nuclear!$D$5:$D$292,MATCH($C135,Src_SYSHECF_nuclear!$C$5:$C$292,0))*$E135),Keys!$C$5),Keys!$C$4)</f>
        <v>1.1865000000000001</v>
      </c>
      <c r="G135">
        <f>IF($D135=1,ROUND(Keys!$C$2/(INDEX(Src_SYSHECF_nuclear!$E$5:$E$292,MATCH($C135,Src_SYSHECF_nuclear!$C$5:$C$292,0))*$E135),Keys!$C$5),Keys!$C$4)</f>
        <v>1.196</v>
      </c>
      <c r="H135">
        <f>IF($D135=1,ROUND(Keys!$C$2/(INDEX(Src_SYSHECF_nuclear!$F$5:$F$292,MATCH($C135,Src_SYSHECF_nuclear!$C$5:$C$292,0))*$E135),Keys!$C$5),Keys!$C$4)</f>
        <v>1.2038</v>
      </c>
      <c r="I135">
        <f>IF($D135=1,ROUND(Keys!$C$2/(INDEX(Src_SYSHECF_nuclear!$G$5:$G$292,MATCH($C135,Src_SYSHECF_nuclear!$C$5:$C$292,0))*$E135),Keys!$C$5),Keys!$C$4)</f>
        <v>1.1915</v>
      </c>
      <c r="J135">
        <f>IF($D135=1,ROUND(Keys!$C$2/(INDEX(Src_SYSHECF_nuclear!$H$5:$H$292,MATCH($C135,Src_SYSHECF_nuclear!$C$5:$C$292,0))*$E135),Keys!$C$5),Keys!$C$4)</f>
        <v>1.1649</v>
      </c>
      <c r="K135">
        <f>IF($D135=1,ROUND(Keys!$C$2/(INDEX(Src_SYSHECF_nuclear!$I$5:$I$292,MATCH($C135,Src_SYSHECF_nuclear!$C$5:$C$292,0))*$E135),Keys!$C$5),Keys!$C$4)</f>
        <v>1.1339999999999999</v>
      </c>
      <c r="L135">
        <f>IF($D135=1,ROUND(Keys!$C$2/(INDEX(Src_SYSHECF_nuclear!$J$5:$J$292,MATCH($C135,Src_SYSHECF_nuclear!$C$5:$C$292,0))*$E135),Keys!$C$5),Keys!$C$4)</f>
        <v>1.087</v>
      </c>
      <c r="M135">
        <f>IF($D135=1,ROUND(Keys!$C$2/(INDEX(Src_SYSHECF_nuclear!$K$5:$K$292,MATCH($C135,Src_SYSHECF_nuclear!$C$5:$C$292,0))*$E135),Keys!$C$5),Keys!$C$4)</f>
        <v>1.0539000000000001</v>
      </c>
      <c r="N135">
        <f>IF($D135=1,ROUND(Keys!$C$2/(INDEX(Src_SYSHECF_nuclear!$L$5:$L$292,MATCH($C135,Src_SYSHECF_nuclear!$C$5:$C$292,0))*$E135),Keys!$C$5),Keys!$C$4)</f>
        <v>1.0556000000000001</v>
      </c>
      <c r="O135">
        <f>IF($D135=1,ROUND(Keys!$C$2/(INDEX(Src_SYSHECF_nuclear!$M$5:$M$292,MATCH($C135,Src_SYSHECF_nuclear!$C$5:$C$292,0))*$E135),Keys!$C$5),Keys!$C$4)</f>
        <v>1.0258</v>
      </c>
      <c r="P135">
        <f>IF($D135=1,ROUND(Keys!$C$2/(INDEX(Src_SYSHECF_nuclear!$N$5:$N$292,MATCH($C135,Src_SYSHECF_nuclear!$C$5:$C$292,0))*$E135),Keys!$C$5),Keys!$C$4)</f>
        <v>1.0207999999999999</v>
      </c>
      <c r="Q135">
        <f>IF($D135=1,ROUND(Keys!$C$2/(INDEX(Src_SYSHECF_nuclear!$O$5:$O$292,MATCH($C135,Src_SYSHECF_nuclear!$C$5:$C$292,0))*$E135),Keys!$C$5),Keys!$C$4)</f>
        <v>1.0208999999999999</v>
      </c>
      <c r="R135">
        <f>IF($D135=1,ROUND(Keys!$C$2/(INDEX(Src_SYSHECF_nuclear!$P$5:$P$292,MATCH($C135,Src_SYSHECF_nuclear!$C$5:$C$292,0))*$E135),Keys!$C$5),Keys!$C$4)</f>
        <v>1.0301</v>
      </c>
      <c r="S135">
        <f>IF($D135=1,ROUND(Keys!$C$2/(INDEX(Src_SYSHECF_nuclear!$Q$5:$Q$292,MATCH($C135,Src_SYSHECF_nuclear!$C$5:$C$292,0))*$E135),Keys!$C$5),Keys!$C$4)</f>
        <v>1.0365</v>
      </c>
      <c r="T135">
        <f>IF($D135=1,ROUND(Keys!$C$2/(INDEX(Src_SYSHECF_nuclear!$R$5:$R$292,MATCH($C135,Src_SYSHECF_nuclear!$C$5:$C$292,0))*$E135),Keys!$C$5),Keys!$C$4)</f>
        <v>1.0365</v>
      </c>
      <c r="U135">
        <f>IF($D135=1,ROUND(Keys!$C$2/(INDEX(Src_SYSHECF_nuclear!$S$5:$S$292,MATCH($C135,Src_SYSHECF_nuclear!$C$5:$C$292,0))*$E135),Keys!$C$5),Keys!$C$4)</f>
        <v>1.0334000000000001</v>
      </c>
      <c r="V135">
        <f>IF($D135=1,ROUND(Keys!$C$2/(INDEX(Src_SYSHECF_nuclear!$T$5:$T$292,MATCH($C135,Src_SYSHECF_nuclear!$C$5:$C$292,0))*$E135),Keys!$C$5),Keys!$C$4)</f>
        <v>1.0361</v>
      </c>
      <c r="W135">
        <f>IF($D135=1,ROUND(Keys!$C$2/(INDEX(Src_SYSHECF_nuclear!$U$5:$U$292,MATCH($C135,Src_SYSHECF_nuclear!$C$5:$C$292,0))*$E135),Keys!$C$5),Keys!$C$4)</f>
        <v>1.0271999999999999</v>
      </c>
      <c r="X135">
        <f>IF($D135=1,ROUND(Keys!$C$2/(INDEX(Src_SYSHECF_nuclear!$V$5:$V$292,MATCH($C135,Src_SYSHECF_nuclear!$C$5:$C$292,0))*$E135),Keys!$C$5),Keys!$C$4)</f>
        <v>1.0271999999999999</v>
      </c>
      <c r="Y135">
        <f>IF($D135=1,ROUND(Keys!$C$2/(INDEX(Src_SYSHECF_nuclear!$W$5:$W$292,MATCH($C135,Src_SYSHECF_nuclear!$C$5:$C$292,0))*$E135),Keys!$C$5),Keys!$C$4)</f>
        <v>1.0427999999999999</v>
      </c>
      <c r="Z135">
        <f>IF($D135=1,ROUND(Keys!$C$2/(INDEX(Src_SYSHECF_nuclear!$X$5:$X$292,MATCH($C135,Src_SYSHECF_nuclear!$C$5:$C$292,0))*$E135),Keys!$C$5),Keys!$C$4)</f>
        <v>1.0601</v>
      </c>
      <c r="AA135">
        <f>IF($D135=1,ROUND(Keys!$C$2/(INDEX(Src_SYSHECF_nuclear!$Y$5:$Y$292,MATCH($C135,Src_SYSHECF_nuclear!$C$5:$C$292,0))*$E135),Keys!$C$5),Keys!$C$4)</f>
        <v>1.0891</v>
      </c>
      <c r="AB135">
        <f>IF($D135=1,ROUND(Keys!$C$2/(INDEX(Src_SYSHECF_nuclear!$Z$5:$Z$292,MATCH($C135,Src_SYSHECF_nuclear!$C$5:$C$292,0))*$E135),Keys!$C$5),Keys!$C$4)</f>
        <v>1.1352</v>
      </c>
      <c r="AC135">
        <f>IF($D135=1,ROUND(Keys!$C$2/(INDEX(Src_SYSHECF_nuclear!$AA$5:$AA$292,MATCH($C135,Src_SYSHECF_nuclear!$C$5:$C$292,0))*$E135),Keys!$C$5),Keys!$C$4)</f>
        <v>1.1760999999999999</v>
      </c>
      <c r="AE135">
        <f>IF($D135=1,IF(ABS(INDEX(Src_SYSHECF_nuclear!$D$5:$D$292,MATCH($C135,Src_SYSHECF_nuclear!$C$5:$C$292,0))*$E135*F135-Keys!$C$2)&gt;Keys!$C$6,1,0),0)</f>
        <v>0</v>
      </c>
    </row>
    <row r="136" spans="1:31" x14ac:dyDescent="0.45">
      <c r="A136" t="s">
        <v>39</v>
      </c>
      <c r="B136" t="s">
        <v>426</v>
      </c>
      <c r="C136" t="str">
        <f t="shared" si="2"/>
        <v>KS|Summer</v>
      </c>
      <c r="D136">
        <f>INDEX(Src_BHRaSYC_nuclear!$HF$5:$HF$52,MATCH($A136,Src_BHRaSYC_nuclear!$A$5:$A$52,0))</f>
        <v>1</v>
      </c>
      <c r="E136">
        <f>INDEX(Src_HYECFCA_nuclear!$B$5:$B$52,MATCH($A136,Src_HYECFCA_nuclear!$A$5:$A$52,0))</f>
        <v>1.0034700000000001</v>
      </c>
      <c r="F136">
        <f>IF($D136=1,ROUND(Keys!$C$2/(INDEX(Src_SYSHECF_nuclear!$D$5:$D$292,MATCH($C136,Src_SYSHECF_nuclear!$C$5:$C$292,0))*$E136),Keys!$C$5),Keys!$C$4)</f>
        <v>1.0892999999999999</v>
      </c>
      <c r="G136">
        <f>IF($D136=1,ROUND(Keys!$C$2/(INDEX(Src_SYSHECF_nuclear!$E$5:$E$292,MATCH($C136,Src_SYSHECF_nuclear!$C$5:$C$292,0))*$E136),Keys!$C$5),Keys!$C$4)</f>
        <v>1.0865</v>
      </c>
      <c r="H136">
        <f>IF($D136=1,ROUND(Keys!$C$2/(INDEX(Src_SYSHECF_nuclear!$F$5:$F$292,MATCH($C136,Src_SYSHECF_nuclear!$C$5:$C$292,0))*$E136),Keys!$C$5),Keys!$C$4)</f>
        <v>1.0803</v>
      </c>
      <c r="I136">
        <f>IF($D136=1,ROUND(Keys!$C$2/(INDEX(Src_SYSHECF_nuclear!$G$5:$G$292,MATCH($C136,Src_SYSHECF_nuclear!$C$5:$C$292,0))*$E136),Keys!$C$5),Keys!$C$4)</f>
        <v>1.0746</v>
      </c>
      <c r="J136">
        <f>IF($D136=1,ROUND(Keys!$C$2/(INDEX(Src_SYSHECF_nuclear!$H$5:$H$292,MATCH($C136,Src_SYSHECF_nuclear!$C$5:$C$292,0))*$E136),Keys!$C$5),Keys!$C$4)</f>
        <v>1.0687</v>
      </c>
      <c r="K136">
        <f>IF($D136=1,ROUND(Keys!$C$2/(INDEX(Src_SYSHECF_nuclear!$I$5:$I$292,MATCH($C136,Src_SYSHECF_nuclear!$C$5:$C$292,0))*$E136),Keys!$C$5),Keys!$C$4)</f>
        <v>1.0569999999999999</v>
      </c>
      <c r="L136">
        <f>IF($D136=1,ROUND(Keys!$C$2/(INDEX(Src_SYSHECF_nuclear!$J$5:$J$292,MATCH($C136,Src_SYSHECF_nuclear!$C$5:$C$292,0))*$E136),Keys!$C$5),Keys!$C$4)</f>
        <v>1.0397000000000001</v>
      </c>
      <c r="M136">
        <f>IF($D136=1,ROUND(Keys!$C$2/(INDEX(Src_SYSHECF_nuclear!$K$5:$K$292,MATCH($C136,Src_SYSHECF_nuclear!$C$5:$C$292,0))*$E136),Keys!$C$5),Keys!$C$4)</f>
        <v>1.0324</v>
      </c>
      <c r="N136">
        <f>IF($D136=1,ROUND(Keys!$C$2/(INDEX(Src_SYSHECF_nuclear!$L$5:$L$292,MATCH($C136,Src_SYSHECF_nuclear!$C$5:$C$292,0))*$E136),Keys!$C$5),Keys!$C$4)</f>
        <v>1.0276000000000001</v>
      </c>
      <c r="O136">
        <f>IF($D136=1,ROUND(Keys!$C$2/(INDEX(Src_SYSHECF_nuclear!$M$5:$M$292,MATCH($C136,Src_SYSHECF_nuclear!$C$5:$C$292,0))*$E136),Keys!$C$5),Keys!$C$4)</f>
        <v>1.0263</v>
      </c>
      <c r="P136">
        <f>IF($D136=1,ROUND(Keys!$C$2/(INDEX(Src_SYSHECF_nuclear!$N$5:$N$292,MATCH($C136,Src_SYSHECF_nuclear!$C$5:$C$292,0))*$E136),Keys!$C$5),Keys!$C$4)</f>
        <v>1.0234000000000001</v>
      </c>
      <c r="Q136">
        <f>IF($D136=1,ROUND(Keys!$C$2/(INDEX(Src_SYSHECF_nuclear!$O$5:$O$292,MATCH($C136,Src_SYSHECF_nuclear!$C$5:$C$292,0))*$E136),Keys!$C$5),Keys!$C$4)</f>
        <v>1.0187999999999999</v>
      </c>
      <c r="R136">
        <f>IF($D136=1,ROUND(Keys!$C$2/(INDEX(Src_SYSHECF_nuclear!$P$5:$P$292,MATCH($C136,Src_SYSHECF_nuclear!$C$5:$C$292,0))*$E136),Keys!$C$5),Keys!$C$4)</f>
        <v>1.0146999999999999</v>
      </c>
      <c r="S136">
        <f>IF($D136=1,ROUND(Keys!$C$2/(INDEX(Src_SYSHECF_nuclear!$Q$5:$Q$292,MATCH($C136,Src_SYSHECF_nuclear!$C$5:$C$292,0))*$E136),Keys!$C$5),Keys!$C$4)</f>
        <v>1.0119</v>
      </c>
      <c r="T136">
        <f>IF($D136=1,ROUND(Keys!$C$2/(INDEX(Src_SYSHECF_nuclear!$R$5:$R$292,MATCH($C136,Src_SYSHECF_nuclear!$C$5:$C$292,0))*$E136),Keys!$C$5),Keys!$C$4)</f>
        <v>1.0119</v>
      </c>
      <c r="U136">
        <f>IF($D136=1,ROUND(Keys!$C$2/(INDEX(Src_SYSHECF_nuclear!$S$5:$S$292,MATCH($C136,Src_SYSHECF_nuclear!$C$5:$C$292,0))*$E136),Keys!$C$5),Keys!$C$4)</f>
        <v>1.0119</v>
      </c>
      <c r="V136">
        <f>IF($D136=1,ROUND(Keys!$C$2/(INDEX(Src_SYSHECF_nuclear!$T$5:$T$292,MATCH($C136,Src_SYSHECF_nuclear!$C$5:$C$292,0))*$E136),Keys!$C$5),Keys!$C$4)</f>
        <v>1.0119</v>
      </c>
      <c r="W136">
        <f>IF($D136=1,ROUND(Keys!$C$2/(INDEX(Src_SYSHECF_nuclear!$U$5:$U$292,MATCH($C136,Src_SYSHECF_nuclear!$C$5:$C$292,0))*$E136),Keys!$C$5),Keys!$C$4)</f>
        <v>1.0101</v>
      </c>
      <c r="X136">
        <f>IF($D136=1,ROUND(Keys!$C$2/(INDEX(Src_SYSHECF_nuclear!$V$5:$V$292,MATCH($C136,Src_SYSHECF_nuclear!$C$5:$C$292,0))*$E136),Keys!$C$5),Keys!$C$4)</f>
        <v>1.0123</v>
      </c>
      <c r="Y136">
        <f>IF($D136=1,ROUND(Keys!$C$2/(INDEX(Src_SYSHECF_nuclear!$W$5:$W$292,MATCH($C136,Src_SYSHECF_nuclear!$C$5:$C$292,0))*$E136),Keys!$C$5),Keys!$C$4)</f>
        <v>1.0278</v>
      </c>
      <c r="Z136">
        <f>IF($D136=1,ROUND(Keys!$C$2/(INDEX(Src_SYSHECF_nuclear!$X$5:$X$292,MATCH($C136,Src_SYSHECF_nuclear!$C$5:$C$292,0))*$E136),Keys!$C$5),Keys!$C$4)</f>
        <v>1.0378000000000001</v>
      </c>
      <c r="AA136">
        <f>IF($D136=1,ROUND(Keys!$C$2/(INDEX(Src_SYSHECF_nuclear!$Y$5:$Y$292,MATCH($C136,Src_SYSHECF_nuclear!$C$5:$C$292,0))*$E136),Keys!$C$5),Keys!$C$4)</f>
        <v>1.0462</v>
      </c>
      <c r="AB136">
        <f>IF($D136=1,ROUND(Keys!$C$2/(INDEX(Src_SYSHECF_nuclear!$Z$5:$Z$292,MATCH($C136,Src_SYSHECF_nuclear!$C$5:$C$292,0))*$E136),Keys!$C$5),Keys!$C$4)</f>
        <v>1.0507</v>
      </c>
      <c r="AC136">
        <f>IF($D136=1,ROUND(Keys!$C$2/(INDEX(Src_SYSHECF_nuclear!$AA$5:$AA$292,MATCH($C136,Src_SYSHECF_nuclear!$C$5:$C$292,0))*$E136),Keys!$C$5),Keys!$C$4)</f>
        <v>1.0725</v>
      </c>
      <c r="AE136">
        <f>IF($D136=1,IF(ABS(INDEX(Src_SYSHECF_nuclear!$D$5:$D$292,MATCH($C136,Src_SYSHECF_nuclear!$C$5:$C$292,0))*$E136*F136-Keys!$C$2)&gt;Keys!$C$6,1,0),0)</f>
        <v>0</v>
      </c>
    </row>
    <row r="137" spans="1:31" x14ac:dyDescent="0.45">
      <c r="A137" t="s">
        <v>39</v>
      </c>
      <c r="B137" t="s">
        <v>427</v>
      </c>
      <c r="C137" t="str">
        <f t="shared" si="2"/>
        <v>KS|Fall</v>
      </c>
      <c r="D137">
        <f>INDEX(Src_BHRaSYC_nuclear!$HF$5:$HF$52,MATCH($A137,Src_BHRaSYC_nuclear!$A$5:$A$52,0))</f>
        <v>1</v>
      </c>
      <c r="E137">
        <f>INDEX(Src_HYECFCA_nuclear!$B$5:$B$52,MATCH($A137,Src_HYECFCA_nuclear!$A$5:$A$52,0))</f>
        <v>1.0034700000000001</v>
      </c>
      <c r="F137">
        <f>IF($D137=1,ROUND(Keys!$C$2/(INDEX(Src_SYSHECF_nuclear!$D$5:$D$292,MATCH($C137,Src_SYSHECF_nuclear!$C$5:$C$292,0))*$E137),Keys!$C$5),Keys!$C$4)</f>
        <v>1.0153000000000001</v>
      </c>
      <c r="G137">
        <f>IF($D137=1,ROUND(Keys!$C$2/(INDEX(Src_SYSHECF_nuclear!$E$5:$E$292,MATCH($C137,Src_SYSHECF_nuclear!$C$5:$C$292,0))*$E137),Keys!$C$5),Keys!$C$4)</f>
        <v>1.0153000000000001</v>
      </c>
      <c r="H137">
        <f>IF($D137=1,ROUND(Keys!$C$2/(INDEX(Src_SYSHECF_nuclear!$F$5:$F$292,MATCH($C137,Src_SYSHECF_nuclear!$C$5:$C$292,0))*$E137),Keys!$C$5),Keys!$C$4)</f>
        <v>1.0216000000000001</v>
      </c>
      <c r="I137">
        <f>IF($D137=1,ROUND(Keys!$C$2/(INDEX(Src_SYSHECF_nuclear!$G$5:$G$292,MATCH($C137,Src_SYSHECF_nuclear!$C$5:$C$292,0))*$E137),Keys!$C$5),Keys!$C$4)</f>
        <v>1.0153000000000001</v>
      </c>
      <c r="J137">
        <f>IF($D137=1,ROUND(Keys!$C$2/(INDEX(Src_SYSHECF_nuclear!$H$5:$H$292,MATCH($C137,Src_SYSHECF_nuclear!$C$5:$C$292,0))*$E137),Keys!$C$5),Keys!$C$4)</f>
        <v>1.0153000000000001</v>
      </c>
      <c r="K137">
        <f>IF($D137=1,ROUND(Keys!$C$2/(INDEX(Src_SYSHECF_nuclear!$I$5:$I$292,MATCH($C137,Src_SYSHECF_nuclear!$C$5:$C$292,0))*$E137),Keys!$C$5),Keys!$C$4)</f>
        <v>1.0115000000000001</v>
      </c>
      <c r="L137">
        <f>IF($D137=1,ROUND(Keys!$C$2/(INDEX(Src_SYSHECF_nuclear!$J$5:$J$292,MATCH($C137,Src_SYSHECF_nuclear!$C$5:$C$292,0))*$E137),Keys!$C$5),Keys!$C$4)</f>
        <v>1.0089999999999999</v>
      </c>
      <c r="M137">
        <f>IF($D137=1,ROUND(Keys!$C$2/(INDEX(Src_SYSHECF_nuclear!$K$5:$K$292,MATCH($C137,Src_SYSHECF_nuclear!$C$5:$C$292,0))*$E137),Keys!$C$5),Keys!$C$4)</f>
        <v>1.0089999999999999</v>
      </c>
      <c r="N137">
        <f>IF($D137=1,ROUND(Keys!$C$2/(INDEX(Src_SYSHECF_nuclear!$L$5:$L$292,MATCH($C137,Src_SYSHECF_nuclear!$C$5:$C$292,0))*$E137),Keys!$C$5),Keys!$C$4)</f>
        <v>1.0089999999999999</v>
      </c>
      <c r="O137">
        <f>IF($D137=1,ROUND(Keys!$C$2/(INDEX(Src_SYSHECF_nuclear!$M$5:$M$292,MATCH($C137,Src_SYSHECF_nuclear!$C$5:$C$292,0))*$E137),Keys!$C$5),Keys!$C$4)</f>
        <v>1.0089999999999999</v>
      </c>
      <c r="P137">
        <f>IF($D137=1,ROUND(Keys!$C$2/(INDEX(Src_SYSHECF_nuclear!$N$5:$N$292,MATCH($C137,Src_SYSHECF_nuclear!$C$5:$C$292,0))*$E137),Keys!$C$5),Keys!$C$4)</f>
        <v>1.0089999999999999</v>
      </c>
      <c r="Q137">
        <f>IF($D137=1,ROUND(Keys!$C$2/(INDEX(Src_SYSHECF_nuclear!$O$5:$O$292,MATCH($C137,Src_SYSHECF_nuclear!$C$5:$C$292,0))*$E137),Keys!$C$5),Keys!$C$4)</f>
        <v>1.0089999999999999</v>
      </c>
      <c r="R137">
        <f>IF($D137=1,ROUND(Keys!$C$2/(INDEX(Src_SYSHECF_nuclear!$P$5:$P$292,MATCH($C137,Src_SYSHECF_nuclear!$C$5:$C$292,0))*$E137),Keys!$C$5),Keys!$C$4)</f>
        <v>1.0089999999999999</v>
      </c>
      <c r="S137">
        <f>IF($D137=1,ROUND(Keys!$C$2/(INDEX(Src_SYSHECF_nuclear!$Q$5:$Q$292,MATCH($C137,Src_SYSHECF_nuclear!$C$5:$C$292,0))*$E137),Keys!$C$5),Keys!$C$4)</f>
        <v>1.0089999999999999</v>
      </c>
      <c r="T137">
        <f>IF($D137=1,ROUND(Keys!$C$2/(INDEX(Src_SYSHECF_nuclear!$R$5:$R$292,MATCH($C137,Src_SYSHECF_nuclear!$C$5:$C$292,0))*$E137),Keys!$C$5),Keys!$C$4)</f>
        <v>1.0089999999999999</v>
      </c>
      <c r="U137">
        <f>IF($D137=1,ROUND(Keys!$C$2/(INDEX(Src_SYSHECF_nuclear!$S$5:$S$292,MATCH($C137,Src_SYSHECF_nuclear!$C$5:$C$292,0))*$E137),Keys!$C$5),Keys!$C$4)</f>
        <v>1.0089999999999999</v>
      </c>
      <c r="V137">
        <f>IF($D137=1,ROUND(Keys!$C$2/(INDEX(Src_SYSHECF_nuclear!$T$5:$T$292,MATCH($C137,Src_SYSHECF_nuclear!$C$5:$C$292,0))*$E137),Keys!$C$5),Keys!$C$4)</f>
        <v>1.0089999999999999</v>
      </c>
      <c r="W137">
        <f>IF($D137=1,ROUND(Keys!$C$2/(INDEX(Src_SYSHECF_nuclear!$U$5:$U$292,MATCH($C137,Src_SYSHECF_nuclear!$C$5:$C$292,0))*$E137),Keys!$C$5),Keys!$C$4)</f>
        <v>1.0089999999999999</v>
      </c>
      <c r="X137">
        <f>IF($D137=1,ROUND(Keys!$C$2/(INDEX(Src_SYSHECF_nuclear!$V$5:$V$292,MATCH($C137,Src_SYSHECF_nuclear!$C$5:$C$292,0))*$E137),Keys!$C$5),Keys!$C$4)</f>
        <v>1.0089999999999999</v>
      </c>
      <c r="Y137">
        <f>IF($D137=1,ROUND(Keys!$C$2/(INDEX(Src_SYSHECF_nuclear!$W$5:$W$292,MATCH($C137,Src_SYSHECF_nuclear!$C$5:$C$292,0))*$E137),Keys!$C$5),Keys!$C$4)</f>
        <v>1.0092000000000001</v>
      </c>
      <c r="Z137">
        <f>IF($D137=1,ROUND(Keys!$C$2/(INDEX(Src_SYSHECF_nuclear!$X$5:$X$292,MATCH($C137,Src_SYSHECF_nuclear!$C$5:$C$292,0))*$E137),Keys!$C$5),Keys!$C$4)</f>
        <v>1.0089999999999999</v>
      </c>
      <c r="AA137">
        <f>IF($D137=1,ROUND(Keys!$C$2/(INDEX(Src_SYSHECF_nuclear!$Y$5:$Y$292,MATCH($C137,Src_SYSHECF_nuclear!$C$5:$C$292,0))*$E137),Keys!$C$5),Keys!$C$4)</f>
        <v>1.0089999999999999</v>
      </c>
      <c r="AB137">
        <f>IF($D137=1,ROUND(Keys!$C$2/(INDEX(Src_SYSHECF_nuclear!$Z$5:$Z$292,MATCH($C137,Src_SYSHECF_nuclear!$C$5:$C$292,0))*$E137),Keys!$C$5),Keys!$C$4)</f>
        <v>1.0089999999999999</v>
      </c>
      <c r="AC137">
        <f>IF($D137=1,ROUND(Keys!$C$2/(INDEX(Src_SYSHECF_nuclear!$AA$5:$AA$292,MATCH($C137,Src_SYSHECF_nuclear!$C$5:$C$292,0))*$E137),Keys!$C$5),Keys!$C$4)</f>
        <v>1.0089999999999999</v>
      </c>
      <c r="AE137">
        <f>IF($D137=1,IF(ABS(INDEX(Src_SYSHECF_nuclear!$D$5:$D$292,MATCH($C137,Src_SYSHECF_nuclear!$C$5:$C$292,0))*$E137*F137-Keys!$C$2)&gt;Keys!$C$6,1,0),0)</f>
        <v>0</v>
      </c>
    </row>
    <row r="138" spans="1:31" x14ac:dyDescent="0.45">
      <c r="A138" t="s">
        <v>39</v>
      </c>
      <c r="B138" t="s">
        <v>428</v>
      </c>
      <c r="C138" t="str">
        <f t="shared" si="2"/>
        <v>KS|Summer Peak</v>
      </c>
      <c r="D138">
        <f>INDEX(Src_BHRaSYC_nuclear!$HF$5:$HF$52,MATCH($A138,Src_BHRaSYC_nuclear!$A$5:$A$52,0))</f>
        <v>1</v>
      </c>
      <c r="E138">
        <f>INDEX(Src_HYECFCA_nuclear!$B$5:$B$52,MATCH($A138,Src_HYECFCA_nuclear!$A$5:$A$52,0))</f>
        <v>1.0034700000000001</v>
      </c>
      <c r="F138">
        <f>IF($D138=1,ROUND(Keys!$C$2/(INDEX(Src_SYSHECF_nuclear!$D$5:$D$292,MATCH($C138,Src_SYSHECF_nuclear!$C$5:$C$292,0))*$E138),Keys!$C$5),Keys!$C$4)</f>
        <v>1.0089999999999999</v>
      </c>
      <c r="G138">
        <f>IF($D138=1,ROUND(Keys!$C$2/(INDEX(Src_SYSHECF_nuclear!$E$5:$E$292,MATCH($C138,Src_SYSHECF_nuclear!$C$5:$C$292,0))*$E138),Keys!$C$5),Keys!$C$4)</f>
        <v>1.0089999999999999</v>
      </c>
      <c r="H138">
        <f>IF($D138=1,ROUND(Keys!$C$2/(INDEX(Src_SYSHECF_nuclear!$F$5:$F$292,MATCH($C138,Src_SYSHECF_nuclear!$C$5:$C$292,0))*$E138),Keys!$C$5),Keys!$C$4)</f>
        <v>1.0089999999999999</v>
      </c>
      <c r="I138">
        <f>IF($D138=1,ROUND(Keys!$C$2/(INDEX(Src_SYSHECF_nuclear!$G$5:$G$292,MATCH($C138,Src_SYSHECF_nuclear!$C$5:$C$292,0))*$E138),Keys!$C$5),Keys!$C$4)</f>
        <v>1.0089999999999999</v>
      </c>
      <c r="J138">
        <f>IF($D138=1,ROUND(Keys!$C$2/(INDEX(Src_SYSHECF_nuclear!$H$5:$H$292,MATCH($C138,Src_SYSHECF_nuclear!$C$5:$C$292,0))*$E138),Keys!$C$5),Keys!$C$4)</f>
        <v>1.0089999999999999</v>
      </c>
      <c r="K138">
        <f>IF($D138=1,ROUND(Keys!$C$2/(INDEX(Src_SYSHECF_nuclear!$I$5:$I$292,MATCH($C138,Src_SYSHECF_nuclear!$C$5:$C$292,0))*$E138),Keys!$C$5),Keys!$C$4)</f>
        <v>1.0089999999999999</v>
      </c>
      <c r="L138">
        <f>IF($D138=1,ROUND(Keys!$C$2/(INDEX(Src_SYSHECF_nuclear!$J$5:$J$292,MATCH($C138,Src_SYSHECF_nuclear!$C$5:$C$292,0))*$E138),Keys!$C$5),Keys!$C$4)</f>
        <v>1.0089999999999999</v>
      </c>
      <c r="M138">
        <f>IF($D138=1,ROUND(Keys!$C$2/(INDEX(Src_SYSHECF_nuclear!$K$5:$K$292,MATCH($C138,Src_SYSHECF_nuclear!$C$5:$C$292,0))*$E138),Keys!$C$5),Keys!$C$4)</f>
        <v>1.0089999999999999</v>
      </c>
      <c r="N138">
        <f>IF($D138=1,ROUND(Keys!$C$2/(INDEX(Src_SYSHECF_nuclear!$L$5:$L$292,MATCH($C138,Src_SYSHECF_nuclear!$C$5:$C$292,0))*$E138),Keys!$C$5),Keys!$C$4)</f>
        <v>1.0089999999999999</v>
      </c>
      <c r="O138">
        <f>IF($D138=1,ROUND(Keys!$C$2/(INDEX(Src_SYSHECF_nuclear!$M$5:$M$292,MATCH($C138,Src_SYSHECF_nuclear!$C$5:$C$292,0))*$E138),Keys!$C$5),Keys!$C$4)</f>
        <v>1.0089999999999999</v>
      </c>
      <c r="P138">
        <f>IF($D138=1,ROUND(Keys!$C$2/(INDEX(Src_SYSHECF_nuclear!$N$5:$N$292,MATCH($C138,Src_SYSHECF_nuclear!$C$5:$C$292,0))*$E138),Keys!$C$5),Keys!$C$4)</f>
        <v>1.0089999999999999</v>
      </c>
      <c r="Q138">
        <f>IF($D138=1,ROUND(Keys!$C$2/(INDEX(Src_SYSHECF_nuclear!$O$5:$O$292,MATCH($C138,Src_SYSHECF_nuclear!$C$5:$C$292,0))*$E138),Keys!$C$5),Keys!$C$4)</f>
        <v>1.0089999999999999</v>
      </c>
      <c r="R138">
        <f>IF($D138=1,ROUND(Keys!$C$2/(INDEX(Src_SYSHECF_nuclear!$P$5:$P$292,MATCH($C138,Src_SYSHECF_nuclear!$C$5:$C$292,0))*$E138),Keys!$C$5),Keys!$C$4)</f>
        <v>1.0089999999999999</v>
      </c>
      <c r="S138">
        <f>IF($D138=1,ROUND(Keys!$C$2/(INDEX(Src_SYSHECF_nuclear!$Q$5:$Q$292,MATCH($C138,Src_SYSHECF_nuclear!$C$5:$C$292,0))*$E138),Keys!$C$5),Keys!$C$4)</f>
        <v>1.0089999999999999</v>
      </c>
      <c r="T138">
        <f>IF($D138=1,ROUND(Keys!$C$2/(INDEX(Src_SYSHECF_nuclear!$R$5:$R$292,MATCH($C138,Src_SYSHECF_nuclear!$C$5:$C$292,0))*$E138),Keys!$C$5),Keys!$C$4)</f>
        <v>1.0089999999999999</v>
      </c>
      <c r="U138">
        <f>IF($D138=1,ROUND(Keys!$C$2/(INDEX(Src_SYSHECF_nuclear!$S$5:$S$292,MATCH($C138,Src_SYSHECF_nuclear!$C$5:$C$292,0))*$E138),Keys!$C$5),Keys!$C$4)</f>
        <v>1.0089999999999999</v>
      </c>
      <c r="V138">
        <f>IF($D138=1,ROUND(Keys!$C$2/(INDEX(Src_SYSHECF_nuclear!$T$5:$T$292,MATCH($C138,Src_SYSHECF_nuclear!$C$5:$C$292,0))*$E138),Keys!$C$5),Keys!$C$4)</f>
        <v>1.0089999999999999</v>
      </c>
      <c r="W138">
        <f>IF($D138=1,ROUND(Keys!$C$2/(INDEX(Src_SYSHECF_nuclear!$U$5:$U$292,MATCH($C138,Src_SYSHECF_nuclear!$C$5:$C$292,0))*$E138),Keys!$C$5),Keys!$C$4)</f>
        <v>1.0089999999999999</v>
      </c>
      <c r="X138">
        <f>IF($D138=1,ROUND(Keys!$C$2/(INDEX(Src_SYSHECF_nuclear!$V$5:$V$292,MATCH($C138,Src_SYSHECF_nuclear!$C$5:$C$292,0))*$E138),Keys!$C$5),Keys!$C$4)</f>
        <v>1.0089999999999999</v>
      </c>
      <c r="Y138">
        <f>IF($D138=1,ROUND(Keys!$C$2/(INDEX(Src_SYSHECF_nuclear!$W$5:$W$292,MATCH($C138,Src_SYSHECF_nuclear!$C$5:$C$292,0))*$E138),Keys!$C$5),Keys!$C$4)</f>
        <v>1.0089999999999999</v>
      </c>
      <c r="Z138">
        <f>IF($D138=1,ROUND(Keys!$C$2/(INDEX(Src_SYSHECF_nuclear!$X$5:$X$292,MATCH($C138,Src_SYSHECF_nuclear!$C$5:$C$292,0))*$E138),Keys!$C$5),Keys!$C$4)</f>
        <v>1.0089999999999999</v>
      </c>
      <c r="AA138">
        <f>IF($D138=1,ROUND(Keys!$C$2/(INDEX(Src_SYSHECF_nuclear!$Y$5:$Y$292,MATCH($C138,Src_SYSHECF_nuclear!$C$5:$C$292,0))*$E138),Keys!$C$5),Keys!$C$4)</f>
        <v>1.0089999999999999</v>
      </c>
      <c r="AB138">
        <f>IF($D138=1,ROUND(Keys!$C$2/(INDEX(Src_SYSHECF_nuclear!$Z$5:$Z$292,MATCH($C138,Src_SYSHECF_nuclear!$C$5:$C$292,0))*$E138),Keys!$C$5),Keys!$C$4)</f>
        <v>1.0089999999999999</v>
      </c>
      <c r="AC138">
        <f>IF($D138=1,ROUND(Keys!$C$2/(INDEX(Src_SYSHECF_nuclear!$AA$5:$AA$292,MATCH($C138,Src_SYSHECF_nuclear!$C$5:$C$292,0))*$E138),Keys!$C$5),Keys!$C$4)</f>
        <v>1.0089999999999999</v>
      </c>
      <c r="AE138">
        <f>IF($D138=1,IF(ABS(INDEX(Src_SYSHECF_nuclear!$D$5:$D$292,MATCH($C138,Src_SYSHECF_nuclear!$C$5:$C$292,0))*$E138*F138-Keys!$C$2)&gt;Keys!$C$6,1,0),0)</f>
        <v>0</v>
      </c>
    </row>
    <row r="139" spans="1:31" x14ac:dyDescent="0.45">
      <c r="A139" t="s">
        <v>39</v>
      </c>
      <c r="B139" t="s">
        <v>429</v>
      </c>
      <c r="C139" t="str">
        <f t="shared" si="2"/>
        <v>KS|Winter Peak</v>
      </c>
      <c r="D139">
        <f>INDEX(Src_BHRaSYC_nuclear!$HF$5:$HF$52,MATCH($A139,Src_BHRaSYC_nuclear!$A$5:$A$52,0))</f>
        <v>1</v>
      </c>
      <c r="E139">
        <f>INDEX(Src_HYECFCA_nuclear!$B$5:$B$52,MATCH($A139,Src_HYECFCA_nuclear!$A$5:$A$52,0))</f>
        <v>1.0034700000000001</v>
      </c>
      <c r="F139">
        <f>IF($D139=1,ROUND(Keys!$C$2/(INDEX(Src_SYSHECF_nuclear!$D$5:$D$292,MATCH($C139,Src_SYSHECF_nuclear!$C$5:$C$292,0))*$E139),Keys!$C$5),Keys!$C$4)</f>
        <v>1.099</v>
      </c>
      <c r="G139">
        <f>IF($D139=1,ROUND(Keys!$C$2/(INDEX(Src_SYSHECF_nuclear!$E$5:$E$292,MATCH($C139,Src_SYSHECF_nuclear!$C$5:$C$292,0))*$E139),Keys!$C$5),Keys!$C$4)</f>
        <v>1.099</v>
      </c>
      <c r="H139">
        <f>IF($D139=1,ROUND(Keys!$C$2/(INDEX(Src_SYSHECF_nuclear!$F$5:$F$292,MATCH($C139,Src_SYSHECF_nuclear!$C$5:$C$292,0))*$E139),Keys!$C$5),Keys!$C$4)</f>
        <v>1.0827</v>
      </c>
      <c r="I139">
        <f>IF($D139=1,ROUND(Keys!$C$2/(INDEX(Src_SYSHECF_nuclear!$G$5:$G$292,MATCH($C139,Src_SYSHECF_nuclear!$C$5:$C$292,0))*$E139),Keys!$C$5),Keys!$C$4)</f>
        <v>1.0672999999999999</v>
      </c>
      <c r="J139">
        <f>IF($D139=1,ROUND(Keys!$C$2/(INDEX(Src_SYSHECF_nuclear!$H$5:$H$292,MATCH($C139,Src_SYSHECF_nuclear!$C$5:$C$292,0))*$E139),Keys!$C$5),Keys!$C$4)</f>
        <v>1.0373000000000001</v>
      </c>
      <c r="K139">
        <f>IF($D139=1,ROUND(Keys!$C$2/(INDEX(Src_SYSHECF_nuclear!$I$5:$I$292,MATCH($C139,Src_SYSHECF_nuclear!$C$5:$C$292,0))*$E139),Keys!$C$5),Keys!$C$4)</f>
        <v>1.0089999999999999</v>
      </c>
      <c r="L139">
        <f>IF($D139=1,ROUND(Keys!$C$2/(INDEX(Src_SYSHECF_nuclear!$J$5:$J$292,MATCH($C139,Src_SYSHECF_nuclear!$C$5:$C$292,0))*$E139),Keys!$C$5),Keys!$C$4)</f>
        <v>1.0089999999999999</v>
      </c>
      <c r="M139">
        <f>IF($D139=1,ROUND(Keys!$C$2/(INDEX(Src_SYSHECF_nuclear!$K$5:$K$292,MATCH($C139,Src_SYSHECF_nuclear!$C$5:$C$292,0))*$E139),Keys!$C$5),Keys!$C$4)</f>
        <v>1.0089999999999999</v>
      </c>
      <c r="N139">
        <f>IF($D139=1,ROUND(Keys!$C$2/(INDEX(Src_SYSHECF_nuclear!$L$5:$L$292,MATCH($C139,Src_SYSHECF_nuclear!$C$5:$C$292,0))*$E139),Keys!$C$5),Keys!$C$4)</f>
        <v>1.0089999999999999</v>
      </c>
      <c r="O139">
        <f>IF($D139=1,ROUND(Keys!$C$2/(INDEX(Src_SYSHECF_nuclear!$M$5:$M$292,MATCH($C139,Src_SYSHECF_nuclear!$C$5:$C$292,0))*$E139),Keys!$C$5),Keys!$C$4)</f>
        <v>1.0089999999999999</v>
      </c>
      <c r="P139">
        <f>IF($D139=1,ROUND(Keys!$C$2/(INDEX(Src_SYSHECF_nuclear!$N$5:$N$292,MATCH($C139,Src_SYSHECF_nuclear!$C$5:$C$292,0))*$E139),Keys!$C$5),Keys!$C$4)</f>
        <v>1.0089999999999999</v>
      </c>
      <c r="Q139">
        <f>IF($D139=1,ROUND(Keys!$C$2/(INDEX(Src_SYSHECF_nuclear!$O$5:$O$292,MATCH($C139,Src_SYSHECF_nuclear!$C$5:$C$292,0))*$E139),Keys!$C$5),Keys!$C$4)</f>
        <v>1.0089999999999999</v>
      </c>
      <c r="R139">
        <f>IF($D139=1,ROUND(Keys!$C$2/(INDEX(Src_SYSHECF_nuclear!$P$5:$P$292,MATCH($C139,Src_SYSHECF_nuclear!$C$5:$C$292,0))*$E139),Keys!$C$5),Keys!$C$4)</f>
        <v>1.0089999999999999</v>
      </c>
      <c r="S139">
        <f>IF($D139=1,ROUND(Keys!$C$2/(INDEX(Src_SYSHECF_nuclear!$Q$5:$Q$292,MATCH($C139,Src_SYSHECF_nuclear!$C$5:$C$292,0))*$E139),Keys!$C$5),Keys!$C$4)</f>
        <v>1.0089999999999999</v>
      </c>
      <c r="T139">
        <f>IF($D139=1,ROUND(Keys!$C$2/(INDEX(Src_SYSHECF_nuclear!$R$5:$R$292,MATCH($C139,Src_SYSHECF_nuclear!$C$5:$C$292,0))*$E139),Keys!$C$5),Keys!$C$4)</f>
        <v>1.0089999999999999</v>
      </c>
      <c r="U139">
        <f>IF($D139=1,ROUND(Keys!$C$2/(INDEX(Src_SYSHECF_nuclear!$S$5:$S$292,MATCH($C139,Src_SYSHECF_nuclear!$C$5:$C$292,0))*$E139),Keys!$C$5),Keys!$C$4)</f>
        <v>1.0089999999999999</v>
      </c>
      <c r="V139">
        <f>IF($D139=1,ROUND(Keys!$C$2/(INDEX(Src_SYSHECF_nuclear!$T$5:$T$292,MATCH($C139,Src_SYSHECF_nuclear!$C$5:$C$292,0))*$E139),Keys!$C$5),Keys!$C$4)</f>
        <v>1.0089999999999999</v>
      </c>
      <c r="W139">
        <f>IF($D139=1,ROUND(Keys!$C$2/(INDEX(Src_SYSHECF_nuclear!$U$5:$U$292,MATCH($C139,Src_SYSHECF_nuclear!$C$5:$C$292,0))*$E139),Keys!$C$5),Keys!$C$4)</f>
        <v>1.0089999999999999</v>
      </c>
      <c r="X139">
        <f>IF($D139=1,ROUND(Keys!$C$2/(INDEX(Src_SYSHECF_nuclear!$V$5:$V$292,MATCH($C139,Src_SYSHECF_nuclear!$C$5:$C$292,0))*$E139),Keys!$C$5),Keys!$C$4)</f>
        <v>1.0089999999999999</v>
      </c>
      <c r="Y139">
        <f>IF($D139=1,ROUND(Keys!$C$2/(INDEX(Src_SYSHECF_nuclear!$W$5:$W$292,MATCH($C139,Src_SYSHECF_nuclear!$C$5:$C$292,0))*$E139),Keys!$C$5),Keys!$C$4)</f>
        <v>1.0089999999999999</v>
      </c>
      <c r="Z139">
        <f>IF($D139=1,ROUND(Keys!$C$2/(INDEX(Src_SYSHECF_nuclear!$X$5:$X$292,MATCH($C139,Src_SYSHECF_nuclear!$C$5:$C$292,0))*$E139),Keys!$C$5),Keys!$C$4)</f>
        <v>1.0089999999999999</v>
      </c>
      <c r="AA139">
        <f>IF($D139=1,ROUND(Keys!$C$2/(INDEX(Src_SYSHECF_nuclear!$Y$5:$Y$292,MATCH($C139,Src_SYSHECF_nuclear!$C$5:$C$292,0))*$E139),Keys!$C$5),Keys!$C$4)</f>
        <v>1.0089999999999999</v>
      </c>
      <c r="AB139">
        <f>IF($D139=1,ROUND(Keys!$C$2/(INDEX(Src_SYSHECF_nuclear!$Z$5:$Z$292,MATCH($C139,Src_SYSHECF_nuclear!$C$5:$C$292,0))*$E139),Keys!$C$5),Keys!$C$4)</f>
        <v>1.0089999999999999</v>
      </c>
      <c r="AC139">
        <f>IF($D139=1,ROUND(Keys!$C$2/(INDEX(Src_SYSHECF_nuclear!$AA$5:$AA$292,MATCH($C139,Src_SYSHECF_nuclear!$C$5:$C$292,0))*$E139),Keys!$C$5),Keys!$C$4)</f>
        <v>1.0089999999999999</v>
      </c>
      <c r="AE139">
        <f>IF($D139=1,IF(ABS(INDEX(Src_SYSHECF_nuclear!$D$5:$D$292,MATCH($C139,Src_SYSHECF_nuclear!$C$5:$C$292,0))*$E139*F139-Keys!$C$2)&gt;Keys!$C$6,1,0),0)</f>
        <v>0</v>
      </c>
    </row>
    <row r="140" spans="1:31" x14ac:dyDescent="0.45">
      <c r="A140" t="s">
        <v>42</v>
      </c>
      <c r="B140" t="s">
        <v>424</v>
      </c>
      <c r="C140" t="str">
        <f t="shared" si="2"/>
        <v>KY|Winter</v>
      </c>
      <c r="D140">
        <f>INDEX(Src_BHRaSYC_nuclear!$HF$5:$HF$52,MATCH($A140,Src_BHRaSYC_nuclear!$A$5:$A$52,0))</f>
        <v>0</v>
      </c>
      <c r="E140">
        <f>INDEX(Src_HYECFCA_nuclear!$B$5:$B$52,MATCH($A140,Src_HYECFCA_nuclear!$A$5:$A$52,0))</f>
        <v>1</v>
      </c>
      <c r="F140">
        <f>IF($D140=1,ROUND(Keys!$C$2/(INDEX(Src_SYSHECF_nuclear!$D$5:$D$292,MATCH($C140,Src_SYSHECF_nuclear!$C$5:$C$292,0))*$E140),Keys!$C$5),Keys!$C$4)</f>
        <v>0.9</v>
      </c>
      <c r="G140">
        <f>IF($D140=1,ROUND(Keys!$C$2/(INDEX(Src_SYSHECF_nuclear!$E$5:$E$292,MATCH($C140,Src_SYSHECF_nuclear!$C$5:$C$292,0))*$E140),Keys!$C$5),Keys!$C$4)</f>
        <v>0.9</v>
      </c>
      <c r="H140">
        <f>IF($D140=1,ROUND(Keys!$C$2/(INDEX(Src_SYSHECF_nuclear!$F$5:$F$292,MATCH($C140,Src_SYSHECF_nuclear!$C$5:$C$292,0))*$E140),Keys!$C$5),Keys!$C$4)</f>
        <v>0.9</v>
      </c>
      <c r="I140">
        <f>IF($D140=1,ROUND(Keys!$C$2/(INDEX(Src_SYSHECF_nuclear!$G$5:$G$292,MATCH($C140,Src_SYSHECF_nuclear!$C$5:$C$292,0))*$E140),Keys!$C$5),Keys!$C$4)</f>
        <v>0.9</v>
      </c>
      <c r="J140">
        <f>IF($D140=1,ROUND(Keys!$C$2/(INDEX(Src_SYSHECF_nuclear!$H$5:$H$292,MATCH($C140,Src_SYSHECF_nuclear!$C$5:$C$292,0))*$E140),Keys!$C$5),Keys!$C$4)</f>
        <v>0.9</v>
      </c>
      <c r="K140">
        <f>IF($D140=1,ROUND(Keys!$C$2/(INDEX(Src_SYSHECF_nuclear!$I$5:$I$292,MATCH($C140,Src_SYSHECF_nuclear!$C$5:$C$292,0))*$E140),Keys!$C$5),Keys!$C$4)</f>
        <v>0.9</v>
      </c>
      <c r="L140">
        <f>IF($D140=1,ROUND(Keys!$C$2/(INDEX(Src_SYSHECF_nuclear!$J$5:$J$292,MATCH($C140,Src_SYSHECF_nuclear!$C$5:$C$292,0))*$E140),Keys!$C$5),Keys!$C$4)</f>
        <v>0.9</v>
      </c>
      <c r="M140">
        <f>IF($D140=1,ROUND(Keys!$C$2/(INDEX(Src_SYSHECF_nuclear!$K$5:$K$292,MATCH($C140,Src_SYSHECF_nuclear!$C$5:$C$292,0))*$E140),Keys!$C$5),Keys!$C$4)</f>
        <v>0.9</v>
      </c>
      <c r="N140">
        <f>IF($D140=1,ROUND(Keys!$C$2/(INDEX(Src_SYSHECF_nuclear!$L$5:$L$292,MATCH($C140,Src_SYSHECF_nuclear!$C$5:$C$292,0))*$E140),Keys!$C$5),Keys!$C$4)</f>
        <v>0.9</v>
      </c>
      <c r="O140">
        <f>IF($D140=1,ROUND(Keys!$C$2/(INDEX(Src_SYSHECF_nuclear!$M$5:$M$292,MATCH($C140,Src_SYSHECF_nuclear!$C$5:$C$292,0))*$E140),Keys!$C$5),Keys!$C$4)</f>
        <v>0.9</v>
      </c>
      <c r="P140">
        <f>IF($D140=1,ROUND(Keys!$C$2/(INDEX(Src_SYSHECF_nuclear!$N$5:$N$292,MATCH($C140,Src_SYSHECF_nuclear!$C$5:$C$292,0))*$E140),Keys!$C$5),Keys!$C$4)</f>
        <v>0.9</v>
      </c>
      <c r="Q140">
        <f>IF($D140=1,ROUND(Keys!$C$2/(INDEX(Src_SYSHECF_nuclear!$O$5:$O$292,MATCH($C140,Src_SYSHECF_nuclear!$C$5:$C$292,0))*$E140),Keys!$C$5),Keys!$C$4)</f>
        <v>0.9</v>
      </c>
      <c r="R140">
        <f>IF($D140=1,ROUND(Keys!$C$2/(INDEX(Src_SYSHECF_nuclear!$P$5:$P$292,MATCH($C140,Src_SYSHECF_nuclear!$C$5:$C$292,0))*$E140),Keys!$C$5),Keys!$C$4)</f>
        <v>0.9</v>
      </c>
      <c r="S140">
        <f>IF($D140=1,ROUND(Keys!$C$2/(INDEX(Src_SYSHECF_nuclear!$Q$5:$Q$292,MATCH($C140,Src_SYSHECF_nuclear!$C$5:$C$292,0))*$E140),Keys!$C$5),Keys!$C$4)</f>
        <v>0.9</v>
      </c>
      <c r="T140">
        <f>IF($D140=1,ROUND(Keys!$C$2/(INDEX(Src_SYSHECF_nuclear!$R$5:$R$292,MATCH($C140,Src_SYSHECF_nuclear!$C$5:$C$292,0))*$E140),Keys!$C$5),Keys!$C$4)</f>
        <v>0.9</v>
      </c>
      <c r="U140">
        <f>IF($D140=1,ROUND(Keys!$C$2/(INDEX(Src_SYSHECF_nuclear!$S$5:$S$292,MATCH($C140,Src_SYSHECF_nuclear!$C$5:$C$292,0))*$E140),Keys!$C$5),Keys!$C$4)</f>
        <v>0.9</v>
      </c>
      <c r="V140">
        <f>IF($D140=1,ROUND(Keys!$C$2/(INDEX(Src_SYSHECF_nuclear!$T$5:$T$292,MATCH($C140,Src_SYSHECF_nuclear!$C$5:$C$292,0))*$E140),Keys!$C$5),Keys!$C$4)</f>
        <v>0.9</v>
      </c>
      <c r="W140">
        <f>IF($D140=1,ROUND(Keys!$C$2/(INDEX(Src_SYSHECF_nuclear!$U$5:$U$292,MATCH($C140,Src_SYSHECF_nuclear!$C$5:$C$292,0))*$E140),Keys!$C$5),Keys!$C$4)</f>
        <v>0.9</v>
      </c>
      <c r="X140">
        <f>IF($D140=1,ROUND(Keys!$C$2/(INDEX(Src_SYSHECF_nuclear!$V$5:$V$292,MATCH($C140,Src_SYSHECF_nuclear!$C$5:$C$292,0))*$E140),Keys!$C$5),Keys!$C$4)</f>
        <v>0.9</v>
      </c>
      <c r="Y140">
        <f>IF($D140=1,ROUND(Keys!$C$2/(INDEX(Src_SYSHECF_nuclear!$W$5:$W$292,MATCH($C140,Src_SYSHECF_nuclear!$C$5:$C$292,0))*$E140),Keys!$C$5),Keys!$C$4)</f>
        <v>0.9</v>
      </c>
      <c r="Z140">
        <f>IF($D140=1,ROUND(Keys!$C$2/(INDEX(Src_SYSHECF_nuclear!$X$5:$X$292,MATCH($C140,Src_SYSHECF_nuclear!$C$5:$C$292,0))*$E140),Keys!$C$5),Keys!$C$4)</f>
        <v>0.9</v>
      </c>
      <c r="AA140">
        <f>IF($D140=1,ROUND(Keys!$C$2/(INDEX(Src_SYSHECF_nuclear!$Y$5:$Y$292,MATCH($C140,Src_SYSHECF_nuclear!$C$5:$C$292,0))*$E140),Keys!$C$5),Keys!$C$4)</f>
        <v>0.9</v>
      </c>
      <c r="AB140">
        <f>IF($D140=1,ROUND(Keys!$C$2/(INDEX(Src_SYSHECF_nuclear!$Z$5:$Z$292,MATCH($C140,Src_SYSHECF_nuclear!$C$5:$C$292,0))*$E140),Keys!$C$5),Keys!$C$4)</f>
        <v>0.9</v>
      </c>
      <c r="AC140">
        <f>IF($D140=1,ROUND(Keys!$C$2/(INDEX(Src_SYSHECF_nuclear!$AA$5:$AA$292,MATCH($C140,Src_SYSHECF_nuclear!$C$5:$C$292,0))*$E140),Keys!$C$5),Keys!$C$4)</f>
        <v>0.9</v>
      </c>
      <c r="AE140">
        <f>IF($D140=1,IF(ABS(INDEX(Src_SYSHECF_nuclear!$D$5:$D$292,MATCH($C140,Src_SYSHECF_nuclear!$C$5:$C$292,0))*$E140*F140-Keys!$C$2)&gt;Keys!$C$6,1,0),0)</f>
        <v>0</v>
      </c>
    </row>
    <row r="141" spans="1:31" x14ac:dyDescent="0.45">
      <c r="A141" t="s">
        <v>42</v>
      </c>
      <c r="B141" t="s">
        <v>425</v>
      </c>
      <c r="C141" t="str">
        <f t="shared" si="2"/>
        <v>KY|Spring</v>
      </c>
      <c r="D141">
        <f>INDEX(Src_BHRaSYC_nuclear!$HF$5:$HF$52,MATCH($A141,Src_BHRaSYC_nuclear!$A$5:$A$52,0))</f>
        <v>0</v>
      </c>
      <c r="E141">
        <f>INDEX(Src_HYECFCA_nuclear!$B$5:$B$52,MATCH($A141,Src_HYECFCA_nuclear!$A$5:$A$52,0))</f>
        <v>1</v>
      </c>
      <c r="F141">
        <f>IF($D141=1,ROUND(Keys!$C$2/(INDEX(Src_SYSHECF_nuclear!$D$5:$D$292,MATCH($C141,Src_SYSHECF_nuclear!$C$5:$C$292,0))*$E141),Keys!$C$5),Keys!$C$4)</f>
        <v>0.9</v>
      </c>
      <c r="G141">
        <f>IF($D141=1,ROUND(Keys!$C$2/(INDEX(Src_SYSHECF_nuclear!$E$5:$E$292,MATCH($C141,Src_SYSHECF_nuclear!$C$5:$C$292,0))*$E141),Keys!$C$5),Keys!$C$4)</f>
        <v>0.9</v>
      </c>
      <c r="H141">
        <f>IF($D141=1,ROUND(Keys!$C$2/(INDEX(Src_SYSHECF_nuclear!$F$5:$F$292,MATCH($C141,Src_SYSHECF_nuclear!$C$5:$C$292,0))*$E141),Keys!$C$5),Keys!$C$4)</f>
        <v>0.9</v>
      </c>
      <c r="I141">
        <f>IF($D141=1,ROUND(Keys!$C$2/(INDEX(Src_SYSHECF_nuclear!$G$5:$G$292,MATCH($C141,Src_SYSHECF_nuclear!$C$5:$C$292,0))*$E141),Keys!$C$5),Keys!$C$4)</f>
        <v>0.9</v>
      </c>
      <c r="J141">
        <f>IF($D141=1,ROUND(Keys!$C$2/(INDEX(Src_SYSHECF_nuclear!$H$5:$H$292,MATCH($C141,Src_SYSHECF_nuclear!$C$5:$C$292,0))*$E141),Keys!$C$5),Keys!$C$4)</f>
        <v>0.9</v>
      </c>
      <c r="K141">
        <f>IF($D141=1,ROUND(Keys!$C$2/(INDEX(Src_SYSHECF_nuclear!$I$5:$I$292,MATCH($C141,Src_SYSHECF_nuclear!$C$5:$C$292,0))*$E141),Keys!$C$5),Keys!$C$4)</f>
        <v>0.9</v>
      </c>
      <c r="L141">
        <f>IF($D141=1,ROUND(Keys!$C$2/(INDEX(Src_SYSHECF_nuclear!$J$5:$J$292,MATCH($C141,Src_SYSHECF_nuclear!$C$5:$C$292,0))*$E141),Keys!$C$5),Keys!$C$4)</f>
        <v>0.9</v>
      </c>
      <c r="M141">
        <f>IF($D141=1,ROUND(Keys!$C$2/(INDEX(Src_SYSHECF_nuclear!$K$5:$K$292,MATCH($C141,Src_SYSHECF_nuclear!$C$5:$C$292,0))*$E141),Keys!$C$5),Keys!$C$4)</f>
        <v>0.9</v>
      </c>
      <c r="N141">
        <f>IF($D141=1,ROUND(Keys!$C$2/(INDEX(Src_SYSHECF_nuclear!$L$5:$L$292,MATCH($C141,Src_SYSHECF_nuclear!$C$5:$C$292,0))*$E141),Keys!$C$5),Keys!$C$4)</f>
        <v>0.9</v>
      </c>
      <c r="O141">
        <f>IF($D141=1,ROUND(Keys!$C$2/(INDEX(Src_SYSHECF_nuclear!$M$5:$M$292,MATCH($C141,Src_SYSHECF_nuclear!$C$5:$C$292,0))*$E141),Keys!$C$5),Keys!$C$4)</f>
        <v>0.9</v>
      </c>
      <c r="P141">
        <f>IF($D141=1,ROUND(Keys!$C$2/(INDEX(Src_SYSHECF_nuclear!$N$5:$N$292,MATCH($C141,Src_SYSHECF_nuclear!$C$5:$C$292,0))*$E141),Keys!$C$5),Keys!$C$4)</f>
        <v>0.9</v>
      </c>
      <c r="Q141">
        <f>IF($D141=1,ROUND(Keys!$C$2/(INDEX(Src_SYSHECF_nuclear!$O$5:$O$292,MATCH($C141,Src_SYSHECF_nuclear!$C$5:$C$292,0))*$E141),Keys!$C$5),Keys!$C$4)</f>
        <v>0.9</v>
      </c>
      <c r="R141">
        <f>IF($D141=1,ROUND(Keys!$C$2/(INDEX(Src_SYSHECF_nuclear!$P$5:$P$292,MATCH($C141,Src_SYSHECF_nuclear!$C$5:$C$292,0))*$E141),Keys!$C$5),Keys!$C$4)</f>
        <v>0.9</v>
      </c>
      <c r="S141">
        <f>IF($D141=1,ROUND(Keys!$C$2/(INDEX(Src_SYSHECF_nuclear!$Q$5:$Q$292,MATCH($C141,Src_SYSHECF_nuclear!$C$5:$C$292,0))*$E141),Keys!$C$5),Keys!$C$4)</f>
        <v>0.9</v>
      </c>
      <c r="T141">
        <f>IF($D141=1,ROUND(Keys!$C$2/(INDEX(Src_SYSHECF_nuclear!$R$5:$R$292,MATCH($C141,Src_SYSHECF_nuclear!$C$5:$C$292,0))*$E141),Keys!$C$5),Keys!$C$4)</f>
        <v>0.9</v>
      </c>
      <c r="U141">
        <f>IF($D141=1,ROUND(Keys!$C$2/(INDEX(Src_SYSHECF_nuclear!$S$5:$S$292,MATCH($C141,Src_SYSHECF_nuclear!$C$5:$C$292,0))*$E141),Keys!$C$5),Keys!$C$4)</f>
        <v>0.9</v>
      </c>
      <c r="V141">
        <f>IF($D141=1,ROUND(Keys!$C$2/(INDEX(Src_SYSHECF_nuclear!$T$5:$T$292,MATCH($C141,Src_SYSHECF_nuclear!$C$5:$C$292,0))*$E141),Keys!$C$5),Keys!$C$4)</f>
        <v>0.9</v>
      </c>
      <c r="W141">
        <f>IF($D141=1,ROUND(Keys!$C$2/(INDEX(Src_SYSHECF_nuclear!$U$5:$U$292,MATCH($C141,Src_SYSHECF_nuclear!$C$5:$C$292,0))*$E141),Keys!$C$5),Keys!$C$4)</f>
        <v>0.9</v>
      </c>
      <c r="X141">
        <f>IF($D141=1,ROUND(Keys!$C$2/(INDEX(Src_SYSHECF_nuclear!$V$5:$V$292,MATCH($C141,Src_SYSHECF_nuclear!$C$5:$C$292,0))*$E141),Keys!$C$5),Keys!$C$4)</f>
        <v>0.9</v>
      </c>
      <c r="Y141">
        <f>IF($D141=1,ROUND(Keys!$C$2/(INDEX(Src_SYSHECF_nuclear!$W$5:$W$292,MATCH($C141,Src_SYSHECF_nuclear!$C$5:$C$292,0))*$E141),Keys!$C$5),Keys!$C$4)</f>
        <v>0.9</v>
      </c>
      <c r="Z141">
        <f>IF($D141=1,ROUND(Keys!$C$2/(INDEX(Src_SYSHECF_nuclear!$X$5:$X$292,MATCH($C141,Src_SYSHECF_nuclear!$C$5:$C$292,0))*$E141),Keys!$C$5),Keys!$C$4)</f>
        <v>0.9</v>
      </c>
      <c r="AA141">
        <f>IF($D141=1,ROUND(Keys!$C$2/(INDEX(Src_SYSHECF_nuclear!$Y$5:$Y$292,MATCH($C141,Src_SYSHECF_nuclear!$C$5:$C$292,0))*$E141),Keys!$C$5),Keys!$C$4)</f>
        <v>0.9</v>
      </c>
      <c r="AB141">
        <f>IF($D141=1,ROUND(Keys!$C$2/(INDEX(Src_SYSHECF_nuclear!$Z$5:$Z$292,MATCH($C141,Src_SYSHECF_nuclear!$C$5:$C$292,0))*$E141),Keys!$C$5),Keys!$C$4)</f>
        <v>0.9</v>
      </c>
      <c r="AC141">
        <f>IF($D141=1,ROUND(Keys!$C$2/(INDEX(Src_SYSHECF_nuclear!$AA$5:$AA$292,MATCH($C141,Src_SYSHECF_nuclear!$C$5:$C$292,0))*$E141),Keys!$C$5),Keys!$C$4)</f>
        <v>0.9</v>
      </c>
      <c r="AE141">
        <f>IF($D141=1,IF(ABS(INDEX(Src_SYSHECF_nuclear!$D$5:$D$292,MATCH($C141,Src_SYSHECF_nuclear!$C$5:$C$292,0))*$E141*F141-Keys!$C$2)&gt;Keys!$C$6,1,0),0)</f>
        <v>0</v>
      </c>
    </row>
    <row r="142" spans="1:31" x14ac:dyDescent="0.45">
      <c r="A142" t="s">
        <v>42</v>
      </c>
      <c r="B142" t="s">
        <v>426</v>
      </c>
      <c r="C142" t="str">
        <f t="shared" si="2"/>
        <v>KY|Summer</v>
      </c>
      <c r="D142">
        <f>INDEX(Src_BHRaSYC_nuclear!$HF$5:$HF$52,MATCH($A142,Src_BHRaSYC_nuclear!$A$5:$A$52,0))</f>
        <v>0</v>
      </c>
      <c r="E142">
        <f>INDEX(Src_HYECFCA_nuclear!$B$5:$B$52,MATCH($A142,Src_HYECFCA_nuclear!$A$5:$A$52,0))</f>
        <v>1</v>
      </c>
      <c r="F142">
        <f>IF($D142=1,ROUND(Keys!$C$2/(INDEX(Src_SYSHECF_nuclear!$D$5:$D$292,MATCH($C142,Src_SYSHECF_nuclear!$C$5:$C$292,0))*$E142),Keys!$C$5),Keys!$C$4)</f>
        <v>0.9</v>
      </c>
      <c r="G142">
        <f>IF($D142=1,ROUND(Keys!$C$2/(INDEX(Src_SYSHECF_nuclear!$E$5:$E$292,MATCH($C142,Src_SYSHECF_nuclear!$C$5:$C$292,0))*$E142),Keys!$C$5),Keys!$C$4)</f>
        <v>0.9</v>
      </c>
      <c r="H142">
        <f>IF($D142=1,ROUND(Keys!$C$2/(INDEX(Src_SYSHECF_nuclear!$F$5:$F$292,MATCH($C142,Src_SYSHECF_nuclear!$C$5:$C$292,0))*$E142),Keys!$C$5),Keys!$C$4)</f>
        <v>0.9</v>
      </c>
      <c r="I142">
        <f>IF($D142=1,ROUND(Keys!$C$2/(INDEX(Src_SYSHECF_nuclear!$G$5:$G$292,MATCH($C142,Src_SYSHECF_nuclear!$C$5:$C$292,0))*$E142),Keys!$C$5),Keys!$C$4)</f>
        <v>0.9</v>
      </c>
      <c r="J142">
        <f>IF($D142=1,ROUND(Keys!$C$2/(INDEX(Src_SYSHECF_nuclear!$H$5:$H$292,MATCH($C142,Src_SYSHECF_nuclear!$C$5:$C$292,0))*$E142),Keys!$C$5),Keys!$C$4)</f>
        <v>0.9</v>
      </c>
      <c r="K142">
        <f>IF($D142=1,ROUND(Keys!$C$2/(INDEX(Src_SYSHECF_nuclear!$I$5:$I$292,MATCH($C142,Src_SYSHECF_nuclear!$C$5:$C$292,0))*$E142),Keys!$C$5),Keys!$C$4)</f>
        <v>0.9</v>
      </c>
      <c r="L142">
        <f>IF($D142=1,ROUND(Keys!$C$2/(INDEX(Src_SYSHECF_nuclear!$J$5:$J$292,MATCH($C142,Src_SYSHECF_nuclear!$C$5:$C$292,0))*$E142),Keys!$C$5),Keys!$C$4)</f>
        <v>0.9</v>
      </c>
      <c r="M142">
        <f>IF($D142=1,ROUND(Keys!$C$2/(INDEX(Src_SYSHECF_nuclear!$K$5:$K$292,MATCH($C142,Src_SYSHECF_nuclear!$C$5:$C$292,0))*$E142),Keys!$C$5),Keys!$C$4)</f>
        <v>0.9</v>
      </c>
      <c r="N142">
        <f>IF($D142=1,ROUND(Keys!$C$2/(INDEX(Src_SYSHECF_nuclear!$L$5:$L$292,MATCH($C142,Src_SYSHECF_nuclear!$C$5:$C$292,0))*$E142),Keys!$C$5),Keys!$C$4)</f>
        <v>0.9</v>
      </c>
      <c r="O142">
        <f>IF($D142=1,ROUND(Keys!$C$2/(INDEX(Src_SYSHECF_nuclear!$M$5:$M$292,MATCH($C142,Src_SYSHECF_nuclear!$C$5:$C$292,0))*$E142),Keys!$C$5),Keys!$C$4)</f>
        <v>0.9</v>
      </c>
      <c r="P142">
        <f>IF($D142=1,ROUND(Keys!$C$2/(INDEX(Src_SYSHECF_nuclear!$N$5:$N$292,MATCH($C142,Src_SYSHECF_nuclear!$C$5:$C$292,0))*$E142),Keys!$C$5),Keys!$C$4)</f>
        <v>0.9</v>
      </c>
      <c r="Q142">
        <f>IF($D142=1,ROUND(Keys!$C$2/(INDEX(Src_SYSHECF_nuclear!$O$5:$O$292,MATCH($C142,Src_SYSHECF_nuclear!$C$5:$C$292,0))*$E142),Keys!$C$5),Keys!$C$4)</f>
        <v>0.9</v>
      </c>
      <c r="R142">
        <f>IF($D142=1,ROUND(Keys!$C$2/(INDEX(Src_SYSHECF_nuclear!$P$5:$P$292,MATCH($C142,Src_SYSHECF_nuclear!$C$5:$C$292,0))*$E142),Keys!$C$5),Keys!$C$4)</f>
        <v>0.9</v>
      </c>
      <c r="S142">
        <f>IF($D142=1,ROUND(Keys!$C$2/(INDEX(Src_SYSHECF_nuclear!$Q$5:$Q$292,MATCH($C142,Src_SYSHECF_nuclear!$C$5:$C$292,0))*$E142),Keys!$C$5),Keys!$C$4)</f>
        <v>0.9</v>
      </c>
      <c r="T142">
        <f>IF($D142=1,ROUND(Keys!$C$2/(INDEX(Src_SYSHECF_nuclear!$R$5:$R$292,MATCH($C142,Src_SYSHECF_nuclear!$C$5:$C$292,0))*$E142),Keys!$C$5),Keys!$C$4)</f>
        <v>0.9</v>
      </c>
      <c r="U142">
        <f>IF($D142=1,ROUND(Keys!$C$2/(INDEX(Src_SYSHECF_nuclear!$S$5:$S$292,MATCH($C142,Src_SYSHECF_nuclear!$C$5:$C$292,0))*$E142),Keys!$C$5),Keys!$C$4)</f>
        <v>0.9</v>
      </c>
      <c r="V142">
        <f>IF($D142=1,ROUND(Keys!$C$2/(INDEX(Src_SYSHECF_nuclear!$T$5:$T$292,MATCH($C142,Src_SYSHECF_nuclear!$C$5:$C$292,0))*$E142),Keys!$C$5),Keys!$C$4)</f>
        <v>0.9</v>
      </c>
      <c r="W142">
        <f>IF($D142=1,ROUND(Keys!$C$2/(INDEX(Src_SYSHECF_nuclear!$U$5:$U$292,MATCH($C142,Src_SYSHECF_nuclear!$C$5:$C$292,0))*$E142),Keys!$C$5),Keys!$C$4)</f>
        <v>0.9</v>
      </c>
      <c r="X142">
        <f>IF($D142=1,ROUND(Keys!$C$2/(INDEX(Src_SYSHECF_nuclear!$V$5:$V$292,MATCH($C142,Src_SYSHECF_nuclear!$C$5:$C$292,0))*$E142),Keys!$C$5),Keys!$C$4)</f>
        <v>0.9</v>
      </c>
      <c r="Y142">
        <f>IF($D142=1,ROUND(Keys!$C$2/(INDEX(Src_SYSHECF_nuclear!$W$5:$W$292,MATCH($C142,Src_SYSHECF_nuclear!$C$5:$C$292,0))*$E142),Keys!$C$5),Keys!$C$4)</f>
        <v>0.9</v>
      </c>
      <c r="Z142">
        <f>IF($D142=1,ROUND(Keys!$C$2/(INDEX(Src_SYSHECF_nuclear!$X$5:$X$292,MATCH($C142,Src_SYSHECF_nuclear!$C$5:$C$292,0))*$E142),Keys!$C$5),Keys!$C$4)</f>
        <v>0.9</v>
      </c>
      <c r="AA142">
        <f>IF($D142=1,ROUND(Keys!$C$2/(INDEX(Src_SYSHECF_nuclear!$Y$5:$Y$292,MATCH($C142,Src_SYSHECF_nuclear!$C$5:$C$292,0))*$E142),Keys!$C$5),Keys!$C$4)</f>
        <v>0.9</v>
      </c>
      <c r="AB142">
        <f>IF($D142=1,ROUND(Keys!$C$2/(INDEX(Src_SYSHECF_nuclear!$Z$5:$Z$292,MATCH($C142,Src_SYSHECF_nuclear!$C$5:$C$292,0))*$E142),Keys!$C$5),Keys!$C$4)</f>
        <v>0.9</v>
      </c>
      <c r="AC142">
        <f>IF($D142=1,ROUND(Keys!$C$2/(INDEX(Src_SYSHECF_nuclear!$AA$5:$AA$292,MATCH($C142,Src_SYSHECF_nuclear!$C$5:$C$292,0))*$E142),Keys!$C$5),Keys!$C$4)</f>
        <v>0.9</v>
      </c>
      <c r="AE142">
        <f>IF($D142=1,IF(ABS(INDEX(Src_SYSHECF_nuclear!$D$5:$D$292,MATCH($C142,Src_SYSHECF_nuclear!$C$5:$C$292,0))*$E142*F142-Keys!$C$2)&gt;Keys!$C$6,1,0),0)</f>
        <v>0</v>
      </c>
    </row>
    <row r="143" spans="1:31" x14ac:dyDescent="0.45">
      <c r="A143" t="s">
        <v>42</v>
      </c>
      <c r="B143" t="s">
        <v>427</v>
      </c>
      <c r="C143" t="str">
        <f t="shared" si="2"/>
        <v>KY|Fall</v>
      </c>
      <c r="D143">
        <f>INDEX(Src_BHRaSYC_nuclear!$HF$5:$HF$52,MATCH($A143,Src_BHRaSYC_nuclear!$A$5:$A$52,0))</f>
        <v>0</v>
      </c>
      <c r="E143">
        <f>INDEX(Src_HYECFCA_nuclear!$B$5:$B$52,MATCH($A143,Src_HYECFCA_nuclear!$A$5:$A$52,0))</f>
        <v>1</v>
      </c>
      <c r="F143">
        <f>IF($D143=1,ROUND(Keys!$C$2/(INDEX(Src_SYSHECF_nuclear!$D$5:$D$292,MATCH($C143,Src_SYSHECF_nuclear!$C$5:$C$292,0))*$E143),Keys!$C$5),Keys!$C$4)</f>
        <v>0.9</v>
      </c>
      <c r="G143">
        <f>IF($D143=1,ROUND(Keys!$C$2/(INDEX(Src_SYSHECF_nuclear!$E$5:$E$292,MATCH($C143,Src_SYSHECF_nuclear!$C$5:$C$292,0))*$E143),Keys!$C$5),Keys!$C$4)</f>
        <v>0.9</v>
      </c>
      <c r="H143">
        <f>IF($D143=1,ROUND(Keys!$C$2/(INDEX(Src_SYSHECF_nuclear!$F$5:$F$292,MATCH($C143,Src_SYSHECF_nuclear!$C$5:$C$292,0))*$E143),Keys!$C$5),Keys!$C$4)</f>
        <v>0.9</v>
      </c>
      <c r="I143">
        <f>IF($D143=1,ROUND(Keys!$C$2/(INDEX(Src_SYSHECF_nuclear!$G$5:$G$292,MATCH($C143,Src_SYSHECF_nuclear!$C$5:$C$292,0))*$E143),Keys!$C$5),Keys!$C$4)</f>
        <v>0.9</v>
      </c>
      <c r="J143">
        <f>IF($D143=1,ROUND(Keys!$C$2/(INDEX(Src_SYSHECF_nuclear!$H$5:$H$292,MATCH($C143,Src_SYSHECF_nuclear!$C$5:$C$292,0))*$E143),Keys!$C$5),Keys!$C$4)</f>
        <v>0.9</v>
      </c>
      <c r="K143">
        <f>IF($D143=1,ROUND(Keys!$C$2/(INDEX(Src_SYSHECF_nuclear!$I$5:$I$292,MATCH($C143,Src_SYSHECF_nuclear!$C$5:$C$292,0))*$E143),Keys!$C$5),Keys!$C$4)</f>
        <v>0.9</v>
      </c>
      <c r="L143">
        <f>IF($D143=1,ROUND(Keys!$C$2/(INDEX(Src_SYSHECF_nuclear!$J$5:$J$292,MATCH($C143,Src_SYSHECF_nuclear!$C$5:$C$292,0))*$E143),Keys!$C$5),Keys!$C$4)</f>
        <v>0.9</v>
      </c>
      <c r="M143">
        <f>IF($D143=1,ROUND(Keys!$C$2/(INDEX(Src_SYSHECF_nuclear!$K$5:$K$292,MATCH($C143,Src_SYSHECF_nuclear!$C$5:$C$292,0))*$E143),Keys!$C$5),Keys!$C$4)</f>
        <v>0.9</v>
      </c>
      <c r="N143">
        <f>IF($D143=1,ROUND(Keys!$C$2/(INDEX(Src_SYSHECF_nuclear!$L$5:$L$292,MATCH($C143,Src_SYSHECF_nuclear!$C$5:$C$292,0))*$E143),Keys!$C$5),Keys!$C$4)</f>
        <v>0.9</v>
      </c>
      <c r="O143">
        <f>IF($D143=1,ROUND(Keys!$C$2/(INDEX(Src_SYSHECF_nuclear!$M$5:$M$292,MATCH($C143,Src_SYSHECF_nuclear!$C$5:$C$292,0))*$E143),Keys!$C$5),Keys!$C$4)</f>
        <v>0.9</v>
      </c>
      <c r="P143">
        <f>IF($D143=1,ROUND(Keys!$C$2/(INDEX(Src_SYSHECF_nuclear!$N$5:$N$292,MATCH($C143,Src_SYSHECF_nuclear!$C$5:$C$292,0))*$E143),Keys!$C$5),Keys!$C$4)</f>
        <v>0.9</v>
      </c>
      <c r="Q143">
        <f>IF($D143=1,ROUND(Keys!$C$2/(INDEX(Src_SYSHECF_nuclear!$O$5:$O$292,MATCH($C143,Src_SYSHECF_nuclear!$C$5:$C$292,0))*$E143),Keys!$C$5),Keys!$C$4)</f>
        <v>0.9</v>
      </c>
      <c r="R143">
        <f>IF($D143=1,ROUND(Keys!$C$2/(INDEX(Src_SYSHECF_nuclear!$P$5:$P$292,MATCH($C143,Src_SYSHECF_nuclear!$C$5:$C$292,0))*$E143),Keys!$C$5),Keys!$C$4)</f>
        <v>0.9</v>
      </c>
      <c r="S143">
        <f>IF($D143=1,ROUND(Keys!$C$2/(INDEX(Src_SYSHECF_nuclear!$Q$5:$Q$292,MATCH($C143,Src_SYSHECF_nuclear!$C$5:$C$292,0))*$E143),Keys!$C$5),Keys!$C$4)</f>
        <v>0.9</v>
      </c>
      <c r="T143">
        <f>IF($D143=1,ROUND(Keys!$C$2/(INDEX(Src_SYSHECF_nuclear!$R$5:$R$292,MATCH($C143,Src_SYSHECF_nuclear!$C$5:$C$292,0))*$E143),Keys!$C$5),Keys!$C$4)</f>
        <v>0.9</v>
      </c>
      <c r="U143">
        <f>IF($D143=1,ROUND(Keys!$C$2/(INDEX(Src_SYSHECF_nuclear!$S$5:$S$292,MATCH($C143,Src_SYSHECF_nuclear!$C$5:$C$292,0))*$E143),Keys!$C$5),Keys!$C$4)</f>
        <v>0.9</v>
      </c>
      <c r="V143">
        <f>IF($D143=1,ROUND(Keys!$C$2/(INDEX(Src_SYSHECF_nuclear!$T$5:$T$292,MATCH($C143,Src_SYSHECF_nuclear!$C$5:$C$292,0))*$E143),Keys!$C$5),Keys!$C$4)</f>
        <v>0.9</v>
      </c>
      <c r="W143">
        <f>IF($D143=1,ROUND(Keys!$C$2/(INDEX(Src_SYSHECF_nuclear!$U$5:$U$292,MATCH($C143,Src_SYSHECF_nuclear!$C$5:$C$292,0))*$E143),Keys!$C$5),Keys!$C$4)</f>
        <v>0.9</v>
      </c>
      <c r="X143">
        <f>IF($D143=1,ROUND(Keys!$C$2/(INDEX(Src_SYSHECF_nuclear!$V$5:$V$292,MATCH($C143,Src_SYSHECF_nuclear!$C$5:$C$292,0))*$E143),Keys!$C$5),Keys!$C$4)</f>
        <v>0.9</v>
      </c>
      <c r="Y143">
        <f>IF($D143=1,ROUND(Keys!$C$2/(INDEX(Src_SYSHECF_nuclear!$W$5:$W$292,MATCH($C143,Src_SYSHECF_nuclear!$C$5:$C$292,0))*$E143),Keys!$C$5),Keys!$C$4)</f>
        <v>0.9</v>
      </c>
      <c r="Z143">
        <f>IF($D143=1,ROUND(Keys!$C$2/(INDEX(Src_SYSHECF_nuclear!$X$5:$X$292,MATCH($C143,Src_SYSHECF_nuclear!$C$5:$C$292,0))*$E143),Keys!$C$5),Keys!$C$4)</f>
        <v>0.9</v>
      </c>
      <c r="AA143">
        <f>IF($D143=1,ROUND(Keys!$C$2/(INDEX(Src_SYSHECF_nuclear!$Y$5:$Y$292,MATCH($C143,Src_SYSHECF_nuclear!$C$5:$C$292,0))*$E143),Keys!$C$5),Keys!$C$4)</f>
        <v>0.9</v>
      </c>
      <c r="AB143">
        <f>IF($D143=1,ROUND(Keys!$C$2/(INDEX(Src_SYSHECF_nuclear!$Z$5:$Z$292,MATCH($C143,Src_SYSHECF_nuclear!$C$5:$C$292,0))*$E143),Keys!$C$5),Keys!$C$4)</f>
        <v>0.9</v>
      </c>
      <c r="AC143">
        <f>IF($D143=1,ROUND(Keys!$C$2/(INDEX(Src_SYSHECF_nuclear!$AA$5:$AA$292,MATCH($C143,Src_SYSHECF_nuclear!$C$5:$C$292,0))*$E143),Keys!$C$5),Keys!$C$4)</f>
        <v>0.9</v>
      </c>
      <c r="AE143">
        <f>IF($D143=1,IF(ABS(INDEX(Src_SYSHECF_nuclear!$D$5:$D$292,MATCH($C143,Src_SYSHECF_nuclear!$C$5:$C$292,0))*$E143*F143-Keys!$C$2)&gt;Keys!$C$6,1,0),0)</f>
        <v>0</v>
      </c>
    </row>
    <row r="144" spans="1:31" x14ac:dyDescent="0.45">
      <c r="A144" t="s">
        <v>42</v>
      </c>
      <c r="B144" t="s">
        <v>428</v>
      </c>
      <c r="C144" t="str">
        <f t="shared" si="2"/>
        <v>KY|Summer Peak</v>
      </c>
      <c r="D144">
        <f>INDEX(Src_BHRaSYC_nuclear!$HF$5:$HF$52,MATCH($A144,Src_BHRaSYC_nuclear!$A$5:$A$52,0))</f>
        <v>0</v>
      </c>
      <c r="E144">
        <f>INDEX(Src_HYECFCA_nuclear!$B$5:$B$52,MATCH($A144,Src_HYECFCA_nuclear!$A$5:$A$52,0))</f>
        <v>1</v>
      </c>
      <c r="F144">
        <f>IF($D144=1,ROUND(Keys!$C$2/(INDEX(Src_SYSHECF_nuclear!$D$5:$D$292,MATCH($C144,Src_SYSHECF_nuclear!$C$5:$C$292,0))*$E144),Keys!$C$5),Keys!$C$4)</f>
        <v>0.9</v>
      </c>
      <c r="G144">
        <f>IF($D144=1,ROUND(Keys!$C$2/(INDEX(Src_SYSHECF_nuclear!$E$5:$E$292,MATCH($C144,Src_SYSHECF_nuclear!$C$5:$C$292,0))*$E144),Keys!$C$5),Keys!$C$4)</f>
        <v>0.9</v>
      </c>
      <c r="H144">
        <f>IF($D144=1,ROUND(Keys!$C$2/(INDEX(Src_SYSHECF_nuclear!$F$5:$F$292,MATCH($C144,Src_SYSHECF_nuclear!$C$5:$C$292,0))*$E144),Keys!$C$5),Keys!$C$4)</f>
        <v>0.9</v>
      </c>
      <c r="I144">
        <f>IF($D144=1,ROUND(Keys!$C$2/(INDEX(Src_SYSHECF_nuclear!$G$5:$G$292,MATCH($C144,Src_SYSHECF_nuclear!$C$5:$C$292,0))*$E144),Keys!$C$5),Keys!$C$4)</f>
        <v>0.9</v>
      </c>
      <c r="J144">
        <f>IF($D144=1,ROUND(Keys!$C$2/(INDEX(Src_SYSHECF_nuclear!$H$5:$H$292,MATCH($C144,Src_SYSHECF_nuclear!$C$5:$C$292,0))*$E144),Keys!$C$5),Keys!$C$4)</f>
        <v>0.9</v>
      </c>
      <c r="K144">
        <f>IF($D144=1,ROUND(Keys!$C$2/(INDEX(Src_SYSHECF_nuclear!$I$5:$I$292,MATCH($C144,Src_SYSHECF_nuclear!$C$5:$C$292,0))*$E144),Keys!$C$5),Keys!$C$4)</f>
        <v>0.9</v>
      </c>
      <c r="L144">
        <f>IF($D144=1,ROUND(Keys!$C$2/(INDEX(Src_SYSHECF_nuclear!$J$5:$J$292,MATCH($C144,Src_SYSHECF_nuclear!$C$5:$C$292,0))*$E144),Keys!$C$5),Keys!$C$4)</f>
        <v>0.9</v>
      </c>
      <c r="M144">
        <f>IF($D144=1,ROUND(Keys!$C$2/(INDEX(Src_SYSHECF_nuclear!$K$5:$K$292,MATCH($C144,Src_SYSHECF_nuclear!$C$5:$C$292,0))*$E144),Keys!$C$5),Keys!$C$4)</f>
        <v>0.9</v>
      </c>
      <c r="N144">
        <f>IF($D144=1,ROUND(Keys!$C$2/(INDEX(Src_SYSHECF_nuclear!$L$5:$L$292,MATCH($C144,Src_SYSHECF_nuclear!$C$5:$C$292,0))*$E144),Keys!$C$5),Keys!$C$4)</f>
        <v>0.9</v>
      </c>
      <c r="O144">
        <f>IF($D144=1,ROUND(Keys!$C$2/(INDEX(Src_SYSHECF_nuclear!$M$5:$M$292,MATCH($C144,Src_SYSHECF_nuclear!$C$5:$C$292,0))*$E144),Keys!$C$5),Keys!$C$4)</f>
        <v>0.9</v>
      </c>
      <c r="P144">
        <f>IF($D144=1,ROUND(Keys!$C$2/(INDEX(Src_SYSHECF_nuclear!$N$5:$N$292,MATCH($C144,Src_SYSHECF_nuclear!$C$5:$C$292,0))*$E144),Keys!$C$5),Keys!$C$4)</f>
        <v>0.9</v>
      </c>
      <c r="Q144">
        <f>IF($D144=1,ROUND(Keys!$C$2/(INDEX(Src_SYSHECF_nuclear!$O$5:$O$292,MATCH($C144,Src_SYSHECF_nuclear!$C$5:$C$292,0))*$E144),Keys!$C$5),Keys!$C$4)</f>
        <v>0.9</v>
      </c>
      <c r="R144">
        <f>IF($D144=1,ROUND(Keys!$C$2/(INDEX(Src_SYSHECF_nuclear!$P$5:$P$292,MATCH($C144,Src_SYSHECF_nuclear!$C$5:$C$292,0))*$E144),Keys!$C$5),Keys!$C$4)</f>
        <v>0.9</v>
      </c>
      <c r="S144">
        <f>IF($D144=1,ROUND(Keys!$C$2/(INDEX(Src_SYSHECF_nuclear!$Q$5:$Q$292,MATCH($C144,Src_SYSHECF_nuclear!$C$5:$C$292,0))*$E144),Keys!$C$5),Keys!$C$4)</f>
        <v>0.9</v>
      </c>
      <c r="T144">
        <f>IF($D144=1,ROUND(Keys!$C$2/(INDEX(Src_SYSHECF_nuclear!$R$5:$R$292,MATCH($C144,Src_SYSHECF_nuclear!$C$5:$C$292,0))*$E144),Keys!$C$5),Keys!$C$4)</f>
        <v>0.9</v>
      </c>
      <c r="U144">
        <f>IF($D144=1,ROUND(Keys!$C$2/(INDEX(Src_SYSHECF_nuclear!$S$5:$S$292,MATCH($C144,Src_SYSHECF_nuclear!$C$5:$C$292,0))*$E144),Keys!$C$5),Keys!$C$4)</f>
        <v>0.9</v>
      </c>
      <c r="V144">
        <f>IF($D144=1,ROUND(Keys!$C$2/(INDEX(Src_SYSHECF_nuclear!$T$5:$T$292,MATCH($C144,Src_SYSHECF_nuclear!$C$5:$C$292,0))*$E144),Keys!$C$5),Keys!$C$4)</f>
        <v>0.9</v>
      </c>
      <c r="W144">
        <f>IF($D144=1,ROUND(Keys!$C$2/(INDEX(Src_SYSHECF_nuclear!$U$5:$U$292,MATCH($C144,Src_SYSHECF_nuclear!$C$5:$C$292,0))*$E144),Keys!$C$5),Keys!$C$4)</f>
        <v>0.9</v>
      </c>
      <c r="X144">
        <f>IF($D144=1,ROUND(Keys!$C$2/(INDEX(Src_SYSHECF_nuclear!$V$5:$V$292,MATCH($C144,Src_SYSHECF_nuclear!$C$5:$C$292,0))*$E144),Keys!$C$5),Keys!$C$4)</f>
        <v>0.9</v>
      </c>
      <c r="Y144">
        <f>IF($D144=1,ROUND(Keys!$C$2/(INDEX(Src_SYSHECF_nuclear!$W$5:$W$292,MATCH($C144,Src_SYSHECF_nuclear!$C$5:$C$292,0))*$E144),Keys!$C$5),Keys!$C$4)</f>
        <v>0.9</v>
      </c>
      <c r="Z144">
        <f>IF($D144=1,ROUND(Keys!$C$2/(INDEX(Src_SYSHECF_nuclear!$X$5:$X$292,MATCH($C144,Src_SYSHECF_nuclear!$C$5:$C$292,0))*$E144),Keys!$C$5),Keys!$C$4)</f>
        <v>0.9</v>
      </c>
      <c r="AA144">
        <f>IF($D144=1,ROUND(Keys!$C$2/(INDEX(Src_SYSHECF_nuclear!$Y$5:$Y$292,MATCH($C144,Src_SYSHECF_nuclear!$C$5:$C$292,0))*$E144),Keys!$C$5),Keys!$C$4)</f>
        <v>0.9</v>
      </c>
      <c r="AB144">
        <f>IF($D144=1,ROUND(Keys!$C$2/(INDEX(Src_SYSHECF_nuclear!$Z$5:$Z$292,MATCH($C144,Src_SYSHECF_nuclear!$C$5:$C$292,0))*$E144),Keys!$C$5),Keys!$C$4)</f>
        <v>0.9</v>
      </c>
      <c r="AC144">
        <f>IF($D144=1,ROUND(Keys!$C$2/(INDEX(Src_SYSHECF_nuclear!$AA$5:$AA$292,MATCH($C144,Src_SYSHECF_nuclear!$C$5:$C$292,0))*$E144),Keys!$C$5),Keys!$C$4)</f>
        <v>0.9</v>
      </c>
      <c r="AE144">
        <f>IF($D144=1,IF(ABS(INDEX(Src_SYSHECF_nuclear!$D$5:$D$292,MATCH($C144,Src_SYSHECF_nuclear!$C$5:$C$292,0))*$E144*F144-Keys!$C$2)&gt;Keys!$C$6,1,0),0)</f>
        <v>0</v>
      </c>
    </row>
    <row r="145" spans="1:31" x14ac:dyDescent="0.45">
      <c r="A145" t="s">
        <v>42</v>
      </c>
      <c r="B145" t="s">
        <v>429</v>
      </c>
      <c r="C145" t="str">
        <f t="shared" si="2"/>
        <v>KY|Winter Peak</v>
      </c>
      <c r="D145">
        <f>INDEX(Src_BHRaSYC_nuclear!$HF$5:$HF$52,MATCH($A145,Src_BHRaSYC_nuclear!$A$5:$A$52,0))</f>
        <v>0</v>
      </c>
      <c r="E145">
        <f>INDEX(Src_HYECFCA_nuclear!$B$5:$B$52,MATCH($A145,Src_HYECFCA_nuclear!$A$5:$A$52,0))</f>
        <v>1</v>
      </c>
      <c r="F145">
        <f>IF($D145=1,ROUND(Keys!$C$2/(INDEX(Src_SYSHECF_nuclear!$D$5:$D$292,MATCH($C145,Src_SYSHECF_nuclear!$C$5:$C$292,0))*$E145),Keys!$C$5),Keys!$C$4)</f>
        <v>0.9</v>
      </c>
      <c r="G145">
        <f>IF($D145=1,ROUND(Keys!$C$2/(INDEX(Src_SYSHECF_nuclear!$E$5:$E$292,MATCH($C145,Src_SYSHECF_nuclear!$C$5:$C$292,0))*$E145),Keys!$C$5),Keys!$C$4)</f>
        <v>0.9</v>
      </c>
      <c r="H145">
        <f>IF($D145=1,ROUND(Keys!$C$2/(INDEX(Src_SYSHECF_nuclear!$F$5:$F$292,MATCH($C145,Src_SYSHECF_nuclear!$C$5:$C$292,0))*$E145),Keys!$C$5),Keys!$C$4)</f>
        <v>0.9</v>
      </c>
      <c r="I145">
        <f>IF($D145=1,ROUND(Keys!$C$2/(INDEX(Src_SYSHECF_nuclear!$G$5:$G$292,MATCH($C145,Src_SYSHECF_nuclear!$C$5:$C$292,0))*$E145),Keys!$C$5),Keys!$C$4)</f>
        <v>0.9</v>
      </c>
      <c r="J145">
        <f>IF($D145=1,ROUND(Keys!$C$2/(INDEX(Src_SYSHECF_nuclear!$H$5:$H$292,MATCH($C145,Src_SYSHECF_nuclear!$C$5:$C$292,0))*$E145),Keys!$C$5),Keys!$C$4)</f>
        <v>0.9</v>
      </c>
      <c r="K145">
        <f>IF($D145=1,ROUND(Keys!$C$2/(INDEX(Src_SYSHECF_nuclear!$I$5:$I$292,MATCH($C145,Src_SYSHECF_nuclear!$C$5:$C$292,0))*$E145),Keys!$C$5),Keys!$C$4)</f>
        <v>0.9</v>
      </c>
      <c r="L145">
        <f>IF($D145=1,ROUND(Keys!$C$2/(INDEX(Src_SYSHECF_nuclear!$J$5:$J$292,MATCH($C145,Src_SYSHECF_nuclear!$C$5:$C$292,0))*$E145),Keys!$C$5),Keys!$C$4)</f>
        <v>0.9</v>
      </c>
      <c r="M145">
        <f>IF($D145=1,ROUND(Keys!$C$2/(INDEX(Src_SYSHECF_nuclear!$K$5:$K$292,MATCH($C145,Src_SYSHECF_nuclear!$C$5:$C$292,0))*$E145),Keys!$C$5),Keys!$C$4)</f>
        <v>0.9</v>
      </c>
      <c r="N145">
        <f>IF($D145=1,ROUND(Keys!$C$2/(INDEX(Src_SYSHECF_nuclear!$L$5:$L$292,MATCH($C145,Src_SYSHECF_nuclear!$C$5:$C$292,0))*$E145),Keys!$C$5),Keys!$C$4)</f>
        <v>0.9</v>
      </c>
      <c r="O145">
        <f>IF($D145=1,ROUND(Keys!$C$2/(INDEX(Src_SYSHECF_nuclear!$M$5:$M$292,MATCH($C145,Src_SYSHECF_nuclear!$C$5:$C$292,0))*$E145),Keys!$C$5),Keys!$C$4)</f>
        <v>0.9</v>
      </c>
      <c r="P145">
        <f>IF($D145=1,ROUND(Keys!$C$2/(INDEX(Src_SYSHECF_nuclear!$N$5:$N$292,MATCH($C145,Src_SYSHECF_nuclear!$C$5:$C$292,0))*$E145),Keys!$C$5),Keys!$C$4)</f>
        <v>0.9</v>
      </c>
      <c r="Q145">
        <f>IF($D145=1,ROUND(Keys!$C$2/(INDEX(Src_SYSHECF_nuclear!$O$5:$O$292,MATCH($C145,Src_SYSHECF_nuclear!$C$5:$C$292,0))*$E145),Keys!$C$5),Keys!$C$4)</f>
        <v>0.9</v>
      </c>
      <c r="R145">
        <f>IF($D145=1,ROUND(Keys!$C$2/(INDEX(Src_SYSHECF_nuclear!$P$5:$P$292,MATCH($C145,Src_SYSHECF_nuclear!$C$5:$C$292,0))*$E145),Keys!$C$5),Keys!$C$4)</f>
        <v>0.9</v>
      </c>
      <c r="S145">
        <f>IF($D145=1,ROUND(Keys!$C$2/(INDEX(Src_SYSHECF_nuclear!$Q$5:$Q$292,MATCH($C145,Src_SYSHECF_nuclear!$C$5:$C$292,0))*$E145),Keys!$C$5),Keys!$C$4)</f>
        <v>0.9</v>
      </c>
      <c r="T145">
        <f>IF($D145=1,ROUND(Keys!$C$2/(INDEX(Src_SYSHECF_nuclear!$R$5:$R$292,MATCH($C145,Src_SYSHECF_nuclear!$C$5:$C$292,0))*$E145),Keys!$C$5),Keys!$C$4)</f>
        <v>0.9</v>
      </c>
      <c r="U145">
        <f>IF($D145=1,ROUND(Keys!$C$2/(INDEX(Src_SYSHECF_nuclear!$S$5:$S$292,MATCH($C145,Src_SYSHECF_nuclear!$C$5:$C$292,0))*$E145),Keys!$C$5),Keys!$C$4)</f>
        <v>0.9</v>
      </c>
      <c r="V145">
        <f>IF($D145=1,ROUND(Keys!$C$2/(INDEX(Src_SYSHECF_nuclear!$T$5:$T$292,MATCH($C145,Src_SYSHECF_nuclear!$C$5:$C$292,0))*$E145),Keys!$C$5),Keys!$C$4)</f>
        <v>0.9</v>
      </c>
      <c r="W145">
        <f>IF($D145=1,ROUND(Keys!$C$2/(INDEX(Src_SYSHECF_nuclear!$U$5:$U$292,MATCH($C145,Src_SYSHECF_nuclear!$C$5:$C$292,0))*$E145),Keys!$C$5),Keys!$C$4)</f>
        <v>0.9</v>
      </c>
      <c r="X145">
        <f>IF($D145=1,ROUND(Keys!$C$2/(INDEX(Src_SYSHECF_nuclear!$V$5:$V$292,MATCH($C145,Src_SYSHECF_nuclear!$C$5:$C$292,0))*$E145),Keys!$C$5),Keys!$C$4)</f>
        <v>0.9</v>
      </c>
      <c r="Y145">
        <f>IF($D145=1,ROUND(Keys!$C$2/(INDEX(Src_SYSHECF_nuclear!$W$5:$W$292,MATCH($C145,Src_SYSHECF_nuclear!$C$5:$C$292,0))*$E145),Keys!$C$5),Keys!$C$4)</f>
        <v>0.9</v>
      </c>
      <c r="Z145">
        <f>IF($D145=1,ROUND(Keys!$C$2/(INDEX(Src_SYSHECF_nuclear!$X$5:$X$292,MATCH($C145,Src_SYSHECF_nuclear!$C$5:$C$292,0))*$E145),Keys!$C$5),Keys!$C$4)</f>
        <v>0.9</v>
      </c>
      <c r="AA145">
        <f>IF($D145=1,ROUND(Keys!$C$2/(INDEX(Src_SYSHECF_nuclear!$Y$5:$Y$292,MATCH($C145,Src_SYSHECF_nuclear!$C$5:$C$292,0))*$E145),Keys!$C$5),Keys!$C$4)</f>
        <v>0.9</v>
      </c>
      <c r="AB145">
        <f>IF($D145=1,ROUND(Keys!$C$2/(INDEX(Src_SYSHECF_nuclear!$Z$5:$Z$292,MATCH($C145,Src_SYSHECF_nuclear!$C$5:$C$292,0))*$E145),Keys!$C$5),Keys!$C$4)</f>
        <v>0.9</v>
      </c>
      <c r="AC145">
        <f>IF($D145=1,ROUND(Keys!$C$2/(INDEX(Src_SYSHECF_nuclear!$AA$5:$AA$292,MATCH($C145,Src_SYSHECF_nuclear!$C$5:$C$292,0))*$E145),Keys!$C$5),Keys!$C$4)</f>
        <v>0.9</v>
      </c>
      <c r="AE145">
        <f>IF($D145=1,IF(ABS(INDEX(Src_SYSHECF_nuclear!$D$5:$D$292,MATCH($C145,Src_SYSHECF_nuclear!$C$5:$C$292,0))*$E145*F145-Keys!$C$2)&gt;Keys!$C$6,1,0),0)</f>
        <v>0</v>
      </c>
    </row>
    <row r="146" spans="1:31" x14ac:dyDescent="0.45">
      <c r="A146" t="s">
        <v>44</v>
      </c>
      <c r="B146" t="s">
        <v>424</v>
      </c>
      <c r="C146" t="str">
        <f t="shared" si="2"/>
        <v>LA|Winter</v>
      </c>
      <c r="D146">
        <f>INDEX(Src_BHRaSYC_nuclear!$HF$5:$HF$52,MATCH($A146,Src_BHRaSYC_nuclear!$A$5:$A$52,0))</f>
        <v>1</v>
      </c>
      <c r="E146">
        <f>INDEX(Src_HYECFCA_nuclear!$B$5:$B$52,MATCH($A146,Src_HYECFCA_nuclear!$A$5:$A$52,0))</f>
        <v>1.0192600000000001</v>
      </c>
      <c r="F146">
        <f>IF($D146=1,ROUND(Keys!$C$2/(INDEX(Src_SYSHECF_nuclear!$D$5:$D$292,MATCH($C146,Src_SYSHECF_nuclear!$C$5:$C$292,0))*$E146),Keys!$C$5),Keys!$C$4)</f>
        <v>1.1506000000000001</v>
      </c>
      <c r="G146">
        <f>IF($D146=1,ROUND(Keys!$C$2/(INDEX(Src_SYSHECF_nuclear!$E$5:$E$292,MATCH($C146,Src_SYSHECF_nuclear!$C$5:$C$292,0))*$E146),Keys!$C$5),Keys!$C$4)</f>
        <v>1.1506000000000001</v>
      </c>
      <c r="H146">
        <f>IF($D146=1,ROUND(Keys!$C$2/(INDEX(Src_SYSHECF_nuclear!$F$5:$F$292,MATCH($C146,Src_SYSHECF_nuclear!$C$5:$C$292,0))*$E146),Keys!$C$5),Keys!$C$4)</f>
        <v>1.1506000000000001</v>
      </c>
      <c r="I146">
        <f>IF($D146=1,ROUND(Keys!$C$2/(INDEX(Src_SYSHECF_nuclear!$G$5:$G$292,MATCH($C146,Src_SYSHECF_nuclear!$C$5:$C$292,0))*$E146),Keys!$C$5),Keys!$C$4)</f>
        <v>1.1506000000000001</v>
      </c>
      <c r="J146">
        <f>IF($D146=1,ROUND(Keys!$C$2/(INDEX(Src_SYSHECF_nuclear!$H$5:$H$292,MATCH($C146,Src_SYSHECF_nuclear!$C$5:$C$292,0))*$E146),Keys!$C$5),Keys!$C$4)</f>
        <v>1.1506000000000001</v>
      </c>
      <c r="K146">
        <f>IF($D146=1,ROUND(Keys!$C$2/(INDEX(Src_SYSHECF_nuclear!$I$5:$I$292,MATCH($C146,Src_SYSHECF_nuclear!$C$5:$C$292,0))*$E146),Keys!$C$5),Keys!$C$4)</f>
        <v>1.1506000000000001</v>
      </c>
      <c r="L146">
        <f>IF($D146=1,ROUND(Keys!$C$2/(INDEX(Src_SYSHECF_nuclear!$J$5:$J$292,MATCH($C146,Src_SYSHECF_nuclear!$C$5:$C$292,0))*$E146),Keys!$C$5),Keys!$C$4)</f>
        <v>1.1506000000000001</v>
      </c>
      <c r="M146">
        <f>IF($D146=1,ROUND(Keys!$C$2/(INDEX(Src_SYSHECF_nuclear!$K$5:$K$292,MATCH($C146,Src_SYSHECF_nuclear!$C$5:$C$292,0))*$E146),Keys!$C$5),Keys!$C$4)</f>
        <v>1.1506000000000001</v>
      </c>
      <c r="N146">
        <f>IF($D146=1,ROUND(Keys!$C$2/(INDEX(Src_SYSHECF_nuclear!$L$5:$L$292,MATCH($C146,Src_SYSHECF_nuclear!$C$5:$C$292,0))*$E146),Keys!$C$5),Keys!$C$4)</f>
        <v>1.1506000000000001</v>
      </c>
      <c r="O146">
        <f>IF($D146=1,ROUND(Keys!$C$2/(INDEX(Src_SYSHECF_nuclear!$M$5:$M$292,MATCH($C146,Src_SYSHECF_nuclear!$C$5:$C$292,0))*$E146),Keys!$C$5),Keys!$C$4)</f>
        <v>1.1506000000000001</v>
      </c>
      <c r="P146">
        <f>IF($D146=1,ROUND(Keys!$C$2/(INDEX(Src_SYSHECF_nuclear!$N$5:$N$292,MATCH($C146,Src_SYSHECF_nuclear!$C$5:$C$292,0))*$E146),Keys!$C$5),Keys!$C$4)</f>
        <v>1.1506000000000001</v>
      </c>
      <c r="Q146">
        <f>IF($D146=1,ROUND(Keys!$C$2/(INDEX(Src_SYSHECF_nuclear!$O$5:$O$292,MATCH($C146,Src_SYSHECF_nuclear!$C$5:$C$292,0))*$E146),Keys!$C$5),Keys!$C$4)</f>
        <v>1.1506000000000001</v>
      </c>
      <c r="R146">
        <f>IF($D146=1,ROUND(Keys!$C$2/(INDEX(Src_SYSHECF_nuclear!$P$5:$P$292,MATCH($C146,Src_SYSHECF_nuclear!$C$5:$C$292,0))*$E146),Keys!$C$5),Keys!$C$4)</f>
        <v>1.1506000000000001</v>
      </c>
      <c r="S146">
        <f>IF($D146=1,ROUND(Keys!$C$2/(INDEX(Src_SYSHECF_nuclear!$Q$5:$Q$292,MATCH($C146,Src_SYSHECF_nuclear!$C$5:$C$292,0))*$E146),Keys!$C$5),Keys!$C$4)</f>
        <v>1.1506000000000001</v>
      </c>
      <c r="T146">
        <f>IF($D146=1,ROUND(Keys!$C$2/(INDEX(Src_SYSHECF_nuclear!$R$5:$R$292,MATCH($C146,Src_SYSHECF_nuclear!$C$5:$C$292,0))*$E146),Keys!$C$5),Keys!$C$4)</f>
        <v>1.1506000000000001</v>
      </c>
      <c r="U146">
        <f>IF($D146=1,ROUND(Keys!$C$2/(INDEX(Src_SYSHECF_nuclear!$S$5:$S$292,MATCH($C146,Src_SYSHECF_nuclear!$C$5:$C$292,0))*$E146),Keys!$C$5),Keys!$C$4)</f>
        <v>1.1506000000000001</v>
      </c>
      <c r="V146">
        <f>IF($D146=1,ROUND(Keys!$C$2/(INDEX(Src_SYSHECF_nuclear!$T$5:$T$292,MATCH($C146,Src_SYSHECF_nuclear!$C$5:$C$292,0))*$E146),Keys!$C$5),Keys!$C$4)</f>
        <v>1.1506000000000001</v>
      </c>
      <c r="W146">
        <f>IF($D146=1,ROUND(Keys!$C$2/(INDEX(Src_SYSHECF_nuclear!$U$5:$U$292,MATCH($C146,Src_SYSHECF_nuclear!$C$5:$C$292,0))*$E146),Keys!$C$5),Keys!$C$4)</f>
        <v>1.1506000000000001</v>
      </c>
      <c r="X146">
        <f>IF($D146=1,ROUND(Keys!$C$2/(INDEX(Src_SYSHECF_nuclear!$V$5:$V$292,MATCH($C146,Src_SYSHECF_nuclear!$C$5:$C$292,0))*$E146),Keys!$C$5),Keys!$C$4)</f>
        <v>1.1506000000000001</v>
      </c>
      <c r="Y146">
        <f>IF($D146=1,ROUND(Keys!$C$2/(INDEX(Src_SYSHECF_nuclear!$W$5:$W$292,MATCH($C146,Src_SYSHECF_nuclear!$C$5:$C$292,0))*$E146),Keys!$C$5),Keys!$C$4)</f>
        <v>1.1506000000000001</v>
      </c>
      <c r="Z146">
        <f>IF($D146=1,ROUND(Keys!$C$2/(INDEX(Src_SYSHECF_nuclear!$X$5:$X$292,MATCH($C146,Src_SYSHECF_nuclear!$C$5:$C$292,0))*$E146),Keys!$C$5),Keys!$C$4)</f>
        <v>1.1506000000000001</v>
      </c>
      <c r="AA146">
        <f>IF($D146=1,ROUND(Keys!$C$2/(INDEX(Src_SYSHECF_nuclear!$Y$5:$Y$292,MATCH($C146,Src_SYSHECF_nuclear!$C$5:$C$292,0))*$E146),Keys!$C$5),Keys!$C$4)</f>
        <v>1.1506000000000001</v>
      </c>
      <c r="AB146">
        <f>IF($D146=1,ROUND(Keys!$C$2/(INDEX(Src_SYSHECF_nuclear!$Z$5:$Z$292,MATCH($C146,Src_SYSHECF_nuclear!$C$5:$C$292,0))*$E146),Keys!$C$5),Keys!$C$4)</f>
        <v>1.1506000000000001</v>
      </c>
      <c r="AC146">
        <f>IF($D146=1,ROUND(Keys!$C$2/(INDEX(Src_SYSHECF_nuclear!$AA$5:$AA$292,MATCH($C146,Src_SYSHECF_nuclear!$C$5:$C$292,0))*$E146),Keys!$C$5),Keys!$C$4)</f>
        <v>1.1506000000000001</v>
      </c>
      <c r="AE146">
        <f>IF($D146=1,IF(ABS(INDEX(Src_SYSHECF_nuclear!$D$5:$D$292,MATCH($C146,Src_SYSHECF_nuclear!$C$5:$C$292,0))*$E146*F146-Keys!$C$2)&gt;Keys!$C$6,1,0),0)</f>
        <v>0</v>
      </c>
    </row>
    <row r="147" spans="1:31" x14ac:dyDescent="0.45">
      <c r="A147" t="s">
        <v>44</v>
      </c>
      <c r="B147" t="s">
        <v>425</v>
      </c>
      <c r="C147" t="str">
        <f t="shared" si="2"/>
        <v>LA|Spring</v>
      </c>
      <c r="D147">
        <f>INDEX(Src_BHRaSYC_nuclear!$HF$5:$HF$52,MATCH($A147,Src_BHRaSYC_nuclear!$A$5:$A$52,0))</f>
        <v>1</v>
      </c>
      <c r="E147">
        <f>INDEX(Src_HYECFCA_nuclear!$B$5:$B$52,MATCH($A147,Src_HYECFCA_nuclear!$A$5:$A$52,0))</f>
        <v>1.0192600000000001</v>
      </c>
      <c r="F147">
        <f>IF($D147=1,ROUND(Keys!$C$2/(INDEX(Src_SYSHECF_nuclear!$D$5:$D$292,MATCH($C147,Src_SYSHECF_nuclear!$C$5:$C$292,0))*$E147),Keys!$C$5),Keys!$C$4)</f>
        <v>1.1506000000000001</v>
      </c>
      <c r="G147">
        <f>IF($D147=1,ROUND(Keys!$C$2/(INDEX(Src_SYSHECF_nuclear!$E$5:$E$292,MATCH($C147,Src_SYSHECF_nuclear!$C$5:$C$292,0))*$E147),Keys!$C$5),Keys!$C$4)</f>
        <v>1.1506000000000001</v>
      </c>
      <c r="H147">
        <f>IF($D147=1,ROUND(Keys!$C$2/(INDEX(Src_SYSHECF_nuclear!$F$5:$F$292,MATCH($C147,Src_SYSHECF_nuclear!$C$5:$C$292,0))*$E147),Keys!$C$5),Keys!$C$4)</f>
        <v>1.1506000000000001</v>
      </c>
      <c r="I147">
        <f>IF($D147=1,ROUND(Keys!$C$2/(INDEX(Src_SYSHECF_nuclear!$G$5:$G$292,MATCH($C147,Src_SYSHECF_nuclear!$C$5:$C$292,0))*$E147),Keys!$C$5),Keys!$C$4)</f>
        <v>1.1506000000000001</v>
      </c>
      <c r="J147">
        <f>IF($D147=1,ROUND(Keys!$C$2/(INDEX(Src_SYSHECF_nuclear!$H$5:$H$292,MATCH($C147,Src_SYSHECF_nuclear!$C$5:$C$292,0))*$E147),Keys!$C$5),Keys!$C$4)</f>
        <v>1.1506000000000001</v>
      </c>
      <c r="K147">
        <f>IF($D147=1,ROUND(Keys!$C$2/(INDEX(Src_SYSHECF_nuclear!$I$5:$I$292,MATCH($C147,Src_SYSHECF_nuclear!$C$5:$C$292,0))*$E147),Keys!$C$5),Keys!$C$4)</f>
        <v>1.1506000000000001</v>
      </c>
      <c r="L147">
        <f>IF($D147=1,ROUND(Keys!$C$2/(INDEX(Src_SYSHECF_nuclear!$J$5:$J$292,MATCH($C147,Src_SYSHECF_nuclear!$C$5:$C$292,0))*$E147),Keys!$C$5),Keys!$C$4)</f>
        <v>1.1506000000000001</v>
      </c>
      <c r="M147">
        <f>IF($D147=1,ROUND(Keys!$C$2/(INDEX(Src_SYSHECF_nuclear!$K$5:$K$292,MATCH($C147,Src_SYSHECF_nuclear!$C$5:$C$292,0))*$E147),Keys!$C$5),Keys!$C$4)</f>
        <v>1.1506000000000001</v>
      </c>
      <c r="N147">
        <f>IF($D147=1,ROUND(Keys!$C$2/(INDEX(Src_SYSHECF_nuclear!$L$5:$L$292,MATCH($C147,Src_SYSHECF_nuclear!$C$5:$C$292,0))*$E147),Keys!$C$5),Keys!$C$4)</f>
        <v>1.1506000000000001</v>
      </c>
      <c r="O147">
        <f>IF($D147=1,ROUND(Keys!$C$2/(INDEX(Src_SYSHECF_nuclear!$M$5:$M$292,MATCH($C147,Src_SYSHECF_nuclear!$C$5:$C$292,0))*$E147),Keys!$C$5),Keys!$C$4)</f>
        <v>1.1506000000000001</v>
      </c>
      <c r="P147">
        <f>IF($D147=1,ROUND(Keys!$C$2/(INDEX(Src_SYSHECF_nuclear!$N$5:$N$292,MATCH($C147,Src_SYSHECF_nuclear!$C$5:$C$292,0))*$E147),Keys!$C$5),Keys!$C$4)</f>
        <v>1.1506000000000001</v>
      </c>
      <c r="Q147">
        <f>IF($D147=1,ROUND(Keys!$C$2/(INDEX(Src_SYSHECF_nuclear!$O$5:$O$292,MATCH($C147,Src_SYSHECF_nuclear!$C$5:$C$292,0))*$E147),Keys!$C$5),Keys!$C$4)</f>
        <v>1.1506000000000001</v>
      </c>
      <c r="R147">
        <f>IF($D147=1,ROUND(Keys!$C$2/(INDEX(Src_SYSHECF_nuclear!$P$5:$P$292,MATCH($C147,Src_SYSHECF_nuclear!$C$5:$C$292,0))*$E147),Keys!$C$5),Keys!$C$4)</f>
        <v>1.1506000000000001</v>
      </c>
      <c r="S147">
        <f>IF($D147=1,ROUND(Keys!$C$2/(INDEX(Src_SYSHECF_nuclear!$Q$5:$Q$292,MATCH($C147,Src_SYSHECF_nuclear!$C$5:$C$292,0))*$E147),Keys!$C$5),Keys!$C$4)</f>
        <v>1.1506000000000001</v>
      </c>
      <c r="T147">
        <f>IF($D147=1,ROUND(Keys!$C$2/(INDEX(Src_SYSHECF_nuclear!$R$5:$R$292,MATCH($C147,Src_SYSHECF_nuclear!$C$5:$C$292,0))*$E147),Keys!$C$5),Keys!$C$4)</f>
        <v>1.1506000000000001</v>
      </c>
      <c r="U147">
        <f>IF($D147=1,ROUND(Keys!$C$2/(INDEX(Src_SYSHECF_nuclear!$S$5:$S$292,MATCH($C147,Src_SYSHECF_nuclear!$C$5:$C$292,0))*$E147),Keys!$C$5),Keys!$C$4)</f>
        <v>1.1506000000000001</v>
      </c>
      <c r="V147">
        <f>IF($D147=1,ROUND(Keys!$C$2/(INDEX(Src_SYSHECF_nuclear!$T$5:$T$292,MATCH($C147,Src_SYSHECF_nuclear!$C$5:$C$292,0))*$E147),Keys!$C$5),Keys!$C$4)</f>
        <v>1.1506000000000001</v>
      </c>
      <c r="W147">
        <f>IF($D147=1,ROUND(Keys!$C$2/(INDEX(Src_SYSHECF_nuclear!$U$5:$U$292,MATCH($C147,Src_SYSHECF_nuclear!$C$5:$C$292,0))*$E147),Keys!$C$5),Keys!$C$4)</f>
        <v>1.1506000000000001</v>
      </c>
      <c r="X147">
        <f>IF($D147=1,ROUND(Keys!$C$2/(INDEX(Src_SYSHECF_nuclear!$V$5:$V$292,MATCH($C147,Src_SYSHECF_nuclear!$C$5:$C$292,0))*$E147),Keys!$C$5),Keys!$C$4)</f>
        <v>1.1506000000000001</v>
      </c>
      <c r="Y147">
        <f>IF($D147=1,ROUND(Keys!$C$2/(INDEX(Src_SYSHECF_nuclear!$W$5:$W$292,MATCH($C147,Src_SYSHECF_nuclear!$C$5:$C$292,0))*$E147),Keys!$C$5),Keys!$C$4)</f>
        <v>1.1506000000000001</v>
      </c>
      <c r="Z147">
        <f>IF($D147=1,ROUND(Keys!$C$2/(INDEX(Src_SYSHECF_nuclear!$X$5:$X$292,MATCH($C147,Src_SYSHECF_nuclear!$C$5:$C$292,0))*$E147),Keys!$C$5),Keys!$C$4)</f>
        <v>1.1506000000000001</v>
      </c>
      <c r="AA147">
        <f>IF($D147=1,ROUND(Keys!$C$2/(INDEX(Src_SYSHECF_nuclear!$Y$5:$Y$292,MATCH($C147,Src_SYSHECF_nuclear!$C$5:$C$292,0))*$E147),Keys!$C$5),Keys!$C$4)</f>
        <v>1.1506000000000001</v>
      </c>
      <c r="AB147">
        <f>IF($D147=1,ROUND(Keys!$C$2/(INDEX(Src_SYSHECF_nuclear!$Z$5:$Z$292,MATCH($C147,Src_SYSHECF_nuclear!$C$5:$C$292,0))*$E147),Keys!$C$5),Keys!$C$4)</f>
        <v>1.1506000000000001</v>
      </c>
      <c r="AC147">
        <f>IF($D147=1,ROUND(Keys!$C$2/(INDEX(Src_SYSHECF_nuclear!$AA$5:$AA$292,MATCH($C147,Src_SYSHECF_nuclear!$C$5:$C$292,0))*$E147),Keys!$C$5),Keys!$C$4)</f>
        <v>1.1506000000000001</v>
      </c>
      <c r="AE147">
        <f>IF($D147=1,IF(ABS(INDEX(Src_SYSHECF_nuclear!$D$5:$D$292,MATCH($C147,Src_SYSHECF_nuclear!$C$5:$C$292,0))*$E147*F147-Keys!$C$2)&gt;Keys!$C$6,1,0),0)</f>
        <v>0</v>
      </c>
    </row>
    <row r="148" spans="1:31" x14ac:dyDescent="0.45">
      <c r="A148" t="s">
        <v>44</v>
      </c>
      <c r="B148" t="s">
        <v>426</v>
      </c>
      <c r="C148" t="str">
        <f t="shared" si="2"/>
        <v>LA|Summer</v>
      </c>
      <c r="D148">
        <f>INDEX(Src_BHRaSYC_nuclear!$HF$5:$HF$52,MATCH($A148,Src_BHRaSYC_nuclear!$A$5:$A$52,0))</f>
        <v>1</v>
      </c>
      <c r="E148">
        <f>INDEX(Src_HYECFCA_nuclear!$B$5:$B$52,MATCH($A148,Src_HYECFCA_nuclear!$A$5:$A$52,0))</f>
        <v>1.0192600000000001</v>
      </c>
      <c r="F148">
        <f>IF($D148=1,ROUND(Keys!$C$2/(INDEX(Src_SYSHECF_nuclear!$D$5:$D$292,MATCH($C148,Src_SYSHECF_nuclear!$C$5:$C$292,0))*$E148),Keys!$C$5),Keys!$C$4)</f>
        <v>1.1506000000000001</v>
      </c>
      <c r="G148">
        <f>IF($D148=1,ROUND(Keys!$C$2/(INDEX(Src_SYSHECF_nuclear!$E$5:$E$292,MATCH($C148,Src_SYSHECF_nuclear!$C$5:$C$292,0))*$E148),Keys!$C$5),Keys!$C$4)</f>
        <v>1.1506000000000001</v>
      </c>
      <c r="H148">
        <f>IF($D148=1,ROUND(Keys!$C$2/(INDEX(Src_SYSHECF_nuclear!$F$5:$F$292,MATCH($C148,Src_SYSHECF_nuclear!$C$5:$C$292,0))*$E148),Keys!$C$5),Keys!$C$4)</f>
        <v>1.1506000000000001</v>
      </c>
      <c r="I148">
        <f>IF($D148=1,ROUND(Keys!$C$2/(INDEX(Src_SYSHECF_nuclear!$G$5:$G$292,MATCH($C148,Src_SYSHECF_nuclear!$C$5:$C$292,0))*$E148),Keys!$C$5),Keys!$C$4)</f>
        <v>1.1506000000000001</v>
      </c>
      <c r="J148">
        <f>IF($D148=1,ROUND(Keys!$C$2/(INDEX(Src_SYSHECF_nuclear!$H$5:$H$292,MATCH($C148,Src_SYSHECF_nuclear!$C$5:$C$292,0))*$E148),Keys!$C$5),Keys!$C$4)</f>
        <v>1.1506000000000001</v>
      </c>
      <c r="K148">
        <f>IF($D148=1,ROUND(Keys!$C$2/(INDEX(Src_SYSHECF_nuclear!$I$5:$I$292,MATCH($C148,Src_SYSHECF_nuclear!$C$5:$C$292,0))*$E148),Keys!$C$5),Keys!$C$4)</f>
        <v>1.1506000000000001</v>
      </c>
      <c r="L148">
        <f>IF($D148=1,ROUND(Keys!$C$2/(INDEX(Src_SYSHECF_nuclear!$J$5:$J$292,MATCH($C148,Src_SYSHECF_nuclear!$C$5:$C$292,0))*$E148),Keys!$C$5),Keys!$C$4)</f>
        <v>1.1506000000000001</v>
      </c>
      <c r="M148">
        <f>IF($D148=1,ROUND(Keys!$C$2/(INDEX(Src_SYSHECF_nuclear!$K$5:$K$292,MATCH($C148,Src_SYSHECF_nuclear!$C$5:$C$292,0))*$E148),Keys!$C$5),Keys!$C$4)</f>
        <v>1.1506000000000001</v>
      </c>
      <c r="N148">
        <f>IF($D148=1,ROUND(Keys!$C$2/(INDEX(Src_SYSHECF_nuclear!$L$5:$L$292,MATCH($C148,Src_SYSHECF_nuclear!$C$5:$C$292,0))*$E148),Keys!$C$5),Keys!$C$4)</f>
        <v>1.1506000000000001</v>
      </c>
      <c r="O148">
        <f>IF($D148=1,ROUND(Keys!$C$2/(INDEX(Src_SYSHECF_nuclear!$M$5:$M$292,MATCH($C148,Src_SYSHECF_nuclear!$C$5:$C$292,0))*$E148),Keys!$C$5),Keys!$C$4)</f>
        <v>1.1506000000000001</v>
      </c>
      <c r="P148">
        <f>IF($D148=1,ROUND(Keys!$C$2/(INDEX(Src_SYSHECF_nuclear!$N$5:$N$292,MATCH($C148,Src_SYSHECF_nuclear!$C$5:$C$292,0))*$E148),Keys!$C$5),Keys!$C$4)</f>
        <v>1.1506000000000001</v>
      </c>
      <c r="Q148">
        <f>IF($D148=1,ROUND(Keys!$C$2/(INDEX(Src_SYSHECF_nuclear!$O$5:$O$292,MATCH($C148,Src_SYSHECF_nuclear!$C$5:$C$292,0))*$E148),Keys!$C$5),Keys!$C$4)</f>
        <v>1.1506000000000001</v>
      </c>
      <c r="R148">
        <f>IF($D148=1,ROUND(Keys!$C$2/(INDEX(Src_SYSHECF_nuclear!$P$5:$P$292,MATCH($C148,Src_SYSHECF_nuclear!$C$5:$C$292,0))*$E148),Keys!$C$5),Keys!$C$4)</f>
        <v>1.1506000000000001</v>
      </c>
      <c r="S148">
        <f>IF($D148=1,ROUND(Keys!$C$2/(INDEX(Src_SYSHECF_nuclear!$Q$5:$Q$292,MATCH($C148,Src_SYSHECF_nuclear!$C$5:$C$292,0))*$E148),Keys!$C$5),Keys!$C$4)</f>
        <v>1.1506000000000001</v>
      </c>
      <c r="T148">
        <f>IF($D148=1,ROUND(Keys!$C$2/(INDEX(Src_SYSHECF_nuclear!$R$5:$R$292,MATCH($C148,Src_SYSHECF_nuclear!$C$5:$C$292,0))*$E148),Keys!$C$5),Keys!$C$4)</f>
        <v>1.1506000000000001</v>
      </c>
      <c r="U148">
        <f>IF($D148=1,ROUND(Keys!$C$2/(INDEX(Src_SYSHECF_nuclear!$S$5:$S$292,MATCH($C148,Src_SYSHECF_nuclear!$C$5:$C$292,0))*$E148),Keys!$C$5),Keys!$C$4)</f>
        <v>1.1506000000000001</v>
      </c>
      <c r="V148">
        <f>IF($D148=1,ROUND(Keys!$C$2/(INDEX(Src_SYSHECF_nuclear!$T$5:$T$292,MATCH($C148,Src_SYSHECF_nuclear!$C$5:$C$292,0))*$E148),Keys!$C$5),Keys!$C$4)</f>
        <v>1.1506000000000001</v>
      </c>
      <c r="W148">
        <f>IF($D148=1,ROUND(Keys!$C$2/(INDEX(Src_SYSHECF_nuclear!$U$5:$U$292,MATCH($C148,Src_SYSHECF_nuclear!$C$5:$C$292,0))*$E148),Keys!$C$5),Keys!$C$4)</f>
        <v>1.1506000000000001</v>
      </c>
      <c r="X148">
        <f>IF($D148=1,ROUND(Keys!$C$2/(INDEX(Src_SYSHECF_nuclear!$V$5:$V$292,MATCH($C148,Src_SYSHECF_nuclear!$C$5:$C$292,0))*$E148),Keys!$C$5),Keys!$C$4)</f>
        <v>1.1506000000000001</v>
      </c>
      <c r="Y148">
        <f>IF($D148=1,ROUND(Keys!$C$2/(INDEX(Src_SYSHECF_nuclear!$W$5:$W$292,MATCH($C148,Src_SYSHECF_nuclear!$C$5:$C$292,0))*$E148),Keys!$C$5),Keys!$C$4)</f>
        <v>1.1506000000000001</v>
      </c>
      <c r="Z148">
        <f>IF($D148=1,ROUND(Keys!$C$2/(INDEX(Src_SYSHECF_nuclear!$X$5:$X$292,MATCH($C148,Src_SYSHECF_nuclear!$C$5:$C$292,0))*$E148),Keys!$C$5),Keys!$C$4)</f>
        <v>1.1506000000000001</v>
      </c>
      <c r="AA148">
        <f>IF($D148=1,ROUND(Keys!$C$2/(INDEX(Src_SYSHECF_nuclear!$Y$5:$Y$292,MATCH($C148,Src_SYSHECF_nuclear!$C$5:$C$292,0))*$E148),Keys!$C$5),Keys!$C$4)</f>
        <v>1.1506000000000001</v>
      </c>
      <c r="AB148">
        <f>IF($D148=1,ROUND(Keys!$C$2/(INDEX(Src_SYSHECF_nuclear!$Z$5:$Z$292,MATCH($C148,Src_SYSHECF_nuclear!$C$5:$C$292,0))*$E148),Keys!$C$5),Keys!$C$4)</f>
        <v>1.1506000000000001</v>
      </c>
      <c r="AC148">
        <f>IF($D148=1,ROUND(Keys!$C$2/(INDEX(Src_SYSHECF_nuclear!$AA$5:$AA$292,MATCH($C148,Src_SYSHECF_nuclear!$C$5:$C$292,0))*$E148),Keys!$C$5),Keys!$C$4)</f>
        <v>1.1506000000000001</v>
      </c>
      <c r="AE148">
        <f>IF($D148=1,IF(ABS(INDEX(Src_SYSHECF_nuclear!$D$5:$D$292,MATCH($C148,Src_SYSHECF_nuclear!$C$5:$C$292,0))*$E148*F148-Keys!$C$2)&gt;Keys!$C$6,1,0),0)</f>
        <v>0</v>
      </c>
    </row>
    <row r="149" spans="1:31" x14ac:dyDescent="0.45">
      <c r="A149" t="s">
        <v>44</v>
      </c>
      <c r="B149" t="s">
        <v>427</v>
      </c>
      <c r="C149" t="str">
        <f t="shared" si="2"/>
        <v>LA|Fall</v>
      </c>
      <c r="D149">
        <f>INDEX(Src_BHRaSYC_nuclear!$HF$5:$HF$52,MATCH($A149,Src_BHRaSYC_nuclear!$A$5:$A$52,0))</f>
        <v>1</v>
      </c>
      <c r="E149">
        <f>INDEX(Src_HYECFCA_nuclear!$B$5:$B$52,MATCH($A149,Src_HYECFCA_nuclear!$A$5:$A$52,0))</f>
        <v>1.0192600000000001</v>
      </c>
      <c r="F149">
        <f>IF($D149=1,ROUND(Keys!$C$2/(INDEX(Src_SYSHECF_nuclear!$D$5:$D$292,MATCH($C149,Src_SYSHECF_nuclear!$C$5:$C$292,0))*$E149),Keys!$C$5),Keys!$C$4)</f>
        <v>1.1506000000000001</v>
      </c>
      <c r="G149">
        <f>IF($D149=1,ROUND(Keys!$C$2/(INDEX(Src_SYSHECF_nuclear!$E$5:$E$292,MATCH($C149,Src_SYSHECF_nuclear!$C$5:$C$292,0))*$E149),Keys!$C$5),Keys!$C$4)</f>
        <v>1.1506000000000001</v>
      </c>
      <c r="H149">
        <f>IF($D149=1,ROUND(Keys!$C$2/(INDEX(Src_SYSHECF_nuclear!$F$5:$F$292,MATCH($C149,Src_SYSHECF_nuclear!$C$5:$C$292,0))*$E149),Keys!$C$5),Keys!$C$4)</f>
        <v>1.1506000000000001</v>
      </c>
      <c r="I149">
        <f>IF($D149=1,ROUND(Keys!$C$2/(INDEX(Src_SYSHECF_nuclear!$G$5:$G$292,MATCH($C149,Src_SYSHECF_nuclear!$C$5:$C$292,0))*$E149),Keys!$C$5),Keys!$C$4)</f>
        <v>1.1506000000000001</v>
      </c>
      <c r="J149">
        <f>IF($D149=1,ROUND(Keys!$C$2/(INDEX(Src_SYSHECF_nuclear!$H$5:$H$292,MATCH($C149,Src_SYSHECF_nuclear!$C$5:$C$292,0))*$E149),Keys!$C$5),Keys!$C$4)</f>
        <v>1.1506000000000001</v>
      </c>
      <c r="K149">
        <f>IF($D149=1,ROUND(Keys!$C$2/(INDEX(Src_SYSHECF_nuclear!$I$5:$I$292,MATCH($C149,Src_SYSHECF_nuclear!$C$5:$C$292,0))*$E149),Keys!$C$5),Keys!$C$4)</f>
        <v>1.1585000000000001</v>
      </c>
      <c r="L149">
        <f>IF($D149=1,ROUND(Keys!$C$2/(INDEX(Src_SYSHECF_nuclear!$J$5:$J$292,MATCH($C149,Src_SYSHECF_nuclear!$C$5:$C$292,0))*$E149),Keys!$C$5),Keys!$C$4)</f>
        <v>1.1516999999999999</v>
      </c>
      <c r="M149">
        <f>IF($D149=1,ROUND(Keys!$C$2/(INDEX(Src_SYSHECF_nuclear!$K$5:$K$292,MATCH($C149,Src_SYSHECF_nuclear!$C$5:$C$292,0))*$E149),Keys!$C$5),Keys!$C$4)</f>
        <v>1.1506000000000001</v>
      </c>
      <c r="N149">
        <f>IF($D149=1,ROUND(Keys!$C$2/(INDEX(Src_SYSHECF_nuclear!$L$5:$L$292,MATCH($C149,Src_SYSHECF_nuclear!$C$5:$C$292,0))*$E149),Keys!$C$5),Keys!$C$4)</f>
        <v>1.1506000000000001</v>
      </c>
      <c r="O149">
        <f>IF($D149=1,ROUND(Keys!$C$2/(INDEX(Src_SYSHECF_nuclear!$M$5:$M$292,MATCH($C149,Src_SYSHECF_nuclear!$C$5:$C$292,0))*$E149),Keys!$C$5),Keys!$C$4)</f>
        <v>1.1506000000000001</v>
      </c>
      <c r="P149">
        <f>IF($D149=1,ROUND(Keys!$C$2/(INDEX(Src_SYSHECF_nuclear!$N$5:$N$292,MATCH($C149,Src_SYSHECF_nuclear!$C$5:$C$292,0))*$E149),Keys!$C$5),Keys!$C$4)</f>
        <v>1.1506000000000001</v>
      </c>
      <c r="Q149">
        <f>IF($D149=1,ROUND(Keys!$C$2/(INDEX(Src_SYSHECF_nuclear!$O$5:$O$292,MATCH($C149,Src_SYSHECF_nuclear!$C$5:$C$292,0))*$E149),Keys!$C$5),Keys!$C$4)</f>
        <v>1.1506000000000001</v>
      </c>
      <c r="R149">
        <f>IF($D149=1,ROUND(Keys!$C$2/(INDEX(Src_SYSHECF_nuclear!$P$5:$P$292,MATCH($C149,Src_SYSHECF_nuclear!$C$5:$C$292,0))*$E149),Keys!$C$5),Keys!$C$4)</f>
        <v>1.1506000000000001</v>
      </c>
      <c r="S149">
        <f>IF($D149=1,ROUND(Keys!$C$2/(INDEX(Src_SYSHECF_nuclear!$Q$5:$Q$292,MATCH($C149,Src_SYSHECF_nuclear!$C$5:$C$292,0))*$E149),Keys!$C$5),Keys!$C$4)</f>
        <v>1.1506000000000001</v>
      </c>
      <c r="T149">
        <f>IF($D149=1,ROUND(Keys!$C$2/(INDEX(Src_SYSHECF_nuclear!$R$5:$R$292,MATCH($C149,Src_SYSHECF_nuclear!$C$5:$C$292,0))*$E149),Keys!$C$5),Keys!$C$4)</f>
        <v>1.1506000000000001</v>
      </c>
      <c r="U149">
        <f>IF($D149=1,ROUND(Keys!$C$2/(INDEX(Src_SYSHECF_nuclear!$S$5:$S$292,MATCH($C149,Src_SYSHECF_nuclear!$C$5:$C$292,0))*$E149),Keys!$C$5),Keys!$C$4)</f>
        <v>1.1506000000000001</v>
      </c>
      <c r="V149">
        <f>IF($D149=1,ROUND(Keys!$C$2/(INDEX(Src_SYSHECF_nuclear!$T$5:$T$292,MATCH($C149,Src_SYSHECF_nuclear!$C$5:$C$292,0))*$E149),Keys!$C$5),Keys!$C$4)</f>
        <v>1.1506000000000001</v>
      </c>
      <c r="W149">
        <f>IF($D149=1,ROUND(Keys!$C$2/(INDEX(Src_SYSHECF_nuclear!$U$5:$U$292,MATCH($C149,Src_SYSHECF_nuclear!$C$5:$C$292,0))*$E149),Keys!$C$5),Keys!$C$4)</f>
        <v>1.1506000000000001</v>
      </c>
      <c r="X149">
        <f>IF($D149=1,ROUND(Keys!$C$2/(INDEX(Src_SYSHECF_nuclear!$V$5:$V$292,MATCH($C149,Src_SYSHECF_nuclear!$C$5:$C$292,0))*$E149),Keys!$C$5),Keys!$C$4)</f>
        <v>1.1506000000000001</v>
      </c>
      <c r="Y149">
        <f>IF($D149=1,ROUND(Keys!$C$2/(INDEX(Src_SYSHECF_nuclear!$W$5:$W$292,MATCH($C149,Src_SYSHECF_nuclear!$C$5:$C$292,0))*$E149),Keys!$C$5),Keys!$C$4)</f>
        <v>1.1506000000000001</v>
      </c>
      <c r="Z149">
        <f>IF($D149=1,ROUND(Keys!$C$2/(INDEX(Src_SYSHECF_nuclear!$X$5:$X$292,MATCH($C149,Src_SYSHECF_nuclear!$C$5:$C$292,0))*$E149),Keys!$C$5),Keys!$C$4)</f>
        <v>1.1506000000000001</v>
      </c>
      <c r="AA149">
        <f>IF($D149=1,ROUND(Keys!$C$2/(INDEX(Src_SYSHECF_nuclear!$Y$5:$Y$292,MATCH($C149,Src_SYSHECF_nuclear!$C$5:$C$292,0))*$E149),Keys!$C$5),Keys!$C$4)</f>
        <v>1.1506000000000001</v>
      </c>
      <c r="AB149">
        <f>IF($D149=1,ROUND(Keys!$C$2/(INDEX(Src_SYSHECF_nuclear!$Z$5:$Z$292,MATCH($C149,Src_SYSHECF_nuclear!$C$5:$C$292,0))*$E149),Keys!$C$5),Keys!$C$4)</f>
        <v>1.1506000000000001</v>
      </c>
      <c r="AC149">
        <f>IF($D149=1,ROUND(Keys!$C$2/(INDEX(Src_SYSHECF_nuclear!$AA$5:$AA$292,MATCH($C149,Src_SYSHECF_nuclear!$C$5:$C$292,0))*$E149),Keys!$C$5),Keys!$C$4)</f>
        <v>1.1506000000000001</v>
      </c>
      <c r="AE149">
        <f>IF($D149=1,IF(ABS(INDEX(Src_SYSHECF_nuclear!$D$5:$D$292,MATCH($C149,Src_SYSHECF_nuclear!$C$5:$C$292,0))*$E149*F149-Keys!$C$2)&gt;Keys!$C$6,1,0),0)</f>
        <v>0</v>
      </c>
    </row>
    <row r="150" spans="1:31" x14ac:dyDescent="0.45">
      <c r="A150" t="s">
        <v>44</v>
      </c>
      <c r="B150" t="s">
        <v>428</v>
      </c>
      <c r="C150" t="str">
        <f t="shared" si="2"/>
        <v>LA|Summer Peak</v>
      </c>
      <c r="D150">
        <f>INDEX(Src_BHRaSYC_nuclear!$HF$5:$HF$52,MATCH($A150,Src_BHRaSYC_nuclear!$A$5:$A$52,0))</f>
        <v>1</v>
      </c>
      <c r="E150">
        <f>INDEX(Src_HYECFCA_nuclear!$B$5:$B$52,MATCH($A150,Src_HYECFCA_nuclear!$A$5:$A$52,0))</f>
        <v>1.0192600000000001</v>
      </c>
      <c r="F150">
        <f>IF($D150=1,ROUND(Keys!$C$2/(INDEX(Src_SYSHECF_nuclear!$D$5:$D$292,MATCH($C150,Src_SYSHECF_nuclear!$C$5:$C$292,0))*$E150),Keys!$C$5),Keys!$C$4)</f>
        <v>1.1506000000000001</v>
      </c>
      <c r="G150">
        <f>IF($D150=1,ROUND(Keys!$C$2/(INDEX(Src_SYSHECF_nuclear!$E$5:$E$292,MATCH($C150,Src_SYSHECF_nuclear!$C$5:$C$292,0))*$E150),Keys!$C$5),Keys!$C$4)</f>
        <v>1.1506000000000001</v>
      </c>
      <c r="H150">
        <f>IF($D150=1,ROUND(Keys!$C$2/(INDEX(Src_SYSHECF_nuclear!$F$5:$F$292,MATCH($C150,Src_SYSHECF_nuclear!$C$5:$C$292,0))*$E150),Keys!$C$5),Keys!$C$4)</f>
        <v>1.1506000000000001</v>
      </c>
      <c r="I150">
        <f>IF($D150=1,ROUND(Keys!$C$2/(INDEX(Src_SYSHECF_nuclear!$G$5:$G$292,MATCH($C150,Src_SYSHECF_nuclear!$C$5:$C$292,0))*$E150),Keys!$C$5),Keys!$C$4)</f>
        <v>1.1506000000000001</v>
      </c>
      <c r="J150">
        <f>IF($D150=1,ROUND(Keys!$C$2/(INDEX(Src_SYSHECF_nuclear!$H$5:$H$292,MATCH($C150,Src_SYSHECF_nuclear!$C$5:$C$292,0))*$E150),Keys!$C$5),Keys!$C$4)</f>
        <v>1.1506000000000001</v>
      </c>
      <c r="K150">
        <f>IF($D150=1,ROUND(Keys!$C$2/(INDEX(Src_SYSHECF_nuclear!$I$5:$I$292,MATCH($C150,Src_SYSHECF_nuclear!$C$5:$C$292,0))*$E150),Keys!$C$5),Keys!$C$4)</f>
        <v>1.1506000000000001</v>
      </c>
      <c r="L150">
        <f>IF($D150=1,ROUND(Keys!$C$2/(INDEX(Src_SYSHECF_nuclear!$J$5:$J$292,MATCH($C150,Src_SYSHECF_nuclear!$C$5:$C$292,0))*$E150),Keys!$C$5),Keys!$C$4)</f>
        <v>1.1506000000000001</v>
      </c>
      <c r="M150">
        <f>IF($D150=1,ROUND(Keys!$C$2/(INDEX(Src_SYSHECF_nuclear!$K$5:$K$292,MATCH($C150,Src_SYSHECF_nuclear!$C$5:$C$292,0))*$E150),Keys!$C$5),Keys!$C$4)</f>
        <v>1.1506000000000001</v>
      </c>
      <c r="N150">
        <f>IF($D150=1,ROUND(Keys!$C$2/(INDEX(Src_SYSHECF_nuclear!$L$5:$L$292,MATCH($C150,Src_SYSHECF_nuclear!$C$5:$C$292,0))*$E150),Keys!$C$5),Keys!$C$4)</f>
        <v>1.1506000000000001</v>
      </c>
      <c r="O150">
        <f>IF($D150=1,ROUND(Keys!$C$2/(INDEX(Src_SYSHECF_nuclear!$M$5:$M$292,MATCH($C150,Src_SYSHECF_nuclear!$C$5:$C$292,0))*$E150),Keys!$C$5),Keys!$C$4)</f>
        <v>1.1506000000000001</v>
      </c>
      <c r="P150">
        <f>IF($D150=1,ROUND(Keys!$C$2/(INDEX(Src_SYSHECF_nuclear!$N$5:$N$292,MATCH($C150,Src_SYSHECF_nuclear!$C$5:$C$292,0))*$E150),Keys!$C$5),Keys!$C$4)</f>
        <v>1.1506000000000001</v>
      </c>
      <c r="Q150">
        <f>IF($D150=1,ROUND(Keys!$C$2/(INDEX(Src_SYSHECF_nuclear!$O$5:$O$292,MATCH($C150,Src_SYSHECF_nuclear!$C$5:$C$292,0))*$E150),Keys!$C$5),Keys!$C$4)</f>
        <v>1.1506000000000001</v>
      </c>
      <c r="R150">
        <f>IF($D150=1,ROUND(Keys!$C$2/(INDEX(Src_SYSHECF_nuclear!$P$5:$P$292,MATCH($C150,Src_SYSHECF_nuclear!$C$5:$C$292,0))*$E150),Keys!$C$5),Keys!$C$4)</f>
        <v>1.1506000000000001</v>
      </c>
      <c r="S150">
        <f>IF($D150=1,ROUND(Keys!$C$2/(INDEX(Src_SYSHECF_nuclear!$Q$5:$Q$292,MATCH($C150,Src_SYSHECF_nuclear!$C$5:$C$292,0))*$E150),Keys!$C$5),Keys!$C$4)</f>
        <v>1.1506000000000001</v>
      </c>
      <c r="T150">
        <f>IF($D150=1,ROUND(Keys!$C$2/(INDEX(Src_SYSHECF_nuclear!$R$5:$R$292,MATCH($C150,Src_SYSHECF_nuclear!$C$5:$C$292,0))*$E150),Keys!$C$5),Keys!$C$4)</f>
        <v>1.1506000000000001</v>
      </c>
      <c r="U150">
        <f>IF($D150=1,ROUND(Keys!$C$2/(INDEX(Src_SYSHECF_nuclear!$S$5:$S$292,MATCH($C150,Src_SYSHECF_nuclear!$C$5:$C$292,0))*$E150),Keys!$C$5),Keys!$C$4)</f>
        <v>1.1506000000000001</v>
      </c>
      <c r="V150">
        <f>IF($D150=1,ROUND(Keys!$C$2/(INDEX(Src_SYSHECF_nuclear!$T$5:$T$292,MATCH($C150,Src_SYSHECF_nuclear!$C$5:$C$292,0))*$E150),Keys!$C$5),Keys!$C$4)</f>
        <v>1.1506000000000001</v>
      </c>
      <c r="W150">
        <f>IF($D150=1,ROUND(Keys!$C$2/(INDEX(Src_SYSHECF_nuclear!$U$5:$U$292,MATCH($C150,Src_SYSHECF_nuclear!$C$5:$C$292,0))*$E150),Keys!$C$5),Keys!$C$4)</f>
        <v>1.1506000000000001</v>
      </c>
      <c r="X150">
        <f>IF($D150=1,ROUND(Keys!$C$2/(INDEX(Src_SYSHECF_nuclear!$V$5:$V$292,MATCH($C150,Src_SYSHECF_nuclear!$C$5:$C$292,0))*$E150),Keys!$C$5),Keys!$C$4)</f>
        <v>1.1506000000000001</v>
      </c>
      <c r="Y150">
        <f>IF($D150=1,ROUND(Keys!$C$2/(INDEX(Src_SYSHECF_nuclear!$W$5:$W$292,MATCH($C150,Src_SYSHECF_nuclear!$C$5:$C$292,0))*$E150),Keys!$C$5),Keys!$C$4)</f>
        <v>1.1506000000000001</v>
      </c>
      <c r="Z150">
        <f>IF($D150=1,ROUND(Keys!$C$2/(INDEX(Src_SYSHECF_nuclear!$X$5:$X$292,MATCH($C150,Src_SYSHECF_nuclear!$C$5:$C$292,0))*$E150),Keys!$C$5),Keys!$C$4)</f>
        <v>1.1506000000000001</v>
      </c>
      <c r="AA150">
        <f>IF($D150=1,ROUND(Keys!$C$2/(INDEX(Src_SYSHECF_nuclear!$Y$5:$Y$292,MATCH($C150,Src_SYSHECF_nuclear!$C$5:$C$292,0))*$E150),Keys!$C$5),Keys!$C$4)</f>
        <v>1.1506000000000001</v>
      </c>
      <c r="AB150">
        <f>IF($D150=1,ROUND(Keys!$C$2/(INDEX(Src_SYSHECF_nuclear!$Z$5:$Z$292,MATCH($C150,Src_SYSHECF_nuclear!$C$5:$C$292,0))*$E150),Keys!$C$5),Keys!$C$4)</f>
        <v>1.1506000000000001</v>
      </c>
      <c r="AC150">
        <f>IF($D150=1,ROUND(Keys!$C$2/(INDEX(Src_SYSHECF_nuclear!$AA$5:$AA$292,MATCH($C150,Src_SYSHECF_nuclear!$C$5:$C$292,0))*$E150),Keys!$C$5),Keys!$C$4)</f>
        <v>1.1506000000000001</v>
      </c>
      <c r="AE150">
        <f>IF($D150=1,IF(ABS(INDEX(Src_SYSHECF_nuclear!$D$5:$D$292,MATCH($C150,Src_SYSHECF_nuclear!$C$5:$C$292,0))*$E150*F150-Keys!$C$2)&gt;Keys!$C$6,1,0),0)</f>
        <v>0</v>
      </c>
    </row>
    <row r="151" spans="1:31" x14ac:dyDescent="0.45">
      <c r="A151" t="s">
        <v>44</v>
      </c>
      <c r="B151" t="s">
        <v>429</v>
      </c>
      <c r="C151" t="str">
        <f t="shared" si="2"/>
        <v>LA|Winter Peak</v>
      </c>
      <c r="D151">
        <f>INDEX(Src_BHRaSYC_nuclear!$HF$5:$HF$52,MATCH($A151,Src_BHRaSYC_nuclear!$A$5:$A$52,0))</f>
        <v>1</v>
      </c>
      <c r="E151">
        <f>INDEX(Src_HYECFCA_nuclear!$B$5:$B$52,MATCH($A151,Src_HYECFCA_nuclear!$A$5:$A$52,0))</f>
        <v>1.0192600000000001</v>
      </c>
      <c r="F151">
        <f>IF($D151=1,ROUND(Keys!$C$2/(INDEX(Src_SYSHECF_nuclear!$D$5:$D$292,MATCH($C151,Src_SYSHECF_nuclear!$C$5:$C$292,0))*$E151),Keys!$C$5),Keys!$C$4)</f>
        <v>1.1506000000000001</v>
      </c>
      <c r="G151">
        <f>IF($D151=1,ROUND(Keys!$C$2/(INDEX(Src_SYSHECF_nuclear!$E$5:$E$292,MATCH($C151,Src_SYSHECF_nuclear!$C$5:$C$292,0))*$E151),Keys!$C$5),Keys!$C$4)</f>
        <v>1.1506000000000001</v>
      </c>
      <c r="H151">
        <f>IF($D151=1,ROUND(Keys!$C$2/(INDEX(Src_SYSHECF_nuclear!$F$5:$F$292,MATCH($C151,Src_SYSHECF_nuclear!$C$5:$C$292,0))*$E151),Keys!$C$5),Keys!$C$4)</f>
        <v>1.1506000000000001</v>
      </c>
      <c r="I151">
        <f>IF($D151=1,ROUND(Keys!$C$2/(INDEX(Src_SYSHECF_nuclear!$G$5:$G$292,MATCH($C151,Src_SYSHECF_nuclear!$C$5:$C$292,0))*$E151),Keys!$C$5),Keys!$C$4)</f>
        <v>1.1506000000000001</v>
      </c>
      <c r="J151">
        <f>IF($D151=1,ROUND(Keys!$C$2/(INDEX(Src_SYSHECF_nuclear!$H$5:$H$292,MATCH($C151,Src_SYSHECF_nuclear!$C$5:$C$292,0))*$E151),Keys!$C$5),Keys!$C$4)</f>
        <v>1.1506000000000001</v>
      </c>
      <c r="K151">
        <f>IF($D151=1,ROUND(Keys!$C$2/(INDEX(Src_SYSHECF_nuclear!$I$5:$I$292,MATCH($C151,Src_SYSHECF_nuclear!$C$5:$C$292,0))*$E151),Keys!$C$5),Keys!$C$4)</f>
        <v>1.1506000000000001</v>
      </c>
      <c r="L151">
        <f>IF($D151=1,ROUND(Keys!$C$2/(INDEX(Src_SYSHECF_nuclear!$J$5:$J$292,MATCH($C151,Src_SYSHECF_nuclear!$C$5:$C$292,0))*$E151),Keys!$C$5),Keys!$C$4)</f>
        <v>1.1506000000000001</v>
      </c>
      <c r="M151">
        <f>IF($D151=1,ROUND(Keys!$C$2/(INDEX(Src_SYSHECF_nuclear!$K$5:$K$292,MATCH($C151,Src_SYSHECF_nuclear!$C$5:$C$292,0))*$E151),Keys!$C$5),Keys!$C$4)</f>
        <v>1.1506000000000001</v>
      </c>
      <c r="N151">
        <f>IF($D151=1,ROUND(Keys!$C$2/(INDEX(Src_SYSHECF_nuclear!$L$5:$L$292,MATCH($C151,Src_SYSHECF_nuclear!$C$5:$C$292,0))*$E151),Keys!$C$5),Keys!$C$4)</f>
        <v>1.1506000000000001</v>
      </c>
      <c r="O151">
        <f>IF($D151=1,ROUND(Keys!$C$2/(INDEX(Src_SYSHECF_nuclear!$M$5:$M$292,MATCH($C151,Src_SYSHECF_nuclear!$C$5:$C$292,0))*$E151),Keys!$C$5),Keys!$C$4)</f>
        <v>1.1506000000000001</v>
      </c>
      <c r="P151">
        <f>IF($D151=1,ROUND(Keys!$C$2/(INDEX(Src_SYSHECF_nuclear!$N$5:$N$292,MATCH($C151,Src_SYSHECF_nuclear!$C$5:$C$292,0))*$E151),Keys!$C$5),Keys!$C$4)</f>
        <v>1.1506000000000001</v>
      </c>
      <c r="Q151">
        <f>IF($D151=1,ROUND(Keys!$C$2/(INDEX(Src_SYSHECF_nuclear!$O$5:$O$292,MATCH($C151,Src_SYSHECF_nuclear!$C$5:$C$292,0))*$E151),Keys!$C$5),Keys!$C$4)</f>
        <v>1.1506000000000001</v>
      </c>
      <c r="R151">
        <f>IF($D151=1,ROUND(Keys!$C$2/(INDEX(Src_SYSHECF_nuclear!$P$5:$P$292,MATCH($C151,Src_SYSHECF_nuclear!$C$5:$C$292,0))*$E151),Keys!$C$5),Keys!$C$4)</f>
        <v>1.1506000000000001</v>
      </c>
      <c r="S151">
        <f>IF($D151=1,ROUND(Keys!$C$2/(INDEX(Src_SYSHECF_nuclear!$Q$5:$Q$292,MATCH($C151,Src_SYSHECF_nuclear!$C$5:$C$292,0))*$E151),Keys!$C$5),Keys!$C$4)</f>
        <v>1.1506000000000001</v>
      </c>
      <c r="T151">
        <f>IF($D151=1,ROUND(Keys!$C$2/(INDEX(Src_SYSHECF_nuclear!$R$5:$R$292,MATCH($C151,Src_SYSHECF_nuclear!$C$5:$C$292,0))*$E151),Keys!$C$5),Keys!$C$4)</f>
        <v>1.1506000000000001</v>
      </c>
      <c r="U151">
        <f>IF($D151=1,ROUND(Keys!$C$2/(INDEX(Src_SYSHECF_nuclear!$S$5:$S$292,MATCH($C151,Src_SYSHECF_nuclear!$C$5:$C$292,0))*$E151),Keys!$C$5),Keys!$C$4)</f>
        <v>1.1506000000000001</v>
      </c>
      <c r="V151">
        <f>IF($D151=1,ROUND(Keys!$C$2/(INDEX(Src_SYSHECF_nuclear!$T$5:$T$292,MATCH($C151,Src_SYSHECF_nuclear!$C$5:$C$292,0))*$E151),Keys!$C$5),Keys!$C$4)</f>
        <v>1.1506000000000001</v>
      </c>
      <c r="W151">
        <f>IF($D151=1,ROUND(Keys!$C$2/(INDEX(Src_SYSHECF_nuclear!$U$5:$U$292,MATCH($C151,Src_SYSHECF_nuclear!$C$5:$C$292,0))*$E151),Keys!$C$5),Keys!$C$4)</f>
        <v>1.1506000000000001</v>
      </c>
      <c r="X151">
        <f>IF($D151=1,ROUND(Keys!$C$2/(INDEX(Src_SYSHECF_nuclear!$V$5:$V$292,MATCH($C151,Src_SYSHECF_nuclear!$C$5:$C$292,0))*$E151),Keys!$C$5),Keys!$C$4)</f>
        <v>1.1506000000000001</v>
      </c>
      <c r="Y151">
        <f>IF($D151=1,ROUND(Keys!$C$2/(INDEX(Src_SYSHECF_nuclear!$W$5:$W$292,MATCH($C151,Src_SYSHECF_nuclear!$C$5:$C$292,0))*$E151),Keys!$C$5),Keys!$C$4)</f>
        <v>1.1506000000000001</v>
      </c>
      <c r="Z151">
        <f>IF($D151=1,ROUND(Keys!$C$2/(INDEX(Src_SYSHECF_nuclear!$X$5:$X$292,MATCH($C151,Src_SYSHECF_nuclear!$C$5:$C$292,0))*$E151),Keys!$C$5),Keys!$C$4)</f>
        <v>1.1506000000000001</v>
      </c>
      <c r="AA151">
        <f>IF($D151=1,ROUND(Keys!$C$2/(INDEX(Src_SYSHECF_nuclear!$Y$5:$Y$292,MATCH($C151,Src_SYSHECF_nuclear!$C$5:$C$292,0))*$E151),Keys!$C$5),Keys!$C$4)</f>
        <v>1.1506000000000001</v>
      </c>
      <c r="AB151">
        <f>IF($D151=1,ROUND(Keys!$C$2/(INDEX(Src_SYSHECF_nuclear!$Z$5:$Z$292,MATCH($C151,Src_SYSHECF_nuclear!$C$5:$C$292,0))*$E151),Keys!$C$5),Keys!$C$4)</f>
        <v>1.1506000000000001</v>
      </c>
      <c r="AC151">
        <f>IF($D151=1,ROUND(Keys!$C$2/(INDEX(Src_SYSHECF_nuclear!$AA$5:$AA$292,MATCH($C151,Src_SYSHECF_nuclear!$C$5:$C$292,0))*$E151),Keys!$C$5),Keys!$C$4)</f>
        <v>1.1506000000000001</v>
      </c>
      <c r="AE151">
        <f>IF($D151=1,IF(ABS(INDEX(Src_SYSHECF_nuclear!$D$5:$D$292,MATCH($C151,Src_SYSHECF_nuclear!$C$5:$C$292,0))*$E151*F151-Keys!$C$2)&gt;Keys!$C$6,1,0),0)</f>
        <v>0</v>
      </c>
    </row>
    <row r="152" spans="1:31" x14ac:dyDescent="0.45">
      <c r="A152" t="s">
        <v>47</v>
      </c>
      <c r="B152" t="s">
        <v>424</v>
      </c>
      <c r="C152" t="str">
        <f t="shared" si="2"/>
        <v>MA|Winter</v>
      </c>
      <c r="D152">
        <f>INDEX(Src_BHRaSYC_nuclear!$HF$5:$HF$52,MATCH($A152,Src_BHRaSYC_nuclear!$A$5:$A$52,0))</f>
        <v>0</v>
      </c>
      <c r="E152">
        <f>INDEX(Src_HYECFCA_nuclear!$B$5:$B$52,MATCH($A152,Src_HYECFCA_nuclear!$A$5:$A$52,0))</f>
        <v>1</v>
      </c>
      <c r="F152">
        <f>IF($D152=1,ROUND(Keys!$C$2/(INDEX(Src_SYSHECF_nuclear!$D$5:$D$292,MATCH($C152,Src_SYSHECF_nuclear!$C$5:$C$292,0))*$E152),Keys!$C$5),Keys!$C$4)</f>
        <v>0.9</v>
      </c>
      <c r="G152">
        <f>IF($D152=1,ROUND(Keys!$C$2/(INDEX(Src_SYSHECF_nuclear!$E$5:$E$292,MATCH($C152,Src_SYSHECF_nuclear!$C$5:$C$292,0))*$E152),Keys!$C$5),Keys!$C$4)</f>
        <v>0.9</v>
      </c>
      <c r="H152">
        <f>IF($D152=1,ROUND(Keys!$C$2/(INDEX(Src_SYSHECF_nuclear!$F$5:$F$292,MATCH($C152,Src_SYSHECF_nuclear!$C$5:$C$292,0))*$E152),Keys!$C$5),Keys!$C$4)</f>
        <v>0.9</v>
      </c>
      <c r="I152">
        <f>IF($D152=1,ROUND(Keys!$C$2/(INDEX(Src_SYSHECF_nuclear!$G$5:$G$292,MATCH($C152,Src_SYSHECF_nuclear!$C$5:$C$292,0))*$E152),Keys!$C$5),Keys!$C$4)</f>
        <v>0.9</v>
      </c>
      <c r="J152">
        <f>IF($D152=1,ROUND(Keys!$C$2/(INDEX(Src_SYSHECF_nuclear!$H$5:$H$292,MATCH($C152,Src_SYSHECF_nuclear!$C$5:$C$292,0))*$E152),Keys!$C$5),Keys!$C$4)</f>
        <v>0.9</v>
      </c>
      <c r="K152">
        <f>IF($D152=1,ROUND(Keys!$C$2/(INDEX(Src_SYSHECF_nuclear!$I$5:$I$292,MATCH($C152,Src_SYSHECF_nuclear!$C$5:$C$292,0))*$E152),Keys!$C$5),Keys!$C$4)</f>
        <v>0.9</v>
      </c>
      <c r="L152">
        <f>IF($D152=1,ROUND(Keys!$C$2/(INDEX(Src_SYSHECF_nuclear!$J$5:$J$292,MATCH($C152,Src_SYSHECF_nuclear!$C$5:$C$292,0))*$E152),Keys!$C$5),Keys!$C$4)</f>
        <v>0.9</v>
      </c>
      <c r="M152">
        <f>IF($D152=1,ROUND(Keys!$C$2/(INDEX(Src_SYSHECF_nuclear!$K$5:$K$292,MATCH($C152,Src_SYSHECF_nuclear!$C$5:$C$292,0))*$E152),Keys!$C$5),Keys!$C$4)</f>
        <v>0.9</v>
      </c>
      <c r="N152">
        <f>IF($D152=1,ROUND(Keys!$C$2/(INDEX(Src_SYSHECF_nuclear!$L$5:$L$292,MATCH($C152,Src_SYSHECF_nuclear!$C$5:$C$292,0))*$E152),Keys!$C$5),Keys!$C$4)</f>
        <v>0.9</v>
      </c>
      <c r="O152">
        <f>IF($D152=1,ROUND(Keys!$C$2/(INDEX(Src_SYSHECF_nuclear!$M$5:$M$292,MATCH($C152,Src_SYSHECF_nuclear!$C$5:$C$292,0))*$E152),Keys!$C$5),Keys!$C$4)</f>
        <v>0.9</v>
      </c>
      <c r="P152">
        <f>IF($D152=1,ROUND(Keys!$C$2/(INDEX(Src_SYSHECF_nuclear!$N$5:$N$292,MATCH($C152,Src_SYSHECF_nuclear!$C$5:$C$292,0))*$E152),Keys!$C$5),Keys!$C$4)</f>
        <v>0.9</v>
      </c>
      <c r="Q152">
        <f>IF($D152=1,ROUND(Keys!$C$2/(INDEX(Src_SYSHECF_nuclear!$O$5:$O$292,MATCH($C152,Src_SYSHECF_nuclear!$C$5:$C$292,0))*$E152),Keys!$C$5),Keys!$C$4)</f>
        <v>0.9</v>
      </c>
      <c r="R152">
        <f>IF($D152=1,ROUND(Keys!$C$2/(INDEX(Src_SYSHECF_nuclear!$P$5:$P$292,MATCH($C152,Src_SYSHECF_nuclear!$C$5:$C$292,0))*$E152),Keys!$C$5),Keys!$C$4)</f>
        <v>0.9</v>
      </c>
      <c r="S152">
        <f>IF($D152=1,ROUND(Keys!$C$2/(INDEX(Src_SYSHECF_nuclear!$Q$5:$Q$292,MATCH($C152,Src_SYSHECF_nuclear!$C$5:$C$292,0))*$E152),Keys!$C$5),Keys!$C$4)</f>
        <v>0.9</v>
      </c>
      <c r="T152">
        <f>IF($D152=1,ROUND(Keys!$C$2/(INDEX(Src_SYSHECF_nuclear!$R$5:$R$292,MATCH($C152,Src_SYSHECF_nuclear!$C$5:$C$292,0))*$E152),Keys!$C$5),Keys!$C$4)</f>
        <v>0.9</v>
      </c>
      <c r="U152">
        <f>IF($D152=1,ROUND(Keys!$C$2/(INDEX(Src_SYSHECF_nuclear!$S$5:$S$292,MATCH($C152,Src_SYSHECF_nuclear!$C$5:$C$292,0))*$E152),Keys!$C$5),Keys!$C$4)</f>
        <v>0.9</v>
      </c>
      <c r="V152">
        <f>IF($D152=1,ROUND(Keys!$C$2/(INDEX(Src_SYSHECF_nuclear!$T$5:$T$292,MATCH($C152,Src_SYSHECF_nuclear!$C$5:$C$292,0))*$E152),Keys!$C$5),Keys!$C$4)</f>
        <v>0.9</v>
      </c>
      <c r="W152">
        <f>IF($D152=1,ROUND(Keys!$C$2/(INDEX(Src_SYSHECF_nuclear!$U$5:$U$292,MATCH($C152,Src_SYSHECF_nuclear!$C$5:$C$292,0))*$E152),Keys!$C$5),Keys!$C$4)</f>
        <v>0.9</v>
      </c>
      <c r="X152">
        <f>IF($D152=1,ROUND(Keys!$C$2/(INDEX(Src_SYSHECF_nuclear!$V$5:$V$292,MATCH($C152,Src_SYSHECF_nuclear!$C$5:$C$292,0))*$E152),Keys!$C$5),Keys!$C$4)</f>
        <v>0.9</v>
      </c>
      <c r="Y152">
        <f>IF($D152=1,ROUND(Keys!$C$2/(INDEX(Src_SYSHECF_nuclear!$W$5:$W$292,MATCH($C152,Src_SYSHECF_nuclear!$C$5:$C$292,0))*$E152),Keys!$C$5),Keys!$C$4)</f>
        <v>0.9</v>
      </c>
      <c r="Z152">
        <f>IF($D152=1,ROUND(Keys!$C$2/(INDEX(Src_SYSHECF_nuclear!$X$5:$X$292,MATCH($C152,Src_SYSHECF_nuclear!$C$5:$C$292,0))*$E152),Keys!$C$5),Keys!$C$4)</f>
        <v>0.9</v>
      </c>
      <c r="AA152">
        <f>IF($D152=1,ROUND(Keys!$C$2/(INDEX(Src_SYSHECF_nuclear!$Y$5:$Y$292,MATCH($C152,Src_SYSHECF_nuclear!$C$5:$C$292,0))*$E152),Keys!$C$5),Keys!$C$4)</f>
        <v>0.9</v>
      </c>
      <c r="AB152">
        <f>IF($D152=1,ROUND(Keys!$C$2/(INDEX(Src_SYSHECF_nuclear!$Z$5:$Z$292,MATCH($C152,Src_SYSHECF_nuclear!$C$5:$C$292,0))*$E152),Keys!$C$5),Keys!$C$4)</f>
        <v>0.9</v>
      </c>
      <c r="AC152">
        <f>IF($D152=1,ROUND(Keys!$C$2/(INDEX(Src_SYSHECF_nuclear!$AA$5:$AA$292,MATCH($C152,Src_SYSHECF_nuclear!$C$5:$C$292,0))*$E152),Keys!$C$5),Keys!$C$4)</f>
        <v>0.9</v>
      </c>
      <c r="AE152">
        <f>IF($D152=1,IF(ABS(INDEX(Src_SYSHECF_nuclear!$D$5:$D$292,MATCH($C152,Src_SYSHECF_nuclear!$C$5:$C$292,0))*$E152*F152-Keys!$C$2)&gt;Keys!$C$6,1,0),0)</f>
        <v>0</v>
      </c>
    </row>
    <row r="153" spans="1:31" x14ac:dyDescent="0.45">
      <c r="A153" t="s">
        <v>47</v>
      </c>
      <c r="B153" t="s">
        <v>425</v>
      </c>
      <c r="C153" t="str">
        <f t="shared" si="2"/>
        <v>MA|Spring</v>
      </c>
      <c r="D153">
        <f>INDEX(Src_BHRaSYC_nuclear!$HF$5:$HF$52,MATCH($A153,Src_BHRaSYC_nuclear!$A$5:$A$52,0))</f>
        <v>0</v>
      </c>
      <c r="E153">
        <f>INDEX(Src_HYECFCA_nuclear!$B$5:$B$52,MATCH($A153,Src_HYECFCA_nuclear!$A$5:$A$52,0))</f>
        <v>1</v>
      </c>
      <c r="F153">
        <f>IF($D153=1,ROUND(Keys!$C$2/(INDEX(Src_SYSHECF_nuclear!$D$5:$D$292,MATCH($C153,Src_SYSHECF_nuclear!$C$5:$C$292,0))*$E153),Keys!$C$5),Keys!$C$4)</f>
        <v>0.9</v>
      </c>
      <c r="G153">
        <f>IF($D153=1,ROUND(Keys!$C$2/(INDEX(Src_SYSHECF_nuclear!$E$5:$E$292,MATCH($C153,Src_SYSHECF_nuclear!$C$5:$C$292,0))*$E153),Keys!$C$5),Keys!$C$4)</f>
        <v>0.9</v>
      </c>
      <c r="H153">
        <f>IF($D153=1,ROUND(Keys!$C$2/(INDEX(Src_SYSHECF_nuclear!$F$5:$F$292,MATCH($C153,Src_SYSHECF_nuclear!$C$5:$C$292,0))*$E153),Keys!$C$5),Keys!$C$4)</f>
        <v>0.9</v>
      </c>
      <c r="I153">
        <f>IF($D153=1,ROUND(Keys!$C$2/(INDEX(Src_SYSHECF_nuclear!$G$5:$G$292,MATCH($C153,Src_SYSHECF_nuclear!$C$5:$C$292,0))*$E153),Keys!$C$5),Keys!$C$4)</f>
        <v>0.9</v>
      </c>
      <c r="J153">
        <f>IF($D153=1,ROUND(Keys!$C$2/(INDEX(Src_SYSHECF_nuclear!$H$5:$H$292,MATCH($C153,Src_SYSHECF_nuclear!$C$5:$C$292,0))*$E153),Keys!$C$5),Keys!$C$4)</f>
        <v>0.9</v>
      </c>
      <c r="K153">
        <f>IF($D153=1,ROUND(Keys!$C$2/(INDEX(Src_SYSHECF_nuclear!$I$5:$I$292,MATCH($C153,Src_SYSHECF_nuclear!$C$5:$C$292,0))*$E153),Keys!$C$5),Keys!$C$4)</f>
        <v>0.9</v>
      </c>
      <c r="L153">
        <f>IF($D153=1,ROUND(Keys!$C$2/(INDEX(Src_SYSHECF_nuclear!$J$5:$J$292,MATCH($C153,Src_SYSHECF_nuclear!$C$5:$C$292,0))*$E153),Keys!$C$5),Keys!$C$4)</f>
        <v>0.9</v>
      </c>
      <c r="M153">
        <f>IF($D153=1,ROUND(Keys!$C$2/(INDEX(Src_SYSHECF_nuclear!$K$5:$K$292,MATCH($C153,Src_SYSHECF_nuclear!$C$5:$C$292,0))*$E153),Keys!$C$5),Keys!$C$4)</f>
        <v>0.9</v>
      </c>
      <c r="N153">
        <f>IF($D153=1,ROUND(Keys!$C$2/(INDEX(Src_SYSHECF_nuclear!$L$5:$L$292,MATCH($C153,Src_SYSHECF_nuclear!$C$5:$C$292,0))*$E153),Keys!$C$5),Keys!$C$4)</f>
        <v>0.9</v>
      </c>
      <c r="O153">
        <f>IF($D153=1,ROUND(Keys!$C$2/(INDEX(Src_SYSHECF_nuclear!$M$5:$M$292,MATCH($C153,Src_SYSHECF_nuclear!$C$5:$C$292,0))*$E153),Keys!$C$5),Keys!$C$4)</f>
        <v>0.9</v>
      </c>
      <c r="P153">
        <f>IF($D153=1,ROUND(Keys!$C$2/(INDEX(Src_SYSHECF_nuclear!$N$5:$N$292,MATCH($C153,Src_SYSHECF_nuclear!$C$5:$C$292,0))*$E153),Keys!$C$5),Keys!$C$4)</f>
        <v>0.9</v>
      </c>
      <c r="Q153">
        <f>IF($D153=1,ROUND(Keys!$C$2/(INDEX(Src_SYSHECF_nuclear!$O$5:$O$292,MATCH($C153,Src_SYSHECF_nuclear!$C$5:$C$292,0))*$E153),Keys!$C$5),Keys!$C$4)</f>
        <v>0.9</v>
      </c>
      <c r="R153">
        <f>IF($D153=1,ROUND(Keys!$C$2/(INDEX(Src_SYSHECF_nuclear!$P$5:$P$292,MATCH($C153,Src_SYSHECF_nuclear!$C$5:$C$292,0))*$E153),Keys!$C$5),Keys!$C$4)</f>
        <v>0.9</v>
      </c>
      <c r="S153">
        <f>IF($D153=1,ROUND(Keys!$C$2/(INDEX(Src_SYSHECF_nuclear!$Q$5:$Q$292,MATCH($C153,Src_SYSHECF_nuclear!$C$5:$C$292,0))*$E153),Keys!$C$5),Keys!$C$4)</f>
        <v>0.9</v>
      </c>
      <c r="T153">
        <f>IF($D153=1,ROUND(Keys!$C$2/(INDEX(Src_SYSHECF_nuclear!$R$5:$R$292,MATCH($C153,Src_SYSHECF_nuclear!$C$5:$C$292,0))*$E153),Keys!$C$5),Keys!$C$4)</f>
        <v>0.9</v>
      </c>
      <c r="U153">
        <f>IF($D153=1,ROUND(Keys!$C$2/(INDEX(Src_SYSHECF_nuclear!$S$5:$S$292,MATCH($C153,Src_SYSHECF_nuclear!$C$5:$C$292,0))*$E153),Keys!$C$5),Keys!$C$4)</f>
        <v>0.9</v>
      </c>
      <c r="V153">
        <f>IF($D153=1,ROUND(Keys!$C$2/(INDEX(Src_SYSHECF_nuclear!$T$5:$T$292,MATCH($C153,Src_SYSHECF_nuclear!$C$5:$C$292,0))*$E153),Keys!$C$5),Keys!$C$4)</f>
        <v>0.9</v>
      </c>
      <c r="W153">
        <f>IF($D153=1,ROUND(Keys!$C$2/(INDEX(Src_SYSHECF_nuclear!$U$5:$U$292,MATCH($C153,Src_SYSHECF_nuclear!$C$5:$C$292,0))*$E153),Keys!$C$5),Keys!$C$4)</f>
        <v>0.9</v>
      </c>
      <c r="X153">
        <f>IF($D153=1,ROUND(Keys!$C$2/(INDEX(Src_SYSHECF_nuclear!$V$5:$V$292,MATCH($C153,Src_SYSHECF_nuclear!$C$5:$C$292,0))*$E153),Keys!$C$5),Keys!$C$4)</f>
        <v>0.9</v>
      </c>
      <c r="Y153">
        <f>IF($D153=1,ROUND(Keys!$C$2/(INDEX(Src_SYSHECF_nuclear!$W$5:$W$292,MATCH($C153,Src_SYSHECF_nuclear!$C$5:$C$292,0))*$E153),Keys!$C$5),Keys!$C$4)</f>
        <v>0.9</v>
      </c>
      <c r="Z153">
        <f>IF($D153=1,ROUND(Keys!$C$2/(INDEX(Src_SYSHECF_nuclear!$X$5:$X$292,MATCH($C153,Src_SYSHECF_nuclear!$C$5:$C$292,0))*$E153),Keys!$C$5),Keys!$C$4)</f>
        <v>0.9</v>
      </c>
      <c r="AA153">
        <f>IF($D153=1,ROUND(Keys!$C$2/(INDEX(Src_SYSHECF_nuclear!$Y$5:$Y$292,MATCH($C153,Src_SYSHECF_nuclear!$C$5:$C$292,0))*$E153),Keys!$C$5),Keys!$C$4)</f>
        <v>0.9</v>
      </c>
      <c r="AB153">
        <f>IF($D153=1,ROUND(Keys!$C$2/(INDEX(Src_SYSHECF_nuclear!$Z$5:$Z$292,MATCH($C153,Src_SYSHECF_nuclear!$C$5:$C$292,0))*$E153),Keys!$C$5),Keys!$C$4)</f>
        <v>0.9</v>
      </c>
      <c r="AC153">
        <f>IF($D153=1,ROUND(Keys!$C$2/(INDEX(Src_SYSHECF_nuclear!$AA$5:$AA$292,MATCH($C153,Src_SYSHECF_nuclear!$C$5:$C$292,0))*$E153),Keys!$C$5),Keys!$C$4)</f>
        <v>0.9</v>
      </c>
      <c r="AE153">
        <f>IF($D153=1,IF(ABS(INDEX(Src_SYSHECF_nuclear!$D$5:$D$292,MATCH($C153,Src_SYSHECF_nuclear!$C$5:$C$292,0))*$E153*F153-Keys!$C$2)&gt;Keys!$C$6,1,0),0)</f>
        <v>0</v>
      </c>
    </row>
    <row r="154" spans="1:31" x14ac:dyDescent="0.45">
      <c r="A154" t="s">
        <v>47</v>
      </c>
      <c r="B154" t="s">
        <v>426</v>
      </c>
      <c r="C154" t="str">
        <f t="shared" si="2"/>
        <v>MA|Summer</v>
      </c>
      <c r="D154">
        <f>INDEX(Src_BHRaSYC_nuclear!$HF$5:$HF$52,MATCH($A154,Src_BHRaSYC_nuclear!$A$5:$A$52,0))</f>
        <v>0</v>
      </c>
      <c r="E154">
        <f>INDEX(Src_HYECFCA_nuclear!$B$5:$B$52,MATCH($A154,Src_HYECFCA_nuclear!$A$5:$A$52,0))</f>
        <v>1</v>
      </c>
      <c r="F154">
        <f>IF($D154=1,ROUND(Keys!$C$2/(INDEX(Src_SYSHECF_nuclear!$D$5:$D$292,MATCH($C154,Src_SYSHECF_nuclear!$C$5:$C$292,0))*$E154),Keys!$C$5),Keys!$C$4)</f>
        <v>0.9</v>
      </c>
      <c r="G154">
        <f>IF($D154=1,ROUND(Keys!$C$2/(INDEX(Src_SYSHECF_nuclear!$E$5:$E$292,MATCH($C154,Src_SYSHECF_nuclear!$C$5:$C$292,0))*$E154),Keys!$C$5),Keys!$C$4)</f>
        <v>0.9</v>
      </c>
      <c r="H154">
        <f>IF($D154=1,ROUND(Keys!$C$2/(INDEX(Src_SYSHECF_nuclear!$F$5:$F$292,MATCH($C154,Src_SYSHECF_nuclear!$C$5:$C$292,0))*$E154),Keys!$C$5),Keys!$C$4)</f>
        <v>0.9</v>
      </c>
      <c r="I154">
        <f>IF($D154=1,ROUND(Keys!$C$2/(INDEX(Src_SYSHECF_nuclear!$G$5:$G$292,MATCH($C154,Src_SYSHECF_nuclear!$C$5:$C$292,0))*$E154),Keys!$C$5),Keys!$C$4)</f>
        <v>0.9</v>
      </c>
      <c r="J154">
        <f>IF($D154=1,ROUND(Keys!$C$2/(INDEX(Src_SYSHECF_nuclear!$H$5:$H$292,MATCH($C154,Src_SYSHECF_nuclear!$C$5:$C$292,0))*$E154),Keys!$C$5),Keys!$C$4)</f>
        <v>0.9</v>
      </c>
      <c r="K154">
        <f>IF($D154=1,ROUND(Keys!$C$2/(INDEX(Src_SYSHECF_nuclear!$I$5:$I$292,MATCH($C154,Src_SYSHECF_nuclear!$C$5:$C$292,0))*$E154),Keys!$C$5),Keys!$C$4)</f>
        <v>0.9</v>
      </c>
      <c r="L154">
        <f>IF($D154=1,ROUND(Keys!$C$2/(INDEX(Src_SYSHECF_nuclear!$J$5:$J$292,MATCH($C154,Src_SYSHECF_nuclear!$C$5:$C$292,0))*$E154),Keys!$C$5),Keys!$C$4)</f>
        <v>0.9</v>
      </c>
      <c r="M154">
        <f>IF($D154=1,ROUND(Keys!$C$2/(INDEX(Src_SYSHECF_nuclear!$K$5:$K$292,MATCH($C154,Src_SYSHECF_nuclear!$C$5:$C$292,0))*$E154),Keys!$C$5),Keys!$C$4)</f>
        <v>0.9</v>
      </c>
      <c r="N154">
        <f>IF($D154=1,ROUND(Keys!$C$2/(INDEX(Src_SYSHECF_nuclear!$L$5:$L$292,MATCH($C154,Src_SYSHECF_nuclear!$C$5:$C$292,0))*$E154),Keys!$C$5),Keys!$C$4)</f>
        <v>0.9</v>
      </c>
      <c r="O154">
        <f>IF($D154=1,ROUND(Keys!$C$2/(INDEX(Src_SYSHECF_nuclear!$M$5:$M$292,MATCH($C154,Src_SYSHECF_nuclear!$C$5:$C$292,0))*$E154),Keys!$C$5),Keys!$C$4)</f>
        <v>0.9</v>
      </c>
      <c r="P154">
        <f>IF($D154=1,ROUND(Keys!$C$2/(INDEX(Src_SYSHECF_nuclear!$N$5:$N$292,MATCH($C154,Src_SYSHECF_nuclear!$C$5:$C$292,0))*$E154),Keys!$C$5),Keys!$C$4)</f>
        <v>0.9</v>
      </c>
      <c r="Q154">
        <f>IF($D154=1,ROUND(Keys!$C$2/(INDEX(Src_SYSHECF_nuclear!$O$5:$O$292,MATCH($C154,Src_SYSHECF_nuclear!$C$5:$C$292,0))*$E154),Keys!$C$5),Keys!$C$4)</f>
        <v>0.9</v>
      </c>
      <c r="R154">
        <f>IF($D154=1,ROUND(Keys!$C$2/(INDEX(Src_SYSHECF_nuclear!$P$5:$P$292,MATCH($C154,Src_SYSHECF_nuclear!$C$5:$C$292,0))*$E154),Keys!$C$5),Keys!$C$4)</f>
        <v>0.9</v>
      </c>
      <c r="S154">
        <f>IF($D154=1,ROUND(Keys!$C$2/(INDEX(Src_SYSHECF_nuclear!$Q$5:$Q$292,MATCH($C154,Src_SYSHECF_nuclear!$C$5:$C$292,0))*$E154),Keys!$C$5),Keys!$C$4)</f>
        <v>0.9</v>
      </c>
      <c r="T154">
        <f>IF($D154=1,ROUND(Keys!$C$2/(INDEX(Src_SYSHECF_nuclear!$R$5:$R$292,MATCH($C154,Src_SYSHECF_nuclear!$C$5:$C$292,0))*$E154),Keys!$C$5),Keys!$C$4)</f>
        <v>0.9</v>
      </c>
      <c r="U154">
        <f>IF($D154=1,ROUND(Keys!$C$2/(INDEX(Src_SYSHECF_nuclear!$S$5:$S$292,MATCH($C154,Src_SYSHECF_nuclear!$C$5:$C$292,0))*$E154),Keys!$C$5),Keys!$C$4)</f>
        <v>0.9</v>
      </c>
      <c r="V154">
        <f>IF($D154=1,ROUND(Keys!$C$2/(INDEX(Src_SYSHECF_nuclear!$T$5:$T$292,MATCH($C154,Src_SYSHECF_nuclear!$C$5:$C$292,0))*$E154),Keys!$C$5),Keys!$C$4)</f>
        <v>0.9</v>
      </c>
      <c r="W154">
        <f>IF($D154=1,ROUND(Keys!$C$2/(INDEX(Src_SYSHECF_nuclear!$U$5:$U$292,MATCH($C154,Src_SYSHECF_nuclear!$C$5:$C$292,0))*$E154),Keys!$C$5),Keys!$C$4)</f>
        <v>0.9</v>
      </c>
      <c r="X154">
        <f>IF($D154=1,ROUND(Keys!$C$2/(INDEX(Src_SYSHECF_nuclear!$V$5:$V$292,MATCH($C154,Src_SYSHECF_nuclear!$C$5:$C$292,0))*$E154),Keys!$C$5),Keys!$C$4)</f>
        <v>0.9</v>
      </c>
      <c r="Y154">
        <f>IF($D154=1,ROUND(Keys!$C$2/(INDEX(Src_SYSHECF_nuclear!$W$5:$W$292,MATCH($C154,Src_SYSHECF_nuclear!$C$5:$C$292,0))*$E154),Keys!$C$5),Keys!$C$4)</f>
        <v>0.9</v>
      </c>
      <c r="Z154">
        <f>IF($D154=1,ROUND(Keys!$C$2/(INDEX(Src_SYSHECF_nuclear!$X$5:$X$292,MATCH($C154,Src_SYSHECF_nuclear!$C$5:$C$292,0))*$E154),Keys!$C$5),Keys!$C$4)</f>
        <v>0.9</v>
      </c>
      <c r="AA154">
        <f>IF($D154=1,ROUND(Keys!$C$2/(INDEX(Src_SYSHECF_nuclear!$Y$5:$Y$292,MATCH($C154,Src_SYSHECF_nuclear!$C$5:$C$292,0))*$E154),Keys!$C$5),Keys!$C$4)</f>
        <v>0.9</v>
      </c>
      <c r="AB154">
        <f>IF($D154=1,ROUND(Keys!$C$2/(INDEX(Src_SYSHECF_nuclear!$Z$5:$Z$292,MATCH($C154,Src_SYSHECF_nuclear!$C$5:$C$292,0))*$E154),Keys!$C$5),Keys!$C$4)</f>
        <v>0.9</v>
      </c>
      <c r="AC154">
        <f>IF($D154=1,ROUND(Keys!$C$2/(INDEX(Src_SYSHECF_nuclear!$AA$5:$AA$292,MATCH($C154,Src_SYSHECF_nuclear!$C$5:$C$292,0))*$E154),Keys!$C$5),Keys!$C$4)</f>
        <v>0.9</v>
      </c>
      <c r="AE154">
        <f>IF($D154=1,IF(ABS(INDEX(Src_SYSHECF_nuclear!$D$5:$D$292,MATCH($C154,Src_SYSHECF_nuclear!$C$5:$C$292,0))*$E154*F154-Keys!$C$2)&gt;Keys!$C$6,1,0),0)</f>
        <v>0</v>
      </c>
    </row>
    <row r="155" spans="1:31" x14ac:dyDescent="0.45">
      <c r="A155" t="s">
        <v>47</v>
      </c>
      <c r="B155" t="s">
        <v>427</v>
      </c>
      <c r="C155" t="str">
        <f t="shared" si="2"/>
        <v>MA|Fall</v>
      </c>
      <c r="D155">
        <f>INDEX(Src_BHRaSYC_nuclear!$HF$5:$HF$52,MATCH($A155,Src_BHRaSYC_nuclear!$A$5:$A$52,0))</f>
        <v>0</v>
      </c>
      <c r="E155">
        <f>INDEX(Src_HYECFCA_nuclear!$B$5:$B$52,MATCH($A155,Src_HYECFCA_nuclear!$A$5:$A$52,0))</f>
        <v>1</v>
      </c>
      <c r="F155">
        <f>IF($D155=1,ROUND(Keys!$C$2/(INDEX(Src_SYSHECF_nuclear!$D$5:$D$292,MATCH($C155,Src_SYSHECF_nuclear!$C$5:$C$292,0))*$E155),Keys!$C$5),Keys!$C$4)</f>
        <v>0.9</v>
      </c>
      <c r="G155">
        <f>IF($D155=1,ROUND(Keys!$C$2/(INDEX(Src_SYSHECF_nuclear!$E$5:$E$292,MATCH($C155,Src_SYSHECF_nuclear!$C$5:$C$292,0))*$E155),Keys!$C$5),Keys!$C$4)</f>
        <v>0.9</v>
      </c>
      <c r="H155">
        <f>IF($D155=1,ROUND(Keys!$C$2/(INDEX(Src_SYSHECF_nuclear!$F$5:$F$292,MATCH($C155,Src_SYSHECF_nuclear!$C$5:$C$292,0))*$E155),Keys!$C$5),Keys!$C$4)</f>
        <v>0.9</v>
      </c>
      <c r="I155">
        <f>IF($D155=1,ROUND(Keys!$C$2/(INDEX(Src_SYSHECF_nuclear!$G$5:$G$292,MATCH($C155,Src_SYSHECF_nuclear!$C$5:$C$292,0))*$E155),Keys!$C$5),Keys!$C$4)</f>
        <v>0.9</v>
      </c>
      <c r="J155">
        <f>IF($D155=1,ROUND(Keys!$C$2/(INDEX(Src_SYSHECF_nuclear!$H$5:$H$292,MATCH($C155,Src_SYSHECF_nuclear!$C$5:$C$292,0))*$E155),Keys!$C$5),Keys!$C$4)</f>
        <v>0.9</v>
      </c>
      <c r="K155">
        <f>IF($D155=1,ROUND(Keys!$C$2/(INDEX(Src_SYSHECF_nuclear!$I$5:$I$292,MATCH($C155,Src_SYSHECF_nuclear!$C$5:$C$292,0))*$E155),Keys!$C$5),Keys!$C$4)</f>
        <v>0.9</v>
      </c>
      <c r="L155">
        <f>IF($D155=1,ROUND(Keys!$C$2/(INDEX(Src_SYSHECF_nuclear!$J$5:$J$292,MATCH($C155,Src_SYSHECF_nuclear!$C$5:$C$292,0))*$E155),Keys!$C$5),Keys!$C$4)</f>
        <v>0.9</v>
      </c>
      <c r="M155">
        <f>IF($D155=1,ROUND(Keys!$C$2/(INDEX(Src_SYSHECF_nuclear!$K$5:$K$292,MATCH($C155,Src_SYSHECF_nuclear!$C$5:$C$292,0))*$E155),Keys!$C$5),Keys!$C$4)</f>
        <v>0.9</v>
      </c>
      <c r="N155">
        <f>IF($D155=1,ROUND(Keys!$C$2/(INDEX(Src_SYSHECF_nuclear!$L$5:$L$292,MATCH($C155,Src_SYSHECF_nuclear!$C$5:$C$292,0))*$E155),Keys!$C$5),Keys!$C$4)</f>
        <v>0.9</v>
      </c>
      <c r="O155">
        <f>IF($D155=1,ROUND(Keys!$C$2/(INDEX(Src_SYSHECF_nuclear!$M$5:$M$292,MATCH($C155,Src_SYSHECF_nuclear!$C$5:$C$292,0))*$E155),Keys!$C$5),Keys!$C$4)</f>
        <v>0.9</v>
      </c>
      <c r="P155">
        <f>IF($D155=1,ROUND(Keys!$C$2/(INDEX(Src_SYSHECF_nuclear!$N$5:$N$292,MATCH($C155,Src_SYSHECF_nuclear!$C$5:$C$292,0))*$E155),Keys!$C$5),Keys!$C$4)</f>
        <v>0.9</v>
      </c>
      <c r="Q155">
        <f>IF($D155=1,ROUND(Keys!$C$2/(INDEX(Src_SYSHECF_nuclear!$O$5:$O$292,MATCH($C155,Src_SYSHECF_nuclear!$C$5:$C$292,0))*$E155),Keys!$C$5),Keys!$C$4)</f>
        <v>0.9</v>
      </c>
      <c r="R155">
        <f>IF($D155=1,ROUND(Keys!$C$2/(INDEX(Src_SYSHECF_nuclear!$P$5:$P$292,MATCH($C155,Src_SYSHECF_nuclear!$C$5:$C$292,0))*$E155),Keys!$C$5),Keys!$C$4)</f>
        <v>0.9</v>
      </c>
      <c r="S155">
        <f>IF($D155=1,ROUND(Keys!$C$2/(INDEX(Src_SYSHECF_nuclear!$Q$5:$Q$292,MATCH($C155,Src_SYSHECF_nuclear!$C$5:$C$292,0))*$E155),Keys!$C$5),Keys!$C$4)</f>
        <v>0.9</v>
      </c>
      <c r="T155">
        <f>IF($D155=1,ROUND(Keys!$C$2/(INDEX(Src_SYSHECF_nuclear!$R$5:$R$292,MATCH($C155,Src_SYSHECF_nuclear!$C$5:$C$292,0))*$E155),Keys!$C$5),Keys!$C$4)</f>
        <v>0.9</v>
      </c>
      <c r="U155">
        <f>IF($D155=1,ROUND(Keys!$C$2/(INDEX(Src_SYSHECF_nuclear!$S$5:$S$292,MATCH($C155,Src_SYSHECF_nuclear!$C$5:$C$292,0))*$E155),Keys!$C$5),Keys!$C$4)</f>
        <v>0.9</v>
      </c>
      <c r="V155">
        <f>IF($D155=1,ROUND(Keys!$C$2/(INDEX(Src_SYSHECF_nuclear!$T$5:$T$292,MATCH($C155,Src_SYSHECF_nuclear!$C$5:$C$292,0))*$E155),Keys!$C$5),Keys!$C$4)</f>
        <v>0.9</v>
      </c>
      <c r="W155">
        <f>IF($D155=1,ROUND(Keys!$C$2/(INDEX(Src_SYSHECF_nuclear!$U$5:$U$292,MATCH($C155,Src_SYSHECF_nuclear!$C$5:$C$292,0))*$E155),Keys!$C$5),Keys!$C$4)</f>
        <v>0.9</v>
      </c>
      <c r="X155">
        <f>IF($D155=1,ROUND(Keys!$C$2/(INDEX(Src_SYSHECF_nuclear!$V$5:$V$292,MATCH($C155,Src_SYSHECF_nuclear!$C$5:$C$292,0))*$E155),Keys!$C$5),Keys!$C$4)</f>
        <v>0.9</v>
      </c>
      <c r="Y155">
        <f>IF($D155=1,ROUND(Keys!$C$2/(INDEX(Src_SYSHECF_nuclear!$W$5:$W$292,MATCH($C155,Src_SYSHECF_nuclear!$C$5:$C$292,0))*$E155),Keys!$C$5),Keys!$C$4)</f>
        <v>0.9</v>
      </c>
      <c r="Z155">
        <f>IF($D155=1,ROUND(Keys!$C$2/(INDEX(Src_SYSHECF_nuclear!$X$5:$X$292,MATCH($C155,Src_SYSHECF_nuclear!$C$5:$C$292,0))*$E155),Keys!$C$5),Keys!$C$4)</f>
        <v>0.9</v>
      </c>
      <c r="AA155">
        <f>IF($D155=1,ROUND(Keys!$C$2/(INDEX(Src_SYSHECF_nuclear!$Y$5:$Y$292,MATCH($C155,Src_SYSHECF_nuclear!$C$5:$C$292,0))*$E155),Keys!$C$5),Keys!$C$4)</f>
        <v>0.9</v>
      </c>
      <c r="AB155">
        <f>IF($D155=1,ROUND(Keys!$C$2/(INDEX(Src_SYSHECF_nuclear!$Z$5:$Z$292,MATCH($C155,Src_SYSHECF_nuclear!$C$5:$C$292,0))*$E155),Keys!$C$5),Keys!$C$4)</f>
        <v>0.9</v>
      </c>
      <c r="AC155">
        <f>IF($D155=1,ROUND(Keys!$C$2/(INDEX(Src_SYSHECF_nuclear!$AA$5:$AA$292,MATCH($C155,Src_SYSHECF_nuclear!$C$5:$C$292,0))*$E155),Keys!$C$5),Keys!$C$4)</f>
        <v>0.9</v>
      </c>
      <c r="AE155">
        <f>IF($D155=1,IF(ABS(INDEX(Src_SYSHECF_nuclear!$D$5:$D$292,MATCH($C155,Src_SYSHECF_nuclear!$C$5:$C$292,0))*$E155*F155-Keys!$C$2)&gt;Keys!$C$6,1,0),0)</f>
        <v>0</v>
      </c>
    </row>
    <row r="156" spans="1:31" x14ac:dyDescent="0.45">
      <c r="A156" t="s">
        <v>47</v>
      </c>
      <c r="B156" t="s">
        <v>428</v>
      </c>
      <c r="C156" t="str">
        <f t="shared" si="2"/>
        <v>MA|Summer Peak</v>
      </c>
      <c r="D156">
        <f>INDEX(Src_BHRaSYC_nuclear!$HF$5:$HF$52,MATCH($A156,Src_BHRaSYC_nuclear!$A$5:$A$52,0))</f>
        <v>0</v>
      </c>
      <c r="E156">
        <f>INDEX(Src_HYECFCA_nuclear!$B$5:$B$52,MATCH($A156,Src_HYECFCA_nuclear!$A$5:$A$52,0))</f>
        <v>1</v>
      </c>
      <c r="F156">
        <f>IF($D156=1,ROUND(Keys!$C$2/(INDEX(Src_SYSHECF_nuclear!$D$5:$D$292,MATCH($C156,Src_SYSHECF_nuclear!$C$5:$C$292,0))*$E156),Keys!$C$5),Keys!$C$4)</f>
        <v>0.9</v>
      </c>
      <c r="G156">
        <f>IF($D156=1,ROUND(Keys!$C$2/(INDEX(Src_SYSHECF_nuclear!$E$5:$E$292,MATCH($C156,Src_SYSHECF_nuclear!$C$5:$C$292,0))*$E156),Keys!$C$5),Keys!$C$4)</f>
        <v>0.9</v>
      </c>
      <c r="H156">
        <f>IF($D156=1,ROUND(Keys!$C$2/(INDEX(Src_SYSHECF_nuclear!$F$5:$F$292,MATCH($C156,Src_SYSHECF_nuclear!$C$5:$C$292,0))*$E156),Keys!$C$5),Keys!$C$4)</f>
        <v>0.9</v>
      </c>
      <c r="I156">
        <f>IF($D156=1,ROUND(Keys!$C$2/(INDEX(Src_SYSHECF_nuclear!$G$5:$G$292,MATCH($C156,Src_SYSHECF_nuclear!$C$5:$C$292,0))*$E156),Keys!$C$5),Keys!$C$4)</f>
        <v>0.9</v>
      </c>
      <c r="J156">
        <f>IF($D156=1,ROUND(Keys!$C$2/(INDEX(Src_SYSHECF_nuclear!$H$5:$H$292,MATCH($C156,Src_SYSHECF_nuclear!$C$5:$C$292,0))*$E156),Keys!$C$5),Keys!$C$4)</f>
        <v>0.9</v>
      </c>
      <c r="K156">
        <f>IF($D156=1,ROUND(Keys!$C$2/(INDEX(Src_SYSHECF_nuclear!$I$5:$I$292,MATCH($C156,Src_SYSHECF_nuclear!$C$5:$C$292,0))*$E156),Keys!$C$5),Keys!$C$4)</f>
        <v>0.9</v>
      </c>
      <c r="L156">
        <f>IF($D156=1,ROUND(Keys!$C$2/(INDEX(Src_SYSHECF_nuclear!$J$5:$J$292,MATCH($C156,Src_SYSHECF_nuclear!$C$5:$C$292,0))*$E156),Keys!$C$5),Keys!$C$4)</f>
        <v>0.9</v>
      </c>
      <c r="M156">
        <f>IF($D156=1,ROUND(Keys!$C$2/(INDEX(Src_SYSHECF_nuclear!$K$5:$K$292,MATCH($C156,Src_SYSHECF_nuclear!$C$5:$C$292,0))*$E156),Keys!$C$5),Keys!$C$4)</f>
        <v>0.9</v>
      </c>
      <c r="N156">
        <f>IF($D156=1,ROUND(Keys!$C$2/(INDEX(Src_SYSHECF_nuclear!$L$5:$L$292,MATCH($C156,Src_SYSHECF_nuclear!$C$5:$C$292,0))*$E156),Keys!$C$5),Keys!$C$4)</f>
        <v>0.9</v>
      </c>
      <c r="O156">
        <f>IF($D156=1,ROUND(Keys!$C$2/(INDEX(Src_SYSHECF_nuclear!$M$5:$M$292,MATCH($C156,Src_SYSHECF_nuclear!$C$5:$C$292,0))*$E156),Keys!$C$5),Keys!$C$4)</f>
        <v>0.9</v>
      </c>
      <c r="P156">
        <f>IF($D156=1,ROUND(Keys!$C$2/(INDEX(Src_SYSHECF_nuclear!$N$5:$N$292,MATCH($C156,Src_SYSHECF_nuclear!$C$5:$C$292,0))*$E156),Keys!$C$5),Keys!$C$4)</f>
        <v>0.9</v>
      </c>
      <c r="Q156">
        <f>IF($D156=1,ROUND(Keys!$C$2/(INDEX(Src_SYSHECF_nuclear!$O$5:$O$292,MATCH($C156,Src_SYSHECF_nuclear!$C$5:$C$292,0))*$E156),Keys!$C$5),Keys!$C$4)</f>
        <v>0.9</v>
      </c>
      <c r="R156">
        <f>IF($D156=1,ROUND(Keys!$C$2/(INDEX(Src_SYSHECF_nuclear!$P$5:$P$292,MATCH($C156,Src_SYSHECF_nuclear!$C$5:$C$292,0))*$E156),Keys!$C$5),Keys!$C$4)</f>
        <v>0.9</v>
      </c>
      <c r="S156">
        <f>IF($D156=1,ROUND(Keys!$C$2/(INDEX(Src_SYSHECF_nuclear!$Q$5:$Q$292,MATCH($C156,Src_SYSHECF_nuclear!$C$5:$C$292,0))*$E156),Keys!$C$5),Keys!$C$4)</f>
        <v>0.9</v>
      </c>
      <c r="T156">
        <f>IF($D156=1,ROUND(Keys!$C$2/(INDEX(Src_SYSHECF_nuclear!$R$5:$R$292,MATCH($C156,Src_SYSHECF_nuclear!$C$5:$C$292,0))*$E156),Keys!$C$5),Keys!$C$4)</f>
        <v>0.9</v>
      </c>
      <c r="U156">
        <f>IF($D156=1,ROUND(Keys!$C$2/(INDEX(Src_SYSHECF_nuclear!$S$5:$S$292,MATCH($C156,Src_SYSHECF_nuclear!$C$5:$C$292,0))*$E156),Keys!$C$5),Keys!$C$4)</f>
        <v>0.9</v>
      </c>
      <c r="V156">
        <f>IF($D156=1,ROUND(Keys!$C$2/(INDEX(Src_SYSHECF_nuclear!$T$5:$T$292,MATCH($C156,Src_SYSHECF_nuclear!$C$5:$C$292,0))*$E156),Keys!$C$5),Keys!$C$4)</f>
        <v>0.9</v>
      </c>
      <c r="W156">
        <f>IF($D156=1,ROUND(Keys!$C$2/(INDEX(Src_SYSHECF_nuclear!$U$5:$U$292,MATCH($C156,Src_SYSHECF_nuclear!$C$5:$C$292,0))*$E156),Keys!$C$5),Keys!$C$4)</f>
        <v>0.9</v>
      </c>
      <c r="X156">
        <f>IF($D156=1,ROUND(Keys!$C$2/(INDEX(Src_SYSHECF_nuclear!$V$5:$V$292,MATCH($C156,Src_SYSHECF_nuclear!$C$5:$C$292,0))*$E156),Keys!$C$5),Keys!$C$4)</f>
        <v>0.9</v>
      </c>
      <c r="Y156">
        <f>IF($D156=1,ROUND(Keys!$C$2/(INDEX(Src_SYSHECF_nuclear!$W$5:$W$292,MATCH($C156,Src_SYSHECF_nuclear!$C$5:$C$292,0))*$E156),Keys!$C$5),Keys!$C$4)</f>
        <v>0.9</v>
      </c>
      <c r="Z156">
        <f>IF($D156=1,ROUND(Keys!$C$2/(INDEX(Src_SYSHECF_nuclear!$X$5:$X$292,MATCH($C156,Src_SYSHECF_nuclear!$C$5:$C$292,0))*$E156),Keys!$C$5),Keys!$C$4)</f>
        <v>0.9</v>
      </c>
      <c r="AA156">
        <f>IF($D156=1,ROUND(Keys!$C$2/(INDEX(Src_SYSHECF_nuclear!$Y$5:$Y$292,MATCH($C156,Src_SYSHECF_nuclear!$C$5:$C$292,0))*$E156),Keys!$C$5),Keys!$C$4)</f>
        <v>0.9</v>
      </c>
      <c r="AB156">
        <f>IF($D156=1,ROUND(Keys!$C$2/(INDEX(Src_SYSHECF_nuclear!$Z$5:$Z$292,MATCH($C156,Src_SYSHECF_nuclear!$C$5:$C$292,0))*$E156),Keys!$C$5),Keys!$C$4)</f>
        <v>0.9</v>
      </c>
      <c r="AC156">
        <f>IF($D156=1,ROUND(Keys!$C$2/(INDEX(Src_SYSHECF_nuclear!$AA$5:$AA$292,MATCH($C156,Src_SYSHECF_nuclear!$C$5:$C$292,0))*$E156),Keys!$C$5),Keys!$C$4)</f>
        <v>0.9</v>
      </c>
      <c r="AE156">
        <f>IF($D156=1,IF(ABS(INDEX(Src_SYSHECF_nuclear!$D$5:$D$292,MATCH($C156,Src_SYSHECF_nuclear!$C$5:$C$292,0))*$E156*F156-Keys!$C$2)&gt;Keys!$C$6,1,0),0)</f>
        <v>0</v>
      </c>
    </row>
    <row r="157" spans="1:31" x14ac:dyDescent="0.45">
      <c r="A157" t="s">
        <v>47</v>
      </c>
      <c r="B157" t="s">
        <v>429</v>
      </c>
      <c r="C157" t="str">
        <f t="shared" si="2"/>
        <v>MA|Winter Peak</v>
      </c>
      <c r="D157">
        <f>INDEX(Src_BHRaSYC_nuclear!$HF$5:$HF$52,MATCH($A157,Src_BHRaSYC_nuclear!$A$5:$A$52,0))</f>
        <v>0</v>
      </c>
      <c r="E157">
        <f>INDEX(Src_HYECFCA_nuclear!$B$5:$B$52,MATCH($A157,Src_HYECFCA_nuclear!$A$5:$A$52,0))</f>
        <v>1</v>
      </c>
      <c r="F157">
        <f>IF($D157=1,ROUND(Keys!$C$2/(INDEX(Src_SYSHECF_nuclear!$D$5:$D$292,MATCH($C157,Src_SYSHECF_nuclear!$C$5:$C$292,0))*$E157),Keys!$C$5),Keys!$C$4)</f>
        <v>0.9</v>
      </c>
      <c r="G157">
        <f>IF($D157=1,ROUND(Keys!$C$2/(INDEX(Src_SYSHECF_nuclear!$E$5:$E$292,MATCH($C157,Src_SYSHECF_nuclear!$C$5:$C$292,0))*$E157),Keys!$C$5),Keys!$C$4)</f>
        <v>0.9</v>
      </c>
      <c r="H157">
        <f>IF($D157=1,ROUND(Keys!$C$2/(INDEX(Src_SYSHECF_nuclear!$F$5:$F$292,MATCH($C157,Src_SYSHECF_nuclear!$C$5:$C$292,0))*$E157),Keys!$C$5),Keys!$C$4)</f>
        <v>0.9</v>
      </c>
      <c r="I157">
        <f>IF($D157=1,ROUND(Keys!$C$2/(INDEX(Src_SYSHECF_nuclear!$G$5:$G$292,MATCH($C157,Src_SYSHECF_nuclear!$C$5:$C$292,0))*$E157),Keys!$C$5),Keys!$C$4)</f>
        <v>0.9</v>
      </c>
      <c r="J157">
        <f>IF($D157=1,ROUND(Keys!$C$2/(INDEX(Src_SYSHECF_nuclear!$H$5:$H$292,MATCH($C157,Src_SYSHECF_nuclear!$C$5:$C$292,0))*$E157),Keys!$C$5),Keys!$C$4)</f>
        <v>0.9</v>
      </c>
      <c r="K157">
        <f>IF($D157=1,ROUND(Keys!$C$2/(INDEX(Src_SYSHECF_nuclear!$I$5:$I$292,MATCH($C157,Src_SYSHECF_nuclear!$C$5:$C$292,0))*$E157),Keys!$C$5),Keys!$C$4)</f>
        <v>0.9</v>
      </c>
      <c r="L157">
        <f>IF($D157=1,ROUND(Keys!$C$2/(INDEX(Src_SYSHECF_nuclear!$J$5:$J$292,MATCH($C157,Src_SYSHECF_nuclear!$C$5:$C$292,0))*$E157),Keys!$C$5),Keys!$C$4)</f>
        <v>0.9</v>
      </c>
      <c r="M157">
        <f>IF($D157=1,ROUND(Keys!$C$2/(INDEX(Src_SYSHECF_nuclear!$K$5:$K$292,MATCH($C157,Src_SYSHECF_nuclear!$C$5:$C$292,0))*$E157),Keys!$C$5),Keys!$C$4)</f>
        <v>0.9</v>
      </c>
      <c r="N157">
        <f>IF($D157=1,ROUND(Keys!$C$2/(INDEX(Src_SYSHECF_nuclear!$L$5:$L$292,MATCH($C157,Src_SYSHECF_nuclear!$C$5:$C$292,0))*$E157),Keys!$C$5),Keys!$C$4)</f>
        <v>0.9</v>
      </c>
      <c r="O157">
        <f>IF($D157=1,ROUND(Keys!$C$2/(INDEX(Src_SYSHECF_nuclear!$M$5:$M$292,MATCH($C157,Src_SYSHECF_nuclear!$C$5:$C$292,0))*$E157),Keys!$C$5),Keys!$C$4)</f>
        <v>0.9</v>
      </c>
      <c r="P157">
        <f>IF($D157=1,ROUND(Keys!$C$2/(INDEX(Src_SYSHECF_nuclear!$N$5:$N$292,MATCH($C157,Src_SYSHECF_nuclear!$C$5:$C$292,0))*$E157),Keys!$C$5),Keys!$C$4)</f>
        <v>0.9</v>
      </c>
      <c r="Q157">
        <f>IF($D157=1,ROUND(Keys!$C$2/(INDEX(Src_SYSHECF_nuclear!$O$5:$O$292,MATCH($C157,Src_SYSHECF_nuclear!$C$5:$C$292,0))*$E157),Keys!$C$5),Keys!$C$4)</f>
        <v>0.9</v>
      </c>
      <c r="R157">
        <f>IF($D157=1,ROUND(Keys!$C$2/(INDEX(Src_SYSHECF_nuclear!$P$5:$P$292,MATCH($C157,Src_SYSHECF_nuclear!$C$5:$C$292,0))*$E157),Keys!$C$5),Keys!$C$4)</f>
        <v>0.9</v>
      </c>
      <c r="S157">
        <f>IF($D157=1,ROUND(Keys!$C$2/(INDEX(Src_SYSHECF_nuclear!$Q$5:$Q$292,MATCH($C157,Src_SYSHECF_nuclear!$C$5:$C$292,0))*$E157),Keys!$C$5),Keys!$C$4)</f>
        <v>0.9</v>
      </c>
      <c r="T157">
        <f>IF($D157=1,ROUND(Keys!$C$2/(INDEX(Src_SYSHECF_nuclear!$R$5:$R$292,MATCH($C157,Src_SYSHECF_nuclear!$C$5:$C$292,0))*$E157),Keys!$C$5),Keys!$C$4)</f>
        <v>0.9</v>
      </c>
      <c r="U157">
        <f>IF($D157=1,ROUND(Keys!$C$2/(INDEX(Src_SYSHECF_nuclear!$S$5:$S$292,MATCH($C157,Src_SYSHECF_nuclear!$C$5:$C$292,0))*$E157),Keys!$C$5),Keys!$C$4)</f>
        <v>0.9</v>
      </c>
      <c r="V157">
        <f>IF($D157=1,ROUND(Keys!$C$2/(INDEX(Src_SYSHECF_nuclear!$T$5:$T$292,MATCH($C157,Src_SYSHECF_nuclear!$C$5:$C$292,0))*$E157),Keys!$C$5),Keys!$C$4)</f>
        <v>0.9</v>
      </c>
      <c r="W157">
        <f>IF($D157=1,ROUND(Keys!$C$2/(INDEX(Src_SYSHECF_nuclear!$U$5:$U$292,MATCH($C157,Src_SYSHECF_nuclear!$C$5:$C$292,0))*$E157),Keys!$C$5),Keys!$C$4)</f>
        <v>0.9</v>
      </c>
      <c r="X157">
        <f>IF($D157=1,ROUND(Keys!$C$2/(INDEX(Src_SYSHECF_nuclear!$V$5:$V$292,MATCH($C157,Src_SYSHECF_nuclear!$C$5:$C$292,0))*$E157),Keys!$C$5),Keys!$C$4)</f>
        <v>0.9</v>
      </c>
      <c r="Y157">
        <f>IF($D157=1,ROUND(Keys!$C$2/(INDEX(Src_SYSHECF_nuclear!$W$5:$W$292,MATCH($C157,Src_SYSHECF_nuclear!$C$5:$C$292,0))*$E157),Keys!$C$5),Keys!$C$4)</f>
        <v>0.9</v>
      </c>
      <c r="Z157">
        <f>IF($D157=1,ROUND(Keys!$C$2/(INDEX(Src_SYSHECF_nuclear!$X$5:$X$292,MATCH($C157,Src_SYSHECF_nuclear!$C$5:$C$292,0))*$E157),Keys!$C$5),Keys!$C$4)</f>
        <v>0.9</v>
      </c>
      <c r="AA157">
        <f>IF($D157=1,ROUND(Keys!$C$2/(INDEX(Src_SYSHECF_nuclear!$Y$5:$Y$292,MATCH($C157,Src_SYSHECF_nuclear!$C$5:$C$292,0))*$E157),Keys!$C$5),Keys!$C$4)</f>
        <v>0.9</v>
      </c>
      <c r="AB157">
        <f>IF($D157=1,ROUND(Keys!$C$2/(INDEX(Src_SYSHECF_nuclear!$Z$5:$Z$292,MATCH($C157,Src_SYSHECF_nuclear!$C$5:$C$292,0))*$E157),Keys!$C$5),Keys!$C$4)</f>
        <v>0.9</v>
      </c>
      <c r="AC157">
        <f>IF($D157=1,ROUND(Keys!$C$2/(INDEX(Src_SYSHECF_nuclear!$AA$5:$AA$292,MATCH($C157,Src_SYSHECF_nuclear!$C$5:$C$292,0))*$E157),Keys!$C$5),Keys!$C$4)</f>
        <v>0.9</v>
      </c>
      <c r="AE157">
        <f>IF($D157=1,IF(ABS(INDEX(Src_SYSHECF_nuclear!$D$5:$D$292,MATCH($C157,Src_SYSHECF_nuclear!$C$5:$C$292,0))*$E157*F157-Keys!$C$2)&gt;Keys!$C$6,1,0),0)</f>
        <v>0</v>
      </c>
    </row>
    <row r="158" spans="1:31" x14ac:dyDescent="0.45">
      <c r="A158" t="s">
        <v>50</v>
      </c>
      <c r="B158" t="s">
        <v>424</v>
      </c>
      <c r="C158" t="str">
        <f t="shared" si="2"/>
        <v>MD|Winter</v>
      </c>
      <c r="D158">
        <f>INDEX(Src_BHRaSYC_nuclear!$HF$5:$HF$52,MATCH($A158,Src_BHRaSYC_nuclear!$A$5:$A$52,0))</f>
        <v>1</v>
      </c>
      <c r="E158">
        <f>INDEX(Src_HYECFCA_nuclear!$B$5:$B$52,MATCH($A158,Src_HYECFCA_nuclear!$A$5:$A$52,0))</f>
        <v>1.0024500000000001</v>
      </c>
      <c r="F158">
        <f>IF($D158=1,ROUND(Keys!$C$2/(INDEX(Src_SYSHECF_nuclear!$D$5:$D$292,MATCH($C158,Src_SYSHECF_nuclear!$C$5:$C$292,0))*$E158),Keys!$C$5),Keys!$C$4)</f>
        <v>1.0072000000000001</v>
      </c>
      <c r="G158">
        <f>IF($D158=1,ROUND(Keys!$C$2/(INDEX(Src_SYSHECF_nuclear!$E$5:$E$292,MATCH($C158,Src_SYSHECF_nuclear!$C$5:$C$292,0))*$E158),Keys!$C$5),Keys!$C$4)</f>
        <v>1.0072000000000001</v>
      </c>
      <c r="H158">
        <f>IF($D158=1,ROUND(Keys!$C$2/(INDEX(Src_SYSHECF_nuclear!$F$5:$F$292,MATCH($C158,Src_SYSHECF_nuclear!$C$5:$C$292,0))*$E158),Keys!$C$5),Keys!$C$4)</f>
        <v>1.0072000000000001</v>
      </c>
      <c r="I158">
        <f>IF($D158=1,ROUND(Keys!$C$2/(INDEX(Src_SYSHECF_nuclear!$G$5:$G$292,MATCH($C158,Src_SYSHECF_nuclear!$C$5:$C$292,0))*$E158),Keys!$C$5),Keys!$C$4)</f>
        <v>1.0072000000000001</v>
      </c>
      <c r="J158">
        <f>IF($D158=1,ROUND(Keys!$C$2/(INDEX(Src_SYSHECF_nuclear!$H$5:$H$292,MATCH($C158,Src_SYSHECF_nuclear!$C$5:$C$292,0))*$E158),Keys!$C$5),Keys!$C$4)</f>
        <v>1.0072000000000001</v>
      </c>
      <c r="K158">
        <f>IF($D158=1,ROUND(Keys!$C$2/(INDEX(Src_SYSHECF_nuclear!$I$5:$I$292,MATCH($C158,Src_SYSHECF_nuclear!$C$5:$C$292,0))*$E158),Keys!$C$5),Keys!$C$4)</f>
        <v>1.0072000000000001</v>
      </c>
      <c r="L158">
        <f>IF($D158=1,ROUND(Keys!$C$2/(INDEX(Src_SYSHECF_nuclear!$J$5:$J$292,MATCH($C158,Src_SYSHECF_nuclear!$C$5:$C$292,0))*$E158),Keys!$C$5),Keys!$C$4)</f>
        <v>1.0072000000000001</v>
      </c>
      <c r="M158">
        <f>IF($D158=1,ROUND(Keys!$C$2/(INDEX(Src_SYSHECF_nuclear!$K$5:$K$292,MATCH($C158,Src_SYSHECF_nuclear!$C$5:$C$292,0))*$E158),Keys!$C$5),Keys!$C$4)</f>
        <v>1.0072000000000001</v>
      </c>
      <c r="N158">
        <f>IF($D158=1,ROUND(Keys!$C$2/(INDEX(Src_SYSHECF_nuclear!$L$5:$L$292,MATCH($C158,Src_SYSHECF_nuclear!$C$5:$C$292,0))*$E158),Keys!$C$5),Keys!$C$4)</f>
        <v>1.0072000000000001</v>
      </c>
      <c r="O158">
        <f>IF($D158=1,ROUND(Keys!$C$2/(INDEX(Src_SYSHECF_nuclear!$M$5:$M$292,MATCH($C158,Src_SYSHECF_nuclear!$C$5:$C$292,0))*$E158),Keys!$C$5),Keys!$C$4)</f>
        <v>1.0072000000000001</v>
      </c>
      <c r="P158">
        <f>IF($D158=1,ROUND(Keys!$C$2/(INDEX(Src_SYSHECF_nuclear!$N$5:$N$292,MATCH($C158,Src_SYSHECF_nuclear!$C$5:$C$292,0))*$E158),Keys!$C$5),Keys!$C$4)</f>
        <v>1.0072000000000001</v>
      </c>
      <c r="Q158">
        <f>IF($D158=1,ROUND(Keys!$C$2/(INDEX(Src_SYSHECF_nuclear!$O$5:$O$292,MATCH($C158,Src_SYSHECF_nuclear!$C$5:$C$292,0))*$E158),Keys!$C$5),Keys!$C$4)</f>
        <v>1.0072000000000001</v>
      </c>
      <c r="R158">
        <f>IF($D158=1,ROUND(Keys!$C$2/(INDEX(Src_SYSHECF_nuclear!$P$5:$P$292,MATCH($C158,Src_SYSHECF_nuclear!$C$5:$C$292,0))*$E158),Keys!$C$5),Keys!$C$4)</f>
        <v>1.0072000000000001</v>
      </c>
      <c r="S158">
        <f>IF($D158=1,ROUND(Keys!$C$2/(INDEX(Src_SYSHECF_nuclear!$Q$5:$Q$292,MATCH($C158,Src_SYSHECF_nuclear!$C$5:$C$292,0))*$E158),Keys!$C$5),Keys!$C$4)</f>
        <v>1.0072000000000001</v>
      </c>
      <c r="T158">
        <f>IF($D158=1,ROUND(Keys!$C$2/(INDEX(Src_SYSHECF_nuclear!$R$5:$R$292,MATCH($C158,Src_SYSHECF_nuclear!$C$5:$C$292,0))*$E158),Keys!$C$5),Keys!$C$4)</f>
        <v>1.0072000000000001</v>
      </c>
      <c r="U158">
        <f>IF($D158=1,ROUND(Keys!$C$2/(INDEX(Src_SYSHECF_nuclear!$S$5:$S$292,MATCH($C158,Src_SYSHECF_nuclear!$C$5:$C$292,0))*$E158),Keys!$C$5),Keys!$C$4)</f>
        <v>1.0072000000000001</v>
      </c>
      <c r="V158">
        <f>IF($D158=1,ROUND(Keys!$C$2/(INDEX(Src_SYSHECF_nuclear!$T$5:$T$292,MATCH($C158,Src_SYSHECF_nuclear!$C$5:$C$292,0))*$E158),Keys!$C$5),Keys!$C$4)</f>
        <v>1.0072000000000001</v>
      </c>
      <c r="W158">
        <f>IF($D158=1,ROUND(Keys!$C$2/(INDEX(Src_SYSHECF_nuclear!$U$5:$U$292,MATCH($C158,Src_SYSHECF_nuclear!$C$5:$C$292,0))*$E158),Keys!$C$5),Keys!$C$4)</f>
        <v>1.0072000000000001</v>
      </c>
      <c r="X158">
        <f>IF($D158=1,ROUND(Keys!$C$2/(INDEX(Src_SYSHECF_nuclear!$V$5:$V$292,MATCH($C158,Src_SYSHECF_nuclear!$C$5:$C$292,0))*$E158),Keys!$C$5),Keys!$C$4)</f>
        <v>1.0072000000000001</v>
      </c>
      <c r="Y158">
        <f>IF($D158=1,ROUND(Keys!$C$2/(INDEX(Src_SYSHECF_nuclear!$W$5:$W$292,MATCH($C158,Src_SYSHECF_nuclear!$C$5:$C$292,0))*$E158),Keys!$C$5),Keys!$C$4)</f>
        <v>1.0072000000000001</v>
      </c>
      <c r="Z158">
        <f>IF($D158=1,ROUND(Keys!$C$2/(INDEX(Src_SYSHECF_nuclear!$X$5:$X$292,MATCH($C158,Src_SYSHECF_nuclear!$C$5:$C$292,0))*$E158),Keys!$C$5),Keys!$C$4)</f>
        <v>1.0072000000000001</v>
      </c>
      <c r="AA158">
        <f>IF($D158=1,ROUND(Keys!$C$2/(INDEX(Src_SYSHECF_nuclear!$Y$5:$Y$292,MATCH($C158,Src_SYSHECF_nuclear!$C$5:$C$292,0))*$E158),Keys!$C$5),Keys!$C$4)</f>
        <v>1.0072000000000001</v>
      </c>
      <c r="AB158">
        <f>IF($D158=1,ROUND(Keys!$C$2/(INDEX(Src_SYSHECF_nuclear!$Z$5:$Z$292,MATCH($C158,Src_SYSHECF_nuclear!$C$5:$C$292,0))*$E158),Keys!$C$5),Keys!$C$4)</f>
        <v>1.0072000000000001</v>
      </c>
      <c r="AC158">
        <f>IF($D158=1,ROUND(Keys!$C$2/(INDEX(Src_SYSHECF_nuclear!$AA$5:$AA$292,MATCH($C158,Src_SYSHECF_nuclear!$C$5:$C$292,0))*$E158),Keys!$C$5),Keys!$C$4)</f>
        <v>1.0072000000000001</v>
      </c>
      <c r="AE158">
        <f>IF($D158=1,IF(ABS(INDEX(Src_SYSHECF_nuclear!$D$5:$D$292,MATCH($C158,Src_SYSHECF_nuclear!$C$5:$C$292,0))*$E158*F158-Keys!$C$2)&gt;Keys!$C$6,1,0),0)</f>
        <v>0</v>
      </c>
    </row>
    <row r="159" spans="1:31" x14ac:dyDescent="0.45">
      <c r="A159" t="s">
        <v>50</v>
      </c>
      <c r="B159" t="s">
        <v>425</v>
      </c>
      <c r="C159" t="str">
        <f t="shared" si="2"/>
        <v>MD|Spring</v>
      </c>
      <c r="D159">
        <f>INDEX(Src_BHRaSYC_nuclear!$HF$5:$HF$52,MATCH($A159,Src_BHRaSYC_nuclear!$A$5:$A$52,0))</f>
        <v>1</v>
      </c>
      <c r="E159">
        <f>INDEX(Src_HYECFCA_nuclear!$B$5:$B$52,MATCH($A159,Src_HYECFCA_nuclear!$A$5:$A$52,0))</f>
        <v>1.0024500000000001</v>
      </c>
      <c r="F159">
        <f>IF($D159=1,ROUND(Keys!$C$2/(INDEX(Src_SYSHECF_nuclear!$D$5:$D$292,MATCH($C159,Src_SYSHECF_nuclear!$C$5:$C$292,0))*$E159),Keys!$C$5),Keys!$C$4)</f>
        <v>1.0072000000000001</v>
      </c>
      <c r="G159">
        <f>IF($D159=1,ROUND(Keys!$C$2/(INDEX(Src_SYSHECF_nuclear!$E$5:$E$292,MATCH($C159,Src_SYSHECF_nuclear!$C$5:$C$292,0))*$E159),Keys!$C$5),Keys!$C$4)</f>
        <v>1.0072000000000001</v>
      </c>
      <c r="H159">
        <f>IF($D159=1,ROUND(Keys!$C$2/(INDEX(Src_SYSHECF_nuclear!$F$5:$F$292,MATCH($C159,Src_SYSHECF_nuclear!$C$5:$C$292,0))*$E159),Keys!$C$5),Keys!$C$4)</f>
        <v>1.0072000000000001</v>
      </c>
      <c r="I159">
        <f>IF($D159=1,ROUND(Keys!$C$2/(INDEX(Src_SYSHECF_nuclear!$G$5:$G$292,MATCH($C159,Src_SYSHECF_nuclear!$C$5:$C$292,0))*$E159),Keys!$C$5),Keys!$C$4)</f>
        <v>1.0072000000000001</v>
      </c>
      <c r="J159">
        <f>IF($D159=1,ROUND(Keys!$C$2/(INDEX(Src_SYSHECF_nuclear!$H$5:$H$292,MATCH($C159,Src_SYSHECF_nuclear!$C$5:$C$292,0))*$E159),Keys!$C$5),Keys!$C$4)</f>
        <v>1.0072000000000001</v>
      </c>
      <c r="K159">
        <f>IF($D159=1,ROUND(Keys!$C$2/(INDEX(Src_SYSHECF_nuclear!$I$5:$I$292,MATCH($C159,Src_SYSHECF_nuclear!$C$5:$C$292,0))*$E159),Keys!$C$5),Keys!$C$4)</f>
        <v>1.0072000000000001</v>
      </c>
      <c r="L159">
        <f>IF($D159=1,ROUND(Keys!$C$2/(INDEX(Src_SYSHECF_nuclear!$J$5:$J$292,MATCH($C159,Src_SYSHECF_nuclear!$C$5:$C$292,0))*$E159),Keys!$C$5),Keys!$C$4)</f>
        <v>1.0072000000000001</v>
      </c>
      <c r="M159">
        <f>IF($D159=1,ROUND(Keys!$C$2/(INDEX(Src_SYSHECF_nuclear!$K$5:$K$292,MATCH($C159,Src_SYSHECF_nuclear!$C$5:$C$292,0))*$E159),Keys!$C$5),Keys!$C$4)</f>
        <v>1.0072000000000001</v>
      </c>
      <c r="N159">
        <f>IF($D159=1,ROUND(Keys!$C$2/(INDEX(Src_SYSHECF_nuclear!$L$5:$L$292,MATCH($C159,Src_SYSHECF_nuclear!$C$5:$C$292,0))*$E159),Keys!$C$5),Keys!$C$4)</f>
        <v>1.0072000000000001</v>
      </c>
      <c r="O159">
        <f>IF($D159=1,ROUND(Keys!$C$2/(INDEX(Src_SYSHECF_nuclear!$M$5:$M$292,MATCH($C159,Src_SYSHECF_nuclear!$C$5:$C$292,0))*$E159),Keys!$C$5),Keys!$C$4)</f>
        <v>1.0072000000000001</v>
      </c>
      <c r="P159">
        <f>IF($D159=1,ROUND(Keys!$C$2/(INDEX(Src_SYSHECF_nuclear!$N$5:$N$292,MATCH($C159,Src_SYSHECF_nuclear!$C$5:$C$292,0))*$E159),Keys!$C$5),Keys!$C$4)</f>
        <v>1.0072000000000001</v>
      </c>
      <c r="Q159">
        <f>IF($D159=1,ROUND(Keys!$C$2/(INDEX(Src_SYSHECF_nuclear!$O$5:$O$292,MATCH($C159,Src_SYSHECF_nuclear!$C$5:$C$292,0))*$E159),Keys!$C$5),Keys!$C$4)</f>
        <v>1.0072000000000001</v>
      </c>
      <c r="R159">
        <f>IF($D159=1,ROUND(Keys!$C$2/(INDEX(Src_SYSHECF_nuclear!$P$5:$P$292,MATCH($C159,Src_SYSHECF_nuclear!$C$5:$C$292,0))*$E159),Keys!$C$5),Keys!$C$4)</f>
        <v>1.0072000000000001</v>
      </c>
      <c r="S159">
        <f>IF($D159=1,ROUND(Keys!$C$2/(INDEX(Src_SYSHECF_nuclear!$Q$5:$Q$292,MATCH($C159,Src_SYSHECF_nuclear!$C$5:$C$292,0))*$E159),Keys!$C$5),Keys!$C$4)</f>
        <v>1.0072000000000001</v>
      </c>
      <c r="T159">
        <f>IF($D159=1,ROUND(Keys!$C$2/(INDEX(Src_SYSHECF_nuclear!$R$5:$R$292,MATCH($C159,Src_SYSHECF_nuclear!$C$5:$C$292,0))*$E159),Keys!$C$5),Keys!$C$4)</f>
        <v>1.0072000000000001</v>
      </c>
      <c r="U159">
        <f>IF($D159=1,ROUND(Keys!$C$2/(INDEX(Src_SYSHECF_nuclear!$S$5:$S$292,MATCH($C159,Src_SYSHECF_nuclear!$C$5:$C$292,0))*$E159),Keys!$C$5),Keys!$C$4)</f>
        <v>1.0072000000000001</v>
      </c>
      <c r="V159">
        <f>IF($D159=1,ROUND(Keys!$C$2/(INDEX(Src_SYSHECF_nuclear!$T$5:$T$292,MATCH($C159,Src_SYSHECF_nuclear!$C$5:$C$292,0))*$E159),Keys!$C$5),Keys!$C$4)</f>
        <v>1.0072000000000001</v>
      </c>
      <c r="W159">
        <f>IF($D159=1,ROUND(Keys!$C$2/(INDEX(Src_SYSHECF_nuclear!$U$5:$U$292,MATCH($C159,Src_SYSHECF_nuclear!$C$5:$C$292,0))*$E159),Keys!$C$5),Keys!$C$4)</f>
        <v>1.0072000000000001</v>
      </c>
      <c r="X159">
        <f>IF($D159=1,ROUND(Keys!$C$2/(INDEX(Src_SYSHECF_nuclear!$V$5:$V$292,MATCH($C159,Src_SYSHECF_nuclear!$C$5:$C$292,0))*$E159),Keys!$C$5),Keys!$C$4)</f>
        <v>1.0072000000000001</v>
      </c>
      <c r="Y159">
        <f>IF($D159=1,ROUND(Keys!$C$2/(INDEX(Src_SYSHECF_nuclear!$W$5:$W$292,MATCH($C159,Src_SYSHECF_nuclear!$C$5:$C$292,0))*$E159),Keys!$C$5),Keys!$C$4)</f>
        <v>1.0072000000000001</v>
      </c>
      <c r="Z159">
        <f>IF($D159=1,ROUND(Keys!$C$2/(INDEX(Src_SYSHECF_nuclear!$X$5:$X$292,MATCH($C159,Src_SYSHECF_nuclear!$C$5:$C$292,0))*$E159),Keys!$C$5),Keys!$C$4)</f>
        <v>1.0072000000000001</v>
      </c>
      <c r="AA159">
        <f>IF($D159=1,ROUND(Keys!$C$2/(INDEX(Src_SYSHECF_nuclear!$Y$5:$Y$292,MATCH($C159,Src_SYSHECF_nuclear!$C$5:$C$292,0))*$E159),Keys!$C$5),Keys!$C$4)</f>
        <v>1.0072000000000001</v>
      </c>
      <c r="AB159">
        <f>IF($D159=1,ROUND(Keys!$C$2/(INDEX(Src_SYSHECF_nuclear!$Z$5:$Z$292,MATCH($C159,Src_SYSHECF_nuclear!$C$5:$C$292,0))*$E159),Keys!$C$5),Keys!$C$4)</f>
        <v>1.0072000000000001</v>
      </c>
      <c r="AC159">
        <f>IF($D159=1,ROUND(Keys!$C$2/(INDEX(Src_SYSHECF_nuclear!$AA$5:$AA$292,MATCH($C159,Src_SYSHECF_nuclear!$C$5:$C$292,0))*$E159),Keys!$C$5),Keys!$C$4)</f>
        <v>1.0072000000000001</v>
      </c>
      <c r="AE159">
        <f>IF($D159=1,IF(ABS(INDEX(Src_SYSHECF_nuclear!$D$5:$D$292,MATCH($C159,Src_SYSHECF_nuclear!$C$5:$C$292,0))*$E159*F159-Keys!$C$2)&gt;Keys!$C$6,1,0),0)</f>
        <v>0</v>
      </c>
    </row>
    <row r="160" spans="1:31" x14ac:dyDescent="0.45">
      <c r="A160" t="s">
        <v>50</v>
      </c>
      <c r="B160" t="s">
        <v>426</v>
      </c>
      <c r="C160" t="str">
        <f t="shared" si="2"/>
        <v>MD|Summer</v>
      </c>
      <c r="D160">
        <f>INDEX(Src_BHRaSYC_nuclear!$HF$5:$HF$52,MATCH($A160,Src_BHRaSYC_nuclear!$A$5:$A$52,0))</f>
        <v>1</v>
      </c>
      <c r="E160">
        <f>INDEX(Src_HYECFCA_nuclear!$B$5:$B$52,MATCH($A160,Src_HYECFCA_nuclear!$A$5:$A$52,0))</f>
        <v>1.0024500000000001</v>
      </c>
      <c r="F160">
        <f>IF($D160=1,ROUND(Keys!$C$2/(INDEX(Src_SYSHECF_nuclear!$D$5:$D$292,MATCH($C160,Src_SYSHECF_nuclear!$C$5:$C$292,0))*$E160),Keys!$C$5),Keys!$C$4)</f>
        <v>1.0072000000000001</v>
      </c>
      <c r="G160">
        <f>IF($D160=1,ROUND(Keys!$C$2/(INDEX(Src_SYSHECF_nuclear!$E$5:$E$292,MATCH($C160,Src_SYSHECF_nuclear!$C$5:$C$292,0))*$E160),Keys!$C$5),Keys!$C$4)</f>
        <v>1.0072000000000001</v>
      </c>
      <c r="H160">
        <f>IF($D160=1,ROUND(Keys!$C$2/(INDEX(Src_SYSHECF_nuclear!$F$5:$F$292,MATCH($C160,Src_SYSHECF_nuclear!$C$5:$C$292,0))*$E160),Keys!$C$5),Keys!$C$4)</f>
        <v>1.0072000000000001</v>
      </c>
      <c r="I160">
        <f>IF($D160=1,ROUND(Keys!$C$2/(INDEX(Src_SYSHECF_nuclear!$G$5:$G$292,MATCH($C160,Src_SYSHECF_nuclear!$C$5:$C$292,0))*$E160),Keys!$C$5),Keys!$C$4)</f>
        <v>1.0072000000000001</v>
      </c>
      <c r="J160">
        <f>IF($D160=1,ROUND(Keys!$C$2/(INDEX(Src_SYSHECF_nuclear!$H$5:$H$292,MATCH($C160,Src_SYSHECF_nuclear!$C$5:$C$292,0))*$E160),Keys!$C$5),Keys!$C$4)</f>
        <v>1.0072000000000001</v>
      </c>
      <c r="K160">
        <f>IF($D160=1,ROUND(Keys!$C$2/(INDEX(Src_SYSHECF_nuclear!$I$5:$I$292,MATCH($C160,Src_SYSHECF_nuclear!$C$5:$C$292,0))*$E160),Keys!$C$5),Keys!$C$4)</f>
        <v>1.0072000000000001</v>
      </c>
      <c r="L160">
        <f>IF($D160=1,ROUND(Keys!$C$2/(INDEX(Src_SYSHECF_nuclear!$J$5:$J$292,MATCH($C160,Src_SYSHECF_nuclear!$C$5:$C$292,0))*$E160),Keys!$C$5),Keys!$C$4)</f>
        <v>1.0186999999999999</v>
      </c>
      <c r="M160">
        <f>IF($D160=1,ROUND(Keys!$C$2/(INDEX(Src_SYSHECF_nuclear!$K$5:$K$292,MATCH($C160,Src_SYSHECF_nuclear!$C$5:$C$292,0))*$E160),Keys!$C$5),Keys!$C$4)</f>
        <v>1.0162</v>
      </c>
      <c r="N160">
        <f>IF($D160=1,ROUND(Keys!$C$2/(INDEX(Src_SYSHECF_nuclear!$L$5:$L$292,MATCH($C160,Src_SYSHECF_nuclear!$C$5:$C$292,0))*$E160),Keys!$C$5),Keys!$C$4)</f>
        <v>1.0072000000000001</v>
      </c>
      <c r="O160">
        <f>IF($D160=1,ROUND(Keys!$C$2/(INDEX(Src_SYSHECF_nuclear!$M$5:$M$292,MATCH($C160,Src_SYSHECF_nuclear!$C$5:$C$292,0))*$E160),Keys!$C$5),Keys!$C$4)</f>
        <v>1.0072000000000001</v>
      </c>
      <c r="P160">
        <f>IF($D160=1,ROUND(Keys!$C$2/(INDEX(Src_SYSHECF_nuclear!$N$5:$N$292,MATCH($C160,Src_SYSHECF_nuclear!$C$5:$C$292,0))*$E160),Keys!$C$5),Keys!$C$4)</f>
        <v>1.0072000000000001</v>
      </c>
      <c r="Q160">
        <f>IF($D160=1,ROUND(Keys!$C$2/(INDEX(Src_SYSHECF_nuclear!$O$5:$O$292,MATCH($C160,Src_SYSHECF_nuclear!$C$5:$C$292,0))*$E160),Keys!$C$5),Keys!$C$4)</f>
        <v>1.0072000000000001</v>
      </c>
      <c r="R160">
        <f>IF($D160=1,ROUND(Keys!$C$2/(INDEX(Src_SYSHECF_nuclear!$P$5:$P$292,MATCH($C160,Src_SYSHECF_nuclear!$C$5:$C$292,0))*$E160),Keys!$C$5),Keys!$C$4)</f>
        <v>1.0072000000000001</v>
      </c>
      <c r="S160">
        <f>IF($D160=1,ROUND(Keys!$C$2/(INDEX(Src_SYSHECF_nuclear!$Q$5:$Q$292,MATCH($C160,Src_SYSHECF_nuclear!$C$5:$C$292,0))*$E160),Keys!$C$5),Keys!$C$4)</f>
        <v>1.0072000000000001</v>
      </c>
      <c r="T160">
        <f>IF($D160=1,ROUND(Keys!$C$2/(INDEX(Src_SYSHECF_nuclear!$R$5:$R$292,MATCH($C160,Src_SYSHECF_nuclear!$C$5:$C$292,0))*$E160),Keys!$C$5),Keys!$C$4)</f>
        <v>1.0072000000000001</v>
      </c>
      <c r="U160">
        <f>IF($D160=1,ROUND(Keys!$C$2/(INDEX(Src_SYSHECF_nuclear!$S$5:$S$292,MATCH($C160,Src_SYSHECF_nuclear!$C$5:$C$292,0))*$E160),Keys!$C$5),Keys!$C$4)</f>
        <v>1.0072000000000001</v>
      </c>
      <c r="V160">
        <f>IF($D160=1,ROUND(Keys!$C$2/(INDEX(Src_SYSHECF_nuclear!$T$5:$T$292,MATCH($C160,Src_SYSHECF_nuclear!$C$5:$C$292,0))*$E160),Keys!$C$5),Keys!$C$4)</f>
        <v>1.0072000000000001</v>
      </c>
      <c r="W160">
        <f>IF($D160=1,ROUND(Keys!$C$2/(INDEX(Src_SYSHECF_nuclear!$U$5:$U$292,MATCH($C160,Src_SYSHECF_nuclear!$C$5:$C$292,0))*$E160),Keys!$C$5),Keys!$C$4)</f>
        <v>1.0072000000000001</v>
      </c>
      <c r="X160">
        <f>IF($D160=1,ROUND(Keys!$C$2/(INDEX(Src_SYSHECF_nuclear!$V$5:$V$292,MATCH($C160,Src_SYSHECF_nuclear!$C$5:$C$292,0))*$E160),Keys!$C$5),Keys!$C$4)</f>
        <v>1.0072000000000001</v>
      </c>
      <c r="Y160">
        <f>IF($D160=1,ROUND(Keys!$C$2/(INDEX(Src_SYSHECF_nuclear!$W$5:$W$292,MATCH($C160,Src_SYSHECF_nuclear!$C$5:$C$292,0))*$E160),Keys!$C$5),Keys!$C$4)</f>
        <v>1.0072000000000001</v>
      </c>
      <c r="Z160">
        <f>IF($D160=1,ROUND(Keys!$C$2/(INDEX(Src_SYSHECF_nuclear!$X$5:$X$292,MATCH($C160,Src_SYSHECF_nuclear!$C$5:$C$292,0))*$E160),Keys!$C$5),Keys!$C$4)</f>
        <v>1.0072000000000001</v>
      </c>
      <c r="AA160">
        <f>IF($D160=1,ROUND(Keys!$C$2/(INDEX(Src_SYSHECF_nuclear!$Y$5:$Y$292,MATCH($C160,Src_SYSHECF_nuclear!$C$5:$C$292,0))*$E160),Keys!$C$5),Keys!$C$4)</f>
        <v>1.0072000000000001</v>
      </c>
      <c r="AB160">
        <f>IF($D160=1,ROUND(Keys!$C$2/(INDEX(Src_SYSHECF_nuclear!$Z$5:$Z$292,MATCH($C160,Src_SYSHECF_nuclear!$C$5:$C$292,0))*$E160),Keys!$C$5),Keys!$C$4)</f>
        <v>1.0072000000000001</v>
      </c>
      <c r="AC160">
        <f>IF($D160=1,ROUND(Keys!$C$2/(INDEX(Src_SYSHECF_nuclear!$AA$5:$AA$292,MATCH($C160,Src_SYSHECF_nuclear!$C$5:$C$292,0))*$E160),Keys!$C$5),Keys!$C$4)</f>
        <v>1.0072000000000001</v>
      </c>
      <c r="AE160">
        <f>IF($D160=1,IF(ABS(INDEX(Src_SYSHECF_nuclear!$D$5:$D$292,MATCH($C160,Src_SYSHECF_nuclear!$C$5:$C$292,0))*$E160*F160-Keys!$C$2)&gt;Keys!$C$6,1,0),0)</f>
        <v>0</v>
      </c>
    </row>
    <row r="161" spans="1:31" x14ac:dyDescent="0.45">
      <c r="A161" t="s">
        <v>50</v>
      </c>
      <c r="B161" t="s">
        <v>427</v>
      </c>
      <c r="C161" t="str">
        <f t="shared" si="2"/>
        <v>MD|Fall</v>
      </c>
      <c r="D161">
        <f>INDEX(Src_BHRaSYC_nuclear!$HF$5:$HF$52,MATCH($A161,Src_BHRaSYC_nuclear!$A$5:$A$52,0))</f>
        <v>1</v>
      </c>
      <c r="E161">
        <f>INDEX(Src_HYECFCA_nuclear!$B$5:$B$52,MATCH($A161,Src_HYECFCA_nuclear!$A$5:$A$52,0))</f>
        <v>1.0024500000000001</v>
      </c>
      <c r="F161">
        <f>IF($D161=1,ROUND(Keys!$C$2/(INDEX(Src_SYSHECF_nuclear!$D$5:$D$292,MATCH($C161,Src_SYSHECF_nuclear!$C$5:$C$292,0))*$E161),Keys!$C$5),Keys!$C$4)</f>
        <v>1.0072000000000001</v>
      </c>
      <c r="G161">
        <f>IF($D161=1,ROUND(Keys!$C$2/(INDEX(Src_SYSHECF_nuclear!$E$5:$E$292,MATCH($C161,Src_SYSHECF_nuclear!$C$5:$C$292,0))*$E161),Keys!$C$5),Keys!$C$4)</f>
        <v>1.0072000000000001</v>
      </c>
      <c r="H161">
        <f>IF($D161=1,ROUND(Keys!$C$2/(INDEX(Src_SYSHECF_nuclear!$F$5:$F$292,MATCH($C161,Src_SYSHECF_nuclear!$C$5:$C$292,0))*$E161),Keys!$C$5),Keys!$C$4)</f>
        <v>1.0072000000000001</v>
      </c>
      <c r="I161">
        <f>IF($D161=1,ROUND(Keys!$C$2/(INDEX(Src_SYSHECF_nuclear!$G$5:$G$292,MATCH($C161,Src_SYSHECF_nuclear!$C$5:$C$292,0))*$E161),Keys!$C$5),Keys!$C$4)</f>
        <v>1.0072000000000001</v>
      </c>
      <c r="J161">
        <f>IF($D161=1,ROUND(Keys!$C$2/(INDEX(Src_SYSHECF_nuclear!$H$5:$H$292,MATCH($C161,Src_SYSHECF_nuclear!$C$5:$C$292,0))*$E161),Keys!$C$5),Keys!$C$4)</f>
        <v>1.0072000000000001</v>
      </c>
      <c r="K161">
        <f>IF($D161=1,ROUND(Keys!$C$2/(INDEX(Src_SYSHECF_nuclear!$I$5:$I$292,MATCH($C161,Src_SYSHECF_nuclear!$C$5:$C$292,0))*$E161),Keys!$C$5),Keys!$C$4)</f>
        <v>1.0072000000000001</v>
      </c>
      <c r="L161">
        <f>IF($D161=1,ROUND(Keys!$C$2/(INDEX(Src_SYSHECF_nuclear!$J$5:$J$292,MATCH($C161,Src_SYSHECF_nuclear!$C$5:$C$292,0))*$E161),Keys!$C$5),Keys!$C$4)</f>
        <v>1.0072000000000001</v>
      </c>
      <c r="M161">
        <f>IF($D161=1,ROUND(Keys!$C$2/(INDEX(Src_SYSHECF_nuclear!$K$5:$K$292,MATCH($C161,Src_SYSHECF_nuclear!$C$5:$C$292,0))*$E161),Keys!$C$5),Keys!$C$4)</f>
        <v>1.0072000000000001</v>
      </c>
      <c r="N161">
        <f>IF($D161=1,ROUND(Keys!$C$2/(INDEX(Src_SYSHECF_nuclear!$L$5:$L$292,MATCH($C161,Src_SYSHECF_nuclear!$C$5:$C$292,0))*$E161),Keys!$C$5),Keys!$C$4)</f>
        <v>1.0072000000000001</v>
      </c>
      <c r="O161">
        <f>IF($D161=1,ROUND(Keys!$C$2/(INDEX(Src_SYSHECF_nuclear!$M$5:$M$292,MATCH($C161,Src_SYSHECF_nuclear!$C$5:$C$292,0))*$E161),Keys!$C$5),Keys!$C$4)</f>
        <v>1.0072000000000001</v>
      </c>
      <c r="P161">
        <f>IF($D161=1,ROUND(Keys!$C$2/(INDEX(Src_SYSHECF_nuclear!$N$5:$N$292,MATCH($C161,Src_SYSHECF_nuclear!$C$5:$C$292,0))*$E161),Keys!$C$5),Keys!$C$4)</f>
        <v>1.0072000000000001</v>
      </c>
      <c r="Q161">
        <f>IF($D161=1,ROUND(Keys!$C$2/(INDEX(Src_SYSHECF_nuclear!$O$5:$O$292,MATCH($C161,Src_SYSHECF_nuclear!$C$5:$C$292,0))*$E161),Keys!$C$5),Keys!$C$4)</f>
        <v>1.0072000000000001</v>
      </c>
      <c r="R161">
        <f>IF($D161=1,ROUND(Keys!$C$2/(INDEX(Src_SYSHECF_nuclear!$P$5:$P$292,MATCH($C161,Src_SYSHECF_nuclear!$C$5:$C$292,0))*$E161),Keys!$C$5),Keys!$C$4)</f>
        <v>1.0072000000000001</v>
      </c>
      <c r="S161">
        <f>IF($D161=1,ROUND(Keys!$C$2/(INDEX(Src_SYSHECF_nuclear!$Q$5:$Q$292,MATCH($C161,Src_SYSHECF_nuclear!$C$5:$C$292,0))*$E161),Keys!$C$5),Keys!$C$4)</f>
        <v>1.0072000000000001</v>
      </c>
      <c r="T161">
        <f>IF($D161=1,ROUND(Keys!$C$2/(INDEX(Src_SYSHECF_nuclear!$R$5:$R$292,MATCH($C161,Src_SYSHECF_nuclear!$C$5:$C$292,0))*$E161),Keys!$C$5),Keys!$C$4)</f>
        <v>1.0072000000000001</v>
      </c>
      <c r="U161">
        <f>IF($D161=1,ROUND(Keys!$C$2/(INDEX(Src_SYSHECF_nuclear!$S$5:$S$292,MATCH($C161,Src_SYSHECF_nuclear!$C$5:$C$292,0))*$E161),Keys!$C$5),Keys!$C$4)</f>
        <v>1.0072000000000001</v>
      </c>
      <c r="V161">
        <f>IF($D161=1,ROUND(Keys!$C$2/(INDEX(Src_SYSHECF_nuclear!$T$5:$T$292,MATCH($C161,Src_SYSHECF_nuclear!$C$5:$C$292,0))*$E161),Keys!$C$5),Keys!$C$4)</f>
        <v>1.0072000000000001</v>
      </c>
      <c r="W161">
        <f>IF($D161=1,ROUND(Keys!$C$2/(INDEX(Src_SYSHECF_nuclear!$U$5:$U$292,MATCH($C161,Src_SYSHECF_nuclear!$C$5:$C$292,0))*$E161),Keys!$C$5),Keys!$C$4)</f>
        <v>1.0072000000000001</v>
      </c>
      <c r="X161">
        <f>IF($D161=1,ROUND(Keys!$C$2/(INDEX(Src_SYSHECF_nuclear!$V$5:$V$292,MATCH($C161,Src_SYSHECF_nuclear!$C$5:$C$292,0))*$E161),Keys!$C$5),Keys!$C$4)</f>
        <v>1.0072000000000001</v>
      </c>
      <c r="Y161">
        <f>IF($D161=1,ROUND(Keys!$C$2/(INDEX(Src_SYSHECF_nuclear!$W$5:$W$292,MATCH($C161,Src_SYSHECF_nuclear!$C$5:$C$292,0))*$E161),Keys!$C$5),Keys!$C$4)</f>
        <v>1.0072000000000001</v>
      </c>
      <c r="Z161">
        <f>IF($D161=1,ROUND(Keys!$C$2/(INDEX(Src_SYSHECF_nuclear!$X$5:$X$292,MATCH($C161,Src_SYSHECF_nuclear!$C$5:$C$292,0))*$E161),Keys!$C$5),Keys!$C$4)</f>
        <v>1.0072000000000001</v>
      </c>
      <c r="AA161">
        <f>IF($D161=1,ROUND(Keys!$C$2/(INDEX(Src_SYSHECF_nuclear!$Y$5:$Y$292,MATCH($C161,Src_SYSHECF_nuclear!$C$5:$C$292,0))*$E161),Keys!$C$5),Keys!$C$4)</f>
        <v>1.0072000000000001</v>
      </c>
      <c r="AB161">
        <f>IF($D161=1,ROUND(Keys!$C$2/(INDEX(Src_SYSHECF_nuclear!$Z$5:$Z$292,MATCH($C161,Src_SYSHECF_nuclear!$C$5:$C$292,0))*$E161),Keys!$C$5),Keys!$C$4)</f>
        <v>1.0072000000000001</v>
      </c>
      <c r="AC161">
        <f>IF($D161=1,ROUND(Keys!$C$2/(INDEX(Src_SYSHECF_nuclear!$AA$5:$AA$292,MATCH($C161,Src_SYSHECF_nuclear!$C$5:$C$292,0))*$E161),Keys!$C$5),Keys!$C$4)</f>
        <v>1.0072000000000001</v>
      </c>
      <c r="AE161">
        <f>IF($D161=1,IF(ABS(INDEX(Src_SYSHECF_nuclear!$D$5:$D$292,MATCH($C161,Src_SYSHECF_nuclear!$C$5:$C$292,0))*$E161*F161-Keys!$C$2)&gt;Keys!$C$6,1,0),0)</f>
        <v>0</v>
      </c>
    </row>
    <row r="162" spans="1:31" x14ac:dyDescent="0.45">
      <c r="A162" t="s">
        <v>50</v>
      </c>
      <c r="B162" t="s">
        <v>428</v>
      </c>
      <c r="C162" t="str">
        <f t="shared" si="2"/>
        <v>MD|Summer Peak</v>
      </c>
      <c r="D162">
        <f>INDEX(Src_BHRaSYC_nuclear!$HF$5:$HF$52,MATCH($A162,Src_BHRaSYC_nuclear!$A$5:$A$52,0))</f>
        <v>1</v>
      </c>
      <c r="E162">
        <f>INDEX(Src_HYECFCA_nuclear!$B$5:$B$52,MATCH($A162,Src_HYECFCA_nuclear!$A$5:$A$52,0))</f>
        <v>1.0024500000000001</v>
      </c>
      <c r="F162">
        <f>IF($D162=1,ROUND(Keys!$C$2/(INDEX(Src_SYSHECF_nuclear!$D$5:$D$292,MATCH($C162,Src_SYSHECF_nuclear!$C$5:$C$292,0))*$E162),Keys!$C$5),Keys!$C$4)</f>
        <v>1.0072000000000001</v>
      </c>
      <c r="G162">
        <f>IF($D162=1,ROUND(Keys!$C$2/(INDEX(Src_SYSHECF_nuclear!$E$5:$E$292,MATCH($C162,Src_SYSHECF_nuclear!$C$5:$C$292,0))*$E162),Keys!$C$5),Keys!$C$4)</f>
        <v>1.0072000000000001</v>
      </c>
      <c r="H162">
        <f>IF($D162=1,ROUND(Keys!$C$2/(INDEX(Src_SYSHECF_nuclear!$F$5:$F$292,MATCH($C162,Src_SYSHECF_nuclear!$C$5:$C$292,0))*$E162),Keys!$C$5),Keys!$C$4)</f>
        <v>1.0072000000000001</v>
      </c>
      <c r="I162">
        <f>IF($D162=1,ROUND(Keys!$C$2/(INDEX(Src_SYSHECF_nuclear!$G$5:$G$292,MATCH($C162,Src_SYSHECF_nuclear!$C$5:$C$292,0))*$E162),Keys!$C$5),Keys!$C$4)</f>
        <v>1.0072000000000001</v>
      </c>
      <c r="J162">
        <f>IF($D162=1,ROUND(Keys!$C$2/(INDEX(Src_SYSHECF_nuclear!$H$5:$H$292,MATCH($C162,Src_SYSHECF_nuclear!$C$5:$C$292,0))*$E162),Keys!$C$5),Keys!$C$4)</f>
        <v>1.0072000000000001</v>
      </c>
      <c r="K162">
        <f>IF($D162=1,ROUND(Keys!$C$2/(INDEX(Src_SYSHECF_nuclear!$I$5:$I$292,MATCH($C162,Src_SYSHECF_nuclear!$C$5:$C$292,0))*$E162),Keys!$C$5),Keys!$C$4)</f>
        <v>1.0072000000000001</v>
      </c>
      <c r="L162">
        <f>IF($D162=1,ROUND(Keys!$C$2/(INDEX(Src_SYSHECF_nuclear!$J$5:$J$292,MATCH($C162,Src_SYSHECF_nuclear!$C$5:$C$292,0))*$E162),Keys!$C$5),Keys!$C$4)</f>
        <v>1.0072000000000001</v>
      </c>
      <c r="M162">
        <f>IF($D162=1,ROUND(Keys!$C$2/(INDEX(Src_SYSHECF_nuclear!$K$5:$K$292,MATCH($C162,Src_SYSHECF_nuclear!$C$5:$C$292,0))*$E162),Keys!$C$5),Keys!$C$4)</f>
        <v>1.0072000000000001</v>
      </c>
      <c r="N162">
        <f>IF($D162=1,ROUND(Keys!$C$2/(INDEX(Src_SYSHECF_nuclear!$L$5:$L$292,MATCH($C162,Src_SYSHECF_nuclear!$C$5:$C$292,0))*$E162),Keys!$C$5),Keys!$C$4)</f>
        <v>1.0072000000000001</v>
      </c>
      <c r="O162">
        <f>IF($D162=1,ROUND(Keys!$C$2/(INDEX(Src_SYSHECF_nuclear!$M$5:$M$292,MATCH($C162,Src_SYSHECF_nuclear!$C$5:$C$292,0))*$E162),Keys!$C$5),Keys!$C$4)</f>
        <v>1.0072000000000001</v>
      </c>
      <c r="P162">
        <f>IF($D162=1,ROUND(Keys!$C$2/(INDEX(Src_SYSHECF_nuclear!$N$5:$N$292,MATCH($C162,Src_SYSHECF_nuclear!$C$5:$C$292,0))*$E162),Keys!$C$5),Keys!$C$4)</f>
        <v>1.0072000000000001</v>
      </c>
      <c r="Q162">
        <f>IF($D162=1,ROUND(Keys!$C$2/(INDEX(Src_SYSHECF_nuclear!$O$5:$O$292,MATCH($C162,Src_SYSHECF_nuclear!$C$5:$C$292,0))*$E162),Keys!$C$5),Keys!$C$4)</f>
        <v>1.0072000000000001</v>
      </c>
      <c r="R162">
        <f>IF($D162=1,ROUND(Keys!$C$2/(INDEX(Src_SYSHECF_nuclear!$P$5:$P$292,MATCH($C162,Src_SYSHECF_nuclear!$C$5:$C$292,0))*$E162),Keys!$C$5),Keys!$C$4)</f>
        <v>1.0072000000000001</v>
      </c>
      <c r="S162">
        <f>IF($D162=1,ROUND(Keys!$C$2/(INDEX(Src_SYSHECF_nuclear!$Q$5:$Q$292,MATCH($C162,Src_SYSHECF_nuclear!$C$5:$C$292,0))*$E162),Keys!$C$5),Keys!$C$4)</f>
        <v>1.0072000000000001</v>
      </c>
      <c r="T162">
        <f>IF($D162=1,ROUND(Keys!$C$2/(INDEX(Src_SYSHECF_nuclear!$R$5:$R$292,MATCH($C162,Src_SYSHECF_nuclear!$C$5:$C$292,0))*$E162),Keys!$C$5),Keys!$C$4)</f>
        <v>1.0072000000000001</v>
      </c>
      <c r="U162">
        <f>IF($D162=1,ROUND(Keys!$C$2/(INDEX(Src_SYSHECF_nuclear!$S$5:$S$292,MATCH($C162,Src_SYSHECF_nuclear!$C$5:$C$292,0))*$E162),Keys!$C$5),Keys!$C$4)</f>
        <v>1.0072000000000001</v>
      </c>
      <c r="V162">
        <f>IF($D162=1,ROUND(Keys!$C$2/(INDEX(Src_SYSHECF_nuclear!$T$5:$T$292,MATCH($C162,Src_SYSHECF_nuclear!$C$5:$C$292,0))*$E162),Keys!$C$5),Keys!$C$4)</f>
        <v>1.0072000000000001</v>
      </c>
      <c r="W162">
        <f>IF($D162=1,ROUND(Keys!$C$2/(INDEX(Src_SYSHECF_nuclear!$U$5:$U$292,MATCH($C162,Src_SYSHECF_nuclear!$C$5:$C$292,0))*$E162),Keys!$C$5),Keys!$C$4)</f>
        <v>1.0072000000000001</v>
      </c>
      <c r="X162">
        <f>IF($D162=1,ROUND(Keys!$C$2/(INDEX(Src_SYSHECF_nuclear!$V$5:$V$292,MATCH($C162,Src_SYSHECF_nuclear!$C$5:$C$292,0))*$E162),Keys!$C$5),Keys!$C$4)</f>
        <v>1.0072000000000001</v>
      </c>
      <c r="Y162">
        <f>IF($D162=1,ROUND(Keys!$C$2/(INDEX(Src_SYSHECF_nuclear!$W$5:$W$292,MATCH($C162,Src_SYSHECF_nuclear!$C$5:$C$292,0))*$E162),Keys!$C$5),Keys!$C$4)</f>
        <v>1.0072000000000001</v>
      </c>
      <c r="Z162">
        <f>IF($D162=1,ROUND(Keys!$C$2/(INDEX(Src_SYSHECF_nuclear!$X$5:$X$292,MATCH($C162,Src_SYSHECF_nuclear!$C$5:$C$292,0))*$E162),Keys!$C$5),Keys!$C$4)</f>
        <v>1.0072000000000001</v>
      </c>
      <c r="AA162">
        <f>IF($D162=1,ROUND(Keys!$C$2/(INDEX(Src_SYSHECF_nuclear!$Y$5:$Y$292,MATCH($C162,Src_SYSHECF_nuclear!$C$5:$C$292,0))*$E162),Keys!$C$5),Keys!$C$4)</f>
        <v>1.0072000000000001</v>
      </c>
      <c r="AB162">
        <f>IF($D162=1,ROUND(Keys!$C$2/(INDEX(Src_SYSHECF_nuclear!$Z$5:$Z$292,MATCH($C162,Src_SYSHECF_nuclear!$C$5:$C$292,0))*$E162),Keys!$C$5),Keys!$C$4)</f>
        <v>1.0072000000000001</v>
      </c>
      <c r="AC162">
        <f>IF($D162=1,ROUND(Keys!$C$2/(INDEX(Src_SYSHECF_nuclear!$AA$5:$AA$292,MATCH($C162,Src_SYSHECF_nuclear!$C$5:$C$292,0))*$E162),Keys!$C$5),Keys!$C$4)</f>
        <v>1.0072000000000001</v>
      </c>
      <c r="AE162">
        <f>IF($D162=1,IF(ABS(INDEX(Src_SYSHECF_nuclear!$D$5:$D$292,MATCH($C162,Src_SYSHECF_nuclear!$C$5:$C$292,0))*$E162*F162-Keys!$C$2)&gt;Keys!$C$6,1,0),0)</f>
        <v>0</v>
      </c>
    </row>
    <row r="163" spans="1:31" x14ac:dyDescent="0.45">
      <c r="A163" t="s">
        <v>50</v>
      </c>
      <c r="B163" t="s">
        <v>429</v>
      </c>
      <c r="C163" t="str">
        <f t="shared" si="2"/>
        <v>MD|Winter Peak</v>
      </c>
      <c r="D163">
        <f>INDEX(Src_BHRaSYC_nuclear!$HF$5:$HF$52,MATCH($A163,Src_BHRaSYC_nuclear!$A$5:$A$52,0))</f>
        <v>1</v>
      </c>
      <c r="E163">
        <f>INDEX(Src_HYECFCA_nuclear!$B$5:$B$52,MATCH($A163,Src_HYECFCA_nuclear!$A$5:$A$52,0))</f>
        <v>1.0024500000000001</v>
      </c>
      <c r="F163">
        <f>IF($D163=1,ROUND(Keys!$C$2/(INDEX(Src_SYSHECF_nuclear!$D$5:$D$292,MATCH($C163,Src_SYSHECF_nuclear!$C$5:$C$292,0))*$E163),Keys!$C$5),Keys!$C$4)</f>
        <v>1.0072000000000001</v>
      </c>
      <c r="G163">
        <f>IF($D163=1,ROUND(Keys!$C$2/(INDEX(Src_SYSHECF_nuclear!$E$5:$E$292,MATCH($C163,Src_SYSHECF_nuclear!$C$5:$C$292,0))*$E163),Keys!$C$5),Keys!$C$4)</f>
        <v>1.0072000000000001</v>
      </c>
      <c r="H163">
        <f>IF($D163=1,ROUND(Keys!$C$2/(INDEX(Src_SYSHECF_nuclear!$F$5:$F$292,MATCH($C163,Src_SYSHECF_nuclear!$C$5:$C$292,0))*$E163),Keys!$C$5),Keys!$C$4)</f>
        <v>1.0072000000000001</v>
      </c>
      <c r="I163">
        <f>IF($D163=1,ROUND(Keys!$C$2/(INDEX(Src_SYSHECF_nuclear!$G$5:$G$292,MATCH($C163,Src_SYSHECF_nuclear!$C$5:$C$292,0))*$E163),Keys!$C$5),Keys!$C$4)</f>
        <v>1.0072000000000001</v>
      </c>
      <c r="J163">
        <f>IF($D163=1,ROUND(Keys!$C$2/(INDEX(Src_SYSHECF_nuclear!$H$5:$H$292,MATCH($C163,Src_SYSHECF_nuclear!$C$5:$C$292,0))*$E163),Keys!$C$5),Keys!$C$4)</f>
        <v>1.0072000000000001</v>
      </c>
      <c r="K163">
        <f>IF($D163=1,ROUND(Keys!$C$2/(INDEX(Src_SYSHECF_nuclear!$I$5:$I$292,MATCH($C163,Src_SYSHECF_nuclear!$C$5:$C$292,0))*$E163),Keys!$C$5),Keys!$C$4)</f>
        <v>1.0072000000000001</v>
      </c>
      <c r="L163">
        <f>IF($D163=1,ROUND(Keys!$C$2/(INDEX(Src_SYSHECF_nuclear!$J$5:$J$292,MATCH($C163,Src_SYSHECF_nuclear!$C$5:$C$292,0))*$E163),Keys!$C$5),Keys!$C$4)</f>
        <v>1.0072000000000001</v>
      </c>
      <c r="M163">
        <f>IF($D163=1,ROUND(Keys!$C$2/(INDEX(Src_SYSHECF_nuclear!$K$5:$K$292,MATCH($C163,Src_SYSHECF_nuclear!$C$5:$C$292,0))*$E163),Keys!$C$5),Keys!$C$4)</f>
        <v>1.0072000000000001</v>
      </c>
      <c r="N163">
        <f>IF($D163=1,ROUND(Keys!$C$2/(INDEX(Src_SYSHECF_nuclear!$L$5:$L$292,MATCH($C163,Src_SYSHECF_nuclear!$C$5:$C$292,0))*$E163),Keys!$C$5),Keys!$C$4)</f>
        <v>1.0072000000000001</v>
      </c>
      <c r="O163">
        <f>IF($D163=1,ROUND(Keys!$C$2/(INDEX(Src_SYSHECF_nuclear!$M$5:$M$292,MATCH($C163,Src_SYSHECF_nuclear!$C$5:$C$292,0))*$E163),Keys!$C$5),Keys!$C$4)</f>
        <v>1.0072000000000001</v>
      </c>
      <c r="P163">
        <f>IF($D163=1,ROUND(Keys!$C$2/(INDEX(Src_SYSHECF_nuclear!$N$5:$N$292,MATCH($C163,Src_SYSHECF_nuclear!$C$5:$C$292,0))*$E163),Keys!$C$5),Keys!$C$4)</f>
        <v>1.0072000000000001</v>
      </c>
      <c r="Q163">
        <f>IF($D163=1,ROUND(Keys!$C$2/(INDEX(Src_SYSHECF_nuclear!$O$5:$O$292,MATCH($C163,Src_SYSHECF_nuclear!$C$5:$C$292,0))*$E163),Keys!$C$5),Keys!$C$4)</f>
        <v>1.0072000000000001</v>
      </c>
      <c r="R163">
        <f>IF($D163=1,ROUND(Keys!$C$2/(INDEX(Src_SYSHECF_nuclear!$P$5:$P$292,MATCH($C163,Src_SYSHECF_nuclear!$C$5:$C$292,0))*$E163),Keys!$C$5),Keys!$C$4)</f>
        <v>1.0072000000000001</v>
      </c>
      <c r="S163">
        <f>IF($D163=1,ROUND(Keys!$C$2/(INDEX(Src_SYSHECF_nuclear!$Q$5:$Q$292,MATCH($C163,Src_SYSHECF_nuclear!$C$5:$C$292,0))*$E163),Keys!$C$5),Keys!$C$4)</f>
        <v>1.0072000000000001</v>
      </c>
      <c r="T163">
        <f>IF($D163=1,ROUND(Keys!$C$2/(INDEX(Src_SYSHECF_nuclear!$R$5:$R$292,MATCH($C163,Src_SYSHECF_nuclear!$C$5:$C$292,0))*$E163),Keys!$C$5),Keys!$C$4)</f>
        <v>1.0072000000000001</v>
      </c>
      <c r="U163">
        <f>IF($D163=1,ROUND(Keys!$C$2/(INDEX(Src_SYSHECF_nuclear!$S$5:$S$292,MATCH($C163,Src_SYSHECF_nuclear!$C$5:$C$292,0))*$E163),Keys!$C$5),Keys!$C$4)</f>
        <v>1.0072000000000001</v>
      </c>
      <c r="V163">
        <f>IF($D163=1,ROUND(Keys!$C$2/(INDEX(Src_SYSHECF_nuclear!$T$5:$T$292,MATCH($C163,Src_SYSHECF_nuclear!$C$5:$C$292,0))*$E163),Keys!$C$5),Keys!$C$4)</f>
        <v>1.0072000000000001</v>
      </c>
      <c r="W163">
        <f>IF($D163=1,ROUND(Keys!$C$2/(INDEX(Src_SYSHECF_nuclear!$U$5:$U$292,MATCH($C163,Src_SYSHECF_nuclear!$C$5:$C$292,0))*$E163),Keys!$C$5),Keys!$C$4)</f>
        <v>1.0072000000000001</v>
      </c>
      <c r="X163">
        <f>IF($D163=1,ROUND(Keys!$C$2/(INDEX(Src_SYSHECF_nuclear!$V$5:$V$292,MATCH($C163,Src_SYSHECF_nuclear!$C$5:$C$292,0))*$E163),Keys!$C$5),Keys!$C$4)</f>
        <v>1.0072000000000001</v>
      </c>
      <c r="Y163">
        <f>IF($D163=1,ROUND(Keys!$C$2/(INDEX(Src_SYSHECF_nuclear!$W$5:$W$292,MATCH($C163,Src_SYSHECF_nuclear!$C$5:$C$292,0))*$E163),Keys!$C$5),Keys!$C$4)</f>
        <v>1.0072000000000001</v>
      </c>
      <c r="Z163">
        <f>IF($D163=1,ROUND(Keys!$C$2/(INDEX(Src_SYSHECF_nuclear!$X$5:$X$292,MATCH($C163,Src_SYSHECF_nuclear!$C$5:$C$292,0))*$E163),Keys!$C$5),Keys!$C$4)</f>
        <v>1.0072000000000001</v>
      </c>
      <c r="AA163">
        <f>IF($D163=1,ROUND(Keys!$C$2/(INDEX(Src_SYSHECF_nuclear!$Y$5:$Y$292,MATCH($C163,Src_SYSHECF_nuclear!$C$5:$C$292,0))*$E163),Keys!$C$5),Keys!$C$4)</f>
        <v>1.0072000000000001</v>
      </c>
      <c r="AB163">
        <f>IF($D163=1,ROUND(Keys!$C$2/(INDEX(Src_SYSHECF_nuclear!$Z$5:$Z$292,MATCH($C163,Src_SYSHECF_nuclear!$C$5:$C$292,0))*$E163),Keys!$C$5),Keys!$C$4)</f>
        <v>1.0072000000000001</v>
      </c>
      <c r="AC163">
        <f>IF($D163=1,ROUND(Keys!$C$2/(INDEX(Src_SYSHECF_nuclear!$AA$5:$AA$292,MATCH($C163,Src_SYSHECF_nuclear!$C$5:$C$292,0))*$E163),Keys!$C$5),Keys!$C$4)</f>
        <v>1.0072000000000001</v>
      </c>
      <c r="AE163">
        <f>IF($D163=1,IF(ABS(INDEX(Src_SYSHECF_nuclear!$D$5:$D$292,MATCH($C163,Src_SYSHECF_nuclear!$C$5:$C$292,0))*$E163*F163-Keys!$C$2)&gt;Keys!$C$6,1,0),0)</f>
        <v>0</v>
      </c>
    </row>
    <row r="164" spans="1:31" x14ac:dyDescent="0.45">
      <c r="A164" t="s">
        <v>53</v>
      </c>
      <c r="B164" t="s">
        <v>424</v>
      </c>
      <c r="C164" t="str">
        <f t="shared" si="2"/>
        <v>ME|Winter</v>
      </c>
      <c r="D164">
        <f>INDEX(Src_BHRaSYC_nuclear!$HF$5:$HF$52,MATCH($A164,Src_BHRaSYC_nuclear!$A$5:$A$52,0))</f>
        <v>0</v>
      </c>
      <c r="E164">
        <f>INDEX(Src_HYECFCA_nuclear!$B$5:$B$52,MATCH($A164,Src_HYECFCA_nuclear!$A$5:$A$52,0))</f>
        <v>1</v>
      </c>
      <c r="F164">
        <f>IF($D164=1,ROUND(Keys!$C$2/(INDEX(Src_SYSHECF_nuclear!$D$5:$D$292,MATCH($C164,Src_SYSHECF_nuclear!$C$5:$C$292,0))*$E164),Keys!$C$5),Keys!$C$4)</f>
        <v>0.9</v>
      </c>
      <c r="G164">
        <f>IF($D164=1,ROUND(Keys!$C$2/(INDEX(Src_SYSHECF_nuclear!$E$5:$E$292,MATCH($C164,Src_SYSHECF_nuclear!$C$5:$C$292,0))*$E164),Keys!$C$5),Keys!$C$4)</f>
        <v>0.9</v>
      </c>
      <c r="H164">
        <f>IF($D164=1,ROUND(Keys!$C$2/(INDEX(Src_SYSHECF_nuclear!$F$5:$F$292,MATCH($C164,Src_SYSHECF_nuclear!$C$5:$C$292,0))*$E164),Keys!$C$5),Keys!$C$4)</f>
        <v>0.9</v>
      </c>
      <c r="I164">
        <f>IF($D164=1,ROUND(Keys!$C$2/(INDEX(Src_SYSHECF_nuclear!$G$5:$G$292,MATCH($C164,Src_SYSHECF_nuclear!$C$5:$C$292,0))*$E164),Keys!$C$5),Keys!$C$4)</f>
        <v>0.9</v>
      </c>
      <c r="J164">
        <f>IF($D164=1,ROUND(Keys!$C$2/(INDEX(Src_SYSHECF_nuclear!$H$5:$H$292,MATCH($C164,Src_SYSHECF_nuclear!$C$5:$C$292,0))*$E164),Keys!$C$5),Keys!$C$4)</f>
        <v>0.9</v>
      </c>
      <c r="K164">
        <f>IF($D164=1,ROUND(Keys!$C$2/(INDEX(Src_SYSHECF_nuclear!$I$5:$I$292,MATCH($C164,Src_SYSHECF_nuclear!$C$5:$C$292,0))*$E164),Keys!$C$5),Keys!$C$4)</f>
        <v>0.9</v>
      </c>
      <c r="L164">
        <f>IF($D164=1,ROUND(Keys!$C$2/(INDEX(Src_SYSHECF_nuclear!$J$5:$J$292,MATCH($C164,Src_SYSHECF_nuclear!$C$5:$C$292,0))*$E164),Keys!$C$5),Keys!$C$4)</f>
        <v>0.9</v>
      </c>
      <c r="M164">
        <f>IF($D164=1,ROUND(Keys!$C$2/(INDEX(Src_SYSHECF_nuclear!$K$5:$K$292,MATCH($C164,Src_SYSHECF_nuclear!$C$5:$C$292,0))*$E164),Keys!$C$5),Keys!$C$4)</f>
        <v>0.9</v>
      </c>
      <c r="N164">
        <f>IF($D164=1,ROUND(Keys!$C$2/(INDEX(Src_SYSHECF_nuclear!$L$5:$L$292,MATCH($C164,Src_SYSHECF_nuclear!$C$5:$C$292,0))*$E164),Keys!$C$5),Keys!$C$4)</f>
        <v>0.9</v>
      </c>
      <c r="O164">
        <f>IF($D164=1,ROUND(Keys!$C$2/(INDEX(Src_SYSHECF_nuclear!$M$5:$M$292,MATCH($C164,Src_SYSHECF_nuclear!$C$5:$C$292,0))*$E164),Keys!$C$5),Keys!$C$4)</f>
        <v>0.9</v>
      </c>
      <c r="P164">
        <f>IF($D164=1,ROUND(Keys!$C$2/(INDEX(Src_SYSHECF_nuclear!$N$5:$N$292,MATCH($C164,Src_SYSHECF_nuclear!$C$5:$C$292,0))*$E164),Keys!$C$5),Keys!$C$4)</f>
        <v>0.9</v>
      </c>
      <c r="Q164">
        <f>IF($D164=1,ROUND(Keys!$C$2/(INDEX(Src_SYSHECF_nuclear!$O$5:$O$292,MATCH($C164,Src_SYSHECF_nuclear!$C$5:$C$292,0))*$E164),Keys!$C$5),Keys!$C$4)</f>
        <v>0.9</v>
      </c>
      <c r="R164">
        <f>IF($D164=1,ROUND(Keys!$C$2/(INDEX(Src_SYSHECF_nuclear!$P$5:$P$292,MATCH($C164,Src_SYSHECF_nuclear!$C$5:$C$292,0))*$E164),Keys!$C$5),Keys!$C$4)</f>
        <v>0.9</v>
      </c>
      <c r="S164">
        <f>IF($D164=1,ROUND(Keys!$C$2/(INDEX(Src_SYSHECF_nuclear!$Q$5:$Q$292,MATCH($C164,Src_SYSHECF_nuclear!$C$5:$C$292,0))*$E164),Keys!$C$5),Keys!$C$4)</f>
        <v>0.9</v>
      </c>
      <c r="T164">
        <f>IF($D164=1,ROUND(Keys!$C$2/(INDEX(Src_SYSHECF_nuclear!$R$5:$R$292,MATCH($C164,Src_SYSHECF_nuclear!$C$5:$C$292,0))*$E164),Keys!$C$5),Keys!$C$4)</f>
        <v>0.9</v>
      </c>
      <c r="U164">
        <f>IF($D164=1,ROUND(Keys!$C$2/(INDEX(Src_SYSHECF_nuclear!$S$5:$S$292,MATCH($C164,Src_SYSHECF_nuclear!$C$5:$C$292,0))*$E164),Keys!$C$5),Keys!$C$4)</f>
        <v>0.9</v>
      </c>
      <c r="V164">
        <f>IF($D164=1,ROUND(Keys!$C$2/(INDEX(Src_SYSHECF_nuclear!$T$5:$T$292,MATCH($C164,Src_SYSHECF_nuclear!$C$5:$C$292,0))*$E164),Keys!$C$5),Keys!$C$4)</f>
        <v>0.9</v>
      </c>
      <c r="W164">
        <f>IF($D164=1,ROUND(Keys!$C$2/(INDEX(Src_SYSHECF_nuclear!$U$5:$U$292,MATCH($C164,Src_SYSHECF_nuclear!$C$5:$C$292,0))*$E164),Keys!$C$5),Keys!$C$4)</f>
        <v>0.9</v>
      </c>
      <c r="X164">
        <f>IF($D164=1,ROUND(Keys!$C$2/(INDEX(Src_SYSHECF_nuclear!$V$5:$V$292,MATCH($C164,Src_SYSHECF_nuclear!$C$5:$C$292,0))*$E164),Keys!$C$5),Keys!$C$4)</f>
        <v>0.9</v>
      </c>
      <c r="Y164">
        <f>IF($D164=1,ROUND(Keys!$C$2/(INDEX(Src_SYSHECF_nuclear!$W$5:$W$292,MATCH($C164,Src_SYSHECF_nuclear!$C$5:$C$292,0))*$E164),Keys!$C$5),Keys!$C$4)</f>
        <v>0.9</v>
      </c>
      <c r="Z164">
        <f>IF($D164=1,ROUND(Keys!$C$2/(INDEX(Src_SYSHECF_nuclear!$X$5:$X$292,MATCH($C164,Src_SYSHECF_nuclear!$C$5:$C$292,0))*$E164),Keys!$C$5),Keys!$C$4)</f>
        <v>0.9</v>
      </c>
      <c r="AA164">
        <f>IF($D164=1,ROUND(Keys!$C$2/(INDEX(Src_SYSHECF_nuclear!$Y$5:$Y$292,MATCH($C164,Src_SYSHECF_nuclear!$C$5:$C$292,0))*$E164),Keys!$C$5),Keys!$C$4)</f>
        <v>0.9</v>
      </c>
      <c r="AB164">
        <f>IF($D164=1,ROUND(Keys!$C$2/(INDEX(Src_SYSHECF_nuclear!$Z$5:$Z$292,MATCH($C164,Src_SYSHECF_nuclear!$C$5:$C$292,0))*$E164),Keys!$C$5),Keys!$C$4)</f>
        <v>0.9</v>
      </c>
      <c r="AC164">
        <f>IF($D164=1,ROUND(Keys!$C$2/(INDEX(Src_SYSHECF_nuclear!$AA$5:$AA$292,MATCH($C164,Src_SYSHECF_nuclear!$C$5:$C$292,0))*$E164),Keys!$C$5),Keys!$C$4)</f>
        <v>0.9</v>
      </c>
      <c r="AE164">
        <f>IF($D164=1,IF(ABS(INDEX(Src_SYSHECF_nuclear!$D$5:$D$292,MATCH($C164,Src_SYSHECF_nuclear!$C$5:$C$292,0))*$E164*F164-Keys!$C$2)&gt;Keys!$C$6,1,0),0)</f>
        <v>0</v>
      </c>
    </row>
    <row r="165" spans="1:31" x14ac:dyDescent="0.45">
      <c r="A165" t="s">
        <v>53</v>
      </c>
      <c r="B165" t="s">
        <v>425</v>
      </c>
      <c r="C165" t="str">
        <f t="shared" si="2"/>
        <v>ME|Spring</v>
      </c>
      <c r="D165">
        <f>INDEX(Src_BHRaSYC_nuclear!$HF$5:$HF$52,MATCH($A165,Src_BHRaSYC_nuclear!$A$5:$A$52,0))</f>
        <v>0</v>
      </c>
      <c r="E165">
        <f>INDEX(Src_HYECFCA_nuclear!$B$5:$B$52,MATCH($A165,Src_HYECFCA_nuclear!$A$5:$A$52,0))</f>
        <v>1</v>
      </c>
      <c r="F165">
        <f>IF($D165=1,ROUND(Keys!$C$2/(INDEX(Src_SYSHECF_nuclear!$D$5:$D$292,MATCH($C165,Src_SYSHECF_nuclear!$C$5:$C$292,0))*$E165),Keys!$C$5),Keys!$C$4)</f>
        <v>0.9</v>
      </c>
      <c r="G165">
        <f>IF($D165=1,ROUND(Keys!$C$2/(INDEX(Src_SYSHECF_nuclear!$E$5:$E$292,MATCH($C165,Src_SYSHECF_nuclear!$C$5:$C$292,0))*$E165),Keys!$C$5),Keys!$C$4)</f>
        <v>0.9</v>
      </c>
      <c r="H165">
        <f>IF($D165=1,ROUND(Keys!$C$2/(INDEX(Src_SYSHECF_nuclear!$F$5:$F$292,MATCH($C165,Src_SYSHECF_nuclear!$C$5:$C$292,0))*$E165),Keys!$C$5),Keys!$C$4)</f>
        <v>0.9</v>
      </c>
      <c r="I165">
        <f>IF($D165=1,ROUND(Keys!$C$2/(INDEX(Src_SYSHECF_nuclear!$G$5:$G$292,MATCH($C165,Src_SYSHECF_nuclear!$C$5:$C$292,0))*$E165),Keys!$C$5),Keys!$C$4)</f>
        <v>0.9</v>
      </c>
      <c r="J165">
        <f>IF($D165=1,ROUND(Keys!$C$2/(INDEX(Src_SYSHECF_nuclear!$H$5:$H$292,MATCH($C165,Src_SYSHECF_nuclear!$C$5:$C$292,0))*$E165),Keys!$C$5),Keys!$C$4)</f>
        <v>0.9</v>
      </c>
      <c r="K165">
        <f>IF($D165=1,ROUND(Keys!$C$2/(INDEX(Src_SYSHECF_nuclear!$I$5:$I$292,MATCH($C165,Src_SYSHECF_nuclear!$C$5:$C$292,0))*$E165),Keys!$C$5),Keys!$C$4)</f>
        <v>0.9</v>
      </c>
      <c r="L165">
        <f>IF($D165=1,ROUND(Keys!$C$2/(INDEX(Src_SYSHECF_nuclear!$J$5:$J$292,MATCH($C165,Src_SYSHECF_nuclear!$C$5:$C$292,0))*$E165),Keys!$C$5),Keys!$C$4)</f>
        <v>0.9</v>
      </c>
      <c r="M165">
        <f>IF($D165=1,ROUND(Keys!$C$2/(INDEX(Src_SYSHECF_nuclear!$K$5:$K$292,MATCH($C165,Src_SYSHECF_nuclear!$C$5:$C$292,0))*$E165),Keys!$C$5),Keys!$C$4)</f>
        <v>0.9</v>
      </c>
      <c r="N165">
        <f>IF($D165=1,ROUND(Keys!$C$2/(INDEX(Src_SYSHECF_nuclear!$L$5:$L$292,MATCH($C165,Src_SYSHECF_nuclear!$C$5:$C$292,0))*$E165),Keys!$C$5),Keys!$C$4)</f>
        <v>0.9</v>
      </c>
      <c r="O165">
        <f>IF($D165=1,ROUND(Keys!$C$2/(INDEX(Src_SYSHECF_nuclear!$M$5:$M$292,MATCH($C165,Src_SYSHECF_nuclear!$C$5:$C$292,0))*$E165),Keys!$C$5),Keys!$C$4)</f>
        <v>0.9</v>
      </c>
      <c r="P165">
        <f>IF($D165=1,ROUND(Keys!$C$2/(INDEX(Src_SYSHECF_nuclear!$N$5:$N$292,MATCH($C165,Src_SYSHECF_nuclear!$C$5:$C$292,0))*$E165),Keys!$C$5),Keys!$C$4)</f>
        <v>0.9</v>
      </c>
      <c r="Q165">
        <f>IF($D165=1,ROUND(Keys!$C$2/(INDEX(Src_SYSHECF_nuclear!$O$5:$O$292,MATCH($C165,Src_SYSHECF_nuclear!$C$5:$C$292,0))*$E165),Keys!$C$5),Keys!$C$4)</f>
        <v>0.9</v>
      </c>
      <c r="R165">
        <f>IF($D165=1,ROUND(Keys!$C$2/(INDEX(Src_SYSHECF_nuclear!$P$5:$P$292,MATCH($C165,Src_SYSHECF_nuclear!$C$5:$C$292,0))*$E165),Keys!$C$5),Keys!$C$4)</f>
        <v>0.9</v>
      </c>
      <c r="S165">
        <f>IF($D165=1,ROUND(Keys!$C$2/(INDEX(Src_SYSHECF_nuclear!$Q$5:$Q$292,MATCH($C165,Src_SYSHECF_nuclear!$C$5:$C$292,0))*$E165),Keys!$C$5),Keys!$C$4)</f>
        <v>0.9</v>
      </c>
      <c r="T165">
        <f>IF($D165=1,ROUND(Keys!$C$2/(INDEX(Src_SYSHECF_nuclear!$R$5:$R$292,MATCH($C165,Src_SYSHECF_nuclear!$C$5:$C$292,0))*$E165),Keys!$C$5),Keys!$C$4)</f>
        <v>0.9</v>
      </c>
      <c r="U165">
        <f>IF($D165=1,ROUND(Keys!$C$2/(INDEX(Src_SYSHECF_nuclear!$S$5:$S$292,MATCH($C165,Src_SYSHECF_nuclear!$C$5:$C$292,0))*$E165),Keys!$C$5),Keys!$C$4)</f>
        <v>0.9</v>
      </c>
      <c r="V165">
        <f>IF($D165=1,ROUND(Keys!$C$2/(INDEX(Src_SYSHECF_nuclear!$T$5:$T$292,MATCH($C165,Src_SYSHECF_nuclear!$C$5:$C$292,0))*$E165),Keys!$C$5),Keys!$C$4)</f>
        <v>0.9</v>
      </c>
      <c r="W165">
        <f>IF($D165=1,ROUND(Keys!$C$2/(INDEX(Src_SYSHECF_nuclear!$U$5:$U$292,MATCH($C165,Src_SYSHECF_nuclear!$C$5:$C$292,0))*$E165),Keys!$C$5),Keys!$C$4)</f>
        <v>0.9</v>
      </c>
      <c r="X165">
        <f>IF($D165=1,ROUND(Keys!$C$2/(INDEX(Src_SYSHECF_nuclear!$V$5:$V$292,MATCH($C165,Src_SYSHECF_nuclear!$C$5:$C$292,0))*$E165),Keys!$C$5),Keys!$C$4)</f>
        <v>0.9</v>
      </c>
      <c r="Y165">
        <f>IF($D165=1,ROUND(Keys!$C$2/(INDEX(Src_SYSHECF_nuclear!$W$5:$W$292,MATCH($C165,Src_SYSHECF_nuclear!$C$5:$C$292,0))*$E165),Keys!$C$5),Keys!$C$4)</f>
        <v>0.9</v>
      </c>
      <c r="Z165">
        <f>IF($D165=1,ROUND(Keys!$C$2/(INDEX(Src_SYSHECF_nuclear!$X$5:$X$292,MATCH($C165,Src_SYSHECF_nuclear!$C$5:$C$292,0))*$E165),Keys!$C$5),Keys!$C$4)</f>
        <v>0.9</v>
      </c>
      <c r="AA165">
        <f>IF($D165=1,ROUND(Keys!$C$2/(INDEX(Src_SYSHECF_nuclear!$Y$5:$Y$292,MATCH($C165,Src_SYSHECF_nuclear!$C$5:$C$292,0))*$E165),Keys!$C$5),Keys!$C$4)</f>
        <v>0.9</v>
      </c>
      <c r="AB165">
        <f>IF($D165=1,ROUND(Keys!$C$2/(INDEX(Src_SYSHECF_nuclear!$Z$5:$Z$292,MATCH($C165,Src_SYSHECF_nuclear!$C$5:$C$292,0))*$E165),Keys!$C$5),Keys!$C$4)</f>
        <v>0.9</v>
      </c>
      <c r="AC165">
        <f>IF($D165=1,ROUND(Keys!$C$2/(INDEX(Src_SYSHECF_nuclear!$AA$5:$AA$292,MATCH($C165,Src_SYSHECF_nuclear!$C$5:$C$292,0))*$E165),Keys!$C$5),Keys!$C$4)</f>
        <v>0.9</v>
      </c>
      <c r="AE165">
        <f>IF($D165=1,IF(ABS(INDEX(Src_SYSHECF_nuclear!$D$5:$D$292,MATCH($C165,Src_SYSHECF_nuclear!$C$5:$C$292,0))*$E165*F165-Keys!$C$2)&gt;Keys!$C$6,1,0),0)</f>
        <v>0</v>
      </c>
    </row>
    <row r="166" spans="1:31" x14ac:dyDescent="0.45">
      <c r="A166" t="s">
        <v>53</v>
      </c>
      <c r="B166" t="s">
        <v>426</v>
      </c>
      <c r="C166" t="str">
        <f t="shared" si="2"/>
        <v>ME|Summer</v>
      </c>
      <c r="D166">
        <f>INDEX(Src_BHRaSYC_nuclear!$HF$5:$HF$52,MATCH($A166,Src_BHRaSYC_nuclear!$A$5:$A$52,0))</f>
        <v>0</v>
      </c>
      <c r="E166">
        <f>INDEX(Src_HYECFCA_nuclear!$B$5:$B$52,MATCH($A166,Src_HYECFCA_nuclear!$A$5:$A$52,0))</f>
        <v>1</v>
      </c>
      <c r="F166">
        <f>IF($D166=1,ROUND(Keys!$C$2/(INDEX(Src_SYSHECF_nuclear!$D$5:$D$292,MATCH($C166,Src_SYSHECF_nuclear!$C$5:$C$292,0))*$E166),Keys!$C$5),Keys!$C$4)</f>
        <v>0.9</v>
      </c>
      <c r="G166">
        <f>IF($D166=1,ROUND(Keys!$C$2/(INDEX(Src_SYSHECF_nuclear!$E$5:$E$292,MATCH($C166,Src_SYSHECF_nuclear!$C$5:$C$292,0))*$E166),Keys!$C$5),Keys!$C$4)</f>
        <v>0.9</v>
      </c>
      <c r="H166">
        <f>IF($D166=1,ROUND(Keys!$C$2/(INDEX(Src_SYSHECF_nuclear!$F$5:$F$292,MATCH($C166,Src_SYSHECF_nuclear!$C$5:$C$292,0))*$E166),Keys!$C$5),Keys!$C$4)</f>
        <v>0.9</v>
      </c>
      <c r="I166">
        <f>IF($D166=1,ROUND(Keys!$C$2/(INDEX(Src_SYSHECF_nuclear!$G$5:$G$292,MATCH($C166,Src_SYSHECF_nuclear!$C$5:$C$292,0))*$E166),Keys!$C$5),Keys!$C$4)</f>
        <v>0.9</v>
      </c>
      <c r="J166">
        <f>IF($D166=1,ROUND(Keys!$C$2/(INDEX(Src_SYSHECF_nuclear!$H$5:$H$292,MATCH($C166,Src_SYSHECF_nuclear!$C$5:$C$292,0))*$E166),Keys!$C$5),Keys!$C$4)</f>
        <v>0.9</v>
      </c>
      <c r="K166">
        <f>IF($D166=1,ROUND(Keys!$C$2/(INDEX(Src_SYSHECF_nuclear!$I$5:$I$292,MATCH($C166,Src_SYSHECF_nuclear!$C$5:$C$292,0))*$E166),Keys!$C$5),Keys!$C$4)</f>
        <v>0.9</v>
      </c>
      <c r="L166">
        <f>IF($D166=1,ROUND(Keys!$C$2/(INDEX(Src_SYSHECF_nuclear!$J$5:$J$292,MATCH($C166,Src_SYSHECF_nuclear!$C$5:$C$292,0))*$E166),Keys!$C$5),Keys!$C$4)</f>
        <v>0.9</v>
      </c>
      <c r="M166">
        <f>IF($D166=1,ROUND(Keys!$C$2/(INDEX(Src_SYSHECF_nuclear!$K$5:$K$292,MATCH($C166,Src_SYSHECF_nuclear!$C$5:$C$292,0))*$E166),Keys!$C$5),Keys!$C$4)</f>
        <v>0.9</v>
      </c>
      <c r="N166">
        <f>IF($D166=1,ROUND(Keys!$C$2/(INDEX(Src_SYSHECF_nuclear!$L$5:$L$292,MATCH($C166,Src_SYSHECF_nuclear!$C$5:$C$292,0))*$E166),Keys!$C$5),Keys!$C$4)</f>
        <v>0.9</v>
      </c>
      <c r="O166">
        <f>IF($D166=1,ROUND(Keys!$C$2/(INDEX(Src_SYSHECF_nuclear!$M$5:$M$292,MATCH($C166,Src_SYSHECF_nuclear!$C$5:$C$292,0))*$E166),Keys!$C$5),Keys!$C$4)</f>
        <v>0.9</v>
      </c>
      <c r="P166">
        <f>IF($D166=1,ROUND(Keys!$C$2/(INDEX(Src_SYSHECF_nuclear!$N$5:$N$292,MATCH($C166,Src_SYSHECF_nuclear!$C$5:$C$292,0))*$E166),Keys!$C$5),Keys!$C$4)</f>
        <v>0.9</v>
      </c>
      <c r="Q166">
        <f>IF($D166=1,ROUND(Keys!$C$2/(INDEX(Src_SYSHECF_nuclear!$O$5:$O$292,MATCH($C166,Src_SYSHECF_nuclear!$C$5:$C$292,0))*$E166),Keys!$C$5),Keys!$C$4)</f>
        <v>0.9</v>
      </c>
      <c r="R166">
        <f>IF($D166=1,ROUND(Keys!$C$2/(INDEX(Src_SYSHECF_nuclear!$P$5:$P$292,MATCH($C166,Src_SYSHECF_nuclear!$C$5:$C$292,0))*$E166),Keys!$C$5),Keys!$C$4)</f>
        <v>0.9</v>
      </c>
      <c r="S166">
        <f>IF($D166=1,ROUND(Keys!$C$2/(INDEX(Src_SYSHECF_nuclear!$Q$5:$Q$292,MATCH($C166,Src_SYSHECF_nuclear!$C$5:$C$292,0))*$E166),Keys!$C$5),Keys!$C$4)</f>
        <v>0.9</v>
      </c>
      <c r="T166">
        <f>IF($D166=1,ROUND(Keys!$C$2/(INDEX(Src_SYSHECF_nuclear!$R$5:$R$292,MATCH($C166,Src_SYSHECF_nuclear!$C$5:$C$292,0))*$E166),Keys!$C$5),Keys!$C$4)</f>
        <v>0.9</v>
      </c>
      <c r="U166">
        <f>IF($D166=1,ROUND(Keys!$C$2/(INDEX(Src_SYSHECF_nuclear!$S$5:$S$292,MATCH($C166,Src_SYSHECF_nuclear!$C$5:$C$292,0))*$E166),Keys!$C$5),Keys!$C$4)</f>
        <v>0.9</v>
      </c>
      <c r="V166">
        <f>IF($D166=1,ROUND(Keys!$C$2/(INDEX(Src_SYSHECF_nuclear!$T$5:$T$292,MATCH($C166,Src_SYSHECF_nuclear!$C$5:$C$292,0))*$E166),Keys!$C$5),Keys!$C$4)</f>
        <v>0.9</v>
      </c>
      <c r="W166">
        <f>IF($D166=1,ROUND(Keys!$C$2/(INDEX(Src_SYSHECF_nuclear!$U$5:$U$292,MATCH($C166,Src_SYSHECF_nuclear!$C$5:$C$292,0))*$E166),Keys!$C$5),Keys!$C$4)</f>
        <v>0.9</v>
      </c>
      <c r="X166">
        <f>IF($D166=1,ROUND(Keys!$C$2/(INDEX(Src_SYSHECF_nuclear!$V$5:$V$292,MATCH($C166,Src_SYSHECF_nuclear!$C$5:$C$292,0))*$E166),Keys!$C$5),Keys!$C$4)</f>
        <v>0.9</v>
      </c>
      <c r="Y166">
        <f>IF($D166=1,ROUND(Keys!$C$2/(INDEX(Src_SYSHECF_nuclear!$W$5:$W$292,MATCH($C166,Src_SYSHECF_nuclear!$C$5:$C$292,0))*$E166),Keys!$C$5),Keys!$C$4)</f>
        <v>0.9</v>
      </c>
      <c r="Z166">
        <f>IF($D166=1,ROUND(Keys!$C$2/(INDEX(Src_SYSHECF_nuclear!$X$5:$X$292,MATCH($C166,Src_SYSHECF_nuclear!$C$5:$C$292,0))*$E166),Keys!$C$5),Keys!$C$4)</f>
        <v>0.9</v>
      </c>
      <c r="AA166">
        <f>IF($D166=1,ROUND(Keys!$C$2/(INDEX(Src_SYSHECF_nuclear!$Y$5:$Y$292,MATCH($C166,Src_SYSHECF_nuclear!$C$5:$C$292,0))*$E166),Keys!$C$5),Keys!$C$4)</f>
        <v>0.9</v>
      </c>
      <c r="AB166">
        <f>IF($D166=1,ROUND(Keys!$C$2/(INDEX(Src_SYSHECF_nuclear!$Z$5:$Z$292,MATCH($C166,Src_SYSHECF_nuclear!$C$5:$C$292,0))*$E166),Keys!$C$5),Keys!$C$4)</f>
        <v>0.9</v>
      </c>
      <c r="AC166">
        <f>IF($D166=1,ROUND(Keys!$C$2/(INDEX(Src_SYSHECF_nuclear!$AA$5:$AA$292,MATCH($C166,Src_SYSHECF_nuclear!$C$5:$C$292,0))*$E166),Keys!$C$5),Keys!$C$4)</f>
        <v>0.9</v>
      </c>
      <c r="AE166">
        <f>IF($D166=1,IF(ABS(INDEX(Src_SYSHECF_nuclear!$D$5:$D$292,MATCH($C166,Src_SYSHECF_nuclear!$C$5:$C$292,0))*$E166*F166-Keys!$C$2)&gt;Keys!$C$6,1,0),0)</f>
        <v>0</v>
      </c>
    </row>
    <row r="167" spans="1:31" x14ac:dyDescent="0.45">
      <c r="A167" t="s">
        <v>53</v>
      </c>
      <c r="B167" t="s">
        <v>427</v>
      </c>
      <c r="C167" t="str">
        <f t="shared" si="2"/>
        <v>ME|Fall</v>
      </c>
      <c r="D167">
        <f>INDEX(Src_BHRaSYC_nuclear!$HF$5:$HF$52,MATCH($A167,Src_BHRaSYC_nuclear!$A$5:$A$52,0))</f>
        <v>0</v>
      </c>
      <c r="E167">
        <f>INDEX(Src_HYECFCA_nuclear!$B$5:$B$52,MATCH($A167,Src_HYECFCA_nuclear!$A$5:$A$52,0))</f>
        <v>1</v>
      </c>
      <c r="F167">
        <f>IF($D167=1,ROUND(Keys!$C$2/(INDEX(Src_SYSHECF_nuclear!$D$5:$D$292,MATCH($C167,Src_SYSHECF_nuclear!$C$5:$C$292,0))*$E167),Keys!$C$5),Keys!$C$4)</f>
        <v>0.9</v>
      </c>
      <c r="G167">
        <f>IF($D167=1,ROUND(Keys!$C$2/(INDEX(Src_SYSHECF_nuclear!$E$5:$E$292,MATCH($C167,Src_SYSHECF_nuclear!$C$5:$C$292,0))*$E167),Keys!$C$5),Keys!$C$4)</f>
        <v>0.9</v>
      </c>
      <c r="H167">
        <f>IF($D167=1,ROUND(Keys!$C$2/(INDEX(Src_SYSHECF_nuclear!$F$5:$F$292,MATCH($C167,Src_SYSHECF_nuclear!$C$5:$C$292,0))*$E167),Keys!$C$5),Keys!$C$4)</f>
        <v>0.9</v>
      </c>
      <c r="I167">
        <f>IF($D167=1,ROUND(Keys!$C$2/(INDEX(Src_SYSHECF_nuclear!$G$5:$G$292,MATCH($C167,Src_SYSHECF_nuclear!$C$5:$C$292,0))*$E167),Keys!$C$5),Keys!$C$4)</f>
        <v>0.9</v>
      </c>
      <c r="J167">
        <f>IF($D167=1,ROUND(Keys!$C$2/(INDEX(Src_SYSHECF_nuclear!$H$5:$H$292,MATCH($C167,Src_SYSHECF_nuclear!$C$5:$C$292,0))*$E167),Keys!$C$5),Keys!$C$4)</f>
        <v>0.9</v>
      </c>
      <c r="K167">
        <f>IF($D167=1,ROUND(Keys!$C$2/(INDEX(Src_SYSHECF_nuclear!$I$5:$I$292,MATCH($C167,Src_SYSHECF_nuclear!$C$5:$C$292,0))*$E167),Keys!$C$5),Keys!$C$4)</f>
        <v>0.9</v>
      </c>
      <c r="L167">
        <f>IF($D167=1,ROUND(Keys!$C$2/(INDEX(Src_SYSHECF_nuclear!$J$5:$J$292,MATCH($C167,Src_SYSHECF_nuclear!$C$5:$C$292,0))*$E167),Keys!$C$5),Keys!$C$4)</f>
        <v>0.9</v>
      </c>
      <c r="M167">
        <f>IF($D167=1,ROUND(Keys!$C$2/(INDEX(Src_SYSHECF_nuclear!$K$5:$K$292,MATCH($C167,Src_SYSHECF_nuclear!$C$5:$C$292,0))*$E167),Keys!$C$5),Keys!$C$4)</f>
        <v>0.9</v>
      </c>
      <c r="N167">
        <f>IF($D167=1,ROUND(Keys!$C$2/(INDEX(Src_SYSHECF_nuclear!$L$5:$L$292,MATCH($C167,Src_SYSHECF_nuclear!$C$5:$C$292,0))*$E167),Keys!$C$5),Keys!$C$4)</f>
        <v>0.9</v>
      </c>
      <c r="O167">
        <f>IF($D167=1,ROUND(Keys!$C$2/(INDEX(Src_SYSHECF_nuclear!$M$5:$M$292,MATCH($C167,Src_SYSHECF_nuclear!$C$5:$C$292,0))*$E167),Keys!$C$5),Keys!$C$4)</f>
        <v>0.9</v>
      </c>
      <c r="P167">
        <f>IF($D167=1,ROUND(Keys!$C$2/(INDEX(Src_SYSHECF_nuclear!$N$5:$N$292,MATCH($C167,Src_SYSHECF_nuclear!$C$5:$C$292,0))*$E167),Keys!$C$5),Keys!$C$4)</f>
        <v>0.9</v>
      </c>
      <c r="Q167">
        <f>IF($D167=1,ROUND(Keys!$C$2/(INDEX(Src_SYSHECF_nuclear!$O$5:$O$292,MATCH($C167,Src_SYSHECF_nuclear!$C$5:$C$292,0))*$E167),Keys!$C$5),Keys!$C$4)</f>
        <v>0.9</v>
      </c>
      <c r="R167">
        <f>IF($D167=1,ROUND(Keys!$C$2/(INDEX(Src_SYSHECF_nuclear!$P$5:$P$292,MATCH($C167,Src_SYSHECF_nuclear!$C$5:$C$292,0))*$E167),Keys!$C$5),Keys!$C$4)</f>
        <v>0.9</v>
      </c>
      <c r="S167">
        <f>IF($D167=1,ROUND(Keys!$C$2/(INDEX(Src_SYSHECF_nuclear!$Q$5:$Q$292,MATCH($C167,Src_SYSHECF_nuclear!$C$5:$C$292,0))*$E167),Keys!$C$5),Keys!$C$4)</f>
        <v>0.9</v>
      </c>
      <c r="T167">
        <f>IF($D167=1,ROUND(Keys!$C$2/(INDEX(Src_SYSHECF_nuclear!$R$5:$R$292,MATCH($C167,Src_SYSHECF_nuclear!$C$5:$C$292,0))*$E167),Keys!$C$5),Keys!$C$4)</f>
        <v>0.9</v>
      </c>
      <c r="U167">
        <f>IF($D167=1,ROUND(Keys!$C$2/(INDEX(Src_SYSHECF_nuclear!$S$5:$S$292,MATCH($C167,Src_SYSHECF_nuclear!$C$5:$C$292,0))*$E167),Keys!$C$5),Keys!$C$4)</f>
        <v>0.9</v>
      </c>
      <c r="V167">
        <f>IF($D167=1,ROUND(Keys!$C$2/(INDEX(Src_SYSHECF_nuclear!$T$5:$T$292,MATCH($C167,Src_SYSHECF_nuclear!$C$5:$C$292,0))*$E167),Keys!$C$5),Keys!$C$4)</f>
        <v>0.9</v>
      </c>
      <c r="W167">
        <f>IF($D167=1,ROUND(Keys!$C$2/(INDEX(Src_SYSHECF_nuclear!$U$5:$U$292,MATCH($C167,Src_SYSHECF_nuclear!$C$5:$C$292,0))*$E167),Keys!$C$5),Keys!$C$4)</f>
        <v>0.9</v>
      </c>
      <c r="X167">
        <f>IF($D167=1,ROUND(Keys!$C$2/(INDEX(Src_SYSHECF_nuclear!$V$5:$V$292,MATCH($C167,Src_SYSHECF_nuclear!$C$5:$C$292,0))*$E167),Keys!$C$5),Keys!$C$4)</f>
        <v>0.9</v>
      </c>
      <c r="Y167">
        <f>IF($D167=1,ROUND(Keys!$C$2/(INDEX(Src_SYSHECF_nuclear!$W$5:$W$292,MATCH($C167,Src_SYSHECF_nuclear!$C$5:$C$292,0))*$E167),Keys!$C$5),Keys!$C$4)</f>
        <v>0.9</v>
      </c>
      <c r="Z167">
        <f>IF($D167=1,ROUND(Keys!$C$2/(INDEX(Src_SYSHECF_nuclear!$X$5:$X$292,MATCH($C167,Src_SYSHECF_nuclear!$C$5:$C$292,0))*$E167),Keys!$C$5),Keys!$C$4)</f>
        <v>0.9</v>
      </c>
      <c r="AA167">
        <f>IF($D167=1,ROUND(Keys!$C$2/(INDEX(Src_SYSHECF_nuclear!$Y$5:$Y$292,MATCH($C167,Src_SYSHECF_nuclear!$C$5:$C$292,0))*$E167),Keys!$C$5),Keys!$C$4)</f>
        <v>0.9</v>
      </c>
      <c r="AB167">
        <f>IF($D167=1,ROUND(Keys!$C$2/(INDEX(Src_SYSHECF_nuclear!$Z$5:$Z$292,MATCH($C167,Src_SYSHECF_nuclear!$C$5:$C$292,0))*$E167),Keys!$C$5),Keys!$C$4)</f>
        <v>0.9</v>
      </c>
      <c r="AC167">
        <f>IF($D167=1,ROUND(Keys!$C$2/(INDEX(Src_SYSHECF_nuclear!$AA$5:$AA$292,MATCH($C167,Src_SYSHECF_nuclear!$C$5:$C$292,0))*$E167),Keys!$C$5),Keys!$C$4)</f>
        <v>0.9</v>
      </c>
      <c r="AE167">
        <f>IF($D167=1,IF(ABS(INDEX(Src_SYSHECF_nuclear!$D$5:$D$292,MATCH($C167,Src_SYSHECF_nuclear!$C$5:$C$292,0))*$E167*F167-Keys!$C$2)&gt;Keys!$C$6,1,0),0)</f>
        <v>0</v>
      </c>
    </row>
    <row r="168" spans="1:31" x14ac:dyDescent="0.45">
      <c r="A168" t="s">
        <v>53</v>
      </c>
      <c r="B168" t="s">
        <v>428</v>
      </c>
      <c r="C168" t="str">
        <f t="shared" si="2"/>
        <v>ME|Summer Peak</v>
      </c>
      <c r="D168">
        <f>INDEX(Src_BHRaSYC_nuclear!$HF$5:$HF$52,MATCH($A168,Src_BHRaSYC_nuclear!$A$5:$A$52,0))</f>
        <v>0</v>
      </c>
      <c r="E168">
        <f>INDEX(Src_HYECFCA_nuclear!$B$5:$B$52,MATCH($A168,Src_HYECFCA_nuclear!$A$5:$A$52,0))</f>
        <v>1</v>
      </c>
      <c r="F168">
        <f>IF($D168=1,ROUND(Keys!$C$2/(INDEX(Src_SYSHECF_nuclear!$D$5:$D$292,MATCH($C168,Src_SYSHECF_nuclear!$C$5:$C$292,0))*$E168),Keys!$C$5),Keys!$C$4)</f>
        <v>0.9</v>
      </c>
      <c r="G168">
        <f>IF($D168=1,ROUND(Keys!$C$2/(INDEX(Src_SYSHECF_nuclear!$E$5:$E$292,MATCH($C168,Src_SYSHECF_nuclear!$C$5:$C$292,0))*$E168),Keys!$C$5),Keys!$C$4)</f>
        <v>0.9</v>
      </c>
      <c r="H168">
        <f>IF($D168=1,ROUND(Keys!$C$2/(INDEX(Src_SYSHECF_nuclear!$F$5:$F$292,MATCH($C168,Src_SYSHECF_nuclear!$C$5:$C$292,0))*$E168),Keys!$C$5),Keys!$C$4)</f>
        <v>0.9</v>
      </c>
      <c r="I168">
        <f>IF($D168=1,ROUND(Keys!$C$2/(INDEX(Src_SYSHECF_nuclear!$G$5:$G$292,MATCH($C168,Src_SYSHECF_nuclear!$C$5:$C$292,0))*$E168),Keys!$C$5),Keys!$C$4)</f>
        <v>0.9</v>
      </c>
      <c r="J168">
        <f>IF($D168=1,ROUND(Keys!$C$2/(INDEX(Src_SYSHECF_nuclear!$H$5:$H$292,MATCH($C168,Src_SYSHECF_nuclear!$C$5:$C$292,0))*$E168),Keys!$C$5),Keys!$C$4)</f>
        <v>0.9</v>
      </c>
      <c r="K168">
        <f>IF($D168=1,ROUND(Keys!$C$2/(INDEX(Src_SYSHECF_nuclear!$I$5:$I$292,MATCH($C168,Src_SYSHECF_nuclear!$C$5:$C$292,0))*$E168),Keys!$C$5),Keys!$C$4)</f>
        <v>0.9</v>
      </c>
      <c r="L168">
        <f>IF($D168=1,ROUND(Keys!$C$2/(INDEX(Src_SYSHECF_nuclear!$J$5:$J$292,MATCH($C168,Src_SYSHECF_nuclear!$C$5:$C$292,0))*$E168),Keys!$C$5),Keys!$C$4)</f>
        <v>0.9</v>
      </c>
      <c r="M168">
        <f>IF($D168=1,ROUND(Keys!$C$2/(INDEX(Src_SYSHECF_nuclear!$K$5:$K$292,MATCH($C168,Src_SYSHECF_nuclear!$C$5:$C$292,0))*$E168),Keys!$C$5),Keys!$C$4)</f>
        <v>0.9</v>
      </c>
      <c r="N168">
        <f>IF($D168=1,ROUND(Keys!$C$2/(INDEX(Src_SYSHECF_nuclear!$L$5:$L$292,MATCH($C168,Src_SYSHECF_nuclear!$C$5:$C$292,0))*$E168),Keys!$C$5),Keys!$C$4)</f>
        <v>0.9</v>
      </c>
      <c r="O168">
        <f>IF($D168=1,ROUND(Keys!$C$2/(INDEX(Src_SYSHECF_nuclear!$M$5:$M$292,MATCH($C168,Src_SYSHECF_nuclear!$C$5:$C$292,0))*$E168),Keys!$C$5),Keys!$C$4)</f>
        <v>0.9</v>
      </c>
      <c r="P168">
        <f>IF($D168=1,ROUND(Keys!$C$2/(INDEX(Src_SYSHECF_nuclear!$N$5:$N$292,MATCH($C168,Src_SYSHECF_nuclear!$C$5:$C$292,0))*$E168),Keys!$C$5),Keys!$C$4)</f>
        <v>0.9</v>
      </c>
      <c r="Q168">
        <f>IF($D168=1,ROUND(Keys!$C$2/(INDEX(Src_SYSHECF_nuclear!$O$5:$O$292,MATCH($C168,Src_SYSHECF_nuclear!$C$5:$C$292,0))*$E168),Keys!$C$5),Keys!$C$4)</f>
        <v>0.9</v>
      </c>
      <c r="R168">
        <f>IF($D168=1,ROUND(Keys!$C$2/(INDEX(Src_SYSHECF_nuclear!$P$5:$P$292,MATCH($C168,Src_SYSHECF_nuclear!$C$5:$C$292,0))*$E168),Keys!$C$5),Keys!$C$4)</f>
        <v>0.9</v>
      </c>
      <c r="S168">
        <f>IF($D168=1,ROUND(Keys!$C$2/(INDEX(Src_SYSHECF_nuclear!$Q$5:$Q$292,MATCH($C168,Src_SYSHECF_nuclear!$C$5:$C$292,0))*$E168),Keys!$C$5),Keys!$C$4)</f>
        <v>0.9</v>
      </c>
      <c r="T168">
        <f>IF($D168=1,ROUND(Keys!$C$2/(INDEX(Src_SYSHECF_nuclear!$R$5:$R$292,MATCH($C168,Src_SYSHECF_nuclear!$C$5:$C$292,0))*$E168),Keys!$C$5),Keys!$C$4)</f>
        <v>0.9</v>
      </c>
      <c r="U168">
        <f>IF($D168=1,ROUND(Keys!$C$2/(INDEX(Src_SYSHECF_nuclear!$S$5:$S$292,MATCH($C168,Src_SYSHECF_nuclear!$C$5:$C$292,0))*$E168),Keys!$C$5),Keys!$C$4)</f>
        <v>0.9</v>
      </c>
      <c r="V168">
        <f>IF($D168=1,ROUND(Keys!$C$2/(INDEX(Src_SYSHECF_nuclear!$T$5:$T$292,MATCH($C168,Src_SYSHECF_nuclear!$C$5:$C$292,0))*$E168),Keys!$C$5),Keys!$C$4)</f>
        <v>0.9</v>
      </c>
      <c r="W168">
        <f>IF($D168=1,ROUND(Keys!$C$2/(INDEX(Src_SYSHECF_nuclear!$U$5:$U$292,MATCH($C168,Src_SYSHECF_nuclear!$C$5:$C$292,0))*$E168),Keys!$C$5),Keys!$C$4)</f>
        <v>0.9</v>
      </c>
      <c r="X168">
        <f>IF($D168=1,ROUND(Keys!$C$2/(INDEX(Src_SYSHECF_nuclear!$V$5:$V$292,MATCH($C168,Src_SYSHECF_nuclear!$C$5:$C$292,0))*$E168),Keys!$C$5),Keys!$C$4)</f>
        <v>0.9</v>
      </c>
      <c r="Y168">
        <f>IF($D168=1,ROUND(Keys!$C$2/(INDEX(Src_SYSHECF_nuclear!$W$5:$W$292,MATCH($C168,Src_SYSHECF_nuclear!$C$5:$C$292,0))*$E168),Keys!$C$5),Keys!$C$4)</f>
        <v>0.9</v>
      </c>
      <c r="Z168">
        <f>IF($D168=1,ROUND(Keys!$C$2/(INDEX(Src_SYSHECF_nuclear!$X$5:$X$292,MATCH($C168,Src_SYSHECF_nuclear!$C$5:$C$292,0))*$E168),Keys!$C$5),Keys!$C$4)</f>
        <v>0.9</v>
      </c>
      <c r="AA168">
        <f>IF($D168=1,ROUND(Keys!$C$2/(INDEX(Src_SYSHECF_nuclear!$Y$5:$Y$292,MATCH($C168,Src_SYSHECF_nuclear!$C$5:$C$292,0))*$E168),Keys!$C$5),Keys!$C$4)</f>
        <v>0.9</v>
      </c>
      <c r="AB168">
        <f>IF($D168=1,ROUND(Keys!$C$2/(INDEX(Src_SYSHECF_nuclear!$Z$5:$Z$292,MATCH($C168,Src_SYSHECF_nuclear!$C$5:$C$292,0))*$E168),Keys!$C$5),Keys!$C$4)</f>
        <v>0.9</v>
      </c>
      <c r="AC168">
        <f>IF($D168=1,ROUND(Keys!$C$2/(INDEX(Src_SYSHECF_nuclear!$AA$5:$AA$292,MATCH($C168,Src_SYSHECF_nuclear!$C$5:$C$292,0))*$E168),Keys!$C$5),Keys!$C$4)</f>
        <v>0.9</v>
      </c>
      <c r="AE168">
        <f>IF($D168=1,IF(ABS(INDEX(Src_SYSHECF_nuclear!$D$5:$D$292,MATCH($C168,Src_SYSHECF_nuclear!$C$5:$C$292,0))*$E168*F168-Keys!$C$2)&gt;Keys!$C$6,1,0),0)</f>
        <v>0</v>
      </c>
    </row>
    <row r="169" spans="1:31" x14ac:dyDescent="0.45">
      <c r="A169" t="s">
        <v>53</v>
      </c>
      <c r="B169" t="s">
        <v>429</v>
      </c>
      <c r="C169" t="str">
        <f t="shared" si="2"/>
        <v>ME|Winter Peak</v>
      </c>
      <c r="D169">
        <f>INDEX(Src_BHRaSYC_nuclear!$HF$5:$HF$52,MATCH($A169,Src_BHRaSYC_nuclear!$A$5:$A$52,0))</f>
        <v>0</v>
      </c>
      <c r="E169">
        <f>INDEX(Src_HYECFCA_nuclear!$B$5:$B$52,MATCH($A169,Src_HYECFCA_nuclear!$A$5:$A$52,0))</f>
        <v>1</v>
      </c>
      <c r="F169">
        <f>IF($D169=1,ROUND(Keys!$C$2/(INDEX(Src_SYSHECF_nuclear!$D$5:$D$292,MATCH($C169,Src_SYSHECF_nuclear!$C$5:$C$292,0))*$E169),Keys!$C$5),Keys!$C$4)</f>
        <v>0.9</v>
      </c>
      <c r="G169">
        <f>IF($D169=1,ROUND(Keys!$C$2/(INDEX(Src_SYSHECF_nuclear!$E$5:$E$292,MATCH($C169,Src_SYSHECF_nuclear!$C$5:$C$292,0))*$E169),Keys!$C$5),Keys!$C$4)</f>
        <v>0.9</v>
      </c>
      <c r="H169">
        <f>IF($D169=1,ROUND(Keys!$C$2/(INDEX(Src_SYSHECF_nuclear!$F$5:$F$292,MATCH($C169,Src_SYSHECF_nuclear!$C$5:$C$292,0))*$E169),Keys!$C$5),Keys!$C$4)</f>
        <v>0.9</v>
      </c>
      <c r="I169">
        <f>IF($D169=1,ROUND(Keys!$C$2/(INDEX(Src_SYSHECF_nuclear!$G$5:$G$292,MATCH($C169,Src_SYSHECF_nuclear!$C$5:$C$292,0))*$E169),Keys!$C$5),Keys!$C$4)</f>
        <v>0.9</v>
      </c>
      <c r="J169">
        <f>IF($D169=1,ROUND(Keys!$C$2/(INDEX(Src_SYSHECF_nuclear!$H$5:$H$292,MATCH($C169,Src_SYSHECF_nuclear!$C$5:$C$292,0))*$E169),Keys!$C$5),Keys!$C$4)</f>
        <v>0.9</v>
      </c>
      <c r="K169">
        <f>IF($D169=1,ROUND(Keys!$C$2/(INDEX(Src_SYSHECF_nuclear!$I$5:$I$292,MATCH($C169,Src_SYSHECF_nuclear!$C$5:$C$292,0))*$E169),Keys!$C$5),Keys!$C$4)</f>
        <v>0.9</v>
      </c>
      <c r="L169">
        <f>IF($D169=1,ROUND(Keys!$C$2/(INDEX(Src_SYSHECF_nuclear!$J$5:$J$292,MATCH($C169,Src_SYSHECF_nuclear!$C$5:$C$292,0))*$E169),Keys!$C$5),Keys!$C$4)</f>
        <v>0.9</v>
      </c>
      <c r="M169">
        <f>IF($D169=1,ROUND(Keys!$C$2/(INDEX(Src_SYSHECF_nuclear!$K$5:$K$292,MATCH($C169,Src_SYSHECF_nuclear!$C$5:$C$292,0))*$E169),Keys!$C$5),Keys!$C$4)</f>
        <v>0.9</v>
      </c>
      <c r="N169">
        <f>IF($D169=1,ROUND(Keys!$C$2/(INDEX(Src_SYSHECF_nuclear!$L$5:$L$292,MATCH($C169,Src_SYSHECF_nuclear!$C$5:$C$292,0))*$E169),Keys!$C$5),Keys!$C$4)</f>
        <v>0.9</v>
      </c>
      <c r="O169">
        <f>IF($D169=1,ROUND(Keys!$C$2/(INDEX(Src_SYSHECF_nuclear!$M$5:$M$292,MATCH($C169,Src_SYSHECF_nuclear!$C$5:$C$292,0))*$E169),Keys!$C$5),Keys!$C$4)</f>
        <v>0.9</v>
      </c>
      <c r="P169">
        <f>IF($D169=1,ROUND(Keys!$C$2/(INDEX(Src_SYSHECF_nuclear!$N$5:$N$292,MATCH($C169,Src_SYSHECF_nuclear!$C$5:$C$292,0))*$E169),Keys!$C$5),Keys!$C$4)</f>
        <v>0.9</v>
      </c>
      <c r="Q169">
        <f>IF($D169=1,ROUND(Keys!$C$2/(INDEX(Src_SYSHECF_nuclear!$O$5:$O$292,MATCH($C169,Src_SYSHECF_nuclear!$C$5:$C$292,0))*$E169),Keys!$C$5),Keys!$C$4)</f>
        <v>0.9</v>
      </c>
      <c r="R169">
        <f>IF($D169=1,ROUND(Keys!$C$2/(INDEX(Src_SYSHECF_nuclear!$P$5:$P$292,MATCH($C169,Src_SYSHECF_nuclear!$C$5:$C$292,0))*$E169),Keys!$C$5),Keys!$C$4)</f>
        <v>0.9</v>
      </c>
      <c r="S169">
        <f>IF($D169=1,ROUND(Keys!$C$2/(INDEX(Src_SYSHECF_nuclear!$Q$5:$Q$292,MATCH($C169,Src_SYSHECF_nuclear!$C$5:$C$292,0))*$E169),Keys!$C$5),Keys!$C$4)</f>
        <v>0.9</v>
      </c>
      <c r="T169">
        <f>IF($D169=1,ROUND(Keys!$C$2/(INDEX(Src_SYSHECF_nuclear!$R$5:$R$292,MATCH($C169,Src_SYSHECF_nuclear!$C$5:$C$292,0))*$E169),Keys!$C$5),Keys!$C$4)</f>
        <v>0.9</v>
      </c>
      <c r="U169">
        <f>IF($D169=1,ROUND(Keys!$C$2/(INDEX(Src_SYSHECF_nuclear!$S$5:$S$292,MATCH($C169,Src_SYSHECF_nuclear!$C$5:$C$292,0))*$E169),Keys!$C$5),Keys!$C$4)</f>
        <v>0.9</v>
      </c>
      <c r="V169">
        <f>IF($D169=1,ROUND(Keys!$C$2/(INDEX(Src_SYSHECF_nuclear!$T$5:$T$292,MATCH($C169,Src_SYSHECF_nuclear!$C$5:$C$292,0))*$E169),Keys!$C$5),Keys!$C$4)</f>
        <v>0.9</v>
      </c>
      <c r="W169">
        <f>IF($D169=1,ROUND(Keys!$C$2/(INDEX(Src_SYSHECF_nuclear!$U$5:$U$292,MATCH($C169,Src_SYSHECF_nuclear!$C$5:$C$292,0))*$E169),Keys!$C$5),Keys!$C$4)</f>
        <v>0.9</v>
      </c>
      <c r="X169">
        <f>IF($D169=1,ROUND(Keys!$C$2/(INDEX(Src_SYSHECF_nuclear!$V$5:$V$292,MATCH($C169,Src_SYSHECF_nuclear!$C$5:$C$292,0))*$E169),Keys!$C$5),Keys!$C$4)</f>
        <v>0.9</v>
      </c>
      <c r="Y169">
        <f>IF($D169=1,ROUND(Keys!$C$2/(INDEX(Src_SYSHECF_nuclear!$W$5:$W$292,MATCH($C169,Src_SYSHECF_nuclear!$C$5:$C$292,0))*$E169),Keys!$C$5),Keys!$C$4)</f>
        <v>0.9</v>
      </c>
      <c r="Z169">
        <f>IF($D169=1,ROUND(Keys!$C$2/(INDEX(Src_SYSHECF_nuclear!$X$5:$X$292,MATCH($C169,Src_SYSHECF_nuclear!$C$5:$C$292,0))*$E169),Keys!$C$5),Keys!$C$4)</f>
        <v>0.9</v>
      </c>
      <c r="AA169">
        <f>IF($D169=1,ROUND(Keys!$C$2/(INDEX(Src_SYSHECF_nuclear!$Y$5:$Y$292,MATCH($C169,Src_SYSHECF_nuclear!$C$5:$C$292,0))*$E169),Keys!$C$5),Keys!$C$4)</f>
        <v>0.9</v>
      </c>
      <c r="AB169">
        <f>IF($D169=1,ROUND(Keys!$C$2/(INDEX(Src_SYSHECF_nuclear!$Z$5:$Z$292,MATCH($C169,Src_SYSHECF_nuclear!$C$5:$C$292,0))*$E169),Keys!$C$5),Keys!$C$4)</f>
        <v>0.9</v>
      </c>
      <c r="AC169">
        <f>IF($D169=1,ROUND(Keys!$C$2/(INDEX(Src_SYSHECF_nuclear!$AA$5:$AA$292,MATCH($C169,Src_SYSHECF_nuclear!$C$5:$C$292,0))*$E169),Keys!$C$5),Keys!$C$4)</f>
        <v>0.9</v>
      </c>
      <c r="AE169">
        <f>IF($D169=1,IF(ABS(INDEX(Src_SYSHECF_nuclear!$D$5:$D$292,MATCH($C169,Src_SYSHECF_nuclear!$C$5:$C$292,0))*$E169*F169-Keys!$C$2)&gt;Keys!$C$6,1,0),0)</f>
        <v>0</v>
      </c>
    </row>
    <row r="170" spans="1:31" x14ac:dyDescent="0.45">
      <c r="A170" t="s">
        <v>55</v>
      </c>
      <c r="B170" t="s">
        <v>424</v>
      </c>
      <c r="C170" t="str">
        <f t="shared" si="2"/>
        <v>MI|Winter</v>
      </c>
      <c r="D170">
        <f>INDEX(Src_BHRaSYC_nuclear!$HF$5:$HF$52,MATCH($A170,Src_BHRaSYC_nuclear!$A$5:$A$52,0))</f>
        <v>1</v>
      </c>
      <c r="E170">
        <f>INDEX(Src_HYECFCA_nuclear!$B$5:$B$52,MATCH($A170,Src_HYECFCA_nuclear!$A$5:$A$52,0))</f>
        <v>1.02336</v>
      </c>
      <c r="F170">
        <f>IF($D170=1,ROUND(Keys!$C$2/(INDEX(Src_SYSHECF_nuclear!$D$5:$D$292,MATCH($C170,Src_SYSHECF_nuclear!$C$5:$C$292,0))*$E170),Keys!$C$5),Keys!$C$4)</f>
        <v>1.2676000000000001</v>
      </c>
      <c r="G170">
        <f>IF($D170=1,ROUND(Keys!$C$2/(INDEX(Src_SYSHECF_nuclear!$E$5:$E$292,MATCH($C170,Src_SYSHECF_nuclear!$C$5:$C$292,0))*$E170),Keys!$C$5),Keys!$C$4)</f>
        <v>1.2676000000000001</v>
      </c>
      <c r="H170">
        <f>IF($D170=1,ROUND(Keys!$C$2/(INDEX(Src_SYSHECF_nuclear!$F$5:$F$292,MATCH($C170,Src_SYSHECF_nuclear!$C$5:$C$292,0))*$E170),Keys!$C$5),Keys!$C$4)</f>
        <v>1.2676000000000001</v>
      </c>
      <c r="I170">
        <f>IF($D170=1,ROUND(Keys!$C$2/(INDEX(Src_SYSHECF_nuclear!$G$5:$G$292,MATCH($C170,Src_SYSHECF_nuclear!$C$5:$C$292,0))*$E170),Keys!$C$5),Keys!$C$4)</f>
        <v>1.2676000000000001</v>
      </c>
      <c r="J170">
        <f>IF($D170=1,ROUND(Keys!$C$2/(INDEX(Src_SYSHECF_nuclear!$H$5:$H$292,MATCH($C170,Src_SYSHECF_nuclear!$C$5:$C$292,0))*$E170),Keys!$C$5),Keys!$C$4)</f>
        <v>1.2676000000000001</v>
      </c>
      <c r="K170">
        <f>IF($D170=1,ROUND(Keys!$C$2/(INDEX(Src_SYSHECF_nuclear!$I$5:$I$292,MATCH($C170,Src_SYSHECF_nuclear!$C$5:$C$292,0))*$E170),Keys!$C$5),Keys!$C$4)</f>
        <v>1.2676000000000001</v>
      </c>
      <c r="L170">
        <f>IF($D170=1,ROUND(Keys!$C$2/(INDEX(Src_SYSHECF_nuclear!$J$5:$J$292,MATCH($C170,Src_SYSHECF_nuclear!$C$5:$C$292,0))*$E170),Keys!$C$5),Keys!$C$4)</f>
        <v>1.2676000000000001</v>
      </c>
      <c r="M170">
        <f>IF($D170=1,ROUND(Keys!$C$2/(INDEX(Src_SYSHECF_nuclear!$K$5:$K$292,MATCH($C170,Src_SYSHECF_nuclear!$C$5:$C$292,0))*$E170),Keys!$C$5),Keys!$C$4)</f>
        <v>1.2676000000000001</v>
      </c>
      <c r="N170">
        <f>IF($D170=1,ROUND(Keys!$C$2/(INDEX(Src_SYSHECF_nuclear!$L$5:$L$292,MATCH($C170,Src_SYSHECF_nuclear!$C$5:$C$292,0))*$E170),Keys!$C$5),Keys!$C$4)</f>
        <v>1.2676000000000001</v>
      </c>
      <c r="O170">
        <f>IF($D170=1,ROUND(Keys!$C$2/(INDEX(Src_SYSHECF_nuclear!$M$5:$M$292,MATCH($C170,Src_SYSHECF_nuclear!$C$5:$C$292,0))*$E170),Keys!$C$5),Keys!$C$4)</f>
        <v>1.2676000000000001</v>
      </c>
      <c r="P170">
        <f>IF($D170=1,ROUND(Keys!$C$2/(INDEX(Src_SYSHECF_nuclear!$N$5:$N$292,MATCH($C170,Src_SYSHECF_nuclear!$C$5:$C$292,0))*$E170),Keys!$C$5),Keys!$C$4)</f>
        <v>1.2676000000000001</v>
      </c>
      <c r="Q170">
        <f>IF($D170=1,ROUND(Keys!$C$2/(INDEX(Src_SYSHECF_nuclear!$O$5:$O$292,MATCH($C170,Src_SYSHECF_nuclear!$C$5:$C$292,0))*$E170),Keys!$C$5),Keys!$C$4)</f>
        <v>1.2676000000000001</v>
      </c>
      <c r="R170">
        <f>IF($D170=1,ROUND(Keys!$C$2/(INDEX(Src_SYSHECF_nuclear!$P$5:$P$292,MATCH($C170,Src_SYSHECF_nuclear!$C$5:$C$292,0))*$E170),Keys!$C$5),Keys!$C$4)</f>
        <v>1.2676000000000001</v>
      </c>
      <c r="S170">
        <f>IF($D170=1,ROUND(Keys!$C$2/(INDEX(Src_SYSHECF_nuclear!$Q$5:$Q$292,MATCH($C170,Src_SYSHECF_nuclear!$C$5:$C$292,0))*$E170),Keys!$C$5),Keys!$C$4)</f>
        <v>1.2676000000000001</v>
      </c>
      <c r="T170">
        <f>IF($D170=1,ROUND(Keys!$C$2/(INDEX(Src_SYSHECF_nuclear!$R$5:$R$292,MATCH($C170,Src_SYSHECF_nuclear!$C$5:$C$292,0))*$E170),Keys!$C$5),Keys!$C$4)</f>
        <v>1.2676000000000001</v>
      </c>
      <c r="U170">
        <f>IF($D170=1,ROUND(Keys!$C$2/(INDEX(Src_SYSHECF_nuclear!$S$5:$S$292,MATCH($C170,Src_SYSHECF_nuclear!$C$5:$C$292,0))*$E170),Keys!$C$5),Keys!$C$4)</f>
        <v>1.2676000000000001</v>
      </c>
      <c r="V170">
        <f>IF($D170=1,ROUND(Keys!$C$2/(INDEX(Src_SYSHECF_nuclear!$T$5:$T$292,MATCH($C170,Src_SYSHECF_nuclear!$C$5:$C$292,0))*$E170),Keys!$C$5),Keys!$C$4)</f>
        <v>1.2676000000000001</v>
      </c>
      <c r="W170">
        <f>IF($D170=1,ROUND(Keys!$C$2/(INDEX(Src_SYSHECF_nuclear!$U$5:$U$292,MATCH($C170,Src_SYSHECF_nuclear!$C$5:$C$292,0))*$E170),Keys!$C$5),Keys!$C$4)</f>
        <v>1.2676000000000001</v>
      </c>
      <c r="X170">
        <f>IF($D170=1,ROUND(Keys!$C$2/(INDEX(Src_SYSHECF_nuclear!$V$5:$V$292,MATCH($C170,Src_SYSHECF_nuclear!$C$5:$C$292,0))*$E170),Keys!$C$5),Keys!$C$4)</f>
        <v>1.2676000000000001</v>
      </c>
      <c r="Y170">
        <f>IF($D170=1,ROUND(Keys!$C$2/(INDEX(Src_SYSHECF_nuclear!$W$5:$W$292,MATCH($C170,Src_SYSHECF_nuclear!$C$5:$C$292,0))*$E170),Keys!$C$5),Keys!$C$4)</f>
        <v>1.2676000000000001</v>
      </c>
      <c r="Z170">
        <f>IF($D170=1,ROUND(Keys!$C$2/(INDEX(Src_SYSHECF_nuclear!$X$5:$X$292,MATCH($C170,Src_SYSHECF_nuclear!$C$5:$C$292,0))*$E170),Keys!$C$5),Keys!$C$4)</f>
        <v>1.2676000000000001</v>
      </c>
      <c r="AA170">
        <f>IF($D170=1,ROUND(Keys!$C$2/(INDEX(Src_SYSHECF_nuclear!$Y$5:$Y$292,MATCH($C170,Src_SYSHECF_nuclear!$C$5:$C$292,0))*$E170),Keys!$C$5),Keys!$C$4)</f>
        <v>1.2676000000000001</v>
      </c>
      <c r="AB170">
        <f>IF($D170=1,ROUND(Keys!$C$2/(INDEX(Src_SYSHECF_nuclear!$Z$5:$Z$292,MATCH($C170,Src_SYSHECF_nuclear!$C$5:$C$292,0))*$E170),Keys!$C$5),Keys!$C$4)</f>
        <v>1.2676000000000001</v>
      </c>
      <c r="AC170">
        <f>IF($D170=1,ROUND(Keys!$C$2/(INDEX(Src_SYSHECF_nuclear!$AA$5:$AA$292,MATCH($C170,Src_SYSHECF_nuclear!$C$5:$C$292,0))*$E170),Keys!$C$5),Keys!$C$4)</f>
        <v>1.2676000000000001</v>
      </c>
      <c r="AE170">
        <f>IF($D170=1,IF(ABS(INDEX(Src_SYSHECF_nuclear!$D$5:$D$292,MATCH($C170,Src_SYSHECF_nuclear!$C$5:$C$292,0))*$E170*F170-Keys!$C$2)&gt;Keys!$C$6,1,0),0)</f>
        <v>0</v>
      </c>
    </row>
    <row r="171" spans="1:31" x14ac:dyDescent="0.45">
      <c r="A171" t="s">
        <v>55</v>
      </c>
      <c r="B171" t="s">
        <v>425</v>
      </c>
      <c r="C171" t="str">
        <f t="shared" si="2"/>
        <v>MI|Spring</v>
      </c>
      <c r="D171">
        <f>INDEX(Src_BHRaSYC_nuclear!$HF$5:$HF$52,MATCH($A171,Src_BHRaSYC_nuclear!$A$5:$A$52,0))</f>
        <v>1</v>
      </c>
      <c r="E171">
        <f>INDEX(Src_HYECFCA_nuclear!$B$5:$B$52,MATCH($A171,Src_HYECFCA_nuclear!$A$5:$A$52,0))</f>
        <v>1.02336</v>
      </c>
      <c r="F171">
        <f>IF($D171=1,ROUND(Keys!$C$2/(INDEX(Src_SYSHECF_nuclear!$D$5:$D$292,MATCH($C171,Src_SYSHECF_nuclear!$C$5:$C$292,0))*$E171),Keys!$C$5),Keys!$C$4)</f>
        <v>1.2676000000000001</v>
      </c>
      <c r="G171">
        <f>IF($D171=1,ROUND(Keys!$C$2/(INDEX(Src_SYSHECF_nuclear!$E$5:$E$292,MATCH($C171,Src_SYSHECF_nuclear!$C$5:$C$292,0))*$E171),Keys!$C$5),Keys!$C$4)</f>
        <v>1.2676000000000001</v>
      </c>
      <c r="H171">
        <f>IF($D171=1,ROUND(Keys!$C$2/(INDEX(Src_SYSHECF_nuclear!$F$5:$F$292,MATCH($C171,Src_SYSHECF_nuclear!$C$5:$C$292,0))*$E171),Keys!$C$5),Keys!$C$4)</f>
        <v>1.2676000000000001</v>
      </c>
      <c r="I171">
        <f>IF($D171=1,ROUND(Keys!$C$2/(INDEX(Src_SYSHECF_nuclear!$G$5:$G$292,MATCH($C171,Src_SYSHECF_nuclear!$C$5:$C$292,0))*$E171),Keys!$C$5),Keys!$C$4)</f>
        <v>1.2676000000000001</v>
      </c>
      <c r="J171">
        <f>IF($D171=1,ROUND(Keys!$C$2/(INDEX(Src_SYSHECF_nuclear!$H$5:$H$292,MATCH($C171,Src_SYSHECF_nuclear!$C$5:$C$292,0))*$E171),Keys!$C$5),Keys!$C$4)</f>
        <v>1.2676000000000001</v>
      </c>
      <c r="K171">
        <f>IF($D171=1,ROUND(Keys!$C$2/(INDEX(Src_SYSHECF_nuclear!$I$5:$I$292,MATCH($C171,Src_SYSHECF_nuclear!$C$5:$C$292,0))*$E171),Keys!$C$5),Keys!$C$4)</f>
        <v>1.2676000000000001</v>
      </c>
      <c r="L171">
        <f>IF($D171=1,ROUND(Keys!$C$2/(INDEX(Src_SYSHECF_nuclear!$J$5:$J$292,MATCH($C171,Src_SYSHECF_nuclear!$C$5:$C$292,0))*$E171),Keys!$C$5),Keys!$C$4)</f>
        <v>1.2676000000000001</v>
      </c>
      <c r="M171">
        <f>IF($D171=1,ROUND(Keys!$C$2/(INDEX(Src_SYSHECF_nuclear!$K$5:$K$292,MATCH($C171,Src_SYSHECF_nuclear!$C$5:$C$292,0))*$E171),Keys!$C$5),Keys!$C$4)</f>
        <v>1.2676000000000001</v>
      </c>
      <c r="N171">
        <f>IF($D171=1,ROUND(Keys!$C$2/(INDEX(Src_SYSHECF_nuclear!$L$5:$L$292,MATCH($C171,Src_SYSHECF_nuclear!$C$5:$C$292,0))*$E171),Keys!$C$5),Keys!$C$4)</f>
        <v>1.2676000000000001</v>
      </c>
      <c r="O171">
        <f>IF($D171=1,ROUND(Keys!$C$2/(INDEX(Src_SYSHECF_nuclear!$M$5:$M$292,MATCH($C171,Src_SYSHECF_nuclear!$C$5:$C$292,0))*$E171),Keys!$C$5),Keys!$C$4)</f>
        <v>1.2676000000000001</v>
      </c>
      <c r="P171">
        <f>IF($D171=1,ROUND(Keys!$C$2/(INDEX(Src_SYSHECF_nuclear!$N$5:$N$292,MATCH($C171,Src_SYSHECF_nuclear!$C$5:$C$292,0))*$E171),Keys!$C$5),Keys!$C$4)</f>
        <v>1.2676000000000001</v>
      </c>
      <c r="Q171">
        <f>IF($D171=1,ROUND(Keys!$C$2/(INDEX(Src_SYSHECF_nuclear!$O$5:$O$292,MATCH($C171,Src_SYSHECF_nuclear!$C$5:$C$292,0))*$E171),Keys!$C$5),Keys!$C$4)</f>
        <v>1.2676000000000001</v>
      </c>
      <c r="R171">
        <f>IF($D171=1,ROUND(Keys!$C$2/(INDEX(Src_SYSHECF_nuclear!$P$5:$P$292,MATCH($C171,Src_SYSHECF_nuclear!$C$5:$C$292,0))*$E171),Keys!$C$5),Keys!$C$4)</f>
        <v>1.2676000000000001</v>
      </c>
      <c r="S171">
        <f>IF($D171=1,ROUND(Keys!$C$2/(INDEX(Src_SYSHECF_nuclear!$Q$5:$Q$292,MATCH($C171,Src_SYSHECF_nuclear!$C$5:$C$292,0))*$E171),Keys!$C$5),Keys!$C$4)</f>
        <v>1.2676000000000001</v>
      </c>
      <c r="T171">
        <f>IF($D171=1,ROUND(Keys!$C$2/(INDEX(Src_SYSHECF_nuclear!$R$5:$R$292,MATCH($C171,Src_SYSHECF_nuclear!$C$5:$C$292,0))*$E171),Keys!$C$5),Keys!$C$4)</f>
        <v>1.2676000000000001</v>
      </c>
      <c r="U171">
        <f>IF($D171=1,ROUND(Keys!$C$2/(INDEX(Src_SYSHECF_nuclear!$S$5:$S$292,MATCH($C171,Src_SYSHECF_nuclear!$C$5:$C$292,0))*$E171),Keys!$C$5),Keys!$C$4)</f>
        <v>1.2676000000000001</v>
      </c>
      <c r="V171">
        <f>IF($D171=1,ROUND(Keys!$C$2/(INDEX(Src_SYSHECF_nuclear!$T$5:$T$292,MATCH($C171,Src_SYSHECF_nuclear!$C$5:$C$292,0))*$E171),Keys!$C$5),Keys!$C$4)</f>
        <v>1.2676000000000001</v>
      </c>
      <c r="W171">
        <f>IF($D171=1,ROUND(Keys!$C$2/(INDEX(Src_SYSHECF_nuclear!$U$5:$U$292,MATCH($C171,Src_SYSHECF_nuclear!$C$5:$C$292,0))*$E171),Keys!$C$5),Keys!$C$4)</f>
        <v>1.2676000000000001</v>
      </c>
      <c r="X171">
        <f>IF($D171=1,ROUND(Keys!$C$2/(INDEX(Src_SYSHECF_nuclear!$V$5:$V$292,MATCH($C171,Src_SYSHECF_nuclear!$C$5:$C$292,0))*$E171),Keys!$C$5),Keys!$C$4)</f>
        <v>1.2676000000000001</v>
      </c>
      <c r="Y171">
        <f>IF($D171=1,ROUND(Keys!$C$2/(INDEX(Src_SYSHECF_nuclear!$W$5:$W$292,MATCH($C171,Src_SYSHECF_nuclear!$C$5:$C$292,0))*$E171),Keys!$C$5),Keys!$C$4)</f>
        <v>1.2676000000000001</v>
      </c>
      <c r="Z171">
        <f>IF($D171=1,ROUND(Keys!$C$2/(INDEX(Src_SYSHECF_nuclear!$X$5:$X$292,MATCH($C171,Src_SYSHECF_nuclear!$C$5:$C$292,0))*$E171),Keys!$C$5),Keys!$C$4)</f>
        <v>1.2676000000000001</v>
      </c>
      <c r="AA171">
        <f>IF($D171=1,ROUND(Keys!$C$2/(INDEX(Src_SYSHECF_nuclear!$Y$5:$Y$292,MATCH($C171,Src_SYSHECF_nuclear!$C$5:$C$292,0))*$E171),Keys!$C$5),Keys!$C$4)</f>
        <v>1.2676000000000001</v>
      </c>
      <c r="AB171">
        <f>IF($D171=1,ROUND(Keys!$C$2/(INDEX(Src_SYSHECF_nuclear!$Z$5:$Z$292,MATCH($C171,Src_SYSHECF_nuclear!$C$5:$C$292,0))*$E171),Keys!$C$5),Keys!$C$4)</f>
        <v>1.2676000000000001</v>
      </c>
      <c r="AC171">
        <f>IF($D171=1,ROUND(Keys!$C$2/(INDEX(Src_SYSHECF_nuclear!$AA$5:$AA$292,MATCH($C171,Src_SYSHECF_nuclear!$C$5:$C$292,0))*$E171),Keys!$C$5),Keys!$C$4)</f>
        <v>1.2676000000000001</v>
      </c>
      <c r="AE171">
        <f>IF($D171=1,IF(ABS(INDEX(Src_SYSHECF_nuclear!$D$5:$D$292,MATCH($C171,Src_SYSHECF_nuclear!$C$5:$C$292,0))*$E171*F171-Keys!$C$2)&gt;Keys!$C$6,1,0),0)</f>
        <v>0</v>
      </c>
    </row>
    <row r="172" spans="1:31" x14ac:dyDescent="0.45">
      <c r="A172" t="s">
        <v>55</v>
      </c>
      <c r="B172" t="s">
        <v>426</v>
      </c>
      <c r="C172" t="str">
        <f t="shared" si="2"/>
        <v>MI|Summer</v>
      </c>
      <c r="D172">
        <f>INDEX(Src_BHRaSYC_nuclear!$HF$5:$HF$52,MATCH($A172,Src_BHRaSYC_nuclear!$A$5:$A$52,0))</f>
        <v>1</v>
      </c>
      <c r="E172">
        <f>INDEX(Src_HYECFCA_nuclear!$B$5:$B$52,MATCH($A172,Src_HYECFCA_nuclear!$A$5:$A$52,0))</f>
        <v>1.02336</v>
      </c>
      <c r="F172">
        <f>IF($D172=1,ROUND(Keys!$C$2/(INDEX(Src_SYSHECF_nuclear!$D$5:$D$292,MATCH($C172,Src_SYSHECF_nuclear!$C$5:$C$292,0))*$E172),Keys!$C$5),Keys!$C$4)</f>
        <v>1.2676000000000001</v>
      </c>
      <c r="G172">
        <f>IF($D172=1,ROUND(Keys!$C$2/(INDEX(Src_SYSHECF_nuclear!$E$5:$E$292,MATCH($C172,Src_SYSHECF_nuclear!$C$5:$C$292,0))*$E172),Keys!$C$5),Keys!$C$4)</f>
        <v>1.2676000000000001</v>
      </c>
      <c r="H172">
        <f>IF($D172=1,ROUND(Keys!$C$2/(INDEX(Src_SYSHECF_nuclear!$F$5:$F$292,MATCH($C172,Src_SYSHECF_nuclear!$C$5:$C$292,0))*$E172),Keys!$C$5),Keys!$C$4)</f>
        <v>1.2676000000000001</v>
      </c>
      <c r="I172">
        <f>IF($D172=1,ROUND(Keys!$C$2/(INDEX(Src_SYSHECF_nuclear!$G$5:$G$292,MATCH($C172,Src_SYSHECF_nuclear!$C$5:$C$292,0))*$E172),Keys!$C$5),Keys!$C$4)</f>
        <v>1.2676000000000001</v>
      </c>
      <c r="J172">
        <f>IF($D172=1,ROUND(Keys!$C$2/(INDEX(Src_SYSHECF_nuclear!$H$5:$H$292,MATCH($C172,Src_SYSHECF_nuclear!$C$5:$C$292,0))*$E172),Keys!$C$5),Keys!$C$4)</f>
        <v>1.2676000000000001</v>
      </c>
      <c r="K172">
        <f>IF($D172=1,ROUND(Keys!$C$2/(INDEX(Src_SYSHECF_nuclear!$I$5:$I$292,MATCH($C172,Src_SYSHECF_nuclear!$C$5:$C$292,0))*$E172),Keys!$C$5),Keys!$C$4)</f>
        <v>1.2676000000000001</v>
      </c>
      <c r="L172">
        <f>IF($D172=1,ROUND(Keys!$C$2/(INDEX(Src_SYSHECF_nuclear!$J$5:$J$292,MATCH($C172,Src_SYSHECF_nuclear!$C$5:$C$292,0))*$E172),Keys!$C$5),Keys!$C$4)</f>
        <v>1.2690999999999999</v>
      </c>
      <c r="M172">
        <f>IF($D172=1,ROUND(Keys!$C$2/(INDEX(Src_SYSHECF_nuclear!$K$5:$K$292,MATCH($C172,Src_SYSHECF_nuclear!$C$5:$C$292,0))*$E172),Keys!$C$5),Keys!$C$4)</f>
        <v>1.2676000000000001</v>
      </c>
      <c r="N172">
        <f>IF($D172=1,ROUND(Keys!$C$2/(INDEX(Src_SYSHECF_nuclear!$L$5:$L$292,MATCH($C172,Src_SYSHECF_nuclear!$C$5:$C$292,0))*$E172),Keys!$C$5),Keys!$C$4)</f>
        <v>1.2676000000000001</v>
      </c>
      <c r="O172">
        <f>IF($D172=1,ROUND(Keys!$C$2/(INDEX(Src_SYSHECF_nuclear!$M$5:$M$292,MATCH($C172,Src_SYSHECF_nuclear!$C$5:$C$292,0))*$E172),Keys!$C$5),Keys!$C$4)</f>
        <v>1.2676000000000001</v>
      </c>
      <c r="P172">
        <f>IF($D172=1,ROUND(Keys!$C$2/(INDEX(Src_SYSHECF_nuclear!$N$5:$N$292,MATCH($C172,Src_SYSHECF_nuclear!$C$5:$C$292,0))*$E172),Keys!$C$5),Keys!$C$4)</f>
        <v>1.2676000000000001</v>
      </c>
      <c r="Q172">
        <f>IF($D172=1,ROUND(Keys!$C$2/(INDEX(Src_SYSHECF_nuclear!$O$5:$O$292,MATCH($C172,Src_SYSHECF_nuclear!$C$5:$C$292,0))*$E172),Keys!$C$5),Keys!$C$4)</f>
        <v>1.2676000000000001</v>
      </c>
      <c r="R172">
        <f>IF($D172=1,ROUND(Keys!$C$2/(INDEX(Src_SYSHECF_nuclear!$P$5:$P$292,MATCH($C172,Src_SYSHECF_nuclear!$C$5:$C$292,0))*$E172),Keys!$C$5),Keys!$C$4)</f>
        <v>1.2676000000000001</v>
      </c>
      <c r="S172">
        <f>IF($D172=1,ROUND(Keys!$C$2/(INDEX(Src_SYSHECF_nuclear!$Q$5:$Q$292,MATCH($C172,Src_SYSHECF_nuclear!$C$5:$C$292,0))*$E172),Keys!$C$5),Keys!$C$4)</f>
        <v>1.2676000000000001</v>
      </c>
      <c r="T172">
        <f>IF($D172=1,ROUND(Keys!$C$2/(INDEX(Src_SYSHECF_nuclear!$R$5:$R$292,MATCH($C172,Src_SYSHECF_nuclear!$C$5:$C$292,0))*$E172),Keys!$C$5),Keys!$C$4)</f>
        <v>1.2676000000000001</v>
      </c>
      <c r="U172">
        <f>IF($D172=1,ROUND(Keys!$C$2/(INDEX(Src_SYSHECF_nuclear!$S$5:$S$292,MATCH($C172,Src_SYSHECF_nuclear!$C$5:$C$292,0))*$E172),Keys!$C$5),Keys!$C$4)</f>
        <v>1.2676000000000001</v>
      </c>
      <c r="V172">
        <f>IF($D172=1,ROUND(Keys!$C$2/(INDEX(Src_SYSHECF_nuclear!$T$5:$T$292,MATCH($C172,Src_SYSHECF_nuclear!$C$5:$C$292,0))*$E172),Keys!$C$5),Keys!$C$4)</f>
        <v>1.2676000000000001</v>
      </c>
      <c r="W172">
        <f>IF($D172=1,ROUND(Keys!$C$2/(INDEX(Src_SYSHECF_nuclear!$U$5:$U$292,MATCH($C172,Src_SYSHECF_nuclear!$C$5:$C$292,0))*$E172),Keys!$C$5),Keys!$C$4)</f>
        <v>1.2676000000000001</v>
      </c>
      <c r="X172">
        <f>IF($D172=1,ROUND(Keys!$C$2/(INDEX(Src_SYSHECF_nuclear!$V$5:$V$292,MATCH($C172,Src_SYSHECF_nuclear!$C$5:$C$292,0))*$E172),Keys!$C$5),Keys!$C$4)</f>
        <v>1.2676000000000001</v>
      </c>
      <c r="Y172">
        <f>IF($D172=1,ROUND(Keys!$C$2/(INDEX(Src_SYSHECF_nuclear!$W$5:$W$292,MATCH($C172,Src_SYSHECF_nuclear!$C$5:$C$292,0))*$E172),Keys!$C$5),Keys!$C$4)</f>
        <v>1.2676000000000001</v>
      </c>
      <c r="Z172">
        <f>IF($D172=1,ROUND(Keys!$C$2/(INDEX(Src_SYSHECF_nuclear!$X$5:$X$292,MATCH($C172,Src_SYSHECF_nuclear!$C$5:$C$292,0))*$E172),Keys!$C$5),Keys!$C$4)</f>
        <v>1.2676000000000001</v>
      </c>
      <c r="AA172">
        <f>IF($D172=1,ROUND(Keys!$C$2/(INDEX(Src_SYSHECF_nuclear!$Y$5:$Y$292,MATCH($C172,Src_SYSHECF_nuclear!$C$5:$C$292,0))*$E172),Keys!$C$5),Keys!$C$4)</f>
        <v>1.2676000000000001</v>
      </c>
      <c r="AB172">
        <f>IF($D172=1,ROUND(Keys!$C$2/(INDEX(Src_SYSHECF_nuclear!$Z$5:$Z$292,MATCH($C172,Src_SYSHECF_nuclear!$C$5:$C$292,0))*$E172),Keys!$C$5),Keys!$C$4)</f>
        <v>1.2676000000000001</v>
      </c>
      <c r="AC172">
        <f>IF($D172=1,ROUND(Keys!$C$2/(INDEX(Src_SYSHECF_nuclear!$AA$5:$AA$292,MATCH($C172,Src_SYSHECF_nuclear!$C$5:$C$292,0))*$E172),Keys!$C$5),Keys!$C$4)</f>
        <v>1.2676000000000001</v>
      </c>
      <c r="AE172">
        <f>IF($D172=1,IF(ABS(INDEX(Src_SYSHECF_nuclear!$D$5:$D$292,MATCH($C172,Src_SYSHECF_nuclear!$C$5:$C$292,0))*$E172*F172-Keys!$C$2)&gt;Keys!$C$6,1,0),0)</f>
        <v>0</v>
      </c>
    </row>
    <row r="173" spans="1:31" x14ac:dyDescent="0.45">
      <c r="A173" t="s">
        <v>55</v>
      </c>
      <c r="B173" t="s">
        <v>427</v>
      </c>
      <c r="C173" t="str">
        <f t="shared" si="2"/>
        <v>MI|Fall</v>
      </c>
      <c r="D173">
        <f>INDEX(Src_BHRaSYC_nuclear!$HF$5:$HF$52,MATCH($A173,Src_BHRaSYC_nuclear!$A$5:$A$52,0))</f>
        <v>1</v>
      </c>
      <c r="E173">
        <f>INDEX(Src_HYECFCA_nuclear!$B$5:$B$52,MATCH($A173,Src_HYECFCA_nuclear!$A$5:$A$52,0))</f>
        <v>1.02336</v>
      </c>
      <c r="F173">
        <f>IF($D173=1,ROUND(Keys!$C$2/(INDEX(Src_SYSHECF_nuclear!$D$5:$D$292,MATCH($C173,Src_SYSHECF_nuclear!$C$5:$C$292,0))*$E173),Keys!$C$5),Keys!$C$4)</f>
        <v>1.2676000000000001</v>
      </c>
      <c r="G173">
        <f>IF($D173=1,ROUND(Keys!$C$2/(INDEX(Src_SYSHECF_nuclear!$E$5:$E$292,MATCH($C173,Src_SYSHECF_nuclear!$C$5:$C$292,0))*$E173),Keys!$C$5),Keys!$C$4)</f>
        <v>1.2676000000000001</v>
      </c>
      <c r="H173">
        <f>IF($D173=1,ROUND(Keys!$C$2/(INDEX(Src_SYSHECF_nuclear!$F$5:$F$292,MATCH($C173,Src_SYSHECF_nuclear!$C$5:$C$292,0))*$E173),Keys!$C$5),Keys!$C$4)</f>
        <v>1.2676000000000001</v>
      </c>
      <c r="I173">
        <f>IF($D173=1,ROUND(Keys!$C$2/(INDEX(Src_SYSHECF_nuclear!$G$5:$G$292,MATCH($C173,Src_SYSHECF_nuclear!$C$5:$C$292,0))*$E173),Keys!$C$5),Keys!$C$4)</f>
        <v>1.2676000000000001</v>
      </c>
      <c r="J173">
        <f>IF($D173=1,ROUND(Keys!$C$2/(INDEX(Src_SYSHECF_nuclear!$H$5:$H$292,MATCH($C173,Src_SYSHECF_nuclear!$C$5:$C$292,0))*$E173),Keys!$C$5),Keys!$C$4)</f>
        <v>1.2676000000000001</v>
      </c>
      <c r="K173">
        <f>IF($D173=1,ROUND(Keys!$C$2/(INDEX(Src_SYSHECF_nuclear!$I$5:$I$292,MATCH($C173,Src_SYSHECF_nuclear!$C$5:$C$292,0))*$E173),Keys!$C$5),Keys!$C$4)</f>
        <v>1.2676000000000001</v>
      </c>
      <c r="L173">
        <f>IF($D173=1,ROUND(Keys!$C$2/(INDEX(Src_SYSHECF_nuclear!$J$5:$J$292,MATCH($C173,Src_SYSHECF_nuclear!$C$5:$C$292,0))*$E173),Keys!$C$5),Keys!$C$4)</f>
        <v>1.2676000000000001</v>
      </c>
      <c r="M173">
        <f>IF($D173=1,ROUND(Keys!$C$2/(INDEX(Src_SYSHECF_nuclear!$K$5:$K$292,MATCH($C173,Src_SYSHECF_nuclear!$C$5:$C$292,0))*$E173),Keys!$C$5),Keys!$C$4)</f>
        <v>1.2676000000000001</v>
      </c>
      <c r="N173">
        <f>IF($D173=1,ROUND(Keys!$C$2/(INDEX(Src_SYSHECF_nuclear!$L$5:$L$292,MATCH($C173,Src_SYSHECF_nuclear!$C$5:$C$292,0))*$E173),Keys!$C$5),Keys!$C$4)</f>
        <v>1.2676000000000001</v>
      </c>
      <c r="O173">
        <f>IF($D173=1,ROUND(Keys!$C$2/(INDEX(Src_SYSHECF_nuclear!$M$5:$M$292,MATCH($C173,Src_SYSHECF_nuclear!$C$5:$C$292,0))*$E173),Keys!$C$5),Keys!$C$4)</f>
        <v>1.2676000000000001</v>
      </c>
      <c r="P173">
        <f>IF($D173=1,ROUND(Keys!$C$2/(INDEX(Src_SYSHECF_nuclear!$N$5:$N$292,MATCH($C173,Src_SYSHECF_nuclear!$C$5:$C$292,0))*$E173),Keys!$C$5),Keys!$C$4)</f>
        <v>1.2676000000000001</v>
      </c>
      <c r="Q173">
        <f>IF($D173=1,ROUND(Keys!$C$2/(INDEX(Src_SYSHECF_nuclear!$O$5:$O$292,MATCH($C173,Src_SYSHECF_nuclear!$C$5:$C$292,0))*$E173),Keys!$C$5),Keys!$C$4)</f>
        <v>1.2676000000000001</v>
      </c>
      <c r="R173">
        <f>IF($D173=1,ROUND(Keys!$C$2/(INDEX(Src_SYSHECF_nuclear!$P$5:$P$292,MATCH($C173,Src_SYSHECF_nuclear!$C$5:$C$292,0))*$E173),Keys!$C$5),Keys!$C$4)</f>
        <v>1.2676000000000001</v>
      </c>
      <c r="S173">
        <f>IF($D173=1,ROUND(Keys!$C$2/(INDEX(Src_SYSHECF_nuclear!$Q$5:$Q$292,MATCH($C173,Src_SYSHECF_nuclear!$C$5:$C$292,0))*$E173),Keys!$C$5),Keys!$C$4)</f>
        <v>1.2676000000000001</v>
      </c>
      <c r="T173">
        <f>IF($D173=1,ROUND(Keys!$C$2/(INDEX(Src_SYSHECF_nuclear!$R$5:$R$292,MATCH($C173,Src_SYSHECF_nuclear!$C$5:$C$292,0))*$E173),Keys!$C$5),Keys!$C$4)</f>
        <v>1.2676000000000001</v>
      </c>
      <c r="U173">
        <f>IF($D173=1,ROUND(Keys!$C$2/(INDEX(Src_SYSHECF_nuclear!$S$5:$S$292,MATCH($C173,Src_SYSHECF_nuclear!$C$5:$C$292,0))*$E173),Keys!$C$5),Keys!$C$4)</f>
        <v>1.2676000000000001</v>
      </c>
      <c r="V173">
        <f>IF($D173=1,ROUND(Keys!$C$2/(INDEX(Src_SYSHECF_nuclear!$T$5:$T$292,MATCH($C173,Src_SYSHECF_nuclear!$C$5:$C$292,0))*$E173),Keys!$C$5),Keys!$C$4)</f>
        <v>1.2676000000000001</v>
      </c>
      <c r="W173">
        <f>IF($D173=1,ROUND(Keys!$C$2/(INDEX(Src_SYSHECF_nuclear!$U$5:$U$292,MATCH($C173,Src_SYSHECF_nuclear!$C$5:$C$292,0))*$E173),Keys!$C$5),Keys!$C$4)</f>
        <v>1.2676000000000001</v>
      </c>
      <c r="X173">
        <f>IF($D173=1,ROUND(Keys!$C$2/(INDEX(Src_SYSHECF_nuclear!$V$5:$V$292,MATCH($C173,Src_SYSHECF_nuclear!$C$5:$C$292,0))*$E173),Keys!$C$5),Keys!$C$4)</f>
        <v>1.2676000000000001</v>
      </c>
      <c r="Y173">
        <f>IF($D173=1,ROUND(Keys!$C$2/(INDEX(Src_SYSHECF_nuclear!$W$5:$W$292,MATCH($C173,Src_SYSHECF_nuclear!$C$5:$C$292,0))*$E173),Keys!$C$5),Keys!$C$4)</f>
        <v>1.2676000000000001</v>
      </c>
      <c r="Z173">
        <f>IF($D173=1,ROUND(Keys!$C$2/(INDEX(Src_SYSHECF_nuclear!$X$5:$X$292,MATCH($C173,Src_SYSHECF_nuclear!$C$5:$C$292,0))*$E173),Keys!$C$5),Keys!$C$4)</f>
        <v>1.2676000000000001</v>
      </c>
      <c r="AA173">
        <f>IF($D173=1,ROUND(Keys!$C$2/(INDEX(Src_SYSHECF_nuclear!$Y$5:$Y$292,MATCH($C173,Src_SYSHECF_nuclear!$C$5:$C$292,0))*$E173),Keys!$C$5),Keys!$C$4)</f>
        <v>1.2676000000000001</v>
      </c>
      <c r="AB173">
        <f>IF($D173=1,ROUND(Keys!$C$2/(INDEX(Src_SYSHECF_nuclear!$Z$5:$Z$292,MATCH($C173,Src_SYSHECF_nuclear!$C$5:$C$292,0))*$E173),Keys!$C$5),Keys!$C$4)</f>
        <v>1.2676000000000001</v>
      </c>
      <c r="AC173">
        <f>IF($D173=1,ROUND(Keys!$C$2/(INDEX(Src_SYSHECF_nuclear!$AA$5:$AA$292,MATCH($C173,Src_SYSHECF_nuclear!$C$5:$C$292,0))*$E173),Keys!$C$5),Keys!$C$4)</f>
        <v>1.2676000000000001</v>
      </c>
      <c r="AE173">
        <f>IF($D173=1,IF(ABS(INDEX(Src_SYSHECF_nuclear!$D$5:$D$292,MATCH($C173,Src_SYSHECF_nuclear!$C$5:$C$292,0))*$E173*F173-Keys!$C$2)&gt;Keys!$C$6,1,0),0)</f>
        <v>0</v>
      </c>
    </row>
    <row r="174" spans="1:31" x14ac:dyDescent="0.45">
      <c r="A174" t="s">
        <v>55</v>
      </c>
      <c r="B174" t="s">
        <v>428</v>
      </c>
      <c r="C174" t="str">
        <f t="shared" si="2"/>
        <v>MI|Summer Peak</v>
      </c>
      <c r="D174">
        <f>INDEX(Src_BHRaSYC_nuclear!$HF$5:$HF$52,MATCH($A174,Src_BHRaSYC_nuclear!$A$5:$A$52,0))</f>
        <v>1</v>
      </c>
      <c r="E174">
        <f>INDEX(Src_HYECFCA_nuclear!$B$5:$B$52,MATCH($A174,Src_HYECFCA_nuclear!$A$5:$A$52,0))</f>
        <v>1.02336</v>
      </c>
      <c r="F174">
        <f>IF($D174=1,ROUND(Keys!$C$2/(INDEX(Src_SYSHECF_nuclear!$D$5:$D$292,MATCH($C174,Src_SYSHECF_nuclear!$C$5:$C$292,0))*$E174),Keys!$C$5),Keys!$C$4)</f>
        <v>1.2676000000000001</v>
      </c>
      <c r="G174">
        <f>IF($D174=1,ROUND(Keys!$C$2/(INDEX(Src_SYSHECF_nuclear!$E$5:$E$292,MATCH($C174,Src_SYSHECF_nuclear!$C$5:$C$292,0))*$E174),Keys!$C$5),Keys!$C$4)</f>
        <v>1.2676000000000001</v>
      </c>
      <c r="H174">
        <f>IF($D174=1,ROUND(Keys!$C$2/(INDEX(Src_SYSHECF_nuclear!$F$5:$F$292,MATCH($C174,Src_SYSHECF_nuclear!$C$5:$C$292,0))*$E174),Keys!$C$5),Keys!$C$4)</f>
        <v>1.2676000000000001</v>
      </c>
      <c r="I174">
        <f>IF($D174=1,ROUND(Keys!$C$2/(INDEX(Src_SYSHECF_nuclear!$G$5:$G$292,MATCH($C174,Src_SYSHECF_nuclear!$C$5:$C$292,0))*$E174),Keys!$C$5),Keys!$C$4)</f>
        <v>1.2676000000000001</v>
      </c>
      <c r="J174">
        <f>IF($D174=1,ROUND(Keys!$C$2/(INDEX(Src_SYSHECF_nuclear!$H$5:$H$292,MATCH($C174,Src_SYSHECF_nuclear!$C$5:$C$292,0))*$E174),Keys!$C$5),Keys!$C$4)</f>
        <v>1.2676000000000001</v>
      </c>
      <c r="K174">
        <f>IF($D174=1,ROUND(Keys!$C$2/(INDEX(Src_SYSHECF_nuclear!$I$5:$I$292,MATCH($C174,Src_SYSHECF_nuclear!$C$5:$C$292,0))*$E174),Keys!$C$5),Keys!$C$4)</f>
        <v>1.2676000000000001</v>
      </c>
      <c r="L174">
        <f>IF($D174=1,ROUND(Keys!$C$2/(INDEX(Src_SYSHECF_nuclear!$J$5:$J$292,MATCH($C174,Src_SYSHECF_nuclear!$C$5:$C$292,0))*$E174),Keys!$C$5),Keys!$C$4)</f>
        <v>1.2676000000000001</v>
      </c>
      <c r="M174">
        <f>IF($D174=1,ROUND(Keys!$C$2/(INDEX(Src_SYSHECF_nuclear!$K$5:$K$292,MATCH($C174,Src_SYSHECF_nuclear!$C$5:$C$292,0))*$E174),Keys!$C$5),Keys!$C$4)</f>
        <v>1.2676000000000001</v>
      </c>
      <c r="N174">
        <f>IF($D174=1,ROUND(Keys!$C$2/(INDEX(Src_SYSHECF_nuclear!$L$5:$L$292,MATCH($C174,Src_SYSHECF_nuclear!$C$5:$C$292,0))*$E174),Keys!$C$5),Keys!$C$4)</f>
        <v>1.2676000000000001</v>
      </c>
      <c r="O174">
        <f>IF($D174=1,ROUND(Keys!$C$2/(INDEX(Src_SYSHECF_nuclear!$M$5:$M$292,MATCH($C174,Src_SYSHECF_nuclear!$C$5:$C$292,0))*$E174),Keys!$C$5),Keys!$C$4)</f>
        <v>1.2676000000000001</v>
      </c>
      <c r="P174">
        <f>IF($D174=1,ROUND(Keys!$C$2/(INDEX(Src_SYSHECF_nuclear!$N$5:$N$292,MATCH($C174,Src_SYSHECF_nuclear!$C$5:$C$292,0))*$E174),Keys!$C$5),Keys!$C$4)</f>
        <v>1.2676000000000001</v>
      </c>
      <c r="Q174">
        <f>IF($D174=1,ROUND(Keys!$C$2/(INDEX(Src_SYSHECF_nuclear!$O$5:$O$292,MATCH($C174,Src_SYSHECF_nuclear!$C$5:$C$292,0))*$E174),Keys!$C$5),Keys!$C$4)</f>
        <v>1.2676000000000001</v>
      </c>
      <c r="R174">
        <f>IF($D174=1,ROUND(Keys!$C$2/(INDEX(Src_SYSHECF_nuclear!$P$5:$P$292,MATCH($C174,Src_SYSHECF_nuclear!$C$5:$C$292,0))*$E174),Keys!$C$5),Keys!$C$4)</f>
        <v>1.2676000000000001</v>
      </c>
      <c r="S174">
        <f>IF($D174=1,ROUND(Keys!$C$2/(INDEX(Src_SYSHECF_nuclear!$Q$5:$Q$292,MATCH($C174,Src_SYSHECF_nuclear!$C$5:$C$292,0))*$E174),Keys!$C$5),Keys!$C$4)</f>
        <v>1.2676000000000001</v>
      </c>
      <c r="T174">
        <f>IF($D174=1,ROUND(Keys!$C$2/(INDEX(Src_SYSHECF_nuclear!$R$5:$R$292,MATCH($C174,Src_SYSHECF_nuclear!$C$5:$C$292,0))*$E174),Keys!$C$5),Keys!$C$4)</f>
        <v>1.2676000000000001</v>
      </c>
      <c r="U174">
        <f>IF($D174=1,ROUND(Keys!$C$2/(INDEX(Src_SYSHECF_nuclear!$S$5:$S$292,MATCH($C174,Src_SYSHECF_nuclear!$C$5:$C$292,0))*$E174),Keys!$C$5),Keys!$C$4)</f>
        <v>1.2676000000000001</v>
      </c>
      <c r="V174">
        <f>IF($D174=1,ROUND(Keys!$C$2/(INDEX(Src_SYSHECF_nuclear!$T$5:$T$292,MATCH($C174,Src_SYSHECF_nuclear!$C$5:$C$292,0))*$E174),Keys!$C$5),Keys!$C$4)</f>
        <v>1.2676000000000001</v>
      </c>
      <c r="W174">
        <f>IF($D174=1,ROUND(Keys!$C$2/(INDEX(Src_SYSHECF_nuclear!$U$5:$U$292,MATCH($C174,Src_SYSHECF_nuclear!$C$5:$C$292,0))*$E174),Keys!$C$5),Keys!$C$4)</f>
        <v>1.2676000000000001</v>
      </c>
      <c r="X174">
        <f>IF($D174=1,ROUND(Keys!$C$2/(INDEX(Src_SYSHECF_nuclear!$V$5:$V$292,MATCH($C174,Src_SYSHECF_nuclear!$C$5:$C$292,0))*$E174),Keys!$C$5),Keys!$C$4)</f>
        <v>1.2676000000000001</v>
      </c>
      <c r="Y174">
        <f>IF($D174=1,ROUND(Keys!$C$2/(INDEX(Src_SYSHECF_nuclear!$W$5:$W$292,MATCH($C174,Src_SYSHECF_nuclear!$C$5:$C$292,0))*$E174),Keys!$C$5),Keys!$C$4)</f>
        <v>1.2676000000000001</v>
      </c>
      <c r="Z174">
        <f>IF($D174=1,ROUND(Keys!$C$2/(INDEX(Src_SYSHECF_nuclear!$X$5:$X$292,MATCH($C174,Src_SYSHECF_nuclear!$C$5:$C$292,0))*$E174),Keys!$C$5),Keys!$C$4)</f>
        <v>1.2676000000000001</v>
      </c>
      <c r="AA174">
        <f>IF($D174=1,ROUND(Keys!$C$2/(INDEX(Src_SYSHECF_nuclear!$Y$5:$Y$292,MATCH($C174,Src_SYSHECF_nuclear!$C$5:$C$292,0))*$E174),Keys!$C$5),Keys!$C$4)</f>
        <v>1.2676000000000001</v>
      </c>
      <c r="AB174">
        <f>IF($D174=1,ROUND(Keys!$C$2/(INDEX(Src_SYSHECF_nuclear!$Z$5:$Z$292,MATCH($C174,Src_SYSHECF_nuclear!$C$5:$C$292,0))*$E174),Keys!$C$5),Keys!$C$4)</f>
        <v>1.2676000000000001</v>
      </c>
      <c r="AC174">
        <f>IF($D174=1,ROUND(Keys!$C$2/(INDEX(Src_SYSHECF_nuclear!$AA$5:$AA$292,MATCH($C174,Src_SYSHECF_nuclear!$C$5:$C$292,0))*$E174),Keys!$C$5),Keys!$C$4)</f>
        <v>1.2676000000000001</v>
      </c>
      <c r="AE174">
        <f>IF($D174=1,IF(ABS(INDEX(Src_SYSHECF_nuclear!$D$5:$D$292,MATCH($C174,Src_SYSHECF_nuclear!$C$5:$C$292,0))*$E174*F174-Keys!$C$2)&gt;Keys!$C$6,1,0),0)</f>
        <v>0</v>
      </c>
    </row>
    <row r="175" spans="1:31" x14ac:dyDescent="0.45">
      <c r="A175" t="s">
        <v>55</v>
      </c>
      <c r="B175" t="s">
        <v>429</v>
      </c>
      <c r="C175" t="str">
        <f t="shared" si="2"/>
        <v>MI|Winter Peak</v>
      </c>
      <c r="D175">
        <f>INDEX(Src_BHRaSYC_nuclear!$HF$5:$HF$52,MATCH($A175,Src_BHRaSYC_nuclear!$A$5:$A$52,0))</f>
        <v>1</v>
      </c>
      <c r="E175">
        <f>INDEX(Src_HYECFCA_nuclear!$B$5:$B$52,MATCH($A175,Src_HYECFCA_nuclear!$A$5:$A$52,0))</f>
        <v>1.02336</v>
      </c>
      <c r="F175">
        <f>IF($D175=1,ROUND(Keys!$C$2/(INDEX(Src_SYSHECF_nuclear!$D$5:$D$292,MATCH($C175,Src_SYSHECF_nuclear!$C$5:$C$292,0))*$E175),Keys!$C$5),Keys!$C$4)</f>
        <v>1.2676000000000001</v>
      </c>
      <c r="G175">
        <f>IF($D175=1,ROUND(Keys!$C$2/(INDEX(Src_SYSHECF_nuclear!$E$5:$E$292,MATCH($C175,Src_SYSHECF_nuclear!$C$5:$C$292,0))*$E175),Keys!$C$5),Keys!$C$4)</f>
        <v>1.2676000000000001</v>
      </c>
      <c r="H175">
        <f>IF($D175=1,ROUND(Keys!$C$2/(INDEX(Src_SYSHECF_nuclear!$F$5:$F$292,MATCH($C175,Src_SYSHECF_nuclear!$C$5:$C$292,0))*$E175),Keys!$C$5),Keys!$C$4)</f>
        <v>1.2676000000000001</v>
      </c>
      <c r="I175">
        <f>IF($D175=1,ROUND(Keys!$C$2/(INDEX(Src_SYSHECF_nuclear!$G$5:$G$292,MATCH($C175,Src_SYSHECF_nuclear!$C$5:$C$292,0))*$E175),Keys!$C$5),Keys!$C$4)</f>
        <v>1.2676000000000001</v>
      </c>
      <c r="J175">
        <f>IF($D175=1,ROUND(Keys!$C$2/(INDEX(Src_SYSHECF_nuclear!$H$5:$H$292,MATCH($C175,Src_SYSHECF_nuclear!$C$5:$C$292,0))*$E175),Keys!$C$5),Keys!$C$4)</f>
        <v>1.2676000000000001</v>
      </c>
      <c r="K175">
        <f>IF($D175=1,ROUND(Keys!$C$2/(INDEX(Src_SYSHECF_nuclear!$I$5:$I$292,MATCH($C175,Src_SYSHECF_nuclear!$C$5:$C$292,0))*$E175),Keys!$C$5),Keys!$C$4)</f>
        <v>1.2676000000000001</v>
      </c>
      <c r="L175">
        <f>IF($D175=1,ROUND(Keys!$C$2/(INDEX(Src_SYSHECF_nuclear!$J$5:$J$292,MATCH($C175,Src_SYSHECF_nuclear!$C$5:$C$292,0))*$E175),Keys!$C$5),Keys!$C$4)</f>
        <v>1.2676000000000001</v>
      </c>
      <c r="M175">
        <f>IF($D175=1,ROUND(Keys!$C$2/(INDEX(Src_SYSHECF_nuclear!$K$5:$K$292,MATCH($C175,Src_SYSHECF_nuclear!$C$5:$C$292,0))*$E175),Keys!$C$5),Keys!$C$4)</f>
        <v>1.2676000000000001</v>
      </c>
      <c r="N175">
        <f>IF($D175=1,ROUND(Keys!$C$2/(INDEX(Src_SYSHECF_nuclear!$L$5:$L$292,MATCH($C175,Src_SYSHECF_nuclear!$C$5:$C$292,0))*$E175),Keys!$C$5),Keys!$C$4)</f>
        <v>1.2676000000000001</v>
      </c>
      <c r="O175">
        <f>IF($D175=1,ROUND(Keys!$C$2/(INDEX(Src_SYSHECF_nuclear!$M$5:$M$292,MATCH($C175,Src_SYSHECF_nuclear!$C$5:$C$292,0))*$E175),Keys!$C$5),Keys!$C$4)</f>
        <v>1.2676000000000001</v>
      </c>
      <c r="P175">
        <f>IF($D175=1,ROUND(Keys!$C$2/(INDEX(Src_SYSHECF_nuclear!$N$5:$N$292,MATCH($C175,Src_SYSHECF_nuclear!$C$5:$C$292,0))*$E175),Keys!$C$5),Keys!$C$4)</f>
        <v>1.2676000000000001</v>
      </c>
      <c r="Q175">
        <f>IF($D175=1,ROUND(Keys!$C$2/(INDEX(Src_SYSHECF_nuclear!$O$5:$O$292,MATCH($C175,Src_SYSHECF_nuclear!$C$5:$C$292,0))*$E175),Keys!$C$5),Keys!$C$4)</f>
        <v>1.2676000000000001</v>
      </c>
      <c r="R175">
        <f>IF($D175=1,ROUND(Keys!$C$2/(INDEX(Src_SYSHECF_nuclear!$P$5:$P$292,MATCH($C175,Src_SYSHECF_nuclear!$C$5:$C$292,0))*$E175),Keys!$C$5),Keys!$C$4)</f>
        <v>1.2676000000000001</v>
      </c>
      <c r="S175">
        <f>IF($D175=1,ROUND(Keys!$C$2/(INDEX(Src_SYSHECF_nuclear!$Q$5:$Q$292,MATCH($C175,Src_SYSHECF_nuclear!$C$5:$C$292,0))*$E175),Keys!$C$5),Keys!$C$4)</f>
        <v>1.2676000000000001</v>
      </c>
      <c r="T175">
        <f>IF($D175=1,ROUND(Keys!$C$2/(INDEX(Src_SYSHECF_nuclear!$R$5:$R$292,MATCH($C175,Src_SYSHECF_nuclear!$C$5:$C$292,0))*$E175),Keys!$C$5),Keys!$C$4)</f>
        <v>1.2676000000000001</v>
      </c>
      <c r="U175">
        <f>IF($D175=1,ROUND(Keys!$C$2/(INDEX(Src_SYSHECF_nuclear!$S$5:$S$292,MATCH($C175,Src_SYSHECF_nuclear!$C$5:$C$292,0))*$E175),Keys!$C$5),Keys!$C$4)</f>
        <v>1.2676000000000001</v>
      </c>
      <c r="V175">
        <f>IF($D175=1,ROUND(Keys!$C$2/(INDEX(Src_SYSHECF_nuclear!$T$5:$T$292,MATCH($C175,Src_SYSHECF_nuclear!$C$5:$C$292,0))*$E175),Keys!$C$5),Keys!$C$4)</f>
        <v>1.2676000000000001</v>
      </c>
      <c r="W175">
        <f>IF($D175=1,ROUND(Keys!$C$2/(INDEX(Src_SYSHECF_nuclear!$U$5:$U$292,MATCH($C175,Src_SYSHECF_nuclear!$C$5:$C$292,0))*$E175),Keys!$C$5),Keys!$C$4)</f>
        <v>1.2676000000000001</v>
      </c>
      <c r="X175">
        <f>IF($D175=1,ROUND(Keys!$C$2/(INDEX(Src_SYSHECF_nuclear!$V$5:$V$292,MATCH($C175,Src_SYSHECF_nuclear!$C$5:$C$292,0))*$E175),Keys!$C$5),Keys!$C$4)</f>
        <v>1.2676000000000001</v>
      </c>
      <c r="Y175">
        <f>IF($D175=1,ROUND(Keys!$C$2/(INDEX(Src_SYSHECF_nuclear!$W$5:$W$292,MATCH($C175,Src_SYSHECF_nuclear!$C$5:$C$292,0))*$E175),Keys!$C$5),Keys!$C$4)</f>
        <v>1.2676000000000001</v>
      </c>
      <c r="Z175">
        <f>IF($D175=1,ROUND(Keys!$C$2/(INDEX(Src_SYSHECF_nuclear!$X$5:$X$292,MATCH($C175,Src_SYSHECF_nuclear!$C$5:$C$292,0))*$E175),Keys!$C$5),Keys!$C$4)</f>
        <v>1.2676000000000001</v>
      </c>
      <c r="AA175">
        <f>IF($D175=1,ROUND(Keys!$C$2/(INDEX(Src_SYSHECF_nuclear!$Y$5:$Y$292,MATCH($C175,Src_SYSHECF_nuclear!$C$5:$C$292,0))*$E175),Keys!$C$5),Keys!$C$4)</f>
        <v>1.2676000000000001</v>
      </c>
      <c r="AB175">
        <f>IF($D175=1,ROUND(Keys!$C$2/(INDEX(Src_SYSHECF_nuclear!$Z$5:$Z$292,MATCH($C175,Src_SYSHECF_nuclear!$C$5:$C$292,0))*$E175),Keys!$C$5),Keys!$C$4)</f>
        <v>1.2676000000000001</v>
      </c>
      <c r="AC175">
        <f>IF($D175=1,ROUND(Keys!$C$2/(INDEX(Src_SYSHECF_nuclear!$AA$5:$AA$292,MATCH($C175,Src_SYSHECF_nuclear!$C$5:$C$292,0))*$E175),Keys!$C$5),Keys!$C$4)</f>
        <v>1.2676000000000001</v>
      </c>
      <c r="AE175">
        <f>IF($D175=1,IF(ABS(INDEX(Src_SYSHECF_nuclear!$D$5:$D$292,MATCH($C175,Src_SYSHECF_nuclear!$C$5:$C$292,0))*$E175*F175-Keys!$C$2)&gt;Keys!$C$6,1,0),0)</f>
        <v>0</v>
      </c>
    </row>
    <row r="176" spans="1:31" x14ac:dyDescent="0.45">
      <c r="A176" t="s">
        <v>58</v>
      </c>
      <c r="B176" t="s">
        <v>424</v>
      </c>
      <c r="C176" t="str">
        <f t="shared" si="2"/>
        <v>MN|Winter</v>
      </c>
      <c r="D176">
        <f>INDEX(Src_BHRaSYC_nuclear!$HF$5:$HF$52,MATCH($A176,Src_BHRaSYC_nuclear!$A$5:$A$52,0))</f>
        <v>1</v>
      </c>
      <c r="E176">
        <f>INDEX(Src_HYECFCA_nuclear!$B$5:$B$52,MATCH($A176,Src_HYECFCA_nuclear!$A$5:$A$52,0))</f>
        <v>1.0545599999999999</v>
      </c>
      <c r="F176">
        <f>IF($D176=1,ROUND(Keys!$C$2/(INDEX(Src_SYSHECF_nuclear!$D$5:$D$292,MATCH($C176,Src_SYSHECF_nuclear!$C$5:$C$292,0))*$E176),Keys!$C$5),Keys!$C$4)</f>
        <v>1.1492</v>
      </c>
      <c r="G176">
        <f>IF($D176=1,ROUND(Keys!$C$2/(INDEX(Src_SYSHECF_nuclear!$E$5:$E$292,MATCH($C176,Src_SYSHECF_nuclear!$C$5:$C$292,0))*$E176),Keys!$C$5),Keys!$C$4)</f>
        <v>1.1642999999999999</v>
      </c>
      <c r="H176">
        <f>IF($D176=1,ROUND(Keys!$C$2/(INDEX(Src_SYSHECF_nuclear!$F$5:$F$292,MATCH($C176,Src_SYSHECF_nuclear!$C$5:$C$292,0))*$E176),Keys!$C$5),Keys!$C$4)</f>
        <v>1.1698</v>
      </c>
      <c r="I176">
        <f>IF($D176=1,ROUND(Keys!$C$2/(INDEX(Src_SYSHECF_nuclear!$G$5:$G$292,MATCH($C176,Src_SYSHECF_nuclear!$C$5:$C$292,0))*$E176),Keys!$C$5),Keys!$C$4)</f>
        <v>1.1476999999999999</v>
      </c>
      <c r="J176">
        <f>IF($D176=1,ROUND(Keys!$C$2/(INDEX(Src_SYSHECF_nuclear!$H$5:$H$292,MATCH($C176,Src_SYSHECF_nuclear!$C$5:$C$292,0))*$E176),Keys!$C$5),Keys!$C$4)</f>
        <v>1.1308</v>
      </c>
      <c r="K176">
        <f>IF($D176=1,ROUND(Keys!$C$2/(INDEX(Src_SYSHECF_nuclear!$I$5:$I$292,MATCH($C176,Src_SYSHECF_nuclear!$C$5:$C$292,0))*$E176),Keys!$C$5),Keys!$C$4)</f>
        <v>1.0774999999999999</v>
      </c>
      <c r="L176">
        <f>IF($D176=1,ROUND(Keys!$C$2/(INDEX(Src_SYSHECF_nuclear!$J$5:$J$292,MATCH($C176,Src_SYSHECF_nuclear!$C$5:$C$292,0))*$E176),Keys!$C$5),Keys!$C$4)</f>
        <v>1.0496000000000001</v>
      </c>
      <c r="M176">
        <f>IF($D176=1,ROUND(Keys!$C$2/(INDEX(Src_SYSHECF_nuclear!$K$5:$K$292,MATCH($C176,Src_SYSHECF_nuclear!$C$5:$C$292,0))*$E176),Keys!$C$5),Keys!$C$4)</f>
        <v>1.0465</v>
      </c>
      <c r="N176">
        <f>IF($D176=1,ROUND(Keys!$C$2/(INDEX(Src_SYSHECF_nuclear!$L$5:$L$292,MATCH($C176,Src_SYSHECF_nuclear!$C$5:$C$292,0))*$E176),Keys!$C$5),Keys!$C$4)</f>
        <v>1.0466</v>
      </c>
      <c r="O176">
        <f>IF($D176=1,ROUND(Keys!$C$2/(INDEX(Src_SYSHECF_nuclear!$M$5:$M$292,MATCH($C176,Src_SYSHECF_nuclear!$C$5:$C$292,0))*$E176),Keys!$C$5),Keys!$C$4)</f>
        <v>1.0465</v>
      </c>
      <c r="P176">
        <f>IF($D176=1,ROUND(Keys!$C$2/(INDEX(Src_SYSHECF_nuclear!$N$5:$N$292,MATCH($C176,Src_SYSHECF_nuclear!$C$5:$C$292,0))*$E176),Keys!$C$5),Keys!$C$4)</f>
        <v>1.0461</v>
      </c>
      <c r="Q176">
        <f>IF($D176=1,ROUND(Keys!$C$2/(INDEX(Src_SYSHECF_nuclear!$O$5:$O$292,MATCH($C176,Src_SYSHECF_nuclear!$C$5:$C$292,0))*$E176),Keys!$C$5),Keys!$C$4)</f>
        <v>1.0402</v>
      </c>
      <c r="R176">
        <f>IF($D176=1,ROUND(Keys!$C$2/(INDEX(Src_SYSHECF_nuclear!$P$5:$P$292,MATCH($C176,Src_SYSHECF_nuclear!$C$5:$C$292,0))*$E176),Keys!$C$5),Keys!$C$4)</f>
        <v>1.0424</v>
      </c>
      <c r="S176">
        <f>IF($D176=1,ROUND(Keys!$C$2/(INDEX(Src_SYSHECF_nuclear!$Q$5:$Q$292,MATCH($C176,Src_SYSHECF_nuclear!$C$5:$C$292,0))*$E176),Keys!$C$5),Keys!$C$4)</f>
        <v>1.0479000000000001</v>
      </c>
      <c r="T176">
        <f>IF($D176=1,ROUND(Keys!$C$2/(INDEX(Src_SYSHECF_nuclear!$R$5:$R$292,MATCH($C176,Src_SYSHECF_nuclear!$C$5:$C$292,0))*$E176),Keys!$C$5),Keys!$C$4)</f>
        <v>1.0563</v>
      </c>
      <c r="U176">
        <f>IF($D176=1,ROUND(Keys!$C$2/(INDEX(Src_SYSHECF_nuclear!$S$5:$S$292,MATCH($C176,Src_SYSHECF_nuclear!$C$5:$C$292,0))*$E176),Keys!$C$5),Keys!$C$4)</f>
        <v>1.0494000000000001</v>
      </c>
      <c r="V176">
        <f>IF($D176=1,ROUND(Keys!$C$2/(INDEX(Src_SYSHECF_nuclear!$T$5:$T$292,MATCH($C176,Src_SYSHECF_nuclear!$C$5:$C$292,0))*$E176),Keys!$C$5),Keys!$C$4)</f>
        <v>1.0438000000000001</v>
      </c>
      <c r="W176">
        <f>IF($D176=1,ROUND(Keys!$C$2/(INDEX(Src_SYSHECF_nuclear!$U$5:$U$292,MATCH($C176,Src_SYSHECF_nuclear!$C$5:$C$292,0))*$E176),Keys!$C$5),Keys!$C$4)</f>
        <v>1.0361</v>
      </c>
      <c r="X176">
        <f>IF($D176=1,ROUND(Keys!$C$2/(INDEX(Src_SYSHECF_nuclear!$V$5:$V$292,MATCH($C176,Src_SYSHECF_nuclear!$C$5:$C$292,0))*$E176),Keys!$C$5),Keys!$C$4)</f>
        <v>1.0343</v>
      </c>
      <c r="Y176">
        <f>IF($D176=1,ROUND(Keys!$C$2/(INDEX(Src_SYSHECF_nuclear!$W$5:$W$292,MATCH($C176,Src_SYSHECF_nuclear!$C$5:$C$292,0))*$E176),Keys!$C$5),Keys!$C$4)</f>
        <v>1.0355000000000001</v>
      </c>
      <c r="Z176">
        <f>IF($D176=1,ROUND(Keys!$C$2/(INDEX(Src_SYSHECF_nuclear!$X$5:$X$292,MATCH($C176,Src_SYSHECF_nuclear!$C$5:$C$292,0))*$E176),Keys!$C$5),Keys!$C$4)</f>
        <v>1.0414000000000001</v>
      </c>
      <c r="AA176">
        <f>IF($D176=1,ROUND(Keys!$C$2/(INDEX(Src_SYSHECF_nuclear!$Y$5:$Y$292,MATCH($C176,Src_SYSHECF_nuclear!$C$5:$C$292,0))*$E176),Keys!$C$5),Keys!$C$4)</f>
        <v>1.0557000000000001</v>
      </c>
      <c r="AB176">
        <f>IF($D176=1,ROUND(Keys!$C$2/(INDEX(Src_SYSHECF_nuclear!$Z$5:$Z$292,MATCH($C176,Src_SYSHECF_nuclear!$C$5:$C$292,0))*$E176),Keys!$C$5),Keys!$C$4)</f>
        <v>1.0972</v>
      </c>
      <c r="AC176">
        <f>IF($D176=1,ROUND(Keys!$C$2/(INDEX(Src_SYSHECF_nuclear!$AA$5:$AA$292,MATCH($C176,Src_SYSHECF_nuclear!$C$5:$C$292,0))*$E176),Keys!$C$5),Keys!$C$4)</f>
        <v>1.1440999999999999</v>
      </c>
      <c r="AE176">
        <f>IF($D176=1,IF(ABS(INDEX(Src_SYSHECF_nuclear!$D$5:$D$292,MATCH($C176,Src_SYSHECF_nuclear!$C$5:$C$292,0))*$E176*F176-Keys!$C$2)&gt;Keys!$C$6,1,0),0)</f>
        <v>0</v>
      </c>
    </row>
    <row r="177" spans="1:31" x14ac:dyDescent="0.45">
      <c r="A177" t="s">
        <v>58</v>
      </c>
      <c r="B177" t="s">
        <v>425</v>
      </c>
      <c r="C177" t="str">
        <f t="shared" si="2"/>
        <v>MN|Spring</v>
      </c>
      <c r="D177">
        <f>INDEX(Src_BHRaSYC_nuclear!$HF$5:$HF$52,MATCH($A177,Src_BHRaSYC_nuclear!$A$5:$A$52,0))</f>
        <v>1</v>
      </c>
      <c r="E177">
        <f>INDEX(Src_HYECFCA_nuclear!$B$5:$B$52,MATCH($A177,Src_HYECFCA_nuclear!$A$5:$A$52,0))</f>
        <v>1.0545599999999999</v>
      </c>
      <c r="F177">
        <f>IF($D177=1,ROUND(Keys!$C$2/(INDEX(Src_SYSHECF_nuclear!$D$5:$D$292,MATCH($C177,Src_SYSHECF_nuclear!$C$5:$C$292,0))*$E177),Keys!$C$5),Keys!$C$4)</f>
        <v>1.1711</v>
      </c>
      <c r="G177">
        <f>IF($D177=1,ROUND(Keys!$C$2/(INDEX(Src_SYSHECF_nuclear!$E$5:$E$292,MATCH($C177,Src_SYSHECF_nuclear!$C$5:$C$292,0))*$E177),Keys!$C$5),Keys!$C$4)</f>
        <v>1.1788000000000001</v>
      </c>
      <c r="H177">
        <f>IF($D177=1,ROUND(Keys!$C$2/(INDEX(Src_SYSHECF_nuclear!$F$5:$F$292,MATCH($C177,Src_SYSHECF_nuclear!$C$5:$C$292,0))*$E177),Keys!$C$5),Keys!$C$4)</f>
        <v>1.1791</v>
      </c>
      <c r="I177">
        <f>IF($D177=1,ROUND(Keys!$C$2/(INDEX(Src_SYSHECF_nuclear!$G$5:$G$292,MATCH($C177,Src_SYSHECF_nuclear!$C$5:$C$292,0))*$E177),Keys!$C$5),Keys!$C$4)</f>
        <v>1.1673</v>
      </c>
      <c r="J177">
        <f>IF($D177=1,ROUND(Keys!$C$2/(INDEX(Src_SYSHECF_nuclear!$H$5:$H$292,MATCH($C177,Src_SYSHECF_nuclear!$C$5:$C$292,0))*$E177),Keys!$C$5),Keys!$C$4)</f>
        <v>1.1294999999999999</v>
      </c>
      <c r="K177">
        <f>IF($D177=1,ROUND(Keys!$C$2/(INDEX(Src_SYSHECF_nuclear!$I$5:$I$292,MATCH($C177,Src_SYSHECF_nuclear!$C$5:$C$292,0))*$E177),Keys!$C$5),Keys!$C$4)</f>
        <v>1.0962000000000001</v>
      </c>
      <c r="L177">
        <f>IF($D177=1,ROUND(Keys!$C$2/(INDEX(Src_SYSHECF_nuclear!$J$5:$J$292,MATCH($C177,Src_SYSHECF_nuclear!$C$5:$C$292,0))*$E177),Keys!$C$5),Keys!$C$4)</f>
        <v>1.0643</v>
      </c>
      <c r="M177">
        <f>IF($D177=1,ROUND(Keys!$C$2/(INDEX(Src_SYSHECF_nuclear!$K$5:$K$292,MATCH($C177,Src_SYSHECF_nuclear!$C$5:$C$292,0))*$E177),Keys!$C$5),Keys!$C$4)</f>
        <v>1.0587</v>
      </c>
      <c r="N177">
        <f>IF($D177=1,ROUND(Keys!$C$2/(INDEX(Src_SYSHECF_nuclear!$L$5:$L$292,MATCH($C177,Src_SYSHECF_nuclear!$C$5:$C$292,0))*$E177),Keys!$C$5),Keys!$C$4)</f>
        <v>1.0452999999999999</v>
      </c>
      <c r="O177">
        <f>IF($D177=1,ROUND(Keys!$C$2/(INDEX(Src_SYSHECF_nuclear!$M$5:$M$292,MATCH($C177,Src_SYSHECF_nuclear!$C$5:$C$292,0))*$E177),Keys!$C$5),Keys!$C$4)</f>
        <v>1.0386</v>
      </c>
      <c r="P177">
        <f>IF($D177=1,ROUND(Keys!$C$2/(INDEX(Src_SYSHECF_nuclear!$N$5:$N$292,MATCH($C177,Src_SYSHECF_nuclear!$C$5:$C$292,0))*$E177),Keys!$C$5),Keys!$C$4)</f>
        <v>1.0373000000000001</v>
      </c>
      <c r="Q177">
        <f>IF($D177=1,ROUND(Keys!$C$2/(INDEX(Src_SYSHECF_nuclear!$O$5:$O$292,MATCH($C177,Src_SYSHECF_nuclear!$C$5:$C$292,0))*$E177),Keys!$C$5),Keys!$C$4)</f>
        <v>1.0383</v>
      </c>
      <c r="R177">
        <f>IF($D177=1,ROUND(Keys!$C$2/(INDEX(Src_SYSHECF_nuclear!$P$5:$P$292,MATCH($C177,Src_SYSHECF_nuclear!$C$5:$C$292,0))*$E177),Keys!$C$5),Keys!$C$4)</f>
        <v>1.0403</v>
      </c>
      <c r="S177">
        <f>IF($D177=1,ROUND(Keys!$C$2/(INDEX(Src_SYSHECF_nuclear!$Q$5:$Q$292,MATCH($C177,Src_SYSHECF_nuclear!$C$5:$C$292,0))*$E177),Keys!$C$5),Keys!$C$4)</f>
        <v>1.0387</v>
      </c>
      <c r="T177">
        <f>IF($D177=1,ROUND(Keys!$C$2/(INDEX(Src_SYSHECF_nuclear!$R$5:$R$292,MATCH($C177,Src_SYSHECF_nuclear!$C$5:$C$292,0))*$E177),Keys!$C$5),Keys!$C$4)</f>
        <v>1.0370999999999999</v>
      </c>
      <c r="U177">
        <f>IF($D177=1,ROUND(Keys!$C$2/(INDEX(Src_SYSHECF_nuclear!$S$5:$S$292,MATCH($C177,Src_SYSHECF_nuclear!$C$5:$C$292,0))*$E177),Keys!$C$5),Keys!$C$4)</f>
        <v>1.0343</v>
      </c>
      <c r="V177">
        <f>IF($D177=1,ROUND(Keys!$C$2/(INDEX(Src_SYSHECF_nuclear!$T$5:$T$292,MATCH($C177,Src_SYSHECF_nuclear!$C$5:$C$292,0))*$E177),Keys!$C$5),Keys!$C$4)</f>
        <v>1.0343</v>
      </c>
      <c r="W177">
        <f>IF($D177=1,ROUND(Keys!$C$2/(INDEX(Src_SYSHECF_nuclear!$U$5:$U$292,MATCH($C177,Src_SYSHECF_nuclear!$C$5:$C$292,0))*$E177),Keys!$C$5),Keys!$C$4)</f>
        <v>1.0386</v>
      </c>
      <c r="X177">
        <f>IF($D177=1,ROUND(Keys!$C$2/(INDEX(Src_SYSHECF_nuclear!$V$5:$V$292,MATCH($C177,Src_SYSHECF_nuclear!$C$5:$C$292,0))*$E177),Keys!$C$5),Keys!$C$4)</f>
        <v>1.0377000000000001</v>
      </c>
      <c r="Y177">
        <f>IF($D177=1,ROUND(Keys!$C$2/(INDEX(Src_SYSHECF_nuclear!$W$5:$W$292,MATCH($C177,Src_SYSHECF_nuclear!$C$5:$C$292,0))*$E177),Keys!$C$5),Keys!$C$4)</f>
        <v>1.0405</v>
      </c>
      <c r="Z177">
        <f>IF($D177=1,ROUND(Keys!$C$2/(INDEX(Src_SYSHECF_nuclear!$X$5:$X$292,MATCH($C177,Src_SYSHECF_nuclear!$C$5:$C$292,0))*$E177),Keys!$C$5),Keys!$C$4)</f>
        <v>1.0516000000000001</v>
      </c>
      <c r="AA177">
        <f>IF($D177=1,ROUND(Keys!$C$2/(INDEX(Src_SYSHECF_nuclear!$Y$5:$Y$292,MATCH($C177,Src_SYSHECF_nuclear!$C$5:$C$292,0))*$E177),Keys!$C$5),Keys!$C$4)</f>
        <v>1.0516000000000001</v>
      </c>
      <c r="AB177">
        <f>IF($D177=1,ROUND(Keys!$C$2/(INDEX(Src_SYSHECF_nuclear!$Z$5:$Z$292,MATCH($C177,Src_SYSHECF_nuclear!$C$5:$C$292,0))*$E177),Keys!$C$5),Keys!$C$4)</f>
        <v>1.0751999999999999</v>
      </c>
      <c r="AC177">
        <f>IF($D177=1,ROUND(Keys!$C$2/(INDEX(Src_SYSHECF_nuclear!$AA$5:$AA$292,MATCH($C177,Src_SYSHECF_nuclear!$C$5:$C$292,0))*$E177),Keys!$C$5),Keys!$C$4)</f>
        <v>1.1049</v>
      </c>
      <c r="AE177">
        <f>IF($D177=1,IF(ABS(INDEX(Src_SYSHECF_nuclear!$D$5:$D$292,MATCH($C177,Src_SYSHECF_nuclear!$C$5:$C$292,0))*$E177*F177-Keys!$C$2)&gt;Keys!$C$6,1,0),0)</f>
        <v>0</v>
      </c>
    </row>
    <row r="178" spans="1:31" x14ac:dyDescent="0.45">
      <c r="A178" t="s">
        <v>58</v>
      </c>
      <c r="B178" t="s">
        <v>426</v>
      </c>
      <c r="C178" t="str">
        <f t="shared" si="2"/>
        <v>MN|Summer</v>
      </c>
      <c r="D178">
        <f>INDEX(Src_BHRaSYC_nuclear!$HF$5:$HF$52,MATCH($A178,Src_BHRaSYC_nuclear!$A$5:$A$52,0))</f>
        <v>1</v>
      </c>
      <c r="E178">
        <f>INDEX(Src_HYECFCA_nuclear!$B$5:$B$52,MATCH($A178,Src_HYECFCA_nuclear!$A$5:$A$52,0))</f>
        <v>1.0545599999999999</v>
      </c>
      <c r="F178">
        <f>IF($D178=1,ROUND(Keys!$C$2/(INDEX(Src_SYSHECF_nuclear!$D$5:$D$292,MATCH($C178,Src_SYSHECF_nuclear!$C$5:$C$292,0))*$E178),Keys!$C$5),Keys!$C$4)</f>
        <v>1.2623</v>
      </c>
      <c r="G178">
        <f>IF($D178=1,ROUND(Keys!$C$2/(INDEX(Src_SYSHECF_nuclear!$E$5:$E$292,MATCH($C178,Src_SYSHECF_nuclear!$C$5:$C$292,0))*$E178),Keys!$C$5),Keys!$C$4)</f>
        <v>1.3109</v>
      </c>
      <c r="H178">
        <f>IF($D178=1,ROUND(Keys!$C$2/(INDEX(Src_SYSHECF_nuclear!$F$5:$F$292,MATCH($C178,Src_SYSHECF_nuclear!$C$5:$C$292,0))*$E178),Keys!$C$5),Keys!$C$4)</f>
        <v>1.3449</v>
      </c>
      <c r="I178">
        <f>IF($D178=1,ROUND(Keys!$C$2/(INDEX(Src_SYSHECF_nuclear!$G$5:$G$292,MATCH($C178,Src_SYSHECF_nuclear!$C$5:$C$292,0))*$E178),Keys!$C$5),Keys!$C$4)</f>
        <v>1.3455999999999999</v>
      </c>
      <c r="J178">
        <f>IF($D178=1,ROUND(Keys!$C$2/(INDEX(Src_SYSHECF_nuclear!$H$5:$H$292,MATCH($C178,Src_SYSHECF_nuclear!$C$5:$C$292,0))*$E178),Keys!$C$5),Keys!$C$4)</f>
        <v>1.3176000000000001</v>
      </c>
      <c r="K178">
        <f>IF($D178=1,ROUND(Keys!$C$2/(INDEX(Src_SYSHECF_nuclear!$I$5:$I$292,MATCH($C178,Src_SYSHECF_nuclear!$C$5:$C$292,0))*$E178),Keys!$C$5),Keys!$C$4)</f>
        <v>1.1872</v>
      </c>
      <c r="L178">
        <f>IF($D178=1,ROUND(Keys!$C$2/(INDEX(Src_SYSHECF_nuclear!$J$5:$J$292,MATCH($C178,Src_SYSHECF_nuclear!$C$5:$C$292,0))*$E178),Keys!$C$5),Keys!$C$4)</f>
        <v>1.1153999999999999</v>
      </c>
      <c r="M178">
        <f>IF($D178=1,ROUND(Keys!$C$2/(INDEX(Src_SYSHECF_nuclear!$K$5:$K$292,MATCH($C178,Src_SYSHECF_nuclear!$C$5:$C$292,0))*$E178),Keys!$C$5),Keys!$C$4)</f>
        <v>1.1020000000000001</v>
      </c>
      <c r="N178">
        <f>IF($D178=1,ROUND(Keys!$C$2/(INDEX(Src_SYSHECF_nuclear!$L$5:$L$292,MATCH($C178,Src_SYSHECF_nuclear!$C$5:$C$292,0))*$E178),Keys!$C$5),Keys!$C$4)</f>
        <v>1.0778000000000001</v>
      </c>
      <c r="O178">
        <f>IF($D178=1,ROUND(Keys!$C$2/(INDEX(Src_SYSHECF_nuclear!$M$5:$M$292,MATCH($C178,Src_SYSHECF_nuclear!$C$5:$C$292,0))*$E178),Keys!$C$5),Keys!$C$4)</f>
        <v>1.0720000000000001</v>
      </c>
      <c r="P178">
        <f>IF($D178=1,ROUND(Keys!$C$2/(INDEX(Src_SYSHECF_nuclear!$N$5:$N$292,MATCH($C178,Src_SYSHECF_nuclear!$C$5:$C$292,0))*$E178),Keys!$C$5),Keys!$C$4)</f>
        <v>1.0727</v>
      </c>
      <c r="Q178">
        <f>IF($D178=1,ROUND(Keys!$C$2/(INDEX(Src_SYSHECF_nuclear!$O$5:$O$292,MATCH($C178,Src_SYSHECF_nuclear!$C$5:$C$292,0))*$E178),Keys!$C$5),Keys!$C$4)</f>
        <v>1.0804</v>
      </c>
      <c r="R178">
        <f>IF($D178=1,ROUND(Keys!$C$2/(INDEX(Src_SYSHECF_nuclear!$P$5:$P$292,MATCH($C178,Src_SYSHECF_nuclear!$C$5:$C$292,0))*$E178),Keys!$C$5),Keys!$C$4)</f>
        <v>1.0975999999999999</v>
      </c>
      <c r="S178">
        <f>IF($D178=1,ROUND(Keys!$C$2/(INDEX(Src_SYSHECF_nuclear!$Q$5:$Q$292,MATCH($C178,Src_SYSHECF_nuclear!$C$5:$C$292,0))*$E178),Keys!$C$5),Keys!$C$4)</f>
        <v>1.1165</v>
      </c>
      <c r="T178">
        <f>IF($D178=1,ROUND(Keys!$C$2/(INDEX(Src_SYSHECF_nuclear!$R$5:$R$292,MATCH($C178,Src_SYSHECF_nuclear!$C$5:$C$292,0))*$E178),Keys!$C$5),Keys!$C$4)</f>
        <v>1.1189</v>
      </c>
      <c r="U178">
        <f>IF($D178=1,ROUND(Keys!$C$2/(INDEX(Src_SYSHECF_nuclear!$S$5:$S$292,MATCH($C178,Src_SYSHECF_nuclear!$C$5:$C$292,0))*$E178),Keys!$C$5),Keys!$C$4)</f>
        <v>1.1120000000000001</v>
      </c>
      <c r="V178">
        <f>IF($D178=1,ROUND(Keys!$C$2/(INDEX(Src_SYSHECF_nuclear!$T$5:$T$292,MATCH($C178,Src_SYSHECF_nuclear!$C$5:$C$292,0))*$E178),Keys!$C$5),Keys!$C$4)</f>
        <v>1.0722</v>
      </c>
      <c r="W178">
        <f>IF($D178=1,ROUND(Keys!$C$2/(INDEX(Src_SYSHECF_nuclear!$U$5:$U$292,MATCH($C178,Src_SYSHECF_nuclear!$C$5:$C$292,0))*$E178),Keys!$C$5),Keys!$C$4)</f>
        <v>1.0424</v>
      </c>
      <c r="X178">
        <f>IF($D178=1,ROUND(Keys!$C$2/(INDEX(Src_SYSHECF_nuclear!$V$5:$V$292,MATCH($C178,Src_SYSHECF_nuclear!$C$5:$C$292,0))*$E178),Keys!$C$5),Keys!$C$4)</f>
        <v>1.0345</v>
      </c>
      <c r="Y178">
        <f>IF($D178=1,ROUND(Keys!$C$2/(INDEX(Src_SYSHECF_nuclear!$W$5:$W$292,MATCH($C178,Src_SYSHECF_nuclear!$C$5:$C$292,0))*$E178),Keys!$C$5),Keys!$C$4)</f>
        <v>1.0405</v>
      </c>
      <c r="Z178">
        <f>IF($D178=1,ROUND(Keys!$C$2/(INDEX(Src_SYSHECF_nuclear!$X$5:$X$292,MATCH($C178,Src_SYSHECF_nuclear!$C$5:$C$292,0))*$E178),Keys!$C$5),Keys!$C$4)</f>
        <v>1.0550999999999999</v>
      </c>
      <c r="AA178">
        <f>IF($D178=1,ROUND(Keys!$C$2/(INDEX(Src_SYSHECF_nuclear!$Y$5:$Y$292,MATCH($C178,Src_SYSHECF_nuclear!$C$5:$C$292,0))*$E178),Keys!$C$5),Keys!$C$4)</f>
        <v>1.1077999999999999</v>
      </c>
      <c r="AB178">
        <f>IF($D178=1,ROUND(Keys!$C$2/(INDEX(Src_SYSHECF_nuclear!$Z$5:$Z$292,MATCH($C178,Src_SYSHECF_nuclear!$C$5:$C$292,0))*$E178),Keys!$C$5),Keys!$C$4)</f>
        <v>1.1621999999999999</v>
      </c>
      <c r="AC178">
        <f>IF($D178=1,ROUND(Keys!$C$2/(INDEX(Src_SYSHECF_nuclear!$AA$5:$AA$292,MATCH($C178,Src_SYSHECF_nuclear!$C$5:$C$292,0))*$E178),Keys!$C$5),Keys!$C$4)</f>
        <v>1.2040999999999999</v>
      </c>
      <c r="AE178">
        <f>IF($D178=1,IF(ABS(INDEX(Src_SYSHECF_nuclear!$D$5:$D$292,MATCH($C178,Src_SYSHECF_nuclear!$C$5:$C$292,0))*$E178*F178-Keys!$C$2)&gt;Keys!$C$6,1,0),0)</f>
        <v>0</v>
      </c>
    </row>
    <row r="179" spans="1:31" x14ac:dyDescent="0.45">
      <c r="A179" t="s">
        <v>58</v>
      </c>
      <c r="B179" t="s">
        <v>427</v>
      </c>
      <c r="C179" t="str">
        <f t="shared" si="2"/>
        <v>MN|Fall</v>
      </c>
      <c r="D179">
        <f>INDEX(Src_BHRaSYC_nuclear!$HF$5:$HF$52,MATCH($A179,Src_BHRaSYC_nuclear!$A$5:$A$52,0))</f>
        <v>1</v>
      </c>
      <c r="E179">
        <f>INDEX(Src_HYECFCA_nuclear!$B$5:$B$52,MATCH($A179,Src_HYECFCA_nuclear!$A$5:$A$52,0))</f>
        <v>1.0545599999999999</v>
      </c>
      <c r="F179">
        <f>IF($D179=1,ROUND(Keys!$C$2/(INDEX(Src_SYSHECF_nuclear!$D$5:$D$292,MATCH($C179,Src_SYSHECF_nuclear!$C$5:$C$292,0))*$E179),Keys!$C$5),Keys!$C$4)</f>
        <v>1.0592999999999999</v>
      </c>
      <c r="G179">
        <f>IF($D179=1,ROUND(Keys!$C$2/(INDEX(Src_SYSHECF_nuclear!$E$5:$E$292,MATCH($C179,Src_SYSHECF_nuclear!$C$5:$C$292,0))*$E179),Keys!$C$5),Keys!$C$4)</f>
        <v>1.0515000000000001</v>
      </c>
      <c r="H179">
        <f>IF($D179=1,ROUND(Keys!$C$2/(INDEX(Src_SYSHECF_nuclear!$F$5:$F$292,MATCH($C179,Src_SYSHECF_nuclear!$C$5:$C$292,0))*$E179),Keys!$C$5),Keys!$C$4)</f>
        <v>1.0452999999999999</v>
      </c>
      <c r="I179">
        <f>IF($D179=1,ROUND(Keys!$C$2/(INDEX(Src_SYSHECF_nuclear!$G$5:$G$292,MATCH($C179,Src_SYSHECF_nuclear!$C$5:$C$292,0))*$E179),Keys!$C$5),Keys!$C$4)</f>
        <v>1.0397000000000001</v>
      </c>
      <c r="J179">
        <f>IF($D179=1,ROUND(Keys!$C$2/(INDEX(Src_SYSHECF_nuclear!$H$5:$H$292,MATCH($C179,Src_SYSHECF_nuclear!$C$5:$C$292,0))*$E179),Keys!$C$5),Keys!$C$4)</f>
        <v>1.0343</v>
      </c>
      <c r="K179">
        <f>IF($D179=1,ROUND(Keys!$C$2/(INDEX(Src_SYSHECF_nuclear!$I$5:$I$292,MATCH($C179,Src_SYSHECF_nuclear!$C$5:$C$292,0))*$E179),Keys!$C$5),Keys!$C$4)</f>
        <v>1.0377000000000001</v>
      </c>
      <c r="L179">
        <f>IF($D179=1,ROUND(Keys!$C$2/(INDEX(Src_SYSHECF_nuclear!$J$5:$J$292,MATCH($C179,Src_SYSHECF_nuclear!$C$5:$C$292,0))*$E179),Keys!$C$5),Keys!$C$4)</f>
        <v>1.0377000000000001</v>
      </c>
      <c r="M179">
        <f>IF($D179=1,ROUND(Keys!$C$2/(INDEX(Src_SYSHECF_nuclear!$K$5:$K$292,MATCH($C179,Src_SYSHECF_nuclear!$C$5:$C$292,0))*$E179),Keys!$C$5),Keys!$C$4)</f>
        <v>1.0343</v>
      </c>
      <c r="N179">
        <f>IF($D179=1,ROUND(Keys!$C$2/(INDEX(Src_SYSHECF_nuclear!$L$5:$L$292,MATCH($C179,Src_SYSHECF_nuclear!$C$5:$C$292,0))*$E179),Keys!$C$5),Keys!$C$4)</f>
        <v>1.0343</v>
      </c>
      <c r="O179">
        <f>IF($D179=1,ROUND(Keys!$C$2/(INDEX(Src_SYSHECF_nuclear!$M$5:$M$292,MATCH($C179,Src_SYSHECF_nuclear!$C$5:$C$292,0))*$E179),Keys!$C$5),Keys!$C$4)</f>
        <v>1.0343</v>
      </c>
      <c r="P179">
        <f>IF($D179=1,ROUND(Keys!$C$2/(INDEX(Src_SYSHECF_nuclear!$N$5:$N$292,MATCH($C179,Src_SYSHECF_nuclear!$C$5:$C$292,0))*$E179),Keys!$C$5),Keys!$C$4)</f>
        <v>1.0343</v>
      </c>
      <c r="Q179">
        <f>IF($D179=1,ROUND(Keys!$C$2/(INDEX(Src_SYSHECF_nuclear!$O$5:$O$292,MATCH($C179,Src_SYSHECF_nuclear!$C$5:$C$292,0))*$E179),Keys!$C$5),Keys!$C$4)</f>
        <v>1.0343</v>
      </c>
      <c r="R179">
        <f>IF($D179=1,ROUND(Keys!$C$2/(INDEX(Src_SYSHECF_nuclear!$P$5:$P$292,MATCH($C179,Src_SYSHECF_nuclear!$C$5:$C$292,0))*$E179),Keys!$C$5),Keys!$C$4)</f>
        <v>1.0343</v>
      </c>
      <c r="S179">
        <f>IF($D179=1,ROUND(Keys!$C$2/(INDEX(Src_SYSHECF_nuclear!$Q$5:$Q$292,MATCH($C179,Src_SYSHECF_nuclear!$C$5:$C$292,0))*$E179),Keys!$C$5),Keys!$C$4)</f>
        <v>1.0343</v>
      </c>
      <c r="T179">
        <f>IF($D179=1,ROUND(Keys!$C$2/(INDEX(Src_SYSHECF_nuclear!$R$5:$R$292,MATCH($C179,Src_SYSHECF_nuclear!$C$5:$C$292,0))*$E179),Keys!$C$5),Keys!$C$4)</f>
        <v>1.0343</v>
      </c>
      <c r="U179">
        <f>IF($D179=1,ROUND(Keys!$C$2/(INDEX(Src_SYSHECF_nuclear!$S$5:$S$292,MATCH($C179,Src_SYSHECF_nuclear!$C$5:$C$292,0))*$E179),Keys!$C$5),Keys!$C$4)</f>
        <v>1.0343</v>
      </c>
      <c r="V179">
        <f>IF($D179=1,ROUND(Keys!$C$2/(INDEX(Src_SYSHECF_nuclear!$T$5:$T$292,MATCH($C179,Src_SYSHECF_nuclear!$C$5:$C$292,0))*$E179),Keys!$C$5),Keys!$C$4)</f>
        <v>1.0343</v>
      </c>
      <c r="W179">
        <f>IF($D179=1,ROUND(Keys!$C$2/(INDEX(Src_SYSHECF_nuclear!$U$5:$U$292,MATCH($C179,Src_SYSHECF_nuclear!$C$5:$C$292,0))*$E179),Keys!$C$5),Keys!$C$4)</f>
        <v>1.0343</v>
      </c>
      <c r="X179">
        <f>IF($D179=1,ROUND(Keys!$C$2/(INDEX(Src_SYSHECF_nuclear!$V$5:$V$292,MATCH($C179,Src_SYSHECF_nuclear!$C$5:$C$292,0))*$E179),Keys!$C$5),Keys!$C$4)</f>
        <v>1.0343</v>
      </c>
      <c r="Y179">
        <f>IF($D179=1,ROUND(Keys!$C$2/(INDEX(Src_SYSHECF_nuclear!$W$5:$W$292,MATCH($C179,Src_SYSHECF_nuclear!$C$5:$C$292,0))*$E179),Keys!$C$5),Keys!$C$4)</f>
        <v>1.0343</v>
      </c>
      <c r="Z179">
        <f>IF($D179=1,ROUND(Keys!$C$2/(INDEX(Src_SYSHECF_nuclear!$X$5:$X$292,MATCH($C179,Src_SYSHECF_nuclear!$C$5:$C$292,0))*$E179),Keys!$C$5),Keys!$C$4)</f>
        <v>1.0343</v>
      </c>
      <c r="AA179">
        <f>IF($D179=1,ROUND(Keys!$C$2/(INDEX(Src_SYSHECF_nuclear!$Y$5:$Y$292,MATCH($C179,Src_SYSHECF_nuclear!$C$5:$C$292,0))*$E179),Keys!$C$5),Keys!$C$4)</f>
        <v>1.0409999999999999</v>
      </c>
      <c r="AB179">
        <f>IF($D179=1,ROUND(Keys!$C$2/(INDEX(Src_SYSHECF_nuclear!$Z$5:$Z$292,MATCH($C179,Src_SYSHECF_nuclear!$C$5:$C$292,0))*$E179),Keys!$C$5),Keys!$C$4)</f>
        <v>1.0445</v>
      </c>
      <c r="AC179">
        <f>IF($D179=1,ROUND(Keys!$C$2/(INDEX(Src_SYSHECF_nuclear!$AA$5:$AA$292,MATCH($C179,Src_SYSHECF_nuclear!$C$5:$C$292,0))*$E179),Keys!$C$5),Keys!$C$4)</f>
        <v>1.0548999999999999</v>
      </c>
      <c r="AE179">
        <f>IF($D179=1,IF(ABS(INDEX(Src_SYSHECF_nuclear!$D$5:$D$292,MATCH($C179,Src_SYSHECF_nuclear!$C$5:$C$292,0))*$E179*F179-Keys!$C$2)&gt;Keys!$C$6,1,0),0)</f>
        <v>0</v>
      </c>
    </row>
    <row r="180" spans="1:31" x14ac:dyDescent="0.45">
      <c r="A180" t="s">
        <v>58</v>
      </c>
      <c r="B180" t="s">
        <v>428</v>
      </c>
      <c r="C180" t="str">
        <f t="shared" si="2"/>
        <v>MN|Summer Peak</v>
      </c>
      <c r="D180">
        <f>INDEX(Src_BHRaSYC_nuclear!$HF$5:$HF$52,MATCH($A180,Src_BHRaSYC_nuclear!$A$5:$A$52,0))</f>
        <v>1</v>
      </c>
      <c r="E180">
        <f>INDEX(Src_HYECFCA_nuclear!$B$5:$B$52,MATCH($A180,Src_HYECFCA_nuclear!$A$5:$A$52,0))</f>
        <v>1.0545599999999999</v>
      </c>
      <c r="F180">
        <f>IF($D180=1,ROUND(Keys!$C$2/(INDEX(Src_SYSHECF_nuclear!$D$5:$D$292,MATCH($C180,Src_SYSHECF_nuclear!$C$5:$C$292,0))*$E180),Keys!$C$5),Keys!$C$4)</f>
        <v>1.0343</v>
      </c>
      <c r="G180">
        <f>IF($D180=1,ROUND(Keys!$C$2/(INDEX(Src_SYSHECF_nuclear!$E$5:$E$292,MATCH($C180,Src_SYSHECF_nuclear!$C$5:$C$292,0))*$E180),Keys!$C$5),Keys!$C$4)</f>
        <v>1.0343</v>
      </c>
      <c r="H180">
        <f>IF($D180=1,ROUND(Keys!$C$2/(INDEX(Src_SYSHECF_nuclear!$F$5:$F$292,MATCH($C180,Src_SYSHECF_nuclear!$C$5:$C$292,0))*$E180),Keys!$C$5),Keys!$C$4)</f>
        <v>1.0343</v>
      </c>
      <c r="I180">
        <f>IF($D180=1,ROUND(Keys!$C$2/(INDEX(Src_SYSHECF_nuclear!$G$5:$G$292,MATCH($C180,Src_SYSHECF_nuclear!$C$5:$C$292,0))*$E180),Keys!$C$5),Keys!$C$4)</f>
        <v>1.0343</v>
      </c>
      <c r="J180">
        <f>IF($D180=1,ROUND(Keys!$C$2/(INDEX(Src_SYSHECF_nuclear!$H$5:$H$292,MATCH($C180,Src_SYSHECF_nuclear!$C$5:$C$292,0))*$E180),Keys!$C$5),Keys!$C$4)</f>
        <v>1.0343</v>
      </c>
      <c r="K180">
        <f>IF($D180=1,ROUND(Keys!$C$2/(INDEX(Src_SYSHECF_nuclear!$I$5:$I$292,MATCH($C180,Src_SYSHECF_nuclear!$C$5:$C$292,0))*$E180),Keys!$C$5),Keys!$C$4)</f>
        <v>1.0343</v>
      </c>
      <c r="L180">
        <f>IF($D180=1,ROUND(Keys!$C$2/(INDEX(Src_SYSHECF_nuclear!$J$5:$J$292,MATCH($C180,Src_SYSHECF_nuclear!$C$5:$C$292,0))*$E180),Keys!$C$5),Keys!$C$4)</f>
        <v>1.0343</v>
      </c>
      <c r="M180">
        <f>IF($D180=1,ROUND(Keys!$C$2/(INDEX(Src_SYSHECF_nuclear!$K$5:$K$292,MATCH($C180,Src_SYSHECF_nuclear!$C$5:$C$292,0))*$E180),Keys!$C$5),Keys!$C$4)</f>
        <v>1.0343</v>
      </c>
      <c r="N180">
        <f>IF($D180=1,ROUND(Keys!$C$2/(INDEX(Src_SYSHECF_nuclear!$L$5:$L$292,MATCH($C180,Src_SYSHECF_nuclear!$C$5:$C$292,0))*$E180),Keys!$C$5),Keys!$C$4)</f>
        <v>1.0343</v>
      </c>
      <c r="O180">
        <f>IF($D180=1,ROUND(Keys!$C$2/(INDEX(Src_SYSHECF_nuclear!$M$5:$M$292,MATCH($C180,Src_SYSHECF_nuclear!$C$5:$C$292,0))*$E180),Keys!$C$5),Keys!$C$4)</f>
        <v>1.0343</v>
      </c>
      <c r="P180">
        <f>IF($D180=1,ROUND(Keys!$C$2/(INDEX(Src_SYSHECF_nuclear!$N$5:$N$292,MATCH($C180,Src_SYSHECF_nuclear!$C$5:$C$292,0))*$E180),Keys!$C$5),Keys!$C$4)</f>
        <v>1.0343</v>
      </c>
      <c r="Q180">
        <f>IF($D180=1,ROUND(Keys!$C$2/(INDEX(Src_SYSHECF_nuclear!$O$5:$O$292,MATCH($C180,Src_SYSHECF_nuclear!$C$5:$C$292,0))*$E180),Keys!$C$5),Keys!$C$4)</f>
        <v>1.0343</v>
      </c>
      <c r="R180">
        <f>IF($D180=1,ROUND(Keys!$C$2/(INDEX(Src_SYSHECF_nuclear!$P$5:$P$292,MATCH($C180,Src_SYSHECF_nuclear!$C$5:$C$292,0))*$E180),Keys!$C$5),Keys!$C$4)</f>
        <v>1.0343</v>
      </c>
      <c r="S180">
        <f>IF($D180=1,ROUND(Keys!$C$2/(INDEX(Src_SYSHECF_nuclear!$Q$5:$Q$292,MATCH($C180,Src_SYSHECF_nuclear!$C$5:$C$292,0))*$E180),Keys!$C$5),Keys!$C$4)</f>
        <v>1.0343</v>
      </c>
      <c r="T180">
        <f>IF($D180=1,ROUND(Keys!$C$2/(INDEX(Src_SYSHECF_nuclear!$R$5:$R$292,MATCH($C180,Src_SYSHECF_nuclear!$C$5:$C$292,0))*$E180),Keys!$C$5),Keys!$C$4)</f>
        <v>1.0343</v>
      </c>
      <c r="U180">
        <f>IF($D180=1,ROUND(Keys!$C$2/(INDEX(Src_SYSHECF_nuclear!$S$5:$S$292,MATCH($C180,Src_SYSHECF_nuclear!$C$5:$C$292,0))*$E180),Keys!$C$5),Keys!$C$4)</f>
        <v>1.0343</v>
      </c>
      <c r="V180">
        <f>IF($D180=1,ROUND(Keys!$C$2/(INDEX(Src_SYSHECF_nuclear!$T$5:$T$292,MATCH($C180,Src_SYSHECF_nuclear!$C$5:$C$292,0))*$E180),Keys!$C$5),Keys!$C$4)</f>
        <v>1.0343</v>
      </c>
      <c r="W180">
        <f>IF($D180=1,ROUND(Keys!$C$2/(INDEX(Src_SYSHECF_nuclear!$U$5:$U$292,MATCH($C180,Src_SYSHECF_nuclear!$C$5:$C$292,0))*$E180),Keys!$C$5),Keys!$C$4)</f>
        <v>1.0343</v>
      </c>
      <c r="X180">
        <f>IF($D180=1,ROUND(Keys!$C$2/(INDEX(Src_SYSHECF_nuclear!$V$5:$V$292,MATCH($C180,Src_SYSHECF_nuclear!$C$5:$C$292,0))*$E180),Keys!$C$5),Keys!$C$4)</f>
        <v>1.0343</v>
      </c>
      <c r="Y180">
        <f>IF($D180=1,ROUND(Keys!$C$2/(INDEX(Src_SYSHECF_nuclear!$W$5:$W$292,MATCH($C180,Src_SYSHECF_nuclear!$C$5:$C$292,0))*$E180),Keys!$C$5),Keys!$C$4)</f>
        <v>1.0343</v>
      </c>
      <c r="Z180">
        <f>IF($D180=1,ROUND(Keys!$C$2/(INDEX(Src_SYSHECF_nuclear!$X$5:$X$292,MATCH($C180,Src_SYSHECF_nuclear!$C$5:$C$292,0))*$E180),Keys!$C$5),Keys!$C$4)</f>
        <v>1.0343</v>
      </c>
      <c r="AA180">
        <f>IF($D180=1,ROUND(Keys!$C$2/(INDEX(Src_SYSHECF_nuclear!$Y$5:$Y$292,MATCH($C180,Src_SYSHECF_nuclear!$C$5:$C$292,0))*$E180),Keys!$C$5),Keys!$C$4)</f>
        <v>1.0343</v>
      </c>
      <c r="AB180">
        <f>IF($D180=1,ROUND(Keys!$C$2/(INDEX(Src_SYSHECF_nuclear!$Z$5:$Z$292,MATCH($C180,Src_SYSHECF_nuclear!$C$5:$C$292,0))*$E180),Keys!$C$5),Keys!$C$4)</f>
        <v>1.0347999999999999</v>
      </c>
      <c r="AC180">
        <f>IF($D180=1,ROUND(Keys!$C$2/(INDEX(Src_SYSHECF_nuclear!$AA$5:$AA$292,MATCH($C180,Src_SYSHECF_nuclear!$C$5:$C$292,0))*$E180),Keys!$C$5),Keys!$C$4)</f>
        <v>1.0650999999999999</v>
      </c>
      <c r="AE180">
        <f>IF($D180=1,IF(ABS(INDEX(Src_SYSHECF_nuclear!$D$5:$D$292,MATCH($C180,Src_SYSHECF_nuclear!$C$5:$C$292,0))*$E180*F180-Keys!$C$2)&gt;Keys!$C$6,1,0),0)</f>
        <v>0</v>
      </c>
    </row>
    <row r="181" spans="1:31" x14ac:dyDescent="0.45">
      <c r="A181" t="s">
        <v>58</v>
      </c>
      <c r="B181" t="s">
        <v>429</v>
      </c>
      <c r="C181" t="str">
        <f t="shared" si="2"/>
        <v>MN|Winter Peak</v>
      </c>
      <c r="D181">
        <f>INDEX(Src_BHRaSYC_nuclear!$HF$5:$HF$52,MATCH($A181,Src_BHRaSYC_nuclear!$A$5:$A$52,0))</f>
        <v>1</v>
      </c>
      <c r="E181">
        <f>INDEX(Src_HYECFCA_nuclear!$B$5:$B$52,MATCH($A181,Src_HYECFCA_nuclear!$A$5:$A$52,0))</f>
        <v>1.0545599999999999</v>
      </c>
      <c r="F181">
        <f>IF($D181=1,ROUND(Keys!$C$2/(INDEX(Src_SYSHECF_nuclear!$D$5:$D$292,MATCH($C181,Src_SYSHECF_nuclear!$C$5:$C$292,0))*$E181),Keys!$C$5),Keys!$C$4)</f>
        <v>1.0343</v>
      </c>
      <c r="G181">
        <f>IF($D181=1,ROUND(Keys!$C$2/(INDEX(Src_SYSHECF_nuclear!$E$5:$E$292,MATCH($C181,Src_SYSHECF_nuclear!$C$5:$C$292,0))*$E181),Keys!$C$5),Keys!$C$4)</f>
        <v>1.0343</v>
      </c>
      <c r="H181">
        <f>IF($D181=1,ROUND(Keys!$C$2/(INDEX(Src_SYSHECF_nuclear!$F$5:$F$292,MATCH($C181,Src_SYSHECF_nuclear!$C$5:$C$292,0))*$E181),Keys!$C$5),Keys!$C$4)</f>
        <v>1.0343</v>
      </c>
      <c r="I181">
        <f>IF($D181=1,ROUND(Keys!$C$2/(INDEX(Src_SYSHECF_nuclear!$G$5:$G$292,MATCH($C181,Src_SYSHECF_nuclear!$C$5:$C$292,0))*$E181),Keys!$C$5),Keys!$C$4)</f>
        <v>1.0343</v>
      </c>
      <c r="J181">
        <f>IF($D181=1,ROUND(Keys!$C$2/(INDEX(Src_SYSHECF_nuclear!$H$5:$H$292,MATCH($C181,Src_SYSHECF_nuclear!$C$5:$C$292,0))*$E181),Keys!$C$5),Keys!$C$4)</f>
        <v>1.0343</v>
      </c>
      <c r="K181">
        <f>IF($D181=1,ROUND(Keys!$C$2/(INDEX(Src_SYSHECF_nuclear!$I$5:$I$292,MATCH($C181,Src_SYSHECF_nuclear!$C$5:$C$292,0))*$E181),Keys!$C$5),Keys!$C$4)</f>
        <v>1.0343</v>
      </c>
      <c r="L181">
        <f>IF($D181=1,ROUND(Keys!$C$2/(INDEX(Src_SYSHECF_nuclear!$J$5:$J$292,MATCH($C181,Src_SYSHECF_nuclear!$C$5:$C$292,0))*$E181),Keys!$C$5),Keys!$C$4)</f>
        <v>1.0343</v>
      </c>
      <c r="M181">
        <f>IF($D181=1,ROUND(Keys!$C$2/(INDEX(Src_SYSHECF_nuclear!$K$5:$K$292,MATCH($C181,Src_SYSHECF_nuclear!$C$5:$C$292,0))*$E181),Keys!$C$5),Keys!$C$4)</f>
        <v>1.0343</v>
      </c>
      <c r="N181">
        <f>IF($D181=1,ROUND(Keys!$C$2/(INDEX(Src_SYSHECF_nuclear!$L$5:$L$292,MATCH($C181,Src_SYSHECF_nuclear!$C$5:$C$292,0))*$E181),Keys!$C$5),Keys!$C$4)</f>
        <v>1.0343</v>
      </c>
      <c r="O181">
        <f>IF($D181=1,ROUND(Keys!$C$2/(INDEX(Src_SYSHECF_nuclear!$M$5:$M$292,MATCH($C181,Src_SYSHECF_nuclear!$C$5:$C$292,0))*$E181),Keys!$C$5),Keys!$C$4)</f>
        <v>1.0343</v>
      </c>
      <c r="P181">
        <f>IF($D181=1,ROUND(Keys!$C$2/(INDEX(Src_SYSHECF_nuclear!$N$5:$N$292,MATCH($C181,Src_SYSHECF_nuclear!$C$5:$C$292,0))*$E181),Keys!$C$5),Keys!$C$4)</f>
        <v>1.0343</v>
      </c>
      <c r="Q181">
        <f>IF($D181=1,ROUND(Keys!$C$2/(INDEX(Src_SYSHECF_nuclear!$O$5:$O$292,MATCH($C181,Src_SYSHECF_nuclear!$C$5:$C$292,0))*$E181),Keys!$C$5),Keys!$C$4)</f>
        <v>1.0343</v>
      </c>
      <c r="R181">
        <f>IF($D181=1,ROUND(Keys!$C$2/(INDEX(Src_SYSHECF_nuclear!$P$5:$P$292,MATCH($C181,Src_SYSHECF_nuclear!$C$5:$C$292,0))*$E181),Keys!$C$5),Keys!$C$4)</f>
        <v>1.0343</v>
      </c>
      <c r="S181">
        <f>IF($D181=1,ROUND(Keys!$C$2/(INDEX(Src_SYSHECF_nuclear!$Q$5:$Q$292,MATCH($C181,Src_SYSHECF_nuclear!$C$5:$C$292,0))*$E181),Keys!$C$5),Keys!$C$4)</f>
        <v>1.0343</v>
      </c>
      <c r="T181">
        <f>IF($D181=1,ROUND(Keys!$C$2/(INDEX(Src_SYSHECF_nuclear!$R$5:$R$292,MATCH($C181,Src_SYSHECF_nuclear!$C$5:$C$292,0))*$E181),Keys!$C$5),Keys!$C$4)</f>
        <v>1.0343</v>
      </c>
      <c r="U181">
        <f>IF($D181=1,ROUND(Keys!$C$2/(INDEX(Src_SYSHECF_nuclear!$S$5:$S$292,MATCH($C181,Src_SYSHECF_nuclear!$C$5:$C$292,0))*$E181),Keys!$C$5),Keys!$C$4)</f>
        <v>1.0343</v>
      </c>
      <c r="V181">
        <f>IF($D181=1,ROUND(Keys!$C$2/(INDEX(Src_SYSHECF_nuclear!$T$5:$T$292,MATCH($C181,Src_SYSHECF_nuclear!$C$5:$C$292,0))*$E181),Keys!$C$5),Keys!$C$4)</f>
        <v>1.0343</v>
      </c>
      <c r="W181">
        <f>IF($D181=1,ROUND(Keys!$C$2/(INDEX(Src_SYSHECF_nuclear!$U$5:$U$292,MATCH($C181,Src_SYSHECF_nuclear!$C$5:$C$292,0))*$E181),Keys!$C$5),Keys!$C$4)</f>
        <v>1.0343</v>
      </c>
      <c r="X181">
        <f>IF($D181=1,ROUND(Keys!$C$2/(INDEX(Src_SYSHECF_nuclear!$V$5:$V$292,MATCH($C181,Src_SYSHECF_nuclear!$C$5:$C$292,0))*$E181),Keys!$C$5),Keys!$C$4)</f>
        <v>1.0343</v>
      </c>
      <c r="Y181">
        <f>IF($D181=1,ROUND(Keys!$C$2/(INDEX(Src_SYSHECF_nuclear!$W$5:$W$292,MATCH($C181,Src_SYSHECF_nuclear!$C$5:$C$292,0))*$E181),Keys!$C$5),Keys!$C$4)</f>
        <v>1.0343</v>
      </c>
      <c r="Z181">
        <f>IF($D181=1,ROUND(Keys!$C$2/(INDEX(Src_SYSHECF_nuclear!$X$5:$X$292,MATCH($C181,Src_SYSHECF_nuclear!$C$5:$C$292,0))*$E181),Keys!$C$5),Keys!$C$4)</f>
        <v>1.0343</v>
      </c>
      <c r="AA181">
        <f>IF($D181=1,ROUND(Keys!$C$2/(INDEX(Src_SYSHECF_nuclear!$Y$5:$Y$292,MATCH($C181,Src_SYSHECF_nuclear!$C$5:$C$292,0))*$E181),Keys!$C$5),Keys!$C$4)</f>
        <v>1.0343</v>
      </c>
      <c r="AB181">
        <f>IF($D181=1,ROUND(Keys!$C$2/(INDEX(Src_SYSHECF_nuclear!$Z$5:$Z$292,MATCH($C181,Src_SYSHECF_nuclear!$C$5:$C$292,0))*$E181),Keys!$C$5),Keys!$C$4)</f>
        <v>1.0343</v>
      </c>
      <c r="AC181">
        <f>IF($D181=1,ROUND(Keys!$C$2/(INDEX(Src_SYSHECF_nuclear!$AA$5:$AA$292,MATCH($C181,Src_SYSHECF_nuclear!$C$5:$C$292,0))*$E181),Keys!$C$5),Keys!$C$4)</f>
        <v>1.0457000000000001</v>
      </c>
      <c r="AE181">
        <f>IF($D181=1,IF(ABS(INDEX(Src_SYSHECF_nuclear!$D$5:$D$292,MATCH($C181,Src_SYSHECF_nuclear!$C$5:$C$292,0))*$E181*F181-Keys!$C$2)&gt;Keys!$C$6,1,0),0)</f>
        <v>0</v>
      </c>
    </row>
    <row r="182" spans="1:31" x14ac:dyDescent="0.45">
      <c r="A182" t="s">
        <v>61</v>
      </c>
      <c r="B182" t="s">
        <v>424</v>
      </c>
      <c r="C182" t="str">
        <f t="shared" si="2"/>
        <v>MO|Winter</v>
      </c>
      <c r="D182">
        <f>INDEX(Src_BHRaSYC_nuclear!$HF$5:$HF$52,MATCH($A182,Src_BHRaSYC_nuclear!$A$5:$A$52,0))</f>
        <v>1</v>
      </c>
      <c r="E182">
        <f>INDEX(Src_HYECFCA_nuclear!$B$5:$B$52,MATCH($A182,Src_HYECFCA_nuclear!$A$5:$A$52,0))</f>
        <v>0.80672200000000005</v>
      </c>
      <c r="F182">
        <f>IF($D182=1,ROUND(Keys!$C$2/(INDEX(Src_SYSHECF_nuclear!$D$5:$D$292,MATCH($C182,Src_SYSHECF_nuclear!$C$5:$C$292,0))*$E182),Keys!$C$5),Keys!$C$4)</f>
        <v>1.4298</v>
      </c>
      <c r="G182">
        <f>IF($D182=1,ROUND(Keys!$C$2/(INDEX(Src_SYSHECF_nuclear!$E$5:$E$292,MATCH($C182,Src_SYSHECF_nuclear!$C$5:$C$292,0))*$E182),Keys!$C$5),Keys!$C$4)</f>
        <v>1.4464999999999999</v>
      </c>
      <c r="H182">
        <f>IF($D182=1,ROUND(Keys!$C$2/(INDEX(Src_SYSHECF_nuclear!$F$5:$F$292,MATCH($C182,Src_SYSHECF_nuclear!$C$5:$C$292,0))*$E182),Keys!$C$5),Keys!$C$4)</f>
        <v>1.458</v>
      </c>
      <c r="I182">
        <f>IF($D182=1,ROUND(Keys!$C$2/(INDEX(Src_SYSHECF_nuclear!$G$5:$G$292,MATCH($C182,Src_SYSHECF_nuclear!$C$5:$C$292,0))*$E182),Keys!$C$5),Keys!$C$4)</f>
        <v>1.4470000000000001</v>
      </c>
      <c r="J182">
        <f>IF($D182=1,ROUND(Keys!$C$2/(INDEX(Src_SYSHECF_nuclear!$H$5:$H$292,MATCH($C182,Src_SYSHECF_nuclear!$C$5:$C$292,0))*$E182),Keys!$C$5),Keys!$C$4)</f>
        <v>1.4323999999999999</v>
      </c>
      <c r="K182">
        <f>IF($D182=1,ROUND(Keys!$C$2/(INDEX(Src_SYSHECF_nuclear!$I$5:$I$292,MATCH($C182,Src_SYSHECF_nuclear!$C$5:$C$292,0))*$E182),Keys!$C$5),Keys!$C$4)</f>
        <v>1.4347000000000001</v>
      </c>
      <c r="L182">
        <f>IF($D182=1,ROUND(Keys!$C$2/(INDEX(Src_SYSHECF_nuclear!$J$5:$J$292,MATCH($C182,Src_SYSHECF_nuclear!$C$5:$C$292,0))*$E182),Keys!$C$5),Keys!$C$4)</f>
        <v>1.4298</v>
      </c>
      <c r="M182">
        <f>IF($D182=1,ROUND(Keys!$C$2/(INDEX(Src_SYSHECF_nuclear!$K$5:$K$292,MATCH($C182,Src_SYSHECF_nuclear!$C$5:$C$292,0))*$E182),Keys!$C$5),Keys!$C$4)</f>
        <v>1.4248000000000001</v>
      </c>
      <c r="N182">
        <f>IF($D182=1,ROUND(Keys!$C$2/(INDEX(Src_SYSHECF_nuclear!$L$5:$L$292,MATCH($C182,Src_SYSHECF_nuclear!$C$5:$C$292,0))*$E182),Keys!$C$5),Keys!$C$4)</f>
        <v>1.4248000000000001</v>
      </c>
      <c r="O182">
        <f>IF($D182=1,ROUND(Keys!$C$2/(INDEX(Src_SYSHECF_nuclear!$M$5:$M$292,MATCH($C182,Src_SYSHECF_nuclear!$C$5:$C$292,0))*$E182),Keys!$C$5),Keys!$C$4)</f>
        <v>1.4248000000000001</v>
      </c>
      <c r="P182">
        <f>IF($D182=1,ROUND(Keys!$C$2/(INDEX(Src_SYSHECF_nuclear!$N$5:$N$292,MATCH($C182,Src_SYSHECF_nuclear!$C$5:$C$292,0))*$E182),Keys!$C$5),Keys!$C$4)</f>
        <v>1.4248000000000001</v>
      </c>
      <c r="Q182">
        <f>IF($D182=1,ROUND(Keys!$C$2/(INDEX(Src_SYSHECF_nuclear!$O$5:$O$292,MATCH($C182,Src_SYSHECF_nuclear!$C$5:$C$292,0))*$E182),Keys!$C$5),Keys!$C$4)</f>
        <v>1.4248000000000001</v>
      </c>
      <c r="R182">
        <f>IF($D182=1,ROUND(Keys!$C$2/(INDEX(Src_SYSHECF_nuclear!$P$5:$P$292,MATCH($C182,Src_SYSHECF_nuclear!$C$5:$C$292,0))*$E182),Keys!$C$5),Keys!$C$4)</f>
        <v>1.4248000000000001</v>
      </c>
      <c r="S182">
        <f>IF($D182=1,ROUND(Keys!$C$2/(INDEX(Src_SYSHECF_nuclear!$Q$5:$Q$292,MATCH($C182,Src_SYSHECF_nuclear!$C$5:$C$292,0))*$E182),Keys!$C$5),Keys!$C$4)</f>
        <v>1.4248000000000001</v>
      </c>
      <c r="T182">
        <f>IF($D182=1,ROUND(Keys!$C$2/(INDEX(Src_SYSHECF_nuclear!$R$5:$R$292,MATCH($C182,Src_SYSHECF_nuclear!$C$5:$C$292,0))*$E182),Keys!$C$5),Keys!$C$4)</f>
        <v>1.4248000000000001</v>
      </c>
      <c r="U182">
        <f>IF($D182=1,ROUND(Keys!$C$2/(INDEX(Src_SYSHECF_nuclear!$S$5:$S$292,MATCH($C182,Src_SYSHECF_nuclear!$C$5:$C$292,0))*$E182),Keys!$C$5),Keys!$C$4)</f>
        <v>1.4248000000000001</v>
      </c>
      <c r="V182">
        <f>IF($D182=1,ROUND(Keys!$C$2/(INDEX(Src_SYSHECF_nuclear!$T$5:$T$292,MATCH($C182,Src_SYSHECF_nuclear!$C$5:$C$292,0))*$E182),Keys!$C$5),Keys!$C$4)</f>
        <v>1.4248000000000001</v>
      </c>
      <c r="W182">
        <f>IF($D182=1,ROUND(Keys!$C$2/(INDEX(Src_SYSHECF_nuclear!$U$5:$U$292,MATCH($C182,Src_SYSHECF_nuclear!$C$5:$C$292,0))*$E182),Keys!$C$5),Keys!$C$4)</f>
        <v>1.4248000000000001</v>
      </c>
      <c r="X182">
        <f>IF($D182=1,ROUND(Keys!$C$2/(INDEX(Src_SYSHECF_nuclear!$V$5:$V$292,MATCH($C182,Src_SYSHECF_nuclear!$C$5:$C$292,0))*$E182),Keys!$C$5),Keys!$C$4)</f>
        <v>1.4248000000000001</v>
      </c>
      <c r="Y182">
        <f>IF($D182=1,ROUND(Keys!$C$2/(INDEX(Src_SYSHECF_nuclear!$W$5:$W$292,MATCH($C182,Src_SYSHECF_nuclear!$C$5:$C$292,0))*$E182),Keys!$C$5),Keys!$C$4)</f>
        <v>1.4248000000000001</v>
      </c>
      <c r="Z182">
        <f>IF($D182=1,ROUND(Keys!$C$2/(INDEX(Src_SYSHECF_nuclear!$X$5:$X$292,MATCH($C182,Src_SYSHECF_nuclear!$C$5:$C$292,0))*$E182),Keys!$C$5),Keys!$C$4)</f>
        <v>1.4248000000000001</v>
      </c>
      <c r="AA182">
        <f>IF($D182=1,ROUND(Keys!$C$2/(INDEX(Src_SYSHECF_nuclear!$Y$5:$Y$292,MATCH($C182,Src_SYSHECF_nuclear!$C$5:$C$292,0))*$E182),Keys!$C$5),Keys!$C$4)</f>
        <v>1.4248000000000001</v>
      </c>
      <c r="AB182">
        <f>IF($D182=1,ROUND(Keys!$C$2/(INDEX(Src_SYSHECF_nuclear!$Z$5:$Z$292,MATCH($C182,Src_SYSHECF_nuclear!$C$5:$C$292,0))*$E182),Keys!$C$5),Keys!$C$4)</f>
        <v>1.4248000000000001</v>
      </c>
      <c r="AC182">
        <f>IF($D182=1,ROUND(Keys!$C$2/(INDEX(Src_SYSHECF_nuclear!$AA$5:$AA$292,MATCH($C182,Src_SYSHECF_nuclear!$C$5:$C$292,0))*$E182),Keys!$C$5),Keys!$C$4)</f>
        <v>1.4248000000000001</v>
      </c>
      <c r="AE182">
        <f>IF($D182=1,IF(ABS(INDEX(Src_SYSHECF_nuclear!$D$5:$D$292,MATCH($C182,Src_SYSHECF_nuclear!$C$5:$C$292,0))*$E182*F182-Keys!$C$2)&gt;Keys!$C$6,1,0),0)</f>
        <v>0</v>
      </c>
    </row>
    <row r="183" spans="1:31" x14ac:dyDescent="0.45">
      <c r="A183" t="s">
        <v>61</v>
      </c>
      <c r="B183" t="s">
        <v>425</v>
      </c>
      <c r="C183" t="str">
        <f t="shared" si="2"/>
        <v>MO|Spring</v>
      </c>
      <c r="D183">
        <f>INDEX(Src_BHRaSYC_nuclear!$HF$5:$HF$52,MATCH($A183,Src_BHRaSYC_nuclear!$A$5:$A$52,0))</f>
        <v>1</v>
      </c>
      <c r="E183">
        <f>INDEX(Src_HYECFCA_nuclear!$B$5:$B$52,MATCH($A183,Src_HYECFCA_nuclear!$A$5:$A$52,0))</f>
        <v>0.80672200000000005</v>
      </c>
      <c r="F183">
        <f>IF($D183=1,ROUND(Keys!$C$2/(INDEX(Src_SYSHECF_nuclear!$D$5:$D$292,MATCH($C183,Src_SYSHECF_nuclear!$C$5:$C$292,0))*$E183),Keys!$C$5),Keys!$C$4)</f>
        <v>1.4248000000000001</v>
      </c>
      <c r="G183">
        <f>IF($D183=1,ROUND(Keys!$C$2/(INDEX(Src_SYSHECF_nuclear!$E$5:$E$292,MATCH($C183,Src_SYSHECF_nuclear!$C$5:$C$292,0))*$E183),Keys!$C$5),Keys!$C$4)</f>
        <v>1.4248000000000001</v>
      </c>
      <c r="H183">
        <f>IF($D183=1,ROUND(Keys!$C$2/(INDEX(Src_SYSHECF_nuclear!$F$5:$F$292,MATCH($C183,Src_SYSHECF_nuclear!$C$5:$C$292,0))*$E183),Keys!$C$5),Keys!$C$4)</f>
        <v>1.4248000000000001</v>
      </c>
      <c r="I183">
        <f>IF($D183=1,ROUND(Keys!$C$2/(INDEX(Src_SYSHECF_nuclear!$G$5:$G$292,MATCH($C183,Src_SYSHECF_nuclear!$C$5:$C$292,0))*$E183),Keys!$C$5),Keys!$C$4)</f>
        <v>1.4248000000000001</v>
      </c>
      <c r="J183">
        <f>IF($D183=1,ROUND(Keys!$C$2/(INDEX(Src_SYSHECF_nuclear!$H$5:$H$292,MATCH($C183,Src_SYSHECF_nuclear!$C$5:$C$292,0))*$E183),Keys!$C$5),Keys!$C$4)</f>
        <v>1.4248000000000001</v>
      </c>
      <c r="K183">
        <f>IF($D183=1,ROUND(Keys!$C$2/(INDEX(Src_SYSHECF_nuclear!$I$5:$I$292,MATCH($C183,Src_SYSHECF_nuclear!$C$5:$C$292,0))*$E183),Keys!$C$5),Keys!$C$4)</f>
        <v>1.4248000000000001</v>
      </c>
      <c r="L183">
        <f>IF($D183=1,ROUND(Keys!$C$2/(INDEX(Src_SYSHECF_nuclear!$J$5:$J$292,MATCH($C183,Src_SYSHECF_nuclear!$C$5:$C$292,0))*$E183),Keys!$C$5),Keys!$C$4)</f>
        <v>1.4248000000000001</v>
      </c>
      <c r="M183">
        <f>IF($D183=1,ROUND(Keys!$C$2/(INDEX(Src_SYSHECF_nuclear!$K$5:$K$292,MATCH($C183,Src_SYSHECF_nuclear!$C$5:$C$292,0))*$E183),Keys!$C$5),Keys!$C$4)</f>
        <v>1.4248000000000001</v>
      </c>
      <c r="N183">
        <f>IF($D183=1,ROUND(Keys!$C$2/(INDEX(Src_SYSHECF_nuclear!$L$5:$L$292,MATCH($C183,Src_SYSHECF_nuclear!$C$5:$C$292,0))*$E183),Keys!$C$5),Keys!$C$4)</f>
        <v>1.4248000000000001</v>
      </c>
      <c r="O183">
        <f>IF($D183=1,ROUND(Keys!$C$2/(INDEX(Src_SYSHECF_nuclear!$M$5:$M$292,MATCH($C183,Src_SYSHECF_nuclear!$C$5:$C$292,0))*$E183),Keys!$C$5),Keys!$C$4)</f>
        <v>1.4248000000000001</v>
      </c>
      <c r="P183">
        <f>IF($D183=1,ROUND(Keys!$C$2/(INDEX(Src_SYSHECF_nuclear!$N$5:$N$292,MATCH($C183,Src_SYSHECF_nuclear!$C$5:$C$292,0))*$E183),Keys!$C$5),Keys!$C$4)</f>
        <v>1.4248000000000001</v>
      </c>
      <c r="Q183">
        <f>IF($D183=1,ROUND(Keys!$C$2/(INDEX(Src_SYSHECF_nuclear!$O$5:$O$292,MATCH($C183,Src_SYSHECF_nuclear!$C$5:$C$292,0))*$E183),Keys!$C$5),Keys!$C$4)</f>
        <v>1.4248000000000001</v>
      </c>
      <c r="R183">
        <f>IF($D183=1,ROUND(Keys!$C$2/(INDEX(Src_SYSHECF_nuclear!$P$5:$P$292,MATCH($C183,Src_SYSHECF_nuclear!$C$5:$C$292,0))*$E183),Keys!$C$5),Keys!$C$4)</f>
        <v>1.4248000000000001</v>
      </c>
      <c r="S183">
        <f>IF($D183=1,ROUND(Keys!$C$2/(INDEX(Src_SYSHECF_nuclear!$Q$5:$Q$292,MATCH($C183,Src_SYSHECF_nuclear!$C$5:$C$292,0))*$E183),Keys!$C$5),Keys!$C$4)</f>
        <v>1.4248000000000001</v>
      </c>
      <c r="T183">
        <f>IF($D183=1,ROUND(Keys!$C$2/(INDEX(Src_SYSHECF_nuclear!$R$5:$R$292,MATCH($C183,Src_SYSHECF_nuclear!$C$5:$C$292,0))*$E183),Keys!$C$5),Keys!$C$4)</f>
        <v>1.4248000000000001</v>
      </c>
      <c r="U183">
        <f>IF($D183=1,ROUND(Keys!$C$2/(INDEX(Src_SYSHECF_nuclear!$S$5:$S$292,MATCH($C183,Src_SYSHECF_nuclear!$C$5:$C$292,0))*$E183),Keys!$C$5),Keys!$C$4)</f>
        <v>1.4248000000000001</v>
      </c>
      <c r="V183">
        <f>IF($D183=1,ROUND(Keys!$C$2/(INDEX(Src_SYSHECF_nuclear!$T$5:$T$292,MATCH($C183,Src_SYSHECF_nuclear!$C$5:$C$292,0))*$E183),Keys!$C$5),Keys!$C$4)</f>
        <v>1.4248000000000001</v>
      </c>
      <c r="W183">
        <f>IF($D183=1,ROUND(Keys!$C$2/(INDEX(Src_SYSHECF_nuclear!$U$5:$U$292,MATCH($C183,Src_SYSHECF_nuclear!$C$5:$C$292,0))*$E183),Keys!$C$5),Keys!$C$4)</f>
        <v>1.4248000000000001</v>
      </c>
      <c r="X183">
        <f>IF($D183=1,ROUND(Keys!$C$2/(INDEX(Src_SYSHECF_nuclear!$V$5:$V$292,MATCH($C183,Src_SYSHECF_nuclear!$C$5:$C$292,0))*$E183),Keys!$C$5),Keys!$C$4)</f>
        <v>1.4248000000000001</v>
      </c>
      <c r="Y183">
        <f>IF($D183=1,ROUND(Keys!$C$2/(INDEX(Src_SYSHECF_nuclear!$W$5:$W$292,MATCH($C183,Src_SYSHECF_nuclear!$C$5:$C$292,0))*$E183),Keys!$C$5),Keys!$C$4)</f>
        <v>1.4248000000000001</v>
      </c>
      <c r="Z183">
        <f>IF($D183=1,ROUND(Keys!$C$2/(INDEX(Src_SYSHECF_nuclear!$X$5:$X$292,MATCH($C183,Src_SYSHECF_nuclear!$C$5:$C$292,0))*$E183),Keys!$C$5),Keys!$C$4)</f>
        <v>1.4248000000000001</v>
      </c>
      <c r="AA183">
        <f>IF($D183=1,ROUND(Keys!$C$2/(INDEX(Src_SYSHECF_nuclear!$Y$5:$Y$292,MATCH($C183,Src_SYSHECF_nuclear!$C$5:$C$292,0))*$E183),Keys!$C$5),Keys!$C$4)</f>
        <v>1.4248000000000001</v>
      </c>
      <c r="AB183">
        <f>IF($D183=1,ROUND(Keys!$C$2/(INDEX(Src_SYSHECF_nuclear!$Z$5:$Z$292,MATCH($C183,Src_SYSHECF_nuclear!$C$5:$C$292,0))*$E183),Keys!$C$5),Keys!$C$4)</f>
        <v>1.4248000000000001</v>
      </c>
      <c r="AC183">
        <f>IF($D183=1,ROUND(Keys!$C$2/(INDEX(Src_SYSHECF_nuclear!$AA$5:$AA$292,MATCH($C183,Src_SYSHECF_nuclear!$C$5:$C$292,0))*$E183),Keys!$C$5),Keys!$C$4)</f>
        <v>1.4248000000000001</v>
      </c>
      <c r="AE183">
        <f>IF($D183=1,IF(ABS(INDEX(Src_SYSHECF_nuclear!$D$5:$D$292,MATCH($C183,Src_SYSHECF_nuclear!$C$5:$C$292,0))*$E183*F183-Keys!$C$2)&gt;Keys!$C$6,1,0),0)</f>
        <v>0</v>
      </c>
    </row>
    <row r="184" spans="1:31" x14ac:dyDescent="0.45">
      <c r="A184" t="s">
        <v>61</v>
      </c>
      <c r="B184" t="s">
        <v>426</v>
      </c>
      <c r="C184" t="str">
        <f t="shared" ref="C184:C247" si="3">A184&amp;"|"&amp;B184</f>
        <v>MO|Summer</v>
      </c>
      <c r="D184">
        <f>INDEX(Src_BHRaSYC_nuclear!$HF$5:$HF$52,MATCH($A184,Src_BHRaSYC_nuclear!$A$5:$A$52,0))</f>
        <v>1</v>
      </c>
      <c r="E184">
        <f>INDEX(Src_HYECFCA_nuclear!$B$5:$B$52,MATCH($A184,Src_HYECFCA_nuclear!$A$5:$A$52,0))</f>
        <v>0.80672200000000005</v>
      </c>
      <c r="F184">
        <f>IF($D184=1,ROUND(Keys!$C$2/(INDEX(Src_SYSHECF_nuclear!$D$5:$D$292,MATCH($C184,Src_SYSHECF_nuclear!$C$5:$C$292,0))*$E184),Keys!$C$5),Keys!$C$4)</f>
        <v>1.4248000000000001</v>
      </c>
      <c r="G184">
        <f>IF($D184=1,ROUND(Keys!$C$2/(INDEX(Src_SYSHECF_nuclear!$E$5:$E$292,MATCH($C184,Src_SYSHECF_nuclear!$C$5:$C$292,0))*$E184),Keys!$C$5),Keys!$C$4)</f>
        <v>1.4248000000000001</v>
      </c>
      <c r="H184">
        <f>IF($D184=1,ROUND(Keys!$C$2/(INDEX(Src_SYSHECF_nuclear!$F$5:$F$292,MATCH($C184,Src_SYSHECF_nuclear!$C$5:$C$292,0))*$E184),Keys!$C$5),Keys!$C$4)</f>
        <v>1.4248000000000001</v>
      </c>
      <c r="I184">
        <f>IF($D184=1,ROUND(Keys!$C$2/(INDEX(Src_SYSHECF_nuclear!$G$5:$G$292,MATCH($C184,Src_SYSHECF_nuclear!$C$5:$C$292,0))*$E184),Keys!$C$5),Keys!$C$4)</f>
        <v>1.4248000000000001</v>
      </c>
      <c r="J184">
        <f>IF($D184=1,ROUND(Keys!$C$2/(INDEX(Src_SYSHECF_nuclear!$H$5:$H$292,MATCH($C184,Src_SYSHECF_nuclear!$C$5:$C$292,0))*$E184),Keys!$C$5),Keys!$C$4)</f>
        <v>1.4248000000000001</v>
      </c>
      <c r="K184">
        <f>IF($D184=1,ROUND(Keys!$C$2/(INDEX(Src_SYSHECF_nuclear!$I$5:$I$292,MATCH($C184,Src_SYSHECF_nuclear!$C$5:$C$292,0))*$E184),Keys!$C$5),Keys!$C$4)</f>
        <v>1.4302999999999999</v>
      </c>
      <c r="L184">
        <f>IF($D184=1,ROUND(Keys!$C$2/(INDEX(Src_SYSHECF_nuclear!$J$5:$J$292,MATCH($C184,Src_SYSHECF_nuclear!$C$5:$C$292,0))*$E184),Keys!$C$5),Keys!$C$4)</f>
        <v>1.4302999999999999</v>
      </c>
      <c r="M184">
        <f>IF($D184=1,ROUND(Keys!$C$2/(INDEX(Src_SYSHECF_nuclear!$K$5:$K$292,MATCH($C184,Src_SYSHECF_nuclear!$C$5:$C$292,0))*$E184),Keys!$C$5),Keys!$C$4)</f>
        <v>1.4248000000000001</v>
      </c>
      <c r="N184">
        <f>IF($D184=1,ROUND(Keys!$C$2/(INDEX(Src_SYSHECF_nuclear!$L$5:$L$292,MATCH($C184,Src_SYSHECF_nuclear!$C$5:$C$292,0))*$E184),Keys!$C$5),Keys!$C$4)</f>
        <v>1.4248000000000001</v>
      </c>
      <c r="O184">
        <f>IF($D184=1,ROUND(Keys!$C$2/(INDEX(Src_SYSHECF_nuclear!$M$5:$M$292,MATCH($C184,Src_SYSHECF_nuclear!$C$5:$C$292,0))*$E184),Keys!$C$5),Keys!$C$4)</f>
        <v>1.4248000000000001</v>
      </c>
      <c r="P184">
        <f>IF($D184=1,ROUND(Keys!$C$2/(INDEX(Src_SYSHECF_nuclear!$N$5:$N$292,MATCH($C184,Src_SYSHECF_nuclear!$C$5:$C$292,0))*$E184),Keys!$C$5),Keys!$C$4)</f>
        <v>1.4248000000000001</v>
      </c>
      <c r="Q184">
        <f>IF($D184=1,ROUND(Keys!$C$2/(INDEX(Src_SYSHECF_nuclear!$O$5:$O$292,MATCH($C184,Src_SYSHECF_nuclear!$C$5:$C$292,0))*$E184),Keys!$C$5),Keys!$C$4)</f>
        <v>1.4248000000000001</v>
      </c>
      <c r="R184">
        <f>IF($D184=1,ROUND(Keys!$C$2/(INDEX(Src_SYSHECF_nuclear!$P$5:$P$292,MATCH($C184,Src_SYSHECF_nuclear!$C$5:$C$292,0))*$E184),Keys!$C$5),Keys!$C$4)</f>
        <v>1.4248000000000001</v>
      </c>
      <c r="S184">
        <f>IF($D184=1,ROUND(Keys!$C$2/(INDEX(Src_SYSHECF_nuclear!$Q$5:$Q$292,MATCH($C184,Src_SYSHECF_nuclear!$C$5:$C$292,0))*$E184),Keys!$C$5),Keys!$C$4)</f>
        <v>1.4248000000000001</v>
      </c>
      <c r="T184">
        <f>IF($D184=1,ROUND(Keys!$C$2/(INDEX(Src_SYSHECF_nuclear!$R$5:$R$292,MATCH($C184,Src_SYSHECF_nuclear!$C$5:$C$292,0))*$E184),Keys!$C$5),Keys!$C$4)</f>
        <v>1.4248000000000001</v>
      </c>
      <c r="U184">
        <f>IF($D184=1,ROUND(Keys!$C$2/(INDEX(Src_SYSHECF_nuclear!$S$5:$S$292,MATCH($C184,Src_SYSHECF_nuclear!$C$5:$C$292,0))*$E184),Keys!$C$5),Keys!$C$4)</f>
        <v>1.4248000000000001</v>
      </c>
      <c r="V184">
        <f>IF($D184=1,ROUND(Keys!$C$2/(INDEX(Src_SYSHECF_nuclear!$T$5:$T$292,MATCH($C184,Src_SYSHECF_nuclear!$C$5:$C$292,0))*$E184),Keys!$C$5),Keys!$C$4)</f>
        <v>1.4248000000000001</v>
      </c>
      <c r="W184">
        <f>IF($D184=1,ROUND(Keys!$C$2/(INDEX(Src_SYSHECF_nuclear!$U$5:$U$292,MATCH($C184,Src_SYSHECF_nuclear!$C$5:$C$292,0))*$E184),Keys!$C$5),Keys!$C$4)</f>
        <v>1.4248000000000001</v>
      </c>
      <c r="X184">
        <f>IF($D184=1,ROUND(Keys!$C$2/(INDEX(Src_SYSHECF_nuclear!$V$5:$V$292,MATCH($C184,Src_SYSHECF_nuclear!$C$5:$C$292,0))*$E184),Keys!$C$5),Keys!$C$4)</f>
        <v>1.4248000000000001</v>
      </c>
      <c r="Y184">
        <f>IF($D184=1,ROUND(Keys!$C$2/(INDEX(Src_SYSHECF_nuclear!$W$5:$W$292,MATCH($C184,Src_SYSHECF_nuclear!$C$5:$C$292,0))*$E184),Keys!$C$5),Keys!$C$4)</f>
        <v>1.4248000000000001</v>
      </c>
      <c r="Z184">
        <f>IF($D184=1,ROUND(Keys!$C$2/(INDEX(Src_SYSHECF_nuclear!$X$5:$X$292,MATCH($C184,Src_SYSHECF_nuclear!$C$5:$C$292,0))*$E184),Keys!$C$5),Keys!$C$4)</f>
        <v>1.4248000000000001</v>
      </c>
      <c r="AA184">
        <f>IF($D184=1,ROUND(Keys!$C$2/(INDEX(Src_SYSHECF_nuclear!$Y$5:$Y$292,MATCH($C184,Src_SYSHECF_nuclear!$C$5:$C$292,0))*$E184),Keys!$C$5),Keys!$C$4)</f>
        <v>1.4248000000000001</v>
      </c>
      <c r="AB184">
        <f>IF($D184=1,ROUND(Keys!$C$2/(INDEX(Src_SYSHECF_nuclear!$Z$5:$Z$292,MATCH($C184,Src_SYSHECF_nuclear!$C$5:$C$292,0))*$E184),Keys!$C$5),Keys!$C$4)</f>
        <v>1.4248000000000001</v>
      </c>
      <c r="AC184">
        <f>IF($D184=1,ROUND(Keys!$C$2/(INDEX(Src_SYSHECF_nuclear!$AA$5:$AA$292,MATCH($C184,Src_SYSHECF_nuclear!$C$5:$C$292,0))*$E184),Keys!$C$5),Keys!$C$4)</f>
        <v>1.4248000000000001</v>
      </c>
      <c r="AE184">
        <f>IF($D184=1,IF(ABS(INDEX(Src_SYSHECF_nuclear!$D$5:$D$292,MATCH($C184,Src_SYSHECF_nuclear!$C$5:$C$292,0))*$E184*F184-Keys!$C$2)&gt;Keys!$C$6,1,0),0)</f>
        <v>0</v>
      </c>
    </row>
    <row r="185" spans="1:31" x14ac:dyDescent="0.45">
      <c r="A185" t="s">
        <v>61</v>
      </c>
      <c r="B185" t="s">
        <v>427</v>
      </c>
      <c r="C185" t="str">
        <f t="shared" si="3"/>
        <v>MO|Fall</v>
      </c>
      <c r="D185">
        <f>INDEX(Src_BHRaSYC_nuclear!$HF$5:$HF$52,MATCH($A185,Src_BHRaSYC_nuclear!$A$5:$A$52,0))</f>
        <v>1</v>
      </c>
      <c r="E185">
        <f>INDEX(Src_HYECFCA_nuclear!$B$5:$B$52,MATCH($A185,Src_HYECFCA_nuclear!$A$5:$A$52,0))</f>
        <v>0.80672200000000005</v>
      </c>
      <c r="F185">
        <f>IF($D185=1,ROUND(Keys!$C$2/(INDEX(Src_SYSHECF_nuclear!$D$5:$D$292,MATCH($C185,Src_SYSHECF_nuclear!$C$5:$C$292,0))*$E185),Keys!$C$5),Keys!$C$4)</f>
        <v>1.4377</v>
      </c>
      <c r="G185">
        <f>IF($D185=1,ROUND(Keys!$C$2/(INDEX(Src_SYSHECF_nuclear!$E$5:$E$292,MATCH($C185,Src_SYSHECF_nuclear!$C$5:$C$292,0))*$E185),Keys!$C$5),Keys!$C$4)</f>
        <v>1.4704999999999999</v>
      </c>
      <c r="H185">
        <f>IF($D185=1,ROUND(Keys!$C$2/(INDEX(Src_SYSHECF_nuclear!$F$5:$F$292,MATCH($C185,Src_SYSHECF_nuclear!$C$5:$C$292,0))*$E185),Keys!$C$5),Keys!$C$4)</f>
        <v>1.4781</v>
      </c>
      <c r="I185">
        <f>IF($D185=1,ROUND(Keys!$C$2/(INDEX(Src_SYSHECF_nuclear!$G$5:$G$292,MATCH($C185,Src_SYSHECF_nuclear!$C$5:$C$292,0))*$E185),Keys!$C$5),Keys!$C$4)</f>
        <v>1.4592000000000001</v>
      </c>
      <c r="J185">
        <f>IF($D185=1,ROUND(Keys!$C$2/(INDEX(Src_SYSHECF_nuclear!$H$5:$H$292,MATCH($C185,Src_SYSHECF_nuclear!$C$5:$C$292,0))*$E185),Keys!$C$5),Keys!$C$4)</f>
        <v>1.4371</v>
      </c>
      <c r="K185">
        <f>IF($D185=1,ROUND(Keys!$C$2/(INDEX(Src_SYSHECF_nuclear!$I$5:$I$292,MATCH($C185,Src_SYSHECF_nuclear!$C$5:$C$292,0))*$E185),Keys!$C$5),Keys!$C$4)</f>
        <v>1.4363999999999999</v>
      </c>
      <c r="L185">
        <f>IF($D185=1,ROUND(Keys!$C$2/(INDEX(Src_SYSHECF_nuclear!$J$5:$J$292,MATCH($C185,Src_SYSHECF_nuclear!$C$5:$C$292,0))*$E185),Keys!$C$5),Keys!$C$4)</f>
        <v>1.4376</v>
      </c>
      <c r="M185">
        <f>IF($D185=1,ROUND(Keys!$C$2/(INDEX(Src_SYSHECF_nuclear!$K$5:$K$292,MATCH($C185,Src_SYSHECF_nuclear!$C$5:$C$292,0))*$E185),Keys!$C$5),Keys!$C$4)</f>
        <v>1.4261999999999999</v>
      </c>
      <c r="N185">
        <f>IF($D185=1,ROUND(Keys!$C$2/(INDEX(Src_SYSHECF_nuclear!$L$5:$L$292,MATCH($C185,Src_SYSHECF_nuclear!$C$5:$C$292,0))*$E185),Keys!$C$5),Keys!$C$4)</f>
        <v>1.4248000000000001</v>
      </c>
      <c r="O185">
        <f>IF($D185=1,ROUND(Keys!$C$2/(INDEX(Src_SYSHECF_nuclear!$M$5:$M$292,MATCH($C185,Src_SYSHECF_nuclear!$C$5:$C$292,0))*$E185),Keys!$C$5),Keys!$C$4)</f>
        <v>1.4248000000000001</v>
      </c>
      <c r="P185">
        <f>IF($D185=1,ROUND(Keys!$C$2/(INDEX(Src_SYSHECF_nuclear!$N$5:$N$292,MATCH($C185,Src_SYSHECF_nuclear!$C$5:$C$292,0))*$E185),Keys!$C$5),Keys!$C$4)</f>
        <v>1.4248000000000001</v>
      </c>
      <c r="Q185">
        <f>IF($D185=1,ROUND(Keys!$C$2/(INDEX(Src_SYSHECF_nuclear!$O$5:$O$292,MATCH($C185,Src_SYSHECF_nuclear!$C$5:$C$292,0))*$E185),Keys!$C$5),Keys!$C$4)</f>
        <v>1.4248000000000001</v>
      </c>
      <c r="R185">
        <f>IF($D185=1,ROUND(Keys!$C$2/(INDEX(Src_SYSHECF_nuclear!$P$5:$P$292,MATCH($C185,Src_SYSHECF_nuclear!$C$5:$C$292,0))*$E185),Keys!$C$5),Keys!$C$4)</f>
        <v>1.4248000000000001</v>
      </c>
      <c r="S185">
        <f>IF($D185=1,ROUND(Keys!$C$2/(INDEX(Src_SYSHECF_nuclear!$Q$5:$Q$292,MATCH($C185,Src_SYSHECF_nuclear!$C$5:$C$292,0))*$E185),Keys!$C$5),Keys!$C$4)</f>
        <v>1.4248000000000001</v>
      </c>
      <c r="T185">
        <f>IF($D185=1,ROUND(Keys!$C$2/(INDEX(Src_SYSHECF_nuclear!$R$5:$R$292,MATCH($C185,Src_SYSHECF_nuclear!$C$5:$C$292,0))*$E185),Keys!$C$5),Keys!$C$4)</f>
        <v>1.4248000000000001</v>
      </c>
      <c r="U185">
        <f>IF($D185=1,ROUND(Keys!$C$2/(INDEX(Src_SYSHECF_nuclear!$S$5:$S$292,MATCH($C185,Src_SYSHECF_nuclear!$C$5:$C$292,0))*$E185),Keys!$C$5),Keys!$C$4)</f>
        <v>1.4248000000000001</v>
      </c>
      <c r="V185">
        <f>IF($D185=1,ROUND(Keys!$C$2/(INDEX(Src_SYSHECF_nuclear!$T$5:$T$292,MATCH($C185,Src_SYSHECF_nuclear!$C$5:$C$292,0))*$E185),Keys!$C$5),Keys!$C$4)</f>
        <v>1.4248000000000001</v>
      </c>
      <c r="W185">
        <f>IF($D185=1,ROUND(Keys!$C$2/(INDEX(Src_SYSHECF_nuclear!$U$5:$U$292,MATCH($C185,Src_SYSHECF_nuclear!$C$5:$C$292,0))*$E185),Keys!$C$5),Keys!$C$4)</f>
        <v>1.4248000000000001</v>
      </c>
      <c r="X185">
        <f>IF($D185=1,ROUND(Keys!$C$2/(INDEX(Src_SYSHECF_nuclear!$V$5:$V$292,MATCH($C185,Src_SYSHECF_nuclear!$C$5:$C$292,0))*$E185),Keys!$C$5),Keys!$C$4)</f>
        <v>1.4248000000000001</v>
      </c>
      <c r="Y185">
        <f>IF($D185=1,ROUND(Keys!$C$2/(INDEX(Src_SYSHECF_nuclear!$W$5:$W$292,MATCH($C185,Src_SYSHECF_nuclear!$C$5:$C$292,0))*$E185),Keys!$C$5),Keys!$C$4)</f>
        <v>1.4248000000000001</v>
      </c>
      <c r="Z185">
        <f>IF($D185=1,ROUND(Keys!$C$2/(INDEX(Src_SYSHECF_nuclear!$X$5:$X$292,MATCH($C185,Src_SYSHECF_nuclear!$C$5:$C$292,0))*$E185),Keys!$C$5),Keys!$C$4)</f>
        <v>1.4248000000000001</v>
      </c>
      <c r="AA185">
        <f>IF($D185=1,ROUND(Keys!$C$2/(INDEX(Src_SYSHECF_nuclear!$Y$5:$Y$292,MATCH($C185,Src_SYSHECF_nuclear!$C$5:$C$292,0))*$E185),Keys!$C$5),Keys!$C$4)</f>
        <v>1.4248000000000001</v>
      </c>
      <c r="AB185">
        <f>IF($D185=1,ROUND(Keys!$C$2/(INDEX(Src_SYSHECF_nuclear!$Z$5:$Z$292,MATCH($C185,Src_SYSHECF_nuclear!$C$5:$C$292,0))*$E185),Keys!$C$5),Keys!$C$4)</f>
        <v>1.4248000000000001</v>
      </c>
      <c r="AC185">
        <f>IF($D185=1,ROUND(Keys!$C$2/(INDEX(Src_SYSHECF_nuclear!$AA$5:$AA$292,MATCH($C185,Src_SYSHECF_nuclear!$C$5:$C$292,0))*$E185),Keys!$C$5),Keys!$C$4)</f>
        <v>1.4256</v>
      </c>
      <c r="AE185">
        <f>IF($D185=1,IF(ABS(INDEX(Src_SYSHECF_nuclear!$D$5:$D$292,MATCH($C185,Src_SYSHECF_nuclear!$C$5:$C$292,0))*$E185*F185-Keys!$C$2)&gt;Keys!$C$6,1,0),0)</f>
        <v>0</v>
      </c>
    </row>
    <row r="186" spans="1:31" x14ac:dyDescent="0.45">
      <c r="A186" t="s">
        <v>61</v>
      </c>
      <c r="B186" t="s">
        <v>428</v>
      </c>
      <c r="C186" t="str">
        <f t="shared" si="3"/>
        <v>MO|Summer Peak</v>
      </c>
      <c r="D186">
        <f>INDEX(Src_BHRaSYC_nuclear!$HF$5:$HF$52,MATCH($A186,Src_BHRaSYC_nuclear!$A$5:$A$52,0))</f>
        <v>1</v>
      </c>
      <c r="E186">
        <f>INDEX(Src_HYECFCA_nuclear!$B$5:$B$52,MATCH($A186,Src_HYECFCA_nuclear!$A$5:$A$52,0))</f>
        <v>0.80672200000000005</v>
      </c>
      <c r="F186">
        <f>IF($D186=1,ROUND(Keys!$C$2/(INDEX(Src_SYSHECF_nuclear!$D$5:$D$292,MATCH($C186,Src_SYSHECF_nuclear!$C$5:$C$292,0))*$E186),Keys!$C$5),Keys!$C$4)</f>
        <v>1.4248000000000001</v>
      </c>
      <c r="G186">
        <f>IF($D186=1,ROUND(Keys!$C$2/(INDEX(Src_SYSHECF_nuclear!$E$5:$E$292,MATCH($C186,Src_SYSHECF_nuclear!$C$5:$C$292,0))*$E186),Keys!$C$5),Keys!$C$4)</f>
        <v>1.4248000000000001</v>
      </c>
      <c r="H186">
        <f>IF($D186=1,ROUND(Keys!$C$2/(INDEX(Src_SYSHECF_nuclear!$F$5:$F$292,MATCH($C186,Src_SYSHECF_nuclear!$C$5:$C$292,0))*$E186),Keys!$C$5),Keys!$C$4)</f>
        <v>1.4248000000000001</v>
      </c>
      <c r="I186">
        <f>IF($D186=1,ROUND(Keys!$C$2/(INDEX(Src_SYSHECF_nuclear!$G$5:$G$292,MATCH($C186,Src_SYSHECF_nuclear!$C$5:$C$292,0))*$E186),Keys!$C$5),Keys!$C$4)</f>
        <v>1.4248000000000001</v>
      </c>
      <c r="J186">
        <f>IF($D186=1,ROUND(Keys!$C$2/(INDEX(Src_SYSHECF_nuclear!$H$5:$H$292,MATCH($C186,Src_SYSHECF_nuclear!$C$5:$C$292,0))*$E186),Keys!$C$5),Keys!$C$4)</f>
        <v>1.4248000000000001</v>
      </c>
      <c r="K186">
        <f>IF($D186=1,ROUND(Keys!$C$2/(INDEX(Src_SYSHECF_nuclear!$I$5:$I$292,MATCH($C186,Src_SYSHECF_nuclear!$C$5:$C$292,0))*$E186),Keys!$C$5),Keys!$C$4)</f>
        <v>1.4248000000000001</v>
      </c>
      <c r="L186">
        <f>IF($D186=1,ROUND(Keys!$C$2/(INDEX(Src_SYSHECF_nuclear!$J$5:$J$292,MATCH($C186,Src_SYSHECF_nuclear!$C$5:$C$292,0))*$E186),Keys!$C$5),Keys!$C$4)</f>
        <v>1.4248000000000001</v>
      </c>
      <c r="M186">
        <f>IF($D186=1,ROUND(Keys!$C$2/(INDEX(Src_SYSHECF_nuclear!$K$5:$K$292,MATCH($C186,Src_SYSHECF_nuclear!$C$5:$C$292,0))*$E186),Keys!$C$5),Keys!$C$4)</f>
        <v>1.4248000000000001</v>
      </c>
      <c r="N186">
        <f>IF($D186=1,ROUND(Keys!$C$2/(INDEX(Src_SYSHECF_nuclear!$L$5:$L$292,MATCH($C186,Src_SYSHECF_nuclear!$C$5:$C$292,0))*$E186),Keys!$C$5),Keys!$C$4)</f>
        <v>1.4248000000000001</v>
      </c>
      <c r="O186">
        <f>IF($D186=1,ROUND(Keys!$C$2/(INDEX(Src_SYSHECF_nuclear!$M$5:$M$292,MATCH($C186,Src_SYSHECF_nuclear!$C$5:$C$292,0))*$E186),Keys!$C$5),Keys!$C$4)</f>
        <v>1.4248000000000001</v>
      </c>
      <c r="P186">
        <f>IF($D186=1,ROUND(Keys!$C$2/(INDEX(Src_SYSHECF_nuclear!$N$5:$N$292,MATCH($C186,Src_SYSHECF_nuclear!$C$5:$C$292,0))*$E186),Keys!$C$5),Keys!$C$4)</f>
        <v>1.4248000000000001</v>
      </c>
      <c r="Q186">
        <f>IF($D186=1,ROUND(Keys!$C$2/(INDEX(Src_SYSHECF_nuclear!$O$5:$O$292,MATCH($C186,Src_SYSHECF_nuclear!$C$5:$C$292,0))*$E186),Keys!$C$5),Keys!$C$4)</f>
        <v>1.4248000000000001</v>
      </c>
      <c r="R186">
        <f>IF($D186=1,ROUND(Keys!$C$2/(INDEX(Src_SYSHECF_nuclear!$P$5:$P$292,MATCH($C186,Src_SYSHECF_nuclear!$C$5:$C$292,0))*$E186),Keys!$C$5),Keys!$C$4)</f>
        <v>1.4248000000000001</v>
      </c>
      <c r="S186">
        <f>IF($D186=1,ROUND(Keys!$C$2/(INDEX(Src_SYSHECF_nuclear!$Q$5:$Q$292,MATCH($C186,Src_SYSHECF_nuclear!$C$5:$C$292,0))*$E186),Keys!$C$5),Keys!$C$4)</f>
        <v>1.4248000000000001</v>
      </c>
      <c r="T186">
        <f>IF($D186=1,ROUND(Keys!$C$2/(INDEX(Src_SYSHECF_nuclear!$R$5:$R$292,MATCH($C186,Src_SYSHECF_nuclear!$C$5:$C$292,0))*$E186),Keys!$C$5),Keys!$C$4)</f>
        <v>1.4248000000000001</v>
      </c>
      <c r="U186">
        <f>IF($D186=1,ROUND(Keys!$C$2/(INDEX(Src_SYSHECF_nuclear!$S$5:$S$292,MATCH($C186,Src_SYSHECF_nuclear!$C$5:$C$292,0))*$E186),Keys!$C$5),Keys!$C$4)</f>
        <v>1.4248000000000001</v>
      </c>
      <c r="V186">
        <f>IF($D186=1,ROUND(Keys!$C$2/(INDEX(Src_SYSHECF_nuclear!$T$5:$T$292,MATCH($C186,Src_SYSHECF_nuclear!$C$5:$C$292,0))*$E186),Keys!$C$5),Keys!$C$4)</f>
        <v>1.4248000000000001</v>
      </c>
      <c r="W186">
        <f>IF($D186=1,ROUND(Keys!$C$2/(INDEX(Src_SYSHECF_nuclear!$U$5:$U$292,MATCH($C186,Src_SYSHECF_nuclear!$C$5:$C$292,0))*$E186),Keys!$C$5),Keys!$C$4)</f>
        <v>1.4248000000000001</v>
      </c>
      <c r="X186">
        <f>IF($D186=1,ROUND(Keys!$C$2/(INDEX(Src_SYSHECF_nuclear!$V$5:$V$292,MATCH($C186,Src_SYSHECF_nuclear!$C$5:$C$292,0))*$E186),Keys!$C$5),Keys!$C$4)</f>
        <v>1.4248000000000001</v>
      </c>
      <c r="Y186">
        <f>IF($D186=1,ROUND(Keys!$C$2/(INDEX(Src_SYSHECF_nuclear!$W$5:$W$292,MATCH($C186,Src_SYSHECF_nuclear!$C$5:$C$292,0))*$E186),Keys!$C$5),Keys!$C$4)</f>
        <v>1.4248000000000001</v>
      </c>
      <c r="Z186">
        <f>IF($D186=1,ROUND(Keys!$C$2/(INDEX(Src_SYSHECF_nuclear!$X$5:$X$292,MATCH($C186,Src_SYSHECF_nuclear!$C$5:$C$292,0))*$E186),Keys!$C$5),Keys!$C$4)</f>
        <v>1.4248000000000001</v>
      </c>
      <c r="AA186">
        <f>IF($D186=1,ROUND(Keys!$C$2/(INDEX(Src_SYSHECF_nuclear!$Y$5:$Y$292,MATCH($C186,Src_SYSHECF_nuclear!$C$5:$C$292,0))*$E186),Keys!$C$5),Keys!$C$4)</f>
        <v>1.4248000000000001</v>
      </c>
      <c r="AB186">
        <f>IF($D186=1,ROUND(Keys!$C$2/(INDEX(Src_SYSHECF_nuclear!$Z$5:$Z$292,MATCH($C186,Src_SYSHECF_nuclear!$C$5:$C$292,0))*$E186),Keys!$C$5),Keys!$C$4)</f>
        <v>1.4248000000000001</v>
      </c>
      <c r="AC186">
        <f>IF($D186=1,ROUND(Keys!$C$2/(INDEX(Src_SYSHECF_nuclear!$AA$5:$AA$292,MATCH($C186,Src_SYSHECF_nuclear!$C$5:$C$292,0))*$E186),Keys!$C$5),Keys!$C$4)</f>
        <v>1.4248000000000001</v>
      </c>
      <c r="AE186">
        <f>IF($D186=1,IF(ABS(INDEX(Src_SYSHECF_nuclear!$D$5:$D$292,MATCH($C186,Src_SYSHECF_nuclear!$C$5:$C$292,0))*$E186*F186-Keys!$C$2)&gt;Keys!$C$6,1,0),0)</f>
        <v>0</v>
      </c>
    </row>
    <row r="187" spans="1:31" x14ac:dyDescent="0.45">
      <c r="A187" t="s">
        <v>61</v>
      </c>
      <c r="B187" t="s">
        <v>429</v>
      </c>
      <c r="C187" t="str">
        <f t="shared" si="3"/>
        <v>MO|Winter Peak</v>
      </c>
      <c r="D187">
        <f>INDEX(Src_BHRaSYC_nuclear!$HF$5:$HF$52,MATCH($A187,Src_BHRaSYC_nuclear!$A$5:$A$52,0))</f>
        <v>1</v>
      </c>
      <c r="E187">
        <f>INDEX(Src_HYECFCA_nuclear!$B$5:$B$52,MATCH($A187,Src_HYECFCA_nuclear!$A$5:$A$52,0))</f>
        <v>0.80672200000000005</v>
      </c>
      <c r="F187">
        <f>IF($D187=1,ROUND(Keys!$C$2/(INDEX(Src_SYSHECF_nuclear!$D$5:$D$292,MATCH($C187,Src_SYSHECF_nuclear!$C$5:$C$292,0))*$E187),Keys!$C$5),Keys!$C$4)</f>
        <v>1.4248000000000001</v>
      </c>
      <c r="G187">
        <f>IF($D187=1,ROUND(Keys!$C$2/(INDEX(Src_SYSHECF_nuclear!$E$5:$E$292,MATCH($C187,Src_SYSHECF_nuclear!$C$5:$C$292,0))*$E187),Keys!$C$5),Keys!$C$4)</f>
        <v>1.4248000000000001</v>
      </c>
      <c r="H187">
        <f>IF($D187=1,ROUND(Keys!$C$2/(INDEX(Src_SYSHECF_nuclear!$F$5:$F$292,MATCH($C187,Src_SYSHECF_nuclear!$C$5:$C$292,0))*$E187),Keys!$C$5),Keys!$C$4)</f>
        <v>1.4248000000000001</v>
      </c>
      <c r="I187">
        <f>IF($D187=1,ROUND(Keys!$C$2/(INDEX(Src_SYSHECF_nuclear!$G$5:$G$292,MATCH($C187,Src_SYSHECF_nuclear!$C$5:$C$292,0))*$E187),Keys!$C$5),Keys!$C$4)</f>
        <v>1.4248000000000001</v>
      </c>
      <c r="J187">
        <f>IF($D187=1,ROUND(Keys!$C$2/(INDEX(Src_SYSHECF_nuclear!$H$5:$H$292,MATCH($C187,Src_SYSHECF_nuclear!$C$5:$C$292,0))*$E187),Keys!$C$5),Keys!$C$4)</f>
        <v>1.4248000000000001</v>
      </c>
      <c r="K187">
        <f>IF($D187=1,ROUND(Keys!$C$2/(INDEX(Src_SYSHECF_nuclear!$I$5:$I$292,MATCH($C187,Src_SYSHECF_nuclear!$C$5:$C$292,0))*$E187),Keys!$C$5),Keys!$C$4)</f>
        <v>1.4248000000000001</v>
      </c>
      <c r="L187">
        <f>IF($D187=1,ROUND(Keys!$C$2/(INDEX(Src_SYSHECF_nuclear!$J$5:$J$292,MATCH($C187,Src_SYSHECF_nuclear!$C$5:$C$292,0))*$E187),Keys!$C$5),Keys!$C$4)</f>
        <v>1.4248000000000001</v>
      </c>
      <c r="M187">
        <f>IF($D187=1,ROUND(Keys!$C$2/(INDEX(Src_SYSHECF_nuclear!$K$5:$K$292,MATCH($C187,Src_SYSHECF_nuclear!$C$5:$C$292,0))*$E187),Keys!$C$5),Keys!$C$4)</f>
        <v>1.4248000000000001</v>
      </c>
      <c r="N187">
        <f>IF($D187=1,ROUND(Keys!$C$2/(INDEX(Src_SYSHECF_nuclear!$L$5:$L$292,MATCH($C187,Src_SYSHECF_nuclear!$C$5:$C$292,0))*$E187),Keys!$C$5),Keys!$C$4)</f>
        <v>1.4248000000000001</v>
      </c>
      <c r="O187">
        <f>IF($D187=1,ROUND(Keys!$C$2/(INDEX(Src_SYSHECF_nuclear!$M$5:$M$292,MATCH($C187,Src_SYSHECF_nuclear!$C$5:$C$292,0))*$E187),Keys!$C$5),Keys!$C$4)</f>
        <v>1.4248000000000001</v>
      </c>
      <c r="P187">
        <f>IF($D187=1,ROUND(Keys!$C$2/(INDEX(Src_SYSHECF_nuclear!$N$5:$N$292,MATCH($C187,Src_SYSHECF_nuclear!$C$5:$C$292,0))*$E187),Keys!$C$5),Keys!$C$4)</f>
        <v>1.4248000000000001</v>
      </c>
      <c r="Q187">
        <f>IF($D187=1,ROUND(Keys!$C$2/(INDEX(Src_SYSHECF_nuclear!$O$5:$O$292,MATCH($C187,Src_SYSHECF_nuclear!$C$5:$C$292,0))*$E187),Keys!$C$5),Keys!$C$4)</f>
        <v>1.4248000000000001</v>
      </c>
      <c r="R187">
        <f>IF($D187=1,ROUND(Keys!$C$2/(INDEX(Src_SYSHECF_nuclear!$P$5:$P$292,MATCH($C187,Src_SYSHECF_nuclear!$C$5:$C$292,0))*$E187),Keys!$C$5),Keys!$C$4)</f>
        <v>1.4248000000000001</v>
      </c>
      <c r="S187">
        <f>IF($D187=1,ROUND(Keys!$C$2/(INDEX(Src_SYSHECF_nuclear!$Q$5:$Q$292,MATCH($C187,Src_SYSHECF_nuclear!$C$5:$C$292,0))*$E187),Keys!$C$5),Keys!$C$4)</f>
        <v>1.4248000000000001</v>
      </c>
      <c r="T187">
        <f>IF($D187=1,ROUND(Keys!$C$2/(INDEX(Src_SYSHECF_nuclear!$R$5:$R$292,MATCH($C187,Src_SYSHECF_nuclear!$C$5:$C$292,0))*$E187),Keys!$C$5),Keys!$C$4)</f>
        <v>1.4248000000000001</v>
      </c>
      <c r="U187">
        <f>IF($D187=1,ROUND(Keys!$C$2/(INDEX(Src_SYSHECF_nuclear!$S$5:$S$292,MATCH($C187,Src_SYSHECF_nuclear!$C$5:$C$292,0))*$E187),Keys!$C$5),Keys!$C$4)</f>
        <v>1.4248000000000001</v>
      </c>
      <c r="V187">
        <f>IF($D187=1,ROUND(Keys!$C$2/(INDEX(Src_SYSHECF_nuclear!$T$5:$T$292,MATCH($C187,Src_SYSHECF_nuclear!$C$5:$C$292,0))*$E187),Keys!$C$5),Keys!$C$4)</f>
        <v>1.4248000000000001</v>
      </c>
      <c r="W187">
        <f>IF($D187=1,ROUND(Keys!$C$2/(INDEX(Src_SYSHECF_nuclear!$U$5:$U$292,MATCH($C187,Src_SYSHECF_nuclear!$C$5:$C$292,0))*$E187),Keys!$C$5),Keys!$C$4)</f>
        <v>1.4248000000000001</v>
      </c>
      <c r="X187">
        <f>IF($D187=1,ROUND(Keys!$C$2/(INDEX(Src_SYSHECF_nuclear!$V$5:$V$292,MATCH($C187,Src_SYSHECF_nuclear!$C$5:$C$292,0))*$E187),Keys!$C$5),Keys!$C$4)</f>
        <v>1.4248000000000001</v>
      </c>
      <c r="Y187">
        <f>IF($D187=1,ROUND(Keys!$C$2/(INDEX(Src_SYSHECF_nuclear!$W$5:$W$292,MATCH($C187,Src_SYSHECF_nuclear!$C$5:$C$292,0))*$E187),Keys!$C$5),Keys!$C$4)</f>
        <v>1.4248000000000001</v>
      </c>
      <c r="Z187">
        <f>IF($D187=1,ROUND(Keys!$C$2/(INDEX(Src_SYSHECF_nuclear!$X$5:$X$292,MATCH($C187,Src_SYSHECF_nuclear!$C$5:$C$292,0))*$E187),Keys!$C$5),Keys!$C$4)</f>
        <v>1.4248000000000001</v>
      </c>
      <c r="AA187">
        <f>IF($D187=1,ROUND(Keys!$C$2/(INDEX(Src_SYSHECF_nuclear!$Y$5:$Y$292,MATCH($C187,Src_SYSHECF_nuclear!$C$5:$C$292,0))*$E187),Keys!$C$5),Keys!$C$4)</f>
        <v>1.4248000000000001</v>
      </c>
      <c r="AB187">
        <f>IF($D187=1,ROUND(Keys!$C$2/(INDEX(Src_SYSHECF_nuclear!$Z$5:$Z$292,MATCH($C187,Src_SYSHECF_nuclear!$C$5:$C$292,0))*$E187),Keys!$C$5),Keys!$C$4)</f>
        <v>1.4248000000000001</v>
      </c>
      <c r="AC187">
        <f>IF($D187=1,ROUND(Keys!$C$2/(INDEX(Src_SYSHECF_nuclear!$AA$5:$AA$292,MATCH($C187,Src_SYSHECF_nuclear!$C$5:$C$292,0))*$E187),Keys!$C$5),Keys!$C$4)</f>
        <v>1.4248000000000001</v>
      </c>
      <c r="AE187">
        <f>IF($D187=1,IF(ABS(INDEX(Src_SYSHECF_nuclear!$D$5:$D$292,MATCH($C187,Src_SYSHECF_nuclear!$C$5:$C$292,0))*$E187*F187-Keys!$C$2)&gt;Keys!$C$6,1,0),0)</f>
        <v>0</v>
      </c>
    </row>
    <row r="188" spans="1:31" x14ac:dyDescent="0.45">
      <c r="A188" t="s">
        <v>63</v>
      </c>
      <c r="B188" t="s">
        <v>424</v>
      </c>
      <c r="C188" t="str">
        <f t="shared" si="3"/>
        <v>MS|Winter</v>
      </c>
      <c r="D188">
        <f>INDEX(Src_BHRaSYC_nuclear!$HF$5:$HF$52,MATCH($A188,Src_BHRaSYC_nuclear!$A$5:$A$52,0))</f>
        <v>1</v>
      </c>
      <c r="E188">
        <f>INDEX(Src_HYECFCA_nuclear!$B$5:$B$52,MATCH($A188,Src_HYECFCA_nuclear!$A$5:$A$52,0))</f>
        <v>1.0490600000000001</v>
      </c>
      <c r="F188">
        <f>IF($D188=1,ROUND(Keys!$C$2/(INDEX(Src_SYSHECF_nuclear!$D$5:$D$292,MATCH($C188,Src_SYSHECF_nuclear!$C$5:$C$292,0))*$E188),Keys!$C$5),Keys!$C$4)</f>
        <v>1.0103</v>
      </c>
      <c r="G188">
        <f>IF($D188=1,ROUND(Keys!$C$2/(INDEX(Src_SYSHECF_nuclear!$E$5:$E$292,MATCH($C188,Src_SYSHECF_nuclear!$C$5:$C$292,0))*$E188),Keys!$C$5),Keys!$C$4)</f>
        <v>1.0103</v>
      </c>
      <c r="H188">
        <f>IF($D188=1,ROUND(Keys!$C$2/(INDEX(Src_SYSHECF_nuclear!$F$5:$F$292,MATCH($C188,Src_SYSHECF_nuclear!$C$5:$C$292,0))*$E188),Keys!$C$5),Keys!$C$4)</f>
        <v>1.0103</v>
      </c>
      <c r="I188">
        <f>IF($D188=1,ROUND(Keys!$C$2/(INDEX(Src_SYSHECF_nuclear!$G$5:$G$292,MATCH($C188,Src_SYSHECF_nuclear!$C$5:$C$292,0))*$E188),Keys!$C$5),Keys!$C$4)</f>
        <v>1.0103</v>
      </c>
      <c r="J188">
        <f>IF($D188=1,ROUND(Keys!$C$2/(INDEX(Src_SYSHECF_nuclear!$H$5:$H$292,MATCH($C188,Src_SYSHECF_nuclear!$C$5:$C$292,0))*$E188),Keys!$C$5),Keys!$C$4)</f>
        <v>1.0103</v>
      </c>
      <c r="K188">
        <f>IF($D188=1,ROUND(Keys!$C$2/(INDEX(Src_SYSHECF_nuclear!$I$5:$I$292,MATCH($C188,Src_SYSHECF_nuclear!$C$5:$C$292,0))*$E188),Keys!$C$5),Keys!$C$4)</f>
        <v>1.0103</v>
      </c>
      <c r="L188">
        <f>IF($D188=1,ROUND(Keys!$C$2/(INDEX(Src_SYSHECF_nuclear!$J$5:$J$292,MATCH($C188,Src_SYSHECF_nuclear!$C$5:$C$292,0))*$E188),Keys!$C$5),Keys!$C$4)</f>
        <v>1.0103</v>
      </c>
      <c r="M188">
        <f>IF($D188=1,ROUND(Keys!$C$2/(INDEX(Src_SYSHECF_nuclear!$K$5:$K$292,MATCH($C188,Src_SYSHECF_nuclear!$C$5:$C$292,0))*$E188),Keys!$C$5),Keys!$C$4)</f>
        <v>1.0103</v>
      </c>
      <c r="N188">
        <f>IF($D188=1,ROUND(Keys!$C$2/(INDEX(Src_SYSHECF_nuclear!$L$5:$L$292,MATCH($C188,Src_SYSHECF_nuclear!$C$5:$C$292,0))*$E188),Keys!$C$5),Keys!$C$4)</f>
        <v>1.0103</v>
      </c>
      <c r="O188">
        <f>IF($D188=1,ROUND(Keys!$C$2/(INDEX(Src_SYSHECF_nuclear!$M$5:$M$292,MATCH($C188,Src_SYSHECF_nuclear!$C$5:$C$292,0))*$E188),Keys!$C$5),Keys!$C$4)</f>
        <v>1.0103</v>
      </c>
      <c r="P188">
        <f>IF($D188=1,ROUND(Keys!$C$2/(INDEX(Src_SYSHECF_nuclear!$N$5:$N$292,MATCH($C188,Src_SYSHECF_nuclear!$C$5:$C$292,0))*$E188),Keys!$C$5),Keys!$C$4)</f>
        <v>1.0103</v>
      </c>
      <c r="Q188">
        <f>IF($D188=1,ROUND(Keys!$C$2/(INDEX(Src_SYSHECF_nuclear!$O$5:$O$292,MATCH($C188,Src_SYSHECF_nuclear!$C$5:$C$292,0))*$E188),Keys!$C$5),Keys!$C$4)</f>
        <v>1.0103</v>
      </c>
      <c r="R188">
        <f>IF($D188=1,ROUND(Keys!$C$2/(INDEX(Src_SYSHECF_nuclear!$P$5:$P$292,MATCH($C188,Src_SYSHECF_nuclear!$C$5:$C$292,0))*$E188),Keys!$C$5),Keys!$C$4)</f>
        <v>1.0103</v>
      </c>
      <c r="S188">
        <f>IF($D188=1,ROUND(Keys!$C$2/(INDEX(Src_SYSHECF_nuclear!$Q$5:$Q$292,MATCH($C188,Src_SYSHECF_nuclear!$C$5:$C$292,0))*$E188),Keys!$C$5),Keys!$C$4)</f>
        <v>1.0103</v>
      </c>
      <c r="T188">
        <f>IF($D188=1,ROUND(Keys!$C$2/(INDEX(Src_SYSHECF_nuclear!$R$5:$R$292,MATCH($C188,Src_SYSHECF_nuclear!$C$5:$C$292,0))*$E188),Keys!$C$5),Keys!$C$4)</f>
        <v>1.0103</v>
      </c>
      <c r="U188">
        <f>IF($D188=1,ROUND(Keys!$C$2/(INDEX(Src_SYSHECF_nuclear!$S$5:$S$292,MATCH($C188,Src_SYSHECF_nuclear!$C$5:$C$292,0))*$E188),Keys!$C$5),Keys!$C$4)</f>
        <v>1.0103</v>
      </c>
      <c r="V188">
        <f>IF($D188=1,ROUND(Keys!$C$2/(INDEX(Src_SYSHECF_nuclear!$T$5:$T$292,MATCH($C188,Src_SYSHECF_nuclear!$C$5:$C$292,0))*$E188),Keys!$C$5),Keys!$C$4)</f>
        <v>1.0103</v>
      </c>
      <c r="W188">
        <f>IF($D188=1,ROUND(Keys!$C$2/(INDEX(Src_SYSHECF_nuclear!$U$5:$U$292,MATCH($C188,Src_SYSHECF_nuclear!$C$5:$C$292,0))*$E188),Keys!$C$5),Keys!$C$4)</f>
        <v>1.0103</v>
      </c>
      <c r="X188">
        <f>IF($D188=1,ROUND(Keys!$C$2/(INDEX(Src_SYSHECF_nuclear!$V$5:$V$292,MATCH($C188,Src_SYSHECF_nuclear!$C$5:$C$292,0))*$E188),Keys!$C$5),Keys!$C$4)</f>
        <v>1.0103</v>
      </c>
      <c r="Y188">
        <f>IF($D188=1,ROUND(Keys!$C$2/(INDEX(Src_SYSHECF_nuclear!$W$5:$W$292,MATCH($C188,Src_SYSHECF_nuclear!$C$5:$C$292,0))*$E188),Keys!$C$5),Keys!$C$4)</f>
        <v>1.0103</v>
      </c>
      <c r="Z188">
        <f>IF($D188=1,ROUND(Keys!$C$2/(INDEX(Src_SYSHECF_nuclear!$X$5:$X$292,MATCH($C188,Src_SYSHECF_nuclear!$C$5:$C$292,0))*$E188),Keys!$C$5),Keys!$C$4)</f>
        <v>1.0103</v>
      </c>
      <c r="AA188">
        <f>IF($D188=1,ROUND(Keys!$C$2/(INDEX(Src_SYSHECF_nuclear!$Y$5:$Y$292,MATCH($C188,Src_SYSHECF_nuclear!$C$5:$C$292,0))*$E188),Keys!$C$5),Keys!$C$4)</f>
        <v>1.0103</v>
      </c>
      <c r="AB188">
        <f>IF($D188=1,ROUND(Keys!$C$2/(INDEX(Src_SYSHECF_nuclear!$Z$5:$Z$292,MATCH($C188,Src_SYSHECF_nuclear!$C$5:$C$292,0))*$E188),Keys!$C$5),Keys!$C$4)</f>
        <v>1.0103</v>
      </c>
      <c r="AC188">
        <f>IF($D188=1,ROUND(Keys!$C$2/(INDEX(Src_SYSHECF_nuclear!$AA$5:$AA$292,MATCH($C188,Src_SYSHECF_nuclear!$C$5:$C$292,0))*$E188),Keys!$C$5),Keys!$C$4)</f>
        <v>1.0103</v>
      </c>
      <c r="AE188">
        <f>IF($D188=1,IF(ABS(INDEX(Src_SYSHECF_nuclear!$D$5:$D$292,MATCH($C188,Src_SYSHECF_nuclear!$C$5:$C$292,0))*$E188*F188-Keys!$C$2)&gt;Keys!$C$6,1,0),0)</f>
        <v>0</v>
      </c>
    </row>
    <row r="189" spans="1:31" x14ac:dyDescent="0.45">
      <c r="A189" t="s">
        <v>63</v>
      </c>
      <c r="B189" t="s">
        <v>425</v>
      </c>
      <c r="C189" t="str">
        <f t="shared" si="3"/>
        <v>MS|Spring</v>
      </c>
      <c r="D189">
        <f>INDEX(Src_BHRaSYC_nuclear!$HF$5:$HF$52,MATCH($A189,Src_BHRaSYC_nuclear!$A$5:$A$52,0))</f>
        <v>1</v>
      </c>
      <c r="E189">
        <f>INDEX(Src_HYECFCA_nuclear!$B$5:$B$52,MATCH($A189,Src_HYECFCA_nuclear!$A$5:$A$52,0))</f>
        <v>1.0490600000000001</v>
      </c>
      <c r="F189">
        <f>IF($D189=1,ROUND(Keys!$C$2/(INDEX(Src_SYSHECF_nuclear!$D$5:$D$292,MATCH($C189,Src_SYSHECF_nuclear!$C$5:$C$292,0))*$E189),Keys!$C$5),Keys!$C$4)</f>
        <v>1.0103</v>
      </c>
      <c r="G189">
        <f>IF($D189=1,ROUND(Keys!$C$2/(INDEX(Src_SYSHECF_nuclear!$E$5:$E$292,MATCH($C189,Src_SYSHECF_nuclear!$C$5:$C$292,0))*$E189),Keys!$C$5),Keys!$C$4)</f>
        <v>1.0103</v>
      </c>
      <c r="H189">
        <f>IF($D189=1,ROUND(Keys!$C$2/(INDEX(Src_SYSHECF_nuclear!$F$5:$F$292,MATCH($C189,Src_SYSHECF_nuclear!$C$5:$C$292,0))*$E189),Keys!$C$5),Keys!$C$4)</f>
        <v>1.0103</v>
      </c>
      <c r="I189">
        <f>IF($D189=1,ROUND(Keys!$C$2/(INDEX(Src_SYSHECF_nuclear!$G$5:$G$292,MATCH($C189,Src_SYSHECF_nuclear!$C$5:$C$292,0))*$E189),Keys!$C$5),Keys!$C$4)</f>
        <v>1.0103</v>
      </c>
      <c r="J189">
        <f>IF($D189=1,ROUND(Keys!$C$2/(INDEX(Src_SYSHECF_nuclear!$H$5:$H$292,MATCH($C189,Src_SYSHECF_nuclear!$C$5:$C$292,0))*$E189),Keys!$C$5),Keys!$C$4)</f>
        <v>1.0103</v>
      </c>
      <c r="K189">
        <f>IF($D189=1,ROUND(Keys!$C$2/(INDEX(Src_SYSHECF_nuclear!$I$5:$I$292,MATCH($C189,Src_SYSHECF_nuclear!$C$5:$C$292,0))*$E189),Keys!$C$5),Keys!$C$4)</f>
        <v>1.0103</v>
      </c>
      <c r="L189">
        <f>IF($D189=1,ROUND(Keys!$C$2/(INDEX(Src_SYSHECF_nuclear!$J$5:$J$292,MATCH($C189,Src_SYSHECF_nuclear!$C$5:$C$292,0))*$E189),Keys!$C$5),Keys!$C$4)</f>
        <v>1.0103</v>
      </c>
      <c r="M189">
        <f>IF($D189=1,ROUND(Keys!$C$2/(INDEX(Src_SYSHECF_nuclear!$K$5:$K$292,MATCH($C189,Src_SYSHECF_nuclear!$C$5:$C$292,0))*$E189),Keys!$C$5),Keys!$C$4)</f>
        <v>1.0103</v>
      </c>
      <c r="N189">
        <f>IF($D189=1,ROUND(Keys!$C$2/(INDEX(Src_SYSHECF_nuclear!$L$5:$L$292,MATCH($C189,Src_SYSHECF_nuclear!$C$5:$C$292,0))*$E189),Keys!$C$5),Keys!$C$4)</f>
        <v>1.0103</v>
      </c>
      <c r="O189">
        <f>IF($D189=1,ROUND(Keys!$C$2/(INDEX(Src_SYSHECF_nuclear!$M$5:$M$292,MATCH($C189,Src_SYSHECF_nuclear!$C$5:$C$292,0))*$E189),Keys!$C$5),Keys!$C$4)</f>
        <v>1.0103</v>
      </c>
      <c r="P189">
        <f>IF($D189=1,ROUND(Keys!$C$2/(INDEX(Src_SYSHECF_nuclear!$N$5:$N$292,MATCH($C189,Src_SYSHECF_nuclear!$C$5:$C$292,0))*$E189),Keys!$C$5),Keys!$C$4)</f>
        <v>1.0103</v>
      </c>
      <c r="Q189">
        <f>IF($D189=1,ROUND(Keys!$C$2/(INDEX(Src_SYSHECF_nuclear!$O$5:$O$292,MATCH($C189,Src_SYSHECF_nuclear!$C$5:$C$292,0))*$E189),Keys!$C$5),Keys!$C$4)</f>
        <v>1.0103</v>
      </c>
      <c r="R189">
        <f>IF($D189=1,ROUND(Keys!$C$2/(INDEX(Src_SYSHECF_nuclear!$P$5:$P$292,MATCH($C189,Src_SYSHECF_nuclear!$C$5:$C$292,0))*$E189),Keys!$C$5),Keys!$C$4)</f>
        <v>1.0103</v>
      </c>
      <c r="S189">
        <f>IF($D189=1,ROUND(Keys!$C$2/(INDEX(Src_SYSHECF_nuclear!$Q$5:$Q$292,MATCH($C189,Src_SYSHECF_nuclear!$C$5:$C$292,0))*$E189),Keys!$C$5),Keys!$C$4)</f>
        <v>1.0103</v>
      </c>
      <c r="T189">
        <f>IF($D189=1,ROUND(Keys!$C$2/(INDEX(Src_SYSHECF_nuclear!$R$5:$R$292,MATCH($C189,Src_SYSHECF_nuclear!$C$5:$C$292,0))*$E189),Keys!$C$5),Keys!$C$4)</f>
        <v>1.0103</v>
      </c>
      <c r="U189">
        <f>IF($D189=1,ROUND(Keys!$C$2/(INDEX(Src_SYSHECF_nuclear!$S$5:$S$292,MATCH($C189,Src_SYSHECF_nuclear!$C$5:$C$292,0))*$E189),Keys!$C$5),Keys!$C$4)</f>
        <v>1.0103</v>
      </c>
      <c r="V189">
        <f>IF($D189=1,ROUND(Keys!$C$2/(INDEX(Src_SYSHECF_nuclear!$T$5:$T$292,MATCH($C189,Src_SYSHECF_nuclear!$C$5:$C$292,0))*$E189),Keys!$C$5),Keys!$C$4)</f>
        <v>1.0103</v>
      </c>
      <c r="W189">
        <f>IF($D189=1,ROUND(Keys!$C$2/(INDEX(Src_SYSHECF_nuclear!$U$5:$U$292,MATCH($C189,Src_SYSHECF_nuclear!$C$5:$C$292,0))*$E189),Keys!$C$5),Keys!$C$4)</f>
        <v>1.0103</v>
      </c>
      <c r="X189">
        <f>IF($D189=1,ROUND(Keys!$C$2/(INDEX(Src_SYSHECF_nuclear!$V$5:$V$292,MATCH($C189,Src_SYSHECF_nuclear!$C$5:$C$292,0))*$E189),Keys!$C$5),Keys!$C$4)</f>
        <v>1.0103</v>
      </c>
      <c r="Y189">
        <f>IF($D189=1,ROUND(Keys!$C$2/(INDEX(Src_SYSHECF_nuclear!$W$5:$W$292,MATCH($C189,Src_SYSHECF_nuclear!$C$5:$C$292,0))*$E189),Keys!$C$5),Keys!$C$4)</f>
        <v>1.0103</v>
      </c>
      <c r="Z189">
        <f>IF($D189=1,ROUND(Keys!$C$2/(INDEX(Src_SYSHECF_nuclear!$X$5:$X$292,MATCH($C189,Src_SYSHECF_nuclear!$C$5:$C$292,0))*$E189),Keys!$C$5),Keys!$C$4)</f>
        <v>1.0103</v>
      </c>
      <c r="AA189">
        <f>IF($D189=1,ROUND(Keys!$C$2/(INDEX(Src_SYSHECF_nuclear!$Y$5:$Y$292,MATCH($C189,Src_SYSHECF_nuclear!$C$5:$C$292,0))*$E189),Keys!$C$5),Keys!$C$4)</f>
        <v>1.0103</v>
      </c>
      <c r="AB189">
        <f>IF($D189=1,ROUND(Keys!$C$2/(INDEX(Src_SYSHECF_nuclear!$Z$5:$Z$292,MATCH($C189,Src_SYSHECF_nuclear!$C$5:$C$292,0))*$E189),Keys!$C$5),Keys!$C$4)</f>
        <v>1.0103</v>
      </c>
      <c r="AC189">
        <f>IF($D189=1,ROUND(Keys!$C$2/(INDEX(Src_SYSHECF_nuclear!$AA$5:$AA$292,MATCH($C189,Src_SYSHECF_nuclear!$C$5:$C$292,0))*$E189),Keys!$C$5),Keys!$C$4)</f>
        <v>1.0103</v>
      </c>
      <c r="AE189">
        <f>IF($D189=1,IF(ABS(INDEX(Src_SYSHECF_nuclear!$D$5:$D$292,MATCH($C189,Src_SYSHECF_nuclear!$C$5:$C$292,0))*$E189*F189-Keys!$C$2)&gt;Keys!$C$6,1,0),0)</f>
        <v>0</v>
      </c>
    </row>
    <row r="190" spans="1:31" x14ac:dyDescent="0.45">
      <c r="A190" t="s">
        <v>63</v>
      </c>
      <c r="B190" t="s">
        <v>426</v>
      </c>
      <c r="C190" t="str">
        <f t="shared" si="3"/>
        <v>MS|Summer</v>
      </c>
      <c r="D190">
        <f>INDEX(Src_BHRaSYC_nuclear!$HF$5:$HF$52,MATCH($A190,Src_BHRaSYC_nuclear!$A$5:$A$52,0))</f>
        <v>1</v>
      </c>
      <c r="E190">
        <f>INDEX(Src_HYECFCA_nuclear!$B$5:$B$52,MATCH($A190,Src_HYECFCA_nuclear!$A$5:$A$52,0))</f>
        <v>1.0490600000000001</v>
      </c>
      <c r="F190">
        <f>IF($D190=1,ROUND(Keys!$C$2/(INDEX(Src_SYSHECF_nuclear!$D$5:$D$292,MATCH($C190,Src_SYSHECF_nuclear!$C$5:$C$292,0))*$E190),Keys!$C$5),Keys!$C$4)</f>
        <v>1.0103</v>
      </c>
      <c r="G190">
        <f>IF($D190=1,ROUND(Keys!$C$2/(INDEX(Src_SYSHECF_nuclear!$E$5:$E$292,MATCH($C190,Src_SYSHECF_nuclear!$C$5:$C$292,0))*$E190),Keys!$C$5),Keys!$C$4)</f>
        <v>1.0103</v>
      </c>
      <c r="H190">
        <f>IF($D190=1,ROUND(Keys!$C$2/(INDEX(Src_SYSHECF_nuclear!$F$5:$F$292,MATCH($C190,Src_SYSHECF_nuclear!$C$5:$C$292,0))*$E190),Keys!$C$5),Keys!$C$4)</f>
        <v>1.0103</v>
      </c>
      <c r="I190">
        <f>IF($D190=1,ROUND(Keys!$C$2/(INDEX(Src_SYSHECF_nuclear!$G$5:$G$292,MATCH($C190,Src_SYSHECF_nuclear!$C$5:$C$292,0))*$E190),Keys!$C$5),Keys!$C$4)</f>
        <v>1.0103</v>
      </c>
      <c r="J190">
        <f>IF($D190=1,ROUND(Keys!$C$2/(INDEX(Src_SYSHECF_nuclear!$H$5:$H$292,MATCH($C190,Src_SYSHECF_nuclear!$C$5:$C$292,0))*$E190),Keys!$C$5),Keys!$C$4)</f>
        <v>1.0103</v>
      </c>
      <c r="K190">
        <f>IF($D190=1,ROUND(Keys!$C$2/(INDEX(Src_SYSHECF_nuclear!$I$5:$I$292,MATCH($C190,Src_SYSHECF_nuclear!$C$5:$C$292,0))*$E190),Keys!$C$5),Keys!$C$4)</f>
        <v>1.0103</v>
      </c>
      <c r="L190">
        <f>IF($D190=1,ROUND(Keys!$C$2/(INDEX(Src_SYSHECF_nuclear!$J$5:$J$292,MATCH($C190,Src_SYSHECF_nuclear!$C$5:$C$292,0))*$E190),Keys!$C$5),Keys!$C$4)</f>
        <v>1.0103</v>
      </c>
      <c r="M190">
        <f>IF($D190=1,ROUND(Keys!$C$2/(INDEX(Src_SYSHECF_nuclear!$K$5:$K$292,MATCH($C190,Src_SYSHECF_nuclear!$C$5:$C$292,0))*$E190),Keys!$C$5),Keys!$C$4)</f>
        <v>1.0103</v>
      </c>
      <c r="N190">
        <f>IF($D190=1,ROUND(Keys!$C$2/(INDEX(Src_SYSHECF_nuclear!$L$5:$L$292,MATCH($C190,Src_SYSHECF_nuclear!$C$5:$C$292,0))*$E190),Keys!$C$5),Keys!$C$4)</f>
        <v>1.0103</v>
      </c>
      <c r="O190">
        <f>IF($D190=1,ROUND(Keys!$C$2/(INDEX(Src_SYSHECF_nuclear!$M$5:$M$292,MATCH($C190,Src_SYSHECF_nuclear!$C$5:$C$292,0))*$E190),Keys!$C$5),Keys!$C$4)</f>
        <v>1.0103</v>
      </c>
      <c r="P190">
        <f>IF($D190=1,ROUND(Keys!$C$2/(INDEX(Src_SYSHECF_nuclear!$N$5:$N$292,MATCH($C190,Src_SYSHECF_nuclear!$C$5:$C$292,0))*$E190),Keys!$C$5),Keys!$C$4)</f>
        <v>1.0103</v>
      </c>
      <c r="Q190">
        <f>IF($D190=1,ROUND(Keys!$C$2/(INDEX(Src_SYSHECF_nuclear!$O$5:$O$292,MATCH($C190,Src_SYSHECF_nuclear!$C$5:$C$292,0))*$E190),Keys!$C$5),Keys!$C$4)</f>
        <v>1.0103</v>
      </c>
      <c r="R190">
        <f>IF($D190=1,ROUND(Keys!$C$2/(INDEX(Src_SYSHECF_nuclear!$P$5:$P$292,MATCH($C190,Src_SYSHECF_nuclear!$C$5:$C$292,0))*$E190),Keys!$C$5),Keys!$C$4)</f>
        <v>1.0103</v>
      </c>
      <c r="S190">
        <f>IF($D190=1,ROUND(Keys!$C$2/(INDEX(Src_SYSHECF_nuclear!$Q$5:$Q$292,MATCH($C190,Src_SYSHECF_nuclear!$C$5:$C$292,0))*$E190),Keys!$C$5),Keys!$C$4)</f>
        <v>1.0103</v>
      </c>
      <c r="T190">
        <f>IF($D190=1,ROUND(Keys!$C$2/(INDEX(Src_SYSHECF_nuclear!$R$5:$R$292,MATCH($C190,Src_SYSHECF_nuclear!$C$5:$C$292,0))*$E190),Keys!$C$5),Keys!$C$4)</f>
        <v>1.0103</v>
      </c>
      <c r="U190">
        <f>IF($D190=1,ROUND(Keys!$C$2/(INDEX(Src_SYSHECF_nuclear!$S$5:$S$292,MATCH($C190,Src_SYSHECF_nuclear!$C$5:$C$292,0))*$E190),Keys!$C$5),Keys!$C$4)</f>
        <v>1.0103</v>
      </c>
      <c r="V190">
        <f>IF($D190=1,ROUND(Keys!$C$2/(INDEX(Src_SYSHECF_nuclear!$T$5:$T$292,MATCH($C190,Src_SYSHECF_nuclear!$C$5:$C$292,0))*$E190),Keys!$C$5),Keys!$C$4)</f>
        <v>1.0103</v>
      </c>
      <c r="W190">
        <f>IF($D190=1,ROUND(Keys!$C$2/(INDEX(Src_SYSHECF_nuclear!$U$5:$U$292,MATCH($C190,Src_SYSHECF_nuclear!$C$5:$C$292,0))*$E190),Keys!$C$5),Keys!$C$4)</f>
        <v>1.0103</v>
      </c>
      <c r="X190">
        <f>IF($D190=1,ROUND(Keys!$C$2/(INDEX(Src_SYSHECF_nuclear!$V$5:$V$292,MATCH($C190,Src_SYSHECF_nuclear!$C$5:$C$292,0))*$E190),Keys!$C$5),Keys!$C$4)</f>
        <v>1.0103</v>
      </c>
      <c r="Y190">
        <f>IF($D190=1,ROUND(Keys!$C$2/(INDEX(Src_SYSHECF_nuclear!$W$5:$W$292,MATCH($C190,Src_SYSHECF_nuclear!$C$5:$C$292,0))*$E190),Keys!$C$5),Keys!$C$4)</f>
        <v>1.0103</v>
      </c>
      <c r="Z190">
        <f>IF($D190=1,ROUND(Keys!$C$2/(INDEX(Src_SYSHECF_nuclear!$X$5:$X$292,MATCH($C190,Src_SYSHECF_nuclear!$C$5:$C$292,0))*$E190),Keys!$C$5),Keys!$C$4)</f>
        <v>1.0103</v>
      </c>
      <c r="AA190">
        <f>IF($D190=1,ROUND(Keys!$C$2/(INDEX(Src_SYSHECF_nuclear!$Y$5:$Y$292,MATCH($C190,Src_SYSHECF_nuclear!$C$5:$C$292,0))*$E190),Keys!$C$5),Keys!$C$4)</f>
        <v>1.0103</v>
      </c>
      <c r="AB190">
        <f>IF($D190=1,ROUND(Keys!$C$2/(INDEX(Src_SYSHECF_nuclear!$Z$5:$Z$292,MATCH($C190,Src_SYSHECF_nuclear!$C$5:$C$292,0))*$E190),Keys!$C$5),Keys!$C$4)</f>
        <v>1.0103</v>
      </c>
      <c r="AC190">
        <f>IF($D190=1,ROUND(Keys!$C$2/(INDEX(Src_SYSHECF_nuclear!$AA$5:$AA$292,MATCH($C190,Src_SYSHECF_nuclear!$C$5:$C$292,0))*$E190),Keys!$C$5),Keys!$C$4)</f>
        <v>1.0103</v>
      </c>
      <c r="AE190">
        <f>IF($D190=1,IF(ABS(INDEX(Src_SYSHECF_nuclear!$D$5:$D$292,MATCH($C190,Src_SYSHECF_nuclear!$C$5:$C$292,0))*$E190*F190-Keys!$C$2)&gt;Keys!$C$6,1,0),0)</f>
        <v>0</v>
      </c>
    </row>
    <row r="191" spans="1:31" x14ac:dyDescent="0.45">
      <c r="A191" t="s">
        <v>63</v>
      </c>
      <c r="B191" t="s">
        <v>427</v>
      </c>
      <c r="C191" t="str">
        <f t="shared" si="3"/>
        <v>MS|Fall</v>
      </c>
      <c r="D191">
        <f>INDEX(Src_BHRaSYC_nuclear!$HF$5:$HF$52,MATCH($A191,Src_BHRaSYC_nuclear!$A$5:$A$52,0))</f>
        <v>1</v>
      </c>
      <c r="E191">
        <f>INDEX(Src_HYECFCA_nuclear!$B$5:$B$52,MATCH($A191,Src_HYECFCA_nuclear!$A$5:$A$52,0))</f>
        <v>1.0490600000000001</v>
      </c>
      <c r="F191">
        <f>IF($D191=1,ROUND(Keys!$C$2/(INDEX(Src_SYSHECF_nuclear!$D$5:$D$292,MATCH($C191,Src_SYSHECF_nuclear!$C$5:$C$292,0))*$E191),Keys!$C$5),Keys!$C$4)</f>
        <v>1.0103</v>
      </c>
      <c r="G191">
        <f>IF($D191=1,ROUND(Keys!$C$2/(INDEX(Src_SYSHECF_nuclear!$E$5:$E$292,MATCH($C191,Src_SYSHECF_nuclear!$C$5:$C$292,0))*$E191),Keys!$C$5),Keys!$C$4)</f>
        <v>1.0103</v>
      </c>
      <c r="H191">
        <f>IF($D191=1,ROUND(Keys!$C$2/(INDEX(Src_SYSHECF_nuclear!$F$5:$F$292,MATCH($C191,Src_SYSHECF_nuclear!$C$5:$C$292,0))*$E191),Keys!$C$5),Keys!$C$4)</f>
        <v>1.0103</v>
      </c>
      <c r="I191">
        <f>IF($D191=1,ROUND(Keys!$C$2/(INDEX(Src_SYSHECF_nuclear!$G$5:$G$292,MATCH($C191,Src_SYSHECF_nuclear!$C$5:$C$292,0))*$E191),Keys!$C$5),Keys!$C$4)</f>
        <v>1.0103</v>
      </c>
      <c r="J191">
        <f>IF($D191=1,ROUND(Keys!$C$2/(INDEX(Src_SYSHECF_nuclear!$H$5:$H$292,MATCH($C191,Src_SYSHECF_nuclear!$C$5:$C$292,0))*$E191),Keys!$C$5),Keys!$C$4)</f>
        <v>1.0103</v>
      </c>
      <c r="K191">
        <f>IF($D191=1,ROUND(Keys!$C$2/(INDEX(Src_SYSHECF_nuclear!$I$5:$I$292,MATCH($C191,Src_SYSHECF_nuclear!$C$5:$C$292,0))*$E191),Keys!$C$5),Keys!$C$4)</f>
        <v>1.014</v>
      </c>
      <c r="L191">
        <f>IF($D191=1,ROUND(Keys!$C$2/(INDEX(Src_SYSHECF_nuclear!$J$5:$J$292,MATCH($C191,Src_SYSHECF_nuclear!$C$5:$C$292,0))*$E191),Keys!$C$5),Keys!$C$4)</f>
        <v>1.0103</v>
      </c>
      <c r="M191">
        <f>IF($D191=1,ROUND(Keys!$C$2/(INDEX(Src_SYSHECF_nuclear!$K$5:$K$292,MATCH($C191,Src_SYSHECF_nuclear!$C$5:$C$292,0))*$E191),Keys!$C$5),Keys!$C$4)</f>
        <v>1.0103</v>
      </c>
      <c r="N191">
        <f>IF($D191=1,ROUND(Keys!$C$2/(INDEX(Src_SYSHECF_nuclear!$L$5:$L$292,MATCH($C191,Src_SYSHECF_nuclear!$C$5:$C$292,0))*$E191),Keys!$C$5),Keys!$C$4)</f>
        <v>1.0103</v>
      </c>
      <c r="O191">
        <f>IF($D191=1,ROUND(Keys!$C$2/(INDEX(Src_SYSHECF_nuclear!$M$5:$M$292,MATCH($C191,Src_SYSHECF_nuclear!$C$5:$C$292,0))*$E191),Keys!$C$5),Keys!$C$4)</f>
        <v>1.0103</v>
      </c>
      <c r="P191">
        <f>IF($D191=1,ROUND(Keys!$C$2/(INDEX(Src_SYSHECF_nuclear!$N$5:$N$292,MATCH($C191,Src_SYSHECF_nuclear!$C$5:$C$292,0))*$E191),Keys!$C$5),Keys!$C$4)</f>
        <v>1.0103</v>
      </c>
      <c r="Q191">
        <f>IF($D191=1,ROUND(Keys!$C$2/(INDEX(Src_SYSHECF_nuclear!$O$5:$O$292,MATCH($C191,Src_SYSHECF_nuclear!$C$5:$C$292,0))*$E191),Keys!$C$5),Keys!$C$4)</f>
        <v>1.0103</v>
      </c>
      <c r="R191">
        <f>IF($D191=1,ROUND(Keys!$C$2/(INDEX(Src_SYSHECF_nuclear!$P$5:$P$292,MATCH($C191,Src_SYSHECF_nuclear!$C$5:$C$292,0))*$E191),Keys!$C$5),Keys!$C$4)</f>
        <v>1.0103</v>
      </c>
      <c r="S191">
        <f>IF($D191=1,ROUND(Keys!$C$2/(INDEX(Src_SYSHECF_nuclear!$Q$5:$Q$292,MATCH($C191,Src_SYSHECF_nuclear!$C$5:$C$292,0))*$E191),Keys!$C$5),Keys!$C$4)</f>
        <v>1.0103</v>
      </c>
      <c r="T191">
        <f>IF($D191=1,ROUND(Keys!$C$2/(INDEX(Src_SYSHECF_nuclear!$R$5:$R$292,MATCH($C191,Src_SYSHECF_nuclear!$C$5:$C$292,0))*$E191),Keys!$C$5),Keys!$C$4)</f>
        <v>1.0103</v>
      </c>
      <c r="U191">
        <f>IF($D191=1,ROUND(Keys!$C$2/(INDEX(Src_SYSHECF_nuclear!$S$5:$S$292,MATCH($C191,Src_SYSHECF_nuclear!$C$5:$C$292,0))*$E191),Keys!$C$5),Keys!$C$4)</f>
        <v>1.0103</v>
      </c>
      <c r="V191">
        <f>IF($D191=1,ROUND(Keys!$C$2/(INDEX(Src_SYSHECF_nuclear!$T$5:$T$292,MATCH($C191,Src_SYSHECF_nuclear!$C$5:$C$292,0))*$E191),Keys!$C$5),Keys!$C$4)</f>
        <v>1.0103</v>
      </c>
      <c r="W191">
        <f>IF($D191=1,ROUND(Keys!$C$2/(INDEX(Src_SYSHECF_nuclear!$U$5:$U$292,MATCH($C191,Src_SYSHECF_nuclear!$C$5:$C$292,0))*$E191),Keys!$C$5),Keys!$C$4)</f>
        <v>1.0103</v>
      </c>
      <c r="X191">
        <f>IF($D191=1,ROUND(Keys!$C$2/(INDEX(Src_SYSHECF_nuclear!$V$5:$V$292,MATCH($C191,Src_SYSHECF_nuclear!$C$5:$C$292,0))*$E191),Keys!$C$5),Keys!$C$4)</f>
        <v>1.0103</v>
      </c>
      <c r="Y191">
        <f>IF($D191=1,ROUND(Keys!$C$2/(INDEX(Src_SYSHECF_nuclear!$W$5:$W$292,MATCH($C191,Src_SYSHECF_nuclear!$C$5:$C$292,0))*$E191),Keys!$C$5),Keys!$C$4)</f>
        <v>1.0103</v>
      </c>
      <c r="Z191">
        <f>IF($D191=1,ROUND(Keys!$C$2/(INDEX(Src_SYSHECF_nuclear!$X$5:$X$292,MATCH($C191,Src_SYSHECF_nuclear!$C$5:$C$292,0))*$E191),Keys!$C$5),Keys!$C$4)</f>
        <v>1.0103</v>
      </c>
      <c r="AA191">
        <f>IF($D191=1,ROUND(Keys!$C$2/(INDEX(Src_SYSHECF_nuclear!$Y$5:$Y$292,MATCH($C191,Src_SYSHECF_nuclear!$C$5:$C$292,0))*$E191),Keys!$C$5),Keys!$C$4)</f>
        <v>1.0103</v>
      </c>
      <c r="AB191">
        <f>IF($D191=1,ROUND(Keys!$C$2/(INDEX(Src_SYSHECF_nuclear!$Z$5:$Z$292,MATCH($C191,Src_SYSHECF_nuclear!$C$5:$C$292,0))*$E191),Keys!$C$5),Keys!$C$4)</f>
        <v>1.0103</v>
      </c>
      <c r="AC191">
        <f>IF($D191=1,ROUND(Keys!$C$2/(INDEX(Src_SYSHECF_nuclear!$AA$5:$AA$292,MATCH($C191,Src_SYSHECF_nuclear!$C$5:$C$292,0))*$E191),Keys!$C$5),Keys!$C$4)</f>
        <v>1.0103</v>
      </c>
      <c r="AE191">
        <f>IF($D191=1,IF(ABS(INDEX(Src_SYSHECF_nuclear!$D$5:$D$292,MATCH($C191,Src_SYSHECF_nuclear!$C$5:$C$292,0))*$E191*F191-Keys!$C$2)&gt;Keys!$C$6,1,0),0)</f>
        <v>0</v>
      </c>
    </row>
    <row r="192" spans="1:31" x14ac:dyDescent="0.45">
      <c r="A192" t="s">
        <v>63</v>
      </c>
      <c r="B192" t="s">
        <v>428</v>
      </c>
      <c r="C192" t="str">
        <f t="shared" si="3"/>
        <v>MS|Summer Peak</v>
      </c>
      <c r="D192">
        <f>INDEX(Src_BHRaSYC_nuclear!$HF$5:$HF$52,MATCH($A192,Src_BHRaSYC_nuclear!$A$5:$A$52,0))</f>
        <v>1</v>
      </c>
      <c r="E192">
        <f>INDEX(Src_HYECFCA_nuclear!$B$5:$B$52,MATCH($A192,Src_HYECFCA_nuclear!$A$5:$A$52,0))</f>
        <v>1.0490600000000001</v>
      </c>
      <c r="F192">
        <f>IF($D192=1,ROUND(Keys!$C$2/(INDEX(Src_SYSHECF_nuclear!$D$5:$D$292,MATCH($C192,Src_SYSHECF_nuclear!$C$5:$C$292,0))*$E192),Keys!$C$5),Keys!$C$4)</f>
        <v>1.0103</v>
      </c>
      <c r="G192">
        <f>IF($D192=1,ROUND(Keys!$C$2/(INDEX(Src_SYSHECF_nuclear!$E$5:$E$292,MATCH($C192,Src_SYSHECF_nuclear!$C$5:$C$292,0))*$E192),Keys!$C$5),Keys!$C$4)</f>
        <v>1.0103</v>
      </c>
      <c r="H192">
        <f>IF($D192=1,ROUND(Keys!$C$2/(INDEX(Src_SYSHECF_nuclear!$F$5:$F$292,MATCH($C192,Src_SYSHECF_nuclear!$C$5:$C$292,0))*$E192),Keys!$C$5),Keys!$C$4)</f>
        <v>1.0103</v>
      </c>
      <c r="I192">
        <f>IF($D192=1,ROUND(Keys!$C$2/(INDEX(Src_SYSHECF_nuclear!$G$5:$G$292,MATCH($C192,Src_SYSHECF_nuclear!$C$5:$C$292,0))*$E192),Keys!$C$5),Keys!$C$4)</f>
        <v>1.0103</v>
      </c>
      <c r="J192">
        <f>IF($D192=1,ROUND(Keys!$C$2/(INDEX(Src_SYSHECF_nuclear!$H$5:$H$292,MATCH($C192,Src_SYSHECF_nuclear!$C$5:$C$292,0))*$E192),Keys!$C$5),Keys!$C$4)</f>
        <v>1.0103</v>
      </c>
      <c r="K192">
        <f>IF($D192=1,ROUND(Keys!$C$2/(INDEX(Src_SYSHECF_nuclear!$I$5:$I$292,MATCH($C192,Src_SYSHECF_nuclear!$C$5:$C$292,0))*$E192),Keys!$C$5),Keys!$C$4)</f>
        <v>1.0103</v>
      </c>
      <c r="L192">
        <f>IF($D192=1,ROUND(Keys!$C$2/(INDEX(Src_SYSHECF_nuclear!$J$5:$J$292,MATCH($C192,Src_SYSHECF_nuclear!$C$5:$C$292,0))*$E192),Keys!$C$5),Keys!$C$4)</f>
        <v>1.0103</v>
      </c>
      <c r="M192">
        <f>IF($D192=1,ROUND(Keys!$C$2/(INDEX(Src_SYSHECF_nuclear!$K$5:$K$292,MATCH($C192,Src_SYSHECF_nuclear!$C$5:$C$292,0))*$E192),Keys!$C$5),Keys!$C$4)</f>
        <v>1.0103</v>
      </c>
      <c r="N192">
        <f>IF($D192=1,ROUND(Keys!$C$2/(INDEX(Src_SYSHECF_nuclear!$L$5:$L$292,MATCH($C192,Src_SYSHECF_nuclear!$C$5:$C$292,0))*$E192),Keys!$C$5),Keys!$C$4)</f>
        <v>1.0103</v>
      </c>
      <c r="O192">
        <f>IF($D192=1,ROUND(Keys!$C$2/(INDEX(Src_SYSHECF_nuclear!$M$5:$M$292,MATCH($C192,Src_SYSHECF_nuclear!$C$5:$C$292,0))*$E192),Keys!$C$5),Keys!$C$4)</f>
        <v>1.0103</v>
      </c>
      <c r="P192">
        <f>IF($D192=1,ROUND(Keys!$C$2/(INDEX(Src_SYSHECF_nuclear!$N$5:$N$292,MATCH($C192,Src_SYSHECF_nuclear!$C$5:$C$292,0))*$E192),Keys!$C$5),Keys!$C$4)</f>
        <v>1.0103</v>
      </c>
      <c r="Q192">
        <f>IF($D192=1,ROUND(Keys!$C$2/(INDEX(Src_SYSHECF_nuclear!$O$5:$O$292,MATCH($C192,Src_SYSHECF_nuclear!$C$5:$C$292,0))*$E192),Keys!$C$5),Keys!$C$4)</f>
        <v>1.0103</v>
      </c>
      <c r="R192">
        <f>IF($D192=1,ROUND(Keys!$C$2/(INDEX(Src_SYSHECF_nuclear!$P$5:$P$292,MATCH($C192,Src_SYSHECF_nuclear!$C$5:$C$292,0))*$E192),Keys!$C$5),Keys!$C$4)</f>
        <v>1.0103</v>
      </c>
      <c r="S192">
        <f>IF($D192=1,ROUND(Keys!$C$2/(INDEX(Src_SYSHECF_nuclear!$Q$5:$Q$292,MATCH($C192,Src_SYSHECF_nuclear!$C$5:$C$292,0))*$E192),Keys!$C$5),Keys!$C$4)</f>
        <v>1.0103</v>
      </c>
      <c r="T192">
        <f>IF($D192=1,ROUND(Keys!$C$2/(INDEX(Src_SYSHECF_nuclear!$R$5:$R$292,MATCH($C192,Src_SYSHECF_nuclear!$C$5:$C$292,0))*$E192),Keys!$C$5),Keys!$C$4)</f>
        <v>1.0103</v>
      </c>
      <c r="U192">
        <f>IF($D192=1,ROUND(Keys!$C$2/(INDEX(Src_SYSHECF_nuclear!$S$5:$S$292,MATCH($C192,Src_SYSHECF_nuclear!$C$5:$C$292,0))*$E192),Keys!$C$5),Keys!$C$4)</f>
        <v>1.0103</v>
      </c>
      <c r="V192">
        <f>IF($D192=1,ROUND(Keys!$C$2/(INDEX(Src_SYSHECF_nuclear!$T$5:$T$292,MATCH($C192,Src_SYSHECF_nuclear!$C$5:$C$292,0))*$E192),Keys!$C$5),Keys!$C$4)</f>
        <v>1.0103</v>
      </c>
      <c r="W192">
        <f>IF($D192=1,ROUND(Keys!$C$2/(INDEX(Src_SYSHECF_nuclear!$U$5:$U$292,MATCH($C192,Src_SYSHECF_nuclear!$C$5:$C$292,0))*$E192),Keys!$C$5),Keys!$C$4)</f>
        <v>1.0103</v>
      </c>
      <c r="X192">
        <f>IF($D192=1,ROUND(Keys!$C$2/(INDEX(Src_SYSHECF_nuclear!$V$5:$V$292,MATCH($C192,Src_SYSHECF_nuclear!$C$5:$C$292,0))*$E192),Keys!$C$5),Keys!$C$4)</f>
        <v>1.0103</v>
      </c>
      <c r="Y192">
        <f>IF($D192=1,ROUND(Keys!$C$2/(INDEX(Src_SYSHECF_nuclear!$W$5:$W$292,MATCH($C192,Src_SYSHECF_nuclear!$C$5:$C$292,0))*$E192),Keys!$C$5),Keys!$C$4)</f>
        <v>1.0103</v>
      </c>
      <c r="Z192">
        <f>IF($D192=1,ROUND(Keys!$C$2/(INDEX(Src_SYSHECF_nuclear!$X$5:$X$292,MATCH($C192,Src_SYSHECF_nuclear!$C$5:$C$292,0))*$E192),Keys!$C$5),Keys!$C$4)</f>
        <v>1.0103</v>
      </c>
      <c r="AA192">
        <f>IF($D192=1,ROUND(Keys!$C$2/(INDEX(Src_SYSHECF_nuclear!$Y$5:$Y$292,MATCH($C192,Src_SYSHECF_nuclear!$C$5:$C$292,0))*$E192),Keys!$C$5),Keys!$C$4)</f>
        <v>1.0103</v>
      </c>
      <c r="AB192">
        <f>IF($D192=1,ROUND(Keys!$C$2/(INDEX(Src_SYSHECF_nuclear!$Z$5:$Z$292,MATCH($C192,Src_SYSHECF_nuclear!$C$5:$C$292,0))*$E192),Keys!$C$5),Keys!$C$4)</f>
        <v>1.0103</v>
      </c>
      <c r="AC192">
        <f>IF($D192=1,ROUND(Keys!$C$2/(INDEX(Src_SYSHECF_nuclear!$AA$5:$AA$292,MATCH($C192,Src_SYSHECF_nuclear!$C$5:$C$292,0))*$E192),Keys!$C$5),Keys!$C$4)</f>
        <v>1.0103</v>
      </c>
      <c r="AE192">
        <f>IF($D192=1,IF(ABS(INDEX(Src_SYSHECF_nuclear!$D$5:$D$292,MATCH($C192,Src_SYSHECF_nuclear!$C$5:$C$292,0))*$E192*F192-Keys!$C$2)&gt;Keys!$C$6,1,0),0)</f>
        <v>0</v>
      </c>
    </row>
    <row r="193" spans="1:31" x14ac:dyDescent="0.45">
      <c r="A193" t="s">
        <v>63</v>
      </c>
      <c r="B193" t="s">
        <v>429</v>
      </c>
      <c r="C193" t="str">
        <f t="shared" si="3"/>
        <v>MS|Winter Peak</v>
      </c>
      <c r="D193">
        <f>INDEX(Src_BHRaSYC_nuclear!$HF$5:$HF$52,MATCH($A193,Src_BHRaSYC_nuclear!$A$5:$A$52,0))</f>
        <v>1</v>
      </c>
      <c r="E193">
        <f>INDEX(Src_HYECFCA_nuclear!$B$5:$B$52,MATCH($A193,Src_HYECFCA_nuclear!$A$5:$A$52,0))</f>
        <v>1.0490600000000001</v>
      </c>
      <c r="F193">
        <f>IF($D193=1,ROUND(Keys!$C$2/(INDEX(Src_SYSHECF_nuclear!$D$5:$D$292,MATCH($C193,Src_SYSHECF_nuclear!$C$5:$C$292,0))*$E193),Keys!$C$5),Keys!$C$4)</f>
        <v>1.0103</v>
      </c>
      <c r="G193">
        <f>IF($D193=1,ROUND(Keys!$C$2/(INDEX(Src_SYSHECF_nuclear!$E$5:$E$292,MATCH($C193,Src_SYSHECF_nuclear!$C$5:$C$292,0))*$E193),Keys!$C$5),Keys!$C$4)</f>
        <v>1.0103</v>
      </c>
      <c r="H193">
        <f>IF($D193=1,ROUND(Keys!$C$2/(INDEX(Src_SYSHECF_nuclear!$F$5:$F$292,MATCH($C193,Src_SYSHECF_nuclear!$C$5:$C$292,0))*$E193),Keys!$C$5),Keys!$C$4)</f>
        <v>1.0103</v>
      </c>
      <c r="I193">
        <f>IF($D193=1,ROUND(Keys!$C$2/(INDEX(Src_SYSHECF_nuclear!$G$5:$G$292,MATCH($C193,Src_SYSHECF_nuclear!$C$5:$C$292,0))*$E193),Keys!$C$5),Keys!$C$4)</f>
        <v>1.0103</v>
      </c>
      <c r="J193">
        <f>IF($D193=1,ROUND(Keys!$C$2/(INDEX(Src_SYSHECF_nuclear!$H$5:$H$292,MATCH($C193,Src_SYSHECF_nuclear!$C$5:$C$292,0))*$E193),Keys!$C$5),Keys!$C$4)</f>
        <v>1.0103</v>
      </c>
      <c r="K193">
        <f>IF($D193=1,ROUND(Keys!$C$2/(INDEX(Src_SYSHECF_nuclear!$I$5:$I$292,MATCH($C193,Src_SYSHECF_nuclear!$C$5:$C$292,0))*$E193),Keys!$C$5),Keys!$C$4)</f>
        <v>1.0103</v>
      </c>
      <c r="L193">
        <f>IF($D193=1,ROUND(Keys!$C$2/(INDEX(Src_SYSHECF_nuclear!$J$5:$J$292,MATCH($C193,Src_SYSHECF_nuclear!$C$5:$C$292,0))*$E193),Keys!$C$5),Keys!$C$4)</f>
        <v>1.0103</v>
      </c>
      <c r="M193">
        <f>IF($D193=1,ROUND(Keys!$C$2/(INDEX(Src_SYSHECF_nuclear!$K$5:$K$292,MATCH($C193,Src_SYSHECF_nuclear!$C$5:$C$292,0))*$E193),Keys!$C$5),Keys!$C$4)</f>
        <v>1.0103</v>
      </c>
      <c r="N193">
        <f>IF($D193=1,ROUND(Keys!$C$2/(INDEX(Src_SYSHECF_nuclear!$L$5:$L$292,MATCH($C193,Src_SYSHECF_nuclear!$C$5:$C$292,0))*$E193),Keys!$C$5),Keys!$C$4)</f>
        <v>1.0103</v>
      </c>
      <c r="O193">
        <f>IF($D193=1,ROUND(Keys!$C$2/(INDEX(Src_SYSHECF_nuclear!$M$5:$M$292,MATCH($C193,Src_SYSHECF_nuclear!$C$5:$C$292,0))*$E193),Keys!$C$5),Keys!$C$4)</f>
        <v>1.0103</v>
      </c>
      <c r="P193">
        <f>IF($D193=1,ROUND(Keys!$C$2/(INDEX(Src_SYSHECF_nuclear!$N$5:$N$292,MATCH($C193,Src_SYSHECF_nuclear!$C$5:$C$292,0))*$E193),Keys!$C$5),Keys!$C$4)</f>
        <v>1.0103</v>
      </c>
      <c r="Q193">
        <f>IF($D193=1,ROUND(Keys!$C$2/(INDEX(Src_SYSHECF_nuclear!$O$5:$O$292,MATCH($C193,Src_SYSHECF_nuclear!$C$5:$C$292,0))*$E193),Keys!$C$5),Keys!$C$4)</f>
        <v>1.0103</v>
      </c>
      <c r="R193">
        <f>IF($D193=1,ROUND(Keys!$C$2/(INDEX(Src_SYSHECF_nuclear!$P$5:$P$292,MATCH($C193,Src_SYSHECF_nuclear!$C$5:$C$292,0))*$E193),Keys!$C$5),Keys!$C$4)</f>
        <v>1.0103</v>
      </c>
      <c r="S193">
        <f>IF($D193=1,ROUND(Keys!$C$2/(INDEX(Src_SYSHECF_nuclear!$Q$5:$Q$292,MATCH($C193,Src_SYSHECF_nuclear!$C$5:$C$292,0))*$E193),Keys!$C$5),Keys!$C$4)</f>
        <v>1.0103</v>
      </c>
      <c r="T193">
        <f>IF($D193=1,ROUND(Keys!$C$2/(INDEX(Src_SYSHECF_nuclear!$R$5:$R$292,MATCH($C193,Src_SYSHECF_nuclear!$C$5:$C$292,0))*$E193),Keys!$C$5),Keys!$C$4)</f>
        <v>1.0103</v>
      </c>
      <c r="U193">
        <f>IF($D193=1,ROUND(Keys!$C$2/(INDEX(Src_SYSHECF_nuclear!$S$5:$S$292,MATCH($C193,Src_SYSHECF_nuclear!$C$5:$C$292,0))*$E193),Keys!$C$5),Keys!$C$4)</f>
        <v>1.0103</v>
      </c>
      <c r="V193">
        <f>IF($D193=1,ROUND(Keys!$C$2/(INDEX(Src_SYSHECF_nuclear!$T$5:$T$292,MATCH($C193,Src_SYSHECF_nuclear!$C$5:$C$292,0))*$E193),Keys!$C$5),Keys!$C$4)</f>
        <v>1.0103</v>
      </c>
      <c r="W193">
        <f>IF($D193=1,ROUND(Keys!$C$2/(INDEX(Src_SYSHECF_nuclear!$U$5:$U$292,MATCH($C193,Src_SYSHECF_nuclear!$C$5:$C$292,0))*$E193),Keys!$C$5),Keys!$C$4)</f>
        <v>1.0103</v>
      </c>
      <c r="X193">
        <f>IF($D193=1,ROUND(Keys!$C$2/(INDEX(Src_SYSHECF_nuclear!$V$5:$V$292,MATCH($C193,Src_SYSHECF_nuclear!$C$5:$C$292,0))*$E193),Keys!$C$5),Keys!$C$4)</f>
        <v>1.0103</v>
      </c>
      <c r="Y193">
        <f>IF($D193=1,ROUND(Keys!$C$2/(INDEX(Src_SYSHECF_nuclear!$W$5:$W$292,MATCH($C193,Src_SYSHECF_nuclear!$C$5:$C$292,0))*$E193),Keys!$C$5),Keys!$C$4)</f>
        <v>1.0103</v>
      </c>
      <c r="Z193">
        <f>IF($D193=1,ROUND(Keys!$C$2/(INDEX(Src_SYSHECF_nuclear!$X$5:$X$292,MATCH($C193,Src_SYSHECF_nuclear!$C$5:$C$292,0))*$E193),Keys!$C$5),Keys!$C$4)</f>
        <v>1.0103</v>
      </c>
      <c r="AA193">
        <f>IF($D193=1,ROUND(Keys!$C$2/(INDEX(Src_SYSHECF_nuclear!$Y$5:$Y$292,MATCH($C193,Src_SYSHECF_nuclear!$C$5:$C$292,0))*$E193),Keys!$C$5),Keys!$C$4)</f>
        <v>1.0103</v>
      </c>
      <c r="AB193">
        <f>IF($D193=1,ROUND(Keys!$C$2/(INDEX(Src_SYSHECF_nuclear!$Z$5:$Z$292,MATCH($C193,Src_SYSHECF_nuclear!$C$5:$C$292,0))*$E193),Keys!$C$5),Keys!$C$4)</f>
        <v>1.0103</v>
      </c>
      <c r="AC193">
        <f>IF($D193=1,ROUND(Keys!$C$2/(INDEX(Src_SYSHECF_nuclear!$AA$5:$AA$292,MATCH($C193,Src_SYSHECF_nuclear!$C$5:$C$292,0))*$E193),Keys!$C$5),Keys!$C$4)</f>
        <v>1.0103</v>
      </c>
      <c r="AE193">
        <f>IF($D193=1,IF(ABS(INDEX(Src_SYSHECF_nuclear!$D$5:$D$292,MATCH($C193,Src_SYSHECF_nuclear!$C$5:$C$292,0))*$E193*F193-Keys!$C$2)&gt;Keys!$C$6,1,0),0)</f>
        <v>0</v>
      </c>
    </row>
    <row r="194" spans="1:31" x14ac:dyDescent="0.45">
      <c r="A194" t="s">
        <v>65</v>
      </c>
      <c r="B194" t="s">
        <v>424</v>
      </c>
      <c r="C194" t="str">
        <f t="shared" si="3"/>
        <v>MT|Winter</v>
      </c>
      <c r="D194">
        <f>INDEX(Src_BHRaSYC_nuclear!$HF$5:$HF$52,MATCH($A194,Src_BHRaSYC_nuclear!$A$5:$A$52,0))</f>
        <v>0</v>
      </c>
      <c r="E194">
        <f>INDEX(Src_HYECFCA_nuclear!$B$5:$B$52,MATCH($A194,Src_HYECFCA_nuclear!$A$5:$A$52,0))</f>
        <v>1</v>
      </c>
      <c r="F194">
        <f>IF($D194=1,ROUND(Keys!$C$2/(INDEX(Src_SYSHECF_nuclear!$D$5:$D$292,MATCH($C194,Src_SYSHECF_nuclear!$C$5:$C$292,0))*$E194),Keys!$C$5),Keys!$C$4)</f>
        <v>0.9</v>
      </c>
      <c r="G194">
        <f>IF($D194=1,ROUND(Keys!$C$2/(INDEX(Src_SYSHECF_nuclear!$E$5:$E$292,MATCH($C194,Src_SYSHECF_nuclear!$C$5:$C$292,0))*$E194),Keys!$C$5),Keys!$C$4)</f>
        <v>0.9</v>
      </c>
      <c r="H194">
        <f>IF($D194=1,ROUND(Keys!$C$2/(INDEX(Src_SYSHECF_nuclear!$F$5:$F$292,MATCH($C194,Src_SYSHECF_nuclear!$C$5:$C$292,0))*$E194),Keys!$C$5),Keys!$C$4)</f>
        <v>0.9</v>
      </c>
      <c r="I194">
        <f>IF($D194=1,ROUND(Keys!$C$2/(INDEX(Src_SYSHECF_nuclear!$G$5:$G$292,MATCH($C194,Src_SYSHECF_nuclear!$C$5:$C$292,0))*$E194),Keys!$C$5),Keys!$C$4)</f>
        <v>0.9</v>
      </c>
      <c r="J194">
        <f>IF($D194=1,ROUND(Keys!$C$2/(INDEX(Src_SYSHECF_nuclear!$H$5:$H$292,MATCH($C194,Src_SYSHECF_nuclear!$C$5:$C$292,0))*$E194),Keys!$C$5),Keys!$C$4)</f>
        <v>0.9</v>
      </c>
      <c r="K194">
        <f>IF($D194=1,ROUND(Keys!$C$2/(INDEX(Src_SYSHECF_nuclear!$I$5:$I$292,MATCH($C194,Src_SYSHECF_nuclear!$C$5:$C$292,0))*$E194),Keys!$C$5),Keys!$C$4)</f>
        <v>0.9</v>
      </c>
      <c r="L194">
        <f>IF($D194=1,ROUND(Keys!$C$2/(INDEX(Src_SYSHECF_nuclear!$J$5:$J$292,MATCH($C194,Src_SYSHECF_nuclear!$C$5:$C$292,0))*$E194),Keys!$C$5),Keys!$C$4)</f>
        <v>0.9</v>
      </c>
      <c r="M194">
        <f>IF($D194=1,ROUND(Keys!$C$2/(INDEX(Src_SYSHECF_nuclear!$K$5:$K$292,MATCH($C194,Src_SYSHECF_nuclear!$C$5:$C$292,0))*$E194),Keys!$C$5),Keys!$C$4)</f>
        <v>0.9</v>
      </c>
      <c r="N194">
        <f>IF($D194=1,ROUND(Keys!$C$2/(INDEX(Src_SYSHECF_nuclear!$L$5:$L$292,MATCH($C194,Src_SYSHECF_nuclear!$C$5:$C$292,0))*$E194),Keys!$C$5),Keys!$C$4)</f>
        <v>0.9</v>
      </c>
      <c r="O194">
        <f>IF($D194=1,ROUND(Keys!$C$2/(INDEX(Src_SYSHECF_nuclear!$M$5:$M$292,MATCH($C194,Src_SYSHECF_nuclear!$C$5:$C$292,0))*$E194),Keys!$C$5),Keys!$C$4)</f>
        <v>0.9</v>
      </c>
      <c r="P194">
        <f>IF($D194=1,ROUND(Keys!$C$2/(INDEX(Src_SYSHECF_nuclear!$N$5:$N$292,MATCH($C194,Src_SYSHECF_nuclear!$C$5:$C$292,0))*$E194),Keys!$C$5),Keys!$C$4)</f>
        <v>0.9</v>
      </c>
      <c r="Q194">
        <f>IF($D194=1,ROUND(Keys!$C$2/(INDEX(Src_SYSHECF_nuclear!$O$5:$O$292,MATCH($C194,Src_SYSHECF_nuclear!$C$5:$C$292,0))*$E194),Keys!$C$5),Keys!$C$4)</f>
        <v>0.9</v>
      </c>
      <c r="R194">
        <f>IF($D194=1,ROUND(Keys!$C$2/(INDEX(Src_SYSHECF_nuclear!$P$5:$P$292,MATCH($C194,Src_SYSHECF_nuclear!$C$5:$C$292,0))*$E194),Keys!$C$5),Keys!$C$4)</f>
        <v>0.9</v>
      </c>
      <c r="S194">
        <f>IF($D194=1,ROUND(Keys!$C$2/(INDEX(Src_SYSHECF_nuclear!$Q$5:$Q$292,MATCH($C194,Src_SYSHECF_nuclear!$C$5:$C$292,0))*$E194),Keys!$C$5),Keys!$C$4)</f>
        <v>0.9</v>
      </c>
      <c r="T194">
        <f>IF($D194=1,ROUND(Keys!$C$2/(INDEX(Src_SYSHECF_nuclear!$R$5:$R$292,MATCH($C194,Src_SYSHECF_nuclear!$C$5:$C$292,0))*$E194),Keys!$C$5),Keys!$C$4)</f>
        <v>0.9</v>
      </c>
      <c r="U194">
        <f>IF($D194=1,ROUND(Keys!$C$2/(INDEX(Src_SYSHECF_nuclear!$S$5:$S$292,MATCH($C194,Src_SYSHECF_nuclear!$C$5:$C$292,0))*$E194),Keys!$C$5),Keys!$C$4)</f>
        <v>0.9</v>
      </c>
      <c r="V194">
        <f>IF($D194=1,ROUND(Keys!$C$2/(INDEX(Src_SYSHECF_nuclear!$T$5:$T$292,MATCH($C194,Src_SYSHECF_nuclear!$C$5:$C$292,0))*$E194),Keys!$C$5),Keys!$C$4)</f>
        <v>0.9</v>
      </c>
      <c r="W194">
        <f>IF($D194=1,ROUND(Keys!$C$2/(INDEX(Src_SYSHECF_nuclear!$U$5:$U$292,MATCH($C194,Src_SYSHECF_nuclear!$C$5:$C$292,0))*$E194),Keys!$C$5),Keys!$C$4)</f>
        <v>0.9</v>
      </c>
      <c r="X194">
        <f>IF($D194=1,ROUND(Keys!$C$2/(INDEX(Src_SYSHECF_nuclear!$V$5:$V$292,MATCH($C194,Src_SYSHECF_nuclear!$C$5:$C$292,0))*$E194),Keys!$C$5),Keys!$C$4)</f>
        <v>0.9</v>
      </c>
      <c r="Y194">
        <f>IF($D194=1,ROUND(Keys!$C$2/(INDEX(Src_SYSHECF_nuclear!$W$5:$W$292,MATCH($C194,Src_SYSHECF_nuclear!$C$5:$C$292,0))*$E194),Keys!$C$5),Keys!$C$4)</f>
        <v>0.9</v>
      </c>
      <c r="Z194">
        <f>IF($D194=1,ROUND(Keys!$C$2/(INDEX(Src_SYSHECF_nuclear!$X$5:$X$292,MATCH($C194,Src_SYSHECF_nuclear!$C$5:$C$292,0))*$E194),Keys!$C$5),Keys!$C$4)</f>
        <v>0.9</v>
      </c>
      <c r="AA194">
        <f>IF($D194=1,ROUND(Keys!$C$2/(INDEX(Src_SYSHECF_nuclear!$Y$5:$Y$292,MATCH($C194,Src_SYSHECF_nuclear!$C$5:$C$292,0))*$E194),Keys!$C$5),Keys!$C$4)</f>
        <v>0.9</v>
      </c>
      <c r="AB194">
        <f>IF($D194=1,ROUND(Keys!$C$2/(INDEX(Src_SYSHECF_nuclear!$Z$5:$Z$292,MATCH($C194,Src_SYSHECF_nuclear!$C$5:$C$292,0))*$E194),Keys!$C$5),Keys!$C$4)</f>
        <v>0.9</v>
      </c>
      <c r="AC194">
        <f>IF($D194=1,ROUND(Keys!$C$2/(INDEX(Src_SYSHECF_nuclear!$AA$5:$AA$292,MATCH($C194,Src_SYSHECF_nuclear!$C$5:$C$292,0))*$E194),Keys!$C$5),Keys!$C$4)</f>
        <v>0.9</v>
      </c>
      <c r="AE194">
        <f>IF($D194=1,IF(ABS(INDEX(Src_SYSHECF_nuclear!$D$5:$D$292,MATCH($C194,Src_SYSHECF_nuclear!$C$5:$C$292,0))*$E194*F194-Keys!$C$2)&gt;Keys!$C$6,1,0),0)</f>
        <v>0</v>
      </c>
    </row>
    <row r="195" spans="1:31" x14ac:dyDescent="0.45">
      <c r="A195" t="s">
        <v>65</v>
      </c>
      <c r="B195" t="s">
        <v>425</v>
      </c>
      <c r="C195" t="str">
        <f t="shared" si="3"/>
        <v>MT|Spring</v>
      </c>
      <c r="D195">
        <f>INDEX(Src_BHRaSYC_nuclear!$HF$5:$HF$52,MATCH($A195,Src_BHRaSYC_nuclear!$A$5:$A$52,0))</f>
        <v>0</v>
      </c>
      <c r="E195">
        <f>INDEX(Src_HYECFCA_nuclear!$B$5:$B$52,MATCH($A195,Src_HYECFCA_nuclear!$A$5:$A$52,0))</f>
        <v>1</v>
      </c>
      <c r="F195">
        <f>IF($D195=1,ROUND(Keys!$C$2/(INDEX(Src_SYSHECF_nuclear!$D$5:$D$292,MATCH($C195,Src_SYSHECF_nuclear!$C$5:$C$292,0))*$E195),Keys!$C$5),Keys!$C$4)</f>
        <v>0.9</v>
      </c>
      <c r="G195">
        <f>IF($D195=1,ROUND(Keys!$C$2/(INDEX(Src_SYSHECF_nuclear!$E$5:$E$292,MATCH($C195,Src_SYSHECF_nuclear!$C$5:$C$292,0))*$E195),Keys!$C$5),Keys!$C$4)</f>
        <v>0.9</v>
      </c>
      <c r="H195">
        <f>IF($D195=1,ROUND(Keys!$C$2/(INDEX(Src_SYSHECF_nuclear!$F$5:$F$292,MATCH($C195,Src_SYSHECF_nuclear!$C$5:$C$292,0))*$E195),Keys!$C$5),Keys!$C$4)</f>
        <v>0.9</v>
      </c>
      <c r="I195">
        <f>IF($D195=1,ROUND(Keys!$C$2/(INDEX(Src_SYSHECF_nuclear!$G$5:$G$292,MATCH($C195,Src_SYSHECF_nuclear!$C$5:$C$292,0))*$E195),Keys!$C$5),Keys!$C$4)</f>
        <v>0.9</v>
      </c>
      <c r="J195">
        <f>IF($D195=1,ROUND(Keys!$C$2/(INDEX(Src_SYSHECF_nuclear!$H$5:$H$292,MATCH($C195,Src_SYSHECF_nuclear!$C$5:$C$292,0))*$E195),Keys!$C$5),Keys!$C$4)</f>
        <v>0.9</v>
      </c>
      <c r="K195">
        <f>IF($D195=1,ROUND(Keys!$C$2/(INDEX(Src_SYSHECF_nuclear!$I$5:$I$292,MATCH($C195,Src_SYSHECF_nuclear!$C$5:$C$292,0))*$E195),Keys!$C$5),Keys!$C$4)</f>
        <v>0.9</v>
      </c>
      <c r="L195">
        <f>IF($D195=1,ROUND(Keys!$C$2/(INDEX(Src_SYSHECF_nuclear!$J$5:$J$292,MATCH($C195,Src_SYSHECF_nuclear!$C$5:$C$292,0))*$E195),Keys!$C$5),Keys!$C$4)</f>
        <v>0.9</v>
      </c>
      <c r="M195">
        <f>IF($D195=1,ROUND(Keys!$C$2/(INDEX(Src_SYSHECF_nuclear!$K$5:$K$292,MATCH($C195,Src_SYSHECF_nuclear!$C$5:$C$292,0))*$E195),Keys!$C$5),Keys!$C$4)</f>
        <v>0.9</v>
      </c>
      <c r="N195">
        <f>IF($D195=1,ROUND(Keys!$C$2/(INDEX(Src_SYSHECF_nuclear!$L$5:$L$292,MATCH($C195,Src_SYSHECF_nuclear!$C$5:$C$292,0))*$E195),Keys!$C$5),Keys!$C$4)</f>
        <v>0.9</v>
      </c>
      <c r="O195">
        <f>IF($D195=1,ROUND(Keys!$C$2/(INDEX(Src_SYSHECF_nuclear!$M$5:$M$292,MATCH($C195,Src_SYSHECF_nuclear!$C$5:$C$292,0))*$E195),Keys!$C$5),Keys!$C$4)</f>
        <v>0.9</v>
      </c>
      <c r="P195">
        <f>IF($D195=1,ROUND(Keys!$C$2/(INDEX(Src_SYSHECF_nuclear!$N$5:$N$292,MATCH($C195,Src_SYSHECF_nuclear!$C$5:$C$292,0))*$E195),Keys!$C$5),Keys!$C$4)</f>
        <v>0.9</v>
      </c>
      <c r="Q195">
        <f>IF($D195=1,ROUND(Keys!$C$2/(INDEX(Src_SYSHECF_nuclear!$O$5:$O$292,MATCH($C195,Src_SYSHECF_nuclear!$C$5:$C$292,0))*$E195),Keys!$C$5),Keys!$C$4)</f>
        <v>0.9</v>
      </c>
      <c r="R195">
        <f>IF($D195=1,ROUND(Keys!$C$2/(INDEX(Src_SYSHECF_nuclear!$P$5:$P$292,MATCH($C195,Src_SYSHECF_nuclear!$C$5:$C$292,0))*$E195),Keys!$C$5),Keys!$C$4)</f>
        <v>0.9</v>
      </c>
      <c r="S195">
        <f>IF($D195=1,ROUND(Keys!$C$2/(INDEX(Src_SYSHECF_nuclear!$Q$5:$Q$292,MATCH($C195,Src_SYSHECF_nuclear!$C$5:$C$292,0))*$E195),Keys!$C$5),Keys!$C$4)</f>
        <v>0.9</v>
      </c>
      <c r="T195">
        <f>IF($D195=1,ROUND(Keys!$C$2/(INDEX(Src_SYSHECF_nuclear!$R$5:$R$292,MATCH($C195,Src_SYSHECF_nuclear!$C$5:$C$292,0))*$E195),Keys!$C$5),Keys!$C$4)</f>
        <v>0.9</v>
      </c>
      <c r="U195">
        <f>IF($D195=1,ROUND(Keys!$C$2/(INDEX(Src_SYSHECF_nuclear!$S$5:$S$292,MATCH($C195,Src_SYSHECF_nuclear!$C$5:$C$292,0))*$E195),Keys!$C$5),Keys!$C$4)</f>
        <v>0.9</v>
      </c>
      <c r="V195">
        <f>IF($D195=1,ROUND(Keys!$C$2/(INDEX(Src_SYSHECF_nuclear!$T$5:$T$292,MATCH($C195,Src_SYSHECF_nuclear!$C$5:$C$292,0))*$E195),Keys!$C$5),Keys!$C$4)</f>
        <v>0.9</v>
      </c>
      <c r="W195">
        <f>IF($D195=1,ROUND(Keys!$C$2/(INDEX(Src_SYSHECF_nuclear!$U$5:$U$292,MATCH($C195,Src_SYSHECF_nuclear!$C$5:$C$292,0))*$E195),Keys!$C$5),Keys!$C$4)</f>
        <v>0.9</v>
      </c>
      <c r="X195">
        <f>IF($D195=1,ROUND(Keys!$C$2/(INDEX(Src_SYSHECF_nuclear!$V$5:$V$292,MATCH($C195,Src_SYSHECF_nuclear!$C$5:$C$292,0))*$E195),Keys!$C$5),Keys!$C$4)</f>
        <v>0.9</v>
      </c>
      <c r="Y195">
        <f>IF($D195=1,ROUND(Keys!$C$2/(INDEX(Src_SYSHECF_nuclear!$W$5:$W$292,MATCH($C195,Src_SYSHECF_nuclear!$C$5:$C$292,0))*$E195),Keys!$C$5),Keys!$C$4)</f>
        <v>0.9</v>
      </c>
      <c r="Z195">
        <f>IF($D195=1,ROUND(Keys!$C$2/(INDEX(Src_SYSHECF_nuclear!$X$5:$X$292,MATCH($C195,Src_SYSHECF_nuclear!$C$5:$C$292,0))*$E195),Keys!$C$5),Keys!$C$4)</f>
        <v>0.9</v>
      </c>
      <c r="AA195">
        <f>IF($D195=1,ROUND(Keys!$C$2/(INDEX(Src_SYSHECF_nuclear!$Y$5:$Y$292,MATCH($C195,Src_SYSHECF_nuclear!$C$5:$C$292,0))*$E195),Keys!$C$5),Keys!$C$4)</f>
        <v>0.9</v>
      </c>
      <c r="AB195">
        <f>IF($D195=1,ROUND(Keys!$C$2/(INDEX(Src_SYSHECF_nuclear!$Z$5:$Z$292,MATCH($C195,Src_SYSHECF_nuclear!$C$5:$C$292,0))*$E195),Keys!$C$5),Keys!$C$4)</f>
        <v>0.9</v>
      </c>
      <c r="AC195">
        <f>IF($D195=1,ROUND(Keys!$C$2/(INDEX(Src_SYSHECF_nuclear!$AA$5:$AA$292,MATCH($C195,Src_SYSHECF_nuclear!$C$5:$C$292,0))*$E195),Keys!$C$5),Keys!$C$4)</f>
        <v>0.9</v>
      </c>
      <c r="AE195">
        <f>IF($D195=1,IF(ABS(INDEX(Src_SYSHECF_nuclear!$D$5:$D$292,MATCH($C195,Src_SYSHECF_nuclear!$C$5:$C$292,0))*$E195*F195-Keys!$C$2)&gt;Keys!$C$6,1,0),0)</f>
        <v>0</v>
      </c>
    </row>
    <row r="196" spans="1:31" x14ac:dyDescent="0.45">
      <c r="A196" t="s">
        <v>65</v>
      </c>
      <c r="B196" t="s">
        <v>426</v>
      </c>
      <c r="C196" t="str">
        <f t="shared" si="3"/>
        <v>MT|Summer</v>
      </c>
      <c r="D196">
        <f>INDEX(Src_BHRaSYC_nuclear!$HF$5:$HF$52,MATCH($A196,Src_BHRaSYC_nuclear!$A$5:$A$52,0))</f>
        <v>0</v>
      </c>
      <c r="E196">
        <f>INDEX(Src_HYECFCA_nuclear!$B$5:$B$52,MATCH($A196,Src_HYECFCA_nuclear!$A$5:$A$52,0))</f>
        <v>1</v>
      </c>
      <c r="F196">
        <f>IF($D196=1,ROUND(Keys!$C$2/(INDEX(Src_SYSHECF_nuclear!$D$5:$D$292,MATCH($C196,Src_SYSHECF_nuclear!$C$5:$C$292,0))*$E196),Keys!$C$5),Keys!$C$4)</f>
        <v>0.9</v>
      </c>
      <c r="G196">
        <f>IF($D196=1,ROUND(Keys!$C$2/(INDEX(Src_SYSHECF_nuclear!$E$5:$E$292,MATCH($C196,Src_SYSHECF_nuclear!$C$5:$C$292,0))*$E196),Keys!$C$5),Keys!$C$4)</f>
        <v>0.9</v>
      </c>
      <c r="H196">
        <f>IF($D196=1,ROUND(Keys!$C$2/(INDEX(Src_SYSHECF_nuclear!$F$5:$F$292,MATCH($C196,Src_SYSHECF_nuclear!$C$5:$C$292,0))*$E196),Keys!$C$5),Keys!$C$4)</f>
        <v>0.9</v>
      </c>
      <c r="I196">
        <f>IF($D196=1,ROUND(Keys!$C$2/(INDEX(Src_SYSHECF_nuclear!$G$5:$G$292,MATCH($C196,Src_SYSHECF_nuclear!$C$5:$C$292,0))*$E196),Keys!$C$5),Keys!$C$4)</f>
        <v>0.9</v>
      </c>
      <c r="J196">
        <f>IF($D196=1,ROUND(Keys!$C$2/(INDEX(Src_SYSHECF_nuclear!$H$5:$H$292,MATCH($C196,Src_SYSHECF_nuclear!$C$5:$C$292,0))*$E196),Keys!$C$5),Keys!$C$4)</f>
        <v>0.9</v>
      </c>
      <c r="K196">
        <f>IF($D196=1,ROUND(Keys!$C$2/(INDEX(Src_SYSHECF_nuclear!$I$5:$I$292,MATCH($C196,Src_SYSHECF_nuclear!$C$5:$C$292,0))*$E196),Keys!$C$5),Keys!$C$4)</f>
        <v>0.9</v>
      </c>
      <c r="L196">
        <f>IF($D196=1,ROUND(Keys!$C$2/(INDEX(Src_SYSHECF_nuclear!$J$5:$J$292,MATCH($C196,Src_SYSHECF_nuclear!$C$5:$C$292,0))*$E196),Keys!$C$5),Keys!$C$4)</f>
        <v>0.9</v>
      </c>
      <c r="M196">
        <f>IF($D196=1,ROUND(Keys!$C$2/(INDEX(Src_SYSHECF_nuclear!$K$5:$K$292,MATCH($C196,Src_SYSHECF_nuclear!$C$5:$C$292,0))*$E196),Keys!$C$5),Keys!$C$4)</f>
        <v>0.9</v>
      </c>
      <c r="N196">
        <f>IF($D196=1,ROUND(Keys!$C$2/(INDEX(Src_SYSHECF_nuclear!$L$5:$L$292,MATCH($C196,Src_SYSHECF_nuclear!$C$5:$C$292,0))*$E196),Keys!$C$5),Keys!$C$4)</f>
        <v>0.9</v>
      </c>
      <c r="O196">
        <f>IF($D196=1,ROUND(Keys!$C$2/(INDEX(Src_SYSHECF_nuclear!$M$5:$M$292,MATCH($C196,Src_SYSHECF_nuclear!$C$5:$C$292,0))*$E196),Keys!$C$5),Keys!$C$4)</f>
        <v>0.9</v>
      </c>
      <c r="P196">
        <f>IF($D196=1,ROUND(Keys!$C$2/(INDEX(Src_SYSHECF_nuclear!$N$5:$N$292,MATCH($C196,Src_SYSHECF_nuclear!$C$5:$C$292,0))*$E196),Keys!$C$5),Keys!$C$4)</f>
        <v>0.9</v>
      </c>
      <c r="Q196">
        <f>IF($D196=1,ROUND(Keys!$C$2/(INDEX(Src_SYSHECF_nuclear!$O$5:$O$292,MATCH($C196,Src_SYSHECF_nuclear!$C$5:$C$292,0))*$E196),Keys!$C$5),Keys!$C$4)</f>
        <v>0.9</v>
      </c>
      <c r="R196">
        <f>IF($D196=1,ROUND(Keys!$C$2/(INDEX(Src_SYSHECF_nuclear!$P$5:$P$292,MATCH($C196,Src_SYSHECF_nuclear!$C$5:$C$292,0))*$E196),Keys!$C$5),Keys!$C$4)</f>
        <v>0.9</v>
      </c>
      <c r="S196">
        <f>IF($D196=1,ROUND(Keys!$C$2/(INDEX(Src_SYSHECF_nuclear!$Q$5:$Q$292,MATCH($C196,Src_SYSHECF_nuclear!$C$5:$C$292,0))*$E196),Keys!$C$5),Keys!$C$4)</f>
        <v>0.9</v>
      </c>
      <c r="T196">
        <f>IF($D196=1,ROUND(Keys!$C$2/(INDEX(Src_SYSHECF_nuclear!$R$5:$R$292,MATCH($C196,Src_SYSHECF_nuclear!$C$5:$C$292,0))*$E196),Keys!$C$5),Keys!$C$4)</f>
        <v>0.9</v>
      </c>
      <c r="U196">
        <f>IF($D196=1,ROUND(Keys!$C$2/(INDEX(Src_SYSHECF_nuclear!$S$5:$S$292,MATCH($C196,Src_SYSHECF_nuclear!$C$5:$C$292,0))*$E196),Keys!$C$5),Keys!$C$4)</f>
        <v>0.9</v>
      </c>
      <c r="V196">
        <f>IF($D196=1,ROUND(Keys!$C$2/(INDEX(Src_SYSHECF_nuclear!$T$5:$T$292,MATCH($C196,Src_SYSHECF_nuclear!$C$5:$C$292,0))*$E196),Keys!$C$5),Keys!$C$4)</f>
        <v>0.9</v>
      </c>
      <c r="W196">
        <f>IF($D196=1,ROUND(Keys!$C$2/(INDEX(Src_SYSHECF_nuclear!$U$5:$U$292,MATCH($C196,Src_SYSHECF_nuclear!$C$5:$C$292,0))*$E196),Keys!$C$5),Keys!$C$4)</f>
        <v>0.9</v>
      </c>
      <c r="X196">
        <f>IF($D196=1,ROUND(Keys!$C$2/(INDEX(Src_SYSHECF_nuclear!$V$5:$V$292,MATCH($C196,Src_SYSHECF_nuclear!$C$5:$C$292,0))*$E196),Keys!$C$5),Keys!$C$4)</f>
        <v>0.9</v>
      </c>
      <c r="Y196">
        <f>IF($D196=1,ROUND(Keys!$C$2/(INDEX(Src_SYSHECF_nuclear!$W$5:$W$292,MATCH($C196,Src_SYSHECF_nuclear!$C$5:$C$292,0))*$E196),Keys!$C$5),Keys!$C$4)</f>
        <v>0.9</v>
      </c>
      <c r="Z196">
        <f>IF($D196=1,ROUND(Keys!$C$2/(INDEX(Src_SYSHECF_nuclear!$X$5:$X$292,MATCH($C196,Src_SYSHECF_nuclear!$C$5:$C$292,0))*$E196),Keys!$C$5),Keys!$C$4)</f>
        <v>0.9</v>
      </c>
      <c r="AA196">
        <f>IF($D196=1,ROUND(Keys!$C$2/(INDEX(Src_SYSHECF_nuclear!$Y$5:$Y$292,MATCH($C196,Src_SYSHECF_nuclear!$C$5:$C$292,0))*$E196),Keys!$C$5),Keys!$C$4)</f>
        <v>0.9</v>
      </c>
      <c r="AB196">
        <f>IF($D196=1,ROUND(Keys!$C$2/(INDEX(Src_SYSHECF_nuclear!$Z$5:$Z$292,MATCH($C196,Src_SYSHECF_nuclear!$C$5:$C$292,0))*$E196),Keys!$C$5),Keys!$C$4)</f>
        <v>0.9</v>
      </c>
      <c r="AC196">
        <f>IF($D196=1,ROUND(Keys!$C$2/(INDEX(Src_SYSHECF_nuclear!$AA$5:$AA$292,MATCH($C196,Src_SYSHECF_nuclear!$C$5:$C$292,0))*$E196),Keys!$C$5),Keys!$C$4)</f>
        <v>0.9</v>
      </c>
      <c r="AE196">
        <f>IF($D196=1,IF(ABS(INDEX(Src_SYSHECF_nuclear!$D$5:$D$292,MATCH($C196,Src_SYSHECF_nuclear!$C$5:$C$292,0))*$E196*F196-Keys!$C$2)&gt;Keys!$C$6,1,0),0)</f>
        <v>0</v>
      </c>
    </row>
    <row r="197" spans="1:31" x14ac:dyDescent="0.45">
      <c r="A197" t="s">
        <v>65</v>
      </c>
      <c r="B197" t="s">
        <v>427</v>
      </c>
      <c r="C197" t="str">
        <f t="shared" si="3"/>
        <v>MT|Fall</v>
      </c>
      <c r="D197">
        <f>INDEX(Src_BHRaSYC_nuclear!$HF$5:$HF$52,MATCH($A197,Src_BHRaSYC_nuclear!$A$5:$A$52,0))</f>
        <v>0</v>
      </c>
      <c r="E197">
        <f>INDEX(Src_HYECFCA_nuclear!$B$5:$B$52,MATCH($A197,Src_HYECFCA_nuclear!$A$5:$A$52,0))</f>
        <v>1</v>
      </c>
      <c r="F197">
        <f>IF($D197=1,ROUND(Keys!$C$2/(INDEX(Src_SYSHECF_nuclear!$D$5:$D$292,MATCH($C197,Src_SYSHECF_nuclear!$C$5:$C$292,0))*$E197),Keys!$C$5),Keys!$C$4)</f>
        <v>0.9</v>
      </c>
      <c r="G197">
        <f>IF($D197=1,ROUND(Keys!$C$2/(INDEX(Src_SYSHECF_nuclear!$E$5:$E$292,MATCH($C197,Src_SYSHECF_nuclear!$C$5:$C$292,0))*$E197),Keys!$C$5),Keys!$C$4)</f>
        <v>0.9</v>
      </c>
      <c r="H197">
        <f>IF($D197=1,ROUND(Keys!$C$2/(INDEX(Src_SYSHECF_nuclear!$F$5:$F$292,MATCH($C197,Src_SYSHECF_nuclear!$C$5:$C$292,0))*$E197),Keys!$C$5),Keys!$C$4)</f>
        <v>0.9</v>
      </c>
      <c r="I197">
        <f>IF($D197=1,ROUND(Keys!$C$2/(INDEX(Src_SYSHECF_nuclear!$G$5:$G$292,MATCH($C197,Src_SYSHECF_nuclear!$C$5:$C$292,0))*$E197),Keys!$C$5),Keys!$C$4)</f>
        <v>0.9</v>
      </c>
      <c r="J197">
        <f>IF($D197=1,ROUND(Keys!$C$2/(INDEX(Src_SYSHECF_nuclear!$H$5:$H$292,MATCH($C197,Src_SYSHECF_nuclear!$C$5:$C$292,0))*$E197),Keys!$C$5),Keys!$C$4)</f>
        <v>0.9</v>
      </c>
      <c r="K197">
        <f>IF($D197=1,ROUND(Keys!$C$2/(INDEX(Src_SYSHECF_nuclear!$I$5:$I$292,MATCH($C197,Src_SYSHECF_nuclear!$C$5:$C$292,0))*$E197),Keys!$C$5),Keys!$C$4)</f>
        <v>0.9</v>
      </c>
      <c r="L197">
        <f>IF($D197=1,ROUND(Keys!$C$2/(INDEX(Src_SYSHECF_nuclear!$J$5:$J$292,MATCH($C197,Src_SYSHECF_nuclear!$C$5:$C$292,0))*$E197),Keys!$C$5),Keys!$C$4)</f>
        <v>0.9</v>
      </c>
      <c r="M197">
        <f>IF($D197=1,ROUND(Keys!$C$2/(INDEX(Src_SYSHECF_nuclear!$K$5:$K$292,MATCH($C197,Src_SYSHECF_nuclear!$C$5:$C$292,0))*$E197),Keys!$C$5),Keys!$C$4)</f>
        <v>0.9</v>
      </c>
      <c r="N197">
        <f>IF($D197=1,ROUND(Keys!$C$2/(INDEX(Src_SYSHECF_nuclear!$L$5:$L$292,MATCH($C197,Src_SYSHECF_nuclear!$C$5:$C$292,0))*$E197),Keys!$C$5),Keys!$C$4)</f>
        <v>0.9</v>
      </c>
      <c r="O197">
        <f>IF($D197=1,ROUND(Keys!$C$2/(INDEX(Src_SYSHECF_nuclear!$M$5:$M$292,MATCH($C197,Src_SYSHECF_nuclear!$C$5:$C$292,0))*$E197),Keys!$C$5),Keys!$C$4)</f>
        <v>0.9</v>
      </c>
      <c r="P197">
        <f>IF($D197=1,ROUND(Keys!$C$2/(INDEX(Src_SYSHECF_nuclear!$N$5:$N$292,MATCH($C197,Src_SYSHECF_nuclear!$C$5:$C$292,0))*$E197),Keys!$C$5),Keys!$C$4)</f>
        <v>0.9</v>
      </c>
      <c r="Q197">
        <f>IF($D197=1,ROUND(Keys!$C$2/(INDEX(Src_SYSHECF_nuclear!$O$5:$O$292,MATCH($C197,Src_SYSHECF_nuclear!$C$5:$C$292,0))*$E197),Keys!$C$5),Keys!$C$4)</f>
        <v>0.9</v>
      </c>
      <c r="R197">
        <f>IF($D197=1,ROUND(Keys!$C$2/(INDEX(Src_SYSHECF_nuclear!$P$5:$P$292,MATCH($C197,Src_SYSHECF_nuclear!$C$5:$C$292,0))*$E197),Keys!$C$5),Keys!$C$4)</f>
        <v>0.9</v>
      </c>
      <c r="S197">
        <f>IF($D197=1,ROUND(Keys!$C$2/(INDEX(Src_SYSHECF_nuclear!$Q$5:$Q$292,MATCH($C197,Src_SYSHECF_nuclear!$C$5:$C$292,0))*$E197),Keys!$C$5),Keys!$C$4)</f>
        <v>0.9</v>
      </c>
      <c r="T197">
        <f>IF($D197=1,ROUND(Keys!$C$2/(INDEX(Src_SYSHECF_nuclear!$R$5:$R$292,MATCH($C197,Src_SYSHECF_nuclear!$C$5:$C$292,0))*$E197),Keys!$C$5),Keys!$C$4)</f>
        <v>0.9</v>
      </c>
      <c r="U197">
        <f>IF($D197=1,ROUND(Keys!$C$2/(INDEX(Src_SYSHECF_nuclear!$S$5:$S$292,MATCH($C197,Src_SYSHECF_nuclear!$C$5:$C$292,0))*$E197),Keys!$C$5),Keys!$C$4)</f>
        <v>0.9</v>
      </c>
      <c r="V197">
        <f>IF($D197=1,ROUND(Keys!$C$2/(INDEX(Src_SYSHECF_nuclear!$T$5:$T$292,MATCH($C197,Src_SYSHECF_nuclear!$C$5:$C$292,0))*$E197),Keys!$C$5),Keys!$C$4)</f>
        <v>0.9</v>
      </c>
      <c r="W197">
        <f>IF($D197=1,ROUND(Keys!$C$2/(INDEX(Src_SYSHECF_nuclear!$U$5:$U$292,MATCH($C197,Src_SYSHECF_nuclear!$C$5:$C$292,0))*$E197),Keys!$C$5),Keys!$C$4)</f>
        <v>0.9</v>
      </c>
      <c r="X197">
        <f>IF($D197=1,ROUND(Keys!$C$2/(INDEX(Src_SYSHECF_nuclear!$V$5:$V$292,MATCH($C197,Src_SYSHECF_nuclear!$C$5:$C$292,0))*$E197),Keys!$C$5),Keys!$C$4)</f>
        <v>0.9</v>
      </c>
      <c r="Y197">
        <f>IF($D197=1,ROUND(Keys!$C$2/(INDEX(Src_SYSHECF_nuclear!$W$5:$W$292,MATCH($C197,Src_SYSHECF_nuclear!$C$5:$C$292,0))*$E197),Keys!$C$5),Keys!$C$4)</f>
        <v>0.9</v>
      </c>
      <c r="Z197">
        <f>IF($D197=1,ROUND(Keys!$C$2/(INDEX(Src_SYSHECF_nuclear!$X$5:$X$292,MATCH($C197,Src_SYSHECF_nuclear!$C$5:$C$292,0))*$E197),Keys!$C$5),Keys!$C$4)</f>
        <v>0.9</v>
      </c>
      <c r="AA197">
        <f>IF($D197=1,ROUND(Keys!$C$2/(INDEX(Src_SYSHECF_nuclear!$Y$5:$Y$292,MATCH($C197,Src_SYSHECF_nuclear!$C$5:$C$292,0))*$E197),Keys!$C$5),Keys!$C$4)</f>
        <v>0.9</v>
      </c>
      <c r="AB197">
        <f>IF($D197=1,ROUND(Keys!$C$2/(INDEX(Src_SYSHECF_nuclear!$Z$5:$Z$292,MATCH($C197,Src_SYSHECF_nuclear!$C$5:$C$292,0))*$E197),Keys!$C$5),Keys!$C$4)</f>
        <v>0.9</v>
      </c>
      <c r="AC197">
        <f>IF($D197=1,ROUND(Keys!$C$2/(INDEX(Src_SYSHECF_nuclear!$AA$5:$AA$292,MATCH($C197,Src_SYSHECF_nuclear!$C$5:$C$292,0))*$E197),Keys!$C$5),Keys!$C$4)</f>
        <v>0.9</v>
      </c>
      <c r="AE197">
        <f>IF($D197=1,IF(ABS(INDEX(Src_SYSHECF_nuclear!$D$5:$D$292,MATCH($C197,Src_SYSHECF_nuclear!$C$5:$C$292,0))*$E197*F197-Keys!$C$2)&gt;Keys!$C$6,1,0),0)</f>
        <v>0</v>
      </c>
    </row>
    <row r="198" spans="1:31" x14ac:dyDescent="0.45">
      <c r="A198" t="s">
        <v>65</v>
      </c>
      <c r="B198" t="s">
        <v>428</v>
      </c>
      <c r="C198" t="str">
        <f t="shared" si="3"/>
        <v>MT|Summer Peak</v>
      </c>
      <c r="D198">
        <f>INDEX(Src_BHRaSYC_nuclear!$HF$5:$HF$52,MATCH($A198,Src_BHRaSYC_nuclear!$A$5:$A$52,0))</f>
        <v>0</v>
      </c>
      <c r="E198">
        <f>INDEX(Src_HYECFCA_nuclear!$B$5:$B$52,MATCH($A198,Src_HYECFCA_nuclear!$A$5:$A$52,0))</f>
        <v>1</v>
      </c>
      <c r="F198">
        <f>IF($D198=1,ROUND(Keys!$C$2/(INDEX(Src_SYSHECF_nuclear!$D$5:$D$292,MATCH($C198,Src_SYSHECF_nuclear!$C$5:$C$292,0))*$E198),Keys!$C$5),Keys!$C$4)</f>
        <v>0.9</v>
      </c>
      <c r="G198">
        <f>IF($D198=1,ROUND(Keys!$C$2/(INDEX(Src_SYSHECF_nuclear!$E$5:$E$292,MATCH($C198,Src_SYSHECF_nuclear!$C$5:$C$292,0))*$E198),Keys!$C$5),Keys!$C$4)</f>
        <v>0.9</v>
      </c>
      <c r="H198">
        <f>IF($D198=1,ROUND(Keys!$C$2/(INDEX(Src_SYSHECF_nuclear!$F$5:$F$292,MATCH($C198,Src_SYSHECF_nuclear!$C$5:$C$292,0))*$E198),Keys!$C$5),Keys!$C$4)</f>
        <v>0.9</v>
      </c>
      <c r="I198">
        <f>IF($D198=1,ROUND(Keys!$C$2/(INDEX(Src_SYSHECF_nuclear!$G$5:$G$292,MATCH($C198,Src_SYSHECF_nuclear!$C$5:$C$292,0))*$E198),Keys!$C$5),Keys!$C$4)</f>
        <v>0.9</v>
      </c>
      <c r="J198">
        <f>IF($D198=1,ROUND(Keys!$C$2/(INDEX(Src_SYSHECF_nuclear!$H$5:$H$292,MATCH($C198,Src_SYSHECF_nuclear!$C$5:$C$292,0))*$E198),Keys!$C$5),Keys!$C$4)</f>
        <v>0.9</v>
      </c>
      <c r="K198">
        <f>IF($D198=1,ROUND(Keys!$C$2/(INDEX(Src_SYSHECF_nuclear!$I$5:$I$292,MATCH($C198,Src_SYSHECF_nuclear!$C$5:$C$292,0))*$E198),Keys!$C$5),Keys!$C$4)</f>
        <v>0.9</v>
      </c>
      <c r="L198">
        <f>IF($D198=1,ROUND(Keys!$C$2/(INDEX(Src_SYSHECF_nuclear!$J$5:$J$292,MATCH($C198,Src_SYSHECF_nuclear!$C$5:$C$292,0))*$E198),Keys!$C$5),Keys!$C$4)</f>
        <v>0.9</v>
      </c>
      <c r="M198">
        <f>IF($D198=1,ROUND(Keys!$C$2/(INDEX(Src_SYSHECF_nuclear!$K$5:$K$292,MATCH($C198,Src_SYSHECF_nuclear!$C$5:$C$292,0))*$E198),Keys!$C$5),Keys!$C$4)</f>
        <v>0.9</v>
      </c>
      <c r="N198">
        <f>IF($D198=1,ROUND(Keys!$C$2/(INDEX(Src_SYSHECF_nuclear!$L$5:$L$292,MATCH($C198,Src_SYSHECF_nuclear!$C$5:$C$292,0))*$E198),Keys!$C$5),Keys!$C$4)</f>
        <v>0.9</v>
      </c>
      <c r="O198">
        <f>IF($D198=1,ROUND(Keys!$C$2/(INDEX(Src_SYSHECF_nuclear!$M$5:$M$292,MATCH($C198,Src_SYSHECF_nuclear!$C$5:$C$292,0))*$E198),Keys!$C$5),Keys!$C$4)</f>
        <v>0.9</v>
      </c>
      <c r="P198">
        <f>IF($D198=1,ROUND(Keys!$C$2/(INDEX(Src_SYSHECF_nuclear!$N$5:$N$292,MATCH($C198,Src_SYSHECF_nuclear!$C$5:$C$292,0))*$E198),Keys!$C$5),Keys!$C$4)</f>
        <v>0.9</v>
      </c>
      <c r="Q198">
        <f>IF($D198=1,ROUND(Keys!$C$2/(INDEX(Src_SYSHECF_nuclear!$O$5:$O$292,MATCH($C198,Src_SYSHECF_nuclear!$C$5:$C$292,0))*$E198),Keys!$C$5),Keys!$C$4)</f>
        <v>0.9</v>
      </c>
      <c r="R198">
        <f>IF($D198=1,ROUND(Keys!$C$2/(INDEX(Src_SYSHECF_nuclear!$P$5:$P$292,MATCH($C198,Src_SYSHECF_nuclear!$C$5:$C$292,0))*$E198),Keys!$C$5),Keys!$C$4)</f>
        <v>0.9</v>
      </c>
      <c r="S198">
        <f>IF($D198=1,ROUND(Keys!$C$2/(INDEX(Src_SYSHECF_nuclear!$Q$5:$Q$292,MATCH($C198,Src_SYSHECF_nuclear!$C$5:$C$292,0))*$E198),Keys!$C$5),Keys!$C$4)</f>
        <v>0.9</v>
      </c>
      <c r="T198">
        <f>IF($D198=1,ROUND(Keys!$C$2/(INDEX(Src_SYSHECF_nuclear!$R$5:$R$292,MATCH($C198,Src_SYSHECF_nuclear!$C$5:$C$292,0))*$E198),Keys!$C$5),Keys!$C$4)</f>
        <v>0.9</v>
      </c>
      <c r="U198">
        <f>IF($D198=1,ROUND(Keys!$C$2/(INDEX(Src_SYSHECF_nuclear!$S$5:$S$292,MATCH($C198,Src_SYSHECF_nuclear!$C$5:$C$292,0))*$E198),Keys!$C$5),Keys!$C$4)</f>
        <v>0.9</v>
      </c>
      <c r="V198">
        <f>IF($D198=1,ROUND(Keys!$C$2/(INDEX(Src_SYSHECF_nuclear!$T$5:$T$292,MATCH($C198,Src_SYSHECF_nuclear!$C$5:$C$292,0))*$E198),Keys!$C$5),Keys!$C$4)</f>
        <v>0.9</v>
      </c>
      <c r="W198">
        <f>IF($D198=1,ROUND(Keys!$C$2/(INDEX(Src_SYSHECF_nuclear!$U$5:$U$292,MATCH($C198,Src_SYSHECF_nuclear!$C$5:$C$292,0))*$E198),Keys!$C$5),Keys!$C$4)</f>
        <v>0.9</v>
      </c>
      <c r="X198">
        <f>IF($D198=1,ROUND(Keys!$C$2/(INDEX(Src_SYSHECF_nuclear!$V$5:$V$292,MATCH($C198,Src_SYSHECF_nuclear!$C$5:$C$292,0))*$E198),Keys!$C$5),Keys!$C$4)</f>
        <v>0.9</v>
      </c>
      <c r="Y198">
        <f>IF($D198=1,ROUND(Keys!$C$2/(INDEX(Src_SYSHECF_nuclear!$W$5:$W$292,MATCH($C198,Src_SYSHECF_nuclear!$C$5:$C$292,0))*$E198),Keys!$C$5),Keys!$C$4)</f>
        <v>0.9</v>
      </c>
      <c r="Z198">
        <f>IF($D198=1,ROUND(Keys!$C$2/(INDEX(Src_SYSHECF_nuclear!$X$5:$X$292,MATCH($C198,Src_SYSHECF_nuclear!$C$5:$C$292,0))*$E198),Keys!$C$5),Keys!$C$4)</f>
        <v>0.9</v>
      </c>
      <c r="AA198">
        <f>IF($D198=1,ROUND(Keys!$C$2/(INDEX(Src_SYSHECF_nuclear!$Y$5:$Y$292,MATCH($C198,Src_SYSHECF_nuclear!$C$5:$C$292,0))*$E198),Keys!$C$5),Keys!$C$4)</f>
        <v>0.9</v>
      </c>
      <c r="AB198">
        <f>IF($D198=1,ROUND(Keys!$C$2/(INDEX(Src_SYSHECF_nuclear!$Z$5:$Z$292,MATCH($C198,Src_SYSHECF_nuclear!$C$5:$C$292,0))*$E198),Keys!$C$5),Keys!$C$4)</f>
        <v>0.9</v>
      </c>
      <c r="AC198">
        <f>IF($D198=1,ROUND(Keys!$C$2/(INDEX(Src_SYSHECF_nuclear!$AA$5:$AA$292,MATCH($C198,Src_SYSHECF_nuclear!$C$5:$C$292,0))*$E198),Keys!$C$5),Keys!$C$4)</f>
        <v>0.9</v>
      </c>
      <c r="AE198">
        <f>IF($D198=1,IF(ABS(INDEX(Src_SYSHECF_nuclear!$D$5:$D$292,MATCH($C198,Src_SYSHECF_nuclear!$C$5:$C$292,0))*$E198*F198-Keys!$C$2)&gt;Keys!$C$6,1,0),0)</f>
        <v>0</v>
      </c>
    </row>
    <row r="199" spans="1:31" x14ac:dyDescent="0.45">
      <c r="A199" t="s">
        <v>65</v>
      </c>
      <c r="B199" t="s">
        <v>429</v>
      </c>
      <c r="C199" t="str">
        <f t="shared" si="3"/>
        <v>MT|Winter Peak</v>
      </c>
      <c r="D199">
        <f>INDEX(Src_BHRaSYC_nuclear!$HF$5:$HF$52,MATCH($A199,Src_BHRaSYC_nuclear!$A$5:$A$52,0))</f>
        <v>0</v>
      </c>
      <c r="E199">
        <f>INDEX(Src_HYECFCA_nuclear!$B$5:$B$52,MATCH($A199,Src_HYECFCA_nuclear!$A$5:$A$52,0))</f>
        <v>1</v>
      </c>
      <c r="F199">
        <f>IF($D199=1,ROUND(Keys!$C$2/(INDEX(Src_SYSHECF_nuclear!$D$5:$D$292,MATCH($C199,Src_SYSHECF_nuclear!$C$5:$C$292,0))*$E199),Keys!$C$5),Keys!$C$4)</f>
        <v>0.9</v>
      </c>
      <c r="G199">
        <f>IF($D199=1,ROUND(Keys!$C$2/(INDEX(Src_SYSHECF_nuclear!$E$5:$E$292,MATCH($C199,Src_SYSHECF_nuclear!$C$5:$C$292,0))*$E199),Keys!$C$5),Keys!$C$4)</f>
        <v>0.9</v>
      </c>
      <c r="H199">
        <f>IF($D199=1,ROUND(Keys!$C$2/(INDEX(Src_SYSHECF_nuclear!$F$5:$F$292,MATCH($C199,Src_SYSHECF_nuclear!$C$5:$C$292,0))*$E199),Keys!$C$5),Keys!$C$4)</f>
        <v>0.9</v>
      </c>
      <c r="I199">
        <f>IF($D199=1,ROUND(Keys!$C$2/(INDEX(Src_SYSHECF_nuclear!$G$5:$G$292,MATCH($C199,Src_SYSHECF_nuclear!$C$5:$C$292,0))*$E199),Keys!$C$5),Keys!$C$4)</f>
        <v>0.9</v>
      </c>
      <c r="J199">
        <f>IF($D199=1,ROUND(Keys!$C$2/(INDEX(Src_SYSHECF_nuclear!$H$5:$H$292,MATCH($C199,Src_SYSHECF_nuclear!$C$5:$C$292,0))*$E199),Keys!$C$5),Keys!$C$4)</f>
        <v>0.9</v>
      </c>
      <c r="K199">
        <f>IF($D199=1,ROUND(Keys!$C$2/(INDEX(Src_SYSHECF_nuclear!$I$5:$I$292,MATCH($C199,Src_SYSHECF_nuclear!$C$5:$C$292,0))*$E199),Keys!$C$5),Keys!$C$4)</f>
        <v>0.9</v>
      </c>
      <c r="L199">
        <f>IF($D199=1,ROUND(Keys!$C$2/(INDEX(Src_SYSHECF_nuclear!$J$5:$J$292,MATCH($C199,Src_SYSHECF_nuclear!$C$5:$C$292,0))*$E199),Keys!$C$5),Keys!$C$4)</f>
        <v>0.9</v>
      </c>
      <c r="M199">
        <f>IF($D199=1,ROUND(Keys!$C$2/(INDEX(Src_SYSHECF_nuclear!$K$5:$K$292,MATCH($C199,Src_SYSHECF_nuclear!$C$5:$C$292,0))*$E199),Keys!$C$5),Keys!$C$4)</f>
        <v>0.9</v>
      </c>
      <c r="N199">
        <f>IF($D199=1,ROUND(Keys!$C$2/(INDEX(Src_SYSHECF_nuclear!$L$5:$L$292,MATCH($C199,Src_SYSHECF_nuclear!$C$5:$C$292,0))*$E199),Keys!$C$5),Keys!$C$4)</f>
        <v>0.9</v>
      </c>
      <c r="O199">
        <f>IF($D199=1,ROUND(Keys!$C$2/(INDEX(Src_SYSHECF_nuclear!$M$5:$M$292,MATCH($C199,Src_SYSHECF_nuclear!$C$5:$C$292,0))*$E199),Keys!$C$5),Keys!$C$4)</f>
        <v>0.9</v>
      </c>
      <c r="P199">
        <f>IF($D199=1,ROUND(Keys!$C$2/(INDEX(Src_SYSHECF_nuclear!$N$5:$N$292,MATCH($C199,Src_SYSHECF_nuclear!$C$5:$C$292,0))*$E199),Keys!$C$5),Keys!$C$4)</f>
        <v>0.9</v>
      </c>
      <c r="Q199">
        <f>IF($D199=1,ROUND(Keys!$C$2/(INDEX(Src_SYSHECF_nuclear!$O$5:$O$292,MATCH($C199,Src_SYSHECF_nuclear!$C$5:$C$292,0))*$E199),Keys!$C$5),Keys!$C$4)</f>
        <v>0.9</v>
      </c>
      <c r="R199">
        <f>IF($D199=1,ROUND(Keys!$C$2/(INDEX(Src_SYSHECF_nuclear!$P$5:$P$292,MATCH($C199,Src_SYSHECF_nuclear!$C$5:$C$292,0))*$E199),Keys!$C$5),Keys!$C$4)</f>
        <v>0.9</v>
      </c>
      <c r="S199">
        <f>IF($D199=1,ROUND(Keys!$C$2/(INDEX(Src_SYSHECF_nuclear!$Q$5:$Q$292,MATCH($C199,Src_SYSHECF_nuclear!$C$5:$C$292,0))*$E199),Keys!$C$5),Keys!$C$4)</f>
        <v>0.9</v>
      </c>
      <c r="T199">
        <f>IF($D199=1,ROUND(Keys!$C$2/(INDEX(Src_SYSHECF_nuclear!$R$5:$R$292,MATCH($C199,Src_SYSHECF_nuclear!$C$5:$C$292,0))*$E199),Keys!$C$5),Keys!$C$4)</f>
        <v>0.9</v>
      </c>
      <c r="U199">
        <f>IF($D199=1,ROUND(Keys!$C$2/(INDEX(Src_SYSHECF_nuclear!$S$5:$S$292,MATCH($C199,Src_SYSHECF_nuclear!$C$5:$C$292,0))*$E199),Keys!$C$5),Keys!$C$4)</f>
        <v>0.9</v>
      </c>
      <c r="V199">
        <f>IF($D199=1,ROUND(Keys!$C$2/(INDEX(Src_SYSHECF_nuclear!$T$5:$T$292,MATCH($C199,Src_SYSHECF_nuclear!$C$5:$C$292,0))*$E199),Keys!$C$5),Keys!$C$4)</f>
        <v>0.9</v>
      </c>
      <c r="W199">
        <f>IF($D199=1,ROUND(Keys!$C$2/(INDEX(Src_SYSHECF_nuclear!$U$5:$U$292,MATCH($C199,Src_SYSHECF_nuclear!$C$5:$C$292,0))*$E199),Keys!$C$5),Keys!$C$4)</f>
        <v>0.9</v>
      </c>
      <c r="X199">
        <f>IF($D199=1,ROUND(Keys!$C$2/(INDEX(Src_SYSHECF_nuclear!$V$5:$V$292,MATCH($C199,Src_SYSHECF_nuclear!$C$5:$C$292,0))*$E199),Keys!$C$5),Keys!$C$4)</f>
        <v>0.9</v>
      </c>
      <c r="Y199">
        <f>IF($D199=1,ROUND(Keys!$C$2/(INDEX(Src_SYSHECF_nuclear!$W$5:$W$292,MATCH($C199,Src_SYSHECF_nuclear!$C$5:$C$292,0))*$E199),Keys!$C$5),Keys!$C$4)</f>
        <v>0.9</v>
      </c>
      <c r="Z199">
        <f>IF($D199=1,ROUND(Keys!$C$2/(INDEX(Src_SYSHECF_nuclear!$X$5:$X$292,MATCH($C199,Src_SYSHECF_nuclear!$C$5:$C$292,0))*$E199),Keys!$C$5),Keys!$C$4)</f>
        <v>0.9</v>
      </c>
      <c r="AA199">
        <f>IF($D199=1,ROUND(Keys!$C$2/(INDEX(Src_SYSHECF_nuclear!$Y$5:$Y$292,MATCH($C199,Src_SYSHECF_nuclear!$C$5:$C$292,0))*$E199),Keys!$C$5),Keys!$C$4)</f>
        <v>0.9</v>
      </c>
      <c r="AB199">
        <f>IF($D199=1,ROUND(Keys!$C$2/(INDEX(Src_SYSHECF_nuclear!$Z$5:$Z$292,MATCH($C199,Src_SYSHECF_nuclear!$C$5:$C$292,0))*$E199),Keys!$C$5),Keys!$C$4)</f>
        <v>0.9</v>
      </c>
      <c r="AC199">
        <f>IF($D199=1,ROUND(Keys!$C$2/(INDEX(Src_SYSHECF_nuclear!$AA$5:$AA$292,MATCH($C199,Src_SYSHECF_nuclear!$C$5:$C$292,0))*$E199),Keys!$C$5),Keys!$C$4)</f>
        <v>0.9</v>
      </c>
      <c r="AE199">
        <f>IF($D199=1,IF(ABS(INDEX(Src_SYSHECF_nuclear!$D$5:$D$292,MATCH($C199,Src_SYSHECF_nuclear!$C$5:$C$292,0))*$E199*F199-Keys!$C$2)&gt;Keys!$C$6,1,0),0)</f>
        <v>0</v>
      </c>
    </row>
    <row r="200" spans="1:31" x14ac:dyDescent="0.45">
      <c r="A200" t="s">
        <v>68</v>
      </c>
      <c r="B200" t="s">
        <v>424</v>
      </c>
      <c r="C200" t="str">
        <f t="shared" si="3"/>
        <v>NC|Winter</v>
      </c>
      <c r="D200">
        <f>INDEX(Src_BHRaSYC_nuclear!$HF$5:$HF$52,MATCH($A200,Src_BHRaSYC_nuclear!$A$5:$A$52,0))</f>
        <v>1</v>
      </c>
      <c r="E200">
        <f>INDEX(Src_HYECFCA_nuclear!$B$5:$B$52,MATCH($A200,Src_HYECFCA_nuclear!$A$5:$A$52,0))</f>
        <v>0.996502</v>
      </c>
      <c r="F200">
        <f>IF($D200=1,ROUND(Keys!$C$2/(INDEX(Src_SYSHECF_nuclear!$D$5:$D$292,MATCH($C200,Src_SYSHECF_nuclear!$C$5:$C$292,0))*$E200),Keys!$C$5),Keys!$C$4)</f>
        <v>1.0217000000000001</v>
      </c>
      <c r="G200">
        <f>IF($D200=1,ROUND(Keys!$C$2/(INDEX(Src_SYSHECF_nuclear!$E$5:$E$292,MATCH($C200,Src_SYSHECF_nuclear!$C$5:$C$292,0))*$E200),Keys!$C$5),Keys!$C$4)</f>
        <v>1.0217000000000001</v>
      </c>
      <c r="H200">
        <f>IF($D200=1,ROUND(Keys!$C$2/(INDEX(Src_SYSHECF_nuclear!$F$5:$F$292,MATCH($C200,Src_SYSHECF_nuclear!$C$5:$C$292,0))*$E200),Keys!$C$5),Keys!$C$4)</f>
        <v>1.0217000000000001</v>
      </c>
      <c r="I200">
        <f>IF($D200=1,ROUND(Keys!$C$2/(INDEX(Src_SYSHECF_nuclear!$G$5:$G$292,MATCH($C200,Src_SYSHECF_nuclear!$C$5:$C$292,0))*$E200),Keys!$C$5),Keys!$C$4)</f>
        <v>1.0217000000000001</v>
      </c>
      <c r="J200">
        <f>IF($D200=1,ROUND(Keys!$C$2/(INDEX(Src_SYSHECF_nuclear!$H$5:$H$292,MATCH($C200,Src_SYSHECF_nuclear!$C$5:$C$292,0))*$E200),Keys!$C$5),Keys!$C$4)</f>
        <v>1.0217000000000001</v>
      </c>
      <c r="K200">
        <f>IF($D200=1,ROUND(Keys!$C$2/(INDEX(Src_SYSHECF_nuclear!$I$5:$I$292,MATCH($C200,Src_SYSHECF_nuclear!$C$5:$C$292,0))*$E200),Keys!$C$5),Keys!$C$4)</f>
        <v>1.0217000000000001</v>
      </c>
      <c r="L200">
        <f>IF($D200=1,ROUND(Keys!$C$2/(INDEX(Src_SYSHECF_nuclear!$J$5:$J$292,MATCH($C200,Src_SYSHECF_nuclear!$C$5:$C$292,0))*$E200),Keys!$C$5),Keys!$C$4)</f>
        <v>1.0217000000000001</v>
      </c>
      <c r="M200">
        <f>IF($D200=1,ROUND(Keys!$C$2/(INDEX(Src_SYSHECF_nuclear!$K$5:$K$292,MATCH($C200,Src_SYSHECF_nuclear!$C$5:$C$292,0))*$E200),Keys!$C$5),Keys!$C$4)</f>
        <v>1.0217000000000001</v>
      </c>
      <c r="N200">
        <f>IF($D200=1,ROUND(Keys!$C$2/(INDEX(Src_SYSHECF_nuclear!$L$5:$L$292,MATCH($C200,Src_SYSHECF_nuclear!$C$5:$C$292,0))*$E200),Keys!$C$5),Keys!$C$4)</f>
        <v>1.0217000000000001</v>
      </c>
      <c r="O200">
        <f>IF($D200=1,ROUND(Keys!$C$2/(INDEX(Src_SYSHECF_nuclear!$M$5:$M$292,MATCH($C200,Src_SYSHECF_nuclear!$C$5:$C$292,0))*$E200),Keys!$C$5),Keys!$C$4)</f>
        <v>1.0217000000000001</v>
      </c>
      <c r="P200">
        <f>IF($D200=1,ROUND(Keys!$C$2/(INDEX(Src_SYSHECF_nuclear!$N$5:$N$292,MATCH($C200,Src_SYSHECF_nuclear!$C$5:$C$292,0))*$E200),Keys!$C$5),Keys!$C$4)</f>
        <v>1.0217000000000001</v>
      </c>
      <c r="Q200">
        <f>IF($D200=1,ROUND(Keys!$C$2/(INDEX(Src_SYSHECF_nuclear!$O$5:$O$292,MATCH($C200,Src_SYSHECF_nuclear!$C$5:$C$292,0))*$E200),Keys!$C$5),Keys!$C$4)</f>
        <v>1.0217000000000001</v>
      </c>
      <c r="R200">
        <f>IF($D200=1,ROUND(Keys!$C$2/(INDEX(Src_SYSHECF_nuclear!$P$5:$P$292,MATCH($C200,Src_SYSHECF_nuclear!$C$5:$C$292,0))*$E200),Keys!$C$5),Keys!$C$4)</f>
        <v>1.0217000000000001</v>
      </c>
      <c r="S200">
        <f>IF($D200=1,ROUND(Keys!$C$2/(INDEX(Src_SYSHECF_nuclear!$Q$5:$Q$292,MATCH($C200,Src_SYSHECF_nuclear!$C$5:$C$292,0))*$E200),Keys!$C$5),Keys!$C$4)</f>
        <v>1.0217000000000001</v>
      </c>
      <c r="T200">
        <f>IF($D200=1,ROUND(Keys!$C$2/(INDEX(Src_SYSHECF_nuclear!$R$5:$R$292,MATCH($C200,Src_SYSHECF_nuclear!$C$5:$C$292,0))*$E200),Keys!$C$5),Keys!$C$4)</f>
        <v>1.0217000000000001</v>
      </c>
      <c r="U200">
        <f>IF($D200=1,ROUND(Keys!$C$2/(INDEX(Src_SYSHECF_nuclear!$S$5:$S$292,MATCH($C200,Src_SYSHECF_nuclear!$C$5:$C$292,0))*$E200),Keys!$C$5),Keys!$C$4)</f>
        <v>1.0217000000000001</v>
      </c>
      <c r="V200">
        <f>IF($D200=1,ROUND(Keys!$C$2/(INDEX(Src_SYSHECF_nuclear!$T$5:$T$292,MATCH($C200,Src_SYSHECF_nuclear!$C$5:$C$292,0))*$E200),Keys!$C$5),Keys!$C$4)</f>
        <v>1.0217000000000001</v>
      </c>
      <c r="W200">
        <f>IF($D200=1,ROUND(Keys!$C$2/(INDEX(Src_SYSHECF_nuclear!$U$5:$U$292,MATCH($C200,Src_SYSHECF_nuclear!$C$5:$C$292,0))*$E200),Keys!$C$5),Keys!$C$4)</f>
        <v>1.0217000000000001</v>
      </c>
      <c r="X200">
        <f>IF($D200=1,ROUND(Keys!$C$2/(INDEX(Src_SYSHECF_nuclear!$V$5:$V$292,MATCH($C200,Src_SYSHECF_nuclear!$C$5:$C$292,0))*$E200),Keys!$C$5),Keys!$C$4)</f>
        <v>1.0217000000000001</v>
      </c>
      <c r="Y200">
        <f>IF($D200=1,ROUND(Keys!$C$2/(INDEX(Src_SYSHECF_nuclear!$W$5:$W$292,MATCH($C200,Src_SYSHECF_nuclear!$C$5:$C$292,0))*$E200),Keys!$C$5),Keys!$C$4)</f>
        <v>1.0217000000000001</v>
      </c>
      <c r="Z200">
        <f>IF($D200=1,ROUND(Keys!$C$2/(INDEX(Src_SYSHECF_nuclear!$X$5:$X$292,MATCH($C200,Src_SYSHECF_nuclear!$C$5:$C$292,0))*$E200),Keys!$C$5),Keys!$C$4)</f>
        <v>1.0217000000000001</v>
      </c>
      <c r="AA200">
        <f>IF($D200=1,ROUND(Keys!$C$2/(INDEX(Src_SYSHECF_nuclear!$Y$5:$Y$292,MATCH($C200,Src_SYSHECF_nuclear!$C$5:$C$292,0))*$E200),Keys!$C$5),Keys!$C$4)</f>
        <v>1.0217000000000001</v>
      </c>
      <c r="AB200">
        <f>IF($D200=1,ROUND(Keys!$C$2/(INDEX(Src_SYSHECF_nuclear!$Z$5:$Z$292,MATCH($C200,Src_SYSHECF_nuclear!$C$5:$C$292,0))*$E200),Keys!$C$5),Keys!$C$4)</f>
        <v>1.0217000000000001</v>
      </c>
      <c r="AC200">
        <f>IF($D200=1,ROUND(Keys!$C$2/(INDEX(Src_SYSHECF_nuclear!$AA$5:$AA$292,MATCH($C200,Src_SYSHECF_nuclear!$C$5:$C$292,0))*$E200),Keys!$C$5),Keys!$C$4)</f>
        <v>1.0217000000000001</v>
      </c>
      <c r="AE200">
        <f>IF($D200=1,IF(ABS(INDEX(Src_SYSHECF_nuclear!$D$5:$D$292,MATCH($C200,Src_SYSHECF_nuclear!$C$5:$C$292,0))*$E200*F200-Keys!$C$2)&gt;Keys!$C$6,1,0),0)</f>
        <v>0</v>
      </c>
    </row>
    <row r="201" spans="1:31" x14ac:dyDescent="0.45">
      <c r="A201" t="s">
        <v>68</v>
      </c>
      <c r="B201" t="s">
        <v>425</v>
      </c>
      <c r="C201" t="str">
        <f t="shared" si="3"/>
        <v>NC|Spring</v>
      </c>
      <c r="D201">
        <f>INDEX(Src_BHRaSYC_nuclear!$HF$5:$HF$52,MATCH($A201,Src_BHRaSYC_nuclear!$A$5:$A$52,0))</f>
        <v>1</v>
      </c>
      <c r="E201">
        <f>INDEX(Src_HYECFCA_nuclear!$B$5:$B$52,MATCH($A201,Src_HYECFCA_nuclear!$A$5:$A$52,0))</f>
        <v>0.996502</v>
      </c>
      <c r="F201">
        <f>IF($D201=1,ROUND(Keys!$C$2/(INDEX(Src_SYSHECF_nuclear!$D$5:$D$292,MATCH($C201,Src_SYSHECF_nuclear!$C$5:$C$292,0))*$E201),Keys!$C$5),Keys!$C$4)</f>
        <v>1.0217000000000001</v>
      </c>
      <c r="G201">
        <f>IF($D201=1,ROUND(Keys!$C$2/(INDEX(Src_SYSHECF_nuclear!$E$5:$E$292,MATCH($C201,Src_SYSHECF_nuclear!$C$5:$C$292,0))*$E201),Keys!$C$5),Keys!$C$4)</f>
        <v>1.0217000000000001</v>
      </c>
      <c r="H201">
        <f>IF($D201=1,ROUND(Keys!$C$2/(INDEX(Src_SYSHECF_nuclear!$F$5:$F$292,MATCH($C201,Src_SYSHECF_nuclear!$C$5:$C$292,0))*$E201),Keys!$C$5),Keys!$C$4)</f>
        <v>1.0217000000000001</v>
      </c>
      <c r="I201">
        <f>IF($D201=1,ROUND(Keys!$C$2/(INDEX(Src_SYSHECF_nuclear!$G$5:$G$292,MATCH($C201,Src_SYSHECF_nuclear!$C$5:$C$292,0))*$E201),Keys!$C$5),Keys!$C$4)</f>
        <v>1.0217000000000001</v>
      </c>
      <c r="J201">
        <f>IF($D201=1,ROUND(Keys!$C$2/(INDEX(Src_SYSHECF_nuclear!$H$5:$H$292,MATCH($C201,Src_SYSHECF_nuclear!$C$5:$C$292,0))*$E201),Keys!$C$5),Keys!$C$4)</f>
        <v>1.0217000000000001</v>
      </c>
      <c r="K201">
        <f>IF($D201=1,ROUND(Keys!$C$2/(INDEX(Src_SYSHECF_nuclear!$I$5:$I$292,MATCH($C201,Src_SYSHECF_nuclear!$C$5:$C$292,0))*$E201),Keys!$C$5),Keys!$C$4)</f>
        <v>1.0217000000000001</v>
      </c>
      <c r="L201">
        <f>IF($D201=1,ROUND(Keys!$C$2/(INDEX(Src_SYSHECF_nuclear!$J$5:$J$292,MATCH($C201,Src_SYSHECF_nuclear!$C$5:$C$292,0))*$E201),Keys!$C$5),Keys!$C$4)</f>
        <v>1.0217000000000001</v>
      </c>
      <c r="M201">
        <f>IF($D201=1,ROUND(Keys!$C$2/(INDEX(Src_SYSHECF_nuclear!$K$5:$K$292,MATCH($C201,Src_SYSHECF_nuclear!$C$5:$C$292,0))*$E201),Keys!$C$5),Keys!$C$4)</f>
        <v>1.0225</v>
      </c>
      <c r="N201">
        <f>IF($D201=1,ROUND(Keys!$C$2/(INDEX(Src_SYSHECF_nuclear!$L$5:$L$292,MATCH($C201,Src_SYSHECF_nuclear!$C$5:$C$292,0))*$E201),Keys!$C$5),Keys!$C$4)</f>
        <v>1.0217000000000001</v>
      </c>
      <c r="O201">
        <f>IF($D201=1,ROUND(Keys!$C$2/(INDEX(Src_SYSHECF_nuclear!$M$5:$M$292,MATCH($C201,Src_SYSHECF_nuclear!$C$5:$C$292,0))*$E201),Keys!$C$5),Keys!$C$4)</f>
        <v>1.0217000000000001</v>
      </c>
      <c r="P201">
        <f>IF($D201=1,ROUND(Keys!$C$2/(INDEX(Src_SYSHECF_nuclear!$N$5:$N$292,MATCH($C201,Src_SYSHECF_nuclear!$C$5:$C$292,0))*$E201),Keys!$C$5),Keys!$C$4)</f>
        <v>1.0217000000000001</v>
      </c>
      <c r="Q201">
        <f>IF($D201=1,ROUND(Keys!$C$2/(INDEX(Src_SYSHECF_nuclear!$O$5:$O$292,MATCH($C201,Src_SYSHECF_nuclear!$C$5:$C$292,0))*$E201),Keys!$C$5),Keys!$C$4)</f>
        <v>1.0217000000000001</v>
      </c>
      <c r="R201">
        <f>IF($D201=1,ROUND(Keys!$C$2/(INDEX(Src_SYSHECF_nuclear!$P$5:$P$292,MATCH($C201,Src_SYSHECF_nuclear!$C$5:$C$292,0))*$E201),Keys!$C$5),Keys!$C$4)</f>
        <v>1.0217000000000001</v>
      </c>
      <c r="S201">
        <f>IF($D201=1,ROUND(Keys!$C$2/(INDEX(Src_SYSHECF_nuclear!$Q$5:$Q$292,MATCH($C201,Src_SYSHECF_nuclear!$C$5:$C$292,0))*$E201),Keys!$C$5),Keys!$C$4)</f>
        <v>1.0217000000000001</v>
      </c>
      <c r="T201">
        <f>IF($D201=1,ROUND(Keys!$C$2/(INDEX(Src_SYSHECF_nuclear!$R$5:$R$292,MATCH($C201,Src_SYSHECF_nuclear!$C$5:$C$292,0))*$E201),Keys!$C$5),Keys!$C$4)</f>
        <v>1.0217000000000001</v>
      </c>
      <c r="U201">
        <f>IF($D201=1,ROUND(Keys!$C$2/(INDEX(Src_SYSHECF_nuclear!$S$5:$S$292,MATCH($C201,Src_SYSHECF_nuclear!$C$5:$C$292,0))*$E201),Keys!$C$5),Keys!$C$4)</f>
        <v>1.0217000000000001</v>
      </c>
      <c r="V201">
        <f>IF($D201=1,ROUND(Keys!$C$2/(INDEX(Src_SYSHECF_nuclear!$T$5:$T$292,MATCH($C201,Src_SYSHECF_nuclear!$C$5:$C$292,0))*$E201),Keys!$C$5),Keys!$C$4)</f>
        <v>1.0217000000000001</v>
      </c>
      <c r="W201">
        <f>IF($D201=1,ROUND(Keys!$C$2/(INDEX(Src_SYSHECF_nuclear!$U$5:$U$292,MATCH($C201,Src_SYSHECF_nuclear!$C$5:$C$292,0))*$E201),Keys!$C$5),Keys!$C$4)</f>
        <v>1.0217000000000001</v>
      </c>
      <c r="X201">
        <f>IF($D201=1,ROUND(Keys!$C$2/(INDEX(Src_SYSHECF_nuclear!$V$5:$V$292,MATCH($C201,Src_SYSHECF_nuclear!$C$5:$C$292,0))*$E201),Keys!$C$5),Keys!$C$4)</f>
        <v>1.0217000000000001</v>
      </c>
      <c r="Y201">
        <f>IF($D201=1,ROUND(Keys!$C$2/(INDEX(Src_SYSHECF_nuclear!$W$5:$W$292,MATCH($C201,Src_SYSHECF_nuclear!$C$5:$C$292,0))*$E201),Keys!$C$5),Keys!$C$4)</f>
        <v>1.0217000000000001</v>
      </c>
      <c r="Z201">
        <f>IF($D201=1,ROUND(Keys!$C$2/(INDEX(Src_SYSHECF_nuclear!$X$5:$X$292,MATCH($C201,Src_SYSHECF_nuclear!$C$5:$C$292,0))*$E201),Keys!$C$5),Keys!$C$4)</f>
        <v>1.0217000000000001</v>
      </c>
      <c r="AA201">
        <f>IF($D201=1,ROUND(Keys!$C$2/(INDEX(Src_SYSHECF_nuclear!$Y$5:$Y$292,MATCH($C201,Src_SYSHECF_nuclear!$C$5:$C$292,0))*$E201),Keys!$C$5),Keys!$C$4)</f>
        <v>1.0217000000000001</v>
      </c>
      <c r="AB201">
        <f>IF($D201=1,ROUND(Keys!$C$2/(INDEX(Src_SYSHECF_nuclear!$Z$5:$Z$292,MATCH($C201,Src_SYSHECF_nuclear!$C$5:$C$292,0))*$E201),Keys!$C$5),Keys!$C$4)</f>
        <v>1.0217000000000001</v>
      </c>
      <c r="AC201">
        <f>IF($D201=1,ROUND(Keys!$C$2/(INDEX(Src_SYSHECF_nuclear!$AA$5:$AA$292,MATCH($C201,Src_SYSHECF_nuclear!$C$5:$C$292,0))*$E201),Keys!$C$5),Keys!$C$4)</f>
        <v>1.0217000000000001</v>
      </c>
      <c r="AE201">
        <f>IF($D201=1,IF(ABS(INDEX(Src_SYSHECF_nuclear!$D$5:$D$292,MATCH($C201,Src_SYSHECF_nuclear!$C$5:$C$292,0))*$E201*F201-Keys!$C$2)&gt;Keys!$C$6,1,0),0)</f>
        <v>0</v>
      </c>
    </row>
    <row r="202" spans="1:31" x14ac:dyDescent="0.45">
      <c r="A202" t="s">
        <v>68</v>
      </c>
      <c r="B202" t="s">
        <v>426</v>
      </c>
      <c r="C202" t="str">
        <f t="shared" si="3"/>
        <v>NC|Summer</v>
      </c>
      <c r="D202">
        <f>INDEX(Src_BHRaSYC_nuclear!$HF$5:$HF$52,MATCH($A202,Src_BHRaSYC_nuclear!$A$5:$A$52,0))</f>
        <v>1</v>
      </c>
      <c r="E202">
        <f>INDEX(Src_HYECFCA_nuclear!$B$5:$B$52,MATCH($A202,Src_HYECFCA_nuclear!$A$5:$A$52,0))</f>
        <v>0.996502</v>
      </c>
      <c r="F202">
        <f>IF($D202=1,ROUND(Keys!$C$2/(INDEX(Src_SYSHECF_nuclear!$D$5:$D$292,MATCH($C202,Src_SYSHECF_nuclear!$C$5:$C$292,0))*$E202),Keys!$C$5),Keys!$C$4)</f>
        <v>1.0217000000000001</v>
      </c>
      <c r="G202">
        <f>IF($D202=1,ROUND(Keys!$C$2/(INDEX(Src_SYSHECF_nuclear!$E$5:$E$292,MATCH($C202,Src_SYSHECF_nuclear!$C$5:$C$292,0))*$E202),Keys!$C$5),Keys!$C$4)</f>
        <v>1.0217000000000001</v>
      </c>
      <c r="H202">
        <f>IF($D202=1,ROUND(Keys!$C$2/(INDEX(Src_SYSHECF_nuclear!$F$5:$F$292,MATCH($C202,Src_SYSHECF_nuclear!$C$5:$C$292,0))*$E202),Keys!$C$5),Keys!$C$4)</f>
        <v>1.0217000000000001</v>
      </c>
      <c r="I202">
        <f>IF($D202=1,ROUND(Keys!$C$2/(INDEX(Src_SYSHECF_nuclear!$G$5:$G$292,MATCH($C202,Src_SYSHECF_nuclear!$C$5:$C$292,0))*$E202),Keys!$C$5),Keys!$C$4)</f>
        <v>1.0217000000000001</v>
      </c>
      <c r="J202">
        <f>IF($D202=1,ROUND(Keys!$C$2/(INDEX(Src_SYSHECF_nuclear!$H$5:$H$292,MATCH($C202,Src_SYSHECF_nuclear!$C$5:$C$292,0))*$E202),Keys!$C$5),Keys!$C$4)</f>
        <v>1.0217000000000001</v>
      </c>
      <c r="K202">
        <f>IF($D202=1,ROUND(Keys!$C$2/(INDEX(Src_SYSHECF_nuclear!$I$5:$I$292,MATCH($C202,Src_SYSHECF_nuclear!$C$5:$C$292,0))*$E202),Keys!$C$5),Keys!$C$4)</f>
        <v>1.0217000000000001</v>
      </c>
      <c r="L202">
        <f>IF($D202=1,ROUND(Keys!$C$2/(INDEX(Src_SYSHECF_nuclear!$J$5:$J$292,MATCH($C202,Src_SYSHECF_nuclear!$C$5:$C$292,0))*$E202),Keys!$C$5),Keys!$C$4)</f>
        <v>1.0217000000000001</v>
      </c>
      <c r="M202">
        <f>IF($D202=1,ROUND(Keys!$C$2/(INDEX(Src_SYSHECF_nuclear!$K$5:$K$292,MATCH($C202,Src_SYSHECF_nuclear!$C$5:$C$292,0))*$E202),Keys!$C$5),Keys!$C$4)</f>
        <v>1.0217000000000001</v>
      </c>
      <c r="N202">
        <f>IF($D202=1,ROUND(Keys!$C$2/(INDEX(Src_SYSHECF_nuclear!$L$5:$L$292,MATCH($C202,Src_SYSHECF_nuclear!$C$5:$C$292,0))*$E202),Keys!$C$5),Keys!$C$4)</f>
        <v>1.0217000000000001</v>
      </c>
      <c r="O202">
        <f>IF($D202=1,ROUND(Keys!$C$2/(INDEX(Src_SYSHECF_nuclear!$M$5:$M$292,MATCH($C202,Src_SYSHECF_nuclear!$C$5:$C$292,0))*$E202),Keys!$C$5),Keys!$C$4)</f>
        <v>1.0217000000000001</v>
      </c>
      <c r="P202">
        <f>IF($D202=1,ROUND(Keys!$C$2/(INDEX(Src_SYSHECF_nuclear!$N$5:$N$292,MATCH($C202,Src_SYSHECF_nuclear!$C$5:$C$292,0))*$E202),Keys!$C$5),Keys!$C$4)</f>
        <v>1.0217000000000001</v>
      </c>
      <c r="Q202">
        <f>IF($D202=1,ROUND(Keys!$C$2/(INDEX(Src_SYSHECF_nuclear!$O$5:$O$292,MATCH($C202,Src_SYSHECF_nuclear!$C$5:$C$292,0))*$E202),Keys!$C$5),Keys!$C$4)</f>
        <v>1.0217000000000001</v>
      </c>
      <c r="R202">
        <f>IF($D202=1,ROUND(Keys!$C$2/(INDEX(Src_SYSHECF_nuclear!$P$5:$P$292,MATCH($C202,Src_SYSHECF_nuclear!$C$5:$C$292,0))*$E202),Keys!$C$5),Keys!$C$4)</f>
        <v>1.0217000000000001</v>
      </c>
      <c r="S202">
        <f>IF($D202=1,ROUND(Keys!$C$2/(INDEX(Src_SYSHECF_nuclear!$Q$5:$Q$292,MATCH($C202,Src_SYSHECF_nuclear!$C$5:$C$292,0))*$E202),Keys!$C$5),Keys!$C$4)</f>
        <v>1.0217000000000001</v>
      </c>
      <c r="T202">
        <f>IF($D202=1,ROUND(Keys!$C$2/(INDEX(Src_SYSHECF_nuclear!$R$5:$R$292,MATCH($C202,Src_SYSHECF_nuclear!$C$5:$C$292,0))*$E202),Keys!$C$5),Keys!$C$4)</f>
        <v>1.0217000000000001</v>
      </c>
      <c r="U202">
        <f>IF($D202=1,ROUND(Keys!$C$2/(INDEX(Src_SYSHECF_nuclear!$S$5:$S$292,MATCH($C202,Src_SYSHECF_nuclear!$C$5:$C$292,0))*$E202),Keys!$C$5),Keys!$C$4)</f>
        <v>1.0217000000000001</v>
      </c>
      <c r="V202">
        <f>IF($D202=1,ROUND(Keys!$C$2/(INDEX(Src_SYSHECF_nuclear!$T$5:$T$292,MATCH($C202,Src_SYSHECF_nuclear!$C$5:$C$292,0))*$E202),Keys!$C$5),Keys!$C$4)</f>
        <v>1.0217000000000001</v>
      </c>
      <c r="W202">
        <f>IF($D202=1,ROUND(Keys!$C$2/(INDEX(Src_SYSHECF_nuclear!$U$5:$U$292,MATCH($C202,Src_SYSHECF_nuclear!$C$5:$C$292,0))*$E202),Keys!$C$5),Keys!$C$4)</f>
        <v>1.0217000000000001</v>
      </c>
      <c r="X202">
        <f>IF($D202=1,ROUND(Keys!$C$2/(INDEX(Src_SYSHECF_nuclear!$V$5:$V$292,MATCH($C202,Src_SYSHECF_nuclear!$C$5:$C$292,0))*$E202),Keys!$C$5),Keys!$C$4)</f>
        <v>1.0217000000000001</v>
      </c>
      <c r="Y202">
        <f>IF($D202=1,ROUND(Keys!$C$2/(INDEX(Src_SYSHECF_nuclear!$W$5:$W$292,MATCH($C202,Src_SYSHECF_nuclear!$C$5:$C$292,0))*$E202),Keys!$C$5),Keys!$C$4)</f>
        <v>1.0217000000000001</v>
      </c>
      <c r="Z202">
        <f>IF($D202=1,ROUND(Keys!$C$2/(INDEX(Src_SYSHECF_nuclear!$X$5:$X$292,MATCH($C202,Src_SYSHECF_nuclear!$C$5:$C$292,0))*$E202),Keys!$C$5),Keys!$C$4)</f>
        <v>1.0217000000000001</v>
      </c>
      <c r="AA202">
        <f>IF($D202=1,ROUND(Keys!$C$2/(INDEX(Src_SYSHECF_nuclear!$Y$5:$Y$292,MATCH($C202,Src_SYSHECF_nuclear!$C$5:$C$292,0))*$E202),Keys!$C$5),Keys!$C$4)</f>
        <v>1.0217000000000001</v>
      </c>
      <c r="AB202">
        <f>IF($D202=1,ROUND(Keys!$C$2/(INDEX(Src_SYSHECF_nuclear!$Z$5:$Z$292,MATCH($C202,Src_SYSHECF_nuclear!$C$5:$C$292,0))*$E202),Keys!$C$5),Keys!$C$4)</f>
        <v>1.0217000000000001</v>
      </c>
      <c r="AC202">
        <f>IF($D202=1,ROUND(Keys!$C$2/(INDEX(Src_SYSHECF_nuclear!$AA$5:$AA$292,MATCH($C202,Src_SYSHECF_nuclear!$C$5:$C$292,0))*$E202),Keys!$C$5),Keys!$C$4)</f>
        <v>1.0217000000000001</v>
      </c>
      <c r="AE202">
        <f>IF($D202=1,IF(ABS(INDEX(Src_SYSHECF_nuclear!$D$5:$D$292,MATCH($C202,Src_SYSHECF_nuclear!$C$5:$C$292,0))*$E202*F202-Keys!$C$2)&gt;Keys!$C$6,1,0),0)</f>
        <v>0</v>
      </c>
    </row>
    <row r="203" spans="1:31" x14ac:dyDescent="0.45">
      <c r="A203" t="s">
        <v>68</v>
      </c>
      <c r="B203" t="s">
        <v>427</v>
      </c>
      <c r="C203" t="str">
        <f t="shared" si="3"/>
        <v>NC|Fall</v>
      </c>
      <c r="D203">
        <f>INDEX(Src_BHRaSYC_nuclear!$HF$5:$HF$52,MATCH($A203,Src_BHRaSYC_nuclear!$A$5:$A$52,0))</f>
        <v>1</v>
      </c>
      <c r="E203">
        <f>INDEX(Src_HYECFCA_nuclear!$B$5:$B$52,MATCH($A203,Src_HYECFCA_nuclear!$A$5:$A$52,0))</f>
        <v>0.996502</v>
      </c>
      <c r="F203">
        <f>IF($D203=1,ROUND(Keys!$C$2/(INDEX(Src_SYSHECF_nuclear!$D$5:$D$292,MATCH($C203,Src_SYSHECF_nuclear!$C$5:$C$292,0))*$E203),Keys!$C$5),Keys!$C$4)</f>
        <v>1.0217000000000001</v>
      </c>
      <c r="G203">
        <f>IF($D203=1,ROUND(Keys!$C$2/(INDEX(Src_SYSHECF_nuclear!$E$5:$E$292,MATCH($C203,Src_SYSHECF_nuclear!$C$5:$C$292,0))*$E203),Keys!$C$5),Keys!$C$4)</f>
        <v>1.0217000000000001</v>
      </c>
      <c r="H203">
        <f>IF($D203=1,ROUND(Keys!$C$2/(INDEX(Src_SYSHECF_nuclear!$F$5:$F$292,MATCH($C203,Src_SYSHECF_nuclear!$C$5:$C$292,0))*$E203),Keys!$C$5),Keys!$C$4)</f>
        <v>1.0217000000000001</v>
      </c>
      <c r="I203">
        <f>IF($D203=1,ROUND(Keys!$C$2/(INDEX(Src_SYSHECF_nuclear!$G$5:$G$292,MATCH($C203,Src_SYSHECF_nuclear!$C$5:$C$292,0))*$E203),Keys!$C$5),Keys!$C$4)</f>
        <v>1.0217000000000001</v>
      </c>
      <c r="J203">
        <f>IF($D203=1,ROUND(Keys!$C$2/(INDEX(Src_SYSHECF_nuclear!$H$5:$H$292,MATCH($C203,Src_SYSHECF_nuclear!$C$5:$C$292,0))*$E203),Keys!$C$5),Keys!$C$4)</f>
        <v>1.0217000000000001</v>
      </c>
      <c r="K203">
        <f>IF($D203=1,ROUND(Keys!$C$2/(INDEX(Src_SYSHECF_nuclear!$I$5:$I$292,MATCH($C203,Src_SYSHECF_nuclear!$C$5:$C$292,0))*$E203),Keys!$C$5),Keys!$C$4)</f>
        <v>1.0217000000000001</v>
      </c>
      <c r="L203">
        <f>IF($D203=1,ROUND(Keys!$C$2/(INDEX(Src_SYSHECF_nuclear!$J$5:$J$292,MATCH($C203,Src_SYSHECF_nuclear!$C$5:$C$292,0))*$E203),Keys!$C$5),Keys!$C$4)</f>
        <v>1.0233000000000001</v>
      </c>
      <c r="M203">
        <f>IF($D203=1,ROUND(Keys!$C$2/(INDEX(Src_SYSHECF_nuclear!$K$5:$K$292,MATCH($C203,Src_SYSHECF_nuclear!$C$5:$C$292,0))*$E203),Keys!$C$5),Keys!$C$4)</f>
        <v>1.0230999999999999</v>
      </c>
      <c r="N203">
        <f>IF($D203=1,ROUND(Keys!$C$2/(INDEX(Src_SYSHECF_nuclear!$L$5:$L$292,MATCH($C203,Src_SYSHECF_nuclear!$C$5:$C$292,0))*$E203),Keys!$C$5),Keys!$C$4)</f>
        <v>1.0217000000000001</v>
      </c>
      <c r="O203">
        <f>IF($D203=1,ROUND(Keys!$C$2/(INDEX(Src_SYSHECF_nuclear!$M$5:$M$292,MATCH($C203,Src_SYSHECF_nuclear!$C$5:$C$292,0))*$E203),Keys!$C$5),Keys!$C$4)</f>
        <v>1.0217000000000001</v>
      </c>
      <c r="P203">
        <f>IF($D203=1,ROUND(Keys!$C$2/(INDEX(Src_SYSHECF_nuclear!$N$5:$N$292,MATCH($C203,Src_SYSHECF_nuclear!$C$5:$C$292,0))*$E203),Keys!$C$5),Keys!$C$4)</f>
        <v>1.0217000000000001</v>
      </c>
      <c r="Q203">
        <f>IF($D203=1,ROUND(Keys!$C$2/(INDEX(Src_SYSHECF_nuclear!$O$5:$O$292,MATCH($C203,Src_SYSHECF_nuclear!$C$5:$C$292,0))*$E203),Keys!$C$5),Keys!$C$4)</f>
        <v>1.0217000000000001</v>
      </c>
      <c r="R203">
        <f>IF($D203=1,ROUND(Keys!$C$2/(INDEX(Src_SYSHECF_nuclear!$P$5:$P$292,MATCH($C203,Src_SYSHECF_nuclear!$C$5:$C$292,0))*$E203),Keys!$C$5),Keys!$C$4)</f>
        <v>1.0217000000000001</v>
      </c>
      <c r="S203">
        <f>IF($D203=1,ROUND(Keys!$C$2/(INDEX(Src_SYSHECF_nuclear!$Q$5:$Q$292,MATCH($C203,Src_SYSHECF_nuclear!$C$5:$C$292,0))*$E203),Keys!$C$5),Keys!$C$4)</f>
        <v>1.0217000000000001</v>
      </c>
      <c r="T203">
        <f>IF($D203=1,ROUND(Keys!$C$2/(INDEX(Src_SYSHECF_nuclear!$R$5:$R$292,MATCH($C203,Src_SYSHECF_nuclear!$C$5:$C$292,0))*$E203),Keys!$C$5),Keys!$C$4)</f>
        <v>1.0217000000000001</v>
      </c>
      <c r="U203">
        <f>IF($D203=1,ROUND(Keys!$C$2/(INDEX(Src_SYSHECF_nuclear!$S$5:$S$292,MATCH($C203,Src_SYSHECF_nuclear!$C$5:$C$292,0))*$E203),Keys!$C$5),Keys!$C$4)</f>
        <v>1.0217000000000001</v>
      </c>
      <c r="V203">
        <f>IF($D203=1,ROUND(Keys!$C$2/(INDEX(Src_SYSHECF_nuclear!$T$5:$T$292,MATCH($C203,Src_SYSHECF_nuclear!$C$5:$C$292,0))*$E203),Keys!$C$5),Keys!$C$4)</f>
        <v>1.0217000000000001</v>
      </c>
      <c r="W203">
        <f>IF($D203=1,ROUND(Keys!$C$2/(INDEX(Src_SYSHECF_nuclear!$U$5:$U$292,MATCH($C203,Src_SYSHECF_nuclear!$C$5:$C$292,0))*$E203),Keys!$C$5),Keys!$C$4)</f>
        <v>1.0217000000000001</v>
      </c>
      <c r="X203">
        <f>IF($D203=1,ROUND(Keys!$C$2/(INDEX(Src_SYSHECF_nuclear!$V$5:$V$292,MATCH($C203,Src_SYSHECF_nuclear!$C$5:$C$292,0))*$E203),Keys!$C$5),Keys!$C$4)</f>
        <v>1.0217000000000001</v>
      </c>
      <c r="Y203">
        <f>IF($D203=1,ROUND(Keys!$C$2/(INDEX(Src_SYSHECF_nuclear!$W$5:$W$292,MATCH($C203,Src_SYSHECF_nuclear!$C$5:$C$292,0))*$E203),Keys!$C$5),Keys!$C$4)</f>
        <v>1.0217000000000001</v>
      </c>
      <c r="Z203">
        <f>IF($D203=1,ROUND(Keys!$C$2/(INDEX(Src_SYSHECF_nuclear!$X$5:$X$292,MATCH($C203,Src_SYSHECF_nuclear!$C$5:$C$292,0))*$E203),Keys!$C$5),Keys!$C$4)</f>
        <v>1.0217000000000001</v>
      </c>
      <c r="AA203">
        <f>IF($D203=1,ROUND(Keys!$C$2/(INDEX(Src_SYSHECF_nuclear!$Y$5:$Y$292,MATCH($C203,Src_SYSHECF_nuclear!$C$5:$C$292,0))*$E203),Keys!$C$5),Keys!$C$4)</f>
        <v>1.0217000000000001</v>
      </c>
      <c r="AB203">
        <f>IF($D203=1,ROUND(Keys!$C$2/(INDEX(Src_SYSHECF_nuclear!$Z$5:$Z$292,MATCH($C203,Src_SYSHECF_nuclear!$C$5:$C$292,0))*$E203),Keys!$C$5),Keys!$C$4)</f>
        <v>1.0217000000000001</v>
      </c>
      <c r="AC203">
        <f>IF($D203=1,ROUND(Keys!$C$2/(INDEX(Src_SYSHECF_nuclear!$AA$5:$AA$292,MATCH($C203,Src_SYSHECF_nuclear!$C$5:$C$292,0))*$E203),Keys!$C$5),Keys!$C$4)</f>
        <v>1.0217000000000001</v>
      </c>
      <c r="AE203">
        <f>IF($D203=1,IF(ABS(INDEX(Src_SYSHECF_nuclear!$D$5:$D$292,MATCH($C203,Src_SYSHECF_nuclear!$C$5:$C$292,0))*$E203*F203-Keys!$C$2)&gt;Keys!$C$6,1,0),0)</f>
        <v>0</v>
      </c>
    </row>
    <row r="204" spans="1:31" x14ac:dyDescent="0.45">
      <c r="A204" t="s">
        <v>68</v>
      </c>
      <c r="B204" t="s">
        <v>428</v>
      </c>
      <c r="C204" t="str">
        <f t="shared" si="3"/>
        <v>NC|Summer Peak</v>
      </c>
      <c r="D204">
        <f>INDEX(Src_BHRaSYC_nuclear!$HF$5:$HF$52,MATCH($A204,Src_BHRaSYC_nuclear!$A$5:$A$52,0))</f>
        <v>1</v>
      </c>
      <c r="E204">
        <f>INDEX(Src_HYECFCA_nuclear!$B$5:$B$52,MATCH($A204,Src_HYECFCA_nuclear!$A$5:$A$52,0))</f>
        <v>0.996502</v>
      </c>
      <c r="F204">
        <f>IF($D204=1,ROUND(Keys!$C$2/(INDEX(Src_SYSHECF_nuclear!$D$5:$D$292,MATCH($C204,Src_SYSHECF_nuclear!$C$5:$C$292,0))*$E204),Keys!$C$5),Keys!$C$4)</f>
        <v>1.0217000000000001</v>
      </c>
      <c r="G204">
        <f>IF($D204=1,ROUND(Keys!$C$2/(INDEX(Src_SYSHECF_nuclear!$E$5:$E$292,MATCH($C204,Src_SYSHECF_nuclear!$C$5:$C$292,0))*$E204),Keys!$C$5),Keys!$C$4)</f>
        <v>1.0217000000000001</v>
      </c>
      <c r="H204">
        <f>IF($D204=1,ROUND(Keys!$C$2/(INDEX(Src_SYSHECF_nuclear!$F$5:$F$292,MATCH($C204,Src_SYSHECF_nuclear!$C$5:$C$292,0))*$E204),Keys!$C$5),Keys!$C$4)</f>
        <v>1.0217000000000001</v>
      </c>
      <c r="I204">
        <f>IF($D204=1,ROUND(Keys!$C$2/(INDEX(Src_SYSHECF_nuclear!$G$5:$G$292,MATCH($C204,Src_SYSHECF_nuclear!$C$5:$C$292,0))*$E204),Keys!$C$5),Keys!$C$4)</f>
        <v>1.0217000000000001</v>
      </c>
      <c r="J204">
        <f>IF($D204=1,ROUND(Keys!$C$2/(INDEX(Src_SYSHECF_nuclear!$H$5:$H$292,MATCH($C204,Src_SYSHECF_nuclear!$C$5:$C$292,0))*$E204),Keys!$C$5),Keys!$C$4)</f>
        <v>1.0217000000000001</v>
      </c>
      <c r="K204">
        <f>IF($D204=1,ROUND(Keys!$C$2/(INDEX(Src_SYSHECF_nuclear!$I$5:$I$292,MATCH($C204,Src_SYSHECF_nuclear!$C$5:$C$292,0))*$E204),Keys!$C$5),Keys!$C$4)</f>
        <v>1.0217000000000001</v>
      </c>
      <c r="L204">
        <f>IF($D204=1,ROUND(Keys!$C$2/(INDEX(Src_SYSHECF_nuclear!$J$5:$J$292,MATCH($C204,Src_SYSHECF_nuclear!$C$5:$C$292,0))*$E204),Keys!$C$5),Keys!$C$4)</f>
        <v>1.0217000000000001</v>
      </c>
      <c r="M204">
        <f>IF($D204=1,ROUND(Keys!$C$2/(INDEX(Src_SYSHECF_nuclear!$K$5:$K$292,MATCH($C204,Src_SYSHECF_nuclear!$C$5:$C$292,0))*$E204),Keys!$C$5),Keys!$C$4)</f>
        <v>1.0217000000000001</v>
      </c>
      <c r="N204">
        <f>IF($D204=1,ROUND(Keys!$C$2/(INDEX(Src_SYSHECF_nuclear!$L$5:$L$292,MATCH($C204,Src_SYSHECF_nuclear!$C$5:$C$292,0))*$E204),Keys!$C$5),Keys!$C$4)</f>
        <v>1.0217000000000001</v>
      </c>
      <c r="O204">
        <f>IF($D204=1,ROUND(Keys!$C$2/(INDEX(Src_SYSHECF_nuclear!$M$5:$M$292,MATCH($C204,Src_SYSHECF_nuclear!$C$5:$C$292,0))*$E204),Keys!$C$5),Keys!$C$4)</f>
        <v>1.0217000000000001</v>
      </c>
      <c r="P204">
        <f>IF($D204=1,ROUND(Keys!$C$2/(INDEX(Src_SYSHECF_nuclear!$N$5:$N$292,MATCH($C204,Src_SYSHECF_nuclear!$C$5:$C$292,0))*$E204),Keys!$C$5),Keys!$C$4)</f>
        <v>1.0217000000000001</v>
      </c>
      <c r="Q204">
        <f>IF($D204=1,ROUND(Keys!$C$2/(INDEX(Src_SYSHECF_nuclear!$O$5:$O$292,MATCH($C204,Src_SYSHECF_nuclear!$C$5:$C$292,0))*$E204),Keys!$C$5),Keys!$C$4)</f>
        <v>1.0217000000000001</v>
      </c>
      <c r="R204">
        <f>IF($D204=1,ROUND(Keys!$C$2/(INDEX(Src_SYSHECF_nuclear!$P$5:$P$292,MATCH($C204,Src_SYSHECF_nuclear!$C$5:$C$292,0))*$E204),Keys!$C$5),Keys!$C$4)</f>
        <v>1.0217000000000001</v>
      </c>
      <c r="S204">
        <f>IF($D204=1,ROUND(Keys!$C$2/(INDEX(Src_SYSHECF_nuclear!$Q$5:$Q$292,MATCH($C204,Src_SYSHECF_nuclear!$C$5:$C$292,0))*$E204),Keys!$C$5),Keys!$C$4)</f>
        <v>1.0217000000000001</v>
      </c>
      <c r="T204">
        <f>IF($D204=1,ROUND(Keys!$C$2/(INDEX(Src_SYSHECF_nuclear!$R$5:$R$292,MATCH($C204,Src_SYSHECF_nuclear!$C$5:$C$292,0))*$E204),Keys!$C$5),Keys!$C$4)</f>
        <v>1.0217000000000001</v>
      </c>
      <c r="U204">
        <f>IF($D204=1,ROUND(Keys!$C$2/(INDEX(Src_SYSHECF_nuclear!$S$5:$S$292,MATCH($C204,Src_SYSHECF_nuclear!$C$5:$C$292,0))*$E204),Keys!$C$5),Keys!$C$4)</f>
        <v>1.0217000000000001</v>
      </c>
      <c r="V204">
        <f>IF($D204=1,ROUND(Keys!$C$2/(INDEX(Src_SYSHECF_nuclear!$T$5:$T$292,MATCH($C204,Src_SYSHECF_nuclear!$C$5:$C$292,0))*$E204),Keys!$C$5),Keys!$C$4)</f>
        <v>1.0217000000000001</v>
      </c>
      <c r="W204">
        <f>IF($D204=1,ROUND(Keys!$C$2/(INDEX(Src_SYSHECF_nuclear!$U$5:$U$292,MATCH($C204,Src_SYSHECF_nuclear!$C$5:$C$292,0))*$E204),Keys!$C$5),Keys!$C$4)</f>
        <v>1.0217000000000001</v>
      </c>
      <c r="X204">
        <f>IF($D204=1,ROUND(Keys!$C$2/(INDEX(Src_SYSHECF_nuclear!$V$5:$V$292,MATCH($C204,Src_SYSHECF_nuclear!$C$5:$C$292,0))*$E204),Keys!$C$5),Keys!$C$4)</f>
        <v>1.0217000000000001</v>
      </c>
      <c r="Y204">
        <f>IF($D204=1,ROUND(Keys!$C$2/(INDEX(Src_SYSHECF_nuclear!$W$5:$W$292,MATCH($C204,Src_SYSHECF_nuclear!$C$5:$C$292,0))*$E204),Keys!$C$5),Keys!$C$4)</f>
        <v>1.0217000000000001</v>
      </c>
      <c r="Z204">
        <f>IF($D204=1,ROUND(Keys!$C$2/(INDEX(Src_SYSHECF_nuclear!$X$5:$X$292,MATCH($C204,Src_SYSHECF_nuclear!$C$5:$C$292,0))*$E204),Keys!$C$5),Keys!$C$4)</f>
        <v>1.0217000000000001</v>
      </c>
      <c r="AA204">
        <f>IF($D204=1,ROUND(Keys!$C$2/(INDEX(Src_SYSHECF_nuclear!$Y$5:$Y$292,MATCH($C204,Src_SYSHECF_nuclear!$C$5:$C$292,0))*$E204),Keys!$C$5),Keys!$C$4)</f>
        <v>1.0217000000000001</v>
      </c>
      <c r="AB204">
        <f>IF($D204=1,ROUND(Keys!$C$2/(INDEX(Src_SYSHECF_nuclear!$Z$5:$Z$292,MATCH($C204,Src_SYSHECF_nuclear!$C$5:$C$292,0))*$E204),Keys!$C$5),Keys!$C$4)</f>
        <v>1.0217000000000001</v>
      </c>
      <c r="AC204">
        <f>IF($D204=1,ROUND(Keys!$C$2/(INDEX(Src_SYSHECF_nuclear!$AA$5:$AA$292,MATCH($C204,Src_SYSHECF_nuclear!$C$5:$C$292,0))*$E204),Keys!$C$5),Keys!$C$4)</f>
        <v>1.0217000000000001</v>
      </c>
      <c r="AE204">
        <f>IF($D204=1,IF(ABS(INDEX(Src_SYSHECF_nuclear!$D$5:$D$292,MATCH($C204,Src_SYSHECF_nuclear!$C$5:$C$292,0))*$E204*F204-Keys!$C$2)&gt;Keys!$C$6,1,0),0)</f>
        <v>0</v>
      </c>
    </row>
    <row r="205" spans="1:31" x14ac:dyDescent="0.45">
      <c r="A205" t="s">
        <v>68</v>
      </c>
      <c r="B205" t="s">
        <v>429</v>
      </c>
      <c r="C205" t="str">
        <f t="shared" si="3"/>
        <v>NC|Winter Peak</v>
      </c>
      <c r="D205">
        <f>INDEX(Src_BHRaSYC_nuclear!$HF$5:$HF$52,MATCH($A205,Src_BHRaSYC_nuclear!$A$5:$A$52,0))</f>
        <v>1</v>
      </c>
      <c r="E205">
        <f>INDEX(Src_HYECFCA_nuclear!$B$5:$B$52,MATCH($A205,Src_HYECFCA_nuclear!$A$5:$A$52,0))</f>
        <v>0.996502</v>
      </c>
      <c r="F205">
        <f>IF($D205=1,ROUND(Keys!$C$2/(INDEX(Src_SYSHECF_nuclear!$D$5:$D$292,MATCH($C205,Src_SYSHECF_nuclear!$C$5:$C$292,0))*$E205),Keys!$C$5),Keys!$C$4)</f>
        <v>1.0217000000000001</v>
      </c>
      <c r="G205">
        <f>IF($D205=1,ROUND(Keys!$C$2/(INDEX(Src_SYSHECF_nuclear!$E$5:$E$292,MATCH($C205,Src_SYSHECF_nuclear!$C$5:$C$292,0))*$E205),Keys!$C$5),Keys!$C$4)</f>
        <v>1.0217000000000001</v>
      </c>
      <c r="H205">
        <f>IF($D205=1,ROUND(Keys!$C$2/(INDEX(Src_SYSHECF_nuclear!$F$5:$F$292,MATCH($C205,Src_SYSHECF_nuclear!$C$5:$C$292,0))*$E205),Keys!$C$5),Keys!$C$4)</f>
        <v>1.0217000000000001</v>
      </c>
      <c r="I205">
        <f>IF($D205=1,ROUND(Keys!$C$2/(INDEX(Src_SYSHECF_nuclear!$G$5:$G$292,MATCH($C205,Src_SYSHECF_nuclear!$C$5:$C$292,0))*$E205),Keys!$C$5),Keys!$C$4)</f>
        <v>1.0217000000000001</v>
      </c>
      <c r="J205">
        <f>IF($D205=1,ROUND(Keys!$C$2/(INDEX(Src_SYSHECF_nuclear!$H$5:$H$292,MATCH($C205,Src_SYSHECF_nuclear!$C$5:$C$292,0))*$E205),Keys!$C$5),Keys!$C$4)</f>
        <v>1.0217000000000001</v>
      </c>
      <c r="K205">
        <f>IF($D205=1,ROUND(Keys!$C$2/(INDEX(Src_SYSHECF_nuclear!$I$5:$I$292,MATCH($C205,Src_SYSHECF_nuclear!$C$5:$C$292,0))*$E205),Keys!$C$5),Keys!$C$4)</f>
        <v>1.0217000000000001</v>
      </c>
      <c r="L205">
        <f>IF($D205=1,ROUND(Keys!$C$2/(INDEX(Src_SYSHECF_nuclear!$J$5:$J$292,MATCH($C205,Src_SYSHECF_nuclear!$C$5:$C$292,0))*$E205),Keys!$C$5),Keys!$C$4)</f>
        <v>1.0217000000000001</v>
      </c>
      <c r="M205">
        <f>IF($D205=1,ROUND(Keys!$C$2/(INDEX(Src_SYSHECF_nuclear!$K$5:$K$292,MATCH($C205,Src_SYSHECF_nuclear!$C$5:$C$292,0))*$E205),Keys!$C$5),Keys!$C$4)</f>
        <v>1.0217000000000001</v>
      </c>
      <c r="N205">
        <f>IF($D205=1,ROUND(Keys!$C$2/(INDEX(Src_SYSHECF_nuclear!$L$5:$L$292,MATCH($C205,Src_SYSHECF_nuclear!$C$5:$C$292,0))*$E205),Keys!$C$5),Keys!$C$4)</f>
        <v>1.0217000000000001</v>
      </c>
      <c r="O205">
        <f>IF($D205=1,ROUND(Keys!$C$2/(INDEX(Src_SYSHECF_nuclear!$M$5:$M$292,MATCH($C205,Src_SYSHECF_nuclear!$C$5:$C$292,0))*$E205),Keys!$C$5),Keys!$C$4)</f>
        <v>1.0217000000000001</v>
      </c>
      <c r="P205">
        <f>IF($D205=1,ROUND(Keys!$C$2/(INDEX(Src_SYSHECF_nuclear!$N$5:$N$292,MATCH($C205,Src_SYSHECF_nuclear!$C$5:$C$292,0))*$E205),Keys!$C$5),Keys!$C$4)</f>
        <v>1.0217000000000001</v>
      </c>
      <c r="Q205">
        <f>IF($D205=1,ROUND(Keys!$C$2/(INDEX(Src_SYSHECF_nuclear!$O$5:$O$292,MATCH($C205,Src_SYSHECF_nuclear!$C$5:$C$292,0))*$E205),Keys!$C$5),Keys!$C$4)</f>
        <v>1.0217000000000001</v>
      </c>
      <c r="R205">
        <f>IF($D205=1,ROUND(Keys!$C$2/(INDEX(Src_SYSHECF_nuclear!$P$5:$P$292,MATCH($C205,Src_SYSHECF_nuclear!$C$5:$C$292,0))*$E205),Keys!$C$5),Keys!$C$4)</f>
        <v>1.0217000000000001</v>
      </c>
      <c r="S205">
        <f>IF($D205=1,ROUND(Keys!$C$2/(INDEX(Src_SYSHECF_nuclear!$Q$5:$Q$292,MATCH($C205,Src_SYSHECF_nuclear!$C$5:$C$292,0))*$E205),Keys!$C$5),Keys!$C$4)</f>
        <v>1.0217000000000001</v>
      </c>
      <c r="T205">
        <f>IF($D205=1,ROUND(Keys!$C$2/(INDEX(Src_SYSHECF_nuclear!$R$5:$R$292,MATCH($C205,Src_SYSHECF_nuclear!$C$5:$C$292,0))*$E205),Keys!$C$5),Keys!$C$4)</f>
        <v>1.0217000000000001</v>
      </c>
      <c r="U205">
        <f>IF($D205=1,ROUND(Keys!$C$2/(INDEX(Src_SYSHECF_nuclear!$S$5:$S$292,MATCH($C205,Src_SYSHECF_nuclear!$C$5:$C$292,0))*$E205),Keys!$C$5),Keys!$C$4)</f>
        <v>1.0217000000000001</v>
      </c>
      <c r="V205">
        <f>IF($D205=1,ROUND(Keys!$C$2/(INDEX(Src_SYSHECF_nuclear!$T$5:$T$292,MATCH($C205,Src_SYSHECF_nuclear!$C$5:$C$292,0))*$E205),Keys!$C$5),Keys!$C$4)</f>
        <v>1.0217000000000001</v>
      </c>
      <c r="W205">
        <f>IF($D205=1,ROUND(Keys!$C$2/(INDEX(Src_SYSHECF_nuclear!$U$5:$U$292,MATCH($C205,Src_SYSHECF_nuclear!$C$5:$C$292,0))*$E205),Keys!$C$5),Keys!$C$4)</f>
        <v>1.0217000000000001</v>
      </c>
      <c r="X205">
        <f>IF($D205=1,ROUND(Keys!$C$2/(INDEX(Src_SYSHECF_nuclear!$V$5:$V$292,MATCH($C205,Src_SYSHECF_nuclear!$C$5:$C$292,0))*$E205),Keys!$C$5),Keys!$C$4)</f>
        <v>1.0217000000000001</v>
      </c>
      <c r="Y205">
        <f>IF($D205=1,ROUND(Keys!$C$2/(INDEX(Src_SYSHECF_nuclear!$W$5:$W$292,MATCH($C205,Src_SYSHECF_nuclear!$C$5:$C$292,0))*$E205),Keys!$C$5),Keys!$C$4)</f>
        <v>1.0217000000000001</v>
      </c>
      <c r="Z205">
        <f>IF($D205=1,ROUND(Keys!$C$2/(INDEX(Src_SYSHECF_nuclear!$X$5:$X$292,MATCH($C205,Src_SYSHECF_nuclear!$C$5:$C$292,0))*$E205),Keys!$C$5),Keys!$C$4)</f>
        <v>1.0217000000000001</v>
      </c>
      <c r="AA205">
        <f>IF($D205=1,ROUND(Keys!$C$2/(INDEX(Src_SYSHECF_nuclear!$Y$5:$Y$292,MATCH($C205,Src_SYSHECF_nuclear!$C$5:$C$292,0))*$E205),Keys!$C$5),Keys!$C$4)</f>
        <v>1.0217000000000001</v>
      </c>
      <c r="AB205">
        <f>IF($D205=1,ROUND(Keys!$C$2/(INDEX(Src_SYSHECF_nuclear!$Z$5:$Z$292,MATCH($C205,Src_SYSHECF_nuclear!$C$5:$C$292,0))*$E205),Keys!$C$5),Keys!$C$4)</f>
        <v>1.0217000000000001</v>
      </c>
      <c r="AC205">
        <f>IF($D205=1,ROUND(Keys!$C$2/(INDEX(Src_SYSHECF_nuclear!$AA$5:$AA$292,MATCH($C205,Src_SYSHECF_nuclear!$C$5:$C$292,0))*$E205),Keys!$C$5),Keys!$C$4)</f>
        <v>1.0217000000000001</v>
      </c>
      <c r="AE205">
        <f>IF($D205=1,IF(ABS(INDEX(Src_SYSHECF_nuclear!$D$5:$D$292,MATCH($C205,Src_SYSHECF_nuclear!$C$5:$C$292,0))*$E205*F205-Keys!$C$2)&gt;Keys!$C$6,1,0),0)</f>
        <v>0</v>
      </c>
    </row>
    <row r="206" spans="1:31" x14ac:dyDescent="0.45">
      <c r="A206" t="s">
        <v>72</v>
      </c>
      <c r="B206" t="s">
        <v>424</v>
      </c>
      <c r="C206" t="str">
        <f t="shared" si="3"/>
        <v>ND|Winter</v>
      </c>
      <c r="D206">
        <f>INDEX(Src_BHRaSYC_nuclear!$HF$5:$HF$52,MATCH($A206,Src_BHRaSYC_nuclear!$A$5:$A$52,0))</f>
        <v>0</v>
      </c>
      <c r="E206">
        <f>INDEX(Src_HYECFCA_nuclear!$B$5:$B$52,MATCH($A206,Src_HYECFCA_nuclear!$A$5:$A$52,0))</f>
        <v>1</v>
      </c>
      <c r="F206">
        <f>IF($D206=1,ROUND(Keys!$C$2/(INDEX(Src_SYSHECF_nuclear!$D$5:$D$292,MATCH($C206,Src_SYSHECF_nuclear!$C$5:$C$292,0))*$E206),Keys!$C$5),Keys!$C$4)</f>
        <v>0.9</v>
      </c>
      <c r="G206">
        <f>IF($D206=1,ROUND(Keys!$C$2/(INDEX(Src_SYSHECF_nuclear!$E$5:$E$292,MATCH($C206,Src_SYSHECF_nuclear!$C$5:$C$292,0))*$E206),Keys!$C$5),Keys!$C$4)</f>
        <v>0.9</v>
      </c>
      <c r="H206">
        <f>IF($D206=1,ROUND(Keys!$C$2/(INDEX(Src_SYSHECF_nuclear!$F$5:$F$292,MATCH($C206,Src_SYSHECF_nuclear!$C$5:$C$292,0))*$E206),Keys!$C$5),Keys!$C$4)</f>
        <v>0.9</v>
      </c>
      <c r="I206">
        <f>IF($D206=1,ROUND(Keys!$C$2/(INDEX(Src_SYSHECF_nuclear!$G$5:$G$292,MATCH($C206,Src_SYSHECF_nuclear!$C$5:$C$292,0))*$E206),Keys!$C$5),Keys!$C$4)</f>
        <v>0.9</v>
      </c>
      <c r="J206">
        <f>IF($D206=1,ROUND(Keys!$C$2/(INDEX(Src_SYSHECF_nuclear!$H$5:$H$292,MATCH($C206,Src_SYSHECF_nuclear!$C$5:$C$292,0))*$E206),Keys!$C$5),Keys!$C$4)</f>
        <v>0.9</v>
      </c>
      <c r="K206">
        <f>IF($D206=1,ROUND(Keys!$C$2/(INDEX(Src_SYSHECF_nuclear!$I$5:$I$292,MATCH($C206,Src_SYSHECF_nuclear!$C$5:$C$292,0))*$E206),Keys!$C$5),Keys!$C$4)</f>
        <v>0.9</v>
      </c>
      <c r="L206">
        <f>IF($D206=1,ROUND(Keys!$C$2/(INDEX(Src_SYSHECF_nuclear!$J$5:$J$292,MATCH($C206,Src_SYSHECF_nuclear!$C$5:$C$292,0))*$E206),Keys!$C$5),Keys!$C$4)</f>
        <v>0.9</v>
      </c>
      <c r="M206">
        <f>IF($D206=1,ROUND(Keys!$C$2/(INDEX(Src_SYSHECF_nuclear!$K$5:$K$292,MATCH($C206,Src_SYSHECF_nuclear!$C$5:$C$292,0))*$E206),Keys!$C$5),Keys!$C$4)</f>
        <v>0.9</v>
      </c>
      <c r="N206">
        <f>IF($D206=1,ROUND(Keys!$C$2/(INDEX(Src_SYSHECF_nuclear!$L$5:$L$292,MATCH($C206,Src_SYSHECF_nuclear!$C$5:$C$292,0))*$E206),Keys!$C$5),Keys!$C$4)</f>
        <v>0.9</v>
      </c>
      <c r="O206">
        <f>IF($D206=1,ROUND(Keys!$C$2/(INDEX(Src_SYSHECF_nuclear!$M$5:$M$292,MATCH($C206,Src_SYSHECF_nuclear!$C$5:$C$292,0))*$E206),Keys!$C$5),Keys!$C$4)</f>
        <v>0.9</v>
      </c>
      <c r="P206">
        <f>IF($D206=1,ROUND(Keys!$C$2/(INDEX(Src_SYSHECF_nuclear!$N$5:$N$292,MATCH($C206,Src_SYSHECF_nuclear!$C$5:$C$292,0))*$E206),Keys!$C$5),Keys!$C$4)</f>
        <v>0.9</v>
      </c>
      <c r="Q206">
        <f>IF($D206=1,ROUND(Keys!$C$2/(INDEX(Src_SYSHECF_nuclear!$O$5:$O$292,MATCH($C206,Src_SYSHECF_nuclear!$C$5:$C$292,0))*$E206),Keys!$C$5),Keys!$C$4)</f>
        <v>0.9</v>
      </c>
      <c r="R206">
        <f>IF($D206=1,ROUND(Keys!$C$2/(INDEX(Src_SYSHECF_nuclear!$P$5:$P$292,MATCH($C206,Src_SYSHECF_nuclear!$C$5:$C$292,0))*$E206),Keys!$C$5),Keys!$C$4)</f>
        <v>0.9</v>
      </c>
      <c r="S206">
        <f>IF($D206=1,ROUND(Keys!$C$2/(INDEX(Src_SYSHECF_nuclear!$Q$5:$Q$292,MATCH($C206,Src_SYSHECF_nuclear!$C$5:$C$292,0))*$E206),Keys!$C$5),Keys!$C$4)</f>
        <v>0.9</v>
      </c>
      <c r="T206">
        <f>IF($D206=1,ROUND(Keys!$C$2/(INDEX(Src_SYSHECF_nuclear!$R$5:$R$292,MATCH($C206,Src_SYSHECF_nuclear!$C$5:$C$292,0))*$E206),Keys!$C$5),Keys!$C$4)</f>
        <v>0.9</v>
      </c>
      <c r="U206">
        <f>IF($D206=1,ROUND(Keys!$C$2/(INDEX(Src_SYSHECF_nuclear!$S$5:$S$292,MATCH($C206,Src_SYSHECF_nuclear!$C$5:$C$292,0))*$E206),Keys!$C$5),Keys!$C$4)</f>
        <v>0.9</v>
      </c>
      <c r="V206">
        <f>IF($D206=1,ROUND(Keys!$C$2/(INDEX(Src_SYSHECF_nuclear!$T$5:$T$292,MATCH($C206,Src_SYSHECF_nuclear!$C$5:$C$292,0))*$E206),Keys!$C$5),Keys!$C$4)</f>
        <v>0.9</v>
      </c>
      <c r="W206">
        <f>IF($D206=1,ROUND(Keys!$C$2/(INDEX(Src_SYSHECF_nuclear!$U$5:$U$292,MATCH($C206,Src_SYSHECF_nuclear!$C$5:$C$292,0))*$E206),Keys!$C$5),Keys!$C$4)</f>
        <v>0.9</v>
      </c>
      <c r="X206">
        <f>IF($D206=1,ROUND(Keys!$C$2/(INDEX(Src_SYSHECF_nuclear!$V$5:$V$292,MATCH($C206,Src_SYSHECF_nuclear!$C$5:$C$292,0))*$E206),Keys!$C$5),Keys!$C$4)</f>
        <v>0.9</v>
      </c>
      <c r="Y206">
        <f>IF($D206=1,ROUND(Keys!$C$2/(INDEX(Src_SYSHECF_nuclear!$W$5:$W$292,MATCH($C206,Src_SYSHECF_nuclear!$C$5:$C$292,0))*$E206),Keys!$C$5),Keys!$C$4)</f>
        <v>0.9</v>
      </c>
      <c r="Z206">
        <f>IF($D206=1,ROUND(Keys!$C$2/(INDEX(Src_SYSHECF_nuclear!$X$5:$X$292,MATCH($C206,Src_SYSHECF_nuclear!$C$5:$C$292,0))*$E206),Keys!$C$5),Keys!$C$4)</f>
        <v>0.9</v>
      </c>
      <c r="AA206">
        <f>IF($D206=1,ROUND(Keys!$C$2/(INDEX(Src_SYSHECF_nuclear!$Y$5:$Y$292,MATCH($C206,Src_SYSHECF_nuclear!$C$5:$C$292,0))*$E206),Keys!$C$5),Keys!$C$4)</f>
        <v>0.9</v>
      </c>
      <c r="AB206">
        <f>IF($D206=1,ROUND(Keys!$C$2/(INDEX(Src_SYSHECF_nuclear!$Z$5:$Z$292,MATCH($C206,Src_SYSHECF_nuclear!$C$5:$C$292,0))*$E206),Keys!$C$5),Keys!$C$4)</f>
        <v>0.9</v>
      </c>
      <c r="AC206">
        <f>IF($D206=1,ROUND(Keys!$C$2/(INDEX(Src_SYSHECF_nuclear!$AA$5:$AA$292,MATCH($C206,Src_SYSHECF_nuclear!$C$5:$C$292,0))*$E206),Keys!$C$5),Keys!$C$4)</f>
        <v>0.9</v>
      </c>
      <c r="AE206">
        <f>IF($D206=1,IF(ABS(INDEX(Src_SYSHECF_nuclear!$D$5:$D$292,MATCH($C206,Src_SYSHECF_nuclear!$C$5:$C$292,0))*$E206*F206-Keys!$C$2)&gt;Keys!$C$6,1,0),0)</f>
        <v>0</v>
      </c>
    </row>
    <row r="207" spans="1:31" x14ac:dyDescent="0.45">
      <c r="A207" t="s">
        <v>72</v>
      </c>
      <c r="B207" t="s">
        <v>425</v>
      </c>
      <c r="C207" t="str">
        <f t="shared" si="3"/>
        <v>ND|Spring</v>
      </c>
      <c r="D207">
        <f>INDEX(Src_BHRaSYC_nuclear!$HF$5:$HF$52,MATCH($A207,Src_BHRaSYC_nuclear!$A$5:$A$52,0))</f>
        <v>0</v>
      </c>
      <c r="E207">
        <f>INDEX(Src_HYECFCA_nuclear!$B$5:$B$52,MATCH($A207,Src_HYECFCA_nuclear!$A$5:$A$52,0))</f>
        <v>1</v>
      </c>
      <c r="F207">
        <f>IF($D207=1,ROUND(Keys!$C$2/(INDEX(Src_SYSHECF_nuclear!$D$5:$D$292,MATCH($C207,Src_SYSHECF_nuclear!$C$5:$C$292,0))*$E207),Keys!$C$5),Keys!$C$4)</f>
        <v>0.9</v>
      </c>
      <c r="G207">
        <f>IF($D207=1,ROUND(Keys!$C$2/(INDEX(Src_SYSHECF_nuclear!$E$5:$E$292,MATCH($C207,Src_SYSHECF_nuclear!$C$5:$C$292,0))*$E207),Keys!$C$5),Keys!$C$4)</f>
        <v>0.9</v>
      </c>
      <c r="H207">
        <f>IF($D207=1,ROUND(Keys!$C$2/(INDEX(Src_SYSHECF_nuclear!$F$5:$F$292,MATCH($C207,Src_SYSHECF_nuclear!$C$5:$C$292,0))*$E207),Keys!$C$5),Keys!$C$4)</f>
        <v>0.9</v>
      </c>
      <c r="I207">
        <f>IF($D207=1,ROUND(Keys!$C$2/(INDEX(Src_SYSHECF_nuclear!$G$5:$G$292,MATCH($C207,Src_SYSHECF_nuclear!$C$5:$C$292,0))*$E207),Keys!$C$5),Keys!$C$4)</f>
        <v>0.9</v>
      </c>
      <c r="J207">
        <f>IF($D207=1,ROUND(Keys!$C$2/(INDEX(Src_SYSHECF_nuclear!$H$5:$H$292,MATCH($C207,Src_SYSHECF_nuclear!$C$5:$C$292,0))*$E207),Keys!$C$5),Keys!$C$4)</f>
        <v>0.9</v>
      </c>
      <c r="K207">
        <f>IF($D207=1,ROUND(Keys!$C$2/(INDEX(Src_SYSHECF_nuclear!$I$5:$I$292,MATCH($C207,Src_SYSHECF_nuclear!$C$5:$C$292,0))*$E207),Keys!$C$5),Keys!$C$4)</f>
        <v>0.9</v>
      </c>
      <c r="L207">
        <f>IF($D207=1,ROUND(Keys!$C$2/(INDEX(Src_SYSHECF_nuclear!$J$5:$J$292,MATCH($C207,Src_SYSHECF_nuclear!$C$5:$C$292,0))*$E207),Keys!$C$5),Keys!$C$4)</f>
        <v>0.9</v>
      </c>
      <c r="M207">
        <f>IF($D207=1,ROUND(Keys!$C$2/(INDEX(Src_SYSHECF_nuclear!$K$5:$K$292,MATCH($C207,Src_SYSHECF_nuclear!$C$5:$C$292,0))*$E207),Keys!$C$5),Keys!$C$4)</f>
        <v>0.9</v>
      </c>
      <c r="N207">
        <f>IF($D207=1,ROUND(Keys!$C$2/(INDEX(Src_SYSHECF_nuclear!$L$5:$L$292,MATCH($C207,Src_SYSHECF_nuclear!$C$5:$C$292,0))*$E207),Keys!$C$5),Keys!$C$4)</f>
        <v>0.9</v>
      </c>
      <c r="O207">
        <f>IF($D207=1,ROUND(Keys!$C$2/(INDEX(Src_SYSHECF_nuclear!$M$5:$M$292,MATCH($C207,Src_SYSHECF_nuclear!$C$5:$C$292,0))*$E207),Keys!$C$5),Keys!$C$4)</f>
        <v>0.9</v>
      </c>
      <c r="P207">
        <f>IF($D207=1,ROUND(Keys!$C$2/(INDEX(Src_SYSHECF_nuclear!$N$5:$N$292,MATCH($C207,Src_SYSHECF_nuclear!$C$5:$C$292,0))*$E207),Keys!$C$5),Keys!$C$4)</f>
        <v>0.9</v>
      </c>
      <c r="Q207">
        <f>IF($D207=1,ROUND(Keys!$C$2/(INDEX(Src_SYSHECF_nuclear!$O$5:$O$292,MATCH($C207,Src_SYSHECF_nuclear!$C$5:$C$292,0))*$E207),Keys!$C$5),Keys!$C$4)</f>
        <v>0.9</v>
      </c>
      <c r="R207">
        <f>IF($D207=1,ROUND(Keys!$C$2/(INDEX(Src_SYSHECF_nuclear!$P$5:$P$292,MATCH($C207,Src_SYSHECF_nuclear!$C$5:$C$292,0))*$E207),Keys!$C$5),Keys!$C$4)</f>
        <v>0.9</v>
      </c>
      <c r="S207">
        <f>IF($D207=1,ROUND(Keys!$C$2/(INDEX(Src_SYSHECF_nuclear!$Q$5:$Q$292,MATCH($C207,Src_SYSHECF_nuclear!$C$5:$C$292,0))*$E207),Keys!$C$5),Keys!$C$4)</f>
        <v>0.9</v>
      </c>
      <c r="T207">
        <f>IF($D207=1,ROUND(Keys!$C$2/(INDEX(Src_SYSHECF_nuclear!$R$5:$R$292,MATCH($C207,Src_SYSHECF_nuclear!$C$5:$C$292,0))*$E207),Keys!$C$5),Keys!$C$4)</f>
        <v>0.9</v>
      </c>
      <c r="U207">
        <f>IF($D207=1,ROUND(Keys!$C$2/(INDEX(Src_SYSHECF_nuclear!$S$5:$S$292,MATCH($C207,Src_SYSHECF_nuclear!$C$5:$C$292,0))*$E207),Keys!$C$5),Keys!$C$4)</f>
        <v>0.9</v>
      </c>
      <c r="V207">
        <f>IF($D207=1,ROUND(Keys!$C$2/(INDEX(Src_SYSHECF_nuclear!$T$5:$T$292,MATCH($C207,Src_SYSHECF_nuclear!$C$5:$C$292,0))*$E207),Keys!$C$5),Keys!$C$4)</f>
        <v>0.9</v>
      </c>
      <c r="W207">
        <f>IF($D207=1,ROUND(Keys!$C$2/(INDEX(Src_SYSHECF_nuclear!$U$5:$U$292,MATCH($C207,Src_SYSHECF_nuclear!$C$5:$C$292,0))*$E207),Keys!$C$5),Keys!$C$4)</f>
        <v>0.9</v>
      </c>
      <c r="X207">
        <f>IF($D207=1,ROUND(Keys!$C$2/(INDEX(Src_SYSHECF_nuclear!$V$5:$V$292,MATCH($C207,Src_SYSHECF_nuclear!$C$5:$C$292,0))*$E207),Keys!$C$5),Keys!$C$4)</f>
        <v>0.9</v>
      </c>
      <c r="Y207">
        <f>IF($D207=1,ROUND(Keys!$C$2/(INDEX(Src_SYSHECF_nuclear!$W$5:$W$292,MATCH($C207,Src_SYSHECF_nuclear!$C$5:$C$292,0))*$E207),Keys!$C$5),Keys!$C$4)</f>
        <v>0.9</v>
      </c>
      <c r="Z207">
        <f>IF($D207=1,ROUND(Keys!$C$2/(INDEX(Src_SYSHECF_nuclear!$X$5:$X$292,MATCH($C207,Src_SYSHECF_nuclear!$C$5:$C$292,0))*$E207),Keys!$C$5),Keys!$C$4)</f>
        <v>0.9</v>
      </c>
      <c r="AA207">
        <f>IF($D207=1,ROUND(Keys!$C$2/(INDEX(Src_SYSHECF_nuclear!$Y$5:$Y$292,MATCH($C207,Src_SYSHECF_nuclear!$C$5:$C$292,0))*$E207),Keys!$C$5),Keys!$C$4)</f>
        <v>0.9</v>
      </c>
      <c r="AB207">
        <f>IF($D207=1,ROUND(Keys!$C$2/(INDEX(Src_SYSHECF_nuclear!$Z$5:$Z$292,MATCH($C207,Src_SYSHECF_nuclear!$C$5:$C$292,0))*$E207),Keys!$C$5),Keys!$C$4)</f>
        <v>0.9</v>
      </c>
      <c r="AC207">
        <f>IF($D207=1,ROUND(Keys!$C$2/(INDEX(Src_SYSHECF_nuclear!$AA$5:$AA$292,MATCH($C207,Src_SYSHECF_nuclear!$C$5:$C$292,0))*$E207),Keys!$C$5),Keys!$C$4)</f>
        <v>0.9</v>
      </c>
      <c r="AE207">
        <f>IF($D207=1,IF(ABS(INDEX(Src_SYSHECF_nuclear!$D$5:$D$292,MATCH($C207,Src_SYSHECF_nuclear!$C$5:$C$292,0))*$E207*F207-Keys!$C$2)&gt;Keys!$C$6,1,0),0)</f>
        <v>0</v>
      </c>
    </row>
    <row r="208" spans="1:31" x14ac:dyDescent="0.45">
      <c r="A208" t="s">
        <v>72</v>
      </c>
      <c r="B208" t="s">
        <v>426</v>
      </c>
      <c r="C208" t="str">
        <f t="shared" si="3"/>
        <v>ND|Summer</v>
      </c>
      <c r="D208">
        <f>INDEX(Src_BHRaSYC_nuclear!$HF$5:$HF$52,MATCH($A208,Src_BHRaSYC_nuclear!$A$5:$A$52,0))</f>
        <v>0</v>
      </c>
      <c r="E208">
        <f>INDEX(Src_HYECFCA_nuclear!$B$5:$B$52,MATCH($A208,Src_HYECFCA_nuclear!$A$5:$A$52,0))</f>
        <v>1</v>
      </c>
      <c r="F208">
        <f>IF($D208=1,ROUND(Keys!$C$2/(INDEX(Src_SYSHECF_nuclear!$D$5:$D$292,MATCH($C208,Src_SYSHECF_nuclear!$C$5:$C$292,0))*$E208),Keys!$C$5),Keys!$C$4)</f>
        <v>0.9</v>
      </c>
      <c r="G208">
        <f>IF($D208=1,ROUND(Keys!$C$2/(INDEX(Src_SYSHECF_nuclear!$E$5:$E$292,MATCH($C208,Src_SYSHECF_nuclear!$C$5:$C$292,0))*$E208),Keys!$C$5),Keys!$C$4)</f>
        <v>0.9</v>
      </c>
      <c r="H208">
        <f>IF($D208=1,ROUND(Keys!$C$2/(INDEX(Src_SYSHECF_nuclear!$F$5:$F$292,MATCH($C208,Src_SYSHECF_nuclear!$C$5:$C$292,0))*$E208),Keys!$C$5),Keys!$C$4)</f>
        <v>0.9</v>
      </c>
      <c r="I208">
        <f>IF($D208=1,ROUND(Keys!$C$2/(INDEX(Src_SYSHECF_nuclear!$G$5:$G$292,MATCH($C208,Src_SYSHECF_nuclear!$C$5:$C$292,0))*$E208),Keys!$C$5),Keys!$C$4)</f>
        <v>0.9</v>
      </c>
      <c r="J208">
        <f>IF($D208=1,ROUND(Keys!$C$2/(INDEX(Src_SYSHECF_nuclear!$H$5:$H$292,MATCH($C208,Src_SYSHECF_nuclear!$C$5:$C$292,0))*$E208),Keys!$C$5),Keys!$C$4)</f>
        <v>0.9</v>
      </c>
      <c r="K208">
        <f>IF($D208=1,ROUND(Keys!$C$2/(INDEX(Src_SYSHECF_nuclear!$I$5:$I$292,MATCH($C208,Src_SYSHECF_nuclear!$C$5:$C$292,0))*$E208),Keys!$C$5),Keys!$C$4)</f>
        <v>0.9</v>
      </c>
      <c r="L208">
        <f>IF($D208=1,ROUND(Keys!$C$2/(INDEX(Src_SYSHECF_nuclear!$J$5:$J$292,MATCH($C208,Src_SYSHECF_nuclear!$C$5:$C$292,0))*$E208),Keys!$C$5),Keys!$C$4)</f>
        <v>0.9</v>
      </c>
      <c r="M208">
        <f>IF($D208=1,ROUND(Keys!$C$2/(INDEX(Src_SYSHECF_nuclear!$K$5:$K$292,MATCH($C208,Src_SYSHECF_nuclear!$C$5:$C$292,0))*$E208),Keys!$C$5),Keys!$C$4)</f>
        <v>0.9</v>
      </c>
      <c r="N208">
        <f>IF($D208=1,ROUND(Keys!$C$2/(INDEX(Src_SYSHECF_nuclear!$L$5:$L$292,MATCH($C208,Src_SYSHECF_nuclear!$C$5:$C$292,0))*$E208),Keys!$C$5),Keys!$C$4)</f>
        <v>0.9</v>
      </c>
      <c r="O208">
        <f>IF($D208=1,ROUND(Keys!$C$2/(INDEX(Src_SYSHECF_nuclear!$M$5:$M$292,MATCH($C208,Src_SYSHECF_nuclear!$C$5:$C$292,0))*$E208),Keys!$C$5),Keys!$C$4)</f>
        <v>0.9</v>
      </c>
      <c r="P208">
        <f>IF($D208=1,ROUND(Keys!$C$2/(INDEX(Src_SYSHECF_nuclear!$N$5:$N$292,MATCH($C208,Src_SYSHECF_nuclear!$C$5:$C$292,0))*$E208),Keys!$C$5),Keys!$C$4)</f>
        <v>0.9</v>
      </c>
      <c r="Q208">
        <f>IF($D208=1,ROUND(Keys!$C$2/(INDEX(Src_SYSHECF_nuclear!$O$5:$O$292,MATCH($C208,Src_SYSHECF_nuclear!$C$5:$C$292,0))*$E208),Keys!$C$5),Keys!$C$4)</f>
        <v>0.9</v>
      </c>
      <c r="R208">
        <f>IF($D208=1,ROUND(Keys!$C$2/(INDEX(Src_SYSHECF_nuclear!$P$5:$P$292,MATCH($C208,Src_SYSHECF_nuclear!$C$5:$C$292,0))*$E208),Keys!$C$5),Keys!$C$4)</f>
        <v>0.9</v>
      </c>
      <c r="S208">
        <f>IF($D208=1,ROUND(Keys!$C$2/(INDEX(Src_SYSHECF_nuclear!$Q$5:$Q$292,MATCH($C208,Src_SYSHECF_nuclear!$C$5:$C$292,0))*$E208),Keys!$C$5),Keys!$C$4)</f>
        <v>0.9</v>
      </c>
      <c r="T208">
        <f>IF($D208=1,ROUND(Keys!$C$2/(INDEX(Src_SYSHECF_nuclear!$R$5:$R$292,MATCH($C208,Src_SYSHECF_nuclear!$C$5:$C$292,0))*$E208),Keys!$C$5),Keys!$C$4)</f>
        <v>0.9</v>
      </c>
      <c r="U208">
        <f>IF($D208=1,ROUND(Keys!$C$2/(INDEX(Src_SYSHECF_nuclear!$S$5:$S$292,MATCH($C208,Src_SYSHECF_nuclear!$C$5:$C$292,0))*$E208),Keys!$C$5),Keys!$C$4)</f>
        <v>0.9</v>
      </c>
      <c r="V208">
        <f>IF($D208=1,ROUND(Keys!$C$2/(INDEX(Src_SYSHECF_nuclear!$T$5:$T$292,MATCH($C208,Src_SYSHECF_nuclear!$C$5:$C$292,0))*$E208),Keys!$C$5),Keys!$C$4)</f>
        <v>0.9</v>
      </c>
      <c r="W208">
        <f>IF($D208=1,ROUND(Keys!$C$2/(INDEX(Src_SYSHECF_nuclear!$U$5:$U$292,MATCH($C208,Src_SYSHECF_nuclear!$C$5:$C$292,0))*$E208),Keys!$C$5),Keys!$C$4)</f>
        <v>0.9</v>
      </c>
      <c r="X208">
        <f>IF($D208=1,ROUND(Keys!$C$2/(INDEX(Src_SYSHECF_nuclear!$V$5:$V$292,MATCH($C208,Src_SYSHECF_nuclear!$C$5:$C$292,0))*$E208),Keys!$C$5),Keys!$C$4)</f>
        <v>0.9</v>
      </c>
      <c r="Y208">
        <f>IF($D208=1,ROUND(Keys!$C$2/(INDEX(Src_SYSHECF_nuclear!$W$5:$W$292,MATCH($C208,Src_SYSHECF_nuclear!$C$5:$C$292,0))*$E208),Keys!$C$5),Keys!$C$4)</f>
        <v>0.9</v>
      </c>
      <c r="Z208">
        <f>IF($D208=1,ROUND(Keys!$C$2/(INDEX(Src_SYSHECF_nuclear!$X$5:$X$292,MATCH($C208,Src_SYSHECF_nuclear!$C$5:$C$292,0))*$E208),Keys!$C$5),Keys!$C$4)</f>
        <v>0.9</v>
      </c>
      <c r="AA208">
        <f>IF($D208=1,ROUND(Keys!$C$2/(INDEX(Src_SYSHECF_nuclear!$Y$5:$Y$292,MATCH($C208,Src_SYSHECF_nuclear!$C$5:$C$292,0))*$E208),Keys!$C$5),Keys!$C$4)</f>
        <v>0.9</v>
      </c>
      <c r="AB208">
        <f>IF($D208=1,ROUND(Keys!$C$2/(INDEX(Src_SYSHECF_nuclear!$Z$5:$Z$292,MATCH($C208,Src_SYSHECF_nuclear!$C$5:$C$292,0))*$E208),Keys!$C$5),Keys!$C$4)</f>
        <v>0.9</v>
      </c>
      <c r="AC208">
        <f>IF($D208=1,ROUND(Keys!$C$2/(INDEX(Src_SYSHECF_nuclear!$AA$5:$AA$292,MATCH($C208,Src_SYSHECF_nuclear!$C$5:$C$292,0))*$E208),Keys!$C$5),Keys!$C$4)</f>
        <v>0.9</v>
      </c>
      <c r="AE208">
        <f>IF($D208=1,IF(ABS(INDEX(Src_SYSHECF_nuclear!$D$5:$D$292,MATCH($C208,Src_SYSHECF_nuclear!$C$5:$C$292,0))*$E208*F208-Keys!$C$2)&gt;Keys!$C$6,1,0),0)</f>
        <v>0</v>
      </c>
    </row>
    <row r="209" spans="1:31" x14ac:dyDescent="0.45">
      <c r="A209" t="s">
        <v>72</v>
      </c>
      <c r="B209" t="s">
        <v>427</v>
      </c>
      <c r="C209" t="str">
        <f t="shared" si="3"/>
        <v>ND|Fall</v>
      </c>
      <c r="D209">
        <f>INDEX(Src_BHRaSYC_nuclear!$HF$5:$HF$52,MATCH($A209,Src_BHRaSYC_nuclear!$A$5:$A$52,0))</f>
        <v>0</v>
      </c>
      <c r="E209">
        <f>INDEX(Src_HYECFCA_nuclear!$B$5:$B$52,MATCH($A209,Src_HYECFCA_nuclear!$A$5:$A$52,0))</f>
        <v>1</v>
      </c>
      <c r="F209">
        <f>IF($D209=1,ROUND(Keys!$C$2/(INDEX(Src_SYSHECF_nuclear!$D$5:$D$292,MATCH($C209,Src_SYSHECF_nuclear!$C$5:$C$292,0))*$E209),Keys!$C$5),Keys!$C$4)</f>
        <v>0.9</v>
      </c>
      <c r="G209">
        <f>IF($D209=1,ROUND(Keys!$C$2/(INDEX(Src_SYSHECF_nuclear!$E$5:$E$292,MATCH($C209,Src_SYSHECF_nuclear!$C$5:$C$292,0))*$E209),Keys!$C$5),Keys!$C$4)</f>
        <v>0.9</v>
      </c>
      <c r="H209">
        <f>IF($D209=1,ROUND(Keys!$C$2/(INDEX(Src_SYSHECF_nuclear!$F$5:$F$292,MATCH($C209,Src_SYSHECF_nuclear!$C$5:$C$292,0))*$E209),Keys!$C$5),Keys!$C$4)</f>
        <v>0.9</v>
      </c>
      <c r="I209">
        <f>IF($D209=1,ROUND(Keys!$C$2/(INDEX(Src_SYSHECF_nuclear!$G$5:$G$292,MATCH($C209,Src_SYSHECF_nuclear!$C$5:$C$292,0))*$E209),Keys!$C$5),Keys!$C$4)</f>
        <v>0.9</v>
      </c>
      <c r="J209">
        <f>IF($D209=1,ROUND(Keys!$C$2/(INDEX(Src_SYSHECF_nuclear!$H$5:$H$292,MATCH($C209,Src_SYSHECF_nuclear!$C$5:$C$292,0))*$E209),Keys!$C$5),Keys!$C$4)</f>
        <v>0.9</v>
      </c>
      <c r="K209">
        <f>IF($D209=1,ROUND(Keys!$C$2/(INDEX(Src_SYSHECF_nuclear!$I$5:$I$292,MATCH($C209,Src_SYSHECF_nuclear!$C$5:$C$292,0))*$E209),Keys!$C$5),Keys!$C$4)</f>
        <v>0.9</v>
      </c>
      <c r="L209">
        <f>IF($D209=1,ROUND(Keys!$C$2/(INDEX(Src_SYSHECF_nuclear!$J$5:$J$292,MATCH($C209,Src_SYSHECF_nuclear!$C$5:$C$292,0))*$E209),Keys!$C$5),Keys!$C$4)</f>
        <v>0.9</v>
      </c>
      <c r="M209">
        <f>IF($D209=1,ROUND(Keys!$C$2/(INDEX(Src_SYSHECF_nuclear!$K$5:$K$292,MATCH($C209,Src_SYSHECF_nuclear!$C$5:$C$292,0))*$E209),Keys!$C$5),Keys!$C$4)</f>
        <v>0.9</v>
      </c>
      <c r="N209">
        <f>IF($D209=1,ROUND(Keys!$C$2/(INDEX(Src_SYSHECF_nuclear!$L$5:$L$292,MATCH($C209,Src_SYSHECF_nuclear!$C$5:$C$292,0))*$E209),Keys!$C$5),Keys!$C$4)</f>
        <v>0.9</v>
      </c>
      <c r="O209">
        <f>IF($D209=1,ROUND(Keys!$C$2/(INDEX(Src_SYSHECF_nuclear!$M$5:$M$292,MATCH($C209,Src_SYSHECF_nuclear!$C$5:$C$292,0))*$E209),Keys!$C$5),Keys!$C$4)</f>
        <v>0.9</v>
      </c>
      <c r="P209">
        <f>IF($D209=1,ROUND(Keys!$C$2/(INDEX(Src_SYSHECF_nuclear!$N$5:$N$292,MATCH($C209,Src_SYSHECF_nuclear!$C$5:$C$292,0))*$E209),Keys!$C$5),Keys!$C$4)</f>
        <v>0.9</v>
      </c>
      <c r="Q209">
        <f>IF($D209=1,ROUND(Keys!$C$2/(INDEX(Src_SYSHECF_nuclear!$O$5:$O$292,MATCH($C209,Src_SYSHECF_nuclear!$C$5:$C$292,0))*$E209),Keys!$C$5),Keys!$C$4)</f>
        <v>0.9</v>
      </c>
      <c r="R209">
        <f>IF($D209=1,ROUND(Keys!$C$2/(INDEX(Src_SYSHECF_nuclear!$P$5:$P$292,MATCH($C209,Src_SYSHECF_nuclear!$C$5:$C$292,0))*$E209),Keys!$C$5),Keys!$C$4)</f>
        <v>0.9</v>
      </c>
      <c r="S209">
        <f>IF($D209=1,ROUND(Keys!$C$2/(INDEX(Src_SYSHECF_nuclear!$Q$5:$Q$292,MATCH($C209,Src_SYSHECF_nuclear!$C$5:$C$292,0))*$E209),Keys!$C$5),Keys!$C$4)</f>
        <v>0.9</v>
      </c>
      <c r="T209">
        <f>IF($D209=1,ROUND(Keys!$C$2/(INDEX(Src_SYSHECF_nuclear!$R$5:$R$292,MATCH($C209,Src_SYSHECF_nuclear!$C$5:$C$292,0))*$E209),Keys!$C$5),Keys!$C$4)</f>
        <v>0.9</v>
      </c>
      <c r="U209">
        <f>IF($D209=1,ROUND(Keys!$C$2/(INDEX(Src_SYSHECF_nuclear!$S$5:$S$292,MATCH($C209,Src_SYSHECF_nuclear!$C$5:$C$292,0))*$E209),Keys!$C$5),Keys!$C$4)</f>
        <v>0.9</v>
      </c>
      <c r="V209">
        <f>IF($D209=1,ROUND(Keys!$C$2/(INDEX(Src_SYSHECF_nuclear!$T$5:$T$292,MATCH($C209,Src_SYSHECF_nuclear!$C$5:$C$292,0))*$E209),Keys!$C$5),Keys!$C$4)</f>
        <v>0.9</v>
      </c>
      <c r="W209">
        <f>IF($D209=1,ROUND(Keys!$C$2/(INDEX(Src_SYSHECF_nuclear!$U$5:$U$292,MATCH($C209,Src_SYSHECF_nuclear!$C$5:$C$292,0))*$E209),Keys!$C$5),Keys!$C$4)</f>
        <v>0.9</v>
      </c>
      <c r="X209">
        <f>IF($D209=1,ROUND(Keys!$C$2/(INDEX(Src_SYSHECF_nuclear!$V$5:$V$292,MATCH($C209,Src_SYSHECF_nuclear!$C$5:$C$292,0))*$E209),Keys!$C$5),Keys!$C$4)</f>
        <v>0.9</v>
      </c>
      <c r="Y209">
        <f>IF($D209=1,ROUND(Keys!$C$2/(INDEX(Src_SYSHECF_nuclear!$W$5:$W$292,MATCH($C209,Src_SYSHECF_nuclear!$C$5:$C$292,0))*$E209),Keys!$C$5),Keys!$C$4)</f>
        <v>0.9</v>
      </c>
      <c r="Z209">
        <f>IF($D209=1,ROUND(Keys!$C$2/(INDEX(Src_SYSHECF_nuclear!$X$5:$X$292,MATCH($C209,Src_SYSHECF_nuclear!$C$5:$C$292,0))*$E209),Keys!$C$5),Keys!$C$4)</f>
        <v>0.9</v>
      </c>
      <c r="AA209">
        <f>IF($D209=1,ROUND(Keys!$C$2/(INDEX(Src_SYSHECF_nuclear!$Y$5:$Y$292,MATCH($C209,Src_SYSHECF_nuclear!$C$5:$C$292,0))*$E209),Keys!$C$5),Keys!$C$4)</f>
        <v>0.9</v>
      </c>
      <c r="AB209">
        <f>IF($D209=1,ROUND(Keys!$C$2/(INDEX(Src_SYSHECF_nuclear!$Z$5:$Z$292,MATCH($C209,Src_SYSHECF_nuclear!$C$5:$C$292,0))*$E209),Keys!$C$5),Keys!$C$4)</f>
        <v>0.9</v>
      </c>
      <c r="AC209">
        <f>IF($D209=1,ROUND(Keys!$C$2/(INDEX(Src_SYSHECF_nuclear!$AA$5:$AA$292,MATCH($C209,Src_SYSHECF_nuclear!$C$5:$C$292,0))*$E209),Keys!$C$5),Keys!$C$4)</f>
        <v>0.9</v>
      </c>
      <c r="AE209">
        <f>IF($D209=1,IF(ABS(INDEX(Src_SYSHECF_nuclear!$D$5:$D$292,MATCH($C209,Src_SYSHECF_nuclear!$C$5:$C$292,0))*$E209*F209-Keys!$C$2)&gt;Keys!$C$6,1,0),0)</f>
        <v>0</v>
      </c>
    </row>
    <row r="210" spans="1:31" x14ac:dyDescent="0.45">
      <c r="A210" t="s">
        <v>72</v>
      </c>
      <c r="B210" t="s">
        <v>428</v>
      </c>
      <c r="C210" t="str">
        <f t="shared" si="3"/>
        <v>ND|Summer Peak</v>
      </c>
      <c r="D210">
        <f>INDEX(Src_BHRaSYC_nuclear!$HF$5:$HF$52,MATCH($A210,Src_BHRaSYC_nuclear!$A$5:$A$52,0))</f>
        <v>0</v>
      </c>
      <c r="E210">
        <f>INDEX(Src_HYECFCA_nuclear!$B$5:$B$52,MATCH($A210,Src_HYECFCA_nuclear!$A$5:$A$52,0))</f>
        <v>1</v>
      </c>
      <c r="F210">
        <f>IF($D210=1,ROUND(Keys!$C$2/(INDEX(Src_SYSHECF_nuclear!$D$5:$D$292,MATCH($C210,Src_SYSHECF_nuclear!$C$5:$C$292,0))*$E210),Keys!$C$5),Keys!$C$4)</f>
        <v>0.9</v>
      </c>
      <c r="G210">
        <f>IF($D210=1,ROUND(Keys!$C$2/(INDEX(Src_SYSHECF_nuclear!$E$5:$E$292,MATCH($C210,Src_SYSHECF_nuclear!$C$5:$C$292,0))*$E210),Keys!$C$5),Keys!$C$4)</f>
        <v>0.9</v>
      </c>
      <c r="H210">
        <f>IF($D210=1,ROUND(Keys!$C$2/(INDEX(Src_SYSHECF_nuclear!$F$5:$F$292,MATCH($C210,Src_SYSHECF_nuclear!$C$5:$C$292,0))*$E210),Keys!$C$5),Keys!$C$4)</f>
        <v>0.9</v>
      </c>
      <c r="I210">
        <f>IF($D210=1,ROUND(Keys!$C$2/(INDEX(Src_SYSHECF_nuclear!$G$5:$G$292,MATCH($C210,Src_SYSHECF_nuclear!$C$5:$C$292,0))*$E210),Keys!$C$5),Keys!$C$4)</f>
        <v>0.9</v>
      </c>
      <c r="J210">
        <f>IF($D210=1,ROUND(Keys!$C$2/(INDEX(Src_SYSHECF_nuclear!$H$5:$H$292,MATCH($C210,Src_SYSHECF_nuclear!$C$5:$C$292,0))*$E210),Keys!$C$5),Keys!$C$4)</f>
        <v>0.9</v>
      </c>
      <c r="K210">
        <f>IF($D210=1,ROUND(Keys!$C$2/(INDEX(Src_SYSHECF_nuclear!$I$5:$I$292,MATCH($C210,Src_SYSHECF_nuclear!$C$5:$C$292,0))*$E210),Keys!$C$5),Keys!$C$4)</f>
        <v>0.9</v>
      </c>
      <c r="L210">
        <f>IF($D210=1,ROUND(Keys!$C$2/(INDEX(Src_SYSHECF_nuclear!$J$5:$J$292,MATCH($C210,Src_SYSHECF_nuclear!$C$5:$C$292,0))*$E210),Keys!$C$5),Keys!$C$4)</f>
        <v>0.9</v>
      </c>
      <c r="M210">
        <f>IF($D210=1,ROUND(Keys!$C$2/(INDEX(Src_SYSHECF_nuclear!$K$5:$K$292,MATCH($C210,Src_SYSHECF_nuclear!$C$5:$C$292,0))*$E210),Keys!$C$5),Keys!$C$4)</f>
        <v>0.9</v>
      </c>
      <c r="N210">
        <f>IF($D210=1,ROUND(Keys!$C$2/(INDEX(Src_SYSHECF_nuclear!$L$5:$L$292,MATCH($C210,Src_SYSHECF_nuclear!$C$5:$C$292,0))*$E210),Keys!$C$5),Keys!$C$4)</f>
        <v>0.9</v>
      </c>
      <c r="O210">
        <f>IF($D210=1,ROUND(Keys!$C$2/(INDEX(Src_SYSHECF_nuclear!$M$5:$M$292,MATCH($C210,Src_SYSHECF_nuclear!$C$5:$C$292,0))*$E210),Keys!$C$5),Keys!$C$4)</f>
        <v>0.9</v>
      </c>
      <c r="P210">
        <f>IF($D210=1,ROUND(Keys!$C$2/(INDEX(Src_SYSHECF_nuclear!$N$5:$N$292,MATCH($C210,Src_SYSHECF_nuclear!$C$5:$C$292,0))*$E210),Keys!$C$5),Keys!$C$4)</f>
        <v>0.9</v>
      </c>
      <c r="Q210">
        <f>IF($D210=1,ROUND(Keys!$C$2/(INDEX(Src_SYSHECF_nuclear!$O$5:$O$292,MATCH($C210,Src_SYSHECF_nuclear!$C$5:$C$292,0))*$E210),Keys!$C$5),Keys!$C$4)</f>
        <v>0.9</v>
      </c>
      <c r="R210">
        <f>IF($D210=1,ROUND(Keys!$C$2/(INDEX(Src_SYSHECF_nuclear!$P$5:$P$292,MATCH($C210,Src_SYSHECF_nuclear!$C$5:$C$292,0))*$E210),Keys!$C$5),Keys!$C$4)</f>
        <v>0.9</v>
      </c>
      <c r="S210">
        <f>IF($D210=1,ROUND(Keys!$C$2/(INDEX(Src_SYSHECF_nuclear!$Q$5:$Q$292,MATCH($C210,Src_SYSHECF_nuclear!$C$5:$C$292,0))*$E210),Keys!$C$5),Keys!$C$4)</f>
        <v>0.9</v>
      </c>
      <c r="T210">
        <f>IF($D210=1,ROUND(Keys!$C$2/(INDEX(Src_SYSHECF_nuclear!$R$5:$R$292,MATCH($C210,Src_SYSHECF_nuclear!$C$5:$C$292,0))*$E210),Keys!$C$5),Keys!$C$4)</f>
        <v>0.9</v>
      </c>
      <c r="U210">
        <f>IF($D210=1,ROUND(Keys!$C$2/(INDEX(Src_SYSHECF_nuclear!$S$5:$S$292,MATCH($C210,Src_SYSHECF_nuclear!$C$5:$C$292,0))*$E210),Keys!$C$5),Keys!$C$4)</f>
        <v>0.9</v>
      </c>
      <c r="V210">
        <f>IF($D210=1,ROUND(Keys!$C$2/(INDEX(Src_SYSHECF_nuclear!$T$5:$T$292,MATCH($C210,Src_SYSHECF_nuclear!$C$5:$C$292,0))*$E210),Keys!$C$5),Keys!$C$4)</f>
        <v>0.9</v>
      </c>
      <c r="W210">
        <f>IF($D210=1,ROUND(Keys!$C$2/(INDEX(Src_SYSHECF_nuclear!$U$5:$U$292,MATCH($C210,Src_SYSHECF_nuclear!$C$5:$C$292,0))*$E210),Keys!$C$5),Keys!$C$4)</f>
        <v>0.9</v>
      </c>
      <c r="X210">
        <f>IF($D210=1,ROUND(Keys!$C$2/(INDEX(Src_SYSHECF_nuclear!$V$5:$V$292,MATCH($C210,Src_SYSHECF_nuclear!$C$5:$C$292,0))*$E210),Keys!$C$5),Keys!$C$4)</f>
        <v>0.9</v>
      </c>
      <c r="Y210">
        <f>IF($D210=1,ROUND(Keys!$C$2/(INDEX(Src_SYSHECF_nuclear!$W$5:$W$292,MATCH($C210,Src_SYSHECF_nuclear!$C$5:$C$292,0))*$E210),Keys!$C$5),Keys!$C$4)</f>
        <v>0.9</v>
      </c>
      <c r="Z210">
        <f>IF($D210=1,ROUND(Keys!$C$2/(INDEX(Src_SYSHECF_nuclear!$X$5:$X$292,MATCH($C210,Src_SYSHECF_nuclear!$C$5:$C$292,0))*$E210),Keys!$C$5),Keys!$C$4)</f>
        <v>0.9</v>
      </c>
      <c r="AA210">
        <f>IF($D210=1,ROUND(Keys!$C$2/(INDEX(Src_SYSHECF_nuclear!$Y$5:$Y$292,MATCH($C210,Src_SYSHECF_nuclear!$C$5:$C$292,0))*$E210),Keys!$C$5),Keys!$C$4)</f>
        <v>0.9</v>
      </c>
      <c r="AB210">
        <f>IF($D210=1,ROUND(Keys!$C$2/(INDEX(Src_SYSHECF_nuclear!$Z$5:$Z$292,MATCH($C210,Src_SYSHECF_nuclear!$C$5:$C$292,0))*$E210),Keys!$C$5),Keys!$C$4)</f>
        <v>0.9</v>
      </c>
      <c r="AC210">
        <f>IF($D210=1,ROUND(Keys!$C$2/(INDEX(Src_SYSHECF_nuclear!$AA$5:$AA$292,MATCH($C210,Src_SYSHECF_nuclear!$C$5:$C$292,0))*$E210),Keys!$C$5),Keys!$C$4)</f>
        <v>0.9</v>
      </c>
      <c r="AE210">
        <f>IF($D210=1,IF(ABS(INDEX(Src_SYSHECF_nuclear!$D$5:$D$292,MATCH($C210,Src_SYSHECF_nuclear!$C$5:$C$292,0))*$E210*F210-Keys!$C$2)&gt;Keys!$C$6,1,0),0)</f>
        <v>0</v>
      </c>
    </row>
    <row r="211" spans="1:31" x14ac:dyDescent="0.45">
      <c r="A211" t="s">
        <v>72</v>
      </c>
      <c r="B211" t="s">
        <v>429</v>
      </c>
      <c r="C211" t="str">
        <f t="shared" si="3"/>
        <v>ND|Winter Peak</v>
      </c>
      <c r="D211">
        <f>INDEX(Src_BHRaSYC_nuclear!$HF$5:$HF$52,MATCH($A211,Src_BHRaSYC_nuclear!$A$5:$A$52,0))</f>
        <v>0</v>
      </c>
      <c r="E211">
        <f>INDEX(Src_HYECFCA_nuclear!$B$5:$B$52,MATCH($A211,Src_HYECFCA_nuclear!$A$5:$A$52,0))</f>
        <v>1</v>
      </c>
      <c r="F211">
        <f>IF($D211=1,ROUND(Keys!$C$2/(INDEX(Src_SYSHECF_nuclear!$D$5:$D$292,MATCH($C211,Src_SYSHECF_nuclear!$C$5:$C$292,0))*$E211),Keys!$C$5),Keys!$C$4)</f>
        <v>0.9</v>
      </c>
      <c r="G211">
        <f>IF($D211=1,ROUND(Keys!$C$2/(INDEX(Src_SYSHECF_nuclear!$E$5:$E$292,MATCH($C211,Src_SYSHECF_nuclear!$C$5:$C$292,0))*$E211),Keys!$C$5),Keys!$C$4)</f>
        <v>0.9</v>
      </c>
      <c r="H211">
        <f>IF($D211=1,ROUND(Keys!$C$2/(INDEX(Src_SYSHECF_nuclear!$F$5:$F$292,MATCH($C211,Src_SYSHECF_nuclear!$C$5:$C$292,0))*$E211),Keys!$C$5),Keys!$C$4)</f>
        <v>0.9</v>
      </c>
      <c r="I211">
        <f>IF($D211=1,ROUND(Keys!$C$2/(INDEX(Src_SYSHECF_nuclear!$G$5:$G$292,MATCH($C211,Src_SYSHECF_nuclear!$C$5:$C$292,0))*$E211),Keys!$C$5),Keys!$C$4)</f>
        <v>0.9</v>
      </c>
      <c r="J211">
        <f>IF($D211=1,ROUND(Keys!$C$2/(INDEX(Src_SYSHECF_nuclear!$H$5:$H$292,MATCH($C211,Src_SYSHECF_nuclear!$C$5:$C$292,0))*$E211),Keys!$C$5),Keys!$C$4)</f>
        <v>0.9</v>
      </c>
      <c r="K211">
        <f>IF($D211=1,ROUND(Keys!$C$2/(INDEX(Src_SYSHECF_nuclear!$I$5:$I$292,MATCH($C211,Src_SYSHECF_nuclear!$C$5:$C$292,0))*$E211),Keys!$C$5),Keys!$C$4)</f>
        <v>0.9</v>
      </c>
      <c r="L211">
        <f>IF($D211=1,ROUND(Keys!$C$2/(INDEX(Src_SYSHECF_nuclear!$J$5:$J$292,MATCH($C211,Src_SYSHECF_nuclear!$C$5:$C$292,0))*$E211),Keys!$C$5),Keys!$C$4)</f>
        <v>0.9</v>
      </c>
      <c r="M211">
        <f>IF($D211=1,ROUND(Keys!$C$2/(INDEX(Src_SYSHECF_nuclear!$K$5:$K$292,MATCH($C211,Src_SYSHECF_nuclear!$C$5:$C$292,0))*$E211),Keys!$C$5),Keys!$C$4)</f>
        <v>0.9</v>
      </c>
      <c r="N211">
        <f>IF($D211=1,ROUND(Keys!$C$2/(INDEX(Src_SYSHECF_nuclear!$L$5:$L$292,MATCH($C211,Src_SYSHECF_nuclear!$C$5:$C$292,0))*$E211),Keys!$C$5),Keys!$C$4)</f>
        <v>0.9</v>
      </c>
      <c r="O211">
        <f>IF($D211=1,ROUND(Keys!$C$2/(INDEX(Src_SYSHECF_nuclear!$M$5:$M$292,MATCH($C211,Src_SYSHECF_nuclear!$C$5:$C$292,0))*$E211),Keys!$C$5),Keys!$C$4)</f>
        <v>0.9</v>
      </c>
      <c r="P211">
        <f>IF($D211=1,ROUND(Keys!$C$2/(INDEX(Src_SYSHECF_nuclear!$N$5:$N$292,MATCH($C211,Src_SYSHECF_nuclear!$C$5:$C$292,0))*$E211),Keys!$C$5),Keys!$C$4)</f>
        <v>0.9</v>
      </c>
      <c r="Q211">
        <f>IF($D211=1,ROUND(Keys!$C$2/(INDEX(Src_SYSHECF_nuclear!$O$5:$O$292,MATCH($C211,Src_SYSHECF_nuclear!$C$5:$C$292,0))*$E211),Keys!$C$5),Keys!$C$4)</f>
        <v>0.9</v>
      </c>
      <c r="R211">
        <f>IF($D211=1,ROUND(Keys!$C$2/(INDEX(Src_SYSHECF_nuclear!$P$5:$P$292,MATCH($C211,Src_SYSHECF_nuclear!$C$5:$C$292,0))*$E211),Keys!$C$5),Keys!$C$4)</f>
        <v>0.9</v>
      </c>
      <c r="S211">
        <f>IF($D211=1,ROUND(Keys!$C$2/(INDEX(Src_SYSHECF_nuclear!$Q$5:$Q$292,MATCH($C211,Src_SYSHECF_nuclear!$C$5:$C$292,0))*$E211),Keys!$C$5),Keys!$C$4)</f>
        <v>0.9</v>
      </c>
      <c r="T211">
        <f>IF($D211=1,ROUND(Keys!$C$2/(INDEX(Src_SYSHECF_nuclear!$R$5:$R$292,MATCH($C211,Src_SYSHECF_nuclear!$C$5:$C$292,0))*$E211),Keys!$C$5),Keys!$C$4)</f>
        <v>0.9</v>
      </c>
      <c r="U211">
        <f>IF($D211=1,ROUND(Keys!$C$2/(INDEX(Src_SYSHECF_nuclear!$S$5:$S$292,MATCH($C211,Src_SYSHECF_nuclear!$C$5:$C$292,0))*$E211),Keys!$C$5),Keys!$C$4)</f>
        <v>0.9</v>
      </c>
      <c r="V211">
        <f>IF($D211=1,ROUND(Keys!$C$2/(INDEX(Src_SYSHECF_nuclear!$T$5:$T$292,MATCH($C211,Src_SYSHECF_nuclear!$C$5:$C$292,0))*$E211),Keys!$C$5),Keys!$C$4)</f>
        <v>0.9</v>
      </c>
      <c r="W211">
        <f>IF($D211=1,ROUND(Keys!$C$2/(INDEX(Src_SYSHECF_nuclear!$U$5:$U$292,MATCH($C211,Src_SYSHECF_nuclear!$C$5:$C$292,0))*$E211),Keys!$C$5),Keys!$C$4)</f>
        <v>0.9</v>
      </c>
      <c r="X211">
        <f>IF($D211=1,ROUND(Keys!$C$2/(INDEX(Src_SYSHECF_nuclear!$V$5:$V$292,MATCH($C211,Src_SYSHECF_nuclear!$C$5:$C$292,0))*$E211),Keys!$C$5),Keys!$C$4)</f>
        <v>0.9</v>
      </c>
      <c r="Y211">
        <f>IF($D211=1,ROUND(Keys!$C$2/(INDEX(Src_SYSHECF_nuclear!$W$5:$W$292,MATCH($C211,Src_SYSHECF_nuclear!$C$5:$C$292,0))*$E211),Keys!$C$5),Keys!$C$4)</f>
        <v>0.9</v>
      </c>
      <c r="Z211">
        <f>IF($D211=1,ROUND(Keys!$C$2/(INDEX(Src_SYSHECF_nuclear!$X$5:$X$292,MATCH($C211,Src_SYSHECF_nuclear!$C$5:$C$292,0))*$E211),Keys!$C$5),Keys!$C$4)</f>
        <v>0.9</v>
      </c>
      <c r="AA211">
        <f>IF($D211=1,ROUND(Keys!$C$2/(INDEX(Src_SYSHECF_nuclear!$Y$5:$Y$292,MATCH($C211,Src_SYSHECF_nuclear!$C$5:$C$292,0))*$E211),Keys!$C$5),Keys!$C$4)</f>
        <v>0.9</v>
      </c>
      <c r="AB211">
        <f>IF($D211=1,ROUND(Keys!$C$2/(INDEX(Src_SYSHECF_nuclear!$Z$5:$Z$292,MATCH($C211,Src_SYSHECF_nuclear!$C$5:$C$292,0))*$E211),Keys!$C$5),Keys!$C$4)</f>
        <v>0.9</v>
      </c>
      <c r="AC211">
        <f>IF($D211=1,ROUND(Keys!$C$2/(INDEX(Src_SYSHECF_nuclear!$AA$5:$AA$292,MATCH($C211,Src_SYSHECF_nuclear!$C$5:$C$292,0))*$E211),Keys!$C$5),Keys!$C$4)</f>
        <v>0.9</v>
      </c>
      <c r="AE211">
        <f>IF($D211=1,IF(ABS(INDEX(Src_SYSHECF_nuclear!$D$5:$D$292,MATCH($C211,Src_SYSHECF_nuclear!$C$5:$C$292,0))*$E211*F211-Keys!$C$2)&gt;Keys!$C$6,1,0),0)</f>
        <v>0</v>
      </c>
    </row>
    <row r="212" spans="1:31" x14ac:dyDescent="0.45">
      <c r="A212" t="s">
        <v>76</v>
      </c>
      <c r="B212" t="s">
        <v>424</v>
      </c>
      <c r="C212" t="str">
        <f t="shared" si="3"/>
        <v>NE|Winter</v>
      </c>
      <c r="D212">
        <f>INDEX(Src_BHRaSYC_nuclear!$HF$5:$HF$52,MATCH($A212,Src_BHRaSYC_nuclear!$A$5:$A$52,0))</f>
        <v>1</v>
      </c>
      <c r="E212">
        <f>INDEX(Src_HYECFCA_nuclear!$B$5:$B$52,MATCH($A212,Src_HYECFCA_nuclear!$A$5:$A$52,0))</f>
        <v>1.06549</v>
      </c>
      <c r="F212">
        <f>IF($D212=1,ROUND(Keys!$C$2/(INDEX(Src_SYSHECF_nuclear!$D$5:$D$292,MATCH($C212,Src_SYSHECF_nuclear!$C$5:$C$292,0))*$E212),Keys!$C$5),Keys!$C$4)</f>
        <v>1.05</v>
      </c>
      <c r="G212">
        <f>IF($D212=1,ROUND(Keys!$C$2/(INDEX(Src_SYSHECF_nuclear!$E$5:$E$292,MATCH($C212,Src_SYSHECF_nuclear!$C$5:$C$292,0))*$E212),Keys!$C$5),Keys!$C$4)</f>
        <v>1.0637000000000001</v>
      </c>
      <c r="H212">
        <f>IF($D212=1,ROUND(Keys!$C$2/(INDEX(Src_SYSHECF_nuclear!$F$5:$F$292,MATCH($C212,Src_SYSHECF_nuclear!$C$5:$C$292,0))*$E212),Keys!$C$5),Keys!$C$4)</f>
        <v>1.0882000000000001</v>
      </c>
      <c r="I212">
        <f>IF($D212=1,ROUND(Keys!$C$2/(INDEX(Src_SYSHECF_nuclear!$G$5:$G$292,MATCH($C212,Src_SYSHECF_nuclear!$C$5:$C$292,0))*$E212),Keys!$C$5),Keys!$C$4)</f>
        <v>1.0820000000000001</v>
      </c>
      <c r="J212">
        <f>IF($D212=1,ROUND(Keys!$C$2/(INDEX(Src_SYSHECF_nuclear!$H$5:$H$292,MATCH($C212,Src_SYSHECF_nuclear!$C$5:$C$292,0))*$E212),Keys!$C$5),Keys!$C$4)</f>
        <v>1.0618000000000001</v>
      </c>
      <c r="K212">
        <f>IF($D212=1,ROUND(Keys!$C$2/(INDEX(Src_SYSHECF_nuclear!$I$5:$I$292,MATCH($C212,Src_SYSHECF_nuclear!$C$5:$C$292,0))*$E212),Keys!$C$5),Keys!$C$4)</f>
        <v>0.99860000000000004</v>
      </c>
      <c r="L212">
        <f>IF($D212=1,ROUND(Keys!$C$2/(INDEX(Src_SYSHECF_nuclear!$J$5:$J$292,MATCH($C212,Src_SYSHECF_nuclear!$C$5:$C$292,0))*$E212),Keys!$C$5),Keys!$C$4)</f>
        <v>0.95240000000000002</v>
      </c>
      <c r="M212">
        <f>IF($D212=1,ROUND(Keys!$C$2/(INDEX(Src_SYSHECF_nuclear!$K$5:$K$292,MATCH($C212,Src_SYSHECF_nuclear!$C$5:$C$292,0))*$E212),Keys!$C$5),Keys!$C$4)</f>
        <v>0.9496</v>
      </c>
      <c r="N212">
        <f>IF($D212=1,ROUND(Keys!$C$2/(INDEX(Src_SYSHECF_nuclear!$L$5:$L$292,MATCH($C212,Src_SYSHECF_nuclear!$C$5:$C$292,0))*$E212),Keys!$C$5),Keys!$C$4)</f>
        <v>0.94359999999999999</v>
      </c>
      <c r="O212">
        <f>IF($D212=1,ROUND(Keys!$C$2/(INDEX(Src_SYSHECF_nuclear!$M$5:$M$292,MATCH($C212,Src_SYSHECF_nuclear!$C$5:$C$292,0))*$E212),Keys!$C$5),Keys!$C$4)</f>
        <v>0.94320000000000004</v>
      </c>
      <c r="P212">
        <f>IF($D212=1,ROUND(Keys!$C$2/(INDEX(Src_SYSHECF_nuclear!$N$5:$N$292,MATCH($C212,Src_SYSHECF_nuclear!$C$5:$C$292,0))*$E212),Keys!$C$5),Keys!$C$4)</f>
        <v>0.94779999999999998</v>
      </c>
      <c r="Q212">
        <f>IF($D212=1,ROUND(Keys!$C$2/(INDEX(Src_SYSHECF_nuclear!$O$5:$O$292,MATCH($C212,Src_SYSHECF_nuclear!$C$5:$C$292,0))*$E212),Keys!$C$5),Keys!$C$4)</f>
        <v>0.94669999999999999</v>
      </c>
      <c r="R212">
        <f>IF($D212=1,ROUND(Keys!$C$2/(INDEX(Src_SYSHECF_nuclear!$P$5:$P$292,MATCH($C212,Src_SYSHECF_nuclear!$C$5:$C$292,0))*$E212),Keys!$C$5),Keys!$C$4)</f>
        <v>0.94840000000000002</v>
      </c>
      <c r="S212">
        <f>IF($D212=1,ROUND(Keys!$C$2/(INDEX(Src_SYSHECF_nuclear!$Q$5:$Q$292,MATCH($C212,Src_SYSHECF_nuclear!$C$5:$C$292,0))*$E212),Keys!$C$5),Keys!$C$4)</f>
        <v>0.96250000000000002</v>
      </c>
      <c r="T212">
        <f>IF($D212=1,ROUND(Keys!$C$2/(INDEX(Src_SYSHECF_nuclear!$R$5:$R$292,MATCH($C212,Src_SYSHECF_nuclear!$C$5:$C$292,0))*$E212),Keys!$C$5),Keys!$C$4)</f>
        <v>0.96870000000000001</v>
      </c>
      <c r="U212">
        <f>IF($D212=1,ROUND(Keys!$C$2/(INDEX(Src_SYSHECF_nuclear!$S$5:$S$292,MATCH($C212,Src_SYSHECF_nuclear!$C$5:$C$292,0))*$E212),Keys!$C$5),Keys!$C$4)</f>
        <v>0.97140000000000004</v>
      </c>
      <c r="V212">
        <f>IF($D212=1,ROUND(Keys!$C$2/(INDEX(Src_SYSHECF_nuclear!$T$5:$T$292,MATCH($C212,Src_SYSHECF_nuclear!$C$5:$C$292,0))*$E212),Keys!$C$5),Keys!$C$4)</f>
        <v>0.9526</v>
      </c>
      <c r="W212">
        <f>IF($D212=1,ROUND(Keys!$C$2/(INDEX(Src_SYSHECF_nuclear!$U$5:$U$292,MATCH($C212,Src_SYSHECF_nuclear!$C$5:$C$292,0))*$E212),Keys!$C$5),Keys!$C$4)</f>
        <v>0.91510000000000002</v>
      </c>
      <c r="X212">
        <f>IF($D212=1,ROUND(Keys!$C$2/(INDEX(Src_SYSHECF_nuclear!$V$5:$V$292,MATCH($C212,Src_SYSHECF_nuclear!$C$5:$C$292,0))*$E212),Keys!$C$5),Keys!$C$4)</f>
        <v>0.92010000000000003</v>
      </c>
      <c r="Y212">
        <f>IF($D212=1,ROUND(Keys!$C$2/(INDEX(Src_SYSHECF_nuclear!$W$5:$W$292,MATCH($C212,Src_SYSHECF_nuclear!$C$5:$C$292,0))*$E212),Keys!$C$5),Keys!$C$4)</f>
        <v>0.93489999999999995</v>
      </c>
      <c r="Z212">
        <f>IF($D212=1,ROUND(Keys!$C$2/(INDEX(Src_SYSHECF_nuclear!$X$5:$X$292,MATCH($C212,Src_SYSHECF_nuclear!$C$5:$C$292,0))*$E212),Keys!$C$5),Keys!$C$4)</f>
        <v>0.96020000000000005</v>
      </c>
      <c r="AA212">
        <f>IF($D212=1,ROUND(Keys!$C$2/(INDEX(Src_SYSHECF_nuclear!$Y$5:$Y$292,MATCH($C212,Src_SYSHECF_nuclear!$C$5:$C$292,0))*$E212),Keys!$C$5),Keys!$C$4)</f>
        <v>0.99790000000000001</v>
      </c>
      <c r="AB212">
        <f>IF($D212=1,ROUND(Keys!$C$2/(INDEX(Src_SYSHECF_nuclear!$Z$5:$Z$292,MATCH($C212,Src_SYSHECF_nuclear!$C$5:$C$292,0))*$E212),Keys!$C$5),Keys!$C$4)</f>
        <v>1.0620000000000001</v>
      </c>
      <c r="AC212">
        <f>IF($D212=1,ROUND(Keys!$C$2/(INDEX(Src_SYSHECF_nuclear!$AA$5:$AA$292,MATCH($C212,Src_SYSHECF_nuclear!$C$5:$C$292,0))*$E212),Keys!$C$5),Keys!$C$4)</f>
        <v>1.1102000000000001</v>
      </c>
      <c r="AE212">
        <f>IF($D212=1,IF(ABS(INDEX(Src_SYSHECF_nuclear!$D$5:$D$292,MATCH($C212,Src_SYSHECF_nuclear!$C$5:$C$292,0))*$E212*F212-Keys!$C$2)&gt;Keys!$C$6,1,0),0)</f>
        <v>0</v>
      </c>
    </row>
    <row r="213" spans="1:31" x14ac:dyDescent="0.45">
      <c r="A213" t="s">
        <v>76</v>
      </c>
      <c r="B213" t="s">
        <v>425</v>
      </c>
      <c r="C213" t="str">
        <f t="shared" si="3"/>
        <v>NE|Spring</v>
      </c>
      <c r="D213">
        <f>INDEX(Src_BHRaSYC_nuclear!$HF$5:$HF$52,MATCH($A213,Src_BHRaSYC_nuclear!$A$5:$A$52,0))</f>
        <v>1</v>
      </c>
      <c r="E213">
        <f>INDEX(Src_HYECFCA_nuclear!$B$5:$B$52,MATCH($A213,Src_HYECFCA_nuclear!$A$5:$A$52,0))</f>
        <v>1.06549</v>
      </c>
      <c r="F213">
        <f>IF($D213=1,ROUND(Keys!$C$2/(INDEX(Src_SYSHECF_nuclear!$D$5:$D$292,MATCH($C213,Src_SYSHECF_nuclear!$C$5:$C$292,0))*$E213),Keys!$C$5),Keys!$C$4)</f>
        <v>0.98909999999999998</v>
      </c>
      <c r="G213">
        <f>IF($D213=1,ROUND(Keys!$C$2/(INDEX(Src_SYSHECF_nuclear!$E$5:$E$292,MATCH($C213,Src_SYSHECF_nuclear!$C$5:$C$292,0))*$E213),Keys!$C$5),Keys!$C$4)</f>
        <v>0.99590000000000001</v>
      </c>
      <c r="H213">
        <f>IF($D213=1,ROUND(Keys!$C$2/(INDEX(Src_SYSHECF_nuclear!$F$5:$F$292,MATCH($C213,Src_SYSHECF_nuclear!$C$5:$C$292,0))*$E213),Keys!$C$5),Keys!$C$4)</f>
        <v>0.99409999999999998</v>
      </c>
      <c r="I213">
        <f>IF($D213=1,ROUND(Keys!$C$2/(INDEX(Src_SYSHECF_nuclear!$G$5:$G$292,MATCH($C213,Src_SYSHECF_nuclear!$C$5:$C$292,0))*$E213),Keys!$C$5),Keys!$C$4)</f>
        <v>0.96960000000000002</v>
      </c>
      <c r="J213">
        <f>IF($D213=1,ROUND(Keys!$C$2/(INDEX(Src_SYSHECF_nuclear!$H$5:$H$292,MATCH($C213,Src_SYSHECF_nuclear!$C$5:$C$292,0))*$E213),Keys!$C$5),Keys!$C$4)</f>
        <v>0.94699999999999995</v>
      </c>
      <c r="K213">
        <f>IF($D213=1,ROUND(Keys!$C$2/(INDEX(Src_SYSHECF_nuclear!$I$5:$I$292,MATCH($C213,Src_SYSHECF_nuclear!$C$5:$C$292,0))*$E213),Keys!$C$5),Keys!$C$4)</f>
        <v>0.93640000000000001</v>
      </c>
      <c r="L213">
        <f>IF($D213=1,ROUND(Keys!$C$2/(INDEX(Src_SYSHECF_nuclear!$J$5:$J$292,MATCH($C213,Src_SYSHECF_nuclear!$C$5:$C$292,0))*$E213),Keys!$C$5),Keys!$C$4)</f>
        <v>0.92610000000000003</v>
      </c>
      <c r="M213">
        <f>IF($D213=1,ROUND(Keys!$C$2/(INDEX(Src_SYSHECF_nuclear!$K$5:$K$292,MATCH($C213,Src_SYSHECF_nuclear!$C$5:$C$292,0))*$E213),Keys!$C$5),Keys!$C$4)</f>
        <v>0.91600000000000004</v>
      </c>
      <c r="N213">
        <f>IF($D213=1,ROUND(Keys!$C$2/(INDEX(Src_SYSHECF_nuclear!$L$5:$L$292,MATCH($C213,Src_SYSHECF_nuclear!$C$5:$C$292,0))*$E213),Keys!$C$5),Keys!$C$4)</f>
        <v>0.91549999999999998</v>
      </c>
      <c r="O213">
        <f>IF($D213=1,ROUND(Keys!$C$2/(INDEX(Src_SYSHECF_nuclear!$M$5:$M$292,MATCH($C213,Src_SYSHECF_nuclear!$C$5:$C$292,0))*$E213),Keys!$C$5),Keys!$C$4)</f>
        <v>0.91510000000000002</v>
      </c>
      <c r="P213">
        <f>IF($D213=1,ROUND(Keys!$C$2/(INDEX(Src_SYSHECF_nuclear!$N$5:$N$292,MATCH($C213,Src_SYSHECF_nuclear!$C$5:$C$292,0))*$E213),Keys!$C$5),Keys!$C$4)</f>
        <v>0.91510000000000002</v>
      </c>
      <c r="Q213">
        <f>IF($D213=1,ROUND(Keys!$C$2/(INDEX(Src_SYSHECF_nuclear!$O$5:$O$292,MATCH($C213,Src_SYSHECF_nuclear!$C$5:$C$292,0))*$E213),Keys!$C$5),Keys!$C$4)</f>
        <v>0.91510000000000002</v>
      </c>
      <c r="R213">
        <f>IF($D213=1,ROUND(Keys!$C$2/(INDEX(Src_SYSHECF_nuclear!$P$5:$P$292,MATCH($C213,Src_SYSHECF_nuclear!$C$5:$C$292,0))*$E213),Keys!$C$5),Keys!$C$4)</f>
        <v>0.91510000000000002</v>
      </c>
      <c r="S213">
        <f>IF($D213=1,ROUND(Keys!$C$2/(INDEX(Src_SYSHECF_nuclear!$Q$5:$Q$292,MATCH($C213,Src_SYSHECF_nuclear!$C$5:$C$292,0))*$E213),Keys!$C$5),Keys!$C$4)</f>
        <v>0.91510000000000002</v>
      </c>
      <c r="T213">
        <f>IF($D213=1,ROUND(Keys!$C$2/(INDEX(Src_SYSHECF_nuclear!$R$5:$R$292,MATCH($C213,Src_SYSHECF_nuclear!$C$5:$C$292,0))*$E213),Keys!$C$5),Keys!$C$4)</f>
        <v>0.91510000000000002</v>
      </c>
      <c r="U213">
        <f>IF($D213=1,ROUND(Keys!$C$2/(INDEX(Src_SYSHECF_nuclear!$S$5:$S$292,MATCH($C213,Src_SYSHECF_nuclear!$C$5:$C$292,0))*$E213),Keys!$C$5),Keys!$C$4)</f>
        <v>0.91510000000000002</v>
      </c>
      <c r="V213">
        <f>IF($D213=1,ROUND(Keys!$C$2/(INDEX(Src_SYSHECF_nuclear!$T$5:$T$292,MATCH($C213,Src_SYSHECF_nuclear!$C$5:$C$292,0))*$E213),Keys!$C$5),Keys!$C$4)</f>
        <v>0.91510000000000002</v>
      </c>
      <c r="W213">
        <f>IF($D213=1,ROUND(Keys!$C$2/(INDEX(Src_SYSHECF_nuclear!$U$5:$U$292,MATCH($C213,Src_SYSHECF_nuclear!$C$5:$C$292,0))*$E213),Keys!$C$5),Keys!$C$4)</f>
        <v>0.91510000000000002</v>
      </c>
      <c r="X213">
        <f>IF($D213=1,ROUND(Keys!$C$2/(INDEX(Src_SYSHECF_nuclear!$V$5:$V$292,MATCH($C213,Src_SYSHECF_nuclear!$C$5:$C$292,0))*$E213),Keys!$C$5),Keys!$C$4)</f>
        <v>0.91510000000000002</v>
      </c>
      <c r="Y213">
        <f>IF($D213=1,ROUND(Keys!$C$2/(INDEX(Src_SYSHECF_nuclear!$W$5:$W$292,MATCH($C213,Src_SYSHECF_nuclear!$C$5:$C$292,0))*$E213),Keys!$C$5),Keys!$C$4)</f>
        <v>0.91510000000000002</v>
      </c>
      <c r="Z213">
        <f>IF($D213=1,ROUND(Keys!$C$2/(INDEX(Src_SYSHECF_nuclear!$X$5:$X$292,MATCH($C213,Src_SYSHECF_nuclear!$C$5:$C$292,0))*$E213),Keys!$C$5),Keys!$C$4)</f>
        <v>0.91990000000000005</v>
      </c>
      <c r="AA213">
        <f>IF($D213=1,ROUND(Keys!$C$2/(INDEX(Src_SYSHECF_nuclear!$Y$5:$Y$292,MATCH($C213,Src_SYSHECF_nuclear!$C$5:$C$292,0))*$E213),Keys!$C$5),Keys!$C$4)</f>
        <v>0.92190000000000005</v>
      </c>
      <c r="AB213">
        <f>IF($D213=1,ROUND(Keys!$C$2/(INDEX(Src_SYSHECF_nuclear!$Z$5:$Z$292,MATCH($C213,Src_SYSHECF_nuclear!$C$5:$C$292,0))*$E213),Keys!$C$5),Keys!$C$4)</f>
        <v>0.94030000000000002</v>
      </c>
      <c r="AC213">
        <f>IF($D213=1,ROUND(Keys!$C$2/(INDEX(Src_SYSHECF_nuclear!$AA$5:$AA$292,MATCH($C213,Src_SYSHECF_nuclear!$C$5:$C$292,0))*$E213),Keys!$C$5),Keys!$C$4)</f>
        <v>0.96330000000000005</v>
      </c>
      <c r="AE213">
        <f>IF($D213=1,IF(ABS(INDEX(Src_SYSHECF_nuclear!$D$5:$D$292,MATCH($C213,Src_SYSHECF_nuclear!$C$5:$C$292,0))*$E213*F213-Keys!$C$2)&gt;Keys!$C$6,1,0),0)</f>
        <v>0</v>
      </c>
    </row>
    <row r="214" spans="1:31" x14ac:dyDescent="0.45">
      <c r="A214" t="s">
        <v>76</v>
      </c>
      <c r="B214" t="s">
        <v>426</v>
      </c>
      <c r="C214" t="str">
        <f t="shared" si="3"/>
        <v>NE|Summer</v>
      </c>
      <c r="D214">
        <f>INDEX(Src_BHRaSYC_nuclear!$HF$5:$HF$52,MATCH($A214,Src_BHRaSYC_nuclear!$A$5:$A$52,0))</f>
        <v>1</v>
      </c>
      <c r="E214">
        <f>INDEX(Src_HYECFCA_nuclear!$B$5:$B$52,MATCH($A214,Src_HYECFCA_nuclear!$A$5:$A$52,0))</f>
        <v>1.06549</v>
      </c>
      <c r="F214">
        <f>IF($D214=1,ROUND(Keys!$C$2/(INDEX(Src_SYSHECF_nuclear!$D$5:$D$292,MATCH($C214,Src_SYSHECF_nuclear!$C$5:$C$292,0))*$E214),Keys!$C$5),Keys!$C$4)</f>
        <v>1.0307999999999999</v>
      </c>
      <c r="G214">
        <f>IF($D214=1,ROUND(Keys!$C$2/(INDEX(Src_SYSHECF_nuclear!$E$5:$E$292,MATCH($C214,Src_SYSHECF_nuclear!$C$5:$C$292,0))*$E214),Keys!$C$5),Keys!$C$4)</f>
        <v>1.0465</v>
      </c>
      <c r="H214">
        <f>IF($D214=1,ROUND(Keys!$C$2/(INDEX(Src_SYSHECF_nuclear!$F$5:$F$292,MATCH($C214,Src_SYSHECF_nuclear!$C$5:$C$292,0))*$E214),Keys!$C$5),Keys!$C$4)</f>
        <v>1.0529999999999999</v>
      </c>
      <c r="I214">
        <f>IF($D214=1,ROUND(Keys!$C$2/(INDEX(Src_SYSHECF_nuclear!$G$5:$G$292,MATCH($C214,Src_SYSHECF_nuclear!$C$5:$C$292,0))*$E214),Keys!$C$5),Keys!$C$4)</f>
        <v>1.0558000000000001</v>
      </c>
      <c r="J214">
        <f>IF($D214=1,ROUND(Keys!$C$2/(INDEX(Src_SYSHECF_nuclear!$H$5:$H$292,MATCH($C214,Src_SYSHECF_nuclear!$C$5:$C$292,0))*$E214),Keys!$C$5),Keys!$C$4)</f>
        <v>1.0470999999999999</v>
      </c>
      <c r="K214">
        <f>IF($D214=1,ROUND(Keys!$C$2/(INDEX(Src_SYSHECF_nuclear!$I$5:$I$292,MATCH($C214,Src_SYSHECF_nuclear!$C$5:$C$292,0))*$E214),Keys!$C$5),Keys!$C$4)</f>
        <v>0.97170000000000001</v>
      </c>
      <c r="L214">
        <f>IF($D214=1,ROUND(Keys!$C$2/(INDEX(Src_SYSHECF_nuclear!$J$5:$J$292,MATCH($C214,Src_SYSHECF_nuclear!$C$5:$C$292,0))*$E214),Keys!$C$5),Keys!$C$4)</f>
        <v>0.95469999999999999</v>
      </c>
      <c r="M214">
        <f>IF($D214=1,ROUND(Keys!$C$2/(INDEX(Src_SYSHECF_nuclear!$K$5:$K$292,MATCH($C214,Src_SYSHECF_nuclear!$C$5:$C$292,0))*$E214),Keys!$C$5),Keys!$C$4)</f>
        <v>0.95089999999999997</v>
      </c>
      <c r="N214">
        <f>IF($D214=1,ROUND(Keys!$C$2/(INDEX(Src_SYSHECF_nuclear!$L$5:$L$292,MATCH($C214,Src_SYSHECF_nuclear!$C$5:$C$292,0))*$E214),Keys!$C$5),Keys!$C$4)</f>
        <v>0.94440000000000002</v>
      </c>
      <c r="O214">
        <f>IF($D214=1,ROUND(Keys!$C$2/(INDEX(Src_SYSHECF_nuclear!$M$5:$M$292,MATCH($C214,Src_SYSHECF_nuclear!$C$5:$C$292,0))*$E214),Keys!$C$5),Keys!$C$4)</f>
        <v>0.92700000000000005</v>
      </c>
      <c r="P214">
        <f>IF($D214=1,ROUND(Keys!$C$2/(INDEX(Src_SYSHECF_nuclear!$N$5:$N$292,MATCH($C214,Src_SYSHECF_nuclear!$C$5:$C$292,0))*$E214),Keys!$C$5),Keys!$C$4)</f>
        <v>0.92700000000000005</v>
      </c>
      <c r="Q214">
        <f>IF($D214=1,ROUND(Keys!$C$2/(INDEX(Src_SYSHECF_nuclear!$O$5:$O$292,MATCH($C214,Src_SYSHECF_nuclear!$C$5:$C$292,0))*$E214),Keys!$C$5),Keys!$C$4)</f>
        <v>0.92589999999999995</v>
      </c>
      <c r="R214">
        <f>IF($D214=1,ROUND(Keys!$C$2/(INDEX(Src_SYSHECF_nuclear!$P$5:$P$292,MATCH($C214,Src_SYSHECF_nuclear!$C$5:$C$292,0))*$E214),Keys!$C$5),Keys!$C$4)</f>
        <v>0.94340000000000002</v>
      </c>
      <c r="S214">
        <f>IF($D214=1,ROUND(Keys!$C$2/(INDEX(Src_SYSHECF_nuclear!$Q$5:$Q$292,MATCH($C214,Src_SYSHECF_nuclear!$C$5:$C$292,0))*$E214),Keys!$C$5),Keys!$C$4)</f>
        <v>0.94720000000000004</v>
      </c>
      <c r="T214">
        <f>IF($D214=1,ROUND(Keys!$C$2/(INDEX(Src_SYSHECF_nuclear!$R$5:$R$292,MATCH($C214,Src_SYSHECF_nuclear!$C$5:$C$292,0))*$E214),Keys!$C$5),Keys!$C$4)</f>
        <v>0.94720000000000004</v>
      </c>
      <c r="U214">
        <f>IF($D214=1,ROUND(Keys!$C$2/(INDEX(Src_SYSHECF_nuclear!$S$5:$S$292,MATCH($C214,Src_SYSHECF_nuclear!$C$5:$C$292,0))*$E214),Keys!$C$5),Keys!$C$4)</f>
        <v>0.94359999999999999</v>
      </c>
      <c r="V214">
        <f>IF($D214=1,ROUND(Keys!$C$2/(INDEX(Src_SYSHECF_nuclear!$T$5:$T$292,MATCH($C214,Src_SYSHECF_nuclear!$C$5:$C$292,0))*$E214),Keys!$C$5),Keys!$C$4)</f>
        <v>0.92400000000000004</v>
      </c>
      <c r="W214">
        <f>IF($D214=1,ROUND(Keys!$C$2/(INDEX(Src_SYSHECF_nuclear!$U$5:$U$292,MATCH($C214,Src_SYSHECF_nuclear!$C$5:$C$292,0))*$E214),Keys!$C$5),Keys!$C$4)</f>
        <v>0.91849999999999998</v>
      </c>
      <c r="X214">
        <f>IF($D214=1,ROUND(Keys!$C$2/(INDEX(Src_SYSHECF_nuclear!$V$5:$V$292,MATCH($C214,Src_SYSHECF_nuclear!$C$5:$C$292,0))*$E214),Keys!$C$5),Keys!$C$4)</f>
        <v>0.91539999999999999</v>
      </c>
      <c r="Y214">
        <f>IF($D214=1,ROUND(Keys!$C$2/(INDEX(Src_SYSHECF_nuclear!$W$5:$W$292,MATCH($C214,Src_SYSHECF_nuclear!$C$5:$C$292,0))*$E214),Keys!$C$5),Keys!$C$4)</f>
        <v>0.92230000000000001</v>
      </c>
      <c r="Z214">
        <f>IF($D214=1,ROUND(Keys!$C$2/(INDEX(Src_SYSHECF_nuclear!$X$5:$X$292,MATCH($C214,Src_SYSHECF_nuclear!$C$5:$C$292,0))*$E214),Keys!$C$5),Keys!$C$4)</f>
        <v>0.92930000000000001</v>
      </c>
      <c r="AA214">
        <f>IF($D214=1,ROUND(Keys!$C$2/(INDEX(Src_SYSHECF_nuclear!$Y$5:$Y$292,MATCH($C214,Src_SYSHECF_nuclear!$C$5:$C$292,0))*$E214),Keys!$C$5),Keys!$C$4)</f>
        <v>0.93459999999999999</v>
      </c>
      <c r="AB214">
        <f>IF($D214=1,ROUND(Keys!$C$2/(INDEX(Src_SYSHECF_nuclear!$Z$5:$Z$292,MATCH($C214,Src_SYSHECF_nuclear!$C$5:$C$292,0))*$E214),Keys!$C$5),Keys!$C$4)</f>
        <v>0.96209999999999996</v>
      </c>
      <c r="AC214">
        <f>IF($D214=1,ROUND(Keys!$C$2/(INDEX(Src_SYSHECF_nuclear!$AA$5:$AA$292,MATCH($C214,Src_SYSHECF_nuclear!$C$5:$C$292,0))*$E214),Keys!$C$5),Keys!$C$4)</f>
        <v>0.97740000000000005</v>
      </c>
      <c r="AE214">
        <f>IF($D214=1,IF(ABS(INDEX(Src_SYSHECF_nuclear!$D$5:$D$292,MATCH($C214,Src_SYSHECF_nuclear!$C$5:$C$292,0))*$E214*F214-Keys!$C$2)&gt;Keys!$C$6,1,0),0)</f>
        <v>0</v>
      </c>
    </row>
    <row r="215" spans="1:31" x14ac:dyDescent="0.45">
      <c r="A215" t="s">
        <v>76</v>
      </c>
      <c r="B215" t="s">
        <v>427</v>
      </c>
      <c r="C215" t="str">
        <f t="shared" si="3"/>
        <v>NE|Fall</v>
      </c>
      <c r="D215">
        <f>INDEX(Src_BHRaSYC_nuclear!$HF$5:$HF$52,MATCH($A215,Src_BHRaSYC_nuclear!$A$5:$A$52,0))</f>
        <v>1</v>
      </c>
      <c r="E215">
        <f>INDEX(Src_HYECFCA_nuclear!$B$5:$B$52,MATCH($A215,Src_HYECFCA_nuclear!$A$5:$A$52,0))</f>
        <v>1.06549</v>
      </c>
      <c r="F215">
        <f>IF($D215=1,ROUND(Keys!$C$2/(INDEX(Src_SYSHECF_nuclear!$D$5:$D$292,MATCH($C215,Src_SYSHECF_nuclear!$C$5:$C$292,0))*$E215),Keys!$C$5),Keys!$C$4)</f>
        <v>0.93410000000000004</v>
      </c>
      <c r="G215">
        <f>IF($D215=1,ROUND(Keys!$C$2/(INDEX(Src_SYSHECF_nuclear!$E$5:$E$292,MATCH($C215,Src_SYSHECF_nuclear!$C$5:$C$292,0))*$E215),Keys!$C$5),Keys!$C$4)</f>
        <v>0.91859999999999997</v>
      </c>
      <c r="H215">
        <f>IF($D215=1,ROUND(Keys!$C$2/(INDEX(Src_SYSHECF_nuclear!$F$5:$F$292,MATCH($C215,Src_SYSHECF_nuclear!$C$5:$C$292,0))*$E215),Keys!$C$5),Keys!$C$4)</f>
        <v>0.9254</v>
      </c>
      <c r="I215">
        <f>IF($D215=1,ROUND(Keys!$C$2/(INDEX(Src_SYSHECF_nuclear!$G$5:$G$292,MATCH($C215,Src_SYSHECF_nuclear!$C$5:$C$292,0))*$E215),Keys!$C$5),Keys!$C$4)</f>
        <v>0.91859999999999997</v>
      </c>
      <c r="J215">
        <f>IF($D215=1,ROUND(Keys!$C$2/(INDEX(Src_SYSHECF_nuclear!$H$5:$H$292,MATCH($C215,Src_SYSHECF_nuclear!$C$5:$C$292,0))*$E215),Keys!$C$5),Keys!$C$4)</f>
        <v>0.91510000000000002</v>
      </c>
      <c r="K215">
        <f>IF($D215=1,ROUND(Keys!$C$2/(INDEX(Src_SYSHECF_nuclear!$I$5:$I$292,MATCH($C215,Src_SYSHECF_nuclear!$C$5:$C$292,0))*$E215),Keys!$C$5),Keys!$C$4)</f>
        <v>0.91510000000000002</v>
      </c>
      <c r="L215">
        <f>IF($D215=1,ROUND(Keys!$C$2/(INDEX(Src_SYSHECF_nuclear!$J$5:$J$292,MATCH($C215,Src_SYSHECF_nuclear!$C$5:$C$292,0))*$E215),Keys!$C$5),Keys!$C$4)</f>
        <v>0.91510000000000002</v>
      </c>
      <c r="M215">
        <f>IF($D215=1,ROUND(Keys!$C$2/(INDEX(Src_SYSHECF_nuclear!$K$5:$K$292,MATCH($C215,Src_SYSHECF_nuclear!$C$5:$C$292,0))*$E215),Keys!$C$5),Keys!$C$4)</f>
        <v>0.91510000000000002</v>
      </c>
      <c r="N215">
        <f>IF($D215=1,ROUND(Keys!$C$2/(INDEX(Src_SYSHECF_nuclear!$L$5:$L$292,MATCH($C215,Src_SYSHECF_nuclear!$C$5:$C$292,0))*$E215),Keys!$C$5),Keys!$C$4)</f>
        <v>0.91510000000000002</v>
      </c>
      <c r="O215">
        <f>IF($D215=1,ROUND(Keys!$C$2/(INDEX(Src_SYSHECF_nuclear!$M$5:$M$292,MATCH($C215,Src_SYSHECF_nuclear!$C$5:$C$292,0))*$E215),Keys!$C$5),Keys!$C$4)</f>
        <v>0.91510000000000002</v>
      </c>
      <c r="P215">
        <f>IF($D215=1,ROUND(Keys!$C$2/(INDEX(Src_SYSHECF_nuclear!$N$5:$N$292,MATCH($C215,Src_SYSHECF_nuclear!$C$5:$C$292,0))*$E215),Keys!$C$5),Keys!$C$4)</f>
        <v>0.91510000000000002</v>
      </c>
      <c r="Q215">
        <f>IF($D215=1,ROUND(Keys!$C$2/(INDEX(Src_SYSHECF_nuclear!$O$5:$O$292,MATCH($C215,Src_SYSHECF_nuclear!$C$5:$C$292,0))*$E215),Keys!$C$5),Keys!$C$4)</f>
        <v>0.91510000000000002</v>
      </c>
      <c r="R215">
        <f>IF($D215=1,ROUND(Keys!$C$2/(INDEX(Src_SYSHECF_nuclear!$P$5:$P$292,MATCH($C215,Src_SYSHECF_nuclear!$C$5:$C$292,0))*$E215),Keys!$C$5),Keys!$C$4)</f>
        <v>0.91510000000000002</v>
      </c>
      <c r="S215">
        <f>IF($D215=1,ROUND(Keys!$C$2/(INDEX(Src_SYSHECF_nuclear!$Q$5:$Q$292,MATCH($C215,Src_SYSHECF_nuclear!$C$5:$C$292,0))*$E215),Keys!$C$5),Keys!$C$4)</f>
        <v>0.91510000000000002</v>
      </c>
      <c r="T215">
        <f>IF($D215=1,ROUND(Keys!$C$2/(INDEX(Src_SYSHECF_nuclear!$R$5:$R$292,MATCH($C215,Src_SYSHECF_nuclear!$C$5:$C$292,0))*$E215),Keys!$C$5),Keys!$C$4)</f>
        <v>0.91510000000000002</v>
      </c>
      <c r="U215">
        <f>IF($D215=1,ROUND(Keys!$C$2/(INDEX(Src_SYSHECF_nuclear!$S$5:$S$292,MATCH($C215,Src_SYSHECF_nuclear!$C$5:$C$292,0))*$E215),Keys!$C$5),Keys!$C$4)</f>
        <v>0.91510000000000002</v>
      </c>
      <c r="V215">
        <f>IF($D215=1,ROUND(Keys!$C$2/(INDEX(Src_SYSHECF_nuclear!$T$5:$T$292,MATCH($C215,Src_SYSHECF_nuclear!$C$5:$C$292,0))*$E215),Keys!$C$5),Keys!$C$4)</f>
        <v>0.91510000000000002</v>
      </c>
      <c r="W215">
        <f>IF($D215=1,ROUND(Keys!$C$2/(INDEX(Src_SYSHECF_nuclear!$U$5:$U$292,MATCH($C215,Src_SYSHECF_nuclear!$C$5:$C$292,0))*$E215),Keys!$C$5),Keys!$C$4)</f>
        <v>0.91510000000000002</v>
      </c>
      <c r="X215">
        <f>IF($D215=1,ROUND(Keys!$C$2/(INDEX(Src_SYSHECF_nuclear!$V$5:$V$292,MATCH($C215,Src_SYSHECF_nuclear!$C$5:$C$292,0))*$E215),Keys!$C$5),Keys!$C$4)</f>
        <v>0.91510000000000002</v>
      </c>
      <c r="Y215">
        <f>IF($D215=1,ROUND(Keys!$C$2/(INDEX(Src_SYSHECF_nuclear!$W$5:$W$292,MATCH($C215,Src_SYSHECF_nuclear!$C$5:$C$292,0))*$E215),Keys!$C$5),Keys!$C$4)</f>
        <v>0.91510000000000002</v>
      </c>
      <c r="Z215">
        <f>IF($D215=1,ROUND(Keys!$C$2/(INDEX(Src_SYSHECF_nuclear!$X$5:$X$292,MATCH($C215,Src_SYSHECF_nuclear!$C$5:$C$292,0))*$E215),Keys!$C$5),Keys!$C$4)</f>
        <v>0.91510000000000002</v>
      </c>
      <c r="AA215">
        <f>IF($D215=1,ROUND(Keys!$C$2/(INDEX(Src_SYSHECF_nuclear!$Y$5:$Y$292,MATCH($C215,Src_SYSHECF_nuclear!$C$5:$C$292,0))*$E215),Keys!$C$5),Keys!$C$4)</f>
        <v>0.91510000000000002</v>
      </c>
      <c r="AB215">
        <f>IF($D215=1,ROUND(Keys!$C$2/(INDEX(Src_SYSHECF_nuclear!$Z$5:$Z$292,MATCH($C215,Src_SYSHECF_nuclear!$C$5:$C$292,0))*$E215),Keys!$C$5),Keys!$C$4)</f>
        <v>0.91510000000000002</v>
      </c>
      <c r="AC215">
        <f>IF($D215=1,ROUND(Keys!$C$2/(INDEX(Src_SYSHECF_nuclear!$AA$5:$AA$292,MATCH($C215,Src_SYSHECF_nuclear!$C$5:$C$292,0))*$E215),Keys!$C$5),Keys!$C$4)</f>
        <v>0.91510000000000002</v>
      </c>
      <c r="AE215">
        <f>IF($D215=1,IF(ABS(INDEX(Src_SYSHECF_nuclear!$D$5:$D$292,MATCH($C215,Src_SYSHECF_nuclear!$C$5:$C$292,0))*$E215*F215-Keys!$C$2)&gt;Keys!$C$6,1,0),0)</f>
        <v>0</v>
      </c>
    </row>
    <row r="216" spans="1:31" x14ac:dyDescent="0.45">
      <c r="A216" t="s">
        <v>76</v>
      </c>
      <c r="B216" t="s">
        <v>428</v>
      </c>
      <c r="C216" t="str">
        <f t="shared" si="3"/>
        <v>NE|Summer Peak</v>
      </c>
      <c r="D216">
        <f>INDEX(Src_BHRaSYC_nuclear!$HF$5:$HF$52,MATCH($A216,Src_BHRaSYC_nuclear!$A$5:$A$52,0))</f>
        <v>1</v>
      </c>
      <c r="E216">
        <f>INDEX(Src_HYECFCA_nuclear!$B$5:$B$52,MATCH($A216,Src_HYECFCA_nuclear!$A$5:$A$52,0))</f>
        <v>1.06549</v>
      </c>
      <c r="F216">
        <f>IF($D216=1,ROUND(Keys!$C$2/(INDEX(Src_SYSHECF_nuclear!$D$5:$D$292,MATCH($C216,Src_SYSHECF_nuclear!$C$5:$C$292,0))*$E216),Keys!$C$5),Keys!$C$4)</f>
        <v>0.91510000000000002</v>
      </c>
      <c r="G216">
        <f>IF($D216=1,ROUND(Keys!$C$2/(INDEX(Src_SYSHECF_nuclear!$E$5:$E$292,MATCH($C216,Src_SYSHECF_nuclear!$C$5:$C$292,0))*$E216),Keys!$C$5),Keys!$C$4)</f>
        <v>0.91510000000000002</v>
      </c>
      <c r="H216">
        <f>IF($D216=1,ROUND(Keys!$C$2/(INDEX(Src_SYSHECF_nuclear!$F$5:$F$292,MATCH($C216,Src_SYSHECF_nuclear!$C$5:$C$292,0))*$E216),Keys!$C$5),Keys!$C$4)</f>
        <v>0.91510000000000002</v>
      </c>
      <c r="I216">
        <f>IF($D216=1,ROUND(Keys!$C$2/(INDEX(Src_SYSHECF_nuclear!$G$5:$G$292,MATCH($C216,Src_SYSHECF_nuclear!$C$5:$C$292,0))*$E216),Keys!$C$5),Keys!$C$4)</f>
        <v>0.91510000000000002</v>
      </c>
      <c r="J216">
        <f>IF($D216=1,ROUND(Keys!$C$2/(INDEX(Src_SYSHECF_nuclear!$H$5:$H$292,MATCH($C216,Src_SYSHECF_nuclear!$C$5:$C$292,0))*$E216),Keys!$C$5),Keys!$C$4)</f>
        <v>0.91510000000000002</v>
      </c>
      <c r="K216">
        <f>IF($D216=1,ROUND(Keys!$C$2/(INDEX(Src_SYSHECF_nuclear!$I$5:$I$292,MATCH($C216,Src_SYSHECF_nuclear!$C$5:$C$292,0))*$E216),Keys!$C$5),Keys!$C$4)</f>
        <v>0.91510000000000002</v>
      </c>
      <c r="L216">
        <f>IF($D216=1,ROUND(Keys!$C$2/(INDEX(Src_SYSHECF_nuclear!$J$5:$J$292,MATCH($C216,Src_SYSHECF_nuclear!$C$5:$C$292,0))*$E216),Keys!$C$5),Keys!$C$4)</f>
        <v>0.91510000000000002</v>
      </c>
      <c r="M216">
        <f>IF($D216=1,ROUND(Keys!$C$2/(INDEX(Src_SYSHECF_nuclear!$K$5:$K$292,MATCH($C216,Src_SYSHECF_nuclear!$C$5:$C$292,0))*$E216),Keys!$C$5),Keys!$C$4)</f>
        <v>0.91510000000000002</v>
      </c>
      <c r="N216">
        <f>IF($D216=1,ROUND(Keys!$C$2/(INDEX(Src_SYSHECF_nuclear!$L$5:$L$292,MATCH($C216,Src_SYSHECF_nuclear!$C$5:$C$292,0))*$E216),Keys!$C$5),Keys!$C$4)</f>
        <v>0.91510000000000002</v>
      </c>
      <c r="O216">
        <f>IF($D216=1,ROUND(Keys!$C$2/(INDEX(Src_SYSHECF_nuclear!$M$5:$M$292,MATCH($C216,Src_SYSHECF_nuclear!$C$5:$C$292,0))*$E216),Keys!$C$5),Keys!$C$4)</f>
        <v>0.91510000000000002</v>
      </c>
      <c r="P216">
        <f>IF($D216=1,ROUND(Keys!$C$2/(INDEX(Src_SYSHECF_nuclear!$N$5:$N$292,MATCH($C216,Src_SYSHECF_nuclear!$C$5:$C$292,0))*$E216),Keys!$C$5),Keys!$C$4)</f>
        <v>0.91510000000000002</v>
      </c>
      <c r="Q216">
        <f>IF($D216=1,ROUND(Keys!$C$2/(INDEX(Src_SYSHECF_nuclear!$O$5:$O$292,MATCH($C216,Src_SYSHECF_nuclear!$C$5:$C$292,0))*$E216),Keys!$C$5),Keys!$C$4)</f>
        <v>0.91510000000000002</v>
      </c>
      <c r="R216">
        <f>IF($D216=1,ROUND(Keys!$C$2/(INDEX(Src_SYSHECF_nuclear!$P$5:$P$292,MATCH($C216,Src_SYSHECF_nuclear!$C$5:$C$292,0))*$E216),Keys!$C$5),Keys!$C$4)</f>
        <v>0.91510000000000002</v>
      </c>
      <c r="S216">
        <f>IF($D216=1,ROUND(Keys!$C$2/(INDEX(Src_SYSHECF_nuclear!$Q$5:$Q$292,MATCH($C216,Src_SYSHECF_nuclear!$C$5:$C$292,0))*$E216),Keys!$C$5),Keys!$C$4)</f>
        <v>0.91510000000000002</v>
      </c>
      <c r="T216">
        <f>IF($D216=1,ROUND(Keys!$C$2/(INDEX(Src_SYSHECF_nuclear!$R$5:$R$292,MATCH($C216,Src_SYSHECF_nuclear!$C$5:$C$292,0))*$E216),Keys!$C$5),Keys!$C$4)</f>
        <v>0.91510000000000002</v>
      </c>
      <c r="U216">
        <f>IF($D216=1,ROUND(Keys!$C$2/(INDEX(Src_SYSHECF_nuclear!$S$5:$S$292,MATCH($C216,Src_SYSHECF_nuclear!$C$5:$C$292,0))*$E216),Keys!$C$5),Keys!$C$4)</f>
        <v>0.91510000000000002</v>
      </c>
      <c r="V216">
        <f>IF($D216=1,ROUND(Keys!$C$2/(INDEX(Src_SYSHECF_nuclear!$T$5:$T$292,MATCH($C216,Src_SYSHECF_nuclear!$C$5:$C$292,0))*$E216),Keys!$C$5),Keys!$C$4)</f>
        <v>0.91510000000000002</v>
      </c>
      <c r="W216">
        <f>IF($D216=1,ROUND(Keys!$C$2/(INDEX(Src_SYSHECF_nuclear!$U$5:$U$292,MATCH($C216,Src_SYSHECF_nuclear!$C$5:$C$292,0))*$E216),Keys!$C$5),Keys!$C$4)</f>
        <v>0.91510000000000002</v>
      </c>
      <c r="X216">
        <f>IF($D216=1,ROUND(Keys!$C$2/(INDEX(Src_SYSHECF_nuclear!$V$5:$V$292,MATCH($C216,Src_SYSHECF_nuclear!$C$5:$C$292,0))*$E216),Keys!$C$5),Keys!$C$4)</f>
        <v>0.91510000000000002</v>
      </c>
      <c r="Y216">
        <f>IF($D216=1,ROUND(Keys!$C$2/(INDEX(Src_SYSHECF_nuclear!$W$5:$W$292,MATCH($C216,Src_SYSHECF_nuclear!$C$5:$C$292,0))*$E216),Keys!$C$5),Keys!$C$4)</f>
        <v>0.91510000000000002</v>
      </c>
      <c r="Z216">
        <f>IF($D216=1,ROUND(Keys!$C$2/(INDEX(Src_SYSHECF_nuclear!$X$5:$X$292,MATCH($C216,Src_SYSHECF_nuclear!$C$5:$C$292,0))*$E216),Keys!$C$5),Keys!$C$4)</f>
        <v>0.91510000000000002</v>
      </c>
      <c r="AA216">
        <f>IF($D216=1,ROUND(Keys!$C$2/(INDEX(Src_SYSHECF_nuclear!$Y$5:$Y$292,MATCH($C216,Src_SYSHECF_nuclear!$C$5:$C$292,0))*$E216),Keys!$C$5),Keys!$C$4)</f>
        <v>0.91510000000000002</v>
      </c>
      <c r="AB216">
        <f>IF($D216=1,ROUND(Keys!$C$2/(INDEX(Src_SYSHECF_nuclear!$Z$5:$Z$292,MATCH($C216,Src_SYSHECF_nuclear!$C$5:$C$292,0))*$E216),Keys!$C$5),Keys!$C$4)</f>
        <v>0.91510000000000002</v>
      </c>
      <c r="AC216">
        <f>IF($D216=1,ROUND(Keys!$C$2/(INDEX(Src_SYSHECF_nuclear!$AA$5:$AA$292,MATCH($C216,Src_SYSHECF_nuclear!$C$5:$C$292,0))*$E216),Keys!$C$5),Keys!$C$4)</f>
        <v>0.91510000000000002</v>
      </c>
      <c r="AE216">
        <f>IF($D216=1,IF(ABS(INDEX(Src_SYSHECF_nuclear!$D$5:$D$292,MATCH($C216,Src_SYSHECF_nuclear!$C$5:$C$292,0))*$E216*F216-Keys!$C$2)&gt;Keys!$C$6,1,0),0)</f>
        <v>0</v>
      </c>
    </row>
    <row r="217" spans="1:31" x14ac:dyDescent="0.45">
      <c r="A217" t="s">
        <v>76</v>
      </c>
      <c r="B217" t="s">
        <v>429</v>
      </c>
      <c r="C217" t="str">
        <f t="shared" si="3"/>
        <v>NE|Winter Peak</v>
      </c>
      <c r="D217">
        <f>INDEX(Src_BHRaSYC_nuclear!$HF$5:$HF$52,MATCH($A217,Src_BHRaSYC_nuclear!$A$5:$A$52,0))</f>
        <v>1</v>
      </c>
      <c r="E217">
        <f>INDEX(Src_HYECFCA_nuclear!$B$5:$B$52,MATCH($A217,Src_HYECFCA_nuclear!$A$5:$A$52,0))</f>
        <v>1.06549</v>
      </c>
      <c r="F217">
        <f>IF($D217=1,ROUND(Keys!$C$2/(INDEX(Src_SYSHECF_nuclear!$D$5:$D$292,MATCH($C217,Src_SYSHECF_nuclear!$C$5:$C$292,0))*$E217),Keys!$C$5),Keys!$C$4)</f>
        <v>1.0238</v>
      </c>
      <c r="G217">
        <f>IF($D217=1,ROUND(Keys!$C$2/(INDEX(Src_SYSHECF_nuclear!$E$5:$E$292,MATCH($C217,Src_SYSHECF_nuclear!$C$5:$C$292,0))*$E217),Keys!$C$5),Keys!$C$4)</f>
        <v>1.0752999999999999</v>
      </c>
      <c r="H217">
        <f>IF($D217=1,ROUND(Keys!$C$2/(INDEX(Src_SYSHECF_nuclear!$F$5:$F$292,MATCH($C217,Src_SYSHECF_nuclear!$C$5:$C$292,0))*$E217),Keys!$C$5),Keys!$C$4)</f>
        <v>1.0931</v>
      </c>
      <c r="I217">
        <f>IF($D217=1,ROUND(Keys!$C$2/(INDEX(Src_SYSHECF_nuclear!$G$5:$G$292,MATCH($C217,Src_SYSHECF_nuclear!$C$5:$C$292,0))*$E217),Keys!$C$5),Keys!$C$4)</f>
        <v>1.069</v>
      </c>
      <c r="J217">
        <f>IF($D217=1,ROUND(Keys!$C$2/(INDEX(Src_SYSHECF_nuclear!$H$5:$H$292,MATCH($C217,Src_SYSHECF_nuclear!$C$5:$C$292,0))*$E217),Keys!$C$5),Keys!$C$4)</f>
        <v>1.069</v>
      </c>
      <c r="K217">
        <f>IF($D217=1,ROUND(Keys!$C$2/(INDEX(Src_SYSHECF_nuclear!$I$5:$I$292,MATCH($C217,Src_SYSHECF_nuclear!$C$5:$C$292,0))*$E217),Keys!$C$5),Keys!$C$4)</f>
        <v>1.0025999999999999</v>
      </c>
      <c r="L217">
        <f>IF($D217=1,ROUND(Keys!$C$2/(INDEX(Src_SYSHECF_nuclear!$J$5:$J$292,MATCH($C217,Src_SYSHECF_nuclear!$C$5:$C$292,0))*$E217),Keys!$C$5),Keys!$C$4)</f>
        <v>0.92600000000000005</v>
      </c>
      <c r="M217">
        <f>IF($D217=1,ROUND(Keys!$C$2/(INDEX(Src_SYSHECF_nuclear!$K$5:$K$292,MATCH($C217,Src_SYSHECF_nuclear!$C$5:$C$292,0))*$E217),Keys!$C$5),Keys!$C$4)</f>
        <v>0.92579999999999996</v>
      </c>
      <c r="N217">
        <f>IF($D217=1,ROUND(Keys!$C$2/(INDEX(Src_SYSHECF_nuclear!$L$5:$L$292,MATCH($C217,Src_SYSHECF_nuclear!$C$5:$C$292,0))*$E217),Keys!$C$5),Keys!$C$4)</f>
        <v>0.92600000000000005</v>
      </c>
      <c r="O217">
        <f>IF($D217=1,ROUND(Keys!$C$2/(INDEX(Src_SYSHECF_nuclear!$M$5:$M$292,MATCH($C217,Src_SYSHECF_nuclear!$C$5:$C$292,0))*$E217),Keys!$C$5),Keys!$C$4)</f>
        <v>0.91510000000000002</v>
      </c>
      <c r="P217">
        <f>IF($D217=1,ROUND(Keys!$C$2/(INDEX(Src_SYSHECF_nuclear!$N$5:$N$292,MATCH($C217,Src_SYSHECF_nuclear!$C$5:$C$292,0))*$E217),Keys!$C$5),Keys!$C$4)</f>
        <v>0.91510000000000002</v>
      </c>
      <c r="Q217">
        <f>IF($D217=1,ROUND(Keys!$C$2/(INDEX(Src_SYSHECF_nuclear!$O$5:$O$292,MATCH($C217,Src_SYSHECF_nuclear!$C$5:$C$292,0))*$E217),Keys!$C$5),Keys!$C$4)</f>
        <v>0.91510000000000002</v>
      </c>
      <c r="R217">
        <f>IF($D217=1,ROUND(Keys!$C$2/(INDEX(Src_SYSHECF_nuclear!$P$5:$P$292,MATCH($C217,Src_SYSHECF_nuclear!$C$5:$C$292,0))*$E217),Keys!$C$5),Keys!$C$4)</f>
        <v>0.91510000000000002</v>
      </c>
      <c r="S217">
        <f>IF($D217=1,ROUND(Keys!$C$2/(INDEX(Src_SYSHECF_nuclear!$Q$5:$Q$292,MATCH($C217,Src_SYSHECF_nuclear!$C$5:$C$292,0))*$E217),Keys!$C$5),Keys!$C$4)</f>
        <v>0.91510000000000002</v>
      </c>
      <c r="T217">
        <f>IF($D217=1,ROUND(Keys!$C$2/(INDEX(Src_SYSHECF_nuclear!$R$5:$R$292,MATCH($C217,Src_SYSHECF_nuclear!$C$5:$C$292,0))*$E217),Keys!$C$5),Keys!$C$4)</f>
        <v>0.91510000000000002</v>
      </c>
      <c r="U217">
        <f>IF($D217=1,ROUND(Keys!$C$2/(INDEX(Src_SYSHECF_nuclear!$S$5:$S$292,MATCH($C217,Src_SYSHECF_nuclear!$C$5:$C$292,0))*$E217),Keys!$C$5),Keys!$C$4)</f>
        <v>0.91510000000000002</v>
      </c>
      <c r="V217">
        <f>IF($D217=1,ROUND(Keys!$C$2/(INDEX(Src_SYSHECF_nuclear!$T$5:$T$292,MATCH($C217,Src_SYSHECF_nuclear!$C$5:$C$292,0))*$E217),Keys!$C$5),Keys!$C$4)</f>
        <v>0.91510000000000002</v>
      </c>
      <c r="W217">
        <f>IF($D217=1,ROUND(Keys!$C$2/(INDEX(Src_SYSHECF_nuclear!$U$5:$U$292,MATCH($C217,Src_SYSHECF_nuclear!$C$5:$C$292,0))*$E217),Keys!$C$5),Keys!$C$4)</f>
        <v>0.91510000000000002</v>
      </c>
      <c r="X217">
        <f>IF($D217=1,ROUND(Keys!$C$2/(INDEX(Src_SYSHECF_nuclear!$V$5:$V$292,MATCH($C217,Src_SYSHECF_nuclear!$C$5:$C$292,0))*$E217),Keys!$C$5),Keys!$C$4)</f>
        <v>0.91510000000000002</v>
      </c>
      <c r="Y217">
        <f>IF($D217=1,ROUND(Keys!$C$2/(INDEX(Src_SYSHECF_nuclear!$W$5:$W$292,MATCH($C217,Src_SYSHECF_nuclear!$C$5:$C$292,0))*$E217),Keys!$C$5),Keys!$C$4)</f>
        <v>0.91510000000000002</v>
      </c>
      <c r="Z217">
        <f>IF($D217=1,ROUND(Keys!$C$2/(INDEX(Src_SYSHECF_nuclear!$X$5:$X$292,MATCH($C217,Src_SYSHECF_nuclear!$C$5:$C$292,0))*$E217),Keys!$C$5),Keys!$C$4)</f>
        <v>0.91510000000000002</v>
      </c>
      <c r="AA217">
        <f>IF($D217=1,ROUND(Keys!$C$2/(INDEX(Src_SYSHECF_nuclear!$Y$5:$Y$292,MATCH($C217,Src_SYSHECF_nuclear!$C$5:$C$292,0))*$E217),Keys!$C$5),Keys!$C$4)</f>
        <v>0.91510000000000002</v>
      </c>
      <c r="AB217">
        <f>IF($D217=1,ROUND(Keys!$C$2/(INDEX(Src_SYSHECF_nuclear!$Z$5:$Z$292,MATCH($C217,Src_SYSHECF_nuclear!$C$5:$C$292,0))*$E217),Keys!$C$5),Keys!$C$4)</f>
        <v>0.91510000000000002</v>
      </c>
      <c r="AC217">
        <f>IF($D217=1,ROUND(Keys!$C$2/(INDEX(Src_SYSHECF_nuclear!$AA$5:$AA$292,MATCH($C217,Src_SYSHECF_nuclear!$C$5:$C$292,0))*$E217),Keys!$C$5),Keys!$C$4)</f>
        <v>0.91510000000000002</v>
      </c>
      <c r="AE217">
        <f>IF($D217=1,IF(ABS(INDEX(Src_SYSHECF_nuclear!$D$5:$D$292,MATCH($C217,Src_SYSHECF_nuclear!$C$5:$C$292,0))*$E217*F217-Keys!$C$2)&gt;Keys!$C$6,1,0),0)</f>
        <v>0</v>
      </c>
    </row>
    <row r="218" spans="1:31" x14ac:dyDescent="0.45">
      <c r="A218" t="s">
        <v>78</v>
      </c>
      <c r="B218" t="s">
        <v>424</v>
      </c>
      <c r="C218" t="str">
        <f t="shared" si="3"/>
        <v>NH|Winter</v>
      </c>
      <c r="D218">
        <f>INDEX(Src_BHRaSYC_nuclear!$HF$5:$HF$52,MATCH($A218,Src_BHRaSYC_nuclear!$A$5:$A$52,0))</f>
        <v>1</v>
      </c>
      <c r="E218">
        <f>INDEX(Src_HYECFCA_nuclear!$B$5:$B$52,MATCH($A218,Src_HYECFCA_nuclear!$A$5:$A$52,0))</f>
        <v>1.0611600000000001</v>
      </c>
      <c r="F218">
        <f>IF($D218=1,ROUND(Keys!$C$2/(INDEX(Src_SYSHECF_nuclear!$D$5:$D$292,MATCH($C218,Src_SYSHECF_nuclear!$C$5:$C$292,0))*$E218),Keys!$C$5),Keys!$C$4)</f>
        <v>0.97570000000000001</v>
      </c>
      <c r="G218">
        <f>IF($D218=1,ROUND(Keys!$C$2/(INDEX(Src_SYSHECF_nuclear!$E$5:$E$292,MATCH($C218,Src_SYSHECF_nuclear!$C$5:$C$292,0))*$E218),Keys!$C$5),Keys!$C$4)</f>
        <v>0.97570000000000001</v>
      </c>
      <c r="H218">
        <f>IF($D218=1,ROUND(Keys!$C$2/(INDEX(Src_SYSHECF_nuclear!$F$5:$F$292,MATCH($C218,Src_SYSHECF_nuclear!$C$5:$C$292,0))*$E218),Keys!$C$5),Keys!$C$4)</f>
        <v>0.97570000000000001</v>
      </c>
      <c r="I218">
        <f>IF($D218=1,ROUND(Keys!$C$2/(INDEX(Src_SYSHECF_nuclear!$G$5:$G$292,MATCH($C218,Src_SYSHECF_nuclear!$C$5:$C$292,0))*$E218),Keys!$C$5),Keys!$C$4)</f>
        <v>0.97570000000000001</v>
      </c>
      <c r="J218">
        <f>IF($D218=1,ROUND(Keys!$C$2/(INDEX(Src_SYSHECF_nuclear!$H$5:$H$292,MATCH($C218,Src_SYSHECF_nuclear!$C$5:$C$292,0))*$E218),Keys!$C$5),Keys!$C$4)</f>
        <v>0.97570000000000001</v>
      </c>
      <c r="K218">
        <f>IF($D218=1,ROUND(Keys!$C$2/(INDEX(Src_SYSHECF_nuclear!$I$5:$I$292,MATCH($C218,Src_SYSHECF_nuclear!$C$5:$C$292,0))*$E218),Keys!$C$5),Keys!$C$4)</f>
        <v>0.97570000000000001</v>
      </c>
      <c r="L218">
        <f>IF($D218=1,ROUND(Keys!$C$2/(INDEX(Src_SYSHECF_nuclear!$J$5:$J$292,MATCH($C218,Src_SYSHECF_nuclear!$C$5:$C$292,0))*$E218),Keys!$C$5),Keys!$C$4)</f>
        <v>0.97570000000000001</v>
      </c>
      <c r="M218">
        <f>IF($D218=1,ROUND(Keys!$C$2/(INDEX(Src_SYSHECF_nuclear!$K$5:$K$292,MATCH($C218,Src_SYSHECF_nuclear!$C$5:$C$292,0))*$E218),Keys!$C$5),Keys!$C$4)</f>
        <v>0.97570000000000001</v>
      </c>
      <c r="N218">
        <f>IF($D218=1,ROUND(Keys!$C$2/(INDEX(Src_SYSHECF_nuclear!$L$5:$L$292,MATCH($C218,Src_SYSHECF_nuclear!$C$5:$C$292,0))*$E218),Keys!$C$5),Keys!$C$4)</f>
        <v>0.97570000000000001</v>
      </c>
      <c r="O218">
        <f>IF($D218=1,ROUND(Keys!$C$2/(INDEX(Src_SYSHECF_nuclear!$M$5:$M$292,MATCH($C218,Src_SYSHECF_nuclear!$C$5:$C$292,0))*$E218),Keys!$C$5),Keys!$C$4)</f>
        <v>0.97570000000000001</v>
      </c>
      <c r="P218">
        <f>IF($D218=1,ROUND(Keys!$C$2/(INDEX(Src_SYSHECF_nuclear!$N$5:$N$292,MATCH($C218,Src_SYSHECF_nuclear!$C$5:$C$292,0))*$E218),Keys!$C$5),Keys!$C$4)</f>
        <v>0.97570000000000001</v>
      </c>
      <c r="Q218">
        <f>IF($D218=1,ROUND(Keys!$C$2/(INDEX(Src_SYSHECF_nuclear!$O$5:$O$292,MATCH($C218,Src_SYSHECF_nuclear!$C$5:$C$292,0))*$E218),Keys!$C$5),Keys!$C$4)</f>
        <v>0.97570000000000001</v>
      </c>
      <c r="R218">
        <f>IF($D218=1,ROUND(Keys!$C$2/(INDEX(Src_SYSHECF_nuclear!$P$5:$P$292,MATCH($C218,Src_SYSHECF_nuclear!$C$5:$C$292,0))*$E218),Keys!$C$5),Keys!$C$4)</f>
        <v>0.97570000000000001</v>
      </c>
      <c r="S218">
        <f>IF($D218=1,ROUND(Keys!$C$2/(INDEX(Src_SYSHECF_nuclear!$Q$5:$Q$292,MATCH($C218,Src_SYSHECF_nuclear!$C$5:$C$292,0))*$E218),Keys!$C$5),Keys!$C$4)</f>
        <v>0.97570000000000001</v>
      </c>
      <c r="T218">
        <f>IF($D218=1,ROUND(Keys!$C$2/(INDEX(Src_SYSHECF_nuclear!$R$5:$R$292,MATCH($C218,Src_SYSHECF_nuclear!$C$5:$C$292,0))*$E218),Keys!$C$5),Keys!$C$4)</f>
        <v>0.97570000000000001</v>
      </c>
      <c r="U218">
        <f>IF($D218=1,ROUND(Keys!$C$2/(INDEX(Src_SYSHECF_nuclear!$S$5:$S$292,MATCH($C218,Src_SYSHECF_nuclear!$C$5:$C$292,0))*$E218),Keys!$C$5),Keys!$C$4)</f>
        <v>0.97570000000000001</v>
      </c>
      <c r="V218">
        <f>IF($D218=1,ROUND(Keys!$C$2/(INDEX(Src_SYSHECF_nuclear!$T$5:$T$292,MATCH($C218,Src_SYSHECF_nuclear!$C$5:$C$292,0))*$E218),Keys!$C$5),Keys!$C$4)</f>
        <v>0.97570000000000001</v>
      </c>
      <c r="W218">
        <f>IF($D218=1,ROUND(Keys!$C$2/(INDEX(Src_SYSHECF_nuclear!$U$5:$U$292,MATCH($C218,Src_SYSHECF_nuclear!$C$5:$C$292,0))*$E218),Keys!$C$5),Keys!$C$4)</f>
        <v>0.97570000000000001</v>
      </c>
      <c r="X218">
        <f>IF($D218=1,ROUND(Keys!$C$2/(INDEX(Src_SYSHECF_nuclear!$V$5:$V$292,MATCH($C218,Src_SYSHECF_nuclear!$C$5:$C$292,0))*$E218),Keys!$C$5),Keys!$C$4)</f>
        <v>0.97570000000000001</v>
      </c>
      <c r="Y218">
        <f>IF($D218=1,ROUND(Keys!$C$2/(INDEX(Src_SYSHECF_nuclear!$W$5:$W$292,MATCH($C218,Src_SYSHECF_nuclear!$C$5:$C$292,0))*$E218),Keys!$C$5),Keys!$C$4)</f>
        <v>0.97570000000000001</v>
      </c>
      <c r="Z218">
        <f>IF($D218=1,ROUND(Keys!$C$2/(INDEX(Src_SYSHECF_nuclear!$X$5:$X$292,MATCH($C218,Src_SYSHECF_nuclear!$C$5:$C$292,0))*$E218),Keys!$C$5),Keys!$C$4)</f>
        <v>0.97570000000000001</v>
      </c>
      <c r="AA218">
        <f>IF($D218=1,ROUND(Keys!$C$2/(INDEX(Src_SYSHECF_nuclear!$Y$5:$Y$292,MATCH($C218,Src_SYSHECF_nuclear!$C$5:$C$292,0))*$E218),Keys!$C$5),Keys!$C$4)</f>
        <v>0.97570000000000001</v>
      </c>
      <c r="AB218">
        <f>IF($D218=1,ROUND(Keys!$C$2/(INDEX(Src_SYSHECF_nuclear!$Z$5:$Z$292,MATCH($C218,Src_SYSHECF_nuclear!$C$5:$C$292,0))*$E218),Keys!$C$5),Keys!$C$4)</f>
        <v>0.97570000000000001</v>
      </c>
      <c r="AC218">
        <f>IF($D218=1,ROUND(Keys!$C$2/(INDEX(Src_SYSHECF_nuclear!$AA$5:$AA$292,MATCH($C218,Src_SYSHECF_nuclear!$C$5:$C$292,0))*$E218),Keys!$C$5),Keys!$C$4)</f>
        <v>0.97570000000000001</v>
      </c>
      <c r="AE218">
        <f>IF($D218=1,IF(ABS(INDEX(Src_SYSHECF_nuclear!$D$5:$D$292,MATCH($C218,Src_SYSHECF_nuclear!$C$5:$C$292,0))*$E218*F218-Keys!$C$2)&gt;Keys!$C$6,1,0),0)</f>
        <v>0</v>
      </c>
    </row>
    <row r="219" spans="1:31" x14ac:dyDescent="0.45">
      <c r="A219" t="s">
        <v>78</v>
      </c>
      <c r="B219" t="s">
        <v>425</v>
      </c>
      <c r="C219" t="str">
        <f t="shared" si="3"/>
        <v>NH|Spring</v>
      </c>
      <c r="D219">
        <f>INDEX(Src_BHRaSYC_nuclear!$HF$5:$HF$52,MATCH($A219,Src_BHRaSYC_nuclear!$A$5:$A$52,0))</f>
        <v>1</v>
      </c>
      <c r="E219">
        <f>INDEX(Src_HYECFCA_nuclear!$B$5:$B$52,MATCH($A219,Src_HYECFCA_nuclear!$A$5:$A$52,0))</f>
        <v>1.0611600000000001</v>
      </c>
      <c r="F219">
        <f>IF($D219=1,ROUND(Keys!$C$2/(INDEX(Src_SYSHECF_nuclear!$D$5:$D$292,MATCH($C219,Src_SYSHECF_nuclear!$C$5:$C$292,0))*$E219),Keys!$C$5),Keys!$C$4)</f>
        <v>0.97570000000000001</v>
      </c>
      <c r="G219">
        <f>IF($D219=1,ROUND(Keys!$C$2/(INDEX(Src_SYSHECF_nuclear!$E$5:$E$292,MATCH($C219,Src_SYSHECF_nuclear!$C$5:$C$292,0))*$E219),Keys!$C$5),Keys!$C$4)</f>
        <v>0.97570000000000001</v>
      </c>
      <c r="H219">
        <f>IF($D219=1,ROUND(Keys!$C$2/(INDEX(Src_SYSHECF_nuclear!$F$5:$F$292,MATCH($C219,Src_SYSHECF_nuclear!$C$5:$C$292,0))*$E219),Keys!$C$5),Keys!$C$4)</f>
        <v>0.97570000000000001</v>
      </c>
      <c r="I219">
        <f>IF($D219=1,ROUND(Keys!$C$2/(INDEX(Src_SYSHECF_nuclear!$G$5:$G$292,MATCH($C219,Src_SYSHECF_nuclear!$C$5:$C$292,0))*$E219),Keys!$C$5),Keys!$C$4)</f>
        <v>0.97570000000000001</v>
      </c>
      <c r="J219">
        <f>IF($D219=1,ROUND(Keys!$C$2/(INDEX(Src_SYSHECF_nuclear!$H$5:$H$292,MATCH($C219,Src_SYSHECF_nuclear!$C$5:$C$292,0))*$E219),Keys!$C$5),Keys!$C$4)</f>
        <v>0.97570000000000001</v>
      </c>
      <c r="K219">
        <f>IF($D219=1,ROUND(Keys!$C$2/(INDEX(Src_SYSHECF_nuclear!$I$5:$I$292,MATCH($C219,Src_SYSHECF_nuclear!$C$5:$C$292,0))*$E219),Keys!$C$5),Keys!$C$4)</f>
        <v>0.97570000000000001</v>
      </c>
      <c r="L219">
        <f>IF($D219=1,ROUND(Keys!$C$2/(INDEX(Src_SYSHECF_nuclear!$J$5:$J$292,MATCH($C219,Src_SYSHECF_nuclear!$C$5:$C$292,0))*$E219),Keys!$C$5),Keys!$C$4)</f>
        <v>0.98599999999999999</v>
      </c>
      <c r="M219">
        <f>IF($D219=1,ROUND(Keys!$C$2/(INDEX(Src_SYSHECF_nuclear!$K$5:$K$292,MATCH($C219,Src_SYSHECF_nuclear!$C$5:$C$292,0))*$E219),Keys!$C$5),Keys!$C$4)</f>
        <v>0.98080000000000001</v>
      </c>
      <c r="N219">
        <f>IF($D219=1,ROUND(Keys!$C$2/(INDEX(Src_SYSHECF_nuclear!$L$5:$L$292,MATCH($C219,Src_SYSHECF_nuclear!$C$5:$C$292,0))*$E219),Keys!$C$5),Keys!$C$4)</f>
        <v>0.97570000000000001</v>
      </c>
      <c r="O219">
        <f>IF($D219=1,ROUND(Keys!$C$2/(INDEX(Src_SYSHECF_nuclear!$M$5:$M$292,MATCH($C219,Src_SYSHECF_nuclear!$C$5:$C$292,0))*$E219),Keys!$C$5),Keys!$C$4)</f>
        <v>0.97570000000000001</v>
      </c>
      <c r="P219">
        <f>IF($D219=1,ROUND(Keys!$C$2/(INDEX(Src_SYSHECF_nuclear!$N$5:$N$292,MATCH($C219,Src_SYSHECF_nuclear!$C$5:$C$292,0))*$E219),Keys!$C$5),Keys!$C$4)</f>
        <v>0.97570000000000001</v>
      </c>
      <c r="Q219">
        <f>IF($D219=1,ROUND(Keys!$C$2/(INDEX(Src_SYSHECF_nuclear!$O$5:$O$292,MATCH($C219,Src_SYSHECF_nuclear!$C$5:$C$292,0))*$E219),Keys!$C$5),Keys!$C$4)</f>
        <v>0.97570000000000001</v>
      </c>
      <c r="R219">
        <f>IF($D219=1,ROUND(Keys!$C$2/(INDEX(Src_SYSHECF_nuclear!$P$5:$P$292,MATCH($C219,Src_SYSHECF_nuclear!$C$5:$C$292,0))*$E219),Keys!$C$5),Keys!$C$4)</f>
        <v>0.97570000000000001</v>
      </c>
      <c r="S219">
        <f>IF($D219=1,ROUND(Keys!$C$2/(INDEX(Src_SYSHECF_nuclear!$Q$5:$Q$292,MATCH($C219,Src_SYSHECF_nuclear!$C$5:$C$292,0))*$E219),Keys!$C$5),Keys!$C$4)</f>
        <v>0.97570000000000001</v>
      </c>
      <c r="T219">
        <f>IF($D219=1,ROUND(Keys!$C$2/(INDEX(Src_SYSHECF_nuclear!$R$5:$R$292,MATCH($C219,Src_SYSHECF_nuclear!$C$5:$C$292,0))*$E219),Keys!$C$5),Keys!$C$4)</f>
        <v>0.97570000000000001</v>
      </c>
      <c r="U219">
        <f>IF($D219=1,ROUND(Keys!$C$2/(INDEX(Src_SYSHECF_nuclear!$S$5:$S$292,MATCH($C219,Src_SYSHECF_nuclear!$C$5:$C$292,0))*$E219),Keys!$C$5),Keys!$C$4)</f>
        <v>0.97570000000000001</v>
      </c>
      <c r="V219">
        <f>IF($D219=1,ROUND(Keys!$C$2/(INDEX(Src_SYSHECF_nuclear!$T$5:$T$292,MATCH($C219,Src_SYSHECF_nuclear!$C$5:$C$292,0))*$E219),Keys!$C$5),Keys!$C$4)</f>
        <v>0.97570000000000001</v>
      </c>
      <c r="W219">
        <f>IF($D219=1,ROUND(Keys!$C$2/(INDEX(Src_SYSHECF_nuclear!$U$5:$U$292,MATCH($C219,Src_SYSHECF_nuclear!$C$5:$C$292,0))*$E219),Keys!$C$5),Keys!$C$4)</f>
        <v>0.97570000000000001</v>
      </c>
      <c r="X219">
        <f>IF($D219=1,ROUND(Keys!$C$2/(INDEX(Src_SYSHECF_nuclear!$V$5:$V$292,MATCH($C219,Src_SYSHECF_nuclear!$C$5:$C$292,0))*$E219),Keys!$C$5),Keys!$C$4)</f>
        <v>0.97570000000000001</v>
      </c>
      <c r="Y219">
        <f>IF($D219=1,ROUND(Keys!$C$2/(INDEX(Src_SYSHECF_nuclear!$W$5:$W$292,MATCH($C219,Src_SYSHECF_nuclear!$C$5:$C$292,0))*$E219),Keys!$C$5),Keys!$C$4)</f>
        <v>0.97570000000000001</v>
      </c>
      <c r="Z219">
        <f>IF($D219=1,ROUND(Keys!$C$2/(INDEX(Src_SYSHECF_nuclear!$X$5:$X$292,MATCH($C219,Src_SYSHECF_nuclear!$C$5:$C$292,0))*$E219),Keys!$C$5),Keys!$C$4)</f>
        <v>0.97570000000000001</v>
      </c>
      <c r="AA219">
        <f>IF($D219=1,ROUND(Keys!$C$2/(INDEX(Src_SYSHECF_nuclear!$Y$5:$Y$292,MATCH($C219,Src_SYSHECF_nuclear!$C$5:$C$292,0))*$E219),Keys!$C$5),Keys!$C$4)</f>
        <v>0.97570000000000001</v>
      </c>
      <c r="AB219">
        <f>IF($D219=1,ROUND(Keys!$C$2/(INDEX(Src_SYSHECF_nuclear!$Z$5:$Z$292,MATCH($C219,Src_SYSHECF_nuclear!$C$5:$C$292,0))*$E219),Keys!$C$5),Keys!$C$4)</f>
        <v>0.97570000000000001</v>
      </c>
      <c r="AC219">
        <f>IF($D219=1,ROUND(Keys!$C$2/(INDEX(Src_SYSHECF_nuclear!$AA$5:$AA$292,MATCH($C219,Src_SYSHECF_nuclear!$C$5:$C$292,0))*$E219),Keys!$C$5),Keys!$C$4)</f>
        <v>0.97570000000000001</v>
      </c>
      <c r="AE219">
        <f>IF($D219=1,IF(ABS(INDEX(Src_SYSHECF_nuclear!$D$5:$D$292,MATCH($C219,Src_SYSHECF_nuclear!$C$5:$C$292,0))*$E219*F219-Keys!$C$2)&gt;Keys!$C$6,1,0),0)</f>
        <v>0</v>
      </c>
    </row>
    <row r="220" spans="1:31" x14ac:dyDescent="0.45">
      <c r="A220" t="s">
        <v>78</v>
      </c>
      <c r="B220" t="s">
        <v>426</v>
      </c>
      <c r="C220" t="str">
        <f t="shared" si="3"/>
        <v>NH|Summer</v>
      </c>
      <c r="D220">
        <f>INDEX(Src_BHRaSYC_nuclear!$HF$5:$HF$52,MATCH($A220,Src_BHRaSYC_nuclear!$A$5:$A$52,0))</f>
        <v>1</v>
      </c>
      <c r="E220">
        <f>INDEX(Src_HYECFCA_nuclear!$B$5:$B$52,MATCH($A220,Src_HYECFCA_nuclear!$A$5:$A$52,0))</f>
        <v>1.0611600000000001</v>
      </c>
      <c r="F220">
        <f>IF($D220=1,ROUND(Keys!$C$2/(INDEX(Src_SYSHECF_nuclear!$D$5:$D$292,MATCH($C220,Src_SYSHECF_nuclear!$C$5:$C$292,0))*$E220),Keys!$C$5),Keys!$C$4)</f>
        <v>0.97860000000000003</v>
      </c>
      <c r="G220">
        <f>IF($D220=1,ROUND(Keys!$C$2/(INDEX(Src_SYSHECF_nuclear!$E$5:$E$292,MATCH($C220,Src_SYSHECF_nuclear!$C$5:$C$292,0))*$E220),Keys!$C$5),Keys!$C$4)</f>
        <v>0.97570000000000001</v>
      </c>
      <c r="H220">
        <f>IF($D220=1,ROUND(Keys!$C$2/(INDEX(Src_SYSHECF_nuclear!$F$5:$F$292,MATCH($C220,Src_SYSHECF_nuclear!$C$5:$C$292,0))*$E220),Keys!$C$5),Keys!$C$4)</f>
        <v>0.97570000000000001</v>
      </c>
      <c r="I220">
        <f>IF($D220=1,ROUND(Keys!$C$2/(INDEX(Src_SYSHECF_nuclear!$G$5:$G$292,MATCH($C220,Src_SYSHECF_nuclear!$C$5:$C$292,0))*$E220),Keys!$C$5),Keys!$C$4)</f>
        <v>0.97570000000000001</v>
      </c>
      <c r="J220">
        <f>IF($D220=1,ROUND(Keys!$C$2/(INDEX(Src_SYSHECF_nuclear!$H$5:$H$292,MATCH($C220,Src_SYSHECF_nuclear!$C$5:$C$292,0))*$E220),Keys!$C$5),Keys!$C$4)</f>
        <v>0.97570000000000001</v>
      </c>
      <c r="K220">
        <f>IF($D220=1,ROUND(Keys!$C$2/(INDEX(Src_SYSHECF_nuclear!$I$5:$I$292,MATCH($C220,Src_SYSHECF_nuclear!$C$5:$C$292,0))*$E220),Keys!$C$5),Keys!$C$4)</f>
        <v>0.97570000000000001</v>
      </c>
      <c r="L220">
        <f>IF($D220=1,ROUND(Keys!$C$2/(INDEX(Src_SYSHECF_nuclear!$J$5:$J$292,MATCH($C220,Src_SYSHECF_nuclear!$C$5:$C$292,0))*$E220),Keys!$C$5),Keys!$C$4)</f>
        <v>0.98150000000000004</v>
      </c>
      <c r="M220">
        <f>IF($D220=1,ROUND(Keys!$C$2/(INDEX(Src_SYSHECF_nuclear!$K$5:$K$292,MATCH($C220,Src_SYSHECF_nuclear!$C$5:$C$292,0))*$E220),Keys!$C$5),Keys!$C$4)</f>
        <v>0.98440000000000005</v>
      </c>
      <c r="N220">
        <f>IF($D220=1,ROUND(Keys!$C$2/(INDEX(Src_SYSHECF_nuclear!$L$5:$L$292,MATCH($C220,Src_SYSHECF_nuclear!$C$5:$C$292,0))*$E220),Keys!$C$5),Keys!$C$4)</f>
        <v>0.97570000000000001</v>
      </c>
      <c r="O220">
        <f>IF($D220=1,ROUND(Keys!$C$2/(INDEX(Src_SYSHECF_nuclear!$M$5:$M$292,MATCH($C220,Src_SYSHECF_nuclear!$C$5:$C$292,0))*$E220),Keys!$C$5),Keys!$C$4)</f>
        <v>0.97570000000000001</v>
      </c>
      <c r="P220">
        <f>IF($D220=1,ROUND(Keys!$C$2/(INDEX(Src_SYSHECF_nuclear!$N$5:$N$292,MATCH($C220,Src_SYSHECF_nuclear!$C$5:$C$292,0))*$E220),Keys!$C$5),Keys!$C$4)</f>
        <v>0.97570000000000001</v>
      </c>
      <c r="Q220">
        <f>IF($D220=1,ROUND(Keys!$C$2/(INDEX(Src_SYSHECF_nuclear!$O$5:$O$292,MATCH($C220,Src_SYSHECF_nuclear!$C$5:$C$292,0))*$E220),Keys!$C$5),Keys!$C$4)</f>
        <v>0.97570000000000001</v>
      </c>
      <c r="R220">
        <f>IF($D220=1,ROUND(Keys!$C$2/(INDEX(Src_SYSHECF_nuclear!$P$5:$P$292,MATCH($C220,Src_SYSHECF_nuclear!$C$5:$C$292,0))*$E220),Keys!$C$5),Keys!$C$4)</f>
        <v>0.97570000000000001</v>
      </c>
      <c r="S220">
        <f>IF($D220=1,ROUND(Keys!$C$2/(INDEX(Src_SYSHECF_nuclear!$Q$5:$Q$292,MATCH($C220,Src_SYSHECF_nuclear!$C$5:$C$292,0))*$E220),Keys!$C$5),Keys!$C$4)</f>
        <v>0.97570000000000001</v>
      </c>
      <c r="T220">
        <f>IF($D220=1,ROUND(Keys!$C$2/(INDEX(Src_SYSHECF_nuclear!$R$5:$R$292,MATCH($C220,Src_SYSHECF_nuclear!$C$5:$C$292,0))*$E220),Keys!$C$5),Keys!$C$4)</f>
        <v>0.97570000000000001</v>
      </c>
      <c r="U220">
        <f>IF($D220=1,ROUND(Keys!$C$2/(INDEX(Src_SYSHECF_nuclear!$S$5:$S$292,MATCH($C220,Src_SYSHECF_nuclear!$C$5:$C$292,0))*$E220),Keys!$C$5),Keys!$C$4)</f>
        <v>0.97570000000000001</v>
      </c>
      <c r="V220">
        <f>IF($D220=1,ROUND(Keys!$C$2/(INDEX(Src_SYSHECF_nuclear!$T$5:$T$292,MATCH($C220,Src_SYSHECF_nuclear!$C$5:$C$292,0))*$E220),Keys!$C$5),Keys!$C$4)</f>
        <v>0.97570000000000001</v>
      </c>
      <c r="W220">
        <f>IF($D220=1,ROUND(Keys!$C$2/(INDEX(Src_SYSHECF_nuclear!$U$5:$U$292,MATCH($C220,Src_SYSHECF_nuclear!$C$5:$C$292,0))*$E220),Keys!$C$5),Keys!$C$4)</f>
        <v>0.97570000000000001</v>
      </c>
      <c r="X220">
        <f>IF($D220=1,ROUND(Keys!$C$2/(INDEX(Src_SYSHECF_nuclear!$V$5:$V$292,MATCH($C220,Src_SYSHECF_nuclear!$C$5:$C$292,0))*$E220),Keys!$C$5),Keys!$C$4)</f>
        <v>0.97570000000000001</v>
      </c>
      <c r="Y220">
        <f>IF($D220=1,ROUND(Keys!$C$2/(INDEX(Src_SYSHECF_nuclear!$W$5:$W$292,MATCH($C220,Src_SYSHECF_nuclear!$C$5:$C$292,0))*$E220),Keys!$C$5),Keys!$C$4)</f>
        <v>0.97570000000000001</v>
      </c>
      <c r="Z220">
        <f>IF($D220=1,ROUND(Keys!$C$2/(INDEX(Src_SYSHECF_nuclear!$X$5:$X$292,MATCH($C220,Src_SYSHECF_nuclear!$C$5:$C$292,0))*$E220),Keys!$C$5),Keys!$C$4)</f>
        <v>0.97570000000000001</v>
      </c>
      <c r="AA220">
        <f>IF($D220=1,ROUND(Keys!$C$2/(INDEX(Src_SYSHECF_nuclear!$Y$5:$Y$292,MATCH($C220,Src_SYSHECF_nuclear!$C$5:$C$292,0))*$E220),Keys!$C$5),Keys!$C$4)</f>
        <v>0.97570000000000001</v>
      </c>
      <c r="AB220">
        <f>IF($D220=1,ROUND(Keys!$C$2/(INDEX(Src_SYSHECF_nuclear!$Z$5:$Z$292,MATCH($C220,Src_SYSHECF_nuclear!$C$5:$C$292,0))*$E220),Keys!$C$5),Keys!$C$4)</f>
        <v>0.97570000000000001</v>
      </c>
      <c r="AC220">
        <f>IF($D220=1,ROUND(Keys!$C$2/(INDEX(Src_SYSHECF_nuclear!$AA$5:$AA$292,MATCH($C220,Src_SYSHECF_nuclear!$C$5:$C$292,0))*$E220),Keys!$C$5),Keys!$C$4)</f>
        <v>0.97570000000000001</v>
      </c>
      <c r="AE220">
        <f>IF($D220=1,IF(ABS(INDEX(Src_SYSHECF_nuclear!$D$5:$D$292,MATCH($C220,Src_SYSHECF_nuclear!$C$5:$C$292,0))*$E220*F220-Keys!$C$2)&gt;Keys!$C$6,1,0),0)</f>
        <v>0</v>
      </c>
    </row>
    <row r="221" spans="1:31" x14ac:dyDescent="0.45">
      <c r="A221" t="s">
        <v>78</v>
      </c>
      <c r="B221" t="s">
        <v>427</v>
      </c>
      <c r="C221" t="str">
        <f t="shared" si="3"/>
        <v>NH|Fall</v>
      </c>
      <c r="D221">
        <f>INDEX(Src_BHRaSYC_nuclear!$HF$5:$HF$52,MATCH($A221,Src_BHRaSYC_nuclear!$A$5:$A$52,0))</f>
        <v>1</v>
      </c>
      <c r="E221">
        <f>INDEX(Src_HYECFCA_nuclear!$B$5:$B$52,MATCH($A221,Src_HYECFCA_nuclear!$A$5:$A$52,0))</f>
        <v>1.0611600000000001</v>
      </c>
      <c r="F221">
        <f>IF($D221=1,ROUND(Keys!$C$2/(INDEX(Src_SYSHECF_nuclear!$D$5:$D$292,MATCH($C221,Src_SYSHECF_nuclear!$C$5:$C$292,0))*$E221),Keys!$C$5),Keys!$C$4)</f>
        <v>0.97570000000000001</v>
      </c>
      <c r="G221">
        <f>IF($D221=1,ROUND(Keys!$C$2/(INDEX(Src_SYSHECF_nuclear!$E$5:$E$292,MATCH($C221,Src_SYSHECF_nuclear!$C$5:$C$292,0))*$E221),Keys!$C$5),Keys!$C$4)</f>
        <v>0.97570000000000001</v>
      </c>
      <c r="H221">
        <f>IF($D221=1,ROUND(Keys!$C$2/(INDEX(Src_SYSHECF_nuclear!$F$5:$F$292,MATCH($C221,Src_SYSHECF_nuclear!$C$5:$C$292,0))*$E221),Keys!$C$5),Keys!$C$4)</f>
        <v>0.97570000000000001</v>
      </c>
      <c r="I221">
        <f>IF($D221=1,ROUND(Keys!$C$2/(INDEX(Src_SYSHECF_nuclear!$G$5:$G$292,MATCH($C221,Src_SYSHECF_nuclear!$C$5:$C$292,0))*$E221),Keys!$C$5),Keys!$C$4)</f>
        <v>0.97570000000000001</v>
      </c>
      <c r="J221">
        <f>IF($D221=1,ROUND(Keys!$C$2/(INDEX(Src_SYSHECF_nuclear!$H$5:$H$292,MATCH($C221,Src_SYSHECF_nuclear!$C$5:$C$292,0))*$E221),Keys!$C$5),Keys!$C$4)</f>
        <v>0.97570000000000001</v>
      </c>
      <c r="K221">
        <f>IF($D221=1,ROUND(Keys!$C$2/(INDEX(Src_SYSHECF_nuclear!$I$5:$I$292,MATCH($C221,Src_SYSHECF_nuclear!$C$5:$C$292,0))*$E221),Keys!$C$5),Keys!$C$4)</f>
        <v>0.97570000000000001</v>
      </c>
      <c r="L221">
        <f>IF($D221=1,ROUND(Keys!$C$2/(INDEX(Src_SYSHECF_nuclear!$J$5:$J$292,MATCH($C221,Src_SYSHECF_nuclear!$C$5:$C$292,0))*$E221),Keys!$C$5),Keys!$C$4)</f>
        <v>0.98839999999999995</v>
      </c>
      <c r="M221">
        <f>IF($D221=1,ROUND(Keys!$C$2/(INDEX(Src_SYSHECF_nuclear!$K$5:$K$292,MATCH($C221,Src_SYSHECF_nuclear!$C$5:$C$292,0))*$E221),Keys!$C$5),Keys!$C$4)</f>
        <v>0.97989999999999999</v>
      </c>
      <c r="N221">
        <f>IF($D221=1,ROUND(Keys!$C$2/(INDEX(Src_SYSHECF_nuclear!$L$5:$L$292,MATCH($C221,Src_SYSHECF_nuclear!$C$5:$C$292,0))*$E221),Keys!$C$5),Keys!$C$4)</f>
        <v>0.97570000000000001</v>
      </c>
      <c r="O221">
        <f>IF($D221=1,ROUND(Keys!$C$2/(INDEX(Src_SYSHECF_nuclear!$M$5:$M$292,MATCH($C221,Src_SYSHECF_nuclear!$C$5:$C$292,0))*$E221),Keys!$C$5),Keys!$C$4)</f>
        <v>0.97570000000000001</v>
      </c>
      <c r="P221">
        <f>IF($D221=1,ROUND(Keys!$C$2/(INDEX(Src_SYSHECF_nuclear!$N$5:$N$292,MATCH($C221,Src_SYSHECF_nuclear!$C$5:$C$292,0))*$E221),Keys!$C$5),Keys!$C$4)</f>
        <v>0.97570000000000001</v>
      </c>
      <c r="Q221">
        <f>IF($D221=1,ROUND(Keys!$C$2/(INDEX(Src_SYSHECF_nuclear!$O$5:$O$292,MATCH($C221,Src_SYSHECF_nuclear!$C$5:$C$292,0))*$E221),Keys!$C$5),Keys!$C$4)</f>
        <v>0.97570000000000001</v>
      </c>
      <c r="R221">
        <f>IF($D221=1,ROUND(Keys!$C$2/(INDEX(Src_SYSHECF_nuclear!$P$5:$P$292,MATCH($C221,Src_SYSHECF_nuclear!$C$5:$C$292,0))*$E221),Keys!$C$5),Keys!$C$4)</f>
        <v>0.97570000000000001</v>
      </c>
      <c r="S221">
        <f>IF($D221=1,ROUND(Keys!$C$2/(INDEX(Src_SYSHECF_nuclear!$Q$5:$Q$292,MATCH($C221,Src_SYSHECF_nuclear!$C$5:$C$292,0))*$E221),Keys!$C$5),Keys!$C$4)</f>
        <v>0.97570000000000001</v>
      </c>
      <c r="T221">
        <f>IF($D221=1,ROUND(Keys!$C$2/(INDEX(Src_SYSHECF_nuclear!$R$5:$R$292,MATCH($C221,Src_SYSHECF_nuclear!$C$5:$C$292,0))*$E221),Keys!$C$5),Keys!$C$4)</f>
        <v>0.97570000000000001</v>
      </c>
      <c r="U221">
        <f>IF($D221=1,ROUND(Keys!$C$2/(INDEX(Src_SYSHECF_nuclear!$S$5:$S$292,MATCH($C221,Src_SYSHECF_nuclear!$C$5:$C$292,0))*$E221),Keys!$C$5),Keys!$C$4)</f>
        <v>0.97570000000000001</v>
      </c>
      <c r="V221">
        <f>IF($D221=1,ROUND(Keys!$C$2/(INDEX(Src_SYSHECF_nuclear!$T$5:$T$292,MATCH($C221,Src_SYSHECF_nuclear!$C$5:$C$292,0))*$E221),Keys!$C$5),Keys!$C$4)</f>
        <v>0.97570000000000001</v>
      </c>
      <c r="W221">
        <f>IF($D221=1,ROUND(Keys!$C$2/(INDEX(Src_SYSHECF_nuclear!$U$5:$U$292,MATCH($C221,Src_SYSHECF_nuclear!$C$5:$C$292,0))*$E221),Keys!$C$5),Keys!$C$4)</f>
        <v>0.97570000000000001</v>
      </c>
      <c r="X221">
        <f>IF($D221=1,ROUND(Keys!$C$2/(INDEX(Src_SYSHECF_nuclear!$V$5:$V$292,MATCH($C221,Src_SYSHECF_nuclear!$C$5:$C$292,0))*$E221),Keys!$C$5),Keys!$C$4)</f>
        <v>0.97570000000000001</v>
      </c>
      <c r="Y221">
        <f>IF($D221=1,ROUND(Keys!$C$2/(INDEX(Src_SYSHECF_nuclear!$W$5:$W$292,MATCH($C221,Src_SYSHECF_nuclear!$C$5:$C$292,0))*$E221),Keys!$C$5),Keys!$C$4)</f>
        <v>0.97570000000000001</v>
      </c>
      <c r="Z221">
        <f>IF($D221=1,ROUND(Keys!$C$2/(INDEX(Src_SYSHECF_nuclear!$X$5:$X$292,MATCH($C221,Src_SYSHECF_nuclear!$C$5:$C$292,0))*$E221),Keys!$C$5),Keys!$C$4)</f>
        <v>0.97570000000000001</v>
      </c>
      <c r="AA221">
        <f>IF($D221=1,ROUND(Keys!$C$2/(INDEX(Src_SYSHECF_nuclear!$Y$5:$Y$292,MATCH($C221,Src_SYSHECF_nuclear!$C$5:$C$292,0))*$E221),Keys!$C$5),Keys!$C$4)</f>
        <v>0.97570000000000001</v>
      </c>
      <c r="AB221">
        <f>IF($D221=1,ROUND(Keys!$C$2/(INDEX(Src_SYSHECF_nuclear!$Z$5:$Z$292,MATCH($C221,Src_SYSHECF_nuclear!$C$5:$C$292,0))*$E221),Keys!$C$5),Keys!$C$4)</f>
        <v>0.97570000000000001</v>
      </c>
      <c r="AC221">
        <f>IF($D221=1,ROUND(Keys!$C$2/(INDEX(Src_SYSHECF_nuclear!$AA$5:$AA$292,MATCH($C221,Src_SYSHECF_nuclear!$C$5:$C$292,0))*$E221),Keys!$C$5),Keys!$C$4)</f>
        <v>0.97570000000000001</v>
      </c>
      <c r="AE221">
        <f>IF($D221=1,IF(ABS(INDEX(Src_SYSHECF_nuclear!$D$5:$D$292,MATCH($C221,Src_SYSHECF_nuclear!$C$5:$C$292,0))*$E221*F221-Keys!$C$2)&gt;Keys!$C$6,1,0),0)</f>
        <v>0</v>
      </c>
    </row>
    <row r="222" spans="1:31" x14ac:dyDescent="0.45">
      <c r="A222" t="s">
        <v>78</v>
      </c>
      <c r="B222" t="s">
        <v>428</v>
      </c>
      <c r="C222" t="str">
        <f t="shared" si="3"/>
        <v>NH|Summer Peak</v>
      </c>
      <c r="D222">
        <f>INDEX(Src_BHRaSYC_nuclear!$HF$5:$HF$52,MATCH($A222,Src_BHRaSYC_nuclear!$A$5:$A$52,0))</f>
        <v>1</v>
      </c>
      <c r="E222">
        <f>INDEX(Src_HYECFCA_nuclear!$B$5:$B$52,MATCH($A222,Src_HYECFCA_nuclear!$A$5:$A$52,0))</f>
        <v>1.0611600000000001</v>
      </c>
      <c r="F222">
        <f>IF($D222=1,ROUND(Keys!$C$2/(INDEX(Src_SYSHECF_nuclear!$D$5:$D$292,MATCH($C222,Src_SYSHECF_nuclear!$C$5:$C$292,0))*$E222),Keys!$C$5),Keys!$C$4)</f>
        <v>0.97570000000000001</v>
      </c>
      <c r="G222">
        <f>IF($D222=1,ROUND(Keys!$C$2/(INDEX(Src_SYSHECF_nuclear!$E$5:$E$292,MATCH($C222,Src_SYSHECF_nuclear!$C$5:$C$292,0))*$E222),Keys!$C$5),Keys!$C$4)</f>
        <v>0.97570000000000001</v>
      </c>
      <c r="H222">
        <f>IF($D222=1,ROUND(Keys!$C$2/(INDEX(Src_SYSHECF_nuclear!$F$5:$F$292,MATCH($C222,Src_SYSHECF_nuclear!$C$5:$C$292,0))*$E222),Keys!$C$5),Keys!$C$4)</f>
        <v>0.97570000000000001</v>
      </c>
      <c r="I222">
        <f>IF($D222=1,ROUND(Keys!$C$2/(INDEX(Src_SYSHECF_nuclear!$G$5:$G$292,MATCH($C222,Src_SYSHECF_nuclear!$C$5:$C$292,0))*$E222),Keys!$C$5),Keys!$C$4)</f>
        <v>0.97570000000000001</v>
      </c>
      <c r="J222">
        <f>IF($D222=1,ROUND(Keys!$C$2/(INDEX(Src_SYSHECF_nuclear!$H$5:$H$292,MATCH($C222,Src_SYSHECF_nuclear!$C$5:$C$292,0))*$E222),Keys!$C$5),Keys!$C$4)</f>
        <v>0.97570000000000001</v>
      </c>
      <c r="K222">
        <f>IF($D222=1,ROUND(Keys!$C$2/(INDEX(Src_SYSHECF_nuclear!$I$5:$I$292,MATCH($C222,Src_SYSHECF_nuclear!$C$5:$C$292,0))*$E222),Keys!$C$5),Keys!$C$4)</f>
        <v>0.97570000000000001</v>
      </c>
      <c r="L222">
        <f>IF($D222=1,ROUND(Keys!$C$2/(INDEX(Src_SYSHECF_nuclear!$J$5:$J$292,MATCH($C222,Src_SYSHECF_nuclear!$C$5:$C$292,0))*$E222),Keys!$C$5),Keys!$C$4)</f>
        <v>0.97570000000000001</v>
      </c>
      <c r="M222">
        <f>IF($D222=1,ROUND(Keys!$C$2/(INDEX(Src_SYSHECF_nuclear!$K$5:$K$292,MATCH($C222,Src_SYSHECF_nuclear!$C$5:$C$292,0))*$E222),Keys!$C$5),Keys!$C$4)</f>
        <v>0.97570000000000001</v>
      </c>
      <c r="N222">
        <f>IF($D222=1,ROUND(Keys!$C$2/(INDEX(Src_SYSHECF_nuclear!$L$5:$L$292,MATCH($C222,Src_SYSHECF_nuclear!$C$5:$C$292,0))*$E222),Keys!$C$5),Keys!$C$4)</f>
        <v>0.97570000000000001</v>
      </c>
      <c r="O222">
        <f>IF($D222=1,ROUND(Keys!$C$2/(INDEX(Src_SYSHECF_nuclear!$M$5:$M$292,MATCH($C222,Src_SYSHECF_nuclear!$C$5:$C$292,0))*$E222),Keys!$C$5),Keys!$C$4)</f>
        <v>0.97570000000000001</v>
      </c>
      <c r="P222">
        <f>IF($D222=1,ROUND(Keys!$C$2/(INDEX(Src_SYSHECF_nuclear!$N$5:$N$292,MATCH($C222,Src_SYSHECF_nuclear!$C$5:$C$292,0))*$E222),Keys!$C$5),Keys!$C$4)</f>
        <v>0.97570000000000001</v>
      </c>
      <c r="Q222">
        <f>IF($D222=1,ROUND(Keys!$C$2/(INDEX(Src_SYSHECF_nuclear!$O$5:$O$292,MATCH($C222,Src_SYSHECF_nuclear!$C$5:$C$292,0))*$E222),Keys!$C$5),Keys!$C$4)</f>
        <v>0.97570000000000001</v>
      </c>
      <c r="R222">
        <f>IF($D222=1,ROUND(Keys!$C$2/(INDEX(Src_SYSHECF_nuclear!$P$5:$P$292,MATCH($C222,Src_SYSHECF_nuclear!$C$5:$C$292,0))*$E222),Keys!$C$5),Keys!$C$4)</f>
        <v>0.97570000000000001</v>
      </c>
      <c r="S222">
        <f>IF($D222=1,ROUND(Keys!$C$2/(INDEX(Src_SYSHECF_nuclear!$Q$5:$Q$292,MATCH($C222,Src_SYSHECF_nuclear!$C$5:$C$292,0))*$E222),Keys!$C$5),Keys!$C$4)</f>
        <v>0.97570000000000001</v>
      </c>
      <c r="T222">
        <f>IF($D222=1,ROUND(Keys!$C$2/(INDEX(Src_SYSHECF_nuclear!$R$5:$R$292,MATCH($C222,Src_SYSHECF_nuclear!$C$5:$C$292,0))*$E222),Keys!$C$5),Keys!$C$4)</f>
        <v>0.97570000000000001</v>
      </c>
      <c r="U222">
        <f>IF($D222=1,ROUND(Keys!$C$2/(INDEX(Src_SYSHECF_nuclear!$S$5:$S$292,MATCH($C222,Src_SYSHECF_nuclear!$C$5:$C$292,0))*$E222),Keys!$C$5),Keys!$C$4)</f>
        <v>0.97570000000000001</v>
      </c>
      <c r="V222">
        <f>IF($D222=1,ROUND(Keys!$C$2/(INDEX(Src_SYSHECF_nuclear!$T$5:$T$292,MATCH($C222,Src_SYSHECF_nuclear!$C$5:$C$292,0))*$E222),Keys!$C$5),Keys!$C$4)</f>
        <v>0.97570000000000001</v>
      </c>
      <c r="W222">
        <f>IF($D222=1,ROUND(Keys!$C$2/(INDEX(Src_SYSHECF_nuclear!$U$5:$U$292,MATCH($C222,Src_SYSHECF_nuclear!$C$5:$C$292,0))*$E222),Keys!$C$5),Keys!$C$4)</f>
        <v>0.97570000000000001</v>
      </c>
      <c r="X222">
        <f>IF($D222=1,ROUND(Keys!$C$2/(INDEX(Src_SYSHECF_nuclear!$V$5:$V$292,MATCH($C222,Src_SYSHECF_nuclear!$C$5:$C$292,0))*$E222),Keys!$C$5),Keys!$C$4)</f>
        <v>0.97570000000000001</v>
      </c>
      <c r="Y222">
        <f>IF($D222=1,ROUND(Keys!$C$2/(INDEX(Src_SYSHECF_nuclear!$W$5:$W$292,MATCH($C222,Src_SYSHECF_nuclear!$C$5:$C$292,0))*$E222),Keys!$C$5),Keys!$C$4)</f>
        <v>0.97570000000000001</v>
      </c>
      <c r="Z222">
        <f>IF($D222=1,ROUND(Keys!$C$2/(INDEX(Src_SYSHECF_nuclear!$X$5:$X$292,MATCH($C222,Src_SYSHECF_nuclear!$C$5:$C$292,0))*$E222),Keys!$C$5),Keys!$C$4)</f>
        <v>0.97570000000000001</v>
      </c>
      <c r="AA222">
        <f>IF($D222=1,ROUND(Keys!$C$2/(INDEX(Src_SYSHECF_nuclear!$Y$5:$Y$292,MATCH($C222,Src_SYSHECF_nuclear!$C$5:$C$292,0))*$E222),Keys!$C$5),Keys!$C$4)</f>
        <v>0.97570000000000001</v>
      </c>
      <c r="AB222">
        <f>IF($D222=1,ROUND(Keys!$C$2/(INDEX(Src_SYSHECF_nuclear!$Z$5:$Z$292,MATCH($C222,Src_SYSHECF_nuclear!$C$5:$C$292,0))*$E222),Keys!$C$5),Keys!$C$4)</f>
        <v>0.97570000000000001</v>
      </c>
      <c r="AC222">
        <f>IF($D222=1,ROUND(Keys!$C$2/(INDEX(Src_SYSHECF_nuclear!$AA$5:$AA$292,MATCH($C222,Src_SYSHECF_nuclear!$C$5:$C$292,0))*$E222),Keys!$C$5),Keys!$C$4)</f>
        <v>0.97570000000000001</v>
      </c>
      <c r="AE222">
        <f>IF($D222=1,IF(ABS(INDEX(Src_SYSHECF_nuclear!$D$5:$D$292,MATCH($C222,Src_SYSHECF_nuclear!$C$5:$C$292,0))*$E222*F222-Keys!$C$2)&gt;Keys!$C$6,1,0),0)</f>
        <v>0</v>
      </c>
    </row>
    <row r="223" spans="1:31" x14ac:dyDescent="0.45">
      <c r="A223" t="s">
        <v>78</v>
      </c>
      <c r="B223" t="s">
        <v>429</v>
      </c>
      <c r="C223" t="str">
        <f t="shared" si="3"/>
        <v>NH|Winter Peak</v>
      </c>
      <c r="D223">
        <f>INDEX(Src_BHRaSYC_nuclear!$HF$5:$HF$52,MATCH($A223,Src_BHRaSYC_nuclear!$A$5:$A$52,0))</f>
        <v>1</v>
      </c>
      <c r="E223">
        <f>INDEX(Src_HYECFCA_nuclear!$B$5:$B$52,MATCH($A223,Src_HYECFCA_nuclear!$A$5:$A$52,0))</f>
        <v>1.0611600000000001</v>
      </c>
      <c r="F223">
        <f>IF($D223=1,ROUND(Keys!$C$2/(INDEX(Src_SYSHECF_nuclear!$D$5:$D$292,MATCH($C223,Src_SYSHECF_nuclear!$C$5:$C$292,0))*$E223),Keys!$C$5),Keys!$C$4)</f>
        <v>0.97570000000000001</v>
      </c>
      <c r="G223">
        <f>IF($D223=1,ROUND(Keys!$C$2/(INDEX(Src_SYSHECF_nuclear!$E$5:$E$292,MATCH($C223,Src_SYSHECF_nuclear!$C$5:$C$292,0))*$E223),Keys!$C$5),Keys!$C$4)</f>
        <v>0.97570000000000001</v>
      </c>
      <c r="H223">
        <f>IF($D223=1,ROUND(Keys!$C$2/(INDEX(Src_SYSHECF_nuclear!$F$5:$F$292,MATCH($C223,Src_SYSHECF_nuclear!$C$5:$C$292,0))*$E223),Keys!$C$5),Keys!$C$4)</f>
        <v>0.97570000000000001</v>
      </c>
      <c r="I223">
        <f>IF($D223=1,ROUND(Keys!$C$2/(INDEX(Src_SYSHECF_nuclear!$G$5:$G$292,MATCH($C223,Src_SYSHECF_nuclear!$C$5:$C$292,0))*$E223),Keys!$C$5),Keys!$C$4)</f>
        <v>0.97570000000000001</v>
      </c>
      <c r="J223">
        <f>IF($D223=1,ROUND(Keys!$C$2/(INDEX(Src_SYSHECF_nuclear!$H$5:$H$292,MATCH($C223,Src_SYSHECF_nuclear!$C$5:$C$292,0))*$E223),Keys!$C$5),Keys!$C$4)</f>
        <v>0.97570000000000001</v>
      </c>
      <c r="K223">
        <f>IF($D223=1,ROUND(Keys!$C$2/(INDEX(Src_SYSHECF_nuclear!$I$5:$I$292,MATCH($C223,Src_SYSHECF_nuclear!$C$5:$C$292,0))*$E223),Keys!$C$5),Keys!$C$4)</f>
        <v>0.97570000000000001</v>
      </c>
      <c r="L223">
        <f>IF($D223=1,ROUND(Keys!$C$2/(INDEX(Src_SYSHECF_nuclear!$J$5:$J$292,MATCH($C223,Src_SYSHECF_nuclear!$C$5:$C$292,0))*$E223),Keys!$C$5),Keys!$C$4)</f>
        <v>0.97570000000000001</v>
      </c>
      <c r="M223">
        <f>IF($D223=1,ROUND(Keys!$C$2/(INDEX(Src_SYSHECF_nuclear!$K$5:$K$292,MATCH($C223,Src_SYSHECF_nuclear!$C$5:$C$292,0))*$E223),Keys!$C$5),Keys!$C$4)</f>
        <v>0.97570000000000001</v>
      </c>
      <c r="N223">
        <f>IF($D223=1,ROUND(Keys!$C$2/(INDEX(Src_SYSHECF_nuclear!$L$5:$L$292,MATCH($C223,Src_SYSHECF_nuclear!$C$5:$C$292,0))*$E223),Keys!$C$5),Keys!$C$4)</f>
        <v>0.97570000000000001</v>
      </c>
      <c r="O223">
        <f>IF($D223=1,ROUND(Keys!$C$2/(INDEX(Src_SYSHECF_nuclear!$M$5:$M$292,MATCH($C223,Src_SYSHECF_nuclear!$C$5:$C$292,0))*$E223),Keys!$C$5),Keys!$C$4)</f>
        <v>0.97570000000000001</v>
      </c>
      <c r="P223">
        <f>IF($D223=1,ROUND(Keys!$C$2/(INDEX(Src_SYSHECF_nuclear!$N$5:$N$292,MATCH($C223,Src_SYSHECF_nuclear!$C$5:$C$292,0))*$E223),Keys!$C$5),Keys!$C$4)</f>
        <v>0.97570000000000001</v>
      </c>
      <c r="Q223">
        <f>IF($D223=1,ROUND(Keys!$C$2/(INDEX(Src_SYSHECF_nuclear!$O$5:$O$292,MATCH($C223,Src_SYSHECF_nuclear!$C$5:$C$292,0))*$E223),Keys!$C$5),Keys!$C$4)</f>
        <v>0.97570000000000001</v>
      </c>
      <c r="R223">
        <f>IF($D223=1,ROUND(Keys!$C$2/(INDEX(Src_SYSHECF_nuclear!$P$5:$P$292,MATCH($C223,Src_SYSHECF_nuclear!$C$5:$C$292,0))*$E223),Keys!$C$5),Keys!$C$4)</f>
        <v>0.97570000000000001</v>
      </c>
      <c r="S223">
        <f>IF($D223=1,ROUND(Keys!$C$2/(INDEX(Src_SYSHECF_nuclear!$Q$5:$Q$292,MATCH($C223,Src_SYSHECF_nuclear!$C$5:$C$292,0))*$E223),Keys!$C$5),Keys!$C$4)</f>
        <v>0.97570000000000001</v>
      </c>
      <c r="T223">
        <f>IF($D223=1,ROUND(Keys!$C$2/(INDEX(Src_SYSHECF_nuclear!$R$5:$R$292,MATCH($C223,Src_SYSHECF_nuclear!$C$5:$C$292,0))*$E223),Keys!$C$5),Keys!$C$4)</f>
        <v>0.97570000000000001</v>
      </c>
      <c r="U223">
        <f>IF($D223=1,ROUND(Keys!$C$2/(INDEX(Src_SYSHECF_nuclear!$S$5:$S$292,MATCH($C223,Src_SYSHECF_nuclear!$C$5:$C$292,0))*$E223),Keys!$C$5),Keys!$C$4)</f>
        <v>0.97570000000000001</v>
      </c>
      <c r="V223">
        <f>IF($D223=1,ROUND(Keys!$C$2/(INDEX(Src_SYSHECF_nuclear!$T$5:$T$292,MATCH($C223,Src_SYSHECF_nuclear!$C$5:$C$292,0))*$E223),Keys!$C$5),Keys!$C$4)</f>
        <v>0.97570000000000001</v>
      </c>
      <c r="W223">
        <f>IF($D223=1,ROUND(Keys!$C$2/(INDEX(Src_SYSHECF_nuclear!$U$5:$U$292,MATCH($C223,Src_SYSHECF_nuclear!$C$5:$C$292,0))*$E223),Keys!$C$5),Keys!$C$4)</f>
        <v>0.97570000000000001</v>
      </c>
      <c r="X223">
        <f>IF($D223=1,ROUND(Keys!$C$2/(INDEX(Src_SYSHECF_nuclear!$V$5:$V$292,MATCH($C223,Src_SYSHECF_nuclear!$C$5:$C$292,0))*$E223),Keys!$C$5),Keys!$C$4)</f>
        <v>0.97570000000000001</v>
      </c>
      <c r="Y223">
        <f>IF($D223=1,ROUND(Keys!$C$2/(INDEX(Src_SYSHECF_nuclear!$W$5:$W$292,MATCH($C223,Src_SYSHECF_nuclear!$C$5:$C$292,0))*$E223),Keys!$C$5),Keys!$C$4)</f>
        <v>0.97570000000000001</v>
      </c>
      <c r="Z223">
        <f>IF($D223=1,ROUND(Keys!$C$2/(INDEX(Src_SYSHECF_nuclear!$X$5:$X$292,MATCH($C223,Src_SYSHECF_nuclear!$C$5:$C$292,0))*$E223),Keys!$C$5),Keys!$C$4)</f>
        <v>0.97570000000000001</v>
      </c>
      <c r="AA223">
        <f>IF($D223=1,ROUND(Keys!$C$2/(INDEX(Src_SYSHECF_nuclear!$Y$5:$Y$292,MATCH($C223,Src_SYSHECF_nuclear!$C$5:$C$292,0))*$E223),Keys!$C$5),Keys!$C$4)</f>
        <v>0.97570000000000001</v>
      </c>
      <c r="AB223">
        <f>IF($D223=1,ROUND(Keys!$C$2/(INDEX(Src_SYSHECF_nuclear!$Z$5:$Z$292,MATCH($C223,Src_SYSHECF_nuclear!$C$5:$C$292,0))*$E223),Keys!$C$5),Keys!$C$4)</f>
        <v>0.97570000000000001</v>
      </c>
      <c r="AC223">
        <f>IF($D223=1,ROUND(Keys!$C$2/(INDEX(Src_SYSHECF_nuclear!$AA$5:$AA$292,MATCH($C223,Src_SYSHECF_nuclear!$C$5:$C$292,0))*$E223),Keys!$C$5),Keys!$C$4)</f>
        <v>0.97570000000000001</v>
      </c>
      <c r="AE223">
        <f>IF($D223=1,IF(ABS(INDEX(Src_SYSHECF_nuclear!$D$5:$D$292,MATCH($C223,Src_SYSHECF_nuclear!$C$5:$C$292,0))*$E223*F223-Keys!$C$2)&gt;Keys!$C$6,1,0),0)</f>
        <v>0</v>
      </c>
    </row>
    <row r="224" spans="1:31" x14ac:dyDescent="0.45">
      <c r="A224" t="s">
        <v>80</v>
      </c>
      <c r="B224" t="s">
        <v>424</v>
      </c>
      <c r="C224" t="str">
        <f t="shared" si="3"/>
        <v>NJ|Winter</v>
      </c>
      <c r="D224">
        <f>INDEX(Src_BHRaSYC_nuclear!$HF$5:$HF$52,MATCH($A224,Src_BHRaSYC_nuclear!$A$5:$A$52,0))</f>
        <v>1</v>
      </c>
      <c r="E224">
        <f>INDEX(Src_HYECFCA_nuclear!$B$5:$B$52,MATCH($A224,Src_HYECFCA_nuclear!$A$5:$A$52,0))</f>
        <v>1.0040100000000001</v>
      </c>
      <c r="F224">
        <f>IF($D224=1,ROUND(Keys!$C$2/(INDEX(Src_SYSHECF_nuclear!$D$5:$D$292,MATCH($C224,Src_SYSHECF_nuclear!$C$5:$C$292,0))*$E224),Keys!$C$5),Keys!$C$4)</f>
        <v>1.0579000000000001</v>
      </c>
      <c r="G224">
        <f>IF($D224=1,ROUND(Keys!$C$2/(INDEX(Src_SYSHECF_nuclear!$E$5:$E$292,MATCH($C224,Src_SYSHECF_nuclear!$C$5:$C$292,0))*$E224),Keys!$C$5),Keys!$C$4)</f>
        <v>1.0579000000000001</v>
      </c>
      <c r="H224">
        <f>IF($D224=1,ROUND(Keys!$C$2/(INDEX(Src_SYSHECF_nuclear!$F$5:$F$292,MATCH($C224,Src_SYSHECF_nuclear!$C$5:$C$292,0))*$E224),Keys!$C$5),Keys!$C$4)</f>
        <v>1.0579000000000001</v>
      </c>
      <c r="I224">
        <f>IF($D224=1,ROUND(Keys!$C$2/(INDEX(Src_SYSHECF_nuclear!$G$5:$G$292,MATCH($C224,Src_SYSHECF_nuclear!$C$5:$C$292,0))*$E224),Keys!$C$5),Keys!$C$4)</f>
        <v>1.0579000000000001</v>
      </c>
      <c r="J224">
        <f>IF($D224=1,ROUND(Keys!$C$2/(INDEX(Src_SYSHECF_nuclear!$H$5:$H$292,MATCH($C224,Src_SYSHECF_nuclear!$C$5:$C$292,0))*$E224),Keys!$C$5),Keys!$C$4)</f>
        <v>1.0579000000000001</v>
      </c>
      <c r="K224">
        <f>IF($D224=1,ROUND(Keys!$C$2/(INDEX(Src_SYSHECF_nuclear!$I$5:$I$292,MATCH($C224,Src_SYSHECF_nuclear!$C$5:$C$292,0))*$E224),Keys!$C$5),Keys!$C$4)</f>
        <v>1.0579000000000001</v>
      </c>
      <c r="L224">
        <f>IF($D224=1,ROUND(Keys!$C$2/(INDEX(Src_SYSHECF_nuclear!$J$5:$J$292,MATCH($C224,Src_SYSHECF_nuclear!$C$5:$C$292,0))*$E224),Keys!$C$5),Keys!$C$4)</f>
        <v>1.0579000000000001</v>
      </c>
      <c r="M224">
        <f>IF($D224=1,ROUND(Keys!$C$2/(INDEX(Src_SYSHECF_nuclear!$K$5:$K$292,MATCH($C224,Src_SYSHECF_nuclear!$C$5:$C$292,0))*$E224),Keys!$C$5),Keys!$C$4)</f>
        <v>1.0579000000000001</v>
      </c>
      <c r="N224">
        <f>IF($D224=1,ROUND(Keys!$C$2/(INDEX(Src_SYSHECF_nuclear!$L$5:$L$292,MATCH($C224,Src_SYSHECF_nuclear!$C$5:$C$292,0))*$E224),Keys!$C$5),Keys!$C$4)</f>
        <v>1.0579000000000001</v>
      </c>
      <c r="O224">
        <f>IF($D224=1,ROUND(Keys!$C$2/(INDEX(Src_SYSHECF_nuclear!$M$5:$M$292,MATCH($C224,Src_SYSHECF_nuclear!$C$5:$C$292,0))*$E224),Keys!$C$5),Keys!$C$4)</f>
        <v>1.0579000000000001</v>
      </c>
      <c r="P224">
        <f>IF($D224=1,ROUND(Keys!$C$2/(INDEX(Src_SYSHECF_nuclear!$N$5:$N$292,MATCH($C224,Src_SYSHECF_nuclear!$C$5:$C$292,0))*$E224),Keys!$C$5),Keys!$C$4)</f>
        <v>1.0579000000000001</v>
      </c>
      <c r="Q224">
        <f>IF($D224=1,ROUND(Keys!$C$2/(INDEX(Src_SYSHECF_nuclear!$O$5:$O$292,MATCH($C224,Src_SYSHECF_nuclear!$C$5:$C$292,0))*$E224),Keys!$C$5),Keys!$C$4)</f>
        <v>1.0579000000000001</v>
      </c>
      <c r="R224">
        <f>IF($D224=1,ROUND(Keys!$C$2/(INDEX(Src_SYSHECF_nuclear!$P$5:$P$292,MATCH($C224,Src_SYSHECF_nuclear!$C$5:$C$292,0))*$E224),Keys!$C$5),Keys!$C$4)</f>
        <v>1.0579000000000001</v>
      </c>
      <c r="S224">
        <f>IF($D224=1,ROUND(Keys!$C$2/(INDEX(Src_SYSHECF_nuclear!$Q$5:$Q$292,MATCH($C224,Src_SYSHECF_nuclear!$C$5:$C$292,0))*$E224),Keys!$C$5),Keys!$C$4)</f>
        <v>1.0579000000000001</v>
      </c>
      <c r="T224">
        <f>IF($D224=1,ROUND(Keys!$C$2/(INDEX(Src_SYSHECF_nuclear!$R$5:$R$292,MATCH($C224,Src_SYSHECF_nuclear!$C$5:$C$292,0))*$E224),Keys!$C$5),Keys!$C$4)</f>
        <v>1.0579000000000001</v>
      </c>
      <c r="U224">
        <f>IF($D224=1,ROUND(Keys!$C$2/(INDEX(Src_SYSHECF_nuclear!$S$5:$S$292,MATCH($C224,Src_SYSHECF_nuclear!$C$5:$C$292,0))*$E224),Keys!$C$5),Keys!$C$4)</f>
        <v>1.0579000000000001</v>
      </c>
      <c r="V224">
        <f>IF($D224=1,ROUND(Keys!$C$2/(INDEX(Src_SYSHECF_nuclear!$T$5:$T$292,MATCH($C224,Src_SYSHECF_nuclear!$C$5:$C$292,0))*$E224),Keys!$C$5),Keys!$C$4)</f>
        <v>1.0579000000000001</v>
      </c>
      <c r="W224">
        <f>IF($D224=1,ROUND(Keys!$C$2/(INDEX(Src_SYSHECF_nuclear!$U$5:$U$292,MATCH($C224,Src_SYSHECF_nuclear!$C$5:$C$292,0))*$E224),Keys!$C$5),Keys!$C$4)</f>
        <v>1.0579000000000001</v>
      </c>
      <c r="X224">
        <f>IF($D224=1,ROUND(Keys!$C$2/(INDEX(Src_SYSHECF_nuclear!$V$5:$V$292,MATCH($C224,Src_SYSHECF_nuclear!$C$5:$C$292,0))*$E224),Keys!$C$5),Keys!$C$4)</f>
        <v>1.0579000000000001</v>
      </c>
      <c r="Y224">
        <f>IF($D224=1,ROUND(Keys!$C$2/(INDEX(Src_SYSHECF_nuclear!$W$5:$W$292,MATCH($C224,Src_SYSHECF_nuclear!$C$5:$C$292,0))*$E224),Keys!$C$5),Keys!$C$4)</f>
        <v>1.0579000000000001</v>
      </c>
      <c r="Z224">
        <f>IF($D224=1,ROUND(Keys!$C$2/(INDEX(Src_SYSHECF_nuclear!$X$5:$X$292,MATCH($C224,Src_SYSHECF_nuclear!$C$5:$C$292,0))*$E224),Keys!$C$5),Keys!$C$4)</f>
        <v>1.0579000000000001</v>
      </c>
      <c r="AA224">
        <f>IF($D224=1,ROUND(Keys!$C$2/(INDEX(Src_SYSHECF_nuclear!$Y$5:$Y$292,MATCH($C224,Src_SYSHECF_nuclear!$C$5:$C$292,0))*$E224),Keys!$C$5),Keys!$C$4)</f>
        <v>1.0579000000000001</v>
      </c>
      <c r="AB224">
        <f>IF($D224=1,ROUND(Keys!$C$2/(INDEX(Src_SYSHECF_nuclear!$Z$5:$Z$292,MATCH($C224,Src_SYSHECF_nuclear!$C$5:$C$292,0))*$E224),Keys!$C$5),Keys!$C$4)</f>
        <v>1.0579000000000001</v>
      </c>
      <c r="AC224">
        <f>IF($D224=1,ROUND(Keys!$C$2/(INDEX(Src_SYSHECF_nuclear!$AA$5:$AA$292,MATCH($C224,Src_SYSHECF_nuclear!$C$5:$C$292,0))*$E224),Keys!$C$5),Keys!$C$4)</f>
        <v>1.0579000000000001</v>
      </c>
      <c r="AE224">
        <f>IF($D224=1,IF(ABS(INDEX(Src_SYSHECF_nuclear!$D$5:$D$292,MATCH($C224,Src_SYSHECF_nuclear!$C$5:$C$292,0))*$E224*F224-Keys!$C$2)&gt;Keys!$C$6,1,0),0)</f>
        <v>0</v>
      </c>
    </row>
    <row r="225" spans="1:31" x14ac:dyDescent="0.45">
      <c r="A225" t="s">
        <v>80</v>
      </c>
      <c r="B225" t="s">
        <v>425</v>
      </c>
      <c r="C225" t="str">
        <f t="shared" si="3"/>
        <v>NJ|Spring</v>
      </c>
      <c r="D225">
        <f>INDEX(Src_BHRaSYC_nuclear!$HF$5:$HF$52,MATCH($A225,Src_BHRaSYC_nuclear!$A$5:$A$52,0))</f>
        <v>1</v>
      </c>
      <c r="E225">
        <f>INDEX(Src_HYECFCA_nuclear!$B$5:$B$52,MATCH($A225,Src_HYECFCA_nuclear!$A$5:$A$52,0))</f>
        <v>1.0040100000000001</v>
      </c>
      <c r="F225">
        <f>IF($D225=1,ROUND(Keys!$C$2/(INDEX(Src_SYSHECF_nuclear!$D$5:$D$292,MATCH($C225,Src_SYSHECF_nuclear!$C$5:$C$292,0))*$E225),Keys!$C$5),Keys!$C$4)</f>
        <v>1.0579000000000001</v>
      </c>
      <c r="G225">
        <f>IF($D225=1,ROUND(Keys!$C$2/(INDEX(Src_SYSHECF_nuclear!$E$5:$E$292,MATCH($C225,Src_SYSHECF_nuclear!$C$5:$C$292,0))*$E225),Keys!$C$5),Keys!$C$4)</f>
        <v>1.0579000000000001</v>
      </c>
      <c r="H225">
        <f>IF($D225=1,ROUND(Keys!$C$2/(INDEX(Src_SYSHECF_nuclear!$F$5:$F$292,MATCH($C225,Src_SYSHECF_nuclear!$C$5:$C$292,0))*$E225),Keys!$C$5),Keys!$C$4)</f>
        <v>1.0579000000000001</v>
      </c>
      <c r="I225">
        <f>IF($D225=1,ROUND(Keys!$C$2/(INDEX(Src_SYSHECF_nuclear!$G$5:$G$292,MATCH($C225,Src_SYSHECF_nuclear!$C$5:$C$292,0))*$E225),Keys!$C$5),Keys!$C$4)</f>
        <v>1.0579000000000001</v>
      </c>
      <c r="J225">
        <f>IF($D225=1,ROUND(Keys!$C$2/(INDEX(Src_SYSHECF_nuclear!$H$5:$H$292,MATCH($C225,Src_SYSHECF_nuclear!$C$5:$C$292,0))*$E225),Keys!$C$5),Keys!$C$4)</f>
        <v>1.0579000000000001</v>
      </c>
      <c r="K225">
        <f>IF($D225=1,ROUND(Keys!$C$2/(INDEX(Src_SYSHECF_nuclear!$I$5:$I$292,MATCH($C225,Src_SYSHECF_nuclear!$C$5:$C$292,0))*$E225),Keys!$C$5),Keys!$C$4)</f>
        <v>1.0579000000000001</v>
      </c>
      <c r="L225">
        <f>IF($D225=1,ROUND(Keys!$C$2/(INDEX(Src_SYSHECF_nuclear!$J$5:$J$292,MATCH($C225,Src_SYSHECF_nuclear!$C$5:$C$292,0))*$E225),Keys!$C$5),Keys!$C$4)</f>
        <v>1.069</v>
      </c>
      <c r="M225">
        <f>IF($D225=1,ROUND(Keys!$C$2/(INDEX(Src_SYSHECF_nuclear!$K$5:$K$292,MATCH($C225,Src_SYSHECF_nuclear!$C$5:$C$292,0))*$E225),Keys!$C$5),Keys!$C$4)</f>
        <v>1.0646</v>
      </c>
      <c r="N225">
        <f>IF($D225=1,ROUND(Keys!$C$2/(INDEX(Src_SYSHECF_nuclear!$L$5:$L$292,MATCH($C225,Src_SYSHECF_nuclear!$C$5:$C$292,0))*$E225),Keys!$C$5),Keys!$C$4)</f>
        <v>1.0579000000000001</v>
      </c>
      <c r="O225">
        <f>IF($D225=1,ROUND(Keys!$C$2/(INDEX(Src_SYSHECF_nuclear!$M$5:$M$292,MATCH($C225,Src_SYSHECF_nuclear!$C$5:$C$292,0))*$E225),Keys!$C$5),Keys!$C$4)</f>
        <v>1.0579000000000001</v>
      </c>
      <c r="P225">
        <f>IF($D225=1,ROUND(Keys!$C$2/(INDEX(Src_SYSHECF_nuclear!$N$5:$N$292,MATCH($C225,Src_SYSHECF_nuclear!$C$5:$C$292,0))*$E225),Keys!$C$5),Keys!$C$4)</f>
        <v>1.0579000000000001</v>
      </c>
      <c r="Q225">
        <f>IF($D225=1,ROUND(Keys!$C$2/(INDEX(Src_SYSHECF_nuclear!$O$5:$O$292,MATCH($C225,Src_SYSHECF_nuclear!$C$5:$C$292,0))*$E225),Keys!$C$5),Keys!$C$4)</f>
        <v>1.0579000000000001</v>
      </c>
      <c r="R225">
        <f>IF($D225=1,ROUND(Keys!$C$2/(INDEX(Src_SYSHECF_nuclear!$P$5:$P$292,MATCH($C225,Src_SYSHECF_nuclear!$C$5:$C$292,0))*$E225),Keys!$C$5),Keys!$C$4)</f>
        <v>1.0579000000000001</v>
      </c>
      <c r="S225">
        <f>IF($D225=1,ROUND(Keys!$C$2/(INDEX(Src_SYSHECF_nuclear!$Q$5:$Q$292,MATCH($C225,Src_SYSHECF_nuclear!$C$5:$C$292,0))*$E225),Keys!$C$5),Keys!$C$4)</f>
        <v>1.0579000000000001</v>
      </c>
      <c r="T225">
        <f>IF($D225=1,ROUND(Keys!$C$2/(INDEX(Src_SYSHECF_nuclear!$R$5:$R$292,MATCH($C225,Src_SYSHECF_nuclear!$C$5:$C$292,0))*$E225),Keys!$C$5),Keys!$C$4)</f>
        <v>1.0579000000000001</v>
      </c>
      <c r="U225">
        <f>IF($D225=1,ROUND(Keys!$C$2/(INDEX(Src_SYSHECF_nuclear!$S$5:$S$292,MATCH($C225,Src_SYSHECF_nuclear!$C$5:$C$292,0))*$E225),Keys!$C$5),Keys!$C$4)</f>
        <v>1.0579000000000001</v>
      </c>
      <c r="V225">
        <f>IF($D225=1,ROUND(Keys!$C$2/(INDEX(Src_SYSHECF_nuclear!$T$5:$T$292,MATCH($C225,Src_SYSHECF_nuclear!$C$5:$C$292,0))*$E225),Keys!$C$5),Keys!$C$4)</f>
        <v>1.0579000000000001</v>
      </c>
      <c r="W225">
        <f>IF($D225=1,ROUND(Keys!$C$2/(INDEX(Src_SYSHECF_nuclear!$U$5:$U$292,MATCH($C225,Src_SYSHECF_nuclear!$C$5:$C$292,0))*$E225),Keys!$C$5),Keys!$C$4)</f>
        <v>1.0579000000000001</v>
      </c>
      <c r="X225">
        <f>IF($D225=1,ROUND(Keys!$C$2/(INDEX(Src_SYSHECF_nuclear!$V$5:$V$292,MATCH($C225,Src_SYSHECF_nuclear!$C$5:$C$292,0))*$E225),Keys!$C$5),Keys!$C$4)</f>
        <v>1.0579000000000001</v>
      </c>
      <c r="Y225">
        <f>IF($D225=1,ROUND(Keys!$C$2/(INDEX(Src_SYSHECF_nuclear!$W$5:$W$292,MATCH($C225,Src_SYSHECF_nuclear!$C$5:$C$292,0))*$E225),Keys!$C$5),Keys!$C$4)</f>
        <v>1.0579000000000001</v>
      </c>
      <c r="Z225">
        <f>IF($D225=1,ROUND(Keys!$C$2/(INDEX(Src_SYSHECF_nuclear!$X$5:$X$292,MATCH($C225,Src_SYSHECF_nuclear!$C$5:$C$292,0))*$E225),Keys!$C$5),Keys!$C$4)</f>
        <v>1.0579000000000001</v>
      </c>
      <c r="AA225">
        <f>IF($D225=1,ROUND(Keys!$C$2/(INDEX(Src_SYSHECF_nuclear!$Y$5:$Y$292,MATCH($C225,Src_SYSHECF_nuclear!$C$5:$C$292,0))*$E225),Keys!$C$5),Keys!$C$4)</f>
        <v>1.0579000000000001</v>
      </c>
      <c r="AB225">
        <f>IF($D225=1,ROUND(Keys!$C$2/(INDEX(Src_SYSHECF_nuclear!$Z$5:$Z$292,MATCH($C225,Src_SYSHECF_nuclear!$C$5:$C$292,0))*$E225),Keys!$C$5),Keys!$C$4)</f>
        <v>1.0579000000000001</v>
      </c>
      <c r="AC225">
        <f>IF($D225=1,ROUND(Keys!$C$2/(INDEX(Src_SYSHECF_nuclear!$AA$5:$AA$292,MATCH($C225,Src_SYSHECF_nuclear!$C$5:$C$292,0))*$E225),Keys!$C$5),Keys!$C$4)</f>
        <v>1.0579000000000001</v>
      </c>
      <c r="AE225">
        <f>IF($D225=1,IF(ABS(INDEX(Src_SYSHECF_nuclear!$D$5:$D$292,MATCH($C225,Src_SYSHECF_nuclear!$C$5:$C$292,0))*$E225*F225-Keys!$C$2)&gt;Keys!$C$6,1,0),0)</f>
        <v>0</v>
      </c>
    </row>
    <row r="226" spans="1:31" x14ac:dyDescent="0.45">
      <c r="A226" t="s">
        <v>80</v>
      </c>
      <c r="B226" t="s">
        <v>426</v>
      </c>
      <c r="C226" t="str">
        <f t="shared" si="3"/>
        <v>NJ|Summer</v>
      </c>
      <c r="D226">
        <f>INDEX(Src_BHRaSYC_nuclear!$HF$5:$HF$52,MATCH($A226,Src_BHRaSYC_nuclear!$A$5:$A$52,0))</f>
        <v>1</v>
      </c>
      <c r="E226">
        <f>INDEX(Src_HYECFCA_nuclear!$B$5:$B$52,MATCH($A226,Src_HYECFCA_nuclear!$A$5:$A$52,0))</f>
        <v>1.0040100000000001</v>
      </c>
      <c r="F226">
        <f>IF($D226=1,ROUND(Keys!$C$2/(INDEX(Src_SYSHECF_nuclear!$D$5:$D$292,MATCH($C226,Src_SYSHECF_nuclear!$C$5:$C$292,0))*$E226),Keys!$C$5),Keys!$C$4)</f>
        <v>1.0579000000000001</v>
      </c>
      <c r="G226">
        <f>IF($D226=1,ROUND(Keys!$C$2/(INDEX(Src_SYSHECF_nuclear!$E$5:$E$292,MATCH($C226,Src_SYSHECF_nuclear!$C$5:$C$292,0))*$E226),Keys!$C$5),Keys!$C$4)</f>
        <v>1.0579000000000001</v>
      </c>
      <c r="H226">
        <f>IF($D226=1,ROUND(Keys!$C$2/(INDEX(Src_SYSHECF_nuclear!$F$5:$F$292,MATCH($C226,Src_SYSHECF_nuclear!$C$5:$C$292,0))*$E226),Keys!$C$5),Keys!$C$4)</f>
        <v>1.0579000000000001</v>
      </c>
      <c r="I226">
        <f>IF($D226=1,ROUND(Keys!$C$2/(INDEX(Src_SYSHECF_nuclear!$G$5:$G$292,MATCH($C226,Src_SYSHECF_nuclear!$C$5:$C$292,0))*$E226),Keys!$C$5),Keys!$C$4)</f>
        <v>1.0579000000000001</v>
      </c>
      <c r="J226">
        <f>IF($D226=1,ROUND(Keys!$C$2/(INDEX(Src_SYSHECF_nuclear!$H$5:$H$292,MATCH($C226,Src_SYSHECF_nuclear!$C$5:$C$292,0))*$E226),Keys!$C$5),Keys!$C$4)</f>
        <v>1.0579000000000001</v>
      </c>
      <c r="K226">
        <f>IF($D226=1,ROUND(Keys!$C$2/(INDEX(Src_SYSHECF_nuclear!$I$5:$I$292,MATCH($C226,Src_SYSHECF_nuclear!$C$5:$C$292,0))*$E226),Keys!$C$5),Keys!$C$4)</f>
        <v>1.0579000000000001</v>
      </c>
      <c r="L226">
        <f>IF($D226=1,ROUND(Keys!$C$2/(INDEX(Src_SYSHECF_nuclear!$J$5:$J$292,MATCH($C226,Src_SYSHECF_nuclear!$C$5:$C$292,0))*$E226),Keys!$C$5),Keys!$C$4)</f>
        <v>1.0579000000000001</v>
      </c>
      <c r="M226">
        <f>IF($D226=1,ROUND(Keys!$C$2/(INDEX(Src_SYSHECF_nuclear!$K$5:$K$292,MATCH($C226,Src_SYSHECF_nuclear!$C$5:$C$292,0))*$E226),Keys!$C$5),Keys!$C$4)</f>
        <v>1.0579000000000001</v>
      </c>
      <c r="N226">
        <f>IF($D226=1,ROUND(Keys!$C$2/(INDEX(Src_SYSHECF_nuclear!$L$5:$L$292,MATCH($C226,Src_SYSHECF_nuclear!$C$5:$C$292,0))*$E226),Keys!$C$5),Keys!$C$4)</f>
        <v>1.0579000000000001</v>
      </c>
      <c r="O226">
        <f>IF($D226=1,ROUND(Keys!$C$2/(INDEX(Src_SYSHECF_nuclear!$M$5:$M$292,MATCH($C226,Src_SYSHECF_nuclear!$C$5:$C$292,0))*$E226),Keys!$C$5),Keys!$C$4)</f>
        <v>1.0579000000000001</v>
      </c>
      <c r="P226">
        <f>IF($D226=1,ROUND(Keys!$C$2/(INDEX(Src_SYSHECF_nuclear!$N$5:$N$292,MATCH($C226,Src_SYSHECF_nuclear!$C$5:$C$292,0))*$E226),Keys!$C$5),Keys!$C$4)</f>
        <v>1.0579000000000001</v>
      </c>
      <c r="Q226">
        <f>IF($D226=1,ROUND(Keys!$C$2/(INDEX(Src_SYSHECF_nuclear!$O$5:$O$292,MATCH($C226,Src_SYSHECF_nuclear!$C$5:$C$292,0))*$E226),Keys!$C$5),Keys!$C$4)</f>
        <v>1.0579000000000001</v>
      </c>
      <c r="R226">
        <f>IF($D226=1,ROUND(Keys!$C$2/(INDEX(Src_SYSHECF_nuclear!$P$5:$P$292,MATCH($C226,Src_SYSHECF_nuclear!$C$5:$C$292,0))*$E226),Keys!$C$5),Keys!$C$4)</f>
        <v>1.0579000000000001</v>
      </c>
      <c r="S226">
        <f>IF($D226=1,ROUND(Keys!$C$2/(INDEX(Src_SYSHECF_nuclear!$Q$5:$Q$292,MATCH($C226,Src_SYSHECF_nuclear!$C$5:$C$292,0))*$E226),Keys!$C$5),Keys!$C$4)</f>
        <v>1.0579000000000001</v>
      </c>
      <c r="T226">
        <f>IF($D226=1,ROUND(Keys!$C$2/(INDEX(Src_SYSHECF_nuclear!$R$5:$R$292,MATCH($C226,Src_SYSHECF_nuclear!$C$5:$C$292,0))*$E226),Keys!$C$5),Keys!$C$4)</f>
        <v>1.0579000000000001</v>
      </c>
      <c r="U226">
        <f>IF($D226=1,ROUND(Keys!$C$2/(INDEX(Src_SYSHECF_nuclear!$S$5:$S$292,MATCH($C226,Src_SYSHECF_nuclear!$C$5:$C$292,0))*$E226),Keys!$C$5),Keys!$C$4)</f>
        <v>1.0579000000000001</v>
      </c>
      <c r="V226">
        <f>IF($D226=1,ROUND(Keys!$C$2/(INDEX(Src_SYSHECF_nuclear!$T$5:$T$292,MATCH($C226,Src_SYSHECF_nuclear!$C$5:$C$292,0))*$E226),Keys!$C$5),Keys!$C$4)</f>
        <v>1.0579000000000001</v>
      </c>
      <c r="W226">
        <f>IF($D226=1,ROUND(Keys!$C$2/(INDEX(Src_SYSHECF_nuclear!$U$5:$U$292,MATCH($C226,Src_SYSHECF_nuclear!$C$5:$C$292,0))*$E226),Keys!$C$5),Keys!$C$4)</f>
        <v>1.0579000000000001</v>
      </c>
      <c r="X226">
        <f>IF($D226=1,ROUND(Keys!$C$2/(INDEX(Src_SYSHECF_nuclear!$V$5:$V$292,MATCH($C226,Src_SYSHECF_nuclear!$C$5:$C$292,0))*$E226),Keys!$C$5),Keys!$C$4)</f>
        <v>1.0579000000000001</v>
      </c>
      <c r="Y226">
        <f>IF($D226=1,ROUND(Keys!$C$2/(INDEX(Src_SYSHECF_nuclear!$W$5:$W$292,MATCH($C226,Src_SYSHECF_nuclear!$C$5:$C$292,0))*$E226),Keys!$C$5),Keys!$C$4)</f>
        <v>1.0579000000000001</v>
      </c>
      <c r="Z226">
        <f>IF($D226=1,ROUND(Keys!$C$2/(INDEX(Src_SYSHECF_nuclear!$X$5:$X$292,MATCH($C226,Src_SYSHECF_nuclear!$C$5:$C$292,0))*$E226),Keys!$C$5),Keys!$C$4)</f>
        <v>1.0579000000000001</v>
      </c>
      <c r="AA226">
        <f>IF($D226=1,ROUND(Keys!$C$2/(INDEX(Src_SYSHECF_nuclear!$Y$5:$Y$292,MATCH($C226,Src_SYSHECF_nuclear!$C$5:$C$292,0))*$E226),Keys!$C$5),Keys!$C$4)</f>
        <v>1.0579000000000001</v>
      </c>
      <c r="AB226">
        <f>IF($D226=1,ROUND(Keys!$C$2/(INDEX(Src_SYSHECF_nuclear!$Z$5:$Z$292,MATCH($C226,Src_SYSHECF_nuclear!$C$5:$C$292,0))*$E226),Keys!$C$5),Keys!$C$4)</f>
        <v>1.0579000000000001</v>
      </c>
      <c r="AC226">
        <f>IF($D226=1,ROUND(Keys!$C$2/(INDEX(Src_SYSHECF_nuclear!$AA$5:$AA$292,MATCH($C226,Src_SYSHECF_nuclear!$C$5:$C$292,0))*$E226),Keys!$C$5),Keys!$C$4)</f>
        <v>1.0579000000000001</v>
      </c>
      <c r="AE226">
        <f>IF($D226=1,IF(ABS(INDEX(Src_SYSHECF_nuclear!$D$5:$D$292,MATCH($C226,Src_SYSHECF_nuclear!$C$5:$C$292,0))*$E226*F226-Keys!$C$2)&gt;Keys!$C$6,1,0),0)</f>
        <v>0</v>
      </c>
    </row>
    <row r="227" spans="1:31" x14ac:dyDescent="0.45">
      <c r="A227" t="s">
        <v>80</v>
      </c>
      <c r="B227" t="s">
        <v>427</v>
      </c>
      <c r="C227" t="str">
        <f t="shared" si="3"/>
        <v>NJ|Fall</v>
      </c>
      <c r="D227">
        <f>INDEX(Src_BHRaSYC_nuclear!$HF$5:$HF$52,MATCH($A227,Src_BHRaSYC_nuclear!$A$5:$A$52,0))</f>
        <v>1</v>
      </c>
      <c r="E227">
        <f>INDEX(Src_HYECFCA_nuclear!$B$5:$B$52,MATCH($A227,Src_HYECFCA_nuclear!$A$5:$A$52,0))</f>
        <v>1.0040100000000001</v>
      </c>
      <c r="F227">
        <f>IF($D227=1,ROUND(Keys!$C$2/(INDEX(Src_SYSHECF_nuclear!$D$5:$D$292,MATCH($C227,Src_SYSHECF_nuclear!$C$5:$C$292,0))*$E227),Keys!$C$5),Keys!$C$4)</f>
        <v>1.0579000000000001</v>
      </c>
      <c r="G227">
        <f>IF($D227=1,ROUND(Keys!$C$2/(INDEX(Src_SYSHECF_nuclear!$E$5:$E$292,MATCH($C227,Src_SYSHECF_nuclear!$C$5:$C$292,0))*$E227),Keys!$C$5),Keys!$C$4)</f>
        <v>1.0579000000000001</v>
      </c>
      <c r="H227">
        <f>IF($D227=1,ROUND(Keys!$C$2/(INDEX(Src_SYSHECF_nuclear!$F$5:$F$292,MATCH($C227,Src_SYSHECF_nuclear!$C$5:$C$292,0))*$E227),Keys!$C$5),Keys!$C$4)</f>
        <v>1.0579000000000001</v>
      </c>
      <c r="I227">
        <f>IF($D227=1,ROUND(Keys!$C$2/(INDEX(Src_SYSHECF_nuclear!$G$5:$G$292,MATCH($C227,Src_SYSHECF_nuclear!$C$5:$C$292,0))*$E227),Keys!$C$5),Keys!$C$4)</f>
        <v>1.0579000000000001</v>
      </c>
      <c r="J227">
        <f>IF($D227=1,ROUND(Keys!$C$2/(INDEX(Src_SYSHECF_nuclear!$H$5:$H$292,MATCH($C227,Src_SYSHECF_nuclear!$C$5:$C$292,0))*$E227),Keys!$C$5),Keys!$C$4)</f>
        <v>1.0579000000000001</v>
      </c>
      <c r="K227">
        <f>IF($D227=1,ROUND(Keys!$C$2/(INDEX(Src_SYSHECF_nuclear!$I$5:$I$292,MATCH($C227,Src_SYSHECF_nuclear!$C$5:$C$292,0))*$E227),Keys!$C$5),Keys!$C$4)</f>
        <v>1.0579000000000001</v>
      </c>
      <c r="L227">
        <f>IF($D227=1,ROUND(Keys!$C$2/(INDEX(Src_SYSHECF_nuclear!$J$5:$J$292,MATCH($C227,Src_SYSHECF_nuclear!$C$5:$C$292,0))*$E227),Keys!$C$5),Keys!$C$4)</f>
        <v>1.0622</v>
      </c>
      <c r="M227">
        <f>IF($D227=1,ROUND(Keys!$C$2/(INDEX(Src_SYSHECF_nuclear!$K$5:$K$292,MATCH($C227,Src_SYSHECF_nuclear!$C$5:$C$292,0))*$E227),Keys!$C$5),Keys!$C$4)</f>
        <v>1.0638000000000001</v>
      </c>
      <c r="N227">
        <f>IF($D227=1,ROUND(Keys!$C$2/(INDEX(Src_SYSHECF_nuclear!$L$5:$L$292,MATCH($C227,Src_SYSHECF_nuclear!$C$5:$C$292,0))*$E227),Keys!$C$5),Keys!$C$4)</f>
        <v>1.0579000000000001</v>
      </c>
      <c r="O227">
        <f>IF($D227=1,ROUND(Keys!$C$2/(INDEX(Src_SYSHECF_nuclear!$M$5:$M$292,MATCH($C227,Src_SYSHECF_nuclear!$C$5:$C$292,0))*$E227),Keys!$C$5),Keys!$C$4)</f>
        <v>1.0579000000000001</v>
      </c>
      <c r="P227">
        <f>IF($D227=1,ROUND(Keys!$C$2/(INDEX(Src_SYSHECF_nuclear!$N$5:$N$292,MATCH($C227,Src_SYSHECF_nuclear!$C$5:$C$292,0))*$E227),Keys!$C$5),Keys!$C$4)</f>
        <v>1.0579000000000001</v>
      </c>
      <c r="Q227">
        <f>IF($D227=1,ROUND(Keys!$C$2/(INDEX(Src_SYSHECF_nuclear!$O$5:$O$292,MATCH($C227,Src_SYSHECF_nuclear!$C$5:$C$292,0))*$E227),Keys!$C$5),Keys!$C$4)</f>
        <v>1.0579000000000001</v>
      </c>
      <c r="R227">
        <f>IF($D227=1,ROUND(Keys!$C$2/(INDEX(Src_SYSHECF_nuclear!$P$5:$P$292,MATCH($C227,Src_SYSHECF_nuclear!$C$5:$C$292,0))*$E227),Keys!$C$5),Keys!$C$4)</f>
        <v>1.0579000000000001</v>
      </c>
      <c r="S227">
        <f>IF($D227=1,ROUND(Keys!$C$2/(INDEX(Src_SYSHECF_nuclear!$Q$5:$Q$292,MATCH($C227,Src_SYSHECF_nuclear!$C$5:$C$292,0))*$E227),Keys!$C$5),Keys!$C$4)</f>
        <v>1.0579000000000001</v>
      </c>
      <c r="T227">
        <f>IF($D227=1,ROUND(Keys!$C$2/(INDEX(Src_SYSHECF_nuclear!$R$5:$R$292,MATCH($C227,Src_SYSHECF_nuclear!$C$5:$C$292,0))*$E227),Keys!$C$5),Keys!$C$4)</f>
        <v>1.0579000000000001</v>
      </c>
      <c r="U227">
        <f>IF($D227=1,ROUND(Keys!$C$2/(INDEX(Src_SYSHECF_nuclear!$S$5:$S$292,MATCH($C227,Src_SYSHECF_nuclear!$C$5:$C$292,0))*$E227),Keys!$C$5),Keys!$C$4)</f>
        <v>1.0579000000000001</v>
      </c>
      <c r="V227">
        <f>IF($D227=1,ROUND(Keys!$C$2/(INDEX(Src_SYSHECF_nuclear!$T$5:$T$292,MATCH($C227,Src_SYSHECF_nuclear!$C$5:$C$292,0))*$E227),Keys!$C$5),Keys!$C$4)</f>
        <v>1.0579000000000001</v>
      </c>
      <c r="W227">
        <f>IF($D227=1,ROUND(Keys!$C$2/(INDEX(Src_SYSHECF_nuclear!$U$5:$U$292,MATCH($C227,Src_SYSHECF_nuclear!$C$5:$C$292,0))*$E227),Keys!$C$5),Keys!$C$4)</f>
        <v>1.0579000000000001</v>
      </c>
      <c r="X227">
        <f>IF($D227=1,ROUND(Keys!$C$2/(INDEX(Src_SYSHECF_nuclear!$V$5:$V$292,MATCH($C227,Src_SYSHECF_nuclear!$C$5:$C$292,0))*$E227),Keys!$C$5),Keys!$C$4)</f>
        <v>1.0579000000000001</v>
      </c>
      <c r="Y227">
        <f>IF($D227=1,ROUND(Keys!$C$2/(INDEX(Src_SYSHECF_nuclear!$W$5:$W$292,MATCH($C227,Src_SYSHECF_nuclear!$C$5:$C$292,0))*$E227),Keys!$C$5),Keys!$C$4)</f>
        <v>1.0579000000000001</v>
      </c>
      <c r="Z227">
        <f>IF($D227=1,ROUND(Keys!$C$2/(INDEX(Src_SYSHECF_nuclear!$X$5:$X$292,MATCH($C227,Src_SYSHECF_nuclear!$C$5:$C$292,0))*$E227),Keys!$C$5),Keys!$C$4)</f>
        <v>1.0579000000000001</v>
      </c>
      <c r="AA227">
        <f>IF($D227=1,ROUND(Keys!$C$2/(INDEX(Src_SYSHECF_nuclear!$Y$5:$Y$292,MATCH($C227,Src_SYSHECF_nuclear!$C$5:$C$292,0))*$E227),Keys!$C$5),Keys!$C$4)</f>
        <v>1.0579000000000001</v>
      </c>
      <c r="AB227">
        <f>IF($D227=1,ROUND(Keys!$C$2/(INDEX(Src_SYSHECF_nuclear!$Z$5:$Z$292,MATCH($C227,Src_SYSHECF_nuclear!$C$5:$C$292,0))*$E227),Keys!$C$5),Keys!$C$4)</f>
        <v>1.0579000000000001</v>
      </c>
      <c r="AC227">
        <f>IF($D227=1,ROUND(Keys!$C$2/(INDEX(Src_SYSHECF_nuclear!$AA$5:$AA$292,MATCH($C227,Src_SYSHECF_nuclear!$C$5:$C$292,0))*$E227),Keys!$C$5),Keys!$C$4)</f>
        <v>1.0579000000000001</v>
      </c>
      <c r="AE227">
        <f>IF($D227=1,IF(ABS(INDEX(Src_SYSHECF_nuclear!$D$5:$D$292,MATCH($C227,Src_SYSHECF_nuclear!$C$5:$C$292,0))*$E227*F227-Keys!$C$2)&gt;Keys!$C$6,1,0),0)</f>
        <v>0</v>
      </c>
    </row>
    <row r="228" spans="1:31" x14ac:dyDescent="0.45">
      <c r="A228" t="s">
        <v>80</v>
      </c>
      <c r="B228" t="s">
        <v>428</v>
      </c>
      <c r="C228" t="str">
        <f t="shared" si="3"/>
        <v>NJ|Summer Peak</v>
      </c>
      <c r="D228">
        <f>INDEX(Src_BHRaSYC_nuclear!$HF$5:$HF$52,MATCH($A228,Src_BHRaSYC_nuclear!$A$5:$A$52,0))</f>
        <v>1</v>
      </c>
      <c r="E228">
        <f>INDEX(Src_HYECFCA_nuclear!$B$5:$B$52,MATCH($A228,Src_HYECFCA_nuclear!$A$5:$A$52,0))</f>
        <v>1.0040100000000001</v>
      </c>
      <c r="F228">
        <f>IF($D228=1,ROUND(Keys!$C$2/(INDEX(Src_SYSHECF_nuclear!$D$5:$D$292,MATCH($C228,Src_SYSHECF_nuclear!$C$5:$C$292,0))*$E228),Keys!$C$5),Keys!$C$4)</f>
        <v>1.0579000000000001</v>
      </c>
      <c r="G228">
        <f>IF($D228=1,ROUND(Keys!$C$2/(INDEX(Src_SYSHECF_nuclear!$E$5:$E$292,MATCH($C228,Src_SYSHECF_nuclear!$C$5:$C$292,0))*$E228),Keys!$C$5),Keys!$C$4)</f>
        <v>1.0579000000000001</v>
      </c>
      <c r="H228">
        <f>IF($D228=1,ROUND(Keys!$C$2/(INDEX(Src_SYSHECF_nuclear!$F$5:$F$292,MATCH($C228,Src_SYSHECF_nuclear!$C$5:$C$292,0))*$E228),Keys!$C$5),Keys!$C$4)</f>
        <v>1.0579000000000001</v>
      </c>
      <c r="I228">
        <f>IF($D228=1,ROUND(Keys!$C$2/(INDEX(Src_SYSHECF_nuclear!$G$5:$G$292,MATCH($C228,Src_SYSHECF_nuclear!$C$5:$C$292,0))*$E228),Keys!$C$5),Keys!$C$4)</f>
        <v>1.0579000000000001</v>
      </c>
      <c r="J228">
        <f>IF($D228=1,ROUND(Keys!$C$2/(INDEX(Src_SYSHECF_nuclear!$H$5:$H$292,MATCH($C228,Src_SYSHECF_nuclear!$C$5:$C$292,0))*$E228),Keys!$C$5),Keys!$C$4)</f>
        <v>1.0579000000000001</v>
      </c>
      <c r="K228">
        <f>IF($D228=1,ROUND(Keys!$C$2/(INDEX(Src_SYSHECF_nuclear!$I$5:$I$292,MATCH($C228,Src_SYSHECF_nuclear!$C$5:$C$292,0))*$E228),Keys!$C$5),Keys!$C$4)</f>
        <v>1.0579000000000001</v>
      </c>
      <c r="L228">
        <f>IF($D228=1,ROUND(Keys!$C$2/(INDEX(Src_SYSHECF_nuclear!$J$5:$J$292,MATCH($C228,Src_SYSHECF_nuclear!$C$5:$C$292,0))*$E228),Keys!$C$5),Keys!$C$4)</f>
        <v>1.0579000000000001</v>
      </c>
      <c r="M228">
        <f>IF($D228=1,ROUND(Keys!$C$2/(INDEX(Src_SYSHECF_nuclear!$K$5:$K$292,MATCH($C228,Src_SYSHECF_nuclear!$C$5:$C$292,0))*$E228),Keys!$C$5),Keys!$C$4)</f>
        <v>1.0579000000000001</v>
      </c>
      <c r="N228">
        <f>IF($D228=1,ROUND(Keys!$C$2/(INDEX(Src_SYSHECF_nuclear!$L$5:$L$292,MATCH($C228,Src_SYSHECF_nuclear!$C$5:$C$292,0))*$E228),Keys!$C$5),Keys!$C$4)</f>
        <v>1.0579000000000001</v>
      </c>
      <c r="O228">
        <f>IF($D228=1,ROUND(Keys!$C$2/(INDEX(Src_SYSHECF_nuclear!$M$5:$M$292,MATCH($C228,Src_SYSHECF_nuclear!$C$5:$C$292,0))*$E228),Keys!$C$5),Keys!$C$4)</f>
        <v>1.0579000000000001</v>
      </c>
      <c r="P228">
        <f>IF($D228=1,ROUND(Keys!$C$2/(INDEX(Src_SYSHECF_nuclear!$N$5:$N$292,MATCH($C228,Src_SYSHECF_nuclear!$C$5:$C$292,0))*$E228),Keys!$C$5),Keys!$C$4)</f>
        <v>1.0579000000000001</v>
      </c>
      <c r="Q228">
        <f>IF($D228=1,ROUND(Keys!$C$2/(INDEX(Src_SYSHECF_nuclear!$O$5:$O$292,MATCH($C228,Src_SYSHECF_nuclear!$C$5:$C$292,0))*$E228),Keys!$C$5),Keys!$C$4)</f>
        <v>1.0579000000000001</v>
      </c>
      <c r="R228">
        <f>IF($D228=1,ROUND(Keys!$C$2/(INDEX(Src_SYSHECF_nuclear!$P$5:$P$292,MATCH($C228,Src_SYSHECF_nuclear!$C$5:$C$292,0))*$E228),Keys!$C$5),Keys!$C$4)</f>
        <v>1.0579000000000001</v>
      </c>
      <c r="S228">
        <f>IF($D228=1,ROUND(Keys!$C$2/(INDEX(Src_SYSHECF_nuclear!$Q$5:$Q$292,MATCH($C228,Src_SYSHECF_nuclear!$C$5:$C$292,0))*$E228),Keys!$C$5),Keys!$C$4)</f>
        <v>1.0579000000000001</v>
      </c>
      <c r="T228">
        <f>IF($D228=1,ROUND(Keys!$C$2/(INDEX(Src_SYSHECF_nuclear!$R$5:$R$292,MATCH($C228,Src_SYSHECF_nuclear!$C$5:$C$292,0))*$E228),Keys!$C$5),Keys!$C$4)</f>
        <v>1.0579000000000001</v>
      </c>
      <c r="U228">
        <f>IF($D228=1,ROUND(Keys!$C$2/(INDEX(Src_SYSHECF_nuclear!$S$5:$S$292,MATCH($C228,Src_SYSHECF_nuclear!$C$5:$C$292,0))*$E228),Keys!$C$5),Keys!$C$4)</f>
        <v>1.0579000000000001</v>
      </c>
      <c r="V228">
        <f>IF($D228=1,ROUND(Keys!$C$2/(INDEX(Src_SYSHECF_nuclear!$T$5:$T$292,MATCH($C228,Src_SYSHECF_nuclear!$C$5:$C$292,0))*$E228),Keys!$C$5),Keys!$C$4)</f>
        <v>1.0579000000000001</v>
      </c>
      <c r="W228">
        <f>IF($D228=1,ROUND(Keys!$C$2/(INDEX(Src_SYSHECF_nuclear!$U$5:$U$292,MATCH($C228,Src_SYSHECF_nuclear!$C$5:$C$292,0))*$E228),Keys!$C$5),Keys!$C$4)</f>
        <v>1.0579000000000001</v>
      </c>
      <c r="X228">
        <f>IF($D228=1,ROUND(Keys!$C$2/(INDEX(Src_SYSHECF_nuclear!$V$5:$V$292,MATCH($C228,Src_SYSHECF_nuclear!$C$5:$C$292,0))*$E228),Keys!$C$5),Keys!$C$4)</f>
        <v>1.0579000000000001</v>
      </c>
      <c r="Y228">
        <f>IF($D228=1,ROUND(Keys!$C$2/(INDEX(Src_SYSHECF_nuclear!$W$5:$W$292,MATCH($C228,Src_SYSHECF_nuclear!$C$5:$C$292,0))*$E228),Keys!$C$5),Keys!$C$4)</f>
        <v>1.0579000000000001</v>
      </c>
      <c r="Z228">
        <f>IF($D228=1,ROUND(Keys!$C$2/(INDEX(Src_SYSHECF_nuclear!$X$5:$X$292,MATCH($C228,Src_SYSHECF_nuclear!$C$5:$C$292,0))*$E228),Keys!$C$5),Keys!$C$4)</f>
        <v>1.0579000000000001</v>
      </c>
      <c r="AA228">
        <f>IF($D228=1,ROUND(Keys!$C$2/(INDEX(Src_SYSHECF_nuclear!$Y$5:$Y$292,MATCH($C228,Src_SYSHECF_nuclear!$C$5:$C$292,0))*$E228),Keys!$C$5),Keys!$C$4)</f>
        <v>1.0579000000000001</v>
      </c>
      <c r="AB228">
        <f>IF($D228=1,ROUND(Keys!$C$2/(INDEX(Src_SYSHECF_nuclear!$Z$5:$Z$292,MATCH($C228,Src_SYSHECF_nuclear!$C$5:$C$292,0))*$E228),Keys!$C$5),Keys!$C$4)</f>
        <v>1.0579000000000001</v>
      </c>
      <c r="AC228">
        <f>IF($D228=1,ROUND(Keys!$C$2/(INDEX(Src_SYSHECF_nuclear!$AA$5:$AA$292,MATCH($C228,Src_SYSHECF_nuclear!$C$5:$C$292,0))*$E228),Keys!$C$5),Keys!$C$4)</f>
        <v>1.0579000000000001</v>
      </c>
      <c r="AE228">
        <f>IF($D228=1,IF(ABS(INDEX(Src_SYSHECF_nuclear!$D$5:$D$292,MATCH($C228,Src_SYSHECF_nuclear!$C$5:$C$292,0))*$E228*F228-Keys!$C$2)&gt;Keys!$C$6,1,0),0)</f>
        <v>0</v>
      </c>
    </row>
    <row r="229" spans="1:31" x14ac:dyDescent="0.45">
      <c r="A229" t="s">
        <v>80</v>
      </c>
      <c r="B229" t="s">
        <v>429</v>
      </c>
      <c r="C229" t="str">
        <f t="shared" si="3"/>
        <v>NJ|Winter Peak</v>
      </c>
      <c r="D229">
        <f>INDEX(Src_BHRaSYC_nuclear!$HF$5:$HF$52,MATCH($A229,Src_BHRaSYC_nuclear!$A$5:$A$52,0))</f>
        <v>1</v>
      </c>
      <c r="E229">
        <f>INDEX(Src_HYECFCA_nuclear!$B$5:$B$52,MATCH($A229,Src_HYECFCA_nuclear!$A$5:$A$52,0))</f>
        <v>1.0040100000000001</v>
      </c>
      <c r="F229">
        <f>IF($D229=1,ROUND(Keys!$C$2/(INDEX(Src_SYSHECF_nuclear!$D$5:$D$292,MATCH($C229,Src_SYSHECF_nuclear!$C$5:$C$292,0))*$E229),Keys!$C$5),Keys!$C$4)</f>
        <v>1.0579000000000001</v>
      </c>
      <c r="G229">
        <f>IF($D229=1,ROUND(Keys!$C$2/(INDEX(Src_SYSHECF_nuclear!$E$5:$E$292,MATCH($C229,Src_SYSHECF_nuclear!$C$5:$C$292,0))*$E229),Keys!$C$5),Keys!$C$4)</f>
        <v>1.0579000000000001</v>
      </c>
      <c r="H229">
        <f>IF($D229=1,ROUND(Keys!$C$2/(INDEX(Src_SYSHECF_nuclear!$F$5:$F$292,MATCH($C229,Src_SYSHECF_nuclear!$C$5:$C$292,0))*$E229),Keys!$C$5),Keys!$C$4)</f>
        <v>1.0579000000000001</v>
      </c>
      <c r="I229">
        <f>IF($D229=1,ROUND(Keys!$C$2/(INDEX(Src_SYSHECF_nuclear!$G$5:$G$292,MATCH($C229,Src_SYSHECF_nuclear!$C$5:$C$292,0))*$E229),Keys!$C$5),Keys!$C$4)</f>
        <v>1.0579000000000001</v>
      </c>
      <c r="J229">
        <f>IF($D229=1,ROUND(Keys!$C$2/(INDEX(Src_SYSHECF_nuclear!$H$5:$H$292,MATCH($C229,Src_SYSHECF_nuclear!$C$5:$C$292,0))*$E229),Keys!$C$5),Keys!$C$4)</f>
        <v>1.0579000000000001</v>
      </c>
      <c r="K229">
        <f>IF($D229=1,ROUND(Keys!$C$2/(INDEX(Src_SYSHECF_nuclear!$I$5:$I$292,MATCH($C229,Src_SYSHECF_nuclear!$C$5:$C$292,0))*$E229),Keys!$C$5),Keys!$C$4)</f>
        <v>1.0579000000000001</v>
      </c>
      <c r="L229">
        <f>IF($D229=1,ROUND(Keys!$C$2/(INDEX(Src_SYSHECF_nuclear!$J$5:$J$292,MATCH($C229,Src_SYSHECF_nuclear!$C$5:$C$292,0))*$E229),Keys!$C$5),Keys!$C$4)</f>
        <v>1.0579000000000001</v>
      </c>
      <c r="M229">
        <f>IF($D229=1,ROUND(Keys!$C$2/(INDEX(Src_SYSHECF_nuclear!$K$5:$K$292,MATCH($C229,Src_SYSHECF_nuclear!$C$5:$C$292,0))*$E229),Keys!$C$5),Keys!$C$4)</f>
        <v>1.0579000000000001</v>
      </c>
      <c r="N229">
        <f>IF($D229=1,ROUND(Keys!$C$2/(INDEX(Src_SYSHECF_nuclear!$L$5:$L$292,MATCH($C229,Src_SYSHECF_nuclear!$C$5:$C$292,0))*$E229),Keys!$C$5),Keys!$C$4)</f>
        <v>1.0579000000000001</v>
      </c>
      <c r="O229">
        <f>IF($D229=1,ROUND(Keys!$C$2/(INDEX(Src_SYSHECF_nuclear!$M$5:$M$292,MATCH($C229,Src_SYSHECF_nuclear!$C$5:$C$292,0))*$E229),Keys!$C$5),Keys!$C$4)</f>
        <v>1.0579000000000001</v>
      </c>
      <c r="P229">
        <f>IF($D229=1,ROUND(Keys!$C$2/(INDEX(Src_SYSHECF_nuclear!$N$5:$N$292,MATCH($C229,Src_SYSHECF_nuclear!$C$5:$C$292,0))*$E229),Keys!$C$5),Keys!$C$4)</f>
        <v>1.0579000000000001</v>
      </c>
      <c r="Q229">
        <f>IF($D229=1,ROUND(Keys!$C$2/(INDEX(Src_SYSHECF_nuclear!$O$5:$O$292,MATCH($C229,Src_SYSHECF_nuclear!$C$5:$C$292,0))*$E229),Keys!$C$5),Keys!$C$4)</f>
        <v>1.0579000000000001</v>
      </c>
      <c r="R229">
        <f>IF($D229=1,ROUND(Keys!$C$2/(INDEX(Src_SYSHECF_nuclear!$P$5:$P$292,MATCH($C229,Src_SYSHECF_nuclear!$C$5:$C$292,0))*$E229),Keys!$C$5),Keys!$C$4)</f>
        <v>1.0579000000000001</v>
      </c>
      <c r="S229">
        <f>IF($D229=1,ROUND(Keys!$C$2/(INDEX(Src_SYSHECF_nuclear!$Q$5:$Q$292,MATCH($C229,Src_SYSHECF_nuclear!$C$5:$C$292,0))*$E229),Keys!$C$5),Keys!$C$4)</f>
        <v>1.0579000000000001</v>
      </c>
      <c r="T229">
        <f>IF($D229=1,ROUND(Keys!$C$2/(INDEX(Src_SYSHECF_nuclear!$R$5:$R$292,MATCH($C229,Src_SYSHECF_nuclear!$C$5:$C$292,0))*$E229),Keys!$C$5),Keys!$C$4)</f>
        <v>1.0579000000000001</v>
      </c>
      <c r="U229">
        <f>IF($D229=1,ROUND(Keys!$C$2/(INDEX(Src_SYSHECF_nuclear!$S$5:$S$292,MATCH($C229,Src_SYSHECF_nuclear!$C$5:$C$292,0))*$E229),Keys!$C$5),Keys!$C$4)</f>
        <v>1.0579000000000001</v>
      </c>
      <c r="V229">
        <f>IF($D229=1,ROUND(Keys!$C$2/(INDEX(Src_SYSHECF_nuclear!$T$5:$T$292,MATCH($C229,Src_SYSHECF_nuclear!$C$5:$C$292,0))*$E229),Keys!$C$5),Keys!$C$4)</f>
        <v>1.0579000000000001</v>
      </c>
      <c r="W229">
        <f>IF($D229=1,ROUND(Keys!$C$2/(INDEX(Src_SYSHECF_nuclear!$U$5:$U$292,MATCH($C229,Src_SYSHECF_nuclear!$C$5:$C$292,0))*$E229),Keys!$C$5),Keys!$C$4)</f>
        <v>1.0579000000000001</v>
      </c>
      <c r="X229">
        <f>IF($D229=1,ROUND(Keys!$C$2/(INDEX(Src_SYSHECF_nuclear!$V$5:$V$292,MATCH($C229,Src_SYSHECF_nuclear!$C$5:$C$292,0))*$E229),Keys!$C$5),Keys!$C$4)</f>
        <v>1.0579000000000001</v>
      </c>
      <c r="Y229">
        <f>IF($D229=1,ROUND(Keys!$C$2/(INDEX(Src_SYSHECF_nuclear!$W$5:$W$292,MATCH($C229,Src_SYSHECF_nuclear!$C$5:$C$292,0))*$E229),Keys!$C$5),Keys!$C$4)</f>
        <v>1.0579000000000001</v>
      </c>
      <c r="Z229">
        <f>IF($D229=1,ROUND(Keys!$C$2/(INDEX(Src_SYSHECF_nuclear!$X$5:$X$292,MATCH($C229,Src_SYSHECF_nuclear!$C$5:$C$292,0))*$E229),Keys!$C$5),Keys!$C$4)</f>
        <v>1.0579000000000001</v>
      </c>
      <c r="AA229">
        <f>IF($D229=1,ROUND(Keys!$C$2/(INDEX(Src_SYSHECF_nuclear!$Y$5:$Y$292,MATCH($C229,Src_SYSHECF_nuclear!$C$5:$C$292,0))*$E229),Keys!$C$5),Keys!$C$4)</f>
        <v>1.0579000000000001</v>
      </c>
      <c r="AB229">
        <f>IF($D229=1,ROUND(Keys!$C$2/(INDEX(Src_SYSHECF_nuclear!$Z$5:$Z$292,MATCH($C229,Src_SYSHECF_nuclear!$C$5:$C$292,0))*$E229),Keys!$C$5),Keys!$C$4)</f>
        <v>1.0579000000000001</v>
      </c>
      <c r="AC229">
        <f>IF($D229=1,ROUND(Keys!$C$2/(INDEX(Src_SYSHECF_nuclear!$AA$5:$AA$292,MATCH($C229,Src_SYSHECF_nuclear!$C$5:$C$292,0))*$E229),Keys!$C$5),Keys!$C$4)</f>
        <v>1.0579000000000001</v>
      </c>
      <c r="AE229">
        <f>IF($D229=1,IF(ABS(INDEX(Src_SYSHECF_nuclear!$D$5:$D$292,MATCH($C229,Src_SYSHECF_nuclear!$C$5:$C$292,0))*$E229*F229-Keys!$C$2)&gt;Keys!$C$6,1,0),0)</f>
        <v>0</v>
      </c>
    </row>
    <row r="230" spans="1:31" x14ac:dyDescent="0.45">
      <c r="A230" t="s">
        <v>82</v>
      </c>
      <c r="B230" t="s">
        <v>424</v>
      </c>
      <c r="C230" t="str">
        <f t="shared" si="3"/>
        <v>NM|Winter</v>
      </c>
      <c r="D230">
        <f>INDEX(Src_BHRaSYC_nuclear!$HF$5:$HF$52,MATCH($A230,Src_BHRaSYC_nuclear!$A$5:$A$52,0))</f>
        <v>0</v>
      </c>
      <c r="E230">
        <f>INDEX(Src_HYECFCA_nuclear!$B$5:$B$52,MATCH($A230,Src_HYECFCA_nuclear!$A$5:$A$52,0))</f>
        <v>1</v>
      </c>
      <c r="F230">
        <f>IF($D230=1,ROUND(Keys!$C$2/(INDEX(Src_SYSHECF_nuclear!$D$5:$D$292,MATCH($C230,Src_SYSHECF_nuclear!$C$5:$C$292,0))*$E230),Keys!$C$5),Keys!$C$4)</f>
        <v>0.9</v>
      </c>
      <c r="G230">
        <f>IF($D230=1,ROUND(Keys!$C$2/(INDEX(Src_SYSHECF_nuclear!$E$5:$E$292,MATCH($C230,Src_SYSHECF_nuclear!$C$5:$C$292,0))*$E230),Keys!$C$5),Keys!$C$4)</f>
        <v>0.9</v>
      </c>
      <c r="H230">
        <f>IF($D230=1,ROUND(Keys!$C$2/(INDEX(Src_SYSHECF_nuclear!$F$5:$F$292,MATCH($C230,Src_SYSHECF_nuclear!$C$5:$C$292,0))*$E230),Keys!$C$5),Keys!$C$4)</f>
        <v>0.9</v>
      </c>
      <c r="I230">
        <f>IF($D230=1,ROUND(Keys!$C$2/(INDEX(Src_SYSHECF_nuclear!$G$5:$G$292,MATCH($C230,Src_SYSHECF_nuclear!$C$5:$C$292,0))*$E230),Keys!$C$5),Keys!$C$4)</f>
        <v>0.9</v>
      </c>
      <c r="J230">
        <f>IF($D230=1,ROUND(Keys!$C$2/(INDEX(Src_SYSHECF_nuclear!$H$5:$H$292,MATCH($C230,Src_SYSHECF_nuclear!$C$5:$C$292,0))*$E230),Keys!$C$5),Keys!$C$4)</f>
        <v>0.9</v>
      </c>
      <c r="K230">
        <f>IF($D230=1,ROUND(Keys!$C$2/(INDEX(Src_SYSHECF_nuclear!$I$5:$I$292,MATCH($C230,Src_SYSHECF_nuclear!$C$5:$C$292,0))*$E230),Keys!$C$5),Keys!$C$4)</f>
        <v>0.9</v>
      </c>
      <c r="L230">
        <f>IF($D230=1,ROUND(Keys!$C$2/(INDEX(Src_SYSHECF_nuclear!$J$5:$J$292,MATCH($C230,Src_SYSHECF_nuclear!$C$5:$C$292,0))*$E230),Keys!$C$5),Keys!$C$4)</f>
        <v>0.9</v>
      </c>
      <c r="M230">
        <f>IF($D230=1,ROUND(Keys!$C$2/(INDEX(Src_SYSHECF_nuclear!$K$5:$K$292,MATCH($C230,Src_SYSHECF_nuclear!$C$5:$C$292,0))*$E230),Keys!$C$5),Keys!$C$4)</f>
        <v>0.9</v>
      </c>
      <c r="N230">
        <f>IF($D230=1,ROUND(Keys!$C$2/(INDEX(Src_SYSHECF_nuclear!$L$5:$L$292,MATCH($C230,Src_SYSHECF_nuclear!$C$5:$C$292,0))*$E230),Keys!$C$5),Keys!$C$4)</f>
        <v>0.9</v>
      </c>
      <c r="O230">
        <f>IF($D230=1,ROUND(Keys!$C$2/(INDEX(Src_SYSHECF_nuclear!$M$5:$M$292,MATCH($C230,Src_SYSHECF_nuclear!$C$5:$C$292,0))*$E230),Keys!$C$5),Keys!$C$4)</f>
        <v>0.9</v>
      </c>
      <c r="P230">
        <f>IF($D230=1,ROUND(Keys!$C$2/(INDEX(Src_SYSHECF_nuclear!$N$5:$N$292,MATCH($C230,Src_SYSHECF_nuclear!$C$5:$C$292,0))*$E230),Keys!$C$5),Keys!$C$4)</f>
        <v>0.9</v>
      </c>
      <c r="Q230">
        <f>IF($D230=1,ROUND(Keys!$C$2/(INDEX(Src_SYSHECF_nuclear!$O$5:$O$292,MATCH($C230,Src_SYSHECF_nuclear!$C$5:$C$292,0))*$E230),Keys!$C$5),Keys!$C$4)</f>
        <v>0.9</v>
      </c>
      <c r="R230">
        <f>IF($D230=1,ROUND(Keys!$C$2/(INDEX(Src_SYSHECF_nuclear!$P$5:$P$292,MATCH($C230,Src_SYSHECF_nuclear!$C$5:$C$292,0))*$E230),Keys!$C$5),Keys!$C$4)</f>
        <v>0.9</v>
      </c>
      <c r="S230">
        <f>IF($D230=1,ROUND(Keys!$C$2/(INDEX(Src_SYSHECF_nuclear!$Q$5:$Q$292,MATCH($C230,Src_SYSHECF_nuclear!$C$5:$C$292,0))*$E230),Keys!$C$5),Keys!$C$4)</f>
        <v>0.9</v>
      </c>
      <c r="T230">
        <f>IF($D230=1,ROUND(Keys!$C$2/(INDEX(Src_SYSHECF_nuclear!$R$5:$R$292,MATCH($C230,Src_SYSHECF_nuclear!$C$5:$C$292,0))*$E230),Keys!$C$5),Keys!$C$4)</f>
        <v>0.9</v>
      </c>
      <c r="U230">
        <f>IF($D230=1,ROUND(Keys!$C$2/(INDEX(Src_SYSHECF_nuclear!$S$5:$S$292,MATCH($C230,Src_SYSHECF_nuclear!$C$5:$C$292,0))*$E230),Keys!$C$5),Keys!$C$4)</f>
        <v>0.9</v>
      </c>
      <c r="V230">
        <f>IF($D230=1,ROUND(Keys!$C$2/(INDEX(Src_SYSHECF_nuclear!$T$5:$T$292,MATCH($C230,Src_SYSHECF_nuclear!$C$5:$C$292,0))*$E230),Keys!$C$5),Keys!$C$4)</f>
        <v>0.9</v>
      </c>
      <c r="W230">
        <f>IF($D230=1,ROUND(Keys!$C$2/(INDEX(Src_SYSHECF_nuclear!$U$5:$U$292,MATCH($C230,Src_SYSHECF_nuclear!$C$5:$C$292,0))*$E230),Keys!$C$5),Keys!$C$4)</f>
        <v>0.9</v>
      </c>
      <c r="X230">
        <f>IF($D230=1,ROUND(Keys!$C$2/(INDEX(Src_SYSHECF_nuclear!$V$5:$V$292,MATCH($C230,Src_SYSHECF_nuclear!$C$5:$C$292,0))*$E230),Keys!$C$5),Keys!$C$4)</f>
        <v>0.9</v>
      </c>
      <c r="Y230">
        <f>IF($D230=1,ROUND(Keys!$C$2/(INDEX(Src_SYSHECF_nuclear!$W$5:$W$292,MATCH($C230,Src_SYSHECF_nuclear!$C$5:$C$292,0))*$E230),Keys!$C$5),Keys!$C$4)</f>
        <v>0.9</v>
      </c>
      <c r="Z230">
        <f>IF($D230=1,ROUND(Keys!$C$2/(INDEX(Src_SYSHECF_nuclear!$X$5:$X$292,MATCH($C230,Src_SYSHECF_nuclear!$C$5:$C$292,0))*$E230),Keys!$C$5),Keys!$C$4)</f>
        <v>0.9</v>
      </c>
      <c r="AA230">
        <f>IF($D230=1,ROUND(Keys!$C$2/(INDEX(Src_SYSHECF_nuclear!$Y$5:$Y$292,MATCH($C230,Src_SYSHECF_nuclear!$C$5:$C$292,0))*$E230),Keys!$C$5),Keys!$C$4)</f>
        <v>0.9</v>
      </c>
      <c r="AB230">
        <f>IF($D230=1,ROUND(Keys!$C$2/(INDEX(Src_SYSHECF_nuclear!$Z$5:$Z$292,MATCH($C230,Src_SYSHECF_nuclear!$C$5:$C$292,0))*$E230),Keys!$C$5),Keys!$C$4)</f>
        <v>0.9</v>
      </c>
      <c r="AC230">
        <f>IF($D230=1,ROUND(Keys!$C$2/(INDEX(Src_SYSHECF_nuclear!$AA$5:$AA$292,MATCH($C230,Src_SYSHECF_nuclear!$C$5:$C$292,0))*$E230),Keys!$C$5),Keys!$C$4)</f>
        <v>0.9</v>
      </c>
      <c r="AE230">
        <f>IF($D230=1,IF(ABS(INDEX(Src_SYSHECF_nuclear!$D$5:$D$292,MATCH($C230,Src_SYSHECF_nuclear!$C$5:$C$292,0))*$E230*F230-Keys!$C$2)&gt;Keys!$C$6,1,0),0)</f>
        <v>0</v>
      </c>
    </row>
    <row r="231" spans="1:31" x14ac:dyDescent="0.45">
      <c r="A231" t="s">
        <v>82</v>
      </c>
      <c r="B231" t="s">
        <v>425</v>
      </c>
      <c r="C231" t="str">
        <f t="shared" si="3"/>
        <v>NM|Spring</v>
      </c>
      <c r="D231">
        <f>INDEX(Src_BHRaSYC_nuclear!$HF$5:$HF$52,MATCH($A231,Src_BHRaSYC_nuclear!$A$5:$A$52,0))</f>
        <v>0</v>
      </c>
      <c r="E231">
        <f>INDEX(Src_HYECFCA_nuclear!$B$5:$B$52,MATCH($A231,Src_HYECFCA_nuclear!$A$5:$A$52,0))</f>
        <v>1</v>
      </c>
      <c r="F231">
        <f>IF($D231=1,ROUND(Keys!$C$2/(INDEX(Src_SYSHECF_nuclear!$D$5:$D$292,MATCH($C231,Src_SYSHECF_nuclear!$C$5:$C$292,0))*$E231),Keys!$C$5),Keys!$C$4)</f>
        <v>0.9</v>
      </c>
      <c r="G231">
        <f>IF($D231=1,ROUND(Keys!$C$2/(INDEX(Src_SYSHECF_nuclear!$E$5:$E$292,MATCH($C231,Src_SYSHECF_nuclear!$C$5:$C$292,0))*$E231),Keys!$C$5),Keys!$C$4)</f>
        <v>0.9</v>
      </c>
      <c r="H231">
        <f>IF($D231=1,ROUND(Keys!$C$2/(INDEX(Src_SYSHECF_nuclear!$F$5:$F$292,MATCH($C231,Src_SYSHECF_nuclear!$C$5:$C$292,0))*$E231),Keys!$C$5),Keys!$C$4)</f>
        <v>0.9</v>
      </c>
      <c r="I231">
        <f>IF($D231=1,ROUND(Keys!$C$2/(INDEX(Src_SYSHECF_nuclear!$G$5:$G$292,MATCH($C231,Src_SYSHECF_nuclear!$C$5:$C$292,0))*$E231),Keys!$C$5),Keys!$C$4)</f>
        <v>0.9</v>
      </c>
      <c r="J231">
        <f>IF($D231=1,ROUND(Keys!$C$2/(INDEX(Src_SYSHECF_nuclear!$H$5:$H$292,MATCH($C231,Src_SYSHECF_nuclear!$C$5:$C$292,0))*$E231),Keys!$C$5),Keys!$C$4)</f>
        <v>0.9</v>
      </c>
      <c r="K231">
        <f>IF($D231=1,ROUND(Keys!$C$2/(INDEX(Src_SYSHECF_nuclear!$I$5:$I$292,MATCH($C231,Src_SYSHECF_nuclear!$C$5:$C$292,0))*$E231),Keys!$C$5),Keys!$C$4)</f>
        <v>0.9</v>
      </c>
      <c r="L231">
        <f>IF($D231=1,ROUND(Keys!$C$2/(INDEX(Src_SYSHECF_nuclear!$J$5:$J$292,MATCH($C231,Src_SYSHECF_nuclear!$C$5:$C$292,0))*$E231),Keys!$C$5),Keys!$C$4)</f>
        <v>0.9</v>
      </c>
      <c r="M231">
        <f>IF($D231=1,ROUND(Keys!$C$2/(INDEX(Src_SYSHECF_nuclear!$K$5:$K$292,MATCH($C231,Src_SYSHECF_nuclear!$C$5:$C$292,0))*$E231),Keys!$C$5),Keys!$C$4)</f>
        <v>0.9</v>
      </c>
      <c r="N231">
        <f>IF($D231=1,ROUND(Keys!$C$2/(INDEX(Src_SYSHECF_nuclear!$L$5:$L$292,MATCH($C231,Src_SYSHECF_nuclear!$C$5:$C$292,0))*$E231),Keys!$C$5),Keys!$C$4)</f>
        <v>0.9</v>
      </c>
      <c r="O231">
        <f>IF($D231=1,ROUND(Keys!$C$2/(INDEX(Src_SYSHECF_nuclear!$M$5:$M$292,MATCH($C231,Src_SYSHECF_nuclear!$C$5:$C$292,0))*$E231),Keys!$C$5),Keys!$C$4)</f>
        <v>0.9</v>
      </c>
      <c r="P231">
        <f>IF($D231=1,ROUND(Keys!$C$2/(INDEX(Src_SYSHECF_nuclear!$N$5:$N$292,MATCH($C231,Src_SYSHECF_nuclear!$C$5:$C$292,0))*$E231),Keys!$C$5),Keys!$C$4)</f>
        <v>0.9</v>
      </c>
      <c r="Q231">
        <f>IF($D231=1,ROUND(Keys!$C$2/(INDEX(Src_SYSHECF_nuclear!$O$5:$O$292,MATCH($C231,Src_SYSHECF_nuclear!$C$5:$C$292,0))*$E231),Keys!$C$5),Keys!$C$4)</f>
        <v>0.9</v>
      </c>
      <c r="R231">
        <f>IF($D231=1,ROUND(Keys!$C$2/(INDEX(Src_SYSHECF_nuclear!$P$5:$P$292,MATCH($C231,Src_SYSHECF_nuclear!$C$5:$C$292,0))*$E231),Keys!$C$5),Keys!$C$4)</f>
        <v>0.9</v>
      </c>
      <c r="S231">
        <f>IF($D231=1,ROUND(Keys!$C$2/(INDEX(Src_SYSHECF_nuclear!$Q$5:$Q$292,MATCH($C231,Src_SYSHECF_nuclear!$C$5:$C$292,0))*$E231),Keys!$C$5),Keys!$C$4)</f>
        <v>0.9</v>
      </c>
      <c r="T231">
        <f>IF($D231=1,ROUND(Keys!$C$2/(INDEX(Src_SYSHECF_nuclear!$R$5:$R$292,MATCH($C231,Src_SYSHECF_nuclear!$C$5:$C$292,0))*$E231),Keys!$C$5),Keys!$C$4)</f>
        <v>0.9</v>
      </c>
      <c r="U231">
        <f>IF($D231=1,ROUND(Keys!$C$2/(INDEX(Src_SYSHECF_nuclear!$S$5:$S$292,MATCH($C231,Src_SYSHECF_nuclear!$C$5:$C$292,0))*$E231),Keys!$C$5),Keys!$C$4)</f>
        <v>0.9</v>
      </c>
      <c r="V231">
        <f>IF($D231=1,ROUND(Keys!$C$2/(INDEX(Src_SYSHECF_nuclear!$T$5:$T$292,MATCH($C231,Src_SYSHECF_nuclear!$C$5:$C$292,0))*$E231),Keys!$C$5),Keys!$C$4)</f>
        <v>0.9</v>
      </c>
      <c r="W231">
        <f>IF($D231=1,ROUND(Keys!$C$2/(INDEX(Src_SYSHECF_nuclear!$U$5:$U$292,MATCH($C231,Src_SYSHECF_nuclear!$C$5:$C$292,0))*$E231),Keys!$C$5),Keys!$C$4)</f>
        <v>0.9</v>
      </c>
      <c r="X231">
        <f>IF($D231=1,ROUND(Keys!$C$2/(INDEX(Src_SYSHECF_nuclear!$V$5:$V$292,MATCH($C231,Src_SYSHECF_nuclear!$C$5:$C$292,0))*$E231),Keys!$C$5),Keys!$C$4)</f>
        <v>0.9</v>
      </c>
      <c r="Y231">
        <f>IF($D231=1,ROUND(Keys!$C$2/(INDEX(Src_SYSHECF_nuclear!$W$5:$W$292,MATCH($C231,Src_SYSHECF_nuclear!$C$5:$C$292,0))*$E231),Keys!$C$5),Keys!$C$4)</f>
        <v>0.9</v>
      </c>
      <c r="Z231">
        <f>IF($D231=1,ROUND(Keys!$C$2/(INDEX(Src_SYSHECF_nuclear!$X$5:$X$292,MATCH($C231,Src_SYSHECF_nuclear!$C$5:$C$292,0))*$E231),Keys!$C$5),Keys!$C$4)</f>
        <v>0.9</v>
      </c>
      <c r="AA231">
        <f>IF($D231=1,ROUND(Keys!$C$2/(INDEX(Src_SYSHECF_nuclear!$Y$5:$Y$292,MATCH($C231,Src_SYSHECF_nuclear!$C$5:$C$292,0))*$E231),Keys!$C$5),Keys!$C$4)</f>
        <v>0.9</v>
      </c>
      <c r="AB231">
        <f>IF($D231=1,ROUND(Keys!$C$2/(INDEX(Src_SYSHECF_nuclear!$Z$5:$Z$292,MATCH($C231,Src_SYSHECF_nuclear!$C$5:$C$292,0))*$E231),Keys!$C$5),Keys!$C$4)</f>
        <v>0.9</v>
      </c>
      <c r="AC231">
        <f>IF($D231=1,ROUND(Keys!$C$2/(INDEX(Src_SYSHECF_nuclear!$AA$5:$AA$292,MATCH($C231,Src_SYSHECF_nuclear!$C$5:$C$292,0))*$E231),Keys!$C$5),Keys!$C$4)</f>
        <v>0.9</v>
      </c>
      <c r="AE231">
        <f>IF($D231=1,IF(ABS(INDEX(Src_SYSHECF_nuclear!$D$5:$D$292,MATCH($C231,Src_SYSHECF_nuclear!$C$5:$C$292,0))*$E231*F231-Keys!$C$2)&gt;Keys!$C$6,1,0),0)</f>
        <v>0</v>
      </c>
    </row>
    <row r="232" spans="1:31" x14ac:dyDescent="0.45">
      <c r="A232" t="s">
        <v>82</v>
      </c>
      <c r="B232" t="s">
        <v>426</v>
      </c>
      <c r="C232" t="str">
        <f t="shared" si="3"/>
        <v>NM|Summer</v>
      </c>
      <c r="D232">
        <f>INDEX(Src_BHRaSYC_nuclear!$HF$5:$HF$52,MATCH($A232,Src_BHRaSYC_nuclear!$A$5:$A$52,0))</f>
        <v>0</v>
      </c>
      <c r="E232">
        <f>INDEX(Src_HYECFCA_nuclear!$B$5:$B$52,MATCH($A232,Src_HYECFCA_nuclear!$A$5:$A$52,0))</f>
        <v>1</v>
      </c>
      <c r="F232">
        <f>IF($D232=1,ROUND(Keys!$C$2/(INDEX(Src_SYSHECF_nuclear!$D$5:$D$292,MATCH($C232,Src_SYSHECF_nuclear!$C$5:$C$292,0))*$E232),Keys!$C$5),Keys!$C$4)</f>
        <v>0.9</v>
      </c>
      <c r="G232">
        <f>IF($D232=1,ROUND(Keys!$C$2/(INDEX(Src_SYSHECF_nuclear!$E$5:$E$292,MATCH($C232,Src_SYSHECF_nuclear!$C$5:$C$292,0))*$E232),Keys!$C$5),Keys!$C$4)</f>
        <v>0.9</v>
      </c>
      <c r="H232">
        <f>IF($D232=1,ROUND(Keys!$C$2/(INDEX(Src_SYSHECF_nuclear!$F$5:$F$292,MATCH($C232,Src_SYSHECF_nuclear!$C$5:$C$292,0))*$E232),Keys!$C$5),Keys!$C$4)</f>
        <v>0.9</v>
      </c>
      <c r="I232">
        <f>IF($D232=1,ROUND(Keys!$C$2/(INDEX(Src_SYSHECF_nuclear!$G$5:$G$292,MATCH($C232,Src_SYSHECF_nuclear!$C$5:$C$292,0))*$E232),Keys!$C$5),Keys!$C$4)</f>
        <v>0.9</v>
      </c>
      <c r="J232">
        <f>IF($D232=1,ROUND(Keys!$C$2/(INDEX(Src_SYSHECF_nuclear!$H$5:$H$292,MATCH($C232,Src_SYSHECF_nuclear!$C$5:$C$292,0))*$E232),Keys!$C$5),Keys!$C$4)</f>
        <v>0.9</v>
      </c>
      <c r="K232">
        <f>IF($D232=1,ROUND(Keys!$C$2/(INDEX(Src_SYSHECF_nuclear!$I$5:$I$292,MATCH($C232,Src_SYSHECF_nuclear!$C$5:$C$292,0))*$E232),Keys!$C$5),Keys!$C$4)</f>
        <v>0.9</v>
      </c>
      <c r="L232">
        <f>IF($D232=1,ROUND(Keys!$C$2/(INDEX(Src_SYSHECF_nuclear!$J$5:$J$292,MATCH($C232,Src_SYSHECF_nuclear!$C$5:$C$292,0))*$E232),Keys!$C$5),Keys!$C$4)</f>
        <v>0.9</v>
      </c>
      <c r="M232">
        <f>IF($D232=1,ROUND(Keys!$C$2/(INDEX(Src_SYSHECF_nuclear!$K$5:$K$292,MATCH($C232,Src_SYSHECF_nuclear!$C$5:$C$292,0))*$E232),Keys!$C$5),Keys!$C$4)</f>
        <v>0.9</v>
      </c>
      <c r="N232">
        <f>IF($D232=1,ROUND(Keys!$C$2/(INDEX(Src_SYSHECF_nuclear!$L$5:$L$292,MATCH($C232,Src_SYSHECF_nuclear!$C$5:$C$292,0))*$E232),Keys!$C$5),Keys!$C$4)</f>
        <v>0.9</v>
      </c>
      <c r="O232">
        <f>IF($D232=1,ROUND(Keys!$C$2/(INDEX(Src_SYSHECF_nuclear!$M$5:$M$292,MATCH($C232,Src_SYSHECF_nuclear!$C$5:$C$292,0))*$E232),Keys!$C$5),Keys!$C$4)</f>
        <v>0.9</v>
      </c>
      <c r="P232">
        <f>IF($D232=1,ROUND(Keys!$C$2/(INDEX(Src_SYSHECF_nuclear!$N$5:$N$292,MATCH($C232,Src_SYSHECF_nuclear!$C$5:$C$292,0))*$E232),Keys!$C$5),Keys!$C$4)</f>
        <v>0.9</v>
      </c>
      <c r="Q232">
        <f>IF($D232=1,ROUND(Keys!$C$2/(INDEX(Src_SYSHECF_nuclear!$O$5:$O$292,MATCH($C232,Src_SYSHECF_nuclear!$C$5:$C$292,0))*$E232),Keys!$C$5),Keys!$C$4)</f>
        <v>0.9</v>
      </c>
      <c r="R232">
        <f>IF($D232=1,ROUND(Keys!$C$2/(INDEX(Src_SYSHECF_nuclear!$P$5:$P$292,MATCH($C232,Src_SYSHECF_nuclear!$C$5:$C$292,0))*$E232),Keys!$C$5),Keys!$C$4)</f>
        <v>0.9</v>
      </c>
      <c r="S232">
        <f>IF($D232=1,ROUND(Keys!$C$2/(INDEX(Src_SYSHECF_nuclear!$Q$5:$Q$292,MATCH($C232,Src_SYSHECF_nuclear!$C$5:$C$292,0))*$E232),Keys!$C$5),Keys!$C$4)</f>
        <v>0.9</v>
      </c>
      <c r="T232">
        <f>IF($D232=1,ROUND(Keys!$C$2/(INDEX(Src_SYSHECF_nuclear!$R$5:$R$292,MATCH($C232,Src_SYSHECF_nuclear!$C$5:$C$292,0))*$E232),Keys!$C$5),Keys!$C$4)</f>
        <v>0.9</v>
      </c>
      <c r="U232">
        <f>IF($D232=1,ROUND(Keys!$C$2/(INDEX(Src_SYSHECF_nuclear!$S$5:$S$292,MATCH($C232,Src_SYSHECF_nuclear!$C$5:$C$292,0))*$E232),Keys!$C$5),Keys!$C$4)</f>
        <v>0.9</v>
      </c>
      <c r="V232">
        <f>IF($D232=1,ROUND(Keys!$C$2/(INDEX(Src_SYSHECF_nuclear!$T$5:$T$292,MATCH($C232,Src_SYSHECF_nuclear!$C$5:$C$292,0))*$E232),Keys!$C$5),Keys!$C$4)</f>
        <v>0.9</v>
      </c>
      <c r="W232">
        <f>IF($D232=1,ROUND(Keys!$C$2/(INDEX(Src_SYSHECF_nuclear!$U$5:$U$292,MATCH($C232,Src_SYSHECF_nuclear!$C$5:$C$292,0))*$E232),Keys!$C$5),Keys!$C$4)</f>
        <v>0.9</v>
      </c>
      <c r="X232">
        <f>IF($D232=1,ROUND(Keys!$C$2/(INDEX(Src_SYSHECF_nuclear!$V$5:$V$292,MATCH($C232,Src_SYSHECF_nuclear!$C$5:$C$292,0))*$E232),Keys!$C$5),Keys!$C$4)</f>
        <v>0.9</v>
      </c>
      <c r="Y232">
        <f>IF($D232=1,ROUND(Keys!$C$2/(INDEX(Src_SYSHECF_nuclear!$W$5:$W$292,MATCH($C232,Src_SYSHECF_nuclear!$C$5:$C$292,0))*$E232),Keys!$C$5),Keys!$C$4)</f>
        <v>0.9</v>
      </c>
      <c r="Z232">
        <f>IF($D232=1,ROUND(Keys!$C$2/(INDEX(Src_SYSHECF_nuclear!$X$5:$X$292,MATCH($C232,Src_SYSHECF_nuclear!$C$5:$C$292,0))*$E232),Keys!$C$5),Keys!$C$4)</f>
        <v>0.9</v>
      </c>
      <c r="AA232">
        <f>IF($D232=1,ROUND(Keys!$C$2/(INDEX(Src_SYSHECF_nuclear!$Y$5:$Y$292,MATCH($C232,Src_SYSHECF_nuclear!$C$5:$C$292,0))*$E232),Keys!$C$5),Keys!$C$4)</f>
        <v>0.9</v>
      </c>
      <c r="AB232">
        <f>IF($D232=1,ROUND(Keys!$C$2/(INDEX(Src_SYSHECF_nuclear!$Z$5:$Z$292,MATCH($C232,Src_SYSHECF_nuclear!$C$5:$C$292,0))*$E232),Keys!$C$5),Keys!$C$4)</f>
        <v>0.9</v>
      </c>
      <c r="AC232">
        <f>IF($D232=1,ROUND(Keys!$C$2/(INDEX(Src_SYSHECF_nuclear!$AA$5:$AA$292,MATCH($C232,Src_SYSHECF_nuclear!$C$5:$C$292,0))*$E232),Keys!$C$5),Keys!$C$4)</f>
        <v>0.9</v>
      </c>
      <c r="AE232">
        <f>IF($D232=1,IF(ABS(INDEX(Src_SYSHECF_nuclear!$D$5:$D$292,MATCH($C232,Src_SYSHECF_nuclear!$C$5:$C$292,0))*$E232*F232-Keys!$C$2)&gt;Keys!$C$6,1,0),0)</f>
        <v>0</v>
      </c>
    </row>
    <row r="233" spans="1:31" x14ac:dyDescent="0.45">
      <c r="A233" t="s">
        <v>82</v>
      </c>
      <c r="B233" t="s">
        <v>427</v>
      </c>
      <c r="C233" t="str">
        <f t="shared" si="3"/>
        <v>NM|Fall</v>
      </c>
      <c r="D233">
        <f>INDEX(Src_BHRaSYC_nuclear!$HF$5:$HF$52,MATCH($A233,Src_BHRaSYC_nuclear!$A$5:$A$52,0))</f>
        <v>0</v>
      </c>
      <c r="E233">
        <f>INDEX(Src_HYECFCA_nuclear!$B$5:$B$52,MATCH($A233,Src_HYECFCA_nuclear!$A$5:$A$52,0))</f>
        <v>1</v>
      </c>
      <c r="F233">
        <f>IF($D233=1,ROUND(Keys!$C$2/(INDEX(Src_SYSHECF_nuclear!$D$5:$D$292,MATCH($C233,Src_SYSHECF_nuclear!$C$5:$C$292,0))*$E233),Keys!$C$5),Keys!$C$4)</f>
        <v>0.9</v>
      </c>
      <c r="G233">
        <f>IF($D233=1,ROUND(Keys!$C$2/(INDEX(Src_SYSHECF_nuclear!$E$5:$E$292,MATCH($C233,Src_SYSHECF_nuclear!$C$5:$C$292,0))*$E233),Keys!$C$5),Keys!$C$4)</f>
        <v>0.9</v>
      </c>
      <c r="H233">
        <f>IF($D233=1,ROUND(Keys!$C$2/(INDEX(Src_SYSHECF_nuclear!$F$5:$F$292,MATCH($C233,Src_SYSHECF_nuclear!$C$5:$C$292,0))*$E233),Keys!$C$5),Keys!$C$4)</f>
        <v>0.9</v>
      </c>
      <c r="I233">
        <f>IF($D233=1,ROUND(Keys!$C$2/(INDEX(Src_SYSHECF_nuclear!$G$5:$G$292,MATCH($C233,Src_SYSHECF_nuclear!$C$5:$C$292,0))*$E233),Keys!$C$5),Keys!$C$4)</f>
        <v>0.9</v>
      </c>
      <c r="J233">
        <f>IF($D233=1,ROUND(Keys!$C$2/(INDEX(Src_SYSHECF_nuclear!$H$5:$H$292,MATCH($C233,Src_SYSHECF_nuclear!$C$5:$C$292,0))*$E233),Keys!$C$5),Keys!$C$4)</f>
        <v>0.9</v>
      </c>
      <c r="K233">
        <f>IF($D233=1,ROUND(Keys!$C$2/(INDEX(Src_SYSHECF_nuclear!$I$5:$I$292,MATCH($C233,Src_SYSHECF_nuclear!$C$5:$C$292,0))*$E233),Keys!$C$5),Keys!$C$4)</f>
        <v>0.9</v>
      </c>
      <c r="L233">
        <f>IF($D233=1,ROUND(Keys!$C$2/(INDEX(Src_SYSHECF_nuclear!$J$5:$J$292,MATCH($C233,Src_SYSHECF_nuclear!$C$5:$C$292,0))*$E233),Keys!$C$5),Keys!$C$4)</f>
        <v>0.9</v>
      </c>
      <c r="M233">
        <f>IF($D233=1,ROUND(Keys!$C$2/(INDEX(Src_SYSHECF_nuclear!$K$5:$K$292,MATCH($C233,Src_SYSHECF_nuclear!$C$5:$C$292,0))*$E233),Keys!$C$5),Keys!$C$4)</f>
        <v>0.9</v>
      </c>
      <c r="N233">
        <f>IF($D233=1,ROUND(Keys!$C$2/(INDEX(Src_SYSHECF_nuclear!$L$5:$L$292,MATCH($C233,Src_SYSHECF_nuclear!$C$5:$C$292,0))*$E233),Keys!$C$5),Keys!$C$4)</f>
        <v>0.9</v>
      </c>
      <c r="O233">
        <f>IF($D233=1,ROUND(Keys!$C$2/(INDEX(Src_SYSHECF_nuclear!$M$5:$M$292,MATCH($C233,Src_SYSHECF_nuclear!$C$5:$C$292,0))*$E233),Keys!$C$5),Keys!$C$4)</f>
        <v>0.9</v>
      </c>
      <c r="P233">
        <f>IF($D233=1,ROUND(Keys!$C$2/(INDEX(Src_SYSHECF_nuclear!$N$5:$N$292,MATCH($C233,Src_SYSHECF_nuclear!$C$5:$C$292,0))*$E233),Keys!$C$5),Keys!$C$4)</f>
        <v>0.9</v>
      </c>
      <c r="Q233">
        <f>IF($D233=1,ROUND(Keys!$C$2/(INDEX(Src_SYSHECF_nuclear!$O$5:$O$292,MATCH($C233,Src_SYSHECF_nuclear!$C$5:$C$292,0))*$E233),Keys!$C$5),Keys!$C$4)</f>
        <v>0.9</v>
      </c>
      <c r="R233">
        <f>IF($D233=1,ROUND(Keys!$C$2/(INDEX(Src_SYSHECF_nuclear!$P$5:$P$292,MATCH($C233,Src_SYSHECF_nuclear!$C$5:$C$292,0))*$E233),Keys!$C$5),Keys!$C$4)</f>
        <v>0.9</v>
      </c>
      <c r="S233">
        <f>IF($D233=1,ROUND(Keys!$C$2/(INDEX(Src_SYSHECF_nuclear!$Q$5:$Q$292,MATCH($C233,Src_SYSHECF_nuclear!$C$5:$C$292,0))*$E233),Keys!$C$5),Keys!$C$4)</f>
        <v>0.9</v>
      </c>
      <c r="T233">
        <f>IF($D233=1,ROUND(Keys!$C$2/(INDEX(Src_SYSHECF_nuclear!$R$5:$R$292,MATCH($C233,Src_SYSHECF_nuclear!$C$5:$C$292,0))*$E233),Keys!$C$5),Keys!$C$4)</f>
        <v>0.9</v>
      </c>
      <c r="U233">
        <f>IF($D233=1,ROUND(Keys!$C$2/(INDEX(Src_SYSHECF_nuclear!$S$5:$S$292,MATCH($C233,Src_SYSHECF_nuclear!$C$5:$C$292,0))*$E233),Keys!$C$5),Keys!$C$4)</f>
        <v>0.9</v>
      </c>
      <c r="V233">
        <f>IF($D233=1,ROUND(Keys!$C$2/(INDEX(Src_SYSHECF_nuclear!$T$5:$T$292,MATCH($C233,Src_SYSHECF_nuclear!$C$5:$C$292,0))*$E233),Keys!$C$5),Keys!$C$4)</f>
        <v>0.9</v>
      </c>
      <c r="W233">
        <f>IF($D233=1,ROUND(Keys!$C$2/(INDEX(Src_SYSHECF_nuclear!$U$5:$U$292,MATCH($C233,Src_SYSHECF_nuclear!$C$5:$C$292,0))*$E233),Keys!$C$5),Keys!$C$4)</f>
        <v>0.9</v>
      </c>
      <c r="X233">
        <f>IF($D233=1,ROUND(Keys!$C$2/(INDEX(Src_SYSHECF_nuclear!$V$5:$V$292,MATCH($C233,Src_SYSHECF_nuclear!$C$5:$C$292,0))*$E233),Keys!$C$5),Keys!$C$4)</f>
        <v>0.9</v>
      </c>
      <c r="Y233">
        <f>IF($D233=1,ROUND(Keys!$C$2/(INDEX(Src_SYSHECF_nuclear!$W$5:$W$292,MATCH($C233,Src_SYSHECF_nuclear!$C$5:$C$292,0))*$E233),Keys!$C$5),Keys!$C$4)</f>
        <v>0.9</v>
      </c>
      <c r="Z233">
        <f>IF($D233=1,ROUND(Keys!$C$2/(INDEX(Src_SYSHECF_nuclear!$X$5:$X$292,MATCH($C233,Src_SYSHECF_nuclear!$C$5:$C$292,0))*$E233),Keys!$C$5),Keys!$C$4)</f>
        <v>0.9</v>
      </c>
      <c r="AA233">
        <f>IF($D233=1,ROUND(Keys!$C$2/(INDEX(Src_SYSHECF_nuclear!$Y$5:$Y$292,MATCH($C233,Src_SYSHECF_nuclear!$C$5:$C$292,0))*$E233),Keys!$C$5),Keys!$C$4)</f>
        <v>0.9</v>
      </c>
      <c r="AB233">
        <f>IF($D233=1,ROUND(Keys!$C$2/(INDEX(Src_SYSHECF_nuclear!$Z$5:$Z$292,MATCH($C233,Src_SYSHECF_nuclear!$C$5:$C$292,0))*$E233),Keys!$C$5),Keys!$C$4)</f>
        <v>0.9</v>
      </c>
      <c r="AC233">
        <f>IF($D233=1,ROUND(Keys!$C$2/(INDEX(Src_SYSHECF_nuclear!$AA$5:$AA$292,MATCH($C233,Src_SYSHECF_nuclear!$C$5:$C$292,0))*$E233),Keys!$C$5),Keys!$C$4)</f>
        <v>0.9</v>
      </c>
      <c r="AE233">
        <f>IF($D233=1,IF(ABS(INDEX(Src_SYSHECF_nuclear!$D$5:$D$292,MATCH($C233,Src_SYSHECF_nuclear!$C$5:$C$292,0))*$E233*F233-Keys!$C$2)&gt;Keys!$C$6,1,0),0)</f>
        <v>0</v>
      </c>
    </row>
    <row r="234" spans="1:31" x14ac:dyDescent="0.45">
      <c r="A234" t="s">
        <v>82</v>
      </c>
      <c r="B234" t="s">
        <v>428</v>
      </c>
      <c r="C234" t="str">
        <f t="shared" si="3"/>
        <v>NM|Summer Peak</v>
      </c>
      <c r="D234">
        <f>INDEX(Src_BHRaSYC_nuclear!$HF$5:$HF$52,MATCH($A234,Src_BHRaSYC_nuclear!$A$5:$A$52,0))</f>
        <v>0</v>
      </c>
      <c r="E234">
        <f>INDEX(Src_HYECFCA_nuclear!$B$5:$B$52,MATCH($A234,Src_HYECFCA_nuclear!$A$5:$A$52,0))</f>
        <v>1</v>
      </c>
      <c r="F234">
        <f>IF($D234=1,ROUND(Keys!$C$2/(INDEX(Src_SYSHECF_nuclear!$D$5:$D$292,MATCH($C234,Src_SYSHECF_nuclear!$C$5:$C$292,0))*$E234),Keys!$C$5),Keys!$C$4)</f>
        <v>0.9</v>
      </c>
      <c r="G234">
        <f>IF($D234=1,ROUND(Keys!$C$2/(INDEX(Src_SYSHECF_nuclear!$E$5:$E$292,MATCH($C234,Src_SYSHECF_nuclear!$C$5:$C$292,0))*$E234),Keys!$C$5),Keys!$C$4)</f>
        <v>0.9</v>
      </c>
      <c r="H234">
        <f>IF($D234=1,ROUND(Keys!$C$2/(INDEX(Src_SYSHECF_nuclear!$F$5:$F$292,MATCH($C234,Src_SYSHECF_nuclear!$C$5:$C$292,0))*$E234),Keys!$C$5),Keys!$C$4)</f>
        <v>0.9</v>
      </c>
      <c r="I234">
        <f>IF($D234=1,ROUND(Keys!$C$2/(INDEX(Src_SYSHECF_nuclear!$G$5:$G$292,MATCH($C234,Src_SYSHECF_nuclear!$C$5:$C$292,0))*$E234),Keys!$C$5),Keys!$C$4)</f>
        <v>0.9</v>
      </c>
      <c r="J234">
        <f>IF($D234=1,ROUND(Keys!$C$2/(INDEX(Src_SYSHECF_nuclear!$H$5:$H$292,MATCH($C234,Src_SYSHECF_nuclear!$C$5:$C$292,0))*$E234),Keys!$C$5),Keys!$C$4)</f>
        <v>0.9</v>
      </c>
      <c r="K234">
        <f>IF($D234=1,ROUND(Keys!$C$2/(INDEX(Src_SYSHECF_nuclear!$I$5:$I$292,MATCH($C234,Src_SYSHECF_nuclear!$C$5:$C$292,0))*$E234),Keys!$C$5),Keys!$C$4)</f>
        <v>0.9</v>
      </c>
      <c r="L234">
        <f>IF($D234=1,ROUND(Keys!$C$2/(INDEX(Src_SYSHECF_nuclear!$J$5:$J$292,MATCH($C234,Src_SYSHECF_nuclear!$C$5:$C$292,0))*$E234),Keys!$C$5),Keys!$C$4)</f>
        <v>0.9</v>
      </c>
      <c r="M234">
        <f>IF($D234=1,ROUND(Keys!$C$2/(INDEX(Src_SYSHECF_nuclear!$K$5:$K$292,MATCH($C234,Src_SYSHECF_nuclear!$C$5:$C$292,0))*$E234),Keys!$C$5),Keys!$C$4)</f>
        <v>0.9</v>
      </c>
      <c r="N234">
        <f>IF($D234=1,ROUND(Keys!$C$2/(INDEX(Src_SYSHECF_nuclear!$L$5:$L$292,MATCH($C234,Src_SYSHECF_nuclear!$C$5:$C$292,0))*$E234),Keys!$C$5),Keys!$C$4)</f>
        <v>0.9</v>
      </c>
      <c r="O234">
        <f>IF($D234=1,ROUND(Keys!$C$2/(INDEX(Src_SYSHECF_nuclear!$M$5:$M$292,MATCH($C234,Src_SYSHECF_nuclear!$C$5:$C$292,0))*$E234),Keys!$C$5),Keys!$C$4)</f>
        <v>0.9</v>
      </c>
      <c r="P234">
        <f>IF($D234=1,ROUND(Keys!$C$2/(INDEX(Src_SYSHECF_nuclear!$N$5:$N$292,MATCH($C234,Src_SYSHECF_nuclear!$C$5:$C$292,0))*$E234),Keys!$C$5),Keys!$C$4)</f>
        <v>0.9</v>
      </c>
      <c r="Q234">
        <f>IF($D234=1,ROUND(Keys!$C$2/(INDEX(Src_SYSHECF_nuclear!$O$5:$O$292,MATCH($C234,Src_SYSHECF_nuclear!$C$5:$C$292,0))*$E234),Keys!$C$5),Keys!$C$4)</f>
        <v>0.9</v>
      </c>
      <c r="R234">
        <f>IF($D234=1,ROUND(Keys!$C$2/(INDEX(Src_SYSHECF_nuclear!$P$5:$P$292,MATCH($C234,Src_SYSHECF_nuclear!$C$5:$C$292,0))*$E234),Keys!$C$5),Keys!$C$4)</f>
        <v>0.9</v>
      </c>
      <c r="S234">
        <f>IF($D234=1,ROUND(Keys!$C$2/(INDEX(Src_SYSHECF_nuclear!$Q$5:$Q$292,MATCH($C234,Src_SYSHECF_nuclear!$C$5:$C$292,0))*$E234),Keys!$C$5),Keys!$C$4)</f>
        <v>0.9</v>
      </c>
      <c r="T234">
        <f>IF($D234=1,ROUND(Keys!$C$2/(INDEX(Src_SYSHECF_nuclear!$R$5:$R$292,MATCH($C234,Src_SYSHECF_nuclear!$C$5:$C$292,0))*$E234),Keys!$C$5),Keys!$C$4)</f>
        <v>0.9</v>
      </c>
      <c r="U234">
        <f>IF($D234=1,ROUND(Keys!$C$2/(INDEX(Src_SYSHECF_nuclear!$S$5:$S$292,MATCH($C234,Src_SYSHECF_nuclear!$C$5:$C$292,0))*$E234),Keys!$C$5),Keys!$C$4)</f>
        <v>0.9</v>
      </c>
      <c r="V234">
        <f>IF($D234=1,ROUND(Keys!$C$2/(INDEX(Src_SYSHECF_nuclear!$T$5:$T$292,MATCH($C234,Src_SYSHECF_nuclear!$C$5:$C$292,0))*$E234),Keys!$C$5),Keys!$C$4)</f>
        <v>0.9</v>
      </c>
      <c r="W234">
        <f>IF($D234=1,ROUND(Keys!$C$2/(INDEX(Src_SYSHECF_nuclear!$U$5:$U$292,MATCH($C234,Src_SYSHECF_nuclear!$C$5:$C$292,0))*$E234),Keys!$C$5),Keys!$C$4)</f>
        <v>0.9</v>
      </c>
      <c r="X234">
        <f>IF($D234=1,ROUND(Keys!$C$2/(INDEX(Src_SYSHECF_nuclear!$V$5:$V$292,MATCH($C234,Src_SYSHECF_nuclear!$C$5:$C$292,0))*$E234),Keys!$C$5),Keys!$C$4)</f>
        <v>0.9</v>
      </c>
      <c r="Y234">
        <f>IF($D234=1,ROUND(Keys!$C$2/(INDEX(Src_SYSHECF_nuclear!$W$5:$W$292,MATCH($C234,Src_SYSHECF_nuclear!$C$5:$C$292,0))*$E234),Keys!$C$5),Keys!$C$4)</f>
        <v>0.9</v>
      </c>
      <c r="Z234">
        <f>IF($D234=1,ROUND(Keys!$C$2/(INDEX(Src_SYSHECF_nuclear!$X$5:$X$292,MATCH($C234,Src_SYSHECF_nuclear!$C$5:$C$292,0))*$E234),Keys!$C$5),Keys!$C$4)</f>
        <v>0.9</v>
      </c>
      <c r="AA234">
        <f>IF($D234=1,ROUND(Keys!$C$2/(INDEX(Src_SYSHECF_nuclear!$Y$5:$Y$292,MATCH($C234,Src_SYSHECF_nuclear!$C$5:$C$292,0))*$E234),Keys!$C$5),Keys!$C$4)</f>
        <v>0.9</v>
      </c>
      <c r="AB234">
        <f>IF($D234=1,ROUND(Keys!$C$2/(INDEX(Src_SYSHECF_nuclear!$Z$5:$Z$292,MATCH($C234,Src_SYSHECF_nuclear!$C$5:$C$292,0))*$E234),Keys!$C$5),Keys!$C$4)</f>
        <v>0.9</v>
      </c>
      <c r="AC234">
        <f>IF($D234=1,ROUND(Keys!$C$2/(INDEX(Src_SYSHECF_nuclear!$AA$5:$AA$292,MATCH($C234,Src_SYSHECF_nuclear!$C$5:$C$292,0))*$E234),Keys!$C$5),Keys!$C$4)</f>
        <v>0.9</v>
      </c>
      <c r="AE234">
        <f>IF($D234=1,IF(ABS(INDEX(Src_SYSHECF_nuclear!$D$5:$D$292,MATCH($C234,Src_SYSHECF_nuclear!$C$5:$C$292,0))*$E234*F234-Keys!$C$2)&gt;Keys!$C$6,1,0),0)</f>
        <v>0</v>
      </c>
    </row>
    <row r="235" spans="1:31" x14ac:dyDescent="0.45">
      <c r="A235" t="s">
        <v>82</v>
      </c>
      <c r="B235" t="s">
        <v>429</v>
      </c>
      <c r="C235" t="str">
        <f t="shared" si="3"/>
        <v>NM|Winter Peak</v>
      </c>
      <c r="D235">
        <f>INDEX(Src_BHRaSYC_nuclear!$HF$5:$HF$52,MATCH($A235,Src_BHRaSYC_nuclear!$A$5:$A$52,0))</f>
        <v>0</v>
      </c>
      <c r="E235">
        <f>INDEX(Src_HYECFCA_nuclear!$B$5:$B$52,MATCH($A235,Src_HYECFCA_nuclear!$A$5:$A$52,0))</f>
        <v>1</v>
      </c>
      <c r="F235">
        <f>IF($D235=1,ROUND(Keys!$C$2/(INDEX(Src_SYSHECF_nuclear!$D$5:$D$292,MATCH($C235,Src_SYSHECF_nuclear!$C$5:$C$292,0))*$E235),Keys!$C$5),Keys!$C$4)</f>
        <v>0.9</v>
      </c>
      <c r="G235">
        <f>IF($D235=1,ROUND(Keys!$C$2/(INDEX(Src_SYSHECF_nuclear!$E$5:$E$292,MATCH($C235,Src_SYSHECF_nuclear!$C$5:$C$292,0))*$E235),Keys!$C$5),Keys!$C$4)</f>
        <v>0.9</v>
      </c>
      <c r="H235">
        <f>IF($D235=1,ROUND(Keys!$C$2/(INDEX(Src_SYSHECF_nuclear!$F$5:$F$292,MATCH($C235,Src_SYSHECF_nuclear!$C$5:$C$292,0))*$E235),Keys!$C$5),Keys!$C$4)</f>
        <v>0.9</v>
      </c>
      <c r="I235">
        <f>IF($D235=1,ROUND(Keys!$C$2/(INDEX(Src_SYSHECF_nuclear!$G$5:$G$292,MATCH($C235,Src_SYSHECF_nuclear!$C$5:$C$292,0))*$E235),Keys!$C$5),Keys!$C$4)</f>
        <v>0.9</v>
      </c>
      <c r="J235">
        <f>IF($D235=1,ROUND(Keys!$C$2/(INDEX(Src_SYSHECF_nuclear!$H$5:$H$292,MATCH($C235,Src_SYSHECF_nuclear!$C$5:$C$292,0))*$E235),Keys!$C$5),Keys!$C$4)</f>
        <v>0.9</v>
      </c>
      <c r="K235">
        <f>IF($D235=1,ROUND(Keys!$C$2/(INDEX(Src_SYSHECF_nuclear!$I$5:$I$292,MATCH($C235,Src_SYSHECF_nuclear!$C$5:$C$292,0))*$E235),Keys!$C$5),Keys!$C$4)</f>
        <v>0.9</v>
      </c>
      <c r="L235">
        <f>IF($D235=1,ROUND(Keys!$C$2/(INDEX(Src_SYSHECF_nuclear!$J$5:$J$292,MATCH($C235,Src_SYSHECF_nuclear!$C$5:$C$292,0))*$E235),Keys!$C$5),Keys!$C$4)</f>
        <v>0.9</v>
      </c>
      <c r="M235">
        <f>IF($D235=1,ROUND(Keys!$C$2/(INDEX(Src_SYSHECF_nuclear!$K$5:$K$292,MATCH($C235,Src_SYSHECF_nuclear!$C$5:$C$292,0))*$E235),Keys!$C$5),Keys!$C$4)</f>
        <v>0.9</v>
      </c>
      <c r="N235">
        <f>IF($D235=1,ROUND(Keys!$C$2/(INDEX(Src_SYSHECF_nuclear!$L$5:$L$292,MATCH($C235,Src_SYSHECF_nuclear!$C$5:$C$292,0))*$E235),Keys!$C$5),Keys!$C$4)</f>
        <v>0.9</v>
      </c>
      <c r="O235">
        <f>IF($D235=1,ROUND(Keys!$C$2/(INDEX(Src_SYSHECF_nuclear!$M$5:$M$292,MATCH($C235,Src_SYSHECF_nuclear!$C$5:$C$292,0))*$E235),Keys!$C$5),Keys!$C$4)</f>
        <v>0.9</v>
      </c>
      <c r="P235">
        <f>IF($D235=1,ROUND(Keys!$C$2/(INDEX(Src_SYSHECF_nuclear!$N$5:$N$292,MATCH($C235,Src_SYSHECF_nuclear!$C$5:$C$292,0))*$E235),Keys!$C$5),Keys!$C$4)</f>
        <v>0.9</v>
      </c>
      <c r="Q235">
        <f>IF($D235=1,ROUND(Keys!$C$2/(INDEX(Src_SYSHECF_nuclear!$O$5:$O$292,MATCH($C235,Src_SYSHECF_nuclear!$C$5:$C$292,0))*$E235),Keys!$C$5),Keys!$C$4)</f>
        <v>0.9</v>
      </c>
      <c r="R235">
        <f>IF($D235=1,ROUND(Keys!$C$2/(INDEX(Src_SYSHECF_nuclear!$P$5:$P$292,MATCH($C235,Src_SYSHECF_nuclear!$C$5:$C$292,0))*$E235),Keys!$C$5),Keys!$C$4)</f>
        <v>0.9</v>
      </c>
      <c r="S235">
        <f>IF($D235=1,ROUND(Keys!$C$2/(INDEX(Src_SYSHECF_nuclear!$Q$5:$Q$292,MATCH($C235,Src_SYSHECF_nuclear!$C$5:$C$292,0))*$E235),Keys!$C$5),Keys!$C$4)</f>
        <v>0.9</v>
      </c>
      <c r="T235">
        <f>IF($D235=1,ROUND(Keys!$C$2/(INDEX(Src_SYSHECF_nuclear!$R$5:$R$292,MATCH($C235,Src_SYSHECF_nuclear!$C$5:$C$292,0))*$E235),Keys!$C$5),Keys!$C$4)</f>
        <v>0.9</v>
      </c>
      <c r="U235">
        <f>IF($D235=1,ROUND(Keys!$C$2/(INDEX(Src_SYSHECF_nuclear!$S$5:$S$292,MATCH($C235,Src_SYSHECF_nuclear!$C$5:$C$292,0))*$E235),Keys!$C$5),Keys!$C$4)</f>
        <v>0.9</v>
      </c>
      <c r="V235">
        <f>IF($D235=1,ROUND(Keys!$C$2/(INDEX(Src_SYSHECF_nuclear!$T$5:$T$292,MATCH($C235,Src_SYSHECF_nuclear!$C$5:$C$292,0))*$E235),Keys!$C$5),Keys!$C$4)</f>
        <v>0.9</v>
      </c>
      <c r="W235">
        <f>IF($D235=1,ROUND(Keys!$C$2/(INDEX(Src_SYSHECF_nuclear!$U$5:$U$292,MATCH($C235,Src_SYSHECF_nuclear!$C$5:$C$292,0))*$E235),Keys!$C$5),Keys!$C$4)</f>
        <v>0.9</v>
      </c>
      <c r="X235">
        <f>IF($D235=1,ROUND(Keys!$C$2/(INDEX(Src_SYSHECF_nuclear!$V$5:$V$292,MATCH($C235,Src_SYSHECF_nuclear!$C$5:$C$292,0))*$E235),Keys!$C$5),Keys!$C$4)</f>
        <v>0.9</v>
      </c>
      <c r="Y235">
        <f>IF($D235=1,ROUND(Keys!$C$2/(INDEX(Src_SYSHECF_nuclear!$W$5:$W$292,MATCH($C235,Src_SYSHECF_nuclear!$C$5:$C$292,0))*$E235),Keys!$C$5),Keys!$C$4)</f>
        <v>0.9</v>
      </c>
      <c r="Z235">
        <f>IF($D235=1,ROUND(Keys!$C$2/(INDEX(Src_SYSHECF_nuclear!$X$5:$X$292,MATCH($C235,Src_SYSHECF_nuclear!$C$5:$C$292,0))*$E235),Keys!$C$5),Keys!$C$4)</f>
        <v>0.9</v>
      </c>
      <c r="AA235">
        <f>IF($D235=1,ROUND(Keys!$C$2/(INDEX(Src_SYSHECF_nuclear!$Y$5:$Y$292,MATCH($C235,Src_SYSHECF_nuclear!$C$5:$C$292,0))*$E235),Keys!$C$5),Keys!$C$4)</f>
        <v>0.9</v>
      </c>
      <c r="AB235">
        <f>IF($D235=1,ROUND(Keys!$C$2/(INDEX(Src_SYSHECF_nuclear!$Z$5:$Z$292,MATCH($C235,Src_SYSHECF_nuclear!$C$5:$C$292,0))*$E235),Keys!$C$5),Keys!$C$4)</f>
        <v>0.9</v>
      </c>
      <c r="AC235">
        <f>IF($D235=1,ROUND(Keys!$C$2/(INDEX(Src_SYSHECF_nuclear!$AA$5:$AA$292,MATCH($C235,Src_SYSHECF_nuclear!$C$5:$C$292,0))*$E235),Keys!$C$5),Keys!$C$4)</f>
        <v>0.9</v>
      </c>
      <c r="AE235">
        <f>IF($D235=1,IF(ABS(INDEX(Src_SYSHECF_nuclear!$D$5:$D$292,MATCH($C235,Src_SYSHECF_nuclear!$C$5:$C$292,0))*$E235*F235-Keys!$C$2)&gt;Keys!$C$6,1,0),0)</f>
        <v>0</v>
      </c>
    </row>
    <row r="236" spans="1:31" x14ac:dyDescent="0.45">
      <c r="A236" t="s">
        <v>84</v>
      </c>
      <c r="B236" t="s">
        <v>424</v>
      </c>
      <c r="C236" t="str">
        <f t="shared" si="3"/>
        <v>NV|Winter</v>
      </c>
      <c r="D236">
        <f>INDEX(Src_BHRaSYC_nuclear!$HF$5:$HF$52,MATCH($A236,Src_BHRaSYC_nuclear!$A$5:$A$52,0))</f>
        <v>0</v>
      </c>
      <c r="E236">
        <f>INDEX(Src_HYECFCA_nuclear!$B$5:$B$52,MATCH($A236,Src_HYECFCA_nuclear!$A$5:$A$52,0))</f>
        <v>1</v>
      </c>
      <c r="F236">
        <f>IF($D236=1,ROUND(Keys!$C$2/(INDEX(Src_SYSHECF_nuclear!$D$5:$D$292,MATCH($C236,Src_SYSHECF_nuclear!$C$5:$C$292,0))*$E236),Keys!$C$5),Keys!$C$4)</f>
        <v>0.9</v>
      </c>
      <c r="G236">
        <f>IF($D236=1,ROUND(Keys!$C$2/(INDEX(Src_SYSHECF_nuclear!$E$5:$E$292,MATCH($C236,Src_SYSHECF_nuclear!$C$5:$C$292,0))*$E236),Keys!$C$5),Keys!$C$4)</f>
        <v>0.9</v>
      </c>
      <c r="H236">
        <f>IF($D236=1,ROUND(Keys!$C$2/(INDEX(Src_SYSHECF_nuclear!$F$5:$F$292,MATCH($C236,Src_SYSHECF_nuclear!$C$5:$C$292,0))*$E236),Keys!$C$5),Keys!$C$4)</f>
        <v>0.9</v>
      </c>
      <c r="I236">
        <f>IF($D236=1,ROUND(Keys!$C$2/(INDEX(Src_SYSHECF_nuclear!$G$5:$G$292,MATCH($C236,Src_SYSHECF_nuclear!$C$5:$C$292,0))*$E236),Keys!$C$5),Keys!$C$4)</f>
        <v>0.9</v>
      </c>
      <c r="J236">
        <f>IF($D236=1,ROUND(Keys!$C$2/(INDEX(Src_SYSHECF_nuclear!$H$5:$H$292,MATCH($C236,Src_SYSHECF_nuclear!$C$5:$C$292,0))*$E236),Keys!$C$5),Keys!$C$4)</f>
        <v>0.9</v>
      </c>
      <c r="K236">
        <f>IF($D236=1,ROUND(Keys!$C$2/(INDEX(Src_SYSHECF_nuclear!$I$5:$I$292,MATCH($C236,Src_SYSHECF_nuclear!$C$5:$C$292,0))*$E236),Keys!$C$5),Keys!$C$4)</f>
        <v>0.9</v>
      </c>
      <c r="L236">
        <f>IF($D236=1,ROUND(Keys!$C$2/(INDEX(Src_SYSHECF_nuclear!$J$5:$J$292,MATCH($C236,Src_SYSHECF_nuclear!$C$5:$C$292,0))*$E236),Keys!$C$5),Keys!$C$4)</f>
        <v>0.9</v>
      </c>
      <c r="M236">
        <f>IF($D236=1,ROUND(Keys!$C$2/(INDEX(Src_SYSHECF_nuclear!$K$5:$K$292,MATCH($C236,Src_SYSHECF_nuclear!$C$5:$C$292,0))*$E236),Keys!$C$5),Keys!$C$4)</f>
        <v>0.9</v>
      </c>
      <c r="N236">
        <f>IF($D236=1,ROUND(Keys!$C$2/(INDEX(Src_SYSHECF_nuclear!$L$5:$L$292,MATCH($C236,Src_SYSHECF_nuclear!$C$5:$C$292,0))*$E236),Keys!$C$5),Keys!$C$4)</f>
        <v>0.9</v>
      </c>
      <c r="O236">
        <f>IF($D236=1,ROUND(Keys!$C$2/(INDEX(Src_SYSHECF_nuclear!$M$5:$M$292,MATCH($C236,Src_SYSHECF_nuclear!$C$5:$C$292,0))*$E236),Keys!$C$5),Keys!$C$4)</f>
        <v>0.9</v>
      </c>
      <c r="P236">
        <f>IF($D236=1,ROUND(Keys!$C$2/(INDEX(Src_SYSHECF_nuclear!$N$5:$N$292,MATCH($C236,Src_SYSHECF_nuclear!$C$5:$C$292,0))*$E236),Keys!$C$5),Keys!$C$4)</f>
        <v>0.9</v>
      </c>
      <c r="Q236">
        <f>IF($D236=1,ROUND(Keys!$C$2/(INDEX(Src_SYSHECF_nuclear!$O$5:$O$292,MATCH($C236,Src_SYSHECF_nuclear!$C$5:$C$292,0))*$E236),Keys!$C$5),Keys!$C$4)</f>
        <v>0.9</v>
      </c>
      <c r="R236">
        <f>IF($D236=1,ROUND(Keys!$C$2/(INDEX(Src_SYSHECF_nuclear!$P$5:$P$292,MATCH($C236,Src_SYSHECF_nuclear!$C$5:$C$292,0))*$E236),Keys!$C$5),Keys!$C$4)</f>
        <v>0.9</v>
      </c>
      <c r="S236">
        <f>IF($D236=1,ROUND(Keys!$C$2/(INDEX(Src_SYSHECF_nuclear!$Q$5:$Q$292,MATCH($C236,Src_SYSHECF_nuclear!$C$5:$C$292,0))*$E236),Keys!$C$5),Keys!$C$4)</f>
        <v>0.9</v>
      </c>
      <c r="T236">
        <f>IF($D236=1,ROUND(Keys!$C$2/(INDEX(Src_SYSHECF_nuclear!$R$5:$R$292,MATCH($C236,Src_SYSHECF_nuclear!$C$5:$C$292,0))*$E236),Keys!$C$5),Keys!$C$4)</f>
        <v>0.9</v>
      </c>
      <c r="U236">
        <f>IF($D236=1,ROUND(Keys!$C$2/(INDEX(Src_SYSHECF_nuclear!$S$5:$S$292,MATCH($C236,Src_SYSHECF_nuclear!$C$5:$C$292,0))*$E236),Keys!$C$5),Keys!$C$4)</f>
        <v>0.9</v>
      </c>
      <c r="V236">
        <f>IF($D236=1,ROUND(Keys!$C$2/(INDEX(Src_SYSHECF_nuclear!$T$5:$T$292,MATCH($C236,Src_SYSHECF_nuclear!$C$5:$C$292,0))*$E236),Keys!$C$5),Keys!$C$4)</f>
        <v>0.9</v>
      </c>
      <c r="W236">
        <f>IF($D236=1,ROUND(Keys!$C$2/(INDEX(Src_SYSHECF_nuclear!$U$5:$U$292,MATCH($C236,Src_SYSHECF_nuclear!$C$5:$C$292,0))*$E236),Keys!$C$5),Keys!$C$4)</f>
        <v>0.9</v>
      </c>
      <c r="X236">
        <f>IF($D236=1,ROUND(Keys!$C$2/(INDEX(Src_SYSHECF_nuclear!$V$5:$V$292,MATCH($C236,Src_SYSHECF_nuclear!$C$5:$C$292,0))*$E236),Keys!$C$5),Keys!$C$4)</f>
        <v>0.9</v>
      </c>
      <c r="Y236">
        <f>IF($D236=1,ROUND(Keys!$C$2/(INDEX(Src_SYSHECF_nuclear!$W$5:$W$292,MATCH($C236,Src_SYSHECF_nuclear!$C$5:$C$292,0))*$E236),Keys!$C$5),Keys!$C$4)</f>
        <v>0.9</v>
      </c>
      <c r="Z236">
        <f>IF($D236=1,ROUND(Keys!$C$2/(INDEX(Src_SYSHECF_nuclear!$X$5:$X$292,MATCH($C236,Src_SYSHECF_nuclear!$C$5:$C$292,0))*$E236),Keys!$C$5),Keys!$C$4)</f>
        <v>0.9</v>
      </c>
      <c r="AA236">
        <f>IF($D236=1,ROUND(Keys!$C$2/(INDEX(Src_SYSHECF_nuclear!$Y$5:$Y$292,MATCH($C236,Src_SYSHECF_nuclear!$C$5:$C$292,0))*$E236),Keys!$C$5),Keys!$C$4)</f>
        <v>0.9</v>
      </c>
      <c r="AB236">
        <f>IF($D236=1,ROUND(Keys!$C$2/(INDEX(Src_SYSHECF_nuclear!$Z$5:$Z$292,MATCH($C236,Src_SYSHECF_nuclear!$C$5:$C$292,0))*$E236),Keys!$C$5),Keys!$C$4)</f>
        <v>0.9</v>
      </c>
      <c r="AC236">
        <f>IF($D236=1,ROUND(Keys!$C$2/(INDEX(Src_SYSHECF_nuclear!$AA$5:$AA$292,MATCH($C236,Src_SYSHECF_nuclear!$C$5:$C$292,0))*$E236),Keys!$C$5),Keys!$C$4)</f>
        <v>0.9</v>
      </c>
      <c r="AE236">
        <f>IF($D236=1,IF(ABS(INDEX(Src_SYSHECF_nuclear!$D$5:$D$292,MATCH($C236,Src_SYSHECF_nuclear!$C$5:$C$292,0))*$E236*F236-Keys!$C$2)&gt;Keys!$C$6,1,0),0)</f>
        <v>0</v>
      </c>
    </row>
    <row r="237" spans="1:31" x14ac:dyDescent="0.45">
      <c r="A237" t="s">
        <v>84</v>
      </c>
      <c r="B237" t="s">
        <v>425</v>
      </c>
      <c r="C237" t="str">
        <f t="shared" si="3"/>
        <v>NV|Spring</v>
      </c>
      <c r="D237">
        <f>INDEX(Src_BHRaSYC_nuclear!$HF$5:$HF$52,MATCH($A237,Src_BHRaSYC_nuclear!$A$5:$A$52,0))</f>
        <v>0</v>
      </c>
      <c r="E237">
        <f>INDEX(Src_HYECFCA_nuclear!$B$5:$B$52,MATCH($A237,Src_HYECFCA_nuclear!$A$5:$A$52,0))</f>
        <v>1</v>
      </c>
      <c r="F237">
        <f>IF($D237=1,ROUND(Keys!$C$2/(INDEX(Src_SYSHECF_nuclear!$D$5:$D$292,MATCH($C237,Src_SYSHECF_nuclear!$C$5:$C$292,0))*$E237),Keys!$C$5),Keys!$C$4)</f>
        <v>0.9</v>
      </c>
      <c r="G237">
        <f>IF($D237=1,ROUND(Keys!$C$2/(INDEX(Src_SYSHECF_nuclear!$E$5:$E$292,MATCH($C237,Src_SYSHECF_nuclear!$C$5:$C$292,0))*$E237),Keys!$C$5),Keys!$C$4)</f>
        <v>0.9</v>
      </c>
      <c r="H237">
        <f>IF($D237=1,ROUND(Keys!$C$2/(INDEX(Src_SYSHECF_nuclear!$F$5:$F$292,MATCH($C237,Src_SYSHECF_nuclear!$C$5:$C$292,0))*$E237),Keys!$C$5),Keys!$C$4)</f>
        <v>0.9</v>
      </c>
      <c r="I237">
        <f>IF($D237=1,ROUND(Keys!$C$2/(INDEX(Src_SYSHECF_nuclear!$G$5:$G$292,MATCH($C237,Src_SYSHECF_nuclear!$C$5:$C$292,0))*$E237),Keys!$C$5),Keys!$C$4)</f>
        <v>0.9</v>
      </c>
      <c r="J237">
        <f>IF($D237=1,ROUND(Keys!$C$2/(INDEX(Src_SYSHECF_nuclear!$H$5:$H$292,MATCH($C237,Src_SYSHECF_nuclear!$C$5:$C$292,0))*$E237),Keys!$C$5),Keys!$C$4)</f>
        <v>0.9</v>
      </c>
      <c r="K237">
        <f>IF($D237=1,ROUND(Keys!$C$2/(INDEX(Src_SYSHECF_nuclear!$I$5:$I$292,MATCH($C237,Src_SYSHECF_nuclear!$C$5:$C$292,0))*$E237),Keys!$C$5),Keys!$C$4)</f>
        <v>0.9</v>
      </c>
      <c r="L237">
        <f>IF($D237=1,ROUND(Keys!$C$2/(INDEX(Src_SYSHECF_nuclear!$J$5:$J$292,MATCH($C237,Src_SYSHECF_nuclear!$C$5:$C$292,0))*$E237),Keys!$C$5),Keys!$C$4)</f>
        <v>0.9</v>
      </c>
      <c r="M237">
        <f>IF($D237=1,ROUND(Keys!$C$2/(INDEX(Src_SYSHECF_nuclear!$K$5:$K$292,MATCH($C237,Src_SYSHECF_nuclear!$C$5:$C$292,0))*$E237),Keys!$C$5),Keys!$C$4)</f>
        <v>0.9</v>
      </c>
      <c r="N237">
        <f>IF($D237=1,ROUND(Keys!$C$2/(INDEX(Src_SYSHECF_nuclear!$L$5:$L$292,MATCH($C237,Src_SYSHECF_nuclear!$C$5:$C$292,0))*$E237),Keys!$C$5),Keys!$C$4)</f>
        <v>0.9</v>
      </c>
      <c r="O237">
        <f>IF($D237=1,ROUND(Keys!$C$2/(INDEX(Src_SYSHECF_nuclear!$M$5:$M$292,MATCH($C237,Src_SYSHECF_nuclear!$C$5:$C$292,0))*$E237),Keys!$C$5),Keys!$C$4)</f>
        <v>0.9</v>
      </c>
      <c r="P237">
        <f>IF($D237=1,ROUND(Keys!$C$2/(INDEX(Src_SYSHECF_nuclear!$N$5:$N$292,MATCH($C237,Src_SYSHECF_nuclear!$C$5:$C$292,0))*$E237),Keys!$C$5),Keys!$C$4)</f>
        <v>0.9</v>
      </c>
      <c r="Q237">
        <f>IF($D237=1,ROUND(Keys!$C$2/(INDEX(Src_SYSHECF_nuclear!$O$5:$O$292,MATCH($C237,Src_SYSHECF_nuclear!$C$5:$C$292,0))*$E237),Keys!$C$5),Keys!$C$4)</f>
        <v>0.9</v>
      </c>
      <c r="R237">
        <f>IF($D237=1,ROUND(Keys!$C$2/(INDEX(Src_SYSHECF_nuclear!$P$5:$P$292,MATCH($C237,Src_SYSHECF_nuclear!$C$5:$C$292,0))*$E237),Keys!$C$5),Keys!$C$4)</f>
        <v>0.9</v>
      </c>
      <c r="S237">
        <f>IF($D237=1,ROUND(Keys!$C$2/(INDEX(Src_SYSHECF_nuclear!$Q$5:$Q$292,MATCH($C237,Src_SYSHECF_nuclear!$C$5:$C$292,0))*$E237),Keys!$C$5),Keys!$C$4)</f>
        <v>0.9</v>
      </c>
      <c r="T237">
        <f>IF($D237=1,ROUND(Keys!$C$2/(INDEX(Src_SYSHECF_nuclear!$R$5:$R$292,MATCH($C237,Src_SYSHECF_nuclear!$C$5:$C$292,0))*$E237),Keys!$C$5),Keys!$C$4)</f>
        <v>0.9</v>
      </c>
      <c r="U237">
        <f>IF($D237=1,ROUND(Keys!$C$2/(INDEX(Src_SYSHECF_nuclear!$S$5:$S$292,MATCH($C237,Src_SYSHECF_nuclear!$C$5:$C$292,0))*$E237),Keys!$C$5),Keys!$C$4)</f>
        <v>0.9</v>
      </c>
      <c r="V237">
        <f>IF($D237=1,ROUND(Keys!$C$2/(INDEX(Src_SYSHECF_nuclear!$T$5:$T$292,MATCH($C237,Src_SYSHECF_nuclear!$C$5:$C$292,0))*$E237),Keys!$C$5),Keys!$C$4)</f>
        <v>0.9</v>
      </c>
      <c r="W237">
        <f>IF($D237=1,ROUND(Keys!$C$2/(INDEX(Src_SYSHECF_nuclear!$U$5:$U$292,MATCH($C237,Src_SYSHECF_nuclear!$C$5:$C$292,0))*$E237),Keys!$C$5),Keys!$C$4)</f>
        <v>0.9</v>
      </c>
      <c r="X237">
        <f>IF($D237=1,ROUND(Keys!$C$2/(INDEX(Src_SYSHECF_nuclear!$V$5:$V$292,MATCH($C237,Src_SYSHECF_nuclear!$C$5:$C$292,0))*$E237),Keys!$C$5),Keys!$C$4)</f>
        <v>0.9</v>
      </c>
      <c r="Y237">
        <f>IF($D237=1,ROUND(Keys!$C$2/(INDEX(Src_SYSHECF_nuclear!$W$5:$W$292,MATCH($C237,Src_SYSHECF_nuclear!$C$5:$C$292,0))*$E237),Keys!$C$5),Keys!$C$4)</f>
        <v>0.9</v>
      </c>
      <c r="Z237">
        <f>IF($D237=1,ROUND(Keys!$C$2/(INDEX(Src_SYSHECF_nuclear!$X$5:$X$292,MATCH($C237,Src_SYSHECF_nuclear!$C$5:$C$292,0))*$E237),Keys!$C$5),Keys!$C$4)</f>
        <v>0.9</v>
      </c>
      <c r="AA237">
        <f>IF($D237=1,ROUND(Keys!$C$2/(INDEX(Src_SYSHECF_nuclear!$Y$5:$Y$292,MATCH($C237,Src_SYSHECF_nuclear!$C$5:$C$292,0))*$E237),Keys!$C$5),Keys!$C$4)</f>
        <v>0.9</v>
      </c>
      <c r="AB237">
        <f>IF($D237=1,ROUND(Keys!$C$2/(INDEX(Src_SYSHECF_nuclear!$Z$5:$Z$292,MATCH($C237,Src_SYSHECF_nuclear!$C$5:$C$292,0))*$E237),Keys!$C$5),Keys!$C$4)</f>
        <v>0.9</v>
      </c>
      <c r="AC237">
        <f>IF($D237=1,ROUND(Keys!$C$2/(INDEX(Src_SYSHECF_nuclear!$AA$5:$AA$292,MATCH($C237,Src_SYSHECF_nuclear!$C$5:$C$292,0))*$E237),Keys!$C$5),Keys!$C$4)</f>
        <v>0.9</v>
      </c>
      <c r="AE237">
        <f>IF($D237=1,IF(ABS(INDEX(Src_SYSHECF_nuclear!$D$5:$D$292,MATCH($C237,Src_SYSHECF_nuclear!$C$5:$C$292,0))*$E237*F237-Keys!$C$2)&gt;Keys!$C$6,1,0),0)</f>
        <v>0</v>
      </c>
    </row>
    <row r="238" spans="1:31" x14ac:dyDescent="0.45">
      <c r="A238" t="s">
        <v>84</v>
      </c>
      <c r="B238" t="s">
        <v>426</v>
      </c>
      <c r="C238" t="str">
        <f t="shared" si="3"/>
        <v>NV|Summer</v>
      </c>
      <c r="D238">
        <f>INDEX(Src_BHRaSYC_nuclear!$HF$5:$HF$52,MATCH($A238,Src_BHRaSYC_nuclear!$A$5:$A$52,0))</f>
        <v>0</v>
      </c>
      <c r="E238">
        <f>INDEX(Src_HYECFCA_nuclear!$B$5:$B$52,MATCH($A238,Src_HYECFCA_nuclear!$A$5:$A$52,0))</f>
        <v>1</v>
      </c>
      <c r="F238">
        <f>IF($D238=1,ROUND(Keys!$C$2/(INDEX(Src_SYSHECF_nuclear!$D$5:$D$292,MATCH($C238,Src_SYSHECF_nuclear!$C$5:$C$292,0))*$E238),Keys!$C$5),Keys!$C$4)</f>
        <v>0.9</v>
      </c>
      <c r="G238">
        <f>IF($D238=1,ROUND(Keys!$C$2/(INDEX(Src_SYSHECF_nuclear!$E$5:$E$292,MATCH($C238,Src_SYSHECF_nuclear!$C$5:$C$292,0))*$E238),Keys!$C$5),Keys!$C$4)</f>
        <v>0.9</v>
      </c>
      <c r="H238">
        <f>IF($D238=1,ROUND(Keys!$C$2/(INDEX(Src_SYSHECF_nuclear!$F$5:$F$292,MATCH($C238,Src_SYSHECF_nuclear!$C$5:$C$292,0))*$E238),Keys!$C$5),Keys!$C$4)</f>
        <v>0.9</v>
      </c>
      <c r="I238">
        <f>IF($D238=1,ROUND(Keys!$C$2/(INDEX(Src_SYSHECF_nuclear!$G$5:$G$292,MATCH($C238,Src_SYSHECF_nuclear!$C$5:$C$292,0))*$E238),Keys!$C$5),Keys!$C$4)</f>
        <v>0.9</v>
      </c>
      <c r="J238">
        <f>IF($D238=1,ROUND(Keys!$C$2/(INDEX(Src_SYSHECF_nuclear!$H$5:$H$292,MATCH($C238,Src_SYSHECF_nuclear!$C$5:$C$292,0))*$E238),Keys!$C$5),Keys!$C$4)</f>
        <v>0.9</v>
      </c>
      <c r="K238">
        <f>IF($D238=1,ROUND(Keys!$C$2/(INDEX(Src_SYSHECF_nuclear!$I$5:$I$292,MATCH($C238,Src_SYSHECF_nuclear!$C$5:$C$292,0))*$E238),Keys!$C$5),Keys!$C$4)</f>
        <v>0.9</v>
      </c>
      <c r="L238">
        <f>IF($D238=1,ROUND(Keys!$C$2/(INDEX(Src_SYSHECF_nuclear!$J$5:$J$292,MATCH($C238,Src_SYSHECF_nuclear!$C$5:$C$292,0))*$E238),Keys!$C$5),Keys!$C$4)</f>
        <v>0.9</v>
      </c>
      <c r="M238">
        <f>IF($D238=1,ROUND(Keys!$C$2/(INDEX(Src_SYSHECF_nuclear!$K$5:$K$292,MATCH($C238,Src_SYSHECF_nuclear!$C$5:$C$292,0))*$E238),Keys!$C$5),Keys!$C$4)</f>
        <v>0.9</v>
      </c>
      <c r="N238">
        <f>IF($D238=1,ROUND(Keys!$C$2/(INDEX(Src_SYSHECF_nuclear!$L$5:$L$292,MATCH($C238,Src_SYSHECF_nuclear!$C$5:$C$292,0))*$E238),Keys!$C$5),Keys!$C$4)</f>
        <v>0.9</v>
      </c>
      <c r="O238">
        <f>IF($D238=1,ROUND(Keys!$C$2/(INDEX(Src_SYSHECF_nuclear!$M$5:$M$292,MATCH($C238,Src_SYSHECF_nuclear!$C$5:$C$292,0))*$E238),Keys!$C$5),Keys!$C$4)</f>
        <v>0.9</v>
      </c>
      <c r="P238">
        <f>IF($D238=1,ROUND(Keys!$C$2/(INDEX(Src_SYSHECF_nuclear!$N$5:$N$292,MATCH($C238,Src_SYSHECF_nuclear!$C$5:$C$292,0))*$E238),Keys!$C$5),Keys!$C$4)</f>
        <v>0.9</v>
      </c>
      <c r="Q238">
        <f>IF($D238=1,ROUND(Keys!$C$2/(INDEX(Src_SYSHECF_nuclear!$O$5:$O$292,MATCH($C238,Src_SYSHECF_nuclear!$C$5:$C$292,0))*$E238),Keys!$C$5),Keys!$C$4)</f>
        <v>0.9</v>
      </c>
      <c r="R238">
        <f>IF($D238=1,ROUND(Keys!$C$2/(INDEX(Src_SYSHECF_nuclear!$P$5:$P$292,MATCH($C238,Src_SYSHECF_nuclear!$C$5:$C$292,0))*$E238),Keys!$C$5),Keys!$C$4)</f>
        <v>0.9</v>
      </c>
      <c r="S238">
        <f>IF($D238=1,ROUND(Keys!$C$2/(INDEX(Src_SYSHECF_nuclear!$Q$5:$Q$292,MATCH($C238,Src_SYSHECF_nuclear!$C$5:$C$292,0))*$E238),Keys!$C$5),Keys!$C$4)</f>
        <v>0.9</v>
      </c>
      <c r="T238">
        <f>IF($D238=1,ROUND(Keys!$C$2/(INDEX(Src_SYSHECF_nuclear!$R$5:$R$292,MATCH($C238,Src_SYSHECF_nuclear!$C$5:$C$292,0))*$E238),Keys!$C$5),Keys!$C$4)</f>
        <v>0.9</v>
      </c>
      <c r="U238">
        <f>IF($D238=1,ROUND(Keys!$C$2/(INDEX(Src_SYSHECF_nuclear!$S$5:$S$292,MATCH($C238,Src_SYSHECF_nuclear!$C$5:$C$292,0))*$E238),Keys!$C$5),Keys!$C$4)</f>
        <v>0.9</v>
      </c>
      <c r="V238">
        <f>IF($D238=1,ROUND(Keys!$C$2/(INDEX(Src_SYSHECF_nuclear!$T$5:$T$292,MATCH($C238,Src_SYSHECF_nuclear!$C$5:$C$292,0))*$E238),Keys!$C$5),Keys!$C$4)</f>
        <v>0.9</v>
      </c>
      <c r="W238">
        <f>IF($D238=1,ROUND(Keys!$C$2/(INDEX(Src_SYSHECF_nuclear!$U$5:$U$292,MATCH($C238,Src_SYSHECF_nuclear!$C$5:$C$292,0))*$E238),Keys!$C$5),Keys!$C$4)</f>
        <v>0.9</v>
      </c>
      <c r="X238">
        <f>IF($D238=1,ROUND(Keys!$C$2/(INDEX(Src_SYSHECF_nuclear!$V$5:$V$292,MATCH($C238,Src_SYSHECF_nuclear!$C$5:$C$292,0))*$E238),Keys!$C$5),Keys!$C$4)</f>
        <v>0.9</v>
      </c>
      <c r="Y238">
        <f>IF($D238=1,ROUND(Keys!$C$2/(INDEX(Src_SYSHECF_nuclear!$W$5:$W$292,MATCH($C238,Src_SYSHECF_nuclear!$C$5:$C$292,0))*$E238),Keys!$C$5),Keys!$C$4)</f>
        <v>0.9</v>
      </c>
      <c r="Z238">
        <f>IF($D238=1,ROUND(Keys!$C$2/(INDEX(Src_SYSHECF_nuclear!$X$5:$X$292,MATCH($C238,Src_SYSHECF_nuclear!$C$5:$C$292,0))*$E238),Keys!$C$5),Keys!$C$4)</f>
        <v>0.9</v>
      </c>
      <c r="AA238">
        <f>IF($D238=1,ROUND(Keys!$C$2/(INDEX(Src_SYSHECF_nuclear!$Y$5:$Y$292,MATCH($C238,Src_SYSHECF_nuclear!$C$5:$C$292,0))*$E238),Keys!$C$5),Keys!$C$4)</f>
        <v>0.9</v>
      </c>
      <c r="AB238">
        <f>IF($D238=1,ROUND(Keys!$C$2/(INDEX(Src_SYSHECF_nuclear!$Z$5:$Z$292,MATCH($C238,Src_SYSHECF_nuclear!$C$5:$C$292,0))*$E238),Keys!$C$5),Keys!$C$4)</f>
        <v>0.9</v>
      </c>
      <c r="AC238">
        <f>IF($D238=1,ROUND(Keys!$C$2/(INDEX(Src_SYSHECF_nuclear!$AA$5:$AA$292,MATCH($C238,Src_SYSHECF_nuclear!$C$5:$C$292,0))*$E238),Keys!$C$5),Keys!$C$4)</f>
        <v>0.9</v>
      </c>
      <c r="AE238">
        <f>IF($D238=1,IF(ABS(INDEX(Src_SYSHECF_nuclear!$D$5:$D$292,MATCH($C238,Src_SYSHECF_nuclear!$C$5:$C$292,0))*$E238*F238-Keys!$C$2)&gt;Keys!$C$6,1,0),0)</f>
        <v>0</v>
      </c>
    </row>
    <row r="239" spans="1:31" x14ac:dyDescent="0.45">
      <c r="A239" t="s">
        <v>84</v>
      </c>
      <c r="B239" t="s">
        <v>427</v>
      </c>
      <c r="C239" t="str">
        <f t="shared" si="3"/>
        <v>NV|Fall</v>
      </c>
      <c r="D239">
        <f>INDEX(Src_BHRaSYC_nuclear!$HF$5:$HF$52,MATCH($A239,Src_BHRaSYC_nuclear!$A$5:$A$52,0))</f>
        <v>0</v>
      </c>
      <c r="E239">
        <f>INDEX(Src_HYECFCA_nuclear!$B$5:$B$52,MATCH($A239,Src_HYECFCA_nuclear!$A$5:$A$52,0))</f>
        <v>1</v>
      </c>
      <c r="F239">
        <f>IF($D239=1,ROUND(Keys!$C$2/(INDEX(Src_SYSHECF_nuclear!$D$5:$D$292,MATCH($C239,Src_SYSHECF_nuclear!$C$5:$C$292,0))*$E239),Keys!$C$5),Keys!$C$4)</f>
        <v>0.9</v>
      </c>
      <c r="G239">
        <f>IF($D239=1,ROUND(Keys!$C$2/(INDEX(Src_SYSHECF_nuclear!$E$5:$E$292,MATCH($C239,Src_SYSHECF_nuclear!$C$5:$C$292,0))*$E239),Keys!$C$5),Keys!$C$4)</f>
        <v>0.9</v>
      </c>
      <c r="H239">
        <f>IF($D239=1,ROUND(Keys!$C$2/(INDEX(Src_SYSHECF_nuclear!$F$5:$F$292,MATCH($C239,Src_SYSHECF_nuclear!$C$5:$C$292,0))*$E239),Keys!$C$5),Keys!$C$4)</f>
        <v>0.9</v>
      </c>
      <c r="I239">
        <f>IF($D239=1,ROUND(Keys!$C$2/(INDEX(Src_SYSHECF_nuclear!$G$5:$G$292,MATCH($C239,Src_SYSHECF_nuclear!$C$5:$C$292,0))*$E239),Keys!$C$5),Keys!$C$4)</f>
        <v>0.9</v>
      </c>
      <c r="J239">
        <f>IF($D239=1,ROUND(Keys!$C$2/(INDEX(Src_SYSHECF_nuclear!$H$5:$H$292,MATCH($C239,Src_SYSHECF_nuclear!$C$5:$C$292,0))*$E239),Keys!$C$5),Keys!$C$4)</f>
        <v>0.9</v>
      </c>
      <c r="K239">
        <f>IF($D239=1,ROUND(Keys!$C$2/(INDEX(Src_SYSHECF_nuclear!$I$5:$I$292,MATCH($C239,Src_SYSHECF_nuclear!$C$5:$C$292,0))*$E239),Keys!$C$5),Keys!$C$4)</f>
        <v>0.9</v>
      </c>
      <c r="L239">
        <f>IF($D239=1,ROUND(Keys!$C$2/(INDEX(Src_SYSHECF_nuclear!$J$5:$J$292,MATCH($C239,Src_SYSHECF_nuclear!$C$5:$C$292,0))*$E239),Keys!$C$5),Keys!$C$4)</f>
        <v>0.9</v>
      </c>
      <c r="M239">
        <f>IF($D239=1,ROUND(Keys!$C$2/(INDEX(Src_SYSHECF_nuclear!$K$5:$K$292,MATCH($C239,Src_SYSHECF_nuclear!$C$5:$C$292,0))*$E239),Keys!$C$5),Keys!$C$4)</f>
        <v>0.9</v>
      </c>
      <c r="N239">
        <f>IF($D239=1,ROUND(Keys!$C$2/(INDEX(Src_SYSHECF_nuclear!$L$5:$L$292,MATCH($C239,Src_SYSHECF_nuclear!$C$5:$C$292,0))*$E239),Keys!$C$5),Keys!$C$4)</f>
        <v>0.9</v>
      </c>
      <c r="O239">
        <f>IF($D239=1,ROUND(Keys!$C$2/(INDEX(Src_SYSHECF_nuclear!$M$5:$M$292,MATCH($C239,Src_SYSHECF_nuclear!$C$5:$C$292,0))*$E239),Keys!$C$5),Keys!$C$4)</f>
        <v>0.9</v>
      </c>
      <c r="P239">
        <f>IF($D239=1,ROUND(Keys!$C$2/(INDEX(Src_SYSHECF_nuclear!$N$5:$N$292,MATCH($C239,Src_SYSHECF_nuclear!$C$5:$C$292,0))*$E239),Keys!$C$5),Keys!$C$4)</f>
        <v>0.9</v>
      </c>
      <c r="Q239">
        <f>IF($D239=1,ROUND(Keys!$C$2/(INDEX(Src_SYSHECF_nuclear!$O$5:$O$292,MATCH($C239,Src_SYSHECF_nuclear!$C$5:$C$292,0))*$E239),Keys!$C$5),Keys!$C$4)</f>
        <v>0.9</v>
      </c>
      <c r="R239">
        <f>IF($D239=1,ROUND(Keys!$C$2/(INDEX(Src_SYSHECF_nuclear!$P$5:$P$292,MATCH($C239,Src_SYSHECF_nuclear!$C$5:$C$292,0))*$E239),Keys!$C$5),Keys!$C$4)</f>
        <v>0.9</v>
      </c>
      <c r="S239">
        <f>IF($D239=1,ROUND(Keys!$C$2/(INDEX(Src_SYSHECF_nuclear!$Q$5:$Q$292,MATCH($C239,Src_SYSHECF_nuclear!$C$5:$C$292,0))*$E239),Keys!$C$5),Keys!$C$4)</f>
        <v>0.9</v>
      </c>
      <c r="T239">
        <f>IF($D239=1,ROUND(Keys!$C$2/(INDEX(Src_SYSHECF_nuclear!$R$5:$R$292,MATCH($C239,Src_SYSHECF_nuclear!$C$5:$C$292,0))*$E239),Keys!$C$5),Keys!$C$4)</f>
        <v>0.9</v>
      </c>
      <c r="U239">
        <f>IF($D239=1,ROUND(Keys!$C$2/(INDEX(Src_SYSHECF_nuclear!$S$5:$S$292,MATCH($C239,Src_SYSHECF_nuclear!$C$5:$C$292,0))*$E239),Keys!$C$5),Keys!$C$4)</f>
        <v>0.9</v>
      </c>
      <c r="V239">
        <f>IF($D239=1,ROUND(Keys!$C$2/(INDEX(Src_SYSHECF_nuclear!$T$5:$T$292,MATCH($C239,Src_SYSHECF_nuclear!$C$5:$C$292,0))*$E239),Keys!$C$5),Keys!$C$4)</f>
        <v>0.9</v>
      </c>
      <c r="W239">
        <f>IF($D239=1,ROUND(Keys!$C$2/(INDEX(Src_SYSHECF_nuclear!$U$5:$U$292,MATCH($C239,Src_SYSHECF_nuclear!$C$5:$C$292,0))*$E239),Keys!$C$5),Keys!$C$4)</f>
        <v>0.9</v>
      </c>
      <c r="X239">
        <f>IF($D239=1,ROUND(Keys!$C$2/(INDEX(Src_SYSHECF_nuclear!$V$5:$V$292,MATCH($C239,Src_SYSHECF_nuclear!$C$5:$C$292,0))*$E239),Keys!$C$5),Keys!$C$4)</f>
        <v>0.9</v>
      </c>
      <c r="Y239">
        <f>IF($D239=1,ROUND(Keys!$C$2/(INDEX(Src_SYSHECF_nuclear!$W$5:$W$292,MATCH($C239,Src_SYSHECF_nuclear!$C$5:$C$292,0))*$E239),Keys!$C$5),Keys!$C$4)</f>
        <v>0.9</v>
      </c>
      <c r="Z239">
        <f>IF($D239=1,ROUND(Keys!$C$2/(INDEX(Src_SYSHECF_nuclear!$X$5:$X$292,MATCH($C239,Src_SYSHECF_nuclear!$C$5:$C$292,0))*$E239),Keys!$C$5),Keys!$C$4)</f>
        <v>0.9</v>
      </c>
      <c r="AA239">
        <f>IF($D239=1,ROUND(Keys!$C$2/(INDEX(Src_SYSHECF_nuclear!$Y$5:$Y$292,MATCH($C239,Src_SYSHECF_nuclear!$C$5:$C$292,0))*$E239),Keys!$C$5),Keys!$C$4)</f>
        <v>0.9</v>
      </c>
      <c r="AB239">
        <f>IF($D239=1,ROUND(Keys!$C$2/(INDEX(Src_SYSHECF_nuclear!$Z$5:$Z$292,MATCH($C239,Src_SYSHECF_nuclear!$C$5:$C$292,0))*$E239),Keys!$C$5),Keys!$C$4)</f>
        <v>0.9</v>
      </c>
      <c r="AC239">
        <f>IF($D239=1,ROUND(Keys!$C$2/(INDEX(Src_SYSHECF_nuclear!$AA$5:$AA$292,MATCH($C239,Src_SYSHECF_nuclear!$C$5:$C$292,0))*$E239),Keys!$C$5),Keys!$C$4)</f>
        <v>0.9</v>
      </c>
      <c r="AE239">
        <f>IF($D239=1,IF(ABS(INDEX(Src_SYSHECF_nuclear!$D$5:$D$292,MATCH($C239,Src_SYSHECF_nuclear!$C$5:$C$292,0))*$E239*F239-Keys!$C$2)&gt;Keys!$C$6,1,0),0)</f>
        <v>0</v>
      </c>
    </row>
    <row r="240" spans="1:31" x14ac:dyDescent="0.45">
      <c r="A240" t="s">
        <v>84</v>
      </c>
      <c r="B240" t="s">
        <v>428</v>
      </c>
      <c r="C240" t="str">
        <f t="shared" si="3"/>
        <v>NV|Summer Peak</v>
      </c>
      <c r="D240">
        <f>INDEX(Src_BHRaSYC_nuclear!$HF$5:$HF$52,MATCH($A240,Src_BHRaSYC_nuclear!$A$5:$A$52,0))</f>
        <v>0</v>
      </c>
      <c r="E240">
        <f>INDEX(Src_HYECFCA_nuclear!$B$5:$B$52,MATCH($A240,Src_HYECFCA_nuclear!$A$5:$A$52,0))</f>
        <v>1</v>
      </c>
      <c r="F240">
        <f>IF($D240=1,ROUND(Keys!$C$2/(INDEX(Src_SYSHECF_nuclear!$D$5:$D$292,MATCH($C240,Src_SYSHECF_nuclear!$C$5:$C$292,0))*$E240),Keys!$C$5),Keys!$C$4)</f>
        <v>0.9</v>
      </c>
      <c r="G240">
        <f>IF($D240=1,ROUND(Keys!$C$2/(INDEX(Src_SYSHECF_nuclear!$E$5:$E$292,MATCH($C240,Src_SYSHECF_nuclear!$C$5:$C$292,0))*$E240),Keys!$C$5),Keys!$C$4)</f>
        <v>0.9</v>
      </c>
      <c r="H240">
        <f>IF($D240=1,ROUND(Keys!$C$2/(INDEX(Src_SYSHECF_nuclear!$F$5:$F$292,MATCH($C240,Src_SYSHECF_nuclear!$C$5:$C$292,0))*$E240),Keys!$C$5),Keys!$C$4)</f>
        <v>0.9</v>
      </c>
      <c r="I240">
        <f>IF($D240=1,ROUND(Keys!$C$2/(INDEX(Src_SYSHECF_nuclear!$G$5:$G$292,MATCH($C240,Src_SYSHECF_nuclear!$C$5:$C$292,0))*$E240),Keys!$C$5),Keys!$C$4)</f>
        <v>0.9</v>
      </c>
      <c r="J240">
        <f>IF($D240=1,ROUND(Keys!$C$2/(INDEX(Src_SYSHECF_nuclear!$H$5:$H$292,MATCH($C240,Src_SYSHECF_nuclear!$C$5:$C$292,0))*$E240),Keys!$C$5),Keys!$C$4)</f>
        <v>0.9</v>
      </c>
      <c r="K240">
        <f>IF($D240=1,ROUND(Keys!$C$2/(INDEX(Src_SYSHECF_nuclear!$I$5:$I$292,MATCH($C240,Src_SYSHECF_nuclear!$C$5:$C$292,0))*$E240),Keys!$C$5),Keys!$C$4)</f>
        <v>0.9</v>
      </c>
      <c r="L240">
        <f>IF($D240=1,ROUND(Keys!$C$2/(INDEX(Src_SYSHECF_nuclear!$J$5:$J$292,MATCH($C240,Src_SYSHECF_nuclear!$C$5:$C$292,0))*$E240),Keys!$C$5),Keys!$C$4)</f>
        <v>0.9</v>
      </c>
      <c r="M240">
        <f>IF($D240=1,ROUND(Keys!$C$2/(INDEX(Src_SYSHECF_nuclear!$K$5:$K$292,MATCH($C240,Src_SYSHECF_nuclear!$C$5:$C$292,0))*$E240),Keys!$C$5),Keys!$C$4)</f>
        <v>0.9</v>
      </c>
      <c r="N240">
        <f>IF($D240=1,ROUND(Keys!$C$2/(INDEX(Src_SYSHECF_nuclear!$L$5:$L$292,MATCH($C240,Src_SYSHECF_nuclear!$C$5:$C$292,0))*$E240),Keys!$C$5),Keys!$C$4)</f>
        <v>0.9</v>
      </c>
      <c r="O240">
        <f>IF($D240=1,ROUND(Keys!$C$2/(INDEX(Src_SYSHECF_nuclear!$M$5:$M$292,MATCH($C240,Src_SYSHECF_nuclear!$C$5:$C$292,0))*$E240),Keys!$C$5),Keys!$C$4)</f>
        <v>0.9</v>
      </c>
      <c r="P240">
        <f>IF($D240=1,ROUND(Keys!$C$2/(INDEX(Src_SYSHECF_nuclear!$N$5:$N$292,MATCH($C240,Src_SYSHECF_nuclear!$C$5:$C$292,0))*$E240),Keys!$C$5),Keys!$C$4)</f>
        <v>0.9</v>
      </c>
      <c r="Q240">
        <f>IF($D240=1,ROUND(Keys!$C$2/(INDEX(Src_SYSHECF_nuclear!$O$5:$O$292,MATCH($C240,Src_SYSHECF_nuclear!$C$5:$C$292,0))*$E240),Keys!$C$5),Keys!$C$4)</f>
        <v>0.9</v>
      </c>
      <c r="R240">
        <f>IF($D240=1,ROUND(Keys!$C$2/(INDEX(Src_SYSHECF_nuclear!$P$5:$P$292,MATCH($C240,Src_SYSHECF_nuclear!$C$5:$C$292,0))*$E240),Keys!$C$5),Keys!$C$4)</f>
        <v>0.9</v>
      </c>
      <c r="S240">
        <f>IF($D240=1,ROUND(Keys!$C$2/(INDEX(Src_SYSHECF_nuclear!$Q$5:$Q$292,MATCH($C240,Src_SYSHECF_nuclear!$C$5:$C$292,0))*$E240),Keys!$C$5),Keys!$C$4)</f>
        <v>0.9</v>
      </c>
      <c r="T240">
        <f>IF($D240=1,ROUND(Keys!$C$2/(INDEX(Src_SYSHECF_nuclear!$R$5:$R$292,MATCH($C240,Src_SYSHECF_nuclear!$C$5:$C$292,0))*$E240),Keys!$C$5),Keys!$C$4)</f>
        <v>0.9</v>
      </c>
      <c r="U240">
        <f>IF($D240=1,ROUND(Keys!$C$2/(INDEX(Src_SYSHECF_nuclear!$S$5:$S$292,MATCH($C240,Src_SYSHECF_nuclear!$C$5:$C$292,0))*$E240),Keys!$C$5),Keys!$C$4)</f>
        <v>0.9</v>
      </c>
      <c r="V240">
        <f>IF($D240=1,ROUND(Keys!$C$2/(INDEX(Src_SYSHECF_nuclear!$T$5:$T$292,MATCH($C240,Src_SYSHECF_nuclear!$C$5:$C$292,0))*$E240),Keys!$C$5),Keys!$C$4)</f>
        <v>0.9</v>
      </c>
      <c r="W240">
        <f>IF($D240=1,ROUND(Keys!$C$2/(INDEX(Src_SYSHECF_nuclear!$U$5:$U$292,MATCH($C240,Src_SYSHECF_nuclear!$C$5:$C$292,0))*$E240),Keys!$C$5),Keys!$C$4)</f>
        <v>0.9</v>
      </c>
      <c r="X240">
        <f>IF($D240=1,ROUND(Keys!$C$2/(INDEX(Src_SYSHECF_nuclear!$V$5:$V$292,MATCH($C240,Src_SYSHECF_nuclear!$C$5:$C$292,0))*$E240),Keys!$C$5),Keys!$C$4)</f>
        <v>0.9</v>
      </c>
      <c r="Y240">
        <f>IF($D240=1,ROUND(Keys!$C$2/(INDEX(Src_SYSHECF_nuclear!$W$5:$W$292,MATCH($C240,Src_SYSHECF_nuclear!$C$5:$C$292,0))*$E240),Keys!$C$5),Keys!$C$4)</f>
        <v>0.9</v>
      </c>
      <c r="Z240">
        <f>IF($D240=1,ROUND(Keys!$C$2/(INDEX(Src_SYSHECF_nuclear!$X$5:$X$292,MATCH($C240,Src_SYSHECF_nuclear!$C$5:$C$292,0))*$E240),Keys!$C$5),Keys!$C$4)</f>
        <v>0.9</v>
      </c>
      <c r="AA240">
        <f>IF($D240=1,ROUND(Keys!$C$2/(INDEX(Src_SYSHECF_nuclear!$Y$5:$Y$292,MATCH($C240,Src_SYSHECF_nuclear!$C$5:$C$292,0))*$E240),Keys!$C$5),Keys!$C$4)</f>
        <v>0.9</v>
      </c>
      <c r="AB240">
        <f>IF($D240=1,ROUND(Keys!$C$2/(INDEX(Src_SYSHECF_nuclear!$Z$5:$Z$292,MATCH($C240,Src_SYSHECF_nuclear!$C$5:$C$292,0))*$E240),Keys!$C$5),Keys!$C$4)</f>
        <v>0.9</v>
      </c>
      <c r="AC240">
        <f>IF($D240=1,ROUND(Keys!$C$2/(INDEX(Src_SYSHECF_nuclear!$AA$5:$AA$292,MATCH($C240,Src_SYSHECF_nuclear!$C$5:$C$292,0))*$E240),Keys!$C$5),Keys!$C$4)</f>
        <v>0.9</v>
      </c>
      <c r="AE240">
        <f>IF($D240=1,IF(ABS(INDEX(Src_SYSHECF_nuclear!$D$5:$D$292,MATCH($C240,Src_SYSHECF_nuclear!$C$5:$C$292,0))*$E240*F240-Keys!$C$2)&gt;Keys!$C$6,1,0),0)</f>
        <v>0</v>
      </c>
    </row>
    <row r="241" spans="1:31" x14ac:dyDescent="0.45">
      <c r="A241" t="s">
        <v>84</v>
      </c>
      <c r="B241" t="s">
        <v>429</v>
      </c>
      <c r="C241" t="str">
        <f t="shared" si="3"/>
        <v>NV|Winter Peak</v>
      </c>
      <c r="D241">
        <f>INDEX(Src_BHRaSYC_nuclear!$HF$5:$HF$52,MATCH($A241,Src_BHRaSYC_nuclear!$A$5:$A$52,0))</f>
        <v>0</v>
      </c>
      <c r="E241">
        <f>INDEX(Src_HYECFCA_nuclear!$B$5:$B$52,MATCH($A241,Src_HYECFCA_nuclear!$A$5:$A$52,0))</f>
        <v>1</v>
      </c>
      <c r="F241">
        <f>IF($D241=1,ROUND(Keys!$C$2/(INDEX(Src_SYSHECF_nuclear!$D$5:$D$292,MATCH($C241,Src_SYSHECF_nuclear!$C$5:$C$292,0))*$E241),Keys!$C$5),Keys!$C$4)</f>
        <v>0.9</v>
      </c>
      <c r="G241">
        <f>IF($D241=1,ROUND(Keys!$C$2/(INDEX(Src_SYSHECF_nuclear!$E$5:$E$292,MATCH($C241,Src_SYSHECF_nuclear!$C$5:$C$292,0))*$E241),Keys!$C$5),Keys!$C$4)</f>
        <v>0.9</v>
      </c>
      <c r="H241">
        <f>IF($D241=1,ROUND(Keys!$C$2/(INDEX(Src_SYSHECF_nuclear!$F$5:$F$292,MATCH($C241,Src_SYSHECF_nuclear!$C$5:$C$292,0))*$E241),Keys!$C$5),Keys!$C$4)</f>
        <v>0.9</v>
      </c>
      <c r="I241">
        <f>IF($D241=1,ROUND(Keys!$C$2/(INDEX(Src_SYSHECF_nuclear!$G$5:$G$292,MATCH($C241,Src_SYSHECF_nuclear!$C$5:$C$292,0))*$E241),Keys!$C$5),Keys!$C$4)</f>
        <v>0.9</v>
      </c>
      <c r="J241">
        <f>IF($D241=1,ROUND(Keys!$C$2/(INDEX(Src_SYSHECF_nuclear!$H$5:$H$292,MATCH($C241,Src_SYSHECF_nuclear!$C$5:$C$292,0))*$E241),Keys!$C$5),Keys!$C$4)</f>
        <v>0.9</v>
      </c>
      <c r="K241">
        <f>IF($D241=1,ROUND(Keys!$C$2/(INDEX(Src_SYSHECF_nuclear!$I$5:$I$292,MATCH($C241,Src_SYSHECF_nuclear!$C$5:$C$292,0))*$E241),Keys!$C$5),Keys!$C$4)</f>
        <v>0.9</v>
      </c>
      <c r="L241">
        <f>IF($D241=1,ROUND(Keys!$C$2/(INDEX(Src_SYSHECF_nuclear!$J$5:$J$292,MATCH($C241,Src_SYSHECF_nuclear!$C$5:$C$292,0))*$E241),Keys!$C$5),Keys!$C$4)</f>
        <v>0.9</v>
      </c>
      <c r="M241">
        <f>IF($D241=1,ROUND(Keys!$C$2/(INDEX(Src_SYSHECF_nuclear!$K$5:$K$292,MATCH($C241,Src_SYSHECF_nuclear!$C$5:$C$292,0))*$E241),Keys!$C$5),Keys!$C$4)</f>
        <v>0.9</v>
      </c>
      <c r="N241">
        <f>IF($D241=1,ROUND(Keys!$C$2/(INDEX(Src_SYSHECF_nuclear!$L$5:$L$292,MATCH($C241,Src_SYSHECF_nuclear!$C$5:$C$292,0))*$E241),Keys!$C$5),Keys!$C$4)</f>
        <v>0.9</v>
      </c>
      <c r="O241">
        <f>IF($D241=1,ROUND(Keys!$C$2/(INDEX(Src_SYSHECF_nuclear!$M$5:$M$292,MATCH($C241,Src_SYSHECF_nuclear!$C$5:$C$292,0))*$E241),Keys!$C$5),Keys!$C$4)</f>
        <v>0.9</v>
      </c>
      <c r="P241">
        <f>IF($D241=1,ROUND(Keys!$C$2/(INDEX(Src_SYSHECF_nuclear!$N$5:$N$292,MATCH($C241,Src_SYSHECF_nuclear!$C$5:$C$292,0))*$E241),Keys!$C$5),Keys!$C$4)</f>
        <v>0.9</v>
      </c>
      <c r="Q241">
        <f>IF($D241=1,ROUND(Keys!$C$2/(INDEX(Src_SYSHECF_nuclear!$O$5:$O$292,MATCH($C241,Src_SYSHECF_nuclear!$C$5:$C$292,0))*$E241),Keys!$C$5),Keys!$C$4)</f>
        <v>0.9</v>
      </c>
      <c r="R241">
        <f>IF($D241=1,ROUND(Keys!$C$2/(INDEX(Src_SYSHECF_nuclear!$P$5:$P$292,MATCH($C241,Src_SYSHECF_nuclear!$C$5:$C$292,0))*$E241),Keys!$C$5),Keys!$C$4)</f>
        <v>0.9</v>
      </c>
      <c r="S241">
        <f>IF($D241=1,ROUND(Keys!$C$2/(INDEX(Src_SYSHECF_nuclear!$Q$5:$Q$292,MATCH($C241,Src_SYSHECF_nuclear!$C$5:$C$292,0))*$E241),Keys!$C$5),Keys!$C$4)</f>
        <v>0.9</v>
      </c>
      <c r="T241">
        <f>IF($D241=1,ROUND(Keys!$C$2/(INDEX(Src_SYSHECF_nuclear!$R$5:$R$292,MATCH($C241,Src_SYSHECF_nuclear!$C$5:$C$292,0))*$E241),Keys!$C$5),Keys!$C$4)</f>
        <v>0.9</v>
      </c>
      <c r="U241">
        <f>IF($D241=1,ROUND(Keys!$C$2/(INDEX(Src_SYSHECF_nuclear!$S$5:$S$292,MATCH($C241,Src_SYSHECF_nuclear!$C$5:$C$292,0))*$E241),Keys!$C$5),Keys!$C$4)</f>
        <v>0.9</v>
      </c>
      <c r="V241">
        <f>IF($D241=1,ROUND(Keys!$C$2/(INDEX(Src_SYSHECF_nuclear!$T$5:$T$292,MATCH($C241,Src_SYSHECF_nuclear!$C$5:$C$292,0))*$E241),Keys!$C$5),Keys!$C$4)</f>
        <v>0.9</v>
      </c>
      <c r="W241">
        <f>IF($D241=1,ROUND(Keys!$C$2/(INDEX(Src_SYSHECF_nuclear!$U$5:$U$292,MATCH($C241,Src_SYSHECF_nuclear!$C$5:$C$292,0))*$E241),Keys!$C$5),Keys!$C$4)</f>
        <v>0.9</v>
      </c>
      <c r="X241">
        <f>IF($D241=1,ROUND(Keys!$C$2/(INDEX(Src_SYSHECF_nuclear!$V$5:$V$292,MATCH($C241,Src_SYSHECF_nuclear!$C$5:$C$292,0))*$E241),Keys!$C$5),Keys!$C$4)</f>
        <v>0.9</v>
      </c>
      <c r="Y241">
        <f>IF($D241=1,ROUND(Keys!$C$2/(INDEX(Src_SYSHECF_nuclear!$W$5:$W$292,MATCH($C241,Src_SYSHECF_nuclear!$C$5:$C$292,0))*$E241),Keys!$C$5),Keys!$C$4)</f>
        <v>0.9</v>
      </c>
      <c r="Z241">
        <f>IF($D241=1,ROUND(Keys!$C$2/(INDEX(Src_SYSHECF_nuclear!$X$5:$X$292,MATCH($C241,Src_SYSHECF_nuclear!$C$5:$C$292,0))*$E241),Keys!$C$5),Keys!$C$4)</f>
        <v>0.9</v>
      </c>
      <c r="AA241">
        <f>IF($D241=1,ROUND(Keys!$C$2/(INDEX(Src_SYSHECF_nuclear!$Y$5:$Y$292,MATCH($C241,Src_SYSHECF_nuclear!$C$5:$C$292,0))*$E241),Keys!$C$5),Keys!$C$4)</f>
        <v>0.9</v>
      </c>
      <c r="AB241">
        <f>IF($D241=1,ROUND(Keys!$C$2/(INDEX(Src_SYSHECF_nuclear!$Z$5:$Z$292,MATCH($C241,Src_SYSHECF_nuclear!$C$5:$C$292,0))*$E241),Keys!$C$5),Keys!$C$4)</f>
        <v>0.9</v>
      </c>
      <c r="AC241">
        <f>IF($D241=1,ROUND(Keys!$C$2/(INDEX(Src_SYSHECF_nuclear!$AA$5:$AA$292,MATCH($C241,Src_SYSHECF_nuclear!$C$5:$C$292,0))*$E241),Keys!$C$5),Keys!$C$4)</f>
        <v>0.9</v>
      </c>
      <c r="AE241">
        <f>IF($D241=1,IF(ABS(INDEX(Src_SYSHECF_nuclear!$D$5:$D$292,MATCH($C241,Src_SYSHECF_nuclear!$C$5:$C$292,0))*$E241*F241-Keys!$C$2)&gt;Keys!$C$6,1,0),0)</f>
        <v>0</v>
      </c>
    </row>
    <row r="242" spans="1:31" x14ac:dyDescent="0.45">
      <c r="A242" t="s">
        <v>86</v>
      </c>
      <c r="B242" t="s">
        <v>424</v>
      </c>
      <c r="C242" t="str">
        <f t="shared" si="3"/>
        <v>NY|Winter</v>
      </c>
      <c r="D242">
        <f>INDEX(Src_BHRaSYC_nuclear!$HF$5:$HF$52,MATCH($A242,Src_BHRaSYC_nuclear!$A$5:$A$52,0))</f>
        <v>1</v>
      </c>
      <c r="E242">
        <f>INDEX(Src_HYECFCA_nuclear!$B$5:$B$52,MATCH($A242,Src_HYECFCA_nuclear!$A$5:$A$52,0))</f>
        <v>1.02474</v>
      </c>
      <c r="F242">
        <f>IF($D242=1,ROUND(Keys!$C$2/(INDEX(Src_SYSHECF_nuclear!$D$5:$D$292,MATCH($C242,Src_SYSHECF_nuclear!$C$5:$C$292,0))*$E242),Keys!$C$5),Keys!$C$4)</f>
        <v>0.99990000000000001</v>
      </c>
      <c r="G242">
        <f>IF($D242=1,ROUND(Keys!$C$2/(INDEX(Src_SYSHECF_nuclear!$E$5:$E$292,MATCH($C242,Src_SYSHECF_nuclear!$C$5:$C$292,0))*$E242),Keys!$C$5),Keys!$C$4)</f>
        <v>0.99990000000000001</v>
      </c>
      <c r="H242">
        <f>IF($D242=1,ROUND(Keys!$C$2/(INDEX(Src_SYSHECF_nuclear!$F$5:$F$292,MATCH($C242,Src_SYSHECF_nuclear!$C$5:$C$292,0))*$E242),Keys!$C$5),Keys!$C$4)</f>
        <v>0.99990000000000001</v>
      </c>
      <c r="I242">
        <f>IF($D242=1,ROUND(Keys!$C$2/(INDEX(Src_SYSHECF_nuclear!$G$5:$G$292,MATCH($C242,Src_SYSHECF_nuclear!$C$5:$C$292,0))*$E242),Keys!$C$5),Keys!$C$4)</f>
        <v>0.99990000000000001</v>
      </c>
      <c r="J242">
        <f>IF($D242=1,ROUND(Keys!$C$2/(INDEX(Src_SYSHECF_nuclear!$H$5:$H$292,MATCH($C242,Src_SYSHECF_nuclear!$C$5:$C$292,0))*$E242),Keys!$C$5),Keys!$C$4)</f>
        <v>0.99990000000000001</v>
      </c>
      <c r="K242">
        <f>IF($D242=1,ROUND(Keys!$C$2/(INDEX(Src_SYSHECF_nuclear!$I$5:$I$292,MATCH($C242,Src_SYSHECF_nuclear!$C$5:$C$292,0))*$E242),Keys!$C$5),Keys!$C$4)</f>
        <v>0.99990000000000001</v>
      </c>
      <c r="L242">
        <f>IF($D242=1,ROUND(Keys!$C$2/(INDEX(Src_SYSHECF_nuclear!$J$5:$J$292,MATCH($C242,Src_SYSHECF_nuclear!$C$5:$C$292,0))*$E242),Keys!$C$5),Keys!$C$4)</f>
        <v>0.99990000000000001</v>
      </c>
      <c r="M242">
        <f>IF($D242=1,ROUND(Keys!$C$2/(INDEX(Src_SYSHECF_nuclear!$K$5:$K$292,MATCH($C242,Src_SYSHECF_nuclear!$C$5:$C$292,0))*$E242),Keys!$C$5),Keys!$C$4)</f>
        <v>0.99990000000000001</v>
      </c>
      <c r="N242">
        <f>IF($D242=1,ROUND(Keys!$C$2/(INDEX(Src_SYSHECF_nuclear!$L$5:$L$292,MATCH($C242,Src_SYSHECF_nuclear!$C$5:$C$292,0))*$E242),Keys!$C$5),Keys!$C$4)</f>
        <v>0.99990000000000001</v>
      </c>
      <c r="O242">
        <f>IF($D242=1,ROUND(Keys!$C$2/(INDEX(Src_SYSHECF_nuclear!$M$5:$M$292,MATCH($C242,Src_SYSHECF_nuclear!$C$5:$C$292,0))*$E242),Keys!$C$5),Keys!$C$4)</f>
        <v>0.99990000000000001</v>
      </c>
      <c r="P242">
        <f>IF($D242=1,ROUND(Keys!$C$2/(INDEX(Src_SYSHECF_nuclear!$N$5:$N$292,MATCH($C242,Src_SYSHECF_nuclear!$C$5:$C$292,0))*$E242),Keys!$C$5),Keys!$C$4)</f>
        <v>0.99990000000000001</v>
      </c>
      <c r="Q242">
        <f>IF($D242=1,ROUND(Keys!$C$2/(INDEX(Src_SYSHECF_nuclear!$O$5:$O$292,MATCH($C242,Src_SYSHECF_nuclear!$C$5:$C$292,0))*$E242),Keys!$C$5),Keys!$C$4)</f>
        <v>0.99990000000000001</v>
      </c>
      <c r="R242">
        <f>IF($D242=1,ROUND(Keys!$C$2/(INDEX(Src_SYSHECF_nuclear!$P$5:$P$292,MATCH($C242,Src_SYSHECF_nuclear!$C$5:$C$292,0))*$E242),Keys!$C$5),Keys!$C$4)</f>
        <v>0.99990000000000001</v>
      </c>
      <c r="S242">
        <f>IF($D242=1,ROUND(Keys!$C$2/(INDEX(Src_SYSHECF_nuclear!$Q$5:$Q$292,MATCH($C242,Src_SYSHECF_nuclear!$C$5:$C$292,0))*$E242),Keys!$C$5),Keys!$C$4)</f>
        <v>0.99990000000000001</v>
      </c>
      <c r="T242">
        <f>IF($D242=1,ROUND(Keys!$C$2/(INDEX(Src_SYSHECF_nuclear!$R$5:$R$292,MATCH($C242,Src_SYSHECF_nuclear!$C$5:$C$292,0))*$E242),Keys!$C$5),Keys!$C$4)</f>
        <v>0.99990000000000001</v>
      </c>
      <c r="U242">
        <f>IF($D242=1,ROUND(Keys!$C$2/(INDEX(Src_SYSHECF_nuclear!$S$5:$S$292,MATCH($C242,Src_SYSHECF_nuclear!$C$5:$C$292,0))*$E242),Keys!$C$5),Keys!$C$4)</f>
        <v>0.99990000000000001</v>
      </c>
      <c r="V242">
        <f>IF($D242=1,ROUND(Keys!$C$2/(INDEX(Src_SYSHECF_nuclear!$T$5:$T$292,MATCH($C242,Src_SYSHECF_nuclear!$C$5:$C$292,0))*$E242),Keys!$C$5),Keys!$C$4)</f>
        <v>0.99990000000000001</v>
      </c>
      <c r="W242">
        <f>IF($D242=1,ROUND(Keys!$C$2/(INDEX(Src_SYSHECF_nuclear!$U$5:$U$292,MATCH($C242,Src_SYSHECF_nuclear!$C$5:$C$292,0))*$E242),Keys!$C$5),Keys!$C$4)</f>
        <v>0.99990000000000001</v>
      </c>
      <c r="X242">
        <f>IF($D242=1,ROUND(Keys!$C$2/(INDEX(Src_SYSHECF_nuclear!$V$5:$V$292,MATCH($C242,Src_SYSHECF_nuclear!$C$5:$C$292,0))*$E242),Keys!$C$5),Keys!$C$4)</f>
        <v>0.99990000000000001</v>
      </c>
      <c r="Y242">
        <f>IF($D242=1,ROUND(Keys!$C$2/(INDEX(Src_SYSHECF_nuclear!$W$5:$W$292,MATCH($C242,Src_SYSHECF_nuclear!$C$5:$C$292,0))*$E242),Keys!$C$5),Keys!$C$4)</f>
        <v>0.99990000000000001</v>
      </c>
      <c r="Z242">
        <f>IF($D242=1,ROUND(Keys!$C$2/(INDEX(Src_SYSHECF_nuclear!$X$5:$X$292,MATCH($C242,Src_SYSHECF_nuclear!$C$5:$C$292,0))*$E242),Keys!$C$5),Keys!$C$4)</f>
        <v>0.99990000000000001</v>
      </c>
      <c r="AA242">
        <f>IF($D242=1,ROUND(Keys!$C$2/(INDEX(Src_SYSHECF_nuclear!$Y$5:$Y$292,MATCH($C242,Src_SYSHECF_nuclear!$C$5:$C$292,0))*$E242),Keys!$C$5),Keys!$C$4)</f>
        <v>0.99990000000000001</v>
      </c>
      <c r="AB242">
        <f>IF($D242=1,ROUND(Keys!$C$2/(INDEX(Src_SYSHECF_nuclear!$Z$5:$Z$292,MATCH($C242,Src_SYSHECF_nuclear!$C$5:$C$292,0))*$E242),Keys!$C$5),Keys!$C$4)</f>
        <v>0.99990000000000001</v>
      </c>
      <c r="AC242">
        <f>IF($D242=1,ROUND(Keys!$C$2/(INDEX(Src_SYSHECF_nuclear!$AA$5:$AA$292,MATCH($C242,Src_SYSHECF_nuclear!$C$5:$C$292,0))*$E242),Keys!$C$5),Keys!$C$4)</f>
        <v>0.99990000000000001</v>
      </c>
      <c r="AE242">
        <f>IF($D242=1,IF(ABS(INDEX(Src_SYSHECF_nuclear!$D$5:$D$292,MATCH($C242,Src_SYSHECF_nuclear!$C$5:$C$292,0))*$E242*F242-Keys!$C$2)&gt;Keys!$C$6,1,0),0)</f>
        <v>0</v>
      </c>
    </row>
    <row r="243" spans="1:31" x14ac:dyDescent="0.45">
      <c r="A243" t="s">
        <v>86</v>
      </c>
      <c r="B243" t="s">
        <v>425</v>
      </c>
      <c r="C243" t="str">
        <f t="shared" si="3"/>
        <v>NY|Spring</v>
      </c>
      <c r="D243">
        <f>INDEX(Src_BHRaSYC_nuclear!$HF$5:$HF$52,MATCH($A243,Src_BHRaSYC_nuclear!$A$5:$A$52,0))</f>
        <v>1</v>
      </c>
      <c r="E243">
        <f>INDEX(Src_HYECFCA_nuclear!$B$5:$B$52,MATCH($A243,Src_HYECFCA_nuclear!$A$5:$A$52,0))</f>
        <v>1.02474</v>
      </c>
      <c r="F243">
        <f>IF($D243=1,ROUND(Keys!$C$2/(INDEX(Src_SYSHECF_nuclear!$D$5:$D$292,MATCH($C243,Src_SYSHECF_nuclear!$C$5:$C$292,0))*$E243),Keys!$C$5),Keys!$C$4)</f>
        <v>0.99990000000000001</v>
      </c>
      <c r="G243">
        <f>IF($D243=1,ROUND(Keys!$C$2/(INDEX(Src_SYSHECF_nuclear!$E$5:$E$292,MATCH($C243,Src_SYSHECF_nuclear!$C$5:$C$292,0))*$E243),Keys!$C$5),Keys!$C$4)</f>
        <v>0.99990000000000001</v>
      </c>
      <c r="H243">
        <f>IF($D243=1,ROUND(Keys!$C$2/(INDEX(Src_SYSHECF_nuclear!$F$5:$F$292,MATCH($C243,Src_SYSHECF_nuclear!$C$5:$C$292,0))*$E243),Keys!$C$5),Keys!$C$4)</f>
        <v>0.99990000000000001</v>
      </c>
      <c r="I243">
        <f>IF($D243=1,ROUND(Keys!$C$2/(INDEX(Src_SYSHECF_nuclear!$G$5:$G$292,MATCH($C243,Src_SYSHECF_nuclear!$C$5:$C$292,0))*$E243),Keys!$C$5),Keys!$C$4)</f>
        <v>0.99990000000000001</v>
      </c>
      <c r="J243">
        <f>IF($D243=1,ROUND(Keys!$C$2/(INDEX(Src_SYSHECF_nuclear!$H$5:$H$292,MATCH($C243,Src_SYSHECF_nuclear!$C$5:$C$292,0))*$E243),Keys!$C$5),Keys!$C$4)</f>
        <v>0.99990000000000001</v>
      </c>
      <c r="K243">
        <f>IF($D243=1,ROUND(Keys!$C$2/(INDEX(Src_SYSHECF_nuclear!$I$5:$I$292,MATCH($C243,Src_SYSHECF_nuclear!$C$5:$C$292,0))*$E243),Keys!$C$5),Keys!$C$4)</f>
        <v>0.99990000000000001</v>
      </c>
      <c r="L243">
        <f>IF($D243=1,ROUND(Keys!$C$2/(INDEX(Src_SYSHECF_nuclear!$J$5:$J$292,MATCH($C243,Src_SYSHECF_nuclear!$C$5:$C$292,0))*$E243),Keys!$C$5),Keys!$C$4)</f>
        <v>1.0009999999999999</v>
      </c>
      <c r="M243">
        <f>IF($D243=1,ROUND(Keys!$C$2/(INDEX(Src_SYSHECF_nuclear!$K$5:$K$292,MATCH($C243,Src_SYSHECF_nuclear!$C$5:$C$292,0))*$E243),Keys!$C$5),Keys!$C$4)</f>
        <v>0.99990000000000001</v>
      </c>
      <c r="N243">
        <f>IF($D243=1,ROUND(Keys!$C$2/(INDEX(Src_SYSHECF_nuclear!$L$5:$L$292,MATCH($C243,Src_SYSHECF_nuclear!$C$5:$C$292,0))*$E243),Keys!$C$5),Keys!$C$4)</f>
        <v>0.99990000000000001</v>
      </c>
      <c r="O243">
        <f>IF($D243=1,ROUND(Keys!$C$2/(INDEX(Src_SYSHECF_nuclear!$M$5:$M$292,MATCH($C243,Src_SYSHECF_nuclear!$C$5:$C$292,0))*$E243),Keys!$C$5),Keys!$C$4)</f>
        <v>0.99990000000000001</v>
      </c>
      <c r="P243">
        <f>IF($D243=1,ROUND(Keys!$C$2/(INDEX(Src_SYSHECF_nuclear!$N$5:$N$292,MATCH($C243,Src_SYSHECF_nuclear!$C$5:$C$292,0))*$E243),Keys!$C$5),Keys!$C$4)</f>
        <v>0.99990000000000001</v>
      </c>
      <c r="Q243">
        <f>IF($D243=1,ROUND(Keys!$C$2/(INDEX(Src_SYSHECF_nuclear!$O$5:$O$292,MATCH($C243,Src_SYSHECF_nuclear!$C$5:$C$292,0))*$E243),Keys!$C$5),Keys!$C$4)</f>
        <v>0.99990000000000001</v>
      </c>
      <c r="R243">
        <f>IF($D243=1,ROUND(Keys!$C$2/(INDEX(Src_SYSHECF_nuclear!$P$5:$P$292,MATCH($C243,Src_SYSHECF_nuclear!$C$5:$C$292,0))*$E243),Keys!$C$5),Keys!$C$4)</f>
        <v>0.99990000000000001</v>
      </c>
      <c r="S243">
        <f>IF($D243=1,ROUND(Keys!$C$2/(INDEX(Src_SYSHECF_nuclear!$Q$5:$Q$292,MATCH($C243,Src_SYSHECF_nuclear!$C$5:$C$292,0))*$E243),Keys!$C$5),Keys!$C$4)</f>
        <v>0.99990000000000001</v>
      </c>
      <c r="T243">
        <f>IF($D243=1,ROUND(Keys!$C$2/(INDEX(Src_SYSHECF_nuclear!$R$5:$R$292,MATCH($C243,Src_SYSHECF_nuclear!$C$5:$C$292,0))*$E243),Keys!$C$5),Keys!$C$4)</f>
        <v>0.99990000000000001</v>
      </c>
      <c r="U243">
        <f>IF($D243=1,ROUND(Keys!$C$2/(INDEX(Src_SYSHECF_nuclear!$S$5:$S$292,MATCH($C243,Src_SYSHECF_nuclear!$C$5:$C$292,0))*$E243),Keys!$C$5),Keys!$C$4)</f>
        <v>0.99990000000000001</v>
      </c>
      <c r="V243">
        <f>IF($D243=1,ROUND(Keys!$C$2/(INDEX(Src_SYSHECF_nuclear!$T$5:$T$292,MATCH($C243,Src_SYSHECF_nuclear!$C$5:$C$292,0))*$E243),Keys!$C$5),Keys!$C$4)</f>
        <v>0.99990000000000001</v>
      </c>
      <c r="W243">
        <f>IF($D243=1,ROUND(Keys!$C$2/(INDEX(Src_SYSHECF_nuclear!$U$5:$U$292,MATCH($C243,Src_SYSHECF_nuclear!$C$5:$C$292,0))*$E243),Keys!$C$5),Keys!$C$4)</f>
        <v>0.99990000000000001</v>
      </c>
      <c r="X243">
        <f>IF($D243=1,ROUND(Keys!$C$2/(INDEX(Src_SYSHECF_nuclear!$V$5:$V$292,MATCH($C243,Src_SYSHECF_nuclear!$C$5:$C$292,0))*$E243),Keys!$C$5),Keys!$C$4)</f>
        <v>0.99990000000000001</v>
      </c>
      <c r="Y243">
        <f>IF($D243=1,ROUND(Keys!$C$2/(INDEX(Src_SYSHECF_nuclear!$W$5:$W$292,MATCH($C243,Src_SYSHECF_nuclear!$C$5:$C$292,0))*$E243),Keys!$C$5),Keys!$C$4)</f>
        <v>0.99990000000000001</v>
      </c>
      <c r="Z243">
        <f>IF($D243=1,ROUND(Keys!$C$2/(INDEX(Src_SYSHECF_nuclear!$X$5:$X$292,MATCH($C243,Src_SYSHECF_nuclear!$C$5:$C$292,0))*$E243),Keys!$C$5),Keys!$C$4)</f>
        <v>0.99990000000000001</v>
      </c>
      <c r="AA243">
        <f>IF($D243=1,ROUND(Keys!$C$2/(INDEX(Src_SYSHECF_nuclear!$Y$5:$Y$292,MATCH($C243,Src_SYSHECF_nuclear!$C$5:$C$292,0))*$E243),Keys!$C$5),Keys!$C$4)</f>
        <v>0.99990000000000001</v>
      </c>
      <c r="AB243">
        <f>IF($D243=1,ROUND(Keys!$C$2/(INDEX(Src_SYSHECF_nuclear!$Z$5:$Z$292,MATCH($C243,Src_SYSHECF_nuclear!$C$5:$C$292,0))*$E243),Keys!$C$5),Keys!$C$4)</f>
        <v>0.99990000000000001</v>
      </c>
      <c r="AC243">
        <f>IF($D243=1,ROUND(Keys!$C$2/(INDEX(Src_SYSHECF_nuclear!$AA$5:$AA$292,MATCH($C243,Src_SYSHECF_nuclear!$C$5:$C$292,0))*$E243),Keys!$C$5),Keys!$C$4)</f>
        <v>0.99990000000000001</v>
      </c>
      <c r="AE243">
        <f>IF($D243=1,IF(ABS(INDEX(Src_SYSHECF_nuclear!$D$5:$D$292,MATCH($C243,Src_SYSHECF_nuclear!$C$5:$C$292,0))*$E243*F243-Keys!$C$2)&gt;Keys!$C$6,1,0),0)</f>
        <v>0</v>
      </c>
    </row>
    <row r="244" spans="1:31" x14ac:dyDescent="0.45">
      <c r="A244" t="s">
        <v>86</v>
      </c>
      <c r="B244" t="s">
        <v>426</v>
      </c>
      <c r="C244" t="str">
        <f t="shared" si="3"/>
        <v>NY|Summer</v>
      </c>
      <c r="D244">
        <f>INDEX(Src_BHRaSYC_nuclear!$HF$5:$HF$52,MATCH($A244,Src_BHRaSYC_nuclear!$A$5:$A$52,0))</f>
        <v>1</v>
      </c>
      <c r="E244">
        <f>INDEX(Src_HYECFCA_nuclear!$B$5:$B$52,MATCH($A244,Src_HYECFCA_nuclear!$A$5:$A$52,0))</f>
        <v>1.02474</v>
      </c>
      <c r="F244">
        <f>IF($D244=1,ROUND(Keys!$C$2/(INDEX(Src_SYSHECF_nuclear!$D$5:$D$292,MATCH($C244,Src_SYSHECF_nuclear!$C$5:$C$292,0))*$E244),Keys!$C$5),Keys!$C$4)</f>
        <v>1.0013000000000001</v>
      </c>
      <c r="G244">
        <f>IF($D244=1,ROUND(Keys!$C$2/(INDEX(Src_SYSHECF_nuclear!$E$5:$E$292,MATCH($C244,Src_SYSHECF_nuclear!$C$5:$C$292,0))*$E244),Keys!$C$5),Keys!$C$4)</f>
        <v>0.99990000000000001</v>
      </c>
      <c r="H244">
        <f>IF($D244=1,ROUND(Keys!$C$2/(INDEX(Src_SYSHECF_nuclear!$F$5:$F$292,MATCH($C244,Src_SYSHECF_nuclear!$C$5:$C$292,0))*$E244),Keys!$C$5),Keys!$C$4)</f>
        <v>0.99990000000000001</v>
      </c>
      <c r="I244">
        <f>IF($D244=1,ROUND(Keys!$C$2/(INDEX(Src_SYSHECF_nuclear!$G$5:$G$292,MATCH($C244,Src_SYSHECF_nuclear!$C$5:$C$292,0))*$E244),Keys!$C$5),Keys!$C$4)</f>
        <v>0.99990000000000001</v>
      </c>
      <c r="J244">
        <f>IF($D244=1,ROUND(Keys!$C$2/(INDEX(Src_SYSHECF_nuclear!$H$5:$H$292,MATCH($C244,Src_SYSHECF_nuclear!$C$5:$C$292,0))*$E244),Keys!$C$5),Keys!$C$4)</f>
        <v>0.99990000000000001</v>
      </c>
      <c r="K244">
        <f>IF($D244=1,ROUND(Keys!$C$2/(INDEX(Src_SYSHECF_nuclear!$I$5:$I$292,MATCH($C244,Src_SYSHECF_nuclear!$C$5:$C$292,0))*$E244),Keys!$C$5),Keys!$C$4)</f>
        <v>0.99990000000000001</v>
      </c>
      <c r="L244">
        <f>IF($D244=1,ROUND(Keys!$C$2/(INDEX(Src_SYSHECF_nuclear!$J$5:$J$292,MATCH($C244,Src_SYSHECF_nuclear!$C$5:$C$292,0))*$E244),Keys!$C$5),Keys!$C$4)</f>
        <v>1.0053000000000001</v>
      </c>
      <c r="M244">
        <f>IF($D244=1,ROUND(Keys!$C$2/(INDEX(Src_SYSHECF_nuclear!$K$5:$K$292,MATCH($C244,Src_SYSHECF_nuclear!$C$5:$C$292,0))*$E244),Keys!$C$5),Keys!$C$4)</f>
        <v>1.0029999999999999</v>
      </c>
      <c r="N244">
        <f>IF($D244=1,ROUND(Keys!$C$2/(INDEX(Src_SYSHECF_nuclear!$L$5:$L$292,MATCH($C244,Src_SYSHECF_nuclear!$C$5:$C$292,0))*$E244),Keys!$C$5),Keys!$C$4)</f>
        <v>0.99990000000000001</v>
      </c>
      <c r="O244">
        <f>IF($D244=1,ROUND(Keys!$C$2/(INDEX(Src_SYSHECF_nuclear!$M$5:$M$292,MATCH($C244,Src_SYSHECF_nuclear!$C$5:$C$292,0))*$E244),Keys!$C$5),Keys!$C$4)</f>
        <v>0.99990000000000001</v>
      </c>
      <c r="P244">
        <f>IF($D244=1,ROUND(Keys!$C$2/(INDEX(Src_SYSHECF_nuclear!$N$5:$N$292,MATCH($C244,Src_SYSHECF_nuclear!$C$5:$C$292,0))*$E244),Keys!$C$5),Keys!$C$4)</f>
        <v>0.99990000000000001</v>
      </c>
      <c r="Q244">
        <f>IF($D244=1,ROUND(Keys!$C$2/(INDEX(Src_SYSHECF_nuclear!$O$5:$O$292,MATCH($C244,Src_SYSHECF_nuclear!$C$5:$C$292,0))*$E244),Keys!$C$5),Keys!$C$4)</f>
        <v>0.99990000000000001</v>
      </c>
      <c r="R244">
        <f>IF($D244=1,ROUND(Keys!$C$2/(INDEX(Src_SYSHECF_nuclear!$P$5:$P$292,MATCH($C244,Src_SYSHECF_nuclear!$C$5:$C$292,0))*$E244),Keys!$C$5),Keys!$C$4)</f>
        <v>0.99990000000000001</v>
      </c>
      <c r="S244">
        <f>IF($D244=1,ROUND(Keys!$C$2/(INDEX(Src_SYSHECF_nuclear!$Q$5:$Q$292,MATCH($C244,Src_SYSHECF_nuclear!$C$5:$C$292,0))*$E244),Keys!$C$5),Keys!$C$4)</f>
        <v>0.99990000000000001</v>
      </c>
      <c r="T244">
        <f>IF($D244=1,ROUND(Keys!$C$2/(INDEX(Src_SYSHECF_nuclear!$R$5:$R$292,MATCH($C244,Src_SYSHECF_nuclear!$C$5:$C$292,0))*$E244),Keys!$C$5),Keys!$C$4)</f>
        <v>0.99990000000000001</v>
      </c>
      <c r="U244">
        <f>IF($D244=1,ROUND(Keys!$C$2/(INDEX(Src_SYSHECF_nuclear!$S$5:$S$292,MATCH($C244,Src_SYSHECF_nuclear!$C$5:$C$292,0))*$E244),Keys!$C$5),Keys!$C$4)</f>
        <v>0.99990000000000001</v>
      </c>
      <c r="V244">
        <f>IF($D244=1,ROUND(Keys!$C$2/(INDEX(Src_SYSHECF_nuclear!$T$5:$T$292,MATCH($C244,Src_SYSHECF_nuclear!$C$5:$C$292,0))*$E244),Keys!$C$5),Keys!$C$4)</f>
        <v>0.99990000000000001</v>
      </c>
      <c r="W244">
        <f>IF($D244=1,ROUND(Keys!$C$2/(INDEX(Src_SYSHECF_nuclear!$U$5:$U$292,MATCH($C244,Src_SYSHECF_nuclear!$C$5:$C$292,0))*$E244),Keys!$C$5),Keys!$C$4)</f>
        <v>0.99990000000000001</v>
      </c>
      <c r="X244">
        <f>IF($D244=1,ROUND(Keys!$C$2/(INDEX(Src_SYSHECF_nuclear!$V$5:$V$292,MATCH($C244,Src_SYSHECF_nuclear!$C$5:$C$292,0))*$E244),Keys!$C$5),Keys!$C$4)</f>
        <v>0.99990000000000001</v>
      </c>
      <c r="Y244">
        <f>IF($D244=1,ROUND(Keys!$C$2/(INDEX(Src_SYSHECF_nuclear!$W$5:$W$292,MATCH($C244,Src_SYSHECF_nuclear!$C$5:$C$292,0))*$E244),Keys!$C$5),Keys!$C$4)</f>
        <v>0.99990000000000001</v>
      </c>
      <c r="Z244">
        <f>IF($D244=1,ROUND(Keys!$C$2/(INDEX(Src_SYSHECF_nuclear!$X$5:$X$292,MATCH($C244,Src_SYSHECF_nuclear!$C$5:$C$292,0))*$E244),Keys!$C$5),Keys!$C$4)</f>
        <v>0.99990000000000001</v>
      </c>
      <c r="AA244">
        <f>IF($D244=1,ROUND(Keys!$C$2/(INDEX(Src_SYSHECF_nuclear!$Y$5:$Y$292,MATCH($C244,Src_SYSHECF_nuclear!$C$5:$C$292,0))*$E244),Keys!$C$5),Keys!$C$4)</f>
        <v>0.99990000000000001</v>
      </c>
      <c r="AB244">
        <f>IF($D244=1,ROUND(Keys!$C$2/(INDEX(Src_SYSHECF_nuclear!$Z$5:$Z$292,MATCH($C244,Src_SYSHECF_nuclear!$C$5:$C$292,0))*$E244),Keys!$C$5),Keys!$C$4)</f>
        <v>0.99990000000000001</v>
      </c>
      <c r="AC244">
        <f>IF($D244=1,ROUND(Keys!$C$2/(INDEX(Src_SYSHECF_nuclear!$AA$5:$AA$292,MATCH($C244,Src_SYSHECF_nuclear!$C$5:$C$292,0))*$E244),Keys!$C$5),Keys!$C$4)</f>
        <v>0.99990000000000001</v>
      </c>
      <c r="AE244">
        <f>IF($D244=1,IF(ABS(INDEX(Src_SYSHECF_nuclear!$D$5:$D$292,MATCH($C244,Src_SYSHECF_nuclear!$C$5:$C$292,0))*$E244*F244-Keys!$C$2)&gt;Keys!$C$6,1,0),0)</f>
        <v>0</v>
      </c>
    </row>
    <row r="245" spans="1:31" x14ac:dyDescent="0.45">
      <c r="A245" t="s">
        <v>86</v>
      </c>
      <c r="B245" t="s">
        <v>427</v>
      </c>
      <c r="C245" t="str">
        <f t="shared" si="3"/>
        <v>NY|Fall</v>
      </c>
      <c r="D245">
        <f>INDEX(Src_BHRaSYC_nuclear!$HF$5:$HF$52,MATCH($A245,Src_BHRaSYC_nuclear!$A$5:$A$52,0))</f>
        <v>1</v>
      </c>
      <c r="E245">
        <f>INDEX(Src_HYECFCA_nuclear!$B$5:$B$52,MATCH($A245,Src_HYECFCA_nuclear!$A$5:$A$52,0))</f>
        <v>1.02474</v>
      </c>
      <c r="F245">
        <f>IF($D245=1,ROUND(Keys!$C$2/(INDEX(Src_SYSHECF_nuclear!$D$5:$D$292,MATCH($C245,Src_SYSHECF_nuclear!$C$5:$C$292,0))*$E245),Keys!$C$5),Keys!$C$4)</f>
        <v>0.99990000000000001</v>
      </c>
      <c r="G245">
        <f>IF($D245=1,ROUND(Keys!$C$2/(INDEX(Src_SYSHECF_nuclear!$E$5:$E$292,MATCH($C245,Src_SYSHECF_nuclear!$C$5:$C$292,0))*$E245),Keys!$C$5),Keys!$C$4)</f>
        <v>0.99990000000000001</v>
      </c>
      <c r="H245">
        <f>IF($D245=1,ROUND(Keys!$C$2/(INDEX(Src_SYSHECF_nuclear!$F$5:$F$292,MATCH($C245,Src_SYSHECF_nuclear!$C$5:$C$292,0))*$E245),Keys!$C$5),Keys!$C$4)</f>
        <v>0.99990000000000001</v>
      </c>
      <c r="I245">
        <f>IF($D245=1,ROUND(Keys!$C$2/(INDEX(Src_SYSHECF_nuclear!$G$5:$G$292,MATCH($C245,Src_SYSHECF_nuclear!$C$5:$C$292,0))*$E245),Keys!$C$5),Keys!$C$4)</f>
        <v>0.99990000000000001</v>
      </c>
      <c r="J245">
        <f>IF($D245=1,ROUND(Keys!$C$2/(INDEX(Src_SYSHECF_nuclear!$H$5:$H$292,MATCH($C245,Src_SYSHECF_nuclear!$C$5:$C$292,0))*$E245),Keys!$C$5),Keys!$C$4)</f>
        <v>0.99990000000000001</v>
      </c>
      <c r="K245">
        <f>IF($D245=1,ROUND(Keys!$C$2/(INDEX(Src_SYSHECF_nuclear!$I$5:$I$292,MATCH($C245,Src_SYSHECF_nuclear!$C$5:$C$292,0))*$E245),Keys!$C$5),Keys!$C$4)</f>
        <v>0.99990000000000001</v>
      </c>
      <c r="L245">
        <f>IF($D245=1,ROUND(Keys!$C$2/(INDEX(Src_SYSHECF_nuclear!$J$5:$J$292,MATCH($C245,Src_SYSHECF_nuclear!$C$5:$C$292,0))*$E245),Keys!$C$5),Keys!$C$4)</f>
        <v>0.99990000000000001</v>
      </c>
      <c r="M245">
        <f>IF($D245=1,ROUND(Keys!$C$2/(INDEX(Src_SYSHECF_nuclear!$K$5:$K$292,MATCH($C245,Src_SYSHECF_nuclear!$C$5:$C$292,0))*$E245),Keys!$C$5),Keys!$C$4)</f>
        <v>0.99990000000000001</v>
      </c>
      <c r="N245">
        <f>IF($D245=1,ROUND(Keys!$C$2/(INDEX(Src_SYSHECF_nuclear!$L$5:$L$292,MATCH($C245,Src_SYSHECF_nuclear!$C$5:$C$292,0))*$E245),Keys!$C$5),Keys!$C$4)</f>
        <v>0.99990000000000001</v>
      </c>
      <c r="O245">
        <f>IF($D245=1,ROUND(Keys!$C$2/(INDEX(Src_SYSHECF_nuclear!$M$5:$M$292,MATCH($C245,Src_SYSHECF_nuclear!$C$5:$C$292,0))*$E245),Keys!$C$5),Keys!$C$4)</f>
        <v>0.99990000000000001</v>
      </c>
      <c r="P245">
        <f>IF($D245=1,ROUND(Keys!$C$2/(INDEX(Src_SYSHECF_nuclear!$N$5:$N$292,MATCH($C245,Src_SYSHECF_nuclear!$C$5:$C$292,0))*$E245),Keys!$C$5),Keys!$C$4)</f>
        <v>0.99990000000000001</v>
      </c>
      <c r="Q245">
        <f>IF($D245=1,ROUND(Keys!$C$2/(INDEX(Src_SYSHECF_nuclear!$O$5:$O$292,MATCH($C245,Src_SYSHECF_nuclear!$C$5:$C$292,0))*$E245),Keys!$C$5),Keys!$C$4)</f>
        <v>0.99990000000000001</v>
      </c>
      <c r="R245">
        <f>IF($D245=1,ROUND(Keys!$C$2/(INDEX(Src_SYSHECF_nuclear!$P$5:$P$292,MATCH($C245,Src_SYSHECF_nuclear!$C$5:$C$292,0))*$E245),Keys!$C$5),Keys!$C$4)</f>
        <v>0.99990000000000001</v>
      </c>
      <c r="S245">
        <f>IF($D245=1,ROUND(Keys!$C$2/(INDEX(Src_SYSHECF_nuclear!$Q$5:$Q$292,MATCH($C245,Src_SYSHECF_nuclear!$C$5:$C$292,0))*$E245),Keys!$C$5),Keys!$C$4)</f>
        <v>0.99990000000000001</v>
      </c>
      <c r="T245">
        <f>IF($D245=1,ROUND(Keys!$C$2/(INDEX(Src_SYSHECF_nuclear!$R$5:$R$292,MATCH($C245,Src_SYSHECF_nuclear!$C$5:$C$292,0))*$E245),Keys!$C$5),Keys!$C$4)</f>
        <v>0.99990000000000001</v>
      </c>
      <c r="U245">
        <f>IF($D245=1,ROUND(Keys!$C$2/(INDEX(Src_SYSHECF_nuclear!$S$5:$S$292,MATCH($C245,Src_SYSHECF_nuclear!$C$5:$C$292,0))*$E245),Keys!$C$5),Keys!$C$4)</f>
        <v>0.99990000000000001</v>
      </c>
      <c r="V245">
        <f>IF($D245=1,ROUND(Keys!$C$2/(INDEX(Src_SYSHECF_nuclear!$T$5:$T$292,MATCH($C245,Src_SYSHECF_nuclear!$C$5:$C$292,0))*$E245),Keys!$C$5),Keys!$C$4)</f>
        <v>0.99990000000000001</v>
      </c>
      <c r="W245">
        <f>IF($D245=1,ROUND(Keys!$C$2/(INDEX(Src_SYSHECF_nuclear!$U$5:$U$292,MATCH($C245,Src_SYSHECF_nuclear!$C$5:$C$292,0))*$E245),Keys!$C$5),Keys!$C$4)</f>
        <v>0.99990000000000001</v>
      </c>
      <c r="X245">
        <f>IF($D245=1,ROUND(Keys!$C$2/(INDEX(Src_SYSHECF_nuclear!$V$5:$V$292,MATCH($C245,Src_SYSHECF_nuclear!$C$5:$C$292,0))*$E245),Keys!$C$5),Keys!$C$4)</f>
        <v>0.99990000000000001</v>
      </c>
      <c r="Y245">
        <f>IF($D245=1,ROUND(Keys!$C$2/(INDEX(Src_SYSHECF_nuclear!$W$5:$W$292,MATCH($C245,Src_SYSHECF_nuclear!$C$5:$C$292,0))*$E245),Keys!$C$5),Keys!$C$4)</f>
        <v>0.99990000000000001</v>
      </c>
      <c r="Z245">
        <f>IF($D245=1,ROUND(Keys!$C$2/(INDEX(Src_SYSHECF_nuclear!$X$5:$X$292,MATCH($C245,Src_SYSHECF_nuclear!$C$5:$C$292,0))*$E245),Keys!$C$5),Keys!$C$4)</f>
        <v>0.99990000000000001</v>
      </c>
      <c r="AA245">
        <f>IF($D245=1,ROUND(Keys!$C$2/(INDEX(Src_SYSHECF_nuclear!$Y$5:$Y$292,MATCH($C245,Src_SYSHECF_nuclear!$C$5:$C$292,0))*$E245),Keys!$C$5),Keys!$C$4)</f>
        <v>0.99990000000000001</v>
      </c>
      <c r="AB245">
        <f>IF($D245=1,ROUND(Keys!$C$2/(INDEX(Src_SYSHECF_nuclear!$Z$5:$Z$292,MATCH($C245,Src_SYSHECF_nuclear!$C$5:$C$292,0))*$E245),Keys!$C$5),Keys!$C$4)</f>
        <v>0.99990000000000001</v>
      </c>
      <c r="AC245">
        <f>IF($D245=1,ROUND(Keys!$C$2/(INDEX(Src_SYSHECF_nuclear!$AA$5:$AA$292,MATCH($C245,Src_SYSHECF_nuclear!$C$5:$C$292,0))*$E245),Keys!$C$5),Keys!$C$4)</f>
        <v>0.99990000000000001</v>
      </c>
      <c r="AE245">
        <f>IF($D245=1,IF(ABS(INDEX(Src_SYSHECF_nuclear!$D$5:$D$292,MATCH($C245,Src_SYSHECF_nuclear!$C$5:$C$292,0))*$E245*F245-Keys!$C$2)&gt;Keys!$C$6,1,0),0)</f>
        <v>0</v>
      </c>
    </row>
    <row r="246" spans="1:31" x14ac:dyDescent="0.45">
      <c r="A246" t="s">
        <v>86</v>
      </c>
      <c r="B246" t="s">
        <v>428</v>
      </c>
      <c r="C246" t="str">
        <f t="shared" si="3"/>
        <v>NY|Summer Peak</v>
      </c>
      <c r="D246">
        <f>INDEX(Src_BHRaSYC_nuclear!$HF$5:$HF$52,MATCH($A246,Src_BHRaSYC_nuclear!$A$5:$A$52,0))</f>
        <v>1</v>
      </c>
      <c r="E246">
        <f>INDEX(Src_HYECFCA_nuclear!$B$5:$B$52,MATCH($A246,Src_HYECFCA_nuclear!$A$5:$A$52,0))</f>
        <v>1.02474</v>
      </c>
      <c r="F246">
        <f>IF($D246=1,ROUND(Keys!$C$2/(INDEX(Src_SYSHECF_nuclear!$D$5:$D$292,MATCH($C246,Src_SYSHECF_nuclear!$C$5:$C$292,0))*$E246),Keys!$C$5),Keys!$C$4)</f>
        <v>0.99990000000000001</v>
      </c>
      <c r="G246">
        <f>IF($D246=1,ROUND(Keys!$C$2/(INDEX(Src_SYSHECF_nuclear!$E$5:$E$292,MATCH($C246,Src_SYSHECF_nuclear!$C$5:$C$292,0))*$E246),Keys!$C$5),Keys!$C$4)</f>
        <v>0.99990000000000001</v>
      </c>
      <c r="H246">
        <f>IF($D246=1,ROUND(Keys!$C$2/(INDEX(Src_SYSHECF_nuclear!$F$5:$F$292,MATCH($C246,Src_SYSHECF_nuclear!$C$5:$C$292,0))*$E246),Keys!$C$5),Keys!$C$4)</f>
        <v>0.99990000000000001</v>
      </c>
      <c r="I246">
        <f>IF($D246=1,ROUND(Keys!$C$2/(INDEX(Src_SYSHECF_nuclear!$G$5:$G$292,MATCH($C246,Src_SYSHECF_nuclear!$C$5:$C$292,0))*$E246),Keys!$C$5),Keys!$C$4)</f>
        <v>0.99990000000000001</v>
      </c>
      <c r="J246">
        <f>IF($D246=1,ROUND(Keys!$C$2/(INDEX(Src_SYSHECF_nuclear!$H$5:$H$292,MATCH($C246,Src_SYSHECF_nuclear!$C$5:$C$292,0))*$E246),Keys!$C$5),Keys!$C$4)</f>
        <v>0.99990000000000001</v>
      </c>
      <c r="K246">
        <f>IF($D246=1,ROUND(Keys!$C$2/(INDEX(Src_SYSHECF_nuclear!$I$5:$I$292,MATCH($C246,Src_SYSHECF_nuclear!$C$5:$C$292,0))*$E246),Keys!$C$5),Keys!$C$4)</f>
        <v>0.99990000000000001</v>
      </c>
      <c r="L246">
        <f>IF($D246=1,ROUND(Keys!$C$2/(INDEX(Src_SYSHECF_nuclear!$J$5:$J$292,MATCH($C246,Src_SYSHECF_nuclear!$C$5:$C$292,0))*$E246),Keys!$C$5),Keys!$C$4)</f>
        <v>0.99990000000000001</v>
      </c>
      <c r="M246">
        <f>IF($D246=1,ROUND(Keys!$C$2/(INDEX(Src_SYSHECF_nuclear!$K$5:$K$292,MATCH($C246,Src_SYSHECF_nuclear!$C$5:$C$292,0))*$E246),Keys!$C$5),Keys!$C$4)</f>
        <v>0.99990000000000001</v>
      </c>
      <c r="N246">
        <f>IF($D246=1,ROUND(Keys!$C$2/(INDEX(Src_SYSHECF_nuclear!$L$5:$L$292,MATCH($C246,Src_SYSHECF_nuclear!$C$5:$C$292,0))*$E246),Keys!$C$5),Keys!$C$4)</f>
        <v>0.99990000000000001</v>
      </c>
      <c r="O246">
        <f>IF($D246=1,ROUND(Keys!$C$2/(INDEX(Src_SYSHECF_nuclear!$M$5:$M$292,MATCH($C246,Src_SYSHECF_nuclear!$C$5:$C$292,0))*$E246),Keys!$C$5),Keys!$C$4)</f>
        <v>0.99990000000000001</v>
      </c>
      <c r="P246">
        <f>IF($D246=1,ROUND(Keys!$C$2/(INDEX(Src_SYSHECF_nuclear!$N$5:$N$292,MATCH($C246,Src_SYSHECF_nuclear!$C$5:$C$292,0))*$E246),Keys!$C$5),Keys!$C$4)</f>
        <v>0.99990000000000001</v>
      </c>
      <c r="Q246">
        <f>IF($D246=1,ROUND(Keys!$C$2/(INDEX(Src_SYSHECF_nuclear!$O$5:$O$292,MATCH($C246,Src_SYSHECF_nuclear!$C$5:$C$292,0))*$E246),Keys!$C$5),Keys!$C$4)</f>
        <v>0.99990000000000001</v>
      </c>
      <c r="R246">
        <f>IF($D246=1,ROUND(Keys!$C$2/(INDEX(Src_SYSHECF_nuclear!$P$5:$P$292,MATCH($C246,Src_SYSHECF_nuclear!$C$5:$C$292,0))*$E246),Keys!$C$5),Keys!$C$4)</f>
        <v>0.99990000000000001</v>
      </c>
      <c r="S246">
        <f>IF($D246=1,ROUND(Keys!$C$2/(INDEX(Src_SYSHECF_nuclear!$Q$5:$Q$292,MATCH($C246,Src_SYSHECF_nuclear!$C$5:$C$292,0))*$E246),Keys!$C$5),Keys!$C$4)</f>
        <v>0.99990000000000001</v>
      </c>
      <c r="T246">
        <f>IF($D246=1,ROUND(Keys!$C$2/(INDEX(Src_SYSHECF_nuclear!$R$5:$R$292,MATCH($C246,Src_SYSHECF_nuclear!$C$5:$C$292,0))*$E246),Keys!$C$5),Keys!$C$4)</f>
        <v>0.99990000000000001</v>
      </c>
      <c r="U246">
        <f>IF($D246=1,ROUND(Keys!$C$2/(INDEX(Src_SYSHECF_nuclear!$S$5:$S$292,MATCH($C246,Src_SYSHECF_nuclear!$C$5:$C$292,0))*$E246),Keys!$C$5),Keys!$C$4)</f>
        <v>0.99990000000000001</v>
      </c>
      <c r="V246">
        <f>IF($D246=1,ROUND(Keys!$C$2/(INDEX(Src_SYSHECF_nuclear!$T$5:$T$292,MATCH($C246,Src_SYSHECF_nuclear!$C$5:$C$292,0))*$E246),Keys!$C$5),Keys!$C$4)</f>
        <v>0.99990000000000001</v>
      </c>
      <c r="W246">
        <f>IF($D246=1,ROUND(Keys!$C$2/(INDEX(Src_SYSHECF_nuclear!$U$5:$U$292,MATCH($C246,Src_SYSHECF_nuclear!$C$5:$C$292,0))*$E246),Keys!$C$5),Keys!$C$4)</f>
        <v>0.99990000000000001</v>
      </c>
      <c r="X246">
        <f>IF($D246=1,ROUND(Keys!$C$2/(INDEX(Src_SYSHECF_nuclear!$V$5:$V$292,MATCH($C246,Src_SYSHECF_nuclear!$C$5:$C$292,0))*$E246),Keys!$C$5),Keys!$C$4)</f>
        <v>0.99990000000000001</v>
      </c>
      <c r="Y246">
        <f>IF($D246=1,ROUND(Keys!$C$2/(INDEX(Src_SYSHECF_nuclear!$W$5:$W$292,MATCH($C246,Src_SYSHECF_nuclear!$C$5:$C$292,0))*$E246),Keys!$C$5),Keys!$C$4)</f>
        <v>0.99990000000000001</v>
      </c>
      <c r="Z246">
        <f>IF($D246=1,ROUND(Keys!$C$2/(INDEX(Src_SYSHECF_nuclear!$X$5:$X$292,MATCH($C246,Src_SYSHECF_nuclear!$C$5:$C$292,0))*$E246),Keys!$C$5),Keys!$C$4)</f>
        <v>0.99990000000000001</v>
      </c>
      <c r="AA246">
        <f>IF($D246=1,ROUND(Keys!$C$2/(INDEX(Src_SYSHECF_nuclear!$Y$5:$Y$292,MATCH($C246,Src_SYSHECF_nuclear!$C$5:$C$292,0))*$E246),Keys!$C$5),Keys!$C$4)</f>
        <v>0.99990000000000001</v>
      </c>
      <c r="AB246">
        <f>IF($D246=1,ROUND(Keys!$C$2/(INDEX(Src_SYSHECF_nuclear!$Z$5:$Z$292,MATCH($C246,Src_SYSHECF_nuclear!$C$5:$C$292,0))*$E246),Keys!$C$5),Keys!$C$4)</f>
        <v>0.99990000000000001</v>
      </c>
      <c r="AC246">
        <f>IF($D246=1,ROUND(Keys!$C$2/(INDEX(Src_SYSHECF_nuclear!$AA$5:$AA$292,MATCH($C246,Src_SYSHECF_nuclear!$C$5:$C$292,0))*$E246),Keys!$C$5),Keys!$C$4)</f>
        <v>0.99990000000000001</v>
      </c>
      <c r="AE246">
        <f>IF($D246=1,IF(ABS(INDEX(Src_SYSHECF_nuclear!$D$5:$D$292,MATCH($C246,Src_SYSHECF_nuclear!$C$5:$C$292,0))*$E246*F246-Keys!$C$2)&gt;Keys!$C$6,1,0),0)</f>
        <v>0</v>
      </c>
    </row>
    <row r="247" spans="1:31" x14ac:dyDescent="0.45">
      <c r="A247" t="s">
        <v>86</v>
      </c>
      <c r="B247" t="s">
        <v>429</v>
      </c>
      <c r="C247" t="str">
        <f t="shared" si="3"/>
        <v>NY|Winter Peak</v>
      </c>
      <c r="D247">
        <f>INDEX(Src_BHRaSYC_nuclear!$HF$5:$HF$52,MATCH($A247,Src_BHRaSYC_nuclear!$A$5:$A$52,0))</f>
        <v>1</v>
      </c>
      <c r="E247">
        <f>INDEX(Src_HYECFCA_nuclear!$B$5:$B$52,MATCH($A247,Src_HYECFCA_nuclear!$A$5:$A$52,0))</f>
        <v>1.02474</v>
      </c>
      <c r="F247">
        <f>IF($D247=1,ROUND(Keys!$C$2/(INDEX(Src_SYSHECF_nuclear!$D$5:$D$292,MATCH($C247,Src_SYSHECF_nuclear!$C$5:$C$292,0))*$E247),Keys!$C$5),Keys!$C$4)</f>
        <v>0.99990000000000001</v>
      </c>
      <c r="G247">
        <f>IF($D247=1,ROUND(Keys!$C$2/(INDEX(Src_SYSHECF_nuclear!$E$5:$E$292,MATCH($C247,Src_SYSHECF_nuclear!$C$5:$C$292,0))*$E247),Keys!$C$5),Keys!$C$4)</f>
        <v>0.99990000000000001</v>
      </c>
      <c r="H247">
        <f>IF($D247=1,ROUND(Keys!$C$2/(INDEX(Src_SYSHECF_nuclear!$F$5:$F$292,MATCH($C247,Src_SYSHECF_nuclear!$C$5:$C$292,0))*$E247),Keys!$C$5),Keys!$C$4)</f>
        <v>0.99990000000000001</v>
      </c>
      <c r="I247">
        <f>IF($D247=1,ROUND(Keys!$C$2/(INDEX(Src_SYSHECF_nuclear!$G$5:$G$292,MATCH($C247,Src_SYSHECF_nuclear!$C$5:$C$292,0))*$E247),Keys!$C$5),Keys!$C$4)</f>
        <v>0.99990000000000001</v>
      </c>
      <c r="J247">
        <f>IF($D247=1,ROUND(Keys!$C$2/(INDEX(Src_SYSHECF_nuclear!$H$5:$H$292,MATCH($C247,Src_SYSHECF_nuclear!$C$5:$C$292,0))*$E247),Keys!$C$5),Keys!$C$4)</f>
        <v>0.99990000000000001</v>
      </c>
      <c r="K247">
        <f>IF($D247=1,ROUND(Keys!$C$2/(INDEX(Src_SYSHECF_nuclear!$I$5:$I$292,MATCH($C247,Src_SYSHECF_nuclear!$C$5:$C$292,0))*$E247),Keys!$C$5),Keys!$C$4)</f>
        <v>0.99990000000000001</v>
      </c>
      <c r="L247">
        <f>IF($D247=1,ROUND(Keys!$C$2/(INDEX(Src_SYSHECF_nuclear!$J$5:$J$292,MATCH($C247,Src_SYSHECF_nuclear!$C$5:$C$292,0))*$E247),Keys!$C$5),Keys!$C$4)</f>
        <v>0.99990000000000001</v>
      </c>
      <c r="M247">
        <f>IF($D247=1,ROUND(Keys!$C$2/(INDEX(Src_SYSHECF_nuclear!$K$5:$K$292,MATCH($C247,Src_SYSHECF_nuclear!$C$5:$C$292,0))*$E247),Keys!$C$5),Keys!$C$4)</f>
        <v>0.99990000000000001</v>
      </c>
      <c r="N247">
        <f>IF($D247=1,ROUND(Keys!$C$2/(INDEX(Src_SYSHECF_nuclear!$L$5:$L$292,MATCH($C247,Src_SYSHECF_nuclear!$C$5:$C$292,0))*$E247),Keys!$C$5),Keys!$C$4)</f>
        <v>0.99990000000000001</v>
      </c>
      <c r="O247">
        <f>IF($D247=1,ROUND(Keys!$C$2/(INDEX(Src_SYSHECF_nuclear!$M$5:$M$292,MATCH($C247,Src_SYSHECF_nuclear!$C$5:$C$292,0))*$E247),Keys!$C$5),Keys!$C$4)</f>
        <v>0.99990000000000001</v>
      </c>
      <c r="P247">
        <f>IF($D247=1,ROUND(Keys!$C$2/(INDEX(Src_SYSHECF_nuclear!$N$5:$N$292,MATCH($C247,Src_SYSHECF_nuclear!$C$5:$C$292,0))*$E247),Keys!$C$5),Keys!$C$4)</f>
        <v>0.99990000000000001</v>
      </c>
      <c r="Q247">
        <f>IF($D247=1,ROUND(Keys!$C$2/(INDEX(Src_SYSHECF_nuclear!$O$5:$O$292,MATCH($C247,Src_SYSHECF_nuclear!$C$5:$C$292,0))*$E247),Keys!$C$5),Keys!$C$4)</f>
        <v>0.99990000000000001</v>
      </c>
      <c r="R247">
        <f>IF($D247=1,ROUND(Keys!$C$2/(INDEX(Src_SYSHECF_nuclear!$P$5:$P$292,MATCH($C247,Src_SYSHECF_nuclear!$C$5:$C$292,0))*$E247),Keys!$C$5),Keys!$C$4)</f>
        <v>0.99990000000000001</v>
      </c>
      <c r="S247">
        <f>IF($D247=1,ROUND(Keys!$C$2/(INDEX(Src_SYSHECF_nuclear!$Q$5:$Q$292,MATCH($C247,Src_SYSHECF_nuclear!$C$5:$C$292,0))*$E247),Keys!$C$5),Keys!$C$4)</f>
        <v>0.99990000000000001</v>
      </c>
      <c r="T247">
        <f>IF($D247=1,ROUND(Keys!$C$2/(INDEX(Src_SYSHECF_nuclear!$R$5:$R$292,MATCH($C247,Src_SYSHECF_nuclear!$C$5:$C$292,0))*$E247),Keys!$C$5),Keys!$C$4)</f>
        <v>0.99990000000000001</v>
      </c>
      <c r="U247">
        <f>IF($D247=1,ROUND(Keys!$C$2/(INDEX(Src_SYSHECF_nuclear!$S$5:$S$292,MATCH($C247,Src_SYSHECF_nuclear!$C$5:$C$292,0))*$E247),Keys!$C$5),Keys!$C$4)</f>
        <v>0.99990000000000001</v>
      </c>
      <c r="V247">
        <f>IF($D247=1,ROUND(Keys!$C$2/(INDEX(Src_SYSHECF_nuclear!$T$5:$T$292,MATCH($C247,Src_SYSHECF_nuclear!$C$5:$C$292,0))*$E247),Keys!$C$5),Keys!$C$4)</f>
        <v>0.99990000000000001</v>
      </c>
      <c r="W247">
        <f>IF($D247=1,ROUND(Keys!$C$2/(INDEX(Src_SYSHECF_nuclear!$U$5:$U$292,MATCH($C247,Src_SYSHECF_nuclear!$C$5:$C$292,0))*$E247),Keys!$C$5),Keys!$C$4)</f>
        <v>0.99990000000000001</v>
      </c>
      <c r="X247">
        <f>IF($D247=1,ROUND(Keys!$C$2/(INDEX(Src_SYSHECF_nuclear!$V$5:$V$292,MATCH($C247,Src_SYSHECF_nuclear!$C$5:$C$292,0))*$E247),Keys!$C$5),Keys!$C$4)</f>
        <v>0.99990000000000001</v>
      </c>
      <c r="Y247">
        <f>IF($D247=1,ROUND(Keys!$C$2/(INDEX(Src_SYSHECF_nuclear!$W$5:$W$292,MATCH($C247,Src_SYSHECF_nuclear!$C$5:$C$292,0))*$E247),Keys!$C$5),Keys!$C$4)</f>
        <v>0.99990000000000001</v>
      </c>
      <c r="Z247">
        <f>IF($D247=1,ROUND(Keys!$C$2/(INDEX(Src_SYSHECF_nuclear!$X$5:$X$292,MATCH($C247,Src_SYSHECF_nuclear!$C$5:$C$292,0))*$E247),Keys!$C$5),Keys!$C$4)</f>
        <v>0.99990000000000001</v>
      </c>
      <c r="AA247">
        <f>IF($D247=1,ROUND(Keys!$C$2/(INDEX(Src_SYSHECF_nuclear!$Y$5:$Y$292,MATCH($C247,Src_SYSHECF_nuclear!$C$5:$C$292,0))*$E247),Keys!$C$5),Keys!$C$4)</f>
        <v>0.99990000000000001</v>
      </c>
      <c r="AB247">
        <f>IF($D247=1,ROUND(Keys!$C$2/(INDEX(Src_SYSHECF_nuclear!$Z$5:$Z$292,MATCH($C247,Src_SYSHECF_nuclear!$C$5:$C$292,0))*$E247),Keys!$C$5),Keys!$C$4)</f>
        <v>0.99990000000000001</v>
      </c>
      <c r="AC247">
        <f>IF($D247=1,ROUND(Keys!$C$2/(INDEX(Src_SYSHECF_nuclear!$AA$5:$AA$292,MATCH($C247,Src_SYSHECF_nuclear!$C$5:$C$292,0))*$E247),Keys!$C$5),Keys!$C$4)</f>
        <v>0.99990000000000001</v>
      </c>
      <c r="AE247">
        <f>IF($D247=1,IF(ABS(INDEX(Src_SYSHECF_nuclear!$D$5:$D$292,MATCH($C247,Src_SYSHECF_nuclear!$C$5:$C$292,0))*$E247*F247-Keys!$C$2)&gt;Keys!$C$6,1,0),0)</f>
        <v>0</v>
      </c>
    </row>
    <row r="248" spans="1:31" x14ac:dyDescent="0.45">
      <c r="A248" t="s">
        <v>88</v>
      </c>
      <c r="B248" t="s">
        <v>424</v>
      </c>
      <c r="C248" t="str">
        <f t="shared" ref="C248:C311" si="4">A248&amp;"|"&amp;B248</f>
        <v>OH|Winter</v>
      </c>
      <c r="D248">
        <f>INDEX(Src_BHRaSYC_nuclear!$HF$5:$HF$52,MATCH($A248,Src_BHRaSYC_nuclear!$A$5:$A$52,0))</f>
        <v>1</v>
      </c>
      <c r="E248">
        <f>INDEX(Src_HYECFCA_nuclear!$B$5:$B$52,MATCH($A248,Src_HYECFCA_nuclear!$A$5:$A$52,0))</f>
        <v>0.97707100000000002</v>
      </c>
      <c r="F248">
        <f>IF($D248=1,ROUND(Keys!$C$2/(INDEX(Src_SYSHECF_nuclear!$D$5:$D$292,MATCH($C248,Src_SYSHECF_nuclear!$C$5:$C$292,0))*$E248),Keys!$C$5),Keys!$C$4)</f>
        <v>1.0631999999999999</v>
      </c>
      <c r="G248">
        <f>IF($D248=1,ROUND(Keys!$C$2/(INDEX(Src_SYSHECF_nuclear!$E$5:$E$292,MATCH($C248,Src_SYSHECF_nuclear!$C$5:$C$292,0))*$E248),Keys!$C$5),Keys!$C$4)</f>
        <v>1.0631999999999999</v>
      </c>
      <c r="H248">
        <f>IF($D248=1,ROUND(Keys!$C$2/(INDEX(Src_SYSHECF_nuclear!$F$5:$F$292,MATCH($C248,Src_SYSHECF_nuclear!$C$5:$C$292,0))*$E248),Keys!$C$5),Keys!$C$4)</f>
        <v>1.0631999999999999</v>
      </c>
      <c r="I248">
        <f>IF($D248=1,ROUND(Keys!$C$2/(INDEX(Src_SYSHECF_nuclear!$G$5:$G$292,MATCH($C248,Src_SYSHECF_nuclear!$C$5:$C$292,0))*$E248),Keys!$C$5),Keys!$C$4)</f>
        <v>1.0631999999999999</v>
      </c>
      <c r="J248">
        <f>IF($D248=1,ROUND(Keys!$C$2/(INDEX(Src_SYSHECF_nuclear!$H$5:$H$292,MATCH($C248,Src_SYSHECF_nuclear!$C$5:$C$292,0))*$E248),Keys!$C$5),Keys!$C$4)</f>
        <v>1.0631999999999999</v>
      </c>
      <c r="K248">
        <f>IF($D248=1,ROUND(Keys!$C$2/(INDEX(Src_SYSHECF_nuclear!$I$5:$I$292,MATCH($C248,Src_SYSHECF_nuclear!$C$5:$C$292,0))*$E248),Keys!$C$5),Keys!$C$4)</f>
        <v>1.0631999999999999</v>
      </c>
      <c r="L248">
        <f>IF($D248=1,ROUND(Keys!$C$2/(INDEX(Src_SYSHECF_nuclear!$J$5:$J$292,MATCH($C248,Src_SYSHECF_nuclear!$C$5:$C$292,0))*$E248),Keys!$C$5),Keys!$C$4)</f>
        <v>1.0631999999999999</v>
      </c>
      <c r="M248">
        <f>IF($D248=1,ROUND(Keys!$C$2/(INDEX(Src_SYSHECF_nuclear!$K$5:$K$292,MATCH($C248,Src_SYSHECF_nuclear!$C$5:$C$292,0))*$E248),Keys!$C$5),Keys!$C$4)</f>
        <v>1.0631999999999999</v>
      </c>
      <c r="N248">
        <f>IF($D248=1,ROUND(Keys!$C$2/(INDEX(Src_SYSHECF_nuclear!$L$5:$L$292,MATCH($C248,Src_SYSHECF_nuclear!$C$5:$C$292,0))*$E248),Keys!$C$5),Keys!$C$4)</f>
        <v>1.0631999999999999</v>
      </c>
      <c r="O248">
        <f>IF($D248=1,ROUND(Keys!$C$2/(INDEX(Src_SYSHECF_nuclear!$M$5:$M$292,MATCH($C248,Src_SYSHECF_nuclear!$C$5:$C$292,0))*$E248),Keys!$C$5),Keys!$C$4)</f>
        <v>1.0631999999999999</v>
      </c>
      <c r="P248">
        <f>IF($D248=1,ROUND(Keys!$C$2/(INDEX(Src_SYSHECF_nuclear!$N$5:$N$292,MATCH($C248,Src_SYSHECF_nuclear!$C$5:$C$292,0))*$E248),Keys!$C$5),Keys!$C$4)</f>
        <v>1.0631999999999999</v>
      </c>
      <c r="Q248">
        <f>IF($D248=1,ROUND(Keys!$C$2/(INDEX(Src_SYSHECF_nuclear!$O$5:$O$292,MATCH($C248,Src_SYSHECF_nuclear!$C$5:$C$292,0))*$E248),Keys!$C$5),Keys!$C$4)</f>
        <v>1.0631999999999999</v>
      </c>
      <c r="R248">
        <f>IF($D248=1,ROUND(Keys!$C$2/(INDEX(Src_SYSHECF_nuclear!$P$5:$P$292,MATCH($C248,Src_SYSHECF_nuclear!$C$5:$C$292,0))*$E248),Keys!$C$5),Keys!$C$4)</f>
        <v>1.0631999999999999</v>
      </c>
      <c r="S248">
        <f>IF($D248=1,ROUND(Keys!$C$2/(INDEX(Src_SYSHECF_nuclear!$Q$5:$Q$292,MATCH($C248,Src_SYSHECF_nuclear!$C$5:$C$292,0))*$E248),Keys!$C$5),Keys!$C$4)</f>
        <v>1.0631999999999999</v>
      </c>
      <c r="T248">
        <f>IF($D248=1,ROUND(Keys!$C$2/(INDEX(Src_SYSHECF_nuclear!$R$5:$R$292,MATCH($C248,Src_SYSHECF_nuclear!$C$5:$C$292,0))*$E248),Keys!$C$5),Keys!$C$4)</f>
        <v>1.0631999999999999</v>
      </c>
      <c r="U248">
        <f>IF($D248=1,ROUND(Keys!$C$2/(INDEX(Src_SYSHECF_nuclear!$S$5:$S$292,MATCH($C248,Src_SYSHECF_nuclear!$C$5:$C$292,0))*$E248),Keys!$C$5),Keys!$C$4)</f>
        <v>1.0631999999999999</v>
      </c>
      <c r="V248">
        <f>IF($D248=1,ROUND(Keys!$C$2/(INDEX(Src_SYSHECF_nuclear!$T$5:$T$292,MATCH($C248,Src_SYSHECF_nuclear!$C$5:$C$292,0))*$E248),Keys!$C$5),Keys!$C$4)</f>
        <v>1.0631999999999999</v>
      </c>
      <c r="W248">
        <f>IF($D248=1,ROUND(Keys!$C$2/(INDEX(Src_SYSHECF_nuclear!$U$5:$U$292,MATCH($C248,Src_SYSHECF_nuclear!$C$5:$C$292,0))*$E248),Keys!$C$5),Keys!$C$4)</f>
        <v>1.0631999999999999</v>
      </c>
      <c r="X248">
        <f>IF($D248=1,ROUND(Keys!$C$2/(INDEX(Src_SYSHECF_nuclear!$V$5:$V$292,MATCH($C248,Src_SYSHECF_nuclear!$C$5:$C$292,0))*$E248),Keys!$C$5),Keys!$C$4)</f>
        <v>1.0631999999999999</v>
      </c>
      <c r="Y248">
        <f>IF($D248=1,ROUND(Keys!$C$2/(INDEX(Src_SYSHECF_nuclear!$W$5:$W$292,MATCH($C248,Src_SYSHECF_nuclear!$C$5:$C$292,0))*$E248),Keys!$C$5),Keys!$C$4)</f>
        <v>1.0631999999999999</v>
      </c>
      <c r="Z248">
        <f>IF($D248=1,ROUND(Keys!$C$2/(INDEX(Src_SYSHECF_nuclear!$X$5:$X$292,MATCH($C248,Src_SYSHECF_nuclear!$C$5:$C$292,0))*$E248),Keys!$C$5),Keys!$C$4)</f>
        <v>1.0631999999999999</v>
      </c>
      <c r="AA248">
        <f>IF($D248=1,ROUND(Keys!$C$2/(INDEX(Src_SYSHECF_nuclear!$Y$5:$Y$292,MATCH($C248,Src_SYSHECF_nuclear!$C$5:$C$292,0))*$E248),Keys!$C$5),Keys!$C$4)</f>
        <v>1.0631999999999999</v>
      </c>
      <c r="AB248">
        <f>IF($D248=1,ROUND(Keys!$C$2/(INDEX(Src_SYSHECF_nuclear!$Z$5:$Z$292,MATCH($C248,Src_SYSHECF_nuclear!$C$5:$C$292,0))*$E248),Keys!$C$5),Keys!$C$4)</f>
        <v>1.0631999999999999</v>
      </c>
      <c r="AC248">
        <f>IF($D248=1,ROUND(Keys!$C$2/(INDEX(Src_SYSHECF_nuclear!$AA$5:$AA$292,MATCH($C248,Src_SYSHECF_nuclear!$C$5:$C$292,0))*$E248),Keys!$C$5),Keys!$C$4)</f>
        <v>1.0631999999999999</v>
      </c>
      <c r="AE248">
        <f>IF($D248=1,IF(ABS(INDEX(Src_SYSHECF_nuclear!$D$5:$D$292,MATCH($C248,Src_SYSHECF_nuclear!$C$5:$C$292,0))*$E248*F248-Keys!$C$2)&gt;Keys!$C$6,1,0),0)</f>
        <v>0</v>
      </c>
    </row>
    <row r="249" spans="1:31" x14ac:dyDescent="0.45">
      <c r="A249" t="s">
        <v>88</v>
      </c>
      <c r="B249" t="s">
        <v>425</v>
      </c>
      <c r="C249" t="str">
        <f t="shared" si="4"/>
        <v>OH|Spring</v>
      </c>
      <c r="D249">
        <f>INDEX(Src_BHRaSYC_nuclear!$HF$5:$HF$52,MATCH($A249,Src_BHRaSYC_nuclear!$A$5:$A$52,0))</f>
        <v>1</v>
      </c>
      <c r="E249">
        <f>INDEX(Src_HYECFCA_nuclear!$B$5:$B$52,MATCH($A249,Src_HYECFCA_nuclear!$A$5:$A$52,0))</f>
        <v>0.97707100000000002</v>
      </c>
      <c r="F249">
        <f>IF($D249=1,ROUND(Keys!$C$2/(INDEX(Src_SYSHECF_nuclear!$D$5:$D$292,MATCH($C249,Src_SYSHECF_nuclear!$C$5:$C$292,0))*$E249),Keys!$C$5),Keys!$C$4)</f>
        <v>1.0631999999999999</v>
      </c>
      <c r="G249">
        <f>IF($D249=1,ROUND(Keys!$C$2/(INDEX(Src_SYSHECF_nuclear!$E$5:$E$292,MATCH($C249,Src_SYSHECF_nuclear!$C$5:$C$292,0))*$E249),Keys!$C$5),Keys!$C$4)</f>
        <v>1.0631999999999999</v>
      </c>
      <c r="H249">
        <f>IF($D249=1,ROUND(Keys!$C$2/(INDEX(Src_SYSHECF_nuclear!$F$5:$F$292,MATCH($C249,Src_SYSHECF_nuclear!$C$5:$C$292,0))*$E249),Keys!$C$5),Keys!$C$4)</f>
        <v>1.0631999999999999</v>
      </c>
      <c r="I249">
        <f>IF($D249=1,ROUND(Keys!$C$2/(INDEX(Src_SYSHECF_nuclear!$G$5:$G$292,MATCH($C249,Src_SYSHECF_nuclear!$C$5:$C$292,0))*$E249),Keys!$C$5),Keys!$C$4)</f>
        <v>1.0631999999999999</v>
      </c>
      <c r="J249">
        <f>IF($D249=1,ROUND(Keys!$C$2/(INDEX(Src_SYSHECF_nuclear!$H$5:$H$292,MATCH($C249,Src_SYSHECF_nuclear!$C$5:$C$292,0))*$E249),Keys!$C$5),Keys!$C$4)</f>
        <v>1.0631999999999999</v>
      </c>
      <c r="K249">
        <f>IF($D249=1,ROUND(Keys!$C$2/(INDEX(Src_SYSHECF_nuclear!$I$5:$I$292,MATCH($C249,Src_SYSHECF_nuclear!$C$5:$C$292,0))*$E249),Keys!$C$5),Keys!$C$4)</f>
        <v>1.0631999999999999</v>
      </c>
      <c r="L249">
        <f>IF($D249=1,ROUND(Keys!$C$2/(INDEX(Src_SYSHECF_nuclear!$J$5:$J$292,MATCH($C249,Src_SYSHECF_nuclear!$C$5:$C$292,0))*$E249),Keys!$C$5),Keys!$C$4)</f>
        <v>1.0649</v>
      </c>
      <c r="M249">
        <f>IF($D249=1,ROUND(Keys!$C$2/(INDEX(Src_SYSHECF_nuclear!$K$5:$K$292,MATCH($C249,Src_SYSHECF_nuclear!$C$5:$C$292,0))*$E249),Keys!$C$5),Keys!$C$4)</f>
        <v>1.0631999999999999</v>
      </c>
      <c r="N249">
        <f>IF($D249=1,ROUND(Keys!$C$2/(INDEX(Src_SYSHECF_nuclear!$L$5:$L$292,MATCH($C249,Src_SYSHECF_nuclear!$C$5:$C$292,0))*$E249),Keys!$C$5),Keys!$C$4)</f>
        <v>1.0631999999999999</v>
      </c>
      <c r="O249">
        <f>IF($D249=1,ROUND(Keys!$C$2/(INDEX(Src_SYSHECF_nuclear!$M$5:$M$292,MATCH($C249,Src_SYSHECF_nuclear!$C$5:$C$292,0))*$E249),Keys!$C$5),Keys!$C$4)</f>
        <v>1.0631999999999999</v>
      </c>
      <c r="P249">
        <f>IF($D249=1,ROUND(Keys!$C$2/(INDEX(Src_SYSHECF_nuclear!$N$5:$N$292,MATCH($C249,Src_SYSHECF_nuclear!$C$5:$C$292,0))*$E249),Keys!$C$5),Keys!$C$4)</f>
        <v>1.0631999999999999</v>
      </c>
      <c r="Q249">
        <f>IF($D249=1,ROUND(Keys!$C$2/(INDEX(Src_SYSHECF_nuclear!$O$5:$O$292,MATCH($C249,Src_SYSHECF_nuclear!$C$5:$C$292,0))*$E249),Keys!$C$5),Keys!$C$4)</f>
        <v>1.0631999999999999</v>
      </c>
      <c r="R249">
        <f>IF($D249=1,ROUND(Keys!$C$2/(INDEX(Src_SYSHECF_nuclear!$P$5:$P$292,MATCH($C249,Src_SYSHECF_nuclear!$C$5:$C$292,0))*$E249),Keys!$C$5),Keys!$C$4)</f>
        <v>1.0631999999999999</v>
      </c>
      <c r="S249">
        <f>IF($D249=1,ROUND(Keys!$C$2/(INDEX(Src_SYSHECF_nuclear!$Q$5:$Q$292,MATCH($C249,Src_SYSHECF_nuclear!$C$5:$C$292,0))*$E249),Keys!$C$5),Keys!$C$4)</f>
        <v>1.0631999999999999</v>
      </c>
      <c r="T249">
        <f>IF($D249=1,ROUND(Keys!$C$2/(INDEX(Src_SYSHECF_nuclear!$R$5:$R$292,MATCH($C249,Src_SYSHECF_nuclear!$C$5:$C$292,0))*$E249),Keys!$C$5),Keys!$C$4)</f>
        <v>1.0631999999999999</v>
      </c>
      <c r="U249">
        <f>IF($D249=1,ROUND(Keys!$C$2/(INDEX(Src_SYSHECF_nuclear!$S$5:$S$292,MATCH($C249,Src_SYSHECF_nuclear!$C$5:$C$292,0))*$E249),Keys!$C$5),Keys!$C$4)</f>
        <v>1.0631999999999999</v>
      </c>
      <c r="V249">
        <f>IF($D249=1,ROUND(Keys!$C$2/(INDEX(Src_SYSHECF_nuclear!$T$5:$T$292,MATCH($C249,Src_SYSHECF_nuclear!$C$5:$C$292,0))*$E249),Keys!$C$5),Keys!$C$4)</f>
        <v>1.0631999999999999</v>
      </c>
      <c r="W249">
        <f>IF($D249=1,ROUND(Keys!$C$2/(INDEX(Src_SYSHECF_nuclear!$U$5:$U$292,MATCH($C249,Src_SYSHECF_nuclear!$C$5:$C$292,0))*$E249),Keys!$C$5),Keys!$C$4)</f>
        <v>1.0631999999999999</v>
      </c>
      <c r="X249">
        <f>IF($D249=1,ROUND(Keys!$C$2/(INDEX(Src_SYSHECF_nuclear!$V$5:$V$292,MATCH($C249,Src_SYSHECF_nuclear!$C$5:$C$292,0))*$E249),Keys!$C$5),Keys!$C$4)</f>
        <v>1.0631999999999999</v>
      </c>
      <c r="Y249">
        <f>IF($D249=1,ROUND(Keys!$C$2/(INDEX(Src_SYSHECF_nuclear!$W$5:$W$292,MATCH($C249,Src_SYSHECF_nuclear!$C$5:$C$292,0))*$E249),Keys!$C$5),Keys!$C$4)</f>
        <v>1.0631999999999999</v>
      </c>
      <c r="Z249">
        <f>IF($D249=1,ROUND(Keys!$C$2/(INDEX(Src_SYSHECF_nuclear!$X$5:$X$292,MATCH($C249,Src_SYSHECF_nuclear!$C$5:$C$292,0))*$E249),Keys!$C$5),Keys!$C$4)</f>
        <v>1.0631999999999999</v>
      </c>
      <c r="AA249">
        <f>IF($D249=1,ROUND(Keys!$C$2/(INDEX(Src_SYSHECF_nuclear!$Y$5:$Y$292,MATCH($C249,Src_SYSHECF_nuclear!$C$5:$C$292,0))*$E249),Keys!$C$5),Keys!$C$4)</f>
        <v>1.0631999999999999</v>
      </c>
      <c r="AB249">
        <f>IF($D249=1,ROUND(Keys!$C$2/(INDEX(Src_SYSHECF_nuclear!$Z$5:$Z$292,MATCH($C249,Src_SYSHECF_nuclear!$C$5:$C$292,0))*$E249),Keys!$C$5),Keys!$C$4)</f>
        <v>1.0631999999999999</v>
      </c>
      <c r="AC249">
        <f>IF($D249=1,ROUND(Keys!$C$2/(INDEX(Src_SYSHECF_nuclear!$AA$5:$AA$292,MATCH($C249,Src_SYSHECF_nuclear!$C$5:$C$292,0))*$E249),Keys!$C$5),Keys!$C$4)</f>
        <v>1.0631999999999999</v>
      </c>
      <c r="AE249">
        <f>IF($D249=1,IF(ABS(INDEX(Src_SYSHECF_nuclear!$D$5:$D$292,MATCH($C249,Src_SYSHECF_nuclear!$C$5:$C$292,0))*$E249*F249-Keys!$C$2)&gt;Keys!$C$6,1,0),0)</f>
        <v>0</v>
      </c>
    </row>
    <row r="250" spans="1:31" x14ac:dyDescent="0.45">
      <c r="A250" t="s">
        <v>88</v>
      </c>
      <c r="B250" t="s">
        <v>426</v>
      </c>
      <c r="C250" t="str">
        <f t="shared" si="4"/>
        <v>OH|Summer</v>
      </c>
      <c r="D250">
        <f>INDEX(Src_BHRaSYC_nuclear!$HF$5:$HF$52,MATCH($A250,Src_BHRaSYC_nuclear!$A$5:$A$52,0))</f>
        <v>1</v>
      </c>
      <c r="E250">
        <f>INDEX(Src_HYECFCA_nuclear!$B$5:$B$52,MATCH($A250,Src_HYECFCA_nuclear!$A$5:$A$52,0))</f>
        <v>0.97707100000000002</v>
      </c>
      <c r="F250">
        <f>IF($D250=1,ROUND(Keys!$C$2/(INDEX(Src_SYSHECF_nuclear!$D$5:$D$292,MATCH($C250,Src_SYSHECF_nuclear!$C$5:$C$292,0))*$E250),Keys!$C$5),Keys!$C$4)</f>
        <v>1.0631999999999999</v>
      </c>
      <c r="G250">
        <f>IF($D250=1,ROUND(Keys!$C$2/(INDEX(Src_SYSHECF_nuclear!$E$5:$E$292,MATCH($C250,Src_SYSHECF_nuclear!$C$5:$C$292,0))*$E250),Keys!$C$5),Keys!$C$4)</f>
        <v>1.0631999999999999</v>
      </c>
      <c r="H250">
        <f>IF($D250=1,ROUND(Keys!$C$2/(INDEX(Src_SYSHECF_nuclear!$F$5:$F$292,MATCH($C250,Src_SYSHECF_nuclear!$C$5:$C$292,0))*$E250),Keys!$C$5),Keys!$C$4)</f>
        <v>1.0631999999999999</v>
      </c>
      <c r="I250">
        <f>IF($D250=1,ROUND(Keys!$C$2/(INDEX(Src_SYSHECF_nuclear!$G$5:$G$292,MATCH($C250,Src_SYSHECF_nuclear!$C$5:$C$292,0))*$E250),Keys!$C$5),Keys!$C$4)</f>
        <v>1.0631999999999999</v>
      </c>
      <c r="J250">
        <f>IF($D250=1,ROUND(Keys!$C$2/(INDEX(Src_SYSHECF_nuclear!$H$5:$H$292,MATCH($C250,Src_SYSHECF_nuclear!$C$5:$C$292,0))*$E250),Keys!$C$5),Keys!$C$4)</f>
        <v>1.0631999999999999</v>
      </c>
      <c r="K250">
        <f>IF($D250=1,ROUND(Keys!$C$2/(INDEX(Src_SYSHECF_nuclear!$I$5:$I$292,MATCH($C250,Src_SYSHECF_nuclear!$C$5:$C$292,0))*$E250),Keys!$C$5),Keys!$C$4)</f>
        <v>1.0631999999999999</v>
      </c>
      <c r="L250">
        <f>IF($D250=1,ROUND(Keys!$C$2/(INDEX(Src_SYSHECF_nuclear!$J$5:$J$292,MATCH($C250,Src_SYSHECF_nuclear!$C$5:$C$292,0))*$E250),Keys!$C$5),Keys!$C$4)</f>
        <v>1.0631999999999999</v>
      </c>
      <c r="M250">
        <f>IF($D250=1,ROUND(Keys!$C$2/(INDEX(Src_SYSHECF_nuclear!$K$5:$K$292,MATCH($C250,Src_SYSHECF_nuclear!$C$5:$C$292,0))*$E250),Keys!$C$5),Keys!$C$4)</f>
        <v>1.0631999999999999</v>
      </c>
      <c r="N250">
        <f>IF($D250=1,ROUND(Keys!$C$2/(INDEX(Src_SYSHECF_nuclear!$L$5:$L$292,MATCH($C250,Src_SYSHECF_nuclear!$C$5:$C$292,0))*$E250),Keys!$C$5),Keys!$C$4)</f>
        <v>1.0631999999999999</v>
      </c>
      <c r="O250">
        <f>IF($D250=1,ROUND(Keys!$C$2/(INDEX(Src_SYSHECF_nuclear!$M$5:$M$292,MATCH($C250,Src_SYSHECF_nuclear!$C$5:$C$292,0))*$E250),Keys!$C$5),Keys!$C$4)</f>
        <v>1.0631999999999999</v>
      </c>
      <c r="P250">
        <f>IF($D250=1,ROUND(Keys!$C$2/(INDEX(Src_SYSHECF_nuclear!$N$5:$N$292,MATCH($C250,Src_SYSHECF_nuclear!$C$5:$C$292,0))*$E250),Keys!$C$5),Keys!$C$4)</f>
        <v>1.0631999999999999</v>
      </c>
      <c r="Q250">
        <f>IF($D250=1,ROUND(Keys!$C$2/(INDEX(Src_SYSHECF_nuclear!$O$5:$O$292,MATCH($C250,Src_SYSHECF_nuclear!$C$5:$C$292,0))*$E250),Keys!$C$5),Keys!$C$4)</f>
        <v>1.0631999999999999</v>
      </c>
      <c r="R250">
        <f>IF($D250=1,ROUND(Keys!$C$2/(INDEX(Src_SYSHECF_nuclear!$P$5:$P$292,MATCH($C250,Src_SYSHECF_nuclear!$C$5:$C$292,0))*$E250),Keys!$C$5),Keys!$C$4)</f>
        <v>1.0631999999999999</v>
      </c>
      <c r="S250">
        <f>IF($D250=1,ROUND(Keys!$C$2/(INDEX(Src_SYSHECF_nuclear!$Q$5:$Q$292,MATCH($C250,Src_SYSHECF_nuclear!$C$5:$C$292,0))*$E250),Keys!$C$5),Keys!$C$4)</f>
        <v>1.0631999999999999</v>
      </c>
      <c r="T250">
        <f>IF($D250=1,ROUND(Keys!$C$2/(INDEX(Src_SYSHECF_nuclear!$R$5:$R$292,MATCH($C250,Src_SYSHECF_nuclear!$C$5:$C$292,0))*$E250),Keys!$C$5),Keys!$C$4)</f>
        <v>1.0631999999999999</v>
      </c>
      <c r="U250">
        <f>IF($D250=1,ROUND(Keys!$C$2/(INDEX(Src_SYSHECF_nuclear!$S$5:$S$292,MATCH($C250,Src_SYSHECF_nuclear!$C$5:$C$292,0))*$E250),Keys!$C$5),Keys!$C$4)</f>
        <v>1.0631999999999999</v>
      </c>
      <c r="V250">
        <f>IF($D250=1,ROUND(Keys!$C$2/(INDEX(Src_SYSHECF_nuclear!$T$5:$T$292,MATCH($C250,Src_SYSHECF_nuclear!$C$5:$C$292,0))*$E250),Keys!$C$5),Keys!$C$4)</f>
        <v>1.0631999999999999</v>
      </c>
      <c r="W250">
        <f>IF($D250=1,ROUND(Keys!$C$2/(INDEX(Src_SYSHECF_nuclear!$U$5:$U$292,MATCH($C250,Src_SYSHECF_nuclear!$C$5:$C$292,0))*$E250),Keys!$C$5),Keys!$C$4)</f>
        <v>1.0631999999999999</v>
      </c>
      <c r="X250">
        <f>IF($D250=1,ROUND(Keys!$C$2/(INDEX(Src_SYSHECF_nuclear!$V$5:$V$292,MATCH($C250,Src_SYSHECF_nuclear!$C$5:$C$292,0))*$E250),Keys!$C$5),Keys!$C$4)</f>
        <v>1.0631999999999999</v>
      </c>
      <c r="Y250">
        <f>IF($D250=1,ROUND(Keys!$C$2/(INDEX(Src_SYSHECF_nuclear!$W$5:$W$292,MATCH($C250,Src_SYSHECF_nuclear!$C$5:$C$292,0))*$E250),Keys!$C$5),Keys!$C$4)</f>
        <v>1.0631999999999999</v>
      </c>
      <c r="Z250">
        <f>IF($D250=1,ROUND(Keys!$C$2/(INDEX(Src_SYSHECF_nuclear!$X$5:$X$292,MATCH($C250,Src_SYSHECF_nuclear!$C$5:$C$292,0))*$E250),Keys!$C$5),Keys!$C$4)</f>
        <v>1.0631999999999999</v>
      </c>
      <c r="AA250">
        <f>IF($D250=1,ROUND(Keys!$C$2/(INDEX(Src_SYSHECF_nuclear!$Y$5:$Y$292,MATCH($C250,Src_SYSHECF_nuclear!$C$5:$C$292,0))*$E250),Keys!$C$5),Keys!$C$4)</f>
        <v>1.0631999999999999</v>
      </c>
      <c r="AB250">
        <f>IF($D250=1,ROUND(Keys!$C$2/(INDEX(Src_SYSHECF_nuclear!$Z$5:$Z$292,MATCH($C250,Src_SYSHECF_nuclear!$C$5:$C$292,0))*$E250),Keys!$C$5),Keys!$C$4)</f>
        <v>1.0631999999999999</v>
      </c>
      <c r="AC250">
        <f>IF($D250=1,ROUND(Keys!$C$2/(INDEX(Src_SYSHECF_nuclear!$AA$5:$AA$292,MATCH($C250,Src_SYSHECF_nuclear!$C$5:$C$292,0))*$E250),Keys!$C$5),Keys!$C$4)</f>
        <v>1.0631999999999999</v>
      </c>
      <c r="AE250">
        <f>IF($D250=1,IF(ABS(INDEX(Src_SYSHECF_nuclear!$D$5:$D$292,MATCH($C250,Src_SYSHECF_nuclear!$C$5:$C$292,0))*$E250*F250-Keys!$C$2)&gt;Keys!$C$6,1,0),0)</f>
        <v>0</v>
      </c>
    </row>
    <row r="251" spans="1:31" x14ac:dyDescent="0.45">
      <c r="A251" t="s">
        <v>88</v>
      </c>
      <c r="B251" t="s">
        <v>427</v>
      </c>
      <c r="C251" t="str">
        <f t="shared" si="4"/>
        <v>OH|Fall</v>
      </c>
      <c r="D251">
        <f>INDEX(Src_BHRaSYC_nuclear!$HF$5:$HF$52,MATCH($A251,Src_BHRaSYC_nuclear!$A$5:$A$52,0))</f>
        <v>1</v>
      </c>
      <c r="E251">
        <f>INDEX(Src_HYECFCA_nuclear!$B$5:$B$52,MATCH($A251,Src_HYECFCA_nuclear!$A$5:$A$52,0))</f>
        <v>0.97707100000000002</v>
      </c>
      <c r="F251">
        <f>IF($D251=1,ROUND(Keys!$C$2/(INDEX(Src_SYSHECF_nuclear!$D$5:$D$292,MATCH($C251,Src_SYSHECF_nuclear!$C$5:$C$292,0))*$E251),Keys!$C$5),Keys!$C$4)</f>
        <v>1.0631999999999999</v>
      </c>
      <c r="G251">
        <f>IF($D251=1,ROUND(Keys!$C$2/(INDEX(Src_SYSHECF_nuclear!$E$5:$E$292,MATCH($C251,Src_SYSHECF_nuclear!$C$5:$C$292,0))*$E251),Keys!$C$5),Keys!$C$4)</f>
        <v>1.0631999999999999</v>
      </c>
      <c r="H251">
        <f>IF($D251=1,ROUND(Keys!$C$2/(INDEX(Src_SYSHECF_nuclear!$F$5:$F$292,MATCH($C251,Src_SYSHECF_nuclear!$C$5:$C$292,0))*$E251),Keys!$C$5),Keys!$C$4)</f>
        <v>1.0631999999999999</v>
      </c>
      <c r="I251">
        <f>IF($D251=1,ROUND(Keys!$C$2/(INDEX(Src_SYSHECF_nuclear!$G$5:$G$292,MATCH($C251,Src_SYSHECF_nuclear!$C$5:$C$292,0))*$E251),Keys!$C$5),Keys!$C$4)</f>
        <v>1.0631999999999999</v>
      </c>
      <c r="J251">
        <f>IF($D251=1,ROUND(Keys!$C$2/(INDEX(Src_SYSHECF_nuclear!$H$5:$H$292,MATCH($C251,Src_SYSHECF_nuclear!$C$5:$C$292,0))*$E251),Keys!$C$5),Keys!$C$4)</f>
        <v>1.0631999999999999</v>
      </c>
      <c r="K251">
        <f>IF($D251=1,ROUND(Keys!$C$2/(INDEX(Src_SYSHECF_nuclear!$I$5:$I$292,MATCH($C251,Src_SYSHECF_nuclear!$C$5:$C$292,0))*$E251),Keys!$C$5),Keys!$C$4)</f>
        <v>1.0631999999999999</v>
      </c>
      <c r="L251">
        <f>IF($D251=1,ROUND(Keys!$C$2/(INDEX(Src_SYSHECF_nuclear!$J$5:$J$292,MATCH($C251,Src_SYSHECF_nuclear!$C$5:$C$292,0))*$E251),Keys!$C$5),Keys!$C$4)</f>
        <v>1.0667</v>
      </c>
      <c r="M251">
        <f>IF($D251=1,ROUND(Keys!$C$2/(INDEX(Src_SYSHECF_nuclear!$K$5:$K$292,MATCH($C251,Src_SYSHECF_nuclear!$C$5:$C$292,0))*$E251),Keys!$C$5),Keys!$C$4)</f>
        <v>1.0667</v>
      </c>
      <c r="N251">
        <f>IF($D251=1,ROUND(Keys!$C$2/(INDEX(Src_SYSHECF_nuclear!$L$5:$L$292,MATCH($C251,Src_SYSHECF_nuclear!$C$5:$C$292,0))*$E251),Keys!$C$5),Keys!$C$4)</f>
        <v>1.0631999999999999</v>
      </c>
      <c r="O251">
        <f>IF($D251=1,ROUND(Keys!$C$2/(INDEX(Src_SYSHECF_nuclear!$M$5:$M$292,MATCH($C251,Src_SYSHECF_nuclear!$C$5:$C$292,0))*$E251),Keys!$C$5),Keys!$C$4)</f>
        <v>1.0631999999999999</v>
      </c>
      <c r="P251">
        <f>IF($D251=1,ROUND(Keys!$C$2/(INDEX(Src_SYSHECF_nuclear!$N$5:$N$292,MATCH($C251,Src_SYSHECF_nuclear!$C$5:$C$292,0))*$E251),Keys!$C$5),Keys!$C$4)</f>
        <v>1.0631999999999999</v>
      </c>
      <c r="Q251">
        <f>IF($D251=1,ROUND(Keys!$C$2/(INDEX(Src_SYSHECF_nuclear!$O$5:$O$292,MATCH($C251,Src_SYSHECF_nuclear!$C$5:$C$292,0))*$E251),Keys!$C$5),Keys!$C$4)</f>
        <v>1.0631999999999999</v>
      </c>
      <c r="R251">
        <f>IF($D251=1,ROUND(Keys!$C$2/(INDEX(Src_SYSHECF_nuclear!$P$5:$P$292,MATCH($C251,Src_SYSHECF_nuclear!$C$5:$C$292,0))*$E251),Keys!$C$5),Keys!$C$4)</f>
        <v>1.0631999999999999</v>
      </c>
      <c r="S251">
        <f>IF($D251=1,ROUND(Keys!$C$2/(INDEX(Src_SYSHECF_nuclear!$Q$5:$Q$292,MATCH($C251,Src_SYSHECF_nuclear!$C$5:$C$292,0))*$E251),Keys!$C$5),Keys!$C$4)</f>
        <v>1.0631999999999999</v>
      </c>
      <c r="T251">
        <f>IF($D251=1,ROUND(Keys!$C$2/(INDEX(Src_SYSHECF_nuclear!$R$5:$R$292,MATCH($C251,Src_SYSHECF_nuclear!$C$5:$C$292,0))*$E251),Keys!$C$5),Keys!$C$4)</f>
        <v>1.0631999999999999</v>
      </c>
      <c r="U251">
        <f>IF($D251=1,ROUND(Keys!$C$2/(INDEX(Src_SYSHECF_nuclear!$S$5:$S$292,MATCH($C251,Src_SYSHECF_nuclear!$C$5:$C$292,0))*$E251),Keys!$C$5),Keys!$C$4)</f>
        <v>1.0631999999999999</v>
      </c>
      <c r="V251">
        <f>IF($D251=1,ROUND(Keys!$C$2/(INDEX(Src_SYSHECF_nuclear!$T$5:$T$292,MATCH($C251,Src_SYSHECF_nuclear!$C$5:$C$292,0))*$E251),Keys!$C$5),Keys!$C$4)</f>
        <v>1.0631999999999999</v>
      </c>
      <c r="W251">
        <f>IF($D251=1,ROUND(Keys!$C$2/(INDEX(Src_SYSHECF_nuclear!$U$5:$U$292,MATCH($C251,Src_SYSHECF_nuclear!$C$5:$C$292,0))*$E251),Keys!$C$5),Keys!$C$4)</f>
        <v>1.0631999999999999</v>
      </c>
      <c r="X251">
        <f>IF($D251=1,ROUND(Keys!$C$2/(INDEX(Src_SYSHECF_nuclear!$V$5:$V$292,MATCH($C251,Src_SYSHECF_nuclear!$C$5:$C$292,0))*$E251),Keys!$C$5),Keys!$C$4)</f>
        <v>1.0631999999999999</v>
      </c>
      <c r="Y251">
        <f>IF($D251=1,ROUND(Keys!$C$2/(INDEX(Src_SYSHECF_nuclear!$W$5:$W$292,MATCH($C251,Src_SYSHECF_nuclear!$C$5:$C$292,0))*$E251),Keys!$C$5),Keys!$C$4)</f>
        <v>1.0631999999999999</v>
      </c>
      <c r="Z251">
        <f>IF($D251=1,ROUND(Keys!$C$2/(INDEX(Src_SYSHECF_nuclear!$X$5:$X$292,MATCH($C251,Src_SYSHECF_nuclear!$C$5:$C$292,0))*$E251),Keys!$C$5),Keys!$C$4)</f>
        <v>1.0631999999999999</v>
      </c>
      <c r="AA251">
        <f>IF($D251=1,ROUND(Keys!$C$2/(INDEX(Src_SYSHECF_nuclear!$Y$5:$Y$292,MATCH($C251,Src_SYSHECF_nuclear!$C$5:$C$292,0))*$E251),Keys!$C$5),Keys!$C$4)</f>
        <v>1.0631999999999999</v>
      </c>
      <c r="AB251">
        <f>IF($D251=1,ROUND(Keys!$C$2/(INDEX(Src_SYSHECF_nuclear!$Z$5:$Z$292,MATCH($C251,Src_SYSHECF_nuclear!$C$5:$C$292,0))*$E251),Keys!$C$5),Keys!$C$4)</f>
        <v>1.0631999999999999</v>
      </c>
      <c r="AC251">
        <f>IF($D251=1,ROUND(Keys!$C$2/(INDEX(Src_SYSHECF_nuclear!$AA$5:$AA$292,MATCH($C251,Src_SYSHECF_nuclear!$C$5:$C$292,0))*$E251),Keys!$C$5),Keys!$C$4)</f>
        <v>1.0631999999999999</v>
      </c>
      <c r="AE251">
        <f>IF($D251=1,IF(ABS(INDEX(Src_SYSHECF_nuclear!$D$5:$D$292,MATCH($C251,Src_SYSHECF_nuclear!$C$5:$C$292,0))*$E251*F251-Keys!$C$2)&gt;Keys!$C$6,1,0),0)</f>
        <v>0</v>
      </c>
    </row>
    <row r="252" spans="1:31" x14ac:dyDescent="0.45">
      <c r="A252" t="s">
        <v>88</v>
      </c>
      <c r="B252" t="s">
        <v>428</v>
      </c>
      <c r="C252" t="str">
        <f t="shared" si="4"/>
        <v>OH|Summer Peak</v>
      </c>
      <c r="D252">
        <f>INDEX(Src_BHRaSYC_nuclear!$HF$5:$HF$52,MATCH($A252,Src_BHRaSYC_nuclear!$A$5:$A$52,0))</f>
        <v>1</v>
      </c>
      <c r="E252">
        <f>INDEX(Src_HYECFCA_nuclear!$B$5:$B$52,MATCH($A252,Src_HYECFCA_nuclear!$A$5:$A$52,0))</f>
        <v>0.97707100000000002</v>
      </c>
      <c r="F252">
        <f>IF($D252=1,ROUND(Keys!$C$2/(INDEX(Src_SYSHECF_nuclear!$D$5:$D$292,MATCH($C252,Src_SYSHECF_nuclear!$C$5:$C$292,0))*$E252),Keys!$C$5),Keys!$C$4)</f>
        <v>1.0631999999999999</v>
      </c>
      <c r="G252">
        <f>IF($D252=1,ROUND(Keys!$C$2/(INDEX(Src_SYSHECF_nuclear!$E$5:$E$292,MATCH($C252,Src_SYSHECF_nuclear!$C$5:$C$292,0))*$E252),Keys!$C$5),Keys!$C$4)</f>
        <v>1.0631999999999999</v>
      </c>
      <c r="H252">
        <f>IF($D252=1,ROUND(Keys!$C$2/(INDEX(Src_SYSHECF_nuclear!$F$5:$F$292,MATCH($C252,Src_SYSHECF_nuclear!$C$5:$C$292,0))*$E252),Keys!$C$5),Keys!$C$4)</f>
        <v>1.0631999999999999</v>
      </c>
      <c r="I252">
        <f>IF($D252=1,ROUND(Keys!$C$2/(INDEX(Src_SYSHECF_nuclear!$G$5:$G$292,MATCH($C252,Src_SYSHECF_nuclear!$C$5:$C$292,0))*$E252),Keys!$C$5),Keys!$C$4)</f>
        <v>1.0631999999999999</v>
      </c>
      <c r="J252">
        <f>IF($D252=1,ROUND(Keys!$C$2/(INDEX(Src_SYSHECF_nuclear!$H$5:$H$292,MATCH($C252,Src_SYSHECF_nuclear!$C$5:$C$292,0))*$E252),Keys!$C$5),Keys!$C$4)</f>
        <v>1.0631999999999999</v>
      </c>
      <c r="K252">
        <f>IF($D252=1,ROUND(Keys!$C$2/(INDEX(Src_SYSHECF_nuclear!$I$5:$I$292,MATCH($C252,Src_SYSHECF_nuclear!$C$5:$C$292,0))*$E252),Keys!$C$5),Keys!$C$4)</f>
        <v>1.0631999999999999</v>
      </c>
      <c r="L252">
        <f>IF($D252=1,ROUND(Keys!$C$2/(INDEX(Src_SYSHECF_nuclear!$J$5:$J$292,MATCH($C252,Src_SYSHECF_nuclear!$C$5:$C$292,0))*$E252),Keys!$C$5),Keys!$C$4)</f>
        <v>1.0631999999999999</v>
      </c>
      <c r="M252">
        <f>IF($D252=1,ROUND(Keys!$C$2/(INDEX(Src_SYSHECF_nuclear!$K$5:$K$292,MATCH($C252,Src_SYSHECF_nuclear!$C$5:$C$292,0))*$E252),Keys!$C$5),Keys!$C$4)</f>
        <v>1.0631999999999999</v>
      </c>
      <c r="N252">
        <f>IF($D252=1,ROUND(Keys!$C$2/(INDEX(Src_SYSHECF_nuclear!$L$5:$L$292,MATCH($C252,Src_SYSHECF_nuclear!$C$5:$C$292,0))*$E252),Keys!$C$5),Keys!$C$4)</f>
        <v>1.0631999999999999</v>
      </c>
      <c r="O252">
        <f>IF($D252=1,ROUND(Keys!$C$2/(INDEX(Src_SYSHECF_nuclear!$M$5:$M$292,MATCH($C252,Src_SYSHECF_nuclear!$C$5:$C$292,0))*$E252),Keys!$C$5),Keys!$C$4)</f>
        <v>1.0631999999999999</v>
      </c>
      <c r="P252">
        <f>IF($D252=1,ROUND(Keys!$C$2/(INDEX(Src_SYSHECF_nuclear!$N$5:$N$292,MATCH($C252,Src_SYSHECF_nuclear!$C$5:$C$292,0))*$E252),Keys!$C$5),Keys!$C$4)</f>
        <v>1.0631999999999999</v>
      </c>
      <c r="Q252">
        <f>IF($D252=1,ROUND(Keys!$C$2/(INDEX(Src_SYSHECF_nuclear!$O$5:$O$292,MATCH($C252,Src_SYSHECF_nuclear!$C$5:$C$292,0))*$E252),Keys!$C$5),Keys!$C$4)</f>
        <v>1.0631999999999999</v>
      </c>
      <c r="R252">
        <f>IF($D252=1,ROUND(Keys!$C$2/(INDEX(Src_SYSHECF_nuclear!$P$5:$P$292,MATCH($C252,Src_SYSHECF_nuclear!$C$5:$C$292,0))*$E252),Keys!$C$5),Keys!$C$4)</f>
        <v>1.0631999999999999</v>
      </c>
      <c r="S252">
        <f>IF($D252=1,ROUND(Keys!$C$2/(INDEX(Src_SYSHECF_nuclear!$Q$5:$Q$292,MATCH($C252,Src_SYSHECF_nuclear!$C$5:$C$292,0))*$E252),Keys!$C$5),Keys!$C$4)</f>
        <v>1.0631999999999999</v>
      </c>
      <c r="T252">
        <f>IF($D252=1,ROUND(Keys!$C$2/(INDEX(Src_SYSHECF_nuclear!$R$5:$R$292,MATCH($C252,Src_SYSHECF_nuclear!$C$5:$C$292,0))*$E252),Keys!$C$5),Keys!$C$4)</f>
        <v>1.0631999999999999</v>
      </c>
      <c r="U252">
        <f>IF($D252=1,ROUND(Keys!$C$2/(INDEX(Src_SYSHECF_nuclear!$S$5:$S$292,MATCH($C252,Src_SYSHECF_nuclear!$C$5:$C$292,0))*$E252),Keys!$C$5),Keys!$C$4)</f>
        <v>1.0631999999999999</v>
      </c>
      <c r="V252">
        <f>IF($D252=1,ROUND(Keys!$C$2/(INDEX(Src_SYSHECF_nuclear!$T$5:$T$292,MATCH($C252,Src_SYSHECF_nuclear!$C$5:$C$292,0))*$E252),Keys!$C$5),Keys!$C$4)</f>
        <v>1.0631999999999999</v>
      </c>
      <c r="W252">
        <f>IF($D252=1,ROUND(Keys!$C$2/(INDEX(Src_SYSHECF_nuclear!$U$5:$U$292,MATCH($C252,Src_SYSHECF_nuclear!$C$5:$C$292,0))*$E252),Keys!$C$5),Keys!$C$4)</f>
        <v>1.0631999999999999</v>
      </c>
      <c r="X252">
        <f>IF($D252=1,ROUND(Keys!$C$2/(INDEX(Src_SYSHECF_nuclear!$V$5:$V$292,MATCH($C252,Src_SYSHECF_nuclear!$C$5:$C$292,0))*$E252),Keys!$C$5),Keys!$C$4)</f>
        <v>1.0631999999999999</v>
      </c>
      <c r="Y252">
        <f>IF($D252=1,ROUND(Keys!$C$2/(INDEX(Src_SYSHECF_nuclear!$W$5:$W$292,MATCH($C252,Src_SYSHECF_nuclear!$C$5:$C$292,0))*$E252),Keys!$C$5),Keys!$C$4)</f>
        <v>1.0631999999999999</v>
      </c>
      <c r="Z252">
        <f>IF($D252=1,ROUND(Keys!$C$2/(INDEX(Src_SYSHECF_nuclear!$X$5:$X$292,MATCH($C252,Src_SYSHECF_nuclear!$C$5:$C$292,0))*$E252),Keys!$C$5),Keys!$C$4)</f>
        <v>1.0631999999999999</v>
      </c>
      <c r="AA252">
        <f>IF($D252=1,ROUND(Keys!$C$2/(INDEX(Src_SYSHECF_nuclear!$Y$5:$Y$292,MATCH($C252,Src_SYSHECF_nuclear!$C$5:$C$292,0))*$E252),Keys!$C$5),Keys!$C$4)</f>
        <v>1.0631999999999999</v>
      </c>
      <c r="AB252">
        <f>IF($D252=1,ROUND(Keys!$C$2/(INDEX(Src_SYSHECF_nuclear!$Z$5:$Z$292,MATCH($C252,Src_SYSHECF_nuclear!$C$5:$C$292,0))*$E252),Keys!$C$5),Keys!$C$4)</f>
        <v>1.0631999999999999</v>
      </c>
      <c r="AC252">
        <f>IF($D252=1,ROUND(Keys!$C$2/(INDEX(Src_SYSHECF_nuclear!$AA$5:$AA$292,MATCH($C252,Src_SYSHECF_nuclear!$C$5:$C$292,0))*$E252),Keys!$C$5),Keys!$C$4)</f>
        <v>1.0631999999999999</v>
      </c>
      <c r="AE252">
        <f>IF($D252=1,IF(ABS(INDEX(Src_SYSHECF_nuclear!$D$5:$D$292,MATCH($C252,Src_SYSHECF_nuclear!$C$5:$C$292,0))*$E252*F252-Keys!$C$2)&gt;Keys!$C$6,1,0),0)</f>
        <v>0</v>
      </c>
    </row>
    <row r="253" spans="1:31" x14ac:dyDescent="0.45">
      <c r="A253" t="s">
        <v>88</v>
      </c>
      <c r="B253" t="s">
        <v>429</v>
      </c>
      <c r="C253" t="str">
        <f t="shared" si="4"/>
        <v>OH|Winter Peak</v>
      </c>
      <c r="D253">
        <f>INDEX(Src_BHRaSYC_nuclear!$HF$5:$HF$52,MATCH($A253,Src_BHRaSYC_nuclear!$A$5:$A$52,0))</f>
        <v>1</v>
      </c>
      <c r="E253">
        <f>INDEX(Src_HYECFCA_nuclear!$B$5:$B$52,MATCH($A253,Src_HYECFCA_nuclear!$A$5:$A$52,0))</f>
        <v>0.97707100000000002</v>
      </c>
      <c r="F253">
        <f>IF($D253=1,ROUND(Keys!$C$2/(INDEX(Src_SYSHECF_nuclear!$D$5:$D$292,MATCH($C253,Src_SYSHECF_nuclear!$C$5:$C$292,0))*$E253),Keys!$C$5),Keys!$C$4)</f>
        <v>1.0631999999999999</v>
      </c>
      <c r="G253">
        <f>IF($D253=1,ROUND(Keys!$C$2/(INDEX(Src_SYSHECF_nuclear!$E$5:$E$292,MATCH($C253,Src_SYSHECF_nuclear!$C$5:$C$292,0))*$E253),Keys!$C$5),Keys!$C$4)</f>
        <v>1.0631999999999999</v>
      </c>
      <c r="H253">
        <f>IF($D253=1,ROUND(Keys!$C$2/(INDEX(Src_SYSHECF_nuclear!$F$5:$F$292,MATCH($C253,Src_SYSHECF_nuclear!$C$5:$C$292,0))*$E253),Keys!$C$5),Keys!$C$4)</f>
        <v>1.0631999999999999</v>
      </c>
      <c r="I253">
        <f>IF($D253=1,ROUND(Keys!$C$2/(INDEX(Src_SYSHECF_nuclear!$G$5:$G$292,MATCH($C253,Src_SYSHECF_nuclear!$C$5:$C$292,0))*$E253),Keys!$C$5),Keys!$C$4)</f>
        <v>1.0631999999999999</v>
      </c>
      <c r="J253">
        <f>IF($D253=1,ROUND(Keys!$C$2/(INDEX(Src_SYSHECF_nuclear!$H$5:$H$292,MATCH($C253,Src_SYSHECF_nuclear!$C$5:$C$292,0))*$E253),Keys!$C$5),Keys!$C$4)</f>
        <v>1.0631999999999999</v>
      </c>
      <c r="K253">
        <f>IF($D253=1,ROUND(Keys!$C$2/(INDEX(Src_SYSHECF_nuclear!$I$5:$I$292,MATCH($C253,Src_SYSHECF_nuclear!$C$5:$C$292,0))*$E253),Keys!$C$5),Keys!$C$4)</f>
        <v>1.0631999999999999</v>
      </c>
      <c r="L253">
        <f>IF($D253=1,ROUND(Keys!$C$2/(INDEX(Src_SYSHECF_nuclear!$J$5:$J$292,MATCH($C253,Src_SYSHECF_nuclear!$C$5:$C$292,0))*$E253),Keys!$C$5),Keys!$C$4)</f>
        <v>1.0631999999999999</v>
      </c>
      <c r="M253">
        <f>IF($D253=1,ROUND(Keys!$C$2/(INDEX(Src_SYSHECF_nuclear!$K$5:$K$292,MATCH($C253,Src_SYSHECF_nuclear!$C$5:$C$292,0))*$E253),Keys!$C$5),Keys!$C$4)</f>
        <v>1.0631999999999999</v>
      </c>
      <c r="N253">
        <f>IF($D253=1,ROUND(Keys!$C$2/(INDEX(Src_SYSHECF_nuclear!$L$5:$L$292,MATCH($C253,Src_SYSHECF_nuclear!$C$5:$C$292,0))*$E253),Keys!$C$5),Keys!$C$4)</f>
        <v>1.0631999999999999</v>
      </c>
      <c r="O253">
        <f>IF($D253=1,ROUND(Keys!$C$2/(INDEX(Src_SYSHECF_nuclear!$M$5:$M$292,MATCH($C253,Src_SYSHECF_nuclear!$C$5:$C$292,0))*$E253),Keys!$C$5),Keys!$C$4)</f>
        <v>1.0631999999999999</v>
      </c>
      <c r="P253">
        <f>IF($D253=1,ROUND(Keys!$C$2/(INDEX(Src_SYSHECF_nuclear!$N$5:$N$292,MATCH($C253,Src_SYSHECF_nuclear!$C$5:$C$292,0))*$E253),Keys!$C$5),Keys!$C$4)</f>
        <v>1.0631999999999999</v>
      </c>
      <c r="Q253">
        <f>IF($D253=1,ROUND(Keys!$C$2/(INDEX(Src_SYSHECF_nuclear!$O$5:$O$292,MATCH($C253,Src_SYSHECF_nuclear!$C$5:$C$292,0))*$E253),Keys!$C$5),Keys!$C$4)</f>
        <v>1.0631999999999999</v>
      </c>
      <c r="R253">
        <f>IF($D253=1,ROUND(Keys!$C$2/(INDEX(Src_SYSHECF_nuclear!$P$5:$P$292,MATCH($C253,Src_SYSHECF_nuclear!$C$5:$C$292,0))*$E253),Keys!$C$5),Keys!$C$4)</f>
        <v>1.0631999999999999</v>
      </c>
      <c r="S253">
        <f>IF($D253=1,ROUND(Keys!$C$2/(INDEX(Src_SYSHECF_nuclear!$Q$5:$Q$292,MATCH($C253,Src_SYSHECF_nuclear!$C$5:$C$292,0))*$E253),Keys!$C$5),Keys!$C$4)</f>
        <v>1.0631999999999999</v>
      </c>
      <c r="T253">
        <f>IF($D253=1,ROUND(Keys!$C$2/(INDEX(Src_SYSHECF_nuclear!$R$5:$R$292,MATCH($C253,Src_SYSHECF_nuclear!$C$5:$C$292,0))*$E253),Keys!$C$5),Keys!$C$4)</f>
        <v>1.0631999999999999</v>
      </c>
      <c r="U253">
        <f>IF($D253=1,ROUND(Keys!$C$2/(INDEX(Src_SYSHECF_nuclear!$S$5:$S$292,MATCH($C253,Src_SYSHECF_nuclear!$C$5:$C$292,0))*$E253),Keys!$C$5),Keys!$C$4)</f>
        <v>1.0631999999999999</v>
      </c>
      <c r="V253">
        <f>IF($D253=1,ROUND(Keys!$C$2/(INDEX(Src_SYSHECF_nuclear!$T$5:$T$292,MATCH($C253,Src_SYSHECF_nuclear!$C$5:$C$292,0))*$E253),Keys!$C$5),Keys!$C$4)</f>
        <v>1.0631999999999999</v>
      </c>
      <c r="W253">
        <f>IF($D253=1,ROUND(Keys!$C$2/(INDEX(Src_SYSHECF_nuclear!$U$5:$U$292,MATCH($C253,Src_SYSHECF_nuclear!$C$5:$C$292,0))*$E253),Keys!$C$5),Keys!$C$4)</f>
        <v>1.0631999999999999</v>
      </c>
      <c r="X253">
        <f>IF($D253=1,ROUND(Keys!$C$2/(INDEX(Src_SYSHECF_nuclear!$V$5:$V$292,MATCH($C253,Src_SYSHECF_nuclear!$C$5:$C$292,0))*$E253),Keys!$C$5),Keys!$C$4)</f>
        <v>1.0631999999999999</v>
      </c>
      <c r="Y253">
        <f>IF($D253=1,ROUND(Keys!$C$2/(INDEX(Src_SYSHECF_nuclear!$W$5:$W$292,MATCH($C253,Src_SYSHECF_nuclear!$C$5:$C$292,0))*$E253),Keys!$C$5),Keys!$C$4)</f>
        <v>1.0631999999999999</v>
      </c>
      <c r="Z253">
        <f>IF($D253=1,ROUND(Keys!$C$2/(INDEX(Src_SYSHECF_nuclear!$X$5:$X$292,MATCH($C253,Src_SYSHECF_nuclear!$C$5:$C$292,0))*$E253),Keys!$C$5),Keys!$C$4)</f>
        <v>1.0631999999999999</v>
      </c>
      <c r="AA253">
        <f>IF($D253=1,ROUND(Keys!$C$2/(INDEX(Src_SYSHECF_nuclear!$Y$5:$Y$292,MATCH($C253,Src_SYSHECF_nuclear!$C$5:$C$292,0))*$E253),Keys!$C$5),Keys!$C$4)</f>
        <v>1.0631999999999999</v>
      </c>
      <c r="AB253">
        <f>IF($D253=1,ROUND(Keys!$C$2/(INDEX(Src_SYSHECF_nuclear!$Z$5:$Z$292,MATCH($C253,Src_SYSHECF_nuclear!$C$5:$C$292,0))*$E253),Keys!$C$5),Keys!$C$4)</f>
        <v>1.0631999999999999</v>
      </c>
      <c r="AC253">
        <f>IF($D253=1,ROUND(Keys!$C$2/(INDEX(Src_SYSHECF_nuclear!$AA$5:$AA$292,MATCH($C253,Src_SYSHECF_nuclear!$C$5:$C$292,0))*$E253),Keys!$C$5),Keys!$C$4)</f>
        <v>1.0631999999999999</v>
      </c>
      <c r="AE253">
        <f>IF($D253=1,IF(ABS(INDEX(Src_SYSHECF_nuclear!$D$5:$D$292,MATCH($C253,Src_SYSHECF_nuclear!$C$5:$C$292,0))*$E253*F253-Keys!$C$2)&gt;Keys!$C$6,1,0),0)</f>
        <v>0</v>
      </c>
    </row>
    <row r="254" spans="1:31" x14ac:dyDescent="0.45">
      <c r="A254" t="s">
        <v>90</v>
      </c>
      <c r="B254" t="s">
        <v>424</v>
      </c>
      <c r="C254" t="str">
        <f t="shared" si="4"/>
        <v>OK|Winter</v>
      </c>
      <c r="D254">
        <f>INDEX(Src_BHRaSYC_nuclear!$HF$5:$HF$52,MATCH($A254,Src_BHRaSYC_nuclear!$A$5:$A$52,0))</f>
        <v>0</v>
      </c>
      <c r="E254">
        <f>INDEX(Src_HYECFCA_nuclear!$B$5:$B$52,MATCH($A254,Src_HYECFCA_nuclear!$A$5:$A$52,0))</f>
        <v>1</v>
      </c>
      <c r="F254">
        <f>IF($D254=1,ROUND(Keys!$C$2/(INDEX(Src_SYSHECF_nuclear!$D$5:$D$292,MATCH($C254,Src_SYSHECF_nuclear!$C$5:$C$292,0))*$E254),Keys!$C$5),Keys!$C$4)</f>
        <v>0.9</v>
      </c>
      <c r="G254">
        <f>IF($D254=1,ROUND(Keys!$C$2/(INDEX(Src_SYSHECF_nuclear!$E$5:$E$292,MATCH($C254,Src_SYSHECF_nuclear!$C$5:$C$292,0))*$E254),Keys!$C$5),Keys!$C$4)</f>
        <v>0.9</v>
      </c>
      <c r="H254">
        <f>IF($D254=1,ROUND(Keys!$C$2/(INDEX(Src_SYSHECF_nuclear!$F$5:$F$292,MATCH($C254,Src_SYSHECF_nuclear!$C$5:$C$292,0))*$E254),Keys!$C$5),Keys!$C$4)</f>
        <v>0.9</v>
      </c>
      <c r="I254">
        <f>IF($D254=1,ROUND(Keys!$C$2/(INDEX(Src_SYSHECF_nuclear!$G$5:$G$292,MATCH($C254,Src_SYSHECF_nuclear!$C$5:$C$292,0))*$E254),Keys!$C$5),Keys!$C$4)</f>
        <v>0.9</v>
      </c>
      <c r="J254">
        <f>IF($D254=1,ROUND(Keys!$C$2/(INDEX(Src_SYSHECF_nuclear!$H$5:$H$292,MATCH($C254,Src_SYSHECF_nuclear!$C$5:$C$292,0))*$E254),Keys!$C$5),Keys!$C$4)</f>
        <v>0.9</v>
      </c>
      <c r="K254">
        <f>IF($D254=1,ROUND(Keys!$C$2/(INDEX(Src_SYSHECF_nuclear!$I$5:$I$292,MATCH($C254,Src_SYSHECF_nuclear!$C$5:$C$292,0))*$E254),Keys!$C$5),Keys!$C$4)</f>
        <v>0.9</v>
      </c>
      <c r="L254">
        <f>IF($D254=1,ROUND(Keys!$C$2/(INDEX(Src_SYSHECF_nuclear!$J$5:$J$292,MATCH($C254,Src_SYSHECF_nuclear!$C$5:$C$292,0))*$E254),Keys!$C$5),Keys!$C$4)</f>
        <v>0.9</v>
      </c>
      <c r="M254">
        <f>IF($D254=1,ROUND(Keys!$C$2/(INDEX(Src_SYSHECF_nuclear!$K$5:$K$292,MATCH($C254,Src_SYSHECF_nuclear!$C$5:$C$292,0))*$E254),Keys!$C$5),Keys!$C$4)</f>
        <v>0.9</v>
      </c>
      <c r="N254">
        <f>IF($D254=1,ROUND(Keys!$C$2/(INDEX(Src_SYSHECF_nuclear!$L$5:$L$292,MATCH($C254,Src_SYSHECF_nuclear!$C$5:$C$292,0))*$E254),Keys!$C$5),Keys!$C$4)</f>
        <v>0.9</v>
      </c>
      <c r="O254">
        <f>IF($D254=1,ROUND(Keys!$C$2/(INDEX(Src_SYSHECF_nuclear!$M$5:$M$292,MATCH($C254,Src_SYSHECF_nuclear!$C$5:$C$292,0))*$E254),Keys!$C$5),Keys!$C$4)</f>
        <v>0.9</v>
      </c>
      <c r="P254">
        <f>IF($D254=1,ROUND(Keys!$C$2/(INDEX(Src_SYSHECF_nuclear!$N$5:$N$292,MATCH($C254,Src_SYSHECF_nuclear!$C$5:$C$292,0))*$E254),Keys!$C$5),Keys!$C$4)</f>
        <v>0.9</v>
      </c>
      <c r="Q254">
        <f>IF($D254=1,ROUND(Keys!$C$2/(INDEX(Src_SYSHECF_nuclear!$O$5:$O$292,MATCH($C254,Src_SYSHECF_nuclear!$C$5:$C$292,0))*$E254),Keys!$C$5),Keys!$C$4)</f>
        <v>0.9</v>
      </c>
      <c r="R254">
        <f>IF($D254=1,ROUND(Keys!$C$2/(INDEX(Src_SYSHECF_nuclear!$P$5:$P$292,MATCH($C254,Src_SYSHECF_nuclear!$C$5:$C$292,0))*$E254),Keys!$C$5),Keys!$C$4)</f>
        <v>0.9</v>
      </c>
      <c r="S254">
        <f>IF($D254=1,ROUND(Keys!$C$2/(INDEX(Src_SYSHECF_nuclear!$Q$5:$Q$292,MATCH($C254,Src_SYSHECF_nuclear!$C$5:$C$292,0))*$E254),Keys!$C$5),Keys!$C$4)</f>
        <v>0.9</v>
      </c>
      <c r="T254">
        <f>IF($D254=1,ROUND(Keys!$C$2/(INDEX(Src_SYSHECF_nuclear!$R$5:$R$292,MATCH($C254,Src_SYSHECF_nuclear!$C$5:$C$292,0))*$E254),Keys!$C$5),Keys!$C$4)</f>
        <v>0.9</v>
      </c>
      <c r="U254">
        <f>IF($D254=1,ROUND(Keys!$C$2/(INDEX(Src_SYSHECF_nuclear!$S$5:$S$292,MATCH($C254,Src_SYSHECF_nuclear!$C$5:$C$292,0))*$E254),Keys!$C$5),Keys!$C$4)</f>
        <v>0.9</v>
      </c>
      <c r="V254">
        <f>IF($D254=1,ROUND(Keys!$C$2/(INDEX(Src_SYSHECF_nuclear!$T$5:$T$292,MATCH($C254,Src_SYSHECF_nuclear!$C$5:$C$292,0))*$E254),Keys!$C$5),Keys!$C$4)</f>
        <v>0.9</v>
      </c>
      <c r="W254">
        <f>IF($D254=1,ROUND(Keys!$C$2/(INDEX(Src_SYSHECF_nuclear!$U$5:$U$292,MATCH($C254,Src_SYSHECF_nuclear!$C$5:$C$292,0))*$E254),Keys!$C$5),Keys!$C$4)</f>
        <v>0.9</v>
      </c>
      <c r="X254">
        <f>IF($D254=1,ROUND(Keys!$C$2/(INDEX(Src_SYSHECF_nuclear!$V$5:$V$292,MATCH($C254,Src_SYSHECF_nuclear!$C$5:$C$292,0))*$E254),Keys!$C$5),Keys!$C$4)</f>
        <v>0.9</v>
      </c>
      <c r="Y254">
        <f>IF($D254=1,ROUND(Keys!$C$2/(INDEX(Src_SYSHECF_nuclear!$W$5:$W$292,MATCH($C254,Src_SYSHECF_nuclear!$C$5:$C$292,0))*$E254),Keys!$C$5),Keys!$C$4)</f>
        <v>0.9</v>
      </c>
      <c r="Z254">
        <f>IF($D254=1,ROUND(Keys!$C$2/(INDEX(Src_SYSHECF_nuclear!$X$5:$X$292,MATCH($C254,Src_SYSHECF_nuclear!$C$5:$C$292,0))*$E254),Keys!$C$5),Keys!$C$4)</f>
        <v>0.9</v>
      </c>
      <c r="AA254">
        <f>IF($D254=1,ROUND(Keys!$C$2/(INDEX(Src_SYSHECF_nuclear!$Y$5:$Y$292,MATCH($C254,Src_SYSHECF_nuclear!$C$5:$C$292,0))*$E254),Keys!$C$5),Keys!$C$4)</f>
        <v>0.9</v>
      </c>
      <c r="AB254">
        <f>IF($D254=1,ROUND(Keys!$C$2/(INDEX(Src_SYSHECF_nuclear!$Z$5:$Z$292,MATCH($C254,Src_SYSHECF_nuclear!$C$5:$C$292,0))*$E254),Keys!$C$5),Keys!$C$4)</f>
        <v>0.9</v>
      </c>
      <c r="AC254">
        <f>IF($D254=1,ROUND(Keys!$C$2/(INDEX(Src_SYSHECF_nuclear!$AA$5:$AA$292,MATCH($C254,Src_SYSHECF_nuclear!$C$5:$C$292,0))*$E254),Keys!$C$5),Keys!$C$4)</f>
        <v>0.9</v>
      </c>
      <c r="AE254">
        <f>IF($D254=1,IF(ABS(INDEX(Src_SYSHECF_nuclear!$D$5:$D$292,MATCH($C254,Src_SYSHECF_nuclear!$C$5:$C$292,0))*$E254*F254-Keys!$C$2)&gt;Keys!$C$6,1,0),0)</f>
        <v>0</v>
      </c>
    </row>
    <row r="255" spans="1:31" x14ac:dyDescent="0.45">
      <c r="A255" t="s">
        <v>90</v>
      </c>
      <c r="B255" t="s">
        <v>425</v>
      </c>
      <c r="C255" t="str">
        <f t="shared" si="4"/>
        <v>OK|Spring</v>
      </c>
      <c r="D255">
        <f>INDEX(Src_BHRaSYC_nuclear!$HF$5:$HF$52,MATCH($A255,Src_BHRaSYC_nuclear!$A$5:$A$52,0))</f>
        <v>0</v>
      </c>
      <c r="E255">
        <f>INDEX(Src_HYECFCA_nuclear!$B$5:$B$52,MATCH($A255,Src_HYECFCA_nuclear!$A$5:$A$52,0))</f>
        <v>1</v>
      </c>
      <c r="F255">
        <f>IF($D255=1,ROUND(Keys!$C$2/(INDEX(Src_SYSHECF_nuclear!$D$5:$D$292,MATCH($C255,Src_SYSHECF_nuclear!$C$5:$C$292,0))*$E255),Keys!$C$5),Keys!$C$4)</f>
        <v>0.9</v>
      </c>
      <c r="G255">
        <f>IF($D255=1,ROUND(Keys!$C$2/(INDEX(Src_SYSHECF_nuclear!$E$5:$E$292,MATCH($C255,Src_SYSHECF_nuclear!$C$5:$C$292,0))*$E255),Keys!$C$5),Keys!$C$4)</f>
        <v>0.9</v>
      </c>
      <c r="H255">
        <f>IF($D255=1,ROUND(Keys!$C$2/(INDEX(Src_SYSHECF_nuclear!$F$5:$F$292,MATCH($C255,Src_SYSHECF_nuclear!$C$5:$C$292,0))*$E255),Keys!$C$5),Keys!$C$4)</f>
        <v>0.9</v>
      </c>
      <c r="I255">
        <f>IF($D255=1,ROUND(Keys!$C$2/(INDEX(Src_SYSHECF_nuclear!$G$5:$G$292,MATCH($C255,Src_SYSHECF_nuclear!$C$5:$C$292,0))*$E255),Keys!$C$5),Keys!$C$4)</f>
        <v>0.9</v>
      </c>
      <c r="J255">
        <f>IF($D255=1,ROUND(Keys!$C$2/(INDEX(Src_SYSHECF_nuclear!$H$5:$H$292,MATCH($C255,Src_SYSHECF_nuclear!$C$5:$C$292,0))*$E255),Keys!$C$5),Keys!$C$4)</f>
        <v>0.9</v>
      </c>
      <c r="K255">
        <f>IF($D255=1,ROUND(Keys!$C$2/(INDEX(Src_SYSHECF_nuclear!$I$5:$I$292,MATCH($C255,Src_SYSHECF_nuclear!$C$5:$C$292,0))*$E255),Keys!$C$5),Keys!$C$4)</f>
        <v>0.9</v>
      </c>
      <c r="L255">
        <f>IF($D255=1,ROUND(Keys!$C$2/(INDEX(Src_SYSHECF_nuclear!$J$5:$J$292,MATCH($C255,Src_SYSHECF_nuclear!$C$5:$C$292,0))*$E255),Keys!$C$5),Keys!$C$4)</f>
        <v>0.9</v>
      </c>
      <c r="M255">
        <f>IF($D255=1,ROUND(Keys!$C$2/(INDEX(Src_SYSHECF_nuclear!$K$5:$K$292,MATCH($C255,Src_SYSHECF_nuclear!$C$5:$C$292,0))*$E255),Keys!$C$5),Keys!$C$4)</f>
        <v>0.9</v>
      </c>
      <c r="N255">
        <f>IF($D255=1,ROUND(Keys!$C$2/(INDEX(Src_SYSHECF_nuclear!$L$5:$L$292,MATCH($C255,Src_SYSHECF_nuclear!$C$5:$C$292,0))*$E255),Keys!$C$5),Keys!$C$4)</f>
        <v>0.9</v>
      </c>
      <c r="O255">
        <f>IF($D255=1,ROUND(Keys!$C$2/(INDEX(Src_SYSHECF_nuclear!$M$5:$M$292,MATCH($C255,Src_SYSHECF_nuclear!$C$5:$C$292,0))*$E255),Keys!$C$5),Keys!$C$4)</f>
        <v>0.9</v>
      </c>
      <c r="P255">
        <f>IF($D255=1,ROUND(Keys!$C$2/(INDEX(Src_SYSHECF_nuclear!$N$5:$N$292,MATCH($C255,Src_SYSHECF_nuclear!$C$5:$C$292,0))*$E255),Keys!$C$5),Keys!$C$4)</f>
        <v>0.9</v>
      </c>
      <c r="Q255">
        <f>IF($D255=1,ROUND(Keys!$C$2/(INDEX(Src_SYSHECF_nuclear!$O$5:$O$292,MATCH($C255,Src_SYSHECF_nuclear!$C$5:$C$292,0))*$E255),Keys!$C$5),Keys!$C$4)</f>
        <v>0.9</v>
      </c>
      <c r="R255">
        <f>IF($D255=1,ROUND(Keys!$C$2/(INDEX(Src_SYSHECF_nuclear!$P$5:$P$292,MATCH($C255,Src_SYSHECF_nuclear!$C$5:$C$292,0))*$E255),Keys!$C$5),Keys!$C$4)</f>
        <v>0.9</v>
      </c>
      <c r="S255">
        <f>IF($D255=1,ROUND(Keys!$C$2/(INDEX(Src_SYSHECF_nuclear!$Q$5:$Q$292,MATCH($C255,Src_SYSHECF_nuclear!$C$5:$C$292,0))*$E255),Keys!$C$5),Keys!$C$4)</f>
        <v>0.9</v>
      </c>
      <c r="T255">
        <f>IF($D255=1,ROUND(Keys!$C$2/(INDEX(Src_SYSHECF_nuclear!$R$5:$R$292,MATCH($C255,Src_SYSHECF_nuclear!$C$5:$C$292,0))*$E255),Keys!$C$5),Keys!$C$4)</f>
        <v>0.9</v>
      </c>
      <c r="U255">
        <f>IF($D255=1,ROUND(Keys!$C$2/(INDEX(Src_SYSHECF_nuclear!$S$5:$S$292,MATCH($C255,Src_SYSHECF_nuclear!$C$5:$C$292,0))*$E255),Keys!$C$5),Keys!$C$4)</f>
        <v>0.9</v>
      </c>
      <c r="V255">
        <f>IF($D255=1,ROUND(Keys!$C$2/(INDEX(Src_SYSHECF_nuclear!$T$5:$T$292,MATCH($C255,Src_SYSHECF_nuclear!$C$5:$C$292,0))*$E255),Keys!$C$5),Keys!$C$4)</f>
        <v>0.9</v>
      </c>
      <c r="W255">
        <f>IF($D255=1,ROUND(Keys!$C$2/(INDEX(Src_SYSHECF_nuclear!$U$5:$U$292,MATCH($C255,Src_SYSHECF_nuclear!$C$5:$C$292,0))*$E255),Keys!$C$5),Keys!$C$4)</f>
        <v>0.9</v>
      </c>
      <c r="X255">
        <f>IF($D255=1,ROUND(Keys!$C$2/(INDEX(Src_SYSHECF_nuclear!$V$5:$V$292,MATCH($C255,Src_SYSHECF_nuclear!$C$5:$C$292,0))*$E255),Keys!$C$5),Keys!$C$4)</f>
        <v>0.9</v>
      </c>
      <c r="Y255">
        <f>IF($D255=1,ROUND(Keys!$C$2/(INDEX(Src_SYSHECF_nuclear!$W$5:$W$292,MATCH($C255,Src_SYSHECF_nuclear!$C$5:$C$292,0))*$E255),Keys!$C$5),Keys!$C$4)</f>
        <v>0.9</v>
      </c>
      <c r="Z255">
        <f>IF($D255=1,ROUND(Keys!$C$2/(INDEX(Src_SYSHECF_nuclear!$X$5:$X$292,MATCH($C255,Src_SYSHECF_nuclear!$C$5:$C$292,0))*$E255),Keys!$C$5),Keys!$C$4)</f>
        <v>0.9</v>
      </c>
      <c r="AA255">
        <f>IF($D255=1,ROUND(Keys!$C$2/(INDEX(Src_SYSHECF_nuclear!$Y$5:$Y$292,MATCH($C255,Src_SYSHECF_nuclear!$C$5:$C$292,0))*$E255),Keys!$C$5),Keys!$C$4)</f>
        <v>0.9</v>
      </c>
      <c r="AB255">
        <f>IF($D255=1,ROUND(Keys!$C$2/(INDEX(Src_SYSHECF_nuclear!$Z$5:$Z$292,MATCH($C255,Src_SYSHECF_nuclear!$C$5:$C$292,0))*$E255),Keys!$C$5),Keys!$C$4)</f>
        <v>0.9</v>
      </c>
      <c r="AC255">
        <f>IF($D255=1,ROUND(Keys!$C$2/(INDEX(Src_SYSHECF_nuclear!$AA$5:$AA$292,MATCH($C255,Src_SYSHECF_nuclear!$C$5:$C$292,0))*$E255),Keys!$C$5),Keys!$C$4)</f>
        <v>0.9</v>
      </c>
      <c r="AE255">
        <f>IF($D255=1,IF(ABS(INDEX(Src_SYSHECF_nuclear!$D$5:$D$292,MATCH($C255,Src_SYSHECF_nuclear!$C$5:$C$292,0))*$E255*F255-Keys!$C$2)&gt;Keys!$C$6,1,0),0)</f>
        <v>0</v>
      </c>
    </row>
    <row r="256" spans="1:31" x14ac:dyDescent="0.45">
      <c r="A256" t="s">
        <v>90</v>
      </c>
      <c r="B256" t="s">
        <v>426</v>
      </c>
      <c r="C256" t="str">
        <f t="shared" si="4"/>
        <v>OK|Summer</v>
      </c>
      <c r="D256">
        <f>INDEX(Src_BHRaSYC_nuclear!$HF$5:$HF$52,MATCH($A256,Src_BHRaSYC_nuclear!$A$5:$A$52,0))</f>
        <v>0</v>
      </c>
      <c r="E256">
        <f>INDEX(Src_HYECFCA_nuclear!$B$5:$B$52,MATCH($A256,Src_HYECFCA_nuclear!$A$5:$A$52,0))</f>
        <v>1</v>
      </c>
      <c r="F256">
        <f>IF($D256=1,ROUND(Keys!$C$2/(INDEX(Src_SYSHECF_nuclear!$D$5:$D$292,MATCH($C256,Src_SYSHECF_nuclear!$C$5:$C$292,0))*$E256),Keys!$C$5),Keys!$C$4)</f>
        <v>0.9</v>
      </c>
      <c r="G256">
        <f>IF($D256=1,ROUND(Keys!$C$2/(INDEX(Src_SYSHECF_nuclear!$E$5:$E$292,MATCH($C256,Src_SYSHECF_nuclear!$C$5:$C$292,0))*$E256),Keys!$C$5),Keys!$C$4)</f>
        <v>0.9</v>
      </c>
      <c r="H256">
        <f>IF($D256=1,ROUND(Keys!$C$2/(INDEX(Src_SYSHECF_nuclear!$F$5:$F$292,MATCH($C256,Src_SYSHECF_nuclear!$C$5:$C$292,0))*$E256),Keys!$C$5),Keys!$C$4)</f>
        <v>0.9</v>
      </c>
      <c r="I256">
        <f>IF($D256=1,ROUND(Keys!$C$2/(INDEX(Src_SYSHECF_nuclear!$G$5:$G$292,MATCH($C256,Src_SYSHECF_nuclear!$C$5:$C$292,0))*$E256),Keys!$C$5),Keys!$C$4)</f>
        <v>0.9</v>
      </c>
      <c r="J256">
        <f>IF($D256=1,ROUND(Keys!$C$2/(INDEX(Src_SYSHECF_nuclear!$H$5:$H$292,MATCH($C256,Src_SYSHECF_nuclear!$C$5:$C$292,0))*$E256),Keys!$C$5),Keys!$C$4)</f>
        <v>0.9</v>
      </c>
      <c r="K256">
        <f>IF($D256=1,ROUND(Keys!$C$2/(INDEX(Src_SYSHECF_nuclear!$I$5:$I$292,MATCH($C256,Src_SYSHECF_nuclear!$C$5:$C$292,0))*$E256),Keys!$C$5),Keys!$C$4)</f>
        <v>0.9</v>
      </c>
      <c r="L256">
        <f>IF($D256=1,ROUND(Keys!$C$2/(INDEX(Src_SYSHECF_nuclear!$J$5:$J$292,MATCH($C256,Src_SYSHECF_nuclear!$C$5:$C$292,0))*$E256),Keys!$C$5),Keys!$C$4)</f>
        <v>0.9</v>
      </c>
      <c r="M256">
        <f>IF($D256=1,ROUND(Keys!$C$2/(INDEX(Src_SYSHECF_nuclear!$K$5:$K$292,MATCH($C256,Src_SYSHECF_nuclear!$C$5:$C$292,0))*$E256),Keys!$C$5),Keys!$C$4)</f>
        <v>0.9</v>
      </c>
      <c r="N256">
        <f>IF($D256=1,ROUND(Keys!$C$2/(INDEX(Src_SYSHECF_nuclear!$L$5:$L$292,MATCH($C256,Src_SYSHECF_nuclear!$C$5:$C$292,0))*$E256),Keys!$C$5),Keys!$C$4)</f>
        <v>0.9</v>
      </c>
      <c r="O256">
        <f>IF($D256=1,ROUND(Keys!$C$2/(INDEX(Src_SYSHECF_nuclear!$M$5:$M$292,MATCH($C256,Src_SYSHECF_nuclear!$C$5:$C$292,0))*$E256),Keys!$C$5),Keys!$C$4)</f>
        <v>0.9</v>
      </c>
      <c r="P256">
        <f>IF($D256=1,ROUND(Keys!$C$2/(INDEX(Src_SYSHECF_nuclear!$N$5:$N$292,MATCH($C256,Src_SYSHECF_nuclear!$C$5:$C$292,0))*$E256),Keys!$C$5),Keys!$C$4)</f>
        <v>0.9</v>
      </c>
      <c r="Q256">
        <f>IF($D256=1,ROUND(Keys!$C$2/(INDEX(Src_SYSHECF_nuclear!$O$5:$O$292,MATCH($C256,Src_SYSHECF_nuclear!$C$5:$C$292,0))*$E256),Keys!$C$5),Keys!$C$4)</f>
        <v>0.9</v>
      </c>
      <c r="R256">
        <f>IF($D256=1,ROUND(Keys!$C$2/(INDEX(Src_SYSHECF_nuclear!$P$5:$P$292,MATCH($C256,Src_SYSHECF_nuclear!$C$5:$C$292,0))*$E256),Keys!$C$5),Keys!$C$4)</f>
        <v>0.9</v>
      </c>
      <c r="S256">
        <f>IF($D256=1,ROUND(Keys!$C$2/(INDEX(Src_SYSHECF_nuclear!$Q$5:$Q$292,MATCH($C256,Src_SYSHECF_nuclear!$C$5:$C$292,0))*$E256),Keys!$C$5),Keys!$C$4)</f>
        <v>0.9</v>
      </c>
      <c r="T256">
        <f>IF($D256=1,ROUND(Keys!$C$2/(INDEX(Src_SYSHECF_nuclear!$R$5:$R$292,MATCH($C256,Src_SYSHECF_nuclear!$C$5:$C$292,0))*$E256),Keys!$C$5),Keys!$C$4)</f>
        <v>0.9</v>
      </c>
      <c r="U256">
        <f>IF($D256=1,ROUND(Keys!$C$2/(INDEX(Src_SYSHECF_nuclear!$S$5:$S$292,MATCH($C256,Src_SYSHECF_nuclear!$C$5:$C$292,0))*$E256),Keys!$C$5),Keys!$C$4)</f>
        <v>0.9</v>
      </c>
      <c r="V256">
        <f>IF($D256=1,ROUND(Keys!$C$2/(INDEX(Src_SYSHECF_nuclear!$T$5:$T$292,MATCH($C256,Src_SYSHECF_nuclear!$C$5:$C$292,0))*$E256),Keys!$C$5),Keys!$C$4)</f>
        <v>0.9</v>
      </c>
      <c r="W256">
        <f>IF($D256=1,ROUND(Keys!$C$2/(INDEX(Src_SYSHECF_nuclear!$U$5:$U$292,MATCH($C256,Src_SYSHECF_nuclear!$C$5:$C$292,0))*$E256),Keys!$C$5),Keys!$C$4)</f>
        <v>0.9</v>
      </c>
      <c r="X256">
        <f>IF($D256=1,ROUND(Keys!$C$2/(INDEX(Src_SYSHECF_nuclear!$V$5:$V$292,MATCH($C256,Src_SYSHECF_nuclear!$C$5:$C$292,0))*$E256),Keys!$C$5),Keys!$C$4)</f>
        <v>0.9</v>
      </c>
      <c r="Y256">
        <f>IF($D256=1,ROUND(Keys!$C$2/(INDEX(Src_SYSHECF_nuclear!$W$5:$W$292,MATCH($C256,Src_SYSHECF_nuclear!$C$5:$C$292,0))*$E256),Keys!$C$5),Keys!$C$4)</f>
        <v>0.9</v>
      </c>
      <c r="Z256">
        <f>IF($D256=1,ROUND(Keys!$C$2/(INDEX(Src_SYSHECF_nuclear!$X$5:$X$292,MATCH($C256,Src_SYSHECF_nuclear!$C$5:$C$292,0))*$E256),Keys!$C$5),Keys!$C$4)</f>
        <v>0.9</v>
      </c>
      <c r="AA256">
        <f>IF($D256=1,ROUND(Keys!$C$2/(INDEX(Src_SYSHECF_nuclear!$Y$5:$Y$292,MATCH($C256,Src_SYSHECF_nuclear!$C$5:$C$292,0))*$E256),Keys!$C$5),Keys!$C$4)</f>
        <v>0.9</v>
      </c>
      <c r="AB256">
        <f>IF($D256=1,ROUND(Keys!$C$2/(INDEX(Src_SYSHECF_nuclear!$Z$5:$Z$292,MATCH($C256,Src_SYSHECF_nuclear!$C$5:$C$292,0))*$E256),Keys!$C$5),Keys!$C$4)</f>
        <v>0.9</v>
      </c>
      <c r="AC256">
        <f>IF($D256=1,ROUND(Keys!$C$2/(INDEX(Src_SYSHECF_nuclear!$AA$5:$AA$292,MATCH($C256,Src_SYSHECF_nuclear!$C$5:$C$292,0))*$E256),Keys!$C$5),Keys!$C$4)</f>
        <v>0.9</v>
      </c>
      <c r="AE256">
        <f>IF($D256=1,IF(ABS(INDEX(Src_SYSHECF_nuclear!$D$5:$D$292,MATCH($C256,Src_SYSHECF_nuclear!$C$5:$C$292,0))*$E256*F256-Keys!$C$2)&gt;Keys!$C$6,1,0),0)</f>
        <v>0</v>
      </c>
    </row>
    <row r="257" spans="1:31" x14ac:dyDescent="0.45">
      <c r="A257" t="s">
        <v>90</v>
      </c>
      <c r="B257" t="s">
        <v>427</v>
      </c>
      <c r="C257" t="str">
        <f t="shared" si="4"/>
        <v>OK|Fall</v>
      </c>
      <c r="D257">
        <f>INDEX(Src_BHRaSYC_nuclear!$HF$5:$HF$52,MATCH($A257,Src_BHRaSYC_nuclear!$A$5:$A$52,0))</f>
        <v>0</v>
      </c>
      <c r="E257">
        <f>INDEX(Src_HYECFCA_nuclear!$B$5:$B$52,MATCH($A257,Src_HYECFCA_nuclear!$A$5:$A$52,0))</f>
        <v>1</v>
      </c>
      <c r="F257">
        <f>IF($D257=1,ROUND(Keys!$C$2/(INDEX(Src_SYSHECF_nuclear!$D$5:$D$292,MATCH($C257,Src_SYSHECF_nuclear!$C$5:$C$292,0))*$E257),Keys!$C$5),Keys!$C$4)</f>
        <v>0.9</v>
      </c>
      <c r="G257">
        <f>IF($D257=1,ROUND(Keys!$C$2/(INDEX(Src_SYSHECF_nuclear!$E$5:$E$292,MATCH($C257,Src_SYSHECF_nuclear!$C$5:$C$292,0))*$E257),Keys!$C$5),Keys!$C$4)</f>
        <v>0.9</v>
      </c>
      <c r="H257">
        <f>IF($D257=1,ROUND(Keys!$C$2/(INDEX(Src_SYSHECF_nuclear!$F$5:$F$292,MATCH($C257,Src_SYSHECF_nuclear!$C$5:$C$292,0))*$E257),Keys!$C$5),Keys!$C$4)</f>
        <v>0.9</v>
      </c>
      <c r="I257">
        <f>IF($D257=1,ROUND(Keys!$C$2/(INDEX(Src_SYSHECF_nuclear!$G$5:$G$292,MATCH($C257,Src_SYSHECF_nuclear!$C$5:$C$292,0))*$E257),Keys!$C$5),Keys!$C$4)</f>
        <v>0.9</v>
      </c>
      <c r="J257">
        <f>IF($D257=1,ROUND(Keys!$C$2/(INDEX(Src_SYSHECF_nuclear!$H$5:$H$292,MATCH($C257,Src_SYSHECF_nuclear!$C$5:$C$292,0))*$E257),Keys!$C$5),Keys!$C$4)</f>
        <v>0.9</v>
      </c>
      <c r="K257">
        <f>IF($D257=1,ROUND(Keys!$C$2/(INDEX(Src_SYSHECF_nuclear!$I$5:$I$292,MATCH($C257,Src_SYSHECF_nuclear!$C$5:$C$292,0))*$E257),Keys!$C$5),Keys!$C$4)</f>
        <v>0.9</v>
      </c>
      <c r="L257">
        <f>IF($D257=1,ROUND(Keys!$C$2/(INDEX(Src_SYSHECF_nuclear!$J$5:$J$292,MATCH($C257,Src_SYSHECF_nuclear!$C$5:$C$292,0))*$E257),Keys!$C$5),Keys!$C$4)</f>
        <v>0.9</v>
      </c>
      <c r="M257">
        <f>IF($D257=1,ROUND(Keys!$C$2/(INDEX(Src_SYSHECF_nuclear!$K$5:$K$292,MATCH($C257,Src_SYSHECF_nuclear!$C$5:$C$292,0))*$E257),Keys!$C$5),Keys!$C$4)</f>
        <v>0.9</v>
      </c>
      <c r="N257">
        <f>IF($D257=1,ROUND(Keys!$C$2/(INDEX(Src_SYSHECF_nuclear!$L$5:$L$292,MATCH($C257,Src_SYSHECF_nuclear!$C$5:$C$292,0))*$E257),Keys!$C$5),Keys!$C$4)</f>
        <v>0.9</v>
      </c>
      <c r="O257">
        <f>IF($D257=1,ROUND(Keys!$C$2/(INDEX(Src_SYSHECF_nuclear!$M$5:$M$292,MATCH($C257,Src_SYSHECF_nuclear!$C$5:$C$292,0))*$E257),Keys!$C$5),Keys!$C$4)</f>
        <v>0.9</v>
      </c>
      <c r="P257">
        <f>IF($D257=1,ROUND(Keys!$C$2/(INDEX(Src_SYSHECF_nuclear!$N$5:$N$292,MATCH($C257,Src_SYSHECF_nuclear!$C$5:$C$292,0))*$E257),Keys!$C$5),Keys!$C$4)</f>
        <v>0.9</v>
      </c>
      <c r="Q257">
        <f>IF($D257=1,ROUND(Keys!$C$2/(INDEX(Src_SYSHECF_nuclear!$O$5:$O$292,MATCH($C257,Src_SYSHECF_nuclear!$C$5:$C$292,0))*$E257),Keys!$C$5),Keys!$C$4)</f>
        <v>0.9</v>
      </c>
      <c r="R257">
        <f>IF($D257=1,ROUND(Keys!$C$2/(INDEX(Src_SYSHECF_nuclear!$P$5:$P$292,MATCH($C257,Src_SYSHECF_nuclear!$C$5:$C$292,0))*$E257),Keys!$C$5),Keys!$C$4)</f>
        <v>0.9</v>
      </c>
      <c r="S257">
        <f>IF($D257=1,ROUND(Keys!$C$2/(INDEX(Src_SYSHECF_nuclear!$Q$5:$Q$292,MATCH($C257,Src_SYSHECF_nuclear!$C$5:$C$292,0))*$E257),Keys!$C$5),Keys!$C$4)</f>
        <v>0.9</v>
      </c>
      <c r="T257">
        <f>IF($D257=1,ROUND(Keys!$C$2/(INDEX(Src_SYSHECF_nuclear!$R$5:$R$292,MATCH($C257,Src_SYSHECF_nuclear!$C$5:$C$292,0))*$E257),Keys!$C$5),Keys!$C$4)</f>
        <v>0.9</v>
      </c>
      <c r="U257">
        <f>IF($D257=1,ROUND(Keys!$C$2/(INDEX(Src_SYSHECF_nuclear!$S$5:$S$292,MATCH($C257,Src_SYSHECF_nuclear!$C$5:$C$292,0))*$E257),Keys!$C$5),Keys!$C$4)</f>
        <v>0.9</v>
      </c>
      <c r="V257">
        <f>IF($D257=1,ROUND(Keys!$C$2/(INDEX(Src_SYSHECF_nuclear!$T$5:$T$292,MATCH($C257,Src_SYSHECF_nuclear!$C$5:$C$292,0))*$E257),Keys!$C$5),Keys!$C$4)</f>
        <v>0.9</v>
      </c>
      <c r="W257">
        <f>IF($D257=1,ROUND(Keys!$C$2/(INDEX(Src_SYSHECF_nuclear!$U$5:$U$292,MATCH($C257,Src_SYSHECF_nuclear!$C$5:$C$292,0))*$E257),Keys!$C$5),Keys!$C$4)</f>
        <v>0.9</v>
      </c>
      <c r="X257">
        <f>IF($D257=1,ROUND(Keys!$C$2/(INDEX(Src_SYSHECF_nuclear!$V$5:$V$292,MATCH($C257,Src_SYSHECF_nuclear!$C$5:$C$292,0))*$E257),Keys!$C$5),Keys!$C$4)</f>
        <v>0.9</v>
      </c>
      <c r="Y257">
        <f>IF($D257=1,ROUND(Keys!$C$2/(INDEX(Src_SYSHECF_nuclear!$W$5:$W$292,MATCH($C257,Src_SYSHECF_nuclear!$C$5:$C$292,0))*$E257),Keys!$C$5),Keys!$C$4)</f>
        <v>0.9</v>
      </c>
      <c r="Z257">
        <f>IF($D257=1,ROUND(Keys!$C$2/(INDEX(Src_SYSHECF_nuclear!$X$5:$X$292,MATCH($C257,Src_SYSHECF_nuclear!$C$5:$C$292,0))*$E257),Keys!$C$5),Keys!$C$4)</f>
        <v>0.9</v>
      </c>
      <c r="AA257">
        <f>IF($D257=1,ROUND(Keys!$C$2/(INDEX(Src_SYSHECF_nuclear!$Y$5:$Y$292,MATCH($C257,Src_SYSHECF_nuclear!$C$5:$C$292,0))*$E257),Keys!$C$5),Keys!$C$4)</f>
        <v>0.9</v>
      </c>
      <c r="AB257">
        <f>IF($D257=1,ROUND(Keys!$C$2/(INDEX(Src_SYSHECF_nuclear!$Z$5:$Z$292,MATCH($C257,Src_SYSHECF_nuclear!$C$5:$C$292,0))*$E257),Keys!$C$5),Keys!$C$4)</f>
        <v>0.9</v>
      </c>
      <c r="AC257">
        <f>IF($D257=1,ROUND(Keys!$C$2/(INDEX(Src_SYSHECF_nuclear!$AA$5:$AA$292,MATCH($C257,Src_SYSHECF_nuclear!$C$5:$C$292,0))*$E257),Keys!$C$5),Keys!$C$4)</f>
        <v>0.9</v>
      </c>
      <c r="AE257">
        <f>IF($D257=1,IF(ABS(INDEX(Src_SYSHECF_nuclear!$D$5:$D$292,MATCH($C257,Src_SYSHECF_nuclear!$C$5:$C$292,0))*$E257*F257-Keys!$C$2)&gt;Keys!$C$6,1,0),0)</f>
        <v>0</v>
      </c>
    </row>
    <row r="258" spans="1:31" x14ac:dyDescent="0.45">
      <c r="A258" t="s">
        <v>90</v>
      </c>
      <c r="B258" t="s">
        <v>428</v>
      </c>
      <c r="C258" t="str">
        <f t="shared" si="4"/>
        <v>OK|Summer Peak</v>
      </c>
      <c r="D258">
        <f>INDEX(Src_BHRaSYC_nuclear!$HF$5:$HF$52,MATCH($A258,Src_BHRaSYC_nuclear!$A$5:$A$52,0))</f>
        <v>0</v>
      </c>
      <c r="E258">
        <f>INDEX(Src_HYECFCA_nuclear!$B$5:$B$52,MATCH($A258,Src_HYECFCA_nuclear!$A$5:$A$52,0))</f>
        <v>1</v>
      </c>
      <c r="F258">
        <f>IF($D258=1,ROUND(Keys!$C$2/(INDEX(Src_SYSHECF_nuclear!$D$5:$D$292,MATCH($C258,Src_SYSHECF_nuclear!$C$5:$C$292,0))*$E258),Keys!$C$5),Keys!$C$4)</f>
        <v>0.9</v>
      </c>
      <c r="G258">
        <f>IF($D258=1,ROUND(Keys!$C$2/(INDEX(Src_SYSHECF_nuclear!$E$5:$E$292,MATCH($C258,Src_SYSHECF_nuclear!$C$5:$C$292,0))*$E258),Keys!$C$5),Keys!$C$4)</f>
        <v>0.9</v>
      </c>
      <c r="H258">
        <f>IF($D258=1,ROUND(Keys!$C$2/(INDEX(Src_SYSHECF_nuclear!$F$5:$F$292,MATCH($C258,Src_SYSHECF_nuclear!$C$5:$C$292,0))*$E258),Keys!$C$5),Keys!$C$4)</f>
        <v>0.9</v>
      </c>
      <c r="I258">
        <f>IF($D258=1,ROUND(Keys!$C$2/(INDEX(Src_SYSHECF_nuclear!$G$5:$G$292,MATCH($C258,Src_SYSHECF_nuclear!$C$5:$C$292,0))*$E258),Keys!$C$5),Keys!$C$4)</f>
        <v>0.9</v>
      </c>
      <c r="J258">
        <f>IF($D258=1,ROUND(Keys!$C$2/(INDEX(Src_SYSHECF_nuclear!$H$5:$H$292,MATCH($C258,Src_SYSHECF_nuclear!$C$5:$C$292,0))*$E258),Keys!$C$5),Keys!$C$4)</f>
        <v>0.9</v>
      </c>
      <c r="K258">
        <f>IF($D258=1,ROUND(Keys!$C$2/(INDEX(Src_SYSHECF_nuclear!$I$5:$I$292,MATCH($C258,Src_SYSHECF_nuclear!$C$5:$C$292,0))*$E258),Keys!$C$5),Keys!$C$4)</f>
        <v>0.9</v>
      </c>
      <c r="L258">
        <f>IF($D258=1,ROUND(Keys!$C$2/(INDEX(Src_SYSHECF_nuclear!$J$5:$J$292,MATCH($C258,Src_SYSHECF_nuclear!$C$5:$C$292,0))*$E258),Keys!$C$5),Keys!$C$4)</f>
        <v>0.9</v>
      </c>
      <c r="M258">
        <f>IF($D258=1,ROUND(Keys!$C$2/(INDEX(Src_SYSHECF_nuclear!$K$5:$K$292,MATCH($C258,Src_SYSHECF_nuclear!$C$5:$C$292,0))*$E258),Keys!$C$5),Keys!$C$4)</f>
        <v>0.9</v>
      </c>
      <c r="N258">
        <f>IF($D258=1,ROUND(Keys!$C$2/(INDEX(Src_SYSHECF_nuclear!$L$5:$L$292,MATCH($C258,Src_SYSHECF_nuclear!$C$5:$C$292,0))*$E258),Keys!$C$5),Keys!$C$4)</f>
        <v>0.9</v>
      </c>
      <c r="O258">
        <f>IF($D258=1,ROUND(Keys!$C$2/(INDEX(Src_SYSHECF_nuclear!$M$5:$M$292,MATCH($C258,Src_SYSHECF_nuclear!$C$5:$C$292,0))*$E258),Keys!$C$5),Keys!$C$4)</f>
        <v>0.9</v>
      </c>
      <c r="P258">
        <f>IF($D258=1,ROUND(Keys!$C$2/(INDEX(Src_SYSHECF_nuclear!$N$5:$N$292,MATCH($C258,Src_SYSHECF_nuclear!$C$5:$C$292,0))*$E258),Keys!$C$5),Keys!$C$4)</f>
        <v>0.9</v>
      </c>
      <c r="Q258">
        <f>IF($D258=1,ROUND(Keys!$C$2/(INDEX(Src_SYSHECF_nuclear!$O$5:$O$292,MATCH($C258,Src_SYSHECF_nuclear!$C$5:$C$292,0))*$E258),Keys!$C$5),Keys!$C$4)</f>
        <v>0.9</v>
      </c>
      <c r="R258">
        <f>IF($D258=1,ROUND(Keys!$C$2/(INDEX(Src_SYSHECF_nuclear!$P$5:$P$292,MATCH($C258,Src_SYSHECF_nuclear!$C$5:$C$292,0))*$E258),Keys!$C$5),Keys!$C$4)</f>
        <v>0.9</v>
      </c>
      <c r="S258">
        <f>IF($D258=1,ROUND(Keys!$C$2/(INDEX(Src_SYSHECF_nuclear!$Q$5:$Q$292,MATCH($C258,Src_SYSHECF_nuclear!$C$5:$C$292,0))*$E258),Keys!$C$5),Keys!$C$4)</f>
        <v>0.9</v>
      </c>
      <c r="T258">
        <f>IF($D258=1,ROUND(Keys!$C$2/(INDEX(Src_SYSHECF_nuclear!$R$5:$R$292,MATCH($C258,Src_SYSHECF_nuclear!$C$5:$C$292,0))*$E258),Keys!$C$5),Keys!$C$4)</f>
        <v>0.9</v>
      </c>
      <c r="U258">
        <f>IF($D258=1,ROUND(Keys!$C$2/(INDEX(Src_SYSHECF_nuclear!$S$5:$S$292,MATCH($C258,Src_SYSHECF_nuclear!$C$5:$C$292,0))*$E258),Keys!$C$5),Keys!$C$4)</f>
        <v>0.9</v>
      </c>
      <c r="V258">
        <f>IF($D258=1,ROUND(Keys!$C$2/(INDEX(Src_SYSHECF_nuclear!$T$5:$T$292,MATCH($C258,Src_SYSHECF_nuclear!$C$5:$C$292,0))*$E258),Keys!$C$5),Keys!$C$4)</f>
        <v>0.9</v>
      </c>
      <c r="W258">
        <f>IF($D258=1,ROUND(Keys!$C$2/(INDEX(Src_SYSHECF_nuclear!$U$5:$U$292,MATCH($C258,Src_SYSHECF_nuclear!$C$5:$C$292,0))*$E258),Keys!$C$5),Keys!$C$4)</f>
        <v>0.9</v>
      </c>
      <c r="X258">
        <f>IF($D258=1,ROUND(Keys!$C$2/(INDEX(Src_SYSHECF_nuclear!$V$5:$V$292,MATCH($C258,Src_SYSHECF_nuclear!$C$5:$C$292,0))*$E258),Keys!$C$5),Keys!$C$4)</f>
        <v>0.9</v>
      </c>
      <c r="Y258">
        <f>IF($D258=1,ROUND(Keys!$C$2/(INDEX(Src_SYSHECF_nuclear!$W$5:$W$292,MATCH($C258,Src_SYSHECF_nuclear!$C$5:$C$292,0))*$E258),Keys!$C$5),Keys!$C$4)</f>
        <v>0.9</v>
      </c>
      <c r="Z258">
        <f>IF($D258=1,ROUND(Keys!$C$2/(INDEX(Src_SYSHECF_nuclear!$X$5:$X$292,MATCH($C258,Src_SYSHECF_nuclear!$C$5:$C$292,0))*$E258),Keys!$C$5),Keys!$C$4)</f>
        <v>0.9</v>
      </c>
      <c r="AA258">
        <f>IF($D258=1,ROUND(Keys!$C$2/(INDEX(Src_SYSHECF_nuclear!$Y$5:$Y$292,MATCH($C258,Src_SYSHECF_nuclear!$C$5:$C$292,0))*$E258),Keys!$C$5),Keys!$C$4)</f>
        <v>0.9</v>
      </c>
      <c r="AB258">
        <f>IF($D258=1,ROUND(Keys!$C$2/(INDEX(Src_SYSHECF_nuclear!$Z$5:$Z$292,MATCH($C258,Src_SYSHECF_nuclear!$C$5:$C$292,0))*$E258),Keys!$C$5),Keys!$C$4)</f>
        <v>0.9</v>
      </c>
      <c r="AC258">
        <f>IF($D258=1,ROUND(Keys!$C$2/(INDEX(Src_SYSHECF_nuclear!$AA$5:$AA$292,MATCH($C258,Src_SYSHECF_nuclear!$C$5:$C$292,0))*$E258),Keys!$C$5),Keys!$C$4)</f>
        <v>0.9</v>
      </c>
      <c r="AE258">
        <f>IF($D258=1,IF(ABS(INDEX(Src_SYSHECF_nuclear!$D$5:$D$292,MATCH($C258,Src_SYSHECF_nuclear!$C$5:$C$292,0))*$E258*F258-Keys!$C$2)&gt;Keys!$C$6,1,0),0)</f>
        <v>0</v>
      </c>
    </row>
    <row r="259" spans="1:31" x14ac:dyDescent="0.45">
      <c r="A259" t="s">
        <v>90</v>
      </c>
      <c r="B259" t="s">
        <v>429</v>
      </c>
      <c r="C259" t="str">
        <f t="shared" si="4"/>
        <v>OK|Winter Peak</v>
      </c>
      <c r="D259">
        <f>INDEX(Src_BHRaSYC_nuclear!$HF$5:$HF$52,MATCH($A259,Src_BHRaSYC_nuclear!$A$5:$A$52,0))</f>
        <v>0</v>
      </c>
      <c r="E259">
        <f>INDEX(Src_HYECFCA_nuclear!$B$5:$B$52,MATCH($A259,Src_HYECFCA_nuclear!$A$5:$A$52,0))</f>
        <v>1</v>
      </c>
      <c r="F259">
        <f>IF($D259=1,ROUND(Keys!$C$2/(INDEX(Src_SYSHECF_nuclear!$D$5:$D$292,MATCH($C259,Src_SYSHECF_nuclear!$C$5:$C$292,0))*$E259),Keys!$C$5),Keys!$C$4)</f>
        <v>0.9</v>
      </c>
      <c r="G259">
        <f>IF($D259=1,ROUND(Keys!$C$2/(INDEX(Src_SYSHECF_nuclear!$E$5:$E$292,MATCH($C259,Src_SYSHECF_nuclear!$C$5:$C$292,0))*$E259),Keys!$C$5),Keys!$C$4)</f>
        <v>0.9</v>
      </c>
      <c r="H259">
        <f>IF($D259=1,ROUND(Keys!$C$2/(INDEX(Src_SYSHECF_nuclear!$F$5:$F$292,MATCH($C259,Src_SYSHECF_nuclear!$C$5:$C$292,0))*$E259),Keys!$C$5),Keys!$C$4)</f>
        <v>0.9</v>
      </c>
      <c r="I259">
        <f>IF($D259=1,ROUND(Keys!$C$2/(INDEX(Src_SYSHECF_nuclear!$G$5:$G$292,MATCH($C259,Src_SYSHECF_nuclear!$C$5:$C$292,0))*$E259),Keys!$C$5),Keys!$C$4)</f>
        <v>0.9</v>
      </c>
      <c r="J259">
        <f>IF($D259=1,ROUND(Keys!$C$2/(INDEX(Src_SYSHECF_nuclear!$H$5:$H$292,MATCH($C259,Src_SYSHECF_nuclear!$C$5:$C$292,0))*$E259),Keys!$C$5),Keys!$C$4)</f>
        <v>0.9</v>
      </c>
      <c r="K259">
        <f>IF($D259=1,ROUND(Keys!$C$2/(INDEX(Src_SYSHECF_nuclear!$I$5:$I$292,MATCH($C259,Src_SYSHECF_nuclear!$C$5:$C$292,0))*$E259),Keys!$C$5),Keys!$C$4)</f>
        <v>0.9</v>
      </c>
      <c r="L259">
        <f>IF($D259=1,ROUND(Keys!$C$2/(INDEX(Src_SYSHECF_nuclear!$J$5:$J$292,MATCH($C259,Src_SYSHECF_nuclear!$C$5:$C$292,0))*$E259),Keys!$C$5),Keys!$C$4)</f>
        <v>0.9</v>
      </c>
      <c r="M259">
        <f>IF($D259=1,ROUND(Keys!$C$2/(INDEX(Src_SYSHECF_nuclear!$K$5:$K$292,MATCH($C259,Src_SYSHECF_nuclear!$C$5:$C$292,0))*$E259),Keys!$C$5),Keys!$C$4)</f>
        <v>0.9</v>
      </c>
      <c r="N259">
        <f>IF($D259=1,ROUND(Keys!$C$2/(INDEX(Src_SYSHECF_nuclear!$L$5:$L$292,MATCH($C259,Src_SYSHECF_nuclear!$C$5:$C$292,0))*$E259),Keys!$C$5),Keys!$C$4)</f>
        <v>0.9</v>
      </c>
      <c r="O259">
        <f>IF($D259=1,ROUND(Keys!$C$2/(INDEX(Src_SYSHECF_nuclear!$M$5:$M$292,MATCH($C259,Src_SYSHECF_nuclear!$C$5:$C$292,0))*$E259),Keys!$C$5),Keys!$C$4)</f>
        <v>0.9</v>
      </c>
      <c r="P259">
        <f>IF($D259=1,ROUND(Keys!$C$2/(INDEX(Src_SYSHECF_nuclear!$N$5:$N$292,MATCH($C259,Src_SYSHECF_nuclear!$C$5:$C$292,0))*$E259),Keys!$C$5),Keys!$C$4)</f>
        <v>0.9</v>
      </c>
      <c r="Q259">
        <f>IF($D259=1,ROUND(Keys!$C$2/(INDEX(Src_SYSHECF_nuclear!$O$5:$O$292,MATCH($C259,Src_SYSHECF_nuclear!$C$5:$C$292,0))*$E259),Keys!$C$5),Keys!$C$4)</f>
        <v>0.9</v>
      </c>
      <c r="R259">
        <f>IF($D259=1,ROUND(Keys!$C$2/(INDEX(Src_SYSHECF_nuclear!$P$5:$P$292,MATCH($C259,Src_SYSHECF_nuclear!$C$5:$C$292,0))*$E259),Keys!$C$5),Keys!$C$4)</f>
        <v>0.9</v>
      </c>
      <c r="S259">
        <f>IF($D259=1,ROUND(Keys!$C$2/(INDEX(Src_SYSHECF_nuclear!$Q$5:$Q$292,MATCH($C259,Src_SYSHECF_nuclear!$C$5:$C$292,0))*$E259),Keys!$C$5),Keys!$C$4)</f>
        <v>0.9</v>
      </c>
      <c r="T259">
        <f>IF($D259=1,ROUND(Keys!$C$2/(INDEX(Src_SYSHECF_nuclear!$R$5:$R$292,MATCH($C259,Src_SYSHECF_nuclear!$C$5:$C$292,0))*$E259),Keys!$C$5),Keys!$C$4)</f>
        <v>0.9</v>
      </c>
      <c r="U259">
        <f>IF($D259=1,ROUND(Keys!$C$2/(INDEX(Src_SYSHECF_nuclear!$S$5:$S$292,MATCH($C259,Src_SYSHECF_nuclear!$C$5:$C$292,0))*$E259),Keys!$C$5),Keys!$C$4)</f>
        <v>0.9</v>
      </c>
      <c r="V259">
        <f>IF($D259=1,ROUND(Keys!$C$2/(INDEX(Src_SYSHECF_nuclear!$T$5:$T$292,MATCH($C259,Src_SYSHECF_nuclear!$C$5:$C$292,0))*$E259),Keys!$C$5),Keys!$C$4)</f>
        <v>0.9</v>
      </c>
      <c r="W259">
        <f>IF($D259=1,ROUND(Keys!$C$2/(INDEX(Src_SYSHECF_nuclear!$U$5:$U$292,MATCH($C259,Src_SYSHECF_nuclear!$C$5:$C$292,0))*$E259),Keys!$C$5),Keys!$C$4)</f>
        <v>0.9</v>
      </c>
      <c r="X259">
        <f>IF($D259=1,ROUND(Keys!$C$2/(INDEX(Src_SYSHECF_nuclear!$V$5:$V$292,MATCH($C259,Src_SYSHECF_nuclear!$C$5:$C$292,0))*$E259),Keys!$C$5),Keys!$C$4)</f>
        <v>0.9</v>
      </c>
      <c r="Y259">
        <f>IF($D259=1,ROUND(Keys!$C$2/(INDEX(Src_SYSHECF_nuclear!$W$5:$W$292,MATCH($C259,Src_SYSHECF_nuclear!$C$5:$C$292,0))*$E259),Keys!$C$5),Keys!$C$4)</f>
        <v>0.9</v>
      </c>
      <c r="Z259">
        <f>IF($D259=1,ROUND(Keys!$C$2/(INDEX(Src_SYSHECF_nuclear!$X$5:$X$292,MATCH($C259,Src_SYSHECF_nuclear!$C$5:$C$292,0))*$E259),Keys!$C$5),Keys!$C$4)</f>
        <v>0.9</v>
      </c>
      <c r="AA259">
        <f>IF($D259=1,ROUND(Keys!$C$2/(INDEX(Src_SYSHECF_nuclear!$Y$5:$Y$292,MATCH($C259,Src_SYSHECF_nuclear!$C$5:$C$292,0))*$E259),Keys!$C$5),Keys!$C$4)</f>
        <v>0.9</v>
      </c>
      <c r="AB259">
        <f>IF($D259=1,ROUND(Keys!$C$2/(INDEX(Src_SYSHECF_nuclear!$Z$5:$Z$292,MATCH($C259,Src_SYSHECF_nuclear!$C$5:$C$292,0))*$E259),Keys!$C$5),Keys!$C$4)</f>
        <v>0.9</v>
      </c>
      <c r="AC259">
        <f>IF($D259=1,ROUND(Keys!$C$2/(INDEX(Src_SYSHECF_nuclear!$AA$5:$AA$292,MATCH($C259,Src_SYSHECF_nuclear!$C$5:$C$292,0))*$E259),Keys!$C$5),Keys!$C$4)</f>
        <v>0.9</v>
      </c>
      <c r="AE259">
        <f>IF($D259=1,IF(ABS(INDEX(Src_SYSHECF_nuclear!$D$5:$D$292,MATCH($C259,Src_SYSHECF_nuclear!$C$5:$C$292,0))*$E259*F259-Keys!$C$2)&gt;Keys!$C$6,1,0),0)</f>
        <v>0</v>
      </c>
    </row>
    <row r="260" spans="1:31" x14ac:dyDescent="0.45">
      <c r="A260" t="s">
        <v>92</v>
      </c>
      <c r="B260" t="s">
        <v>424</v>
      </c>
      <c r="C260" t="str">
        <f t="shared" si="4"/>
        <v>OR|Winter</v>
      </c>
      <c r="D260">
        <f>INDEX(Src_BHRaSYC_nuclear!$HF$5:$HF$52,MATCH($A260,Src_BHRaSYC_nuclear!$A$5:$A$52,0))</f>
        <v>0</v>
      </c>
      <c r="E260">
        <f>INDEX(Src_HYECFCA_nuclear!$B$5:$B$52,MATCH($A260,Src_HYECFCA_nuclear!$A$5:$A$52,0))</f>
        <v>1</v>
      </c>
      <c r="F260">
        <f>IF($D260=1,ROUND(Keys!$C$2/(INDEX(Src_SYSHECF_nuclear!$D$5:$D$292,MATCH($C260,Src_SYSHECF_nuclear!$C$5:$C$292,0))*$E260),Keys!$C$5),Keys!$C$4)</f>
        <v>0.9</v>
      </c>
      <c r="G260">
        <f>IF($D260=1,ROUND(Keys!$C$2/(INDEX(Src_SYSHECF_nuclear!$E$5:$E$292,MATCH($C260,Src_SYSHECF_nuclear!$C$5:$C$292,0))*$E260),Keys!$C$5),Keys!$C$4)</f>
        <v>0.9</v>
      </c>
      <c r="H260">
        <f>IF($D260=1,ROUND(Keys!$C$2/(INDEX(Src_SYSHECF_nuclear!$F$5:$F$292,MATCH($C260,Src_SYSHECF_nuclear!$C$5:$C$292,0))*$E260),Keys!$C$5),Keys!$C$4)</f>
        <v>0.9</v>
      </c>
      <c r="I260">
        <f>IF($D260=1,ROUND(Keys!$C$2/(INDEX(Src_SYSHECF_nuclear!$G$5:$G$292,MATCH($C260,Src_SYSHECF_nuclear!$C$5:$C$292,0))*$E260),Keys!$C$5),Keys!$C$4)</f>
        <v>0.9</v>
      </c>
      <c r="J260">
        <f>IF($D260=1,ROUND(Keys!$C$2/(INDEX(Src_SYSHECF_nuclear!$H$5:$H$292,MATCH($C260,Src_SYSHECF_nuclear!$C$5:$C$292,0))*$E260),Keys!$C$5),Keys!$C$4)</f>
        <v>0.9</v>
      </c>
      <c r="K260">
        <f>IF($D260=1,ROUND(Keys!$C$2/(INDEX(Src_SYSHECF_nuclear!$I$5:$I$292,MATCH($C260,Src_SYSHECF_nuclear!$C$5:$C$292,0))*$E260),Keys!$C$5),Keys!$C$4)</f>
        <v>0.9</v>
      </c>
      <c r="L260">
        <f>IF($D260=1,ROUND(Keys!$C$2/(INDEX(Src_SYSHECF_nuclear!$J$5:$J$292,MATCH($C260,Src_SYSHECF_nuclear!$C$5:$C$292,0))*$E260),Keys!$C$5),Keys!$C$4)</f>
        <v>0.9</v>
      </c>
      <c r="M260">
        <f>IF($D260=1,ROUND(Keys!$C$2/(INDEX(Src_SYSHECF_nuclear!$K$5:$K$292,MATCH($C260,Src_SYSHECF_nuclear!$C$5:$C$292,0))*$E260),Keys!$C$5),Keys!$C$4)</f>
        <v>0.9</v>
      </c>
      <c r="N260">
        <f>IF($D260=1,ROUND(Keys!$C$2/(INDEX(Src_SYSHECF_nuclear!$L$5:$L$292,MATCH($C260,Src_SYSHECF_nuclear!$C$5:$C$292,0))*$E260),Keys!$C$5),Keys!$C$4)</f>
        <v>0.9</v>
      </c>
      <c r="O260">
        <f>IF($D260=1,ROUND(Keys!$C$2/(INDEX(Src_SYSHECF_nuclear!$M$5:$M$292,MATCH($C260,Src_SYSHECF_nuclear!$C$5:$C$292,0))*$E260),Keys!$C$5),Keys!$C$4)</f>
        <v>0.9</v>
      </c>
      <c r="P260">
        <f>IF($D260=1,ROUND(Keys!$C$2/(INDEX(Src_SYSHECF_nuclear!$N$5:$N$292,MATCH($C260,Src_SYSHECF_nuclear!$C$5:$C$292,0))*$E260),Keys!$C$5),Keys!$C$4)</f>
        <v>0.9</v>
      </c>
      <c r="Q260">
        <f>IF($D260=1,ROUND(Keys!$C$2/(INDEX(Src_SYSHECF_nuclear!$O$5:$O$292,MATCH($C260,Src_SYSHECF_nuclear!$C$5:$C$292,0))*$E260),Keys!$C$5),Keys!$C$4)</f>
        <v>0.9</v>
      </c>
      <c r="R260">
        <f>IF($D260=1,ROUND(Keys!$C$2/(INDEX(Src_SYSHECF_nuclear!$P$5:$P$292,MATCH($C260,Src_SYSHECF_nuclear!$C$5:$C$292,0))*$E260),Keys!$C$5),Keys!$C$4)</f>
        <v>0.9</v>
      </c>
      <c r="S260">
        <f>IF($D260=1,ROUND(Keys!$C$2/(INDEX(Src_SYSHECF_nuclear!$Q$5:$Q$292,MATCH($C260,Src_SYSHECF_nuclear!$C$5:$C$292,0))*$E260),Keys!$C$5),Keys!$C$4)</f>
        <v>0.9</v>
      </c>
      <c r="T260">
        <f>IF($D260=1,ROUND(Keys!$C$2/(INDEX(Src_SYSHECF_nuclear!$R$5:$R$292,MATCH($C260,Src_SYSHECF_nuclear!$C$5:$C$292,0))*$E260),Keys!$C$5),Keys!$C$4)</f>
        <v>0.9</v>
      </c>
      <c r="U260">
        <f>IF($D260=1,ROUND(Keys!$C$2/(INDEX(Src_SYSHECF_nuclear!$S$5:$S$292,MATCH($C260,Src_SYSHECF_nuclear!$C$5:$C$292,0))*$E260),Keys!$C$5),Keys!$C$4)</f>
        <v>0.9</v>
      </c>
      <c r="V260">
        <f>IF($D260=1,ROUND(Keys!$C$2/(INDEX(Src_SYSHECF_nuclear!$T$5:$T$292,MATCH($C260,Src_SYSHECF_nuclear!$C$5:$C$292,0))*$E260),Keys!$C$5),Keys!$C$4)</f>
        <v>0.9</v>
      </c>
      <c r="W260">
        <f>IF($D260=1,ROUND(Keys!$C$2/(INDEX(Src_SYSHECF_nuclear!$U$5:$U$292,MATCH($C260,Src_SYSHECF_nuclear!$C$5:$C$292,0))*$E260),Keys!$C$5),Keys!$C$4)</f>
        <v>0.9</v>
      </c>
      <c r="X260">
        <f>IF($D260=1,ROUND(Keys!$C$2/(INDEX(Src_SYSHECF_nuclear!$V$5:$V$292,MATCH($C260,Src_SYSHECF_nuclear!$C$5:$C$292,0))*$E260),Keys!$C$5),Keys!$C$4)</f>
        <v>0.9</v>
      </c>
      <c r="Y260">
        <f>IF($D260=1,ROUND(Keys!$C$2/(INDEX(Src_SYSHECF_nuclear!$W$5:$W$292,MATCH($C260,Src_SYSHECF_nuclear!$C$5:$C$292,0))*$E260),Keys!$C$5),Keys!$C$4)</f>
        <v>0.9</v>
      </c>
      <c r="Z260">
        <f>IF($D260=1,ROUND(Keys!$C$2/(INDEX(Src_SYSHECF_nuclear!$X$5:$X$292,MATCH($C260,Src_SYSHECF_nuclear!$C$5:$C$292,0))*$E260),Keys!$C$5),Keys!$C$4)</f>
        <v>0.9</v>
      </c>
      <c r="AA260">
        <f>IF($D260=1,ROUND(Keys!$C$2/(INDEX(Src_SYSHECF_nuclear!$Y$5:$Y$292,MATCH($C260,Src_SYSHECF_nuclear!$C$5:$C$292,0))*$E260),Keys!$C$5),Keys!$C$4)</f>
        <v>0.9</v>
      </c>
      <c r="AB260">
        <f>IF($D260=1,ROUND(Keys!$C$2/(INDEX(Src_SYSHECF_nuclear!$Z$5:$Z$292,MATCH($C260,Src_SYSHECF_nuclear!$C$5:$C$292,0))*$E260),Keys!$C$5),Keys!$C$4)</f>
        <v>0.9</v>
      </c>
      <c r="AC260">
        <f>IF($D260=1,ROUND(Keys!$C$2/(INDEX(Src_SYSHECF_nuclear!$AA$5:$AA$292,MATCH($C260,Src_SYSHECF_nuclear!$C$5:$C$292,0))*$E260),Keys!$C$5),Keys!$C$4)</f>
        <v>0.9</v>
      </c>
      <c r="AE260">
        <f>IF($D260=1,IF(ABS(INDEX(Src_SYSHECF_nuclear!$D$5:$D$292,MATCH($C260,Src_SYSHECF_nuclear!$C$5:$C$292,0))*$E260*F260-Keys!$C$2)&gt;Keys!$C$6,1,0),0)</f>
        <v>0</v>
      </c>
    </row>
    <row r="261" spans="1:31" x14ac:dyDescent="0.45">
      <c r="A261" t="s">
        <v>92</v>
      </c>
      <c r="B261" t="s">
        <v>425</v>
      </c>
      <c r="C261" t="str">
        <f t="shared" si="4"/>
        <v>OR|Spring</v>
      </c>
      <c r="D261">
        <f>INDEX(Src_BHRaSYC_nuclear!$HF$5:$HF$52,MATCH($A261,Src_BHRaSYC_nuclear!$A$5:$A$52,0))</f>
        <v>0</v>
      </c>
      <c r="E261">
        <f>INDEX(Src_HYECFCA_nuclear!$B$5:$B$52,MATCH($A261,Src_HYECFCA_nuclear!$A$5:$A$52,0))</f>
        <v>1</v>
      </c>
      <c r="F261">
        <f>IF($D261=1,ROUND(Keys!$C$2/(INDEX(Src_SYSHECF_nuclear!$D$5:$D$292,MATCH($C261,Src_SYSHECF_nuclear!$C$5:$C$292,0))*$E261),Keys!$C$5),Keys!$C$4)</f>
        <v>0.9</v>
      </c>
      <c r="G261">
        <f>IF($D261=1,ROUND(Keys!$C$2/(INDEX(Src_SYSHECF_nuclear!$E$5:$E$292,MATCH($C261,Src_SYSHECF_nuclear!$C$5:$C$292,0))*$E261),Keys!$C$5),Keys!$C$4)</f>
        <v>0.9</v>
      </c>
      <c r="H261">
        <f>IF($D261=1,ROUND(Keys!$C$2/(INDEX(Src_SYSHECF_nuclear!$F$5:$F$292,MATCH($C261,Src_SYSHECF_nuclear!$C$5:$C$292,0))*$E261),Keys!$C$5),Keys!$C$4)</f>
        <v>0.9</v>
      </c>
      <c r="I261">
        <f>IF($D261=1,ROUND(Keys!$C$2/(INDEX(Src_SYSHECF_nuclear!$G$5:$G$292,MATCH($C261,Src_SYSHECF_nuclear!$C$5:$C$292,0))*$E261),Keys!$C$5),Keys!$C$4)</f>
        <v>0.9</v>
      </c>
      <c r="J261">
        <f>IF($D261=1,ROUND(Keys!$C$2/(INDEX(Src_SYSHECF_nuclear!$H$5:$H$292,MATCH($C261,Src_SYSHECF_nuclear!$C$5:$C$292,0))*$E261),Keys!$C$5),Keys!$C$4)</f>
        <v>0.9</v>
      </c>
      <c r="K261">
        <f>IF($D261=1,ROUND(Keys!$C$2/(INDEX(Src_SYSHECF_nuclear!$I$5:$I$292,MATCH($C261,Src_SYSHECF_nuclear!$C$5:$C$292,0))*$E261),Keys!$C$5),Keys!$C$4)</f>
        <v>0.9</v>
      </c>
      <c r="L261">
        <f>IF($D261=1,ROUND(Keys!$C$2/(INDEX(Src_SYSHECF_nuclear!$J$5:$J$292,MATCH($C261,Src_SYSHECF_nuclear!$C$5:$C$292,0))*$E261),Keys!$C$5),Keys!$C$4)</f>
        <v>0.9</v>
      </c>
      <c r="M261">
        <f>IF($D261=1,ROUND(Keys!$C$2/(INDEX(Src_SYSHECF_nuclear!$K$5:$K$292,MATCH($C261,Src_SYSHECF_nuclear!$C$5:$C$292,0))*$E261),Keys!$C$5),Keys!$C$4)</f>
        <v>0.9</v>
      </c>
      <c r="N261">
        <f>IF($D261=1,ROUND(Keys!$C$2/(INDEX(Src_SYSHECF_nuclear!$L$5:$L$292,MATCH($C261,Src_SYSHECF_nuclear!$C$5:$C$292,0))*$E261),Keys!$C$5),Keys!$C$4)</f>
        <v>0.9</v>
      </c>
      <c r="O261">
        <f>IF($D261=1,ROUND(Keys!$C$2/(INDEX(Src_SYSHECF_nuclear!$M$5:$M$292,MATCH($C261,Src_SYSHECF_nuclear!$C$5:$C$292,0))*$E261),Keys!$C$5),Keys!$C$4)</f>
        <v>0.9</v>
      </c>
      <c r="P261">
        <f>IF($D261=1,ROUND(Keys!$C$2/(INDEX(Src_SYSHECF_nuclear!$N$5:$N$292,MATCH($C261,Src_SYSHECF_nuclear!$C$5:$C$292,0))*$E261),Keys!$C$5),Keys!$C$4)</f>
        <v>0.9</v>
      </c>
      <c r="Q261">
        <f>IF($D261=1,ROUND(Keys!$C$2/(INDEX(Src_SYSHECF_nuclear!$O$5:$O$292,MATCH($C261,Src_SYSHECF_nuclear!$C$5:$C$292,0))*$E261),Keys!$C$5),Keys!$C$4)</f>
        <v>0.9</v>
      </c>
      <c r="R261">
        <f>IF($D261=1,ROUND(Keys!$C$2/(INDEX(Src_SYSHECF_nuclear!$P$5:$P$292,MATCH($C261,Src_SYSHECF_nuclear!$C$5:$C$292,0))*$E261),Keys!$C$5),Keys!$C$4)</f>
        <v>0.9</v>
      </c>
      <c r="S261">
        <f>IF($D261=1,ROUND(Keys!$C$2/(INDEX(Src_SYSHECF_nuclear!$Q$5:$Q$292,MATCH($C261,Src_SYSHECF_nuclear!$C$5:$C$292,0))*$E261),Keys!$C$5),Keys!$C$4)</f>
        <v>0.9</v>
      </c>
      <c r="T261">
        <f>IF($D261=1,ROUND(Keys!$C$2/(INDEX(Src_SYSHECF_nuclear!$R$5:$R$292,MATCH($C261,Src_SYSHECF_nuclear!$C$5:$C$292,0))*$E261),Keys!$C$5),Keys!$C$4)</f>
        <v>0.9</v>
      </c>
      <c r="U261">
        <f>IF($D261=1,ROUND(Keys!$C$2/(INDEX(Src_SYSHECF_nuclear!$S$5:$S$292,MATCH($C261,Src_SYSHECF_nuclear!$C$5:$C$292,0))*$E261),Keys!$C$5),Keys!$C$4)</f>
        <v>0.9</v>
      </c>
      <c r="V261">
        <f>IF($D261=1,ROUND(Keys!$C$2/(INDEX(Src_SYSHECF_nuclear!$T$5:$T$292,MATCH($C261,Src_SYSHECF_nuclear!$C$5:$C$292,0))*$E261),Keys!$C$5),Keys!$C$4)</f>
        <v>0.9</v>
      </c>
      <c r="W261">
        <f>IF($D261=1,ROUND(Keys!$C$2/(INDEX(Src_SYSHECF_nuclear!$U$5:$U$292,MATCH($C261,Src_SYSHECF_nuclear!$C$5:$C$292,0))*$E261),Keys!$C$5),Keys!$C$4)</f>
        <v>0.9</v>
      </c>
      <c r="X261">
        <f>IF($D261=1,ROUND(Keys!$C$2/(INDEX(Src_SYSHECF_nuclear!$V$5:$V$292,MATCH($C261,Src_SYSHECF_nuclear!$C$5:$C$292,0))*$E261),Keys!$C$5),Keys!$C$4)</f>
        <v>0.9</v>
      </c>
      <c r="Y261">
        <f>IF($D261=1,ROUND(Keys!$C$2/(INDEX(Src_SYSHECF_nuclear!$W$5:$W$292,MATCH($C261,Src_SYSHECF_nuclear!$C$5:$C$292,0))*$E261),Keys!$C$5),Keys!$C$4)</f>
        <v>0.9</v>
      </c>
      <c r="Z261">
        <f>IF($D261=1,ROUND(Keys!$C$2/(INDEX(Src_SYSHECF_nuclear!$X$5:$X$292,MATCH($C261,Src_SYSHECF_nuclear!$C$5:$C$292,0))*$E261),Keys!$C$5),Keys!$C$4)</f>
        <v>0.9</v>
      </c>
      <c r="AA261">
        <f>IF($D261=1,ROUND(Keys!$C$2/(INDEX(Src_SYSHECF_nuclear!$Y$5:$Y$292,MATCH($C261,Src_SYSHECF_nuclear!$C$5:$C$292,0))*$E261),Keys!$C$5),Keys!$C$4)</f>
        <v>0.9</v>
      </c>
      <c r="AB261">
        <f>IF($D261=1,ROUND(Keys!$C$2/(INDEX(Src_SYSHECF_nuclear!$Z$5:$Z$292,MATCH($C261,Src_SYSHECF_nuclear!$C$5:$C$292,0))*$E261),Keys!$C$5),Keys!$C$4)</f>
        <v>0.9</v>
      </c>
      <c r="AC261">
        <f>IF($D261=1,ROUND(Keys!$C$2/(INDEX(Src_SYSHECF_nuclear!$AA$5:$AA$292,MATCH($C261,Src_SYSHECF_nuclear!$C$5:$C$292,0))*$E261),Keys!$C$5),Keys!$C$4)</f>
        <v>0.9</v>
      </c>
      <c r="AE261">
        <f>IF($D261=1,IF(ABS(INDEX(Src_SYSHECF_nuclear!$D$5:$D$292,MATCH($C261,Src_SYSHECF_nuclear!$C$5:$C$292,0))*$E261*F261-Keys!$C$2)&gt;Keys!$C$6,1,0),0)</f>
        <v>0</v>
      </c>
    </row>
    <row r="262" spans="1:31" x14ac:dyDescent="0.45">
      <c r="A262" t="s">
        <v>92</v>
      </c>
      <c r="B262" t="s">
        <v>426</v>
      </c>
      <c r="C262" t="str">
        <f t="shared" si="4"/>
        <v>OR|Summer</v>
      </c>
      <c r="D262">
        <f>INDEX(Src_BHRaSYC_nuclear!$HF$5:$HF$52,MATCH($A262,Src_BHRaSYC_nuclear!$A$5:$A$52,0))</f>
        <v>0</v>
      </c>
      <c r="E262">
        <f>INDEX(Src_HYECFCA_nuclear!$B$5:$B$52,MATCH($A262,Src_HYECFCA_nuclear!$A$5:$A$52,0))</f>
        <v>1</v>
      </c>
      <c r="F262">
        <f>IF($D262=1,ROUND(Keys!$C$2/(INDEX(Src_SYSHECF_nuclear!$D$5:$D$292,MATCH($C262,Src_SYSHECF_nuclear!$C$5:$C$292,0))*$E262),Keys!$C$5),Keys!$C$4)</f>
        <v>0.9</v>
      </c>
      <c r="G262">
        <f>IF($D262=1,ROUND(Keys!$C$2/(INDEX(Src_SYSHECF_nuclear!$E$5:$E$292,MATCH($C262,Src_SYSHECF_nuclear!$C$5:$C$292,0))*$E262),Keys!$C$5),Keys!$C$4)</f>
        <v>0.9</v>
      </c>
      <c r="H262">
        <f>IF($D262=1,ROUND(Keys!$C$2/(INDEX(Src_SYSHECF_nuclear!$F$5:$F$292,MATCH($C262,Src_SYSHECF_nuclear!$C$5:$C$292,0))*$E262),Keys!$C$5),Keys!$C$4)</f>
        <v>0.9</v>
      </c>
      <c r="I262">
        <f>IF($D262=1,ROUND(Keys!$C$2/(INDEX(Src_SYSHECF_nuclear!$G$5:$G$292,MATCH($C262,Src_SYSHECF_nuclear!$C$5:$C$292,0))*$E262),Keys!$C$5),Keys!$C$4)</f>
        <v>0.9</v>
      </c>
      <c r="J262">
        <f>IF($D262=1,ROUND(Keys!$C$2/(INDEX(Src_SYSHECF_nuclear!$H$5:$H$292,MATCH($C262,Src_SYSHECF_nuclear!$C$5:$C$292,0))*$E262),Keys!$C$5),Keys!$C$4)</f>
        <v>0.9</v>
      </c>
      <c r="K262">
        <f>IF($D262=1,ROUND(Keys!$C$2/(INDEX(Src_SYSHECF_nuclear!$I$5:$I$292,MATCH($C262,Src_SYSHECF_nuclear!$C$5:$C$292,0))*$E262),Keys!$C$5),Keys!$C$4)</f>
        <v>0.9</v>
      </c>
      <c r="L262">
        <f>IF($D262=1,ROUND(Keys!$C$2/(INDEX(Src_SYSHECF_nuclear!$J$5:$J$292,MATCH($C262,Src_SYSHECF_nuclear!$C$5:$C$292,0))*$E262),Keys!$C$5),Keys!$C$4)</f>
        <v>0.9</v>
      </c>
      <c r="M262">
        <f>IF($D262=1,ROUND(Keys!$C$2/(INDEX(Src_SYSHECF_nuclear!$K$5:$K$292,MATCH($C262,Src_SYSHECF_nuclear!$C$5:$C$292,0))*$E262),Keys!$C$5),Keys!$C$4)</f>
        <v>0.9</v>
      </c>
      <c r="N262">
        <f>IF($D262=1,ROUND(Keys!$C$2/(INDEX(Src_SYSHECF_nuclear!$L$5:$L$292,MATCH($C262,Src_SYSHECF_nuclear!$C$5:$C$292,0))*$E262),Keys!$C$5),Keys!$C$4)</f>
        <v>0.9</v>
      </c>
      <c r="O262">
        <f>IF($D262=1,ROUND(Keys!$C$2/(INDEX(Src_SYSHECF_nuclear!$M$5:$M$292,MATCH($C262,Src_SYSHECF_nuclear!$C$5:$C$292,0))*$E262),Keys!$C$5),Keys!$C$4)</f>
        <v>0.9</v>
      </c>
      <c r="P262">
        <f>IF($D262=1,ROUND(Keys!$C$2/(INDEX(Src_SYSHECF_nuclear!$N$5:$N$292,MATCH($C262,Src_SYSHECF_nuclear!$C$5:$C$292,0))*$E262),Keys!$C$5),Keys!$C$4)</f>
        <v>0.9</v>
      </c>
      <c r="Q262">
        <f>IF($D262=1,ROUND(Keys!$C$2/(INDEX(Src_SYSHECF_nuclear!$O$5:$O$292,MATCH($C262,Src_SYSHECF_nuclear!$C$5:$C$292,0))*$E262),Keys!$C$5),Keys!$C$4)</f>
        <v>0.9</v>
      </c>
      <c r="R262">
        <f>IF($D262=1,ROUND(Keys!$C$2/(INDEX(Src_SYSHECF_nuclear!$P$5:$P$292,MATCH($C262,Src_SYSHECF_nuclear!$C$5:$C$292,0))*$E262),Keys!$C$5),Keys!$C$4)</f>
        <v>0.9</v>
      </c>
      <c r="S262">
        <f>IF($D262=1,ROUND(Keys!$C$2/(INDEX(Src_SYSHECF_nuclear!$Q$5:$Q$292,MATCH($C262,Src_SYSHECF_nuclear!$C$5:$C$292,0))*$E262),Keys!$C$5),Keys!$C$4)</f>
        <v>0.9</v>
      </c>
      <c r="T262">
        <f>IF($D262=1,ROUND(Keys!$C$2/(INDEX(Src_SYSHECF_nuclear!$R$5:$R$292,MATCH($C262,Src_SYSHECF_nuclear!$C$5:$C$292,0))*$E262),Keys!$C$5),Keys!$C$4)</f>
        <v>0.9</v>
      </c>
      <c r="U262">
        <f>IF($D262=1,ROUND(Keys!$C$2/(INDEX(Src_SYSHECF_nuclear!$S$5:$S$292,MATCH($C262,Src_SYSHECF_nuclear!$C$5:$C$292,0))*$E262),Keys!$C$5),Keys!$C$4)</f>
        <v>0.9</v>
      </c>
      <c r="V262">
        <f>IF($D262=1,ROUND(Keys!$C$2/(INDEX(Src_SYSHECF_nuclear!$T$5:$T$292,MATCH($C262,Src_SYSHECF_nuclear!$C$5:$C$292,0))*$E262),Keys!$C$5),Keys!$C$4)</f>
        <v>0.9</v>
      </c>
      <c r="W262">
        <f>IF($D262=1,ROUND(Keys!$C$2/(INDEX(Src_SYSHECF_nuclear!$U$5:$U$292,MATCH($C262,Src_SYSHECF_nuclear!$C$5:$C$292,0))*$E262),Keys!$C$5),Keys!$C$4)</f>
        <v>0.9</v>
      </c>
      <c r="X262">
        <f>IF($D262=1,ROUND(Keys!$C$2/(INDEX(Src_SYSHECF_nuclear!$V$5:$V$292,MATCH($C262,Src_SYSHECF_nuclear!$C$5:$C$292,0))*$E262),Keys!$C$5),Keys!$C$4)</f>
        <v>0.9</v>
      </c>
      <c r="Y262">
        <f>IF($D262=1,ROUND(Keys!$C$2/(INDEX(Src_SYSHECF_nuclear!$W$5:$W$292,MATCH($C262,Src_SYSHECF_nuclear!$C$5:$C$292,0))*$E262),Keys!$C$5),Keys!$C$4)</f>
        <v>0.9</v>
      </c>
      <c r="Z262">
        <f>IF($D262=1,ROUND(Keys!$C$2/(INDEX(Src_SYSHECF_nuclear!$X$5:$X$292,MATCH($C262,Src_SYSHECF_nuclear!$C$5:$C$292,0))*$E262),Keys!$C$5),Keys!$C$4)</f>
        <v>0.9</v>
      </c>
      <c r="AA262">
        <f>IF($D262=1,ROUND(Keys!$C$2/(INDEX(Src_SYSHECF_nuclear!$Y$5:$Y$292,MATCH($C262,Src_SYSHECF_nuclear!$C$5:$C$292,0))*$E262),Keys!$C$5),Keys!$C$4)</f>
        <v>0.9</v>
      </c>
      <c r="AB262">
        <f>IF($D262=1,ROUND(Keys!$C$2/(INDEX(Src_SYSHECF_nuclear!$Z$5:$Z$292,MATCH($C262,Src_SYSHECF_nuclear!$C$5:$C$292,0))*$E262),Keys!$C$5),Keys!$C$4)</f>
        <v>0.9</v>
      </c>
      <c r="AC262">
        <f>IF($D262=1,ROUND(Keys!$C$2/(INDEX(Src_SYSHECF_nuclear!$AA$5:$AA$292,MATCH($C262,Src_SYSHECF_nuclear!$C$5:$C$292,0))*$E262),Keys!$C$5),Keys!$C$4)</f>
        <v>0.9</v>
      </c>
      <c r="AE262">
        <f>IF($D262=1,IF(ABS(INDEX(Src_SYSHECF_nuclear!$D$5:$D$292,MATCH($C262,Src_SYSHECF_nuclear!$C$5:$C$292,0))*$E262*F262-Keys!$C$2)&gt;Keys!$C$6,1,0),0)</f>
        <v>0</v>
      </c>
    </row>
    <row r="263" spans="1:31" x14ac:dyDescent="0.45">
      <c r="A263" t="s">
        <v>92</v>
      </c>
      <c r="B263" t="s">
        <v>427</v>
      </c>
      <c r="C263" t="str">
        <f t="shared" si="4"/>
        <v>OR|Fall</v>
      </c>
      <c r="D263">
        <f>INDEX(Src_BHRaSYC_nuclear!$HF$5:$HF$52,MATCH($A263,Src_BHRaSYC_nuclear!$A$5:$A$52,0))</f>
        <v>0</v>
      </c>
      <c r="E263">
        <f>INDEX(Src_HYECFCA_nuclear!$B$5:$B$52,MATCH($A263,Src_HYECFCA_nuclear!$A$5:$A$52,0))</f>
        <v>1</v>
      </c>
      <c r="F263">
        <f>IF($D263=1,ROUND(Keys!$C$2/(INDEX(Src_SYSHECF_nuclear!$D$5:$D$292,MATCH($C263,Src_SYSHECF_nuclear!$C$5:$C$292,0))*$E263),Keys!$C$5),Keys!$C$4)</f>
        <v>0.9</v>
      </c>
      <c r="G263">
        <f>IF($D263=1,ROUND(Keys!$C$2/(INDEX(Src_SYSHECF_nuclear!$E$5:$E$292,MATCH($C263,Src_SYSHECF_nuclear!$C$5:$C$292,0))*$E263),Keys!$C$5),Keys!$C$4)</f>
        <v>0.9</v>
      </c>
      <c r="H263">
        <f>IF($D263=1,ROUND(Keys!$C$2/(INDEX(Src_SYSHECF_nuclear!$F$5:$F$292,MATCH($C263,Src_SYSHECF_nuclear!$C$5:$C$292,0))*$E263),Keys!$C$5),Keys!$C$4)</f>
        <v>0.9</v>
      </c>
      <c r="I263">
        <f>IF($D263=1,ROUND(Keys!$C$2/(INDEX(Src_SYSHECF_nuclear!$G$5:$G$292,MATCH($C263,Src_SYSHECF_nuclear!$C$5:$C$292,0))*$E263),Keys!$C$5),Keys!$C$4)</f>
        <v>0.9</v>
      </c>
      <c r="J263">
        <f>IF($D263=1,ROUND(Keys!$C$2/(INDEX(Src_SYSHECF_nuclear!$H$5:$H$292,MATCH($C263,Src_SYSHECF_nuclear!$C$5:$C$292,0))*$E263),Keys!$C$5),Keys!$C$4)</f>
        <v>0.9</v>
      </c>
      <c r="K263">
        <f>IF($D263=1,ROUND(Keys!$C$2/(INDEX(Src_SYSHECF_nuclear!$I$5:$I$292,MATCH($C263,Src_SYSHECF_nuclear!$C$5:$C$292,0))*$E263),Keys!$C$5),Keys!$C$4)</f>
        <v>0.9</v>
      </c>
      <c r="L263">
        <f>IF($D263=1,ROUND(Keys!$C$2/(INDEX(Src_SYSHECF_nuclear!$J$5:$J$292,MATCH($C263,Src_SYSHECF_nuclear!$C$5:$C$292,0))*$E263),Keys!$C$5),Keys!$C$4)</f>
        <v>0.9</v>
      </c>
      <c r="M263">
        <f>IF($D263=1,ROUND(Keys!$C$2/(INDEX(Src_SYSHECF_nuclear!$K$5:$K$292,MATCH($C263,Src_SYSHECF_nuclear!$C$5:$C$292,0))*$E263),Keys!$C$5),Keys!$C$4)</f>
        <v>0.9</v>
      </c>
      <c r="N263">
        <f>IF($D263=1,ROUND(Keys!$C$2/(INDEX(Src_SYSHECF_nuclear!$L$5:$L$292,MATCH($C263,Src_SYSHECF_nuclear!$C$5:$C$292,0))*$E263),Keys!$C$5),Keys!$C$4)</f>
        <v>0.9</v>
      </c>
      <c r="O263">
        <f>IF($D263=1,ROUND(Keys!$C$2/(INDEX(Src_SYSHECF_nuclear!$M$5:$M$292,MATCH($C263,Src_SYSHECF_nuclear!$C$5:$C$292,0))*$E263),Keys!$C$5),Keys!$C$4)</f>
        <v>0.9</v>
      </c>
      <c r="P263">
        <f>IF($D263=1,ROUND(Keys!$C$2/(INDEX(Src_SYSHECF_nuclear!$N$5:$N$292,MATCH($C263,Src_SYSHECF_nuclear!$C$5:$C$292,0))*$E263),Keys!$C$5),Keys!$C$4)</f>
        <v>0.9</v>
      </c>
      <c r="Q263">
        <f>IF($D263=1,ROUND(Keys!$C$2/(INDEX(Src_SYSHECF_nuclear!$O$5:$O$292,MATCH($C263,Src_SYSHECF_nuclear!$C$5:$C$292,0))*$E263),Keys!$C$5),Keys!$C$4)</f>
        <v>0.9</v>
      </c>
      <c r="R263">
        <f>IF($D263=1,ROUND(Keys!$C$2/(INDEX(Src_SYSHECF_nuclear!$P$5:$P$292,MATCH($C263,Src_SYSHECF_nuclear!$C$5:$C$292,0))*$E263),Keys!$C$5),Keys!$C$4)</f>
        <v>0.9</v>
      </c>
      <c r="S263">
        <f>IF($D263=1,ROUND(Keys!$C$2/(INDEX(Src_SYSHECF_nuclear!$Q$5:$Q$292,MATCH($C263,Src_SYSHECF_nuclear!$C$5:$C$292,0))*$E263),Keys!$C$5),Keys!$C$4)</f>
        <v>0.9</v>
      </c>
      <c r="T263">
        <f>IF($D263=1,ROUND(Keys!$C$2/(INDEX(Src_SYSHECF_nuclear!$R$5:$R$292,MATCH($C263,Src_SYSHECF_nuclear!$C$5:$C$292,0))*$E263),Keys!$C$5),Keys!$C$4)</f>
        <v>0.9</v>
      </c>
      <c r="U263">
        <f>IF($D263=1,ROUND(Keys!$C$2/(INDEX(Src_SYSHECF_nuclear!$S$5:$S$292,MATCH($C263,Src_SYSHECF_nuclear!$C$5:$C$292,0))*$E263),Keys!$C$5),Keys!$C$4)</f>
        <v>0.9</v>
      </c>
      <c r="V263">
        <f>IF($D263=1,ROUND(Keys!$C$2/(INDEX(Src_SYSHECF_nuclear!$T$5:$T$292,MATCH($C263,Src_SYSHECF_nuclear!$C$5:$C$292,0))*$E263),Keys!$C$5),Keys!$C$4)</f>
        <v>0.9</v>
      </c>
      <c r="W263">
        <f>IF($D263=1,ROUND(Keys!$C$2/(INDEX(Src_SYSHECF_nuclear!$U$5:$U$292,MATCH($C263,Src_SYSHECF_nuclear!$C$5:$C$292,0))*$E263),Keys!$C$5),Keys!$C$4)</f>
        <v>0.9</v>
      </c>
      <c r="X263">
        <f>IF($D263=1,ROUND(Keys!$C$2/(INDEX(Src_SYSHECF_nuclear!$V$5:$V$292,MATCH($C263,Src_SYSHECF_nuclear!$C$5:$C$292,0))*$E263),Keys!$C$5),Keys!$C$4)</f>
        <v>0.9</v>
      </c>
      <c r="Y263">
        <f>IF($D263=1,ROUND(Keys!$C$2/(INDEX(Src_SYSHECF_nuclear!$W$5:$W$292,MATCH($C263,Src_SYSHECF_nuclear!$C$5:$C$292,0))*$E263),Keys!$C$5),Keys!$C$4)</f>
        <v>0.9</v>
      </c>
      <c r="Z263">
        <f>IF($D263=1,ROUND(Keys!$C$2/(INDEX(Src_SYSHECF_nuclear!$X$5:$X$292,MATCH($C263,Src_SYSHECF_nuclear!$C$5:$C$292,0))*$E263),Keys!$C$5),Keys!$C$4)</f>
        <v>0.9</v>
      </c>
      <c r="AA263">
        <f>IF($D263=1,ROUND(Keys!$C$2/(INDEX(Src_SYSHECF_nuclear!$Y$5:$Y$292,MATCH($C263,Src_SYSHECF_nuclear!$C$5:$C$292,0))*$E263),Keys!$C$5),Keys!$C$4)</f>
        <v>0.9</v>
      </c>
      <c r="AB263">
        <f>IF($D263=1,ROUND(Keys!$C$2/(INDEX(Src_SYSHECF_nuclear!$Z$5:$Z$292,MATCH($C263,Src_SYSHECF_nuclear!$C$5:$C$292,0))*$E263),Keys!$C$5),Keys!$C$4)</f>
        <v>0.9</v>
      </c>
      <c r="AC263">
        <f>IF($D263=1,ROUND(Keys!$C$2/(INDEX(Src_SYSHECF_nuclear!$AA$5:$AA$292,MATCH($C263,Src_SYSHECF_nuclear!$C$5:$C$292,0))*$E263),Keys!$C$5),Keys!$C$4)</f>
        <v>0.9</v>
      </c>
      <c r="AE263">
        <f>IF($D263=1,IF(ABS(INDEX(Src_SYSHECF_nuclear!$D$5:$D$292,MATCH($C263,Src_SYSHECF_nuclear!$C$5:$C$292,0))*$E263*F263-Keys!$C$2)&gt;Keys!$C$6,1,0),0)</f>
        <v>0</v>
      </c>
    </row>
    <row r="264" spans="1:31" x14ac:dyDescent="0.45">
      <c r="A264" t="s">
        <v>92</v>
      </c>
      <c r="B264" t="s">
        <v>428</v>
      </c>
      <c r="C264" t="str">
        <f t="shared" si="4"/>
        <v>OR|Summer Peak</v>
      </c>
      <c r="D264">
        <f>INDEX(Src_BHRaSYC_nuclear!$HF$5:$HF$52,MATCH($A264,Src_BHRaSYC_nuclear!$A$5:$A$52,0))</f>
        <v>0</v>
      </c>
      <c r="E264">
        <f>INDEX(Src_HYECFCA_nuclear!$B$5:$B$52,MATCH($A264,Src_HYECFCA_nuclear!$A$5:$A$52,0))</f>
        <v>1</v>
      </c>
      <c r="F264">
        <f>IF($D264=1,ROUND(Keys!$C$2/(INDEX(Src_SYSHECF_nuclear!$D$5:$D$292,MATCH($C264,Src_SYSHECF_nuclear!$C$5:$C$292,0))*$E264),Keys!$C$5),Keys!$C$4)</f>
        <v>0.9</v>
      </c>
      <c r="G264">
        <f>IF($D264=1,ROUND(Keys!$C$2/(INDEX(Src_SYSHECF_nuclear!$E$5:$E$292,MATCH($C264,Src_SYSHECF_nuclear!$C$5:$C$292,0))*$E264),Keys!$C$5),Keys!$C$4)</f>
        <v>0.9</v>
      </c>
      <c r="H264">
        <f>IF($D264=1,ROUND(Keys!$C$2/(INDEX(Src_SYSHECF_nuclear!$F$5:$F$292,MATCH($C264,Src_SYSHECF_nuclear!$C$5:$C$292,0))*$E264),Keys!$C$5),Keys!$C$4)</f>
        <v>0.9</v>
      </c>
      <c r="I264">
        <f>IF($D264=1,ROUND(Keys!$C$2/(INDEX(Src_SYSHECF_nuclear!$G$5:$G$292,MATCH($C264,Src_SYSHECF_nuclear!$C$5:$C$292,0))*$E264),Keys!$C$5),Keys!$C$4)</f>
        <v>0.9</v>
      </c>
      <c r="J264">
        <f>IF($D264=1,ROUND(Keys!$C$2/(INDEX(Src_SYSHECF_nuclear!$H$5:$H$292,MATCH($C264,Src_SYSHECF_nuclear!$C$5:$C$292,0))*$E264),Keys!$C$5),Keys!$C$4)</f>
        <v>0.9</v>
      </c>
      <c r="K264">
        <f>IF($D264=1,ROUND(Keys!$C$2/(INDEX(Src_SYSHECF_nuclear!$I$5:$I$292,MATCH($C264,Src_SYSHECF_nuclear!$C$5:$C$292,0))*$E264),Keys!$C$5),Keys!$C$4)</f>
        <v>0.9</v>
      </c>
      <c r="L264">
        <f>IF($D264=1,ROUND(Keys!$C$2/(INDEX(Src_SYSHECF_nuclear!$J$5:$J$292,MATCH($C264,Src_SYSHECF_nuclear!$C$5:$C$292,0))*$E264),Keys!$C$5),Keys!$C$4)</f>
        <v>0.9</v>
      </c>
      <c r="M264">
        <f>IF($D264=1,ROUND(Keys!$C$2/(INDEX(Src_SYSHECF_nuclear!$K$5:$K$292,MATCH($C264,Src_SYSHECF_nuclear!$C$5:$C$292,0))*$E264),Keys!$C$5),Keys!$C$4)</f>
        <v>0.9</v>
      </c>
      <c r="N264">
        <f>IF($D264=1,ROUND(Keys!$C$2/(INDEX(Src_SYSHECF_nuclear!$L$5:$L$292,MATCH($C264,Src_SYSHECF_nuclear!$C$5:$C$292,0))*$E264),Keys!$C$5),Keys!$C$4)</f>
        <v>0.9</v>
      </c>
      <c r="O264">
        <f>IF($D264=1,ROUND(Keys!$C$2/(INDEX(Src_SYSHECF_nuclear!$M$5:$M$292,MATCH($C264,Src_SYSHECF_nuclear!$C$5:$C$292,0))*$E264),Keys!$C$5),Keys!$C$4)</f>
        <v>0.9</v>
      </c>
      <c r="P264">
        <f>IF($D264=1,ROUND(Keys!$C$2/(INDEX(Src_SYSHECF_nuclear!$N$5:$N$292,MATCH($C264,Src_SYSHECF_nuclear!$C$5:$C$292,0))*$E264),Keys!$C$5),Keys!$C$4)</f>
        <v>0.9</v>
      </c>
      <c r="Q264">
        <f>IF($D264=1,ROUND(Keys!$C$2/(INDEX(Src_SYSHECF_nuclear!$O$5:$O$292,MATCH($C264,Src_SYSHECF_nuclear!$C$5:$C$292,0))*$E264),Keys!$C$5),Keys!$C$4)</f>
        <v>0.9</v>
      </c>
      <c r="R264">
        <f>IF($D264=1,ROUND(Keys!$C$2/(INDEX(Src_SYSHECF_nuclear!$P$5:$P$292,MATCH($C264,Src_SYSHECF_nuclear!$C$5:$C$292,0))*$E264),Keys!$C$5),Keys!$C$4)</f>
        <v>0.9</v>
      </c>
      <c r="S264">
        <f>IF($D264=1,ROUND(Keys!$C$2/(INDEX(Src_SYSHECF_nuclear!$Q$5:$Q$292,MATCH($C264,Src_SYSHECF_nuclear!$C$5:$C$292,0))*$E264),Keys!$C$5),Keys!$C$4)</f>
        <v>0.9</v>
      </c>
      <c r="T264">
        <f>IF($D264=1,ROUND(Keys!$C$2/(INDEX(Src_SYSHECF_nuclear!$R$5:$R$292,MATCH($C264,Src_SYSHECF_nuclear!$C$5:$C$292,0))*$E264),Keys!$C$5),Keys!$C$4)</f>
        <v>0.9</v>
      </c>
      <c r="U264">
        <f>IF($D264=1,ROUND(Keys!$C$2/(INDEX(Src_SYSHECF_nuclear!$S$5:$S$292,MATCH($C264,Src_SYSHECF_nuclear!$C$5:$C$292,0))*$E264),Keys!$C$5),Keys!$C$4)</f>
        <v>0.9</v>
      </c>
      <c r="V264">
        <f>IF($D264=1,ROUND(Keys!$C$2/(INDEX(Src_SYSHECF_nuclear!$T$5:$T$292,MATCH($C264,Src_SYSHECF_nuclear!$C$5:$C$292,0))*$E264),Keys!$C$5),Keys!$C$4)</f>
        <v>0.9</v>
      </c>
      <c r="W264">
        <f>IF($D264=1,ROUND(Keys!$C$2/(INDEX(Src_SYSHECF_nuclear!$U$5:$U$292,MATCH($C264,Src_SYSHECF_nuclear!$C$5:$C$292,0))*$E264),Keys!$C$5),Keys!$C$4)</f>
        <v>0.9</v>
      </c>
      <c r="X264">
        <f>IF($D264=1,ROUND(Keys!$C$2/(INDEX(Src_SYSHECF_nuclear!$V$5:$V$292,MATCH($C264,Src_SYSHECF_nuclear!$C$5:$C$292,0))*$E264),Keys!$C$5),Keys!$C$4)</f>
        <v>0.9</v>
      </c>
      <c r="Y264">
        <f>IF($D264=1,ROUND(Keys!$C$2/(INDEX(Src_SYSHECF_nuclear!$W$5:$W$292,MATCH($C264,Src_SYSHECF_nuclear!$C$5:$C$292,0))*$E264),Keys!$C$5),Keys!$C$4)</f>
        <v>0.9</v>
      </c>
      <c r="Z264">
        <f>IF($D264=1,ROUND(Keys!$C$2/(INDEX(Src_SYSHECF_nuclear!$X$5:$X$292,MATCH($C264,Src_SYSHECF_nuclear!$C$5:$C$292,0))*$E264),Keys!$C$5),Keys!$C$4)</f>
        <v>0.9</v>
      </c>
      <c r="AA264">
        <f>IF($D264=1,ROUND(Keys!$C$2/(INDEX(Src_SYSHECF_nuclear!$Y$5:$Y$292,MATCH($C264,Src_SYSHECF_nuclear!$C$5:$C$292,0))*$E264),Keys!$C$5),Keys!$C$4)</f>
        <v>0.9</v>
      </c>
      <c r="AB264">
        <f>IF($D264=1,ROUND(Keys!$C$2/(INDEX(Src_SYSHECF_nuclear!$Z$5:$Z$292,MATCH($C264,Src_SYSHECF_nuclear!$C$5:$C$292,0))*$E264),Keys!$C$5),Keys!$C$4)</f>
        <v>0.9</v>
      </c>
      <c r="AC264">
        <f>IF($D264=1,ROUND(Keys!$C$2/(INDEX(Src_SYSHECF_nuclear!$AA$5:$AA$292,MATCH($C264,Src_SYSHECF_nuclear!$C$5:$C$292,0))*$E264),Keys!$C$5),Keys!$C$4)</f>
        <v>0.9</v>
      </c>
      <c r="AE264">
        <f>IF($D264=1,IF(ABS(INDEX(Src_SYSHECF_nuclear!$D$5:$D$292,MATCH($C264,Src_SYSHECF_nuclear!$C$5:$C$292,0))*$E264*F264-Keys!$C$2)&gt;Keys!$C$6,1,0),0)</f>
        <v>0</v>
      </c>
    </row>
    <row r="265" spans="1:31" x14ac:dyDescent="0.45">
      <c r="A265" t="s">
        <v>92</v>
      </c>
      <c r="B265" t="s">
        <v>429</v>
      </c>
      <c r="C265" t="str">
        <f t="shared" si="4"/>
        <v>OR|Winter Peak</v>
      </c>
      <c r="D265">
        <f>INDEX(Src_BHRaSYC_nuclear!$HF$5:$HF$52,MATCH($A265,Src_BHRaSYC_nuclear!$A$5:$A$52,0))</f>
        <v>0</v>
      </c>
      <c r="E265">
        <f>INDEX(Src_HYECFCA_nuclear!$B$5:$B$52,MATCH($A265,Src_HYECFCA_nuclear!$A$5:$A$52,0))</f>
        <v>1</v>
      </c>
      <c r="F265">
        <f>IF($D265=1,ROUND(Keys!$C$2/(INDEX(Src_SYSHECF_nuclear!$D$5:$D$292,MATCH($C265,Src_SYSHECF_nuclear!$C$5:$C$292,0))*$E265),Keys!$C$5),Keys!$C$4)</f>
        <v>0.9</v>
      </c>
      <c r="G265">
        <f>IF($D265=1,ROUND(Keys!$C$2/(INDEX(Src_SYSHECF_nuclear!$E$5:$E$292,MATCH($C265,Src_SYSHECF_nuclear!$C$5:$C$292,0))*$E265),Keys!$C$5),Keys!$C$4)</f>
        <v>0.9</v>
      </c>
      <c r="H265">
        <f>IF($D265=1,ROUND(Keys!$C$2/(INDEX(Src_SYSHECF_nuclear!$F$5:$F$292,MATCH($C265,Src_SYSHECF_nuclear!$C$5:$C$292,0))*$E265),Keys!$C$5),Keys!$C$4)</f>
        <v>0.9</v>
      </c>
      <c r="I265">
        <f>IF($D265=1,ROUND(Keys!$C$2/(INDEX(Src_SYSHECF_nuclear!$G$5:$G$292,MATCH($C265,Src_SYSHECF_nuclear!$C$5:$C$292,0))*$E265),Keys!$C$5),Keys!$C$4)</f>
        <v>0.9</v>
      </c>
      <c r="J265">
        <f>IF($D265=1,ROUND(Keys!$C$2/(INDEX(Src_SYSHECF_nuclear!$H$5:$H$292,MATCH($C265,Src_SYSHECF_nuclear!$C$5:$C$292,0))*$E265),Keys!$C$5),Keys!$C$4)</f>
        <v>0.9</v>
      </c>
      <c r="K265">
        <f>IF($D265=1,ROUND(Keys!$C$2/(INDEX(Src_SYSHECF_nuclear!$I$5:$I$292,MATCH($C265,Src_SYSHECF_nuclear!$C$5:$C$292,0))*$E265),Keys!$C$5),Keys!$C$4)</f>
        <v>0.9</v>
      </c>
      <c r="L265">
        <f>IF($D265=1,ROUND(Keys!$C$2/(INDEX(Src_SYSHECF_nuclear!$J$5:$J$292,MATCH($C265,Src_SYSHECF_nuclear!$C$5:$C$292,0))*$E265),Keys!$C$5),Keys!$C$4)</f>
        <v>0.9</v>
      </c>
      <c r="M265">
        <f>IF($D265=1,ROUND(Keys!$C$2/(INDEX(Src_SYSHECF_nuclear!$K$5:$K$292,MATCH($C265,Src_SYSHECF_nuclear!$C$5:$C$292,0))*$E265),Keys!$C$5),Keys!$C$4)</f>
        <v>0.9</v>
      </c>
      <c r="N265">
        <f>IF($D265=1,ROUND(Keys!$C$2/(INDEX(Src_SYSHECF_nuclear!$L$5:$L$292,MATCH($C265,Src_SYSHECF_nuclear!$C$5:$C$292,0))*$E265),Keys!$C$5),Keys!$C$4)</f>
        <v>0.9</v>
      </c>
      <c r="O265">
        <f>IF($D265=1,ROUND(Keys!$C$2/(INDEX(Src_SYSHECF_nuclear!$M$5:$M$292,MATCH($C265,Src_SYSHECF_nuclear!$C$5:$C$292,0))*$E265),Keys!$C$5),Keys!$C$4)</f>
        <v>0.9</v>
      </c>
      <c r="P265">
        <f>IF($D265=1,ROUND(Keys!$C$2/(INDEX(Src_SYSHECF_nuclear!$N$5:$N$292,MATCH($C265,Src_SYSHECF_nuclear!$C$5:$C$292,0))*$E265),Keys!$C$5),Keys!$C$4)</f>
        <v>0.9</v>
      </c>
      <c r="Q265">
        <f>IF($D265=1,ROUND(Keys!$C$2/(INDEX(Src_SYSHECF_nuclear!$O$5:$O$292,MATCH($C265,Src_SYSHECF_nuclear!$C$5:$C$292,0))*$E265),Keys!$C$5),Keys!$C$4)</f>
        <v>0.9</v>
      </c>
      <c r="R265">
        <f>IF($D265=1,ROUND(Keys!$C$2/(INDEX(Src_SYSHECF_nuclear!$P$5:$P$292,MATCH($C265,Src_SYSHECF_nuclear!$C$5:$C$292,0))*$E265),Keys!$C$5),Keys!$C$4)</f>
        <v>0.9</v>
      </c>
      <c r="S265">
        <f>IF($D265=1,ROUND(Keys!$C$2/(INDEX(Src_SYSHECF_nuclear!$Q$5:$Q$292,MATCH($C265,Src_SYSHECF_nuclear!$C$5:$C$292,0))*$E265),Keys!$C$5),Keys!$C$4)</f>
        <v>0.9</v>
      </c>
      <c r="T265">
        <f>IF($D265=1,ROUND(Keys!$C$2/(INDEX(Src_SYSHECF_nuclear!$R$5:$R$292,MATCH($C265,Src_SYSHECF_nuclear!$C$5:$C$292,0))*$E265),Keys!$C$5),Keys!$C$4)</f>
        <v>0.9</v>
      </c>
      <c r="U265">
        <f>IF($D265=1,ROUND(Keys!$C$2/(INDEX(Src_SYSHECF_nuclear!$S$5:$S$292,MATCH($C265,Src_SYSHECF_nuclear!$C$5:$C$292,0))*$E265),Keys!$C$5),Keys!$C$4)</f>
        <v>0.9</v>
      </c>
      <c r="V265">
        <f>IF($D265=1,ROUND(Keys!$C$2/(INDEX(Src_SYSHECF_nuclear!$T$5:$T$292,MATCH($C265,Src_SYSHECF_nuclear!$C$5:$C$292,0))*$E265),Keys!$C$5),Keys!$C$4)</f>
        <v>0.9</v>
      </c>
      <c r="W265">
        <f>IF($D265=1,ROUND(Keys!$C$2/(INDEX(Src_SYSHECF_nuclear!$U$5:$U$292,MATCH($C265,Src_SYSHECF_nuclear!$C$5:$C$292,0))*$E265),Keys!$C$5),Keys!$C$4)</f>
        <v>0.9</v>
      </c>
      <c r="X265">
        <f>IF($D265=1,ROUND(Keys!$C$2/(INDEX(Src_SYSHECF_nuclear!$V$5:$V$292,MATCH($C265,Src_SYSHECF_nuclear!$C$5:$C$292,0))*$E265),Keys!$C$5),Keys!$C$4)</f>
        <v>0.9</v>
      </c>
      <c r="Y265">
        <f>IF($D265=1,ROUND(Keys!$C$2/(INDEX(Src_SYSHECF_nuclear!$W$5:$W$292,MATCH($C265,Src_SYSHECF_nuclear!$C$5:$C$292,0))*$E265),Keys!$C$5),Keys!$C$4)</f>
        <v>0.9</v>
      </c>
      <c r="Z265">
        <f>IF($D265=1,ROUND(Keys!$C$2/(INDEX(Src_SYSHECF_nuclear!$X$5:$X$292,MATCH($C265,Src_SYSHECF_nuclear!$C$5:$C$292,0))*$E265),Keys!$C$5),Keys!$C$4)</f>
        <v>0.9</v>
      </c>
      <c r="AA265">
        <f>IF($D265=1,ROUND(Keys!$C$2/(INDEX(Src_SYSHECF_nuclear!$Y$5:$Y$292,MATCH($C265,Src_SYSHECF_nuclear!$C$5:$C$292,0))*$E265),Keys!$C$5),Keys!$C$4)</f>
        <v>0.9</v>
      </c>
      <c r="AB265">
        <f>IF($D265=1,ROUND(Keys!$C$2/(INDEX(Src_SYSHECF_nuclear!$Z$5:$Z$292,MATCH($C265,Src_SYSHECF_nuclear!$C$5:$C$292,0))*$E265),Keys!$C$5),Keys!$C$4)</f>
        <v>0.9</v>
      </c>
      <c r="AC265">
        <f>IF($D265=1,ROUND(Keys!$C$2/(INDEX(Src_SYSHECF_nuclear!$AA$5:$AA$292,MATCH($C265,Src_SYSHECF_nuclear!$C$5:$C$292,0))*$E265),Keys!$C$5),Keys!$C$4)</f>
        <v>0.9</v>
      </c>
      <c r="AE265">
        <f>IF($D265=1,IF(ABS(INDEX(Src_SYSHECF_nuclear!$D$5:$D$292,MATCH($C265,Src_SYSHECF_nuclear!$C$5:$C$292,0))*$E265*F265-Keys!$C$2)&gt;Keys!$C$6,1,0),0)</f>
        <v>0</v>
      </c>
    </row>
    <row r="266" spans="1:31" x14ac:dyDescent="0.45">
      <c r="A266" t="s">
        <v>94</v>
      </c>
      <c r="B266" t="s">
        <v>424</v>
      </c>
      <c r="C266" t="str">
        <f t="shared" si="4"/>
        <v>PA|Winter</v>
      </c>
      <c r="D266">
        <f>INDEX(Src_BHRaSYC_nuclear!$HF$5:$HF$52,MATCH($A266,Src_BHRaSYC_nuclear!$A$5:$A$52,0))</f>
        <v>1</v>
      </c>
      <c r="E266">
        <f>INDEX(Src_HYECFCA_nuclear!$B$5:$B$52,MATCH($A266,Src_HYECFCA_nuclear!$A$5:$A$52,0))</f>
        <v>0.997614</v>
      </c>
      <c r="F266">
        <f>IF($D266=1,ROUND(Keys!$C$2/(INDEX(Src_SYSHECF_nuclear!$D$5:$D$292,MATCH($C266,Src_SYSHECF_nuclear!$C$5:$C$292,0))*$E266),Keys!$C$5),Keys!$C$4)</f>
        <v>1.1259999999999999</v>
      </c>
      <c r="G266">
        <f>IF($D266=1,ROUND(Keys!$C$2/(INDEX(Src_SYSHECF_nuclear!$E$5:$E$292,MATCH($C266,Src_SYSHECF_nuclear!$C$5:$C$292,0))*$E266),Keys!$C$5),Keys!$C$4)</f>
        <v>1.1259999999999999</v>
      </c>
      <c r="H266">
        <f>IF($D266=1,ROUND(Keys!$C$2/(INDEX(Src_SYSHECF_nuclear!$F$5:$F$292,MATCH($C266,Src_SYSHECF_nuclear!$C$5:$C$292,0))*$E266),Keys!$C$5),Keys!$C$4)</f>
        <v>1.1259999999999999</v>
      </c>
      <c r="I266">
        <f>IF($D266=1,ROUND(Keys!$C$2/(INDEX(Src_SYSHECF_nuclear!$G$5:$G$292,MATCH($C266,Src_SYSHECF_nuclear!$C$5:$C$292,0))*$E266),Keys!$C$5),Keys!$C$4)</f>
        <v>1.1259999999999999</v>
      </c>
      <c r="J266">
        <f>IF($D266=1,ROUND(Keys!$C$2/(INDEX(Src_SYSHECF_nuclear!$H$5:$H$292,MATCH($C266,Src_SYSHECF_nuclear!$C$5:$C$292,0))*$E266),Keys!$C$5),Keys!$C$4)</f>
        <v>1.1259999999999999</v>
      </c>
      <c r="K266">
        <f>IF($D266=1,ROUND(Keys!$C$2/(INDEX(Src_SYSHECF_nuclear!$I$5:$I$292,MATCH($C266,Src_SYSHECF_nuclear!$C$5:$C$292,0))*$E266),Keys!$C$5),Keys!$C$4)</f>
        <v>1.1259999999999999</v>
      </c>
      <c r="L266">
        <f>IF($D266=1,ROUND(Keys!$C$2/(INDEX(Src_SYSHECF_nuclear!$J$5:$J$292,MATCH($C266,Src_SYSHECF_nuclear!$C$5:$C$292,0))*$E266),Keys!$C$5),Keys!$C$4)</f>
        <v>1.1259999999999999</v>
      </c>
      <c r="M266">
        <f>IF($D266=1,ROUND(Keys!$C$2/(INDEX(Src_SYSHECF_nuclear!$K$5:$K$292,MATCH($C266,Src_SYSHECF_nuclear!$C$5:$C$292,0))*$E266),Keys!$C$5),Keys!$C$4)</f>
        <v>1.1259999999999999</v>
      </c>
      <c r="N266">
        <f>IF($D266=1,ROUND(Keys!$C$2/(INDEX(Src_SYSHECF_nuclear!$L$5:$L$292,MATCH($C266,Src_SYSHECF_nuclear!$C$5:$C$292,0))*$E266),Keys!$C$5),Keys!$C$4)</f>
        <v>1.1259999999999999</v>
      </c>
      <c r="O266">
        <f>IF($D266=1,ROUND(Keys!$C$2/(INDEX(Src_SYSHECF_nuclear!$M$5:$M$292,MATCH($C266,Src_SYSHECF_nuclear!$C$5:$C$292,0))*$E266),Keys!$C$5),Keys!$C$4)</f>
        <v>1.1259999999999999</v>
      </c>
      <c r="P266">
        <f>IF($D266=1,ROUND(Keys!$C$2/(INDEX(Src_SYSHECF_nuclear!$N$5:$N$292,MATCH($C266,Src_SYSHECF_nuclear!$C$5:$C$292,0))*$E266),Keys!$C$5),Keys!$C$4)</f>
        <v>1.1259999999999999</v>
      </c>
      <c r="Q266">
        <f>IF($D266=1,ROUND(Keys!$C$2/(INDEX(Src_SYSHECF_nuclear!$O$5:$O$292,MATCH($C266,Src_SYSHECF_nuclear!$C$5:$C$292,0))*$E266),Keys!$C$5),Keys!$C$4)</f>
        <v>1.1259999999999999</v>
      </c>
      <c r="R266">
        <f>IF($D266=1,ROUND(Keys!$C$2/(INDEX(Src_SYSHECF_nuclear!$P$5:$P$292,MATCH($C266,Src_SYSHECF_nuclear!$C$5:$C$292,0))*$E266),Keys!$C$5),Keys!$C$4)</f>
        <v>1.1259999999999999</v>
      </c>
      <c r="S266">
        <f>IF($D266=1,ROUND(Keys!$C$2/(INDEX(Src_SYSHECF_nuclear!$Q$5:$Q$292,MATCH($C266,Src_SYSHECF_nuclear!$C$5:$C$292,0))*$E266),Keys!$C$5),Keys!$C$4)</f>
        <v>1.1259999999999999</v>
      </c>
      <c r="T266">
        <f>IF($D266=1,ROUND(Keys!$C$2/(INDEX(Src_SYSHECF_nuclear!$R$5:$R$292,MATCH($C266,Src_SYSHECF_nuclear!$C$5:$C$292,0))*$E266),Keys!$C$5),Keys!$C$4)</f>
        <v>1.1259999999999999</v>
      </c>
      <c r="U266">
        <f>IF($D266=1,ROUND(Keys!$C$2/(INDEX(Src_SYSHECF_nuclear!$S$5:$S$292,MATCH($C266,Src_SYSHECF_nuclear!$C$5:$C$292,0))*$E266),Keys!$C$5),Keys!$C$4)</f>
        <v>1.1259999999999999</v>
      </c>
      <c r="V266">
        <f>IF($D266=1,ROUND(Keys!$C$2/(INDEX(Src_SYSHECF_nuclear!$T$5:$T$292,MATCH($C266,Src_SYSHECF_nuclear!$C$5:$C$292,0))*$E266),Keys!$C$5),Keys!$C$4)</f>
        <v>1.1259999999999999</v>
      </c>
      <c r="W266">
        <f>IF($D266=1,ROUND(Keys!$C$2/(INDEX(Src_SYSHECF_nuclear!$U$5:$U$292,MATCH($C266,Src_SYSHECF_nuclear!$C$5:$C$292,0))*$E266),Keys!$C$5),Keys!$C$4)</f>
        <v>1.1259999999999999</v>
      </c>
      <c r="X266">
        <f>IF($D266=1,ROUND(Keys!$C$2/(INDEX(Src_SYSHECF_nuclear!$V$5:$V$292,MATCH($C266,Src_SYSHECF_nuclear!$C$5:$C$292,0))*$E266),Keys!$C$5),Keys!$C$4)</f>
        <v>1.1259999999999999</v>
      </c>
      <c r="Y266">
        <f>IF($D266=1,ROUND(Keys!$C$2/(INDEX(Src_SYSHECF_nuclear!$W$5:$W$292,MATCH($C266,Src_SYSHECF_nuclear!$C$5:$C$292,0))*$E266),Keys!$C$5),Keys!$C$4)</f>
        <v>1.1259999999999999</v>
      </c>
      <c r="Z266">
        <f>IF($D266=1,ROUND(Keys!$C$2/(INDEX(Src_SYSHECF_nuclear!$X$5:$X$292,MATCH($C266,Src_SYSHECF_nuclear!$C$5:$C$292,0))*$E266),Keys!$C$5),Keys!$C$4)</f>
        <v>1.1259999999999999</v>
      </c>
      <c r="AA266">
        <f>IF($D266=1,ROUND(Keys!$C$2/(INDEX(Src_SYSHECF_nuclear!$Y$5:$Y$292,MATCH($C266,Src_SYSHECF_nuclear!$C$5:$C$292,0))*$E266),Keys!$C$5),Keys!$C$4)</f>
        <v>1.1259999999999999</v>
      </c>
      <c r="AB266">
        <f>IF($D266=1,ROUND(Keys!$C$2/(INDEX(Src_SYSHECF_nuclear!$Z$5:$Z$292,MATCH($C266,Src_SYSHECF_nuclear!$C$5:$C$292,0))*$E266),Keys!$C$5),Keys!$C$4)</f>
        <v>1.1259999999999999</v>
      </c>
      <c r="AC266">
        <f>IF($D266=1,ROUND(Keys!$C$2/(INDEX(Src_SYSHECF_nuclear!$AA$5:$AA$292,MATCH($C266,Src_SYSHECF_nuclear!$C$5:$C$292,0))*$E266),Keys!$C$5),Keys!$C$4)</f>
        <v>1.1259999999999999</v>
      </c>
      <c r="AE266">
        <f>IF($D266=1,IF(ABS(INDEX(Src_SYSHECF_nuclear!$D$5:$D$292,MATCH($C266,Src_SYSHECF_nuclear!$C$5:$C$292,0))*$E266*F266-Keys!$C$2)&gt;Keys!$C$6,1,0),0)</f>
        <v>0</v>
      </c>
    </row>
    <row r="267" spans="1:31" x14ac:dyDescent="0.45">
      <c r="A267" t="s">
        <v>94</v>
      </c>
      <c r="B267" t="s">
        <v>425</v>
      </c>
      <c r="C267" t="str">
        <f t="shared" si="4"/>
        <v>PA|Spring</v>
      </c>
      <c r="D267">
        <f>INDEX(Src_BHRaSYC_nuclear!$HF$5:$HF$52,MATCH($A267,Src_BHRaSYC_nuclear!$A$5:$A$52,0))</f>
        <v>1</v>
      </c>
      <c r="E267">
        <f>INDEX(Src_HYECFCA_nuclear!$B$5:$B$52,MATCH($A267,Src_HYECFCA_nuclear!$A$5:$A$52,0))</f>
        <v>0.997614</v>
      </c>
      <c r="F267">
        <f>IF($D267=1,ROUND(Keys!$C$2/(INDEX(Src_SYSHECF_nuclear!$D$5:$D$292,MATCH($C267,Src_SYSHECF_nuclear!$C$5:$C$292,0))*$E267),Keys!$C$5),Keys!$C$4)</f>
        <v>1.1259999999999999</v>
      </c>
      <c r="G267">
        <f>IF($D267=1,ROUND(Keys!$C$2/(INDEX(Src_SYSHECF_nuclear!$E$5:$E$292,MATCH($C267,Src_SYSHECF_nuclear!$C$5:$C$292,0))*$E267),Keys!$C$5),Keys!$C$4)</f>
        <v>1.1259999999999999</v>
      </c>
      <c r="H267">
        <f>IF($D267=1,ROUND(Keys!$C$2/(INDEX(Src_SYSHECF_nuclear!$F$5:$F$292,MATCH($C267,Src_SYSHECF_nuclear!$C$5:$C$292,0))*$E267),Keys!$C$5),Keys!$C$4)</f>
        <v>1.1259999999999999</v>
      </c>
      <c r="I267">
        <f>IF($D267=1,ROUND(Keys!$C$2/(INDEX(Src_SYSHECF_nuclear!$G$5:$G$292,MATCH($C267,Src_SYSHECF_nuclear!$C$5:$C$292,0))*$E267),Keys!$C$5),Keys!$C$4)</f>
        <v>1.1259999999999999</v>
      </c>
      <c r="J267">
        <f>IF($D267=1,ROUND(Keys!$C$2/(INDEX(Src_SYSHECF_nuclear!$H$5:$H$292,MATCH($C267,Src_SYSHECF_nuclear!$C$5:$C$292,0))*$E267),Keys!$C$5),Keys!$C$4)</f>
        <v>1.1259999999999999</v>
      </c>
      <c r="K267">
        <f>IF($D267=1,ROUND(Keys!$C$2/(INDEX(Src_SYSHECF_nuclear!$I$5:$I$292,MATCH($C267,Src_SYSHECF_nuclear!$C$5:$C$292,0))*$E267),Keys!$C$5),Keys!$C$4)</f>
        <v>1.1259999999999999</v>
      </c>
      <c r="L267">
        <f>IF($D267=1,ROUND(Keys!$C$2/(INDEX(Src_SYSHECF_nuclear!$J$5:$J$292,MATCH($C267,Src_SYSHECF_nuclear!$C$5:$C$292,0))*$E267),Keys!$C$5),Keys!$C$4)</f>
        <v>1.1311</v>
      </c>
      <c r="M267">
        <f>IF($D267=1,ROUND(Keys!$C$2/(INDEX(Src_SYSHECF_nuclear!$K$5:$K$292,MATCH($C267,Src_SYSHECF_nuclear!$C$5:$C$292,0))*$E267),Keys!$C$5),Keys!$C$4)</f>
        <v>1.1305000000000001</v>
      </c>
      <c r="N267">
        <f>IF($D267=1,ROUND(Keys!$C$2/(INDEX(Src_SYSHECF_nuclear!$L$5:$L$292,MATCH($C267,Src_SYSHECF_nuclear!$C$5:$C$292,0))*$E267),Keys!$C$5),Keys!$C$4)</f>
        <v>1.1259999999999999</v>
      </c>
      <c r="O267">
        <f>IF($D267=1,ROUND(Keys!$C$2/(INDEX(Src_SYSHECF_nuclear!$M$5:$M$292,MATCH($C267,Src_SYSHECF_nuclear!$C$5:$C$292,0))*$E267),Keys!$C$5),Keys!$C$4)</f>
        <v>1.1259999999999999</v>
      </c>
      <c r="P267">
        <f>IF($D267=1,ROUND(Keys!$C$2/(INDEX(Src_SYSHECF_nuclear!$N$5:$N$292,MATCH($C267,Src_SYSHECF_nuclear!$C$5:$C$292,0))*$E267),Keys!$C$5),Keys!$C$4)</f>
        <v>1.1259999999999999</v>
      </c>
      <c r="Q267">
        <f>IF($D267=1,ROUND(Keys!$C$2/(INDEX(Src_SYSHECF_nuclear!$O$5:$O$292,MATCH($C267,Src_SYSHECF_nuclear!$C$5:$C$292,0))*$E267),Keys!$C$5),Keys!$C$4)</f>
        <v>1.1259999999999999</v>
      </c>
      <c r="R267">
        <f>IF($D267=1,ROUND(Keys!$C$2/(INDEX(Src_SYSHECF_nuclear!$P$5:$P$292,MATCH($C267,Src_SYSHECF_nuclear!$C$5:$C$292,0))*$E267),Keys!$C$5),Keys!$C$4)</f>
        <v>1.1259999999999999</v>
      </c>
      <c r="S267">
        <f>IF($D267=1,ROUND(Keys!$C$2/(INDEX(Src_SYSHECF_nuclear!$Q$5:$Q$292,MATCH($C267,Src_SYSHECF_nuclear!$C$5:$C$292,0))*$E267),Keys!$C$5),Keys!$C$4)</f>
        <v>1.1259999999999999</v>
      </c>
      <c r="T267">
        <f>IF($D267=1,ROUND(Keys!$C$2/(INDEX(Src_SYSHECF_nuclear!$R$5:$R$292,MATCH($C267,Src_SYSHECF_nuclear!$C$5:$C$292,0))*$E267),Keys!$C$5),Keys!$C$4)</f>
        <v>1.1259999999999999</v>
      </c>
      <c r="U267">
        <f>IF($D267=1,ROUND(Keys!$C$2/(INDEX(Src_SYSHECF_nuclear!$S$5:$S$292,MATCH($C267,Src_SYSHECF_nuclear!$C$5:$C$292,0))*$E267),Keys!$C$5),Keys!$C$4)</f>
        <v>1.1259999999999999</v>
      </c>
      <c r="V267">
        <f>IF($D267=1,ROUND(Keys!$C$2/(INDEX(Src_SYSHECF_nuclear!$T$5:$T$292,MATCH($C267,Src_SYSHECF_nuclear!$C$5:$C$292,0))*$E267),Keys!$C$5),Keys!$C$4)</f>
        <v>1.1259999999999999</v>
      </c>
      <c r="W267">
        <f>IF($D267=1,ROUND(Keys!$C$2/(INDEX(Src_SYSHECF_nuclear!$U$5:$U$292,MATCH($C267,Src_SYSHECF_nuclear!$C$5:$C$292,0))*$E267),Keys!$C$5),Keys!$C$4)</f>
        <v>1.1259999999999999</v>
      </c>
      <c r="X267">
        <f>IF($D267=1,ROUND(Keys!$C$2/(INDEX(Src_SYSHECF_nuclear!$V$5:$V$292,MATCH($C267,Src_SYSHECF_nuclear!$C$5:$C$292,0))*$E267),Keys!$C$5),Keys!$C$4)</f>
        <v>1.1259999999999999</v>
      </c>
      <c r="Y267">
        <f>IF($D267=1,ROUND(Keys!$C$2/(INDEX(Src_SYSHECF_nuclear!$W$5:$W$292,MATCH($C267,Src_SYSHECF_nuclear!$C$5:$C$292,0))*$E267),Keys!$C$5),Keys!$C$4)</f>
        <v>1.1259999999999999</v>
      </c>
      <c r="Z267">
        <f>IF($D267=1,ROUND(Keys!$C$2/(INDEX(Src_SYSHECF_nuclear!$X$5:$X$292,MATCH($C267,Src_SYSHECF_nuclear!$C$5:$C$292,0))*$E267),Keys!$C$5),Keys!$C$4)</f>
        <v>1.1259999999999999</v>
      </c>
      <c r="AA267">
        <f>IF($D267=1,ROUND(Keys!$C$2/(INDEX(Src_SYSHECF_nuclear!$Y$5:$Y$292,MATCH($C267,Src_SYSHECF_nuclear!$C$5:$C$292,0))*$E267),Keys!$C$5),Keys!$C$4)</f>
        <v>1.1259999999999999</v>
      </c>
      <c r="AB267">
        <f>IF($D267=1,ROUND(Keys!$C$2/(INDEX(Src_SYSHECF_nuclear!$Z$5:$Z$292,MATCH($C267,Src_SYSHECF_nuclear!$C$5:$C$292,0))*$E267),Keys!$C$5),Keys!$C$4)</f>
        <v>1.1259999999999999</v>
      </c>
      <c r="AC267">
        <f>IF($D267=1,ROUND(Keys!$C$2/(INDEX(Src_SYSHECF_nuclear!$AA$5:$AA$292,MATCH($C267,Src_SYSHECF_nuclear!$C$5:$C$292,0))*$E267),Keys!$C$5),Keys!$C$4)</f>
        <v>1.1259999999999999</v>
      </c>
      <c r="AE267">
        <f>IF($D267=1,IF(ABS(INDEX(Src_SYSHECF_nuclear!$D$5:$D$292,MATCH($C267,Src_SYSHECF_nuclear!$C$5:$C$292,0))*$E267*F267-Keys!$C$2)&gt;Keys!$C$6,1,0),0)</f>
        <v>0</v>
      </c>
    </row>
    <row r="268" spans="1:31" x14ac:dyDescent="0.45">
      <c r="A268" t="s">
        <v>94</v>
      </c>
      <c r="B268" t="s">
        <v>426</v>
      </c>
      <c r="C268" t="str">
        <f t="shared" si="4"/>
        <v>PA|Summer</v>
      </c>
      <c r="D268">
        <f>INDEX(Src_BHRaSYC_nuclear!$HF$5:$HF$52,MATCH($A268,Src_BHRaSYC_nuclear!$A$5:$A$52,0))</f>
        <v>1</v>
      </c>
      <c r="E268">
        <f>INDEX(Src_HYECFCA_nuclear!$B$5:$B$52,MATCH($A268,Src_HYECFCA_nuclear!$A$5:$A$52,0))</f>
        <v>0.997614</v>
      </c>
      <c r="F268">
        <f>IF($D268=1,ROUND(Keys!$C$2/(INDEX(Src_SYSHECF_nuclear!$D$5:$D$292,MATCH($C268,Src_SYSHECF_nuclear!$C$5:$C$292,0))*$E268),Keys!$C$5),Keys!$C$4)</f>
        <v>1.1259999999999999</v>
      </c>
      <c r="G268">
        <f>IF($D268=1,ROUND(Keys!$C$2/(INDEX(Src_SYSHECF_nuclear!$E$5:$E$292,MATCH($C268,Src_SYSHECF_nuclear!$C$5:$C$292,0))*$E268),Keys!$C$5),Keys!$C$4)</f>
        <v>1.1259999999999999</v>
      </c>
      <c r="H268">
        <f>IF($D268=1,ROUND(Keys!$C$2/(INDEX(Src_SYSHECF_nuclear!$F$5:$F$292,MATCH($C268,Src_SYSHECF_nuclear!$C$5:$C$292,0))*$E268),Keys!$C$5),Keys!$C$4)</f>
        <v>1.1259999999999999</v>
      </c>
      <c r="I268">
        <f>IF($D268=1,ROUND(Keys!$C$2/(INDEX(Src_SYSHECF_nuclear!$G$5:$G$292,MATCH($C268,Src_SYSHECF_nuclear!$C$5:$C$292,0))*$E268),Keys!$C$5),Keys!$C$4)</f>
        <v>1.1259999999999999</v>
      </c>
      <c r="J268">
        <f>IF($D268=1,ROUND(Keys!$C$2/(INDEX(Src_SYSHECF_nuclear!$H$5:$H$292,MATCH($C268,Src_SYSHECF_nuclear!$C$5:$C$292,0))*$E268),Keys!$C$5),Keys!$C$4)</f>
        <v>1.1259999999999999</v>
      </c>
      <c r="K268">
        <f>IF($D268=1,ROUND(Keys!$C$2/(INDEX(Src_SYSHECF_nuclear!$I$5:$I$292,MATCH($C268,Src_SYSHECF_nuclear!$C$5:$C$292,0))*$E268),Keys!$C$5),Keys!$C$4)</f>
        <v>1.1259999999999999</v>
      </c>
      <c r="L268">
        <f>IF($D268=1,ROUND(Keys!$C$2/(INDEX(Src_SYSHECF_nuclear!$J$5:$J$292,MATCH($C268,Src_SYSHECF_nuclear!$C$5:$C$292,0))*$E268),Keys!$C$5),Keys!$C$4)</f>
        <v>1.1286</v>
      </c>
      <c r="M268">
        <f>IF($D268=1,ROUND(Keys!$C$2/(INDEX(Src_SYSHECF_nuclear!$K$5:$K$292,MATCH($C268,Src_SYSHECF_nuclear!$C$5:$C$292,0))*$E268),Keys!$C$5),Keys!$C$4)</f>
        <v>1.1265000000000001</v>
      </c>
      <c r="N268">
        <f>IF($D268=1,ROUND(Keys!$C$2/(INDEX(Src_SYSHECF_nuclear!$L$5:$L$292,MATCH($C268,Src_SYSHECF_nuclear!$C$5:$C$292,0))*$E268),Keys!$C$5),Keys!$C$4)</f>
        <v>1.1259999999999999</v>
      </c>
      <c r="O268">
        <f>IF($D268=1,ROUND(Keys!$C$2/(INDEX(Src_SYSHECF_nuclear!$M$5:$M$292,MATCH($C268,Src_SYSHECF_nuclear!$C$5:$C$292,0))*$E268),Keys!$C$5),Keys!$C$4)</f>
        <v>1.1259999999999999</v>
      </c>
      <c r="P268">
        <f>IF($D268=1,ROUND(Keys!$C$2/(INDEX(Src_SYSHECF_nuclear!$N$5:$N$292,MATCH($C268,Src_SYSHECF_nuclear!$C$5:$C$292,0))*$E268),Keys!$C$5),Keys!$C$4)</f>
        <v>1.1259999999999999</v>
      </c>
      <c r="Q268">
        <f>IF($D268=1,ROUND(Keys!$C$2/(INDEX(Src_SYSHECF_nuclear!$O$5:$O$292,MATCH($C268,Src_SYSHECF_nuclear!$C$5:$C$292,0))*$E268),Keys!$C$5),Keys!$C$4)</f>
        <v>1.1259999999999999</v>
      </c>
      <c r="R268">
        <f>IF($D268=1,ROUND(Keys!$C$2/(INDEX(Src_SYSHECF_nuclear!$P$5:$P$292,MATCH($C268,Src_SYSHECF_nuclear!$C$5:$C$292,0))*$E268),Keys!$C$5),Keys!$C$4)</f>
        <v>1.1259999999999999</v>
      </c>
      <c r="S268">
        <f>IF($D268=1,ROUND(Keys!$C$2/(INDEX(Src_SYSHECF_nuclear!$Q$5:$Q$292,MATCH($C268,Src_SYSHECF_nuclear!$C$5:$C$292,0))*$E268),Keys!$C$5),Keys!$C$4)</f>
        <v>1.1259999999999999</v>
      </c>
      <c r="T268">
        <f>IF($D268=1,ROUND(Keys!$C$2/(INDEX(Src_SYSHECF_nuclear!$R$5:$R$292,MATCH($C268,Src_SYSHECF_nuclear!$C$5:$C$292,0))*$E268),Keys!$C$5),Keys!$C$4)</f>
        <v>1.1259999999999999</v>
      </c>
      <c r="U268">
        <f>IF($D268=1,ROUND(Keys!$C$2/(INDEX(Src_SYSHECF_nuclear!$S$5:$S$292,MATCH($C268,Src_SYSHECF_nuclear!$C$5:$C$292,0))*$E268),Keys!$C$5),Keys!$C$4)</f>
        <v>1.1259999999999999</v>
      </c>
      <c r="V268">
        <f>IF($D268=1,ROUND(Keys!$C$2/(INDEX(Src_SYSHECF_nuclear!$T$5:$T$292,MATCH($C268,Src_SYSHECF_nuclear!$C$5:$C$292,0))*$E268),Keys!$C$5),Keys!$C$4)</f>
        <v>1.1259999999999999</v>
      </c>
      <c r="W268">
        <f>IF($D268=1,ROUND(Keys!$C$2/(INDEX(Src_SYSHECF_nuclear!$U$5:$U$292,MATCH($C268,Src_SYSHECF_nuclear!$C$5:$C$292,0))*$E268),Keys!$C$5),Keys!$C$4)</f>
        <v>1.1259999999999999</v>
      </c>
      <c r="X268">
        <f>IF($D268=1,ROUND(Keys!$C$2/(INDEX(Src_SYSHECF_nuclear!$V$5:$V$292,MATCH($C268,Src_SYSHECF_nuclear!$C$5:$C$292,0))*$E268),Keys!$C$5),Keys!$C$4)</f>
        <v>1.1259999999999999</v>
      </c>
      <c r="Y268">
        <f>IF($D268=1,ROUND(Keys!$C$2/(INDEX(Src_SYSHECF_nuclear!$W$5:$W$292,MATCH($C268,Src_SYSHECF_nuclear!$C$5:$C$292,0))*$E268),Keys!$C$5),Keys!$C$4)</f>
        <v>1.1259999999999999</v>
      </c>
      <c r="Z268">
        <f>IF($D268=1,ROUND(Keys!$C$2/(INDEX(Src_SYSHECF_nuclear!$X$5:$X$292,MATCH($C268,Src_SYSHECF_nuclear!$C$5:$C$292,0))*$E268),Keys!$C$5),Keys!$C$4)</f>
        <v>1.1259999999999999</v>
      </c>
      <c r="AA268">
        <f>IF($D268=1,ROUND(Keys!$C$2/(INDEX(Src_SYSHECF_nuclear!$Y$5:$Y$292,MATCH($C268,Src_SYSHECF_nuclear!$C$5:$C$292,0))*$E268),Keys!$C$5),Keys!$C$4)</f>
        <v>1.1259999999999999</v>
      </c>
      <c r="AB268">
        <f>IF($D268=1,ROUND(Keys!$C$2/(INDEX(Src_SYSHECF_nuclear!$Z$5:$Z$292,MATCH($C268,Src_SYSHECF_nuclear!$C$5:$C$292,0))*$E268),Keys!$C$5),Keys!$C$4)</f>
        <v>1.1259999999999999</v>
      </c>
      <c r="AC268">
        <f>IF($D268=1,ROUND(Keys!$C$2/(INDEX(Src_SYSHECF_nuclear!$AA$5:$AA$292,MATCH($C268,Src_SYSHECF_nuclear!$C$5:$C$292,0))*$E268),Keys!$C$5),Keys!$C$4)</f>
        <v>1.1259999999999999</v>
      </c>
      <c r="AE268">
        <f>IF($D268=1,IF(ABS(INDEX(Src_SYSHECF_nuclear!$D$5:$D$292,MATCH($C268,Src_SYSHECF_nuclear!$C$5:$C$292,0))*$E268*F268-Keys!$C$2)&gt;Keys!$C$6,1,0),0)</f>
        <v>0</v>
      </c>
    </row>
    <row r="269" spans="1:31" x14ac:dyDescent="0.45">
      <c r="A269" t="s">
        <v>94</v>
      </c>
      <c r="B269" t="s">
        <v>427</v>
      </c>
      <c r="C269" t="str">
        <f t="shared" si="4"/>
        <v>PA|Fall</v>
      </c>
      <c r="D269">
        <f>INDEX(Src_BHRaSYC_nuclear!$HF$5:$HF$52,MATCH($A269,Src_BHRaSYC_nuclear!$A$5:$A$52,0))</f>
        <v>1</v>
      </c>
      <c r="E269">
        <f>INDEX(Src_HYECFCA_nuclear!$B$5:$B$52,MATCH($A269,Src_HYECFCA_nuclear!$A$5:$A$52,0))</f>
        <v>0.997614</v>
      </c>
      <c r="F269">
        <f>IF($D269=1,ROUND(Keys!$C$2/(INDEX(Src_SYSHECF_nuclear!$D$5:$D$292,MATCH($C269,Src_SYSHECF_nuclear!$C$5:$C$292,0))*$E269),Keys!$C$5),Keys!$C$4)</f>
        <v>1.1259999999999999</v>
      </c>
      <c r="G269">
        <f>IF($D269=1,ROUND(Keys!$C$2/(INDEX(Src_SYSHECF_nuclear!$E$5:$E$292,MATCH($C269,Src_SYSHECF_nuclear!$C$5:$C$292,0))*$E269),Keys!$C$5),Keys!$C$4)</f>
        <v>1.1259999999999999</v>
      </c>
      <c r="H269">
        <f>IF($D269=1,ROUND(Keys!$C$2/(INDEX(Src_SYSHECF_nuclear!$F$5:$F$292,MATCH($C269,Src_SYSHECF_nuclear!$C$5:$C$292,0))*$E269),Keys!$C$5),Keys!$C$4)</f>
        <v>1.1259999999999999</v>
      </c>
      <c r="I269">
        <f>IF($D269=1,ROUND(Keys!$C$2/(INDEX(Src_SYSHECF_nuclear!$G$5:$G$292,MATCH($C269,Src_SYSHECF_nuclear!$C$5:$C$292,0))*$E269),Keys!$C$5),Keys!$C$4)</f>
        <v>1.1259999999999999</v>
      </c>
      <c r="J269">
        <f>IF($D269=1,ROUND(Keys!$C$2/(INDEX(Src_SYSHECF_nuclear!$H$5:$H$292,MATCH($C269,Src_SYSHECF_nuclear!$C$5:$C$292,0))*$E269),Keys!$C$5),Keys!$C$4)</f>
        <v>1.1259999999999999</v>
      </c>
      <c r="K269">
        <f>IF($D269=1,ROUND(Keys!$C$2/(INDEX(Src_SYSHECF_nuclear!$I$5:$I$292,MATCH($C269,Src_SYSHECF_nuclear!$C$5:$C$292,0))*$E269),Keys!$C$5),Keys!$C$4)</f>
        <v>1.1259999999999999</v>
      </c>
      <c r="L269">
        <f>IF($D269=1,ROUND(Keys!$C$2/(INDEX(Src_SYSHECF_nuclear!$J$5:$J$292,MATCH($C269,Src_SYSHECF_nuclear!$C$5:$C$292,0))*$E269),Keys!$C$5),Keys!$C$4)</f>
        <v>1.1295999999999999</v>
      </c>
      <c r="M269">
        <f>IF($D269=1,ROUND(Keys!$C$2/(INDEX(Src_SYSHECF_nuclear!$K$5:$K$292,MATCH($C269,Src_SYSHECF_nuclear!$C$5:$C$292,0))*$E269),Keys!$C$5),Keys!$C$4)</f>
        <v>1.1288</v>
      </c>
      <c r="N269">
        <f>IF($D269=1,ROUND(Keys!$C$2/(INDEX(Src_SYSHECF_nuclear!$L$5:$L$292,MATCH($C269,Src_SYSHECF_nuclear!$C$5:$C$292,0))*$E269),Keys!$C$5),Keys!$C$4)</f>
        <v>1.1259999999999999</v>
      </c>
      <c r="O269">
        <f>IF($D269=1,ROUND(Keys!$C$2/(INDEX(Src_SYSHECF_nuclear!$M$5:$M$292,MATCH($C269,Src_SYSHECF_nuclear!$C$5:$C$292,0))*$E269),Keys!$C$5),Keys!$C$4)</f>
        <v>1.1259999999999999</v>
      </c>
      <c r="P269">
        <f>IF($D269=1,ROUND(Keys!$C$2/(INDEX(Src_SYSHECF_nuclear!$N$5:$N$292,MATCH($C269,Src_SYSHECF_nuclear!$C$5:$C$292,0))*$E269),Keys!$C$5),Keys!$C$4)</f>
        <v>1.1259999999999999</v>
      </c>
      <c r="Q269">
        <f>IF($D269=1,ROUND(Keys!$C$2/(INDEX(Src_SYSHECF_nuclear!$O$5:$O$292,MATCH($C269,Src_SYSHECF_nuclear!$C$5:$C$292,0))*$E269),Keys!$C$5),Keys!$C$4)</f>
        <v>1.1259999999999999</v>
      </c>
      <c r="R269">
        <f>IF($D269=1,ROUND(Keys!$C$2/(INDEX(Src_SYSHECF_nuclear!$P$5:$P$292,MATCH($C269,Src_SYSHECF_nuclear!$C$5:$C$292,0))*$E269),Keys!$C$5),Keys!$C$4)</f>
        <v>1.1259999999999999</v>
      </c>
      <c r="S269">
        <f>IF($D269=1,ROUND(Keys!$C$2/(INDEX(Src_SYSHECF_nuclear!$Q$5:$Q$292,MATCH($C269,Src_SYSHECF_nuclear!$C$5:$C$292,0))*$E269),Keys!$C$5),Keys!$C$4)</f>
        <v>1.1259999999999999</v>
      </c>
      <c r="T269">
        <f>IF($D269=1,ROUND(Keys!$C$2/(INDEX(Src_SYSHECF_nuclear!$R$5:$R$292,MATCH($C269,Src_SYSHECF_nuclear!$C$5:$C$292,0))*$E269),Keys!$C$5),Keys!$C$4)</f>
        <v>1.1259999999999999</v>
      </c>
      <c r="U269">
        <f>IF($D269=1,ROUND(Keys!$C$2/(INDEX(Src_SYSHECF_nuclear!$S$5:$S$292,MATCH($C269,Src_SYSHECF_nuclear!$C$5:$C$292,0))*$E269),Keys!$C$5),Keys!$C$4)</f>
        <v>1.1259999999999999</v>
      </c>
      <c r="V269">
        <f>IF($D269=1,ROUND(Keys!$C$2/(INDEX(Src_SYSHECF_nuclear!$T$5:$T$292,MATCH($C269,Src_SYSHECF_nuclear!$C$5:$C$292,0))*$E269),Keys!$C$5),Keys!$C$4)</f>
        <v>1.1259999999999999</v>
      </c>
      <c r="W269">
        <f>IF($D269=1,ROUND(Keys!$C$2/(INDEX(Src_SYSHECF_nuclear!$U$5:$U$292,MATCH($C269,Src_SYSHECF_nuclear!$C$5:$C$292,0))*$E269),Keys!$C$5),Keys!$C$4)</f>
        <v>1.1259999999999999</v>
      </c>
      <c r="X269">
        <f>IF($D269=1,ROUND(Keys!$C$2/(INDEX(Src_SYSHECF_nuclear!$V$5:$V$292,MATCH($C269,Src_SYSHECF_nuclear!$C$5:$C$292,0))*$E269),Keys!$C$5),Keys!$C$4)</f>
        <v>1.1259999999999999</v>
      </c>
      <c r="Y269">
        <f>IF($D269=1,ROUND(Keys!$C$2/(INDEX(Src_SYSHECF_nuclear!$W$5:$W$292,MATCH($C269,Src_SYSHECF_nuclear!$C$5:$C$292,0))*$E269),Keys!$C$5),Keys!$C$4)</f>
        <v>1.1259999999999999</v>
      </c>
      <c r="Z269">
        <f>IF($D269=1,ROUND(Keys!$C$2/(INDEX(Src_SYSHECF_nuclear!$X$5:$X$292,MATCH($C269,Src_SYSHECF_nuclear!$C$5:$C$292,0))*$E269),Keys!$C$5),Keys!$C$4)</f>
        <v>1.1259999999999999</v>
      </c>
      <c r="AA269">
        <f>IF($D269=1,ROUND(Keys!$C$2/(INDEX(Src_SYSHECF_nuclear!$Y$5:$Y$292,MATCH($C269,Src_SYSHECF_nuclear!$C$5:$C$292,0))*$E269),Keys!$C$5),Keys!$C$4)</f>
        <v>1.1259999999999999</v>
      </c>
      <c r="AB269">
        <f>IF($D269=1,ROUND(Keys!$C$2/(INDEX(Src_SYSHECF_nuclear!$Z$5:$Z$292,MATCH($C269,Src_SYSHECF_nuclear!$C$5:$C$292,0))*$E269),Keys!$C$5),Keys!$C$4)</f>
        <v>1.1259999999999999</v>
      </c>
      <c r="AC269">
        <f>IF($D269=1,ROUND(Keys!$C$2/(INDEX(Src_SYSHECF_nuclear!$AA$5:$AA$292,MATCH($C269,Src_SYSHECF_nuclear!$C$5:$C$292,0))*$E269),Keys!$C$5),Keys!$C$4)</f>
        <v>1.1259999999999999</v>
      </c>
      <c r="AE269">
        <f>IF($D269=1,IF(ABS(INDEX(Src_SYSHECF_nuclear!$D$5:$D$292,MATCH($C269,Src_SYSHECF_nuclear!$C$5:$C$292,0))*$E269*F269-Keys!$C$2)&gt;Keys!$C$6,1,0),0)</f>
        <v>0</v>
      </c>
    </row>
    <row r="270" spans="1:31" x14ac:dyDescent="0.45">
      <c r="A270" t="s">
        <v>94</v>
      </c>
      <c r="B270" t="s">
        <v>428</v>
      </c>
      <c r="C270" t="str">
        <f t="shared" si="4"/>
        <v>PA|Summer Peak</v>
      </c>
      <c r="D270">
        <f>INDEX(Src_BHRaSYC_nuclear!$HF$5:$HF$52,MATCH($A270,Src_BHRaSYC_nuclear!$A$5:$A$52,0))</f>
        <v>1</v>
      </c>
      <c r="E270">
        <f>INDEX(Src_HYECFCA_nuclear!$B$5:$B$52,MATCH($A270,Src_HYECFCA_nuclear!$A$5:$A$52,0))</f>
        <v>0.997614</v>
      </c>
      <c r="F270">
        <f>IF($D270=1,ROUND(Keys!$C$2/(INDEX(Src_SYSHECF_nuclear!$D$5:$D$292,MATCH($C270,Src_SYSHECF_nuclear!$C$5:$C$292,0))*$E270),Keys!$C$5),Keys!$C$4)</f>
        <v>1.1259999999999999</v>
      </c>
      <c r="G270">
        <f>IF($D270=1,ROUND(Keys!$C$2/(INDEX(Src_SYSHECF_nuclear!$E$5:$E$292,MATCH($C270,Src_SYSHECF_nuclear!$C$5:$C$292,0))*$E270),Keys!$C$5),Keys!$C$4)</f>
        <v>1.1259999999999999</v>
      </c>
      <c r="H270">
        <f>IF($D270=1,ROUND(Keys!$C$2/(INDEX(Src_SYSHECF_nuclear!$F$5:$F$292,MATCH($C270,Src_SYSHECF_nuclear!$C$5:$C$292,0))*$E270),Keys!$C$5),Keys!$C$4)</f>
        <v>1.1259999999999999</v>
      </c>
      <c r="I270">
        <f>IF($D270=1,ROUND(Keys!$C$2/(INDEX(Src_SYSHECF_nuclear!$G$5:$G$292,MATCH($C270,Src_SYSHECF_nuclear!$C$5:$C$292,0))*$E270),Keys!$C$5),Keys!$C$4)</f>
        <v>1.1259999999999999</v>
      </c>
      <c r="J270">
        <f>IF($D270=1,ROUND(Keys!$C$2/(INDEX(Src_SYSHECF_nuclear!$H$5:$H$292,MATCH($C270,Src_SYSHECF_nuclear!$C$5:$C$292,0))*$E270),Keys!$C$5),Keys!$C$4)</f>
        <v>1.1259999999999999</v>
      </c>
      <c r="K270">
        <f>IF($D270=1,ROUND(Keys!$C$2/(INDEX(Src_SYSHECF_nuclear!$I$5:$I$292,MATCH($C270,Src_SYSHECF_nuclear!$C$5:$C$292,0))*$E270),Keys!$C$5),Keys!$C$4)</f>
        <v>1.1259999999999999</v>
      </c>
      <c r="L270">
        <f>IF($D270=1,ROUND(Keys!$C$2/(INDEX(Src_SYSHECF_nuclear!$J$5:$J$292,MATCH($C270,Src_SYSHECF_nuclear!$C$5:$C$292,0))*$E270),Keys!$C$5),Keys!$C$4)</f>
        <v>1.1259999999999999</v>
      </c>
      <c r="M270">
        <f>IF($D270=1,ROUND(Keys!$C$2/(INDEX(Src_SYSHECF_nuclear!$K$5:$K$292,MATCH($C270,Src_SYSHECF_nuclear!$C$5:$C$292,0))*$E270),Keys!$C$5),Keys!$C$4)</f>
        <v>1.1259999999999999</v>
      </c>
      <c r="N270">
        <f>IF($D270=1,ROUND(Keys!$C$2/(INDEX(Src_SYSHECF_nuclear!$L$5:$L$292,MATCH($C270,Src_SYSHECF_nuclear!$C$5:$C$292,0))*$E270),Keys!$C$5),Keys!$C$4)</f>
        <v>1.1259999999999999</v>
      </c>
      <c r="O270">
        <f>IF($D270=1,ROUND(Keys!$C$2/(INDEX(Src_SYSHECF_nuclear!$M$5:$M$292,MATCH($C270,Src_SYSHECF_nuclear!$C$5:$C$292,0))*$E270),Keys!$C$5),Keys!$C$4)</f>
        <v>1.1259999999999999</v>
      </c>
      <c r="P270">
        <f>IF($D270=1,ROUND(Keys!$C$2/(INDEX(Src_SYSHECF_nuclear!$N$5:$N$292,MATCH($C270,Src_SYSHECF_nuclear!$C$5:$C$292,0))*$E270),Keys!$C$5),Keys!$C$4)</f>
        <v>1.1259999999999999</v>
      </c>
      <c r="Q270">
        <f>IF($D270=1,ROUND(Keys!$C$2/(INDEX(Src_SYSHECF_nuclear!$O$5:$O$292,MATCH($C270,Src_SYSHECF_nuclear!$C$5:$C$292,0))*$E270),Keys!$C$5),Keys!$C$4)</f>
        <v>1.1259999999999999</v>
      </c>
      <c r="R270">
        <f>IF($D270=1,ROUND(Keys!$C$2/(INDEX(Src_SYSHECF_nuclear!$P$5:$P$292,MATCH($C270,Src_SYSHECF_nuclear!$C$5:$C$292,0))*$E270),Keys!$C$5),Keys!$C$4)</f>
        <v>1.1259999999999999</v>
      </c>
      <c r="S270">
        <f>IF($D270=1,ROUND(Keys!$C$2/(INDEX(Src_SYSHECF_nuclear!$Q$5:$Q$292,MATCH($C270,Src_SYSHECF_nuclear!$C$5:$C$292,0))*$E270),Keys!$C$5),Keys!$C$4)</f>
        <v>1.1259999999999999</v>
      </c>
      <c r="T270">
        <f>IF($D270=1,ROUND(Keys!$C$2/(INDEX(Src_SYSHECF_nuclear!$R$5:$R$292,MATCH($C270,Src_SYSHECF_nuclear!$C$5:$C$292,0))*$E270),Keys!$C$5),Keys!$C$4)</f>
        <v>1.1259999999999999</v>
      </c>
      <c r="U270">
        <f>IF($D270=1,ROUND(Keys!$C$2/(INDEX(Src_SYSHECF_nuclear!$S$5:$S$292,MATCH($C270,Src_SYSHECF_nuclear!$C$5:$C$292,0))*$E270),Keys!$C$5),Keys!$C$4)</f>
        <v>1.1259999999999999</v>
      </c>
      <c r="V270">
        <f>IF($D270=1,ROUND(Keys!$C$2/(INDEX(Src_SYSHECF_nuclear!$T$5:$T$292,MATCH($C270,Src_SYSHECF_nuclear!$C$5:$C$292,0))*$E270),Keys!$C$5),Keys!$C$4)</f>
        <v>1.1259999999999999</v>
      </c>
      <c r="W270">
        <f>IF($D270=1,ROUND(Keys!$C$2/(INDEX(Src_SYSHECF_nuclear!$U$5:$U$292,MATCH($C270,Src_SYSHECF_nuclear!$C$5:$C$292,0))*$E270),Keys!$C$5),Keys!$C$4)</f>
        <v>1.1259999999999999</v>
      </c>
      <c r="X270">
        <f>IF($D270=1,ROUND(Keys!$C$2/(INDEX(Src_SYSHECF_nuclear!$V$5:$V$292,MATCH($C270,Src_SYSHECF_nuclear!$C$5:$C$292,0))*$E270),Keys!$C$5),Keys!$C$4)</f>
        <v>1.1259999999999999</v>
      </c>
      <c r="Y270">
        <f>IF($D270=1,ROUND(Keys!$C$2/(INDEX(Src_SYSHECF_nuclear!$W$5:$W$292,MATCH($C270,Src_SYSHECF_nuclear!$C$5:$C$292,0))*$E270),Keys!$C$5),Keys!$C$4)</f>
        <v>1.1259999999999999</v>
      </c>
      <c r="Z270">
        <f>IF($D270=1,ROUND(Keys!$C$2/(INDEX(Src_SYSHECF_nuclear!$X$5:$X$292,MATCH($C270,Src_SYSHECF_nuclear!$C$5:$C$292,0))*$E270),Keys!$C$5),Keys!$C$4)</f>
        <v>1.1259999999999999</v>
      </c>
      <c r="AA270">
        <f>IF($D270=1,ROUND(Keys!$C$2/(INDEX(Src_SYSHECF_nuclear!$Y$5:$Y$292,MATCH($C270,Src_SYSHECF_nuclear!$C$5:$C$292,0))*$E270),Keys!$C$5),Keys!$C$4)</f>
        <v>1.1259999999999999</v>
      </c>
      <c r="AB270">
        <f>IF($D270=1,ROUND(Keys!$C$2/(INDEX(Src_SYSHECF_nuclear!$Z$5:$Z$292,MATCH($C270,Src_SYSHECF_nuclear!$C$5:$C$292,0))*$E270),Keys!$C$5),Keys!$C$4)</f>
        <v>1.1259999999999999</v>
      </c>
      <c r="AC270">
        <f>IF($D270=1,ROUND(Keys!$C$2/(INDEX(Src_SYSHECF_nuclear!$AA$5:$AA$292,MATCH($C270,Src_SYSHECF_nuclear!$C$5:$C$292,0))*$E270),Keys!$C$5),Keys!$C$4)</f>
        <v>1.1259999999999999</v>
      </c>
      <c r="AE270">
        <f>IF($D270=1,IF(ABS(INDEX(Src_SYSHECF_nuclear!$D$5:$D$292,MATCH($C270,Src_SYSHECF_nuclear!$C$5:$C$292,0))*$E270*F270-Keys!$C$2)&gt;Keys!$C$6,1,0),0)</f>
        <v>0</v>
      </c>
    </row>
    <row r="271" spans="1:31" x14ac:dyDescent="0.45">
      <c r="A271" t="s">
        <v>94</v>
      </c>
      <c r="B271" t="s">
        <v>429</v>
      </c>
      <c r="C271" t="str">
        <f t="shared" si="4"/>
        <v>PA|Winter Peak</v>
      </c>
      <c r="D271">
        <f>INDEX(Src_BHRaSYC_nuclear!$HF$5:$HF$52,MATCH($A271,Src_BHRaSYC_nuclear!$A$5:$A$52,0))</f>
        <v>1</v>
      </c>
      <c r="E271">
        <f>INDEX(Src_HYECFCA_nuclear!$B$5:$B$52,MATCH($A271,Src_HYECFCA_nuclear!$A$5:$A$52,0))</f>
        <v>0.997614</v>
      </c>
      <c r="F271">
        <f>IF($D271=1,ROUND(Keys!$C$2/(INDEX(Src_SYSHECF_nuclear!$D$5:$D$292,MATCH($C271,Src_SYSHECF_nuclear!$C$5:$C$292,0))*$E271),Keys!$C$5),Keys!$C$4)</f>
        <v>1.1259999999999999</v>
      </c>
      <c r="G271">
        <f>IF($D271=1,ROUND(Keys!$C$2/(INDEX(Src_SYSHECF_nuclear!$E$5:$E$292,MATCH($C271,Src_SYSHECF_nuclear!$C$5:$C$292,0))*$E271),Keys!$C$5),Keys!$C$4)</f>
        <v>1.1259999999999999</v>
      </c>
      <c r="H271">
        <f>IF($D271=1,ROUND(Keys!$C$2/(INDEX(Src_SYSHECF_nuclear!$F$5:$F$292,MATCH($C271,Src_SYSHECF_nuclear!$C$5:$C$292,0))*$E271),Keys!$C$5),Keys!$C$4)</f>
        <v>1.1259999999999999</v>
      </c>
      <c r="I271">
        <f>IF($D271=1,ROUND(Keys!$C$2/(INDEX(Src_SYSHECF_nuclear!$G$5:$G$292,MATCH($C271,Src_SYSHECF_nuclear!$C$5:$C$292,0))*$E271),Keys!$C$5),Keys!$C$4)</f>
        <v>1.1259999999999999</v>
      </c>
      <c r="J271">
        <f>IF($D271=1,ROUND(Keys!$C$2/(INDEX(Src_SYSHECF_nuclear!$H$5:$H$292,MATCH($C271,Src_SYSHECF_nuclear!$C$5:$C$292,0))*$E271),Keys!$C$5),Keys!$C$4)</f>
        <v>1.1259999999999999</v>
      </c>
      <c r="K271">
        <f>IF($D271=1,ROUND(Keys!$C$2/(INDEX(Src_SYSHECF_nuclear!$I$5:$I$292,MATCH($C271,Src_SYSHECF_nuclear!$C$5:$C$292,0))*$E271),Keys!$C$5),Keys!$C$4)</f>
        <v>1.1259999999999999</v>
      </c>
      <c r="L271">
        <f>IF($D271=1,ROUND(Keys!$C$2/(INDEX(Src_SYSHECF_nuclear!$J$5:$J$292,MATCH($C271,Src_SYSHECF_nuclear!$C$5:$C$292,0))*$E271),Keys!$C$5),Keys!$C$4)</f>
        <v>1.1259999999999999</v>
      </c>
      <c r="M271">
        <f>IF($D271=1,ROUND(Keys!$C$2/(INDEX(Src_SYSHECF_nuclear!$K$5:$K$292,MATCH($C271,Src_SYSHECF_nuclear!$C$5:$C$292,0))*$E271),Keys!$C$5),Keys!$C$4)</f>
        <v>1.1259999999999999</v>
      </c>
      <c r="N271">
        <f>IF($D271=1,ROUND(Keys!$C$2/(INDEX(Src_SYSHECF_nuclear!$L$5:$L$292,MATCH($C271,Src_SYSHECF_nuclear!$C$5:$C$292,0))*$E271),Keys!$C$5),Keys!$C$4)</f>
        <v>1.1259999999999999</v>
      </c>
      <c r="O271">
        <f>IF($D271=1,ROUND(Keys!$C$2/(INDEX(Src_SYSHECF_nuclear!$M$5:$M$292,MATCH($C271,Src_SYSHECF_nuclear!$C$5:$C$292,0))*$E271),Keys!$C$5),Keys!$C$4)</f>
        <v>1.1259999999999999</v>
      </c>
      <c r="P271">
        <f>IF($D271=1,ROUND(Keys!$C$2/(INDEX(Src_SYSHECF_nuclear!$N$5:$N$292,MATCH($C271,Src_SYSHECF_nuclear!$C$5:$C$292,0))*$E271),Keys!$C$5),Keys!$C$4)</f>
        <v>1.1259999999999999</v>
      </c>
      <c r="Q271">
        <f>IF($D271=1,ROUND(Keys!$C$2/(INDEX(Src_SYSHECF_nuclear!$O$5:$O$292,MATCH($C271,Src_SYSHECF_nuclear!$C$5:$C$292,0))*$E271),Keys!$C$5),Keys!$C$4)</f>
        <v>1.1259999999999999</v>
      </c>
      <c r="R271">
        <f>IF($D271=1,ROUND(Keys!$C$2/(INDEX(Src_SYSHECF_nuclear!$P$5:$P$292,MATCH($C271,Src_SYSHECF_nuclear!$C$5:$C$292,0))*$E271),Keys!$C$5),Keys!$C$4)</f>
        <v>1.1259999999999999</v>
      </c>
      <c r="S271">
        <f>IF($D271=1,ROUND(Keys!$C$2/(INDEX(Src_SYSHECF_nuclear!$Q$5:$Q$292,MATCH($C271,Src_SYSHECF_nuclear!$C$5:$C$292,0))*$E271),Keys!$C$5),Keys!$C$4)</f>
        <v>1.1259999999999999</v>
      </c>
      <c r="T271">
        <f>IF($D271=1,ROUND(Keys!$C$2/(INDEX(Src_SYSHECF_nuclear!$R$5:$R$292,MATCH($C271,Src_SYSHECF_nuclear!$C$5:$C$292,0))*$E271),Keys!$C$5),Keys!$C$4)</f>
        <v>1.1259999999999999</v>
      </c>
      <c r="U271">
        <f>IF($D271=1,ROUND(Keys!$C$2/(INDEX(Src_SYSHECF_nuclear!$S$5:$S$292,MATCH($C271,Src_SYSHECF_nuclear!$C$5:$C$292,0))*$E271),Keys!$C$5),Keys!$C$4)</f>
        <v>1.1259999999999999</v>
      </c>
      <c r="V271">
        <f>IF($D271=1,ROUND(Keys!$C$2/(INDEX(Src_SYSHECF_nuclear!$T$5:$T$292,MATCH($C271,Src_SYSHECF_nuclear!$C$5:$C$292,0))*$E271),Keys!$C$5),Keys!$C$4)</f>
        <v>1.1259999999999999</v>
      </c>
      <c r="W271">
        <f>IF($D271=1,ROUND(Keys!$C$2/(INDEX(Src_SYSHECF_nuclear!$U$5:$U$292,MATCH($C271,Src_SYSHECF_nuclear!$C$5:$C$292,0))*$E271),Keys!$C$5),Keys!$C$4)</f>
        <v>1.1259999999999999</v>
      </c>
      <c r="X271">
        <f>IF($D271=1,ROUND(Keys!$C$2/(INDEX(Src_SYSHECF_nuclear!$V$5:$V$292,MATCH($C271,Src_SYSHECF_nuclear!$C$5:$C$292,0))*$E271),Keys!$C$5),Keys!$C$4)</f>
        <v>1.1259999999999999</v>
      </c>
      <c r="Y271">
        <f>IF($D271=1,ROUND(Keys!$C$2/(INDEX(Src_SYSHECF_nuclear!$W$5:$W$292,MATCH($C271,Src_SYSHECF_nuclear!$C$5:$C$292,0))*$E271),Keys!$C$5),Keys!$C$4)</f>
        <v>1.1259999999999999</v>
      </c>
      <c r="Z271">
        <f>IF($D271=1,ROUND(Keys!$C$2/(INDEX(Src_SYSHECF_nuclear!$X$5:$X$292,MATCH($C271,Src_SYSHECF_nuclear!$C$5:$C$292,0))*$E271),Keys!$C$5),Keys!$C$4)</f>
        <v>1.1259999999999999</v>
      </c>
      <c r="AA271">
        <f>IF($D271=1,ROUND(Keys!$C$2/(INDEX(Src_SYSHECF_nuclear!$Y$5:$Y$292,MATCH($C271,Src_SYSHECF_nuclear!$C$5:$C$292,0))*$E271),Keys!$C$5),Keys!$C$4)</f>
        <v>1.1259999999999999</v>
      </c>
      <c r="AB271">
        <f>IF($D271=1,ROUND(Keys!$C$2/(INDEX(Src_SYSHECF_nuclear!$Z$5:$Z$292,MATCH($C271,Src_SYSHECF_nuclear!$C$5:$C$292,0))*$E271),Keys!$C$5),Keys!$C$4)</f>
        <v>1.1259999999999999</v>
      </c>
      <c r="AC271">
        <f>IF($D271=1,ROUND(Keys!$C$2/(INDEX(Src_SYSHECF_nuclear!$AA$5:$AA$292,MATCH($C271,Src_SYSHECF_nuclear!$C$5:$C$292,0))*$E271),Keys!$C$5),Keys!$C$4)</f>
        <v>1.1259999999999999</v>
      </c>
      <c r="AE271">
        <f>IF($D271=1,IF(ABS(INDEX(Src_SYSHECF_nuclear!$D$5:$D$292,MATCH($C271,Src_SYSHECF_nuclear!$C$5:$C$292,0))*$E271*F271-Keys!$C$2)&gt;Keys!$C$6,1,0),0)</f>
        <v>0</v>
      </c>
    </row>
    <row r="272" spans="1:31" x14ac:dyDescent="0.45">
      <c r="A272" t="s">
        <v>96</v>
      </c>
      <c r="B272" t="s">
        <v>424</v>
      </c>
      <c r="C272" t="str">
        <f t="shared" si="4"/>
        <v>RI|Winter</v>
      </c>
      <c r="D272">
        <f>INDEX(Src_BHRaSYC_nuclear!$HF$5:$HF$52,MATCH($A272,Src_BHRaSYC_nuclear!$A$5:$A$52,0))</f>
        <v>0</v>
      </c>
      <c r="E272">
        <f>INDEX(Src_HYECFCA_nuclear!$B$5:$B$52,MATCH($A272,Src_HYECFCA_nuclear!$A$5:$A$52,0))</f>
        <v>1</v>
      </c>
      <c r="F272">
        <f>IF($D272=1,ROUND(Keys!$C$2/(INDEX(Src_SYSHECF_nuclear!$D$5:$D$292,MATCH($C272,Src_SYSHECF_nuclear!$C$5:$C$292,0))*$E272),Keys!$C$5),Keys!$C$4)</f>
        <v>0.9</v>
      </c>
      <c r="G272">
        <f>IF($D272=1,ROUND(Keys!$C$2/(INDEX(Src_SYSHECF_nuclear!$E$5:$E$292,MATCH($C272,Src_SYSHECF_nuclear!$C$5:$C$292,0))*$E272),Keys!$C$5),Keys!$C$4)</f>
        <v>0.9</v>
      </c>
      <c r="H272">
        <f>IF($D272=1,ROUND(Keys!$C$2/(INDEX(Src_SYSHECF_nuclear!$F$5:$F$292,MATCH($C272,Src_SYSHECF_nuclear!$C$5:$C$292,0))*$E272),Keys!$C$5),Keys!$C$4)</f>
        <v>0.9</v>
      </c>
      <c r="I272">
        <f>IF($D272=1,ROUND(Keys!$C$2/(INDEX(Src_SYSHECF_nuclear!$G$5:$G$292,MATCH($C272,Src_SYSHECF_nuclear!$C$5:$C$292,0))*$E272),Keys!$C$5),Keys!$C$4)</f>
        <v>0.9</v>
      </c>
      <c r="J272">
        <f>IF($D272=1,ROUND(Keys!$C$2/(INDEX(Src_SYSHECF_nuclear!$H$5:$H$292,MATCH($C272,Src_SYSHECF_nuclear!$C$5:$C$292,0))*$E272),Keys!$C$5),Keys!$C$4)</f>
        <v>0.9</v>
      </c>
      <c r="K272">
        <f>IF($D272=1,ROUND(Keys!$C$2/(INDEX(Src_SYSHECF_nuclear!$I$5:$I$292,MATCH($C272,Src_SYSHECF_nuclear!$C$5:$C$292,0))*$E272),Keys!$C$5),Keys!$C$4)</f>
        <v>0.9</v>
      </c>
      <c r="L272">
        <f>IF($D272=1,ROUND(Keys!$C$2/(INDEX(Src_SYSHECF_nuclear!$J$5:$J$292,MATCH($C272,Src_SYSHECF_nuclear!$C$5:$C$292,0))*$E272),Keys!$C$5),Keys!$C$4)</f>
        <v>0.9</v>
      </c>
      <c r="M272">
        <f>IF($D272=1,ROUND(Keys!$C$2/(INDEX(Src_SYSHECF_nuclear!$K$5:$K$292,MATCH($C272,Src_SYSHECF_nuclear!$C$5:$C$292,0))*$E272),Keys!$C$5),Keys!$C$4)</f>
        <v>0.9</v>
      </c>
      <c r="N272">
        <f>IF($D272=1,ROUND(Keys!$C$2/(INDEX(Src_SYSHECF_nuclear!$L$5:$L$292,MATCH($C272,Src_SYSHECF_nuclear!$C$5:$C$292,0))*$E272),Keys!$C$5),Keys!$C$4)</f>
        <v>0.9</v>
      </c>
      <c r="O272">
        <f>IF($D272=1,ROUND(Keys!$C$2/(INDEX(Src_SYSHECF_nuclear!$M$5:$M$292,MATCH($C272,Src_SYSHECF_nuclear!$C$5:$C$292,0))*$E272),Keys!$C$5),Keys!$C$4)</f>
        <v>0.9</v>
      </c>
      <c r="P272">
        <f>IF($D272=1,ROUND(Keys!$C$2/(INDEX(Src_SYSHECF_nuclear!$N$5:$N$292,MATCH($C272,Src_SYSHECF_nuclear!$C$5:$C$292,0))*$E272),Keys!$C$5),Keys!$C$4)</f>
        <v>0.9</v>
      </c>
      <c r="Q272">
        <f>IF($D272=1,ROUND(Keys!$C$2/(INDEX(Src_SYSHECF_nuclear!$O$5:$O$292,MATCH($C272,Src_SYSHECF_nuclear!$C$5:$C$292,0))*$E272),Keys!$C$5),Keys!$C$4)</f>
        <v>0.9</v>
      </c>
      <c r="R272">
        <f>IF($D272=1,ROUND(Keys!$C$2/(INDEX(Src_SYSHECF_nuclear!$P$5:$P$292,MATCH($C272,Src_SYSHECF_nuclear!$C$5:$C$292,0))*$E272),Keys!$C$5),Keys!$C$4)</f>
        <v>0.9</v>
      </c>
      <c r="S272">
        <f>IF($D272=1,ROUND(Keys!$C$2/(INDEX(Src_SYSHECF_nuclear!$Q$5:$Q$292,MATCH($C272,Src_SYSHECF_nuclear!$C$5:$C$292,0))*$E272),Keys!$C$5),Keys!$C$4)</f>
        <v>0.9</v>
      </c>
      <c r="T272">
        <f>IF($D272=1,ROUND(Keys!$C$2/(INDEX(Src_SYSHECF_nuclear!$R$5:$R$292,MATCH($C272,Src_SYSHECF_nuclear!$C$5:$C$292,0))*$E272),Keys!$C$5),Keys!$C$4)</f>
        <v>0.9</v>
      </c>
      <c r="U272">
        <f>IF($D272=1,ROUND(Keys!$C$2/(INDEX(Src_SYSHECF_nuclear!$S$5:$S$292,MATCH($C272,Src_SYSHECF_nuclear!$C$5:$C$292,0))*$E272),Keys!$C$5),Keys!$C$4)</f>
        <v>0.9</v>
      </c>
      <c r="V272">
        <f>IF($D272=1,ROUND(Keys!$C$2/(INDEX(Src_SYSHECF_nuclear!$T$5:$T$292,MATCH($C272,Src_SYSHECF_nuclear!$C$5:$C$292,0))*$E272),Keys!$C$5),Keys!$C$4)</f>
        <v>0.9</v>
      </c>
      <c r="W272">
        <f>IF($D272=1,ROUND(Keys!$C$2/(INDEX(Src_SYSHECF_nuclear!$U$5:$U$292,MATCH($C272,Src_SYSHECF_nuclear!$C$5:$C$292,0))*$E272),Keys!$C$5),Keys!$C$4)</f>
        <v>0.9</v>
      </c>
      <c r="X272">
        <f>IF($D272=1,ROUND(Keys!$C$2/(INDEX(Src_SYSHECF_nuclear!$V$5:$V$292,MATCH($C272,Src_SYSHECF_nuclear!$C$5:$C$292,0))*$E272),Keys!$C$5),Keys!$C$4)</f>
        <v>0.9</v>
      </c>
      <c r="Y272">
        <f>IF($D272=1,ROUND(Keys!$C$2/(INDEX(Src_SYSHECF_nuclear!$W$5:$W$292,MATCH($C272,Src_SYSHECF_nuclear!$C$5:$C$292,0))*$E272),Keys!$C$5),Keys!$C$4)</f>
        <v>0.9</v>
      </c>
      <c r="Z272">
        <f>IF($D272=1,ROUND(Keys!$C$2/(INDEX(Src_SYSHECF_nuclear!$X$5:$X$292,MATCH($C272,Src_SYSHECF_nuclear!$C$5:$C$292,0))*$E272),Keys!$C$5),Keys!$C$4)</f>
        <v>0.9</v>
      </c>
      <c r="AA272">
        <f>IF($D272=1,ROUND(Keys!$C$2/(INDEX(Src_SYSHECF_nuclear!$Y$5:$Y$292,MATCH($C272,Src_SYSHECF_nuclear!$C$5:$C$292,0))*$E272),Keys!$C$5),Keys!$C$4)</f>
        <v>0.9</v>
      </c>
      <c r="AB272">
        <f>IF($D272=1,ROUND(Keys!$C$2/(INDEX(Src_SYSHECF_nuclear!$Z$5:$Z$292,MATCH($C272,Src_SYSHECF_nuclear!$C$5:$C$292,0))*$E272),Keys!$C$5),Keys!$C$4)</f>
        <v>0.9</v>
      </c>
      <c r="AC272">
        <f>IF($D272=1,ROUND(Keys!$C$2/(INDEX(Src_SYSHECF_nuclear!$AA$5:$AA$292,MATCH($C272,Src_SYSHECF_nuclear!$C$5:$C$292,0))*$E272),Keys!$C$5),Keys!$C$4)</f>
        <v>0.9</v>
      </c>
      <c r="AE272">
        <f>IF($D272=1,IF(ABS(INDEX(Src_SYSHECF_nuclear!$D$5:$D$292,MATCH($C272,Src_SYSHECF_nuclear!$C$5:$C$292,0))*$E272*F272-Keys!$C$2)&gt;Keys!$C$6,1,0),0)</f>
        <v>0</v>
      </c>
    </row>
    <row r="273" spans="1:31" x14ac:dyDescent="0.45">
      <c r="A273" t="s">
        <v>96</v>
      </c>
      <c r="B273" t="s">
        <v>425</v>
      </c>
      <c r="C273" t="str">
        <f t="shared" si="4"/>
        <v>RI|Spring</v>
      </c>
      <c r="D273">
        <f>INDEX(Src_BHRaSYC_nuclear!$HF$5:$HF$52,MATCH($A273,Src_BHRaSYC_nuclear!$A$5:$A$52,0))</f>
        <v>0</v>
      </c>
      <c r="E273">
        <f>INDEX(Src_HYECFCA_nuclear!$B$5:$B$52,MATCH($A273,Src_HYECFCA_nuclear!$A$5:$A$52,0))</f>
        <v>1</v>
      </c>
      <c r="F273">
        <f>IF($D273=1,ROUND(Keys!$C$2/(INDEX(Src_SYSHECF_nuclear!$D$5:$D$292,MATCH($C273,Src_SYSHECF_nuclear!$C$5:$C$292,0))*$E273),Keys!$C$5),Keys!$C$4)</f>
        <v>0.9</v>
      </c>
      <c r="G273">
        <f>IF($D273=1,ROUND(Keys!$C$2/(INDEX(Src_SYSHECF_nuclear!$E$5:$E$292,MATCH($C273,Src_SYSHECF_nuclear!$C$5:$C$292,0))*$E273),Keys!$C$5),Keys!$C$4)</f>
        <v>0.9</v>
      </c>
      <c r="H273">
        <f>IF($D273=1,ROUND(Keys!$C$2/(INDEX(Src_SYSHECF_nuclear!$F$5:$F$292,MATCH($C273,Src_SYSHECF_nuclear!$C$5:$C$292,0))*$E273),Keys!$C$5),Keys!$C$4)</f>
        <v>0.9</v>
      </c>
      <c r="I273">
        <f>IF($D273=1,ROUND(Keys!$C$2/(INDEX(Src_SYSHECF_nuclear!$G$5:$G$292,MATCH($C273,Src_SYSHECF_nuclear!$C$5:$C$292,0))*$E273),Keys!$C$5),Keys!$C$4)</f>
        <v>0.9</v>
      </c>
      <c r="J273">
        <f>IF($D273=1,ROUND(Keys!$C$2/(INDEX(Src_SYSHECF_nuclear!$H$5:$H$292,MATCH($C273,Src_SYSHECF_nuclear!$C$5:$C$292,0))*$E273),Keys!$C$5),Keys!$C$4)</f>
        <v>0.9</v>
      </c>
      <c r="K273">
        <f>IF($D273=1,ROUND(Keys!$C$2/(INDEX(Src_SYSHECF_nuclear!$I$5:$I$292,MATCH($C273,Src_SYSHECF_nuclear!$C$5:$C$292,0))*$E273),Keys!$C$5),Keys!$C$4)</f>
        <v>0.9</v>
      </c>
      <c r="L273">
        <f>IF($D273=1,ROUND(Keys!$C$2/(INDEX(Src_SYSHECF_nuclear!$J$5:$J$292,MATCH($C273,Src_SYSHECF_nuclear!$C$5:$C$292,0))*$E273),Keys!$C$5),Keys!$C$4)</f>
        <v>0.9</v>
      </c>
      <c r="M273">
        <f>IF($D273=1,ROUND(Keys!$C$2/(INDEX(Src_SYSHECF_nuclear!$K$5:$K$292,MATCH($C273,Src_SYSHECF_nuclear!$C$5:$C$292,0))*$E273),Keys!$C$5),Keys!$C$4)</f>
        <v>0.9</v>
      </c>
      <c r="N273">
        <f>IF($D273=1,ROUND(Keys!$C$2/(INDEX(Src_SYSHECF_nuclear!$L$5:$L$292,MATCH($C273,Src_SYSHECF_nuclear!$C$5:$C$292,0))*$E273),Keys!$C$5),Keys!$C$4)</f>
        <v>0.9</v>
      </c>
      <c r="O273">
        <f>IF($D273=1,ROUND(Keys!$C$2/(INDEX(Src_SYSHECF_nuclear!$M$5:$M$292,MATCH($C273,Src_SYSHECF_nuclear!$C$5:$C$292,0))*$E273),Keys!$C$5),Keys!$C$4)</f>
        <v>0.9</v>
      </c>
      <c r="P273">
        <f>IF($D273=1,ROUND(Keys!$C$2/(INDEX(Src_SYSHECF_nuclear!$N$5:$N$292,MATCH($C273,Src_SYSHECF_nuclear!$C$5:$C$292,0))*$E273),Keys!$C$5),Keys!$C$4)</f>
        <v>0.9</v>
      </c>
      <c r="Q273">
        <f>IF($D273=1,ROUND(Keys!$C$2/(INDEX(Src_SYSHECF_nuclear!$O$5:$O$292,MATCH($C273,Src_SYSHECF_nuclear!$C$5:$C$292,0))*$E273),Keys!$C$5),Keys!$C$4)</f>
        <v>0.9</v>
      </c>
      <c r="R273">
        <f>IF($D273=1,ROUND(Keys!$C$2/(INDEX(Src_SYSHECF_nuclear!$P$5:$P$292,MATCH($C273,Src_SYSHECF_nuclear!$C$5:$C$292,0))*$E273),Keys!$C$5),Keys!$C$4)</f>
        <v>0.9</v>
      </c>
      <c r="S273">
        <f>IF($D273=1,ROUND(Keys!$C$2/(INDEX(Src_SYSHECF_nuclear!$Q$5:$Q$292,MATCH($C273,Src_SYSHECF_nuclear!$C$5:$C$292,0))*$E273),Keys!$C$5),Keys!$C$4)</f>
        <v>0.9</v>
      </c>
      <c r="T273">
        <f>IF($D273=1,ROUND(Keys!$C$2/(INDEX(Src_SYSHECF_nuclear!$R$5:$R$292,MATCH($C273,Src_SYSHECF_nuclear!$C$5:$C$292,0))*$E273),Keys!$C$5),Keys!$C$4)</f>
        <v>0.9</v>
      </c>
      <c r="U273">
        <f>IF($D273=1,ROUND(Keys!$C$2/(INDEX(Src_SYSHECF_nuclear!$S$5:$S$292,MATCH($C273,Src_SYSHECF_nuclear!$C$5:$C$292,0))*$E273),Keys!$C$5),Keys!$C$4)</f>
        <v>0.9</v>
      </c>
      <c r="V273">
        <f>IF($D273=1,ROUND(Keys!$C$2/(INDEX(Src_SYSHECF_nuclear!$T$5:$T$292,MATCH($C273,Src_SYSHECF_nuclear!$C$5:$C$292,0))*$E273),Keys!$C$5),Keys!$C$4)</f>
        <v>0.9</v>
      </c>
      <c r="W273">
        <f>IF($D273=1,ROUND(Keys!$C$2/(INDEX(Src_SYSHECF_nuclear!$U$5:$U$292,MATCH($C273,Src_SYSHECF_nuclear!$C$5:$C$292,0))*$E273),Keys!$C$5),Keys!$C$4)</f>
        <v>0.9</v>
      </c>
      <c r="X273">
        <f>IF($D273=1,ROUND(Keys!$C$2/(INDEX(Src_SYSHECF_nuclear!$V$5:$V$292,MATCH($C273,Src_SYSHECF_nuclear!$C$5:$C$292,0))*$E273),Keys!$C$5),Keys!$C$4)</f>
        <v>0.9</v>
      </c>
      <c r="Y273">
        <f>IF($D273=1,ROUND(Keys!$C$2/(INDEX(Src_SYSHECF_nuclear!$W$5:$W$292,MATCH($C273,Src_SYSHECF_nuclear!$C$5:$C$292,0))*$E273),Keys!$C$5),Keys!$C$4)</f>
        <v>0.9</v>
      </c>
      <c r="Z273">
        <f>IF($D273=1,ROUND(Keys!$C$2/(INDEX(Src_SYSHECF_nuclear!$X$5:$X$292,MATCH($C273,Src_SYSHECF_nuclear!$C$5:$C$292,0))*$E273),Keys!$C$5),Keys!$C$4)</f>
        <v>0.9</v>
      </c>
      <c r="AA273">
        <f>IF($D273=1,ROUND(Keys!$C$2/(INDEX(Src_SYSHECF_nuclear!$Y$5:$Y$292,MATCH($C273,Src_SYSHECF_nuclear!$C$5:$C$292,0))*$E273),Keys!$C$5),Keys!$C$4)</f>
        <v>0.9</v>
      </c>
      <c r="AB273">
        <f>IF($D273=1,ROUND(Keys!$C$2/(INDEX(Src_SYSHECF_nuclear!$Z$5:$Z$292,MATCH($C273,Src_SYSHECF_nuclear!$C$5:$C$292,0))*$E273),Keys!$C$5),Keys!$C$4)</f>
        <v>0.9</v>
      </c>
      <c r="AC273">
        <f>IF($D273=1,ROUND(Keys!$C$2/(INDEX(Src_SYSHECF_nuclear!$AA$5:$AA$292,MATCH($C273,Src_SYSHECF_nuclear!$C$5:$C$292,0))*$E273),Keys!$C$5),Keys!$C$4)</f>
        <v>0.9</v>
      </c>
      <c r="AE273">
        <f>IF($D273=1,IF(ABS(INDEX(Src_SYSHECF_nuclear!$D$5:$D$292,MATCH($C273,Src_SYSHECF_nuclear!$C$5:$C$292,0))*$E273*F273-Keys!$C$2)&gt;Keys!$C$6,1,0),0)</f>
        <v>0</v>
      </c>
    </row>
    <row r="274" spans="1:31" x14ac:dyDescent="0.45">
      <c r="A274" t="s">
        <v>96</v>
      </c>
      <c r="B274" t="s">
        <v>426</v>
      </c>
      <c r="C274" t="str">
        <f t="shared" si="4"/>
        <v>RI|Summer</v>
      </c>
      <c r="D274">
        <f>INDEX(Src_BHRaSYC_nuclear!$HF$5:$HF$52,MATCH($A274,Src_BHRaSYC_nuclear!$A$5:$A$52,0))</f>
        <v>0</v>
      </c>
      <c r="E274">
        <f>INDEX(Src_HYECFCA_nuclear!$B$5:$B$52,MATCH($A274,Src_HYECFCA_nuclear!$A$5:$A$52,0))</f>
        <v>1</v>
      </c>
      <c r="F274">
        <f>IF($D274=1,ROUND(Keys!$C$2/(INDEX(Src_SYSHECF_nuclear!$D$5:$D$292,MATCH($C274,Src_SYSHECF_nuclear!$C$5:$C$292,0))*$E274),Keys!$C$5),Keys!$C$4)</f>
        <v>0.9</v>
      </c>
      <c r="G274">
        <f>IF($D274=1,ROUND(Keys!$C$2/(INDEX(Src_SYSHECF_nuclear!$E$5:$E$292,MATCH($C274,Src_SYSHECF_nuclear!$C$5:$C$292,0))*$E274),Keys!$C$5),Keys!$C$4)</f>
        <v>0.9</v>
      </c>
      <c r="H274">
        <f>IF($D274=1,ROUND(Keys!$C$2/(INDEX(Src_SYSHECF_nuclear!$F$5:$F$292,MATCH($C274,Src_SYSHECF_nuclear!$C$5:$C$292,0))*$E274),Keys!$C$5),Keys!$C$4)</f>
        <v>0.9</v>
      </c>
      <c r="I274">
        <f>IF($D274=1,ROUND(Keys!$C$2/(INDEX(Src_SYSHECF_nuclear!$G$5:$G$292,MATCH($C274,Src_SYSHECF_nuclear!$C$5:$C$292,0))*$E274),Keys!$C$5),Keys!$C$4)</f>
        <v>0.9</v>
      </c>
      <c r="J274">
        <f>IF($D274=1,ROUND(Keys!$C$2/(INDEX(Src_SYSHECF_nuclear!$H$5:$H$292,MATCH($C274,Src_SYSHECF_nuclear!$C$5:$C$292,0))*$E274),Keys!$C$5),Keys!$C$4)</f>
        <v>0.9</v>
      </c>
      <c r="K274">
        <f>IF($D274=1,ROUND(Keys!$C$2/(INDEX(Src_SYSHECF_nuclear!$I$5:$I$292,MATCH($C274,Src_SYSHECF_nuclear!$C$5:$C$292,0))*$E274),Keys!$C$5),Keys!$C$4)</f>
        <v>0.9</v>
      </c>
      <c r="L274">
        <f>IF($D274=1,ROUND(Keys!$C$2/(INDEX(Src_SYSHECF_nuclear!$J$5:$J$292,MATCH($C274,Src_SYSHECF_nuclear!$C$5:$C$292,0))*$E274),Keys!$C$5),Keys!$C$4)</f>
        <v>0.9</v>
      </c>
      <c r="M274">
        <f>IF($D274=1,ROUND(Keys!$C$2/(INDEX(Src_SYSHECF_nuclear!$K$5:$K$292,MATCH($C274,Src_SYSHECF_nuclear!$C$5:$C$292,0))*$E274),Keys!$C$5),Keys!$C$4)</f>
        <v>0.9</v>
      </c>
      <c r="N274">
        <f>IF($D274=1,ROUND(Keys!$C$2/(INDEX(Src_SYSHECF_nuclear!$L$5:$L$292,MATCH($C274,Src_SYSHECF_nuclear!$C$5:$C$292,0))*$E274),Keys!$C$5),Keys!$C$4)</f>
        <v>0.9</v>
      </c>
      <c r="O274">
        <f>IF($D274=1,ROUND(Keys!$C$2/(INDEX(Src_SYSHECF_nuclear!$M$5:$M$292,MATCH($C274,Src_SYSHECF_nuclear!$C$5:$C$292,0))*$E274),Keys!$C$5),Keys!$C$4)</f>
        <v>0.9</v>
      </c>
      <c r="P274">
        <f>IF($D274=1,ROUND(Keys!$C$2/(INDEX(Src_SYSHECF_nuclear!$N$5:$N$292,MATCH($C274,Src_SYSHECF_nuclear!$C$5:$C$292,0))*$E274),Keys!$C$5),Keys!$C$4)</f>
        <v>0.9</v>
      </c>
      <c r="Q274">
        <f>IF($D274=1,ROUND(Keys!$C$2/(INDEX(Src_SYSHECF_nuclear!$O$5:$O$292,MATCH($C274,Src_SYSHECF_nuclear!$C$5:$C$292,0))*$E274),Keys!$C$5),Keys!$C$4)</f>
        <v>0.9</v>
      </c>
      <c r="R274">
        <f>IF($D274=1,ROUND(Keys!$C$2/(INDEX(Src_SYSHECF_nuclear!$P$5:$P$292,MATCH($C274,Src_SYSHECF_nuclear!$C$5:$C$292,0))*$E274),Keys!$C$5),Keys!$C$4)</f>
        <v>0.9</v>
      </c>
      <c r="S274">
        <f>IF($D274=1,ROUND(Keys!$C$2/(INDEX(Src_SYSHECF_nuclear!$Q$5:$Q$292,MATCH($C274,Src_SYSHECF_nuclear!$C$5:$C$292,0))*$E274),Keys!$C$5),Keys!$C$4)</f>
        <v>0.9</v>
      </c>
      <c r="T274">
        <f>IF($D274=1,ROUND(Keys!$C$2/(INDEX(Src_SYSHECF_nuclear!$R$5:$R$292,MATCH($C274,Src_SYSHECF_nuclear!$C$5:$C$292,0))*$E274),Keys!$C$5),Keys!$C$4)</f>
        <v>0.9</v>
      </c>
      <c r="U274">
        <f>IF($D274=1,ROUND(Keys!$C$2/(INDEX(Src_SYSHECF_nuclear!$S$5:$S$292,MATCH($C274,Src_SYSHECF_nuclear!$C$5:$C$292,0))*$E274),Keys!$C$5),Keys!$C$4)</f>
        <v>0.9</v>
      </c>
      <c r="V274">
        <f>IF($D274=1,ROUND(Keys!$C$2/(INDEX(Src_SYSHECF_nuclear!$T$5:$T$292,MATCH($C274,Src_SYSHECF_nuclear!$C$5:$C$292,0))*$E274),Keys!$C$5),Keys!$C$4)</f>
        <v>0.9</v>
      </c>
      <c r="W274">
        <f>IF($D274=1,ROUND(Keys!$C$2/(INDEX(Src_SYSHECF_nuclear!$U$5:$U$292,MATCH($C274,Src_SYSHECF_nuclear!$C$5:$C$292,0))*$E274),Keys!$C$5),Keys!$C$4)</f>
        <v>0.9</v>
      </c>
      <c r="X274">
        <f>IF($D274=1,ROUND(Keys!$C$2/(INDEX(Src_SYSHECF_nuclear!$V$5:$V$292,MATCH($C274,Src_SYSHECF_nuclear!$C$5:$C$292,0))*$E274),Keys!$C$5),Keys!$C$4)</f>
        <v>0.9</v>
      </c>
      <c r="Y274">
        <f>IF($D274=1,ROUND(Keys!$C$2/(INDEX(Src_SYSHECF_nuclear!$W$5:$W$292,MATCH($C274,Src_SYSHECF_nuclear!$C$5:$C$292,0))*$E274),Keys!$C$5),Keys!$C$4)</f>
        <v>0.9</v>
      </c>
      <c r="Z274">
        <f>IF($D274=1,ROUND(Keys!$C$2/(INDEX(Src_SYSHECF_nuclear!$X$5:$X$292,MATCH($C274,Src_SYSHECF_nuclear!$C$5:$C$292,0))*$E274),Keys!$C$5),Keys!$C$4)</f>
        <v>0.9</v>
      </c>
      <c r="AA274">
        <f>IF($D274=1,ROUND(Keys!$C$2/(INDEX(Src_SYSHECF_nuclear!$Y$5:$Y$292,MATCH($C274,Src_SYSHECF_nuclear!$C$5:$C$292,0))*$E274),Keys!$C$5),Keys!$C$4)</f>
        <v>0.9</v>
      </c>
      <c r="AB274">
        <f>IF($D274=1,ROUND(Keys!$C$2/(INDEX(Src_SYSHECF_nuclear!$Z$5:$Z$292,MATCH($C274,Src_SYSHECF_nuclear!$C$5:$C$292,0))*$E274),Keys!$C$5),Keys!$C$4)</f>
        <v>0.9</v>
      </c>
      <c r="AC274">
        <f>IF($D274=1,ROUND(Keys!$C$2/(INDEX(Src_SYSHECF_nuclear!$AA$5:$AA$292,MATCH($C274,Src_SYSHECF_nuclear!$C$5:$C$292,0))*$E274),Keys!$C$5),Keys!$C$4)</f>
        <v>0.9</v>
      </c>
      <c r="AE274">
        <f>IF($D274=1,IF(ABS(INDEX(Src_SYSHECF_nuclear!$D$5:$D$292,MATCH($C274,Src_SYSHECF_nuclear!$C$5:$C$292,0))*$E274*F274-Keys!$C$2)&gt;Keys!$C$6,1,0),0)</f>
        <v>0</v>
      </c>
    </row>
    <row r="275" spans="1:31" x14ac:dyDescent="0.45">
      <c r="A275" t="s">
        <v>96</v>
      </c>
      <c r="B275" t="s">
        <v>427</v>
      </c>
      <c r="C275" t="str">
        <f t="shared" si="4"/>
        <v>RI|Fall</v>
      </c>
      <c r="D275">
        <f>INDEX(Src_BHRaSYC_nuclear!$HF$5:$HF$52,MATCH($A275,Src_BHRaSYC_nuclear!$A$5:$A$52,0))</f>
        <v>0</v>
      </c>
      <c r="E275">
        <f>INDEX(Src_HYECFCA_nuclear!$B$5:$B$52,MATCH($A275,Src_HYECFCA_nuclear!$A$5:$A$52,0))</f>
        <v>1</v>
      </c>
      <c r="F275">
        <f>IF($D275=1,ROUND(Keys!$C$2/(INDEX(Src_SYSHECF_nuclear!$D$5:$D$292,MATCH($C275,Src_SYSHECF_nuclear!$C$5:$C$292,0))*$E275),Keys!$C$5),Keys!$C$4)</f>
        <v>0.9</v>
      </c>
      <c r="G275">
        <f>IF($D275=1,ROUND(Keys!$C$2/(INDEX(Src_SYSHECF_nuclear!$E$5:$E$292,MATCH($C275,Src_SYSHECF_nuclear!$C$5:$C$292,0))*$E275),Keys!$C$5),Keys!$C$4)</f>
        <v>0.9</v>
      </c>
      <c r="H275">
        <f>IF($D275=1,ROUND(Keys!$C$2/(INDEX(Src_SYSHECF_nuclear!$F$5:$F$292,MATCH($C275,Src_SYSHECF_nuclear!$C$5:$C$292,0))*$E275),Keys!$C$5),Keys!$C$4)</f>
        <v>0.9</v>
      </c>
      <c r="I275">
        <f>IF($D275=1,ROUND(Keys!$C$2/(INDEX(Src_SYSHECF_nuclear!$G$5:$G$292,MATCH($C275,Src_SYSHECF_nuclear!$C$5:$C$292,0))*$E275),Keys!$C$5),Keys!$C$4)</f>
        <v>0.9</v>
      </c>
      <c r="J275">
        <f>IF($D275=1,ROUND(Keys!$C$2/(INDEX(Src_SYSHECF_nuclear!$H$5:$H$292,MATCH($C275,Src_SYSHECF_nuclear!$C$5:$C$292,0))*$E275),Keys!$C$5),Keys!$C$4)</f>
        <v>0.9</v>
      </c>
      <c r="K275">
        <f>IF($D275=1,ROUND(Keys!$C$2/(INDEX(Src_SYSHECF_nuclear!$I$5:$I$292,MATCH($C275,Src_SYSHECF_nuclear!$C$5:$C$292,0))*$E275),Keys!$C$5),Keys!$C$4)</f>
        <v>0.9</v>
      </c>
      <c r="L275">
        <f>IF($D275=1,ROUND(Keys!$C$2/(INDEX(Src_SYSHECF_nuclear!$J$5:$J$292,MATCH($C275,Src_SYSHECF_nuclear!$C$5:$C$292,0))*$E275),Keys!$C$5),Keys!$C$4)</f>
        <v>0.9</v>
      </c>
      <c r="M275">
        <f>IF($D275=1,ROUND(Keys!$C$2/(INDEX(Src_SYSHECF_nuclear!$K$5:$K$292,MATCH($C275,Src_SYSHECF_nuclear!$C$5:$C$292,0))*$E275),Keys!$C$5),Keys!$C$4)</f>
        <v>0.9</v>
      </c>
      <c r="N275">
        <f>IF($D275=1,ROUND(Keys!$C$2/(INDEX(Src_SYSHECF_nuclear!$L$5:$L$292,MATCH($C275,Src_SYSHECF_nuclear!$C$5:$C$292,0))*$E275),Keys!$C$5),Keys!$C$4)</f>
        <v>0.9</v>
      </c>
      <c r="O275">
        <f>IF($D275=1,ROUND(Keys!$C$2/(INDEX(Src_SYSHECF_nuclear!$M$5:$M$292,MATCH($C275,Src_SYSHECF_nuclear!$C$5:$C$292,0))*$E275),Keys!$C$5),Keys!$C$4)</f>
        <v>0.9</v>
      </c>
      <c r="P275">
        <f>IF($D275=1,ROUND(Keys!$C$2/(INDEX(Src_SYSHECF_nuclear!$N$5:$N$292,MATCH($C275,Src_SYSHECF_nuclear!$C$5:$C$292,0))*$E275),Keys!$C$5),Keys!$C$4)</f>
        <v>0.9</v>
      </c>
      <c r="Q275">
        <f>IF($D275=1,ROUND(Keys!$C$2/(INDEX(Src_SYSHECF_nuclear!$O$5:$O$292,MATCH($C275,Src_SYSHECF_nuclear!$C$5:$C$292,0))*$E275),Keys!$C$5),Keys!$C$4)</f>
        <v>0.9</v>
      </c>
      <c r="R275">
        <f>IF($D275=1,ROUND(Keys!$C$2/(INDEX(Src_SYSHECF_nuclear!$P$5:$P$292,MATCH($C275,Src_SYSHECF_nuclear!$C$5:$C$292,0))*$E275),Keys!$C$5),Keys!$C$4)</f>
        <v>0.9</v>
      </c>
      <c r="S275">
        <f>IF($D275=1,ROUND(Keys!$C$2/(INDEX(Src_SYSHECF_nuclear!$Q$5:$Q$292,MATCH($C275,Src_SYSHECF_nuclear!$C$5:$C$292,0))*$E275),Keys!$C$5),Keys!$C$4)</f>
        <v>0.9</v>
      </c>
      <c r="T275">
        <f>IF($D275=1,ROUND(Keys!$C$2/(INDEX(Src_SYSHECF_nuclear!$R$5:$R$292,MATCH($C275,Src_SYSHECF_nuclear!$C$5:$C$292,0))*$E275),Keys!$C$5),Keys!$C$4)</f>
        <v>0.9</v>
      </c>
      <c r="U275">
        <f>IF($D275=1,ROUND(Keys!$C$2/(INDEX(Src_SYSHECF_nuclear!$S$5:$S$292,MATCH($C275,Src_SYSHECF_nuclear!$C$5:$C$292,0))*$E275),Keys!$C$5),Keys!$C$4)</f>
        <v>0.9</v>
      </c>
      <c r="V275">
        <f>IF($D275=1,ROUND(Keys!$C$2/(INDEX(Src_SYSHECF_nuclear!$T$5:$T$292,MATCH($C275,Src_SYSHECF_nuclear!$C$5:$C$292,0))*$E275),Keys!$C$5),Keys!$C$4)</f>
        <v>0.9</v>
      </c>
      <c r="W275">
        <f>IF($D275=1,ROUND(Keys!$C$2/(INDEX(Src_SYSHECF_nuclear!$U$5:$U$292,MATCH($C275,Src_SYSHECF_nuclear!$C$5:$C$292,0))*$E275),Keys!$C$5),Keys!$C$4)</f>
        <v>0.9</v>
      </c>
      <c r="X275">
        <f>IF($D275=1,ROUND(Keys!$C$2/(INDEX(Src_SYSHECF_nuclear!$V$5:$V$292,MATCH($C275,Src_SYSHECF_nuclear!$C$5:$C$292,0))*$E275),Keys!$C$5),Keys!$C$4)</f>
        <v>0.9</v>
      </c>
      <c r="Y275">
        <f>IF($D275=1,ROUND(Keys!$C$2/(INDEX(Src_SYSHECF_nuclear!$W$5:$W$292,MATCH($C275,Src_SYSHECF_nuclear!$C$5:$C$292,0))*$E275),Keys!$C$5),Keys!$C$4)</f>
        <v>0.9</v>
      </c>
      <c r="Z275">
        <f>IF($D275=1,ROUND(Keys!$C$2/(INDEX(Src_SYSHECF_nuclear!$X$5:$X$292,MATCH($C275,Src_SYSHECF_nuclear!$C$5:$C$292,0))*$E275),Keys!$C$5),Keys!$C$4)</f>
        <v>0.9</v>
      </c>
      <c r="AA275">
        <f>IF($D275=1,ROUND(Keys!$C$2/(INDEX(Src_SYSHECF_nuclear!$Y$5:$Y$292,MATCH($C275,Src_SYSHECF_nuclear!$C$5:$C$292,0))*$E275),Keys!$C$5),Keys!$C$4)</f>
        <v>0.9</v>
      </c>
      <c r="AB275">
        <f>IF($D275=1,ROUND(Keys!$C$2/(INDEX(Src_SYSHECF_nuclear!$Z$5:$Z$292,MATCH($C275,Src_SYSHECF_nuclear!$C$5:$C$292,0))*$E275),Keys!$C$5),Keys!$C$4)</f>
        <v>0.9</v>
      </c>
      <c r="AC275">
        <f>IF($D275=1,ROUND(Keys!$C$2/(INDEX(Src_SYSHECF_nuclear!$AA$5:$AA$292,MATCH($C275,Src_SYSHECF_nuclear!$C$5:$C$292,0))*$E275),Keys!$C$5),Keys!$C$4)</f>
        <v>0.9</v>
      </c>
      <c r="AE275">
        <f>IF($D275=1,IF(ABS(INDEX(Src_SYSHECF_nuclear!$D$5:$D$292,MATCH($C275,Src_SYSHECF_nuclear!$C$5:$C$292,0))*$E275*F275-Keys!$C$2)&gt;Keys!$C$6,1,0),0)</f>
        <v>0</v>
      </c>
    </row>
    <row r="276" spans="1:31" x14ac:dyDescent="0.45">
      <c r="A276" t="s">
        <v>96</v>
      </c>
      <c r="B276" t="s">
        <v>428</v>
      </c>
      <c r="C276" t="str">
        <f t="shared" si="4"/>
        <v>RI|Summer Peak</v>
      </c>
      <c r="D276">
        <f>INDEX(Src_BHRaSYC_nuclear!$HF$5:$HF$52,MATCH($A276,Src_BHRaSYC_nuclear!$A$5:$A$52,0))</f>
        <v>0</v>
      </c>
      <c r="E276">
        <f>INDEX(Src_HYECFCA_nuclear!$B$5:$B$52,MATCH($A276,Src_HYECFCA_nuclear!$A$5:$A$52,0))</f>
        <v>1</v>
      </c>
      <c r="F276">
        <f>IF($D276=1,ROUND(Keys!$C$2/(INDEX(Src_SYSHECF_nuclear!$D$5:$D$292,MATCH($C276,Src_SYSHECF_nuclear!$C$5:$C$292,0))*$E276),Keys!$C$5),Keys!$C$4)</f>
        <v>0.9</v>
      </c>
      <c r="G276">
        <f>IF($D276=1,ROUND(Keys!$C$2/(INDEX(Src_SYSHECF_nuclear!$E$5:$E$292,MATCH($C276,Src_SYSHECF_nuclear!$C$5:$C$292,0))*$E276),Keys!$C$5),Keys!$C$4)</f>
        <v>0.9</v>
      </c>
      <c r="H276">
        <f>IF($D276=1,ROUND(Keys!$C$2/(INDEX(Src_SYSHECF_nuclear!$F$5:$F$292,MATCH($C276,Src_SYSHECF_nuclear!$C$5:$C$292,0))*$E276),Keys!$C$5),Keys!$C$4)</f>
        <v>0.9</v>
      </c>
      <c r="I276">
        <f>IF($D276=1,ROUND(Keys!$C$2/(INDEX(Src_SYSHECF_nuclear!$G$5:$G$292,MATCH($C276,Src_SYSHECF_nuclear!$C$5:$C$292,0))*$E276),Keys!$C$5),Keys!$C$4)</f>
        <v>0.9</v>
      </c>
      <c r="J276">
        <f>IF($D276=1,ROUND(Keys!$C$2/(INDEX(Src_SYSHECF_nuclear!$H$5:$H$292,MATCH($C276,Src_SYSHECF_nuclear!$C$5:$C$292,0))*$E276),Keys!$C$5),Keys!$C$4)</f>
        <v>0.9</v>
      </c>
      <c r="K276">
        <f>IF($D276=1,ROUND(Keys!$C$2/(INDEX(Src_SYSHECF_nuclear!$I$5:$I$292,MATCH($C276,Src_SYSHECF_nuclear!$C$5:$C$292,0))*$E276),Keys!$C$5),Keys!$C$4)</f>
        <v>0.9</v>
      </c>
      <c r="L276">
        <f>IF($D276=1,ROUND(Keys!$C$2/(INDEX(Src_SYSHECF_nuclear!$J$5:$J$292,MATCH($C276,Src_SYSHECF_nuclear!$C$5:$C$292,0))*$E276),Keys!$C$5),Keys!$C$4)</f>
        <v>0.9</v>
      </c>
      <c r="M276">
        <f>IF($D276=1,ROUND(Keys!$C$2/(INDEX(Src_SYSHECF_nuclear!$K$5:$K$292,MATCH($C276,Src_SYSHECF_nuclear!$C$5:$C$292,0))*$E276),Keys!$C$5),Keys!$C$4)</f>
        <v>0.9</v>
      </c>
      <c r="N276">
        <f>IF($D276=1,ROUND(Keys!$C$2/(INDEX(Src_SYSHECF_nuclear!$L$5:$L$292,MATCH($C276,Src_SYSHECF_nuclear!$C$5:$C$292,0))*$E276),Keys!$C$5),Keys!$C$4)</f>
        <v>0.9</v>
      </c>
      <c r="O276">
        <f>IF($D276=1,ROUND(Keys!$C$2/(INDEX(Src_SYSHECF_nuclear!$M$5:$M$292,MATCH($C276,Src_SYSHECF_nuclear!$C$5:$C$292,0))*$E276),Keys!$C$5),Keys!$C$4)</f>
        <v>0.9</v>
      </c>
      <c r="P276">
        <f>IF($D276=1,ROUND(Keys!$C$2/(INDEX(Src_SYSHECF_nuclear!$N$5:$N$292,MATCH($C276,Src_SYSHECF_nuclear!$C$5:$C$292,0))*$E276),Keys!$C$5),Keys!$C$4)</f>
        <v>0.9</v>
      </c>
      <c r="Q276">
        <f>IF($D276=1,ROUND(Keys!$C$2/(INDEX(Src_SYSHECF_nuclear!$O$5:$O$292,MATCH($C276,Src_SYSHECF_nuclear!$C$5:$C$292,0))*$E276),Keys!$C$5),Keys!$C$4)</f>
        <v>0.9</v>
      </c>
      <c r="R276">
        <f>IF($D276=1,ROUND(Keys!$C$2/(INDEX(Src_SYSHECF_nuclear!$P$5:$P$292,MATCH($C276,Src_SYSHECF_nuclear!$C$5:$C$292,0))*$E276),Keys!$C$5),Keys!$C$4)</f>
        <v>0.9</v>
      </c>
      <c r="S276">
        <f>IF($D276=1,ROUND(Keys!$C$2/(INDEX(Src_SYSHECF_nuclear!$Q$5:$Q$292,MATCH($C276,Src_SYSHECF_nuclear!$C$5:$C$292,0))*$E276),Keys!$C$5),Keys!$C$4)</f>
        <v>0.9</v>
      </c>
      <c r="T276">
        <f>IF($D276=1,ROUND(Keys!$C$2/(INDEX(Src_SYSHECF_nuclear!$R$5:$R$292,MATCH($C276,Src_SYSHECF_nuclear!$C$5:$C$292,0))*$E276),Keys!$C$5),Keys!$C$4)</f>
        <v>0.9</v>
      </c>
      <c r="U276">
        <f>IF($D276=1,ROUND(Keys!$C$2/(INDEX(Src_SYSHECF_nuclear!$S$5:$S$292,MATCH($C276,Src_SYSHECF_nuclear!$C$5:$C$292,0))*$E276),Keys!$C$5),Keys!$C$4)</f>
        <v>0.9</v>
      </c>
      <c r="V276">
        <f>IF($D276=1,ROUND(Keys!$C$2/(INDEX(Src_SYSHECF_nuclear!$T$5:$T$292,MATCH($C276,Src_SYSHECF_nuclear!$C$5:$C$292,0))*$E276),Keys!$C$5),Keys!$C$4)</f>
        <v>0.9</v>
      </c>
      <c r="W276">
        <f>IF($D276=1,ROUND(Keys!$C$2/(INDEX(Src_SYSHECF_nuclear!$U$5:$U$292,MATCH($C276,Src_SYSHECF_nuclear!$C$5:$C$292,0))*$E276),Keys!$C$5),Keys!$C$4)</f>
        <v>0.9</v>
      </c>
      <c r="X276">
        <f>IF($D276=1,ROUND(Keys!$C$2/(INDEX(Src_SYSHECF_nuclear!$V$5:$V$292,MATCH($C276,Src_SYSHECF_nuclear!$C$5:$C$292,0))*$E276),Keys!$C$5),Keys!$C$4)</f>
        <v>0.9</v>
      </c>
      <c r="Y276">
        <f>IF($D276=1,ROUND(Keys!$C$2/(INDEX(Src_SYSHECF_nuclear!$W$5:$W$292,MATCH($C276,Src_SYSHECF_nuclear!$C$5:$C$292,0))*$E276),Keys!$C$5),Keys!$C$4)</f>
        <v>0.9</v>
      </c>
      <c r="Z276">
        <f>IF($D276=1,ROUND(Keys!$C$2/(INDEX(Src_SYSHECF_nuclear!$X$5:$X$292,MATCH($C276,Src_SYSHECF_nuclear!$C$5:$C$292,0))*$E276),Keys!$C$5),Keys!$C$4)</f>
        <v>0.9</v>
      </c>
      <c r="AA276">
        <f>IF($D276=1,ROUND(Keys!$C$2/(INDEX(Src_SYSHECF_nuclear!$Y$5:$Y$292,MATCH($C276,Src_SYSHECF_nuclear!$C$5:$C$292,0))*$E276),Keys!$C$5),Keys!$C$4)</f>
        <v>0.9</v>
      </c>
      <c r="AB276">
        <f>IF($D276=1,ROUND(Keys!$C$2/(INDEX(Src_SYSHECF_nuclear!$Z$5:$Z$292,MATCH($C276,Src_SYSHECF_nuclear!$C$5:$C$292,0))*$E276),Keys!$C$5),Keys!$C$4)</f>
        <v>0.9</v>
      </c>
      <c r="AC276">
        <f>IF($D276=1,ROUND(Keys!$C$2/(INDEX(Src_SYSHECF_nuclear!$AA$5:$AA$292,MATCH($C276,Src_SYSHECF_nuclear!$C$5:$C$292,0))*$E276),Keys!$C$5),Keys!$C$4)</f>
        <v>0.9</v>
      </c>
      <c r="AE276">
        <f>IF($D276=1,IF(ABS(INDEX(Src_SYSHECF_nuclear!$D$5:$D$292,MATCH($C276,Src_SYSHECF_nuclear!$C$5:$C$292,0))*$E276*F276-Keys!$C$2)&gt;Keys!$C$6,1,0),0)</f>
        <v>0</v>
      </c>
    </row>
    <row r="277" spans="1:31" x14ac:dyDescent="0.45">
      <c r="A277" t="s">
        <v>96</v>
      </c>
      <c r="B277" t="s">
        <v>429</v>
      </c>
      <c r="C277" t="str">
        <f t="shared" si="4"/>
        <v>RI|Winter Peak</v>
      </c>
      <c r="D277">
        <f>INDEX(Src_BHRaSYC_nuclear!$HF$5:$HF$52,MATCH($A277,Src_BHRaSYC_nuclear!$A$5:$A$52,0))</f>
        <v>0</v>
      </c>
      <c r="E277">
        <f>INDEX(Src_HYECFCA_nuclear!$B$5:$B$52,MATCH($A277,Src_HYECFCA_nuclear!$A$5:$A$52,0))</f>
        <v>1</v>
      </c>
      <c r="F277">
        <f>IF($D277=1,ROUND(Keys!$C$2/(INDEX(Src_SYSHECF_nuclear!$D$5:$D$292,MATCH($C277,Src_SYSHECF_nuclear!$C$5:$C$292,0))*$E277),Keys!$C$5),Keys!$C$4)</f>
        <v>0.9</v>
      </c>
      <c r="G277">
        <f>IF($D277=1,ROUND(Keys!$C$2/(INDEX(Src_SYSHECF_nuclear!$E$5:$E$292,MATCH($C277,Src_SYSHECF_nuclear!$C$5:$C$292,0))*$E277),Keys!$C$5),Keys!$C$4)</f>
        <v>0.9</v>
      </c>
      <c r="H277">
        <f>IF($D277=1,ROUND(Keys!$C$2/(INDEX(Src_SYSHECF_nuclear!$F$5:$F$292,MATCH($C277,Src_SYSHECF_nuclear!$C$5:$C$292,0))*$E277),Keys!$C$5),Keys!$C$4)</f>
        <v>0.9</v>
      </c>
      <c r="I277">
        <f>IF($D277=1,ROUND(Keys!$C$2/(INDEX(Src_SYSHECF_nuclear!$G$5:$G$292,MATCH($C277,Src_SYSHECF_nuclear!$C$5:$C$292,0))*$E277),Keys!$C$5),Keys!$C$4)</f>
        <v>0.9</v>
      </c>
      <c r="J277">
        <f>IF($D277=1,ROUND(Keys!$C$2/(INDEX(Src_SYSHECF_nuclear!$H$5:$H$292,MATCH($C277,Src_SYSHECF_nuclear!$C$5:$C$292,0))*$E277),Keys!$C$5),Keys!$C$4)</f>
        <v>0.9</v>
      </c>
      <c r="K277">
        <f>IF($D277=1,ROUND(Keys!$C$2/(INDEX(Src_SYSHECF_nuclear!$I$5:$I$292,MATCH($C277,Src_SYSHECF_nuclear!$C$5:$C$292,0))*$E277),Keys!$C$5),Keys!$C$4)</f>
        <v>0.9</v>
      </c>
      <c r="L277">
        <f>IF($D277=1,ROUND(Keys!$C$2/(INDEX(Src_SYSHECF_nuclear!$J$5:$J$292,MATCH($C277,Src_SYSHECF_nuclear!$C$5:$C$292,0))*$E277),Keys!$C$5),Keys!$C$4)</f>
        <v>0.9</v>
      </c>
      <c r="M277">
        <f>IF($D277=1,ROUND(Keys!$C$2/(INDEX(Src_SYSHECF_nuclear!$K$5:$K$292,MATCH($C277,Src_SYSHECF_nuclear!$C$5:$C$292,0))*$E277),Keys!$C$5),Keys!$C$4)</f>
        <v>0.9</v>
      </c>
      <c r="N277">
        <f>IF($D277=1,ROUND(Keys!$C$2/(INDEX(Src_SYSHECF_nuclear!$L$5:$L$292,MATCH($C277,Src_SYSHECF_nuclear!$C$5:$C$292,0))*$E277),Keys!$C$5),Keys!$C$4)</f>
        <v>0.9</v>
      </c>
      <c r="O277">
        <f>IF($D277=1,ROUND(Keys!$C$2/(INDEX(Src_SYSHECF_nuclear!$M$5:$M$292,MATCH($C277,Src_SYSHECF_nuclear!$C$5:$C$292,0))*$E277),Keys!$C$5),Keys!$C$4)</f>
        <v>0.9</v>
      </c>
      <c r="P277">
        <f>IF($D277=1,ROUND(Keys!$C$2/(INDEX(Src_SYSHECF_nuclear!$N$5:$N$292,MATCH($C277,Src_SYSHECF_nuclear!$C$5:$C$292,0))*$E277),Keys!$C$5),Keys!$C$4)</f>
        <v>0.9</v>
      </c>
      <c r="Q277">
        <f>IF($D277=1,ROUND(Keys!$C$2/(INDEX(Src_SYSHECF_nuclear!$O$5:$O$292,MATCH($C277,Src_SYSHECF_nuclear!$C$5:$C$292,0))*$E277),Keys!$C$5),Keys!$C$4)</f>
        <v>0.9</v>
      </c>
      <c r="R277">
        <f>IF($D277=1,ROUND(Keys!$C$2/(INDEX(Src_SYSHECF_nuclear!$P$5:$P$292,MATCH($C277,Src_SYSHECF_nuclear!$C$5:$C$292,0))*$E277),Keys!$C$5),Keys!$C$4)</f>
        <v>0.9</v>
      </c>
      <c r="S277">
        <f>IF($D277=1,ROUND(Keys!$C$2/(INDEX(Src_SYSHECF_nuclear!$Q$5:$Q$292,MATCH($C277,Src_SYSHECF_nuclear!$C$5:$C$292,0))*$E277),Keys!$C$5),Keys!$C$4)</f>
        <v>0.9</v>
      </c>
      <c r="T277">
        <f>IF($D277=1,ROUND(Keys!$C$2/(INDEX(Src_SYSHECF_nuclear!$R$5:$R$292,MATCH($C277,Src_SYSHECF_nuclear!$C$5:$C$292,0))*$E277),Keys!$C$5),Keys!$C$4)</f>
        <v>0.9</v>
      </c>
      <c r="U277">
        <f>IF($D277=1,ROUND(Keys!$C$2/(INDEX(Src_SYSHECF_nuclear!$S$5:$S$292,MATCH($C277,Src_SYSHECF_nuclear!$C$5:$C$292,0))*$E277),Keys!$C$5),Keys!$C$4)</f>
        <v>0.9</v>
      </c>
      <c r="V277">
        <f>IF($D277=1,ROUND(Keys!$C$2/(INDEX(Src_SYSHECF_nuclear!$T$5:$T$292,MATCH($C277,Src_SYSHECF_nuclear!$C$5:$C$292,0))*$E277),Keys!$C$5),Keys!$C$4)</f>
        <v>0.9</v>
      </c>
      <c r="W277">
        <f>IF($D277=1,ROUND(Keys!$C$2/(INDEX(Src_SYSHECF_nuclear!$U$5:$U$292,MATCH($C277,Src_SYSHECF_nuclear!$C$5:$C$292,0))*$E277),Keys!$C$5),Keys!$C$4)</f>
        <v>0.9</v>
      </c>
      <c r="X277">
        <f>IF($D277=1,ROUND(Keys!$C$2/(INDEX(Src_SYSHECF_nuclear!$V$5:$V$292,MATCH($C277,Src_SYSHECF_nuclear!$C$5:$C$292,0))*$E277),Keys!$C$5),Keys!$C$4)</f>
        <v>0.9</v>
      </c>
      <c r="Y277">
        <f>IF($D277=1,ROUND(Keys!$C$2/(INDEX(Src_SYSHECF_nuclear!$W$5:$W$292,MATCH($C277,Src_SYSHECF_nuclear!$C$5:$C$292,0))*$E277),Keys!$C$5),Keys!$C$4)</f>
        <v>0.9</v>
      </c>
      <c r="Z277">
        <f>IF($D277=1,ROUND(Keys!$C$2/(INDEX(Src_SYSHECF_nuclear!$X$5:$X$292,MATCH($C277,Src_SYSHECF_nuclear!$C$5:$C$292,0))*$E277),Keys!$C$5),Keys!$C$4)</f>
        <v>0.9</v>
      </c>
      <c r="AA277">
        <f>IF($D277=1,ROUND(Keys!$C$2/(INDEX(Src_SYSHECF_nuclear!$Y$5:$Y$292,MATCH($C277,Src_SYSHECF_nuclear!$C$5:$C$292,0))*$E277),Keys!$C$5),Keys!$C$4)</f>
        <v>0.9</v>
      </c>
      <c r="AB277">
        <f>IF($D277=1,ROUND(Keys!$C$2/(INDEX(Src_SYSHECF_nuclear!$Z$5:$Z$292,MATCH($C277,Src_SYSHECF_nuclear!$C$5:$C$292,0))*$E277),Keys!$C$5),Keys!$C$4)</f>
        <v>0.9</v>
      </c>
      <c r="AC277">
        <f>IF($D277=1,ROUND(Keys!$C$2/(INDEX(Src_SYSHECF_nuclear!$AA$5:$AA$292,MATCH($C277,Src_SYSHECF_nuclear!$C$5:$C$292,0))*$E277),Keys!$C$5),Keys!$C$4)</f>
        <v>0.9</v>
      </c>
      <c r="AE277">
        <f>IF($D277=1,IF(ABS(INDEX(Src_SYSHECF_nuclear!$D$5:$D$292,MATCH($C277,Src_SYSHECF_nuclear!$C$5:$C$292,0))*$E277*F277-Keys!$C$2)&gt;Keys!$C$6,1,0),0)</f>
        <v>0</v>
      </c>
    </row>
    <row r="278" spans="1:31" x14ac:dyDescent="0.45">
      <c r="A278" t="s">
        <v>98</v>
      </c>
      <c r="B278" t="s">
        <v>424</v>
      </c>
      <c r="C278" t="str">
        <f t="shared" si="4"/>
        <v>SC|Winter</v>
      </c>
      <c r="D278">
        <f>INDEX(Src_BHRaSYC_nuclear!$HF$5:$HF$52,MATCH($A278,Src_BHRaSYC_nuclear!$A$5:$A$52,0))</f>
        <v>1</v>
      </c>
      <c r="E278">
        <f>INDEX(Src_HYECFCA_nuclear!$B$5:$B$52,MATCH($A278,Src_HYECFCA_nuclear!$A$5:$A$52,0))</f>
        <v>1.02277</v>
      </c>
      <c r="F278">
        <f>IF($D278=1,ROUND(Keys!$C$2/(INDEX(Src_SYSHECF_nuclear!$D$5:$D$292,MATCH($C278,Src_SYSHECF_nuclear!$C$5:$C$292,0))*$E278),Keys!$C$5),Keys!$C$4)</f>
        <v>1.0016</v>
      </c>
      <c r="G278">
        <f>IF($D278=1,ROUND(Keys!$C$2/(INDEX(Src_SYSHECF_nuclear!$E$5:$E$292,MATCH($C278,Src_SYSHECF_nuclear!$C$5:$C$292,0))*$E278),Keys!$C$5),Keys!$C$4)</f>
        <v>1.0016</v>
      </c>
      <c r="H278">
        <f>IF($D278=1,ROUND(Keys!$C$2/(INDEX(Src_SYSHECF_nuclear!$F$5:$F$292,MATCH($C278,Src_SYSHECF_nuclear!$C$5:$C$292,0))*$E278),Keys!$C$5),Keys!$C$4)</f>
        <v>1.0016</v>
      </c>
      <c r="I278">
        <f>IF($D278=1,ROUND(Keys!$C$2/(INDEX(Src_SYSHECF_nuclear!$G$5:$G$292,MATCH($C278,Src_SYSHECF_nuclear!$C$5:$C$292,0))*$E278),Keys!$C$5),Keys!$C$4)</f>
        <v>1.0016</v>
      </c>
      <c r="J278">
        <f>IF($D278=1,ROUND(Keys!$C$2/(INDEX(Src_SYSHECF_nuclear!$H$5:$H$292,MATCH($C278,Src_SYSHECF_nuclear!$C$5:$C$292,0))*$E278),Keys!$C$5),Keys!$C$4)</f>
        <v>1.0016</v>
      </c>
      <c r="K278">
        <f>IF($D278=1,ROUND(Keys!$C$2/(INDEX(Src_SYSHECF_nuclear!$I$5:$I$292,MATCH($C278,Src_SYSHECF_nuclear!$C$5:$C$292,0))*$E278),Keys!$C$5),Keys!$C$4)</f>
        <v>1.0016</v>
      </c>
      <c r="L278">
        <f>IF($D278=1,ROUND(Keys!$C$2/(INDEX(Src_SYSHECF_nuclear!$J$5:$J$292,MATCH($C278,Src_SYSHECF_nuclear!$C$5:$C$292,0))*$E278),Keys!$C$5),Keys!$C$4)</f>
        <v>1.0016</v>
      </c>
      <c r="M278">
        <f>IF($D278=1,ROUND(Keys!$C$2/(INDEX(Src_SYSHECF_nuclear!$K$5:$K$292,MATCH($C278,Src_SYSHECF_nuclear!$C$5:$C$292,0))*$E278),Keys!$C$5),Keys!$C$4)</f>
        <v>1.0016</v>
      </c>
      <c r="N278">
        <f>IF($D278=1,ROUND(Keys!$C$2/(INDEX(Src_SYSHECF_nuclear!$L$5:$L$292,MATCH($C278,Src_SYSHECF_nuclear!$C$5:$C$292,0))*$E278),Keys!$C$5),Keys!$C$4)</f>
        <v>1.0016</v>
      </c>
      <c r="O278">
        <f>IF($D278=1,ROUND(Keys!$C$2/(INDEX(Src_SYSHECF_nuclear!$M$5:$M$292,MATCH($C278,Src_SYSHECF_nuclear!$C$5:$C$292,0))*$E278),Keys!$C$5),Keys!$C$4)</f>
        <v>1.0016</v>
      </c>
      <c r="P278">
        <f>IF($D278=1,ROUND(Keys!$C$2/(INDEX(Src_SYSHECF_nuclear!$N$5:$N$292,MATCH($C278,Src_SYSHECF_nuclear!$C$5:$C$292,0))*$E278),Keys!$C$5),Keys!$C$4)</f>
        <v>1.0016</v>
      </c>
      <c r="Q278">
        <f>IF($D278=1,ROUND(Keys!$C$2/(INDEX(Src_SYSHECF_nuclear!$O$5:$O$292,MATCH($C278,Src_SYSHECF_nuclear!$C$5:$C$292,0))*$E278),Keys!$C$5),Keys!$C$4)</f>
        <v>1.0016</v>
      </c>
      <c r="R278">
        <f>IF($D278=1,ROUND(Keys!$C$2/(INDEX(Src_SYSHECF_nuclear!$P$5:$P$292,MATCH($C278,Src_SYSHECF_nuclear!$C$5:$C$292,0))*$E278),Keys!$C$5),Keys!$C$4)</f>
        <v>1.0016</v>
      </c>
      <c r="S278">
        <f>IF($D278=1,ROUND(Keys!$C$2/(INDEX(Src_SYSHECF_nuclear!$Q$5:$Q$292,MATCH($C278,Src_SYSHECF_nuclear!$C$5:$C$292,0))*$E278),Keys!$C$5),Keys!$C$4)</f>
        <v>1.0016</v>
      </c>
      <c r="T278">
        <f>IF($D278=1,ROUND(Keys!$C$2/(INDEX(Src_SYSHECF_nuclear!$R$5:$R$292,MATCH($C278,Src_SYSHECF_nuclear!$C$5:$C$292,0))*$E278),Keys!$C$5),Keys!$C$4)</f>
        <v>1.0016</v>
      </c>
      <c r="U278">
        <f>IF($D278=1,ROUND(Keys!$C$2/(INDEX(Src_SYSHECF_nuclear!$S$5:$S$292,MATCH($C278,Src_SYSHECF_nuclear!$C$5:$C$292,0))*$E278),Keys!$C$5),Keys!$C$4)</f>
        <v>1.0016</v>
      </c>
      <c r="V278">
        <f>IF($D278=1,ROUND(Keys!$C$2/(INDEX(Src_SYSHECF_nuclear!$T$5:$T$292,MATCH($C278,Src_SYSHECF_nuclear!$C$5:$C$292,0))*$E278),Keys!$C$5),Keys!$C$4)</f>
        <v>1.0016</v>
      </c>
      <c r="W278">
        <f>IF($D278=1,ROUND(Keys!$C$2/(INDEX(Src_SYSHECF_nuclear!$U$5:$U$292,MATCH($C278,Src_SYSHECF_nuclear!$C$5:$C$292,0))*$E278),Keys!$C$5),Keys!$C$4)</f>
        <v>1.0016</v>
      </c>
      <c r="X278">
        <f>IF($D278=1,ROUND(Keys!$C$2/(INDEX(Src_SYSHECF_nuclear!$V$5:$V$292,MATCH($C278,Src_SYSHECF_nuclear!$C$5:$C$292,0))*$E278),Keys!$C$5),Keys!$C$4)</f>
        <v>1.0016</v>
      </c>
      <c r="Y278">
        <f>IF($D278=1,ROUND(Keys!$C$2/(INDEX(Src_SYSHECF_nuclear!$W$5:$W$292,MATCH($C278,Src_SYSHECF_nuclear!$C$5:$C$292,0))*$E278),Keys!$C$5),Keys!$C$4)</f>
        <v>1.0016</v>
      </c>
      <c r="Z278">
        <f>IF($D278=1,ROUND(Keys!$C$2/(INDEX(Src_SYSHECF_nuclear!$X$5:$X$292,MATCH($C278,Src_SYSHECF_nuclear!$C$5:$C$292,0))*$E278),Keys!$C$5),Keys!$C$4)</f>
        <v>1.0016</v>
      </c>
      <c r="AA278">
        <f>IF($D278=1,ROUND(Keys!$C$2/(INDEX(Src_SYSHECF_nuclear!$Y$5:$Y$292,MATCH($C278,Src_SYSHECF_nuclear!$C$5:$C$292,0))*$E278),Keys!$C$5),Keys!$C$4)</f>
        <v>1.0016</v>
      </c>
      <c r="AB278">
        <f>IF($D278=1,ROUND(Keys!$C$2/(INDEX(Src_SYSHECF_nuclear!$Z$5:$Z$292,MATCH($C278,Src_SYSHECF_nuclear!$C$5:$C$292,0))*$E278),Keys!$C$5),Keys!$C$4)</f>
        <v>1.0016</v>
      </c>
      <c r="AC278">
        <f>IF($D278=1,ROUND(Keys!$C$2/(INDEX(Src_SYSHECF_nuclear!$AA$5:$AA$292,MATCH($C278,Src_SYSHECF_nuclear!$C$5:$C$292,0))*$E278),Keys!$C$5),Keys!$C$4)</f>
        <v>1.0016</v>
      </c>
      <c r="AE278">
        <f>IF($D278=1,IF(ABS(INDEX(Src_SYSHECF_nuclear!$D$5:$D$292,MATCH($C278,Src_SYSHECF_nuclear!$C$5:$C$292,0))*$E278*F278-Keys!$C$2)&gt;Keys!$C$6,1,0),0)</f>
        <v>0</v>
      </c>
    </row>
    <row r="279" spans="1:31" x14ac:dyDescent="0.45">
      <c r="A279" t="s">
        <v>98</v>
      </c>
      <c r="B279" t="s">
        <v>425</v>
      </c>
      <c r="C279" t="str">
        <f t="shared" si="4"/>
        <v>SC|Spring</v>
      </c>
      <c r="D279">
        <f>INDEX(Src_BHRaSYC_nuclear!$HF$5:$HF$52,MATCH($A279,Src_BHRaSYC_nuclear!$A$5:$A$52,0))</f>
        <v>1</v>
      </c>
      <c r="E279">
        <f>INDEX(Src_HYECFCA_nuclear!$B$5:$B$52,MATCH($A279,Src_HYECFCA_nuclear!$A$5:$A$52,0))</f>
        <v>1.02277</v>
      </c>
      <c r="F279">
        <f>IF($D279=1,ROUND(Keys!$C$2/(INDEX(Src_SYSHECF_nuclear!$D$5:$D$292,MATCH($C279,Src_SYSHECF_nuclear!$C$5:$C$292,0))*$E279),Keys!$C$5),Keys!$C$4)</f>
        <v>1.0016</v>
      </c>
      <c r="G279">
        <f>IF($D279=1,ROUND(Keys!$C$2/(INDEX(Src_SYSHECF_nuclear!$E$5:$E$292,MATCH($C279,Src_SYSHECF_nuclear!$C$5:$C$292,0))*$E279),Keys!$C$5),Keys!$C$4)</f>
        <v>1.0016</v>
      </c>
      <c r="H279">
        <f>IF($D279=1,ROUND(Keys!$C$2/(INDEX(Src_SYSHECF_nuclear!$F$5:$F$292,MATCH($C279,Src_SYSHECF_nuclear!$C$5:$C$292,0))*$E279),Keys!$C$5),Keys!$C$4)</f>
        <v>1.0016</v>
      </c>
      <c r="I279">
        <f>IF($D279=1,ROUND(Keys!$C$2/(INDEX(Src_SYSHECF_nuclear!$G$5:$G$292,MATCH($C279,Src_SYSHECF_nuclear!$C$5:$C$292,0))*$E279),Keys!$C$5),Keys!$C$4)</f>
        <v>1.0016</v>
      </c>
      <c r="J279">
        <f>IF($D279=1,ROUND(Keys!$C$2/(INDEX(Src_SYSHECF_nuclear!$H$5:$H$292,MATCH($C279,Src_SYSHECF_nuclear!$C$5:$C$292,0))*$E279),Keys!$C$5),Keys!$C$4)</f>
        <v>1.0016</v>
      </c>
      <c r="K279">
        <f>IF($D279=1,ROUND(Keys!$C$2/(INDEX(Src_SYSHECF_nuclear!$I$5:$I$292,MATCH($C279,Src_SYSHECF_nuclear!$C$5:$C$292,0))*$E279),Keys!$C$5),Keys!$C$4)</f>
        <v>1.0016</v>
      </c>
      <c r="L279">
        <f>IF($D279=1,ROUND(Keys!$C$2/(INDEX(Src_SYSHECF_nuclear!$J$5:$J$292,MATCH($C279,Src_SYSHECF_nuclear!$C$5:$C$292,0))*$E279),Keys!$C$5),Keys!$C$4)</f>
        <v>1.0022</v>
      </c>
      <c r="M279">
        <f>IF($D279=1,ROUND(Keys!$C$2/(INDEX(Src_SYSHECF_nuclear!$K$5:$K$292,MATCH($C279,Src_SYSHECF_nuclear!$C$5:$C$292,0))*$E279),Keys!$C$5),Keys!$C$4)</f>
        <v>1.0017</v>
      </c>
      <c r="N279">
        <f>IF($D279=1,ROUND(Keys!$C$2/(INDEX(Src_SYSHECF_nuclear!$L$5:$L$292,MATCH($C279,Src_SYSHECF_nuclear!$C$5:$C$292,0))*$E279),Keys!$C$5),Keys!$C$4)</f>
        <v>1.0016</v>
      </c>
      <c r="O279">
        <f>IF($D279=1,ROUND(Keys!$C$2/(INDEX(Src_SYSHECF_nuclear!$M$5:$M$292,MATCH($C279,Src_SYSHECF_nuclear!$C$5:$C$292,0))*$E279),Keys!$C$5),Keys!$C$4)</f>
        <v>1.0016</v>
      </c>
      <c r="P279">
        <f>IF($D279=1,ROUND(Keys!$C$2/(INDEX(Src_SYSHECF_nuclear!$N$5:$N$292,MATCH($C279,Src_SYSHECF_nuclear!$C$5:$C$292,0))*$E279),Keys!$C$5),Keys!$C$4)</f>
        <v>1.0016</v>
      </c>
      <c r="Q279">
        <f>IF($D279=1,ROUND(Keys!$C$2/(INDEX(Src_SYSHECF_nuclear!$O$5:$O$292,MATCH($C279,Src_SYSHECF_nuclear!$C$5:$C$292,0))*$E279),Keys!$C$5),Keys!$C$4)</f>
        <v>1.0016</v>
      </c>
      <c r="R279">
        <f>IF($D279=1,ROUND(Keys!$C$2/(INDEX(Src_SYSHECF_nuclear!$P$5:$P$292,MATCH($C279,Src_SYSHECF_nuclear!$C$5:$C$292,0))*$E279),Keys!$C$5),Keys!$C$4)</f>
        <v>1.0016</v>
      </c>
      <c r="S279">
        <f>IF($D279=1,ROUND(Keys!$C$2/(INDEX(Src_SYSHECF_nuclear!$Q$5:$Q$292,MATCH($C279,Src_SYSHECF_nuclear!$C$5:$C$292,0))*$E279),Keys!$C$5),Keys!$C$4)</f>
        <v>1.0016</v>
      </c>
      <c r="T279">
        <f>IF($D279=1,ROUND(Keys!$C$2/(INDEX(Src_SYSHECF_nuclear!$R$5:$R$292,MATCH($C279,Src_SYSHECF_nuclear!$C$5:$C$292,0))*$E279),Keys!$C$5),Keys!$C$4)</f>
        <v>1.0016</v>
      </c>
      <c r="U279">
        <f>IF($D279=1,ROUND(Keys!$C$2/(INDEX(Src_SYSHECF_nuclear!$S$5:$S$292,MATCH($C279,Src_SYSHECF_nuclear!$C$5:$C$292,0))*$E279),Keys!$C$5),Keys!$C$4)</f>
        <v>1.0016</v>
      </c>
      <c r="V279">
        <f>IF($D279=1,ROUND(Keys!$C$2/(INDEX(Src_SYSHECF_nuclear!$T$5:$T$292,MATCH($C279,Src_SYSHECF_nuclear!$C$5:$C$292,0))*$E279),Keys!$C$5),Keys!$C$4)</f>
        <v>1.0016</v>
      </c>
      <c r="W279">
        <f>IF($D279=1,ROUND(Keys!$C$2/(INDEX(Src_SYSHECF_nuclear!$U$5:$U$292,MATCH($C279,Src_SYSHECF_nuclear!$C$5:$C$292,0))*$E279),Keys!$C$5),Keys!$C$4)</f>
        <v>1.0016</v>
      </c>
      <c r="X279">
        <f>IF($D279=1,ROUND(Keys!$C$2/(INDEX(Src_SYSHECF_nuclear!$V$5:$V$292,MATCH($C279,Src_SYSHECF_nuclear!$C$5:$C$292,0))*$E279),Keys!$C$5),Keys!$C$4)</f>
        <v>1.0016</v>
      </c>
      <c r="Y279">
        <f>IF($D279=1,ROUND(Keys!$C$2/(INDEX(Src_SYSHECF_nuclear!$W$5:$W$292,MATCH($C279,Src_SYSHECF_nuclear!$C$5:$C$292,0))*$E279),Keys!$C$5),Keys!$C$4)</f>
        <v>1.0016</v>
      </c>
      <c r="Z279">
        <f>IF($D279=1,ROUND(Keys!$C$2/(INDEX(Src_SYSHECF_nuclear!$X$5:$X$292,MATCH($C279,Src_SYSHECF_nuclear!$C$5:$C$292,0))*$E279),Keys!$C$5),Keys!$C$4)</f>
        <v>1.0016</v>
      </c>
      <c r="AA279">
        <f>IF($D279=1,ROUND(Keys!$C$2/(INDEX(Src_SYSHECF_nuclear!$Y$5:$Y$292,MATCH($C279,Src_SYSHECF_nuclear!$C$5:$C$292,0))*$E279),Keys!$C$5),Keys!$C$4)</f>
        <v>1.0016</v>
      </c>
      <c r="AB279">
        <f>IF($D279=1,ROUND(Keys!$C$2/(INDEX(Src_SYSHECF_nuclear!$Z$5:$Z$292,MATCH($C279,Src_SYSHECF_nuclear!$C$5:$C$292,0))*$E279),Keys!$C$5),Keys!$C$4)</f>
        <v>1.0016</v>
      </c>
      <c r="AC279">
        <f>IF($D279=1,ROUND(Keys!$C$2/(INDEX(Src_SYSHECF_nuclear!$AA$5:$AA$292,MATCH($C279,Src_SYSHECF_nuclear!$C$5:$C$292,0))*$E279),Keys!$C$5),Keys!$C$4)</f>
        <v>1.0016</v>
      </c>
      <c r="AE279">
        <f>IF($D279=1,IF(ABS(INDEX(Src_SYSHECF_nuclear!$D$5:$D$292,MATCH($C279,Src_SYSHECF_nuclear!$C$5:$C$292,0))*$E279*F279-Keys!$C$2)&gt;Keys!$C$6,1,0),0)</f>
        <v>0</v>
      </c>
    </row>
    <row r="280" spans="1:31" x14ac:dyDescent="0.45">
      <c r="A280" t="s">
        <v>98</v>
      </c>
      <c r="B280" t="s">
        <v>426</v>
      </c>
      <c r="C280" t="str">
        <f t="shared" si="4"/>
        <v>SC|Summer</v>
      </c>
      <c r="D280">
        <f>INDEX(Src_BHRaSYC_nuclear!$HF$5:$HF$52,MATCH($A280,Src_BHRaSYC_nuclear!$A$5:$A$52,0))</f>
        <v>1</v>
      </c>
      <c r="E280">
        <f>INDEX(Src_HYECFCA_nuclear!$B$5:$B$52,MATCH($A280,Src_HYECFCA_nuclear!$A$5:$A$52,0))</f>
        <v>1.02277</v>
      </c>
      <c r="F280">
        <f>IF($D280=1,ROUND(Keys!$C$2/(INDEX(Src_SYSHECF_nuclear!$D$5:$D$292,MATCH($C280,Src_SYSHECF_nuclear!$C$5:$C$292,0))*$E280),Keys!$C$5),Keys!$C$4)</f>
        <v>1.0016</v>
      </c>
      <c r="G280">
        <f>IF($D280=1,ROUND(Keys!$C$2/(INDEX(Src_SYSHECF_nuclear!$E$5:$E$292,MATCH($C280,Src_SYSHECF_nuclear!$C$5:$C$292,0))*$E280),Keys!$C$5),Keys!$C$4)</f>
        <v>1.0016</v>
      </c>
      <c r="H280">
        <f>IF($D280=1,ROUND(Keys!$C$2/(INDEX(Src_SYSHECF_nuclear!$F$5:$F$292,MATCH($C280,Src_SYSHECF_nuclear!$C$5:$C$292,0))*$E280),Keys!$C$5),Keys!$C$4)</f>
        <v>1.0016</v>
      </c>
      <c r="I280">
        <f>IF($D280=1,ROUND(Keys!$C$2/(INDEX(Src_SYSHECF_nuclear!$G$5:$G$292,MATCH($C280,Src_SYSHECF_nuclear!$C$5:$C$292,0))*$E280),Keys!$C$5),Keys!$C$4)</f>
        <v>1.0016</v>
      </c>
      <c r="J280">
        <f>IF($D280=1,ROUND(Keys!$C$2/(INDEX(Src_SYSHECF_nuclear!$H$5:$H$292,MATCH($C280,Src_SYSHECF_nuclear!$C$5:$C$292,0))*$E280),Keys!$C$5),Keys!$C$4)</f>
        <v>1.0016</v>
      </c>
      <c r="K280">
        <f>IF($D280=1,ROUND(Keys!$C$2/(INDEX(Src_SYSHECF_nuclear!$I$5:$I$292,MATCH($C280,Src_SYSHECF_nuclear!$C$5:$C$292,0))*$E280),Keys!$C$5),Keys!$C$4)</f>
        <v>1.0016</v>
      </c>
      <c r="L280">
        <f>IF($D280=1,ROUND(Keys!$C$2/(INDEX(Src_SYSHECF_nuclear!$J$5:$J$292,MATCH($C280,Src_SYSHECF_nuclear!$C$5:$C$292,0))*$E280),Keys!$C$5),Keys!$C$4)</f>
        <v>1.004</v>
      </c>
      <c r="M280">
        <f>IF($D280=1,ROUND(Keys!$C$2/(INDEX(Src_SYSHECF_nuclear!$K$5:$K$292,MATCH($C280,Src_SYSHECF_nuclear!$C$5:$C$292,0))*$E280),Keys!$C$5),Keys!$C$4)</f>
        <v>1.0024</v>
      </c>
      <c r="N280">
        <f>IF($D280=1,ROUND(Keys!$C$2/(INDEX(Src_SYSHECF_nuclear!$L$5:$L$292,MATCH($C280,Src_SYSHECF_nuclear!$C$5:$C$292,0))*$E280),Keys!$C$5),Keys!$C$4)</f>
        <v>1.0016</v>
      </c>
      <c r="O280">
        <f>IF($D280=1,ROUND(Keys!$C$2/(INDEX(Src_SYSHECF_nuclear!$M$5:$M$292,MATCH($C280,Src_SYSHECF_nuclear!$C$5:$C$292,0))*$E280),Keys!$C$5),Keys!$C$4)</f>
        <v>1.0016</v>
      </c>
      <c r="P280">
        <f>IF($D280=1,ROUND(Keys!$C$2/(INDEX(Src_SYSHECF_nuclear!$N$5:$N$292,MATCH($C280,Src_SYSHECF_nuclear!$C$5:$C$292,0))*$E280),Keys!$C$5),Keys!$C$4)</f>
        <v>1.0016</v>
      </c>
      <c r="Q280">
        <f>IF($D280=1,ROUND(Keys!$C$2/(INDEX(Src_SYSHECF_nuclear!$O$5:$O$292,MATCH($C280,Src_SYSHECF_nuclear!$C$5:$C$292,0))*$E280),Keys!$C$5),Keys!$C$4)</f>
        <v>1.0016</v>
      </c>
      <c r="R280">
        <f>IF($D280=1,ROUND(Keys!$C$2/(INDEX(Src_SYSHECF_nuclear!$P$5:$P$292,MATCH($C280,Src_SYSHECF_nuclear!$C$5:$C$292,0))*$E280),Keys!$C$5),Keys!$C$4)</f>
        <v>1.0016</v>
      </c>
      <c r="S280">
        <f>IF($D280=1,ROUND(Keys!$C$2/(INDEX(Src_SYSHECF_nuclear!$Q$5:$Q$292,MATCH($C280,Src_SYSHECF_nuclear!$C$5:$C$292,0))*$E280),Keys!$C$5),Keys!$C$4)</f>
        <v>1.0016</v>
      </c>
      <c r="T280">
        <f>IF($D280=1,ROUND(Keys!$C$2/(INDEX(Src_SYSHECF_nuclear!$R$5:$R$292,MATCH($C280,Src_SYSHECF_nuclear!$C$5:$C$292,0))*$E280),Keys!$C$5),Keys!$C$4)</f>
        <v>1.0016</v>
      </c>
      <c r="U280">
        <f>IF($D280=1,ROUND(Keys!$C$2/(INDEX(Src_SYSHECF_nuclear!$S$5:$S$292,MATCH($C280,Src_SYSHECF_nuclear!$C$5:$C$292,0))*$E280),Keys!$C$5),Keys!$C$4)</f>
        <v>1.0016</v>
      </c>
      <c r="V280">
        <f>IF($D280=1,ROUND(Keys!$C$2/(INDEX(Src_SYSHECF_nuclear!$T$5:$T$292,MATCH($C280,Src_SYSHECF_nuclear!$C$5:$C$292,0))*$E280),Keys!$C$5),Keys!$C$4)</f>
        <v>1.0016</v>
      </c>
      <c r="W280">
        <f>IF($D280=1,ROUND(Keys!$C$2/(INDEX(Src_SYSHECF_nuclear!$U$5:$U$292,MATCH($C280,Src_SYSHECF_nuclear!$C$5:$C$292,0))*$E280),Keys!$C$5),Keys!$C$4)</f>
        <v>1.0016</v>
      </c>
      <c r="X280">
        <f>IF($D280=1,ROUND(Keys!$C$2/(INDEX(Src_SYSHECF_nuclear!$V$5:$V$292,MATCH($C280,Src_SYSHECF_nuclear!$C$5:$C$292,0))*$E280),Keys!$C$5),Keys!$C$4)</f>
        <v>1.0016</v>
      </c>
      <c r="Y280">
        <f>IF($D280=1,ROUND(Keys!$C$2/(INDEX(Src_SYSHECF_nuclear!$W$5:$W$292,MATCH($C280,Src_SYSHECF_nuclear!$C$5:$C$292,0))*$E280),Keys!$C$5),Keys!$C$4)</f>
        <v>1.0016</v>
      </c>
      <c r="Z280">
        <f>IF($D280=1,ROUND(Keys!$C$2/(INDEX(Src_SYSHECF_nuclear!$X$5:$X$292,MATCH($C280,Src_SYSHECF_nuclear!$C$5:$C$292,0))*$E280),Keys!$C$5),Keys!$C$4)</f>
        <v>1.0016</v>
      </c>
      <c r="AA280">
        <f>IF($D280=1,ROUND(Keys!$C$2/(INDEX(Src_SYSHECF_nuclear!$Y$5:$Y$292,MATCH($C280,Src_SYSHECF_nuclear!$C$5:$C$292,0))*$E280),Keys!$C$5),Keys!$C$4)</f>
        <v>1.0016</v>
      </c>
      <c r="AB280">
        <f>IF($D280=1,ROUND(Keys!$C$2/(INDEX(Src_SYSHECF_nuclear!$Z$5:$Z$292,MATCH($C280,Src_SYSHECF_nuclear!$C$5:$C$292,0))*$E280),Keys!$C$5),Keys!$C$4)</f>
        <v>1.0016</v>
      </c>
      <c r="AC280">
        <f>IF($D280=1,ROUND(Keys!$C$2/(INDEX(Src_SYSHECF_nuclear!$AA$5:$AA$292,MATCH($C280,Src_SYSHECF_nuclear!$C$5:$C$292,0))*$E280),Keys!$C$5),Keys!$C$4)</f>
        <v>1.0016</v>
      </c>
      <c r="AE280">
        <f>IF($D280=1,IF(ABS(INDEX(Src_SYSHECF_nuclear!$D$5:$D$292,MATCH($C280,Src_SYSHECF_nuclear!$C$5:$C$292,0))*$E280*F280-Keys!$C$2)&gt;Keys!$C$6,1,0),0)</f>
        <v>0</v>
      </c>
    </row>
    <row r="281" spans="1:31" x14ac:dyDescent="0.45">
      <c r="A281" t="s">
        <v>98</v>
      </c>
      <c r="B281" t="s">
        <v>427</v>
      </c>
      <c r="C281" t="str">
        <f t="shared" si="4"/>
        <v>SC|Fall</v>
      </c>
      <c r="D281">
        <f>INDEX(Src_BHRaSYC_nuclear!$HF$5:$HF$52,MATCH($A281,Src_BHRaSYC_nuclear!$A$5:$A$52,0))</f>
        <v>1</v>
      </c>
      <c r="E281">
        <f>INDEX(Src_HYECFCA_nuclear!$B$5:$B$52,MATCH($A281,Src_HYECFCA_nuclear!$A$5:$A$52,0))</f>
        <v>1.02277</v>
      </c>
      <c r="F281">
        <f>IF($D281=1,ROUND(Keys!$C$2/(INDEX(Src_SYSHECF_nuclear!$D$5:$D$292,MATCH($C281,Src_SYSHECF_nuclear!$C$5:$C$292,0))*$E281),Keys!$C$5),Keys!$C$4)</f>
        <v>1.0016</v>
      </c>
      <c r="G281">
        <f>IF($D281=1,ROUND(Keys!$C$2/(INDEX(Src_SYSHECF_nuclear!$E$5:$E$292,MATCH($C281,Src_SYSHECF_nuclear!$C$5:$C$292,0))*$E281),Keys!$C$5),Keys!$C$4)</f>
        <v>1.0016</v>
      </c>
      <c r="H281">
        <f>IF($D281=1,ROUND(Keys!$C$2/(INDEX(Src_SYSHECF_nuclear!$F$5:$F$292,MATCH($C281,Src_SYSHECF_nuclear!$C$5:$C$292,0))*$E281),Keys!$C$5),Keys!$C$4)</f>
        <v>1.0016</v>
      </c>
      <c r="I281">
        <f>IF($D281=1,ROUND(Keys!$C$2/(INDEX(Src_SYSHECF_nuclear!$G$5:$G$292,MATCH($C281,Src_SYSHECF_nuclear!$C$5:$C$292,0))*$E281),Keys!$C$5),Keys!$C$4)</f>
        <v>1.0016</v>
      </c>
      <c r="J281">
        <f>IF($D281=1,ROUND(Keys!$C$2/(INDEX(Src_SYSHECF_nuclear!$H$5:$H$292,MATCH($C281,Src_SYSHECF_nuclear!$C$5:$C$292,0))*$E281),Keys!$C$5),Keys!$C$4)</f>
        <v>1.0016</v>
      </c>
      <c r="K281">
        <f>IF($D281=1,ROUND(Keys!$C$2/(INDEX(Src_SYSHECF_nuclear!$I$5:$I$292,MATCH($C281,Src_SYSHECF_nuclear!$C$5:$C$292,0))*$E281),Keys!$C$5),Keys!$C$4)</f>
        <v>1.0016</v>
      </c>
      <c r="L281">
        <f>IF($D281=1,ROUND(Keys!$C$2/(INDEX(Src_SYSHECF_nuclear!$J$5:$J$292,MATCH($C281,Src_SYSHECF_nuclear!$C$5:$C$292,0))*$E281),Keys!$C$5),Keys!$C$4)</f>
        <v>1.0016</v>
      </c>
      <c r="M281">
        <f>IF($D281=1,ROUND(Keys!$C$2/(INDEX(Src_SYSHECF_nuclear!$K$5:$K$292,MATCH($C281,Src_SYSHECF_nuclear!$C$5:$C$292,0))*$E281),Keys!$C$5),Keys!$C$4)</f>
        <v>1.0016</v>
      </c>
      <c r="N281">
        <f>IF($D281=1,ROUND(Keys!$C$2/(INDEX(Src_SYSHECF_nuclear!$L$5:$L$292,MATCH($C281,Src_SYSHECF_nuclear!$C$5:$C$292,0))*$E281),Keys!$C$5),Keys!$C$4)</f>
        <v>1.0016</v>
      </c>
      <c r="O281">
        <f>IF($D281=1,ROUND(Keys!$C$2/(INDEX(Src_SYSHECF_nuclear!$M$5:$M$292,MATCH($C281,Src_SYSHECF_nuclear!$C$5:$C$292,0))*$E281),Keys!$C$5),Keys!$C$4)</f>
        <v>1.0016</v>
      </c>
      <c r="P281">
        <f>IF($D281=1,ROUND(Keys!$C$2/(INDEX(Src_SYSHECF_nuclear!$N$5:$N$292,MATCH($C281,Src_SYSHECF_nuclear!$C$5:$C$292,0))*$E281),Keys!$C$5),Keys!$C$4)</f>
        <v>1.0016</v>
      </c>
      <c r="Q281">
        <f>IF($D281=1,ROUND(Keys!$C$2/(INDEX(Src_SYSHECF_nuclear!$O$5:$O$292,MATCH($C281,Src_SYSHECF_nuclear!$C$5:$C$292,0))*$E281),Keys!$C$5),Keys!$C$4)</f>
        <v>1.0016</v>
      </c>
      <c r="R281">
        <f>IF($D281=1,ROUND(Keys!$C$2/(INDEX(Src_SYSHECF_nuclear!$P$5:$P$292,MATCH($C281,Src_SYSHECF_nuclear!$C$5:$C$292,0))*$E281),Keys!$C$5),Keys!$C$4)</f>
        <v>1.0016</v>
      </c>
      <c r="S281">
        <f>IF($D281=1,ROUND(Keys!$C$2/(INDEX(Src_SYSHECF_nuclear!$Q$5:$Q$292,MATCH($C281,Src_SYSHECF_nuclear!$C$5:$C$292,0))*$E281),Keys!$C$5),Keys!$C$4)</f>
        <v>1.0016</v>
      </c>
      <c r="T281">
        <f>IF($D281=1,ROUND(Keys!$C$2/(INDEX(Src_SYSHECF_nuclear!$R$5:$R$292,MATCH($C281,Src_SYSHECF_nuclear!$C$5:$C$292,0))*$E281),Keys!$C$5),Keys!$C$4)</f>
        <v>1.0016</v>
      </c>
      <c r="U281">
        <f>IF($D281=1,ROUND(Keys!$C$2/(INDEX(Src_SYSHECF_nuclear!$S$5:$S$292,MATCH($C281,Src_SYSHECF_nuclear!$C$5:$C$292,0))*$E281),Keys!$C$5),Keys!$C$4)</f>
        <v>1.0016</v>
      </c>
      <c r="V281">
        <f>IF($D281=1,ROUND(Keys!$C$2/(INDEX(Src_SYSHECF_nuclear!$T$5:$T$292,MATCH($C281,Src_SYSHECF_nuclear!$C$5:$C$292,0))*$E281),Keys!$C$5),Keys!$C$4)</f>
        <v>1.0016</v>
      </c>
      <c r="W281">
        <f>IF($D281=1,ROUND(Keys!$C$2/(INDEX(Src_SYSHECF_nuclear!$U$5:$U$292,MATCH($C281,Src_SYSHECF_nuclear!$C$5:$C$292,0))*$E281),Keys!$C$5),Keys!$C$4)</f>
        <v>1.0016</v>
      </c>
      <c r="X281">
        <f>IF($D281=1,ROUND(Keys!$C$2/(INDEX(Src_SYSHECF_nuclear!$V$5:$V$292,MATCH($C281,Src_SYSHECF_nuclear!$C$5:$C$292,0))*$E281),Keys!$C$5),Keys!$C$4)</f>
        <v>1.0016</v>
      </c>
      <c r="Y281">
        <f>IF($D281=1,ROUND(Keys!$C$2/(INDEX(Src_SYSHECF_nuclear!$W$5:$W$292,MATCH($C281,Src_SYSHECF_nuclear!$C$5:$C$292,0))*$E281),Keys!$C$5),Keys!$C$4)</f>
        <v>1.0016</v>
      </c>
      <c r="Z281">
        <f>IF($D281=1,ROUND(Keys!$C$2/(INDEX(Src_SYSHECF_nuclear!$X$5:$X$292,MATCH($C281,Src_SYSHECF_nuclear!$C$5:$C$292,0))*$E281),Keys!$C$5),Keys!$C$4)</f>
        <v>1.0016</v>
      </c>
      <c r="AA281">
        <f>IF($D281=1,ROUND(Keys!$C$2/(INDEX(Src_SYSHECF_nuclear!$Y$5:$Y$292,MATCH($C281,Src_SYSHECF_nuclear!$C$5:$C$292,0))*$E281),Keys!$C$5),Keys!$C$4)</f>
        <v>1.0016</v>
      </c>
      <c r="AB281">
        <f>IF($D281=1,ROUND(Keys!$C$2/(INDEX(Src_SYSHECF_nuclear!$Z$5:$Z$292,MATCH($C281,Src_SYSHECF_nuclear!$C$5:$C$292,0))*$E281),Keys!$C$5),Keys!$C$4)</f>
        <v>1.0016</v>
      </c>
      <c r="AC281">
        <f>IF($D281=1,ROUND(Keys!$C$2/(INDEX(Src_SYSHECF_nuclear!$AA$5:$AA$292,MATCH($C281,Src_SYSHECF_nuclear!$C$5:$C$292,0))*$E281),Keys!$C$5),Keys!$C$4)</f>
        <v>1.0016</v>
      </c>
      <c r="AE281">
        <f>IF($D281=1,IF(ABS(INDEX(Src_SYSHECF_nuclear!$D$5:$D$292,MATCH($C281,Src_SYSHECF_nuclear!$C$5:$C$292,0))*$E281*F281-Keys!$C$2)&gt;Keys!$C$6,1,0),0)</f>
        <v>0</v>
      </c>
    </row>
    <row r="282" spans="1:31" x14ac:dyDescent="0.45">
      <c r="A282" t="s">
        <v>98</v>
      </c>
      <c r="B282" t="s">
        <v>428</v>
      </c>
      <c r="C282" t="str">
        <f t="shared" si="4"/>
        <v>SC|Summer Peak</v>
      </c>
      <c r="D282">
        <f>INDEX(Src_BHRaSYC_nuclear!$HF$5:$HF$52,MATCH($A282,Src_BHRaSYC_nuclear!$A$5:$A$52,0))</f>
        <v>1</v>
      </c>
      <c r="E282">
        <f>INDEX(Src_HYECFCA_nuclear!$B$5:$B$52,MATCH($A282,Src_HYECFCA_nuclear!$A$5:$A$52,0))</f>
        <v>1.02277</v>
      </c>
      <c r="F282">
        <f>IF($D282=1,ROUND(Keys!$C$2/(INDEX(Src_SYSHECF_nuclear!$D$5:$D$292,MATCH($C282,Src_SYSHECF_nuclear!$C$5:$C$292,0))*$E282),Keys!$C$5),Keys!$C$4)</f>
        <v>1.0016</v>
      </c>
      <c r="G282">
        <f>IF($D282=1,ROUND(Keys!$C$2/(INDEX(Src_SYSHECF_nuclear!$E$5:$E$292,MATCH($C282,Src_SYSHECF_nuclear!$C$5:$C$292,0))*$E282),Keys!$C$5),Keys!$C$4)</f>
        <v>1.0016</v>
      </c>
      <c r="H282">
        <f>IF($D282=1,ROUND(Keys!$C$2/(INDEX(Src_SYSHECF_nuclear!$F$5:$F$292,MATCH($C282,Src_SYSHECF_nuclear!$C$5:$C$292,0))*$E282),Keys!$C$5),Keys!$C$4)</f>
        <v>1.0016</v>
      </c>
      <c r="I282">
        <f>IF($D282=1,ROUND(Keys!$C$2/(INDEX(Src_SYSHECF_nuclear!$G$5:$G$292,MATCH($C282,Src_SYSHECF_nuclear!$C$5:$C$292,0))*$E282),Keys!$C$5),Keys!$C$4)</f>
        <v>1.0016</v>
      </c>
      <c r="J282">
        <f>IF($D282=1,ROUND(Keys!$C$2/(INDEX(Src_SYSHECF_nuclear!$H$5:$H$292,MATCH($C282,Src_SYSHECF_nuclear!$C$5:$C$292,0))*$E282),Keys!$C$5),Keys!$C$4)</f>
        <v>1.0016</v>
      </c>
      <c r="K282">
        <f>IF($D282=1,ROUND(Keys!$C$2/(INDEX(Src_SYSHECF_nuclear!$I$5:$I$292,MATCH($C282,Src_SYSHECF_nuclear!$C$5:$C$292,0))*$E282),Keys!$C$5),Keys!$C$4)</f>
        <v>1.0016</v>
      </c>
      <c r="L282">
        <f>IF($D282=1,ROUND(Keys!$C$2/(INDEX(Src_SYSHECF_nuclear!$J$5:$J$292,MATCH($C282,Src_SYSHECF_nuclear!$C$5:$C$292,0))*$E282),Keys!$C$5),Keys!$C$4)</f>
        <v>1.0016</v>
      </c>
      <c r="M282">
        <f>IF($D282=1,ROUND(Keys!$C$2/(INDEX(Src_SYSHECF_nuclear!$K$5:$K$292,MATCH($C282,Src_SYSHECF_nuclear!$C$5:$C$292,0))*$E282),Keys!$C$5),Keys!$C$4)</f>
        <v>1.0016</v>
      </c>
      <c r="N282">
        <f>IF($D282=1,ROUND(Keys!$C$2/(INDEX(Src_SYSHECF_nuclear!$L$5:$L$292,MATCH($C282,Src_SYSHECF_nuclear!$C$5:$C$292,0))*$E282),Keys!$C$5),Keys!$C$4)</f>
        <v>1.0016</v>
      </c>
      <c r="O282">
        <f>IF($D282=1,ROUND(Keys!$C$2/(INDEX(Src_SYSHECF_nuclear!$M$5:$M$292,MATCH($C282,Src_SYSHECF_nuclear!$C$5:$C$292,0))*$E282),Keys!$C$5),Keys!$C$4)</f>
        <v>1.0016</v>
      </c>
      <c r="P282">
        <f>IF($D282=1,ROUND(Keys!$C$2/(INDEX(Src_SYSHECF_nuclear!$N$5:$N$292,MATCH($C282,Src_SYSHECF_nuclear!$C$5:$C$292,0))*$E282),Keys!$C$5),Keys!$C$4)</f>
        <v>1.0016</v>
      </c>
      <c r="Q282">
        <f>IF($D282=1,ROUND(Keys!$C$2/(INDEX(Src_SYSHECF_nuclear!$O$5:$O$292,MATCH($C282,Src_SYSHECF_nuclear!$C$5:$C$292,0))*$E282),Keys!$C$5),Keys!$C$4)</f>
        <v>1.0016</v>
      </c>
      <c r="R282">
        <f>IF($D282=1,ROUND(Keys!$C$2/(INDEX(Src_SYSHECF_nuclear!$P$5:$P$292,MATCH($C282,Src_SYSHECF_nuclear!$C$5:$C$292,0))*$E282),Keys!$C$5),Keys!$C$4)</f>
        <v>1.0016</v>
      </c>
      <c r="S282">
        <f>IF($D282=1,ROUND(Keys!$C$2/(INDEX(Src_SYSHECF_nuclear!$Q$5:$Q$292,MATCH($C282,Src_SYSHECF_nuclear!$C$5:$C$292,0))*$E282),Keys!$C$5),Keys!$C$4)</f>
        <v>1.0016</v>
      </c>
      <c r="T282">
        <f>IF($D282=1,ROUND(Keys!$C$2/(INDEX(Src_SYSHECF_nuclear!$R$5:$R$292,MATCH($C282,Src_SYSHECF_nuclear!$C$5:$C$292,0))*$E282),Keys!$C$5),Keys!$C$4)</f>
        <v>1.0016</v>
      </c>
      <c r="U282">
        <f>IF($D282=1,ROUND(Keys!$C$2/(INDEX(Src_SYSHECF_nuclear!$S$5:$S$292,MATCH($C282,Src_SYSHECF_nuclear!$C$5:$C$292,0))*$E282),Keys!$C$5),Keys!$C$4)</f>
        <v>1.0016</v>
      </c>
      <c r="V282">
        <f>IF($D282=1,ROUND(Keys!$C$2/(INDEX(Src_SYSHECF_nuclear!$T$5:$T$292,MATCH($C282,Src_SYSHECF_nuclear!$C$5:$C$292,0))*$E282),Keys!$C$5),Keys!$C$4)</f>
        <v>1.0016</v>
      </c>
      <c r="W282">
        <f>IF($D282=1,ROUND(Keys!$C$2/(INDEX(Src_SYSHECF_nuclear!$U$5:$U$292,MATCH($C282,Src_SYSHECF_nuclear!$C$5:$C$292,0))*$E282),Keys!$C$5),Keys!$C$4)</f>
        <v>1.0016</v>
      </c>
      <c r="X282">
        <f>IF($D282=1,ROUND(Keys!$C$2/(INDEX(Src_SYSHECF_nuclear!$V$5:$V$292,MATCH($C282,Src_SYSHECF_nuclear!$C$5:$C$292,0))*$E282),Keys!$C$5),Keys!$C$4)</f>
        <v>1.0016</v>
      </c>
      <c r="Y282">
        <f>IF($D282=1,ROUND(Keys!$C$2/(INDEX(Src_SYSHECF_nuclear!$W$5:$W$292,MATCH($C282,Src_SYSHECF_nuclear!$C$5:$C$292,0))*$E282),Keys!$C$5),Keys!$C$4)</f>
        <v>1.0016</v>
      </c>
      <c r="Z282">
        <f>IF($D282=1,ROUND(Keys!$C$2/(INDEX(Src_SYSHECF_nuclear!$X$5:$X$292,MATCH($C282,Src_SYSHECF_nuclear!$C$5:$C$292,0))*$E282),Keys!$C$5),Keys!$C$4)</f>
        <v>1.0016</v>
      </c>
      <c r="AA282">
        <f>IF($D282=1,ROUND(Keys!$C$2/(INDEX(Src_SYSHECF_nuclear!$Y$5:$Y$292,MATCH($C282,Src_SYSHECF_nuclear!$C$5:$C$292,0))*$E282),Keys!$C$5),Keys!$C$4)</f>
        <v>1.0016</v>
      </c>
      <c r="AB282">
        <f>IF($D282=1,ROUND(Keys!$C$2/(INDEX(Src_SYSHECF_nuclear!$Z$5:$Z$292,MATCH($C282,Src_SYSHECF_nuclear!$C$5:$C$292,0))*$E282),Keys!$C$5),Keys!$C$4)</f>
        <v>1.0016</v>
      </c>
      <c r="AC282">
        <f>IF($D282=1,ROUND(Keys!$C$2/(INDEX(Src_SYSHECF_nuclear!$AA$5:$AA$292,MATCH($C282,Src_SYSHECF_nuclear!$C$5:$C$292,0))*$E282),Keys!$C$5),Keys!$C$4)</f>
        <v>1.0016</v>
      </c>
      <c r="AE282">
        <f>IF($D282=1,IF(ABS(INDEX(Src_SYSHECF_nuclear!$D$5:$D$292,MATCH($C282,Src_SYSHECF_nuclear!$C$5:$C$292,0))*$E282*F282-Keys!$C$2)&gt;Keys!$C$6,1,0),0)</f>
        <v>0</v>
      </c>
    </row>
    <row r="283" spans="1:31" x14ac:dyDescent="0.45">
      <c r="A283" t="s">
        <v>98</v>
      </c>
      <c r="B283" t="s">
        <v>429</v>
      </c>
      <c r="C283" t="str">
        <f t="shared" si="4"/>
        <v>SC|Winter Peak</v>
      </c>
      <c r="D283">
        <f>INDEX(Src_BHRaSYC_nuclear!$HF$5:$HF$52,MATCH($A283,Src_BHRaSYC_nuclear!$A$5:$A$52,0))</f>
        <v>1</v>
      </c>
      <c r="E283">
        <f>INDEX(Src_HYECFCA_nuclear!$B$5:$B$52,MATCH($A283,Src_HYECFCA_nuclear!$A$5:$A$52,0))</f>
        <v>1.02277</v>
      </c>
      <c r="F283">
        <f>IF($D283=1,ROUND(Keys!$C$2/(INDEX(Src_SYSHECF_nuclear!$D$5:$D$292,MATCH($C283,Src_SYSHECF_nuclear!$C$5:$C$292,0))*$E283),Keys!$C$5),Keys!$C$4)</f>
        <v>1.0016</v>
      </c>
      <c r="G283">
        <f>IF($D283=1,ROUND(Keys!$C$2/(INDEX(Src_SYSHECF_nuclear!$E$5:$E$292,MATCH($C283,Src_SYSHECF_nuclear!$C$5:$C$292,0))*$E283),Keys!$C$5),Keys!$C$4)</f>
        <v>1.0016</v>
      </c>
      <c r="H283">
        <f>IF($D283=1,ROUND(Keys!$C$2/(INDEX(Src_SYSHECF_nuclear!$F$5:$F$292,MATCH($C283,Src_SYSHECF_nuclear!$C$5:$C$292,0))*$E283),Keys!$C$5),Keys!$C$4)</f>
        <v>1.0016</v>
      </c>
      <c r="I283">
        <f>IF($D283=1,ROUND(Keys!$C$2/(INDEX(Src_SYSHECF_nuclear!$G$5:$G$292,MATCH($C283,Src_SYSHECF_nuclear!$C$5:$C$292,0))*$E283),Keys!$C$5),Keys!$C$4)</f>
        <v>1.0016</v>
      </c>
      <c r="J283">
        <f>IF($D283=1,ROUND(Keys!$C$2/(INDEX(Src_SYSHECF_nuclear!$H$5:$H$292,MATCH($C283,Src_SYSHECF_nuclear!$C$5:$C$292,0))*$E283),Keys!$C$5),Keys!$C$4)</f>
        <v>1.0016</v>
      </c>
      <c r="K283">
        <f>IF($D283=1,ROUND(Keys!$C$2/(INDEX(Src_SYSHECF_nuclear!$I$5:$I$292,MATCH($C283,Src_SYSHECF_nuclear!$C$5:$C$292,0))*$E283),Keys!$C$5),Keys!$C$4)</f>
        <v>1.0016</v>
      </c>
      <c r="L283">
        <f>IF($D283=1,ROUND(Keys!$C$2/(INDEX(Src_SYSHECF_nuclear!$J$5:$J$292,MATCH($C283,Src_SYSHECF_nuclear!$C$5:$C$292,0))*$E283),Keys!$C$5),Keys!$C$4)</f>
        <v>1.0016</v>
      </c>
      <c r="M283">
        <f>IF($D283=1,ROUND(Keys!$C$2/(INDEX(Src_SYSHECF_nuclear!$K$5:$K$292,MATCH($C283,Src_SYSHECF_nuclear!$C$5:$C$292,0))*$E283),Keys!$C$5),Keys!$C$4)</f>
        <v>1.0016</v>
      </c>
      <c r="N283">
        <f>IF($D283=1,ROUND(Keys!$C$2/(INDEX(Src_SYSHECF_nuclear!$L$5:$L$292,MATCH($C283,Src_SYSHECF_nuclear!$C$5:$C$292,0))*$E283),Keys!$C$5),Keys!$C$4)</f>
        <v>1.0016</v>
      </c>
      <c r="O283">
        <f>IF($D283=1,ROUND(Keys!$C$2/(INDEX(Src_SYSHECF_nuclear!$M$5:$M$292,MATCH($C283,Src_SYSHECF_nuclear!$C$5:$C$292,0))*$E283),Keys!$C$5),Keys!$C$4)</f>
        <v>1.0016</v>
      </c>
      <c r="P283">
        <f>IF($D283=1,ROUND(Keys!$C$2/(INDEX(Src_SYSHECF_nuclear!$N$5:$N$292,MATCH($C283,Src_SYSHECF_nuclear!$C$5:$C$292,0))*$E283),Keys!$C$5),Keys!$C$4)</f>
        <v>1.0016</v>
      </c>
      <c r="Q283">
        <f>IF($D283=1,ROUND(Keys!$C$2/(INDEX(Src_SYSHECF_nuclear!$O$5:$O$292,MATCH($C283,Src_SYSHECF_nuclear!$C$5:$C$292,0))*$E283),Keys!$C$5),Keys!$C$4)</f>
        <v>1.0016</v>
      </c>
      <c r="R283">
        <f>IF($D283=1,ROUND(Keys!$C$2/(INDEX(Src_SYSHECF_nuclear!$P$5:$P$292,MATCH($C283,Src_SYSHECF_nuclear!$C$5:$C$292,0))*$E283),Keys!$C$5),Keys!$C$4)</f>
        <v>1.0016</v>
      </c>
      <c r="S283">
        <f>IF($D283=1,ROUND(Keys!$C$2/(INDEX(Src_SYSHECF_nuclear!$Q$5:$Q$292,MATCH($C283,Src_SYSHECF_nuclear!$C$5:$C$292,0))*$E283),Keys!$C$5),Keys!$C$4)</f>
        <v>1.0016</v>
      </c>
      <c r="T283">
        <f>IF($D283=1,ROUND(Keys!$C$2/(INDEX(Src_SYSHECF_nuclear!$R$5:$R$292,MATCH($C283,Src_SYSHECF_nuclear!$C$5:$C$292,0))*$E283),Keys!$C$5),Keys!$C$4)</f>
        <v>1.0016</v>
      </c>
      <c r="U283">
        <f>IF($D283=1,ROUND(Keys!$C$2/(INDEX(Src_SYSHECF_nuclear!$S$5:$S$292,MATCH($C283,Src_SYSHECF_nuclear!$C$5:$C$292,0))*$E283),Keys!$C$5),Keys!$C$4)</f>
        <v>1.0016</v>
      </c>
      <c r="V283">
        <f>IF($D283=1,ROUND(Keys!$C$2/(INDEX(Src_SYSHECF_nuclear!$T$5:$T$292,MATCH($C283,Src_SYSHECF_nuclear!$C$5:$C$292,0))*$E283),Keys!$C$5),Keys!$C$4)</f>
        <v>1.0016</v>
      </c>
      <c r="W283">
        <f>IF($D283=1,ROUND(Keys!$C$2/(INDEX(Src_SYSHECF_nuclear!$U$5:$U$292,MATCH($C283,Src_SYSHECF_nuclear!$C$5:$C$292,0))*$E283),Keys!$C$5),Keys!$C$4)</f>
        <v>1.0016</v>
      </c>
      <c r="X283">
        <f>IF($D283=1,ROUND(Keys!$C$2/(INDEX(Src_SYSHECF_nuclear!$V$5:$V$292,MATCH($C283,Src_SYSHECF_nuclear!$C$5:$C$292,0))*$E283),Keys!$C$5),Keys!$C$4)</f>
        <v>1.0016</v>
      </c>
      <c r="Y283">
        <f>IF($D283=1,ROUND(Keys!$C$2/(INDEX(Src_SYSHECF_nuclear!$W$5:$W$292,MATCH($C283,Src_SYSHECF_nuclear!$C$5:$C$292,0))*$E283),Keys!$C$5),Keys!$C$4)</f>
        <v>1.0016</v>
      </c>
      <c r="Z283">
        <f>IF($D283=1,ROUND(Keys!$C$2/(INDEX(Src_SYSHECF_nuclear!$X$5:$X$292,MATCH($C283,Src_SYSHECF_nuclear!$C$5:$C$292,0))*$E283),Keys!$C$5),Keys!$C$4)</f>
        <v>1.0016</v>
      </c>
      <c r="AA283">
        <f>IF($D283=1,ROUND(Keys!$C$2/(INDEX(Src_SYSHECF_nuclear!$Y$5:$Y$292,MATCH($C283,Src_SYSHECF_nuclear!$C$5:$C$292,0))*$E283),Keys!$C$5),Keys!$C$4)</f>
        <v>1.0016</v>
      </c>
      <c r="AB283">
        <f>IF($D283=1,ROUND(Keys!$C$2/(INDEX(Src_SYSHECF_nuclear!$Z$5:$Z$292,MATCH($C283,Src_SYSHECF_nuclear!$C$5:$C$292,0))*$E283),Keys!$C$5),Keys!$C$4)</f>
        <v>1.0016</v>
      </c>
      <c r="AC283">
        <f>IF($D283=1,ROUND(Keys!$C$2/(INDEX(Src_SYSHECF_nuclear!$AA$5:$AA$292,MATCH($C283,Src_SYSHECF_nuclear!$C$5:$C$292,0))*$E283),Keys!$C$5),Keys!$C$4)</f>
        <v>1.0016</v>
      </c>
      <c r="AE283">
        <f>IF($D283=1,IF(ABS(INDEX(Src_SYSHECF_nuclear!$D$5:$D$292,MATCH($C283,Src_SYSHECF_nuclear!$C$5:$C$292,0))*$E283*F283-Keys!$C$2)&gt;Keys!$C$6,1,0),0)</f>
        <v>0</v>
      </c>
    </row>
    <row r="284" spans="1:31" x14ac:dyDescent="0.45">
      <c r="A284" t="s">
        <v>100</v>
      </c>
      <c r="B284" t="s">
        <v>424</v>
      </c>
      <c r="C284" t="str">
        <f t="shared" si="4"/>
        <v>SD|Winter</v>
      </c>
      <c r="D284">
        <f>INDEX(Src_BHRaSYC_nuclear!$HF$5:$HF$52,MATCH($A284,Src_BHRaSYC_nuclear!$A$5:$A$52,0))</f>
        <v>0</v>
      </c>
      <c r="E284">
        <f>INDEX(Src_HYECFCA_nuclear!$B$5:$B$52,MATCH($A284,Src_HYECFCA_nuclear!$A$5:$A$52,0))</f>
        <v>1</v>
      </c>
      <c r="F284">
        <f>IF($D284=1,ROUND(Keys!$C$2/(INDEX(Src_SYSHECF_nuclear!$D$5:$D$292,MATCH($C284,Src_SYSHECF_nuclear!$C$5:$C$292,0))*$E284),Keys!$C$5),Keys!$C$4)</f>
        <v>0.9</v>
      </c>
      <c r="G284">
        <f>IF($D284=1,ROUND(Keys!$C$2/(INDEX(Src_SYSHECF_nuclear!$E$5:$E$292,MATCH($C284,Src_SYSHECF_nuclear!$C$5:$C$292,0))*$E284),Keys!$C$5),Keys!$C$4)</f>
        <v>0.9</v>
      </c>
      <c r="H284">
        <f>IF($D284=1,ROUND(Keys!$C$2/(INDEX(Src_SYSHECF_nuclear!$F$5:$F$292,MATCH($C284,Src_SYSHECF_nuclear!$C$5:$C$292,0))*$E284),Keys!$C$5),Keys!$C$4)</f>
        <v>0.9</v>
      </c>
      <c r="I284">
        <f>IF($D284=1,ROUND(Keys!$C$2/(INDEX(Src_SYSHECF_nuclear!$G$5:$G$292,MATCH($C284,Src_SYSHECF_nuclear!$C$5:$C$292,0))*$E284),Keys!$C$5),Keys!$C$4)</f>
        <v>0.9</v>
      </c>
      <c r="J284">
        <f>IF($D284=1,ROUND(Keys!$C$2/(INDEX(Src_SYSHECF_nuclear!$H$5:$H$292,MATCH($C284,Src_SYSHECF_nuclear!$C$5:$C$292,0))*$E284),Keys!$C$5),Keys!$C$4)</f>
        <v>0.9</v>
      </c>
      <c r="K284">
        <f>IF($D284=1,ROUND(Keys!$C$2/(INDEX(Src_SYSHECF_nuclear!$I$5:$I$292,MATCH($C284,Src_SYSHECF_nuclear!$C$5:$C$292,0))*$E284),Keys!$C$5),Keys!$C$4)</f>
        <v>0.9</v>
      </c>
      <c r="L284">
        <f>IF($D284=1,ROUND(Keys!$C$2/(INDEX(Src_SYSHECF_nuclear!$J$5:$J$292,MATCH($C284,Src_SYSHECF_nuclear!$C$5:$C$292,0))*$E284),Keys!$C$5),Keys!$C$4)</f>
        <v>0.9</v>
      </c>
      <c r="M284">
        <f>IF($D284=1,ROUND(Keys!$C$2/(INDEX(Src_SYSHECF_nuclear!$K$5:$K$292,MATCH($C284,Src_SYSHECF_nuclear!$C$5:$C$292,0))*$E284),Keys!$C$5),Keys!$C$4)</f>
        <v>0.9</v>
      </c>
      <c r="N284">
        <f>IF($D284=1,ROUND(Keys!$C$2/(INDEX(Src_SYSHECF_nuclear!$L$5:$L$292,MATCH($C284,Src_SYSHECF_nuclear!$C$5:$C$292,0))*$E284),Keys!$C$5),Keys!$C$4)</f>
        <v>0.9</v>
      </c>
      <c r="O284">
        <f>IF($D284=1,ROUND(Keys!$C$2/(INDEX(Src_SYSHECF_nuclear!$M$5:$M$292,MATCH($C284,Src_SYSHECF_nuclear!$C$5:$C$292,0))*$E284),Keys!$C$5),Keys!$C$4)</f>
        <v>0.9</v>
      </c>
      <c r="P284">
        <f>IF($D284=1,ROUND(Keys!$C$2/(INDEX(Src_SYSHECF_nuclear!$N$5:$N$292,MATCH($C284,Src_SYSHECF_nuclear!$C$5:$C$292,0))*$E284),Keys!$C$5),Keys!$C$4)</f>
        <v>0.9</v>
      </c>
      <c r="Q284">
        <f>IF($D284=1,ROUND(Keys!$C$2/(INDEX(Src_SYSHECF_nuclear!$O$5:$O$292,MATCH($C284,Src_SYSHECF_nuclear!$C$5:$C$292,0))*$E284),Keys!$C$5),Keys!$C$4)</f>
        <v>0.9</v>
      </c>
      <c r="R284">
        <f>IF($D284=1,ROUND(Keys!$C$2/(INDEX(Src_SYSHECF_nuclear!$P$5:$P$292,MATCH($C284,Src_SYSHECF_nuclear!$C$5:$C$292,0))*$E284),Keys!$C$5),Keys!$C$4)</f>
        <v>0.9</v>
      </c>
      <c r="S284">
        <f>IF($D284=1,ROUND(Keys!$C$2/(INDEX(Src_SYSHECF_nuclear!$Q$5:$Q$292,MATCH($C284,Src_SYSHECF_nuclear!$C$5:$C$292,0))*$E284),Keys!$C$5),Keys!$C$4)</f>
        <v>0.9</v>
      </c>
      <c r="T284">
        <f>IF($D284=1,ROUND(Keys!$C$2/(INDEX(Src_SYSHECF_nuclear!$R$5:$R$292,MATCH($C284,Src_SYSHECF_nuclear!$C$5:$C$292,0))*$E284),Keys!$C$5),Keys!$C$4)</f>
        <v>0.9</v>
      </c>
      <c r="U284">
        <f>IF($D284=1,ROUND(Keys!$C$2/(INDEX(Src_SYSHECF_nuclear!$S$5:$S$292,MATCH($C284,Src_SYSHECF_nuclear!$C$5:$C$292,0))*$E284),Keys!$C$5),Keys!$C$4)</f>
        <v>0.9</v>
      </c>
      <c r="V284">
        <f>IF($D284=1,ROUND(Keys!$C$2/(INDEX(Src_SYSHECF_nuclear!$T$5:$T$292,MATCH($C284,Src_SYSHECF_nuclear!$C$5:$C$292,0))*$E284),Keys!$C$5),Keys!$C$4)</f>
        <v>0.9</v>
      </c>
      <c r="W284">
        <f>IF($D284=1,ROUND(Keys!$C$2/(INDEX(Src_SYSHECF_nuclear!$U$5:$U$292,MATCH($C284,Src_SYSHECF_nuclear!$C$5:$C$292,0))*$E284),Keys!$C$5),Keys!$C$4)</f>
        <v>0.9</v>
      </c>
      <c r="X284">
        <f>IF($D284=1,ROUND(Keys!$C$2/(INDEX(Src_SYSHECF_nuclear!$V$5:$V$292,MATCH($C284,Src_SYSHECF_nuclear!$C$5:$C$292,0))*$E284),Keys!$C$5),Keys!$C$4)</f>
        <v>0.9</v>
      </c>
      <c r="Y284">
        <f>IF($D284=1,ROUND(Keys!$C$2/(INDEX(Src_SYSHECF_nuclear!$W$5:$W$292,MATCH($C284,Src_SYSHECF_nuclear!$C$5:$C$292,0))*$E284),Keys!$C$5),Keys!$C$4)</f>
        <v>0.9</v>
      </c>
      <c r="Z284">
        <f>IF($D284=1,ROUND(Keys!$C$2/(INDEX(Src_SYSHECF_nuclear!$X$5:$X$292,MATCH($C284,Src_SYSHECF_nuclear!$C$5:$C$292,0))*$E284),Keys!$C$5),Keys!$C$4)</f>
        <v>0.9</v>
      </c>
      <c r="AA284">
        <f>IF($D284=1,ROUND(Keys!$C$2/(INDEX(Src_SYSHECF_nuclear!$Y$5:$Y$292,MATCH($C284,Src_SYSHECF_nuclear!$C$5:$C$292,0))*$E284),Keys!$C$5),Keys!$C$4)</f>
        <v>0.9</v>
      </c>
      <c r="AB284">
        <f>IF($D284=1,ROUND(Keys!$C$2/(INDEX(Src_SYSHECF_nuclear!$Z$5:$Z$292,MATCH($C284,Src_SYSHECF_nuclear!$C$5:$C$292,0))*$E284),Keys!$C$5),Keys!$C$4)</f>
        <v>0.9</v>
      </c>
      <c r="AC284">
        <f>IF($D284=1,ROUND(Keys!$C$2/(INDEX(Src_SYSHECF_nuclear!$AA$5:$AA$292,MATCH($C284,Src_SYSHECF_nuclear!$C$5:$C$292,0))*$E284),Keys!$C$5),Keys!$C$4)</f>
        <v>0.9</v>
      </c>
      <c r="AE284">
        <f>IF($D284=1,IF(ABS(INDEX(Src_SYSHECF_nuclear!$D$5:$D$292,MATCH($C284,Src_SYSHECF_nuclear!$C$5:$C$292,0))*$E284*F284-Keys!$C$2)&gt;Keys!$C$6,1,0),0)</f>
        <v>0</v>
      </c>
    </row>
    <row r="285" spans="1:31" x14ac:dyDescent="0.45">
      <c r="A285" t="s">
        <v>100</v>
      </c>
      <c r="B285" t="s">
        <v>425</v>
      </c>
      <c r="C285" t="str">
        <f t="shared" si="4"/>
        <v>SD|Spring</v>
      </c>
      <c r="D285">
        <f>INDEX(Src_BHRaSYC_nuclear!$HF$5:$HF$52,MATCH($A285,Src_BHRaSYC_nuclear!$A$5:$A$52,0))</f>
        <v>0</v>
      </c>
      <c r="E285">
        <f>INDEX(Src_HYECFCA_nuclear!$B$5:$B$52,MATCH($A285,Src_HYECFCA_nuclear!$A$5:$A$52,0))</f>
        <v>1</v>
      </c>
      <c r="F285">
        <f>IF($D285=1,ROUND(Keys!$C$2/(INDEX(Src_SYSHECF_nuclear!$D$5:$D$292,MATCH($C285,Src_SYSHECF_nuclear!$C$5:$C$292,0))*$E285),Keys!$C$5),Keys!$C$4)</f>
        <v>0.9</v>
      </c>
      <c r="G285">
        <f>IF($D285=1,ROUND(Keys!$C$2/(INDEX(Src_SYSHECF_nuclear!$E$5:$E$292,MATCH($C285,Src_SYSHECF_nuclear!$C$5:$C$292,0))*$E285),Keys!$C$5),Keys!$C$4)</f>
        <v>0.9</v>
      </c>
      <c r="H285">
        <f>IF($D285=1,ROUND(Keys!$C$2/(INDEX(Src_SYSHECF_nuclear!$F$5:$F$292,MATCH($C285,Src_SYSHECF_nuclear!$C$5:$C$292,0))*$E285),Keys!$C$5),Keys!$C$4)</f>
        <v>0.9</v>
      </c>
      <c r="I285">
        <f>IF($D285=1,ROUND(Keys!$C$2/(INDEX(Src_SYSHECF_nuclear!$G$5:$G$292,MATCH($C285,Src_SYSHECF_nuclear!$C$5:$C$292,0))*$E285),Keys!$C$5),Keys!$C$4)</f>
        <v>0.9</v>
      </c>
      <c r="J285">
        <f>IF($D285=1,ROUND(Keys!$C$2/(INDEX(Src_SYSHECF_nuclear!$H$5:$H$292,MATCH($C285,Src_SYSHECF_nuclear!$C$5:$C$292,0))*$E285),Keys!$C$5),Keys!$C$4)</f>
        <v>0.9</v>
      </c>
      <c r="K285">
        <f>IF($D285=1,ROUND(Keys!$C$2/(INDEX(Src_SYSHECF_nuclear!$I$5:$I$292,MATCH($C285,Src_SYSHECF_nuclear!$C$5:$C$292,0))*$E285),Keys!$C$5),Keys!$C$4)</f>
        <v>0.9</v>
      </c>
      <c r="L285">
        <f>IF($D285=1,ROUND(Keys!$C$2/(INDEX(Src_SYSHECF_nuclear!$J$5:$J$292,MATCH($C285,Src_SYSHECF_nuclear!$C$5:$C$292,0))*$E285),Keys!$C$5),Keys!$C$4)</f>
        <v>0.9</v>
      </c>
      <c r="M285">
        <f>IF($D285=1,ROUND(Keys!$C$2/(INDEX(Src_SYSHECF_nuclear!$K$5:$K$292,MATCH($C285,Src_SYSHECF_nuclear!$C$5:$C$292,0))*$E285),Keys!$C$5),Keys!$C$4)</f>
        <v>0.9</v>
      </c>
      <c r="N285">
        <f>IF($D285=1,ROUND(Keys!$C$2/(INDEX(Src_SYSHECF_nuclear!$L$5:$L$292,MATCH($C285,Src_SYSHECF_nuclear!$C$5:$C$292,0))*$E285),Keys!$C$5),Keys!$C$4)</f>
        <v>0.9</v>
      </c>
      <c r="O285">
        <f>IF($D285=1,ROUND(Keys!$C$2/(INDEX(Src_SYSHECF_nuclear!$M$5:$M$292,MATCH($C285,Src_SYSHECF_nuclear!$C$5:$C$292,0))*$E285),Keys!$C$5),Keys!$C$4)</f>
        <v>0.9</v>
      </c>
      <c r="P285">
        <f>IF($D285=1,ROUND(Keys!$C$2/(INDEX(Src_SYSHECF_nuclear!$N$5:$N$292,MATCH($C285,Src_SYSHECF_nuclear!$C$5:$C$292,0))*$E285),Keys!$C$5),Keys!$C$4)</f>
        <v>0.9</v>
      </c>
      <c r="Q285">
        <f>IF($D285=1,ROUND(Keys!$C$2/(INDEX(Src_SYSHECF_nuclear!$O$5:$O$292,MATCH($C285,Src_SYSHECF_nuclear!$C$5:$C$292,0))*$E285),Keys!$C$5),Keys!$C$4)</f>
        <v>0.9</v>
      </c>
      <c r="R285">
        <f>IF($D285=1,ROUND(Keys!$C$2/(INDEX(Src_SYSHECF_nuclear!$P$5:$P$292,MATCH($C285,Src_SYSHECF_nuclear!$C$5:$C$292,0))*$E285),Keys!$C$5),Keys!$C$4)</f>
        <v>0.9</v>
      </c>
      <c r="S285">
        <f>IF($D285=1,ROUND(Keys!$C$2/(INDEX(Src_SYSHECF_nuclear!$Q$5:$Q$292,MATCH($C285,Src_SYSHECF_nuclear!$C$5:$C$292,0))*$E285),Keys!$C$5),Keys!$C$4)</f>
        <v>0.9</v>
      </c>
      <c r="T285">
        <f>IF($D285=1,ROUND(Keys!$C$2/(INDEX(Src_SYSHECF_nuclear!$R$5:$R$292,MATCH($C285,Src_SYSHECF_nuclear!$C$5:$C$292,0))*$E285),Keys!$C$5),Keys!$C$4)</f>
        <v>0.9</v>
      </c>
      <c r="U285">
        <f>IF($D285=1,ROUND(Keys!$C$2/(INDEX(Src_SYSHECF_nuclear!$S$5:$S$292,MATCH($C285,Src_SYSHECF_nuclear!$C$5:$C$292,0))*$E285),Keys!$C$5),Keys!$C$4)</f>
        <v>0.9</v>
      </c>
      <c r="V285">
        <f>IF($D285=1,ROUND(Keys!$C$2/(INDEX(Src_SYSHECF_nuclear!$T$5:$T$292,MATCH($C285,Src_SYSHECF_nuclear!$C$5:$C$292,0))*$E285),Keys!$C$5),Keys!$C$4)</f>
        <v>0.9</v>
      </c>
      <c r="W285">
        <f>IF($D285=1,ROUND(Keys!$C$2/(INDEX(Src_SYSHECF_nuclear!$U$5:$U$292,MATCH($C285,Src_SYSHECF_nuclear!$C$5:$C$292,0))*$E285),Keys!$C$5),Keys!$C$4)</f>
        <v>0.9</v>
      </c>
      <c r="X285">
        <f>IF($D285=1,ROUND(Keys!$C$2/(INDEX(Src_SYSHECF_nuclear!$V$5:$V$292,MATCH($C285,Src_SYSHECF_nuclear!$C$5:$C$292,0))*$E285),Keys!$C$5),Keys!$C$4)</f>
        <v>0.9</v>
      </c>
      <c r="Y285">
        <f>IF($D285=1,ROUND(Keys!$C$2/(INDEX(Src_SYSHECF_nuclear!$W$5:$W$292,MATCH($C285,Src_SYSHECF_nuclear!$C$5:$C$292,0))*$E285),Keys!$C$5),Keys!$C$4)</f>
        <v>0.9</v>
      </c>
      <c r="Z285">
        <f>IF($D285=1,ROUND(Keys!$C$2/(INDEX(Src_SYSHECF_nuclear!$X$5:$X$292,MATCH($C285,Src_SYSHECF_nuclear!$C$5:$C$292,0))*$E285),Keys!$C$5),Keys!$C$4)</f>
        <v>0.9</v>
      </c>
      <c r="AA285">
        <f>IF($D285=1,ROUND(Keys!$C$2/(INDEX(Src_SYSHECF_nuclear!$Y$5:$Y$292,MATCH($C285,Src_SYSHECF_nuclear!$C$5:$C$292,0))*$E285),Keys!$C$5),Keys!$C$4)</f>
        <v>0.9</v>
      </c>
      <c r="AB285">
        <f>IF($D285=1,ROUND(Keys!$C$2/(INDEX(Src_SYSHECF_nuclear!$Z$5:$Z$292,MATCH($C285,Src_SYSHECF_nuclear!$C$5:$C$292,0))*$E285),Keys!$C$5),Keys!$C$4)</f>
        <v>0.9</v>
      </c>
      <c r="AC285">
        <f>IF($D285=1,ROUND(Keys!$C$2/(INDEX(Src_SYSHECF_nuclear!$AA$5:$AA$292,MATCH($C285,Src_SYSHECF_nuclear!$C$5:$C$292,0))*$E285),Keys!$C$5),Keys!$C$4)</f>
        <v>0.9</v>
      </c>
      <c r="AE285">
        <f>IF($D285=1,IF(ABS(INDEX(Src_SYSHECF_nuclear!$D$5:$D$292,MATCH($C285,Src_SYSHECF_nuclear!$C$5:$C$292,0))*$E285*F285-Keys!$C$2)&gt;Keys!$C$6,1,0),0)</f>
        <v>0</v>
      </c>
    </row>
    <row r="286" spans="1:31" x14ac:dyDescent="0.45">
      <c r="A286" t="s">
        <v>100</v>
      </c>
      <c r="B286" t="s">
        <v>426</v>
      </c>
      <c r="C286" t="str">
        <f t="shared" si="4"/>
        <v>SD|Summer</v>
      </c>
      <c r="D286">
        <f>INDEX(Src_BHRaSYC_nuclear!$HF$5:$HF$52,MATCH($A286,Src_BHRaSYC_nuclear!$A$5:$A$52,0))</f>
        <v>0</v>
      </c>
      <c r="E286">
        <f>INDEX(Src_HYECFCA_nuclear!$B$5:$B$52,MATCH($A286,Src_HYECFCA_nuclear!$A$5:$A$52,0))</f>
        <v>1</v>
      </c>
      <c r="F286">
        <f>IF($D286=1,ROUND(Keys!$C$2/(INDEX(Src_SYSHECF_nuclear!$D$5:$D$292,MATCH($C286,Src_SYSHECF_nuclear!$C$5:$C$292,0))*$E286),Keys!$C$5),Keys!$C$4)</f>
        <v>0.9</v>
      </c>
      <c r="G286">
        <f>IF($D286=1,ROUND(Keys!$C$2/(INDEX(Src_SYSHECF_nuclear!$E$5:$E$292,MATCH($C286,Src_SYSHECF_nuclear!$C$5:$C$292,0))*$E286),Keys!$C$5),Keys!$C$4)</f>
        <v>0.9</v>
      </c>
      <c r="H286">
        <f>IF($D286=1,ROUND(Keys!$C$2/(INDEX(Src_SYSHECF_nuclear!$F$5:$F$292,MATCH($C286,Src_SYSHECF_nuclear!$C$5:$C$292,0))*$E286),Keys!$C$5),Keys!$C$4)</f>
        <v>0.9</v>
      </c>
      <c r="I286">
        <f>IF($D286=1,ROUND(Keys!$C$2/(INDEX(Src_SYSHECF_nuclear!$G$5:$G$292,MATCH($C286,Src_SYSHECF_nuclear!$C$5:$C$292,0))*$E286),Keys!$C$5),Keys!$C$4)</f>
        <v>0.9</v>
      </c>
      <c r="J286">
        <f>IF($D286=1,ROUND(Keys!$C$2/(INDEX(Src_SYSHECF_nuclear!$H$5:$H$292,MATCH($C286,Src_SYSHECF_nuclear!$C$5:$C$292,0))*$E286),Keys!$C$5),Keys!$C$4)</f>
        <v>0.9</v>
      </c>
      <c r="K286">
        <f>IF($D286=1,ROUND(Keys!$C$2/(INDEX(Src_SYSHECF_nuclear!$I$5:$I$292,MATCH($C286,Src_SYSHECF_nuclear!$C$5:$C$292,0))*$E286),Keys!$C$5),Keys!$C$4)</f>
        <v>0.9</v>
      </c>
      <c r="L286">
        <f>IF($D286=1,ROUND(Keys!$C$2/(INDEX(Src_SYSHECF_nuclear!$J$5:$J$292,MATCH($C286,Src_SYSHECF_nuclear!$C$5:$C$292,0))*$E286),Keys!$C$5),Keys!$C$4)</f>
        <v>0.9</v>
      </c>
      <c r="M286">
        <f>IF($D286=1,ROUND(Keys!$C$2/(INDEX(Src_SYSHECF_nuclear!$K$5:$K$292,MATCH($C286,Src_SYSHECF_nuclear!$C$5:$C$292,0))*$E286),Keys!$C$5),Keys!$C$4)</f>
        <v>0.9</v>
      </c>
      <c r="N286">
        <f>IF($D286=1,ROUND(Keys!$C$2/(INDEX(Src_SYSHECF_nuclear!$L$5:$L$292,MATCH($C286,Src_SYSHECF_nuclear!$C$5:$C$292,0))*$E286),Keys!$C$5),Keys!$C$4)</f>
        <v>0.9</v>
      </c>
      <c r="O286">
        <f>IF($D286=1,ROUND(Keys!$C$2/(INDEX(Src_SYSHECF_nuclear!$M$5:$M$292,MATCH($C286,Src_SYSHECF_nuclear!$C$5:$C$292,0))*$E286),Keys!$C$5),Keys!$C$4)</f>
        <v>0.9</v>
      </c>
      <c r="P286">
        <f>IF($D286=1,ROUND(Keys!$C$2/(INDEX(Src_SYSHECF_nuclear!$N$5:$N$292,MATCH($C286,Src_SYSHECF_nuclear!$C$5:$C$292,0))*$E286),Keys!$C$5),Keys!$C$4)</f>
        <v>0.9</v>
      </c>
      <c r="Q286">
        <f>IF($D286=1,ROUND(Keys!$C$2/(INDEX(Src_SYSHECF_nuclear!$O$5:$O$292,MATCH($C286,Src_SYSHECF_nuclear!$C$5:$C$292,0))*$E286),Keys!$C$5),Keys!$C$4)</f>
        <v>0.9</v>
      </c>
      <c r="R286">
        <f>IF($D286=1,ROUND(Keys!$C$2/(INDEX(Src_SYSHECF_nuclear!$P$5:$P$292,MATCH($C286,Src_SYSHECF_nuclear!$C$5:$C$292,0))*$E286),Keys!$C$5),Keys!$C$4)</f>
        <v>0.9</v>
      </c>
      <c r="S286">
        <f>IF($D286=1,ROUND(Keys!$C$2/(INDEX(Src_SYSHECF_nuclear!$Q$5:$Q$292,MATCH($C286,Src_SYSHECF_nuclear!$C$5:$C$292,0))*$E286),Keys!$C$5),Keys!$C$4)</f>
        <v>0.9</v>
      </c>
      <c r="T286">
        <f>IF($D286=1,ROUND(Keys!$C$2/(INDEX(Src_SYSHECF_nuclear!$R$5:$R$292,MATCH($C286,Src_SYSHECF_nuclear!$C$5:$C$292,0))*$E286),Keys!$C$5),Keys!$C$4)</f>
        <v>0.9</v>
      </c>
      <c r="U286">
        <f>IF($D286=1,ROUND(Keys!$C$2/(INDEX(Src_SYSHECF_nuclear!$S$5:$S$292,MATCH($C286,Src_SYSHECF_nuclear!$C$5:$C$292,0))*$E286),Keys!$C$5),Keys!$C$4)</f>
        <v>0.9</v>
      </c>
      <c r="V286">
        <f>IF($D286=1,ROUND(Keys!$C$2/(INDEX(Src_SYSHECF_nuclear!$T$5:$T$292,MATCH($C286,Src_SYSHECF_nuclear!$C$5:$C$292,0))*$E286),Keys!$C$5),Keys!$C$4)</f>
        <v>0.9</v>
      </c>
      <c r="W286">
        <f>IF($D286=1,ROUND(Keys!$C$2/(INDEX(Src_SYSHECF_nuclear!$U$5:$U$292,MATCH($C286,Src_SYSHECF_nuclear!$C$5:$C$292,0))*$E286),Keys!$C$5),Keys!$C$4)</f>
        <v>0.9</v>
      </c>
      <c r="X286">
        <f>IF($D286=1,ROUND(Keys!$C$2/(INDEX(Src_SYSHECF_nuclear!$V$5:$V$292,MATCH($C286,Src_SYSHECF_nuclear!$C$5:$C$292,0))*$E286),Keys!$C$5),Keys!$C$4)</f>
        <v>0.9</v>
      </c>
      <c r="Y286">
        <f>IF($D286=1,ROUND(Keys!$C$2/(INDEX(Src_SYSHECF_nuclear!$W$5:$W$292,MATCH($C286,Src_SYSHECF_nuclear!$C$5:$C$292,0))*$E286),Keys!$C$5),Keys!$C$4)</f>
        <v>0.9</v>
      </c>
      <c r="Z286">
        <f>IF($D286=1,ROUND(Keys!$C$2/(INDEX(Src_SYSHECF_nuclear!$X$5:$X$292,MATCH($C286,Src_SYSHECF_nuclear!$C$5:$C$292,0))*$E286),Keys!$C$5),Keys!$C$4)</f>
        <v>0.9</v>
      </c>
      <c r="AA286">
        <f>IF($D286=1,ROUND(Keys!$C$2/(INDEX(Src_SYSHECF_nuclear!$Y$5:$Y$292,MATCH($C286,Src_SYSHECF_nuclear!$C$5:$C$292,0))*$E286),Keys!$C$5),Keys!$C$4)</f>
        <v>0.9</v>
      </c>
      <c r="AB286">
        <f>IF($D286=1,ROUND(Keys!$C$2/(INDEX(Src_SYSHECF_nuclear!$Z$5:$Z$292,MATCH($C286,Src_SYSHECF_nuclear!$C$5:$C$292,0))*$E286),Keys!$C$5),Keys!$C$4)</f>
        <v>0.9</v>
      </c>
      <c r="AC286">
        <f>IF($D286=1,ROUND(Keys!$C$2/(INDEX(Src_SYSHECF_nuclear!$AA$5:$AA$292,MATCH($C286,Src_SYSHECF_nuclear!$C$5:$C$292,0))*$E286),Keys!$C$5),Keys!$C$4)</f>
        <v>0.9</v>
      </c>
      <c r="AE286">
        <f>IF($D286=1,IF(ABS(INDEX(Src_SYSHECF_nuclear!$D$5:$D$292,MATCH($C286,Src_SYSHECF_nuclear!$C$5:$C$292,0))*$E286*F286-Keys!$C$2)&gt;Keys!$C$6,1,0),0)</f>
        <v>0</v>
      </c>
    </row>
    <row r="287" spans="1:31" x14ac:dyDescent="0.45">
      <c r="A287" t="s">
        <v>100</v>
      </c>
      <c r="B287" t="s">
        <v>427</v>
      </c>
      <c r="C287" t="str">
        <f t="shared" si="4"/>
        <v>SD|Fall</v>
      </c>
      <c r="D287">
        <f>INDEX(Src_BHRaSYC_nuclear!$HF$5:$HF$52,MATCH($A287,Src_BHRaSYC_nuclear!$A$5:$A$52,0))</f>
        <v>0</v>
      </c>
      <c r="E287">
        <f>INDEX(Src_HYECFCA_nuclear!$B$5:$B$52,MATCH($A287,Src_HYECFCA_nuclear!$A$5:$A$52,0))</f>
        <v>1</v>
      </c>
      <c r="F287">
        <f>IF($D287=1,ROUND(Keys!$C$2/(INDEX(Src_SYSHECF_nuclear!$D$5:$D$292,MATCH($C287,Src_SYSHECF_nuclear!$C$5:$C$292,0))*$E287),Keys!$C$5),Keys!$C$4)</f>
        <v>0.9</v>
      </c>
      <c r="G287">
        <f>IF($D287=1,ROUND(Keys!$C$2/(INDEX(Src_SYSHECF_nuclear!$E$5:$E$292,MATCH($C287,Src_SYSHECF_nuclear!$C$5:$C$292,0))*$E287),Keys!$C$5),Keys!$C$4)</f>
        <v>0.9</v>
      </c>
      <c r="H287">
        <f>IF($D287=1,ROUND(Keys!$C$2/(INDEX(Src_SYSHECF_nuclear!$F$5:$F$292,MATCH($C287,Src_SYSHECF_nuclear!$C$5:$C$292,0))*$E287),Keys!$C$5),Keys!$C$4)</f>
        <v>0.9</v>
      </c>
      <c r="I287">
        <f>IF($D287=1,ROUND(Keys!$C$2/(INDEX(Src_SYSHECF_nuclear!$G$5:$G$292,MATCH($C287,Src_SYSHECF_nuclear!$C$5:$C$292,0))*$E287),Keys!$C$5),Keys!$C$4)</f>
        <v>0.9</v>
      </c>
      <c r="J287">
        <f>IF($D287=1,ROUND(Keys!$C$2/(INDEX(Src_SYSHECF_nuclear!$H$5:$H$292,MATCH($C287,Src_SYSHECF_nuclear!$C$5:$C$292,0))*$E287),Keys!$C$5),Keys!$C$4)</f>
        <v>0.9</v>
      </c>
      <c r="K287">
        <f>IF($D287=1,ROUND(Keys!$C$2/(INDEX(Src_SYSHECF_nuclear!$I$5:$I$292,MATCH($C287,Src_SYSHECF_nuclear!$C$5:$C$292,0))*$E287),Keys!$C$5),Keys!$C$4)</f>
        <v>0.9</v>
      </c>
      <c r="L287">
        <f>IF($D287=1,ROUND(Keys!$C$2/(INDEX(Src_SYSHECF_nuclear!$J$5:$J$292,MATCH($C287,Src_SYSHECF_nuclear!$C$5:$C$292,0))*$E287),Keys!$C$5),Keys!$C$4)</f>
        <v>0.9</v>
      </c>
      <c r="M287">
        <f>IF($D287=1,ROUND(Keys!$C$2/(INDEX(Src_SYSHECF_nuclear!$K$5:$K$292,MATCH($C287,Src_SYSHECF_nuclear!$C$5:$C$292,0))*$E287),Keys!$C$5),Keys!$C$4)</f>
        <v>0.9</v>
      </c>
      <c r="N287">
        <f>IF($D287=1,ROUND(Keys!$C$2/(INDEX(Src_SYSHECF_nuclear!$L$5:$L$292,MATCH($C287,Src_SYSHECF_nuclear!$C$5:$C$292,0))*$E287),Keys!$C$5),Keys!$C$4)</f>
        <v>0.9</v>
      </c>
      <c r="O287">
        <f>IF($D287=1,ROUND(Keys!$C$2/(INDEX(Src_SYSHECF_nuclear!$M$5:$M$292,MATCH($C287,Src_SYSHECF_nuclear!$C$5:$C$292,0))*$E287),Keys!$C$5),Keys!$C$4)</f>
        <v>0.9</v>
      </c>
      <c r="P287">
        <f>IF($D287=1,ROUND(Keys!$C$2/(INDEX(Src_SYSHECF_nuclear!$N$5:$N$292,MATCH($C287,Src_SYSHECF_nuclear!$C$5:$C$292,0))*$E287),Keys!$C$5),Keys!$C$4)</f>
        <v>0.9</v>
      </c>
      <c r="Q287">
        <f>IF($D287=1,ROUND(Keys!$C$2/(INDEX(Src_SYSHECF_nuclear!$O$5:$O$292,MATCH($C287,Src_SYSHECF_nuclear!$C$5:$C$292,0))*$E287),Keys!$C$5),Keys!$C$4)</f>
        <v>0.9</v>
      </c>
      <c r="R287">
        <f>IF($D287=1,ROUND(Keys!$C$2/(INDEX(Src_SYSHECF_nuclear!$P$5:$P$292,MATCH($C287,Src_SYSHECF_nuclear!$C$5:$C$292,0))*$E287),Keys!$C$5),Keys!$C$4)</f>
        <v>0.9</v>
      </c>
      <c r="S287">
        <f>IF($D287=1,ROUND(Keys!$C$2/(INDEX(Src_SYSHECF_nuclear!$Q$5:$Q$292,MATCH($C287,Src_SYSHECF_nuclear!$C$5:$C$292,0))*$E287),Keys!$C$5),Keys!$C$4)</f>
        <v>0.9</v>
      </c>
      <c r="T287">
        <f>IF($D287=1,ROUND(Keys!$C$2/(INDEX(Src_SYSHECF_nuclear!$R$5:$R$292,MATCH($C287,Src_SYSHECF_nuclear!$C$5:$C$292,0))*$E287),Keys!$C$5),Keys!$C$4)</f>
        <v>0.9</v>
      </c>
      <c r="U287">
        <f>IF($D287=1,ROUND(Keys!$C$2/(INDEX(Src_SYSHECF_nuclear!$S$5:$S$292,MATCH($C287,Src_SYSHECF_nuclear!$C$5:$C$292,0))*$E287),Keys!$C$5),Keys!$C$4)</f>
        <v>0.9</v>
      </c>
      <c r="V287">
        <f>IF($D287=1,ROUND(Keys!$C$2/(INDEX(Src_SYSHECF_nuclear!$T$5:$T$292,MATCH($C287,Src_SYSHECF_nuclear!$C$5:$C$292,0))*$E287),Keys!$C$5),Keys!$C$4)</f>
        <v>0.9</v>
      </c>
      <c r="W287">
        <f>IF($D287=1,ROUND(Keys!$C$2/(INDEX(Src_SYSHECF_nuclear!$U$5:$U$292,MATCH($C287,Src_SYSHECF_nuclear!$C$5:$C$292,0))*$E287),Keys!$C$5),Keys!$C$4)</f>
        <v>0.9</v>
      </c>
      <c r="X287">
        <f>IF($D287=1,ROUND(Keys!$C$2/(INDEX(Src_SYSHECF_nuclear!$V$5:$V$292,MATCH($C287,Src_SYSHECF_nuclear!$C$5:$C$292,0))*$E287),Keys!$C$5),Keys!$C$4)</f>
        <v>0.9</v>
      </c>
      <c r="Y287">
        <f>IF($D287=1,ROUND(Keys!$C$2/(INDEX(Src_SYSHECF_nuclear!$W$5:$W$292,MATCH($C287,Src_SYSHECF_nuclear!$C$5:$C$292,0))*$E287),Keys!$C$5),Keys!$C$4)</f>
        <v>0.9</v>
      </c>
      <c r="Z287">
        <f>IF($D287=1,ROUND(Keys!$C$2/(INDEX(Src_SYSHECF_nuclear!$X$5:$X$292,MATCH($C287,Src_SYSHECF_nuclear!$C$5:$C$292,0))*$E287),Keys!$C$5),Keys!$C$4)</f>
        <v>0.9</v>
      </c>
      <c r="AA287">
        <f>IF($D287=1,ROUND(Keys!$C$2/(INDEX(Src_SYSHECF_nuclear!$Y$5:$Y$292,MATCH($C287,Src_SYSHECF_nuclear!$C$5:$C$292,0))*$E287),Keys!$C$5),Keys!$C$4)</f>
        <v>0.9</v>
      </c>
      <c r="AB287">
        <f>IF($D287=1,ROUND(Keys!$C$2/(INDEX(Src_SYSHECF_nuclear!$Z$5:$Z$292,MATCH($C287,Src_SYSHECF_nuclear!$C$5:$C$292,0))*$E287),Keys!$C$5),Keys!$C$4)</f>
        <v>0.9</v>
      </c>
      <c r="AC287">
        <f>IF($D287=1,ROUND(Keys!$C$2/(INDEX(Src_SYSHECF_nuclear!$AA$5:$AA$292,MATCH($C287,Src_SYSHECF_nuclear!$C$5:$C$292,0))*$E287),Keys!$C$5),Keys!$C$4)</f>
        <v>0.9</v>
      </c>
      <c r="AE287">
        <f>IF($D287=1,IF(ABS(INDEX(Src_SYSHECF_nuclear!$D$5:$D$292,MATCH($C287,Src_SYSHECF_nuclear!$C$5:$C$292,0))*$E287*F287-Keys!$C$2)&gt;Keys!$C$6,1,0),0)</f>
        <v>0</v>
      </c>
    </row>
    <row r="288" spans="1:31" x14ac:dyDescent="0.45">
      <c r="A288" t="s">
        <v>100</v>
      </c>
      <c r="B288" t="s">
        <v>428</v>
      </c>
      <c r="C288" t="str">
        <f t="shared" si="4"/>
        <v>SD|Summer Peak</v>
      </c>
      <c r="D288">
        <f>INDEX(Src_BHRaSYC_nuclear!$HF$5:$HF$52,MATCH($A288,Src_BHRaSYC_nuclear!$A$5:$A$52,0))</f>
        <v>0</v>
      </c>
      <c r="E288">
        <f>INDEX(Src_HYECFCA_nuclear!$B$5:$B$52,MATCH($A288,Src_HYECFCA_nuclear!$A$5:$A$52,0))</f>
        <v>1</v>
      </c>
      <c r="F288">
        <f>IF($D288=1,ROUND(Keys!$C$2/(INDEX(Src_SYSHECF_nuclear!$D$5:$D$292,MATCH($C288,Src_SYSHECF_nuclear!$C$5:$C$292,0))*$E288),Keys!$C$5),Keys!$C$4)</f>
        <v>0.9</v>
      </c>
      <c r="G288">
        <f>IF($D288=1,ROUND(Keys!$C$2/(INDEX(Src_SYSHECF_nuclear!$E$5:$E$292,MATCH($C288,Src_SYSHECF_nuclear!$C$5:$C$292,0))*$E288),Keys!$C$5),Keys!$C$4)</f>
        <v>0.9</v>
      </c>
      <c r="H288">
        <f>IF($D288=1,ROUND(Keys!$C$2/(INDEX(Src_SYSHECF_nuclear!$F$5:$F$292,MATCH($C288,Src_SYSHECF_nuclear!$C$5:$C$292,0))*$E288),Keys!$C$5),Keys!$C$4)</f>
        <v>0.9</v>
      </c>
      <c r="I288">
        <f>IF($D288=1,ROUND(Keys!$C$2/(INDEX(Src_SYSHECF_nuclear!$G$5:$G$292,MATCH($C288,Src_SYSHECF_nuclear!$C$5:$C$292,0))*$E288),Keys!$C$5),Keys!$C$4)</f>
        <v>0.9</v>
      </c>
      <c r="J288">
        <f>IF($D288=1,ROUND(Keys!$C$2/(INDEX(Src_SYSHECF_nuclear!$H$5:$H$292,MATCH($C288,Src_SYSHECF_nuclear!$C$5:$C$292,0))*$E288),Keys!$C$5),Keys!$C$4)</f>
        <v>0.9</v>
      </c>
      <c r="K288">
        <f>IF($D288=1,ROUND(Keys!$C$2/(INDEX(Src_SYSHECF_nuclear!$I$5:$I$292,MATCH($C288,Src_SYSHECF_nuclear!$C$5:$C$292,0))*$E288),Keys!$C$5),Keys!$C$4)</f>
        <v>0.9</v>
      </c>
      <c r="L288">
        <f>IF($D288=1,ROUND(Keys!$C$2/(INDEX(Src_SYSHECF_nuclear!$J$5:$J$292,MATCH($C288,Src_SYSHECF_nuclear!$C$5:$C$292,0))*$E288),Keys!$C$5),Keys!$C$4)</f>
        <v>0.9</v>
      </c>
      <c r="M288">
        <f>IF($D288=1,ROUND(Keys!$C$2/(INDEX(Src_SYSHECF_nuclear!$K$5:$K$292,MATCH($C288,Src_SYSHECF_nuclear!$C$5:$C$292,0))*$E288),Keys!$C$5),Keys!$C$4)</f>
        <v>0.9</v>
      </c>
      <c r="N288">
        <f>IF($D288=1,ROUND(Keys!$C$2/(INDEX(Src_SYSHECF_nuclear!$L$5:$L$292,MATCH($C288,Src_SYSHECF_nuclear!$C$5:$C$292,0))*$E288),Keys!$C$5),Keys!$C$4)</f>
        <v>0.9</v>
      </c>
      <c r="O288">
        <f>IF($D288=1,ROUND(Keys!$C$2/(INDEX(Src_SYSHECF_nuclear!$M$5:$M$292,MATCH($C288,Src_SYSHECF_nuclear!$C$5:$C$292,0))*$E288),Keys!$C$5),Keys!$C$4)</f>
        <v>0.9</v>
      </c>
      <c r="P288">
        <f>IF($D288=1,ROUND(Keys!$C$2/(INDEX(Src_SYSHECF_nuclear!$N$5:$N$292,MATCH($C288,Src_SYSHECF_nuclear!$C$5:$C$292,0))*$E288),Keys!$C$5),Keys!$C$4)</f>
        <v>0.9</v>
      </c>
      <c r="Q288">
        <f>IF($D288=1,ROUND(Keys!$C$2/(INDEX(Src_SYSHECF_nuclear!$O$5:$O$292,MATCH($C288,Src_SYSHECF_nuclear!$C$5:$C$292,0))*$E288),Keys!$C$5),Keys!$C$4)</f>
        <v>0.9</v>
      </c>
      <c r="R288">
        <f>IF($D288=1,ROUND(Keys!$C$2/(INDEX(Src_SYSHECF_nuclear!$P$5:$P$292,MATCH($C288,Src_SYSHECF_nuclear!$C$5:$C$292,0))*$E288),Keys!$C$5),Keys!$C$4)</f>
        <v>0.9</v>
      </c>
      <c r="S288">
        <f>IF($D288=1,ROUND(Keys!$C$2/(INDEX(Src_SYSHECF_nuclear!$Q$5:$Q$292,MATCH($C288,Src_SYSHECF_nuclear!$C$5:$C$292,0))*$E288),Keys!$C$5),Keys!$C$4)</f>
        <v>0.9</v>
      </c>
      <c r="T288">
        <f>IF($D288=1,ROUND(Keys!$C$2/(INDEX(Src_SYSHECF_nuclear!$R$5:$R$292,MATCH($C288,Src_SYSHECF_nuclear!$C$5:$C$292,0))*$E288),Keys!$C$5),Keys!$C$4)</f>
        <v>0.9</v>
      </c>
      <c r="U288">
        <f>IF($D288=1,ROUND(Keys!$C$2/(INDEX(Src_SYSHECF_nuclear!$S$5:$S$292,MATCH($C288,Src_SYSHECF_nuclear!$C$5:$C$292,0))*$E288),Keys!$C$5),Keys!$C$4)</f>
        <v>0.9</v>
      </c>
      <c r="V288">
        <f>IF($D288=1,ROUND(Keys!$C$2/(INDEX(Src_SYSHECF_nuclear!$T$5:$T$292,MATCH($C288,Src_SYSHECF_nuclear!$C$5:$C$292,0))*$E288),Keys!$C$5),Keys!$C$4)</f>
        <v>0.9</v>
      </c>
      <c r="W288">
        <f>IF($D288=1,ROUND(Keys!$C$2/(INDEX(Src_SYSHECF_nuclear!$U$5:$U$292,MATCH($C288,Src_SYSHECF_nuclear!$C$5:$C$292,0))*$E288),Keys!$C$5),Keys!$C$4)</f>
        <v>0.9</v>
      </c>
      <c r="X288">
        <f>IF($D288=1,ROUND(Keys!$C$2/(INDEX(Src_SYSHECF_nuclear!$V$5:$V$292,MATCH($C288,Src_SYSHECF_nuclear!$C$5:$C$292,0))*$E288),Keys!$C$5),Keys!$C$4)</f>
        <v>0.9</v>
      </c>
      <c r="Y288">
        <f>IF($D288=1,ROUND(Keys!$C$2/(INDEX(Src_SYSHECF_nuclear!$W$5:$W$292,MATCH($C288,Src_SYSHECF_nuclear!$C$5:$C$292,0))*$E288),Keys!$C$5),Keys!$C$4)</f>
        <v>0.9</v>
      </c>
      <c r="Z288">
        <f>IF($D288=1,ROUND(Keys!$C$2/(INDEX(Src_SYSHECF_nuclear!$X$5:$X$292,MATCH($C288,Src_SYSHECF_nuclear!$C$5:$C$292,0))*$E288),Keys!$C$5),Keys!$C$4)</f>
        <v>0.9</v>
      </c>
      <c r="AA288">
        <f>IF($D288=1,ROUND(Keys!$C$2/(INDEX(Src_SYSHECF_nuclear!$Y$5:$Y$292,MATCH($C288,Src_SYSHECF_nuclear!$C$5:$C$292,0))*$E288),Keys!$C$5),Keys!$C$4)</f>
        <v>0.9</v>
      </c>
      <c r="AB288">
        <f>IF($D288=1,ROUND(Keys!$C$2/(INDEX(Src_SYSHECF_nuclear!$Z$5:$Z$292,MATCH($C288,Src_SYSHECF_nuclear!$C$5:$C$292,0))*$E288),Keys!$C$5),Keys!$C$4)</f>
        <v>0.9</v>
      </c>
      <c r="AC288">
        <f>IF($D288=1,ROUND(Keys!$C$2/(INDEX(Src_SYSHECF_nuclear!$AA$5:$AA$292,MATCH($C288,Src_SYSHECF_nuclear!$C$5:$C$292,0))*$E288),Keys!$C$5),Keys!$C$4)</f>
        <v>0.9</v>
      </c>
      <c r="AE288">
        <f>IF($D288=1,IF(ABS(INDEX(Src_SYSHECF_nuclear!$D$5:$D$292,MATCH($C288,Src_SYSHECF_nuclear!$C$5:$C$292,0))*$E288*F288-Keys!$C$2)&gt;Keys!$C$6,1,0),0)</f>
        <v>0</v>
      </c>
    </row>
    <row r="289" spans="1:31" x14ac:dyDescent="0.45">
      <c r="A289" t="s">
        <v>100</v>
      </c>
      <c r="B289" t="s">
        <v>429</v>
      </c>
      <c r="C289" t="str">
        <f t="shared" si="4"/>
        <v>SD|Winter Peak</v>
      </c>
      <c r="D289">
        <f>INDEX(Src_BHRaSYC_nuclear!$HF$5:$HF$52,MATCH($A289,Src_BHRaSYC_nuclear!$A$5:$A$52,0))</f>
        <v>0</v>
      </c>
      <c r="E289">
        <f>INDEX(Src_HYECFCA_nuclear!$B$5:$B$52,MATCH($A289,Src_HYECFCA_nuclear!$A$5:$A$52,0))</f>
        <v>1</v>
      </c>
      <c r="F289">
        <f>IF($D289=1,ROUND(Keys!$C$2/(INDEX(Src_SYSHECF_nuclear!$D$5:$D$292,MATCH($C289,Src_SYSHECF_nuclear!$C$5:$C$292,0))*$E289),Keys!$C$5),Keys!$C$4)</f>
        <v>0.9</v>
      </c>
      <c r="G289">
        <f>IF($D289=1,ROUND(Keys!$C$2/(INDEX(Src_SYSHECF_nuclear!$E$5:$E$292,MATCH($C289,Src_SYSHECF_nuclear!$C$5:$C$292,0))*$E289),Keys!$C$5),Keys!$C$4)</f>
        <v>0.9</v>
      </c>
      <c r="H289">
        <f>IF($D289=1,ROUND(Keys!$C$2/(INDEX(Src_SYSHECF_nuclear!$F$5:$F$292,MATCH($C289,Src_SYSHECF_nuclear!$C$5:$C$292,0))*$E289),Keys!$C$5),Keys!$C$4)</f>
        <v>0.9</v>
      </c>
      <c r="I289">
        <f>IF($D289=1,ROUND(Keys!$C$2/(INDEX(Src_SYSHECF_nuclear!$G$5:$G$292,MATCH($C289,Src_SYSHECF_nuclear!$C$5:$C$292,0))*$E289),Keys!$C$5),Keys!$C$4)</f>
        <v>0.9</v>
      </c>
      <c r="J289">
        <f>IF($D289=1,ROUND(Keys!$C$2/(INDEX(Src_SYSHECF_nuclear!$H$5:$H$292,MATCH($C289,Src_SYSHECF_nuclear!$C$5:$C$292,0))*$E289),Keys!$C$5),Keys!$C$4)</f>
        <v>0.9</v>
      </c>
      <c r="K289">
        <f>IF($D289=1,ROUND(Keys!$C$2/(INDEX(Src_SYSHECF_nuclear!$I$5:$I$292,MATCH($C289,Src_SYSHECF_nuclear!$C$5:$C$292,0))*$E289),Keys!$C$5),Keys!$C$4)</f>
        <v>0.9</v>
      </c>
      <c r="L289">
        <f>IF($D289=1,ROUND(Keys!$C$2/(INDEX(Src_SYSHECF_nuclear!$J$5:$J$292,MATCH($C289,Src_SYSHECF_nuclear!$C$5:$C$292,0))*$E289),Keys!$C$5),Keys!$C$4)</f>
        <v>0.9</v>
      </c>
      <c r="M289">
        <f>IF($D289=1,ROUND(Keys!$C$2/(INDEX(Src_SYSHECF_nuclear!$K$5:$K$292,MATCH($C289,Src_SYSHECF_nuclear!$C$5:$C$292,0))*$E289),Keys!$C$5),Keys!$C$4)</f>
        <v>0.9</v>
      </c>
      <c r="N289">
        <f>IF($D289=1,ROUND(Keys!$C$2/(INDEX(Src_SYSHECF_nuclear!$L$5:$L$292,MATCH($C289,Src_SYSHECF_nuclear!$C$5:$C$292,0))*$E289),Keys!$C$5),Keys!$C$4)</f>
        <v>0.9</v>
      </c>
      <c r="O289">
        <f>IF($D289=1,ROUND(Keys!$C$2/(INDEX(Src_SYSHECF_nuclear!$M$5:$M$292,MATCH($C289,Src_SYSHECF_nuclear!$C$5:$C$292,0))*$E289),Keys!$C$5),Keys!$C$4)</f>
        <v>0.9</v>
      </c>
      <c r="P289">
        <f>IF($D289=1,ROUND(Keys!$C$2/(INDEX(Src_SYSHECF_nuclear!$N$5:$N$292,MATCH($C289,Src_SYSHECF_nuclear!$C$5:$C$292,0))*$E289),Keys!$C$5),Keys!$C$4)</f>
        <v>0.9</v>
      </c>
      <c r="Q289">
        <f>IF($D289=1,ROUND(Keys!$C$2/(INDEX(Src_SYSHECF_nuclear!$O$5:$O$292,MATCH($C289,Src_SYSHECF_nuclear!$C$5:$C$292,0))*$E289),Keys!$C$5),Keys!$C$4)</f>
        <v>0.9</v>
      </c>
      <c r="R289">
        <f>IF($D289=1,ROUND(Keys!$C$2/(INDEX(Src_SYSHECF_nuclear!$P$5:$P$292,MATCH($C289,Src_SYSHECF_nuclear!$C$5:$C$292,0))*$E289),Keys!$C$5),Keys!$C$4)</f>
        <v>0.9</v>
      </c>
      <c r="S289">
        <f>IF($D289=1,ROUND(Keys!$C$2/(INDEX(Src_SYSHECF_nuclear!$Q$5:$Q$292,MATCH($C289,Src_SYSHECF_nuclear!$C$5:$C$292,0))*$E289),Keys!$C$5),Keys!$C$4)</f>
        <v>0.9</v>
      </c>
      <c r="T289">
        <f>IF($D289=1,ROUND(Keys!$C$2/(INDEX(Src_SYSHECF_nuclear!$R$5:$R$292,MATCH($C289,Src_SYSHECF_nuclear!$C$5:$C$292,0))*$E289),Keys!$C$5),Keys!$C$4)</f>
        <v>0.9</v>
      </c>
      <c r="U289">
        <f>IF($D289=1,ROUND(Keys!$C$2/(INDEX(Src_SYSHECF_nuclear!$S$5:$S$292,MATCH($C289,Src_SYSHECF_nuclear!$C$5:$C$292,0))*$E289),Keys!$C$5),Keys!$C$4)</f>
        <v>0.9</v>
      </c>
      <c r="V289">
        <f>IF($D289=1,ROUND(Keys!$C$2/(INDEX(Src_SYSHECF_nuclear!$T$5:$T$292,MATCH($C289,Src_SYSHECF_nuclear!$C$5:$C$292,0))*$E289),Keys!$C$5),Keys!$C$4)</f>
        <v>0.9</v>
      </c>
      <c r="W289">
        <f>IF($D289=1,ROUND(Keys!$C$2/(INDEX(Src_SYSHECF_nuclear!$U$5:$U$292,MATCH($C289,Src_SYSHECF_nuclear!$C$5:$C$292,0))*$E289),Keys!$C$5),Keys!$C$4)</f>
        <v>0.9</v>
      </c>
      <c r="X289">
        <f>IF($D289=1,ROUND(Keys!$C$2/(INDEX(Src_SYSHECF_nuclear!$V$5:$V$292,MATCH($C289,Src_SYSHECF_nuclear!$C$5:$C$292,0))*$E289),Keys!$C$5),Keys!$C$4)</f>
        <v>0.9</v>
      </c>
      <c r="Y289">
        <f>IF($D289=1,ROUND(Keys!$C$2/(INDEX(Src_SYSHECF_nuclear!$W$5:$W$292,MATCH($C289,Src_SYSHECF_nuclear!$C$5:$C$292,0))*$E289),Keys!$C$5),Keys!$C$4)</f>
        <v>0.9</v>
      </c>
      <c r="Z289">
        <f>IF($D289=1,ROUND(Keys!$C$2/(INDEX(Src_SYSHECF_nuclear!$X$5:$X$292,MATCH($C289,Src_SYSHECF_nuclear!$C$5:$C$292,0))*$E289),Keys!$C$5),Keys!$C$4)</f>
        <v>0.9</v>
      </c>
      <c r="AA289">
        <f>IF($D289=1,ROUND(Keys!$C$2/(INDEX(Src_SYSHECF_nuclear!$Y$5:$Y$292,MATCH($C289,Src_SYSHECF_nuclear!$C$5:$C$292,0))*$E289),Keys!$C$5),Keys!$C$4)</f>
        <v>0.9</v>
      </c>
      <c r="AB289">
        <f>IF($D289=1,ROUND(Keys!$C$2/(INDEX(Src_SYSHECF_nuclear!$Z$5:$Z$292,MATCH($C289,Src_SYSHECF_nuclear!$C$5:$C$292,0))*$E289),Keys!$C$5),Keys!$C$4)</f>
        <v>0.9</v>
      </c>
      <c r="AC289">
        <f>IF($D289=1,ROUND(Keys!$C$2/(INDEX(Src_SYSHECF_nuclear!$AA$5:$AA$292,MATCH($C289,Src_SYSHECF_nuclear!$C$5:$C$292,0))*$E289),Keys!$C$5),Keys!$C$4)</f>
        <v>0.9</v>
      </c>
      <c r="AE289">
        <f>IF($D289=1,IF(ABS(INDEX(Src_SYSHECF_nuclear!$D$5:$D$292,MATCH($C289,Src_SYSHECF_nuclear!$C$5:$C$292,0))*$E289*F289-Keys!$C$2)&gt;Keys!$C$6,1,0),0)</f>
        <v>0</v>
      </c>
    </row>
    <row r="290" spans="1:31" x14ac:dyDescent="0.45">
      <c r="A290" t="s">
        <v>102</v>
      </c>
      <c r="B290" t="s">
        <v>424</v>
      </c>
      <c r="C290" t="str">
        <f t="shared" si="4"/>
        <v>TN|Winter</v>
      </c>
      <c r="D290">
        <f>INDEX(Src_BHRaSYC_nuclear!$HF$5:$HF$52,MATCH($A290,Src_BHRaSYC_nuclear!$A$5:$A$52,0))</f>
        <v>1</v>
      </c>
      <c r="E290">
        <f>INDEX(Src_HYECFCA_nuclear!$B$5:$B$52,MATCH($A290,Src_HYECFCA_nuclear!$A$5:$A$52,0))</f>
        <v>0.95361300000000004</v>
      </c>
      <c r="F290">
        <f>IF($D290=1,ROUND(Keys!$C$2/(INDEX(Src_SYSHECF_nuclear!$D$5:$D$292,MATCH($C290,Src_SYSHECF_nuclear!$C$5:$C$292,0))*$E290),Keys!$C$5),Keys!$C$4)</f>
        <v>1.3167</v>
      </c>
      <c r="G290">
        <f>IF($D290=1,ROUND(Keys!$C$2/(INDEX(Src_SYSHECF_nuclear!$E$5:$E$292,MATCH($C290,Src_SYSHECF_nuclear!$C$5:$C$292,0))*$E290),Keys!$C$5),Keys!$C$4)</f>
        <v>1.3167</v>
      </c>
      <c r="H290">
        <f>IF($D290=1,ROUND(Keys!$C$2/(INDEX(Src_SYSHECF_nuclear!$F$5:$F$292,MATCH($C290,Src_SYSHECF_nuclear!$C$5:$C$292,0))*$E290),Keys!$C$5),Keys!$C$4)</f>
        <v>1.3167</v>
      </c>
      <c r="I290">
        <f>IF($D290=1,ROUND(Keys!$C$2/(INDEX(Src_SYSHECF_nuclear!$G$5:$G$292,MATCH($C290,Src_SYSHECF_nuclear!$C$5:$C$292,0))*$E290),Keys!$C$5),Keys!$C$4)</f>
        <v>1.3167</v>
      </c>
      <c r="J290">
        <f>IF($D290=1,ROUND(Keys!$C$2/(INDEX(Src_SYSHECF_nuclear!$H$5:$H$292,MATCH($C290,Src_SYSHECF_nuclear!$C$5:$C$292,0))*$E290),Keys!$C$5),Keys!$C$4)</f>
        <v>1.3167</v>
      </c>
      <c r="K290">
        <f>IF($D290=1,ROUND(Keys!$C$2/(INDEX(Src_SYSHECF_nuclear!$I$5:$I$292,MATCH($C290,Src_SYSHECF_nuclear!$C$5:$C$292,0))*$E290),Keys!$C$5),Keys!$C$4)</f>
        <v>1.3167</v>
      </c>
      <c r="L290">
        <f>IF($D290=1,ROUND(Keys!$C$2/(INDEX(Src_SYSHECF_nuclear!$J$5:$J$292,MATCH($C290,Src_SYSHECF_nuclear!$C$5:$C$292,0))*$E290),Keys!$C$5),Keys!$C$4)</f>
        <v>1.3167</v>
      </c>
      <c r="M290">
        <f>IF($D290=1,ROUND(Keys!$C$2/(INDEX(Src_SYSHECF_nuclear!$K$5:$K$292,MATCH($C290,Src_SYSHECF_nuclear!$C$5:$C$292,0))*$E290),Keys!$C$5),Keys!$C$4)</f>
        <v>1.3167</v>
      </c>
      <c r="N290">
        <f>IF($D290=1,ROUND(Keys!$C$2/(INDEX(Src_SYSHECF_nuclear!$L$5:$L$292,MATCH($C290,Src_SYSHECF_nuclear!$C$5:$C$292,0))*$E290),Keys!$C$5),Keys!$C$4)</f>
        <v>1.3167</v>
      </c>
      <c r="O290">
        <f>IF($D290=1,ROUND(Keys!$C$2/(INDEX(Src_SYSHECF_nuclear!$M$5:$M$292,MATCH($C290,Src_SYSHECF_nuclear!$C$5:$C$292,0))*$E290),Keys!$C$5),Keys!$C$4)</f>
        <v>1.3167</v>
      </c>
      <c r="P290">
        <f>IF($D290=1,ROUND(Keys!$C$2/(INDEX(Src_SYSHECF_nuclear!$N$5:$N$292,MATCH($C290,Src_SYSHECF_nuclear!$C$5:$C$292,0))*$E290),Keys!$C$5),Keys!$C$4)</f>
        <v>1.3167</v>
      </c>
      <c r="Q290">
        <f>IF($D290=1,ROUND(Keys!$C$2/(INDEX(Src_SYSHECF_nuclear!$O$5:$O$292,MATCH($C290,Src_SYSHECF_nuclear!$C$5:$C$292,0))*$E290),Keys!$C$5),Keys!$C$4)</f>
        <v>1.3167</v>
      </c>
      <c r="R290">
        <f>IF($D290=1,ROUND(Keys!$C$2/(INDEX(Src_SYSHECF_nuclear!$P$5:$P$292,MATCH($C290,Src_SYSHECF_nuclear!$C$5:$C$292,0))*$E290),Keys!$C$5),Keys!$C$4)</f>
        <v>1.3167</v>
      </c>
      <c r="S290">
        <f>IF($D290=1,ROUND(Keys!$C$2/(INDEX(Src_SYSHECF_nuclear!$Q$5:$Q$292,MATCH($C290,Src_SYSHECF_nuclear!$C$5:$C$292,0))*$E290),Keys!$C$5),Keys!$C$4)</f>
        <v>1.3167</v>
      </c>
      <c r="T290">
        <f>IF($D290=1,ROUND(Keys!$C$2/(INDEX(Src_SYSHECF_nuclear!$R$5:$R$292,MATCH($C290,Src_SYSHECF_nuclear!$C$5:$C$292,0))*$E290),Keys!$C$5),Keys!$C$4)</f>
        <v>1.3167</v>
      </c>
      <c r="U290">
        <f>IF($D290=1,ROUND(Keys!$C$2/(INDEX(Src_SYSHECF_nuclear!$S$5:$S$292,MATCH($C290,Src_SYSHECF_nuclear!$C$5:$C$292,0))*$E290),Keys!$C$5),Keys!$C$4)</f>
        <v>1.3167</v>
      </c>
      <c r="V290">
        <f>IF($D290=1,ROUND(Keys!$C$2/(INDEX(Src_SYSHECF_nuclear!$T$5:$T$292,MATCH($C290,Src_SYSHECF_nuclear!$C$5:$C$292,0))*$E290),Keys!$C$5),Keys!$C$4)</f>
        <v>1.3167</v>
      </c>
      <c r="W290">
        <f>IF($D290=1,ROUND(Keys!$C$2/(INDEX(Src_SYSHECF_nuclear!$U$5:$U$292,MATCH($C290,Src_SYSHECF_nuclear!$C$5:$C$292,0))*$E290),Keys!$C$5),Keys!$C$4)</f>
        <v>1.3167</v>
      </c>
      <c r="X290">
        <f>IF($D290=1,ROUND(Keys!$C$2/(INDEX(Src_SYSHECF_nuclear!$V$5:$V$292,MATCH($C290,Src_SYSHECF_nuclear!$C$5:$C$292,0))*$E290),Keys!$C$5),Keys!$C$4)</f>
        <v>1.3167</v>
      </c>
      <c r="Y290">
        <f>IF($D290=1,ROUND(Keys!$C$2/(INDEX(Src_SYSHECF_nuclear!$W$5:$W$292,MATCH($C290,Src_SYSHECF_nuclear!$C$5:$C$292,0))*$E290),Keys!$C$5),Keys!$C$4)</f>
        <v>1.3167</v>
      </c>
      <c r="Z290">
        <f>IF($D290=1,ROUND(Keys!$C$2/(INDEX(Src_SYSHECF_nuclear!$X$5:$X$292,MATCH($C290,Src_SYSHECF_nuclear!$C$5:$C$292,0))*$E290),Keys!$C$5),Keys!$C$4)</f>
        <v>1.3167</v>
      </c>
      <c r="AA290">
        <f>IF($D290=1,ROUND(Keys!$C$2/(INDEX(Src_SYSHECF_nuclear!$Y$5:$Y$292,MATCH($C290,Src_SYSHECF_nuclear!$C$5:$C$292,0))*$E290),Keys!$C$5),Keys!$C$4)</f>
        <v>1.3167</v>
      </c>
      <c r="AB290">
        <f>IF($D290=1,ROUND(Keys!$C$2/(INDEX(Src_SYSHECF_nuclear!$Z$5:$Z$292,MATCH($C290,Src_SYSHECF_nuclear!$C$5:$C$292,0))*$E290),Keys!$C$5),Keys!$C$4)</f>
        <v>1.3167</v>
      </c>
      <c r="AC290">
        <f>IF($D290=1,ROUND(Keys!$C$2/(INDEX(Src_SYSHECF_nuclear!$AA$5:$AA$292,MATCH($C290,Src_SYSHECF_nuclear!$C$5:$C$292,0))*$E290),Keys!$C$5),Keys!$C$4)</f>
        <v>1.3167</v>
      </c>
      <c r="AE290">
        <f>IF($D290=1,IF(ABS(INDEX(Src_SYSHECF_nuclear!$D$5:$D$292,MATCH($C290,Src_SYSHECF_nuclear!$C$5:$C$292,0))*$E290*F290-Keys!$C$2)&gt;Keys!$C$6,1,0),0)</f>
        <v>0</v>
      </c>
    </row>
    <row r="291" spans="1:31" x14ac:dyDescent="0.45">
      <c r="A291" t="s">
        <v>102</v>
      </c>
      <c r="B291" t="s">
        <v>425</v>
      </c>
      <c r="C291" t="str">
        <f t="shared" si="4"/>
        <v>TN|Spring</v>
      </c>
      <c r="D291">
        <f>INDEX(Src_BHRaSYC_nuclear!$HF$5:$HF$52,MATCH($A291,Src_BHRaSYC_nuclear!$A$5:$A$52,0))</f>
        <v>1</v>
      </c>
      <c r="E291">
        <f>INDEX(Src_HYECFCA_nuclear!$B$5:$B$52,MATCH($A291,Src_HYECFCA_nuclear!$A$5:$A$52,0))</f>
        <v>0.95361300000000004</v>
      </c>
      <c r="F291">
        <f>IF($D291=1,ROUND(Keys!$C$2/(INDEX(Src_SYSHECF_nuclear!$D$5:$D$292,MATCH($C291,Src_SYSHECF_nuclear!$C$5:$C$292,0))*$E291),Keys!$C$5),Keys!$C$4)</f>
        <v>1.3167</v>
      </c>
      <c r="G291">
        <f>IF($D291=1,ROUND(Keys!$C$2/(INDEX(Src_SYSHECF_nuclear!$E$5:$E$292,MATCH($C291,Src_SYSHECF_nuclear!$C$5:$C$292,0))*$E291),Keys!$C$5),Keys!$C$4)</f>
        <v>1.3167</v>
      </c>
      <c r="H291">
        <f>IF($D291=1,ROUND(Keys!$C$2/(INDEX(Src_SYSHECF_nuclear!$F$5:$F$292,MATCH($C291,Src_SYSHECF_nuclear!$C$5:$C$292,0))*$E291),Keys!$C$5),Keys!$C$4)</f>
        <v>1.3167</v>
      </c>
      <c r="I291">
        <f>IF($D291=1,ROUND(Keys!$C$2/(INDEX(Src_SYSHECF_nuclear!$G$5:$G$292,MATCH($C291,Src_SYSHECF_nuclear!$C$5:$C$292,0))*$E291),Keys!$C$5),Keys!$C$4)</f>
        <v>1.3167</v>
      </c>
      <c r="J291">
        <f>IF($D291=1,ROUND(Keys!$C$2/(INDEX(Src_SYSHECF_nuclear!$H$5:$H$292,MATCH($C291,Src_SYSHECF_nuclear!$C$5:$C$292,0))*$E291),Keys!$C$5),Keys!$C$4)</f>
        <v>1.3167</v>
      </c>
      <c r="K291">
        <f>IF($D291=1,ROUND(Keys!$C$2/(INDEX(Src_SYSHECF_nuclear!$I$5:$I$292,MATCH($C291,Src_SYSHECF_nuclear!$C$5:$C$292,0))*$E291),Keys!$C$5),Keys!$C$4)</f>
        <v>1.3167</v>
      </c>
      <c r="L291">
        <f>IF($D291=1,ROUND(Keys!$C$2/(INDEX(Src_SYSHECF_nuclear!$J$5:$J$292,MATCH($C291,Src_SYSHECF_nuclear!$C$5:$C$292,0))*$E291),Keys!$C$5),Keys!$C$4)</f>
        <v>1.3167</v>
      </c>
      <c r="M291">
        <f>IF($D291=1,ROUND(Keys!$C$2/(INDEX(Src_SYSHECF_nuclear!$K$5:$K$292,MATCH($C291,Src_SYSHECF_nuclear!$C$5:$C$292,0))*$E291),Keys!$C$5),Keys!$C$4)</f>
        <v>1.3167</v>
      </c>
      <c r="N291">
        <f>IF($D291=1,ROUND(Keys!$C$2/(INDEX(Src_SYSHECF_nuclear!$L$5:$L$292,MATCH($C291,Src_SYSHECF_nuclear!$C$5:$C$292,0))*$E291),Keys!$C$5),Keys!$C$4)</f>
        <v>1.3167</v>
      </c>
      <c r="O291">
        <f>IF($D291=1,ROUND(Keys!$C$2/(INDEX(Src_SYSHECF_nuclear!$M$5:$M$292,MATCH($C291,Src_SYSHECF_nuclear!$C$5:$C$292,0))*$E291),Keys!$C$5),Keys!$C$4)</f>
        <v>1.3167</v>
      </c>
      <c r="P291">
        <f>IF($D291=1,ROUND(Keys!$C$2/(INDEX(Src_SYSHECF_nuclear!$N$5:$N$292,MATCH($C291,Src_SYSHECF_nuclear!$C$5:$C$292,0))*$E291),Keys!$C$5),Keys!$C$4)</f>
        <v>1.3167</v>
      </c>
      <c r="Q291">
        <f>IF($D291=1,ROUND(Keys!$C$2/(INDEX(Src_SYSHECF_nuclear!$O$5:$O$292,MATCH($C291,Src_SYSHECF_nuclear!$C$5:$C$292,0))*$E291),Keys!$C$5),Keys!$C$4)</f>
        <v>1.3167</v>
      </c>
      <c r="R291">
        <f>IF($D291=1,ROUND(Keys!$C$2/(INDEX(Src_SYSHECF_nuclear!$P$5:$P$292,MATCH($C291,Src_SYSHECF_nuclear!$C$5:$C$292,0))*$E291),Keys!$C$5),Keys!$C$4)</f>
        <v>1.3167</v>
      </c>
      <c r="S291">
        <f>IF($D291=1,ROUND(Keys!$C$2/(INDEX(Src_SYSHECF_nuclear!$Q$5:$Q$292,MATCH($C291,Src_SYSHECF_nuclear!$C$5:$C$292,0))*$E291),Keys!$C$5),Keys!$C$4)</f>
        <v>1.3167</v>
      </c>
      <c r="T291">
        <f>IF($D291=1,ROUND(Keys!$C$2/(INDEX(Src_SYSHECF_nuclear!$R$5:$R$292,MATCH($C291,Src_SYSHECF_nuclear!$C$5:$C$292,0))*$E291),Keys!$C$5),Keys!$C$4)</f>
        <v>1.3167</v>
      </c>
      <c r="U291">
        <f>IF($D291=1,ROUND(Keys!$C$2/(INDEX(Src_SYSHECF_nuclear!$S$5:$S$292,MATCH($C291,Src_SYSHECF_nuclear!$C$5:$C$292,0))*$E291),Keys!$C$5),Keys!$C$4)</f>
        <v>1.3167</v>
      </c>
      <c r="V291">
        <f>IF($D291=1,ROUND(Keys!$C$2/(INDEX(Src_SYSHECF_nuclear!$T$5:$T$292,MATCH($C291,Src_SYSHECF_nuclear!$C$5:$C$292,0))*$E291),Keys!$C$5),Keys!$C$4)</f>
        <v>1.3167</v>
      </c>
      <c r="W291">
        <f>IF($D291=1,ROUND(Keys!$C$2/(INDEX(Src_SYSHECF_nuclear!$U$5:$U$292,MATCH($C291,Src_SYSHECF_nuclear!$C$5:$C$292,0))*$E291),Keys!$C$5),Keys!$C$4)</f>
        <v>1.3167</v>
      </c>
      <c r="X291">
        <f>IF($D291=1,ROUND(Keys!$C$2/(INDEX(Src_SYSHECF_nuclear!$V$5:$V$292,MATCH($C291,Src_SYSHECF_nuclear!$C$5:$C$292,0))*$E291),Keys!$C$5),Keys!$C$4)</f>
        <v>1.3167</v>
      </c>
      <c r="Y291">
        <f>IF($D291=1,ROUND(Keys!$C$2/(INDEX(Src_SYSHECF_nuclear!$W$5:$W$292,MATCH($C291,Src_SYSHECF_nuclear!$C$5:$C$292,0))*$E291),Keys!$C$5),Keys!$C$4)</f>
        <v>1.3167</v>
      </c>
      <c r="Z291">
        <f>IF($D291=1,ROUND(Keys!$C$2/(INDEX(Src_SYSHECF_nuclear!$X$5:$X$292,MATCH($C291,Src_SYSHECF_nuclear!$C$5:$C$292,0))*$E291),Keys!$C$5),Keys!$C$4)</f>
        <v>1.3167</v>
      </c>
      <c r="AA291">
        <f>IF($D291=1,ROUND(Keys!$C$2/(INDEX(Src_SYSHECF_nuclear!$Y$5:$Y$292,MATCH($C291,Src_SYSHECF_nuclear!$C$5:$C$292,0))*$E291),Keys!$C$5),Keys!$C$4)</f>
        <v>1.3167</v>
      </c>
      <c r="AB291">
        <f>IF($D291=1,ROUND(Keys!$C$2/(INDEX(Src_SYSHECF_nuclear!$Z$5:$Z$292,MATCH($C291,Src_SYSHECF_nuclear!$C$5:$C$292,0))*$E291),Keys!$C$5),Keys!$C$4)</f>
        <v>1.3167</v>
      </c>
      <c r="AC291">
        <f>IF($D291=1,ROUND(Keys!$C$2/(INDEX(Src_SYSHECF_nuclear!$AA$5:$AA$292,MATCH($C291,Src_SYSHECF_nuclear!$C$5:$C$292,0))*$E291),Keys!$C$5),Keys!$C$4)</f>
        <v>1.3167</v>
      </c>
      <c r="AE291">
        <f>IF($D291=1,IF(ABS(INDEX(Src_SYSHECF_nuclear!$D$5:$D$292,MATCH($C291,Src_SYSHECF_nuclear!$C$5:$C$292,0))*$E291*F291-Keys!$C$2)&gt;Keys!$C$6,1,0),0)</f>
        <v>0</v>
      </c>
    </row>
    <row r="292" spans="1:31" x14ac:dyDescent="0.45">
      <c r="A292" t="s">
        <v>102</v>
      </c>
      <c r="B292" t="s">
        <v>426</v>
      </c>
      <c r="C292" t="str">
        <f t="shared" si="4"/>
        <v>TN|Summer</v>
      </c>
      <c r="D292">
        <f>INDEX(Src_BHRaSYC_nuclear!$HF$5:$HF$52,MATCH($A292,Src_BHRaSYC_nuclear!$A$5:$A$52,0))</f>
        <v>1</v>
      </c>
      <c r="E292">
        <f>INDEX(Src_HYECFCA_nuclear!$B$5:$B$52,MATCH($A292,Src_HYECFCA_nuclear!$A$5:$A$52,0))</f>
        <v>0.95361300000000004</v>
      </c>
      <c r="F292">
        <f>IF($D292=1,ROUND(Keys!$C$2/(INDEX(Src_SYSHECF_nuclear!$D$5:$D$292,MATCH($C292,Src_SYSHECF_nuclear!$C$5:$C$292,0))*$E292),Keys!$C$5),Keys!$C$4)</f>
        <v>1.3167</v>
      </c>
      <c r="G292">
        <f>IF($D292=1,ROUND(Keys!$C$2/(INDEX(Src_SYSHECF_nuclear!$E$5:$E$292,MATCH($C292,Src_SYSHECF_nuclear!$C$5:$C$292,0))*$E292),Keys!$C$5),Keys!$C$4)</f>
        <v>1.3167</v>
      </c>
      <c r="H292">
        <f>IF($D292=1,ROUND(Keys!$C$2/(INDEX(Src_SYSHECF_nuclear!$F$5:$F$292,MATCH($C292,Src_SYSHECF_nuclear!$C$5:$C$292,0))*$E292),Keys!$C$5),Keys!$C$4)</f>
        <v>1.3167</v>
      </c>
      <c r="I292">
        <f>IF($D292=1,ROUND(Keys!$C$2/(INDEX(Src_SYSHECF_nuclear!$G$5:$G$292,MATCH($C292,Src_SYSHECF_nuclear!$C$5:$C$292,0))*$E292),Keys!$C$5),Keys!$C$4)</f>
        <v>1.3167</v>
      </c>
      <c r="J292">
        <f>IF($D292=1,ROUND(Keys!$C$2/(INDEX(Src_SYSHECF_nuclear!$H$5:$H$292,MATCH($C292,Src_SYSHECF_nuclear!$C$5:$C$292,0))*$E292),Keys!$C$5),Keys!$C$4)</f>
        <v>1.3167</v>
      </c>
      <c r="K292">
        <f>IF($D292=1,ROUND(Keys!$C$2/(INDEX(Src_SYSHECF_nuclear!$I$5:$I$292,MATCH($C292,Src_SYSHECF_nuclear!$C$5:$C$292,0))*$E292),Keys!$C$5),Keys!$C$4)</f>
        <v>1.3218000000000001</v>
      </c>
      <c r="L292">
        <f>IF($D292=1,ROUND(Keys!$C$2/(INDEX(Src_SYSHECF_nuclear!$J$5:$J$292,MATCH($C292,Src_SYSHECF_nuclear!$C$5:$C$292,0))*$E292),Keys!$C$5),Keys!$C$4)</f>
        <v>1.3194999999999999</v>
      </c>
      <c r="M292">
        <f>IF($D292=1,ROUND(Keys!$C$2/(INDEX(Src_SYSHECF_nuclear!$K$5:$K$292,MATCH($C292,Src_SYSHECF_nuclear!$C$5:$C$292,0))*$E292),Keys!$C$5),Keys!$C$4)</f>
        <v>1.3167</v>
      </c>
      <c r="N292">
        <f>IF($D292=1,ROUND(Keys!$C$2/(INDEX(Src_SYSHECF_nuclear!$L$5:$L$292,MATCH($C292,Src_SYSHECF_nuclear!$C$5:$C$292,0))*$E292),Keys!$C$5),Keys!$C$4)</f>
        <v>1.3167</v>
      </c>
      <c r="O292">
        <f>IF($D292=1,ROUND(Keys!$C$2/(INDEX(Src_SYSHECF_nuclear!$M$5:$M$292,MATCH($C292,Src_SYSHECF_nuclear!$C$5:$C$292,0))*$E292),Keys!$C$5),Keys!$C$4)</f>
        <v>1.3167</v>
      </c>
      <c r="P292">
        <f>IF($D292=1,ROUND(Keys!$C$2/(INDEX(Src_SYSHECF_nuclear!$N$5:$N$292,MATCH($C292,Src_SYSHECF_nuclear!$C$5:$C$292,0))*$E292),Keys!$C$5),Keys!$C$4)</f>
        <v>1.3167</v>
      </c>
      <c r="Q292">
        <f>IF($D292=1,ROUND(Keys!$C$2/(INDEX(Src_SYSHECF_nuclear!$O$5:$O$292,MATCH($C292,Src_SYSHECF_nuclear!$C$5:$C$292,0))*$E292),Keys!$C$5),Keys!$C$4)</f>
        <v>1.3167</v>
      </c>
      <c r="R292">
        <f>IF($D292=1,ROUND(Keys!$C$2/(INDEX(Src_SYSHECF_nuclear!$P$5:$P$292,MATCH($C292,Src_SYSHECF_nuclear!$C$5:$C$292,0))*$E292),Keys!$C$5),Keys!$C$4)</f>
        <v>1.3167</v>
      </c>
      <c r="S292">
        <f>IF($D292=1,ROUND(Keys!$C$2/(INDEX(Src_SYSHECF_nuclear!$Q$5:$Q$292,MATCH($C292,Src_SYSHECF_nuclear!$C$5:$C$292,0))*$E292),Keys!$C$5),Keys!$C$4)</f>
        <v>1.3167</v>
      </c>
      <c r="T292">
        <f>IF($D292=1,ROUND(Keys!$C$2/(INDEX(Src_SYSHECF_nuclear!$R$5:$R$292,MATCH($C292,Src_SYSHECF_nuclear!$C$5:$C$292,0))*$E292),Keys!$C$5),Keys!$C$4)</f>
        <v>1.3167</v>
      </c>
      <c r="U292">
        <f>IF($D292=1,ROUND(Keys!$C$2/(INDEX(Src_SYSHECF_nuclear!$S$5:$S$292,MATCH($C292,Src_SYSHECF_nuclear!$C$5:$C$292,0))*$E292),Keys!$C$5),Keys!$C$4)</f>
        <v>1.3167</v>
      </c>
      <c r="V292">
        <f>IF($D292=1,ROUND(Keys!$C$2/(INDEX(Src_SYSHECF_nuclear!$T$5:$T$292,MATCH($C292,Src_SYSHECF_nuclear!$C$5:$C$292,0))*$E292),Keys!$C$5),Keys!$C$4)</f>
        <v>1.3167</v>
      </c>
      <c r="W292">
        <f>IF($D292=1,ROUND(Keys!$C$2/(INDEX(Src_SYSHECF_nuclear!$U$5:$U$292,MATCH($C292,Src_SYSHECF_nuclear!$C$5:$C$292,0))*$E292),Keys!$C$5),Keys!$C$4)</f>
        <v>1.3167</v>
      </c>
      <c r="X292">
        <f>IF($D292=1,ROUND(Keys!$C$2/(INDEX(Src_SYSHECF_nuclear!$V$5:$V$292,MATCH($C292,Src_SYSHECF_nuclear!$C$5:$C$292,0))*$E292),Keys!$C$5),Keys!$C$4)</f>
        <v>1.3167</v>
      </c>
      <c r="Y292">
        <f>IF($D292=1,ROUND(Keys!$C$2/(INDEX(Src_SYSHECF_nuclear!$W$5:$W$292,MATCH($C292,Src_SYSHECF_nuclear!$C$5:$C$292,0))*$E292),Keys!$C$5),Keys!$C$4)</f>
        <v>1.3167</v>
      </c>
      <c r="Z292">
        <f>IF($D292=1,ROUND(Keys!$C$2/(INDEX(Src_SYSHECF_nuclear!$X$5:$X$292,MATCH($C292,Src_SYSHECF_nuclear!$C$5:$C$292,0))*$E292),Keys!$C$5),Keys!$C$4)</f>
        <v>1.3167</v>
      </c>
      <c r="AA292">
        <f>IF($D292=1,ROUND(Keys!$C$2/(INDEX(Src_SYSHECF_nuclear!$Y$5:$Y$292,MATCH($C292,Src_SYSHECF_nuclear!$C$5:$C$292,0))*$E292),Keys!$C$5),Keys!$C$4)</f>
        <v>1.3167</v>
      </c>
      <c r="AB292">
        <f>IF($D292=1,ROUND(Keys!$C$2/(INDEX(Src_SYSHECF_nuclear!$Z$5:$Z$292,MATCH($C292,Src_SYSHECF_nuclear!$C$5:$C$292,0))*$E292),Keys!$C$5),Keys!$C$4)</f>
        <v>1.3167</v>
      </c>
      <c r="AC292">
        <f>IF($D292=1,ROUND(Keys!$C$2/(INDEX(Src_SYSHECF_nuclear!$AA$5:$AA$292,MATCH($C292,Src_SYSHECF_nuclear!$C$5:$C$292,0))*$E292),Keys!$C$5),Keys!$C$4)</f>
        <v>1.3167</v>
      </c>
      <c r="AE292">
        <f>IF($D292=1,IF(ABS(INDEX(Src_SYSHECF_nuclear!$D$5:$D$292,MATCH($C292,Src_SYSHECF_nuclear!$C$5:$C$292,0))*$E292*F292-Keys!$C$2)&gt;Keys!$C$6,1,0),0)</f>
        <v>0</v>
      </c>
    </row>
    <row r="293" spans="1:31" x14ac:dyDescent="0.45">
      <c r="A293" t="s">
        <v>102</v>
      </c>
      <c r="B293" t="s">
        <v>427</v>
      </c>
      <c r="C293" t="str">
        <f t="shared" si="4"/>
        <v>TN|Fall</v>
      </c>
      <c r="D293">
        <f>INDEX(Src_BHRaSYC_nuclear!$HF$5:$HF$52,MATCH($A293,Src_BHRaSYC_nuclear!$A$5:$A$52,0))</f>
        <v>1</v>
      </c>
      <c r="E293">
        <f>INDEX(Src_HYECFCA_nuclear!$B$5:$B$52,MATCH($A293,Src_HYECFCA_nuclear!$A$5:$A$52,0))</f>
        <v>0.95361300000000004</v>
      </c>
      <c r="F293">
        <f>IF($D293=1,ROUND(Keys!$C$2/(INDEX(Src_SYSHECF_nuclear!$D$5:$D$292,MATCH($C293,Src_SYSHECF_nuclear!$C$5:$C$292,0))*$E293),Keys!$C$5),Keys!$C$4)</f>
        <v>1.3167</v>
      </c>
      <c r="G293">
        <f>IF($D293=1,ROUND(Keys!$C$2/(INDEX(Src_SYSHECF_nuclear!$E$5:$E$292,MATCH($C293,Src_SYSHECF_nuclear!$C$5:$C$292,0))*$E293),Keys!$C$5),Keys!$C$4)</f>
        <v>1.3167</v>
      </c>
      <c r="H293">
        <f>IF($D293=1,ROUND(Keys!$C$2/(INDEX(Src_SYSHECF_nuclear!$F$5:$F$292,MATCH($C293,Src_SYSHECF_nuclear!$C$5:$C$292,0))*$E293),Keys!$C$5),Keys!$C$4)</f>
        <v>1.3167</v>
      </c>
      <c r="I293">
        <f>IF($D293=1,ROUND(Keys!$C$2/(INDEX(Src_SYSHECF_nuclear!$G$5:$G$292,MATCH($C293,Src_SYSHECF_nuclear!$C$5:$C$292,0))*$E293),Keys!$C$5),Keys!$C$4)</f>
        <v>1.3167</v>
      </c>
      <c r="J293">
        <f>IF($D293=1,ROUND(Keys!$C$2/(INDEX(Src_SYSHECF_nuclear!$H$5:$H$292,MATCH($C293,Src_SYSHECF_nuclear!$C$5:$C$292,0))*$E293),Keys!$C$5),Keys!$C$4)</f>
        <v>1.3167</v>
      </c>
      <c r="K293">
        <f>IF($D293=1,ROUND(Keys!$C$2/(INDEX(Src_SYSHECF_nuclear!$I$5:$I$292,MATCH($C293,Src_SYSHECF_nuclear!$C$5:$C$292,0))*$E293),Keys!$C$5),Keys!$C$4)</f>
        <v>1.3192999999999999</v>
      </c>
      <c r="L293">
        <f>IF($D293=1,ROUND(Keys!$C$2/(INDEX(Src_SYSHECF_nuclear!$J$5:$J$292,MATCH($C293,Src_SYSHECF_nuclear!$C$5:$C$292,0))*$E293),Keys!$C$5),Keys!$C$4)</f>
        <v>1.3186</v>
      </c>
      <c r="M293">
        <f>IF($D293=1,ROUND(Keys!$C$2/(INDEX(Src_SYSHECF_nuclear!$K$5:$K$292,MATCH($C293,Src_SYSHECF_nuclear!$C$5:$C$292,0))*$E293),Keys!$C$5),Keys!$C$4)</f>
        <v>1.3167</v>
      </c>
      <c r="N293">
        <f>IF($D293=1,ROUND(Keys!$C$2/(INDEX(Src_SYSHECF_nuclear!$L$5:$L$292,MATCH($C293,Src_SYSHECF_nuclear!$C$5:$C$292,0))*$E293),Keys!$C$5),Keys!$C$4)</f>
        <v>1.3167</v>
      </c>
      <c r="O293">
        <f>IF($D293=1,ROUND(Keys!$C$2/(INDEX(Src_SYSHECF_nuclear!$M$5:$M$292,MATCH($C293,Src_SYSHECF_nuclear!$C$5:$C$292,0))*$E293),Keys!$C$5),Keys!$C$4)</f>
        <v>1.3167</v>
      </c>
      <c r="P293">
        <f>IF($D293=1,ROUND(Keys!$C$2/(INDEX(Src_SYSHECF_nuclear!$N$5:$N$292,MATCH($C293,Src_SYSHECF_nuclear!$C$5:$C$292,0))*$E293),Keys!$C$5),Keys!$C$4)</f>
        <v>1.3167</v>
      </c>
      <c r="Q293">
        <f>IF($D293=1,ROUND(Keys!$C$2/(INDEX(Src_SYSHECF_nuclear!$O$5:$O$292,MATCH($C293,Src_SYSHECF_nuclear!$C$5:$C$292,0))*$E293),Keys!$C$5),Keys!$C$4)</f>
        <v>1.3167</v>
      </c>
      <c r="R293">
        <f>IF($D293=1,ROUND(Keys!$C$2/(INDEX(Src_SYSHECF_nuclear!$P$5:$P$292,MATCH($C293,Src_SYSHECF_nuclear!$C$5:$C$292,0))*$E293),Keys!$C$5),Keys!$C$4)</f>
        <v>1.3167</v>
      </c>
      <c r="S293">
        <f>IF($D293=1,ROUND(Keys!$C$2/(INDEX(Src_SYSHECF_nuclear!$Q$5:$Q$292,MATCH($C293,Src_SYSHECF_nuclear!$C$5:$C$292,0))*$E293),Keys!$C$5),Keys!$C$4)</f>
        <v>1.3167</v>
      </c>
      <c r="T293">
        <f>IF($D293=1,ROUND(Keys!$C$2/(INDEX(Src_SYSHECF_nuclear!$R$5:$R$292,MATCH($C293,Src_SYSHECF_nuclear!$C$5:$C$292,0))*$E293),Keys!$C$5),Keys!$C$4)</f>
        <v>1.3167</v>
      </c>
      <c r="U293">
        <f>IF($D293=1,ROUND(Keys!$C$2/(INDEX(Src_SYSHECF_nuclear!$S$5:$S$292,MATCH($C293,Src_SYSHECF_nuclear!$C$5:$C$292,0))*$E293),Keys!$C$5),Keys!$C$4)</f>
        <v>1.3167</v>
      </c>
      <c r="V293">
        <f>IF($D293=1,ROUND(Keys!$C$2/(INDEX(Src_SYSHECF_nuclear!$T$5:$T$292,MATCH($C293,Src_SYSHECF_nuclear!$C$5:$C$292,0))*$E293),Keys!$C$5),Keys!$C$4)</f>
        <v>1.3167</v>
      </c>
      <c r="W293">
        <f>IF($D293=1,ROUND(Keys!$C$2/(INDEX(Src_SYSHECF_nuclear!$U$5:$U$292,MATCH($C293,Src_SYSHECF_nuclear!$C$5:$C$292,0))*$E293),Keys!$C$5),Keys!$C$4)</f>
        <v>1.3167</v>
      </c>
      <c r="X293">
        <f>IF($D293=1,ROUND(Keys!$C$2/(INDEX(Src_SYSHECF_nuclear!$V$5:$V$292,MATCH($C293,Src_SYSHECF_nuclear!$C$5:$C$292,0))*$E293),Keys!$C$5),Keys!$C$4)</f>
        <v>1.3167</v>
      </c>
      <c r="Y293">
        <f>IF($D293=1,ROUND(Keys!$C$2/(INDEX(Src_SYSHECF_nuclear!$W$5:$W$292,MATCH($C293,Src_SYSHECF_nuclear!$C$5:$C$292,0))*$E293),Keys!$C$5),Keys!$C$4)</f>
        <v>1.3167</v>
      </c>
      <c r="Z293">
        <f>IF($D293=1,ROUND(Keys!$C$2/(INDEX(Src_SYSHECF_nuclear!$X$5:$X$292,MATCH($C293,Src_SYSHECF_nuclear!$C$5:$C$292,0))*$E293),Keys!$C$5),Keys!$C$4)</f>
        <v>1.3167</v>
      </c>
      <c r="AA293">
        <f>IF($D293=1,ROUND(Keys!$C$2/(INDEX(Src_SYSHECF_nuclear!$Y$5:$Y$292,MATCH($C293,Src_SYSHECF_nuclear!$C$5:$C$292,0))*$E293),Keys!$C$5),Keys!$C$4)</f>
        <v>1.3167</v>
      </c>
      <c r="AB293">
        <f>IF($D293=1,ROUND(Keys!$C$2/(INDEX(Src_SYSHECF_nuclear!$Z$5:$Z$292,MATCH($C293,Src_SYSHECF_nuclear!$C$5:$C$292,0))*$E293),Keys!$C$5),Keys!$C$4)</f>
        <v>1.3167</v>
      </c>
      <c r="AC293">
        <f>IF($D293=1,ROUND(Keys!$C$2/(INDEX(Src_SYSHECF_nuclear!$AA$5:$AA$292,MATCH($C293,Src_SYSHECF_nuclear!$C$5:$C$292,0))*$E293),Keys!$C$5),Keys!$C$4)</f>
        <v>1.3172999999999999</v>
      </c>
      <c r="AE293">
        <f>IF($D293=1,IF(ABS(INDEX(Src_SYSHECF_nuclear!$D$5:$D$292,MATCH($C293,Src_SYSHECF_nuclear!$C$5:$C$292,0))*$E293*F293-Keys!$C$2)&gt;Keys!$C$6,1,0),0)</f>
        <v>0</v>
      </c>
    </row>
    <row r="294" spans="1:31" x14ac:dyDescent="0.45">
      <c r="A294" t="s">
        <v>102</v>
      </c>
      <c r="B294" t="s">
        <v>428</v>
      </c>
      <c r="C294" t="str">
        <f t="shared" si="4"/>
        <v>TN|Summer Peak</v>
      </c>
      <c r="D294">
        <f>INDEX(Src_BHRaSYC_nuclear!$HF$5:$HF$52,MATCH($A294,Src_BHRaSYC_nuclear!$A$5:$A$52,0))</f>
        <v>1</v>
      </c>
      <c r="E294">
        <f>INDEX(Src_HYECFCA_nuclear!$B$5:$B$52,MATCH($A294,Src_HYECFCA_nuclear!$A$5:$A$52,0))</f>
        <v>0.95361300000000004</v>
      </c>
      <c r="F294">
        <f>IF($D294=1,ROUND(Keys!$C$2/(INDEX(Src_SYSHECF_nuclear!$D$5:$D$292,MATCH($C294,Src_SYSHECF_nuclear!$C$5:$C$292,0))*$E294),Keys!$C$5),Keys!$C$4)</f>
        <v>1.3167</v>
      </c>
      <c r="G294">
        <f>IF($D294=1,ROUND(Keys!$C$2/(INDEX(Src_SYSHECF_nuclear!$E$5:$E$292,MATCH($C294,Src_SYSHECF_nuclear!$C$5:$C$292,0))*$E294),Keys!$C$5),Keys!$C$4)</f>
        <v>1.3167</v>
      </c>
      <c r="H294">
        <f>IF($D294=1,ROUND(Keys!$C$2/(INDEX(Src_SYSHECF_nuclear!$F$5:$F$292,MATCH($C294,Src_SYSHECF_nuclear!$C$5:$C$292,0))*$E294),Keys!$C$5),Keys!$C$4)</f>
        <v>1.3167</v>
      </c>
      <c r="I294">
        <f>IF($D294=1,ROUND(Keys!$C$2/(INDEX(Src_SYSHECF_nuclear!$G$5:$G$292,MATCH($C294,Src_SYSHECF_nuclear!$C$5:$C$292,0))*$E294),Keys!$C$5),Keys!$C$4)</f>
        <v>1.3167</v>
      </c>
      <c r="J294">
        <f>IF($D294=1,ROUND(Keys!$C$2/(INDEX(Src_SYSHECF_nuclear!$H$5:$H$292,MATCH($C294,Src_SYSHECF_nuclear!$C$5:$C$292,0))*$E294),Keys!$C$5),Keys!$C$4)</f>
        <v>1.3167</v>
      </c>
      <c r="K294">
        <f>IF($D294=1,ROUND(Keys!$C$2/(INDEX(Src_SYSHECF_nuclear!$I$5:$I$292,MATCH($C294,Src_SYSHECF_nuclear!$C$5:$C$292,0))*$E294),Keys!$C$5),Keys!$C$4)</f>
        <v>1.3167</v>
      </c>
      <c r="L294">
        <f>IF($D294=1,ROUND(Keys!$C$2/(INDEX(Src_SYSHECF_nuclear!$J$5:$J$292,MATCH($C294,Src_SYSHECF_nuclear!$C$5:$C$292,0))*$E294),Keys!$C$5),Keys!$C$4)</f>
        <v>1.3167</v>
      </c>
      <c r="M294">
        <f>IF($D294=1,ROUND(Keys!$C$2/(INDEX(Src_SYSHECF_nuclear!$K$5:$K$292,MATCH($C294,Src_SYSHECF_nuclear!$C$5:$C$292,0))*$E294),Keys!$C$5),Keys!$C$4)</f>
        <v>1.3167</v>
      </c>
      <c r="N294">
        <f>IF($D294=1,ROUND(Keys!$C$2/(INDEX(Src_SYSHECF_nuclear!$L$5:$L$292,MATCH($C294,Src_SYSHECF_nuclear!$C$5:$C$292,0))*$E294),Keys!$C$5),Keys!$C$4)</f>
        <v>1.3167</v>
      </c>
      <c r="O294">
        <f>IF($D294=1,ROUND(Keys!$C$2/(INDEX(Src_SYSHECF_nuclear!$M$5:$M$292,MATCH($C294,Src_SYSHECF_nuclear!$C$5:$C$292,0))*$E294),Keys!$C$5),Keys!$C$4)</f>
        <v>1.3167</v>
      </c>
      <c r="P294">
        <f>IF($D294=1,ROUND(Keys!$C$2/(INDEX(Src_SYSHECF_nuclear!$N$5:$N$292,MATCH($C294,Src_SYSHECF_nuclear!$C$5:$C$292,0))*$E294),Keys!$C$5),Keys!$C$4)</f>
        <v>1.3167</v>
      </c>
      <c r="Q294">
        <f>IF($D294=1,ROUND(Keys!$C$2/(INDEX(Src_SYSHECF_nuclear!$O$5:$O$292,MATCH($C294,Src_SYSHECF_nuclear!$C$5:$C$292,0))*$E294),Keys!$C$5),Keys!$C$4)</f>
        <v>1.3167</v>
      </c>
      <c r="R294">
        <f>IF($D294=1,ROUND(Keys!$C$2/(INDEX(Src_SYSHECF_nuclear!$P$5:$P$292,MATCH($C294,Src_SYSHECF_nuclear!$C$5:$C$292,0))*$E294),Keys!$C$5),Keys!$C$4)</f>
        <v>1.3167</v>
      </c>
      <c r="S294">
        <f>IF($D294=1,ROUND(Keys!$C$2/(INDEX(Src_SYSHECF_nuclear!$Q$5:$Q$292,MATCH($C294,Src_SYSHECF_nuclear!$C$5:$C$292,0))*$E294),Keys!$C$5),Keys!$C$4)</f>
        <v>1.3167</v>
      </c>
      <c r="T294">
        <f>IF($D294=1,ROUND(Keys!$C$2/(INDEX(Src_SYSHECF_nuclear!$R$5:$R$292,MATCH($C294,Src_SYSHECF_nuclear!$C$5:$C$292,0))*$E294),Keys!$C$5),Keys!$C$4)</f>
        <v>1.3167</v>
      </c>
      <c r="U294">
        <f>IF($D294=1,ROUND(Keys!$C$2/(INDEX(Src_SYSHECF_nuclear!$S$5:$S$292,MATCH($C294,Src_SYSHECF_nuclear!$C$5:$C$292,0))*$E294),Keys!$C$5),Keys!$C$4)</f>
        <v>1.3167</v>
      </c>
      <c r="V294">
        <f>IF($D294=1,ROUND(Keys!$C$2/(INDEX(Src_SYSHECF_nuclear!$T$5:$T$292,MATCH($C294,Src_SYSHECF_nuclear!$C$5:$C$292,0))*$E294),Keys!$C$5),Keys!$C$4)</f>
        <v>1.3167</v>
      </c>
      <c r="W294">
        <f>IF($D294=1,ROUND(Keys!$C$2/(INDEX(Src_SYSHECF_nuclear!$U$5:$U$292,MATCH($C294,Src_SYSHECF_nuclear!$C$5:$C$292,0))*$E294),Keys!$C$5),Keys!$C$4)</f>
        <v>1.3167</v>
      </c>
      <c r="X294">
        <f>IF($D294=1,ROUND(Keys!$C$2/(INDEX(Src_SYSHECF_nuclear!$V$5:$V$292,MATCH($C294,Src_SYSHECF_nuclear!$C$5:$C$292,0))*$E294),Keys!$C$5),Keys!$C$4)</f>
        <v>1.3167</v>
      </c>
      <c r="Y294">
        <f>IF($D294=1,ROUND(Keys!$C$2/(INDEX(Src_SYSHECF_nuclear!$W$5:$W$292,MATCH($C294,Src_SYSHECF_nuclear!$C$5:$C$292,0))*$E294),Keys!$C$5),Keys!$C$4)</f>
        <v>1.3167</v>
      </c>
      <c r="Z294">
        <f>IF($D294=1,ROUND(Keys!$C$2/(INDEX(Src_SYSHECF_nuclear!$X$5:$X$292,MATCH($C294,Src_SYSHECF_nuclear!$C$5:$C$292,0))*$E294),Keys!$C$5),Keys!$C$4)</f>
        <v>1.3167</v>
      </c>
      <c r="AA294">
        <f>IF($D294=1,ROUND(Keys!$C$2/(INDEX(Src_SYSHECF_nuclear!$Y$5:$Y$292,MATCH($C294,Src_SYSHECF_nuclear!$C$5:$C$292,0))*$E294),Keys!$C$5),Keys!$C$4)</f>
        <v>1.3167</v>
      </c>
      <c r="AB294">
        <f>IF($D294=1,ROUND(Keys!$C$2/(INDEX(Src_SYSHECF_nuclear!$Z$5:$Z$292,MATCH($C294,Src_SYSHECF_nuclear!$C$5:$C$292,0))*$E294),Keys!$C$5),Keys!$C$4)</f>
        <v>1.3167</v>
      </c>
      <c r="AC294">
        <f>IF($D294=1,ROUND(Keys!$C$2/(INDEX(Src_SYSHECF_nuclear!$AA$5:$AA$292,MATCH($C294,Src_SYSHECF_nuclear!$C$5:$C$292,0))*$E294),Keys!$C$5),Keys!$C$4)</f>
        <v>1.3167</v>
      </c>
      <c r="AE294">
        <f>IF($D294=1,IF(ABS(INDEX(Src_SYSHECF_nuclear!$D$5:$D$292,MATCH($C294,Src_SYSHECF_nuclear!$C$5:$C$292,0))*$E294*F294-Keys!$C$2)&gt;Keys!$C$6,1,0),0)</f>
        <v>0</v>
      </c>
    </row>
    <row r="295" spans="1:31" x14ac:dyDescent="0.45">
      <c r="A295" t="s">
        <v>102</v>
      </c>
      <c r="B295" t="s">
        <v>429</v>
      </c>
      <c r="C295" t="str">
        <f t="shared" si="4"/>
        <v>TN|Winter Peak</v>
      </c>
      <c r="D295">
        <f>INDEX(Src_BHRaSYC_nuclear!$HF$5:$HF$52,MATCH($A295,Src_BHRaSYC_nuclear!$A$5:$A$52,0))</f>
        <v>1</v>
      </c>
      <c r="E295">
        <f>INDEX(Src_HYECFCA_nuclear!$B$5:$B$52,MATCH($A295,Src_HYECFCA_nuclear!$A$5:$A$52,0))</f>
        <v>0.95361300000000004</v>
      </c>
      <c r="F295">
        <f>IF($D295=1,ROUND(Keys!$C$2/(INDEX(Src_SYSHECF_nuclear!$D$5:$D$292,MATCH($C295,Src_SYSHECF_nuclear!$C$5:$C$292,0))*$E295),Keys!$C$5),Keys!$C$4)</f>
        <v>1.3167</v>
      </c>
      <c r="G295">
        <f>IF($D295=1,ROUND(Keys!$C$2/(INDEX(Src_SYSHECF_nuclear!$E$5:$E$292,MATCH($C295,Src_SYSHECF_nuclear!$C$5:$C$292,0))*$E295),Keys!$C$5),Keys!$C$4)</f>
        <v>1.3167</v>
      </c>
      <c r="H295">
        <f>IF($D295=1,ROUND(Keys!$C$2/(INDEX(Src_SYSHECF_nuclear!$F$5:$F$292,MATCH($C295,Src_SYSHECF_nuclear!$C$5:$C$292,0))*$E295),Keys!$C$5),Keys!$C$4)</f>
        <v>1.3167</v>
      </c>
      <c r="I295">
        <f>IF($D295=1,ROUND(Keys!$C$2/(INDEX(Src_SYSHECF_nuclear!$G$5:$G$292,MATCH($C295,Src_SYSHECF_nuclear!$C$5:$C$292,0))*$E295),Keys!$C$5),Keys!$C$4)</f>
        <v>1.3167</v>
      </c>
      <c r="J295">
        <f>IF($D295=1,ROUND(Keys!$C$2/(INDEX(Src_SYSHECF_nuclear!$H$5:$H$292,MATCH($C295,Src_SYSHECF_nuclear!$C$5:$C$292,0))*$E295),Keys!$C$5),Keys!$C$4)</f>
        <v>1.3167</v>
      </c>
      <c r="K295">
        <f>IF($D295=1,ROUND(Keys!$C$2/(INDEX(Src_SYSHECF_nuclear!$I$5:$I$292,MATCH($C295,Src_SYSHECF_nuclear!$C$5:$C$292,0))*$E295),Keys!$C$5),Keys!$C$4)</f>
        <v>1.3167</v>
      </c>
      <c r="L295">
        <f>IF($D295=1,ROUND(Keys!$C$2/(INDEX(Src_SYSHECF_nuclear!$J$5:$J$292,MATCH($C295,Src_SYSHECF_nuclear!$C$5:$C$292,0))*$E295),Keys!$C$5),Keys!$C$4)</f>
        <v>1.3167</v>
      </c>
      <c r="M295">
        <f>IF($D295=1,ROUND(Keys!$C$2/(INDEX(Src_SYSHECF_nuclear!$K$5:$K$292,MATCH($C295,Src_SYSHECF_nuclear!$C$5:$C$292,0))*$E295),Keys!$C$5),Keys!$C$4)</f>
        <v>1.3167</v>
      </c>
      <c r="N295">
        <f>IF($D295=1,ROUND(Keys!$C$2/(INDEX(Src_SYSHECF_nuclear!$L$5:$L$292,MATCH($C295,Src_SYSHECF_nuclear!$C$5:$C$292,0))*$E295),Keys!$C$5),Keys!$C$4)</f>
        <v>1.3167</v>
      </c>
      <c r="O295">
        <f>IF($D295=1,ROUND(Keys!$C$2/(INDEX(Src_SYSHECF_nuclear!$M$5:$M$292,MATCH($C295,Src_SYSHECF_nuclear!$C$5:$C$292,0))*$E295),Keys!$C$5),Keys!$C$4)</f>
        <v>1.3167</v>
      </c>
      <c r="P295">
        <f>IF($D295=1,ROUND(Keys!$C$2/(INDEX(Src_SYSHECF_nuclear!$N$5:$N$292,MATCH($C295,Src_SYSHECF_nuclear!$C$5:$C$292,0))*$E295),Keys!$C$5),Keys!$C$4)</f>
        <v>1.3167</v>
      </c>
      <c r="Q295">
        <f>IF($D295=1,ROUND(Keys!$C$2/(INDEX(Src_SYSHECF_nuclear!$O$5:$O$292,MATCH($C295,Src_SYSHECF_nuclear!$C$5:$C$292,0))*$E295),Keys!$C$5),Keys!$C$4)</f>
        <v>1.3167</v>
      </c>
      <c r="R295">
        <f>IF($D295=1,ROUND(Keys!$C$2/(INDEX(Src_SYSHECF_nuclear!$P$5:$P$292,MATCH($C295,Src_SYSHECF_nuclear!$C$5:$C$292,0))*$E295),Keys!$C$5),Keys!$C$4)</f>
        <v>1.3167</v>
      </c>
      <c r="S295">
        <f>IF($D295=1,ROUND(Keys!$C$2/(INDEX(Src_SYSHECF_nuclear!$Q$5:$Q$292,MATCH($C295,Src_SYSHECF_nuclear!$C$5:$C$292,0))*$E295),Keys!$C$5),Keys!$C$4)</f>
        <v>1.3167</v>
      </c>
      <c r="T295">
        <f>IF($D295=1,ROUND(Keys!$C$2/(INDEX(Src_SYSHECF_nuclear!$R$5:$R$292,MATCH($C295,Src_SYSHECF_nuclear!$C$5:$C$292,0))*$E295),Keys!$C$5),Keys!$C$4)</f>
        <v>1.3167</v>
      </c>
      <c r="U295">
        <f>IF($D295=1,ROUND(Keys!$C$2/(INDEX(Src_SYSHECF_nuclear!$S$5:$S$292,MATCH($C295,Src_SYSHECF_nuclear!$C$5:$C$292,0))*$E295),Keys!$C$5),Keys!$C$4)</f>
        <v>1.3167</v>
      </c>
      <c r="V295">
        <f>IF($D295=1,ROUND(Keys!$C$2/(INDEX(Src_SYSHECF_nuclear!$T$5:$T$292,MATCH($C295,Src_SYSHECF_nuclear!$C$5:$C$292,0))*$E295),Keys!$C$5),Keys!$C$4)</f>
        <v>1.3167</v>
      </c>
      <c r="W295">
        <f>IF($D295=1,ROUND(Keys!$C$2/(INDEX(Src_SYSHECF_nuclear!$U$5:$U$292,MATCH($C295,Src_SYSHECF_nuclear!$C$5:$C$292,0))*$E295),Keys!$C$5),Keys!$C$4)</f>
        <v>1.3167</v>
      </c>
      <c r="X295">
        <f>IF($D295=1,ROUND(Keys!$C$2/(INDEX(Src_SYSHECF_nuclear!$V$5:$V$292,MATCH($C295,Src_SYSHECF_nuclear!$C$5:$C$292,0))*$E295),Keys!$C$5),Keys!$C$4)</f>
        <v>1.3167</v>
      </c>
      <c r="Y295">
        <f>IF($D295=1,ROUND(Keys!$C$2/(INDEX(Src_SYSHECF_nuclear!$W$5:$W$292,MATCH($C295,Src_SYSHECF_nuclear!$C$5:$C$292,0))*$E295),Keys!$C$5),Keys!$C$4)</f>
        <v>1.3167</v>
      </c>
      <c r="Z295">
        <f>IF($D295=1,ROUND(Keys!$C$2/(INDEX(Src_SYSHECF_nuclear!$X$5:$X$292,MATCH($C295,Src_SYSHECF_nuclear!$C$5:$C$292,0))*$E295),Keys!$C$5),Keys!$C$4)</f>
        <v>1.3167</v>
      </c>
      <c r="AA295">
        <f>IF($D295=1,ROUND(Keys!$C$2/(INDEX(Src_SYSHECF_nuclear!$Y$5:$Y$292,MATCH($C295,Src_SYSHECF_nuclear!$C$5:$C$292,0))*$E295),Keys!$C$5),Keys!$C$4)</f>
        <v>1.3167</v>
      </c>
      <c r="AB295">
        <f>IF($D295=1,ROUND(Keys!$C$2/(INDEX(Src_SYSHECF_nuclear!$Z$5:$Z$292,MATCH($C295,Src_SYSHECF_nuclear!$C$5:$C$292,0))*$E295),Keys!$C$5),Keys!$C$4)</f>
        <v>1.3167</v>
      </c>
      <c r="AC295">
        <f>IF($D295=1,ROUND(Keys!$C$2/(INDEX(Src_SYSHECF_nuclear!$AA$5:$AA$292,MATCH($C295,Src_SYSHECF_nuclear!$C$5:$C$292,0))*$E295),Keys!$C$5),Keys!$C$4)</f>
        <v>1.3167</v>
      </c>
      <c r="AE295">
        <f>IF($D295=1,IF(ABS(INDEX(Src_SYSHECF_nuclear!$D$5:$D$292,MATCH($C295,Src_SYSHECF_nuclear!$C$5:$C$292,0))*$E295*F295-Keys!$C$2)&gt;Keys!$C$6,1,0),0)</f>
        <v>0</v>
      </c>
    </row>
    <row r="296" spans="1:31" x14ac:dyDescent="0.45">
      <c r="A296" t="s">
        <v>104</v>
      </c>
      <c r="B296" t="s">
        <v>424</v>
      </c>
      <c r="C296" t="str">
        <f t="shared" si="4"/>
        <v>TX|Winter</v>
      </c>
      <c r="D296">
        <f>INDEX(Src_BHRaSYC_nuclear!$HF$5:$HF$52,MATCH($A296,Src_BHRaSYC_nuclear!$A$5:$A$52,0))</f>
        <v>1</v>
      </c>
      <c r="E296">
        <f>INDEX(Src_HYECFCA_nuclear!$B$5:$B$52,MATCH($A296,Src_HYECFCA_nuclear!$A$5:$A$52,0))</f>
        <v>1.04013</v>
      </c>
      <c r="F296">
        <f>IF($D296=1,ROUND(Keys!$C$2/(INDEX(Src_SYSHECF_nuclear!$D$5:$D$292,MATCH($C296,Src_SYSHECF_nuclear!$C$5:$C$292,0))*$E296),Keys!$C$5),Keys!$C$4)</f>
        <v>1.1294999999999999</v>
      </c>
      <c r="G296">
        <f>IF($D296=1,ROUND(Keys!$C$2/(INDEX(Src_SYSHECF_nuclear!$E$5:$E$292,MATCH($C296,Src_SYSHECF_nuclear!$C$5:$C$292,0))*$E296),Keys!$C$5),Keys!$C$4)</f>
        <v>1.1986000000000001</v>
      </c>
      <c r="H296">
        <f>IF($D296=1,ROUND(Keys!$C$2/(INDEX(Src_SYSHECF_nuclear!$F$5:$F$292,MATCH($C296,Src_SYSHECF_nuclear!$C$5:$C$292,0))*$E296),Keys!$C$5),Keys!$C$4)</f>
        <v>1.2181999999999999</v>
      </c>
      <c r="I296">
        <f>IF($D296=1,ROUND(Keys!$C$2/(INDEX(Src_SYSHECF_nuclear!$G$5:$G$292,MATCH($C296,Src_SYSHECF_nuclear!$C$5:$C$292,0))*$E296),Keys!$C$5),Keys!$C$4)</f>
        <v>1.2162999999999999</v>
      </c>
      <c r="J296">
        <f>IF($D296=1,ROUND(Keys!$C$2/(INDEX(Src_SYSHECF_nuclear!$H$5:$H$292,MATCH($C296,Src_SYSHECF_nuclear!$C$5:$C$292,0))*$E296),Keys!$C$5),Keys!$C$4)</f>
        <v>1.1627000000000001</v>
      </c>
      <c r="K296">
        <f>IF($D296=1,ROUND(Keys!$C$2/(INDEX(Src_SYSHECF_nuclear!$I$5:$I$292,MATCH($C296,Src_SYSHECF_nuclear!$C$5:$C$292,0))*$E296),Keys!$C$5),Keys!$C$4)</f>
        <v>1.0637000000000001</v>
      </c>
      <c r="L296">
        <f>IF($D296=1,ROUND(Keys!$C$2/(INDEX(Src_SYSHECF_nuclear!$J$5:$J$292,MATCH($C296,Src_SYSHECF_nuclear!$C$5:$C$292,0))*$E296),Keys!$C$5),Keys!$C$4)</f>
        <v>1.0387</v>
      </c>
      <c r="M296">
        <f>IF($D296=1,ROUND(Keys!$C$2/(INDEX(Src_SYSHECF_nuclear!$K$5:$K$292,MATCH($C296,Src_SYSHECF_nuclear!$C$5:$C$292,0))*$E296),Keys!$C$5),Keys!$C$4)</f>
        <v>1.0815999999999999</v>
      </c>
      <c r="N296">
        <f>IF($D296=1,ROUND(Keys!$C$2/(INDEX(Src_SYSHECF_nuclear!$L$5:$L$292,MATCH($C296,Src_SYSHECF_nuclear!$C$5:$C$292,0))*$E296),Keys!$C$5),Keys!$C$4)</f>
        <v>1.0883</v>
      </c>
      <c r="O296">
        <f>IF($D296=1,ROUND(Keys!$C$2/(INDEX(Src_SYSHECF_nuclear!$M$5:$M$292,MATCH($C296,Src_SYSHECF_nuclear!$C$5:$C$292,0))*$E296),Keys!$C$5),Keys!$C$4)</f>
        <v>1.0447</v>
      </c>
      <c r="P296">
        <f>IF($D296=1,ROUND(Keys!$C$2/(INDEX(Src_SYSHECF_nuclear!$N$5:$N$292,MATCH($C296,Src_SYSHECF_nuclear!$C$5:$C$292,0))*$E296),Keys!$C$5),Keys!$C$4)</f>
        <v>1.0117</v>
      </c>
      <c r="Q296">
        <f>IF($D296=1,ROUND(Keys!$C$2/(INDEX(Src_SYSHECF_nuclear!$O$5:$O$292,MATCH($C296,Src_SYSHECF_nuclear!$C$5:$C$292,0))*$E296),Keys!$C$5),Keys!$C$4)</f>
        <v>1.0018</v>
      </c>
      <c r="R296">
        <f>IF($D296=1,ROUND(Keys!$C$2/(INDEX(Src_SYSHECF_nuclear!$P$5:$P$292,MATCH($C296,Src_SYSHECF_nuclear!$C$5:$C$292,0))*$E296),Keys!$C$5),Keys!$C$4)</f>
        <v>1.0087999999999999</v>
      </c>
      <c r="S296">
        <f>IF($D296=1,ROUND(Keys!$C$2/(INDEX(Src_SYSHECF_nuclear!$Q$5:$Q$292,MATCH($C296,Src_SYSHECF_nuclear!$C$5:$C$292,0))*$E296),Keys!$C$5),Keys!$C$4)</f>
        <v>1.0183</v>
      </c>
      <c r="T296">
        <f>IF($D296=1,ROUND(Keys!$C$2/(INDEX(Src_SYSHECF_nuclear!$R$5:$R$292,MATCH($C296,Src_SYSHECF_nuclear!$C$5:$C$292,0))*$E296),Keys!$C$5),Keys!$C$4)</f>
        <v>1.0184</v>
      </c>
      <c r="U296">
        <f>IF($D296=1,ROUND(Keys!$C$2/(INDEX(Src_SYSHECF_nuclear!$S$5:$S$292,MATCH($C296,Src_SYSHECF_nuclear!$C$5:$C$292,0))*$E296),Keys!$C$5),Keys!$C$4)</f>
        <v>1.0133000000000001</v>
      </c>
      <c r="V296">
        <f>IF($D296=1,ROUND(Keys!$C$2/(INDEX(Src_SYSHECF_nuclear!$T$5:$T$292,MATCH($C296,Src_SYSHECF_nuclear!$C$5:$C$292,0))*$E296),Keys!$C$5),Keys!$C$4)</f>
        <v>0.98460000000000003</v>
      </c>
      <c r="W296">
        <f>IF($D296=1,ROUND(Keys!$C$2/(INDEX(Src_SYSHECF_nuclear!$U$5:$U$292,MATCH($C296,Src_SYSHECF_nuclear!$C$5:$C$292,0))*$E296),Keys!$C$5),Keys!$C$4)</f>
        <v>0.9657</v>
      </c>
      <c r="X296">
        <f>IF($D296=1,ROUND(Keys!$C$2/(INDEX(Src_SYSHECF_nuclear!$V$5:$V$292,MATCH($C296,Src_SYSHECF_nuclear!$C$5:$C$292,0))*$E296),Keys!$C$5),Keys!$C$4)</f>
        <v>0.96309999999999996</v>
      </c>
      <c r="Y296">
        <f>IF($D296=1,ROUND(Keys!$C$2/(INDEX(Src_SYSHECF_nuclear!$W$5:$W$292,MATCH($C296,Src_SYSHECF_nuclear!$C$5:$C$292,0))*$E296),Keys!$C$5),Keys!$C$4)</f>
        <v>0.96309999999999996</v>
      </c>
      <c r="Z296">
        <f>IF($D296=1,ROUND(Keys!$C$2/(INDEX(Src_SYSHECF_nuclear!$X$5:$X$292,MATCH($C296,Src_SYSHECF_nuclear!$C$5:$C$292,0))*$E296),Keys!$C$5),Keys!$C$4)</f>
        <v>0.96309999999999996</v>
      </c>
      <c r="AA296">
        <f>IF($D296=1,ROUND(Keys!$C$2/(INDEX(Src_SYSHECF_nuclear!$Y$5:$Y$292,MATCH($C296,Src_SYSHECF_nuclear!$C$5:$C$292,0))*$E296),Keys!$C$5),Keys!$C$4)</f>
        <v>0.96309999999999996</v>
      </c>
      <c r="AB296">
        <f>IF($D296=1,ROUND(Keys!$C$2/(INDEX(Src_SYSHECF_nuclear!$Z$5:$Z$292,MATCH($C296,Src_SYSHECF_nuclear!$C$5:$C$292,0))*$E296),Keys!$C$5),Keys!$C$4)</f>
        <v>0.97599999999999998</v>
      </c>
      <c r="AC296">
        <f>IF($D296=1,ROUND(Keys!$C$2/(INDEX(Src_SYSHECF_nuclear!$AA$5:$AA$292,MATCH($C296,Src_SYSHECF_nuclear!$C$5:$C$292,0))*$E296),Keys!$C$5),Keys!$C$4)</f>
        <v>1.0296000000000001</v>
      </c>
      <c r="AE296">
        <f>IF($D296=1,IF(ABS(INDEX(Src_SYSHECF_nuclear!$D$5:$D$292,MATCH($C296,Src_SYSHECF_nuclear!$C$5:$C$292,0))*$E296*F296-Keys!$C$2)&gt;Keys!$C$6,1,0),0)</f>
        <v>0</v>
      </c>
    </row>
    <row r="297" spans="1:31" x14ac:dyDescent="0.45">
      <c r="A297" t="s">
        <v>104</v>
      </c>
      <c r="B297" t="s">
        <v>425</v>
      </c>
      <c r="C297" t="str">
        <f t="shared" si="4"/>
        <v>TX|Spring</v>
      </c>
      <c r="D297">
        <f>INDEX(Src_BHRaSYC_nuclear!$HF$5:$HF$52,MATCH($A297,Src_BHRaSYC_nuclear!$A$5:$A$52,0))</f>
        <v>1</v>
      </c>
      <c r="E297">
        <f>INDEX(Src_HYECFCA_nuclear!$B$5:$B$52,MATCH($A297,Src_HYECFCA_nuclear!$A$5:$A$52,0))</f>
        <v>1.04013</v>
      </c>
      <c r="F297">
        <f>IF($D297=1,ROUND(Keys!$C$2/(INDEX(Src_SYSHECF_nuclear!$D$5:$D$292,MATCH($C297,Src_SYSHECF_nuclear!$C$5:$C$292,0))*$E297),Keys!$C$5),Keys!$C$4)</f>
        <v>1.0074000000000001</v>
      </c>
      <c r="G297">
        <f>IF($D297=1,ROUND(Keys!$C$2/(INDEX(Src_SYSHECF_nuclear!$E$5:$E$292,MATCH($C297,Src_SYSHECF_nuclear!$C$5:$C$292,0))*$E297),Keys!$C$5),Keys!$C$4)</f>
        <v>1.0561</v>
      </c>
      <c r="H297">
        <f>IF($D297=1,ROUND(Keys!$C$2/(INDEX(Src_SYSHECF_nuclear!$F$5:$F$292,MATCH($C297,Src_SYSHECF_nuclear!$C$5:$C$292,0))*$E297),Keys!$C$5),Keys!$C$4)</f>
        <v>1.0704</v>
      </c>
      <c r="I297">
        <f>IF($D297=1,ROUND(Keys!$C$2/(INDEX(Src_SYSHECF_nuclear!$G$5:$G$292,MATCH($C297,Src_SYSHECF_nuclear!$C$5:$C$292,0))*$E297),Keys!$C$5),Keys!$C$4)</f>
        <v>1.0738000000000001</v>
      </c>
      <c r="J297">
        <f>IF($D297=1,ROUND(Keys!$C$2/(INDEX(Src_SYSHECF_nuclear!$H$5:$H$292,MATCH($C297,Src_SYSHECF_nuclear!$C$5:$C$292,0))*$E297),Keys!$C$5),Keys!$C$4)</f>
        <v>1.0562</v>
      </c>
      <c r="K297">
        <f>IF($D297=1,ROUND(Keys!$C$2/(INDEX(Src_SYSHECF_nuclear!$I$5:$I$292,MATCH($C297,Src_SYSHECF_nuclear!$C$5:$C$292,0))*$E297),Keys!$C$5),Keys!$C$4)</f>
        <v>1.0048999999999999</v>
      </c>
      <c r="L297">
        <f>IF($D297=1,ROUND(Keys!$C$2/(INDEX(Src_SYSHECF_nuclear!$J$5:$J$292,MATCH($C297,Src_SYSHECF_nuclear!$C$5:$C$292,0))*$E297),Keys!$C$5),Keys!$C$4)</f>
        <v>1.0267999999999999</v>
      </c>
      <c r="M297">
        <f>IF($D297=1,ROUND(Keys!$C$2/(INDEX(Src_SYSHECF_nuclear!$K$5:$K$292,MATCH($C297,Src_SYSHECF_nuclear!$C$5:$C$292,0))*$E297),Keys!$C$5),Keys!$C$4)</f>
        <v>1.0702</v>
      </c>
      <c r="N297">
        <f>IF($D297=1,ROUND(Keys!$C$2/(INDEX(Src_SYSHECF_nuclear!$L$5:$L$292,MATCH($C297,Src_SYSHECF_nuclear!$C$5:$C$292,0))*$E297),Keys!$C$5),Keys!$C$4)</f>
        <v>1.0270999999999999</v>
      </c>
      <c r="O297">
        <f>IF($D297=1,ROUND(Keys!$C$2/(INDEX(Src_SYSHECF_nuclear!$M$5:$M$292,MATCH($C297,Src_SYSHECF_nuclear!$C$5:$C$292,0))*$E297),Keys!$C$5),Keys!$C$4)</f>
        <v>0.98929999999999996</v>
      </c>
      <c r="P297">
        <f>IF($D297=1,ROUND(Keys!$C$2/(INDEX(Src_SYSHECF_nuclear!$N$5:$N$292,MATCH($C297,Src_SYSHECF_nuclear!$C$5:$C$292,0))*$E297),Keys!$C$5),Keys!$C$4)</f>
        <v>0.98119999999999996</v>
      </c>
      <c r="Q297">
        <f>IF($D297=1,ROUND(Keys!$C$2/(INDEX(Src_SYSHECF_nuclear!$O$5:$O$292,MATCH($C297,Src_SYSHECF_nuclear!$C$5:$C$292,0))*$E297),Keys!$C$5),Keys!$C$4)</f>
        <v>0.98070000000000002</v>
      </c>
      <c r="R297">
        <f>IF($D297=1,ROUND(Keys!$C$2/(INDEX(Src_SYSHECF_nuclear!$P$5:$P$292,MATCH($C297,Src_SYSHECF_nuclear!$C$5:$C$292,0))*$E297),Keys!$C$5),Keys!$C$4)</f>
        <v>0.99170000000000003</v>
      </c>
      <c r="S297">
        <f>IF($D297=1,ROUND(Keys!$C$2/(INDEX(Src_SYSHECF_nuclear!$Q$5:$Q$292,MATCH($C297,Src_SYSHECF_nuclear!$C$5:$C$292,0))*$E297),Keys!$C$5),Keys!$C$4)</f>
        <v>1.0073000000000001</v>
      </c>
      <c r="T297">
        <f>IF($D297=1,ROUND(Keys!$C$2/(INDEX(Src_SYSHECF_nuclear!$R$5:$R$292,MATCH($C297,Src_SYSHECF_nuclear!$C$5:$C$292,0))*$E297),Keys!$C$5),Keys!$C$4)</f>
        <v>1.0081</v>
      </c>
      <c r="U297">
        <f>IF($D297=1,ROUND(Keys!$C$2/(INDEX(Src_SYSHECF_nuclear!$S$5:$S$292,MATCH($C297,Src_SYSHECF_nuclear!$C$5:$C$292,0))*$E297),Keys!$C$5),Keys!$C$4)</f>
        <v>0.99609999999999999</v>
      </c>
      <c r="V297">
        <f>IF($D297=1,ROUND(Keys!$C$2/(INDEX(Src_SYSHECF_nuclear!$T$5:$T$292,MATCH($C297,Src_SYSHECF_nuclear!$C$5:$C$292,0))*$E297),Keys!$C$5),Keys!$C$4)</f>
        <v>0.9738</v>
      </c>
      <c r="W297">
        <f>IF($D297=1,ROUND(Keys!$C$2/(INDEX(Src_SYSHECF_nuclear!$U$5:$U$292,MATCH($C297,Src_SYSHECF_nuclear!$C$5:$C$292,0))*$E297),Keys!$C$5),Keys!$C$4)</f>
        <v>0.96309999999999996</v>
      </c>
      <c r="X297">
        <f>IF($D297=1,ROUND(Keys!$C$2/(INDEX(Src_SYSHECF_nuclear!$V$5:$V$292,MATCH($C297,Src_SYSHECF_nuclear!$C$5:$C$292,0))*$E297),Keys!$C$5),Keys!$C$4)</f>
        <v>0.96309999999999996</v>
      </c>
      <c r="Y297">
        <f>IF($D297=1,ROUND(Keys!$C$2/(INDEX(Src_SYSHECF_nuclear!$W$5:$W$292,MATCH($C297,Src_SYSHECF_nuclear!$C$5:$C$292,0))*$E297),Keys!$C$5),Keys!$C$4)</f>
        <v>0.96309999999999996</v>
      </c>
      <c r="Z297">
        <f>IF($D297=1,ROUND(Keys!$C$2/(INDEX(Src_SYSHECF_nuclear!$X$5:$X$292,MATCH($C297,Src_SYSHECF_nuclear!$C$5:$C$292,0))*$E297),Keys!$C$5),Keys!$C$4)</f>
        <v>0.96309999999999996</v>
      </c>
      <c r="AA297">
        <f>IF($D297=1,ROUND(Keys!$C$2/(INDEX(Src_SYSHECF_nuclear!$Y$5:$Y$292,MATCH($C297,Src_SYSHECF_nuclear!$C$5:$C$292,0))*$E297),Keys!$C$5),Keys!$C$4)</f>
        <v>0.96309999999999996</v>
      </c>
      <c r="AB297">
        <f>IF($D297=1,ROUND(Keys!$C$2/(INDEX(Src_SYSHECF_nuclear!$Z$5:$Z$292,MATCH($C297,Src_SYSHECF_nuclear!$C$5:$C$292,0))*$E297),Keys!$C$5),Keys!$C$4)</f>
        <v>0.96779999999999999</v>
      </c>
      <c r="AC297">
        <f>IF($D297=1,ROUND(Keys!$C$2/(INDEX(Src_SYSHECF_nuclear!$AA$5:$AA$292,MATCH($C297,Src_SYSHECF_nuclear!$C$5:$C$292,0))*$E297),Keys!$C$5),Keys!$C$4)</f>
        <v>0.99260000000000004</v>
      </c>
      <c r="AE297">
        <f>IF($D297=1,IF(ABS(INDEX(Src_SYSHECF_nuclear!$D$5:$D$292,MATCH($C297,Src_SYSHECF_nuclear!$C$5:$C$292,0))*$E297*F297-Keys!$C$2)&gt;Keys!$C$6,1,0),0)</f>
        <v>0</v>
      </c>
    </row>
    <row r="298" spans="1:31" x14ac:dyDescent="0.45">
      <c r="A298" t="s">
        <v>104</v>
      </c>
      <c r="B298" t="s">
        <v>426</v>
      </c>
      <c r="C298" t="str">
        <f t="shared" si="4"/>
        <v>TX|Summer</v>
      </c>
      <c r="D298">
        <f>INDEX(Src_BHRaSYC_nuclear!$HF$5:$HF$52,MATCH($A298,Src_BHRaSYC_nuclear!$A$5:$A$52,0))</f>
        <v>1</v>
      </c>
      <c r="E298">
        <f>INDEX(Src_HYECFCA_nuclear!$B$5:$B$52,MATCH($A298,Src_HYECFCA_nuclear!$A$5:$A$52,0))</f>
        <v>1.04013</v>
      </c>
      <c r="F298">
        <f>IF($D298=1,ROUND(Keys!$C$2/(INDEX(Src_SYSHECF_nuclear!$D$5:$D$292,MATCH($C298,Src_SYSHECF_nuclear!$C$5:$C$292,0))*$E298),Keys!$C$5),Keys!$C$4)</f>
        <v>1.0898000000000001</v>
      </c>
      <c r="G298">
        <f>IF($D298=1,ROUND(Keys!$C$2/(INDEX(Src_SYSHECF_nuclear!$E$5:$E$292,MATCH($C298,Src_SYSHECF_nuclear!$C$5:$C$292,0))*$E298),Keys!$C$5),Keys!$C$4)</f>
        <v>1.1101000000000001</v>
      </c>
      <c r="H298">
        <f>IF($D298=1,ROUND(Keys!$C$2/(INDEX(Src_SYSHECF_nuclear!$F$5:$F$292,MATCH($C298,Src_SYSHECF_nuclear!$C$5:$C$292,0))*$E298),Keys!$C$5),Keys!$C$4)</f>
        <v>1.1117999999999999</v>
      </c>
      <c r="I298">
        <f>IF($D298=1,ROUND(Keys!$C$2/(INDEX(Src_SYSHECF_nuclear!$G$5:$G$292,MATCH($C298,Src_SYSHECF_nuclear!$C$5:$C$292,0))*$E298),Keys!$C$5),Keys!$C$4)</f>
        <v>1.0951</v>
      </c>
      <c r="J298">
        <f>IF($D298=1,ROUND(Keys!$C$2/(INDEX(Src_SYSHECF_nuclear!$H$5:$H$292,MATCH($C298,Src_SYSHECF_nuclear!$C$5:$C$292,0))*$E298),Keys!$C$5),Keys!$C$4)</f>
        <v>1.0459000000000001</v>
      </c>
      <c r="K298">
        <f>IF($D298=1,ROUND(Keys!$C$2/(INDEX(Src_SYSHECF_nuclear!$I$5:$I$292,MATCH($C298,Src_SYSHECF_nuclear!$C$5:$C$292,0))*$E298),Keys!$C$5),Keys!$C$4)</f>
        <v>0.99239999999999995</v>
      </c>
      <c r="L298">
        <f>IF($D298=1,ROUND(Keys!$C$2/(INDEX(Src_SYSHECF_nuclear!$J$5:$J$292,MATCH($C298,Src_SYSHECF_nuclear!$C$5:$C$292,0))*$E298),Keys!$C$5),Keys!$C$4)</f>
        <v>1.0006999999999999</v>
      </c>
      <c r="M298">
        <f>IF($D298=1,ROUND(Keys!$C$2/(INDEX(Src_SYSHECF_nuclear!$K$5:$K$292,MATCH($C298,Src_SYSHECF_nuclear!$C$5:$C$292,0))*$E298),Keys!$C$5),Keys!$C$4)</f>
        <v>1.0686</v>
      </c>
      <c r="N298">
        <f>IF($D298=1,ROUND(Keys!$C$2/(INDEX(Src_SYSHECF_nuclear!$L$5:$L$292,MATCH($C298,Src_SYSHECF_nuclear!$C$5:$C$292,0))*$E298),Keys!$C$5),Keys!$C$4)</f>
        <v>1.1009</v>
      </c>
      <c r="O298">
        <f>IF($D298=1,ROUND(Keys!$C$2/(INDEX(Src_SYSHECF_nuclear!$M$5:$M$292,MATCH($C298,Src_SYSHECF_nuclear!$C$5:$C$292,0))*$E298),Keys!$C$5),Keys!$C$4)</f>
        <v>1.0658000000000001</v>
      </c>
      <c r="P298">
        <f>IF($D298=1,ROUND(Keys!$C$2/(INDEX(Src_SYSHECF_nuclear!$N$5:$N$292,MATCH($C298,Src_SYSHECF_nuclear!$C$5:$C$292,0))*$E298),Keys!$C$5),Keys!$C$4)</f>
        <v>1.0643</v>
      </c>
      <c r="Q298">
        <f>IF($D298=1,ROUND(Keys!$C$2/(INDEX(Src_SYSHECF_nuclear!$O$5:$O$292,MATCH($C298,Src_SYSHECF_nuclear!$C$5:$C$292,0))*$E298),Keys!$C$5),Keys!$C$4)</f>
        <v>1.0609</v>
      </c>
      <c r="R298">
        <f>IF($D298=1,ROUND(Keys!$C$2/(INDEX(Src_SYSHECF_nuclear!$P$5:$P$292,MATCH($C298,Src_SYSHECF_nuclear!$C$5:$C$292,0))*$E298),Keys!$C$5),Keys!$C$4)</f>
        <v>1.0736000000000001</v>
      </c>
      <c r="S298">
        <f>IF($D298=1,ROUND(Keys!$C$2/(INDEX(Src_SYSHECF_nuclear!$Q$5:$Q$292,MATCH($C298,Src_SYSHECF_nuclear!$C$5:$C$292,0))*$E298),Keys!$C$5),Keys!$C$4)</f>
        <v>1.0732999999999999</v>
      </c>
      <c r="T298">
        <f>IF($D298=1,ROUND(Keys!$C$2/(INDEX(Src_SYSHECF_nuclear!$R$5:$R$292,MATCH($C298,Src_SYSHECF_nuclear!$C$5:$C$292,0))*$E298),Keys!$C$5),Keys!$C$4)</f>
        <v>1.0729</v>
      </c>
      <c r="U298">
        <f>IF($D298=1,ROUND(Keys!$C$2/(INDEX(Src_SYSHECF_nuclear!$S$5:$S$292,MATCH($C298,Src_SYSHECF_nuclear!$C$5:$C$292,0))*$E298),Keys!$C$5),Keys!$C$4)</f>
        <v>1.0508</v>
      </c>
      <c r="V298">
        <f>IF($D298=1,ROUND(Keys!$C$2/(INDEX(Src_SYSHECF_nuclear!$T$5:$T$292,MATCH($C298,Src_SYSHECF_nuclear!$C$5:$C$292,0))*$E298),Keys!$C$5),Keys!$C$4)</f>
        <v>0.98019999999999996</v>
      </c>
      <c r="W298">
        <f>IF($D298=1,ROUND(Keys!$C$2/(INDEX(Src_SYSHECF_nuclear!$U$5:$U$292,MATCH($C298,Src_SYSHECF_nuclear!$C$5:$C$292,0))*$E298),Keys!$C$5),Keys!$C$4)</f>
        <v>0.96330000000000005</v>
      </c>
      <c r="X298">
        <f>IF($D298=1,ROUND(Keys!$C$2/(INDEX(Src_SYSHECF_nuclear!$V$5:$V$292,MATCH($C298,Src_SYSHECF_nuclear!$C$5:$C$292,0))*$E298),Keys!$C$5),Keys!$C$4)</f>
        <v>0.96309999999999996</v>
      </c>
      <c r="Y298">
        <f>IF($D298=1,ROUND(Keys!$C$2/(INDEX(Src_SYSHECF_nuclear!$W$5:$W$292,MATCH($C298,Src_SYSHECF_nuclear!$C$5:$C$292,0))*$E298),Keys!$C$5),Keys!$C$4)</f>
        <v>0.96309999999999996</v>
      </c>
      <c r="Z298">
        <f>IF($D298=1,ROUND(Keys!$C$2/(INDEX(Src_SYSHECF_nuclear!$X$5:$X$292,MATCH($C298,Src_SYSHECF_nuclear!$C$5:$C$292,0))*$E298),Keys!$C$5),Keys!$C$4)</f>
        <v>0.96309999999999996</v>
      </c>
      <c r="AA298">
        <f>IF($D298=1,ROUND(Keys!$C$2/(INDEX(Src_SYSHECF_nuclear!$Y$5:$Y$292,MATCH($C298,Src_SYSHECF_nuclear!$C$5:$C$292,0))*$E298),Keys!$C$5),Keys!$C$4)</f>
        <v>0.96379999999999999</v>
      </c>
      <c r="AB298">
        <f>IF($D298=1,ROUND(Keys!$C$2/(INDEX(Src_SYSHECF_nuclear!$Z$5:$Z$292,MATCH($C298,Src_SYSHECF_nuclear!$C$5:$C$292,0))*$E298),Keys!$C$5),Keys!$C$4)</f>
        <v>0.97399999999999998</v>
      </c>
      <c r="AC298">
        <f>IF($D298=1,ROUND(Keys!$C$2/(INDEX(Src_SYSHECF_nuclear!$AA$5:$AA$292,MATCH($C298,Src_SYSHECF_nuclear!$C$5:$C$292,0))*$E298),Keys!$C$5),Keys!$C$4)</f>
        <v>1.0081</v>
      </c>
      <c r="AE298">
        <f>IF($D298=1,IF(ABS(INDEX(Src_SYSHECF_nuclear!$D$5:$D$292,MATCH($C298,Src_SYSHECF_nuclear!$C$5:$C$292,0))*$E298*F298-Keys!$C$2)&gt;Keys!$C$6,1,0),0)</f>
        <v>0</v>
      </c>
    </row>
    <row r="299" spans="1:31" x14ac:dyDescent="0.45">
      <c r="A299" t="s">
        <v>104</v>
      </c>
      <c r="B299" t="s">
        <v>427</v>
      </c>
      <c r="C299" t="str">
        <f t="shared" si="4"/>
        <v>TX|Fall</v>
      </c>
      <c r="D299">
        <f>INDEX(Src_BHRaSYC_nuclear!$HF$5:$HF$52,MATCH($A299,Src_BHRaSYC_nuclear!$A$5:$A$52,0))</f>
        <v>1</v>
      </c>
      <c r="E299">
        <f>INDEX(Src_HYECFCA_nuclear!$B$5:$B$52,MATCH($A299,Src_HYECFCA_nuclear!$A$5:$A$52,0))</f>
        <v>1.04013</v>
      </c>
      <c r="F299">
        <f>IF($D299=1,ROUND(Keys!$C$2/(INDEX(Src_SYSHECF_nuclear!$D$5:$D$292,MATCH($C299,Src_SYSHECF_nuclear!$C$5:$C$292,0))*$E299),Keys!$C$5),Keys!$C$4)</f>
        <v>0.96540000000000004</v>
      </c>
      <c r="G299">
        <f>IF($D299=1,ROUND(Keys!$C$2/(INDEX(Src_SYSHECF_nuclear!$E$5:$E$292,MATCH($C299,Src_SYSHECF_nuclear!$C$5:$C$292,0))*$E299),Keys!$C$5),Keys!$C$4)</f>
        <v>0.98019999999999996</v>
      </c>
      <c r="H299">
        <f>IF($D299=1,ROUND(Keys!$C$2/(INDEX(Src_SYSHECF_nuclear!$F$5:$F$292,MATCH($C299,Src_SYSHECF_nuclear!$C$5:$C$292,0))*$E299),Keys!$C$5),Keys!$C$4)</f>
        <v>0.98519999999999996</v>
      </c>
      <c r="I299">
        <f>IF($D299=1,ROUND(Keys!$C$2/(INDEX(Src_SYSHECF_nuclear!$G$5:$G$292,MATCH($C299,Src_SYSHECF_nuclear!$C$5:$C$292,0))*$E299),Keys!$C$5),Keys!$C$4)</f>
        <v>0.98970000000000002</v>
      </c>
      <c r="J299">
        <f>IF($D299=1,ROUND(Keys!$C$2/(INDEX(Src_SYSHECF_nuclear!$H$5:$H$292,MATCH($C299,Src_SYSHECF_nuclear!$C$5:$C$292,0))*$E299),Keys!$C$5),Keys!$C$4)</f>
        <v>0.98670000000000002</v>
      </c>
      <c r="K299">
        <f>IF($D299=1,ROUND(Keys!$C$2/(INDEX(Src_SYSHECF_nuclear!$I$5:$I$292,MATCH($C299,Src_SYSHECF_nuclear!$C$5:$C$292,0))*$E299),Keys!$C$5),Keys!$C$4)</f>
        <v>0.96850000000000003</v>
      </c>
      <c r="L299">
        <f>IF($D299=1,ROUND(Keys!$C$2/(INDEX(Src_SYSHECF_nuclear!$J$5:$J$292,MATCH($C299,Src_SYSHECF_nuclear!$C$5:$C$292,0))*$E299),Keys!$C$5),Keys!$C$4)</f>
        <v>0.98480000000000001</v>
      </c>
      <c r="M299">
        <f>IF($D299=1,ROUND(Keys!$C$2/(INDEX(Src_SYSHECF_nuclear!$K$5:$K$292,MATCH($C299,Src_SYSHECF_nuclear!$C$5:$C$292,0))*$E299),Keys!$C$5),Keys!$C$4)</f>
        <v>1.0799000000000001</v>
      </c>
      <c r="N299">
        <f>IF($D299=1,ROUND(Keys!$C$2/(INDEX(Src_SYSHECF_nuclear!$L$5:$L$292,MATCH($C299,Src_SYSHECF_nuclear!$C$5:$C$292,0))*$E299),Keys!$C$5),Keys!$C$4)</f>
        <v>1.0257000000000001</v>
      </c>
      <c r="O299">
        <f>IF($D299=1,ROUND(Keys!$C$2/(INDEX(Src_SYSHECF_nuclear!$M$5:$M$292,MATCH($C299,Src_SYSHECF_nuclear!$C$5:$C$292,0))*$E299),Keys!$C$5),Keys!$C$4)</f>
        <v>1.0210999999999999</v>
      </c>
      <c r="P299">
        <f>IF($D299=1,ROUND(Keys!$C$2/(INDEX(Src_SYSHECF_nuclear!$N$5:$N$292,MATCH($C299,Src_SYSHECF_nuclear!$C$5:$C$292,0))*$E299),Keys!$C$5),Keys!$C$4)</f>
        <v>1.0029999999999999</v>
      </c>
      <c r="Q299">
        <f>IF($D299=1,ROUND(Keys!$C$2/(INDEX(Src_SYSHECF_nuclear!$O$5:$O$292,MATCH($C299,Src_SYSHECF_nuclear!$C$5:$C$292,0))*$E299),Keys!$C$5),Keys!$C$4)</f>
        <v>0.99299999999999999</v>
      </c>
      <c r="R299">
        <f>IF($D299=1,ROUND(Keys!$C$2/(INDEX(Src_SYSHECF_nuclear!$P$5:$P$292,MATCH($C299,Src_SYSHECF_nuclear!$C$5:$C$292,0))*$E299),Keys!$C$5),Keys!$C$4)</f>
        <v>0.98750000000000004</v>
      </c>
      <c r="S299">
        <f>IF($D299=1,ROUND(Keys!$C$2/(INDEX(Src_SYSHECF_nuclear!$Q$5:$Q$292,MATCH($C299,Src_SYSHECF_nuclear!$C$5:$C$292,0))*$E299),Keys!$C$5),Keys!$C$4)</f>
        <v>0.99309999999999998</v>
      </c>
      <c r="T299">
        <f>IF($D299=1,ROUND(Keys!$C$2/(INDEX(Src_SYSHECF_nuclear!$R$5:$R$292,MATCH($C299,Src_SYSHECF_nuclear!$C$5:$C$292,0))*$E299),Keys!$C$5),Keys!$C$4)</f>
        <v>0.9899</v>
      </c>
      <c r="U299">
        <f>IF($D299=1,ROUND(Keys!$C$2/(INDEX(Src_SYSHECF_nuclear!$S$5:$S$292,MATCH($C299,Src_SYSHECF_nuclear!$C$5:$C$292,0))*$E299),Keys!$C$5),Keys!$C$4)</f>
        <v>0.98760000000000003</v>
      </c>
      <c r="V299">
        <f>IF($D299=1,ROUND(Keys!$C$2/(INDEX(Src_SYSHECF_nuclear!$T$5:$T$292,MATCH($C299,Src_SYSHECF_nuclear!$C$5:$C$292,0))*$E299),Keys!$C$5),Keys!$C$4)</f>
        <v>0.96309999999999996</v>
      </c>
      <c r="W299">
        <f>IF($D299=1,ROUND(Keys!$C$2/(INDEX(Src_SYSHECF_nuclear!$U$5:$U$292,MATCH($C299,Src_SYSHECF_nuclear!$C$5:$C$292,0))*$E299),Keys!$C$5),Keys!$C$4)</f>
        <v>0.96309999999999996</v>
      </c>
      <c r="X299">
        <f>IF($D299=1,ROUND(Keys!$C$2/(INDEX(Src_SYSHECF_nuclear!$V$5:$V$292,MATCH($C299,Src_SYSHECF_nuclear!$C$5:$C$292,0))*$E299),Keys!$C$5),Keys!$C$4)</f>
        <v>0.96309999999999996</v>
      </c>
      <c r="Y299">
        <f>IF($D299=1,ROUND(Keys!$C$2/(INDEX(Src_SYSHECF_nuclear!$W$5:$W$292,MATCH($C299,Src_SYSHECF_nuclear!$C$5:$C$292,0))*$E299),Keys!$C$5),Keys!$C$4)</f>
        <v>0.96309999999999996</v>
      </c>
      <c r="Z299">
        <f>IF($D299=1,ROUND(Keys!$C$2/(INDEX(Src_SYSHECF_nuclear!$X$5:$X$292,MATCH($C299,Src_SYSHECF_nuclear!$C$5:$C$292,0))*$E299),Keys!$C$5),Keys!$C$4)</f>
        <v>0.96309999999999996</v>
      </c>
      <c r="AA299">
        <f>IF($D299=1,ROUND(Keys!$C$2/(INDEX(Src_SYSHECF_nuclear!$Y$5:$Y$292,MATCH($C299,Src_SYSHECF_nuclear!$C$5:$C$292,0))*$E299),Keys!$C$5),Keys!$C$4)</f>
        <v>0.96309999999999996</v>
      </c>
      <c r="AB299">
        <f>IF($D299=1,ROUND(Keys!$C$2/(INDEX(Src_SYSHECF_nuclear!$Z$5:$Z$292,MATCH($C299,Src_SYSHECF_nuclear!$C$5:$C$292,0))*$E299),Keys!$C$5),Keys!$C$4)</f>
        <v>0.96309999999999996</v>
      </c>
      <c r="AC299">
        <f>IF($D299=1,ROUND(Keys!$C$2/(INDEX(Src_SYSHECF_nuclear!$AA$5:$AA$292,MATCH($C299,Src_SYSHECF_nuclear!$C$5:$C$292,0))*$E299),Keys!$C$5),Keys!$C$4)</f>
        <v>0.96830000000000005</v>
      </c>
      <c r="AE299">
        <f>IF($D299=1,IF(ABS(INDEX(Src_SYSHECF_nuclear!$D$5:$D$292,MATCH($C299,Src_SYSHECF_nuclear!$C$5:$C$292,0))*$E299*F299-Keys!$C$2)&gt;Keys!$C$6,1,0),0)</f>
        <v>0</v>
      </c>
    </row>
    <row r="300" spans="1:31" x14ac:dyDescent="0.45">
      <c r="A300" t="s">
        <v>104</v>
      </c>
      <c r="B300" t="s">
        <v>428</v>
      </c>
      <c r="C300" t="str">
        <f t="shared" si="4"/>
        <v>TX|Summer Peak</v>
      </c>
      <c r="D300">
        <f>INDEX(Src_BHRaSYC_nuclear!$HF$5:$HF$52,MATCH($A300,Src_BHRaSYC_nuclear!$A$5:$A$52,0))</f>
        <v>1</v>
      </c>
      <c r="E300">
        <f>INDEX(Src_HYECFCA_nuclear!$B$5:$B$52,MATCH($A300,Src_HYECFCA_nuclear!$A$5:$A$52,0))</f>
        <v>1.04013</v>
      </c>
      <c r="F300">
        <f>IF($D300=1,ROUND(Keys!$C$2/(INDEX(Src_SYSHECF_nuclear!$D$5:$D$292,MATCH($C300,Src_SYSHECF_nuclear!$C$5:$C$292,0))*$E300),Keys!$C$5),Keys!$C$4)</f>
        <v>0.96309999999999996</v>
      </c>
      <c r="G300">
        <f>IF($D300=1,ROUND(Keys!$C$2/(INDEX(Src_SYSHECF_nuclear!$E$5:$E$292,MATCH($C300,Src_SYSHECF_nuclear!$C$5:$C$292,0))*$E300),Keys!$C$5),Keys!$C$4)</f>
        <v>0.96309999999999996</v>
      </c>
      <c r="H300">
        <f>IF($D300=1,ROUND(Keys!$C$2/(INDEX(Src_SYSHECF_nuclear!$F$5:$F$292,MATCH($C300,Src_SYSHECF_nuclear!$C$5:$C$292,0))*$E300),Keys!$C$5),Keys!$C$4)</f>
        <v>0.96309999999999996</v>
      </c>
      <c r="I300">
        <f>IF($D300=1,ROUND(Keys!$C$2/(INDEX(Src_SYSHECF_nuclear!$G$5:$G$292,MATCH($C300,Src_SYSHECF_nuclear!$C$5:$C$292,0))*$E300),Keys!$C$5),Keys!$C$4)</f>
        <v>0.96309999999999996</v>
      </c>
      <c r="J300">
        <f>IF($D300=1,ROUND(Keys!$C$2/(INDEX(Src_SYSHECF_nuclear!$H$5:$H$292,MATCH($C300,Src_SYSHECF_nuclear!$C$5:$C$292,0))*$E300),Keys!$C$5),Keys!$C$4)</f>
        <v>0.96309999999999996</v>
      </c>
      <c r="K300">
        <f>IF($D300=1,ROUND(Keys!$C$2/(INDEX(Src_SYSHECF_nuclear!$I$5:$I$292,MATCH($C300,Src_SYSHECF_nuclear!$C$5:$C$292,0))*$E300),Keys!$C$5),Keys!$C$4)</f>
        <v>0.96309999999999996</v>
      </c>
      <c r="L300">
        <f>IF($D300=1,ROUND(Keys!$C$2/(INDEX(Src_SYSHECF_nuclear!$J$5:$J$292,MATCH($C300,Src_SYSHECF_nuclear!$C$5:$C$292,0))*$E300),Keys!$C$5),Keys!$C$4)</f>
        <v>0.96309999999999996</v>
      </c>
      <c r="M300">
        <f>IF($D300=1,ROUND(Keys!$C$2/(INDEX(Src_SYSHECF_nuclear!$K$5:$K$292,MATCH($C300,Src_SYSHECF_nuclear!$C$5:$C$292,0))*$E300),Keys!$C$5),Keys!$C$4)</f>
        <v>0.96309999999999996</v>
      </c>
      <c r="N300">
        <f>IF($D300=1,ROUND(Keys!$C$2/(INDEX(Src_SYSHECF_nuclear!$L$5:$L$292,MATCH($C300,Src_SYSHECF_nuclear!$C$5:$C$292,0))*$E300),Keys!$C$5),Keys!$C$4)</f>
        <v>0.96309999999999996</v>
      </c>
      <c r="O300">
        <f>IF($D300=1,ROUND(Keys!$C$2/(INDEX(Src_SYSHECF_nuclear!$M$5:$M$292,MATCH($C300,Src_SYSHECF_nuclear!$C$5:$C$292,0))*$E300),Keys!$C$5),Keys!$C$4)</f>
        <v>0.96309999999999996</v>
      </c>
      <c r="P300">
        <f>IF($D300=1,ROUND(Keys!$C$2/(INDEX(Src_SYSHECF_nuclear!$N$5:$N$292,MATCH($C300,Src_SYSHECF_nuclear!$C$5:$C$292,0))*$E300),Keys!$C$5),Keys!$C$4)</f>
        <v>0.96309999999999996</v>
      </c>
      <c r="Q300">
        <f>IF($D300=1,ROUND(Keys!$C$2/(INDEX(Src_SYSHECF_nuclear!$O$5:$O$292,MATCH($C300,Src_SYSHECF_nuclear!$C$5:$C$292,0))*$E300),Keys!$C$5),Keys!$C$4)</f>
        <v>0.96309999999999996</v>
      </c>
      <c r="R300">
        <f>IF($D300=1,ROUND(Keys!$C$2/(INDEX(Src_SYSHECF_nuclear!$P$5:$P$292,MATCH($C300,Src_SYSHECF_nuclear!$C$5:$C$292,0))*$E300),Keys!$C$5),Keys!$C$4)</f>
        <v>0.96309999999999996</v>
      </c>
      <c r="S300">
        <f>IF($D300=1,ROUND(Keys!$C$2/(INDEX(Src_SYSHECF_nuclear!$Q$5:$Q$292,MATCH($C300,Src_SYSHECF_nuclear!$C$5:$C$292,0))*$E300),Keys!$C$5),Keys!$C$4)</f>
        <v>0.96309999999999996</v>
      </c>
      <c r="T300">
        <f>IF($D300=1,ROUND(Keys!$C$2/(INDEX(Src_SYSHECF_nuclear!$R$5:$R$292,MATCH($C300,Src_SYSHECF_nuclear!$C$5:$C$292,0))*$E300),Keys!$C$5),Keys!$C$4)</f>
        <v>0.96309999999999996</v>
      </c>
      <c r="U300">
        <f>IF($D300=1,ROUND(Keys!$C$2/(INDEX(Src_SYSHECF_nuclear!$S$5:$S$292,MATCH($C300,Src_SYSHECF_nuclear!$C$5:$C$292,0))*$E300),Keys!$C$5),Keys!$C$4)</f>
        <v>0.96309999999999996</v>
      </c>
      <c r="V300">
        <f>IF($D300=1,ROUND(Keys!$C$2/(INDEX(Src_SYSHECF_nuclear!$T$5:$T$292,MATCH($C300,Src_SYSHECF_nuclear!$C$5:$C$292,0))*$E300),Keys!$C$5),Keys!$C$4)</f>
        <v>0.96309999999999996</v>
      </c>
      <c r="W300">
        <f>IF($D300=1,ROUND(Keys!$C$2/(INDEX(Src_SYSHECF_nuclear!$U$5:$U$292,MATCH($C300,Src_SYSHECF_nuclear!$C$5:$C$292,0))*$E300),Keys!$C$5),Keys!$C$4)</f>
        <v>0.96309999999999996</v>
      </c>
      <c r="X300">
        <f>IF($D300=1,ROUND(Keys!$C$2/(INDEX(Src_SYSHECF_nuclear!$V$5:$V$292,MATCH($C300,Src_SYSHECF_nuclear!$C$5:$C$292,0))*$E300),Keys!$C$5),Keys!$C$4)</f>
        <v>0.96309999999999996</v>
      </c>
      <c r="Y300">
        <f>IF($D300=1,ROUND(Keys!$C$2/(INDEX(Src_SYSHECF_nuclear!$W$5:$W$292,MATCH($C300,Src_SYSHECF_nuclear!$C$5:$C$292,0))*$E300),Keys!$C$5),Keys!$C$4)</f>
        <v>0.96309999999999996</v>
      </c>
      <c r="Z300">
        <f>IF($D300=1,ROUND(Keys!$C$2/(INDEX(Src_SYSHECF_nuclear!$X$5:$X$292,MATCH($C300,Src_SYSHECF_nuclear!$C$5:$C$292,0))*$E300),Keys!$C$5),Keys!$C$4)</f>
        <v>0.96309999999999996</v>
      </c>
      <c r="AA300">
        <f>IF($D300=1,ROUND(Keys!$C$2/(INDEX(Src_SYSHECF_nuclear!$Y$5:$Y$292,MATCH($C300,Src_SYSHECF_nuclear!$C$5:$C$292,0))*$E300),Keys!$C$5),Keys!$C$4)</f>
        <v>0.96309999999999996</v>
      </c>
      <c r="AB300">
        <f>IF($D300=1,ROUND(Keys!$C$2/(INDEX(Src_SYSHECF_nuclear!$Z$5:$Z$292,MATCH($C300,Src_SYSHECF_nuclear!$C$5:$C$292,0))*$E300),Keys!$C$5),Keys!$C$4)</f>
        <v>0.96309999999999996</v>
      </c>
      <c r="AC300">
        <f>IF($D300=1,ROUND(Keys!$C$2/(INDEX(Src_SYSHECF_nuclear!$AA$5:$AA$292,MATCH($C300,Src_SYSHECF_nuclear!$C$5:$C$292,0))*$E300),Keys!$C$5),Keys!$C$4)</f>
        <v>0.96309999999999996</v>
      </c>
      <c r="AE300">
        <f>IF($D300=1,IF(ABS(INDEX(Src_SYSHECF_nuclear!$D$5:$D$292,MATCH($C300,Src_SYSHECF_nuclear!$C$5:$C$292,0))*$E300*F300-Keys!$C$2)&gt;Keys!$C$6,1,0),0)</f>
        <v>0</v>
      </c>
    </row>
    <row r="301" spans="1:31" x14ac:dyDescent="0.45">
      <c r="A301" t="s">
        <v>104</v>
      </c>
      <c r="B301" t="s">
        <v>429</v>
      </c>
      <c r="C301" t="str">
        <f t="shared" si="4"/>
        <v>TX|Winter Peak</v>
      </c>
      <c r="D301">
        <f>INDEX(Src_BHRaSYC_nuclear!$HF$5:$HF$52,MATCH($A301,Src_BHRaSYC_nuclear!$A$5:$A$52,0))</f>
        <v>1</v>
      </c>
      <c r="E301">
        <f>INDEX(Src_HYECFCA_nuclear!$B$5:$B$52,MATCH($A301,Src_HYECFCA_nuclear!$A$5:$A$52,0))</f>
        <v>1.04013</v>
      </c>
      <c r="F301">
        <f>IF($D301=1,ROUND(Keys!$C$2/(INDEX(Src_SYSHECF_nuclear!$D$5:$D$292,MATCH($C301,Src_SYSHECF_nuclear!$C$5:$C$292,0))*$E301),Keys!$C$5),Keys!$C$4)</f>
        <v>1.0927</v>
      </c>
      <c r="G301">
        <f>IF($D301=1,ROUND(Keys!$C$2/(INDEX(Src_SYSHECF_nuclear!$E$5:$E$292,MATCH($C301,Src_SYSHECF_nuclear!$C$5:$C$292,0))*$E301),Keys!$C$5),Keys!$C$4)</f>
        <v>1.0754999999999999</v>
      </c>
      <c r="H301">
        <f>IF($D301=1,ROUND(Keys!$C$2/(INDEX(Src_SYSHECF_nuclear!$F$5:$F$292,MATCH($C301,Src_SYSHECF_nuclear!$C$5:$C$292,0))*$E301),Keys!$C$5),Keys!$C$4)</f>
        <v>1.0692999999999999</v>
      </c>
      <c r="I301">
        <f>IF($D301=1,ROUND(Keys!$C$2/(INDEX(Src_SYSHECF_nuclear!$G$5:$G$292,MATCH($C301,Src_SYSHECF_nuclear!$C$5:$C$292,0))*$E301),Keys!$C$5),Keys!$C$4)</f>
        <v>1.0456000000000001</v>
      </c>
      <c r="J301">
        <f>IF($D301=1,ROUND(Keys!$C$2/(INDEX(Src_SYSHECF_nuclear!$H$5:$H$292,MATCH($C301,Src_SYSHECF_nuclear!$C$5:$C$292,0))*$E301),Keys!$C$5),Keys!$C$4)</f>
        <v>1.0456000000000001</v>
      </c>
      <c r="K301">
        <f>IF($D301=1,ROUND(Keys!$C$2/(INDEX(Src_SYSHECF_nuclear!$I$5:$I$292,MATCH($C301,Src_SYSHECF_nuclear!$C$5:$C$292,0))*$E301),Keys!$C$5),Keys!$C$4)</f>
        <v>1.0174000000000001</v>
      </c>
      <c r="L301">
        <f>IF($D301=1,ROUND(Keys!$C$2/(INDEX(Src_SYSHECF_nuclear!$J$5:$J$292,MATCH($C301,Src_SYSHECF_nuclear!$C$5:$C$292,0))*$E301),Keys!$C$5),Keys!$C$4)</f>
        <v>0.96309999999999996</v>
      </c>
      <c r="M301">
        <f>IF($D301=1,ROUND(Keys!$C$2/(INDEX(Src_SYSHECF_nuclear!$K$5:$K$292,MATCH($C301,Src_SYSHECF_nuclear!$C$5:$C$292,0))*$E301),Keys!$C$5),Keys!$C$4)</f>
        <v>0.99519999999999997</v>
      </c>
      <c r="N301">
        <f>IF($D301=1,ROUND(Keys!$C$2/(INDEX(Src_SYSHECF_nuclear!$L$5:$L$292,MATCH($C301,Src_SYSHECF_nuclear!$C$5:$C$292,0))*$E301),Keys!$C$5),Keys!$C$4)</f>
        <v>1.1043000000000001</v>
      </c>
      <c r="O301">
        <f>IF($D301=1,ROUND(Keys!$C$2/(INDEX(Src_SYSHECF_nuclear!$M$5:$M$292,MATCH($C301,Src_SYSHECF_nuclear!$C$5:$C$292,0))*$E301),Keys!$C$5),Keys!$C$4)</f>
        <v>1.1091</v>
      </c>
      <c r="P301">
        <f>IF($D301=1,ROUND(Keys!$C$2/(INDEX(Src_SYSHECF_nuclear!$N$5:$N$292,MATCH($C301,Src_SYSHECF_nuclear!$C$5:$C$292,0))*$E301),Keys!$C$5),Keys!$C$4)</f>
        <v>1.0792999999999999</v>
      </c>
      <c r="Q301">
        <f>IF($D301=1,ROUND(Keys!$C$2/(INDEX(Src_SYSHECF_nuclear!$O$5:$O$292,MATCH($C301,Src_SYSHECF_nuclear!$C$5:$C$292,0))*$E301),Keys!$C$5),Keys!$C$4)</f>
        <v>1.0922000000000001</v>
      </c>
      <c r="R301">
        <f>IF($D301=1,ROUND(Keys!$C$2/(INDEX(Src_SYSHECF_nuclear!$P$5:$P$292,MATCH($C301,Src_SYSHECF_nuclear!$C$5:$C$292,0))*$E301),Keys!$C$5),Keys!$C$4)</f>
        <v>1.1024</v>
      </c>
      <c r="S301">
        <f>IF($D301=1,ROUND(Keys!$C$2/(INDEX(Src_SYSHECF_nuclear!$Q$5:$Q$292,MATCH($C301,Src_SYSHECF_nuclear!$C$5:$C$292,0))*$E301),Keys!$C$5),Keys!$C$4)</f>
        <v>1.1147</v>
      </c>
      <c r="T301">
        <f>IF($D301=1,ROUND(Keys!$C$2/(INDEX(Src_SYSHECF_nuclear!$R$5:$R$292,MATCH($C301,Src_SYSHECF_nuclear!$C$5:$C$292,0))*$E301),Keys!$C$5),Keys!$C$4)</f>
        <v>1.1192</v>
      </c>
      <c r="U301">
        <f>IF($D301=1,ROUND(Keys!$C$2/(INDEX(Src_SYSHECF_nuclear!$S$5:$S$292,MATCH($C301,Src_SYSHECF_nuclear!$C$5:$C$292,0))*$E301),Keys!$C$5),Keys!$C$4)</f>
        <v>1.0972</v>
      </c>
      <c r="V301">
        <f>IF($D301=1,ROUND(Keys!$C$2/(INDEX(Src_SYSHECF_nuclear!$T$5:$T$292,MATCH($C301,Src_SYSHECF_nuclear!$C$5:$C$292,0))*$E301),Keys!$C$5),Keys!$C$4)</f>
        <v>0.97850000000000004</v>
      </c>
      <c r="W301">
        <f>IF($D301=1,ROUND(Keys!$C$2/(INDEX(Src_SYSHECF_nuclear!$U$5:$U$292,MATCH($C301,Src_SYSHECF_nuclear!$C$5:$C$292,0))*$E301),Keys!$C$5),Keys!$C$4)</f>
        <v>0.96309999999999996</v>
      </c>
      <c r="X301">
        <f>IF($D301=1,ROUND(Keys!$C$2/(INDEX(Src_SYSHECF_nuclear!$V$5:$V$292,MATCH($C301,Src_SYSHECF_nuclear!$C$5:$C$292,0))*$E301),Keys!$C$5),Keys!$C$4)</f>
        <v>0.96309999999999996</v>
      </c>
      <c r="Y301">
        <f>IF($D301=1,ROUND(Keys!$C$2/(INDEX(Src_SYSHECF_nuclear!$W$5:$W$292,MATCH($C301,Src_SYSHECF_nuclear!$C$5:$C$292,0))*$E301),Keys!$C$5),Keys!$C$4)</f>
        <v>0.96309999999999996</v>
      </c>
      <c r="Z301">
        <f>IF($D301=1,ROUND(Keys!$C$2/(INDEX(Src_SYSHECF_nuclear!$X$5:$X$292,MATCH($C301,Src_SYSHECF_nuclear!$C$5:$C$292,0))*$E301),Keys!$C$5),Keys!$C$4)</f>
        <v>0.96309999999999996</v>
      </c>
      <c r="AA301">
        <f>IF($D301=1,ROUND(Keys!$C$2/(INDEX(Src_SYSHECF_nuclear!$Y$5:$Y$292,MATCH($C301,Src_SYSHECF_nuclear!$C$5:$C$292,0))*$E301),Keys!$C$5),Keys!$C$4)</f>
        <v>0.96309999999999996</v>
      </c>
      <c r="AB301">
        <f>IF($D301=1,ROUND(Keys!$C$2/(INDEX(Src_SYSHECF_nuclear!$Z$5:$Z$292,MATCH($C301,Src_SYSHECF_nuclear!$C$5:$C$292,0))*$E301),Keys!$C$5),Keys!$C$4)</f>
        <v>0.96309999999999996</v>
      </c>
      <c r="AC301">
        <f>IF($D301=1,ROUND(Keys!$C$2/(INDEX(Src_SYSHECF_nuclear!$AA$5:$AA$292,MATCH($C301,Src_SYSHECF_nuclear!$C$5:$C$292,0))*$E301),Keys!$C$5),Keys!$C$4)</f>
        <v>0.97470000000000001</v>
      </c>
      <c r="AE301">
        <f>IF($D301=1,IF(ABS(INDEX(Src_SYSHECF_nuclear!$D$5:$D$292,MATCH($C301,Src_SYSHECF_nuclear!$C$5:$C$292,0))*$E301*F301-Keys!$C$2)&gt;Keys!$C$6,1,0),0)</f>
        <v>0</v>
      </c>
    </row>
    <row r="302" spans="1:31" x14ac:dyDescent="0.45">
      <c r="A302" t="s">
        <v>106</v>
      </c>
      <c r="B302" t="s">
        <v>424</v>
      </c>
      <c r="C302" t="str">
        <f t="shared" si="4"/>
        <v>UT|Winter</v>
      </c>
      <c r="D302">
        <f>INDEX(Src_BHRaSYC_nuclear!$HF$5:$HF$52,MATCH($A302,Src_BHRaSYC_nuclear!$A$5:$A$52,0))</f>
        <v>0</v>
      </c>
      <c r="E302">
        <f>INDEX(Src_HYECFCA_nuclear!$B$5:$B$52,MATCH($A302,Src_HYECFCA_nuclear!$A$5:$A$52,0))</f>
        <v>1</v>
      </c>
      <c r="F302">
        <f>IF($D302=1,ROUND(Keys!$C$2/(INDEX(Src_SYSHECF_nuclear!$D$5:$D$292,MATCH($C302,Src_SYSHECF_nuclear!$C$5:$C$292,0))*$E302),Keys!$C$5),Keys!$C$4)</f>
        <v>0.9</v>
      </c>
      <c r="G302">
        <f>IF($D302=1,ROUND(Keys!$C$2/(INDEX(Src_SYSHECF_nuclear!$E$5:$E$292,MATCH($C302,Src_SYSHECF_nuclear!$C$5:$C$292,0))*$E302),Keys!$C$5),Keys!$C$4)</f>
        <v>0.9</v>
      </c>
      <c r="H302">
        <f>IF($D302=1,ROUND(Keys!$C$2/(INDEX(Src_SYSHECF_nuclear!$F$5:$F$292,MATCH($C302,Src_SYSHECF_nuclear!$C$5:$C$292,0))*$E302),Keys!$C$5),Keys!$C$4)</f>
        <v>0.9</v>
      </c>
      <c r="I302">
        <f>IF($D302=1,ROUND(Keys!$C$2/(INDEX(Src_SYSHECF_nuclear!$G$5:$G$292,MATCH($C302,Src_SYSHECF_nuclear!$C$5:$C$292,0))*$E302),Keys!$C$5),Keys!$C$4)</f>
        <v>0.9</v>
      </c>
      <c r="J302">
        <f>IF($D302=1,ROUND(Keys!$C$2/(INDEX(Src_SYSHECF_nuclear!$H$5:$H$292,MATCH($C302,Src_SYSHECF_nuclear!$C$5:$C$292,0))*$E302),Keys!$C$5),Keys!$C$4)</f>
        <v>0.9</v>
      </c>
      <c r="K302">
        <f>IF($D302=1,ROUND(Keys!$C$2/(INDEX(Src_SYSHECF_nuclear!$I$5:$I$292,MATCH($C302,Src_SYSHECF_nuclear!$C$5:$C$292,0))*$E302),Keys!$C$5),Keys!$C$4)</f>
        <v>0.9</v>
      </c>
      <c r="L302">
        <f>IF($D302=1,ROUND(Keys!$C$2/(INDEX(Src_SYSHECF_nuclear!$J$5:$J$292,MATCH($C302,Src_SYSHECF_nuclear!$C$5:$C$292,0))*$E302),Keys!$C$5),Keys!$C$4)</f>
        <v>0.9</v>
      </c>
      <c r="M302">
        <f>IF($D302=1,ROUND(Keys!$C$2/(INDEX(Src_SYSHECF_nuclear!$K$5:$K$292,MATCH($C302,Src_SYSHECF_nuclear!$C$5:$C$292,0))*$E302),Keys!$C$5),Keys!$C$4)</f>
        <v>0.9</v>
      </c>
      <c r="N302">
        <f>IF($D302=1,ROUND(Keys!$C$2/(INDEX(Src_SYSHECF_nuclear!$L$5:$L$292,MATCH($C302,Src_SYSHECF_nuclear!$C$5:$C$292,0))*$E302),Keys!$C$5),Keys!$C$4)</f>
        <v>0.9</v>
      </c>
      <c r="O302">
        <f>IF($D302=1,ROUND(Keys!$C$2/(INDEX(Src_SYSHECF_nuclear!$M$5:$M$292,MATCH($C302,Src_SYSHECF_nuclear!$C$5:$C$292,0))*$E302),Keys!$C$5),Keys!$C$4)</f>
        <v>0.9</v>
      </c>
      <c r="P302">
        <f>IF($D302=1,ROUND(Keys!$C$2/(INDEX(Src_SYSHECF_nuclear!$N$5:$N$292,MATCH($C302,Src_SYSHECF_nuclear!$C$5:$C$292,0))*$E302),Keys!$C$5),Keys!$C$4)</f>
        <v>0.9</v>
      </c>
      <c r="Q302">
        <f>IF($D302=1,ROUND(Keys!$C$2/(INDEX(Src_SYSHECF_nuclear!$O$5:$O$292,MATCH($C302,Src_SYSHECF_nuclear!$C$5:$C$292,0))*$E302),Keys!$C$5),Keys!$C$4)</f>
        <v>0.9</v>
      </c>
      <c r="R302">
        <f>IF($D302=1,ROUND(Keys!$C$2/(INDEX(Src_SYSHECF_nuclear!$P$5:$P$292,MATCH($C302,Src_SYSHECF_nuclear!$C$5:$C$292,0))*$E302),Keys!$C$5),Keys!$C$4)</f>
        <v>0.9</v>
      </c>
      <c r="S302">
        <f>IF($D302=1,ROUND(Keys!$C$2/(INDEX(Src_SYSHECF_nuclear!$Q$5:$Q$292,MATCH($C302,Src_SYSHECF_nuclear!$C$5:$C$292,0))*$E302),Keys!$C$5),Keys!$C$4)</f>
        <v>0.9</v>
      </c>
      <c r="T302">
        <f>IF($D302=1,ROUND(Keys!$C$2/(INDEX(Src_SYSHECF_nuclear!$R$5:$R$292,MATCH($C302,Src_SYSHECF_nuclear!$C$5:$C$292,0))*$E302),Keys!$C$5),Keys!$C$4)</f>
        <v>0.9</v>
      </c>
      <c r="U302">
        <f>IF($D302=1,ROUND(Keys!$C$2/(INDEX(Src_SYSHECF_nuclear!$S$5:$S$292,MATCH($C302,Src_SYSHECF_nuclear!$C$5:$C$292,0))*$E302),Keys!$C$5),Keys!$C$4)</f>
        <v>0.9</v>
      </c>
      <c r="V302">
        <f>IF($D302=1,ROUND(Keys!$C$2/(INDEX(Src_SYSHECF_nuclear!$T$5:$T$292,MATCH($C302,Src_SYSHECF_nuclear!$C$5:$C$292,0))*$E302),Keys!$C$5),Keys!$C$4)</f>
        <v>0.9</v>
      </c>
      <c r="W302">
        <f>IF($D302=1,ROUND(Keys!$C$2/(INDEX(Src_SYSHECF_nuclear!$U$5:$U$292,MATCH($C302,Src_SYSHECF_nuclear!$C$5:$C$292,0))*$E302),Keys!$C$5),Keys!$C$4)</f>
        <v>0.9</v>
      </c>
      <c r="X302">
        <f>IF($D302=1,ROUND(Keys!$C$2/(INDEX(Src_SYSHECF_nuclear!$V$5:$V$292,MATCH($C302,Src_SYSHECF_nuclear!$C$5:$C$292,0))*$E302),Keys!$C$5),Keys!$C$4)</f>
        <v>0.9</v>
      </c>
      <c r="Y302">
        <f>IF($D302=1,ROUND(Keys!$C$2/(INDEX(Src_SYSHECF_nuclear!$W$5:$W$292,MATCH($C302,Src_SYSHECF_nuclear!$C$5:$C$292,0))*$E302),Keys!$C$5),Keys!$C$4)</f>
        <v>0.9</v>
      </c>
      <c r="Z302">
        <f>IF($D302=1,ROUND(Keys!$C$2/(INDEX(Src_SYSHECF_nuclear!$X$5:$X$292,MATCH($C302,Src_SYSHECF_nuclear!$C$5:$C$292,0))*$E302),Keys!$C$5),Keys!$C$4)</f>
        <v>0.9</v>
      </c>
      <c r="AA302">
        <f>IF($D302=1,ROUND(Keys!$C$2/(INDEX(Src_SYSHECF_nuclear!$Y$5:$Y$292,MATCH($C302,Src_SYSHECF_nuclear!$C$5:$C$292,0))*$E302),Keys!$C$5),Keys!$C$4)</f>
        <v>0.9</v>
      </c>
      <c r="AB302">
        <f>IF($D302=1,ROUND(Keys!$C$2/(INDEX(Src_SYSHECF_nuclear!$Z$5:$Z$292,MATCH($C302,Src_SYSHECF_nuclear!$C$5:$C$292,0))*$E302),Keys!$C$5),Keys!$C$4)</f>
        <v>0.9</v>
      </c>
      <c r="AC302">
        <f>IF($D302=1,ROUND(Keys!$C$2/(INDEX(Src_SYSHECF_nuclear!$AA$5:$AA$292,MATCH($C302,Src_SYSHECF_nuclear!$C$5:$C$292,0))*$E302),Keys!$C$5),Keys!$C$4)</f>
        <v>0.9</v>
      </c>
      <c r="AE302">
        <f>IF($D302=1,IF(ABS(INDEX(Src_SYSHECF_nuclear!$D$5:$D$292,MATCH($C302,Src_SYSHECF_nuclear!$C$5:$C$292,0))*$E302*F302-Keys!$C$2)&gt;Keys!$C$6,1,0),0)</f>
        <v>0</v>
      </c>
    </row>
    <row r="303" spans="1:31" x14ac:dyDescent="0.45">
      <c r="A303" t="s">
        <v>106</v>
      </c>
      <c r="B303" t="s">
        <v>425</v>
      </c>
      <c r="C303" t="str">
        <f t="shared" si="4"/>
        <v>UT|Spring</v>
      </c>
      <c r="D303">
        <f>INDEX(Src_BHRaSYC_nuclear!$HF$5:$HF$52,MATCH($A303,Src_BHRaSYC_nuclear!$A$5:$A$52,0))</f>
        <v>0</v>
      </c>
      <c r="E303">
        <f>INDEX(Src_HYECFCA_nuclear!$B$5:$B$52,MATCH($A303,Src_HYECFCA_nuclear!$A$5:$A$52,0))</f>
        <v>1</v>
      </c>
      <c r="F303">
        <f>IF($D303=1,ROUND(Keys!$C$2/(INDEX(Src_SYSHECF_nuclear!$D$5:$D$292,MATCH($C303,Src_SYSHECF_nuclear!$C$5:$C$292,0))*$E303),Keys!$C$5),Keys!$C$4)</f>
        <v>0.9</v>
      </c>
      <c r="G303">
        <f>IF($D303=1,ROUND(Keys!$C$2/(INDEX(Src_SYSHECF_nuclear!$E$5:$E$292,MATCH($C303,Src_SYSHECF_nuclear!$C$5:$C$292,0))*$E303),Keys!$C$5),Keys!$C$4)</f>
        <v>0.9</v>
      </c>
      <c r="H303">
        <f>IF($D303=1,ROUND(Keys!$C$2/(INDEX(Src_SYSHECF_nuclear!$F$5:$F$292,MATCH($C303,Src_SYSHECF_nuclear!$C$5:$C$292,0))*$E303),Keys!$C$5),Keys!$C$4)</f>
        <v>0.9</v>
      </c>
      <c r="I303">
        <f>IF($D303=1,ROUND(Keys!$C$2/(INDEX(Src_SYSHECF_nuclear!$G$5:$G$292,MATCH($C303,Src_SYSHECF_nuclear!$C$5:$C$292,0))*$E303),Keys!$C$5),Keys!$C$4)</f>
        <v>0.9</v>
      </c>
      <c r="J303">
        <f>IF($D303=1,ROUND(Keys!$C$2/(INDEX(Src_SYSHECF_nuclear!$H$5:$H$292,MATCH($C303,Src_SYSHECF_nuclear!$C$5:$C$292,0))*$E303),Keys!$C$5),Keys!$C$4)</f>
        <v>0.9</v>
      </c>
      <c r="K303">
        <f>IF($D303=1,ROUND(Keys!$C$2/(INDEX(Src_SYSHECF_nuclear!$I$5:$I$292,MATCH($C303,Src_SYSHECF_nuclear!$C$5:$C$292,0))*$E303),Keys!$C$5),Keys!$C$4)</f>
        <v>0.9</v>
      </c>
      <c r="L303">
        <f>IF($D303=1,ROUND(Keys!$C$2/(INDEX(Src_SYSHECF_nuclear!$J$5:$J$292,MATCH($C303,Src_SYSHECF_nuclear!$C$5:$C$292,0))*$E303),Keys!$C$5),Keys!$C$4)</f>
        <v>0.9</v>
      </c>
      <c r="M303">
        <f>IF($D303=1,ROUND(Keys!$C$2/(INDEX(Src_SYSHECF_nuclear!$K$5:$K$292,MATCH($C303,Src_SYSHECF_nuclear!$C$5:$C$292,0))*$E303),Keys!$C$5),Keys!$C$4)</f>
        <v>0.9</v>
      </c>
      <c r="N303">
        <f>IF($D303=1,ROUND(Keys!$C$2/(INDEX(Src_SYSHECF_nuclear!$L$5:$L$292,MATCH($C303,Src_SYSHECF_nuclear!$C$5:$C$292,0))*$E303),Keys!$C$5),Keys!$C$4)</f>
        <v>0.9</v>
      </c>
      <c r="O303">
        <f>IF($D303=1,ROUND(Keys!$C$2/(INDEX(Src_SYSHECF_nuclear!$M$5:$M$292,MATCH($C303,Src_SYSHECF_nuclear!$C$5:$C$292,0))*$E303),Keys!$C$5),Keys!$C$4)</f>
        <v>0.9</v>
      </c>
      <c r="P303">
        <f>IF($D303=1,ROUND(Keys!$C$2/(INDEX(Src_SYSHECF_nuclear!$N$5:$N$292,MATCH($C303,Src_SYSHECF_nuclear!$C$5:$C$292,0))*$E303),Keys!$C$5),Keys!$C$4)</f>
        <v>0.9</v>
      </c>
      <c r="Q303">
        <f>IF($D303=1,ROUND(Keys!$C$2/(INDEX(Src_SYSHECF_nuclear!$O$5:$O$292,MATCH($C303,Src_SYSHECF_nuclear!$C$5:$C$292,0))*$E303),Keys!$C$5),Keys!$C$4)</f>
        <v>0.9</v>
      </c>
      <c r="R303">
        <f>IF($D303=1,ROUND(Keys!$C$2/(INDEX(Src_SYSHECF_nuclear!$P$5:$P$292,MATCH($C303,Src_SYSHECF_nuclear!$C$5:$C$292,0))*$E303),Keys!$C$5),Keys!$C$4)</f>
        <v>0.9</v>
      </c>
      <c r="S303">
        <f>IF($D303=1,ROUND(Keys!$C$2/(INDEX(Src_SYSHECF_nuclear!$Q$5:$Q$292,MATCH($C303,Src_SYSHECF_nuclear!$C$5:$C$292,0))*$E303),Keys!$C$5),Keys!$C$4)</f>
        <v>0.9</v>
      </c>
      <c r="T303">
        <f>IF($D303=1,ROUND(Keys!$C$2/(INDEX(Src_SYSHECF_nuclear!$R$5:$R$292,MATCH($C303,Src_SYSHECF_nuclear!$C$5:$C$292,0))*$E303),Keys!$C$5),Keys!$C$4)</f>
        <v>0.9</v>
      </c>
      <c r="U303">
        <f>IF($D303=1,ROUND(Keys!$C$2/(INDEX(Src_SYSHECF_nuclear!$S$5:$S$292,MATCH($C303,Src_SYSHECF_nuclear!$C$5:$C$292,0))*$E303),Keys!$C$5),Keys!$C$4)</f>
        <v>0.9</v>
      </c>
      <c r="V303">
        <f>IF($D303=1,ROUND(Keys!$C$2/(INDEX(Src_SYSHECF_nuclear!$T$5:$T$292,MATCH($C303,Src_SYSHECF_nuclear!$C$5:$C$292,0))*$E303),Keys!$C$5),Keys!$C$4)</f>
        <v>0.9</v>
      </c>
      <c r="W303">
        <f>IF($D303=1,ROUND(Keys!$C$2/(INDEX(Src_SYSHECF_nuclear!$U$5:$U$292,MATCH($C303,Src_SYSHECF_nuclear!$C$5:$C$292,0))*$E303),Keys!$C$5),Keys!$C$4)</f>
        <v>0.9</v>
      </c>
      <c r="X303">
        <f>IF($D303=1,ROUND(Keys!$C$2/(INDEX(Src_SYSHECF_nuclear!$V$5:$V$292,MATCH($C303,Src_SYSHECF_nuclear!$C$5:$C$292,0))*$E303),Keys!$C$5),Keys!$C$4)</f>
        <v>0.9</v>
      </c>
      <c r="Y303">
        <f>IF($D303=1,ROUND(Keys!$C$2/(INDEX(Src_SYSHECF_nuclear!$W$5:$W$292,MATCH($C303,Src_SYSHECF_nuclear!$C$5:$C$292,0))*$E303),Keys!$C$5),Keys!$C$4)</f>
        <v>0.9</v>
      </c>
      <c r="Z303">
        <f>IF($D303=1,ROUND(Keys!$C$2/(INDEX(Src_SYSHECF_nuclear!$X$5:$X$292,MATCH($C303,Src_SYSHECF_nuclear!$C$5:$C$292,0))*$E303),Keys!$C$5),Keys!$C$4)</f>
        <v>0.9</v>
      </c>
      <c r="AA303">
        <f>IF($D303=1,ROUND(Keys!$C$2/(INDEX(Src_SYSHECF_nuclear!$Y$5:$Y$292,MATCH($C303,Src_SYSHECF_nuclear!$C$5:$C$292,0))*$E303),Keys!$C$5),Keys!$C$4)</f>
        <v>0.9</v>
      </c>
      <c r="AB303">
        <f>IF($D303=1,ROUND(Keys!$C$2/(INDEX(Src_SYSHECF_nuclear!$Z$5:$Z$292,MATCH($C303,Src_SYSHECF_nuclear!$C$5:$C$292,0))*$E303),Keys!$C$5),Keys!$C$4)</f>
        <v>0.9</v>
      </c>
      <c r="AC303">
        <f>IF($D303=1,ROUND(Keys!$C$2/(INDEX(Src_SYSHECF_nuclear!$AA$5:$AA$292,MATCH($C303,Src_SYSHECF_nuclear!$C$5:$C$292,0))*$E303),Keys!$C$5),Keys!$C$4)</f>
        <v>0.9</v>
      </c>
      <c r="AE303">
        <f>IF($D303=1,IF(ABS(INDEX(Src_SYSHECF_nuclear!$D$5:$D$292,MATCH($C303,Src_SYSHECF_nuclear!$C$5:$C$292,0))*$E303*F303-Keys!$C$2)&gt;Keys!$C$6,1,0),0)</f>
        <v>0</v>
      </c>
    </row>
    <row r="304" spans="1:31" x14ac:dyDescent="0.45">
      <c r="A304" t="s">
        <v>106</v>
      </c>
      <c r="B304" t="s">
        <v>426</v>
      </c>
      <c r="C304" t="str">
        <f t="shared" si="4"/>
        <v>UT|Summer</v>
      </c>
      <c r="D304">
        <f>INDEX(Src_BHRaSYC_nuclear!$HF$5:$HF$52,MATCH($A304,Src_BHRaSYC_nuclear!$A$5:$A$52,0))</f>
        <v>0</v>
      </c>
      <c r="E304">
        <f>INDEX(Src_HYECFCA_nuclear!$B$5:$B$52,MATCH($A304,Src_HYECFCA_nuclear!$A$5:$A$52,0))</f>
        <v>1</v>
      </c>
      <c r="F304">
        <f>IF($D304=1,ROUND(Keys!$C$2/(INDEX(Src_SYSHECF_nuclear!$D$5:$D$292,MATCH($C304,Src_SYSHECF_nuclear!$C$5:$C$292,0))*$E304),Keys!$C$5),Keys!$C$4)</f>
        <v>0.9</v>
      </c>
      <c r="G304">
        <f>IF($D304=1,ROUND(Keys!$C$2/(INDEX(Src_SYSHECF_nuclear!$E$5:$E$292,MATCH($C304,Src_SYSHECF_nuclear!$C$5:$C$292,0))*$E304),Keys!$C$5),Keys!$C$4)</f>
        <v>0.9</v>
      </c>
      <c r="H304">
        <f>IF($D304=1,ROUND(Keys!$C$2/(INDEX(Src_SYSHECF_nuclear!$F$5:$F$292,MATCH($C304,Src_SYSHECF_nuclear!$C$5:$C$292,0))*$E304),Keys!$C$5),Keys!$C$4)</f>
        <v>0.9</v>
      </c>
      <c r="I304">
        <f>IF($D304=1,ROUND(Keys!$C$2/(INDEX(Src_SYSHECF_nuclear!$G$5:$G$292,MATCH($C304,Src_SYSHECF_nuclear!$C$5:$C$292,0))*$E304),Keys!$C$5),Keys!$C$4)</f>
        <v>0.9</v>
      </c>
      <c r="J304">
        <f>IF($D304=1,ROUND(Keys!$C$2/(INDEX(Src_SYSHECF_nuclear!$H$5:$H$292,MATCH($C304,Src_SYSHECF_nuclear!$C$5:$C$292,0))*$E304),Keys!$C$5),Keys!$C$4)</f>
        <v>0.9</v>
      </c>
      <c r="K304">
        <f>IF($D304=1,ROUND(Keys!$C$2/(INDEX(Src_SYSHECF_nuclear!$I$5:$I$292,MATCH($C304,Src_SYSHECF_nuclear!$C$5:$C$292,0))*$E304),Keys!$C$5),Keys!$C$4)</f>
        <v>0.9</v>
      </c>
      <c r="L304">
        <f>IF($D304=1,ROUND(Keys!$C$2/(INDEX(Src_SYSHECF_nuclear!$J$5:$J$292,MATCH($C304,Src_SYSHECF_nuclear!$C$5:$C$292,0))*$E304),Keys!$C$5),Keys!$C$4)</f>
        <v>0.9</v>
      </c>
      <c r="M304">
        <f>IF($D304=1,ROUND(Keys!$C$2/(INDEX(Src_SYSHECF_nuclear!$K$5:$K$292,MATCH($C304,Src_SYSHECF_nuclear!$C$5:$C$292,0))*$E304),Keys!$C$5),Keys!$C$4)</f>
        <v>0.9</v>
      </c>
      <c r="N304">
        <f>IF($D304=1,ROUND(Keys!$C$2/(INDEX(Src_SYSHECF_nuclear!$L$5:$L$292,MATCH($C304,Src_SYSHECF_nuclear!$C$5:$C$292,0))*$E304),Keys!$C$5),Keys!$C$4)</f>
        <v>0.9</v>
      </c>
      <c r="O304">
        <f>IF($D304=1,ROUND(Keys!$C$2/(INDEX(Src_SYSHECF_nuclear!$M$5:$M$292,MATCH($C304,Src_SYSHECF_nuclear!$C$5:$C$292,0))*$E304),Keys!$C$5),Keys!$C$4)</f>
        <v>0.9</v>
      </c>
      <c r="P304">
        <f>IF($D304=1,ROUND(Keys!$C$2/(INDEX(Src_SYSHECF_nuclear!$N$5:$N$292,MATCH($C304,Src_SYSHECF_nuclear!$C$5:$C$292,0))*$E304),Keys!$C$5),Keys!$C$4)</f>
        <v>0.9</v>
      </c>
      <c r="Q304">
        <f>IF($D304=1,ROUND(Keys!$C$2/(INDEX(Src_SYSHECF_nuclear!$O$5:$O$292,MATCH($C304,Src_SYSHECF_nuclear!$C$5:$C$292,0))*$E304),Keys!$C$5),Keys!$C$4)</f>
        <v>0.9</v>
      </c>
      <c r="R304">
        <f>IF($D304=1,ROUND(Keys!$C$2/(INDEX(Src_SYSHECF_nuclear!$P$5:$P$292,MATCH($C304,Src_SYSHECF_nuclear!$C$5:$C$292,0))*$E304),Keys!$C$5),Keys!$C$4)</f>
        <v>0.9</v>
      </c>
      <c r="S304">
        <f>IF($D304=1,ROUND(Keys!$C$2/(INDEX(Src_SYSHECF_nuclear!$Q$5:$Q$292,MATCH($C304,Src_SYSHECF_nuclear!$C$5:$C$292,0))*$E304),Keys!$C$5),Keys!$C$4)</f>
        <v>0.9</v>
      </c>
      <c r="T304">
        <f>IF($D304=1,ROUND(Keys!$C$2/(INDEX(Src_SYSHECF_nuclear!$R$5:$R$292,MATCH($C304,Src_SYSHECF_nuclear!$C$5:$C$292,0))*$E304),Keys!$C$5),Keys!$C$4)</f>
        <v>0.9</v>
      </c>
      <c r="U304">
        <f>IF($D304=1,ROUND(Keys!$C$2/(INDEX(Src_SYSHECF_nuclear!$S$5:$S$292,MATCH($C304,Src_SYSHECF_nuclear!$C$5:$C$292,0))*$E304),Keys!$C$5),Keys!$C$4)</f>
        <v>0.9</v>
      </c>
      <c r="V304">
        <f>IF($D304=1,ROUND(Keys!$C$2/(INDEX(Src_SYSHECF_nuclear!$T$5:$T$292,MATCH($C304,Src_SYSHECF_nuclear!$C$5:$C$292,0))*$E304),Keys!$C$5),Keys!$C$4)</f>
        <v>0.9</v>
      </c>
      <c r="W304">
        <f>IF($D304=1,ROUND(Keys!$C$2/(INDEX(Src_SYSHECF_nuclear!$U$5:$U$292,MATCH($C304,Src_SYSHECF_nuclear!$C$5:$C$292,0))*$E304),Keys!$C$5),Keys!$C$4)</f>
        <v>0.9</v>
      </c>
      <c r="X304">
        <f>IF($D304=1,ROUND(Keys!$C$2/(INDEX(Src_SYSHECF_nuclear!$V$5:$V$292,MATCH($C304,Src_SYSHECF_nuclear!$C$5:$C$292,0))*$E304),Keys!$C$5),Keys!$C$4)</f>
        <v>0.9</v>
      </c>
      <c r="Y304">
        <f>IF($D304=1,ROUND(Keys!$C$2/(INDEX(Src_SYSHECF_nuclear!$W$5:$W$292,MATCH($C304,Src_SYSHECF_nuclear!$C$5:$C$292,0))*$E304),Keys!$C$5),Keys!$C$4)</f>
        <v>0.9</v>
      </c>
      <c r="Z304">
        <f>IF($D304=1,ROUND(Keys!$C$2/(INDEX(Src_SYSHECF_nuclear!$X$5:$X$292,MATCH($C304,Src_SYSHECF_nuclear!$C$5:$C$292,0))*$E304),Keys!$C$5),Keys!$C$4)</f>
        <v>0.9</v>
      </c>
      <c r="AA304">
        <f>IF($D304=1,ROUND(Keys!$C$2/(INDEX(Src_SYSHECF_nuclear!$Y$5:$Y$292,MATCH($C304,Src_SYSHECF_nuclear!$C$5:$C$292,0))*$E304),Keys!$C$5),Keys!$C$4)</f>
        <v>0.9</v>
      </c>
      <c r="AB304">
        <f>IF($D304=1,ROUND(Keys!$C$2/(INDEX(Src_SYSHECF_nuclear!$Z$5:$Z$292,MATCH($C304,Src_SYSHECF_nuclear!$C$5:$C$292,0))*$E304),Keys!$C$5),Keys!$C$4)</f>
        <v>0.9</v>
      </c>
      <c r="AC304">
        <f>IF($D304=1,ROUND(Keys!$C$2/(INDEX(Src_SYSHECF_nuclear!$AA$5:$AA$292,MATCH($C304,Src_SYSHECF_nuclear!$C$5:$C$292,0))*$E304),Keys!$C$5),Keys!$C$4)</f>
        <v>0.9</v>
      </c>
      <c r="AE304">
        <f>IF($D304=1,IF(ABS(INDEX(Src_SYSHECF_nuclear!$D$5:$D$292,MATCH($C304,Src_SYSHECF_nuclear!$C$5:$C$292,0))*$E304*F304-Keys!$C$2)&gt;Keys!$C$6,1,0),0)</f>
        <v>0</v>
      </c>
    </row>
    <row r="305" spans="1:31" x14ac:dyDescent="0.45">
      <c r="A305" t="s">
        <v>106</v>
      </c>
      <c r="B305" t="s">
        <v>427</v>
      </c>
      <c r="C305" t="str">
        <f t="shared" si="4"/>
        <v>UT|Fall</v>
      </c>
      <c r="D305">
        <f>INDEX(Src_BHRaSYC_nuclear!$HF$5:$HF$52,MATCH($A305,Src_BHRaSYC_nuclear!$A$5:$A$52,0))</f>
        <v>0</v>
      </c>
      <c r="E305">
        <f>INDEX(Src_HYECFCA_nuclear!$B$5:$B$52,MATCH($A305,Src_HYECFCA_nuclear!$A$5:$A$52,0))</f>
        <v>1</v>
      </c>
      <c r="F305">
        <f>IF($D305=1,ROUND(Keys!$C$2/(INDEX(Src_SYSHECF_nuclear!$D$5:$D$292,MATCH($C305,Src_SYSHECF_nuclear!$C$5:$C$292,0))*$E305),Keys!$C$5),Keys!$C$4)</f>
        <v>0.9</v>
      </c>
      <c r="G305">
        <f>IF($D305=1,ROUND(Keys!$C$2/(INDEX(Src_SYSHECF_nuclear!$E$5:$E$292,MATCH($C305,Src_SYSHECF_nuclear!$C$5:$C$292,0))*$E305),Keys!$C$5),Keys!$C$4)</f>
        <v>0.9</v>
      </c>
      <c r="H305">
        <f>IF($D305=1,ROUND(Keys!$C$2/(INDEX(Src_SYSHECF_nuclear!$F$5:$F$292,MATCH($C305,Src_SYSHECF_nuclear!$C$5:$C$292,0))*$E305),Keys!$C$5),Keys!$C$4)</f>
        <v>0.9</v>
      </c>
      <c r="I305">
        <f>IF($D305=1,ROUND(Keys!$C$2/(INDEX(Src_SYSHECF_nuclear!$G$5:$G$292,MATCH($C305,Src_SYSHECF_nuclear!$C$5:$C$292,0))*$E305),Keys!$C$5),Keys!$C$4)</f>
        <v>0.9</v>
      </c>
      <c r="J305">
        <f>IF($D305=1,ROUND(Keys!$C$2/(INDEX(Src_SYSHECF_nuclear!$H$5:$H$292,MATCH($C305,Src_SYSHECF_nuclear!$C$5:$C$292,0))*$E305),Keys!$C$5),Keys!$C$4)</f>
        <v>0.9</v>
      </c>
      <c r="K305">
        <f>IF($D305=1,ROUND(Keys!$C$2/(INDEX(Src_SYSHECF_nuclear!$I$5:$I$292,MATCH($C305,Src_SYSHECF_nuclear!$C$5:$C$292,0))*$E305),Keys!$C$5),Keys!$C$4)</f>
        <v>0.9</v>
      </c>
      <c r="L305">
        <f>IF($D305=1,ROUND(Keys!$C$2/(INDEX(Src_SYSHECF_nuclear!$J$5:$J$292,MATCH($C305,Src_SYSHECF_nuclear!$C$5:$C$292,0))*$E305),Keys!$C$5),Keys!$C$4)</f>
        <v>0.9</v>
      </c>
      <c r="M305">
        <f>IF($D305=1,ROUND(Keys!$C$2/(INDEX(Src_SYSHECF_nuclear!$K$5:$K$292,MATCH($C305,Src_SYSHECF_nuclear!$C$5:$C$292,0))*$E305),Keys!$C$5),Keys!$C$4)</f>
        <v>0.9</v>
      </c>
      <c r="N305">
        <f>IF($D305=1,ROUND(Keys!$C$2/(INDEX(Src_SYSHECF_nuclear!$L$5:$L$292,MATCH($C305,Src_SYSHECF_nuclear!$C$5:$C$292,0))*$E305),Keys!$C$5),Keys!$C$4)</f>
        <v>0.9</v>
      </c>
      <c r="O305">
        <f>IF($D305=1,ROUND(Keys!$C$2/(INDEX(Src_SYSHECF_nuclear!$M$5:$M$292,MATCH($C305,Src_SYSHECF_nuclear!$C$5:$C$292,0))*$E305),Keys!$C$5),Keys!$C$4)</f>
        <v>0.9</v>
      </c>
      <c r="P305">
        <f>IF($D305=1,ROUND(Keys!$C$2/(INDEX(Src_SYSHECF_nuclear!$N$5:$N$292,MATCH($C305,Src_SYSHECF_nuclear!$C$5:$C$292,0))*$E305),Keys!$C$5),Keys!$C$4)</f>
        <v>0.9</v>
      </c>
      <c r="Q305">
        <f>IF($D305=1,ROUND(Keys!$C$2/(INDEX(Src_SYSHECF_nuclear!$O$5:$O$292,MATCH($C305,Src_SYSHECF_nuclear!$C$5:$C$292,0))*$E305),Keys!$C$5),Keys!$C$4)</f>
        <v>0.9</v>
      </c>
      <c r="R305">
        <f>IF($D305=1,ROUND(Keys!$C$2/(INDEX(Src_SYSHECF_nuclear!$P$5:$P$292,MATCH($C305,Src_SYSHECF_nuclear!$C$5:$C$292,0))*$E305),Keys!$C$5),Keys!$C$4)</f>
        <v>0.9</v>
      </c>
      <c r="S305">
        <f>IF($D305=1,ROUND(Keys!$C$2/(INDEX(Src_SYSHECF_nuclear!$Q$5:$Q$292,MATCH($C305,Src_SYSHECF_nuclear!$C$5:$C$292,0))*$E305),Keys!$C$5),Keys!$C$4)</f>
        <v>0.9</v>
      </c>
      <c r="T305">
        <f>IF($D305=1,ROUND(Keys!$C$2/(INDEX(Src_SYSHECF_nuclear!$R$5:$R$292,MATCH($C305,Src_SYSHECF_nuclear!$C$5:$C$292,0))*$E305),Keys!$C$5),Keys!$C$4)</f>
        <v>0.9</v>
      </c>
      <c r="U305">
        <f>IF($D305=1,ROUND(Keys!$C$2/(INDEX(Src_SYSHECF_nuclear!$S$5:$S$292,MATCH($C305,Src_SYSHECF_nuclear!$C$5:$C$292,0))*$E305),Keys!$C$5),Keys!$C$4)</f>
        <v>0.9</v>
      </c>
      <c r="V305">
        <f>IF($D305=1,ROUND(Keys!$C$2/(INDEX(Src_SYSHECF_nuclear!$T$5:$T$292,MATCH($C305,Src_SYSHECF_nuclear!$C$5:$C$292,0))*$E305),Keys!$C$5),Keys!$C$4)</f>
        <v>0.9</v>
      </c>
      <c r="W305">
        <f>IF($D305=1,ROUND(Keys!$C$2/(INDEX(Src_SYSHECF_nuclear!$U$5:$U$292,MATCH($C305,Src_SYSHECF_nuclear!$C$5:$C$292,0))*$E305),Keys!$C$5),Keys!$C$4)</f>
        <v>0.9</v>
      </c>
      <c r="X305">
        <f>IF($D305=1,ROUND(Keys!$C$2/(INDEX(Src_SYSHECF_nuclear!$V$5:$V$292,MATCH($C305,Src_SYSHECF_nuclear!$C$5:$C$292,0))*$E305),Keys!$C$5),Keys!$C$4)</f>
        <v>0.9</v>
      </c>
      <c r="Y305">
        <f>IF($D305=1,ROUND(Keys!$C$2/(INDEX(Src_SYSHECF_nuclear!$W$5:$W$292,MATCH($C305,Src_SYSHECF_nuclear!$C$5:$C$292,0))*$E305),Keys!$C$5),Keys!$C$4)</f>
        <v>0.9</v>
      </c>
      <c r="Z305">
        <f>IF($D305=1,ROUND(Keys!$C$2/(INDEX(Src_SYSHECF_nuclear!$X$5:$X$292,MATCH($C305,Src_SYSHECF_nuclear!$C$5:$C$292,0))*$E305),Keys!$C$5),Keys!$C$4)</f>
        <v>0.9</v>
      </c>
      <c r="AA305">
        <f>IF($D305=1,ROUND(Keys!$C$2/(INDEX(Src_SYSHECF_nuclear!$Y$5:$Y$292,MATCH($C305,Src_SYSHECF_nuclear!$C$5:$C$292,0))*$E305),Keys!$C$5),Keys!$C$4)</f>
        <v>0.9</v>
      </c>
      <c r="AB305">
        <f>IF($D305=1,ROUND(Keys!$C$2/(INDEX(Src_SYSHECF_nuclear!$Z$5:$Z$292,MATCH($C305,Src_SYSHECF_nuclear!$C$5:$C$292,0))*$E305),Keys!$C$5),Keys!$C$4)</f>
        <v>0.9</v>
      </c>
      <c r="AC305">
        <f>IF($D305=1,ROUND(Keys!$C$2/(INDEX(Src_SYSHECF_nuclear!$AA$5:$AA$292,MATCH($C305,Src_SYSHECF_nuclear!$C$5:$C$292,0))*$E305),Keys!$C$5),Keys!$C$4)</f>
        <v>0.9</v>
      </c>
      <c r="AE305">
        <f>IF($D305=1,IF(ABS(INDEX(Src_SYSHECF_nuclear!$D$5:$D$292,MATCH($C305,Src_SYSHECF_nuclear!$C$5:$C$292,0))*$E305*F305-Keys!$C$2)&gt;Keys!$C$6,1,0),0)</f>
        <v>0</v>
      </c>
    </row>
    <row r="306" spans="1:31" x14ac:dyDescent="0.45">
      <c r="A306" t="s">
        <v>106</v>
      </c>
      <c r="B306" t="s">
        <v>428</v>
      </c>
      <c r="C306" t="str">
        <f t="shared" si="4"/>
        <v>UT|Summer Peak</v>
      </c>
      <c r="D306">
        <f>INDEX(Src_BHRaSYC_nuclear!$HF$5:$HF$52,MATCH($A306,Src_BHRaSYC_nuclear!$A$5:$A$52,0))</f>
        <v>0</v>
      </c>
      <c r="E306">
        <f>INDEX(Src_HYECFCA_nuclear!$B$5:$B$52,MATCH($A306,Src_HYECFCA_nuclear!$A$5:$A$52,0))</f>
        <v>1</v>
      </c>
      <c r="F306">
        <f>IF($D306=1,ROUND(Keys!$C$2/(INDEX(Src_SYSHECF_nuclear!$D$5:$D$292,MATCH($C306,Src_SYSHECF_nuclear!$C$5:$C$292,0))*$E306),Keys!$C$5),Keys!$C$4)</f>
        <v>0.9</v>
      </c>
      <c r="G306">
        <f>IF($D306=1,ROUND(Keys!$C$2/(INDEX(Src_SYSHECF_nuclear!$E$5:$E$292,MATCH($C306,Src_SYSHECF_nuclear!$C$5:$C$292,0))*$E306),Keys!$C$5),Keys!$C$4)</f>
        <v>0.9</v>
      </c>
      <c r="H306">
        <f>IF($D306=1,ROUND(Keys!$C$2/(INDEX(Src_SYSHECF_nuclear!$F$5:$F$292,MATCH($C306,Src_SYSHECF_nuclear!$C$5:$C$292,0))*$E306),Keys!$C$5),Keys!$C$4)</f>
        <v>0.9</v>
      </c>
      <c r="I306">
        <f>IF($D306=1,ROUND(Keys!$C$2/(INDEX(Src_SYSHECF_nuclear!$G$5:$G$292,MATCH($C306,Src_SYSHECF_nuclear!$C$5:$C$292,0))*$E306),Keys!$C$5),Keys!$C$4)</f>
        <v>0.9</v>
      </c>
      <c r="J306">
        <f>IF($D306=1,ROUND(Keys!$C$2/(INDEX(Src_SYSHECF_nuclear!$H$5:$H$292,MATCH($C306,Src_SYSHECF_nuclear!$C$5:$C$292,0))*$E306),Keys!$C$5),Keys!$C$4)</f>
        <v>0.9</v>
      </c>
      <c r="K306">
        <f>IF($D306=1,ROUND(Keys!$C$2/(INDEX(Src_SYSHECF_nuclear!$I$5:$I$292,MATCH($C306,Src_SYSHECF_nuclear!$C$5:$C$292,0))*$E306),Keys!$C$5),Keys!$C$4)</f>
        <v>0.9</v>
      </c>
      <c r="L306">
        <f>IF($D306=1,ROUND(Keys!$C$2/(INDEX(Src_SYSHECF_nuclear!$J$5:$J$292,MATCH($C306,Src_SYSHECF_nuclear!$C$5:$C$292,0))*$E306),Keys!$C$5),Keys!$C$4)</f>
        <v>0.9</v>
      </c>
      <c r="M306">
        <f>IF($D306=1,ROUND(Keys!$C$2/(INDEX(Src_SYSHECF_nuclear!$K$5:$K$292,MATCH($C306,Src_SYSHECF_nuclear!$C$5:$C$292,0))*$E306),Keys!$C$5),Keys!$C$4)</f>
        <v>0.9</v>
      </c>
      <c r="N306">
        <f>IF($D306=1,ROUND(Keys!$C$2/(INDEX(Src_SYSHECF_nuclear!$L$5:$L$292,MATCH($C306,Src_SYSHECF_nuclear!$C$5:$C$292,0))*$E306),Keys!$C$5),Keys!$C$4)</f>
        <v>0.9</v>
      </c>
      <c r="O306">
        <f>IF($D306=1,ROUND(Keys!$C$2/(INDEX(Src_SYSHECF_nuclear!$M$5:$M$292,MATCH($C306,Src_SYSHECF_nuclear!$C$5:$C$292,0))*$E306),Keys!$C$5),Keys!$C$4)</f>
        <v>0.9</v>
      </c>
      <c r="P306">
        <f>IF($D306=1,ROUND(Keys!$C$2/(INDEX(Src_SYSHECF_nuclear!$N$5:$N$292,MATCH($C306,Src_SYSHECF_nuclear!$C$5:$C$292,0))*$E306),Keys!$C$5),Keys!$C$4)</f>
        <v>0.9</v>
      </c>
      <c r="Q306">
        <f>IF($D306=1,ROUND(Keys!$C$2/(INDEX(Src_SYSHECF_nuclear!$O$5:$O$292,MATCH($C306,Src_SYSHECF_nuclear!$C$5:$C$292,0))*$E306),Keys!$C$5),Keys!$C$4)</f>
        <v>0.9</v>
      </c>
      <c r="R306">
        <f>IF($D306=1,ROUND(Keys!$C$2/(INDEX(Src_SYSHECF_nuclear!$P$5:$P$292,MATCH($C306,Src_SYSHECF_nuclear!$C$5:$C$292,0))*$E306),Keys!$C$5),Keys!$C$4)</f>
        <v>0.9</v>
      </c>
      <c r="S306">
        <f>IF($D306=1,ROUND(Keys!$C$2/(INDEX(Src_SYSHECF_nuclear!$Q$5:$Q$292,MATCH($C306,Src_SYSHECF_nuclear!$C$5:$C$292,0))*$E306),Keys!$C$5),Keys!$C$4)</f>
        <v>0.9</v>
      </c>
      <c r="T306">
        <f>IF($D306=1,ROUND(Keys!$C$2/(INDEX(Src_SYSHECF_nuclear!$R$5:$R$292,MATCH($C306,Src_SYSHECF_nuclear!$C$5:$C$292,0))*$E306),Keys!$C$5),Keys!$C$4)</f>
        <v>0.9</v>
      </c>
      <c r="U306">
        <f>IF($D306=1,ROUND(Keys!$C$2/(INDEX(Src_SYSHECF_nuclear!$S$5:$S$292,MATCH($C306,Src_SYSHECF_nuclear!$C$5:$C$292,0))*$E306),Keys!$C$5),Keys!$C$4)</f>
        <v>0.9</v>
      </c>
      <c r="V306">
        <f>IF($D306=1,ROUND(Keys!$C$2/(INDEX(Src_SYSHECF_nuclear!$T$5:$T$292,MATCH($C306,Src_SYSHECF_nuclear!$C$5:$C$292,0))*$E306),Keys!$C$5),Keys!$C$4)</f>
        <v>0.9</v>
      </c>
      <c r="W306">
        <f>IF($D306=1,ROUND(Keys!$C$2/(INDEX(Src_SYSHECF_nuclear!$U$5:$U$292,MATCH($C306,Src_SYSHECF_nuclear!$C$5:$C$292,0))*$E306),Keys!$C$5),Keys!$C$4)</f>
        <v>0.9</v>
      </c>
      <c r="X306">
        <f>IF($D306=1,ROUND(Keys!$C$2/(INDEX(Src_SYSHECF_nuclear!$V$5:$V$292,MATCH($C306,Src_SYSHECF_nuclear!$C$5:$C$292,0))*$E306),Keys!$C$5),Keys!$C$4)</f>
        <v>0.9</v>
      </c>
      <c r="Y306">
        <f>IF($D306=1,ROUND(Keys!$C$2/(INDEX(Src_SYSHECF_nuclear!$W$5:$W$292,MATCH($C306,Src_SYSHECF_nuclear!$C$5:$C$292,0))*$E306),Keys!$C$5),Keys!$C$4)</f>
        <v>0.9</v>
      </c>
      <c r="Z306">
        <f>IF($D306=1,ROUND(Keys!$C$2/(INDEX(Src_SYSHECF_nuclear!$X$5:$X$292,MATCH($C306,Src_SYSHECF_nuclear!$C$5:$C$292,0))*$E306),Keys!$C$5),Keys!$C$4)</f>
        <v>0.9</v>
      </c>
      <c r="AA306">
        <f>IF($D306=1,ROUND(Keys!$C$2/(INDEX(Src_SYSHECF_nuclear!$Y$5:$Y$292,MATCH($C306,Src_SYSHECF_nuclear!$C$5:$C$292,0))*$E306),Keys!$C$5),Keys!$C$4)</f>
        <v>0.9</v>
      </c>
      <c r="AB306">
        <f>IF($D306=1,ROUND(Keys!$C$2/(INDEX(Src_SYSHECF_nuclear!$Z$5:$Z$292,MATCH($C306,Src_SYSHECF_nuclear!$C$5:$C$292,0))*$E306),Keys!$C$5),Keys!$C$4)</f>
        <v>0.9</v>
      </c>
      <c r="AC306">
        <f>IF($D306=1,ROUND(Keys!$C$2/(INDEX(Src_SYSHECF_nuclear!$AA$5:$AA$292,MATCH($C306,Src_SYSHECF_nuclear!$C$5:$C$292,0))*$E306),Keys!$C$5),Keys!$C$4)</f>
        <v>0.9</v>
      </c>
      <c r="AE306">
        <f>IF($D306=1,IF(ABS(INDEX(Src_SYSHECF_nuclear!$D$5:$D$292,MATCH($C306,Src_SYSHECF_nuclear!$C$5:$C$292,0))*$E306*F306-Keys!$C$2)&gt;Keys!$C$6,1,0),0)</f>
        <v>0</v>
      </c>
    </row>
    <row r="307" spans="1:31" x14ac:dyDescent="0.45">
      <c r="A307" t="s">
        <v>106</v>
      </c>
      <c r="B307" t="s">
        <v>429</v>
      </c>
      <c r="C307" t="str">
        <f t="shared" si="4"/>
        <v>UT|Winter Peak</v>
      </c>
      <c r="D307">
        <f>INDEX(Src_BHRaSYC_nuclear!$HF$5:$HF$52,MATCH($A307,Src_BHRaSYC_nuclear!$A$5:$A$52,0))</f>
        <v>0</v>
      </c>
      <c r="E307">
        <f>INDEX(Src_HYECFCA_nuclear!$B$5:$B$52,MATCH($A307,Src_HYECFCA_nuclear!$A$5:$A$52,0))</f>
        <v>1</v>
      </c>
      <c r="F307">
        <f>IF($D307=1,ROUND(Keys!$C$2/(INDEX(Src_SYSHECF_nuclear!$D$5:$D$292,MATCH($C307,Src_SYSHECF_nuclear!$C$5:$C$292,0))*$E307),Keys!$C$5),Keys!$C$4)</f>
        <v>0.9</v>
      </c>
      <c r="G307">
        <f>IF($D307=1,ROUND(Keys!$C$2/(INDEX(Src_SYSHECF_nuclear!$E$5:$E$292,MATCH($C307,Src_SYSHECF_nuclear!$C$5:$C$292,0))*$E307),Keys!$C$5),Keys!$C$4)</f>
        <v>0.9</v>
      </c>
      <c r="H307">
        <f>IF($D307=1,ROUND(Keys!$C$2/(INDEX(Src_SYSHECF_nuclear!$F$5:$F$292,MATCH($C307,Src_SYSHECF_nuclear!$C$5:$C$292,0))*$E307),Keys!$C$5),Keys!$C$4)</f>
        <v>0.9</v>
      </c>
      <c r="I307">
        <f>IF($D307=1,ROUND(Keys!$C$2/(INDEX(Src_SYSHECF_nuclear!$G$5:$G$292,MATCH($C307,Src_SYSHECF_nuclear!$C$5:$C$292,0))*$E307),Keys!$C$5),Keys!$C$4)</f>
        <v>0.9</v>
      </c>
      <c r="J307">
        <f>IF($D307=1,ROUND(Keys!$C$2/(INDEX(Src_SYSHECF_nuclear!$H$5:$H$292,MATCH($C307,Src_SYSHECF_nuclear!$C$5:$C$292,0))*$E307),Keys!$C$5),Keys!$C$4)</f>
        <v>0.9</v>
      </c>
      <c r="K307">
        <f>IF($D307=1,ROUND(Keys!$C$2/(INDEX(Src_SYSHECF_nuclear!$I$5:$I$292,MATCH($C307,Src_SYSHECF_nuclear!$C$5:$C$292,0))*$E307),Keys!$C$5),Keys!$C$4)</f>
        <v>0.9</v>
      </c>
      <c r="L307">
        <f>IF($D307=1,ROUND(Keys!$C$2/(INDEX(Src_SYSHECF_nuclear!$J$5:$J$292,MATCH($C307,Src_SYSHECF_nuclear!$C$5:$C$292,0))*$E307),Keys!$C$5),Keys!$C$4)</f>
        <v>0.9</v>
      </c>
      <c r="M307">
        <f>IF($D307=1,ROUND(Keys!$C$2/(INDEX(Src_SYSHECF_nuclear!$K$5:$K$292,MATCH($C307,Src_SYSHECF_nuclear!$C$5:$C$292,0))*$E307),Keys!$C$5),Keys!$C$4)</f>
        <v>0.9</v>
      </c>
      <c r="N307">
        <f>IF($D307=1,ROUND(Keys!$C$2/(INDEX(Src_SYSHECF_nuclear!$L$5:$L$292,MATCH($C307,Src_SYSHECF_nuclear!$C$5:$C$292,0))*$E307),Keys!$C$5),Keys!$C$4)</f>
        <v>0.9</v>
      </c>
      <c r="O307">
        <f>IF($D307=1,ROUND(Keys!$C$2/(INDEX(Src_SYSHECF_nuclear!$M$5:$M$292,MATCH($C307,Src_SYSHECF_nuclear!$C$5:$C$292,0))*$E307),Keys!$C$5),Keys!$C$4)</f>
        <v>0.9</v>
      </c>
      <c r="P307">
        <f>IF($D307=1,ROUND(Keys!$C$2/(INDEX(Src_SYSHECF_nuclear!$N$5:$N$292,MATCH($C307,Src_SYSHECF_nuclear!$C$5:$C$292,0))*$E307),Keys!$C$5),Keys!$C$4)</f>
        <v>0.9</v>
      </c>
      <c r="Q307">
        <f>IF($D307=1,ROUND(Keys!$C$2/(INDEX(Src_SYSHECF_nuclear!$O$5:$O$292,MATCH($C307,Src_SYSHECF_nuclear!$C$5:$C$292,0))*$E307),Keys!$C$5),Keys!$C$4)</f>
        <v>0.9</v>
      </c>
      <c r="R307">
        <f>IF($D307=1,ROUND(Keys!$C$2/(INDEX(Src_SYSHECF_nuclear!$P$5:$P$292,MATCH($C307,Src_SYSHECF_nuclear!$C$5:$C$292,0))*$E307),Keys!$C$5),Keys!$C$4)</f>
        <v>0.9</v>
      </c>
      <c r="S307">
        <f>IF($D307=1,ROUND(Keys!$C$2/(INDEX(Src_SYSHECF_nuclear!$Q$5:$Q$292,MATCH($C307,Src_SYSHECF_nuclear!$C$5:$C$292,0))*$E307),Keys!$C$5),Keys!$C$4)</f>
        <v>0.9</v>
      </c>
      <c r="T307">
        <f>IF($D307=1,ROUND(Keys!$C$2/(INDEX(Src_SYSHECF_nuclear!$R$5:$R$292,MATCH($C307,Src_SYSHECF_nuclear!$C$5:$C$292,0))*$E307),Keys!$C$5),Keys!$C$4)</f>
        <v>0.9</v>
      </c>
      <c r="U307">
        <f>IF($D307=1,ROUND(Keys!$C$2/(INDEX(Src_SYSHECF_nuclear!$S$5:$S$292,MATCH($C307,Src_SYSHECF_nuclear!$C$5:$C$292,0))*$E307),Keys!$C$5),Keys!$C$4)</f>
        <v>0.9</v>
      </c>
      <c r="V307">
        <f>IF($D307=1,ROUND(Keys!$C$2/(INDEX(Src_SYSHECF_nuclear!$T$5:$T$292,MATCH($C307,Src_SYSHECF_nuclear!$C$5:$C$292,0))*$E307),Keys!$C$5),Keys!$C$4)</f>
        <v>0.9</v>
      </c>
      <c r="W307">
        <f>IF($D307=1,ROUND(Keys!$C$2/(INDEX(Src_SYSHECF_nuclear!$U$5:$U$292,MATCH($C307,Src_SYSHECF_nuclear!$C$5:$C$292,0))*$E307),Keys!$C$5),Keys!$C$4)</f>
        <v>0.9</v>
      </c>
      <c r="X307">
        <f>IF($D307=1,ROUND(Keys!$C$2/(INDEX(Src_SYSHECF_nuclear!$V$5:$V$292,MATCH($C307,Src_SYSHECF_nuclear!$C$5:$C$292,0))*$E307),Keys!$C$5),Keys!$C$4)</f>
        <v>0.9</v>
      </c>
      <c r="Y307">
        <f>IF($D307=1,ROUND(Keys!$C$2/(INDEX(Src_SYSHECF_nuclear!$W$5:$W$292,MATCH($C307,Src_SYSHECF_nuclear!$C$5:$C$292,0))*$E307),Keys!$C$5),Keys!$C$4)</f>
        <v>0.9</v>
      </c>
      <c r="Z307">
        <f>IF($D307=1,ROUND(Keys!$C$2/(INDEX(Src_SYSHECF_nuclear!$X$5:$X$292,MATCH($C307,Src_SYSHECF_nuclear!$C$5:$C$292,0))*$E307),Keys!$C$5),Keys!$C$4)</f>
        <v>0.9</v>
      </c>
      <c r="AA307">
        <f>IF($D307=1,ROUND(Keys!$C$2/(INDEX(Src_SYSHECF_nuclear!$Y$5:$Y$292,MATCH($C307,Src_SYSHECF_nuclear!$C$5:$C$292,0))*$E307),Keys!$C$5),Keys!$C$4)</f>
        <v>0.9</v>
      </c>
      <c r="AB307">
        <f>IF($D307=1,ROUND(Keys!$C$2/(INDEX(Src_SYSHECF_nuclear!$Z$5:$Z$292,MATCH($C307,Src_SYSHECF_nuclear!$C$5:$C$292,0))*$E307),Keys!$C$5),Keys!$C$4)</f>
        <v>0.9</v>
      </c>
      <c r="AC307">
        <f>IF($D307=1,ROUND(Keys!$C$2/(INDEX(Src_SYSHECF_nuclear!$AA$5:$AA$292,MATCH($C307,Src_SYSHECF_nuclear!$C$5:$C$292,0))*$E307),Keys!$C$5),Keys!$C$4)</f>
        <v>0.9</v>
      </c>
      <c r="AE307">
        <f>IF($D307=1,IF(ABS(INDEX(Src_SYSHECF_nuclear!$D$5:$D$292,MATCH($C307,Src_SYSHECF_nuclear!$C$5:$C$292,0))*$E307*F307-Keys!$C$2)&gt;Keys!$C$6,1,0),0)</f>
        <v>0</v>
      </c>
    </row>
    <row r="308" spans="1:31" x14ac:dyDescent="0.45">
      <c r="A308" t="s">
        <v>108</v>
      </c>
      <c r="B308" t="s">
        <v>424</v>
      </c>
      <c r="C308" t="str">
        <f t="shared" si="4"/>
        <v>VA|Winter</v>
      </c>
      <c r="D308">
        <f>INDEX(Src_BHRaSYC_nuclear!$HF$5:$HF$52,MATCH($A308,Src_BHRaSYC_nuclear!$A$5:$A$52,0))</f>
        <v>1</v>
      </c>
      <c r="E308">
        <f>INDEX(Src_HYECFCA_nuclear!$B$5:$B$52,MATCH($A308,Src_HYECFCA_nuclear!$A$5:$A$52,0))</f>
        <v>0.98719400000000002</v>
      </c>
      <c r="F308">
        <f>IF($D308=1,ROUND(Keys!$C$2/(INDEX(Src_SYSHECF_nuclear!$D$5:$D$292,MATCH($C308,Src_SYSHECF_nuclear!$C$5:$C$292,0))*$E308),Keys!$C$5),Keys!$C$4)</f>
        <v>1.08</v>
      </c>
      <c r="G308">
        <f>IF($D308=1,ROUND(Keys!$C$2/(INDEX(Src_SYSHECF_nuclear!$E$5:$E$292,MATCH($C308,Src_SYSHECF_nuclear!$C$5:$C$292,0))*$E308),Keys!$C$5),Keys!$C$4)</f>
        <v>1.08</v>
      </c>
      <c r="H308">
        <f>IF($D308=1,ROUND(Keys!$C$2/(INDEX(Src_SYSHECF_nuclear!$F$5:$F$292,MATCH($C308,Src_SYSHECF_nuclear!$C$5:$C$292,0))*$E308),Keys!$C$5),Keys!$C$4)</f>
        <v>1.08</v>
      </c>
      <c r="I308">
        <f>IF($D308=1,ROUND(Keys!$C$2/(INDEX(Src_SYSHECF_nuclear!$G$5:$G$292,MATCH($C308,Src_SYSHECF_nuclear!$C$5:$C$292,0))*$E308),Keys!$C$5),Keys!$C$4)</f>
        <v>1.08</v>
      </c>
      <c r="J308">
        <f>IF($D308=1,ROUND(Keys!$C$2/(INDEX(Src_SYSHECF_nuclear!$H$5:$H$292,MATCH($C308,Src_SYSHECF_nuclear!$C$5:$C$292,0))*$E308),Keys!$C$5),Keys!$C$4)</f>
        <v>1.08</v>
      </c>
      <c r="K308">
        <f>IF($D308=1,ROUND(Keys!$C$2/(INDEX(Src_SYSHECF_nuclear!$I$5:$I$292,MATCH($C308,Src_SYSHECF_nuclear!$C$5:$C$292,0))*$E308),Keys!$C$5),Keys!$C$4)</f>
        <v>1.08</v>
      </c>
      <c r="L308">
        <f>IF($D308=1,ROUND(Keys!$C$2/(INDEX(Src_SYSHECF_nuclear!$J$5:$J$292,MATCH($C308,Src_SYSHECF_nuclear!$C$5:$C$292,0))*$E308),Keys!$C$5),Keys!$C$4)</f>
        <v>1.08</v>
      </c>
      <c r="M308">
        <f>IF($D308=1,ROUND(Keys!$C$2/(INDEX(Src_SYSHECF_nuclear!$K$5:$K$292,MATCH($C308,Src_SYSHECF_nuclear!$C$5:$C$292,0))*$E308),Keys!$C$5),Keys!$C$4)</f>
        <v>1.08</v>
      </c>
      <c r="N308">
        <f>IF($D308=1,ROUND(Keys!$C$2/(INDEX(Src_SYSHECF_nuclear!$L$5:$L$292,MATCH($C308,Src_SYSHECF_nuclear!$C$5:$C$292,0))*$E308),Keys!$C$5),Keys!$C$4)</f>
        <v>1.08</v>
      </c>
      <c r="O308">
        <f>IF($D308=1,ROUND(Keys!$C$2/(INDEX(Src_SYSHECF_nuclear!$M$5:$M$292,MATCH($C308,Src_SYSHECF_nuclear!$C$5:$C$292,0))*$E308),Keys!$C$5),Keys!$C$4)</f>
        <v>1.08</v>
      </c>
      <c r="P308">
        <f>IF($D308=1,ROUND(Keys!$C$2/(INDEX(Src_SYSHECF_nuclear!$N$5:$N$292,MATCH($C308,Src_SYSHECF_nuclear!$C$5:$C$292,0))*$E308),Keys!$C$5),Keys!$C$4)</f>
        <v>1.08</v>
      </c>
      <c r="Q308">
        <f>IF($D308=1,ROUND(Keys!$C$2/(INDEX(Src_SYSHECF_nuclear!$O$5:$O$292,MATCH($C308,Src_SYSHECF_nuclear!$C$5:$C$292,0))*$E308),Keys!$C$5),Keys!$C$4)</f>
        <v>1.08</v>
      </c>
      <c r="R308">
        <f>IF($D308=1,ROUND(Keys!$C$2/(INDEX(Src_SYSHECF_nuclear!$P$5:$P$292,MATCH($C308,Src_SYSHECF_nuclear!$C$5:$C$292,0))*$E308),Keys!$C$5),Keys!$C$4)</f>
        <v>1.08</v>
      </c>
      <c r="S308">
        <f>IF($D308=1,ROUND(Keys!$C$2/(INDEX(Src_SYSHECF_nuclear!$Q$5:$Q$292,MATCH($C308,Src_SYSHECF_nuclear!$C$5:$C$292,0))*$E308),Keys!$C$5),Keys!$C$4)</f>
        <v>1.08</v>
      </c>
      <c r="T308">
        <f>IF($D308=1,ROUND(Keys!$C$2/(INDEX(Src_SYSHECF_nuclear!$R$5:$R$292,MATCH($C308,Src_SYSHECF_nuclear!$C$5:$C$292,0))*$E308),Keys!$C$5),Keys!$C$4)</f>
        <v>1.08</v>
      </c>
      <c r="U308">
        <f>IF($D308=1,ROUND(Keys!$C$2/(INDEX(Src_SYSHECF_nuclear!$S$5:$S$292,MATCH($C308,Src_SYSHECF_nuclear!$C$5:$C$292,0))*$E308),Keys!$C$5),Keys!$C$4)</f>
        <v>1.08</v>
      </c>
      <c r="V308">
        <f>IF($D308=1,ROUND(Keys!$C$2/(INDEX(Src_SYSHECF_nuclear!$T$5:$T$292,MATCH($C308,Src_SYSHECF_nuclear!$C$5:$C$292,0))*$E308),Keys!$C$5),Keys!$C$4)</f>
        <v>1.08</v>
      </c>
      <c r="W308">
        <f>IF($D308=1,ROUND(Keys!$C$2/(INDEX(Src_SYSHECF_nuclear!$U$5:$U$292,MATCH($C308,Src_SYSHECF_nuclear!$C$5:$C$292,0))*$E308),Keys!$C$5),Keys!$C$4)</f>
        <v>1.08</v>
      </c>
      <c r="X308">
        <f>IF($D308=1,ROUND(Keys!$C$2/(INDEX(Src_SYSHECF_nuclear!$V$5:$V$292,MATCH($C308,Src_SYSHECF_nuclear!$C$5:$C$292,0))*$E308),Keys!$C$5),Keys!$C$4)</f>
        <v>1.08</v>
      </c>
      <c r="Y308">
        <f>IF($D308=1,ROUND(Keys!$C$2/(INDEX(Src_SYSHECF_nuclear!$W$5:$W$292,MATCH($C308,Src_SYSHECF_nuclear!$C$5:$C$292,0))*$E308),Keys!$C$5),Keys!$C$4)</f>
        <v>1.08</v>
      </c>
      <c r="Z308">
        <f>IF($D308=1,ROUND(Keys!$C$2/(INDEX(Src_SYSHECF_nuclear!$X$5:$X$292,MATCH($C308,Src_SYSHECF_nuclear!$C$5:$C$292,0))*$E308),Keys!$C$5),Keys!$C$4)</f>
        <v>1.08</v>
      </c>
      <c r="AA308">
        <f>IF($D308=1,ROUND(Keys!$C$2/(INDEX(Src_SYSHECF_nuclear!$Y$5:$Y$292,MATCH($C308,Src_SYSHECF_nuclear!$C$5:$C$292,0))*$E308),Keys!$C$5),Keys!$C$4)</f>
        <v>1.08</v>
      </c>
      <c r="AB308">
        <f>IF($D308=1,ROUND(Keys!$C$2/(INDEX(Src_SYSHECF_nuclear!$Z$5:$Z$292,MATCH($C308,Src_SYSHECF_nuclear!$C$5:$C$292,0))*$E308),Keys!$C$5),Keys!$C$4)</f>
        <v>1.08</v>
      </c>
      <c r="AC308">
        <f>IF($D308=1,ROUND(Keys!$C$2/(INDEX(Src_SYSHECF_nuclear!$AA$5:$AA$292,MATCH($C308,Src_SYSHECF_nuclear!$C$5:$C$292,0))*$E308),Keys!$C$5),Keys!$C$4)</f>
        <v>1.08</v>
      </c>
      <c r="AE308">
        <f>IF($D308=1,IF(ABS(INDEX(Src_SYSHECF_nuclear!$D$5:$D$292,MATCH($C308,Src_SYSHECF_nuclear!$C$5:$C$292,0))*$E308*F308-Keys!$C$2)&gt;Keys!$C$6,1,0),0)</f>
        <v>0</v>
      </c>
    </row>
    <row r="309" spans="1:31" x14ac:dyDescent="0.45">
      <c r="A309" t="s">
        <v>108</v>
      </c>
      <c r="B309" t="s">
        <v>425</v>
      </c>
      <c r="C309" t="str">
        <f t="shared" si="4"/>
        <v>VA|Spring</v>
      </c>
      <c r="D309">
        <f>INDEX(Src_BHRaSYC_nuclear!$HF$5:$HF$52,MATCH($A309,Src_BHRaSYC_nuclear!$A$5:$A$52,0))</f>
        <v>1</v>
      </c>
      <c r="E309">
        <f>INDEX(Src_HYECFCA_nuclear!$B$5:$B$52,MATCH($A309,Src_HYECFCA_nuclear!$A$5:$A$52,0))</f>
        <v>0.98719400000000002</v>
      </c>
      <c r="F309">
        <f>IF($D309=1,ROUND(Keys!$C$2/(INDEX(Src_SYSHECF_nuclear!$D$5:$D$292,MATCH($C309,Src_SYSHECF_nuclear!$C$5:$C$292,0))*$E309),Keys!$C$5),Keys!$C$4)</f>
        <v>1.08</v>
      </c>
      <c r="G309">
        <f>IF($D309=1,ROUND(Keys!$C$2/(INDEX(Src_SYSHECF_nuclear!$E$5:$E$292,MATCH($C309,Src_SYSHECF_nuclear!$C$5:$C$292,0))*$E309),Keys!$C$5),Keys!$C$4)</f>
        <v>1.08</v>
      </c>
      <c r="H309">
        <f>IF($D309=1,ROUND(Keys!$C$2/(INDEX(Src_SYSHECF_nuclear!$F$5:$F$292,MATCH($C309,Src_SYSHECF_nuclear!$C$5:$C$292,0))*$E309),Keys!$C$5),Keys!$C$4)</f>
        <v>1.08</v>
      </c>
      <c r="I309">
        <f>IF($D309=1,ROUND(Keys!$C$2/(INDEX(Src_SYSHECF_nuclear!$G$5:$G$292,MATCH($C309,Src_SYSHECF_nuclear!$C$5:$C$292,0))*$E309),Keys!$C$5),Keys!$C$4)</f>
        <v>1.08</v>
      </c>
      <c r="J309">
        <f>IF($D309=1,ROUND(Keys!$C$2/(INDEX(Src_SYSHECF_nuclear!$H$5:$H$292,MATCH($C309,Src_SYSHECF_nuclear!$C$5:$C$292,0))*$E309),Keys!$C$5),Keys!$C$4)</f>
        <v>1.08</v>
      </c>
      <c r="K309">
        <f>IF($D309=1,ROUND(Keys!$C$2/(INDEX(Src_SYSHECF_nuclear!$I$5:$I$292,MATCH($C309,Src_SYSHECF_nuclear!$C$5:$C$292,0))*$E309),Keys!$C$5),Keys!$C$4)</f>
        <v>1.08</v>
      </c>
      <c r="L309">
        <f>IF($D309=1,ROUND(Keys!$C$2/(INDEX(Src_SYSHECF_nuclear!$J$5:$J$292,MATCH($C309,Src_SYSHECF_nuclear!$C$5:$C$292,0))*$E309),Keys!$C$5),Keys!$C$4)</f>
        <v>1.0874999999999999</v>
      </c>
      <c r="M309">
        <f>IF($D309=1,ROUND(Keys!$C$2/(INDEX(Src_SYSHECF_nuclear!$K$5:$K$292,MATCH($C309,Src_SYSHECF_nuclear!$C$5:$C$292,0))*$E309),Keys!$C$5),Keys!$C$4)</f>
        <v>1.0839000000000001</v>
      </c>
      <c r="N309">
        <f>IF($D309=1,ROUND(Keys!$C$2/(INDEX(Src_SYSHECF_nuclear!$L$5:$L$292,MATCH($C309,Src_SYSHECF_nuclear!$C$5:$C$292,0))*$E309),Keys!$C$5),Keys!$C$4)</f>
        <v>1.08</v>
      </c>
      <c r="O309">
        <f>IF($D309=1,ROUND(Keys!$C$2/(INDEX(Src_SYSHECF_nuclear!$M$5:$M$292,MATCH($C309,Src_SYSHECF_nuclear!$C$5:$C$292,0))*$E309),Keys!$C$5),Keys!$C$4)</f>
        <v>1.08</v>
      </c>
      <c r="P309">
        <f>IF($D309=1,ROUND(Keys!$C$2/(INDEX(Src_SYSHECF_nuclear!$N$5:$N$292,MATCH($C309,Src_SYSHECF_nuclear!$C$5:$C$292,0))*$E309),Keys!$C$5),Keys!$C$4)</f>
        <v>1.08</v>
      </c>
      <c r="Q309">
        <f>IF($D309=1,ROUND(Keys!$C$2/(INDEX(Src_SYSHECF_nuclear!$O$5:$O$292,MATCH($C309,Src_SYSHECF_nuclear!$C$5:$C$292,0))*$E309),Keys!$C$5),Keys!$C$4)</f>
        <v>1.08</v>
      </c>
      <c r="R309">
        <f>IF($D309=1,ROUND(Keys!$C$2/(INDEX(Src_SYSHECF_nuclear!$P$5:$P$292,MATCH($C309,Src_SYSHECF_nuclear!$C$5:$C$292,0))*$E309),Keys!$C$5),Keys!$C$4)</f>
        <v>1.08</v>
      </c>
      <c r="S309">
        <f>IF($D309=1,ROUND(Keys!$C$2/(INDEX(Src_SYSHECF_nuclear!$Q$5:$Q$292,MATCH($C309,Src_SYSHECF_nuclear!$C$5:$C$292,0))*$E309),Keys!$C$5),Keys!$C$4)</f>
        <v>1.08</v>
      </c>
      <c r="T309">
        <f>IF($D309=1,ROUND(Keys!$C$2/(INDEX(Src_SYSHECF_nuclear!$R$5:$R$292,MATCH($C309,Src_SYSHECF_nuclear!$C$5:$C$292,0))*$E309),Keys!$C$5),Keys!$C$4)</f>
        <v>1.08</v>
      </c>
      <c r="U309">
        <f>IF($D309=1,ROUND(Keys!$C$2/(INDEX(Src_SYSHECF_nuclear!$S$5:$S$292,MATCH($C309,Src_SYSHECF_nuclear!$C$5:$C$292,0))*$E309),Keys!$C$5),Keys!$C$4)</f>
        <v>1.08</v>
      </c>
      <c r="V309">
        <f>IF($D309=1,ROUND(Keys!$C$2/(INDEX(Src_SYSHECF_nuclear!$T$5:$T$292,MATCH($C309,Src_SYSHECF_nuclear!$C$5:$C$292,0))*$E309),Keys!$C$5),Keys!$C$4)</f>
        <v>1.08</v>
      </c>
      <c r="W309">
        <f>IF($D309=1,ROUND(Keys!$C$2/(INDEX(Src_SYSHECF_nuclear!$U$5:$U$292,MATCH($C309,Src_SYSHECF_nuclear!$C$5:$C$292,0))*$E309),Keys!$C$5),Keys!$C$4)</f>
        <v>1.08</v>
      </c>
      <c r="X309">
        <f>IF($D309=1,ROUND(Keys!$C$2/(INDEX(Src_SYSHECF_nuclear!$V$5:$V$292,MATCH($C309,Src_SYSHECF_nuclear!$C$5:$C$292,0))*$E309),Keys!$C$5),Keys!$C$4)</f>
        <v>1.08</v>
      </c>
      <c r="Y309">
        <f>IF($D309=1,ROUND(Keys!$C$2/(INDEX(Src_SYSHECF_nuclear!$W$5:$W$292,MATCH($C309,Src_SYSHECF_nuclear!$C$5:$C$292,0))*$E309),Keys!$C$5),Keys!$C$4)</f>
        <v>1.08</v>
      </c>
      <c r="Z309">
        <f>IF($D309=1,ROUND(Keys!$C$2/(INDEX(Src_SYSHECF_nuclear!$X$5:$X$292,MATCH($C309,Src_SYSHECF_nuclear!$C$5:$C$292,0))*$E309),Keys!$C$5),Keys!$C$4)</f>
        <v>1.08</v>
      </c>
      <c r="AA309">
        <f>IF($D309=1,ROUND(Keys!$C$2/(INDEX(Src_SYSHECF_nuclear!$Y$5:$Y$292,MATCH($C309,Src_SYSHECF_nuclear!$C$5:$C$292,0))*$E309),Keys!$C$5),Keys!$C$4)</f>
        <v>1.08</v>
      </c>
      <c r="AB309">
        <f>IF($D309=1,ROUND(Keys!$C$2/(INDEX(Src_SYSHECF_nuclear!$Z$5:$Z$292,MATCH($C309,Src_SYSHECF_nuclear!$C$5:$C$292,0))*$E309),Keys!$C$5),Keys!$C$4)</f>
        <v>1.08</v>
      </c>
      <c r="AC309">
        <f>IF($D309=1,ROUND(Keys!$C$2/(INDEX(Src_SYSHECF_nuclear!$AA$5:$AA$292,MATCH($C309,Src_SYSHECF_nuclear!$C$5:$C$292,0))*$E309),Keys!$C$5),Keys!$C$4)</f>
        <v>1.08</v>
      </c>
      <c r="AE309">
        <f>IF($D309=1,IF(ABS(INDEX(Src_SYSHECF_nuclear!$D$5:$D$292,MATCH($C309,Src_SYSHECF_nuclear!$C$5:$C$292,0))*$E309*F309-Keys!$C$2)&gt;Keys!$C$6,1,0),0)</f>
        <v>0</v>
      </c>
    </row>
    <row r="310" spans="1:31" x14ac:dyDescent="0.45">
      <c r="A310" t="s">
        <v>108</v>
      </c>
      <c r="B310" t="s">
        <v>426</v>
      </c>
      <c r="C310" t="str">
        <f t="shared" si="4"/>
        <v>VA|Summer</v>
      </c>
      <c r="D310">
        <f>INDEX(Src_BHRaSYC_nuclear!$HF$5:$HF$52,MATCH($A310,Src_BHRaSYC_nuclear!$A$5:$A$52,0))</f>
        <v>1</v>
      </c>
      <c r="E310">
        <f>INDEX(Src_HYECFCA_nuclear!$B$5:$B$52,MATCH($A310,Src_HYECFCA_nuclear!$A$5:$A$52,0))</f>
        <v>0.98719400000000002</v>
      </c>
      <c r="F310">
        <f>IF($D310=1,ROUND(Keys!$C$2/(INDEX(Src_SYSHECF_nuclear!$D$5:$D$292,MATCH($C310,Src_SYSHECF_nuclear!$C$5:$C$292,0))*$E310),Keys!$C$5),Keys!$C$4)</f>
        <v>1.08</v>
      </c>
      <c r="G310">
        <f>IF($D310=1,ROUND(Keys!$C$2/(INDEX(Src_SYSHECF_nuclear!$E$5:$E$292,MATCH($C310,Src_SYSHECF_nuclear!$C$5:$C$292,0))*$E310),Keys!$C$5),Keys!$C$4)</f>
        <v>1.08</v>
      </c>
      <c r="H310">
        <f>IF($D310=1,ROUND(Keys!$C$2/(INDEX(Src_SYSHECF_nuclear!$F$5:$F$292,MATCH($C310,Src_SYSHECF_nuclear!$C$5:$C$292,0))*$E310),Keys!$C$5),Keys!$C$4)</f>
        <v>1.08</v>
      </c>
      <c r="I310">
        <f>IF($D310=1,ROUND(Keys!$C$2/(INDEX(Src_SYSHECF_nuclear!$G$5:$G$292,MATCH($C310,Src_SYSHECF_nuclear!$C$5:$C$292,0))*$E310),Keys!$C$5),Keys!$C$4)</f>
        <v>1.08</v>
      </c>
      <c r="J310">
        <f>IF($D310=1,ROUND(Keys!$C$2/(INDEX(Src_SYSHECF_nuclear!$H$5:$H$292,MATCH($C310,Src_SYSHECF_nuclear!$C$5:$C$292,0))*$E310),Keys!$C$5),Keys!$C$4)</f>
        <v>1.08</v>
      </c>
      <c r="K310">
        <f>IF($D310=1,ROUND(Keys!$C$2/(INDEX(Src_SYSHECF_nuclear!$I$5:$I$292,MATCH($C310,Src_SYSHECF_nuclear!$C$5:$C$292,0))*$E310),Keys!$C$5),Keys!$C$4)</f>
        <v>1.08</v>
      </c>
      <c r="L310">
        <f>IF($D310=1,ROUND(Keys!$C$2/(INDEX(Src_SYSHECF_nuclear!$J$5:$J$292,MATCH($C310,Src_SYSHECF_nuclear!$C$5:$C$292,0))*$E310),Keys!$C$5),Keys!$C$4)</f>
        <v>1.08</v>
      </c>
      <c r="M310">
        <f>IF($D310=1,ROUND(Keys!$C$2/(INDEX(Src_SYSHECF_nuclear!$K$5:$K$292,MATCH($C310,Src_SYSHECF_nuclear!$C$5:$C$292,0))*$E310),Keys!$C$5),Keys!$C$4)</f>
        <v>1.08</v>
      </c>
      <c r="N310">
        <f>IF($D310=1,ROUND(Keys!$C$2/(INDEX(Src_SYSHECF_nuclear!$L$5:$L$292,MATCH($C310,Src_SYSHECF_nuclear!$C$5:$C$292,0))*$E310),Keys!$C$5),Keys!$C$4)</f>
        <v>1.08</v>
      </c>
      <c r="O310">
        <f>IF($D310=1,ROUND(Keys!$C$2/(INDEX(Src_SYSHECF_nuclear!$M$5:$M$292,MATCH($C310,Src_SYSHECF_nuclear!$C$5:$C$292,0))*$E310),Keys!$C$5),Keys!$C$4)</f>
        <v>1.08</v>
      </c>
      <c r="P310">
        <f>IF($D310=1,ROUND(Keys!$C$2/(INDEX(Src_SYSHECF_nuclear!$N$5:$N$292,MATCH($C310,Src_SYSHECF_nuclear!$C$5:$C$292,0))*$E310),Keys!$C$5),Keys!$C$4)</f>
        <v>1.08</v>
      </c>
      <c r="Q310">
        <f>IF($D310=1,ROUND(Keys!$C$2/(INDEX(Src_SYSHECF_nuclear!$O$5:$O$292,MATCH($C310,Src_SYSHECF_nuclear!$C$5:$C$292,0))*$E310),Keys!$C$5),Keys!$C$4)</f>
        <v>1.08</v>
      </c>
      <c r="R310">
        <f>IF($D310=1,ROUND(Keys!$C$2/(INDEX(Src_SYSHECF_nuclear!$P$5:$P$292,MATCH($C310,Src_SYSHECF_nuclear!$C$5:$C$292,0))*$E310),Keys!$C$5),Keys!$C$4)</f>
        <v>1.08</v>
      </c>
      <c r="S310">
        <f>IF($D310=1,ROUND(Keys!$C$2/(INDEX(Src_SYSHECF_nuclear!$Q$5:$Q$292,MATCH($C310,Src_SYSHECF_nuclear!$C$5:$C$292,0))*$E310),Keys!$C$5),Keys!$C$4)</f>
        <v>1.08</v>
      </c>
      <c r="T310">
        <f>IF($D310=1,ROUND(Keys!$C$2/(INDEX(Src_SYSHECF_nuclear!$R$5:$R$292,MATCH($C310,Src_SYSHECF_nuclear!$C$5:$C$292,0))*$E310),Keys!$C$5),Keys!$C$4)</f>
        <v>1.08</v>
      </c>
      <c r="U310">
        <f>IF($D310=1,ROUND(Keys!$C$2/(INDEX(Src_SYSHECF_nuclear!$S$5:$S$292,MATCH($C310,Src_SYSHECF_nuclear!$C$5:$C$292,0))*$E310),Keys!$C$5),Keys!$C$4)</f>
        <v>1.08</v>
      </c>
      <c r="V310">
        <f>IF($D310=1,ROUND(Keys!$C$2/(INDEX(Src_SYSHECF_nuclear!$T$5:$T$292,MATCH($C310,Src_SYSHECF_nuclear!$C$5:$C$292,0))*$E310),Keys!$C$5),Keys!$C$4)</f>
        <v>1.08</v>
      </c>
      <c r="W310">
        <f>IF($D310=1,ROUND(Keys!$C$2/(INDEX(Src_SYSHECF_nuclear!$U$5:$U$292,MATCH($C310,Src_SYSHECF_nuclear!$C$5:$C$292,0))*$E310),Keys!$C$5),Keys!$C$4)</f>
        <v>1.08</v>
      </c>
      <c r="X310">
        <f>IF($D310=1,ROUND(Keys!$C$2/(INDEX(Src_SYSHECF_nuclear!$V$5:$V$292,MATCH($C310,Src_SYSHECF_nuclear!$C$5:$C$292,0))*$E310),Keys!$C$5),Keys!$C$4)</f>
        <v>1.08</v>
      </c>
      <c r="Y310">
        <f>IF($D310=1,ROUND(Keys!$C$2/(INDEX(Src_SYSHECF_nuclear!$W$5:$W$292,MATCH($C310,Src_SYSHECF_nuclear!$C$5:$C$292,0))*$E310),Keys!$C$5),Keys!$C$4)</f>
        <v>1.08</v>
      </c>
      <c r="Z310">
        <f>IF($D310=1,ROUND(Keys!$C$2/(INDEX(Src_SYSHECF_nuclear!$X$5:$X$292,MATCH($C310,Src_SYSHECF_nuclear!$C$5:$C$292,0))*$E310),Keys!$C$5),Keys!$C$4)</f>
        <v>1.08</v>
      </c>
      <c r="AA310">
        <f>IF($D310=1,ROUND(Keys!$C$2/(INDEX(Src_SYSHECF_nuclear!$Y$5:$Y$292,MATCH($C310,Src_SYSHECF_nuclear!$C$5:$C$292,0))*$E310),Keys!$C$5),Keys!$C$4)</f>
        <v>1.08</v>
      </c>
      <c r="AB310">
        <f>IF($D310=1,ROUND(Keys!$C$2/(INDEX(Src_SYSHECF_nuclear!$Z$5:$Z$292,MATCH($C310,Src_SYSHECF_nuclear!$C$5:$C$292,0))*$E310),Keys!$C$5),Keys!$C$4)</f>
        <v>1.08</v>
      </c>
      <c r="AC310">
        <f>IF($D310=1,ROUND(Keys!$C$2/(INDEX(Src_SYSHECF_nuclear!$AA$5:$AA$292,MATCH($C310,Src_SYSHECF_nuclear!$C$5:$C$292,0))*$E310),Keys!$C$5),Keys!$C$4)</f>
        <v>1.08</v>
      </c>
      <c r="AE310">
        <f>IF($D310=1,IF(ABS(INDEX(Src_SYSHECF_nuclear!$D$5:$D$292,MATCH($C310,Src_SYSHECF_nuclear!$C$5:$C$292,0))*$E310*F310-Keys!$C$2)&gt;Keys!$C$6,1,0),0)</f>
        <v>0</v>
      </c>
    </row>
    <row r="311" spans="1:31" x14ac:dyDescent="0.45">
      <c r="A311" t="s">
        <v>108</v>
      </c>
      <c r="B311" t="s">
        <v>427</v>
      </c>
      <c r="C311" t="str">
        <f t="shared" si="4"/>
        <v>VA|Fall</v>
      </c>
      <c r="D311">
        <f>INDEX(Src_BHRaSYC_nuclear!$HF$5:$HF$52,MATCH($A311,Src_BHRaSYC_nuclear!$A$5:$A$52,0))</f>
        <v>1</v>
      </c>
      <c r="E311">
        <f>INDEX(Src_HYECFCA_nuclear!$B$5:$B$52,MATCH($A311,Src_HYECFCA_nuclear!$A$5:$A$52,0))</f>
        <v>0.98719400000000002</v>
      </c>
      <c r="F311">
        <f>IF($D311=1,ROUND(Keys!$C$2/(INDEX(Src_SYSHECF_nuclear!$D$5:$D$292,MATCH($C311,Src_SYSHECF_nuclear!$C$5:$C$292,0))*$E311),Keys!$C$5),Keys!$C$4)</f>
        <v>1.08</v>
      </c>
      <c r="G311">
        <f>IF($D311=1,ROUND(Keys!$C$2/(INDEX(Src_SYSHECF_nuclear!$E$5:$E$292,MATCH($C311,Src_SYSHECF_nuclear!$C$5:$C$292,0))*$E311),Keys!$C$5),Keys!$C$4)</f>
        <v>1.08</v>
      </c>
      <c r="H311">
        <f>IF($D311=1,ROUND(Keys!$C$2/(INDEX(Src_SYSHECF_nuclear!$F$5:$F$292,MATCH($C311,Src_SYSHECF_nuclear!$C$5:$C$292,0))*$E311),Keys!$C$5),Keys!$C$4)</f>
        <v>1.08</v>
      </c>
      <c r="I311">
        <f>IF($D311=1,ROUND(Keys!$C$2/(INDEX(Src_SYSHECF_nuclear!$G$5:$G$292,MATCH($C311,Src_SYSHECF_nuclear!$C$5:$C$292,0))*$E311),Keys!$C$5),Keys!$C$4)</f>
        <v>1.08</v>
      </c>
      <c r="J311">
        <f>IF($D311=1,ROUND(Keys!$C$2/(INDEX(Src_SYSHECF_nuclear!$H$5:$H$292,MATCH($C311,Src_SYSHECF_nuclear!$C$5:$C$292,0))*$E311),Keys!$C$5),Keys!$C$4)</f>
        <v>1.08</v>
      </c>
      <c r="K311">
        <f>IF($D311=1,ROUND(Keys!$C$2/(INDEX(Src_SYSHECF_nuclear!$I$5:$I$292,MATCH($C311,Src_SYSHECF_nuclear!$C$5:$C$292,0))*$E311),Keys!$C$5),Keys!$C$4)</f>
        <v>1.08</v>
      </c>
      <c r="L311">
        <f>IF($D311=1,ROUND(Keys!$C$2/(INDEX(Src_SYSHECF_nuclear!$J$5:$J$292,MATCH($C311,Src_SYSHECF_nuclear!$C$5:$C$292,0))*$E311),Keys!$C$5),Keys!$C$4)</f>
        <v>1.08</v>
      </c>
      <c r="M311">
        <f>IF($D311=1,ROUND(Keys!$C$2/(INDEX(Src_SYSHECF_nuclear!$K$5:$K$292,MATCH($C311,Src_SYSHECF_nuclear!$C$5:$C$292,0))*$E311),Keys!$C$5),Keys!$C$4)</f>
        <v>1.08</v>
      </c>
      <c r="N311">
        <f>IF($D311=1,ROUND(Keys!$C$2/(INDEX(Src_SYSHECF_nuclear!$L$5:$L$292,MATCH($C311,Src_SYSHECF_nuclear!$C$5:$C$292,0))*$E311),Keys!$C$5),Keys!$C$4)</f>
        <v>1.08</v>
      </c>
      <c r="O311">
        <f>IF($D311=1,ROUND(Keys!$C$2/(INDEX(Src_SYSHECF_nuclear!$M$5:$M$292,MATCH($C311,Src_SYSHECF_nuclear!$C$5:$C$292,0))*$E311),Keys!$C$5),Keys!$C$4)</f>
        <v>1.08</v>
      </c>
      <c r="P311">
        <f>IF($D311=1,ROUND(Keys!$C$2/(INDEX(Src_SYSHECF_nuclear!$N$5:$N$292,MATCH($C311,Src_SYSHECF_nuclear!$C$5:$C$292,0))*$E311),Keys!$C$5),Keys!$C$4)</f>
        <v>1.08</v>
      </c>
      <c r="Q311">
        <f>IF($D311=1,ROUND(Keys!$C$2/(INDEX(Src_SYSHECF_nuclear!$O$5:$O$292,MATCH($C311,Src_SYSHECF_nuclear!$C$5:$C$292,0))*$E311),Keys!$C$5),Keys!$C$4)</f>
        <v>1.08</v>
      </c>
      <c r="R311">
        <f>IF($D311=1,ROUND(Keys!$C$2/(INDEX(Src_SYSHECF_nuclear!$P$5:$P$292,MATCH($C311,Src_SYSHECF_nuclear!$C$5:$C$292,0))*$E311),Keys!$C$5),Keys!$C$4)</f>
        <v>1.08</v>
      </c>
      <c r="S311">
        <f>IF($D311=1,ROUND(Keys!$C$2/(INDEX(Src_SYSHECF_nuclear!$Q$5:$Q$292,MATCH($C311,Src_SYSHECF_nuclear!$C$5:$C$292,0))*$E311),Keys!$C$5),Keys!$C$4)</f>
        <v>1.08</v>
      </c>
      <c r="T311">
        <f>IF($D311=1,ROUND(Keys!$C$2/(INDEX(Src_SYSHECF_nuclear!$R$5:$R$292,MATCH($C311,Src_SYSHECF_nuclear!$C$5:$C$292,0))*$E311),Keys!$C$5),Keys!$C$4)</f>
        <v>1.08</v>
      </c>
      <c r="U311">
        <f>IF($D311=1,ROUND(Keys!$C$2/(INDEX(Src_SYSHECF_nuclear!$S$5:$S$292,MATCH($C311,Src_SYSHECF_nuclear!$C$5:$C$292,0))*$E311),Keys!$C$5),Keys!$C$4)</f>
        <v>1.08</v>
      </c>
      <c r="V311">
        <f>IF($D311=1,ROUND(Keys!$C$2/(INDEX(Src_SYSHECF_nuclear!$T$5:$T$292,MATCH($C311,Src_SYSHECF_nuclear!$C$5:$C$292,0))*$E311),Keys!$C$5),Keys!$C$4)</f>
        <v>1.08</v>
      </c>
      <c r="W311">
        <f>IF($D311=1,ROUND(Keys!$C$2/(INDEX(Src_SYSHECF_nuclear!$U$5:$U$292,MATCH($C311,Src_SYSHECF_nuclear!$C$5:$C$292,0))*$E311),Keys!$C$5),Keys!$C$4)</f>
        <v>1.08</v>
      </c>
      <c r="X311">
        <f>IF($D311=1,ROUND(Keys!$C$2/(INDEX(Src_SYSHECF_nuclear!$V$5:$V$292,MATCH($C311,Src_SYSHECF_nuclear!$C$5:$C$292,0))*$E311),Keys!$C$5),Keys!$C$4)</f>
        <v>1.08</v>
      </c>
      <c r="Y311">
        <f>IF($D311=1,ROUND(Keys!$C$2/(INDEX(Src_SYSHECF_nuclear!$W$5:$W$292,MATCH($C311,Src_SYSHECF_nuclear!$C$5:$C$292,0))*$E311),Keys!$C$5),Keys!$C$4)</f>
        <v>1.08</v>
      </c>
      <c r="Z311">
        <f>IF($D311=1,ROUND(Keys!$C$2/(INDEX(Src_SYSHECF_nuclear!$X$5:$X$292,MATCH($C311,Src_SYSHECF_nuclear!$C$5:$C$292,0))*$E311),Keys!$C$5),Keys!$C$4)</f>
        <v>1.08</v>
      </c>
      <c r="AA311">
        <f>IF($D311=1,ROUND(Keys!$C$2/(INDEX(Src_SYSHECF_nuclear!$Y$5:$Y$292,MATCH($C311,Src_SYSHECF_nuclear!$C$5:$C$292,0))*$E311),Keys!$C$5),Keys!$C$4)</f>
        <v>1.08</v>
      </c>
      <c r="AB311">
        <f>IF($D311=1,ROUND(Keys!$C$2/(INDEX(Src_SYSHECF_nuclear!$Z$5:$Z$292,MATCH($C311,Src_SYSHECF_nuclear!$C$5:$C$292,0))*$E311),Keys!$C$5),Keys!$C$4)</f>
        <v>1.08</v>
      </c>
      <c r="AC311">
        <f>IF($D311=1,ROUND(Keys!$C$2/(INDEX(Src_SYSHECF_nuclear!$AA$5:$AA$292,MATCH($C311,Src_SYSHECF_nuclear!$C$5:$C$292,0))*$E311),Keys!$C$5),Keys!$C$4)</f>
        <v>1.08</v>
      </c>
      <c r="AE311">
        <f>IF($D311=1,IF(ABS(INDEX(Src_SYSHECF_nuclear!$D$5:$D$292,MATCH($C311,Src_SYSHECF_nuclear!$C$5:$C$292,0))*$E311*F311-Keys!$C$2)&gt;Keys!$C$6,1,0),0)</f>
        <v>0</v>
      </c>
    </row>
    <row r="312" spans="1:31" x14ac:dyDescent="0.45">
      <c r="A312" t="s">
        <v>108</v>
      </c>
      <c r="B312" t="s">
        <v>428</v>
      </c>
      <c r="C312" t="str">
        <f t="shared" ref="C312:C375" si="5">A312&amp;"|"&amp;B312</f>
        <v>VA|Summer Peak</v>
      </c>
      <c r="D312">
        <f>INDEX(Src_BHRaSYC_nuclear!$HF$5:$HF$52,MATCH($A312,Src_BHRaSYC_nuclear!$A$5:$A$52,0))</f>
        <v>1</v>
      </c>
      <c r="E312">
        <f>INDEX(Src_HYECFCA_nuclear!$B$5:$B$52,MATCH($A312,Src_HYECFCA_nuclear!$A$5:$A$52,0))</f>
        <v>0.98719400000000002</v>
      </c>
      <c r="F312">
        <f>IF($D312=1,ROUND(Keys!$C$2/(INDEX(Src_SYSHECF_nuclear!$D$5:$D$292,MATCH($C312,Src_SYSHECF_nuclear!$C$5:$C$292,0))*$E312),Keys!$C$5),Keys!$C$4)</f>
        <v>1.08</v>
      </c>
      <c r="G312">
        <f>IF($D312=1,ROUND(Keys!$C$2/(INDEX(Src_SYSHECF_nuclear!$E$5:$E$292,MATCH($C312,Src_SYSHECF_nuclear!$C$5:$C$292,0))*$E312),Keys!$C$5),Keys!$C$4)</f>
        <v>1.08</v>
      </c>
      <c r="H312">
        <f>IF($D312=1,ROUND(Keys!$C$2/(INDEX(Src_SYSHECF_nuclear!$F$5:$F$292,MATCH($C312,Src_SYSHECF_nuclear!$C$5:$C$292,0))*$E312),Keys!$C$5),Keys!$C$4)</f>
        <v>1.08</v>
      </c>
      <c r="I312">
        <f>IF($D312=1,ROUND(Keys!$C$2/(INDEX(Src_SYSHECF_nuclear!$G$5:$G$292,MATCH($C312,Src_SYSHECF_nuclear!$C$5:$C$292,0))*$E312),Keys!$C$5),Keys!$C$4)</f>
        <v>1.08</v>
      </c>
      <c r="J312">
        <f>IF($D312=1,ROUND(Keys!$C$2/(INDEX(Src_SYSHECF_nuclear!$H$5:$H$292,MATCH($C312,Src_SYSHECF_nuclear!$C$5:$C$292,0))*$E312),Keys!$C$5),Keys!$C$4)</f>
        <v>1.08</v>
      </c>
      <c r="K312">
        <f>IF($D312=1,ROUND(Keys!$C$2/(INDEX(Src_SYSHECF_nuclear!$I$5:$I$292,MATCH($C312,Src_SYSHECF_nuclear!$C$5:$C$292,0))*$E312),Keys!$C$5),Keys!$C$4)</f>
        <v>1.08</v>
      </c>
      <c r="L312">
        <f>IF($D312=1,ROUND(Keys!$C$2/(INDEX(Src_SYSHECF_nuclear!$J$5:$J$292,MATCH($C312,Src_SYSHECF_nuclear!$C$5:$C$292,0))*$E312),Keys!$C$5),Keys!$C$4)</f>
        <v>1.08</v>
      </c>
      <c r="M312">
        <f>IF($D312=1,ROUND(Keys!$C$2/(INDEX(Src_SYSHECF_nuclear!$K$5:$K$292,MATCH($C312,Src_SYSHECF_nuclear!$C$5:$C$292,0))*$E312),Keys!$C$5),Keys!$C$4)</f>
        <v>1.08</v>
      </c>
      <c r="N312">
        <f>IF($D312=1,ROUND(Keys!$C$2/(INDEX(Src_SYSHECF_nuclear!$L$5:$L$292,MATCH($C312,Src_SYSHECF_nuclear!$C$5:$C$292,0))*$E312),Keys!$C$5),Keys!$C$4)</f>
        <v>1.08</v>
      </c>
      <c r="O312">
        <f>IF($D312=1,ROUND(Keys!$C$2/(INDEX(Src_SYSHECF_nuclear!$M$5:$M$292,MATCH($C312,Src_SYSHECF_nuclear!$C$5:$C$292,0))*$E312),Keys!$C$5),Keys!$C$4)</f>
        <v>1.08</v>
      </c>
      <c r="P312">
        <f>IF($D312=1,ROUND(Keys!$C$2/(INDEX(Src_SYSHECF_nuclear!$N$5:$N$292,MATCH($C312,Src_SYSHECF_nuclear!$C$5:$C$292,0))*$E312),Keys!$C$5),Keys!$C$4)</f>
        <v>1.08</v>
      </c>
      <c r="Q312">
        <f>IF($D312=1,ROUND(Keys!$C$2/(INDEX(Src_SYSHECF_nuclear!$O$5:$O$292,MATCH($C312,Src_SYSHECF_nuclear!$C$5:$C$292,0))*$E312),Keys!$C$5),Keys!$C$4)</f>
        <v>1.08</v>
      </c>
      <c r="R312">
        <f>IF($D312=1,ROUND(Keys!$C$2/(INDEX(Src_SYSHECF_nuclear!$P$5:$P$292,MATCH($C312,Src_SYSHECF_nuclear!$C$5:$C$292,0))*$E312),Keys!$C$5),Keys!$C$4)</f>
        <v>1.08</v>
      </c>
      <c r="S312">
        <f>IF($D312=1,ROUND(Keys!$C$2/(INDEX(Src_SYSHECF_nuclear!$Q$5:$Q$292,MATCH($C312,Src_SYSHECF_nuclear!$C$5:$C$292,0))*$E312),Keys!$C$5),Keys!$C$4)</f>
        <v>1.08</v>
      </c>
      <c r="T312">
        <f>IF($D312=1,ROUND(Keys!$C$2/(INDEX(Src_SYSHECF_nuclear!$R$5:$R$292,MATCH($C312,Src_SYSHECF_nuclear!$C$5:$C$292,0))*$E312),Keys!$C$5),Keys!$C$4)</f>
        <v>1.08</v>
      </c>
      <c r="U312">
        <f>IF($D312=1,ROUND(Keys!$C$2/(INDEX(Src_SYSHECF_nuclear!$S$5:$S$292,MATCH($C312,Src_SYSHECF_nuclear!$C$5:$C$292,0))*$E312),Keys!$C$5),Keys!$C$4)</f>
        <v>1.08</v>
      </c>
      <c r="V312">
        <f>IF($D312=1,ROUND(Keys!$C$2/(INDEX(Src_SYSHECF_nuclear!$T$5:$T$292,MATCH($C312,Src_SYSHECF_nuclear!$C$5:$C$292,0))*$E312),Keys!$C$5),Keys!$C$4)</f>
        <v>1.08</v>
      </c>
      <c r="W312">
        <f>IF($D312=1,ROUND(Keys!$C$2/(INDEX(Src_SYSHECF_nuclear!$U$5:$U$292,MATCH($C312,Src_SYSHECF_nuclear!$C$5:$C$292,0))*$E312),Keys!$C$5),Keys!$C$4)</f>
        <v>1.08</v>
      </c>
      <c r="X312">
        <f>IF($D312=1,ROUND(Keys!$C$2/(INDEX(Src_SYSHECF_nuclear!$V$5:$V$292,MATCH($C312,Src_SYSHECF_nuclear!$C$5:$C$292,0))*$E312),Keys!$C$5),Keys!$C$4)</f>
        <v>1.08</v>
      </c>
      <c r="Y312">
        <f>IF($D312=1,ROUND(Keys!$C$2/(INDEX(Src_SYSHECF_nuclear!$W$5:$W$292,MATCH($C312,Src_SYSHECF_nuclear!$C$5:$C$292,0))*$E312),Keys!$C$5),Keys!$C$4)</f>
        <v>1.08</v>
      </c>
      <c r="Z312">
        <f>IF($D312=1,ROUND(Keys!$C$2/(INDEX(Src_SYSHECF_nuclear!$X$5:$X$292,MATCH($C312,Src_SYSHECF_nuclear!$C$5:$C$292,0))*$E312),Keys!$C$5),Keys!$C$4)</f>
        <v>1.08</v>
      </c>
      <c r="AA312">
        <f>IF($D312=1,ROUND(Keys!$C$2/(INDEX(Src_SYSHECF_nuclear!$Y$5:$Y$292,MATCH($C312,Src_SYSHECF_nuclear!$C$5:$C$292,0))*$E312),Keys!$C$5),Keys!$C$4)</f>
        <v>1.08</v>
      </c>
      <c r="AB312">
        <f>IF($D312=1,ROUND(Keys!$C$2/(INDEX(Src_SYSHECF_nuclear!$Z$5:$Z$292,MATCH($C312,Src_SYSHECF_nuclear!$C$5:$C$292,0))*$E312),Keys!$C$5),Keys!$C$4)</f>
        <v>1.08</v>
      </c>
      <c r="AC312">
        <f>IF($D312=1,ROUND(Keys!$C$2/(INDEX(Src_SYSHECF_nuclear!$AA$5:$AA$292,MATCH($C312,Src_SYSHECF_nuclear!$C$5:$C$292,0))*$E312),Keys!$C$5),Keys!$C$4)</f>
        <v>1.08</v>
      </c>
      <c r="AE312">
        <f>IF($D312=1,IF(ABS(INDEX(Src_SYSHECF_nuclear!$D$5:$D$292,MATCH($C312,Src_SYSHECF_nuclear!$C$5:$C$292,0))*$E312*F312-Keys!$C$2)&gt;Keys!$C$6,1,0),0)</f>
        <v>0</v>
      </c>
    </row>
    <row r="313" spans="1:31" x14ac:dyDescent="0.45">
      <c r="A313" t="s">
        <v>108</v>
      </c>
      <c r="B313" t="s">
        <v>429</v>
      </c>
      <c r="C313" t="str">
        <f t="shared" si="5"/>
        <v>VA|Winter Peak</v>
      </c>
      <c r="D313">
        <f>INDEX(Src_BHRaSYC_nuclear!$HF$5:$HF$52,MATCH($A313,Src_BHRaSYC_nuclear!$A$5:$A$52,0))</f>
        <v>1</v>
      </c>
      <c r="E313">
        <f>INDEX(Src_HYECFCA_nuclear!$B$5:$B$52,MATCH($A313,Src_HYECFCA_nuclear!$A$5:$A$52,0))</f>
        <v>0.98719400000000002</v>
      </c>
      <c r="F313">
        <f>IF($D313=1,ROUND(Keys!$C$2/(INDEX(Src_SYSHECF_nuclear!$D$5:$D$292,MATCH($C313,Src_SYSHECF_nuclear!$C$5:$C$292,0))*$E313),Keys!$C$5),Keys!$C$4)</f>
        <v>1.08</v>
      </c>
      <c r="G313">
        <f>IF($D313=1,ROUND(Keys!$C$2/(INDEX(Src_SYSHECF_nuclear!$E$5:$E$292,MATCH($C313,Src_SYSHECF_nuclear!$C$5:$C$292,0))*$E313),Keys!$C$5),Keys!$C$4)</f>
        <v>1.08</v>
      </c>
      <c r="H313">
        <f>IF($D313=1,ROUND(Keys!$C$2/(INDEX(Src_SYSHECF_nuclear!$F$5:$F$292,MATCH($C313,Src_SYSHECF_nuclear!$C$5:$C$292,0))*$E313),Keys!$C$5),Keys!$C$4)</f>
        <v>1.08</v>
      </c>
      <c r="I313">
        <f>IF($D313=1,ROUND(Keys!$C$2/(INDEX(Src_SYSHECF_nuclear!$G$5:$G$292,MATCH($C313,Src_SYSHECF_nuclear!$C$5:$C$292,0))*$E313),Keys!$C$5),Keys!$C$4)</f>
        <v>1.08</v>
      </c>
      <c r="J313">
        <f>IF($D313=1,ROUND(Keys!$C$2/(INDEX(Src_SYSHECF_nuclear!$H$5:$H$292,MATCH($C313,Src_SYSHECF_nuclear!$C$5:$C$292,0))*$E313),Keys!$C$5),Keys!$C$4)</f>
        <v>1.08</v>
      </c>
      <c r="K313">
        <f>IF($D313=1,ROUND(Keys!$C$2/(INDEX(Src_SYSHECF_nuclear!$I$5:$I$292,MATCH($C313,Src_SYSHECF_nuclear!$C$5:$C$292,0))*$E313),Keys!$C$5),Keys!$C$4)</f>
        <v>1.08</v>
      </c>
      <c r="L313">
        <f>IF($D313=1,ROUND(Keys!$C$2/(INDEX(Src_SYSHECF_nuclear!$J$5:$J$292,MATCH($C313,Src_SYSHECF_nuclear!$C$5:$C$292,0))*$E313),Keys!$C$5),Keys!$C$4)</f>
        <v>1.08</v>
      </c>
      <c r="M313">
        <f>IF($D313=1,ROUND(Keys!$C$2/(INDEX(Src_SYSHECF_nuclear!$K$5:$K$292,MATCH($C313,Src_SYSHECF_nuclear!$C$5:$C$292,0))*$E313),Keys!$C$5),Keys!$C$4)</f>
        <v>1.08</v>
      </c>
      <c r="N313">
        <f>IF($D313=1,ROUND(Keys!$C$2/(INDEX(Src_SYSHECF_nuclear!$L$5:$L$292,MATCH($C313,Src_SYSHECF_nuclear!$C$5:$C$292,0))*$E313),Keys!$C$5),Keys!$C$4)</f>
        <v>1.08</v>
      </c>
      <c r="O313">
        <f>IF($D313=1,ROUND(Keys!$C$2/(INDEX(Src_SYSHECF_nuclear!$M$5:$M$292,MATCH($C313,Src_SYSHECF_nuclear!$C$5:$C$292,0))*$E313),Keys!$C$5),Keys!$C$4)</f>
        <v>1.08</v>
      </c>
      <c r="P313">
        <f>IF($D313=1,ROUND(Keys!$C$2/(INDEX(Src_SYSHECF_nuclear!$N$5:$N$292,MATCH($C313,Src_SYSHECF_nuclear!$C$5:$C$292,0))*$E313),Keys!$C$5),Keys!$C$4)</f>
        <v>1.08</v>
      </c>
      <c r="Q313">
        <f>IF($D313=1,ROUND(Keys!$C$2/(INDEX(Src_SYSHECF_nuclear!$O$5:$O$292,MATCH($C313,Src_SYSHECF_nuclear!$C$5:$C$292,0))*$E313),Keys!$C$5),Keys!$C$4)</f>
        <v>1.08</v>
      </c>
      <c r="R313">
        <f>IF($D313=1,ROUND(Keys!$C$2/(INDEX(Src_SYSHECF_nuclear!$P$5:$P$292,MATCH($C313,Src_SYSHECF_nuclear!$C$5:$C$292,0))*$E313),Keys!$C$5),Keys!$C$4)</f>
        <v>1.08</v>
      </c>
      <c r="S313">
        <f>IF($D313=1,ROUND(Keys!$C$2/(INDEX(Src_SYSHECF_nuclear!$Q$5:$Q$292,MATCH($C313,Src_SYSHECF_nuclear!$C$5:$C$292,0))*$E313),Keys!$C$5),Keys!$C$4)</f>
        <v>1.08</v>
      </c>
      <c r="T313">
        <f>IF($D313=1,ROUND(Keys!$C$2/(INDEX(Src_SYSHECF_nuclear!$R$5:$R$292,MATCH($C313,Src_SYSHECF_nuclear!$C$5:$C$292,0))*$E313),Keys!$C$5),Keys!$C$4)</f>
        <v>1.08</v>
      </c>
      <c r="U313">
        <f>IF($D313=1,ROUND(Keys!$C$2/(INDEX(Src_SYSHECF_nuclear!$S$5:$S$292,MATCH($C313,Src_SYSHECF_nuclear!$C$5:$C$292,0))*$E313),Keys!$C$5),Keys!$C$4)</f>
        <v>1.08</v>
      </c>
      <c r="V313">
        <f>IF($D313=1,ROUND(Keys!$C$2/(INDEX(Src_SYSHECF_nuclear!$T$5:$T$292,MATCH($C313,Src_SYSHECF_nuclear!$C$5:$C$292,0))*$E313),Keys!$C$5),Keys!$C$4)</f>
        <v>1.08</v>
      </c>
      <c r="W313">
        <f>IF($D313=1,ROUND(Keys!$C$2/(INDEX(Src_SYSHECF_nuclear!$U$5:$U$292,MATCH($C313,Src_SYSHECF_nuclear!$C$5:$C$292,0))*$E313),Keys!$C$5),Keys!$C$4)</f>
        <v>1.08</v>
      </c>
      <c r="X313">
        <f>IF($D313=1,ROUND(Keys!$C$2/(INDEX(Src_SYSHECF_nuclear!$V$5:$V$292,MATCH($C313,Src_SYSHECF_nuclear!$C$5:$C$292,0))*$E313),Keys!$C$5),Keys!$C$4)</f>
        <v>1.08</v>
      </c>
      <c r="Y313">
        <f>IF($D313=1,ROUND(Keys!$C$2/(INDEX(Src_SYSHECF_nuclear!$W$5:$W$292,MATCH($C313,Src_SYSHECF_nuclear!$C$5:$C$292,0))*$E313),Keys!$C$5),Keys!$C$4)</f>
        <v>1.08</v>
      </c>
      <c r="Z313">
        <f>IF($D313=1,ROUND(Keys!$C$2/(INDEX(Src_SYSHECF_nuclear!$X$5:$X$292,MATCH($C313,Src_SYSHECF_nuclear!$C$5:$C$292,0))*$E313),Keys!$C$5),Keys!$C$4)</f>
        <v>1.08</v>
      </c>
      <c r="AA313">
        <f>IF($D313=1,ROUND(Keys!$C$2/(INDEX(Src_SYSHECF_nuclear!$Y$5:$Y$292,MATCH($C313,Src_SYSHECF_nuclear!$C$5:$C$292,0))*$E313),Keys!$C$5),Keys!$C$4)</f>
        <v>1.08</v>
      </c>
      <c r="AB313">
        <f>IF($D313=1,ROUND(Keys!$C$2/(INDEX(Src_SYSHECF_nuclear!$Z$5:$Z$292,MATCH($C313,Src_SYSHECF_nuclear!$C$5:$C$292,0))*$E313),Keys!$C$5),Keys!$C$4)</f>
        <v>1.08</v>
      </c>
      <c r="AC313">
        <f>IF($D313=1,ROUND(Keys!$C$2/(INDEX(Src_SYSHECF_nuclear!$AA$5:$AA$292,MATCH($C313,Src_SYSHECF_nuclear!$C$5:$C$292,0))*$E313),Keys!$C$5),Keys!$C$4)</f>
        <v>1.08</v>
      </c>
      <c r="AE313">
        <f>IF($D313=1,IF(ABS(INDEX(Src_SYSHECF_nuclear!$D$5:$D$292,MATCH($C313,Src_SYSHECF_nuclear!$C$5:$C$292,0))*$E313*F313-Keys!$C$2)&gt;Keys!$C$6,1,0),0)</f>
        <v>0</v>
      </c>
    </row>
    <row r="314" spans="1:31" x14ac:dyDescent="0.45">
      <c r="A314" t="s">
        <v>110</v>
      </c>
      <c r="B314" t="s">
        <v>424</v>
      </c>
      <c r="C314" t="str">
        <f t="shared" si="5"/>
        <v>VT|Winter</v>
      </c>
      <c r="D314">
        <f>INDEX(Src_BHRaSYC_nuclear!$HF$5:$HF$52,MATCH($A314,Src_BHRaSYC_nuclear!$A$5:$A$52,0))</f>
        <v>0</v>
      </c>
      <c r="E314">
        <f>INDEX(Src_HYECFCA_nuclear!$B$5:$B$52,MATCH($A314,Src_HYECFCA_nuclear!$A$5:$A$52,0))</f>
        <v>1</v>
      </c>
      <c r="F314">
        <f>IF($D314=1,ROUND(Keys!$C$2/(INDEX(Src_SYSHECF_nuclear!$D$5:$D$292,MATCH($C314,Src_SYSHECF_nuclear!$C$5:$C$292,0))*$E314),Keys!$C$5),Keys!$C$4)</f>
        <v>0.9</v>
      </c>
      <c r="G314">
        <f>IF($D314=1,ROUND(Keys!$C$2/(INDEX(Src_SYSHECF_nuclear!$E$5:$E$292,MATCH($C314,Src_SYSHECF_nuclear!$C$5:$C$292,0))*$E314),Keys!$C$5),Keys!$C$4)</f>
        <v>0.9</v>
      </c>
      <c r="H314">
        <f>IF($D314=1,ROUND(Keys!$C$2/(INDEX(Src_SYSHECF_nuclear!$F$5:$F$292,MATCH($C314,Src_SYSHECF_nuclear!$C$5:$C$292,0))*$E314),Keys!$C$5),Keys!$C$4)</f>
        <v>0.9</v>
      </c>
      <c r="I314">
        <f>IF($D314=1,ROUND(Keys!$C$2/(INDEX(Src_SYSHECF_nuclear!$G$5:$G$292,MATCH($C314,Src_SYSHECF_nuclear!$C$5:$C$292,0))*$E314),Keys!$C$5),Keys!$C$4)</f>
        <v>0.9</v>
      </c>
      <c r="J314">
        <f>IF($D314=1,ROUND(Keys!$C$2/(INDEX(Src_SYSHECF_nuclear!$H$5:$H$292,MATCH($C314,Src_SYSHECF_nuclear!$C$5:$C$292,0))*$E314),Keys!$C$5),Keys!$C$4)</f>
        <v>0.9</v>
      </c>
      <c r="K314">
        <f>IF($D314=1,ROUND(Keys!$C$2/(INDEX(Src_SYSHECF_nuclear!$I$5:$I$292,MATCH($C314,Src_SYSHECF_nuclear!$C$5:$C$292,0))*$E314),Keys!$C$5),Keys!$C$4)</f>
        <v>0.9</v>
      </c>
      <c r="L314">
        <f>IF($D314=1,ROUND(Keys!$C$2/(INDEX(Src_SYSHECF_nuclear!$J$5:$J$292,MATCH($C314,Src_SYSHECF_nuclear!$C$5:$C$292,0))*$E314),Keys!$C$5),Keys!$C$4)</f>
        <v>0.9</v>
      </c>
      <c r="M314">
        <f>IF($D314=1,ROUND(Keys!$C$2/(INDEX(Src_SYSHECF_nuclear!$K$5:$K$292,MATCH($C314,Src_SYSHECF_nuclear!$C$5:$C$292,0))*$E314),Keys!$C$5),Keys!$C$4)</f>
        <v>0.9</v>
      </c>
      <c r="N314">
        <f>IF($D314=1,ROUND(Keys!$C$2/(INDEX(Src_SYSHECF_nuclear!$L$5:$L$292,MATCH($C314,Src_SYSHECF_nuclear!$C$5:$C$292,0))*$E314),Keys!$C$5),Keys!$C$4)</f>
        <v>0.9</v>
      </c>
      <c r="O314">
        <f>IF($D314=1,ROUND(Keys!$C$2/(INDEX(Src_SYSHECF_nuclear!$M$5:$M$292,MATCH($C314,Src_SYSHECF_nuclear!$C$5:$C$292,0))*$E314),Keys!$C$5),Keys!$C$4)</f>
        <v>0.9</v>
      </c>
      <c r="P314">
        <f>IF($D314=1,ROUND(Keys!$C$2/(INDEX(Src_SYSHECF_nuclear!$N$5:$N$292,MATCH($C314,Src_SYSHECF_nuclear!$C$5:$C$292,0))*$E314),Keys!$C$5),Keys!$C$4)</f>
        <v>0.9</v>
      </c>
      <c r="Q314">
        <f>IF($D314=1,ROUND(Keys!$C$2/(INDEX(Src_SYSHECF_nuclear!$O$5:$O$292,MATCH($C314,Src_SYSHECF_nuclear!$C$5:$C$292,0))*$E314),Keys!$C$5),Keys!$C$4)</f>
        <v>0.9</v>
      </c>
      <c r="R314">
        <f>IF($D314=1,ROUND(Keys!$C$2/(INDEX(Src_SYSHECF_nuclear!$P$5:$P$292,MATCH($C314,Src_SYSHECF_nuclear!$C$5:$C$292,0))*$E314),Keys!$C$5),Keys!$C$4)</f>
        <v>0.9</v>
      </c>
      <c r="S314">
        <f>IF($D314=1,ROUND(Keys!$C$2/(INDEX(Src_SYSHECF_nuclear!$Q$5:$Q$292,MATCH($C314,Src_SYSHECF_nuclear!$C$5:$C$292,0))*$E314),Keys!$C$5),Keys!$C$4)</f>
        <v>0.9</v>
      </c>
      <c r="T314">
        <f>IF($D314=1,ROUND(Keys!$C$2/(INDEX(Src_SYSHECF_nuclear!$R$5:$R$292,MATCH($C314,Src_SYSHECF_nuclear!$C$5:$C$292,0))*$E314),Keys!$C$5),Keys!$C$4)</f>
        <v>0.9</v>
      </c>
      <c r="U314">
        <f>IF($D314=1,ROUND(Keys!$C$2/(INDEX(Src_SYSHECF_nuclear!$S$5:$S$292,MATCH($C314,Src_SYSHECF_nuclear!$C$5:$C$292,0))*$E314),Keys!$C$5),Keys!$C$4)</f>
        <v>0.9</v>
      </c>
      <c r="V314">
        <f>IF($D314=1,ROUND(Keys!$C$2/(INDEX(Src_SYSHECF_nuclear!$T$5:$T$292,MATCH($C314,Src_SYSHECF_nuclear!$C$5:$C$292,0))*$E314),Keys!$C$5),Keys!$C$4)</f>
        <v>0.9</v>
      </c>
      <c r="W314">
        <f>IF($D314=1,ROUND(Keys!$C$2/(INDEX(Src_SYSHECF_nuclear!$U$5:$U$292,MATCH($C314,Src_SYSHECF_nuclear!$C$5:$C$292,0))*$E314),Keys!$C$5),Keys!$C$4)</f>
        <v>0.9</v>
      </c>
      <c r="X314">
        <f>IF($D314=1,ROUND(Keys!$C$2/(INDEX(Src_SYSHECF_nuclear!$V$5:$V$292,MATCH($C314,Src_SYSHECF_nuclear!$C$5:$C$292,0))*$E314),Keys!$C$5),Keys!$C$4)</f>
        <v>0.9</v>
      </c>
      <c r="Y314">
        <f>IF($D314=1,ROUND(Keys!$C$2/(INDEX(Src_SYSHECF_nuclear!$W$5:$W$292,MATCH($C314,Src_SYSHECF_nuclear!$C$5:$C$292,0))*$E314),Keys!$C$5),Keys!$C$4)</f>
        <v>0.9</v>
      </c>
      <c r="Z314">
        <f>IF($D314=1,ROUND(Keys!$C$2/(INDEX(Src_SYSHECF_nuclear!$X$5:$X$292,MATCH($C314,Src_SYSHECF_nuclear!$C$5:$C$292,0))*$E314),Keys!$C$5),Keys!$C$4)</f>
        <v>0.9</v>
      </c>
      <c r="AA314">
        <f>IF($D314=1,ROUND(Keys!$C$2/(INDEX(Src_SYSHECF_nuclear!$Y$5:$Y$292,MATCH($C314,Src_SYSHECF_nuclear!$C$5:$C$292,0))*$E314),Keys!$C$5),Keys!$C$4)</f>
        <v>0.9</v>
      </c>
      <c r="AB314">
        <f>IF($D314=1,ROUND(Keys!$C$2/(INDEX(Src_SYSHECF_nuclear!$Z$5:$Z$292,MATCH($C314,Src_SYSHECF_nuclear!$C$5:$C$292,0))*$E314),Keys!$C$5),Keys!$C$4)</f>
        <v>0.9</v>
      </c>
      <c r="AC314">
        <f>IF($D314=1,ROUND(Keys!$C$2/(INDEX(Src_SYSHECF_nuclear!$AA$5:$AA$292,MATCH($C314,Src_SYSHECF_nuclear!$C$5:$C$292,0))*$E314),Keys!$C$5),Keys!$C$4)</f>
        <v>0.9</v>
      </c>
      <c r="AE314">
        <f>IF($D314=1,IF(ABS(INDEX(Src_SYSHECF_nuclear!$D$5:$D$292,MATCH($C314,Src_SYSHECF_nuclear!$C$5:$C$292,0))*$E314*F314-Keys!$C$2)&gt;Keys!$C$6,1,0),0)</f>
        <v>0</v>
      </c>
    </row>
    <row r="315" spans="1:31" x14ac:dyDescent="0.45">
      <c r="A315" t="s">
        <v>110</v>
      </c>
      <c r="B315" t="s">
        <v>425</v>
      </c>
      <c r="C315" t="str">
        <f t="shared" si="5"/>
        <v>VT|Spring</v>
      </c>
      <c r="D315">
        <f>INDEX(Src_BHRaSYC_nuclear!$HF$5:$HF$52,MATCH($A315,Src_BHRaSYC_nuclear!$A$5:$A$52,0))</f>
        <v>0</v>
      </c>
      <c r="E315">
        <f>INDEX(Src_HYECFCA_nuclear!$B$5:$B$52,MATCH($A315,Src_HYECFCA_nuclear!$A$5:$A$52,0))</f>
        <v>1</v>
      </c>
      <c r="F315">
        <f>IF($D315=1,ROUND(Keys!$C$2/(INDEX(Src_SYSHECF_nuclear!$D$5:$D$292,MATCH($C315,Src_SYSHECF_nuclear!$C$5:$C$292,0))*$E315),Keys!$C$5),Keys!$C$4)</f>
        <v>0.9</v>
      </c>
      <c r="G315">
        <f>IF($D315=1,ROUND(Keys!$C$2/(INDEX(Src_SYSHECF_nuclear!$E$5:$E$292,MATCH($C315,Src_SYSHECF_nuclear!$C$5:$C$292,0))*$E315),Keys!$C$5),Keys!$C$4)</f>
        <v>0.9</v>
      </c>
      <c r="H315">
        <f>IF($D315=1,ROUND(Keys!$C$2/(INDEX(Src_SYSHECF_nuclear!$F$5:$F$292,MATCH($C315,Src_SYSHECF_nuclear!$C$5:$C$292,0))*$E315),Keys!$C$5),Keys!$C$4)</f>
        <v>0.9</v>
      </c>
      <c r="I315">
        <f>IF($D315=1,ROUND(Keys!$C$2/(INDEX(Src_SYSHECF_nuclear!$G$5:$G$292,MATCH($C315,Src_SYSHECF_nuclear!$C$5:$C$292,0))*$E315),Keys!$C$5),Keys!$C$4)</f>
        <v>0.9</v>
      </c>
      <c r="J315">
        <f>IF($D315=1,ROUND(Keys!$C$2/(INDEX(Src_SYSHECF_nuclear!$H$5:$H$292,MATCH($C315,Src_SYSHECF_nuclear!$C$5:$C$292,0))*$E315),Keys!$C$5),Keys!$C$4)</f>
        <v>0.9</v>
      </c>
      <c r="K315">
        <f>IF($D315=1,ROUND(Keys!$C$2/(INDEX(Src_SYSHECF_nuclear!$I$5:$I$292,MATCH($C315,Src_SYSHECF_nuclear!$C$5:$C$292,0))*$E315),Keys!$C$5),Keys!$C$4)</f>
        <v>0.9</v>
      </c>
      <c r="L315">
        <f>IF($D315=1,ROUND(Keys!$C$2/(INDEX(Src_SYSHECF_nuclear!$J$5:$J$292,MATCH($C315,Src_SYSHECF_nuclear!$C$5:$C$292,0))*$E315),Keys!$C$5),Keys!$C$4)</f>
        <v>0.9</v>
      </c>
      <c r="M315">
        <f>IF($D315=1,ROUND(Keys!$C$2/(INDEX(Src_SYSHECF_nuclear!$K$5:$K$292,MATCH($C315,Src_SYSHECF_nuclear!$C$5:$C$292,0))*$E315),Keys!$C$5),Keys!$C$4)</f>
        <v>0.9</v>
      </c>
      <c r="N315">
        <f>IF($D315=1,ROUND(Keys!$C$2/(INDEX(Src_SYSHECF_nuclear!$L$5:$L$292,MATCH($C315,Src_SYSHECF_nuclear!$C$5:$C$292,0))*$E315),Keys!$C$5),Keys!$C$4)</f>
        <v>0.9</v>
      </c>
      <c r="O315">
        <f>IF($D315=1,ROUND(Keys!$C$2/(INDEX(Src_SYSHECF_nuclear!$M$5:$M$292,MATCH($C315,Src_SYSHECF_nuclear!$C$5:$C$292,0))*$E315),Keys!$C$5),Keys!$C$4)</f>
        <v>0.9</v>
      </c>
      <c r="P315">
        <f>IF($D315=1,ROUND(Keys!$C$2/(INDEX(Src_SYSHECF_nuclear!$N$5:$N$292,MATCH($C315,Src_SYSHECF_nuclear!$C$5:$C$292,0))*$E315),Keys!$C$5),Keys!$C$4)</f>
        <v>0.9</v>
      </c>
      <c r="Q315">
        <f>IF($D315=1,ROUND(Keys!$C$2/(INDEX(Src_SYSHECF_nuclear!$O$5:$O$292,MATCH($C315,Src_SYSHECF_nuclear!$C$5:$C$292,0))*$E315),Keys!$C$5),Keys!$C$4)</f>
        <v>0.9</v>
      </c>
      <c r="R315">
        <f>IF($D315=1,ROUND(Keys!$C$2/(INDEX(Src_SYSHECF_nuclear!$P$5:$P$292,MATCH($C315,Src_SYSHECF_nuclear!$C$5:$C$292,0))*$E315),Keys!$C$5),Keys!$C$4)</f>
        <v>0.9</v>
      </c>
      <c r="S315">
        <f>IF($D315=1,ROUND(Keys!$C$2/(INDEX(Src_SYSHECF_nuclear!$Q$5:$Q$292,MATCH($C315,Src_SYSHECF_nuclear!$C$5:$C$292,0))*$E315),Keys!$C$5),Keys!$C$4)</f>
        <v>0.9</v>
      </c>
      <c r="T315">
        <f>IF($D315=1,ROUND(Keys!$C$2/(INDEX(Src_SYSHECF_nuclear!$R$5:$R$292,MATCH($C315,Src_SYSHECF_nuclear!$C$5:$C$292,0))*$E315),Keys!$C$5),Keys!$C$4)</f>
        <v>0.9</v>
      </c>
      <c r="U315">
        <f>IF($D315=1,ROUND(Keys!$C$2/(INDEX(Src_SYSHECF_nuclear!$S$5:$S$292,MATCH($C315,Src_SYSHECF_nuclear!$C$5:$C$292,0))*$E315),Keys!$C$5),Keys!$C$4)</f>
        <v>0.9</v>
      </c>
      <c r="V315">
        <f>IF($D315=1,ROUND(Keys!$C$2/(INDEX(Src_SYSHECF_nuclear!$T$5:$T$292,MATCH($C315,Src_SYSHECF_nuclear!$C$5:$C$292,0))*$E315),Keys!$C$5),Keys!$C$4)</f>
        <v>0.9</v>
      </c>
      <c r="W315">
        <f>IF($D315=1,ROUND(Keys!$C$2/(INDEX(Src_SYSHECF_nuclear!$U$5:$U$292,MATCH($C315,Src_SYSHECF_nuclear!$C$5:$C$292,0))*$E315),Keys!$C$5),Keys!$C$4)</f>
        <v>0.9</v>
      </c>
      <c r="X315">
        <f>IF($D315=1,ROUND(Keys!$C$2/(INDEX(Src_SYSHECF_nuclear!$V$5:$V$292,MATCH($C315,Src_SYSHECF_nuclear!$C$5:$C$292,0))*$E315),Keys!$C$5),Keys!$C$4)</f>
        <v>0.9</v>
      </c>
      <c r="Y315">
        <f>IF($D315=1,ROUND(Keys!$C$2/(INDEX(Src_SYSHECF_nuclear!$W$5:$W$292,MATCH($C315,Src_SYSHECF_nuclear!$C$5:$C$292,0))*$E315),Keys!$C$5),Keys!$C$4)</f>
        <v>0.9</v>
      </c>
      <c r="Z315">
        <f>IF($D315=1,ROUND(Keys!$C$2/(INDEX(Src_SYSHECF_nuclear!$X$5:$X$292,MATCH($C315,Src_SYSHECF_nuclear!$C$5:$C$292,0))*$E315),Keys!$C$5),Keys!$C$4)</f>
        <v>0.9</v>
      </c>
      <c r="AA315">
        <f>IF($D315=1,ROUND(Keys!$C$2/(INDEX(Src_SYSHECF_nuclear!$Y$5:$Y$292,MATCH($C315,Src_SYSHECF_nuclear!$C$5:$C$292,0))*$E315),Keys!$C$5),Keys!$C$4)</f>
        <v>0.9</v>
      </c>
      <c r="AB315">
        <f>IF($D315=1,ROUND(Keys!$C$2/(INDEX(Src_SYSHECF_nuclear!$Z$5:$Z$292,MATCH($C315,Src_SYSHECF_nuclear!$C$5:$C$292,0))*$E315),Keys!$C$5),Keys!$C$4)</f>
        <v>0.9</v>
      </c>
      <c r="AC315">
        <f>IF($D315=1,ROUND(Keys!$C$2/(INDEX(Src_SYSHECF_nuclear!$AA$5:$AA$292,MATCH($C315,Src_SYSHECF_nuclear!$C$5:$C$292,0))*$E315),Keys!$C$5),Keys!$C$4)</f>
        <v>0.9</v>
      </c>
      <c r="AE315">
        <f>IF($D315=1,IF(ABS(INDEX(Src_SYSHECF_nuclear!$D$5:$D$292,MATCH($C315,Src_SYSHECF_nuclear!$C$5:$C$292,0))*$E315*F315-Keys!$C$2)&gt;Keys!$C$6,1,0),0)</f>
        <v>0</v>
      </c>
    </row>
    <row r="316" spans="1:31" x14ac:dyDescent="0.45">
      <c r="A316" t="s">
        <v>110</v>
      </c>
      <c r="B316" t="s">
        <v>426</v>
      </c>
      <c r="C316" t="str">
        <f t="shared" si="5"/>
        <v>VT|Summer</v>
      </c>
      <c r="D316">
        <f>INDEX(Src_BHRaSYC_nuclear!$HF$5:$HF$52,MATCH($A316,Src_BHRaSYC_nuclear!$A$5:$A$52,0))</f>
        <v>0</v>
      </c>
      <c r="E316">
        <f>INDEX(Src_HYECFCA_nuclear!$B$5:$B$52,MATCH($A316,Src_HYECFCA_nuclear!$A$5:$A$52,0))</f>
        <v>1</v>
      </c>
      <c r="F316">
        <f>IF($D316=1,ROUND(Keys!$C$2/(INDEX(Src_SYSHECF_nuclear!$D$5:$D$292,MATCH($C316,Src_SYSHECF_nuclear!$C$5:$C$292,0))*$E316),Keys!$C$5),Keys!$C$4)</f>
        <v>0.9</v>
      </c>
      <c r="G316">
        <f>IF($D316=1,ROUND(Keys!$C$2/(INDEX(Src_SYSHECF_nuclear!$E$5:$E$292,MATCH($C316,Src_SYSHECF_nuclear!$C$5:$C$292,0))*$E316),Keys!$C$5),Keys!$C$4)</f>
        <v>0.9</v>
      </c>
      <c r="H316">
        <f>IF($D316=1,ROUND(Keys!$C$2/(INDEX(Src_SYSHECF_nuclear!$F$5:$F$292,MATCH($C316,Src_SYSHECF_nuclear!$C$5:$C$292,0))*$E316),Keys!$C$5),Keys!$C$4)</f>
        <v>0.9</v>
      </c>
      <c r="I316">
        <f>IF($D316=1,ROUND(Keys!$C$2/(INDEX(Src_SYSHECF_nuclear!$G$5:$G$292,MATCH($C316,Src_SYSHECF_nuclear!$C$5:$C$292,0))*$E316),Keys!$C$5),Keys!$C$4)</f>
        <v>0.9</v>
      </c>
      <c r="J316">
        <f>IF($D316=1,ROUND(Keys!$C$2/(INDEX(Src_SYSHECF_nuclear!$H$5:$H$292,MATCH($C316,Src_SYSHECF_nuclear!$C$5:$C$292,0))*$E316),Keys!$C$5),Keys!$C$4)</f>
        <v>0.9</v>
      </c>
      <c r="K316">
        <f>IF($D316=1,ROUND(Keys!$C$2/(INDEX(Src_SYSHECF_nuclear!$I$5:$I$292,MATCH($C316,Src_SYSHECF_nuclear!$C$5:$C$292,0))*$E316),Keys!$C$5),Keys!$C$4)</f>
        <v>0.9</v>
      </c>
      <c r="L316">
        <f>IF($D316=1,ROUND(Keys!$C$2/(INDEX(Src_SYSHECF_nuclear!$J$5:$J$292,MATCH($C316,Src_SYSHECF_nuclear!$C$5:$C$292,0))*$E316),Keys!$C$5),Keys!$C$4)</f>
        <v>0.9</v>
      </c>
      <c r="M316">
        <f>IF($D316=1,ROUND(Keys!$C$2/(INDEX(Src_SYSHECF_nuclear!$K$5:$K$292,MATCH($C316,Src_SYSHECF_nuclear!$C$5:$C$292,0))*$E316),Keys!$C$5),Keys!$C$4)</f>
        <v>0.9</v>
      </c>
      <c r="N316">
        <f>IF($D316=1,ROUND(Keys!$C$2/(INDEX(Src_SYSHECF_nuclear!$L$5:$L$292,MATCH($C316,Src_SYSHECF_nuclear!$C$5:$C$292,0))*$E316),Keys!$C$5),Keys!$C$4)</f>
        <v>0.9</v>
      </c>
      <c r="O316">
        <f>IF($D316=1,ROUND(Keys!$C$2/(INDEX(Src_SYSHECF_nuclear!$M$5:$M$292,MATCH($C316,Src_SYSHECF_nuclear!$C$5:$C$292,0))*$E316),Keys!$C$5),Keys!$C$4)</f>
        <v>0.9</v>
      </c>
      <c r="P316">
        <f>IF($D316=1,ROUND(Keys!$C$2/(INDEX(Src_SYSHECF_nuclear!$N$5:$N$292,MATCH($C316,Src_SYSHECF_nuclear!$C$5:$C$292,0))*$E316),Keys!$C$5),Keys!$C$4)</f>
        <v>0.9</v>
      </c>
      <c r="Q316">
        <f>IF($D316=1,ROUND(Keys!$C$2/(INDEX(Src_SYSHECF_nuclear!$O$5:$O$292,MATCH($C316,Src_SYSHECF_nuclear!$C$5:$C$292,0))*$E316),Keys!$C$5),Keys!$C$4)</f>
        <v>0.9</v>
      </c>
      <c r="R316">
        <f>IF($D316=1,ROUND(Keys!$C$2/(INDEX(Src_SYSHECF_nuclear!$P$5:$P$292,MATCH($C316,Src_SYSHECF_nuclear!$C$5:$C$292,0))*$E316),Keys!$C$5),Keys!$C$4)</f>
        <v>0.9</v>
      </c>
      <c r="S316">
        <f>IF($D316=1,ROUND(Keys!$C$2/(INDEX(Src_SYSHECF_nuclear!$Q$5:$Q$292,MATCH($C316,Src_SYSHECF_nuclear!$C$5:$C$292,0))*$E316),Keys!$C$5),Keys!$C$4)</f>
        <v>0.9</v>
      </c>
      <c r="T316">
        <f>IF($D316=1,ROUND(Keys!$C$2/(INDEX(Src_SYSHECF_nuclear!$R$5:$R$292,MATCH($C316,Src_SYSHECF_nuclear!$C$5:$C$292,0))*$E316),Keys!$C$5),Keys!$C$4)</f>
        <v>0.9</v>
      </c>
      <c r="U316">
        <f>IF($D316=1,ROUND(Keys!$C$2/(INDEX(Src_SYSHECF_nuclear!$S$5:$S$292,MATCH($C316,Src_SYSHECF_nuclear!$C$5:$C$292,0))*$E316),Keys!$C$5),Keys!$C$4)</f>
        <v>0.9</v>
      </c>
      <c r="V316">
        <f>IF($D316=1,ROUND(Keys!$C$2/(INDEX(Src_SYSHECF_nuclear!$T$5:$T$292,MATCH($C316,Src_SYSHECF_nuclear!$C$5:$C$292,0))*$E316),Keys!$C$5),Keys!$C$4)</f>
        <v>0.9</v>
      </c>
      <c r="W316">
        <f>IF($D316=1,ROUND(Keys!$C$2/(INDEX(Src_SYSHECF_nuclear!$U$5:$U$292,MATCH($C316,Src_SYSHECF_nuclear!$C$5:$C$292,0))*$E316),Keys!$C$5),Keys!$C$4)</f>
        <v>0.9</v>
      </c>
      <c r="X316">
        <f>IF($D316=1,ROUND(Keys!$C$2/(INDEX(Src_SYSHECF_nuclear!$V$5:$V$292,MATCH($C316,Src_SYSHECF_nuclear!$C$5:$C$292,0))*$E316),Keys!$C$5),Keys!$C$4)</f>
        <v>0.9</v>
      </c>
      <c r="Y316">
        <f>IF($D316=1,ROUND(Keys!$C$2/(INDEX(Src_SYSHECF_nuclear!$W$5:$W$292,MATCH($C316,Src_SYSHECF_nuclear!$C$5:$C$292,0))*$E316),Keys!$C$5),Keys!$C$4)</f>
        <v>0.9</v>
      </c>
      <c r="Z316">
        <f>IF($D316=1,ROUND(Keys!$C$2/(INDEX(Src_SYSHECF_nuclear!$X$5:$X$292,MATCH($C316,Src_SYSHECF_nuclear!$C$5:$C$292,0))*$E316),Keys!$C$5),Keys!$C$4)</f>
        <v>0.9</v>
      </c>
      <c r="AA316">
        <f>IF($D316=1,ROUND(Keys!$C$2/(INDEX(Src_SYSHECF_nuclear!$Y$5:$Y$292,MATCH($C316,Src_SYSHECF_nuclear!$C$5:$C$292,0))*$E316),Keys!$C$5),Keys!$C$4)</f>
        <v>0.9</v>
      </c>
      <c r="AB316">
        <f>IF($D316=1,ROUND(Keys!$C$2/(INDEX(Src_SYSHECF_nuclear!$Z$5:$Z$292,MATCH($C316,Src_SYSHECF_nuclear!$C$5:$C$292,0))*$E316),Keys!$C$5),Keys!$C$4)</f>
        <v>0.9</v>
      </c>
      <c r="AC316">
        <f>IF($D316=1,ROUND(Keys!$C$2/(INDEX(Src_SYSHECF_nuclear!$AA$5:$AA$292,MATCH($C316,Src_SYSHECF_nuclear!$C$5:$C$292,0))*$E316),Keys!$C$5),Keys!$C$4)</f>
        <v>0.9</v>
      </c>
      <c r="AE316">
        <f>IF($D316=1,IF(ABS(INDEX(Src_SYSHECF_nuclear!$D$5:$D$292,MATCH($C316,Src_SYSHECF_nuclear!$C$5:$C$292,0))*$E316*F316-Keys!$C$2)&gt;Keys!$C$6,1,0),0)</f>
        <v>0</v>
      </c>
    </row>
    <row r="317" spans="1:31" x14ac:dyDescent="0.45">
      <c r="A317" t="s">
        <v>110</v>
      </c>
      <c r="B317" t="s">
        <v>427</v>
      </c>
      <c r="C317" t="str">
        <f t="shared" si="5"/>
        <v>VT|Fall</v>
      </c>
      <c r="D317">
        <f>INDEX(Src_BHRaSYC_nuclear!$HF$5:$HF$52,MATCH($A317,Src_BHRaSYC_nuclear!$A$5:$A$52,0))</f>
        <v>0</v>
      </c>
      <c r="E317">
        <f>INDEX(Src_HYECFCA_nuclear!$B$5:$B$52,MATCH($A317,Src_HYECFCA_nuclear!$A$5:$A$52,0))</f>
        <v>1</v>
      </c>
      <c r="F317">
        <f>IF($D317=1,ROUND(Keys!$C$2/(INDEX(Src_SYSHECF_nuclear!$D$5:$D$292,MATCH($C317,Src_SYSHECF_nuclear!$C$5:$C$292,0))*$E317),Keys!$C$5),Keys!$C$4)</f>
        <v>0.9</v>
      </c>
      <c r="G317">
        <f>IF($D317=1,ROUND(Keys!$C$2/(INDEX(Src_SYSHECF_nuclear!$E$5:$E$292,MATCH($C317,Src_SYSHECF_nuclear!$C$5:$C$292,0))*$E317),Keys!$C$5),Keys!$C$4)</f>
        <v>0.9</v>
      </c>
      <c r="H317">
        <f>IF($D317=1,ROUND(Keys!$C$2/(INDEX(Src_SYSHECF_nuclear!$F$5:$F$292,MATCH($C317,Src_SYSHECF_nuclear!$C$5:$C$292,0))*$E317),Keys!$C$5),Keys!$C$4)</f>
        <v>0.9</v>
      </c>
      <c r="I317">
        <f>IF($D317=1,ROUND(Keys!$C$2/(INDEX(Src_SYSHECF_nuclear!$G$5:$G$292,MATCH($C317,Src_SYSHECF_nuclear!$C$5:$C$292,0))*$E317),Keys!$C$5),Keys!$C$4)</f>
        <v>0.9</v>
      </c>
      <c r="J317">
        <f>IF($D317=1,ROUND(Keys!$C$2/(INDEX(Src_SYSHECF_nuclear!$H$5:$H$292,MATCH($C317,Src_SYSHECF_nuclear!$C$5:$C$292,0))*$E317),Keys!$C$5),Keys!$C$4)</f>
        <v>0.9</v>
      </c>
      <c r="K317">
        <f>IF($D317=1,ROUND(Keys!$C$2/(INDEX(Src_SYSHECF_nuclear!$I$5:$I$292,MATCH($C317,Src_SYSHECF_nuclear!$C$5:$C$292,0))*$E317),Keys!$C$5),Keys!$C$4)</f>
        <v>0.9</v>
      </c>
      <c r="L317">
        <f>IF($D317=1,ROUND(Keys!$C$2/(INDEX(Src_SYSHECF_nuclear!$J$5:$J$292,MATCH($C317,Src_SYSHECF_nuclear!$C$5:$C$292,0))*$E317),Keys!$C$5),Keys!$C$4)</f>
        <v>0.9</v>
      </c>
      <c r="M317">
        <f>IF($D317=1,ROUND(Keys!$C$2/(INDEX(Src_SYSHECF_nuclear!$K$5:$K$292,MATCH($C317,Src_SYSHECF_nuclear!$C$5:$C$292,0))*$E317),Keys!$C$5),Keys!$C$4)</f>
        <v>0.9</v>
      </c>
      <c r="N317">
        <f>IF($D317=1,ROUND(Keys!$C$2/(INDEX(Src_SYSHECF_nuclear!$L$5:$L$292,MATCH($C317,Src_SYSHECF_nuclear!$C$5:$C$292,0))*$E317),Keys!$C$5),Keys!$C$4)</f>
        <v>0.9</v>
      </c>
      <c r="O317">
        <f>IF($D317=1,ROUND(Keys!$C$2/(INDEX(Src_SYSHECF_nuclear!$M$5:$M$292,MATCH($C317,Src_SYSHECF_nuclear!$C$5:$C$292,0))*$E317),Keys!$C$5),Keys!$C$4)</f>
        <v>0.9</v>
      </c>
      <c r="P317">
        <f>IF($D317=1,ROUND(Keys!$C$2/(INDEX(Src_SYSHECF_nuclear!$N$5:$N$292,MATCH($C317,Src_SYSHECF_nuclear!$C$5:$C$292,0))*$E317),Keys!$C$5),Keys!$C$4)</f>
        <v>0.9</v>
      </c>
      <c r="Q317">
        <f>IF($D317=1,ROUND(Keys!$C$2/(INDEX(Src_SYSHECF_nuclear!$O$5:$O$292,MATCH($C317,Src_SYSHECF_nuclear!$C$5:$C$292,0))*$E317),Keys!$C$5),Keys!$C$4)</f>
        <v>0.9</v>
      </c>
      <c r="R317">
        <f>IF($D317=1,ROUND(Keys!$C$2/(INDEX(Src_SYSHECF_nuclear!$P$5:$P$292,MATCH($C317,Src_SYSHECF_nuclear!$C$5:$C$292,0))*$E317),Keys!$C$5),Keys!$C$4)</f>
        <v>0.9</v>
      </c>
      <c r="S317">
        <f>IF($D317=1,ROUND(Keys!$C$2/(INDEX(Src_SYSHECF_nuclear!$Q$5:$Q$292,MATCH($C317,Src_SYSHECF_nuclear!$C$5:$C$292,0))*$E317),Keys!$C$5),Keys!$C$4)</f>
        <v>0.9</v>
      </c>
      <c r="T317">
        <f>IF($D317=1,ROUND(Keys!$C$2/(INDEX(Src_SYSHECF_nuclear!$R$5:$R$292,MATCH($C317,Src_SYSHECF_nuclear!$C$5:$C$292,0))*$E317),Keys!$C$5),Keys!$C$4)</f>
        <v>0.9</v>
      </c>
      <c r="U317">
        <f>IF($D317=1,ROUND(Keys!$C$2/(INDEX(Src_SYSHECF_nuclear!$S$5:$S$292,MATCH($C317,Src_SYSHECF_nuclear!$C$5:$C$292,0))*$E317),Keys!$C$5),Keys!$C$4)</f>
        <v>0.9</v>
      </c>
      <c r="V317">
        <f>IF($D317=1,ROUND(Keys!$C$2/(INDEX(Src_SYSHECF_nuclear!$T$5:$T$292,MATCH($C317,Src_SYSHECF_nuclear!$C$5:$C$292,0))*$E317),Keys!$C$5),Keys!$C$4)</f>
        <v>0.9</v>
      </c>
      <c r="W317">
        <f>IF($D317=1,ROUND(Keys!$C$2/(INDEX(Src_SYSHECF_nuclear!$U$5:$U$292,MATCH($C317,Src_SYSHECF_nuclear!$C$5:$C$292,0))*$E317),Keys!$C$5),Keys!$C$4)</f>
        <v>0.9</v>
      </c>
      <c r="X317">
        <f>IF($D317=1,ROUND(Keys!$C$2/(INDEX(Src_SYSHECF_nuclear!$V$5:$V$292,MATCH($C317,Src_SYSHECF_nuclear!$C$5:$C$292,0))*$E317),Keys!$C$5),Keys!$C$4)</f>
        <v>0.9</v>
      </c>
      <c r="Y317">
        <f>IF($D317=1,ROUND(Keys!$C$2/(INDEX(Src_SYSHECF_nuclear!$W$5:$W$292,MATCH($C317,Src_SYSHECF_nuclear!$C$5:$C$292,0))*$E317),Keys!$C$5),Keys!$C$4)</f>
        <v>0.9</v>
      </c>
      <c r="Z317">
        <f>IF($D317=1,ROUND(Keys!$C$2/(INDEX(Src_SYSHECF_nuclear!$X$5:$X$292,MATCH($C317,Src_SYSHECF_nuclear!$C$5:$C$292,0))*$E317),Keys!$C$5),Keys!$C$4)</f>
        <v>0.9</v>
      </c>
      <c r="AA317">
        <f>IF($D317=1,ROUND(Keys!$C$2/(INDEX(Src_SYSHECF_nuclear!$Y$5:$Y$292,MATCH($C317,Src_SYSHECF_nuclear!$C$5:$C$292,0))*$E317),Keys!$C$5),Keys!$C$4)</f>
        <v>0.9</v>
      </c>
      <c r="AB317">
        <f>IF($D317=1,ROUND(Keys!$C$2/(INDEX(Src_SYSHECF_nuclear!$Z$5:$Z$292,MATCH($C317,Src_SYSHECF_nuclear!$C$5:$C$292,0))*$E317),Keys!$C$5),Keys!$C$4)</f>
        <v>0.9</v>
      </c>
      <c r="AC317">
        <f>IF($D317=1,ROUND(Keys!$C$2/(INDEX(Src_SYSHECF_nuclear!$AA$5:$AA$292,MATCH($C317,Src_SYSHECF_nuclear!$C$5:$C$292,0))*$E317),Keys!$C$5),Keys!$C$4)</f>
        <v>0.9</v>
      </c>
      <c r="AE317">
        <f>IF($D317=1,IF(ABS(INDEX(Src_SYSHECF_nuclear!$D$5:$D$292,MATCH($C317,Src_SYSHECF_nuclear!$C$5:$C$292,0))*$E317*F317-Keys!$C$2)&gt;Keys!$C$6,1,0),0)</f>
        <v>0</v>
      </c>
    </row>
    <row r="318" spans="1:31" x14ac:dyDescent="0.45">
      <c r="A318" t="s">
        <v>110</v>
      </c>
      <c r="B318" t="s">
        <v>428</v>
      </c>
      <c r="C318" t="str">
        <f t="shared" si="5"/>
        <v>VT|Summer Peak</v>
      </c>
      <c r="D318">
        <f>INDEX(Src_BHRaSYC_nuclear!$HF$5:$HF$52,MATCH($A318,Src_BHRaSYC_nuclear!$A$5:$A$52,0))</f>
        <v>0</v>
      </c>
      <c r="E318">
        <f>INDEX(Src_HYECFCA_nuclear!$B$5:$B$52,MATCH($A318,Src_HYECFCA_nuclear!$A$5:$A$52,0))</f>
        <v>1</v>
      </c>
      <c r="F318">
        <f>IF($D318=1,ROUND(Keys!$C$2/(INDEX(Src_SYSHECF_nuclear!$D$5:$D$292,MATCH($C318,Src_SYSHECF_nuclear!$C$5:$C$292,0))*$E318),Keys!$C$5),Keys!$C$4)</f>
        <v>0.9</v>
      </c>
      <c r="G318">
        <f>IF($D318=1,ROUND(Keys!$C$2/(INDEX(Src_SYSHECF_nuclear!$E$5:$E$292,MATCH($C318,Src_SYSHECF_nuclear!$C$5:$C$292,0))*$E318),Keys!$C$5),Keys!$C$4)</f>
        <v>0.9</v>
      </c>
      <c r="H318">
        <f>IF($D318=1,ROUND(Keys!$C$2/(INDEX(Src_SYSHECF_nuclear!$F$5:$F$292,MATCH($C318,Src_SYSHECF_nuclear!$C$5:$C$292,0))*$E318),Keys!$C$5),Keys!$C$4)</f>
        <v>0.9</v>
      </c>
      <c r="I318">
        <f>IF($D318=1,ROUND(Keys!$C$2/(INDEX(Src_SYSHECF_nuclear!$G$5:$G$292,MATCH($C318,Src_SYSHECF_nuclear!$C$5:$C$292,0))*$E318),Keys!$C$5),Keys!$C$4)</f>
        <v>0.9</v>
      </c>
      <c r="J318">
        <f>IF($D318=1,ROUND(Keys!$C$2/(INDEX(Src_SYSHECF_nuclear!$H$5:$H$292,MATCH($C318,Src_SYSHECF_nuclear!$C$5:$C$292,0))*$E318),Keys!$C$5),Keys!$C$4)</f>
        <v>0.9</v>
      </c>
      <c r="K318">
        <f>IF($D318=1,ROUND(Keys!$C$2/(INDEX(Src_SYSHECF_nuclear!$I$5:$I$292,MATCH($C318,Src_SYSHECF_nuclear!$C$5:$C$292,0))*$E318),Keys!$C$5),Keys!$C$4)</f>
        <v>0.9</v>
      </c>
      <c r="L318">
        <f>IF($D318=1,ROUND(Keys!$C$2/(INDEX(Src_SYSHECF_nuclear!$J$5:$J$292,MATCH($C318,Src_SYSHECF_nuclear!$C$5:$C$292,0))*$E318),Keys!$C$5),Keys!$C$4)</f>
        <v>0.9</v>
      </c>
      <c r="M318">
        <f>IF($D318=1,ROUND(Keys!$C$2/(INDEX(Src_SYSHECF_nuclear!$K$5:$K$292,MATCH($C318,Src_SYSHECF_nuclear!$C$5:$C$292,0))*$E318),Keys!$C$5),Keys!$C$4)</f>
        <v>0.9</v>
      </c>
      <c r="N318">
        <f>IF($D318=1,ROUND(Keys!$C$2/(INDEX(Src_SYSHECF_nuclear!$L$5:$L$292,MATCH($C318,Src_SYSHECF_nuclear!$C$5:$C$292,0))*$E318),Keys!$C$5),Keys!$C$4)</f>
        <v>0.9</v>
      </c>
      <c r="O318">
        <f>IF($D318=1,ROUND(Keys!$C$2/(INDEX(Src_SYSHECF_nuclear!$M$5:$M$292,MATCH($C318,Src_SYSHECF_nuclear!$C$5:$C$292,0))*$E318),Keys!$C$5),Keys!$C$4)</f>
        <v>0.9</v>
      </c>
      <c r="P318">
        <f>IF($D318=1,ROUND(Keys!$C$2/(INDEX(Src_SYSHECF_nuclear!$N$5:$N$292,MATCH($C318,Src_SYSHECF_nuclear!$C$5:$C$292,0))*$E318),Keys!$C$5),Keys!$C$4)</f>
        <v>0.9</v>
      </c>
      <c r="Q318">
        <f>IF($D318=1,ROUND(Keys!$C$2/(INDEX(Src_SYSHECF_nuclear!$O$5:$O$292,MATCH($C318,Src_SYSHECF_nuclear!$C$5:$C$292,0))*$E318),Keys!$C$5),Keys!$C$4)</f>
        <v>0.9</v>
      </c>
      <c r="R318">
        <f>IF($D318=1,ROUND(Keys!$C$2/(INDEX(Src_SYSHECF_nuclear!$P$5:$P$292,MATCH($C318,Src_SYSHECF_nuclear!$C$5:$C$292,0))*$E318),Keys!$C$5),Keys!$C$4)</f>
        <v>0.9</v>
      </c>
      <c r="S318">
        <f>IF($D318=1,ROUND(Keys!$C$2/(INDEX(Src_SYSHECF_nuclear!$Q$5:$Q$292,MATCH($C318,Src_SYSHECF_nuclear!$C$5:$C$292,0))*$E318),Keys!$C$5),Keys!$C$4)</f>
        <v>0.9</v>
      </c>
      <c r="T318">
        <f>IF($D318=1,ROUND(Keys!$C$2/(INDEX(Src_SYSHECF_nuclear!$R$5:$R$292,MATCH($C318,Src_SYSHECF_nuclear!$C$5:$C$292,0))*$E318),Keys!$C$5),Keys!$C$4)</f>
        <v>0.9</v>
      </c>
      <c r="U318">
        <f>IF($D318=1,ROUND(Keys!$C$2/(INDEX(Src_SYSHECF_nuclear!$S$5:$S$292,MATCH($C318,Src_SYSHECF_nuclear!$C$5:$C$292,0))*$E318),Keys!$C$5),Keys!$C$4)</f>
        <v>0.9</v>
      </c>
      <c r="V318">
        <f>IF($D318=1,ROUND(Keys!$C$2/(INDEX(Src_SYSHECF_nuclear!$T$5:$T$292,MATCH($C318,Src_SYSHECF_nuclear!$C$5:$C$292,0))*$E318),Keys!$C$5),Keys!$C$4)</f>
        <v>0.9</v>
      </c>
      <c r="W318">
        <f>IF($D318=1,ROUND(Keys!$C$2/(INDEX(Src_SYSHECF_nuclear!$U$5:$U$292,MATCH($C318,Src_SYSHECF_nuclear!$C$5:$C$292,0))*$E318),Keys!$C$5),Keys!$C$4)</f>
        <v>0.9</v>
      </c>
      <c r="X318">
        <f>IF($D318=1,ROUND(Keys!$C$2/(INDEX(Src_SYSHECF_nuclear!$V$5:$V$292,MATCH($C318,Src_SYSHECF_nuclear!$C$5:$C$292,0))*$E318),Keys!$C$5),Keys!$C$4)</f>
        <v>0.9</v>
      </c>
      <c r="Y318">
        <f>IF($D318=1,ROUND(Keys!$C$2/(INDEX(Src_SYSHECF_nuclear!$W$5:$W$292,MATCH($C318,Src_SYSHECF_nuclear!$C$5:$C$292,0))*$E318),Keys!$C$5),Keys!$C$4)</f>
        <v>0.9</v>
      </c>
      <c r="Z318">
        <f>IF($D318=1,ROUND(Keys!$C$2/(INDEX(Src_SYSHECF_nuclear!$X$5:$X$292,MATCH($C318,Src_SYSHECF_nuclear!$C$5:$C$292,0))*$E318),Keys!$C$5),Keys!$C$4)</f>
        <v>0.9</v>
      </c>
      <c r="AA318">
        <f>IF($D318=1,ROUND(Keys!$C$2/(INDEX(Src_SYSHECF_nuclear!$Y$5:$Y$292,MATCH($C318,Src_SYSHECF_nuclear!$C$5:$C$292,0))*$E318),Keys!$C$5),Keys!$C$4)</f>
        <v>0.9</v>
      </c>
      <c r="AB318">
        <f>IF($D318=1,ROUND(Keys!$C$2/(INDEX(Src_SYSHECF_nuclear!$Z$5:$Z$292,MATCH($C318,Src_SYSHECF_nuclear!$C$5:$C$292,0))*$E318),Keys!$C$5),Keys!$C$4)</f>
        <v>0.9</v>
      </c>
      <c r="AC318">
        <f>IF($D318=1,ROUND(Keys!$C$2/(INDEX(Src_SYSHECF_nuclear!$AA$5:$AA$292,MATCH($C318,Src_SYSHECF_nuclear!$C$5:$C$292,0))*$E318),Keys!$C$5),Keys!$C$4)</f>
        <v>0.9</v>
      </c>
      <c r="AE318">
        <f>IF($D318=1,IF(ABS(INDEX(Src_SYSHECF_nuclear!$D$5:$D$292,MATCH($C318,Src_SYSHECF_nuclear!$C$5:$C$292,0))*$E318*F318-Keys!$C$2)&gt;Keys!$C$6,1,0),0)</f>
        <v>0</v>
      </c>
    </row>
    <row r="319" spans="1:31" x14ac:dyDescent="0.45">
      <c r="A319" t="s">
        <v>110</v>
      </c>
      <c r="B319" t="s">
        <v>429</v>
      </c>
      <c r="C319" t="str">
        <f t="shared" si="5"/>
        <v>VT|Winter Peak</v>
      </c>
      <c r="D319">
        <f>INDEX(Src_BHRaSYC_nuclear!$HF$5:$HF$52,MATCH($A319,Src_BHRaSYC_nuclear!$A$5:$A$52,0))</f>
        <v>0</v>
      </c>
      <c r="E319">
        <f>INDEX(Src_HYECFCA_nuclear!$B$5:$B$52,MATCH($A319,Src_HYECFCA_nuclear!$A$5:$A$52,0))</f>
        <v>1</v>
      </c>
      <c r="F319">
        <f>IF($D319=1,ROUND(Keys!$C$2/(INDEX(Src_SYSHECF_nuclear!$D$5:$D$292,MATCH($C319,Src_SYSHECF_nuclear!$C$5:$C$292,0))*$E319),Keys!$C$5),Keys!$C$4)</f>
        <v>0.9</v>
      </c>
      <c r="G319">
        <f>IF($D319=1,ROUND(Keys!$C$2/(INDEX(Src_SYSHECF_nuclear!$E$5:$E$292,MATCH($C319,Src_SYSHECF_nuclear!$C$5:$C$292,0))*$E319),Keys!$C$5),Keys!$C$4)</f>
        <v>0.9</v>
      </c>
      <c r="H319">
        <f>IF($D319=1,ROUND(Keys!$C$2/(INDEX(Src_SYSHECF_nuclear!$F$5:$F$292,MATCH($C319,Src_SYSHECF_nuclear!$C$5:$C$292,0))*$E319),Keys!$C$5),Keys!$C$4)</f>
        <v>0.9</v>
      </c>
      <c r="I319">
        <f>IF($D319=1,ROUND(Keys!$C$2/(INDEX(Src_SYSHECF_nuclear!$G$5:$G$292,MATCH($C319,Src_SYSHECF_nuclear!$C$5:$C$292,0))*$E319),Keys!$C$5),Keys!$C$4)</f>
        <v>0.9</v>
      </c>
      <c r="J319">
        <f>IF($D319=1,ROUND(Keys!$C$2/(INDEX(Src_SYSHECF_nuclear!$H$5:$H$292,MATCH($C319,Src_SYSHECF_nuclear!$C$5:$C$292,0))*$E319),Keys!$C$5),Keys!$C$4)</f>
        <v>0.9</v>
      </c>
      <c r="K319">
        <f>IF($D319=1,ROUND(Keys!$C$2/(INDEX(Src_SYSHECF_nuclear!$I$5:$I$292,MATCH($C319,Src_SYSHECF_nuclear!$C$5:$C$292,0))*$E319),Keys!$C$5),Keys!$C$4)</f>
        <v>0.9</v>
      </c>
      <c r="L319">
        <f>IF($D319=1,ROUND(Keys!$C$2/(INDEX(Src_SYSHECF_nuclear!$J$5:$J$292,MATCH($C319,Src_SYSHECF_nuclear!$C$5:$C$292,0))*$E319),Keys!$C$5),Keys!$C$4)</f>
        <v>0.9</v>
      </c>
      <c r="M319">
        <f>IF($D319=1,ROUND(Keys!$C$2/(INDEX(Src_SYSHECF_nuclear!$K$5:$K$292,MATCH($C319,Src_SYSHECF_nuclear!$C$5:$C$292,0))*$E319),Keys!$C$5),Keys!$C$4)</f>
        <v>0.9</v>
      </c>
      <c r="N319">
        <f>IF($D319=1,ROUND(Keys!$C$2/(INDEX(Src_SYSHECF_nuclear!$L$5:$L$292,MATCH($C319,Src_SYSHECF_nuclear!$C$5:$C$292,0))*$E319),Keys!$C$5),Keys!$C$4)</f>
        <v>0.9</v>
      </c>
      <c r="O319">
        <f>IF($D319=1,ROUND(Keys!$C$2/(INDEX(Src_SYSHECF_nuclear!$M$5:$M$292,MATCH($C319,Src_SYSHECF_nuclear!$C$5:$C$292,0))*$E319),Keys!$C$5),Keys!$C$4)</f>
        <v>0.9</v>
      </c>
      <c r="P319">
        <f>IF($D319=1,ROUND(Keys!$C$2/(INDEX(Src_SYSHECF_nuclear!$N$5:$N$292,MATCH($C319,Src_SYSHECF_nuclear!$C$5:$C$292,0))*$E319),Keys!$C$5),Keys!$C$4)</f>
        <v>0.9</v>
      </c>
      <c r="Q319">
        <f>IF($D319=1,ROUND(Keys!$C$2/(INDEX(Src_SYSHECF_nuclear!$O$5:$O$292,MATCH($C319,Src_SYSHECF_nuclear!$C$5:$C$292,0))*$E319),Keys!$C$5),Keys!$C$4)</f>
        <v>0.9</v>
      </c>
      <c r="R319">
        <f>IF($D319=1,ROUND(Keys!$C$2/(INDEX(Src_SYSHECF_nuclear!$P$5:$P$292,MATCH($C319,Src_SYSHECF_nuclear!$C$5:$C$292,0))*$E319),Keys!$C$5),Keys!$C$4)</f>
        <v>0.9</v>
      </c>
      <c r="S319">
        <f>IF($D319=1,ROUND(Keys!$C$2/(INDEX(Src_SYSHECF_nuclear!$Q$5:$Q$292,MATCH($C319,Src_SYSHECF_nuclear!$C$5:$C$292,0))*$E319),Keys!$C$5),Keys!$C$4)</f>
        <v>0.9</v>
      </c>
      <c r="T319">
        <f>IF($D319=1,ROUND(Keys!$C$2/(INDEX(Src_SYSHECF_nuclear!$R$5:$R$292,MATCH($C319,Src_SYSHECF_nuclear!$C$5:$C$292,0))*$E319),Keys!$C$5),Keys!$C$4)</f>
        <v>0.9</v>
      </c>
      <c r="U319">
        <f>IF($D319=1,ROUND(Keys!$C$2/(INDEX(Src_SYSHECF_nuclear!$S$5:$S$292,MATCH($C319,Src_SYSHECF_nuclear!$C$5:$C$292,0))*$E319),Keys!$C$5),Keys!$C$4)</f>
        <v>0.9</v>
      </c>
      <c r="V319">
        <f>IF($D319=1,ROUND(Keys!$C$2/(INDEX(Src_SYSHECF_nuclear!$T$5:$T$292,MATCH($C319,Src_SYSHECF_nuclear!$C$5:$C$292,0))*$E319),Keys!$C$5),Keys!$C$4)</f>
        <v>0.9</v>
      </c>
      <c r="W319">
        <f>IF($D319=1,ROUND(Keys!$C$2/(INDEX(Src_SYSHECF_nuclear!$U$5:$U$292,MATCH($C319,Src_SYSHECF_nuclear!$C$5:$C$292,0))*$E319),Keys!$C$5),Keys!$C$4)</f>
        <v>0.9</v>
      </c>
      <c r="X319">
        <f>IF($D319=1,ROUND(Keys!$C$2/(INDEX(Src_SYSHECF_nuclear!$V$5:$V$292,MATCH($C319,Src_SYSHECF_nuclear!$C$5:$C$292,0))*$E319),Keys!$C$5),Keys!$C$4)</f>
        <v>0.9</v>
      </c>
      <c r="Y319">
        <f>IF($D319=1,ROUND(Keys!$C$2/(INDEX(Src_SYSHECF_nuclear!$W$5:$W$292,MATCH($C319,Src_SYSHECF_nuclear!$C$5:$C$292,0))*$E319),Keys!$C$5),Keys!$C$4)</f>
        <v>0.9</v>
      </c>
      <c r="Z319">
        <f>IF($D319=1,ROUND(Keys!$C$2/(INDEX(Src_SYSHECF_nuclear!$X$5:$X$292,MATCH($C319,Src_SYSHECF_nuclear!$C$5:$C$292,0))*$E319),Keys!$C$5),Keys!$C$4)</f>
        <v>0.9</v>
      </c>
      <c r="AA319">
        <f>IF($D319=1,ROUND(Keys!$C$2/(INDEX(Src_SYSHECF_nuclear!$Y$5:$Y$292,MATCH($C319,Src_SYSHECF_nuclear!$C$5:$C$292,0))*$E319),Keys!$C$5),Keys!$C$4)</f>
        <v>0.9</v>
      </c>
      <c r="AB319">
        <f>IF($D319=1,ROUND(Keys!$C$2/(INDEX(Src_SYSHECF_nuclear!$Z$5:$Z$292,MATCH($C319,Src_SYSHECF_nuclear!$C$5:$C$292,0))*$E319),Keys!$C$5),Keys!$C$4)</f>
        <v>0.9</v>
      </c>
      <c r="AC319">
        <f>IF($D319=1,ROUND(Keys!$C$2/(INDEX(Src_SYSHECF_nuclear!$AA$5:$AA$292,MATCH($C319,Src_SYSHECF_nuclear!$C$5:$C$292,0))*$E319),Keys!$C$5),Keys!$C$4)</f>
        <v>0.9</v>
      </c>
      <c r="AE319">
        <f>IF($D319=1,IF(ABS(INDEX(Src_SYSHECF_nuclear!$D$5:$D$292,MATCH($C319,Src_SYSHECF_nuclear!$C$5:$C$292,0))*$E319*F319-Keys!$C$2)&gt;Keys!$C$6,1,0),0)</f>
        <v>0</v>
      </c>
    </row>
    <row r="320" spans="1:31" x14ac:dyDescent="0.45">
      <c r="A320" t="s">
        <v>112</v>
      </c>
      <c r="B320" t="s">
        <v>424</v>
      </c>
      <c r="C320" t="str">
        <f t="shared" si="5"/>
        <v>WA|Winter</v>
      </c>
      <c r="D320">
        <f>INDEX(Src_BHRaSYC_nuclear!$HF$5:$HF$52,MATCH($A320,Src_BHRaSYC_nuclear!$A$5:$A$52,0))</f>
        <v>1</v>
      </c>
      <c r="E320">
        <f>INDEX(Src_HYECFCA_nuclear!$B$5:$B$52,MATCH($A320,Src_HYECFCA_nuclear!$A$5:$A$52,0))</f>
        <v>0.87473000000000001</v>
      </c>
      <c r="F320">
        <f>IF($D320=1,ROUND(Keys!$C$2/(INDEX(Src_SYSHECF_nuclear!$D$5:$D$292,MATCH($C320,Src_SYSHECF_nuclear!$C$5:$C$292,0))*$E320),Keys!$C$5),Keys!$C$4)</f>
        <v>1.252</v>
      </c>
      <c r="G320">
        <f>IF($D320=1,ROUND(Keys!$C$2/(INDEX(Src_SYSHECF_nuclear!$E$5:$E$292,MATCH($C320,Src_SYSHECF_nuclear!$C$5:$C$292,0))*$E320),Keys!$C$5),Keys!$C$4)</f>
        <v>1.252</v>
      </c>
      <c r="H320">
        <f>IF($D320=1,ROUND(Keys!$C$2/(INDEX(Src_SYSHECF_nuclear!$F$5:$F$292,MATCH($C320,Src_SYSHECF_nuclear!$C$5:$C$292,0))*$E320),Keys!$C$5),Keys!$C$4)</f>
        <v>1.252</v>
      </c>
      <c r="I320">
        <f>IF($D320=1,ROUND(Keys!$C$2/(INDEX(Src_SYSHECF_nuclear!$G$5:$G$292,MATCH($C320,Src_SYSHECF_nuclear!$C$5:$C$292,0))*$E320),Keys!$C$5),Keys!$C$4)</f>
        <v>1.252</v>
      </c>
      <c r="J320">
        <f>IF($D320=1,ROUND(Keys!$C$2/(INDEX(Src_SYSHECF_nuclear!$H$5:$H$292,MATCH($C320,Src_SYSHECF_nuclear!$C$5:$C$292,0))*$E320),Keys!$C$5),Keys!$C$4)</f>
        <v>1.252</v>
      </c>
      <c r="K320">
        <f>IF($D320=1,ROUND(Keys!$C$2/(INDEX(Src_SYSHECF_nuclear!$I$5:$I$292,MATCH($C320,Src_SYSHECF_nuclear!$C$5:$C$292,0))*$E320),Keys!$C$5),Keys!$C$4)</f>
        <v>1.252</v>
      </c>
      <c r="L320">
        <f>IF($D320=1,ROUND(Keys!$C$2/(INDEX(Src_SYSHECF_nuclear!$J$5:$J$292,MATCH($C320,Src_SYSHECF_nuclear!$C$5:$C$292,0))*$E320),Keys!$C$5),Keys!$C$4)</f>
        <v>1.252</v>
      </c>
      <c r="M320">
        <f>IF($D320=1,ROUND(Keys!$C$2/(INDEX(Src_SYSHECF_nuclear!$K$5:$K$292,MATCH($C320,Src_SYSHECF_nuclear!$C$5:$C$292,0))*$E320),Keys!$C$5),Keys!$C$4)</f>
        <v>1.2695000000000001</v>
      </c>
      <c r="N320">
        <f>IF($D320=1,ROUND(Keys!$C$2/(INDEX(Src_SYSHECF_nuclear!$L$5:$L$292,MATCH($C320,Src_SYSHECF_nuclear!$C$5:$C$292,0))*$E320),Keys!$C$5),Keys!$C$4)</f>
        <v>1.2678</v>
      </c>
      <c r="O320">
        <f>IF($D320=1,ROUND(Keys!$C$2/(INDEX(Src_SYSHECF_nuclear!$M$5:$M$292,MATCH($C320,Src_SYSHECF_nuclear!$C$5:$C$292,0))*$E320),Keys!$C$5),Keys!$C$4)</f>
        <v>1.2695000000000001</v>
      </c>
      <c r="P320">
        <f>IF($D320=1,ROUND(Keys!$C$2/(INDEX(Src_SYSHECF_nuclear!$N$5:$N$292,MATCH($C320,Src_SYSHECF_nuclear!$C$5:$C$292,0))*$E320),Keys!$C$5),Keys!$C$4)</f>
        <v>1.2695000000000001</v>
      </c>
      <c r="Q320">
        <f>IF($D320=1,ROUND(Keys!$C$2/(INDEX(Src_SYSHECF_nuclear!$O$5:$O$292,MATCH($C320,Src_SYSHECF_nuclear!$C$5:$C$292,0))*$E320),Keys!$C$5),Keys!$C$4)</f>
        <v>1.2695000000000001</v>
      </c>
      <c r="R320">
        <f>IF($D320=1,ROUND(Keys!$C$2/(INDEX(Src_SYSHECF_nuclear!$P$5:$P$292,MATCH($C320,Src_SYSHECF_nuclear!$C$5:$C$292,0))*$E320),Keys!$C$5),Keys!$C$4)</f>
        <v>1.2695000000000001</v>
      </c>
      <c r="S320">
        <f>IF($D320=1,ROUND(Keys!$C$2/(INDEX(Src_SYSHECF_nuclear!$Q$5:$Q$292,MATCH($C320,Src_SYSHECF_nuclear!$C$5:$C$292,0))*$E320),Keys!$C$5),Keys!$C$4)</f>
        <v>1.286</v>
      </c>
      <c r="T320">
        <f>IF($D320=1,ROUND(Keys!$C$2/(INDEX(Src_SYSHECF_nuclear!$R$5:$R$292,MATCH($C320,Src_SYSHECF_nuclear!$C$5:$C$292,0))*$E320),Keys!$C$5),Keys!$C$4)</f>
        <v>1.2755000000000001</v>
      </c>
      <c r="U320">
        <f>IF($D320=1,ROUND(Keys!$C$2/(INDEX(Src_SYSHECF_nuclear!$S$5:$S$292,MATCH($C320,Src_SYSHECF_nuclear!$C$5:$C$292,0))*$E320),Keys!$C$5),Keys!$C$4)</f>
        <v>1.252</v>
      </c>
      <c r="V320">
        <f>IF($D320=1,ROUND(Keys!$C$2/(INDEX(Src_SYSHECF_nuclear!$T$5:$T$292,MATCH($C320,Src_SYSHECF_nuclear!$C$5:$C$292,0))*$E320),Keys!$C$5),Keys!$C$4)</f>
        <v>1.252</v>
      </c>
      <c r="W320">
        <f>IF($D320=1,ROUND(Keys!$C$2/(INDEX(Src_SYSHECF_nuclear!$U$5:$U$292,MATCH($C320,Src_SYSHECF_nuclear!$C$5:$C$292,0))*$E320),Keys!$C$5),Keys!$C$4)</f>
        <v>1.252</v>
      </c>
      <c r="X320">
        <f>IF($D320=1,ROUND(Keys!$C$2/(INDEX(Src_SYSHECF_nuclear!$V$5:$V$292,MATCH($C320,Src_SYSHECF_nuclear!$C$5:$C$292,0))*$E320),Keys!$C$5),Keys!$C$4)</f>
        <v>1.252</v>
      </c>
      <c r="Y320">
        <f>IF($D320=1,ROUND(Keys!$C$2/(INDEX(Src_SYSHECF_nuclear!$W$5:$W$292,MATCH($C320,Src_SYSHECF_nuclear!$C$5:$C$292,0))*$E320),Keys!$C$5),Keys!$C$4)</f>
        <v>1.252</v>
      </c>
      <c r="Z320">
        <f>IF($D320=1,ROUND(Keys!$C$2/(INDEX(Src_SYSHECF_nuclear!$X$5:$X$292,MATCH($C320,Src_SYSHECF_nuclear!$C$5:$C$292,0))*$E320),Keys!$C$5),Keys!$C$4)</f>
        <v>1.252</v>
      </c>
      <c r="AA320">
        <f>IF($D320=1,ROUND(Keys!$C$2/(INDEX(Src_SYSHECF_nuclear!$Y$5:$Y$292,MATCH($C320,Src_SYSHECF_nuclear!$C$5:$C$292,0))*$E320),Keys!$C$5),Keys!$C$4)</f>
        <v>1.252</v>
      </c>
      <c r="AB320">
        <f>IF($D320=1,ROUND(Keys!$C$2/(INDEX(Src_SYSHECF_nuclear!$Z$5:$Z$292,MATCH($C320,Src_SYSHECF_nuclear!$C$5:$C$292,0))*$E320),Keys!$C$5),Keys!$C$4)</f>
        <v>1.252</v>
      </c>
      <c r="AC320">
        <f>IF($D320=1,ROUND(Keys!$C$2/(INDEX(Src_SYSHECF_nuclear!$AA$5:$AA$292,MATCH($C320,Src_SYSHECF_nuclear!$C$5:$C$292,0))*$E320),Keys!$C$5),Keys!$C$4)</f>
        <v>1.252</v>
      </c>
      <c r="AE320">
        <f>IF($D320=1,IF(ABS(INDEX(Src_SYSHECF_nuclear!$D$5:$D$292,MATCH($C320,Src_SYSHECF_nuclear!$C$5:$C$292,0))*$E320*F320-Keys!$C$2)&gt;Keys!$C$6,1,0),0)</f>
        <v>0</v>
      </c>
    </row>
    <row r="321" spans="1:31" x14ac:dyDescent="0.45">
      <c r="A321" t="s">
        <v>112</v>
      </c>
      <c r="B321" t="s">
        <v>425</v>
      </c>
      <c r="C321" t="str">
        <f t="shared" si="5"/>
        <v>WA|Spring</v>
      </c>
      <c r="D321">
        <f>INDEX(Src_BHRaSYC_nuclear!$HF$5:$HF$52,MATCH($A321,Src_BHRaSYC_nuclear!$A$5:$A$52,0))</f>
        <v>1</v>
      </c>
      <c r="E321">
        <f>INDEX(Src_HYECFCA_nuclear!$B$5:$B$52,MATCH($A321,Src_HYECFCA_nuclear!$A$5:$A$52,0))</f>
        <v>0.87473000000000001</v>
      </c>
      <c r="F321">
        <f>IF($D321=1,ROUND(Keys!$C$2/(INDEX(Src_SYSHECF_nuclear!$D$5:$D$292,MATCH($C321,Src_SYSHECF_nuclear!$C$5:$C$292,0))*$E321),Keys!$C$5),Keys!$C$4)</f>
        <v>1.252</v>
      </c>
      <c r="G321">
        <f>IF($D321=1,ROUND(Keys!$C$2/(INDEX(Src_SYSHECF_nuclear!$E$5:$E$292,MATCH($C321,Src_SYSHECF_nuclear!$C$5:$C$292,0))*$E321),Keys!$C$5),Keys!$C$4)</f>
        <v>1.252</v>
      </c>
      <c r="H321">
        <f>IF($D321=1,ROUND(Keys!$C$2/(INDEX(Src_SYSHECF_nuclear!$F$5:$F$292,MATCH($C321,Src_SYSHECF_nuclear!$C$5:$C$292,0))*$E321),Keys!$C$5),Keys!$C$4)</f>
        <v>1.252</v>
      </c>
      <c r="I321">
        <f>IF($D321=1,ROUND(Keys!$C$2/(INDEX(Src_SYSHECF_nuclear!$G$5:$G$292,MATCH($C321,Src_SYSHECF_nuclear!$C$5:$C$292,0))*$E321),Keys!$C$5),Keys!$C$4)</f>
        <v>1.252</v>
      </c>
      <c r="J321">
        <f>IF($D321=1,ROUND(Keys!$C$2/(INDEX(Src_SYSHECF_nuclear!$H$5:$H$292,MATCH($C321,Src_SYSHECF_nuclear!$C$5:$C$292,0))*$E321),Keys!$C$5),Keys!$C$4)</f>
        <v>1.252</v>
      </c>
      <c r="K321">
        <f>IF($D321=1,ROUND(Keys!$C$2/(INDEX(Src_SYSHECF_nuclear!$I$5:$I$292,MATCH($C321,Src_SYSHECF_nuclear!$C$5:$C$292,0))*$E321),Keys!$C$5),Keys!$C$4)</f>
        <v>1.252</v>
      </c>
      <c r="L321">
        <f>IF($D321=1,ROUND(Keys!$C$2/(INDEX(Src_SYSHECF_nuclear!$J$5:$J$292,MATCH($C321,Src_SYSHECF_nuclear!$C$5:$C$292,0))*$E321),Keys!$C$5),Keys!$C$4)</f>
        <v>1.2916000000000001</v>
      </c>
      <c r="M321">
        <f>IF($D321=1,ROUND(Keys!$C$2/(INDEX(Src_SYSHECF_nuclear!$K$5:$K$292,MATCH($C321,Src_SYSHECF_nuclear!$C$5:$C$292,0))*$E321),Keys!$C$5),Keys!$C$4)</f>
        <v>1.3338000000000001</v>
      </c>
      <c r="N321">
        <f>IF($D321=1,ROUND(Keys!$C$2/(INDEX(Src_SYSHECF_nuclear!$L$5:$L$292,MATCH($C321,Src_SYSHECF_nuclear!$C$5:$C$292,0))*$E321),Keys!$C$5),Keys!$C$4)</f>
        <v>1.3259000000000001</v>
      </c>
      <c r="O321">
        <f>IF($D321=1,ROUND(Keys!$C$2/(INDEX(Src_SYSHECF_nuclear!$M$5:$M$292,MATCH($C321,Src_SYSHECF_nuclear!$C$5:$C$292,0))*$E321),Keys!$C$5),Keys!$C$4)</f>
        <v>1.3056000000000001</v>
      </c>
      <c r="P321">
        <f>IF($D321=1,ROUND(Keys!$C$2/(INDEX(Src_SYSHECF_nuclear!$N$5:$N$292,MATCH($C321,Src_SYSHECF_nuclear!$C$5:$C$292,0))*$E321),Keys!$C$5),Keys!$C$4)</f>
        <v>1.3053999999999999</v>
      </c>
      <c r="Q321">
        <f>IF($D321=1,ROUND(Keys!$C$2/(INDEX(Src_SYSHECF_nuclear!$O$5:$O$292,MATCH($C321,Src_SYSHECF_nuclear!$C$5:$C$292,0))*$E321),Keys!$C$5),Keys!$C$4)</f>
        <v>1.3053999999999999</v>
      </c>
      <c r="R321">
        <f>IF($D321=1,ROUND(Keys!$C$2/(INDEX(Src_SYSHECF_nuclear!$P$5:$P$292,MATCH($C321,Src_SYSHECF_nuclear!$C$5:$C$292,0))*$E321),Keys!$C$5),Keys!$C$4)</f>
        <v>1.3007</v>
      </c>
      <c r="S321">
        <f>IF($D321=1,ROUND(Keys!$C$2/(INDEX(Src_SYSHECF_nuclear!$Q$5:$Q$292,MATCH($C321,Src_SYSHECF_nuclear!$C$5:$C$292,0))*$E321),Keys!$C$5),Keys!$C$4)</f>
        <v>1.3193999999999999</v>
      </c>
      <c r="T321">
        <f>IF($D321=1,ROUND(Keys!$C$2/(INDEX(Src_SYSHECF_nuclear!$R$5:$R$292,MATCH($C321,Src_SYSHECF_nuclear!$C$5:$C$292,0))*$E321),Keys!$C$5),Keys!$C$4)</f>
        <v>1.3075000000000001</v>
      </c>
      <c r="U321">
        <f>IF($D321=1,ROUND(Keys!$C$2/(INDEX(Src_SYSHECF_nuclear!$S$5:$S$292,MATCH($C321,Src_SYSHECF_nuclear!$C$5:$C$292,0))*$E321),Keys!$C$5),Keys!$C$4)</f>
        <v>1.2826</v>
      </c>
      <c r="V321">
        <f>IF($D321=1,ROUND(Keys!$C$2/(INDEX(Src_SYSHECF_nuclear!$T$5:$T$292,MATCH($C321,Src_SYSHECF_nuclear!$C$5:$C$292,0))*$E321),Keys!$C$5),Keys!$C$4)</f>
        <v>1.252</v>
      </c>
      <c r="W321">
        <f>IF($D321=1,ROUND(Keys!$C$2/(INDEX(Src_SYSHECF_nuclear!$U$5:$U$292,MATCH($C321,Src_SYSHECF_nuclear!$C$5:$C$292,0))*$E321),Keys!$C$5),Keys!$C$4)</f>
        <v>1.252</v>
      </c>
      <c r="X321">
        <f>IF($D321=1,ROUND(Keys!$C$2/(INDEX(Src_SYSHECF_nuclear!$V$5:$V$292,MATCH($C321,Src_SYSHECF_nuclear!$C$5:$C$292,0))*$E321),Keys!$C$5),Keys!$C$4)</f>
        <v>1.252</v>
      </c>
      <c r="Y321">
        <f>IF($D321=1,ROUND(Keys!$C$2/(INDEX(Src_SYSHECF_nuclear!$W$5:$W$292,MATCH($C321,Src_SYSHECF_nuclear!$C$5:$C$292,0))*$E321),Keys!$C$5),Keys!$C$4)</f>
        <v>1.252</v>
      </c>
      <c r="Z321">
        <f>IF($D321=1,ROUND(Keys!$C$2/(INDEX(Src_SYSHECF_nuclear!$X$5:$X$292,MATCH($C321,Src_SYSHECF_nuclear!$C$5:$C$292,0))*$E321),Keys!$C$5),Keys!$C$4)</f>
        <v>1.252</v>
      </c>
      <c r="AA321">
        <f>IF($D321=1,ROUND(Keys!$C$2/(INDEX(Src_SYSHECF_nuclear!$Y$5:$Y$292,MATCH($C321,Src_SYSHECF_nuclear!$C$5:$C$292,0))*$E321),Keys!$C$5),Keys!$C$4)</f>
        <v>1.252</v>
      </c>
      <c r="AB321">
        <f>IF($D321=1,ROUND(Keys!$C$2/(INDEX(Src_SYSHECF_nuclear!$Z$5:$Z$292,MATCH($C321,Src_SYSHECF_nuclear!$C$5:$C$292,0))*$E321),Keys!$C$5),Keys!$C$4)</f>
        <v>1.252</v>
      </c>
      <c r="AC321">
        <f>IF($D321=1,ROUND(Keys!$C$2/(INDEX(Src_SYSHECF_nuclear!$AA$5:$AA$292,MATCH($C321,Src_SYSHECF_nuclear!$C$5:$C$292,0))*$E321),Keys!$C$5),Keys!$C$4)</f>
        <v>1.252</v>
      </c>
      <c r="AE321">
        <f>IF($D321=1,IF(ABS(INDEX(Src_SYSHECF_nuclear!$D$5:$D$292,MATCH($C321,Src_SYSHECF_nuclear!$C$5:$C$292,0))*$E321*F321-Keys!$C$2)&gt;Keys!$C$6,1,0),0)</f>
        <v>0</v>
      </c>
    </row>
    <row r="322" spans="1:31" x14ac:dyDescent="0.45">
      <c r="A322" t="s">
        <v>112</v>
      </c>
      <c r="B322" t="s">
        <v>426</v>
      </c>
      <c r="C322" t="str">
        <f t="shared" si="5"/>
        <v>WA|Summer</v>
      </c>
      <c r="D322">
        <f>INDEX(Src_BHRaSYC_nuclear!$HF$5:$HF$52,MATCH($A322,Src_BHRaSYC_nuclear!$A$5:$A$52,0))</f>
        <v>1</v>
      </c>
      <c r="E322">
        <f>INDEX(Src_HYECFCA_nuclear!$B$5:$B$52,MATCH($A322,Src_HYECFCA_nuclear!$A$5:$A$52,0))</f>
        <v>0.87473000000000001</v>
      </c>
      <c r="F322">
        <f>IF($D322=1,ROUND(Keys!$C$2/(INDEX(Src_SYSHECF_nuclear!$D$5:$D$292,MATCH($C322,Src_SYSHECF_nuclear!$C$5:$C$292,0))*$E322),Keys!$C$5),Keys!$C$4)</f>
        <v>1.252</v>
      </c>
      <c r="G322">
        <f>IF($D322=1,ROUND(Keys!$C$2/(INDEX(Src_SYSHECF_nuclear!$E$5:$E$292,MATCH($C322,Src_SYSHECF_nuclear!$C$5:$C$292,0))*$E322),Keys!$C$5),Keys!$C$4)</f>
        <v>1.252</v>
      </c>
      <c r="H322">
        <f>IF($D322=1,ROUND(Keys!$C$2/(INDEX(Src_SYSHECF_nuclear!$F$5:$F$292,MATCH($C322,Src_SYSHECF_nuclear!$C$5:$C$292,0))*$E322),Keys!$C$5),Keys!$C$4)</f>
        <v>1.252</v>
      </c>
      <c r="I322">
        <f>IF($D322=1,ROUND(Keys!$C$2/(INDEX(Src_SYSHECF_nuclear!$G$5:$G$292,MATCH($C322,Src_SYSHECF_nuclear!$C$5:$C$292,0))*$E322),Keys!$C$5),Keys!$C$4)</f>
        <v>1.252</v>
      </c>
      <c r="J322">
        <f>IF($D322=1,ROUND(Keys!$C$2/(INDEX(Src_SYSHECF_nuclear!$H$5:$H$292,MATCH($C322,Src_SYSHECF_nuclear!$C$5:$C$292,0))*$E322),Keys!$C$5),Keys!$C$4)</f>
        <v>1.252</v>
      </c>
      <c r="K322">
        <f>IF($D322=1,ROUND(Keys!$C$2/(INDEX(Src_SYSHECF_nuclear!$I$5:$I$292,MATCH($C322,Src_SYSHECF_nuclear!$C$5:$C$292,0))*$E322),Keys!$C$5),Keys!$C$4)</f>
        <v>1.2595000000000001</v>
      </c>
      <c r="L322">
        <f>IF($D322=1,ROUND(Keys!$C$2/(INDEX(Src_SYSHECF_nuclear!$J$5:$J$292,MATCH($C322,Src_SYSHECF_nuclear!$C$5:$C$292,0))*$E322),Keys!$C$5),Keys!$C$4)</f>
        <v>1.4075</v>
      </c>
      <c r="M322">
        <f>IF($D322=1,ROUND(Keys!$C$2/(INDEX(Src_SYSHECF_nuclear!$K$5:$K$292,MATCH($C322,Src_SYSHECF_nuclear!$C$5:$C$292,0))*$E322),Keys!$C$5),Keys!$C$4)</f>
        <v>1.4217</v>
      </c>
      <c r="N322">
        <f>IF($D322=1,ROUND(Keys!$C$2/(INDEX(Src_SYSHECF_nuclear!$L$5:$L$292,MATCH($C322,Src_SYSHECF_nuclear!$C$5:$C$292,0))*$E322),Keys!$C$5),Keys!$C$4)</f>
        <v>1.35</v>
      </c>
      <c r="O322">
        <f>IF($D322=1,ROUND(Keys!$C$2/(INDEX(Src_SYSHECF_nuclear!$M$5:$M$292,MATCH($C322,Src_SYSHECF_nuclear!$C$5:$C$292,0))*$E322),Keys!$C$5),Keys!$C$4)</f>
        <v>1.3275999999999999</v>
      </c>
      <c r="P322">
        <f>IF($D322=1,ROUND(Keys!$C$2/(INDEX(Src_SYSHECF_nuclear!$N$5:$N$292,MATCH($C322,Src_SYSHECF_nuclear!$C$5:$C$292,0))*$E322),Keys!$C$5),Keys!$C$4)</f>
        <v>1.3068</v>
      </c>
      <c r="Q322">
        <f>IF($D322=1,ROUND(Keys!$C$2/(INDEX(Src_SYSHECF_nuclear!$O$5:$O$292,MATCH($C322,Src_SYSHECF_nuclear!$C$5:$C$292,0))*$E322),Keys!$C$5),Keys!$C$4)</f>
        <v>1.3068</v>
      </c>
      <c r="R322">
        <f>IF($D322=1,ROUND(Keys!$C$2/(INDEX(Src_SYSHECF_nuclear!$P$5:$P$292,MATCH($C322,Src_SYSHECF_nuclear!$C$5:$C$292,0))*$E322),Keys!$C$5),Keys!$C$4)</f>
        <v>1.3068</v>
      </c>
      <c r="S322">
        <f>IF($D322=1,ROUND(Keys!$C$2/(INDEX(Src_SYSHECF_nuclear!$Q$5:$Q$292,MATCH($C322,Src_SYSHECF_nuclear!$C$5:$C$292,0))*$E322),Keys!$C$5),Keys!$C$4)</f>
        <v>1.3109999999999999</v>
      </c>
      <c r="T322">
        <f>IF($D322=1,ROUND(Keys!$C$2/(INDEX(Src_SYSHECF_nuclear!$R$5:$R$292,MATCH($C322,Src_SYSHECF_nuclear!$C$5:$C$292,0))*$E322),Keys!$C$5),Keys!$C$4)</f>
        <v>1.3</v>
      </c>
      <c r="U322">
        <f>IF($D322=1,ROUND(Keys!$C$2/(INDEX(Src_SYSHECF_nuclear!$S$5:$S$292,MATCH($C322,Src_SYSHECF_nuclear!$C$5:$C$292,0))*$E322),Keys!$C$5),Keys!$C$4)</f>
        <v>1.2595000000000001</v>
      </c>
      <c r="V322">
        <f>IF($D322=1,ROUND(Keys!$C$2/(INDEX(Src_SYSHECF_nuclear!$T$5:$T$292,MATCH($C322,Src_SYSHECF_nuclear!$C$5:$C$292,0))*$E322),Keys!$C$5),Keys!$C$4)</f>
        <v>1.252</v>
      </c>
      <c r="W322">
        <f>IF($D322=1,ROUND(Keys!$C$2/(INDEX(Src_SYSHECF_nuclear!$U$5:$U$292,MATCH($C322,Src_SYSHECF_nuclear!$C$5:$C$292,0))*$E322),Keys!$C$5),Keys!$C$4)</f>
        <v>1.252</v>
      </c>
      <c r="X322">
        <f>IF($D322=1,ROUND(Keys!$C$2/(INDEX(Src_SYSHECF_nuclear!$V$5:$V$292,MATCH($C322,Src_SYSHECF_nuclear!$C$5:$C$292,0))*$E322),Keys!$C$5),Keys!$C$4)</f>
        <v>1.252</v>
      </c>
      <c r="Y322">
        <f>IF($D322=1,ROUND(Keys!$C$2/(INDEX(Src_SYSHECF_nuclear!$W$5:$W$292,MATCH($C322,Src_SYSHECF_nuclear!$C$5:$C$292,0))*$E322),Keys!$C$5),Keys!$C$4)</f>
        <v>1.252</v>
      </c>
      <c r="Z322">
        <f>IF($D322=1,ROUND(Keys!$C$2/(INDEX(Src_SYSHECF_nuclear!$X$5:$X$292,MATCH($C322,Src_SYSHECF_nuclear!$C$5:$C$292,0))*$E322),Keys!$C$5),Keys!$C$4)</f>
        <v>1.252</v>
      </c>
      <c r="AA322">
        <f>IF($D322=1,ROUND(Keys!$C$2/(INDEX(Src_SYSHECF_nuclear!$Y$5:$Y$292,MATCH($C322,Src_SYSHECF_nuclear!$C$5:$C$292,0))*$E322),Keys!$C$5),Keys!$C$4)</f>
        <v>1.252</v>
      </c>
      <c r="AB322">
        <f>IF($D322=1,ROUND(Keys!$C$2/(INDEX(Src_SYSHECF_nuclear!$Z$5:$Z$292,MATCH($C322,Src_SYSHECF_nuclear!$C$5:$C$292,0))*$E322),Keys!$C$5),Keys!$C$4)</f>
        <v>1.252</v>
      </c>
      <c r="AC322">
        <f>IF($D322=1,ROUND(Keys!$C$2/(INDEX(Src_SYSHECF_nuclear!$AA$5:$AA$292,MATCH($C322,Src_SYSHECF_nuclear!$C$5:$C$292,0))*$E322),Keys!$C$5),Keys!$C$4)</f>
        <v>1.252</v>
      </c>
      <c r="AE322">
        <f>IF($D322=1,IF(ABS(INDEX(Src_SYSHECF_nuclear!$D$5:$D$292,MATCH($C322,Src_SYSHECF_nuclear!$C$5:$C$292,0))*$E322*F322-Keys!$C$2)&gt;Keys!$C$6,1,0),0)</f>
        <v>0</v>
      </c>
    </row>
    <row r="323" spans="1:31" x14ac:dyDescent="0.45">
      <c r="A323" t="s">
        <v>112</v>
      </c>
      <c r="B323" t="s">
        <v>427</v>
      </c>
      <c r="C323" t="str">
        <f t="shared" si="5"/>
        <v>WA|Fall</v>
      </c>
      <c r="D323">
        <f>INDEX(Src_BHRaSYC_nuclear!$HF$5:$HF$52,MATCH($A323,Src_BHRaSYC_nuclear!$A$5:$A$52,0))</f>
        <v>1</v>
      </c>
      <c r="E323">
        <f>INDEX(Src_HYECFCA_nuclear!$B$5:$B$52,MATCH($A323,Src_HYECFCA_nuclear!$A$5:$A$52,0))</f>
        <v>0.87473000000000001</v>
      </c>
      <c r="F323">
        <f>IF($D323=1,ROUND(Keys!$C$2/(INDEX(Src_SYSHECF_nuclear!$D$5:$D$292,MATCH($C323,Src_SYSHECF_nuclear!$C$5:$C$292,0))*$E323),Keys!$C$5),Keys!$C$4)</f>
        <v>1.252</v>
      </c>
      <c r="G323">
        <f>IF($D323=1,ROUND(Keys!$C$2/(INDEX(Src_SYSHECF_nuclear!$E$5:$E$292,MATCH($C323,Src_SYSHECF_nuclear!$C$5:$C$292,0))*$E323),Keys!$C$5),Keys!$C$4)</f>
        <v>1.252</v>
      </c>
      <c r="H323">
        <f>IF($D323=1,ROUND(Keys!$C$2/(INDEX(Src_SYSHECF_nuclear!$F$5:$F$292,MATCH($C323,Src_SYSHECF_nuclear!$C$5:$C$292,0))*$E323),Keys!$C$5),Keys!$C$4)</f>
        <v>1.252</v>
      </c>
      <c r="I323">
        <f>IF($D323=1,ROUND(Keys!$C$2/(INDEX(Src_SYSHECF_nuclear!$G$5:$G$292,MATCH($C323,Src_SYSHECF_nuclear!$C$5:$C$292,0))*$E323),Keys!$C$5),Keys!$C$4)</f>
        <v>1.252</v>
      </c>
      <c r="J323">
        <f>IF($D323=1,ROUND(Keys!$C$2/(INDEX(Src_SYSHECF_nuclear!$H$5:$H$292,MATCH($C323,Src_SYSHECF_nuclear!$C$5:$C$292,0))*$E323),Keys!$C$5),Keys!$C$4)</f>
        <v>1.252</v>
      </c>
      <c r="K323">
        <f>IF($D323=1,ROUND(Keys!$C$2/(INDEX(Src_SYSHECF_nuclear!$I$5:$I$292,MATCH($C323,Src_SYSHECF_nuclear!$C$5:$C$292,0))*$E323),Keys!$C$5),Keys!$C$4)</f>
        <v>1.252</v>
      </c>
      <c r="L323">
        <f>IF($D323=1,ROUND(Keys!$C$2/(INDEX(Src_SYSHECF_nuclear!$J$5:$J$292,MATCH($C323,Src_SYSHECF_nuclear!$C$5:$C$292,0))*$E323),Keys!$C$5),Keys!$C$4)</f>
        <v>1.2910999999999999</v>
      </c>
      <c r="M323">
        <f>IF($D323=1,ROUND(Keys!$C$2/(INDEX(Src_SYSHECF_nuclear!$K$5:$K$292,MATCH($C323,Src_SYSHECF_nuclear!$C$5:$C$292,0))*$E323),Keys!$C$5),Keys!$C$4)</f>
        <v>1.3</v>
      </c>
      <c r="N323">
        <f>IF($D323=1,ROUND(Keys!$C$2/(INDEX(Src_SYSHECF_nuclear!$L$5:$L$292,MATCH($C323,Src_SYSHECF_nuclear!$C$5:$C$292,0))*$E323),Keys!$C$5),Keys!$C$4)</f>
        <v>1.2764</v>
      </c>
      <c r="O323">
        <f>IF($D323=1,ROUND(Keys!$C$2/(INDEX(Src_SYSHECF_nuclear!$M$5:$M$292,MATCH($C323,Src_SYSHECF_nuclear!$C$5:$C$292,0))*$E323),Keys!$C$5),Keys!$C$4)</f>
        <v>1.2616000000000001</v>
      </c>
      <c r="P323">
        <f>IF($D323=1,ROUND(Keys!$C$2/(INDEX(Src_SYSHECF_nuclear!$N$5:$N$292,MATCH($C323,Src_SYSHECF_nuclear!$C$5:$C$292,0))*$E323),Keys!$C$5),Keys!$C$4)</f>
        <v>1.2562</v>
      </c>
      <c r="Q323">
        <f>IF($D323=1,ROUND(Keys!$C$2/(INDEX(Src_SYSHECF_nuclear!$O$5:$O$292,MATCH($C323,Src_SYSHECF_nuclear!$C$5:$C$292,0))*$E323),Keys!$C$5),Keys!$C$4)</f>
        <v>1.258</v>
      </c>
      <c r="R323">
        <f>IF($D323=1,ROUND(Keys!$C$2/(INDEX(Src_SYSHECF_nuclear!$P$5:$P$292,MATCH($C323,Src_SYSHECF_nuclear!$C$5:$C$292,0))*$E323),Keys!$C$5),Keys!$C$4)</f>
        <v>1.2604</v>
      </c>
      <c r="S323">
        <f>IF($D323=1,ROUND(Keys!$C$2/(INDEX(Src_SYSHECF_nuclear!$Q$5:$Q$292,MATCH($C323,Src_SYSHECF_nuclear!$C$5:$C$292,0))*$E323),Keys!$C$5),Keys!$C$4)</f>
        <v>1.2689999999999999</v>
      </c>
      <c r="T323">
        <f>IF($D323=1,ROUND(Keys!$C$2/(INDEX(Src_SYSHECF_nuclear!$R$5:$R$292,MATCH($C323,Src_SYSHECF_nuclear!$C$5:$C$292,0))*$E323),Keys!$C$5),Keys!$C$4)</f>
        <v>1.2627999999999999</v>
      </c>
      <c r="U323">
        <f>IF($D323=1,ROUND(Keys!$C$2/(INDEX(Src_SYSHECF_nuclear!$S$5:$S$292,MATCH($C323,Src_SYSHECF_nuclear!$C$5:$C$292,0))*$E323),Keys!$C$5),Keys!$C$4)</f>
        <v>1.2562</v>
      </c>
      <c r="V323">
        <f>IF($D323=1,ROUND(Keys!$C$2/(INDEX(Src_SYSHECF_nuclear!$T$5:$T$292,MATCH($C323,Src_SYSHECF_nuclear!$C$5:$C$292,0))*$E323),Keys!$C$5),Keys!$C$4)</f>
        <v>1.252</v>
      </c>
      <c r="W323">
        <f>IF($D323=1,ROUND(Keys!$C$2/(INDEX(Src_SYSHECF_nuclear!$U$5:$U$292,MATCH($C323,Src_SYSHECF_nuclear!$C$5:$C$292,0))*$E323),Keys!$C$5),Keys!$C$4)</f>
        <v>1.252</v>
      </c>
      <c r="X323">
        <f>IF($D323=1,ROUND(Keys!$C$2/(INDEX(Src_SYSHECF_nuclear!$V$5:$V$292,MATCH($C323,Src_SYSHECF_nuclear!$C$5:$C$292,0))*$E323),Keys!$C$5),Keys!$C$4)</f>
        <v>1.252</v>
      </c>
      <c r="Y323">
        <f>IF($D323=1,ROUND(Keys!$C$2/(INDEX(Src_SYSHECF_nuclear!$W$5:$W$292,MATCH($C323,Src_SYSHECF_nuclear!$C$5:$C$292,0))*$E323),Keys!$C$5),Keys!$C$4)</f>
        <v>1.252</v>
      </c>
      <c r="Z323">
        <f>IF($D323=1,ROUND(Keys!$C$2/(INDEX(Src_SYSHECF_nuclear!$X$5:$X$292,MATCH($C323,Src_SYSHECF_nuclear!$C$5:$C$292,0))*$E323),Keys!$C$5),Keys!$C$4)</f>
        <v>1.252</v>
      </c>
      <c r="AA323">
        <f>IF($D323=1,ROUND(Keys!$C$2/(INDEX(Src_SYSHECF_nuclear!$Y$5:$Y$292,MATCH($C323,Src_SYSHECF_nuclear!$C$5:$C$292,0))*$E323),Keys!$C$5),Keys!$C$4)</f>
        <v>1.252</v>
      </c>
      <c r="AB323">
        <f>IF($D323=1,ROUND(Keys!$C$2/(INDEX(Src_SYSHECF_nuclear!$Z$5:$Z$292,MATCH($C323,Src_SYSHECF_nuclear!$C$5:$C$292,0))*$E323),Keys!$C$5),Keys!$C$4)</f>
        <v>1.252</v>
      </c>
      <c r="AC323">
        <f>IF($D323=1,ROUND(Keys!$C$2/(INDEX(Src_SYSHECF_nuclear!$AA$5:$AA$292,MATCH($C323,Src_SYSHECF_nuclear!$C$5:$C$292,0))*$E323),Keys!$C$5),Keys!$C$4)</f>
        <v>1.252</v>
      </c>
      <c r="AE323">
        <f>IF($D323=1,IF(ABS(INDEX(Src_SYSHECF_nuclear!$D$5:$D$292,MATCH($C323,Src_SYSHECF_nuclear!$C$5:$C$292,0))*$E323*F323-Keys!$C$2)&gt;Keys!$C$6,1,0),0)</f>
        <v>0</v>
      </c>
    </row>
    <row r="324" spans="1:31" x14ac:dyDescent="0.45">
      <c r="A324" t="s">
        <v>112</v>
      </c>
      <c r="B324" t="s">
        <v>428</v>
      </c>
      <c r="C324" t="str">
        <f t="shared" si="5"/>
        <v>WA|Summer Peak</v>
      </c>
      <c r="D324">
        <f>INDEX(Src_BHRaSYC_nuclear!$HF$5:$HF$52,MATCH($A324,Src_BHRaSYC_nuclear!$A$5:$A$52,0))</f>
        <v>1</v>
      </c>
      <c r="E324">
        <f>INDEX(Src_HYECFCA_nuclear!$B$5:$B$52,MATCH($A324,Src_HYECFCA_nuclear!$A$5:$A$52,0))</f>
        <v>0.87473000000000001</v>
      </c>
      <c r="F324">
        <f>IF($D324=1,ROUND(Keys!$C$2/(INDEX(Src_SYSHECF_nuclear!$D$5:$D$292,MATCH($C324,Src_SYSHECF_nuclear!$C$5:$C$292,0))*$E324),Keys!$C$5),Keys!$C$4)</f>
        <v>1.252</v>
      </c>
      <c r="G324">
        <f>IF($D324=1,ROUND(Keys!$C$2/(INDEX(Src_SYSHECF_nuclear!$E$5:$E$292,MATCH($C324,Src_SYSHECF_nuclear!$C$5:$C$292,0))*$E324),Keys!$C$5),Keys!$C$4)</f>
        <v>1.252</v>
      </c>
      <c r="H324">
        <f>IF($D324=1,ROUND(Keys!$C$2/(INDEX(Src_SYSHECF_nuclear!$F$5:$F$292,MATCH($C324,Src_SYSHECF_nuclear!$C$5:$C$292,0))*$E324),Keys!$C$5),Keys!$C$4)</f>
        <v>1.252</v>
      </c>
      <c r="I324">
        <f>IF($D324=1,ROUND(Keys!$C$2/(INDEX(Src_SYSHECF_nuclear!$G$5:$G$292,MATCH($C324,Src_SYSHECF_nuclear!$C$5:$C$292,0))*$E324),Keys!$C$5),Keys!$C$4)</f>
        <v>1.252</v>
      </c>
      <c r="J324">
        <f>IF($D324=1,ROUND(Keys!$C$2/(INDEX(Src_SYSHECF_nuclear!$H$5:$H$292,MATCH($C324,Src_SYSHECF_nuclear!$C$5:$C$292,0))*$E324),Keys!$C$5),Keys!$C$4)</f>
        <v>1.252</v>
      </c>
      <c r="K324">
        <f>IF($D324=1,ROUND(Keys!$C$2/(INDEX(Src_SYSHECF_nuclear!$I$5:$I$292,MATCH($C324,Src_SYSHECF_nuclear!$C$5:$C$292,0))*$E324),Keys!$C$5),Keys!$C$4)</f>
        <v>1.252</v>
      </c>
      <c r="L324">
        <f>IF($D324=1,ROUND(Keys!$C$2/(INDEX(Src_SYSHECF_nuclear!$J$5:$J$292,MATCH($C324,Src_SYSHECF_nuclear!$C$5:$C$292,0))*$E324),Keys!$C$5),Keys!$C$4)</f>
        <v>1.4227000000000001</v>
      </c>
      <c r="M324">
        <f>IF($D324=1,ROUND(Keys!$C$2/(INDEX(Src_SYSHECF_nuclear!$K$5:$K$292,MATCH($C324,Src_SYSHECF_nuclear!$C$5:$C$292,0))*$E324),Keys!$C$5),Keys!$C$4)</f>
        <v>1.2568999999999999</v>
      </c>
      <c r="N324">
        <f>IF($D324=1,ROUND(Keys!$C$2/(INDEX(Src_SYSHECF_nuclear!$L$5:$L$292,MATCH($C324,Src_SYSHECF_nuclear!$C$5:$C$292,0))*$E324),Keys!$C$5),Keys!$C$4)</f>
        <v>1.252</v>
      </c>
      <c r="O324">
        <f>IF($D324=1,ROUND(Keys!$C$2/(INDEX(Src_SYSHECF_nuclear!$M$5:$M$292,MATCH($C324,Src_SYSHECF_nuclear!$C$5:$C$292,0))*$E324),Keys!$C$5),Keys!$C$4)</f>
        <v>1.252</v>
      </c>
      <c r="P324">
        <f>IF($D324=1,ROUND(Keys!$C$2/(INDEX(Src_SYSHECF_nuclear!$N$5:$N$292,MATCH($C324,Src_SYSHECF_nuclear!$C$5:$C$292,0))*$E324),Keys!$C$5),Keys!$C$4)</f>
        <v>1.252</v>
      </c>
      <c r="Q324">
        <f>IF($D324=1,ROUND(Keys!$C$2/(INDEX(Src_SYSHECF_nuclear!$O$5:$O$292,MATCH($C324,Src_SYSHECF_nuclear!$C$5:$C$292,0))*$E324),Keys!$C$5),Keys!$C$4)</f>
        <v>1.252</v>
      </c>
      <c r="R324">
        <f>IF($D324=1,ROUND(Keys!$C$2/(INDEX(Src_SYSHECF_nuclear!$P$5:$P$292,MATCH($C324,Src_SYSHECF_nuclear!$C$5:$C$292,0))*$E324),Keys!$C$5),Keys!$C$4)</f>
        <v>1.252</v>
      </c>
      <c r="S324">
        <f>IF($D324=1,ROUND(Keys!$C$2/(INDEX(Src_SYSHECF_nuclear!$Q$5:$Q$292,MATCH($C324,Src_SYSHECF_nuclear!$C$5:$C$292,0))*$E324),Keys!$C$5),Keys!$C$4)</f>
        <v>1.252</v>
      </c>
      <c r="T324">
        <f>IF($D324=1,ROUND(Keys!$C$2/(INDEX(Src_SYSHECF_nuclear!$R$5:$R$292,MATCH($C324,Src_SYSHECF_nuclear!$C$5:$C$292,0))*$E324),Keys!$C$5),Keys!$C$4)</f>
        <v>1.252</v>
      </c>
      <c r="U324">
        <f>IF($D324=1,ROUND(Keys!$C$2/(INDEX(Src_SYSHECF_nuclear!$S$5:$S$292,MATCH($C324,Src_SYSHECF_nuclear!$C$5:$C$292,0))*$E324),Keys!$C$5),Keys!$C$4)</f>
        <v>1.252</v>
      </c>
      <c r="V324">
        <f>IF($D324=1,ROUND(Keys!$C$2/(INDEX(Src_SYSHECF_nuclear!$T$5:$T$292,MATCH($C324,Src_SYSHECF_nuclear!$C$5:$C$292,0))*$E324),Keys!$C$5),Keys!$C$4)</f>
        <v>1.252</v>
      </c>
      <c r="W324">
        <f>IF($D324=1,ROUND(Keys!$C$2/(INDEX(Src_SYSHECF_nuclear!$U$5:$U$292,MATCH($C324,Src_SYSHECF_nuclear!$C$5:$C$292,0))*$E324),Keys!$C$5),Keys!$C$4)</f>
        <v>1.252</v>
      </c>
      <c r="X324">
        <f>IF($D324=1,ROUND(Keys!$C$2/(INDEX(Src_SYSHECF_nuclear!$V$5:$V$292,MATCH($C324,Src_SYSHECF_nuclear!$C$5:$C$292,0))*$E324),Keys!$C$5),Keys!$C$4)</f>
        <v>1.252</v>
      </c>
      <c r="Y324">
        <f>IF($D324=1,ROUND(Keys!$C$2/(INDEX(Src_SYSHECF_nuclear!$W$5:$W$292,MATCH($C324,Src_SYSHECF_nuclear!$C$5:$C$292,0))*$E324),Keys!$C$5),Keys!$C$4)</f>
        <v>1.252</v>
      </c>
      <c r="Z324">
        <f>IF($D324=1,ROUND(Keys!$C$2/(INDEX(Src_SYSHECF_nuclear!$X$5:$X$292,MATCH($C324,Src_SYSHECF_nuclear!$C$5:$C$292,0))*$E324),Keys!$C$5),Keys!$C$4)</f>
        <v>1.252</v>
      </c>
      <c r="AA324">
        <f>IF($D324=1,ROUND(Keys!$C$2/(INDEX(Src_SYSHECF_nuclear!$Y$5:$Y$292,MATCH($C324,Src_SYSHECF_nuclear!$C$5:$C$292,0))*$E324),Keys!$C$5),Keys!$C$4)</f>
        <v>1.252</v>
      </c>
      <c r="AB324">
        <f>IF($D324=1,ROUND(Keys!$C$2/(INDEX(Src_SYSHECF_nuclear!$Z$5:$Z$292,MATCH($C324,Src_SYSHECF_nuclear!$C$5:$C$292,0))*$E324),Keys!$C$5),Keys!$C$4)</f>
        <v>1.252</v>
      </c>
      <c r="AC324">
        <f>IF($D324=1,ROUND(Keys!$C$2/(INDEX(Src_SYSHECF_nuclear!$AA$5:$AA$292,MATCH($C324,Src_SYSHECF_nuclear!$C$5:$C$292,0))*$E324),Keys!$C$5),Keys!$C$4)</f>
        <v>1.252</v>
      </c>
      <c r="AE324">
        <f>IF($D324=1,IF(ABS(INDEX(Src_SYSHECF_nuclear!$D$5:$D$292,MATCH($C324,Src_SYSHECF_nuclear!$C$5:$C$292,0))*$E324*F324-Keys!$C$2)&gt;Keys!$C$6,1,0),0)</f>
        <v>0</v>
      </c>
    </row>
    <row r="325" spans="1:31" x14ac:dyDescent="0.45">
      <c r="A325" t="s">
        <v>112</v>
      </c>
      <c r="B325" t="s">
        <v>429</v>
      </c>
      <c r="C325" t="str">
        <f t="shared" si="5"/>
        <v>WA|Winter Peak</v>
      </c>
      <c r="D325">
        <f>INDEX(Src_BHRaSYC_nuclear!$HF$5:$HF$52,MATCH($A325,Src_BHRaSYC_nuclear!$A$5:$A$52,0))</f>
        <v>1</v>
      </c>
      <c r="E325">
        <f>INDEX(Src_HYECFCA_nuclear!$B$5:$B$52,MATCH($A325,Src_HYECFCA_nuclear!$A$5:$A$52,0))</f>
        <v>0.87473000000000001</v>
      </c>
      <c r="F325">
        <f>IF($D325=1,ROUND(Keys!$C$2/(INDEX(Src_SYSHECF_nuclear!$D$5:$D$292,MATCH($C325,Src_SYSHECF_nuclear!$C$5:$C$292,0))*$E325),Keys!$C$5),Keys!$C$4)</f>
        <v>1.252</v>
      </c>
      <c r="G325">
        <f>IF($D325=1,ROUND(Keys!$C$2/(INDEX(Src_SYSHECF_nuclear!$E$5:$E$292,MATCH($C325,Src_SYSHECF_nuclear!$C$5:$C$292,0))*$E325),Keys!$C$5),Keys!$C$4)</f>
        <v>1.252</v>
      </c>
      <c r="H325">
        <f>IF($D325=1,ROUND(Keys!$C$2/(INDEX(Src_SYSHECF_nuclear!$F$5:$F$292,MATCH($C325,Src_SYSHECF_nuclear!$C$5:$C$292,0))*$E325),Keys!$C$5),Keys!$C$4)</f>
        <v>1.252</v>
      </c>
      <c r="I325">
        <f>IF($D325=1,ROUND(Keys!$C$2/(INDEX(Src_SYSHECF_nuclear!$G$5:$G$292,MATCH($C325,Src_SYSHECF_nuclear!$C$5:$C$292,0))*$E325),Keys!$C$5),Keys!$C$4)</f>
        <v>1.252</v>
      </c>
      <c r="J325">
        <f>IF($D325=1,ROUND(Keys!$C$2/(INDEX(Src_SYSHECF_nuclear!$H$5:$H$292,MATCH($C325,Src_SYSHECF_nuclear!$C$5:$C$292,0))*$E325),Keys!$C$5),Keys!$C$4)</f>
        <v>1.252</v>
      </c>
      <c r="K325">
        <f>IF($D325=1,ROUND(Keys!$C$2/(INDEX(Src_SYSHECF_nuclear!$I$5:$I$292,MATCH($C325,Src_SYSHECF_nuclear!$C$5:$C$292,0))*$E325),Keys!$C$5),Keys!$C$4)</f>
        <v>1.252</v>
      </c>
      <c r="L325">
        <f>IF($D325=1,ROUND(Keys!$C$2/(INDEX(Src_SYSHECF_nuclear!$J$5:$J$292,MATCH($C325,Src_SYSHECF_nuclear!$C$5:$C$292,0))*$E325),Keys!$C$5),Keys!$C$4)</f>
        <v>1.252</v>
      </c>
      <c r="M325">
        <f>IF($D325=1,ROUND(Keys!$C$2/(INDEX(Src_SYSHECF_nuclear!$K$5:$K$292,MATCH($C325,Src_SYSHECF_nuclear!$C$5:$C$292,0))*$E325),Keys!$C$5),Keys!$C$4)</f>
        <v>1.252</v>
      </c>
      <c r="N325">
        <f>IF($D325=1,ROUND(Keys!$C$2/(INDEX(Src_SYSHECF_nuclear!$L$5:$L$292,MATCH($C325,Src_SYSHECF_nuclear!$C$5:$C$292,0))*$E325),Keys!$C$5),Keys!$C$4)</f>
        <v>1.252</v>
      </c>
      <c r="O325">
        <f>IF($D325=1,ROUND(Keys!$C$2/(INDEX(Src_SYSHECF_nuclear!$M$5:$M$292,MATCH($C325,Src_SYSHECF_nuclear!$C$5:$C$292,0))*$E325),Keys!$C$5),Keys!$C$4)</f>
        <v>1.252</v>
      </c>
      <c r="P325">
        <f>IF($D325=1,ROUND(Keys!$C$2/(INDEX(Src_SYSHECF_nuclear!$N$5:$N$292,MATCH($C325,Src_SYSHECF_nuclear!$C$5:$C$292,0))*$E325),Keys!$C$5),Keys!$C$4)</f>
        <v>1.252</v>
      </c>
      <c r="Q325">
        <f>IF($D325=1,ROUND(Keys!$C$2/(INDEX(Src_SYSHECF_nuclear!$O$5:$O$292,MATCH($C325,Src_SYSHECF_nuclear!$C$5:$C$292,0))*$E325),Keys!$C$5),Keys!$C$4)</f>
        <v>1.252</v>
      </c>
      <c r="R325">
        <f>IF($D325=1,ROUND(Keys!$C$2/(INDEX(Src_SYSHECF_nuclear!$P$5:$P$292,MATCH($C325,Src_SYSHECF_nuclear!$C$5:$C$292,0))*$E325),Keys!$C$5),Keys!$C$4)</f>
        <v>1.252</v>
      </c>
      <c r="S325">
        <f>IF($D325=1,ROUND(Keys!$C$2/(INDEX(Src_SYSHECF_nuclear!$Q$5:$Q$292,MATCH($C325,Src_SYSHECF_nuclear!$C$5:$C$292,0))*$E325),Keys!$C$5),Keys!$C$4)</f>
        <v>1.252</v>
      </c>
      <c r="T325">
        <f>IF($D325=1,ROUND(Keys!$C$2/(INDEX(Src_SYSHECF_nuclear!$R$5:$R$292,MATCH($C325,Src_SYSHECF_nuclear!$C$5:$C$292,0))*$E325),Keys!$C$5),Keys!$C$4)</f>
        <v>1.252</v>
      </c>
      <c r="U325">
        <f>IF($D325=1,ROUND(Keys!$C$2/(INDEX(Src_SYSHECF_nuclear!$S$5:$S$292,MATCH($C325,Src_SYSHECF_nuclear!$C$5:$C$292,0))*$E325),Keys!$C$5),Keys!$C$4)</f>
        <v>1.252</v>
      </c>
      <c r="V325">
        <f>IF($D325=1,ROUND(Keys!$C$2/(INDEX(Src_SYSHECF_nuclear!$T$5:$T$292,MATCH($C325,Src_SYSHECF_nuclear!$C$5:$C$292,0))*$E325),Keys!$C$5),Keys!$C$4)</f>
        <v>1.252</v>
      </c>
      <c r="W325">
        <f>IF($D325=1,ROUND(Keys!$C$2/(INDEX(Src_SYSHECF_nuclear!$U$5:$U$292,MATCH($C325,Src_SYSHECF_nuclear!$C$5:$C$292,0))*$E325),Keys!$C$5),Keys!$C$4)</f>
        <v>1.252</v>
      </c>
      <c r="X325">
        <f>IF($D325=1,ROUND(Keys!$C$2/(INDEX(Src_SYSHECF_nuclear!$V$5:$V$292,MATCH($C325,Src_SYSHECF_nuclear!$C$5:$C$292,0))*$E325),Keys!$C$5),Keys!$C$4)</f>
        <v>1.252</v>
      </c>
      <c r="Y325">
        <f>IF($D325=1,ROUND(Keys!$C$2/(INDEX(Src_SYSHECF_nuclear!$W$5:$W$292,MATCH($C325,Src_SYSHECF_nuclear!$C$5:$C$292,0))*$E325),Keys!$C$5),Keys!$C$4)</f>
        <v>1.252</v>
      </c>
      <c r="Z325">
        <f>IF($D325=1,ROUND(Keys!$C$2/(INDEX(Src_SYSHECF_nuclear!$X$5:$X$292,MATCH($C325,Src_SYSHECF_nuclear!$C$5:$C$292,0))*$E325),Keys!$C$5),Keys!$C$4)</f>
        <v>1.252</v>
      </c>
      <c r="AA325">
        <f>IF($D325=1,ROUND(Keys!$C$2/(INDEX(Src_SYSHECF_nuclear!$Y$5:$Y$292,MATCH($C325,Src_SYSHECF_nuclear!$C$5:$C$292,0))*$E325),Keys!$C$5),Keys!$C$4)</f>
        <v>1.252</v>
      </c>
      <c r="AB325">
        <f>IF($D325=1,ROUND(Keys!$C$2/(INDEX(Src_SYSHECF_nuclear!$Z$5:$Z$292,MATCH($C325,Src_SYSHECF_nuclear!$C$5:$C$292,0))*$E325),Keys!$C$5),Keys!$C$4)</f>
        <v>1.252</v>
      </c>
      <c r="AC325">
        <f>IF($D325=1,ROUND(Keys!$C$2/(INDEX(Src_SYSHECF_nuclear!$AA$5:$AA$292,MATCH($C325,Src_SYSHECF_nuclear!$C$5:$C$292,0))*$E325),Keys!$C$5),Keys!$C$4)</f>
        <v>1.252</v>
      </c>
      <c r="AE325">
        <f>IF($D325=1,IF(ABS(INDEX(Src_SYSHECF_nuclear!$D$5:$D$292,MATCH($C325,Src_SYSHECF_nuclear!$C$5:$C$292,0))*$E325*F325-Keys!$C$2)&gt;Keys!$C$6,1,0),0)</f>
        <v>0</v>
      </c>
    </row>
    <row r="326" spans="1:31" x14ac:dyDescent="0.45">
      <c r="A326" t="s">
        <v>114</v>
      </c>
      <c r="B326" t="s">
        <v>424</v>
      </c>
      <c r="C326" t="str">
        <f t="shared" si="5"/>
        <v>WI|Winter</v>
      </c>
      <c r="D326">
        <f>INDEX(Src_BHRaSYC_nuclear!$HF$5:$HF$52,MATCH($A326,Src_BHRaSYC_nuclear!$A$5:$A$52,0))</f>
        <v>1</v>
      </c>
      <c r="E326">
        <f>INDEX(Src_HYECFCA_nuclear!$B$5:$B$52,MATCH($A326,Src_HYECFCA_nuclear!$A$5:$A$52,0))</f>
        <v>0.99962499999999999</v>
      </c>
      <c r="F326">
        <f>IF($D326=1,ROUND(Keys!$C$2/(INDEX(Src_SYSHECF_nuclear!$D$5:$D$292,MATCH($C326,Src_SYSHECF_nuclear!$C$5:$C$292,0))*$E326),Keys!$C$5),Keys!$C$4)</f>
        <v>0.99819999999999998</v>
      </c>
      <c r="G326">
        <f>IF($D326=1,ROUND(Keys!$C$2/(INDEX(Src_SYSHECF_nuclear!$E$5:$E$292,MATCH($C326,Src_SYSHECF_nuclear!$C$5:$C$292,0))*$E326),Keys!$C$5),Keys!$C$4)</f>
        <v>0.99819999999999998</v>
      </c>
      <c r="H326">
        <f>IF($D326=1,ROUND(Keys!$C$2/(INDEX(Src_SYSHECF_nuclear!$F$5:$F$292,MATCH($C326,Src_SYSHECF_nuclear!$C$5:$C$292,0))*$E326),Keys!$C$5),Keys!$C$4)</f>
        <v>0.99819999999999998</v>
      </c>
      <c r="I326">
        <f>IF($D326=1,ROUND(Keys!$C$2/(INDEX(Src_SYSHECF_nuclear!$G$5:$G$292,MATCH($C326,Src_SYSHECF_nuclear!$C$5:$C$292,0))*$E326),Keys!$C$5),Keys!$C$4)</f>
        <v>0.99819999999999998</v>
      </c>
      <c r="J326">
        <f>IF($D326=1,ROUND(Keys!$C$2/(INDEX(Src_SYSHECF_nuclear!$H$5:$H$292,MATCH($C326,Src_SYSHECF_nuclear!$C$5:$C$292,0))*$E326),Keys!$C$5),Keys!$C$4)</f>
        <v>0.99819999999999998</v>
      </c>
      <c r="K326">
        <f>IF($D326=1,ROUND(Keys!$C$2/(INDEX(Src_SYSHECF_nuclear!$I$5:$I$292,MATCH($C326,Src_SYSHECF_nuclear!$C$5:$C$292,0))*$E326),Keys!$C$5),Keys!$C$4)</f>
        <v>0.99819999999999998</v>
      </c>
      <c r="L326">
        <f>IF($D326=1,ROUND(Keys!$C$2/(INDEX(Src_SYSHECF_nuclear!$J$5:$J$292,MATCH($C326,Src_SYSHECF_nuclear!$C$5:$C$292,0))*$E326),Keys!$C$5),Keys!$C$4)</f>
        <v>0.99819999999999998</v>
      </c>
      <c r="M326">
        <f>IF($D326=1,ROUND(Keys!$C$2/(INDEX(Src_SYSHECF_nuclear!$K$5:$K$292,MATCH($C326,Src_SYSHECF_nuclear!$C$5:$C$292,0))*$E326),Keys!$C$5),Keys!$C$4)</f>
        <v>0.99819999999999998</v>
      </c>
      <c r="N326">
        <f>IF($D326=1,ROUND(Keys!$C$2/(INDEX(Src_SYSHECF_nuclear!$L$5:$L$292,MATCH($C326,Src_SYSHECF_nuclear!$C$5:$C$292,0))*$E326),Keys!$C$5),Keys!$C$4)</f>
        <v>0.99819999999999998</v>
      </c>
      <c r="O326">
        <f>IF($D326=1,ROUND(Keys!$C$2/(INDEX(Src_SYSHECF_nuclear!$M$5:$M$292,MATCH($C326,Src_SYSHECF_nuclear!$C$5:$C$292,0))*$E326),Keys!$C$5),Keys!$C$4)</f>
        <v>0.99819999999999998</v>
      </c>
      <c r="P326">
        <f>IF($D326=1,ROUND(Keys!$C$2/(INDEX(Src_SYSHECF_nuclear!$N$5:$N$292,MATCH($C326,Src_SYSHECF_nuclear!$C$5:$C$292,0))*$E326),Keys!$C$5),Keys!$C$4)</f>
        <v>0.99819999999999998</v>
      </c>
      <c r="Q326">
        <f>IF($D326=1,ROUND(Keys!$C$2/(INDEX(Src_SYSHECF_nuclear!$O$5:$O$292,MATCH($C326,Src_SYSHECF_nuclear!$C$5:$C$292,0))*$E326),Keys!$C$5),Keys!$C$4)</f>
        <v>0.99819999999999998</v>
      </c>
      <c r="R326">
        <f>IF($D326=1,ROUND(Keys!$C$2/(INDEX(Src_SYSHECF_nuclear!$P$5:$P$292,MATCH($C326,Src_SYSHECF_nuclear!$C$5:$C$292,0))*$E326),Keys!$C$5),Keys!$C$4)</f>
        <v>0.99819999999999998</v>
      </c>
      <c r="S326">
        <f>IF($D326=1,ROUND(Keys!$C$2/(INDEX(Src_SYSHECF_nuclear!$Q$5:$Q$292,MATCH($C326,Src_SYSHECF_nuclear!$C$5:$C$292,0))*$E326),Keys!$C$5),Keys!$C$4)</f>
        <v>0.99819999999999998</v>
      </c>
      <c r="T326">
        <f>IF($D326=1,ROUND(Keys!$C$2/(INDEX(Src_SYSHECF_nuclear!$R$5:$R$292,MATCH($C326,Src_SYSHECF_nuclear!$C$5:$C$292,0))*$E326),Keys!$C$5),Keys!$C$4)</f>
        <v>0.99819999999999998</v>
      </c>
      <c r="U326">
        <f>IF($D326=1,ROUND(Keys!$C$2/(INDEX(Src_SYSHECF_nuclear!$S$5:$S$292,MATCH($C326,Src_SYSHECF_nuclear!$C$5:$C$292,0))*$E326),Keys!$C$5),Keys!$C$4)</f>
        <v>0.99819999999999998</v>
      </c>
      <c r="V326">
        <f>IF($D326=1,ROUND(Keys!$C$2/(INDEX(Src_SYSHECF_nuclear!$T$5:$T$292,MATCH($C326,Src_SYSHECF_nuclear!$C$5:$C$292,0))*$E326),Keys!$C$5),Keys!$C$4)</f>
        <v>0.99819999999999998</v>
      </c>
      <c r="W326">
        <f>IF($D326=1,ROUND(Keys!$C$2/(INDEX(Src_SYSHECF_nuclear!$U$5:$U$292,MATCH($C326,Src_SYSHECF_nuclear!$C$5:$C$292,0))*$E326),Keys!$C$5),Keys!$C$4)</f>
        <v>0.99819999999999998</v>
      </c>
      <c r="X326">
        <f>IF($D326=1,ROUND(Keys!$C$2/(INDEX(Src_SYSHECF_nuclear!$V$5:$V$292,MATCH($C326,Src_SYSHECF_nuclear!$C$5:$C$292,0))*$E326),Keys!$C$5),Keys!$C$4)</f>
        <v>0.99819999999999998</v>
      </c>
      <c r="Y326">
        <f>IF($D326=1,ROUND(Keys!$C$2/(INDEX(Src_SYSHECF_nuclear!$W$5:$W$292,MATCH($C326,Src_SYSHECF_nuclear!$C$5:$C$292,0))*$E326),Keys!$C$5),Keys!$C$4)</f>
        <v>0.99819999999999998</v>
      </c>
      <c r="Z326">
        <f>IF($D326=1,ROUND(Keys!$C$2/(INDEX(Src_SYSHECF_nuclear!$X$5:$X$292,MATCH($C326,Src_SYSHECF_nuclear!$C$5:$C$292,0))*$E326),Keys!$C$5),Keys!$C$4)</f>
        <v>0.99819999999999998</v>
      </c>
      <c r="AA326">
        <f>IF($D326=1,ROUND(Keys!$C$2/(INDEX(Src_SYSHECF_nuclear!$Y$5:$Y$292,MATCH($C326,Src_SYSHECF_nuclear!$C$5:$C$292,0))*$E326),Keys!$C$5),Keys!$C$4)</f>
        <v>0.99819999999999998</v>
      </c>
      <c r="AB326">
        <f>IF($D326=1,ROUND(Keys!$C$2/(INDEX(Src_SYSHECF_nuclear!$Z$5:$Z$292,MATCH($C326,Src_SYSHECF_nuclear!$C$5:$C$292,0))*$E326),Keys!$C$5),Keys!$C$4)</f>
        <v>0.99819999999999998</v>
      </c>
      <c r="AC326">
        <f>IF($D326=1,ROUND(Keys!$C$2/(INDEX(Src_SYSHECF_nuclear!$AA$5:$AA$292,MATCH($C326,Src_SYSHECF_nuclear!$C$5:$C$292,0))*$E326),Keys!$C$5),Keys!$C$4)</f>
        <v>0.99819999999999998</v>
      </c>
      <c r="AE326">
        <f>IF($D326=1,IF(ABS(INDEX(Src_SYSHECF_nuclear!$D$5:$D$292,MATCH($C326,Src_SYSHECF_nuclear!$C$5:$C$292,0))*$E326*F326-Keys!$C$2)&gt;Keys!$C$6,1,0),0)</f>
        <v>0</v>
      </c>
    </row>
    <row r="327" spans="1:31" x14ac:dyDescent="0.45">
      <c r="A327" t="s">
        <v>114</v>
      </c>
      <c r="B327" t="s">
        <v>425</v>
      </c>
      <c r="C327" t="str">
        <f t="shared" si="5"/>
        <v>WI|Spring</v>
      </c>
      <c r="D327">
        <f>INDEX(Src_BHRaSYC_nuclear!$HF$5:$HF$52,MATCH($A327,Src_BHRaSYC_nuclear!$A$5:$A$52,0))</f>
        <v>1</v>
      </c>
      <c r="E327">
        <f>INDEX(Src_HYECFCA_nuclear!$B$5:$B$52,MATCH($A327,Src_HYECFCA_nuclear!$A$5:$A$52,0))</f>
        <v>0.99962499999999999</v>
      </c>
      <c r="F327">
        <f>IF($D327=1,ROUND(Keys!$C$2/(INDEX(Src_SYSHECF_nuclear!$D$5:$D$292,MATCH($C327,Src_SYSHECF_nuclear!$C$5:$C$292,0))*$E327),Keys!$C$5),Keys!$C$4)</f>
        <v>1.0011000000000001</v>
      </c>
      <c r="G327">
        <f>IF($D327=1,ROUND(Keys!$C$2/(INDEX(Src_SYSHECF_nuclear!$E$5:$E$292,MATCH($C327,Src_SYSHECF_nuclear!$C$5:$C$292,0))*$E327),Keys!$C$5),Keys!$C$4)</f>
        <v>0.99819999999999998</v>
      </c>
      <c r="H327">
        <f>IF($D327=1,ROUND(Keys!$C$2/(INDEX(Src_SYSHECF_nuclear!$F$5:$F$292,MATCH($C327,Src_SYSHECF_nuclear!$C$5:$C$292,0))*$E327),Keys!$C$5),Keys!$C$4)</f>
        <v>0.99819999999999998</v>
      </c>
      <c r="I327">
        <f>IF($D327=1,ROUND(Keys!$C$2/(INDEX(Src_SYSHECF_nuclear!$G$5:$G$292,MATCH($C327,Src_SYSHECF_nuclear!$C$5:$C$292,0))*$E327),Keys!$C$5),Keys!$C$4)</f>
        <v>0.99819999999999998</v>
      </c>
      <c r="J327">
        <f>IF($D327=1,ROUND(Keys!$C$2/(INDEX(Src_SYSHECF_nuclear!$H$5:$H$292,MATCH($C327,Src_SYSHECF_nuclear!$C$5:$C$292,0))*$E327),Keys!$C$5),Keys!$C$4)</f>
        <v>0.99819999999999998</v>
      </c>
      <c r="K327">
        <f>IF($D327=1,ROUND(Keys!$C$2/(INDEX(Src_SYSHECF_nuclear!$I$5:$I$292,MATCH($C327,Src_SYSHECF_nuclear!$C$5:$C$292,0))*$E327),Keys!$C$5),Keys!$C$4)</f>
        <v>0.99819999999999998</v>
      </c>
      <c r="L327">
        <f>IF($D327=1,ROUND(Keys!$C$2/(INDEX(Src_SYSHECF_nuclear!$J$5:$J$292,MATCH($C327,Src_SYSHECF_nuclear!$C$5:$C$292,0))*$E327),Keys!$C$5),Keys!$C$4)</f>
        <v>0.99819999999999998</v>
      </c>
      <c r="M327">
        <f>IF($D327=1,ROUND(Keys!$C$2/(INDEX(Src_SYSHECF_nuclear!$K$5:$K$292,MATCH($C327,Src_SYSHECF_nuclear!$C$5:$C$292,0))*$E327),Keys!$C$5),Keys!$C$4)</f>
        <v>0.99819999999999998</v>
      </c>
      <c r="N327">
        <f>IF($D327=1,ROUND(Keys!$C$2/(INDEX(Src_SYSHECF_nuclear!$L$5:$L$292,MATCH($C327,Src_SYSHECF_nuclear!$C$5:$C$292,0))*$E327),Keys!$C$5),Keys!$C$4)</f>
        <v>0.99819999999999998</v>
      </c>
      <c r="O327">
        <f>IF($D327=1,ROUND(Keys!$C$2/(INDEX(Src_SYSHECF_nuclear!$M$5:$M$292,MATCH($C327,Src_SYSHECF_nuclear!$C$5:$C$292,0))*$E327),Keys!$C$5),Keys!$C$4)</f>
        <v>0.99819999999999998</v>
      </c>
      <c r="P327">
        <f>IF($D327=1,ROUND(Keys!$C$2/(INDEX(Src_SYSHECF_nuclear!$N$5:$N$292,MATCH($C327,Src_SYSHECF_nuclear!$C$5:$C$292,0))*$E327),Keys!$C$5),Keys!$C$4)</f>
        <v>0.99819999999999998</v>
      </c>
      <c r="Q327">
        <f>IF($D327=1,ROUND(Keys!$C$2/(INDEX(Src_SYSHECF_nuclear!$O$5:$O$292,MATCH($C327,Src_SYSHECF_nuclear!$C$5:$C$292,0))*$E327),Keys!$C$5),Keys!$C$4)</f>
        <v>0.99819999999999998</v>
      </c>
      <c r="R327">
        <f>IF($D327=1,ROUND(Keys!$C$2/(INDEX(Src_SYSHECF_nuclear!$P$5:$P$292,MATCH($C327,Src_SYSHECF_nuclear!$C$5:$C$292,0))*$E327),Keys!$C$5),Keys!$C$4)</f>
        <v>0.99819999999999998</v>
      </c>
      <c r="S327">
        <f>IF($D327=1,ROUND(Keys!$C$2/(INDEX(Src_SYSHECF_nuclear!$Q$5:$Q$292,MATCH($C327,Src_SYSHECF_nuclear!$C$5:$C$292,0))*$E327),Keys!$C$5),Keys!$C$4)</f>
        <v>0.99819999999999998</v>
      </c>
      <c r="T327">
        <f>IF($D327=1,ROUND(Keys!$C$2/(INDEX(Src_SYSHECF_nuclear!$R$5:$R$292,MATCH($C327,Src_SYSHECF_nuclear!$C$5:$C$292,0))*$E327),Keys!$C$5),Keys!$C$4)</f>
        <v>0.99819999999999998</v>
      </c>
      <c r="U327">
        <f>IF($D327=1,ROUND(Keys!$C$2/(INDEX(Src_SYSHECF_nuclear!$S$5:$S$292,MATCH($C327,Src_SYSHECF_nuclear!$C$5:$C$292,0))*$E327),Keys!$C$5),Keys!$C$4)</f>
        <v>0.99819999999999998</v>
      </c>
      <c r="V327">
        <f>IF($D327=1,ROUND(Keys!$C$2/(INDEX(Src_SYSHECF_nuclear!$T$5:$T$292,MATCH($C327,Src_SYSHECF_nuclear!$C$5:$C$292,0))*$E327),Keys!$C$5),Keys!$C$4)</f>
        <v>0.99819999999999998</v>
      </c>
      <c r="W327">
        <f>IF($D327=1,ROUND(Keys!$C$2/(INDEX(Src_SYSHECF_nuclear!$U$5:$U$292,MATCH($C327,Src_SYSHECF_nuclear!$C$5:$C$292,0))*$E327),Keys!$C$5),Keys!$C$4)</f>
        <v>0.99819999999999998</v>
      </c>
      <c r="X327">
        <f>IF($D327=1,ROUND(Keys!$C$2/(INDEX(Src_SYSHECF_nuclear!$V$5:$V$292,MATCH($C327,Src_SYSHECF_nuclear!$C$5:$C$292,0))*$E327),Keys!$C$5),Keys!$C$4)</f>
        <v>0.99819999999999998</v>
      </c>
      <c r="Y327">
        <f>IF($D327=1,ROUND(Keys!$C$2/(INDEX(Src_SYSHECF_nuclear!$W$5:$W$292,MATCH($C327,Src_SYSHECF_nuclear!$C$5:$C$292,0))*$E327),Keys!$C$5),Keys!$C$4)</f>
        <v>0.99819999999999998</v>
      </c>
      <c r="Z327">
        <f>IF($D327=1,ROUND(Keys!$C$2/(INDEX(Src_SYSHECF_nuclear!$X$5:$X$292,MATCH($C327,Src_SYSHECF_nuclear!$C$5:$C$292,0))*$E327),Keys!$C$5),Keys!$C$4)</f>
        <v>0.99819999999999998</v>
      </c>
      <c r="AA327">
        <f>IF($D327=1,ROUND(Keys!$C$2/(INDEX(Src_SYSHECF_nuclear!$Y$5:$Y$292,MATCH($C327,Src_SYSHECF_nuclear!$C$5:$C$292,0))*$E327),Keys!$C$5),Keys!$C$4)</f>
        <v>0.99819999999999998</v>
      </c>
      <c r="AB327">
        <f>IF($D327=1,ROUND(Keys!$C$2/(INDEX(Src_SYSHECF_nuclear!$Z$5:$Z$292,MATCH($C327,Src_SYSHECF_nuclear!$C$5:$C$292,0))*$E327),Keys!$C$5),Keys!$C$4)</f>
        <v>0.99819999999999998</v>
      </c>
      <c r="AC327">
        <f>IF($D327=1,ROUND(Keys!$C$2/(INDEX(Src_SYSHECF_nuclear!$AA$5:$AA$292,MATCH($C327,Src_SYSHECF_nuclear!$C$5:$C$292,0))*$E327),Keys!$C$5),Keys!$C$4)</f>
        <v>0.99819999999999998</v>
      </c>
      <c r="AE327">
        <f>IF($D327=1,IF(ABS(INDEX(Src_SYSHECF_nuclear!$D$5:$D$292,MATCH($C327,Src_SYSHECF_nuclear!$C$5:$C$292,0))*$E327*F327-Keys!$C$2)&gt;Keys!$C$6,1,0),0)</f>
        <v>0</v>
      </c>
    </row>
    <row r="328" spans="1:31" x14ac:dyDescent="0.45">
      <c r="A328" t="s">
        <v>114</v>
      </c>
      <c r="B328" t="s">
        <v>426</v>
      </c>
      <c r="C328" t="str">
        <f t="shared" si="5"/>
        <v>WI|Summer</v>
      </c>
      <c r="D328">
        <f>INDEX(Src_BHRaSYC_nuclear!$HF$5:$HF$52,MATCH($A328,Src_BHRaSYC_nuclear!$A$5:$A$52,0))</f>
        <v>1</v>
      </c>
      <c r="E328">
        <f>INDEX(Src_HYECFCA_nuclear!$B$5:$B$52,MATCH($A328,Src_HYECFCA_nuclear!$A$5:$A$52,0))</f>
        <v>0.99962499999999999</v>
      </c>
      <c r="F328">
        <f>IF($D328=1,ROUND(Keys!$C$2/(INDEX(Src_SYSHECF_nuclear!$D$5:$D$292,MATCH($C328,Src_SYSHECF_nuclear!$C$5:$C$292,0))*$E328),Keys!$C$5),Keys!$C$4)</f>
        <v>0.99819999999999998</v>
      </c>
      <c r="G328">
        <f>IF($D328=1,ROUND(Keys!$C$2/(INDEX(Src_SYSHECF_nuclear!$E$5:$E$292,MATCH($C328,Src_SYSHECF_nuclear!$C$5:$C$292,0))*$E328),Keys!$C$5),Keys!$C$4)</f>
        <v>0.99819999999999998</v>
      </c>
      <c r="H328">
        <f>IF($D328=1,ROUND(Keys!$C$2/(INDEX(Src_SYSHECF_nuclear!$F$5:$F$292,MATCH($C328,Src_SYSHECF_nuclear!$C$5:$C$292,0))*$E328),Keys!$C$5),Keys!$C$4)</f>
        <v>0.99819999999999998</v>
      </c>
      <c r="I328">
        <f>IF($D328=1,ROUND(Keys!$C$2/(INDEX(Src_SYSHECF_nuclear!$G$5:$G$292,MATCH($C328,Src_SYSHECF_nuclear!$C$5:$C$292,0))*$E328),Keys!$C$5),Keys!$C$4)</f>
        <v>0.99819999999999998</v>
      </c>
      <c r="J328">
        <f>IF($D328=1,ROUND(Keys!$C$2/(INDEX(Src_SYSHECF_nuclear!$H$5:$H$292,MATCH($C328,Src_SYSHECF_nuclear!$C$5:$C$292,0))*$E328),Keys!$C$5),Keys!$C$4)</f>
        <v>0.99819999999999998</v>
      </c>
      <c r="K328">
        <f>IF($D328=1,ROUND(Keys!$C$2/(INDEX(Src_SYSHECF_nuclear!$I$5:$I$292,MATCH($C328,Src_SYSHECF_nuclear!$C$5:$C$292,0))*$E328),Keys!$C$5),Keys!$C$4)</f>
        <v>1.0103</v>
      </c>
      <c r="L328">
        <f>IF($D328=1,ROUND(Keys!$C$2/(INDEX(Src_SYSHECF_nuclear!$J$5:$J$292,MATCH($C328,Src_SYSHECF_nuclear!$C$5:$C$292,0))*$E328),Keys!$C$5),Keys!$C$4)</f>
        <v>1.0042</v>
      </c>
      <c r="M328">
        <f>IF($D328=1,ROUND(Keys!$C$2/(INDEX(Src_SYSHECF_nuclear!$K$5:$K$292,MATCH($C328,Src_SYSHECF_nuclear!$C$5:$C$292,0))*$E328),Keys!$C$5),Keys!$C$4)</f>
        <v>0.99819999999999998</v>
      </c>
      <c r="N328">
        <f>IF($D328=1,ROUND(Keys!$C$2/(INDEX(Src_SYSHECF_nuclear!$L$5:$L$292,MATCH($C328,Src_SYSHECF_nuclear!$C$5:$C$292,0))*$E328),Keys!$C$5),Keys!$C$4)</f>
        <v>0.99819999999999998</v>
      </c>
      <c r="O328">
        <f>IF($D328=1,ROUND(Keys!$C$2/(INDEX(Src_SYSHECF_nuclear!$M$5:$M$292,MATCH($C328,Src_SYSHECF_nuclear!$C$5:$C$292,0))*$E328),Keys!$C$5),Keys!$C$4)</f>
        <v>0.99819999999999998</v>
      </c>
      <c r="P328">
        <f>IF($D328=1,ROUND(Keys!$C$2/(INDEX(Src_SYSHECF_nuclear!$N$5:$N$292,MATCH($C328,Src_SYSHECF_nuclear!$C$5:$C$292,0))*$E328),Keys!$C$5),Keys!$C$4)</f>
        <v>0.99819999999999998</v>
      </c>
      <c r="Q328">
        <f>IF($D328=1,ROUND(Keys!$C$2/(INDEX(Src_SYSHECF_nuclear!$O$5:$O$292,MATCH($C328,Src_SYSHECF_nuclear!$C$5:$C$292,0))*$E328),Keys!$C$5),Keys!$C$4)</f>
        <v>0.99819999999999998</v>
      </c>
      <c r="R328">
        <f>IF($D328=1,ROUND(Keys!$C$2/(INDEX(Src_SYSHECF_nuclear!$P$5:$P$292,MATCH($C328,Src_SYSHECF_nuclear!$C$5:$C$292,0))*$E328),Keys!$C$5),Keys!$C$4)</f>
        <v>0.99819999999999998</v>
      </c>
      <c r="S328">
        <f>IF($D328=1,ROUND(Keys!$C$2/(INDEX(Src_SYSHECF_nuclear!$Q$5:$Q$292,MATCH($C328,Src_SYSHECF_nuclear!$C$5:$C$292,0))*$E328),Keys!$C$5),Keys!$C$4)</f>
        <v>0.99819999999999998</v>
      </c>
      <c r="T328">
        <f>IF($D328=1,ROUND(Keys!$C$2/(INDEX(Src_SYSHECF_nuclear!$R$5:$R$292,MATCH($C328,Src_SYSHECF_nuclear!$C$5:$C$292,0))*$E328),Keys!$C$5),Keys!$C$4)</f>
        <v>0.99819999999999998</v>
      </c>
      <c r="U328">
        <f>IF($D328=1,ROUND(Keys!$C$2/(INDEX(Src_SYSHECF_nuclear!$S$5:$S$292,MATCH($C328,Src_SYSHECF_nuclear!$C$5:$C$292,0))*$E328),Keys!$C$5),Keys!$C$4)</f>
        <v>0.99819999999999998</v>
      </c>
      <c r="V328">
        <f>IF($D328=1,ROUND(Keys!$C$2/(INDEX(Src_SYSHECF_nuclear!$T$5:$T$292,MATCH($C328,Src_SYSHECF_nuclear!$C$5:$C$292,0))*$E328),Keys!$C$5),Keys!$C$4)</f>
        <v>0.99819999999999998</v>
      </c>
      <c r="W328">
        <f>IF($D328=1,ROUND(Keys!$C$2/(INDEX(Src_SYSHECF_nuclear!$U$5:$U$292,MATCH($C328,Src_SYSHECF_nuclear!$C$5:$C$292,0))*$E328),Keys!$C$5),Keys!$C$4)</f>
        <v>0.99819999999999998</v>
      </c>
      <c r="X328">
        <f>IF($D328=1,ROUND(Keys!$C$2/(INDEX(Src_SYSHECF_nuclear!$V$5:$V$292,MATCH($C328,Src_SYSHECF_nuclear!$C$5:$C$292,0))*$E328),Keys!$C$5),Keys!$C$4)</f>
        <v>0.99819999999999998</v>
      </c>
      <c r="Y328">
        <f>IF($D328=1,ROUND(Keys!$C$2/(INDEX(Src_SYSHECF_nuclear!$W$5:$W$292,MATCH($C328,Src_SYSHECF_nuclear!$C$5:$C$292,0))*$E328),Keys!$C$5),Keys!$C$4)</f>
        <v>0.99819999999999998</v>
      </c>
      <c r="Z328">
        <f>IF($D328=1,ROUND(Keys!$C$2/(INDEX(Src_SYSHECF_nuclear!$X$5:$X$292,MATCH($C328,Src_SYSHECF_nuclear!$C$5:$C$292,0))*$E328),Keys!$C$5),Keys!$C$4)</f>
        <v>0.99819999999999998</v>
      </c>
      <c r="AA328">
        <f>IF($D328=1,ROUND(Keys!$C$2/(INDEX(Src_SYSHECF_nuclear!$Y$5:$Y$292,MATCH($C328,Src_SYSHECF_nuclear!$C$5:$C$292,0))*$E328),Keys!$C$5),Keys!$C$4)</f>
        <v>0.99819999999999998</v>
      </c>
      <c r="AB328">
        <f>IF($D328=1,ROUND(Keys!$C$2/(INDEX(Src_SYSHECF_nuclear!$Z$5:$Z$292,MATCH($C328,Src_SYSHECF_nuclear!$C$5:$C$292,0))*$E328),Keys!$C$5),Keys!$C$4)</f>
        <v>0.99819999999999998</v>
      </c>
      <c r="AC328">
        <f>IF($D328=1,ROUND(Keys!$C$2/(INDEX(Src_SYSHECF_nuclear!$AA$5:$AA$292,MATCH($C328,Src_SYSHECF_nuclear!$C$5:$C$292,0))*$E328),Keys!$C$5),Keys!$C$4)</f>
        <v>0.99819999999999998</v>
      </c>
      <c r="AE328">
        <f>IF($D328=1,IF(ABS(INDEX(Src_SYSHECF_nuclear!$D$5:$D$292,MATCH($C328,Src_SYSHECF_nuclear!$C$5:$C$292,0))*$E328*F328-Keys!$C$2)&gt;Keys!$C$6,1,0),0)</f>
        <v>0</v>
      </c>
    </row>
    <row r="329" spans="1:31" x14ac:dyDescent="0.45">
      <c r="A329" t="s">
        <v>114</v>
      </c>
      <c r="B329" t="s">
        <v>427</v>
      </c>
      <c r="C329" t="str">
        <f t="shared" si="5"/>
        <v>WI|Fall</v>
      </c>
      <c r="D329">
        <f>INDEX(Src_BHRaSYC_nuclear!$HF$5:$HF$52,MATCH($A329,Src_BHRaSYC_nuclear!$A$5:$A$52,0))</f>
        <v>1</v>
      </c>
      <c r="E329">
        <f>INDEX(Src_HYECFCA_nuclear!$B$5:$B$52,MATCH($A329,Src_HYECFCA_nuclear!$A$5:$A$52,0))</f>
        <v>0.99962499999999999</v>
      </c>
      <c r="F329">
        <f>IF($D329=1,ROUND(Keys!$C$2/(INDEX(Src_SYSHECF_nuclear!$D$5:$D$292,MATCH($C329,Src_SYSHECF_nuclear!$C$5:$C$292,0))*$E329),Keys!$C$5),Keys!$C$4)</f>
        <v>0.99819999999999998</v>
      </c>
      <c r="G329">
        <f>IF($D329=1,ROUND(Keys!$C$2/(INDEX(Src_SYSHECF_nuclear!$E$5:$E$292,MATCH($C329,Src_SYSHECF_nuclear!$C$5:$C$292,0))*$E329),Keys!$C$5),Keys!$C$4)</f>
        <v>0.99819999999999998</v>
      </c>
      <c r="H329">
        <f>IF($D329=1,ROUND(Keys!$C$2/(INDEX(Src_SYSHECF_nuclear!$F$5:$F$292,MATCH($C329,Src_SYSHECF_nuclear!$C$5:$C$292,0))*$E329),Keys!$C$5),Keys!$C$4)</f>
        <v>0.99819999999999998</v>
      </c>
      <c r="I329">
        <f>IF($D329=1,ROUND(Keys!$C$2/(INDEX(Src_SYSHECF_nuclear!$G$5:$G$292,MATCH($C329,Src_SYSHECF_nuclear!$C$5:$C$292,0))*$E329),Keys!$C$5),Keys!$C$4)</f>
        <v>0.99819999999999998</v>
      </c>
      <c r="J329">
        <f>IF($D329=1,ROUND(Keys!$C$2/(INDEX(Src_SYSHECF_nuclear!$H$5:$H$292,MATCH($C329,Src_SYSHECF_nuclear!$C$5:$C$292,0))*$E329),Keys!$C$5),Keys!$C$4)</f>
        <v>0.99819999999999998</v>
      </c>
      <c r="K329">
        <f>IF($D329=1,ROUND(Keys!$C$2/(INDEX(Src_SYSHECF_nuclear!$I$5:$I$292,MATCH($C329,Src_SYSHECF_nuclear!$C$5:$C$292,0))*$E329),Keys!$C$5),Keys!$C$4)</f>
        <v>1.0058</v>
      </c>
      <c r="L329">
        <f>IF($D329=1,ROUND(Keys!$C$2/(INDEX(Src_SYSHECF_nuclear!$J$5:$J$292,MATCH($C329,Src_SYSHECF_nuclear!$C$5:$C$292,0))*$E329),Keys!$C$5),Keys!$C$4)</f>
        <v>1.0006999999999999</v>
      </c>
      <c r="M329">
        <f>IF($D329=1,ROUND(Keys!$C$2/(INDEX(Src_SYSHECF_nuclear!$K$5:$K$292,MATCH($C329,Src_SYSHECF_nuclear!$C$5:$C$292,0))*$E329),Keys!$C$5),Keys!$C$4)</f>
        <v>0.99819999999999998</v>
      </c>
      <c r="N329">
        <f>IF($D329=1,ROUND(Keys!$C$2/(INDEX(Src_SYSHECF_nuclear!$L$5:$L$292,MATCH($C329,Src_SYSHECF_nuclear!$C$5:$C$292,0))*$E329),Keys!$C$5),Keys!$C$4)</f>
        <v>0.99819999999999998</v>
      </c>
      <c r="O329">
        <f>IF($D329=1,ROUND(Keys!$C$2/(INDEX(Src_SYSHECF_nuclear!$M$5:$M$292,MATCH($C329,Src_SYSHECF_nuclear!$C$5:$C$292,0))*$E329),Keys!$C$5),Keys!$C$4)</f>
        <v>0.99819999999999998</v>
      </c>
      <c r="P329">
        <f>IF($D329=1,ROUND(Keys!$C$2/(INDEX(Src_SYSHECF_nuclear!$N$5:$N$292,MATCH($C329,Src_SYSHECF_nuclear!$C$5:$C$292,0))*$E329),Keys!$C$5),Keys!$C$4)</f>
        <v>0.99819999999999998</v>
      </c>
      <c r="Q329">
        <f>IF($D329=1,ROUND(Keys!$C$2/(INDEX(Src_SYSHECF_nuclear!$O$5:$O$292,MATCH($C329,Src_SYSHECF_nuclear!$C$5:$C$292,0))*$E329),Keys!$C$5),Keys!$C$4)</f>
        <v>0.99819999999999998</v>
      </c>
      <c r="R329">
        <f>IF($D329=1,ROUND(Keys!$C$2/(INDEX(Src_SYSHECF_nuclear!$P$5:$P$292,MATCH($C329,Src_SYSHECF_nuclear!$C$5:$C$292,0))*$E329),Keys!$C$5),Keys!$C$4)</f>
        <v>0.99819999999999998</v>
      </c>
      <c r="S329">
        <f>IF($D329=1,ROUND(Keys!$C$2/(INDEX(Src_SYSHECF_nuclear!$Q$5:$Q$292,MATCH($C329,Src_SYSHECF_nuclear!$C$5:$C$292,0))*$E329),Keys!$C$5),Keys!$C$4)</f>
        <v>0.99819999999999998</v>
      </c>
      <c r="T329">
        <f>IF($D329=1,ROUND(Keys!$C$2/(INDEX(Src_SYSHECF_nuclear!$R$5:$R$292,MATCH($C329,Src_SYSHECF_nuclear!$C$5:$C$292,0))*$E329),Keys!$C$5),Keys!$C$4)</f>
        <v>0.99819999999999998</v>
      </c>
      <c r="U329">
        <f>IF($D329=1,ROUND(Keys!$C$2/(INDEX(Src_SYSHECF_nuclear!$S$5:$S$292,MATCH($C329,Src_SYSHECF_nuclear!$C$5:$C$292,0))*$E329),Keys!$C$5),Keys!$C$4)</f>
        <v>0.99819999999999998</v>
      </c>
      <c r="V329">
        <f>IF($D329=1,ROUND(Keys!$C$2/(INDEX(Src_SYSHECF_nuclear!$T$5:$T$292,MATCH($C329,Src_SYSHECF_nuclear!$C$5:$C$292,0))*$E329),Keys!$C$5),Keys!$C$4)</f>
        <v>0.99819999999999998</v>
      </c>
      <c r="W329">
        <f>IF($D329=1,ROUND(Keys!$C$2/(INDEX(Src_SYSHECF_nuclear!$U$5:$U$292,MATCH($C329,Src_SYSHECF_nuclear!$C$5:$C$292,0))*$E329),Keys!$C$5),Keys!$C$4)</f>
        <v>0.99819999999999998</v>
      </c>
      <c r="X329">
        <f>IF($D329=1,ROUND(Keys!$C$2/(INDEX(Src_SYSHECF_nuclear!$V$5:$V$292,MATCH($C329,Src_SYSHECF_nuclear!$C$5:$C$292,0))*$E329),Keys!$C$5),Keys!$C$4)</f>
        <v>0.99819999999999998</v>
      </c>
      <c r="Y329">
        <f>IF($D329=1,ROUND(Keys!$C$2/(INDEX(Src_SYSHECF_nuclear!$W$5:$W$292,MATCH($C329,Src_SYSHECF_nuclear!$C$5:$C$292,0))*$E329),Keys!$C$5),Keys!$C$4)</f>
        <v>0.99819999999999998</v>
      </c>
      <c r="Z329">
        <f>IF($D329=1,ROUND(Keys!$C$2/(INDEX(Src_SYSHECF_nuclear!$X$5:$X$292,MATCH($C329,Src_SYSHECF_nuclear!$C$5:$C$292,0))*$E329),Keys!$C$5),Keys!$C$4)</f>
        <v>0.99819999999999998</v>
      </c>
      <c r="AA329">
        <f>IF($D329=1,ROUND(Keys!$C$2/(INDEX(Src_SYSHECF_nuclear!$Y$5:$Y$292,MATCH($C329,Src_SYSHECF_nuclear!$C$5:$C$292,0))*$E329),Keys!$C$5),Keys!$C$4)</f>
        <v>0.99819999999999998</v>
      </c>
      <c r="AB329">
        <f>IF($D329=1,ROUND(Keys!$C$2/(INDEX(Src_SYSHECF_nuclear!$Z$5:$Z$292,MATCH($C329,Src_SYSHECF_nuclear!$C$5:$C$292,0))*$E329),Keys!$C$5),Keys!$C$4)</f>
        <v>0.99819999999999998</v>
      </c>
      <c r="AC329">
        <f>IF($D329=1,ROUND(Keys!$C$2/(INDEX(Src_SYSHECF_nuclear!$AA$5:$AA$292,MATCH($C329,Src_SYSHECF_nuclear!$C$5:$C$292,0))*$E329),Keys!$C$5),Keys!$C$4)</f>
        <v>0.99819999999999998</v>
      </c>
      <c r="AE329">
        <f>IF($D329=1,IF(ABS(INDEX(Src_SYSHECF_nuclear!$D$5:$D$292,MATCH($C329,Src_SYSHECF_nuclear!$C$5:$C$292,0))*$E329*F329-Keys!$C$2)&gt;Keys!$C$6,1,0),0)</f>
        <v>0</v>
      </c>
    </row>
    <row r="330" spans="1:31" x14ac:dyDescent="0.45">
      <c r="A330" t="s">
        <v>114</v>
      </c>
      <c r="B330" t="s">
        <v>428</v>
      </c>
      <c r="C330" t="str">
        <f t="shared" si="5"/>
        <v>WI|Summer Peak</v>
      </c>
      <c r="D330">
        <f>INDEX(Src_BHRaSYC_nuclear!$HF$5:$HF$52,MATCH($A330,Src_BHRaSYC_nuclear!$A$5:$A$52,0))</f>
        <v>1</v>
      </c>
      <c r="E330">
        <f>INDEX(Src_HYECFCA_nuclear!$B$5:$B$52,MATCH($A330,Src_HYECFCA_nuclear!$A$5:$A$52,0))</f>
        <v>0.99962499999999999</v>
      </c>
      <c r="F330">
        <f>IF($D330=1,ROUND(Keys!$C$2/(INDEX(Src_SYSHECF_nuclear!$D$5:$D$292,MATCH($C330,Src_SYSHECF_nuclear!$C$5:$C$292,0))*$E330),Keys!$C$5),Keys!$C$4)</f>
        <v>0.99819999999999998</v>
      </c>
      <c r="G330">
        <f>IF($D330=1,ROUND(Keys!$C$2/(INDEX(Src_SYSHECF_nuclear!$E$5:$E$292,MATCH($C330,Src_SYSHECF_nuclear!$C$5:$C$292,0))*$E330),Keys!$C$5),Keys!$C$4)</f>
        <v>0.99819999999999998</v>
      </c>
      <c r="H330">
        <f>IF($D330=1,ROUND(Keys!$C$2/(INDEX(Src_SYSHECF_nuclear!$F$5:$F$292,MATCH($C330,Src_SYSHECF_nuclear!$C$5:$C$292,0))*$E330),Keys!$C$5),Keys!$C$4)</f>
        <v>0.99819999999999998</v>
      </c>
      <c r="I330">
        <f>IF($D330=1,ROUND(Keys!$C$2/(INDEX(Src_SYSHECF_nuclear!$G$5:$G$292,MATCH($C330,Src_SYSHECF_nuclear!$C$5:$C$292,0))*$E330),Keys!$C$5),Keys!$C$4)</f>
        <v>0.99819999999999998</v>
      </c>
      <c r="J330">
        <f>IF($D330=1,ROUND(Keys!$C$2/(INDEX(Src_SYSHECF_nuclear!$H$5:$H$292,MATCH($C330,Src_SYSHECF_nuclear!$C$5:$C$292,0))*$E330),Keys!$C$5),Keys!$C$4)</f>
        <v>0.99819999999999998</v>
      </c>
      <c r="K330">
        <f>IF($D330=1,ROUND(Keys!$C$2/(INDEX(Src_SYSHECF_nuclear!$I$5:$I$292,MATCH($C330,Src_SYSHECF_nuclear!$C$5:$C$292,0))*$E330),Keys!$C$5),Keys!$C$4)</f>
        <v>0.99819999999999998</v>
      </c>
      <c r="L330">
        <f>IF($D330=1,ROUND(Keys!$C$2/(INDEX(Src_SYSHECF_nuclear!$J$5:$J$292,MATCH($C330,Src_SYSHECF_nuclear!$C$5:$C$292,0))*$E330),Keys!$C$5),Keys!$C$4)</f>
        <v>0.99819999999999998</v>
      </c>
      <c r="M330">
        <f>IF($D330=1,ROUND(Keys!$C$2/(INDEX(Src_SYSHECF_nuclear!$K$5:$K$292,MATCH($C330,Src_SYSHECF_nuclear!$C$5:$C$292,0))*$E330),Keys!$C$5),Keys!$C$4)</f>
        <v>0.99819999999999998</v>
      </c>
      <c r="N330">
        <f>IF($D330=1,ROUND(Keys!$C$2/(INDEX(Src_SYSHECF_nuclear!$L$5:$L$292,MATCH($C330,Src_SYSHECF_nuclear!$C$5:$C$292,0))*$E330),Keys!$C$5),Keys!$C$4)</f>
        <v>0.99819999999999998</v>
      </c>
      <c r="O330">
        <f>IF($D330=1,ROUND(Keys!$C$2/(INDEX(Src_SYSHECF_nuclear!$M$5:$M$292,MATCH($C330,Src_SYSHECF_nuclear!$C$5:$C$292,0))*$E330),Keys!$C$5),Keys!$C$4)</f>
        <v>0.99819999999999998</v>
      </c>
      <c r="P330">
        <f>IF($D330=1,ROUND(Keys!$C$2/(INDEX(Src_SYSHECF_nuclear!$N$5:$N$292,MATCH($C330,Src_SYSHECF_nuclear!$C$5:$C$292,0))*$E330),Keys!$C$5),Keys!$C$4)</f>
        <v>0.99819999999999998</v>
      </c>
      <c r="Q330">
        <f>IF($D330=1,ROUND(Keys!$C$2/(INDEX(Src_SYSHECF_nuclear!$O$5:$O$292,MATCH($C330,Src_SYSHECF_nuclear!$C$5:$C$292,0))*$E330),Keys!$C$5),Keys!$C$4)</f>
        <v>0.99819999999999998</v>
      </c>
      <c r="R330">
        <f>IF($D330=1,ROUND(Keys!$C$2/(INDEX(Src_SYSHECF_nuclear!$P$5:$P$292,MATCH($C330,Src_SYSHECF_nuclear!$C$5:$C$292,0))*$E330),Keys!$C$5),Keys!$C$4)</f>
        <v>0.99819999999999998</v>
      </c>
      <c r="S330">
        <f>IF($D330=1,ROUND(Keys!$C$2/(INDEX(Src_SYSHECF_nuclear!$Q$5:$Q$292,MATCH($C330,Src_SYSHECF_nuclear!$C$5:$C$292,0))*$E330),Keys!$C$5),Keys!$C$4)</f>
        <v>0.99819999999999998</v>
      </c>
      <c r="T330">
        <f>IF($D330=1,ROUND(Keys!$C$2/(INDEX(Src_SYSHECF_nuclear!$R$5:$R$292,MATCH($C330,Src_SYSHECF_nuclear!$C$5:$C$292,0))*$E330),Keys!$C$5),Keys!$C$4)</f>
        <v>0.99819999999999998</v>
      </c>
      <c r="U330">
        <f>IF($D330=1,ROUND(Keys!$C$2/(INDEX(Src_SYSHECF_nuclear!$S$5:$S$292,MATCH($C330,Src_SYSHECF_nuclear!$C$5:$C$292,0))*$E330),Keys!$C$5),Keys!$C$4)</f>
        <v>0.99819999999999998</v>
      </c>
      <c r="V330">
        <f>IF($D330=1,ROUND(Keys!$C$2/(INDEX(Src_SYSHECF_nuclear!$T$5:$T$292,MATCH($C330,Src_SYSHECF_nuclear!$C$5:$C$292,0))*$E330),Keys!$C$5),Keys!$C$4)</f>
        <v>0.99819999999999998</v>
      </c>
      <c r="W330">
        <f>IF($D330=1,ROUND(Keys!$C$2/(INDEX(Src_SYSHECF_nuclear!$U$5:$U$292,MATCH($C330,Src_SYSHECF_nuclear!$C$5:$C$292,0))*$E330),Keys!$C$5),Keys!$C$4)</f>
        <v>0.99819999999999998</v>
      </c>
      <c r="X330">
        <f>IF($D330=1,ROUND(Keys!$C$2/(INDEX(Src_SYSHECF_nuclear!$V$5:$V$292,MATCH($C330,Src_SYSHECF_nuclear!$C$5:$C$292,0))*$E330),Keys!$C$5),Keys!$C$4)</f>
        <v>0.99819999999999998</v>
      </c>
      <c r="Y330">
        <f>IF($D330=1,ROUND(Keys!$C$2/(INDEX(Src_SYSHECF_nuclear!$W$5:$W$292,MATCH($C330,Src_SYSHECF_nuclear!$C$5:$C$292,0))*$E330),Keys!$C$5),Keys!$C$4)</f>
        <v>0.99819999999999998</v>
      </c>
      <c r="Z330">
        <f>IF($D330=1,ROUND(Keys!$C$2/(INDEX(Src_SYSHECF_nuclear!$X$5:$X$292,MATCH($C330,Src_SYSHECF_nuclear!$C$5:$C$292,0))*$E330),Keys!$C$5),Keys!$C$4)</f>
        <v>0.99819999999999998</v>
      </c>
      <c r="AA330">
        <f>IF($D330=1,ROUND(Keys!$C$2/(INDEX(Src_SYSHECF_nuclear!$Y$5:$Y$292,MATCH($C330,Src_SYSHECF_nuclear!$C$5:$C$292,0))*$E330),Keys!$C$5),Keys!$C$4)</f>
        <v>0.99819999999999998</v>
      </c>
      <c r="AB330">
        <f>IF($D330=1,ROUND(Keys!$C$2/(INDEX(Src_SYSHECF_nuclear!$Z$5:$Z$292,MATCH($C330,Src_SYSHECF_nuclear!$C$5:$C$292,0))*$E330),Keys!$C$5),Keys!$C$4)</f>
        <v>0.99819999999999998</v>
      </c>
      <c r="AC330">
        <f>IF($D330=1,ROUND(Keys!$C$2/(INDEX(Src_SYSHECF_nuclear!$AA$5:$AA$292,MATCH($C330,Src_SYSHECF_nuclear!$C$5:$C$292,0))*$E330),Keys!$C$5),Keys!$C$4)</f>
        <v>0.99819999999999998</v>
      </c>
      <c r="AE330">
        <f>IF($D330=1,IF(ABS(INDEX(Src_SYSHECF_nuclear!$D$5:$D$292,MATCH($C330,Src_SYSHECF_nuclear!$C$5:$C$292,0))*$E330*F330-Keys!$C$2)&gt;Keys!$C$6,1,0),0)</f>
        <v>0</v>
      </c>
    </row>
    <row r="331" spans="1:31" x14ac:dyDescent="0.45">
      <c r="A331" t="s">
        <v>114</v>
      </c>
      <c r="B331" t="s">
        <v>429</v>
      </c>
      <c r="C331" t="str">
        <f t="shared" si="5"/>
        <v>WI|Winter Peak</v>
      </c>
      <c r="D331">
        <f>INDEX(Src_BHRaSYC_nuclear!$HF$5:$HF$52,MATCH($A331,Src_BHRaSYC_nuclear!$A$5:$A$52,0))</f>
        <v>1</v>
      </c>
      <c r="E331">
        <f>INDEX(Src_HYECFCA_nuclear!$B$5:$B$52,MATCH($A331,Src_HYECFCA_nuclear!$A$5:$A$52,0))</f>
        <v>0.99962499999999999</v>
      </c>
      <c r="F331">
        <f>IF($D331=1,ROUND(Keys!$C$2/(INDEX(Src_SYSHECF_nuclear!$D$5:$D$292,MATCH($C331,Src_SYSHECF_nuclear!$C$5:$C$292,0))*$E331),Keys!$C$5),Keys!$C$4)</f>
        <v>0.99819999999999998</v>
      </c>
      <c r="G331">
        <f>IF($D331=1,ROUND(Keys!$C$2/(INDEX(Src_SYSHECF_nuclear!$E$5:$E$292,MATCH($C331,Src_SYSHECF_nuclear!$C$5:$C$292,0))*$E331),Keys!$C$5),Keys!$C$4)</f>
        <v>0.99819999999999998</v>
      </c>
      <c r="H331">
        <f>IF($D331=1,ROUND(Keys!$C$2/(INDEX(Src_SYSHECF_nuclear!$F$5:$F$292,MATCH($C331,Src_SYSHECF_nuclear!$C$5:$C$292,0))*$E331),Keys!$C$5),Keys!$C$4)</f>
        <v>0.99819999999999998</v>
      </c>
      <c r="I331">
        <f>IF($D331=1,ROUND(Keys!$C$2/(INDEX(Src_SYSHECF_nuclear!$G$5:$G$292,MATCH($C331,Src_SYSHECF_nuclear!$C$5:$C$292,0))*$E331),Keys!$C$5),Keys!$C$4)</f>
        <v>0.99819999999999998</v>
      </c>
      <c r="J331">
        <f>IF($D331=1,ROUND(Keys!$C$2/(INDEX(Src_SYSHECF_nuclear!$H$5:$H$292,MATCH($C331,Src_SYSHECF_nuclear!$C$5:$C$292,0))*$E331),Keys!$C$5),Keys!$C$4)</f>
        <v>0.99819999999999998</v>
      </c>
      <c r="K331">
        <f>IF($D331=1,ROUND(Keys!$C$2/(INDEX(Src_SYSHECF_nuclear!$I$5:$I$292,MATCH($C331,Src_SYSHECF_nuclear!$C$5:$C$292,0))*$E331),Keys!$C$5),Keys!$C$4)</f>
        <v>0.99819999999999998</v>
      </c>
      <c r="L331">
        <f>IF($D331=1,ROUND(Keys!$C$2/(INDEX(Src_SYSHECF_nuclear!$J$5:$J$292,MATCH($C331,Src_SYSHECF_nuclear!$C$5:$C$292,0))*$E331),Keys!$C$5),Keys!$C$4)</f>
        <v>0.99819999999999998</v>
      </c>
      <c r="M331">
        <f>IF($D331=1,ROUND(Keys!$C$2/(INDEX(Src_SYSHECF_nuclear!$K$5:$K$292,MATCH($C331,Src_SYSHECF_nuclear!$C$5:$C$292,0))*$E331),Keys!$C$5),Keys!$C$4)</f>
        <v>0.99819999999999998</v>
      </c>
      <c r="N331">
        <f>IF($D331=1,ROUND(Keys!$C$2/(INDEX(Src_SYSHECF_nuclear!$L$5:$L$292,MATCH($C331,Src_SYSHECF_nuclear!$C$5:$C$292,0))*$E331),Keys!$C$5),Keys!$C$4)</f>
        <v>0.99819999999999998</v>
      </c>
      <c r="O331">
        <f>IF($D331=1,ROUND(Keys!$C$2/(INDEX(Src_SYSHECF_nuclear!$M$5:$M$292,MATCH($C331,Src_SYSHECF_nuclear!$C$5:$C$292,0))*$E331),Keys!$C$5),Keys!$C$4)</f>
        <v>0.99819999999999998</v>
      </c>
      <c r="P331">
        <f>IF($D331=1,ROUND(Keys!$C$2/(INDEX(Src_SYSHECF_nuclear!$N$5:$N$292,MATCH($C331,Src_SYSHECF_nuclear!$C$5:$C$292,0))*$E331),Keys!$C$5),Keys!$C$4)</f>
        <v>0.99819999999999998</v>
      </c>
      <c r="Q331">
        <f>IF($D331=1,ROUND(Keys!$C$2/(INDEX(Src_SYSHECF_nuclear!$O$5:$O$292,MATCH($C331,Src_SYSHECF_nuclear!$C$5:$C$292,0))*$E331),Keys!$C$5),Keys!$C$4)</f>
        <v>0.99819999999999998</v>
      </c>
      <c r="R331">
        <f>IF($D331=1,ROUND(Keys!$C$2/(INDEX(Src_SYSHECF_nuclear!$P$5:$P$292,MATCH($C331,Src_SYSHECF_nuclear!$C$5:$C$292,0))*$E331),Keys!$C$5),Keys!$C$4)</f>
        <v>0.99819999999999998</v>
      </c>
      <c r="S331">
        <f>IF($D331=1,ROUND(Keys!$C$2/(INDEX(Src_SYSHECF_nuclear!$Q$5:$Q$292,MATCH($C331,Src_SYSHECF_nuclear!$C$5:$C$292,0))*$E331),Keys!$C$5),Keys!$C$4)</f>
        <v>0.99819999999999998</v>
      </c>
      <c r="T331">
        <f>IF($D331=1,ROUND(Keys!$C$2/(INDEX(Src_SYSHECF_nuclear!$R$5:$R$292,MATCH($C331,Src_SYSHECF_nuclear!$C$5:$C$292,0))*$E331),Keys!$C$5),Keys!$C$4)</f>
        <v>0.99819999999999998</v>
      </c>
      <c r="U331">
        <f>IF($D331=1,ROUND(Keys!$C$2/(INDEX(Src_SYSHECF_nuclear!$S$5:$S$292,MATCH($C331,Src_SYSHECF_nuclear!$C$5:$C$292,0))*$E331),Keys!$C$5),Keys!$C$4)</f>
        <v>0.99819999999999998</v>
      </c>
      <c r="V331">
        <f>IF($D331=1,ROUND(Keys!$C$2/(INDEX(Src_SYSHECF_nuclear!$T$5:$T$292,MATCH($C331,Src_SYSHECF_nuclear!$C$5:$C$292,0))*$E331),Keys!$C$5),Keys!$C$4)</f>
        <v>0.99819999999999998</v>
      </c>
      <c r="W331">
        <f>IF($D331=1,ROUND(Keys!$C$2/(INDEX(Src_SYSHECF_nuclear!$U$5:$U$292,MATCH($C331,Src_SYSHECF_nuclear!$C$5:$C$292,0))*$E331),Keys!$C$5),Keys!$C$4)</f>
        <v>0.99819999999999998</v>
      </c>
      <c r="X331">
        <f>IF($D331=1,ROUND(Keys!$C$2/(INDEX(Src_SYSHECF_nuclear!$V$5:$V$292,MATCH($C331,Src_SYSHECF_nuclear!$C$5:$C$292,0))*$E331),Keys!$C$5),Keys!$C$4)</f>
        <v>0.99819999999999998</v>
      </c>
      <c r="Y331">
        <f>IF($D331=1,ROUND(Keys!$C$2/(INDEX(Src_SYSHECF_nuclear!$W$5:$W$292,MATCH($C331,Src_SYSHECF_nuclear!$C$5:$C$292,0))*$E331),Keys!$C$5),Keys!$C$4)</f>
        <v>0.99819999999999998</v>
      </c>
      <c r="Z331">
        <f>IF($D331=1,ROUND(Keys!$C$2/(INDEX(Src_SYSHECF_nuclear!$X$5:$X$292,MATCH($C331,Src_SYSHECF_nuclear!$C$5:$C$292,0))*$E331),Keys!$C$5),Keys!$C$4)</f>
        <v>0.99819999999999998</v>
      </c>
      <c r="AA331">
        <f>IF($D331=1,ROUND(Keys!$C$2/(INDEX(Src_SYSHECF_nuclear!$Y$5:$Y$292,MATCH($C331,Src_SYSHECF_nuclear!$C$5:$C$292,0))*$E331),Keys!$C$5),Keys!$C$4)</f>
        <v>0.99819999999999998</v>
      </c>
      <c r="AB331">
        <f>IF($D331=1,ROUND(Keys!$C$2/(INDEX(Src_SYSHECF_nuclear!$Z$5:$Z$292,MATCH($C331,Src_SYSHECF_nuclear!$C$5:$C$292,0))*$E331),Keys!$C$5),Keys!$C$4)</f>
        <v>0.99819999999999998</v>
      </c>
      <c r="AC331">
        <f>IF($D331=1,ROUND(Keys!$C$2/(INDEX(Src_SYSHECF_nuclear!$AA$5:$AA$292,MATCH($C331,Src_SYSHECF_nuclear!$C$5:$C$292,0))*$E331),Keys!$C$5),Keys!$C$4)</f>
        <v>0.99819999999999998</v>
      </c>
      <c r="AE331">
        <f>IF($D331=1,IF(ABS(INDEX(Src_SYSHECF_nuclear!$D$5:$D$292,MATCH($C331,Src_SYSHECF_nuclear!$C$5:$C$292,0))*$E331*F331-Keys!$C$2)&gt;Keys!$C$6,1,0),0)</f>
        <v>0</v>
      </c>
    </row>
    <row r="332" spans="1:31" x14ac:dyDescent="0.45">
      <c r="A332" t="s">
        <v>116</v>
      </c>
      <c r="B332" t="s">
        <v>424</v>
      </c>
      <c r="C332" t="str">
        <f t="shared" si="5"/>
        <v>WV|Winter</v>
      </c>
      <c r="D332">
        <f>INDEX(Src_BHRaSYC_nuclear!$HF$5:$HF$52,MATCH($A332,Src_BHRaSYC_nuclear!$A$5:$A$52,0))</f>
        <v>0</v>
      </c>
      <c r="E332">
        <f>INDEX(Src_HYECFCA_nuclear!$B$5:$B$52,MATCH($A332,Src_HYECFCA_nuclear!$A$5:$A$52,0))</f>
        <v>1</v>
      </c>
      <c r="F332">
        <f>IF($D332=1,ROUND(Keys!$C$2/(INDEX(Src_SYSHECF_nuclear!$D$5:$D$292,MATCH($C332,Src_SYSHECF_nuclear!$C$5:$C$292,0))*$E332),Keys!$C$5),Keys!$C$4)</f>
        <v>0.9</v>
      </c>
      <c r="G332">
        <f>IF($D332=1,ROUND(Keys!$C$2/(INDEX(Src_SYSHECF_nuclear!$E$5:$E$292,MATCH($C332,Src_SYSHECF_nuclear!$C$5:$C$292,0))*$E332),Keys!$C$5),Keys!$C$4)</f>
        <v>0.9</v>
      </c>
      <c r="H332">
        <f>IF($D332=1,ROUND(Keys!$C$2/(INDEX(Src_SYSHECF_nuclear!$F$5:$F$292,MATCH($C332,Src_SYSHECF_nuclear!$C$5:$C$292,0))*$E332),Keys!$C$5),Keys!$C$4)</f>
        <v>0.9</v>
      </c>
      <c r="I332">
        <f>IF($D332=1,ROUND(Keys!$C$2/(INDEX(Src_SYSHECF_nuclear!$G$5:$G$292,MATCH($C332,Src_SYSHECF_nuclear!$C$5:$C$292,0))*$E332),Keys!$C$5),Keys!$C$4)</f>
        <v>0.9</v>
      </c>
      <c r="J332">
        <f>IF($D332=1,ROUND(Keys!$C$2/(INDEX(Src_SYSHECF_nuclear!$H$5:$H$292,MATCH($C332,Src_SYSHECF_nuclear!$C$5:$C$292,0))*$E332),Keys!$C$5),Keys!$C$4)</f>
        <v>0.9</v>
      </c>
      <c r="K332">
        <f>IF($D332=1,ROUND(Keys!$C$2/(INDEX(Src_SYSHECF_nuclear!$I$5:$I$292,MATCH($C332,Src_SYSHECF_nuclear!$C$5:$C$292,0))*$E332),Keys!$C$5),Keys!$C$4)</f>
        <v>0.9</v>
      </c>
      <c r="L332">
        <f>IF($D332=1,ROUND(Keys!$C$2/(INDEX(Src_SYSHECF_nuclear!$J$5:$J$292,MATCH($C332,Src_SYSHECF_nuclear!$C$5:$C$292,0))*$E332),Keys!$C$5),Keys!$C$4)</f>
        <v>0.9</v>
      </c>
      <c r="M332">
        <f>IF($D332=1,ROUND(Keys!$C$2/(INDEX(Src_SYSHECF_nuclear!$K$5:$K$292,MATCH($C332,Src_SYSHECF_nuclear!$C$5:$C$292,0))*$E332),Keys!$C$5),Keys!$C$4)</f>
        <v>0.9</v>
      </c>
      <c r="N332">
        <f>IF($D332=1,ROUND(Keys!$C$2/(INDEX(Src_SYSHECF_nuclear!$L$5:$L$292,MATCH($C332,Src_SYSHECF_nuclear!$C$5:$C$292,0))*$E332),Keys!$C$5),Keys!$C$4)</f>
        <v>0.9</v>
      </c>
      <c r="O332">
        <f>IF($D332=1,ROUND(Keys!$C$2/(INDEX(Src_SYSHECF_nuclear!$M$5:$M$292,MATCH($C332,Src_SYSHECF_nuclear!$C$5:$C$292,0))*$E332),Keys!$C$5),Keys!$C$4)</f>
        <v>0.9</v>
      </c>
      <c r="P332">
        <f>IF($D332=1,ROUND(Keys!$C$2/(INDEX(Src_SYSHECF_nuclear!$N$5:$N$292,MATCH($C332,Src_SYSHECF_nuclear!$C$5:$C$292,0))*$E332),Keys!$C$5),Keys!$C$4)</f>
        <v>0.9</v>
      </c>
      <c r="Q332">
        <f>IF($D332=1,ROUND(Keys!$C$2/(INDEX(Src_SYSHECF_nuclear!$O$5:$O$292,MATCH($C332,Src_SYSHECF_nuclear!$C$5:$C$292,0))*$E332),Keys!$C$5),Keys!$C$4)</f>
        <v>0.9</v>
      </c>
      <c r="R332">
        <f>IF($D332=1,ROUND(Keys!$C$2/(INDEX(Src_SYSHECF_nuclear!$P$5:$P$292,MATCH($C332,Src_SYSHECF_nuclear!$C$5:$C$292,0))*$E332),Keys!$C$5),Keys!$C$4)</f>
        <v>0.9</v>
      </c>
      <c r="S332">
        <f>IF($D332=1,ROUND(Keys!$C$2/(INDEX(Src_SYSHECF_nuclear!$Q$5:$Q$292,MATCH($C332,Src_SYSHECF_nuclear!$C$5:$C$292,0))*$E332),Keys!$C$5),Keys!$C$4)</f>
        <v>0.9</v>
      </c>
      <c r="T332">
        <f>IF($D332=1,ROUND(Keys!$C$2/(INDEX(Src_SYSHECF_nuclear!$R$5:$R$292,MATCH($C332,Src_SYSHECF_nuclear!$C$5:$C$292,0))*$E332),Keys!$C$5),Keys!$C$4)</f>
        <v>0.9</v>
      </c>
      <c r="U332">
        <f>IF($D332=1,ROUND(Keys!$C$2/(INDEX(Src_SYSHECF_nuclear!$S$5:$S$292,MATCH($C332,Src_SYSHECF_nuclear!$C$5:$C$292,0))*$E332),Keys!$C$5),Keys!$C$4)</f>
        <v>0.9</v>
      </c>
      <c r="V332">
        <f>IF($D332=1,ROUND(Keys!$C$2/(INDEX(Src_SYSHECF_nuclear!$T$5:$T$292,MATCH($C332,Src_SYSHECF_nuclear!$C$5:$C$292,0))*$E332),Keys!$C$5),Keys!$C$4)</f>
        <v>0.9</v>
      </c>
      <c r="W332">
        <f>IF($D332=1,ROUND(Keys!$C$2/(INDEX(Src_SYSHECF_nuclear!$U$5:$U$292,MATCH($C332,Src_SYSHECF_nuclear!$C$5:$C$292,0))*$E332),Keys!$C$5),Keys!$C$4)</f>
        <v>0.9</v>
      </c>
      <c r="X332">
        <f>IF($D332=1,ROUND(Keys!$C$2/(INDEX(Src_SYSHECF_nuclear!$V$5:$V$292,MATCH($C332,Src_SYSHECF_nuclear!$C$5:$C$292,0))*$E332),Keys!$C$5),Keys!$C$4)</f>
        <v>0.9</v>
      </c>
      <c r="Y332">
        <f>IF($D332=1,ROUND(Keys!$C$2/(INDEX(Src_SYSHECF_nuclear!$W$5:$W$292,MATCH($C332,Src_SYSHECF_nuclear!$C$5:$C$292,0))*$E332),Keys!$C$5),Keys!$C$4)</f>
        <v>0.9</v>
      </c>
      <c r="Z332">
        <f>IF($D332=1,ROUND(Keys!$C$2/(INDEX(Src_SYSHECF_nuclear!$X$5:$X$292,MATCH($C332,Src_SYSHECF_nuclear!$C$5:$C$292,0))*$E332),Keys!$C$5),Keys!$C$4)</f>
        <v>0.9</v>
      </c>
      <c r="AA332">
        <f>IF($D332=1,ROUND(Keys!$C$2/(INDEX(Src_SYSHECF_nuclear!$Y$5:$Y$292,MATCH($C332,Src_SYSHECF_nuclear!$C$5:$C$292,0))*$E332),Keys!$C$5),Keys!$C$4)</f>
        <v>0.9</v>
      </c>
      <c r="AB332">
        <f>IF($D332=1,ROUND(Keys!$C$2/(INDEX(Src_SYSHECF_nuclear!$Z$5:$Z$292,MATCH($C332,Src_SYSHECF_nuclear!$C$5:$C$292,0))*$E332),Keys!$C$5),Keys!$C$4)</f>
        <v>0.9</v>
      </c>
      <c r="AC332">
        <f>IF($D332=1,ROUND(Keys!$C$2/(INDEX(Src_SYSHECF_nuclear!$AA$5:$AA$292,MATCH($C332,Src_SYSHECF_nuclear!$C$5:$C$292,0))*$E332),Keys!$C$5),Keys!$C$4)</f>
        <v>0.9</v>
      </c>
      <c r="AE332">
        <f>IF($D332=1,IF(ABS(INDEX(Src_SYSHECF_nuclear!$D$5:$D$292,MATCH($C332,Src_SYSHECF_nuclear!$C$5:$C$292,0))*$E332*F332-Keys!$C$2)&gt;Keys!$C$6,1,0),0)</f>
        <v>0</v>
      </c>
    </row>
    <row r="333" spans="1:31" x14ac:dyDescent="0.45">
      <c r="A333" t="s">
        <v>116</v>
      </c>
      <c r="B333" t="s">
        <v>425</v>
      </c>
      <c r="C333" t="str">
        <f t="shared" si="5"/>
        <v>WV|Spring</v>
      </c>
      <c r="D333">
        <f>INDEX(Src_BHRaSYC_nuclear!$HF$5:$HF$52,MATCH($A333,Src_BHRaSYC_nuclear!$A$5:$A$52,0))</f>
        <v>0</v>
      </c>
      <c r="E333">
        <f>INDEX(Src_HYECFCA_nuclear!$B$5:$B$52,MATCH($A333,Src_HYECFCA_nuclear!$A$5:$A$52,0))</f>
        <v>1</v>
      </c>
      <c r="F333">
        <f>IF($D333=1,ROUND(Keys!$C$2/(INDEX(Src_SYSHECF_nuclear!$D$5:$D$292,MATCH($C333,Src_SYSHECF_nuclear!$C$5:$C$292,0))*$E333),Keys!$C$5),Keys!$C$4)</f>
        <v>0.9</v>
      </c>
      <c r="G333">
        <f>IF($D333=1,ROUND(Keys!$C$2/(INDEX(Src_SYSHECF_nuclear!$E$5:$E$292,MATCH($C333,Src_SYSHECF_nuclear!$C$5:$C$292,0))*$E333),Keys!$C$5),Keys!$C$4)</f>
        <v>0.9</v>
      </c>
      <c r="H333">
        <f>IF($D333=1,ROUND(Keys!$C$2/(INDEX(Src_SYSHECF_nuclear!$F$5:$F$292,MATCH($C333,Src_SYSHECF_nuclear!$C$5:$C$292,0))*$E333),Keys!$C$5),Keys!$C$4)</f>
        <v>0.9</v>
      </c>
      <c r="I333">
        <f>IF($D333=1,ROUND(Keys!$C$2/(INDEX(Src_SYSHECF_nuclear!$G$5:$G$292,MATCH($C333,Src_SYSHECF_nuclear!$C$5:$C$292,0))*$E333),Keys!$C$5),Keys!$C$4)</f>
        <v>0.9</v>
      </c>
      <c r="J333">
        <f>IF($D333=1,ROUND(Keys!$C$2/(INDEX(Src_SYSHECF_nuclear!$H$5:$H$292,MATCH($C333,Src_SYSHECF_nuclear!$C$5:$C$292,0))*$E333),Keys!$C$5),Keys!$C$4)</f>
        <v>0.9</v>
      </c>
      <c r="K333">
        <f>IF($D333=1,ROUND(Keys!$C$2/(INDEX(Src_SYSHECF_nuclear!$I$5:$I$292,MATCH($C333,Src_SYSHECF_nuclear!$C$5:$C$292,0))*$E333),Keys!$C$5),Keys!$C$4)</f>
        <v>0.9</v>
      </c>
      <c r="L333">
        <f>IF($D333=1,ROUND(Keys!$C$2/(INDEX(Src_SYSHECF_nuclear!$J$5:$J$292,MATCH($C333,Src_SYSHECF_nuclear!$C$5:$C$292,0))*$E333),Keys!$C$5),Keys!$C$4)</f>
        <v>0.9</v>
      </c>
      <c r="M333">
        <f>IF($D333=1,ROUND(Keys!$C$2/(INDEX(Src_SYSHECF_nuclear!$K$5:$K$292,MATCH($C333,Src_SYSHECF_nuclear!$C$5:$C$292,0))*$E333),Keys!$C$5),Keys!$C$4)</f>
        <v>0.9</v>
      </c>
      <c r="N333">
        <f>IF($D333=1,ROUND(Keys!$C$2/(INDEX(Src_SYSHECF_nuclear!$L$5:$L$292,MATCH($C333,Src_SYSHECF_nuclear!$C$5:$C$292,0))*$E333),Keys!$C$5),Keys!$C$4)</f>
        <v>0.9</v>
      </c>
      <c r="O333">
        <f>IF($D333=1,ROUND(Keys!$C$2/(INDEX(Src_SYSHECF_nuclear!$M$5:$M$292,MATCH($C333,Src_SYSHECF_nuclear!$C$5:$C$292,0))*$E333),Keys!$C$5),Keys!$C$4)</f>
        <v>0.9</v>
      </c>
      <c r="P333">
        <f>IF($D333=1,ROUND(Keys!$C$2/(INDEX(Src_SYSHECF_nuclear!$N$5:$N$292,MATCH($C333,Src_SYSHECF_nuclear!$C$5:$C$292,0))*$E333),Keys!$C$5),Keys!$C$4)</f>
        <v>0.9</v>
      </c>
      <c r="Q333">
        <f>IF($D333=1,ROUND(Keys!$C$2/(INDEX(Src_SYSHECF_nuclear!$O$5:$O$292,MATCH($C333,Src_SYSHECF_nuclear!$C$5:$C$292,0))*$E333),Keys!$C$5),Keys!$C$4)</f>
        <v>0.9</v>
      </c>
      <c r="R333">
        <f>IF($D333=1,ROUND(Keys!$C$2/(INDEX(Src_SYSHECF_nuclear!$P$5:$P$292,MATCH($C333,Src_SYSHECF_nuclear!$C$5:$C$292,0))*$E333),Keys!$C$5),Keys!$C$4)</f>
        <v>0.9</v>
      </c>
      <c r="S333">
        <f>IF($D333=1,ROUND(Keys!$C$2/(INDEX(Src_SYSHECF_nuclear!$Q$5:$Q$292,MATCH($C333,Src_SYSHECF_nuclear!$C$5:$C$292,0))*$E333),Keys!$C$5),Keys!$C$4)</f>
        <v>0.9</v>
      </c>
      <c r="T333">
        <f>IF($D333=1,ROUND(Keys!$C$2/(INDEX(Src_SYSHECF_nuclear!$R$5:$R$292,MATCH($C333,Src_SYSHECF_nuclear!$C$5:$C$292,0))*$E333),Keys!$C$5),Keys!$C$4)</f>
        <v>0.9</v>
      </c>
      <c r="U333">
        <f>IF($D333=1,ROUND(Keys!$C$2/(INDEX(Src_SYSHECF_nuclear!$S$5:$S$292,MATCH($C333,Src_SYSHECF_nuclear!$C$5:$C$292,0))*$E333),Keys!$C$5),Keys!$C$4)</f>
        <v>0.9</v>
      </c>
      <c r="V333">
        <f>IF($D333=1,ROUND(Keys!$C$2/(INDEX(Src_SYSHECF_nuclear!$T$5:$T$292,MATCH($C333,Src_SYSHECF_nuclear!$C$5:$C$292,0))*$E333),Keys!$C$5),Keys!$C$4)</f>
        <v>0.9</v>
      </c>
      <c r="W333">
        <f>IF($D333=1,ROUND(Keys!$C$2/(INDEX(Src_SYSHECF_nuclear!$U$5:$U$292,MATCH($C333,Src_SYSHECF_nuclear!$C$5:$C$292,0))*$E333),Keys!$C$5),Keys!$C$4)</f>
        <v>0.9</v>
      </c>
      <c r="X333">
        <f>IF($D333=1,ROUND(Keys!$C$2/(INDEX(Src_SYSHECF_nuclear!$V$5:$V$292,MATCH($C333,Src_SYSHECF_nuclear!$C$5:$C$292,0))*$E333),Keys!$C$5),Keys!$C$4)</f>
        <v>0.9</v>
      </c>
      <c r="Y333">
        <f>IF($D333=1,ROUND(Keys!$C$2/(INDEX(Src_SYSHECF_nuclear!$W$5:$W$292,MATCH($C333,Src_SYSHECF_nuclear!$C$5:$C$292,0))*$E333),Keys!$C$5),Keys!$C$4)</f>
        <v>0.9</v>
      </c>
      <c r="Z333">
        <f>IF($D333=1,ROUND(Keys!$C$2/(INDEX(Src_SYSHECF_nuclear!$X$5:$X$292,MATCH($C333,Src_SYSHECF_nuclear!$C$5:$C$292,0))*$E333),Keys!$C$5),Keys!$C$4)</f>
        <v>0.9</v>
      </c>
      <c r="AA333">
        <f>IF($D333=1,ROUND(Keys!$C$2/(INDEX(Src_SYSHECF_nuclear!$Y$5:$Y$292,MATCH($C333,Src_SYSHECF_nuclear!$C$5:$C$292,0))*$E333),Keys!$C$5),Keys!$C$4)</f>
        <v>0.9</v>
      </c>
      <c r="AB333">
        <f>IF($D333=1,ROUND(Keys!$C$2/(INDEX(Src_SYSHECF_nuclear!$Z$5:$Z$292,MATCH($C333,Src_SYSHECF_nuclear!$C$5:$C$292,0))*$E333),Keys!$C$5),Keys!$C$4)</f>
        <v>0.9</v>
      </c>
      <c r="AC333">
        <f>IF($D333=1,ROUND(Keys!$C$2/(INDEX(Src_SYSHECF_nuclear!$AA$5:$AA$292,MATCH($C333,Src_SYSHECF_nuclear!$C$5:$C$292,0))*$E333),Keys!$C$5),Keys!$C$4)</f>
        <v>0.9</v>
      </c>
      <c r="AE333">
        <f>IF($D333=1,IF(ABS(INDEX(Src_SYSHECF_nuclear!$D$5:$D$292,MATCH($C333,Src_SYSHECF_nuclear!$C$5:$C$292,0))*$E333*F333-Keys!$C$2)&gt;Keys!$C$6,1,0),0)</f>
        <v>0</v>
      </c>
    </row>
    <row r="334" spans="1:31" x14ac:dyDescent="0.45">
      <c r="A334" t="s">
        <v>116</v>
      </c>
      <c r="B334" t="s">
        <v>426</v>
      </c>
      <c r="C334" t="str">
        <f t="shared" si="5"/>
        <v>WV|Summer</v>
      </c>
      <c r="D334">
        <f>INDEX(Src_BHRaSYC_nuclear!$HF$5:$HF$52,MATCH($A334,Src_BHRaSYC_nuclear!$A$5:$A$52,0))</f>
        <v>0</v>
      </c>
      <c r="E334">
        <f>INDEX(Src_HYECFCA_nuclear!$B$5:$B$52,MATCH($A334,Src_HYECFCA_nuclear!$A$5:$A$52,0))</f>
        <v>1</v>
      </c>
      <c r="F334">
        <f>IF($D334=1,ROUND(Keys!$C$2/(INDEX(Src_SYSHECF_nuclear!$D$5:$D$292,MATCH($C334,Src_SYSHECF_nuclear!$C$5:$C$292,0))*$E334),Keys!$C$5),Keys!$C$4)</f>
        <v>0.9</v>
      </c>
      <c r="G334">
        <f>IF($D334=1,ROUND(Keys!$C$2/(INDEX(Src_SYSHECF_nuclear!$E$5:$E$292,MATCH($C334,Src_SYSHECF_nuclear!$C$5:$C$292,0))*$E334),Keys!$C$5),Keys!$C$4)</f>
        <v>0.9</v>
      </c>
      <c r="H334">
        <f>IF($D334=1,ROUND(Keys!$C$2/(INDEX(Src_SYSHECF_nuclear!$F$5:$F$292,MATCH($C334,Src_SYSHECF_nuclear!$C$5:$C$292,0))*$E334),Keys!$C$5),Keys!$C$4)</f>
        <v>0.9</v>
      </c>
      <c r="I334">
        <f>IF($D334=1,ROUND(Keys!$C$2/(INDEX(Src_SYSHECF_nuclear!$G$5:$G$292,MATCH($C334,Src_SYSHECF_nuclear!$C$5:$C$292,0))*$E334),Keys!$C$5),Keys!$C$4)</f>
        <v>0.9</v>
      </c>
      <c r="J334">
        <f>IF($D334=1,ROUND(Keys!$C$2/(INDEX(Src_SYSHECF_nuclear!$H$5:$H$292,MATCH($C334,Src_SYSHECF_nuclear!$C$5:$C$292,0))*$E334),Keys!$C$5),Keys!$C$4)</f>
        <v>0.9</v>
      </c>
      <c r="K334">
        <f>IF($D334=1,ROUND(Keys!$C$2/(INDEX(Src_SYSHECF_nuclear!$I$5:$I$292,MATCH($C334,Src_SYSHECF_nuclear!$C$5:$C$292,0))*$E334),Keys!$C$5),Keys!$C$4)</f>
        <v>0.9</v>
      </c>
      <c r="L334">
        <f>IF($D334=1,ROUND(Keys!$C$2/(INDEX(Src_SYSHECF_nuclear!$J$5:$J$292,MATCH($C334,Src_SYSHECF_nuclear!$C$5:$C$292,0))*$E334),Keys!$C$5),Keys!$C$4)</f>
        <v>0.9</v>
      </c>
      <c r="M334">
        <f>IF($D334=1,ROUND(Keys!$C$2/(INDEX(Src_SYSHECF_nuclear!$K$5:$K$292,MATCH($C334,Src_SYSHECF_nuclear!$C$5:$C$292,0))*$E334),Keys!$C$5),Keys!$C$4)</f>
        <v>0.9</v>
      </c>
      <c r="N334">
        <f>IF($D334=1,ROUND(Keys!$C$2/(INDEX(Src_SYSHECF_nuclear!$L$5:$L$292,MATCH($C334,Src_SYSHECF_nuclear!$C$5:$C$292,0))*$E334),Keys!$C$5),Keys!$C$4)</f>
        <v>0.9</v>
      </c>
      <c r="O334">
        <f>IF($D334=1,ROUND(Keys!$C$2/(INDEX(Src_SYSHECF_nuclear!$M$5:$M$292,MATCH($C334,Src_SYSHECF_nuclear!$C$5:$C$292,0))*$E334),Keys!$C$5),Keys!$C$4)</f>
        <v>0.9</v>
      </c>
      <c r="P334">
        <f>IF($D334=1,ROUND(Keys!$C$2/(INDEX(Src_SYSHECF_nuclear!$N$5:$N$292,MATCH($C334,Src_SYSHECF_nuclear!$C$5:$C$292,0))*$E334),Keys!$C$5),Keys!$C$4)</f>
        <v>0.9</v>
      </c>
      <c r="Q334">
        <f>IF($D334=1,ROUND(Keys!$C$2/(INDEX(Src_SYSHECF_nuclear!$O$5:$O$292,MATCH($C334,Src_SYSHECF_nuclear!$C$5:$C$292,0))*$E334),Keys!$C$5),Keys!$C$4)</f>
        <v>0.9</v>
      </c>
      <c r="R334">
        <f>IF($D334=1,ROUND(Keys!$C$2/(INDEX(Src_SYSHECF_nuclear!$P$5:$P$292,MATCH($C334,Src_SYSHECF_nuclear!$C$5:$C$292,0))*$E334),Keys!$C$5),Keys!$C$4)</f>
        <v>0.9</v>
      </c>
      <c r="S334">
        <f>IF($D334=1,ROUND(Keys!$C$2/(INDEX(Src_SYSHECF_nuclear!$Q$5:$Q$292,MATCH($C334,Src_SYSHECF_nuclear!$C$5:$C$292,0))*$E334),Keys!$C$5),Keys!$C$4)</f>
        <v>0.9</v>
      </c>
      <c r="T334">
        <f>IF($D334=1,ROUND(Keys!$C$2/(INDEX(Src_SYSHECF_nuclear!$R$5:$R$292,MATCH($C334,Src_SYSHECF_nuclear!$C$5:$C$292,0))*$E334),Keys!$C$5),Keys!$C$4)</f>
        <v>0.9</v>
      </c>
      <c r="U334">
        <f>IF($D334=1,ROUND(Keys!$C$2/(INDEX(Src_SYSHECF_nuclear!$S$5:$S$292,MATCH($C334,Src_SYSHECF_nuclear!$C$5:$C$292,0))*$E334),Keys!$C$5),Keys!$C$4)</f>
        <v>0.9</v>
      </c>
      <c r="V334">
        <f>IF($D334=1,ROUND(Keys!$C$2/(INDEX(Src_SYSHECF_nuclear!$T$5:$T$292,MATCH($C334,Src_SYSHECF_nuclear!$C$5:$C$292,0))*$E334),Keys!$C$5),Keys!$C$4)</f>
        <v>0.9</v>
      </c>
      <c r="W334">
        <f>IF($D334=1,ROUND(Keys!$C$2/(INDEX(Src_SYSHECF_nuclear!$U$5:$U$292,MATCH($C334,Src_SYSHECF_nuclear!$C$5:$C$292,0))*$E334),Keys!$C$5),Keys!$C$4)</f>
        <v>0.9</v>
      </c>
      <c r="X334">
        <f>IF($D334=1,ROUND(Keys!$C$2/(INDEX(Src_SYSHECF_nuclear!$V$5:$V$292,MATCH($C334,Src_SYSHECF_nuclear!$C$5:$C$292,0))*$E334),Keys!$C$5),Keys!$C$4)</f>
        <v>0.9</v>
      </c>
      <c r="Y334">
        <f>IF($D334=1,ROUND(Keys!$C$2/(INDEX(Src_SYSHECF_nuclear!$W$5:$W$292,MATCH($C334,Src_SYSHECF_nuclear!$C$5:$C$292,0))*$E334),Keys!$C$5),Keys!$C$4)</f>
        <v>0.9</v>
      </c>
      <c r="Z334">
        <f>IF($D334=1,ROUND(Keys!$C$2/(INDEX(Src_SYSHECF_nuclear!$X$5:$X$292,MATCH($C334,Src_SYSHECF_nuclear!$C$5:$C$292,0))*$E334),Keys!$C$5),Keys!$C$4)</f>
        <v>0.9</v>
      </c>
      <c r="AA334">
        <f>IF($D334=1,ROUND(Keys!$C$2/(INDEX(Src_SYSHECF_nuclear!$Y$5:$Y$292,MATCH($C334,Src_SYSHECF_nuclear!$C$5:$C$292,0))*$E334),Keys!$C$5),Keys!$C$4)</f>
        <v>0.9</v>
      </c>
      <c r="AB334">
        <f>IF($D334=1,ROUND(Keys!$C$2/(INDEX(Src_SYSHECF_nuclear!$Z$5:$Z$292,MATCH($C334,Src_SYSHECF_nuclear!$C$5:$C$292,0))*$E334),Keys!$C$5),Keys!$C$4)</f>
        <v>0.9</v>
      </c>
      <c r="AC334">
        <f>IF($D334=1,ROUND(Keys!$C$2/(INDEX(Src_SYSHECF_nuclear!$AA$5:$AA$292,MATCH($C334,Src_SYSHECF_nuclear!$C$5:$C$292,0))*$E334),Keys!$C$5),Keys!$C$4)</f>
        <v>0.9</v>
      </c>
      <c r="AE334">
        <f>IF($D334=1,IF(ABS(INDEX(Src_SYSHECF_nuclear!$D$5:$D$292,MATCH($C334,Src_SYSHECF_nuclear!$C$5:$C$292,0))*$E334*F334-Keys!$C$2)&gt;Keys!$C$6,1,0),0)</f>
        <v>0</v>
      </c>
    </row>
    <row r="335" spans="1:31" x14ac:dyDescent="0.45">
      <c r="A335" t="s">
        <v>116</v>
      </c>
      <c r="B335" t="s">
        <v>427</v>
      </c>
      <c r="C335" t="str">
        <f t="shared" si="5"/>
        <v>WV|Fall</v>
      </c>
      <c r="D335">
        <f>INDEX(Src_BHRaSYC_nuclear!$HF$5:$HF$52,MATCH($A335,Src_BHRaSYC_nuclear!$A$5:$A$52,0))</f>
        <v>0</v>
      </c>
      <c r="E335">
        <f>INDEX(Src_HYECFCA_nuclear!$B$5:$B$52,MATCH($A335,Src_HYECFCA_nuclear!$A$5:$A$52,0))</f>
        <v>1</v>
      </c>
      <c r="F335">
        <f>IF($D335=1,ROUND(Keys!$C$2/(INDEX(Src_SYSHECF_nuclear!$D$5:$D$292,MATCH($C335,Src_SYSHECF_nuclear!$C$5:$C$292,0))*$E335),Keys!$C$5),Keys!$C$4)</f>
        <v>0.9</v>
      </c>
      <c r="G335">
        <f>IF($D335=1,ROUND(Keys!$C$2/(INDEX(Src_SYSHECF_nuclear!$E$5:$E$292,MATCH($C335,Src_SYSHECF_nuclear!$C$5:$C$292,0))*$E335),Keys!$C$5),Keys!$C$4)</f>
        <v>0.9</v>
      </c>
      <c r="H335">
        <f>IF($D335=1,ROUND(Keys!$C$2/(INDEX(Src_SYSHECF_nuclear!$F$5:$F$292,MATCH($C335,Src_SYSHECF_nuclear!$C$5:$C$292,0))*$E335),Keys!$C$5),Keys!$C$4)</f>
        <v>0.9</v>
      </c>
      <c r="I335">
        <f>IF($D335=1,ROUND(Keys!$C$2/(INDEX(Src_SYSHECF_nuclear!$G$5:$G$292,MATCH($C335,Src_SYSHECF_nuclear!$C$5:$C$292,0))*$E335),Keys!$C$5),Keys!$C$4)</f>
        <v>0.9</v>
      </c>
      <c r="J335">
        <f>IF($D335=1,ROUND(Keys!$C$2/(INDEX(Src_SYSHECF_nuclear!$H$5:$H$292,MATCH($C335,Src_SYSHECF_nuclear!$C$5:$C$292,0))*$E335),Keys!$C$5),Keys!$C$4)</f>
        <v>0.9</v>
      </c>
      <c r="K335">
        <f>IF($D335=1,ROUND(Keys!$C$2/(INDEX(Src_SYSHECF_nuclear!$I$5:$I$292,MATCH($C335,Src_SYSHECF_nuclear!$C$5:$C$292,0))*$E335),Keys!$C$5),Keys!$C$4)</f>
        <v>0.9</v>
      </c>
      <c r="L335">
        <f>IF($D335=1,ROUND(Keys!$C$2/(INDEX(Src_SYSHECF_nuclear!$J$5:$J$292,MATCH($C335,Src_SYSHECF_nuclear!$C$5:$C$292,0))*$E335),Keys!$C$5),Keys!$C$4)</f>
        <v>0.9</v>
      </c>
      <c r="M335">
        <f>IF($D335=1,ROUND(Keys!$C$2/(INDEX(Src_SYSHECF_nuclear!$K$5:$K$292,MATCH($C335,Src_SYSHECF_nuclear!$C$5:$C$292,0))*$E335),Keys!$C$5),Keys!$C$4)</f>
        <v>0.9</v>
      </c>
      <c r="N335">
        <f>IF($D335=1,ROUND(Keys!$C$2/(INDEX(Src_SYSHECF_nuclear!$L$5:$L$292,MATCH($C335,Src_SYSHECF_nuclear!$C$5:$C$292,0))*$E335),Keys!$C$5),Keys!$C$4)</f>
        <v>0.9</v>
      </c>
      <c r="O335">
        <f>IF($D335=1,ROUND(Keys!$C$2/(INDEX(Src_SYSHECF_nuclear!$M$5:$M$292,MATCH($C335,Src_SYSHECF_nuclear!$C$5:$C$292,0))*$E335),Keys!$C$5),Keys!$C$4)</f>
        <v>0.9</v>
      </c>
      <c r="P335">
        <f>IF($D335=1,ROUND(Keys!$C$2/(INDEX(Src_SYSHECF_nuclear!$N$5:$N$292,MATCH($C335,Src_SYSHECF_nuclear!$C$5:$C$292,0))*$E335),Keys!$C$5),Keys!$C$4)</f>
        <v>0.9</v>
      </c>
      <c r="Q335">
        <f>IF($D335=1,ROUND(Keys!$C$2/(INDEX(Src_SYSHECF_nuclear!$O$5:$O$292,MATCH($C335,Src_SYSHECF_nuclear!$C$5:$C$292,0))*$E335),Keys!$C$5),Keys!$C$4)</f>
        <v>0.9</v>
      </c>
      <c r="R335">
        <f>IF($D335=1,ROUND(Keys!$C$2/(INDEX(Src_SYSHECF_nuclear!$P$5:$P$292,MATCH($C335,Src_SYSHECF_nuclear!$C$5:$C$292,0))*$E335),Keys!$C$5),Keys!$C$4)</f>
        <v>0.9</v>
      </c>
      <c r="S335">
        <f>IF($D335=1,ROUND(Keys!$C$2/(INDEX(Src_SYSHECF_nuclear!$Q$5:$Q$292,MATCH($C335,Src_SYSHECF_nuclear!$C$5:$C$292,0))*$E335),Keys!$C$5),Keys!$C$4)</f>
        <v>0.9</v>
      </c>
      <c r="T335">
        <f>IF($D335=1,ROUND(Keys!$C$2/(INDEX(Src_SYSHECF_nuclear!$R$5:$R$292,MATCH($C335,Src_SYSHECF_nuclear!$C$5:$C$292,0))*$E335),Keys!$C$5),Keys!$C$4)</f>
        <v>0.9</v>
      </c>
      <c r="U335">
        <f>IF($D335=1,ROUND(Keys!$C$2/(INDEX(Src_SYSHECF_nuclear!$S$5:$S$292,MATCH($C335,Src_SYSHECF_nuclear!$C$5:$C$292,0))*$E335),Keys!$C$5),Keys!$C$4)</f>
        <v>0.9</v>
      </c>
      <c r="V335">
        <f>IF($D335=1,ROUND(Keys!$C$2/(INDEX(Src_SYSHECF_nuclear!$T$5:$T$292,MATCH($C335,Src_SYSHECF_nuclear!$C$5:$C$292,0))*$E335),Keys!$C$5),Keys!$C$4)</f>
        <v>0.9</v>
      </c>
      <c r="W335">
        <f>IF($D335=1,ROUND(Keys!$C$2/(INDEX(Src_SYSHECF_nuclear!$U$5:$U$292,MATCH($C335,Src_SYSHECF_nuclear!$C$5:$C$292,0))*$E335),Keys!$C$5),Keys!$C$4)</f>
        <v>0.9</v>
      </c>
      <c r="X335">
        <f>IF($D335=1,ROUND(Keys!$C$2/(INDEX(Src_SYSHECF_nuclear!$V$5:$V$292,MATCH($C335,Src_SYSHECF_nuclear!$C$5:$C$292,0))*$E335),Keys!$C$5),Keys!$C$4)</f>
        <v>0.9</v>
      </c>
      <c r="Y335">
        <f>IF($D335=1,ROUND(Keys!$C$2/(INDEX(Src_SYSHECF_nuclear!$W$5:$W$292,MATCH($C335,Src_SYSHECF_nuclear!$C$5:$C$292,0))*$E335),Keys!$C$5),Keys!$C$4)</f>
        <v>0.9</v>
      </c>
      <c r="Z335">
        <f>IF($D335=1,ROUND(Keys!$C$2/(INDEX(Src_SYSHECF_nuclear!$X$5:$X$292,MATCH($C335,Src_SYSHECF_nuclear!$C$5:$C$292,0))*$E335),Keys!$C$5),Keys!$C$4)</f>
        <v>0.9</v>
      </c>
      <c r="AA335">
        <f>IF($D335=1,ROUND(Keys!$C$2/(INDEX(Src_SYSHECF_nuclear!$Y$5:$Y$292,MATCH($C335,Src_SYSHECF_nuclear!$C$5:$C$292,0))*$E335),Keys!$C$5),Keys!$C$4)</f>
        <v>0.9</v>
      </c>
      <c r="AB335">
        <f>IF($D335=1,ROUND(Keys!$C$2/(INDEX(Src_SYSHECF_nuclear!$Z$5:$Z$292,MATCH($C335,Src_SYSHECF_nuclear!$C$5:$C$292,0))*$E335),Keys!$C$5),Keys!$C$4)</f>
        <v>0.9</v>
      </c>
      <c r="AC335">
        <f>IF($D335=1,ROUND(Keys!$C$2/(INDEX(Src_SYSHECF_nuclear!$AA$5:$AA$292,MATCH($C335,Src_SYSHECF_nuclear!$C$5:$C$292,0))*$E335),Keys!$C$5),Keys!$C$4)</f>
        <v>0.9</v>
      </c>
      <c r="AE335">
        <f>IF($D335=1,IF(ABS(INDEX(Src_SYSHECF_nuclear!$D$5:$D$292,MATCH($C335,Src_SYSHECF_nuclear!$C$5:$C$292,0))*$E335*F335-Keys!$C$2)&gt;Keys!$C$6,1,0),0)</f>
        <v>0</v>
      </c>
    </row>
    <row r="336" spans="1:31" x14ac:dyDescent="0.45">
      <c r="A336" t="s">
        <v>116</v>
      </c>
      <c r="B336" t="s">
        <v>428</v>
      </c>
      <c r="C336" t="str">
        <f t="shared" si="5"/>
        <v>WV|Summer Peak</v>
      </c>
      <c r="D336">
        <f>INDEX(Src_BHRaSYC_nuclear!$HF$5:$HF$52,MATCH($A336,Src_BHRaSYC_nuclear!$A$5:$A$52,0))</f>
        <v>0</v>
      </c>
      <c r="E336">
        <f>INDEX(Src_HYECFCA_nuclear!$B$5:$B$52,MATCH($A336,Src_HYECFCA_nuclear!$A$5:$A$52,0))</f>
        <v>1</v>
      </c>
      <c r="F336">
        <f>IF($D336=1,ROUND(Keys!$C$2/(INDEX(Src_SYSHECF_nuclear!$D$5:$D$292,MATCH($C336,Src_SYSHECF_nuclear!$C$5:$C$292,0))*$E336),Keys!$C$5),Keys!$C$4)</f>
        <v>0.9</v>
      </c>
      <c r="G336">
        <f>IF($D336=1,ROUND(Keys!$C$2/(INDEX(Src_SYSHECF_nuclear!$E$5:$E$292,MATCH($C336,Src_SYSHECF_nuclear!$C$5:$C$292,0))*$E336),Keys!$C$5),Keys!$C$4)</f>
        <v>0.9</v>
      </c>
      <c r="H336">
        <f>IF($D336=1,ROUND(Keys!$C$2/(INDEX(Src_SYSHECF_nuclear!$F$5:$F$292,MATCH($C336,Src_SYSHECF_nuclear!$C$5:$C$292,0))*$E336),Keys!$C$5),Keys!$C$4)</f>
        <v>0.9</v>
      </c>
      <c r="I336">
        <f>IF($D336=1,ROUND(Keys!$C$2/(INDEX(Src_SYSHECF_nuclear!$G$5:$G$292,MATCH($C336,Src_SYSHECF_nuclear!$C$5:$C$292,0))*$E336),Keys!$C$5),Keys!$C$4)</f>
        <v>0.9</v>
      </c>
      <c r="J336">
        <f>IF($D336=1,ROUND(Keys!$C$2/(INDEX(Src_SYSHECF_nuclear!$H$5:$H$292,MATCH($C336,Src_SYSHECF_nuclear!$C$5:$C$292,0))*$E336),Keys!$C$5),Keys!$C$4)</f>
        <v>0.9</v>
      </c>
      <c r="K336">
        <f>IF($D336=1,ROUND(Keys!$C$2/(INDEX(Src_SYSHECF_nuclear!$I$5:$I$292,MATCH($C336,Src_SYSHECF_nuclear!$C$5:$C$292,0))*$E336),Keys!$C$5),Keys!$C$4)</f>
        <v>0.9</v>
      </c>
      <c r="L336">
        <f>IF($D336=1,ROUND(Keys!$C$2/(INDEX(Src_SYSHECF_nuclear!$J$5:$J$292,MATCH($C336,Src_SYSHECF_nuclear!$C$5:$C$292,0))*$E336),Keys!$C$5),Keys!$C$4)</f>
        <v>0.9</v>
      </c>
      <c r="M336">
        <f>IF($D336=1,ROUND(Keys!$C$2/(INDEX(Src_SYSHECF_nuclear!$K$5:$K$292,MATCH($C336,Src_SYSHECF_nuclear!$C$5:$C$292,0))*$E336),Keys!$C$5),Keys!$C$4)</f>
        <v>0.9</v>
      </c>
      <c r="N336">
        <f>IF($D336=1,ROUND(Keys!$C$2/(INDEX(Src_SYSHECF_nuclear!$L$5:$L$292,MATCH($C336,Src_SYSHECF_nuclear!$C$5:$C$292,0))*$E336),Keys!$C$5),Keys!$C$4)</f>
        <v>0.9</v>
      </c>
      <c r="O336">
        <f>IF($D336=1,ROUND(Keys!$C$2/(INDEX(Src_SYSHECF_nuclear!$M$5:$M$292,MATCH($C336,Src_SYSHECF_nuclear!$C$5:$C$292,0))*$E336),Keys!$C$5),Keys!$C$4)</f>
        <v>0.9</v>
      </c>
      <c r="P336">
        <f>IF($D336=1,ROUND(Keys!$C$2/(INDEX(Src_SYSHECF_nuclear!$N$5:$N$292,MATCH($C336,Src_SYSHECF_nuclear!$C$5:$C$292,0))*$E336),Keys!$C$5),Keys!$C$4)</f>
        <v>0.9</v>
      </c>
      <c r="Q336">
        <f>IF($D336=1,ROUND(Keys!$C$2/(INDEX(Src_SYSHECF_nuclear!$O$5:$O$292,MATCH($C336,Src_SYSHECF_nuclear!$C$5:$C$292,0))*$E336),Keys!$C$5),Keys!$C$4)</f>
        <v>0.9</v>
      </c>
      <c r="R336">
        <f>IF($D336=1,ROUND(Keys!$C$2/(INDEX(Src_SYSHECF_nuclear!$P$5:$P$292,MATCH($C336,Src_SYSHECF_nuclear!$C$5:$C$292,0))*$E336),Keys!$C$5),Keys!$C$4)</f>
        <v>0.9</v>
      </c>
      <c r="S336">
        <f>IF($D336=1,ROUND(Keys!$C$2/(INDEX(Src_SYSHECF_nuclear!$Q$5:$Q$292,MATCH($C336,Src_SYSHECF_nuclear!$C$5:$C$292,0))*$E336),Keys!$C$5),Keys!$C$4)</f>
        <v>0.9</v>
      </c>
      <c r="T336">
        <f>IF($D336=1,ROUND(Keys!$C$2/(INDEX(Src_SYSHECF_nuclear!$R$5:$R$292,MATCH($C336,Src_SYSHECF_nuclear!$C$5:$C$292,0))*$E336),Keys!$C$5),Keys!$C$4)</f>
        <v>0.9</v>
      </c>
      <c r="U336">
        <f>IF($D336=1,ROUND(Keys!$C$2/(INDEX(Src_SYSHECF_nuclear!$S$5:$S$292,MATCH($C336,Src_SYSHECF_nuclear!$C$5:$C$292,0))*$E336),Keys!$C$5),Keys!$C$4)</f>
        <v>0.9</v>
      </c>
      <c r="V336">
        <f>IF($D336=1,ROUND(Keys!$C$2/(INDEX(Src_SYSHECF_nuclear!$T$5:$T$292,MATCH($C336,Src_SYSHECF_nuclear!$C$5:$C$292,0))*$E336),Keys!$C$5),Keys!$C$4)</f>
        <v>0.9</v>
      </c>
      <c r="W336">
        <f>IF($D336=1,ROUND(Keys!$C$2/(INDEX(Src_SYSHECF_nuclear!$U$5:$U$292,MATCH($C336,Src_SYSHECF_nuclear!$C$5:$C$292,0))*$E336),Keys!$C$5),Keys!$C$4)</f>
        <v>0.9</v>
      </c>
      <c r="X336">
        <f>IF($D336=1,ROUND(Keys!$C$2/(INDEX(Src_SYSHECF_nuclear!$V$5:$V$292,MATCH($C336,Src_SYSHECF_nuclear!$C$5:$C$292,0))*$E336),Keys!$C$5),Keys!$C$4)</f>
        <v>0.9</v>
      </c>
      <c r="Y336">
        <f>IF($D336=1,ROUND(Keys!$C$2/(INDEX(Src_SYSHECF_nuclear!$W$5:$W$292,MATCH($C336,Src_SYSHECF_nuclear!$C$5:$C$292,0))*$E336),Keys!$C$5),Keys!$C$4)</f>
        <v>0.9</v>
      </c>
      <c r="Z336">
        <f>IF($D336=1,ROUND(Keys!$C$2/(INDEX(Src_SYSHECF_nuclear!$X$5:$X$292,MATCH($C336,Src_SYSHECF_nuclear!$C$5:$C$292,0))*$E336),Keys!$C$5),Keys!$C$4)</f>
        <v>0.9</v>
      </c>
      <c r="AA336">
        <f>IF($D336=1,ROUND(Keys!$C$2/(INDEX(Src_SYSHECF_nuclear!$Y$5:$Y$292,MATCH($C336,Src_SYSHECF_nuclear!$C$5:$C$292,0))*$E336),Keys!$C$5),Keys!$C$4)</f>
        <v>0.9</v>
      </c>
      <c r="AB336">
        <f>IF($D336=1,ROUND(Keys!$C$2/(INDEX(Src_SYSHECF_nuclear!$Z$5:$Z$292,MATCH($C336,Src_SYSHECF_nuclear!$C$5:$C$292,0))*$E336),Keys!$C$5),Keys!$C$4)</f>
        <v>0.9</v>
      </c>
      <c r="AC336">
        <f>IF($D336=1,ROUND(Keys!$C$2/(INDEX(Src_SYSHECF_nuclear!$AA$5:$AA$292,MATCH($C336,Src_SYSHECF_nuclear!$C$5:$C$292,0))*$E336),Keys!$C$5),Keys!$C$4)</f>
        <v>0.9</v>
      </c>
      <c r="AE336">
        <f>IF($D336=1,IF(ABS(INDEX(Src_SYSHECF_nuclear!$D$5:$D$292,MATCH($C336,Src_SYSHECF_nuclear!$C$5:$C$292,0))*$E336*F336-Keys!$C$2)&gt;Keys!$C$6,1,0),0)</f>
        <v>0</v>
      </c>
    </row>
    <row r="337" spans="1:31" x14ac:dyDescent="0.45">
      <c r="A337" t="s">
        <v>116</v>
      </c>
      <c r="B337" t="s">
        <v>429</v>
      </c>
      <c r="C337" t="str">
        <f t="shared" si="5"/>
        <v>WV|Winter Peak</v>
      </c>
      <c r="D337">
        <f>INDEX(Src_BHRaSYC_nuclear!$HF$5:$HF$52,MATCH($A337,Src_BHRaSYC_nuclear!$A$5:$A$52,0))</f>
        <v>0</v>
      </c>
      <c r="E337">
        <f>INDEX(Src_HYECFCA_nuclear!$B$5:$B$52,MATCH($A337,Src_HYECFCA_nuclear!$A$5:$A$52,0))</f>
        <v>1</v>
      </c>
      <c r="F337">
        <f>IF($D337=1,ROUND(Keys!$C$2/(INDEX(Src_SYSHECF_nuclear!$D$5:$D$292,MATCH($C337,Src_SYSHECF_nuclear!$C$5:$C$292,0))*$E337),Keys!$C$5),Keys!$C$4)</f>
        <v>0.9</v>
      </c>
      <c r="G337">
        <f>IF($D337=1,ROUND(Keys!$C$2/(INDEX(Src_SYSHECF_nuclear!$E$5:$E$292,MATCH($C337,Src_SYSHECF_nuclear!$C$5:$C$292,0))*$E337),Keys!$C$5),Keys!$C$4)</f>
        <v>0.9</v>
      </c>
      <c r="H337">
        <f>IF($D337=1,ROUND(Keys!$C$2/(INDEX(Src_SYSHECF_nuclear!$F$5:$F$292,MATCH($C337,Src_SYSHECF_nuclear!$C$5:$C$292,0))*$E337),Keys!$C$5),Keys!$C$4)</f>
        <v>0.9</v>
      </c>
      <c r="I337">
        <f>IF($D337=1,ROUND(Keys!$C$2/(INDEX(Src_SYSHECF_nuclear!$G$5:$G$292,MATCH($C337,Src_SYSHECF_nuclear!$C$5:$C$292,0))*$E337),Keys!$C$5),Keys!$C$4)</f>
        <v>0.9</v>
      </c>
      <c r="J337">
        <f>IF($D337=1,ROUND(Keys!$C$2/(INDEX(Src_SYSHECF_nuclear!$H$5:$H$292,MATCH($C337,Src_SYSHECF_nuclear!$C$5:$C$292,0))*$E337),Keys!$C$5),Keys!$C$4)</f>
        <v>0.9</v>
      </c>
      <c r="K337">
        <f>IF($D337=1,ROUND(Keys!$C$2/(INDEX(Src_SYSHECF_nuclear!$I$5:$I$292,MATCH($C337,Src_SYSHECF_nuclear!$C$5:$C$292,0))*$E337),Keys!$C$5),Keys!$C$4)</f>
        <v>0.9</v>
      </c>
      <c r="L337">
        <f>IF($D337=1,ROUND(Keys!$C$2/(INDEX(Src_SYSHECF_nuclear!$J$5:$J$292,MATCH($C337,Src_SYSHECF_nuclear!$C$5:$C$292,0))*$E337),Keys!$C$5),Keys!$C$4)</f>
        <v>0.9</v>
      </c>
      <c r="M337">
        <f>IF($D337=1,ROUND(Keys!$C$2/(INDEX(Src_SYSHECF_nuclear!$K$5:$K$292,MATCH($C337,Src_SYSHECF_nuclear!$C$5:$C$292,0))*$E337),Keys!$C$5),Keys!$C$4)</f>
        <v>0.9</v>
      </c>
      <c r="N337">
        <f>IF($D337=1,ROUND(Keys!$C$2/(INDEX(Src_SYSHECF_nuclear!$L$5:$L$292,MATCH($C337,Src_SYSHECF_nuclear!$C$5:$C$292,0))*$E337),Keys!$C$5),Keys!$C$4)</f>
        <v>0.9</v>
      </c>
      <c r="O337">
        <f>IF($D337=1,ROUND(Keys!$C$2/(INDEX(Src_SYSHECF_nuclear!$M$5:$M$292,MATCH($C337,Src_SYSHECF_nuclear!$C$5:$C$292,0))*$E337),Keys!$C$5),Keys!$C$4)</f>
        <v>0.9</v>
      </c>
      <c r="P337">
        <f>IF($D337=1,ROUND(Keys!$C$2/(INDEX(Src_SYSHECF_nuclear!$N$5:$N$292,MATCH($C337,Src_SYSHECF_nuclear!$C$5:$C$292,0))*$E337),Keys!$C$5),Keys!$C$4)</f>
        <v>0.9</v>
      </c>
      <c r="Q337">
        <f>IF($D337=1,ROUND(Keys!$C$2/(INDEX(Src_SYSHECF_nuclear!$O$5:$O$292,MATCH($C337,Src_SYSHECF_nuclear!$C$5:$C$292,0))*$E337),Keys!$C$5),Keys!$C$4)</f>
        <v>0.9</v>
      </c>
      <c r="R337">
        <f>IF($D337=1,ROUND(Keys!$C$2/(INDEX(Src_SYSHECF_nuclear!$P$5:$P$292,MATCH($C337,Src_SYSHECF_nuclear!$C$5:$C$292,0))*$E337),Keys!$C$5),Keys!$C$4)</f>
        <v>0.9</v>
      </c>
      <c r="S337">
        <f>IF($D337=1,ROUND(Keys!$C$2/(INDEX(Src_SYSHECF_nuclear!$Q$5:$Q$292,MATCH($C337,Src_SYSHECF_nuclear!$C$5:$C$292,0))*$E337),Keys!$C$5),Keys!$C$4)</f>
        <v>0.9</v>
      </c>
      <c r="T337">
        <f>IF($D337=1,ROUND(Keys!$C$2/(INDEX(Src_SYSHECF_nuclear!$R$5:$R$292,MATCH($C337,Src_SYSHECF_nuclear!$C$5:$C$292,0))*$E337),Keys!$C$5),Keys!$C$4)</f>
        <v>0.9</v>
      </c>
      <c r="U337">
        <f>IF($D337=1,ROUND(Keys!$C$2/(INDEX(Src_SYSHECF_nuclear!$S$5:$S$292,MATCH($C337,Src_SYSHECF_nuclear!$C$5:$C$292,0))*$E337),Keys!$C$5),Keys!$C$4)</f>
        <v>0.9</v>
      </c>
      <c r="V337">
        <f>IF($D337=1,ROUND(Keys!$C$2/(INDEX(Src_SYSHECF_nuclear!$T$5:$T$292,MATCH($C337,Src_SYSHECF_nuclear!$C$5:$C$292,0))*$E337),Keys!$C$5),Keys!$C$4)</f>
        <v>0.9</v>
      </c>
      <c r="W337">
        <f>IF($D337=1,ROUND(Keys!$C$2/(INDEX(Src_SYSHECF_nuclear!$U$5:$U$292,MATCH($C337,Src_SYSHECF_nuclear!$C$5:$C$292,0))*$E337),Keys!$C$5),Keys!$C$4)</f>
        <v>0.9</v>
      </c>
      <c r="X337">
        <f>IF($D337=1,ROUND(Keys!$C$2/(INDEX(Src_SYSHECF_nuclear!$V$5:$V$292,MATCH($C337,Src_SYSHECF_nuclear!$C$5:$C$292,0))*$E337),Keys!$C$5),Keys!$C$4)</f>
        <v>0.9</v>
      </c>
      <c r="Y337">
        <f>IF($D337=1,ROUND(Keys!$C$2/(INDEX(Src_SYSHECF_nuclear!$W$5:$W$292,MATCH($C337,Src_SYSHECF_nuclear!$C$5:$C$292,0))*$E337),Keys!$C$5),Keys!$C$4)</f>
        <v>0.9</v>
      </c>
      <c r="Z337">
        <f>IF($D337=1,ROUND(Keys!$C$2/(INDEX(Src_SYSHECF_nuclear!$X$5:$X$292,MATCH($C337,Src_SYSHECF_nuclear!$C$5:$C$292,0))*$E337),Keys!$C$5),Keys!$C$4)</f>
        <v>0.9</v>
      </c>
      <c r="AA337">
        <f>IF($D337=1,ROUND(Keys!$C$2/(INDEX(Src_SYSHECF_nuclear!$Y$5:$Y$292,MATCH($C337,Src_SYSHECF_nuclear!$C$5:$C$292,0))*$E337),Keys!$C$5),Keys!$C$4)</f>
        <v>0.9</v>
      </c>
      <c r="AB337">
        <f>IF($D337=1,ROUND(Keys!$C$2/(INDEX(Src_SYSHECF_nuclear!$Z$5:$Z$292,MATCH($C337,Src_SYSHECF_nuclear!$C$5:$C$292,0))*$E337),Keys!$C$5),Keys!$C$4)</f>
        <v>0.9</v>
      </c>
      <c r="AC337">
        <f>IF($D337=1,ROUND(Keys!$C$2/(INDEX(Src_SYSHECF_nuclear!$AA$5:$AA$292,MATCH($C337,Src_SYSHECF_nuclear!$C$5:$C$292,0))*$E337),Keys!$C$5),Keys!$C$4)</f>
        <v>0.9</v>
      </c>
      <c r="AE337">
        <f>IF($D337=1,IF(ABS(INDEX(Src_SYSHECF_nuclear!$D$5:$D$292,MATCH($C337,Src_SYSHECF_nuclear!$C$5:$C$292,0))*$E337*F337-Keys!$C$2)&gt;Keys!$C$6,1,0),0)</f>
        <v>0</v>
      </c>
    </row>
    <row r="338" spans="1:31" x14ac:dyDescent="0.45">
      <c r="A338" t="s">
        <v>118</v>
      </c>
      <c r="B338" t="s">
        <v>424</v>
      </c>
      <c r="C338" t="str">
        <f t="shared" si="5"/>
        <v>WY|Winter</v>
      </c>
      <c r="D338">
        <f>INDEX(Src_BHRaSYC_nuclear!$HF$5:$HF$52,MATCH($A338,Src_BHRaSYC_nuclear!$A$5:$A$52,0))</f>
        <v>0</v>
      </c>
      <c r="E338">
        <f>INDEX(Src_HYECFCA_nuclear!$B$5:$B$52,MATCH($A338,Src_HYECFCA_nuclear!$A$5:$A$52,0))</f>
        <v>1</v>
      </c>
      <c r="F338">
        <f>IF($D338=1,ROUND(Keys!$C$2/(INDEX(Src_SYSHECF_nuclear!$D$5:$D$292,MATCH($C338,Src_SYSHECF_nuclear!$C$5:$C$292,0))*$E338),Keys!$C$5),Keys!$C$4)</f>
        <v>0.9</v>
      </c>
      <c r="G338">
        <f>IF($D338=1,ROUND(Keys!$C$2/(INDEX(Src_SYSHECF_nuclear!$E$5:$E$292,MATCH($C338,Src_SYSHECF_nuclear!$C$5:$C$292,0))*$E338),Keys!$C$5),Keys!$C$4)</f>
        <v>0.9</v>
      </c>
      <c r="H338">
        <f>IF($D338=1,ROUND(Keys!$C$2/(INDEX(Src_SYSHECF_nuclear!$F$5:$F$292,MATCH($C338,Src_SYSHECF_nuclear!$C$5:$C$292,0))*$E338),Keys!$C$5),Keys!$C$4)</f>
        <v>0.9</v>
      </c>
      <c r="I338">
        <f>IF($D338=1,ROUND(Keys!$C$2/(INDEX(Src_SYSHECF_nuclear!$G$5:$G$292,MATCH($C338,Src_SYSHECF_nuclear!$C$5:$C$292,0))*$E338),Keys!$C$5),Keys!$C$4)</f>
        <v>0.9</v>
      </c>
      <c r="J338">
        <f>IF($D338=1,ROUND(Keys!$C$2/(INDEX(Src_SYSHECF_nuclear!$H$5:$H$292,MATCH($C338,Src_SYSHECF_nuclear!$C$5:$C$292,0))*$E338),Keys!$C$5),Keys!$C$4)</f>
        <v>0.9</v>
      </c>
      <c r="K338">
        <f>IF($D338=1,ROUND(Keys!$C$2/(INDEX(Src_SYSHECF_nuclear!$I$5:$I$292,MATCH($C338,Src_SYSHECF_nuclear!$C$5:$C$292,0))*$E338),Keys!$C$5),Keys!$C$4)</f>
        <v>0.9</v>
      </c>
      <c r="L338">
        <f>IF($D338=1,ROUND(Keys!$C$2/(INDEX(Src_SYSHECF_nuclear!$J$5:$J$292,MATCH($C338,Src_SYSHECF_nuclear!$C$5:$C$292,0))*$E338),Keys!$C$5),Keys!$C$4)</f>
        <v>0.9</v>
      </c>
      <c r="M338">
        <f>IF($D338=1,ROUND(Keys!$C$2/(INDEX(Src_SYSHECF_nuclear!$K$5:$K$292,MATCH($C338,Src_SYSHECF_nuclear!$C$5:$C$292,0))*$E338),Keys!$C$5),Keys!$C$4)</f>
        <v>0.9</v>
      </c>
      <c r="N338">
        <f>IF($D338=1,ROUND(Keys!$C$2/(INDEX(Src_SYSHECF_nuclear!$L$5:$L$292,MATCH($C338,Src_SYSHECF_nuclear!$C$5:$C$292,0))*$E338),Keys!$C$5),Keys!$C$4)</f>
        <v>0.9</v>
      </c>
      <c r="O338">
        <f>IF($D338=1,ROUND(Keys!$C$2/(INDEX(Src_SYSHECF_nuclear!$M$5:$M$292,MATCH($C338,Src_SYSHECF_nuclear!$C$5:$C$292,0))*$E338),Keys!$C$5),Keys!$C$4)</f>
        <v>0.9</v>
      </c>
      <c r="P338">
        <f>IF($D338=1,ROUND(Keys!$C$2/(INDEX(Src_SYSHECF_nuclear!$N$5:$N$292,MATCH($C338,Src_SYSHECF_nuclear!$C$5:$C$292,0))*$E338),Keys!$C$5),Keys!$C$4)</f>
        <v>0.9</v>
      </c>
      <c r="Q338">
        <f>IF($D338=1,ROUND(Keys!$C$2/(INDEX(Src_SYSHECF_nuclear!$O$5:$O$292,MATCH($C338,Src_SYSHECF_nuclear!$C$5:$C$292,0))*$E338),Keys!$C$5),Keys!$C$4)</f>
        <v>0.9</v>
      </c>
      <c r="R338">
        <f>IF($D338=1,ROUND(Keys!$C$2/(INDEX(Src_SYSHECF_nuclear!$P$5:$P$292,MATCH($C338,Src_SYSHECF_nuclear!$C$5:$C$292,0))*$E338),Keys!$C$5),Keys!$C$4)</f>
        <v>0.9</v>
      </c>
      <c r="S338">
        <f>IF($D338=1,ROUND(Keys!$C$2/(INDEX(Src_SYSHECF_nuclear!$Q$5:$Q$292,MATCH($C338,Src_SYSHECF_nuclear!$C$5:$C$292,0))*$E338),Keys!$C$5),Keys!$C$4)</f>
        <v>0.9</v>
      </c>
      <c r="T338">
        <f>IF($D338=1,ROUND(Keys!$C$2/(INDEX(Src_SYSHECF_nuclear!$R$5:$R$292,MATCH($C338,Src_SYSHECF_nuclear!$C$5:$C$292,0))*$E338),Keys!$C$5),Keys!$C$4)</f>
        <v>0.9</v>
      </c>
      <c r="U338">
        <f>IF($D338=1,ROUND(Keys!$C$2/(INDEX(Src_SYSHECF_nuclear!$S$5:$S$292,MATCH($C338,Src_SYSHECF_nuclear!$C$5:$C$292,0))*$E338),Keys!$C$5),Keys!$C$4)</f>
        <v>0.9</v>
      </c>
      <c r="V338">
        <f>IF($D338=1,ROUND(Keys!$C$2/(INDEX(Src_SYSHECF_nuclear!$T$5:$T$292,MATCH($C338,Src_SYSHECF_nuclear!$C$5:$C$292,0))*$E338),Keys!$C$5),Keys!$C$4)</f>
        <v>0.9</v>
      </c>
      <c r="W338">
        <f>IF($D338=1,ROUND(Keys!$C$2/(INDEX(Src_SYSHECF_nuclear!$U$5:$U$292,MATCH($C338,Src_SYSHECF_nuclear!$C$5:$C$292,0))*$E338),Keys!$C$5),Keys!$C$4)</f>
        <v>0.9</v>
      </c>
      <c r="X338">
        <f>IF($D338=1,ROUND(Keys!$C$2/(INDEX(Src_SYSHECF_nuclear!$V$5:$V$292,MATCH($C338,Src_SYSHECF_nuclear!$C$5:$C$292,0))*$E338),Keys!$C$5),Keys!$C$4)</f>
        <v>0.9</v>
      </c>
      <c r="Y338">
        <f>IF($D338=1,ROUND(Keys!$C$2/(INDEX(Src_SYSHECF_nuclear!$W$5:$W$292,MATCH($C338,Src_SYSHECF_nuclear!$C$5:$C$292,0))*$E338),Keys!$C$5),Keys!$C$4)</f>
        <v>0.9</v>
      </c>
      <c r="Z338">
        <f>IF($D338=1,ROUND(Keys!$C$2/(INDEX(Src_SYSHECF_nuclear!$X$5:$X$292,MATCH($C338,Src_SYSHECF_nuclear!$C$5:$C$292,0))*$E338),Keys!$C$5),Keys!$C$4)</f>
        <v>0.9</v>
      </c>
      <c r="AA338">
        <f>IF($D338=1,ROUND(Keys!$C$2/(INDEX(Src_SYSHECF_nuclear!$Y$5:$Y$292,MATCH($C338,Src_SYSHECF_nuclear!$C$5:$C$292,0))*$E338),Keys!$C$5),Keys!$C$4)</f>
        <v>0.9</v>
      </c>
      <c r="AB338">
        <f>IF($D338=1,ROUND(Keys!$C$2/(INDEX(Src_SYSHECF_nuclear!$Z$5:$Z$292,MATCH($C338,Src_SYSHECF_nuclear!$C$5:$C$292,0))*$E338),Keys!$C$5),Keys!$C$4)</f>
        <v>0.9</v>
      </c>
      <c r="AC338">
        <f>IF($D338=1,ROUND(Keys!$C$2/(INDEX(Src_SYSHECF_nuclear!$AA$5:$AA$292,MATCH($C338,Src_SYSHECF_nuclear!$C$5:$C$292,0))*$E338),Keys!$C$5),Keys!$C$4)</f>
        <v>0.9</v>
      </c>
      <c r="AE338">
        <f>IF($D338=1,IF(ABS(INDEX(Src_SYSHECF_nuclear!$D$5:$D$292,MATCH($C338,Src_SYSHECF_nuclear!$C$5:$C$292,0))*$E338*F338-Keys!$C$2)&gt;Keys!$C$6,1,0),0)</f>
        <v>0</v>
      </c>
    </row>
    <row r="339" spans="1:31" x14ac:dyDescent="0.45">
      <c r="A339" t="s">
        <v>118</v>
      </c>
      <c r="B339" t="s">
        <v>425</v>
      </c>
      <c r="C339" t="str">
        <f t="shared" si="5"/>
        <v>WY|Spring</v>
      </c>
      <c r="D339">
        <f>INDEX(Src_BHRaSYC_nuclear!$HF$5:$HF$52,MATCH($A339,Src_BHRaSYC_nuclear!$A$5:$A$52,0))</f>
        <v>0</v>
      </c>
      <c r="E339">
        <f>INDEX(Src_HYECFCA_nuclear!$B$5:$B$52,MATCH($A339,Src_HYECFCA_nuclear!$A$5:$A$52,0))</f>
        <v>1</v>
      </c>
      <c r="F339">
        <f>IF($D339=1,ROUND(Keys!$C$2/(INDEX(Src_SYSHECF_nuclear!$D$5:$D$292,MATCH($C339,Src_SYSHECF_nuclear!$C$5:$C$292,0))*$E339),Keys!$C$5),Keys!$C$4)</f>
        <v>0.9</v>
      </c>
      <c r="G339">
        <f>IF($D339=1,ROUND(Keys!$C$2/(INDEX(Src_SYSHECF_nuclear!$E$5:$E$292,MATCH($C339,Src_SYSHECF_nuclear!$C$5:$C$292,0))*$E339),Keys!$C$5),Keys!$C$4)</f>
        <v>0.9</v>
      </c>
      <c r="H339">
        <f>IF($D339=1,ROUND(Keys!$C$2/(INDEX(Src_SYSHECF_nuclear!$F$5:$F$292,MATCH($C339,Src_SYSHECF_nuclear!$C$5:$C$292,0))*$E339),Keys!$C$5),Keys!$C$4)</f>
        <v>0.9</v>
      </c>
      <c r="I339">
        <f>IF($D339=1,ROUND(Keys!$C$2/(INDEX(Src_SYSHECF_nuclear!$G$5:$G$292,MATCH($C339,Src_SYSHECF_nuclear!$C$5:$C$292,0))*$E339),Keys!$C$5),Keys!$C$4)</f>
        <v>0.9</v>
      </c>
      <c r="J339">
        <f>IF($D339=1,ROUND(Keys!$C$2/(INDEX(Src_SYSHECF_nuclear!$H$5:$H$292,MATCH($C339,Src_SYSHECF_nuclear!$C$5:$C$292,0))*$E339),Keys!$C$5),Keys!$C$4)</f>
        <v>0.9</v>
      </c>
      <c r="K339">
        <f>IF($D339=1,ROUND(Keys!$C$2/(INDEX(Src_SYSHECF_nuclear!$I$5:$I$292,MATCH($C339,Src_SYSHECF_nuclear!$C$5:$C$292,0))*$E339),Keys!$C$5),Keys!$C$4)</f>
        <v>0.9</v>
      </c>
      <c r="L339">
        <f>IF($D339=1,ROUND(Keys!$C$2/(INDEX(Src_SYSHECF_nuclear!$J$5:$J$292,MATCH($C339,Src_SYSHECF_nuclear!$C$5:$C$292,0))*$E339),Keys!$C$5),Keys!$C$4)</f>
        <v>0.9</v>
      </c>
      <c r="M339">
        <f>IF($D339=1,ROUND(Keys!$C$2/(INDEX(Src_SYSHECF_nuclear!$K$5:$K$292,MATCH($C339,Src_SYSHECF_nuclear!$C$5:$C$292,0))*$E339),Keys!$C$5),Keys!$C$4)</f>
        <v>0.9</v>
      </c>
      <c r="N339">
        <f>IF($D339=1,ROUND(Keys!$C$2/(INDEX(Src_SYSHECF_nuclear!$L$5:$L$292,MATCH($C339,Src_SYSHECF_nuclear!$C$5:$C$292,0))*$E339),Keys!$C$5),Keys!$C$4)</f>
        <v>0.9</v>
      </c>
      <c r="O339">
        <f>IF($D339=1,ROUND(Keys!$C$2/(INDEX(Src_SYSHECF_nuclear!$M$5:$M$292,MATCH($C339,Src_SYSHECF_nuclear!$C$5:$C$292,0))*$E339),Keys!$C$5),Keys!$C$4)</f>
        <v>0.9</v>
      </c>
      <c r="P339">
        <f>IF($D339=1,ROUND(Keys!$C$2/(INDEX(Src_SYSHECF_nuclear!$N$5:$N$292,MATCH($C339,Src_SYSHECF_nuclear!$C$5:$C$292,0))*$E339),Keys!$C$5),Keys!$C$4)</f>
        <v>0.9</v>
      </c>
      <c r="Q339">
        <f>IF($D339=1,ROUND(Keys!$C$2/(INDEX(Src_SYSHECF_nuclear!$O$5:$O$292,MATCH($C339,Src_SYSHECF_nuclear!$C$5:$C$292,0))*$E339),Keys!$C$5),Keys!$C$4)</f>
        <v>0.9</v>
      </c>
      <c r="R339">
        <f>IF($D339=1,ROUND(Keys!$C$2/(INDEX(Src_SYSHECF_nuclear!$P$5:$P$292,MATCH($C339,Src_SYSHECF_nuclear!$C$5:$C$292,0))*$E339),Keys!$C$5),Keys!$C$4)</f>
        <v>0.9</v>
      </c>
      <c r="S339">
        <f>IF($D339=1,ROUND(Keys!$C$2/(INDEX(Src_SYSHECF_nuclear!$Q$5:$Q$292,MATCH($C339,Src_SYSHECF_nuclear!$C$5:$C$292,0))*$E339),Keys!$C$5),Keys!$C$4)</f>
        <v>0.9</v>
      </c>
      <c r="T339">
        <f>IF($D339=1,ROUND(Keys!$C$2/(INDEX(Src_SYSHECF_nuclear!$R$5:$R$292,MATCH($C339,Src_SYSHECF_nuclear!$C$5:$C$292,0))*$E339),Keys!$C$5),Keys!$C$4)</f>
        <v>0.9</v>
      </c>
      <c r="U339">
        <f>IF($D339=1,ROUND(Keys!$C$2/(INDEX(Src_SYSHECF_nuclear!$S$5:$S$292,MATCH($C339,Src_SYSHECF_nuclear!$C$5:$C$292,0))*$E339),Keys!$C$5),Keys!$C$4)</f>
        <v>0.9</v>
      </c>
      <c r="V339">
        <f>IF($D339=1,ROUND(Keys!$C$2/(INDEX(Src_SYSHECF_nuclear!$T$5:$T$292,MATCH($C339,Src_SYSHECF_nuclear!$C$5:$C$292,0))*$E339),Keys!$C$5),Keys!$C$4)</f>
        <v>0.9</v>
      </c>
      <c r="W339">
        <f>IF($D339=1,ROUND(Keys!$C$2/(INDEX(Src_SYSHECF_nuclear!$U$5:$U$292,MATCH($C339,Src_SYSHECF_nuclear!$C$5:$C$292,0))*$E339),Keys!$C$5),Keys!$C$4)</f>
        <v>0.9</v>
      </c>
      <c r="X339">
        <f>IF($D339=1,ROUND(Keys!$C$2/(INDEX(Src_SYSHECF_nuclear!$V$5:$V$292,MATCH($C339,Src_SYSHECF_nuclear!$C$5:$C$292,0))*$E339),Keys!$C$5),Keys!$C$4)</f>
        <v>0.9</v>
      </c>
      <c r="Y339">
        <f>IF($D339=1,ROUND(Keys!$C$2/(INDEX(Src_SYSHECF_nuclear!$W$5:$W$292,MATCH($C339,Src_SYSHECF_nuclear!$C$5:$C$292,0))*$E339),Keys!$C$5),Keys!$C$4)</f>
        <v>0.9</v>
      </c>
      <c r="Z339">
        <f>IF($D339=1,ROUND(Keys!$C$2/(INDEX(Src_SYSHECF_nuclear!$X$5:$X$292,MATCH($C339,Src_SYSHECF_nuclear!$C$5:$C$292,0))*$E339),Keys!$C$5),Keys!$C$4)</f>
        <v>0.9</v>
      </c>
      <c r="AA339">
        <f>IF($D339=1,ROUND(Keys!$C$2/(INDEX(Src_SYSHECF_nuclear!$Y$5:$Y$292,MATCH($C339,Src_SYSHECF_nuclear!$C$5:$C$292,0))*$E339),Keys!$C$5),Keys!$C$4)</f>
        <v>0.9</v>
      </c>
      <c r="AB339">
        <f>IF($D339=1,ROUND(Keys!$C$2/(INDEX(Src_SYSHECF_nuclear!$Z$5:$Z$292,MATCH($C339,Src_SYSHECF_nuclear!$C$5:$C$292,0))*$E339),Keys!$C$5),Keys!$C$4)</f>
        <v>0.9</v>
      </c>
      <c r="AC339">
        <f>IF($D339=1,ROUND(Keys!$C$2/(INDEX(Src_SYSHECF_nuclear!$AA$5:$AA$292,MATCH($C339,Src_SYSHECF_nuclear!$C$5:$C$292,0))*$E339),Keys!$C$5),Keys!$C$4)</f>
        <v>0.9</v>
      </c>
      <c r="AE339">
        <f>IF($D339=1,IF(ABS(INDEX(Src_SYSHECF_nuclear!$D$5:$D$292,MATCH($C339,Src_SYSHECF_nuclear!$C$5:$C$292,0))*$E339*F339-Keys!$C$2)&gt;Keys!$C$6,1,0),0)</f>
        <v>0</v>
      </c>
    </row>
    <row r="340" spans="1:31" x14ac:dyDescent="0.45">
      <c r="A340" t="s">
        <v>118</v>
      </c>
      <c r="B340" t="s">
        <v>426</v>
      </c>
      <c r="C340" t="str">
        <f t="shared" si="5"/>
        <v>WY|Summer</v>
      </c>
      <c r="D340">
        <f>INDEX(Src_BHRaSYC_nuclear!$HF$5:$HF$52,MATCH($A340,Src_BHRaSYC_nuclear!$A$5:$A$52,0))</f>
        <v>0</v>
      </c>
      <c r="E340">
        <f>INDEX(Src_HYECFCA_nuclear!$B$5:$B$52,MATCH($A340,Src_HYECFCA_nuclear!$A$5:$A$52,0))</f>
        <v>1</v>
      </c>
      <c r="F340">
        <f>IF($D340=1,ROUND(Keys!$C$2/(INDEX(Src_SYSHECF_nuclear!$D$5:$D$292,MATCH($C340,Src_SYSHECF_nuclear!$C$5:$C$292,0))*$E340),Keys!$C$5),Keys!$C$4)</f>
        <v>0.9</v>
      </c>
      <c r="G340">
        <f>IF($D340=1,ROUND(Keys!$C$2/(INDEX(Src_SYSHECF_nuclear!$E$5:$E$292,MATCH($C340,Src_SYSHECF_nuclear!$C$5:$C$292,0))*$E340),Keys!$C$5),Keys!$C$4)</f>
        <v>0.9</v>
      </c>
      <c r="H340">
        <f>IF($D340=1,ROUND(Keys!$C$2/(INDEX(Src_SYSHECF_nuclear!$F$5:$F$292,MATCH($C340,Src_SYSHECF_nuclear!$C$5:$C$292,0))*$E340),Keys!$C$5),Keys!$C$4)</f>
        <v>0.9</v>
      </c>
      <c r="I340">
        <f>IF($D340=1,ROUND(Keys!$C$2/(INDEX(Src_SYSHECF_nuclear!$G$5:$G$292,MATCH($C340,Src_SYSHECF_nuclear!$C$5:$C$292,0))*$E340),Keys!$C$5),Keys!$C$4)</f>
        <v>0.9</v>
      </c>
      <c r="J340">
        <f>IF($D340=1,ROUND(Keys!$C$2/(INDEX(Src_SYSHECF_nuclear!$H$5:$H$292,MATCH($C340,Src_SYSHECF_nuclear!$C$5:$C$292,0))*$E340),Keys!$C$5),Keys!$C$4)</f>
        <v>0.9</v>
      </c>
      <c r="K340">
        <f>IF($D340=1,ROUND(Keys!$C$2/(INDEX(Src_SYSHECF_nuclear!$I$5:$I$292,MATCH($C340,Src_SYSHECF_nuclear!$C$5:$C$292,0))*$E340),Keys!$C$5),Keys!$C$4)</f>
        <v>0.9</v>
      </c>
      <c r="L340">
        <f>IF($D340=1,ROUND(Keys!$C$2/(INDEX(Src_SYSHECF_nuclear!$J$5:$J$292,MATCH($C340,Src_SYSHECF_nuclear!$C$5:$C$292,0))*$E340),Keys!$C$5),Keys!$C$4)</f>
        <v>0.9</v>
      </c>
      <c r="M340">
        <f>IF($D340=1,ROUND(Keys!$C$2/(INDEX(Src_SYSHECF_nuclear!$K$5:$K$292,MATCH($C340,Src_SYSHECF_nuclear!$C$5:$C$292,0))*$E340),Keys!$C$5),Keys!$C$4)</f>
        <v>0.9</v>
      </c>
      <c r="N340">
        <f>IF($D340=1,ROUND(Keys!$C$2/(INDEX(Src_SYSHECF_nuclear!$L$5:$L$292,MATCH($C340,Src_SYSHECF_nuclear!$C$5:$C$292,0))*$E340),Keys!$C$5),Keys!$C$4)</f>
        <v>0.9</v>
      </c>
      <c r="O340">
        <f>IF($D340=1,ROUND(Keys!$C$2/(INDEX(Src_SYSHECF_nuclear!$M$5:$M$292,MATCH($C340,Src_SYSHECF_nuclear!$C$5:$C$292,0))*$E340),Keys!$C$5),Keys!$C$4)</f>
        <v>0.9</v>
      </c>
      <c r="P340">
        <f>IF($D340=1,ROUND(Keys!$C$2/(INDEX(Src_SYSHECF_nuclear!$N$5:$N$292,MATCH($C340,Src_SYSHECF_nuclear!$C$5:$C$292,0))*$E340),Keys!$C$5),Keys!$C$4)</f>
        <v>0.9</v>
      </c>
      <c r="Q340">
        <f>IF($D340=1,ROUND(Keys!$C$2/(INDEX(Src_SYSHECF_nuclear!$O$5:$O$292,MATCH($C340,Src_SYSHECF_nuclear!$C$5:$C$292,0))*$E340),Keys!$C$5),Keys!$C$4)</f>
        <v>0.9</v>
      </c>
      <c r="R340">
        <f>IF($D340=1,ROUND(Keys!$C$2/(INDEX(Src_SYSHECF_nuclear!$P$5:$P$292,MATCH($C340,Src_SYSHECF_nuclear!$C$5:$C$292,0))*$E340),Keys!$C$5),Keys!$C$4)</f>
        <v>0.9</v>
      </c>
      <c r="S340">
        <f>IF($D340=1,ROUND(Keys!$C$2/(INDEX(Src_SYSHECF_nuclear!$Q$5:$Q$292,MATCH($C340,Src_SYSHECF_nuclear!$C$5:$C$292,0))*$E340),Keys!$C$5),Keys!$C$4)</f>
        <v>0.9</v>
      </c>
      <c r="T340">
        <f>IF($D340=1,ROUND(Keys!$C$2/(INDEX(Src_SYSHECF_nuclear!$R$5:$R$292,MATCH($C340,Src_SYSHECF_nuclear!$C$5:$C$292,0))*$E340),Keys!$C$5),Keys!$C$4)</f>
        <v>0.9</v>
      </c>
      <c r="U340">
        <f>IF($D340=1,ROUND(Keys!$C$2/(INDEX(Src_SYSHECF_nuclear!$S$5:$S$292,MATCH($C340,Src_SYSHECF_nuclear!$C$5:$C$292,0))*$E340),Keys!$C$5),Keys!$C$4)</f>
        <v>0.9</v>
      </c>
      <c r="V340">
        <f>IF($D340=1,ROUND(Keys!$C$2/(INDEX(Src_SYSHECF_nuclear!$T$5:$T$292,MATCH($C340,Src_SYSHECF_nuclear!$C$5:$C$292,0))*$E340),Keys!$C$5),Keys!$C$4)</f>
        <v>0.9</v>
      </c>
      <c r="W340">
        <f>IF($D340=1,ROUND(Keys!$C$2/(INDEX(Src_SYSHECF_nuclear!$U$5:$U$292,MATCH($C340,Src_SYSHECF_nuclear!$C$5:$C$292,0))*$E340),Keys!$C$5),Keys!$C$4)</f>
        <v>0.9</v>
      </c>
      <c r="X340">
        <f>IF($D340=1,ROUND(Keys!$C$2/(INDEX(Src_SYSHECF_nuclear!$V$5:$V$292,MATCH($C340,Src_SYSHECF_nuclear!$C$5:$C$292,0))*$E340),Keys!$C$5),Keys!$C$4)</f>
        <v>0.9</v>
      </c>
      <c r="Y340">
        <f>IF($D340=1,ROUND(Keys!$C$2/(INDEX(Src_SYSHECF_nuclear!$W$5:$W$292,MATCH($C340,Src_SYSHECF_nuclear!$C$5:$C$292,0))*$E340),Keys!$C$5),Keys!$C$4)</f>
        <v>0.9</v>
      </c>
      <c r="Z340">
        <f>IF($D340=1,ROUND(Keys!$C$2/(INDEX(Src_SYSHECF_nuclear!$X$5:$X$292,MATCH($C340,Src_SYSHECF_nuclear!$C$5:$C$292,0))*$E340),Keys!$C$5),Keys!$C$4)</f>
        <v>0.9</v>
      </c>
      <c r="AA340">
        <f>IF($D340=1,ROUND(Keys!$C$2/(INDEX(Src_SYSHECF_nuclear!$Y$5:$Y$292,MATCH($C340,Src_SYSHECF_nuclear!$C$5:$C$292,0))*$E340),Keys!$C$5),Keys!$C$4)</f>
        <v>0.9</v>
      </c>
      <c r="AB340">
        <f>IF($D340=1,ROUND(Keys!$C$2/(INDEX(Src_SYSHECF_nuclear!$Z$5:$Z$292,MATCH($C340,Src_SYSHECF_nuclear!$C$5:$C$292,0))*$E340),Keys!$C$5),Keys!$C$4)</f>
        <v>0.9</v>
      </c>
      <c r="AC340">
        <f>IF($D340=1,ROUND(Keys!$C$2/(INDEX(Src_SYSHECF_nuclear!$AA$5:$AA$292,MATCH($C340,Src_SYSHECF_nuclear!$C$5:$C$292,0))*$E340),Keys!$C$5),Keys!$C$4)</f>
        <v>0.9</v>
      </c>
      <c r="AE340">
        <f>IF($D340=1,IF(ABS(INDEX(Src_SYSHECF_nuclear!$D$5:$D$292,MATCH($C340,Src_SYSHECF_nuclear!$C$5:$C$292,0))*$E340*F340-Keys!$C$2)&gt;Keys!$C$6,1,0),0)</f>
        <v>0</v>
      </c>
    </row>
    <row r="341" spans="1:31" x14ac:dyDescent="0.45">
      <c r="A341" t="s">
        <v>118</v>
      </c>
      <c r="B341" t="s">
        <v>427</v>
      </c>
      <c r="C341" t="str">
        <f t="shared" si="5"/>
        <v>WY|Fall</v>
      </c>
      <c r="D341">
        <f>INDEX(Src_BHRaSYC_nuclear!$HF$5:$HF$52,MATCH($A341,Src_BHRaSYC_nuclear!$A$5:$A$52,0))</f>
        <v>0</v>
      </c>
      <c r="E341">
        <f>INDEX(Src_HYECFCA_nuclear!$B$5:$B$52,MATCH($A341,Src_HYECFCA_nuclear!$A$5:$A$52,0))</f>
        <v>1</v>
      </c>
      <c r="F341">
        <f>IF($D341=1,ROUND(Keys!$C$2/(INDEX(Src_SYSHECF_nuclear!$D$5:$D$292,MATCH($C341,Src_SYSHECF_nuclear!$C$5:$C$292,0))*$E341),Keys!$C$5),Keys!$C$4)</f>
        <v>0.9</v>
      </c>
      <c r="G341">
        <f>IF($D341=1,ROUND(Keys!$C$2/(INDEX(Src_SYSHECF_nuclear!$E$5:$E$292,MATCH($C341,Src_SYSHECF_nuclear!$C$5:$C$292,0))*$E341),Keys!$C$5),Keys!$C$4)</f>
        <v>0.9</v>
      </c>
      <c r="H341">
        <f>IF($D341=1,ROUND(Keys!$C$2/(INDEX(Src_SYSHECF_nuclear!$F$5:$F$292,MATCH($C341,Src_SYSHECF_nuclear!$C$5:$C$292,0))*$E341),Keys!$C$5),Keys!$C$4)</f>
        <v>0.9</v>
      </c>
      <c r="I341">
        <f>IF($D341=1,ROUND(Keys!$C$2/(INDEX(Src_SYSHECF_nuclear!$G$5:$G$292,MATCH($C341,Src_SYSHECF_nuclear!$C$5:$C$292,0))*$E341),Keys!$C$5),Keys!$C$4)</f>
        <v>0.9</v>
      </c>
      <c r="J341">
        <f>IF($D341=1,ROUND(Keys!$C$2/(INDEX(Src_SYSHECF_nuclear!$H$5:$H$292,MATCH($C341,Src_SYSHECF_nuclear!$C$5:$C$292,0))*$E341),Keys!$C$5),Keys!$C$4)</f>
        <v>0.9</v>
      </c>
      <c r="K341">
        <f>IF($D341=1,ROUND(Keys!$C$2/(INDEX(Src_SYSHECF_nuclear!$I$5:$I$292,MATCH($C341,Src_SYSHECF_nuclear!$C$5:$C$292,0))*$E341),Keys!$C$5),Keys!$C$4)</f>
        <v>0.9</v>
      </c>
      <c r="L341">
        <f>IF($D341=1,ROUND(Keys!$C$2/(INDEX(Src_SYSHECF_nuclear!$J$5:$J$292,MATCH($C341,Src_SYSHECF_nuclear!$C$5:$C$292,0))*$E341),Keys!$C$5),Keys!$C$4)</f>
        <v>0.9</v>
      </c>
      <c r="M341">
        <f>IF($D341=1,ROUND(Keys!$C$2/(INDEX(Src_SYSHECF_nuclear!$K$5:$K$292,MATCH($C341,Src_SYSHECF_nuclear!$C$5:$C$292,0))*$E341),Keys!$C$5),Keys!$C$4)</f>
        <v>0.9</v>
      </c>
      <c r="N341">
        <f>IF($D341=1,ROUND(Keys!$C$2/(INDEX(Src_SYSHECF_nuclear!$L$5:$L$292,MATCH($C341,Src_SYSHECF_nuclear!$C$5:$C$292,0))*$E341),Keys!$C$5),Keys!$C$4)</f>
        <v>0.9</v>
      </c>
      <c r="O341">
        <f>IF($D341=1,ROUND(Keys!$C$2/(INDEX(Src_SYSHECF_nuclear!$M$5:$M$292,MATCH($C341,Src_SYSHECF_nuclear!$C$5:$C$292,0))*$E341),Keys!$C$5),Keys!$C$4)</f>
        <v>0.9</v>
      </c>
      <c r="P341">
        <f>IF($D341=1,ROUND(Keys!$C$2/(INDEX(Src_SYSHECF_nuclear!$N$5:$N$292,MATCH($C341,Src_SYSHECF_nuclear!$C$5:$C$292,0))*$E341),Keys!$C$5),Keys!$C$4)</f>
        <v>0.9</v>
      </c>
      <c r="Q341">
        <f>IF($D341=1,ROUND(Keys!$C$2/(INDEX(Src_SYSHECF_nuclear!$O$5:$O$292,MATCH($C341,Src_SYSHECF_nuclear!$C$5:$C$292,0))*$E341),Keys!$C$5),Keys!$C$4)</f>
        <v>0.9</v>
      </c>
      <c r="R341">
        <f>IF($D341=1,ROUND(Keys!$C$2/(INDEX(Src_SYSHECF_nuclear!$P$5:$P$292,MATCH($C341,Src_SYSHECF_nuclear!$C$5:$C$292,0))*$E341),Keys!$C$5),Keys!$C$4)</f>
        <v>0.9</v>
      </c>
      <c r="S341">
        <f>IF($D341=1,ROUND(Keys!$C$2/(INDEX(Src_SYSHECF_nuclear!$Q$5:$Q$292,MATCH($C341,Src_SYSHECF_nuclear!$C$5:$C$292,0))*$E341),Keys!$C$5),Keys!$C$4)</f>
        <v>0.9</v>
      </c>
      <c r="T341">
        <f>IF($D341=1,ROUND(Keys!$C$2/(INDEX(Src_SYSHECF_nuclear!$R$5:$R$292,MATCH($C341,Src_SYSHECF_nuclear!$C$5:$C$292,0))*$E341),Keys!$C$5),Keys!$C$4)</f>
        <v>0.9</v>
      </c>
      <c r="U341">
        <f>IF($D341=1,ROUND(Keys!$C$2/(INDEX(Src_SYSHECF_nuclear!$S$5:$S$292,MATCH($C341,Src_SYSHECF_nuclear!$C$5:$C$292,0))*$E341),Keys!$C$5),Keys!$C$4)</f>
        <v>0.9</v>
      </c>
      <c r="V341">
        <f>IF($D341=1,ROUND(Keys!$C$2/(INDEX(Src_SYSHECF_nuclear!$T$5:$T$292,MATCH($C341,Src_SYSHECF_nuclear!$C$5:$C$292,0))*$E341),Keys!$C$5),Keys!$C$4)</f>
        <v>0.9</v>
      </c>
      <c r="W341">
        <f>IF($D341=1,ROUND(Keys!$C$2/(INDEX(Src_SYSHECF_nuclear!$U$5:$U$292,MATCH($C341,Src_SYSHECF_nuclear!$C$5:$C$292,0))*$E341),Keys!$C$5),Keys!$C$4)</f>
        <v>0.9</v>
      </c>
      <c r="X341">
        <f>IF($D341=1,ROUND(Keys!$C$2/(INDEX(Src_SYSHECF_nuclear!$V$5:$V$292,MATCH($C341,Src_SYSHECF_nuclear!$C$5:$C$292,0))*$E341),Keys!$C$5),Keys!$C$4)</f>
        <v>0.9</v>
      </c>
      <c r="Y341">
        <f>IF($D341=1,ROUND(Keys!$C$2/(INDEX(Src_SYSHECF_nuclear!$W$5:$W$292,MATCH($C341,Src_SYSHECF_nuclear!$C$5:$C$292,0))*$E341),Keys!$C$5),Keys!$C$4)</f>
        <v>0.9</v>
      </c>
      <c r="Z341">
        <f>IF($D341=1,ROUND(Keys!$C$2/(INDEX(Src_SYSHECF_nuclear!$X$5:$X$292,MATCH($C341,Src_SYSHECF_nuclear!$C$5:$C$292,0))*$E341),Keys!$C$5),Keys!$C$4)</f>
        <v>0.9</v>
      </c>
      <c r="AA341">
        <f>IF($D341=1,ROUND(Keys!$C$2/(INDEX(Src_SYSHECF_nuclear!$Y$5:$Y$292,MATCH($C341,Src_SYSHECF_nuclear!$C$5:$C$292,0))*$E341),Keys!$C$5),Keys!$C$4)</f>
        <v>0.9</v>
      </c>
      <c r="AB341">
        <f>IF($D341=1,ROUND(Keys!$C$2/(INDEX(Src_SYSHECF_nuclear!$Z$5:$Z$292,MATCH($C341,Src_SYSHECF_nuclear!$C$5:$C$292,0))*$E341),Keys!$C$5),Keys!$C$4)</f>
        <v>0.9</v>
      </c>
      <c r="AC341">
        <f>IF($D341=1,ROUND(Keys!$C$2/(INDEX(Src_SYSHECF_nuclear!$AA$5:$AA$292,MATCH($C341,Src_SYSHECF_nuclear!$C$5:$C$292,0))*$E341),Keys!$C$5),Keys!$C$4)</f>
        <v>0.9</v>
      </c>
      <c r="AE341">
        <f>IF($D341=1,IF(ABS(INDEX(Src_SYSHECF_nuclear!$D$5:$D$292,MATCH($C341,Src_SYSHECF_nuclear!$C$5:$C$292,0))*$E341*F341-Keys!$C$2)&gt;Keys!$C$6,1,0),0)</f>
        <v>0</v>
      </c>
    </row>
    <row r="342" spans="1:31" x14ac:dyDescent="0.45">
      <c r="A342" t="s">
        <v>118</v>
      </c>
      <c r="B342" t="s">
        <v>428</v>
      </c>
      <c r="C342" t="str">
        <f t="shared" si="5"/>
        <v>WY|Summer Peak</v>
      </c>
      <c r="D342">
        <f>INDEX(Src_BHRaSYC_nuclear!$HF$5:$HF$52,MATCH($A342,Src_BHRaSYC_nuclear!$A$5:$A$52,0))</f>
        <v>0</v>
      </c>
      <c r="E342">
        <f>INDEX(Src_HYECFCA_nuclear!$B$5:$B$52,MATCH($A342,Src_HYECFCA_nuclear!$A$5:$A$52,0))</f>
        <v>1</v>
      </c>
      <c r="F342">
        <f>IF($D342=1,ROUND(Keys!$C$2/(INDEX(Src_SYSHECF_nuclear!$D$5:$D$292,MATCH($C342,Src_SYSHECF_nuclear!$C$5:$C$292,0))*$E342),Keys!$C$5),Keys!$C$4)</f>
        <v>0.9</v>
      </c>
      <c r="G342">
        <f>IF($D342=1,ROUND(Keys!$C$2/(INDEX(Src_SYSHECF_nuclear!$E$5:$E$292,MATCH($C342,Src_SYSHECF_nuclear!$C$5:$C$292,0))*$E342),Keys!$C$5),Keys!$C$4)</f>
        <v>0.9</v>
      </c>
      <c r="H342">
        <f>IF($D342=1,ROUND(Keys!$C$2/(INDEX(Src_SYSHECF_nuclear!$F$5:$F$292,MATCH($C342,Src_SYSHECF_nuclear!$C$5:$C$292,0))*$E342),Keys!$C$5),Keys!$C$4)</f>
        <v>0.9</v>
      </c>
      <c r="I342">
        <f>IF($D342=1,ROUND(Keys!$C$2/(INDEX(Src_SYSHECF_nuclear!$G$5:$G$292,MATCH($C342,Src_SYSHECF_nuclear!$C$5:$C$292,0))*$E342),Keys!$C$5),Keys!$C$4)</f>
        <v>0.9</v>
      </c>
      <c r="J342">
        <f>IF($D342=1,ROUND(Keys!$C$2/(INDEX(Src_SYSHECF_nuclear!$H$5:$H$292,MATCH($C342,Src_SYSHECF_nuclear!$C$5:$C$292,0))*$E342),Keys!$C$5),Keys!$C$4)</f>
        <v>0.9</v>
      </c>
      <c r="K342">
        <f>IF($D342=1,ROUND(Keys!$C$2/(INDEX(Src_SYSHECF_nuclear!$I$5:$I$292,MATCH($C342,Src_SYSHECF_nuclear!$C$5:$C$292,0))*$E342),Keys!$C$5),Keys!$C$4)</f>
        <v>0.9</v>
      </c>
      <c r="L342">
        <f>IF($D342=1,ROUND(Keys!$C$2/(INDEX(Src_SYSHECF_nuclear!$J$5:$J$292,MATCH($C342,Src_SYSHECF_nuclear!$C$5:$C$292,0))*$E342),Keys!$C$5),Keys!$C$4)</f>
        <v>0.9</v>
      </c>
      <c r="M342">
        <f>IF($D342=1,ROUND(Keys!$C$2/(INDEX(Src_SYSHECF_nuclear!$K$5:$K$292,MATCH($C342,Src_SYSHECF_nuclear!$C$5:$C$292,0))*$E342),Keys!$C$5),Keys!$C$4)</f>
        <v>0.9</v>
      </c>
      <c r="N342">
        <f>IF($D342=1,ROUND(Keys!$C$2/(INDEX(Src_SYSHECF_nuclear!$L$5:$L$292,MATCH($C342,Src_SYSHECF_nuclear!$C$5:$C$292,0))*$E342),Keys!$C$5),Keys!$C$4)</f>
        <v>0.9</v>
      </c>
      <c r="O342">
        <f>IF($D342=1,ROUND(Keys!$C$2/(INDEX(Src_SYSHECF_nuclear!$M$5:$M$292,MATCH($C342,Src_SYSHECF_nuclear!$C$5:$C$292,0))*$E342),Keys!$C$5),Keys!$C$4)</f>
        <v>0.9</v>
      </c>
      <c r="P342">
        <f>IF($D342=1,ROUND(Keys!$C$2/(INDEX(Src_SYSHECF_nuclear!$N$5:$N$292,MATCH($C342,Src_SYSHECF_nuclear!$C$5:$C$292,0))*$E342),Keys!$C$5),Keys!$C$4)</f>
        <v>0.9</v>
      </c>
      <c r="Q342">
        <f>IF($D342=1,ROUND(Keys!$C$2/(INDEX(Src_SYSHECF_nuclear!$O$5:$O$292,MATCH($C342,Src_SYSHECF_nuclear!$C$5:$C$292,0))*$E342),Keys!$C$5),Keys!$C$4)</f>
        <v>0.9</v>
      </c>
      <c r="R342">
        <f>IF($D342=1,ROUND(Keys!$C$2/(INDEX(Src_SYSHECF_nuclear!$P$5:$P$292,MATCH($C342,Src_SYSHECF_nuclear!$C$5:$C$292,0))*$E342),Keys!$C$5),Keys!$C$4)</f>
        <v>0.9</v>
      </c>
      <c r="S342">
        <f>IF($D342=1,ROUND(Keys!$C$2/(INDEX(Src_SYSHECF_nuclear!$Q$5:$Q$292,MATCH($C342,Src_SYSHECF_nuclear!$C$5:$C$292,0))*$E342),Keys!$C$5),Keys!$C$4)</f>
        <v>0.9</v>
      </c>
      <c r="T342">
        <f>IF($D342=1,ROUND(Keys!$C$2/(INDEX(Src_SYSHECF_nuclear!$R$5:$R$292,MATCH($C342,Src_SYSHECF_nuclear!$C$5:$C$292,0))*$E342),Keys!$C$5),Keys!$C$4)</f>
        <v>0.9</v>
      </c>
      <c r="U342">
        <f>IF($D342=1,ROUND(Keys!$C$2/(INDEX(Src_SYSHECF_nuclear!$S$5:$S$292,MATCH($C342,Src_SYSHECF_nuclear!$C$5:$C$292,0))*$E342),Keys!$C$5),Keys!$C$4)</f>
        <v>0.9</v>
      </c>
      <c r="V342">
        <f>IF($D342=1,ROUND(Keys!$C$2/(INDEX(Src_SYSHECF_nuclear!$T$5:$T$292,MATCH($C342,Src_SYSHECF_nuclear!$C$5:$C$292,0))*$E342),Keys!$C$5),Keys!$C$4)</f>
        <v>0.9</v>
      </c>
      <c r="W342">
        <f>IF($D342=1,ROUND(Keys!$C$2/(INDEX(Src_SYSHECF_nuclear!$U$5:$U$292,MATCH($C342,Src_SYSHECF_nuclear!$C$5:$C$292,0))*$E342),Keys!$C$5),Keys!$C$4)</f>
        <v>0.9</v>
      </c>
      <c r="X342">
        <f>IF($D342=1,ROUND(Keys!$C$2/(INDEX(Src_SYSHECF_nuclear!$V$5:$V$292,MATCH($C342,Src_SYSHECF_nuclear!$C$5:$C$292,0))*$E342),Keys!$C$5),Keys!$C$4)</f>
        <v>0.9</v>
      </c>
      <c r="Y342">
        <f>IF($D342=1,ROUND(Keys!$C$2/(INDEX(Src_SYSHECF_nuclear!$W$5:$W$292,MATCH($C342,Src_SYSHECF_nuclear!$C$5:$C$292,0))*$E342),Keys!$C$5),Keys!$C$4)</f>
        <v>0.9</v>
      </c>
      <c r="Z342">
        <f>IF($D342=1,ROUND(Keys!$C$2/(INDEX(Src_SYSHECF_nuclear!$X$5:$X$292,MATCH($C342,Src_SYSHECF_nuclear!$C$5:$C$292,0))*$E342),Keys!$C$5),Keys!$C$4)</f>
        <v>0.9</v>
      </c>
      <c r="AA342">
        <f>IF($D342=1,ROUND(Keys!$C$2/(INDEX(Src_SYSHECF_nuclear!$Y$5:$Y$292,MATCH($C342,Src_SYSHECF_nuclear!$C$5:$C$292,0))*$E342),Keys!$C$5),Keys!$C$4)</f>
        <v>0.9</v>
      </c>
      <c r="AB342">
        <f>IF($D342=1,ROUND(Keys!$C$2/(INDEX(Src_SYSHECF_nuclear!$Z$5:$Z$292,MATCH($C342,Src_SYSHECF_nuclear!$C$5:$C$292,0))*$E342),Keys!$C$5),Keys!$C$4)</f>
        <v>0.9</v>
      </c>
      <c r="AC342">
        <f>IF($D342=1,ROUND(Keys!$C$2/(INDEX(Src_SYSHECF_nuclear!$AA$5:$AA$292,MATCH($C342,Src_SYSHECF_nuclear!$C$5:$C$292,0))*$E342),Keys!$C$5),Keys!$C$4)</f>
        <v>0.9</v>
      </c>
      <c r="AE342">
        <f>IF($D342=1,IF(ABS(INDEX(Src_SYSHECF_nuclear!$D$5:$D$292,MATCH($C342,Src_SYSHECF_nuclear!$C$5:$C$292,0))*$E342*F342-Keys!$C$2)&gt;Keys!$C$6,1,0),0)</f>
        <v>0</v>
      </c>
    </row>
    <row r="343" spans="1:31" x14ac:dyDescent="0.45">
      <c r="A343" t="s">
        <v>118</v>
      </c>
      <c r="B343" t="s">
        <v>429</v>
      </c>
      <c r="C343" t="str">
        <f t="shared" si="5"/>
        <v>WY|Winter Peak</v>
      </c>
      <c r="D343">
        <f>INDEX(Src_BHRaSYC_nuclear!$HF$5:$HF$52,MATCH($A343,Src_BHRaSYC_nuclear!$A$5:$A$52,0))</f>
        <v>0</v>
      </c>
      <c r="E343">
        <f>INDEX(Src_HYECFCA_nuclear!$B$5:$B$52,MATCH($A343,Src_HYECFCA_nuclear!$A$5:$A$52,0))</f>
        <v>1</v>
      </c>
      <c r="F343">
        <f>IF($D343=1,ROUND(Keys!$C$2/(INDEX(Src_SYSHECF_nuclear!$D$5:$D$292,MATCH($C343,Src_SYSHECF_nuclear!$C$5:$C$292,0))*$E343),Keys!$C$5),Keys!$C$4)</f>
        <v>0.9</v>
      </c>
      <c r="G343">
        <f>IF($D343=1,ROUND(Keys!$C$2/(INDEX(Src_SYSHECF_nuclear!$E$5:$E$292,MATCH($C343,Src_SYSHECF_nuclear!$C$5:$C$292,0))*$E343),Keys!$C$5),Keys!$C$4)</f>
        <v>0.9</v>
      </c>
      <c r="H343">
        <f>IF($D343=1,ROUND(Keys!$C$2/(INDEX(Src_SYSHECF_nuclear!$F$5:$F$292,MATCH($C343,Src_SYSHECF_nuclear!$C$5:$C$292,0))*$E343),Keys!$C$5),Keys!$C$4)</f>
        <v>0.9</v>
      </c>
      <c r="I343">
        <f>IF($D343=1,ROUND(Keys!$C$2/(INDEX(Src_SYSHECF_nuclear!$G$5:$G$292,MATCH($C343,Src_SYSHECF_nuclear!$C$5:$C$292,0))*$E343),Keys!$C$5),Keys!$C$4)</f>
        <v>0.9</v>
      </c>
      <c r="J343">
        <f>IF($D343=1,ROUND(Keys!$C$2/(INDEX(Src_SYSHECF_nuclear!$H$5:$H$292,MATCH($C343,Src_SYSHECF_nuclear!$C$5:$C$292,0))*$E343),Keys!$C$5),Keys!$C$4)</f>
        <v>0.9</v>
      </c>
      <c r="K343">
        <f>IF($D343=1,ROUND(Keys!$C$2/(INDEX(Src_SYSHECF_nuclear!$I$5:$I$292,MATCH($C343,Src_SYSHECF_nuclear!$C$5:$C$292,0))*$E343),Keys!$C$5),Keys!$C$4)</f>
        <v>0.9</v>
      </c>
      <c r="L343">
        <f>IF($D343=1,ROUND(Keys!$C$2/(INDEX(Src_SYSHECF_nuclear!$J$5:$J$292,MATCH($C343,Src_SYSHECF_nuclear!$C$5:$C$292,0))*$E343),Keys!$C$5),Keys!$C$4)</f>
        <v>0.9</v>
      </c>
      <c r="M343">
        <f>IF($D343=1,ROUND(Keys!$C$2/(INDEX(Src_SYSHECF_nuclear!$K$5:$K$292,MATCH($C343,Src_SYSHECF_nuclear!$C$5:$C$292,0))*$E343),Keys!$C$5),Keys!$C$4)</f>
        <v>0.9</v>
      </c>
      <c r="N343">
        <f>IF($D343=1,ROUND(Keys!$C$2/(INDEX(Src_SYSHECF_nuclear!$L$5:$L$292,MATCH($C343,Src_SYSHECF_nuclear!$C$5:$C$292,0))*$E343),Keys!$C$5),Keys!$C$4)</f>
        <v>0.9</v>
      </c>
      <c r="O343">
        <f>IF($D343=1,ROUND(Keys!$C$2/(INDEX(Src_SYSHECF_nuclear!$M$5:$M$292,MATCH($C343,Src_SYSHECF_nuclear!$C$5:$C$292,0))*$E343),Keys!$C$5),Keys!$C$4)</f>
        <v>0.9</v>
      </c>
      <c r="P343">
        <f>IF($D343=1,ROUND(Keys!$C$2/(INDEX(Src_SYSHECF_nuclear!$N$5:$N$292,MATCH($C343,Src_SYSHECF_nuclear!$C$5:$C$292,0))*$E343),Keys!$C$5),Keys!$C$4)</f>
        <v>0.9</v>
      </c>
      <c r="Q343">
        <f>IF($D343=1,ROUND(Keys!$C$2/(INDEX(Src_SYSHECF_nuclear!$O$5:$O$292,MATCH($C343,Src_SYSHECF_nuclear!$C$5:$C$292,0))*$E343),Keys!$C$5),Keys!$C$4)</f>
        <v>0.9</v>
      </c>
      <c r="R343">
        <f>IF($D343=1,ROUND(Keys!$C$2/(INDEX(Src_SYSHECF_nuclear!$P$5:$P$292,MATCH($C343,Src_SYSHECF_nuclear!$C$5:$C$292,0))*$E343),Keys!$C$5),Keys!$C$4)</f>
        <v>0.9</v>
      </c>
      <c r="S343">
        <f>IF($D343=1,ROUND(Keys!$C$2/(INDEX(Src_SYSHECF_nuclear!$Q$5:$Q$292,MATCH($C343,Src_SYSHECF_nuclear!$C$5:$C$292,0))*$E343),Keys!$C$5),Keys!$C$4)</f>
        <v>0.9</v>
      </c>
      <c r="T343">
        <f>IF($D343=1,ROUND(Keys!$C$2/(INDEX(Src_SYSHECF_nuclear!$R$5:$R$292,MATCH($C343,Src_SYSHECF_nuclear!$C$5:$C$292,0))*$E343),Keys!$C$5),Keys!$C$4)</f>
        <v>0.9</v>
      </c>
      <c r="U343">
        <f>IF($D343=1,ROUND(Keys!$C$2/(INDEX(Src_SYSHECF_nuclear!$S$5:$S$292,MATCH($C343,Src_SYSHECF_nuclear!$C$5:$C$292,0))*$E343),Keys!$C$5),Keys!$C$4)</f>
        <v>0.9</v>
      </c>
      <c r="V343">
        <f>IF($D343=1,ROUND(Keys!$C$2/(INDEX(Src_SYSHECF_nuclear!$T$5:$T$292,MATCH($C343,Src_SYSHECF_nuclear!$C$5:$C$292,0))*$E343),Keys!$C$5),Keys!$C$4)</f>
        <v>0.9</v>
      </c>
      <c r="W343">
        <f>IF($D343=1,ROUND(Keys!$C$2/(INDEX(Src_SYSHECF_nuclear!$U$5:$U$292,MATCH($C343,Src_SYSHECF_nuclear!$C$5:$C$292,0))*$E343),Keys!$C$5),Keys!$C$4)</f>
        <v>0.9</v>
      </c>
      <c r="X343">
        <f>IF($D343=1,ROUND(Keys!$C$2/(INDEX(Src_SYSHECF_nuclear!$V$5:$V$292,MATCH($C343,Src_SYSHECF_nuclear!$C$5:$C$292,0))*$E343),Keys!$C$5),Keys!$C$4)</f>
        <v>0.9</v>
      </c>
      <c r="Y343">
        <f>IF($D343=1,ROUND(Keys!$C$2/(INDEX(Src_SYSHECF_nuclear!$W$5:$W$292,MATCH($C343,Src_SYSHECF_nuclear!$C$5:$C$292,0))*$E343),Keys!$C$5),Keys!$C$4)</f>
        <v>0.9</v>
      </c>
      <c r="Z343">
        <f>IF($D343=1,ROUND(Keys!$C$2/(INDEX(Src_SYSHECF_nuclear!$X$5:$X$292,MATCH($C343,Src_SYSHECF_nuclear!$C$5:$C$292,0))*$E343),Keys!$C$5),Keys!$C$4)</f>
        <v>0.9</v>
      </c>
      <c r="AA343">
        <f>IF($D343=1,ROUND(Keys!$C$2/(INDEX(Src_SYSHECF_nuclear!$Y$5:$Y$292,MATCH($C343,Src_SYSHECF_nuclear!$C$5:$C$292,0))*$E343),Keys!$C$5),Keys!$C$4)</f>
        <v>0.9</v>
      </c>
      <c r="AB343">
        <f>IF($D343=1,ROUND(Keys!$C$2/(INDEX(Src_SYSHECF_nuclear!$Z$5:$Z$292,MATCH($C343,Src_SYSHECF_nuclear!$C$5:$C$292,0))*$E343),Keys!$C$5),Keys!$C$4)</f>
        <v>0.9</v>
      </c>
      <c r="AC343">
        <f>IF($D343=1,ROUND(Keys!$C$2/(INDEX(Src_SYSHECF_nuclear!$AA$5:$AA$292,MATCH($C343,Src_SYSHECF_nuclear!$C$5:$C$292,0))*$E343),Keys!$C$5),Keys!$C$4)</f>
        <v>0.9</v>
      </c>
      <c r="AE343">
        <f>IF($D343=1,IF(ABS(INDEX(Src_SYSHECF_nuclear!$D$5:$D$292,MATCH($C343,Src_SYSHECF_nuclear!$C$5:$C$292,0))*$E343*F343-Keys!$C$2)&gt;Keys!$C$6,1,0),0)</f>
        <v>0</v>
      </c>
    </row>
    <row r="345" spans="1:31" x14ac:dyDescent="0.45">
      <c r="A345" s="8" t="s">
        <v>455</v>
      </c>
      <c r="B345" s="9"/>
      <c r="C345" s="9"/>
      <c r="D345" s="9"/>
      <c r="E345" s="9"/>
      <c r="F345" s="9"/>
      <c r="G345" s="9"/>
      <c r="H345" s="9"/>
      <c r="I345" s="9"/>
      <c r="J345" s="9"/>
      <c r="K345" s="9"/>
      <c r="L345" s="9"/>
      <c r="M345" s="9"/>
      <c r="N345" s="9"/>
      <c r="O345" s="9"/>
      <c r="P345" s="9"/>
      <c r="Q345" s="9"/>
      <c r="R345" s="9"/>
      <c r="S345" s="9"/>
      <c r="T345" s="9"/>
      <c r="U345" s="9"/>
      <c r="V345" s="9"/>
      <c r="W345" s="9"/>
      <c r="X345" s="9"/>
      <c r="Y345" s="9"/>
      <c r="Z345" s="9"/>
      <c r="AA345" s="9"/>
      <c r="AB345" s="9"/>
      <c r="AC345" s="9"/>
      <c r="AD345" s="9"/>
    </row>
    <row r="346" spans="1:31" ht="171" x14ac:dyDescent="0.45">
      <c r="A346" s="10" t="s">
        <v>456</v>
      </c>
    </row>
    <row r="347" spans="1:31" ht="57" x14ac:dyDescent="0.45">
      <c r="A347" s="5" t="s">
        <v>457</v>
      </c>
      <c r="D347">
        <f>COUNT($C$4:$C$51)</f>
        <v>5</v>
      </c>
      <c r="E347">
        <v>5</v>
      </c>
      <c r="F347">
        <f>IF(D347&lt;&gt;E347,1,0)</f>
        <v>0</v>
      </c>
    </row>
    <row r="348" spans="1:31" ht="57" x14ac:dyDescent="0.45">
      <c r="A348" s="5" t="s">
        <v>458</v>
      </c>
      <c r="D348">
        <f>COUNT($D$4:$D$51)</f>
        <v>10</v>
      </c>
      <c r="E348">
        <v>10</v>
      </c>
      <c r="F348">
        <f>IF(D348&lt;&gt;E348,1,0)</f>
        <v>0</v>
      </c>
    </row>
    <row r="349" spans="1:31" ht="57" x14ac:dyDescent="0.45">
      <c r="A349" s="5" t="s">
        <v>459</v>
      </c>
      <c r="D349">
        <f>SUMPRODUCT((Src_BHRaSYC_nuclear!$HF$5:$HF$52)*1)</f>
        <v>28</v>
      </c>
      <c r="E349">
        <v>28</v>
      </c>
      <c r="F349">
        <f>IF(D349&lt;&gt;E349,1,0)</f>
        <v>0</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C10"/>
  <sheetViews>
    <sheetView workbookViewId="0"/>
  </sheetViews>
  <sheetFormatPr defaultRowHeight="14.25" x14ac:dyDescent="0.45"/>
  <cols>
    <col min="1" max="1" width="80" customWidth="1"/>
    <col min="2" max="2" width="12" customWidth="1"/>
  </cols>
  <sheetData>
    <row r="1" spans="1:3" x14ac:dyDescent="0.45">
      <c r="A1" s="8" t="s">
        <v>460</v>
      </c>
      <c r="B1" s="9"/>
      <c r="C1" s="9"/>
    </row>
    <row r="2" spans="1:3" ht="28.5" x14ac:dyDescent="0.45">
      <c r="A2" s="10" t="s">
        <v>461</v>
      </c>
    </row>
    <row r="3" spans="1:3" x14ac:dyDescent="0.45">
      <c r="A3" s="5" t="s">
        <v>462</v>
      </c>
      <c r="B3">
        <f>SUM(Calcs!$G$4:$G$51)</f>
        <v>0</v>
      </c>
    </row>
    <row r="4" spans="1:3" x14ac:dyDescent="0.45">
      <c r="A4" s="5" t="s">
        <v>463</v>
      </c>
      <c r="B4">
        <f>SUM(Calcs!$AE$56:$AE$343)</f>
        <v>0</v>
      </c>
    </row>
    <row r="5" spans="1:3" x14ac:dyDescent="0.45">
      <c r="A5" s="5" t="s">
        <v>464</v>
      </c>
      <c r="B5">
        <f>SUM(Src_MCF_hydro!$AD$5:$AD$52)</f>
        <v>0</v>
      </c>
    </row>
    <row r="6" spans="1:3" x14ac:dyDescent="0.45">
      <c r="A6" s="5" t="s">
        <v>465</v>
      </c>
      <c r="B6">
        <f>Calcs!$F$347</f>
        <v>0</v>
      </c>
    </row>
    <row r="7" spans="1:3" x14ac:dyDescent="0.45">
      <c r="A7" s="5" t="s">
        <v>466</v>
      </c>
      <c r="B7">
        <f>Calcs!$F$348</f>
        <v>0</v>
      </c>
    </row>
    <row r="8" spans="1:3" x14ac:dyDescent="0.45">
      <c r="A8" s="5" t="s">
        <v>467</v>
      </c>
      <c r="B8">
        <f>Calcs!$F$349</f>
        <v>0</v>
      </c>
    </row>
    <row r="10" spans="1:3" x14ac:dyDescent="0.45">
      <c r="A10" s="1" t="s">
        <v>468</v>
      </c>
      <c r="B10" s="1">
        <f>SUM(B3:B8)</f>
        <v>0</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11"/>
  <sheetViews>
    <sheetView workbookViewId="0"/>
  </sheetViews>
  <sheetFormatPr defaultRowHeight="14.25" x14ac:dyDescent="0.45"/>
  <cols>
    <col min="1" max="1" width="22" customWidth="1"/>
    <col min="2" max="2" width="115" customWidth="1"/>
  </cols>
  <sheetData>
    <row r="1" spans="1:2" x14ac:dyDescent="0.45">
      <c r="A1" s="1" t="s">
        <v>469</v>
      </c>
    </row>
    <row r="3" spans="1:2" ht="28.5" x14ac:dyDescent="0.45">
      <c r="A3" s="7" t="s">
        <v>470</v>
      </c>
      <c r="B3" s="5" t="s">
        <v>471</v>
      </c>
    </row>
    <row r="4" spans="1:2" ht="42.75" x14ac:dyDescent="0.45">
      <c r="A4" s="7" t="s">
        <v>472</v>
      </c>
      <c r="B4" s="5" t="s">
        <v>473</v>
      </c>
    </row>
    <row r="5" spans="1:2" ht="42.75" x14ac:dyDescent="0.45">
      <c r="A5" s="7" t="s">
        <v>474</v>
      </c>
      <c r="B5" s="5" t="s">
        <v>475</v>
      </c>
    </row>
    <row r="6" spans="1:2" ht="42.75" x14ac:dyDescent="0.45">
      <c r="A6" s="7" t="s">
        <v>476</v>
      </c>
      <c r="B6" s="5" t="s">
        <v>477</v>
      </c>
    </row>
    <row r="7" spans="1:2" ht="57" x14ac:dyDescent="0.45">
      <c r="A7" s="7" t="s">
        <v>478</v>
      </c>
      <c r="B7" s="5" t="s">
        <v>479</v>
      </c>
    </row>
    <row r="8" spans="1:2" ht="42.75" x14ac:dyDescent="0.45">
      <c r="A8" s="7" t="s">
        <v>480</v>
      </c>
      <c r="B8" s="5" t="s">
        <v>481</v>
      </c>
    </row>
    <row r="9" spans="1:2" x14ac:dyDescent="0.45">
      <c r="A9" s="7" t="s">
        <v>482</v>
      </c>
      <c r="B9" s="5" t="s">
        <v>483</v>
      </c>
    </row>
    <row r="10" spans="1:2" ht="42.75" x14ac:dyDescent="0.45">
      <c r="A10" s="7" t="s">
        <v>484</v>
      </c>
      <c r="B10" s="5" t="s">
        <v>485</v>
      </c>
    </row>
    <row r="11" spans="1:2" ht="28.5" x14ac:dyDescent="0.45">
      <c r="A11" s="7" t="s">
        <v>486</v>
      </c>
      <c r="B11" s="5" t="s">
        <v>487</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1F3864"/>
  </sheetPr>
  <dimension ref="A1:Y7"/>
  <sheetViews>
    <sheetView workbookViewId="0"/>
  </sheetViews>
  <sheetFormatPr defaultRowHeight="14.25" x14ac:dyDescent="0.45"/>
  <sheetData>
    <row r="1" spans="1:25" x14ac:dyDescent="0.45">
      <c r="A1" t="s">
        <v>488</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1F3864"/>
  </sheetPr>
  <dimension ref="A1:Y7"/>
  <sheetViews>
    <sheetView workbookViewId="0"/>
  </sheetViews>
  <sheetFormatPr defaultRowHeight="14.25" x14ac:dyDescent="0.45"/>
  <sheetData>
    <row r="1" spans="1:25" x14ac:dyDescent="0.45">
      <c r="A1" t="s">
        <v>489</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1F3864"/>
  </sheetPr>
  <dimension ref="A1:Y7"/>
  <sheetViews>
    <sheetView workbookViewId="0"/>
  </sheetViews>
  <sheetFormatPr defaultRowHeight="14.25" x14ac:dyDescent="0.45"/>
  <sheetData>
    <row r="1" spans="1:25" x14ac:dyDescent="0.45">
      <c r="A1" t="s">
        <v>490</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1F3864"/>
  </sheetPr>
  <dimension ref="A1:Y7"/>
  <sheetViews>
    <sheetView workbookViewId="0"/>
  </sheetViews>
  <sheetFormatPr defaultRowHeight="14.25" x14ac:dyDescent="0.45"/>
  <sheetData>
    <row r="1" spans="1:25" x14ac:dyDescent="0.45">
      <c r="A1" t="s">
        <v>491</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INDEX(Calcs!$F$56:$F$343,MATCH(About!$B$2&amp;"|"&amp;$A2,Calcs!$C$56:$C$343,0))</f>
        <v>1.0537000000000001</v>
      </c>
      <c r="C2" s="11">
        <f>INDEX(Calcs!$G$56:$G$343,MATCH(About!$B$2&amp;"|"&amp;$A2,Calcs!$C$56:$C$343,0))</f>
        <v>1.0537000000000001</v>
      </c>
      <c r="D2" s="11">
        <f>INDEX(Calcs!$H$56:$H$343,MATCH(About!$B$2&amp;"|"&amp;$A2,Calcs!$C$56:$C$343,0))</f>
        <v>1.0537000000000001</v>
      </c>
      <c r="E2" s="11">
        <f>INDEX(Calcs!$I$56:$I$343,MATCH(About!$B$2&amp;"|"&amp;$A2,Calcs!$C$56:$C$343,0))</f>
        <v>1.0537000000000001</v>
      </c>
      <c r="F2" s="11">
        <f>INDEX(Calcs!$J$56:$J$343,MATCH(About!$B$2&amp;"|"&amp;$A2,Calcs!$C$56:$C$343,0))</f>
        <v>1.0537000000000001</v>
      </c>
      <c r="G2" s="11">
        <f>INDEX(Calcs!$K$56:$K$343,MATCH(About!$B$2&amp;"|"&amp;$A2,Calcs!$C$56:$C$343,0))</f>
        <v>1.0537000000000001</v>
      </c>
      <c r="H2" s="11">
        <f>INDEX(Calcs!$L$56:$L$343,MATCH(About!$B$2&amp;"|"&amp;$A2,Calcs!$C$56:$C$343,0))</f>
        <v>1.0564</v>
      </c>
      <c r="I2" s="11">
        <f>INDEX(Calcs!$M$56:$M$343,MATCH(About!$B$2&amp;"|"&amp;$A2,Calcs!$C$56:$C$343,0))</f>
        <v>1.1631</v>
      </c>
      <c r="J2" s="11">
        <f>INDEX(Calcs!$N$56:$N$343,MATCH(About!$B$2&amp;"|"&amp;$A2,Calcs!$C$56:$C$343,0))</f>
        <v>1.2152000000000001</v>
      </c>
      <c r="K2" s="11">
        <f>INDEX(Calcs!$O$56:$O$343,MATCH(About!$B$2&amp;"|"&amp;$A2,Calcs!$C$56:$C$343,0))</f>
        <v>1.2161</v>
      </c>
      <c r="L2" s="11">
        <f>INDEX(Calcs!$P$56:$P$343,MATCH(About!$B$2&amp;"|"&amp;$A2,Calcs!$C$56:$C$343,0))</f>
        <v>1.1833</v>
      </c>
      <c r="M2" s="11">
        <f>INDEX(Calcs!$Q$56:$Q$343,MATCH(About!$B$2&amp;"|"&amp;$A2,Calcs!$C$56:$C$343,0))</f>
        <v>1.1668000000000001</v>
      </c>
      <c r="N2" s="11">
        <f>INDEX(Calcs!$R$56:$R$343,MATCH(About!$B$2&amp;"|"&amp;$A2,Calcs!$C$56:$C$343,0))</f>
        <v>1.1657999999999999</v>
      </c>
      <c r="O2" s="11">
        <f>INDEX(Calcs!$S$56:$S$343,MATCH(About!$B$2&amp;"|"&amp;$A2,Calcs!$C$56:$C$343,0))</f>
        <v>1.1616</v>
      </c>
      <c r="P2" s="11">
        <f>INDEX(Calcs!$T$56:$T$343,MATCH(About!$B$2&amp;"|"&amp;$A2,Calcs!$C$56:$C$343,0))</f>
        <v>1.1767000000000001</v>
      </c>
      <c r="Q2" s="11">
        <f>INDEX(Calcs!$U$56:$U$343,MATCH(About!$B$2&amp;"|"&amp;$A2,Calcs!$C$56:$C$343,0))</f>
        <v>1.1623000000000001</v>
      </c>
      <c r="R2" s="11">
        <f>INDEX(Calcs!$V$56:$V$343,MATCH(About!$B$2&amp;"|"&amp;$A2,Calcs!$C$56:$C$343,0))</f>
        <v>1.089</v>
      </c>
      <c r="S2" s="11">
        <f>INDEX(Calcs!$W$56:$W$343,MATCH(About!$B$2&amp;"|"&amp;$A2,Calcs!$C$56:$C$343,0))</f>
        <v>1.0541</v>
      </c>
      <c r="T2" s="11">
        <f>INDEX(Calcs!$X$56:$X$343,MATCH(About!$B$2&amp;"|"&amp;$A2,Calcs!$C$56:$C$343,0))</f>
        <v>1.0537000000000001</v>
      </c>
      <c r="U2" s="11">
        <f>INDEX(Calcs!$Y$56:$Y$343,MATCH(About!$B$2&amp;"|"&amp;$A2,Calcs!$C$56:$C$343,0))</f>
        <v>1.0537000000000001</v>
      </c>
      <c r="V2" s="11">
        <f>INDEX(Calcs!$Z$56:$Z$343,MATCH(About!$B$2&amp;"|"&amp;$A2,Calcs!$C$56:$C$343,0))</f>
        <v>1.0537000000000001</v>
      </c>
      <c r="W2" s="11">
        <f>INDEX(Calcs!$AA$56:$AA$343,MATCH(About!$B$2&amp;"|"&amp;$A2,Calcs!$C$56:$C$343,0))</f>
        <v>1.0537000000000001</v>
      </c>
      <c r="X2" s="11">
        <f>INDEX(Calcs!$AB$56:$AB$343,MATCH(About!$B$2&amp;"|"&amp;$A2,Calcs!$C$56:$C$343,0))</f>
        <v>1.0537000000000001</v>
      </c>
      <c r="Y2" s="11">
        <f>INDEX(Calcs!$AC$56:$AC$343,MATCH(About!$B$2&amp;"|"&amp;$A2,Calcs!$C$56:$C$343,0))</f>
        <v>1.0537000000000001</v>
      </c>
    </row>
    <row r="3" spans="1:25" x14ac:dyDescent="0.45">
      <c r="A3" t="s">
        <v>425</v>
      </c>
      <c r="B3" s="11">
        <f>INDEX(Calcs!$F$56:$F$343,MATCH(About!$B$2&amp;"|"&amp;$A3,Calcs!$C$56:$C$343,0))</f>
        <v>1.0537000000000001</v>
      </c>
      <c r="C3" s="11">
        <f>INDEX(Calcs!$G$56:$G$343,MATCH(About!$B$2&amp;"|"&amp;$A3,Calcs!$C$56:$C$343,0))</f>
        <v>1.0537000000000001</v>
      </c>
      <c r="D3" s="11">
        <f>INDEX(Calcs!$H$56:$H$343,MATCH(About!$B$2&amp;"|"&amp;$A3,Calcs!$C$56:$C$343,0))</f>
        <v>1.0537000000000001</v>
      </c>
      <c r="E3" s="11">
        <f>INDEX(Calcs!$I$56:$I$343,MATCH(About!$B$2&amp;"|"&amp;$A3,Calcs!$C$56:$C$343,0))</f>
        <v>1.0537000000000001</v>
      </c>
      <c r="F3" s="11">
        <f>INDEX(Calcs!$J$56:$J$343,MATCH(About!$B$2&amp;"|"&amp;$A3,Calcs!$C$56:$C$343,0))</f>
        <v>1.0537000000000001</v>
      </c>
      <c r="G3" s="11">
        <f>INDEX(Calcs!$K$56:$K$343,MATCH(About!$B$2&amp;"|"&amp;$A3,Calcs!$C$56:$C$343,0))</f>
        <v>1.0537000000000001</v>
      </c>
      <c r="H3" s="11">
        <f>INDEX(Calcs!$L$56:$L$343,MATCH(About!$B$2&amp;"|"&amp;$A3,Calcs!$C$56:$C$343,0))</f>
        <v>1.0537000000000001</v>
      </c>
      <c r="I3" s="11">
        <f>INDEX(Calcs!$M$56:$M$343,MATCH(About!$B$2&amp;"|"&amp;$A3,Calcs!$C$56:$C$343,0))</f>
        <v>1.0537000000000001</v>
      </c>
      <c r="J3" s="11">
        <f>INDEX(Calcs!$N$56:$N$343,MATCH(About!$B$2&amp;"|"&amp;$A3,Calcs!$C$56:$C$343,0))</f>
        <v>1.0602</v>
      </c>
      <c r="K3" s="11">
        <f>INDEX(Calcs!$O$56:$O$343,MATCH(About!$B$2&amp;"|"&amp;$A3,Calcs!$C$56:$C$343,0))</f>
        <v>1.0587</v>
      </c>
      <c r="L3" s="11">
        <f>INDEX(Calcs!$P$56:$P$343,MATCH(About!$B$2&amp;"|"&amp;$A3,Calcs!$C$56:$C$343,0))</f>
        <v>1.0555000000000001</v>
      </c>
      <c r="M3" s="11">
        <f>INDEX(Calcs!$Q$56:$Q$343,MATCH(About!$B$2&amp;"|"&amp;$A3,Calcs!$C$56:$C$343,0))</f>
        <v>1.0546</v>
      </c>
      <c r="N3" s="11">
        <f>INDEX(Calcs!$R$56:$R$343,MATCH(About!$B$2&amp;"|"&amp;$A3,Calcs!$C$56:$C$343,0))</f>
        <v>1.0549999999999999</v>
      </c>
      <c r="O3" s="11">
        <f>INDEX(Calcs!$S$56:$S$343,MATCH(About!$B$2&amp;"|"&amp;$A3,Calcs!$C$56:$C$343,0))</f>
        <v>1.0549999999999999</v>
      </c>
      <c r="P3" s="11">
        <f>INDEX(Calcs!$T$56:$T$343,MATCH(About!$B$2&amp;"|"&amp;$A3,Calcs!$C$56:$C$343,0))</f>
        <v>1.0612999999999999</v>
      </c>
      <c r="Q3" s="11">
        <f>INDEX(Calcs!$U$56:$U$343,MATCH(About!$B$2&amp;"|"&amp;$A3,Calcs!$C$56:$C$343,0))</f>
        <v>1.0576000000000001</v>
      </c>
      <c r="R3" s="11">
        <f>INDEX(Calcs!$V$56:$V$343,MATCH(About!$B$2&amp;"|"&amp;$A3,Calcs!$C$56:$C$343,0))</f>
        <v>1.0537000000000001</v>
      </c>
      <c r="S3" s="11">
        <f>INDEX(Calcs!$W$56:$W$343,MATCH(About!$B$2&amp;"|"&amp;$A3,Calcs!$C$56:$C$343,0))</f>
        <v>1.0537000000000001</v>
      </c>
      <c r="T3" s="11">
        <f>INDEX(Calcs!$X$56:$X$343,MATCH(About!$B$2&amp;"|"&amp;$A3,Calcs!$C$56:$C$343,0))</f>
        <v>1.0537000000000001</v>
      </c>
      <c r="U3" s="11">
        <f>INDEX(Calcs!$Y$56:$Y$343,MATCH(About!$B$2&amp;"|"&amp;$A3,Calcs!$C$56:$C$343,0))</f>
        <v>1.0537000000000001</v>
      </c>
      <c r="V3" s="11">
        <f>INDEX(Calcs!$Z$56:$Z$343,MATCH(About!$B$2&amp;"|"&amp;$A3,Calcs!$C$56:$C$343,0))</f>
        <v>1.0537000000000001</v>
      </c>
      <c r="W3" s="11">
        <f>INDEX(Calcs!$AA$56:$AA$343,MATCH(About!$B$2&amp;"|"&amp;$A3,Calcs!$C$56:$C$343,0))</f>
        <v>1.0537000000000001</v>
      </c>
      <c r="X3" s="11">
        <f>INDEX(Calcs!$AB$56:$AB$343,MATCH(About!$B$2&amp;"|"&amp;$A3,Calcs!$C$56:$C$343,0))</f>
        <v>1.0537000000000001</v>
      </c>
      <c r="Y3" s="11">
        <f>INDEX(Calcs!$AC$56:$AC$343,MATCH(About!$B$2&amp;"|"&amp;$A3,Calcs!$C$56:$C$343,0))</f>
        <v>1.0537000000000001</v>
      </c>
    </row>
    <row r="4" spans="1:25" x14ac:dyDescent="0.45">
      <c r="A4" t="s">
        <v>426</v>
      </c>
      <c r="B4" s="11">
        <f>INDEX(Calcs!$F$56:$F$343,MATCH(About!$B$2&amp;"|"&amp;$A4,Calcs!$C$56:$C$343,0))</f>
        <v>1.0537000000000001</v>
      </c>
      <c r="C4" s="11">
        <f>INDEX(Calcs!$G$56:$G$343,MATCH(About!$B$2&amp;"|"&amp;$A4,Calcs!$C$56:$C$343,0))</f>
        <v>1.0537000000000001</v>
      </c>
      <c r="D4" s="11">
        <f>INDEX(Calcs!$H$56:$H$343,MATCH(About!$B$2&amp;"|"&amp;$A4,Calcs!$C$56:$C$343,0))</f>
        <v>1.0537000000000001</v>
      </c>
      <c r="E4" s="11">
        <f>INDEX(Calcs!$I$56:$I$343,MATCH(About!$B$2&amp;"|"&amp;$A4,Calcs!$C$56:$C$343,0))</f>
        <v>1.0537000000000001</v>
      </c>
      <c r="F4" s="11">
        <f>INDEX(Calcs!$J$56:$J$343,MATCH(About!$B$2&amp;"|"&amp;$A4,Calcs!$C$56:$C$343,0))</f>
        <v>1.0537000000000001</v>
      </c>
      <c r="G4" s="11">
        <f>INDEX(Calcs!$K$56:$K$343,MATCH(About!$B$2&amp;"|"&amp;$A4,Calcs!$C$56:$C$343,0))</f>
        <v>1.0537000000000001</v>
      </c>
      <c r="H4" s="11">
        <f>INDEX(Calcs!$L$56:$L$343,MATCH(About!$B$2&amp;"|"&amp;$A4,Calcs!$C$56:$C$343,0))</f>
        <v>1.0537000000000001</v>
      </c>
      <c r="I4" s="11">
        <f>INDEX(Calcs!$M$56:$M$343,MATCH(About!$B$2&amp;"|"&amp;$A4,Calcs!$C$56:$C$343,0))</f>
        <v>1.0537000000000001</v>
      </c>
      <c r="J4" s="11">
        <f>INDEX(Calcs!$N$56:$N$343,MATCH(About!$B$2&amp;"|"&amp;$A4,Calcs!$C$56:$C$343,0))</f>
        <v>1.0537000000000001</v>
      </c>
      <c r="K4" s="11">
        <f>INDEX(Calcs!$O$56:$O$343,MATCH(About!$B$2&amp;"|"&amp;$A4,Calcs!$C$56:$C$343,0))</f>
        <v>1.0537000000000001</v>
      </c>
      <c r="L4" s="11">
        <f>INDEX(Calcs!$P$56:$P$343,MATCH(About!$B$2&amp;"|"&amp;$A4,Calcs!$C$56:$C$343,0))</f>
        <v>1.0537000000000001</v>
      </c>
      <c r="M4" s="11">
        <f>INDEX(Calcs!$Q$56:$Q$343,MATCH(About!$B$2&amp;"|"&amp;$A4,Calcs!$C$56:$C$343,0))</f>
        <v>1.0537000000000001</v>
      </c>
      <c r="N4" s="11">
        <f>INDEX(Calcs!$R$56:$R$343,MATCH(About!$B$2&amp;"|"&amp;$A4,Calcs!$C$56:$C$343,0))</f>
        <v>1.0537000000000001</v>
      </c>
      <c r="O4" s="11">
        <f>INDEX(Calcs!$S$56:$S$343,MATCH(About!$B$2&amp;"|"&amp;$A4,Calcs!$C$56:$C$343,0))</f>
        <v>1.0537000000000001</v>
      </c>
      <c r="P4" s="11">
        <f>INDEX(Calcs!$T$56:$T$343,MATCH(About!$B$2&amp;"|"&amp;$A4,Calcs!$C$56:$C$343,0))</f>
        <v>1.0537000000000001</v>
      </c>
      <c r="Q4" s="11">
        <f>INDEX(Calcs!$U$56:$U$343,MATCH(About!$B$2&amp;"|"&amp;$A4,Calcs!$C$56:$C$343,0))</f>
        <v>1.0537000000000001</v>
      </c>
      <c r="R4" s="11">
        <f>INDEX(Calcs!$V$56:$V$343,MATCH(About!$B$2&amp;"|"&amp;$A4,Calcs!$C$56:$C$343,0))</f>
        <v>1.0537000000000001</v>
      </c>
      <c r="S4" s="11">
        <f>INDEX(Calcs!$W$56:$W$343,MATCH(About!$B$2&amp;"|"&amp;$A4,Calcs!$C$56:$C$343,0))</f>
        <v>1.0537000000000001</v>
      </c>
      <c r="T4" s="11">
        <f>INDEX(Calcs!$X$56:$X$343,MATCH(About!$B$2&amp;"|"&amp;$A4,Calcs!$C$56:$C$343,0))</f>
        <v>1.0537000000000001</v>
      </c>
      <c r="U4" s="11">
        <f>INDEX(Calcs!$Y$56:$Y$343,MATCH(About!$B$2&amp;"|"&amp;$A4,Calcs!$C$56:$C$343,0))</f>
        <v>1.0537000000000001</v>
      </c>
      <c r="V4" s="11">
        <f>INDEX(Calcs!$Z$56:$Z$343,MATCH(About!$B$2&amp;"|"&amp;$A4,Calcs!$C$56:$C$343,0))</f>
        <v>1.0537000000000001</v>
      </c>
      <c r="W4" s="11">
        <f>INDEX(Calcs!$AA$56:$AA$343,MATCH(About!$B$2&amp;"|"&amp;$A4,Calcs!$C$56:$C$343,0))</f>
        <v>1.0537000000000001</v>
      </c>
      <c r="X4" s="11">
        <f>INDEX(Calcs!$AB$56:$AB$343,MATCH(About!$B$2&amp;"|"&amp;$A4,Calcs!$C$56:$C$343,0))</f>
        <v>1.0537000000000001</v>
      </c>
      <c r="Y4" s="11">
        <f>INDEX(Calcs!$AC$56:$AC$343,MATCH(About!$B$2&amp;"|"&amp;$A4,Calcs!$C$56:$C$343,0))</f>
        <v>1.0537000000000001</v>
      </c>
    </row>
    <row r="5" spans="1:25" x14ac:dyDescent="0.45">
      <c r="A5" t="s">
        <v>427</v>
      </c>
      <c r="B5" s="11">
        <f>INDEX(Calcs!$F$56:$F$343,MATCH(About!$B$2&amp;"|"&amp;$A5,Calcs!$C$56:$C$343,0))</f>
        <v>1.0537000000000001</v>
      </c>
      <c r="C5" s="11">
        <f>INDEX(Calcs!$G$56:$G$343,MATCH(About!$B$2&amp;"|"&amp;$A5,Calcs!$C$56:$C$343,0))</f>
        <v>1.0537000000000001</v>
      </c>
      <c r="D5" s="11">
        <f>INDEX(Calcs!$H$56:$H$343,MATCH(About!$B$2&amp;"|"&amp;$A5,Calcs!$C$56:$C$343,0))</f>
        <v>1.0537000000000001</v>
      </c>
      <c r="E5" s="11">
        <f>INDEX(Calcs!$I$56:$I$343,MATCH(About!$B$2&amp;"|"&amp;$A5,Calcs!$C$56:$C$343,0))</f>
        <v>1.0537000000000001</v>
      </c>
      <c r="F5" s="11">
        <f>INDEX(Calcs!$J$56:$J$343,MATCH(About!$B$2&amp;"|"&amp;$A5,Calcs!$C$56:$C$343,0))</f>
        <v>1.0537000000000001</v>
      </c>
      <c r="G5" s="11">
        <f>INDEX(Calcs!$K$56:$K$343,MATCH(About!$B$2&amp;"|"&amp;$A5,Calcs!$C$56:$C$343,0))</f>
        <v>1.0537000000000001</v>
      </c>
      <c r="H5" s="11">
        <f>INDEX(Calcs!$L$56:$L$343,MATCH(About!$B$2&amp;"|"&amp;$A5,Calcs!$C$56:$C$343,0))</f>
        <v>1.0577000000000001</v>
      </c>
      <c r="I5" s="11">
        <f>INDEX(Calcs!$M$56:$M$343,MATCH(About!$B$2&amp;"|"&amp;$A5,Calcs!$C$56:$C$343,0))</f>
        <v>1.1919</v>
      </c>
      <c r="J5" s="11">
        <f>INDEX(Calcs!$N$56:$N$343,MATCH(About!$B$2&amp;"|"&amp;$A5,Calcs!$C$56:$C$343,0))</f>
        <v>1.2103999999999999</v>
      </c>
      <c r="K5" s="11">
        <f>INDEX(Calcs!$O$56:$O$343,MATCH(About!$B$2&amp;"|"&amp;$A5,Calcs!$C$56:$C$343,0))</f>
        <v>1.1249</v>
      </c>
      <c r="L5" s="11">
        <f>INDEX(Calcs!$P$56:$P$343,MATCH(About!$B$2&amp;"|"&amp;$A5,Calcs!$C$56:$C$343,0))</f>
        <v>1.0770999999999999</v>
      </c>
      <c r="M5" s="11">
        <f>INDEX(Calcs!$Q$56:$Q$343,MATCH(About!$B$2&amp;"|"&amp;$A5,Calcs!$C$56:$C$343,0))</f>
        <v>1.0691999999999999</v>
      </c>
      <c r="N5" s="11">
        <f>INDEX(Calcs!$R$56:$R$343,MATCH(About!$B$2&amp;"|"&amp;$A5,Calcs!$C$56:$C$343,0))</f>
        <v>1.069</v>
      </c>
      <c r="O5" s="11">
        <f>INDEX(Calcs!$S$56:$S$343,MATCH(About!$B$2&amp;"|"&amp;$A5,Calcs!$C$56:$C$343,0))</f>
        <v>1.0652999999999999</v>
      </c>
      <c r="P5" s="11">
        <f>INDEX(Calcs!$T$56:$T$343,MATCH(About!$B$2&amp;"|"&amp;$A5,Calcs!$C$56:$C$343,0))</f>
        <v>1.0652999999999999</v>
      </c>
      <c r="Q5" s="11">
        <f>INDEX(Calcs!$U$56:$U$343,MATCH(About!$B$2&amp;"|"&amp;$A5,Calcs!$C$56:$C$343,0))</f>
        <v>1.0613999999999999</v>
      </c>
      <c r="R5" s="11">
        <f>INDEX(Calcs!$V$56:$V$343,MATCH(About!$B$2&amp;"|"&amp;$A5,Calcs!$C$56:$C$343,0))</f>
        <v>1.0575000000000001</v>
      </c>
      <c r="S5" s="11">
        <f>INDEX(Calcs!$W$56:$W$343,MATCH(About!$B$2&amp;"|"&amp;$A5,Calcs!$C$56:$C$343,0))</f>
        <v>1.0537000000000001</v>
      </c>
      <c r="T5" s="11">
        <f>INDEX(Calcs!$X$56:$X$343,MATCH(About!$B$2&amp;"|"&amp;$A5,Calcs!$C$56:$C$343,0))</f>
        <v>1.0537000000000001</v>
      </c>
      <c r="U5" s="11">
        <f>INDEX(Calcs!$Y$56:$Y$343,MATCH(About!$B$2&amp;"|"&amp;$A5,Calcs!$C$56:$C$343,0))</f>
        <v>1.0537000000000001</v>
      </c>
      <c r="V5" s="11">
        <f>INDEX(Calcs!$Z$56:$Z$343,MATCH(About!$B$2&amp;"|"&amp;$A5,Calcs!$C$56:$C$343,0))</f>
        <v>1.0537000000000001</v>
      </c>
      <c r="W5" s="11">
        <f>INDEX(Calcs!$AA$56:$AA$343,MATCH(About!$B$2&amp;"|"&amp;$A5,Calcs!$C$56:$C$343,0))</f>
        <v>1.0537000000000001</v>
      </c>
      <c r="X5" s="11">
        <f>INDEX(Calcs!$AB$56:$AB$343,MATCH(About!$B$2&amp;"|"&amp;$A5,Calcs!$C$56:$C$343,0))</f>
        <v>1.0537000000000001</v>
      </c>
      <c r="Y5" s="11">
        <f>INDEX(Calcs!$AC$56:$AC$343,MATCH(About!$B$2&amp;"|"&amp;$A5,Calcs!$C$56:$C$343,0))</f>
        <v>1.0537000000000001</v>
      </c>
    </row>
    <row r="6" spans="1:25" x14ac:dyDescent="0.45">
      <c r="A6" t="s">
        <v>428</v>
      </c>
      <c r="B6" s="11">
        <f>INDEX(Calcs!$F$56:$F$343,MATCH(About!$B$2&amp;"|"&amp;$A6,Calcs!$C$56:$C$343,0))</f>
        <v>1.0537000000000001</v>
      </c>
      <c r="C6" s="11">
        <f>INDEX(Calcs!$G$56:$G$343,MATCH(About!$B$2&amp;"|"&amp;$A6,Calcs!$C$56:$C$343,0))</f>
        <v>1.0537000000000001</v>
      </c>
      <c r="D6" s="11">
        <f>INDEX(Calcs!$H$56:$H$343,MATCH(About!$B$2&amp;"|"&amp;$A6,Calcs!$C$56:$C$343,0))</f>
        <v>1.0537000000000001</v>
      </c>
      <c r="E6" s="11">
        <f>INDEX(Calcs!$I$56:$I$343,MATCH(About!$B$2&amp;"|"&amp;$A6,Calcs!$C$56:$C$343,0))</f>
        <v>1.0537000000000001</v>
      </c>
      <c r="F6" s="11">
        <f>INDEX(Calcs!$J$56:$J$343,MATCH(About!$B$2&amp;"|"&amp;$A6,Calcs!$C$56:$C$343,0))</f>
        <v>1.0537000000000001</v>
      </c>
      <c r="G6" s="11">
        <f>INDEX(Calcs!$K$56:$K$343,MATCH(About!$B$2&amp;"|"&amp;$A6,Calcs!$C$56:$C$343,0))</f>
        <v>1.0537000000000001</v>
      </c>
      <c r="H6" s="11">
        <f>INDEX(Calcs!$L$56:$L$343,MATCH(About!$B$2&amp;"|"&amp;$A6,Calcs!$C$56:$C$343,0))</f>
        <v>1.0537000000000001</v>
      </c>
      <c r="I6" s="11">
        <f>INDEX(Calcs!$M$56:$M$343,MATCH(About!$B$2&amp;"|"&amp;$A6,Calcs!$C$56:$C$343,0))</f>
        <v>1.0960000000000001</v>
      </c>
      <c r="J6" s="11">
        <f>INDEX(Calcs!$N$56:$N$343,MATCH(About!$B$2&amp;"|"&amp;$A6,Calcs!$C$56:$C$343,0))</f>
        <v>1.0851</v>
      </c>
      <c r="K6" s="11">
        <f>INDEX(Calcs!$O$56:$O$343,MATCH(About!$B$2&amp;"|"&amp;$A6,Calcs!$C$56:$C$343,0))</f>
        <v>1.054</v>
      </c>
      <c r="L6" s="11">
        <f>INDEX(Calcs!$P$56:$P$343,MATCH(About!$B$2&amp;"|"&amp;$A6,Calcs!$C$56:$C$343,0))</f>
        <v>1.0537000000000001</v>
      </c>
      <c r="M6" s="11">
        <f>INDEX(Calcs!$Q$56:$Q$343,MATCH(About!$B$2&amp;"|"&amp;$A6,Calcs!$C$56:$C$343,0))</f>
        <v>1.0537000000000001</v>
      </c>
      <c r="N6" s="11">
        <f>INDEX(Calcs!$R$56:$R$343,MATCH(About!$B$2&amp;"|"&amp;$A6,Calcs!$C$56:$C$343,0))</f>
        <v>1.0537000000000001</v>
      </c>
      <c r="O6" s="11">
        <f>INDEX(Calcs!$S$56:$S$343,MATCH(About!$B$2&amp;"|"&amp;$A6,Calcs!$C$56:$C$343,0))</f>
        <v>1.0537000000000001</v>
      </c>
      <c r="P6" s="11">
        <f>INDEX(Calcs!$T$56:$T$343,MATCH(About!$B$2&amp;"|"&amp;$A6,Calcs!$C$56:$C$343,0))</f>
        <v>1.0537000000000001</v>
      </c>
      <c r="Q6" s="11">
        <f>INDEX(Calcs!$U$56:$U$343,MATCH(About!$B$2&amp;"|"&amp;$A6,Calcs!$C$56:$C$343,0))</f>
        <v>1.0537000000000001</v>
      </c>
      <c r="R6" s="11">
        <f>INDEX(Calcs!$V$56:$V$343,MATCH(About!$B$2&amp;"|"&amp;$A6,Calcs!$C$56:$C$343,0))</f>
        <v>1.0537000000000001</v>
      </c>
      <c r="S6" s="11">
        <f>INDEX(Calcs!$W$56:$W$343,MATCH(About!$B$2&amp;"|"&amp;$A6,Calcs!$C$56:$C$343,0))</f>
        <v>1.0537000000000001</v>
      </c>
      <c r="T6" s="11">
        <f>INDEX(Calcs!$X$56:$X$343,MATCH(About!$B$2&amp;"|"&amp;$A6,Calcs!$C$56:$C$343,0))</f>
        <v>1.0537000000000001</v>
      </c>
      <c r="U6" s="11">
        <f>INDEX(Calcs!$Y$56:$Y$343,MATCH(About!$B$2&amp;"|"&amp;$A6,Calcs!$C$56:$C$343,0))</f>
        <v>1.0537000000000001</v>
      </c>
      <c r="V6" s="11">
        <f>INDEX(Calcs!$Z$56:$Z$343,MATCH(About!$B$2&amp;"|"&amp;$A6,Calcs!$C$56:$C$343,0))</f>
        <v>1.0537000000000001</v>
      </c>
      <c r="W6" s="11">
        <f>INDEX(Calcs!$AA$56:$AA$343,MATCH(About!$B$2&amp;"|"&amp;$A6,Calcs!$C$56:$C$343,0))</f>
        <v>1.0537000000000001</v>
      </c>
      <c r="X6" s="11">
        <f>INDEX(Calcs!$AB$56:$AB$343,MATCH(About!$B$2&amp;"|"&amp;$A6,Calcs!$C$56:$C$343,0))</f>
        <v>1.0537000000000001</v>
      </c>
      <c r="Y6" s="11">
        <f>INDEX(Calcs!$AC$56:$AC$343,MATCH(About!$B$2&amp;"|"&amp;$A6,Calcs!$C$56:$C$343,0))</f>
        <v>1.0537000000000001</v>
      </c>
    </row>
    <row r="7" spans="1:25" x14ac:dyDescent="0.45">
      <c r="A7" t="s">
        <v>429</v>
      </c>
      <c r="B7" s="11">
        <f>INDEX(Calcs!$F$56:$F$343,MATCH(About!$B$2&amp;"|"&amp;$A7,Calcs!$C$56:$C$343,0))</f>
        <v>1.0537000000000001</v>
      </c>
      <c r="C7" s="11">
        <f>INDEX(Calcs!$G$56:$G$343,MATCH(About!$B$2&amp;"|"&amp;$A7,Calcs!$C$56:$C$343,0))</f>
        <v>1.0537000000000001</v>
      </c>
      <c r="D7" s="11">
        <f>INDEX(Calcs!$H$56:$H$343,MATCH(About!$B$2&amp;"|"&amp;$A7,Calcs!$C$56:$C$343,0))</f>
        <v>1.0537000000000001</v>
      </c>
      <c r="E7" s="11">
        <f>INDEX(Calcs!$I$56:$I$343,MATCH(About!$B$2&amp;"|"&amp;$A7,Calcs!$C$56:$C$343,0))</f>
        <v>1.0537000000000001</v>
      </c>
      <c r="F7" s="11">
        <f>INDEX(Calcs!$J$56:$J$343,MATCH(About!$B$2&amp;"|"&amp;$A7,Calcs!$C$56:$C$343,0))</f>
        <v>1.0537000000000001</v>
      </c>
      <c r="G7" s="11">
        <f>INDEX(Calcs!$K$56:$K$343,MATCH(About!$B$2&amp;"|"&amp;$A7,Calcs!$C$56:$C$343,0))</f>
        <v>1.0537000000000001</v>
      </c>
      <c r="H7" s="11">
        <f>INDEX(Calcs!$L$56:$L$343,MATCH(About!$B$2&amp;"|"&amp;$A7,Calcs!$C$56:$C$343,0))</f>
        <v>1.0537000000000001</v>
      </c>
      <c r="I7" s="11">
        <f>INDEX(Calcs!$M$56:$M$343,MATCH(About!$B$2&amp;"|"&amp;$A7,Calcs!$C$56:$C$343,0))</f>
        <v>1.0537000000000001</v>
      </c>
      <c r="J7" s="11">
        <f>INDEX(Calcs!$N$56:$N$343,MATCH(About!$B$2&amp;"|"&amp;$A7,Calcs!$C$56:$C$343,0))</f>
        <v>1.0882000000000001</v>
      </c>
      <c r="K7" s="11">
        <f>INDEX(Calcs!$O$56:$O$343,MATCH(About!$B$2&amp;"|"&amp;$A7,Calcs!$C$56:$C$343,0))</f>
        <v>1.0986</v>
      </c>
      <c r="L7" s="11">
        <f>INDEX(Calcs!$P$56:$P$343,MATCH(About!$B$2&amp;"|"&amp;$A7,Calcs!$C$56:$C$343,0))</f>
        <v>1.0842000000000001</v>
      </c>
      <c r="M7" s="11">
        <f>INDEX(Calcs!$Q$56:$Q$343,MATCH(About!$B$2&amp;"|"&amp;$A7,Calcs!$C$56:$C$343,0))</f>
        <v>1.0842000000000001</v>
      </c>
      <c r="N7" s="11">
        <f>INDEX(Calcs!$R$56:$R$343,MATCH(About!$B$2&amp;"|"&amp;$A7,Calcs!$C$56:$C$343,0))</f>
        <v>1.0842000000000001</v>
      </c>
      <c r="O7" s="11">
        <f>INDEX(Calcs!$S$56:$S$343,MATCH(About!$B$2&amp;"|"&amp;$A7,Calcs!$C$56:$C$343,0))</f>
        <v>1.0842000000000001</v>
      </c>
      <c r="P7" s="11">
        <f>INDEX(Calcs!$T$56:$T$343,MATCH(About!$B$2&amp;"|"&amp;$A7,Calcs!$C$56:$C$343,0))</f>
        <v>1.1169</v>
      </c>
      <c r="Q7" s="11">
        <f>INDEX(Calcs!$U$56:$U$343,MATCH(About!$B$2&amp;"|"&amp;$A7,Calcs!$C$56:$C$343,0))</f>
        <v>1.0842000000000001</v>
      </c>
      <c r="R7" s="11">
        <f>INDEX(Calcs!$V$56:$V$343,MATCH(About!$B$2&amp;"|"&amp;$A7,Calcs!$C$56:$C$343,0))</f>
        <v>1.0637000000000001</v>
      </c>
      <c r="S7" s="11">
        <f>INDEX(Calcs!$W$56:$W$343,MATCH(About!$B$2&amp;"|"&amp;$A7,Calcs!$C$56:$C$343,0))</f>
        <v>1.0537000000000001</v>
      </c>
      <c r="T7" s="11">
        <f>INDEX(Calcs!$X$56:$X$343,MATCH(About!$B$2&amp;"|"&amp;$A7,Calcs!$C$56:$C$343,0))</f>
        <v>1.0537000000000001</v>
      </c>
      <c r="U7" s="11">
        <f>INDEX(Calcs!$Y$56:$Y$343,MATCH(About!$B$2&amp;"|"&amp;$A7,Calcs!$C$56:$C$343,0))</f>
        <v>1.0537000000000001</v>
      </c>
      <c r="V7" s="11">
        <f>INDEX(Calcs!$Z$56:$Z$343,MATCH(About!$B$2&amp;"|"&amp;$A7,Calcs!$C$56:$C$343,0))</f>
        <v>1.0537000000000001</v>
      </c>
      <c r="W7" s="11">
        <f>INDEX(Calcs!$AA$56:$AA$343,MATCH(About!$B$2&amp;"|"&amp;$A7,Calcs!$C$56:$C$343,0))</f>
        <v>1.0537000000000001</v>
      </c>
      <c r="X7" s="11">
        <f>INDEX(Calcs!$AB$56:$AB$343,MATCH(About!$B$2&amp;"|"&amp;$A7,Calcs!$C$56:$C$343,0))</f>
        <v>1.0537000000000001</v>
      </c>
      <c r="Y7" s="11">
        <f>INDEX(Calcs!$AC$56:$AC$343,MATCH(About!$B$2&amp;"|"&amp;$A7,Calcs!$C$56:$C$343,0))</f>
        <v>1.0537000000000001</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1F3864"/>
  </sheetPr>
  <dimension ref="A1:Y7"/>
  <sheetViews>
    <sheetView workbookViewId="0"/>
  </sheetViews>
  <sheetFormatPr defaultRowHeight="14.25" x14ac:dyDescent="0.45"/>
  <sheetData>
    <row r="1" spans="1:25" x14ac:dyDescent="0.45">
      <c r="A1" t="s">
        <v>492</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INDEX(Calcs!$E$4:$E$51,MATCH(About!$B$2,Calcs!$A$4:$A$51,0))</f>
        <v>0.6331</v>
      </c>
      <c r="C2" s="11">
        <f>INDEX(Calcs!$E$4:$E$51,MATCH(About!$B$2,Calcs!$A$4:$A$51,0))</f>
        <v>0.6331</v>
      </c>
      <c r="D2" s="11">
        <f>INDEX(Calcs!$E$4:$E$51,MATCH(About!$B$2,Calcs!$A$4:$A$51,0))</f>
        <v>0.6331</v>
      </c>
      <c r="E2" s="11">
        <f>INDEX(Calcs!$E$4:$E$51,MATCH(About!$B$2,Calcs!$A$4:$A$51,0))</f>
        <v>0.6331</v>
      </c>
      <c r="F2" s="11">
        <f>INDEX(Calcs!$E$4:$E$51,MATCH(About!$B$2,Calcs!$A$4:$A$51,0))</f>
        <v>0.6331</v>
      </c>
      <c r="G2" s="11">
        <f>INDEX(Calcs!$E$4:$E$51,MATCH(About!$B$2,Calcs!$A$4:$A$51,0))</f>
        <v>0.6331</v>
      </c>
      <c r="H2" s="11">
        <f>INDEX(Calcs!$E$4:$E$51,MATCH(About!$B$2,Calcs!$A$4:$A$51,0))</f>
        <v>0.6331</v>
      </c>
      <c r="I2" s="11">
        <f>INDEX(Calcs!$E$4:$E$51,MATCH(About!$B$2,Calcs!$A$4:$A$51,0))</f>
        <v>0.6331</v>
      </c>
      <c r="J2" s="11">
        <f>INDEX(Calcs!$E$4:$E$51,MATCH(About!$B$2,Calcs!$A$4:$A$51,0))</f>
        <v>0.6331</v>
      </c>
      <c r="K2" s="11">
        <f>INDEX(Calcs!$E$4:$E$51,MATCH(About!$B$2,Calcs!$A$4:$A$51,0))</f>
        <v>0.6331</v>
      </c>
      <c r="L2" s="11">
        <f>INDEX(Calcs!$E$4:$E$51,MATCH(About!$B$2,Calcs!$A$4:$A$51,0))</f>
        <v>0.6331</v>
      </c>
      <c r="M2" s="11">
        <f>INDEX(Calcs!$E$4:$E$51,MATCH(About!$B$2,Calcs!$A$4:$A$51,0))</f>
        <v>0.6331</v>
      </c>
      <c r="N2" s="11">
        <f>INDEX(Calcs!$E$4:$E$51,MATCH(About!$B$2,Calcs!$A$4:$A$51,0))</f>
        <v>0.6331</v>
      </c>
      <c r="O2" s="11">
        <f>INDEX(Calcs!$E$4:$E$51,MATCH(About!$B$2,Calcs!$A$4:$A$51,0))</f>
        <v>0.6331</v>
      </c>
      <c r="P2" s="11">
        <f>INDEX(Calcs!$E$4:$E$51,MATCH(About!$B$2,Calcs!$A$4:$A$51,0))</f>
        <v>0.6331</v>
      </c>
      <c r="Q2" s="11">
        <f>INDEX(Calcs!$E$4:$E$51,MATCH(About!$B$2,Calcs!$A$4:$A$51,0))</f>
        <v>0.6331</v>
      </c>
      <c r="R2" s="11">
        <f>INDEX(Calcs!$E$4:$E$51,MATCH(About!$B$2,Calcs!$A$4:$A$51,0))</f>
        <v>0.6331</v>
      </c>
      <c r="S2" s="11">
        <f>INDEX(Calcs!$E$4:$E$51,MATCH(About!$B$2,Calcs!$A$4:$A$51,0))</f>
        <v>0.6331</v>
      </c>
      <c r="T2" s="11">
        <f>INDEX(Calcs!$E$4:$E$51,MATCH(About!$B$2,Calcs!$A$4:$A$51,0))</f>
        <v>0.6331</v>
      </c>
      <c r="U2" s="11">
        <f>INDEX(Calcs!$E$4:$E$51,MATCH(About!$B$2,Calcs!$A$4:$A$51,0))</f>
        <v>0.6331</v>
      </c>
      <c r="V2" s="11">
        <f>INDEX(Calcs!$E$4:$E$51,MATCH(About!$B$2,Calcs!$A$4:$A$51,0))</f>
        <v>0.6331</v>
      </c>
      <c r="W2" s="11">
        <f>INDEX(Calcs!$E$4:$E$51,MATCH(About!$B$2,Calcs!$A$4:$A$51,0))</f>
        <v>0.6331</v>
      </c>
      <c r="X2" s="11">
        <f>INDEX(Calcs!$E$4:$E$51,MATCH(About!$B$2,Calcs!$A$4:$A$51,0))</f>
        <v>0.6331</v>
      </c>
      <c r="Y2" s="11">
        <f>INDEX(Calcs!$E$4:$E$51,MATCH(About!$B$2,Calcs!$A$4:$A$51,0))</f>
        <v>0.6331</v>
      </c>
    </row>
    <row r="3" spans="1:25" x14ac:dyDescent="0.45">
      <c r="A3" t="s">
        <v>425</v>
      </c>
      <c r="B3" s="11">
        <f>INDEX(Calcs!$E$4:$E$51,MATCH(About!$B$2,Calcs!$A$4:$A$51,0))</f>
        <v>0.6331</v>
      </c>
      <c r="C3" s="11">
        <f>INDEX(Calcs!$E$4:$E$51,MATCH(About!$B$2,Calcs!$A$4:$A$51,0))</f>
        <v>0.6331</v>
      </c>
      <c r="D3" s="11">
        <f>INDEX(Calcs!$E$4:$E$51,MATCH(About!$B$2,Calcs!$A$4:$A$51,0))</f>
        <v>0.6331</v>
      </c>
      <c r="E3" s="11">
        <f>INDEX(Calcs!$E$4:$E$51,MATCH(About!$B$2,Calcs!$A$4:$A$51,0))</f>
        <v>0.6331</v>
      </c>
      <c r="F3" s="11">
        <f>INDEX(Calcs!$E$4:$E$51,MATCH(About!$B$2,Calcs!$A$4:$A$51,0))</f>
        <v>0.6331</v>
      </c>
      <c r="G3" s="11">
        <f>INDEX(Calcs!$E$4:$E$51,MATCH(About!$B$2,Calcs!$A$4:$A$51,0))</f>
        <v>0.6331</v>
      </c>
      <c r="H3" s="11">
        <f>INDEX(Calcs!$E$4:$E$51,MATCH(About!$B$2,Calcs!$A$4:$A$51,0))</f>
        <v>0.6331</v>
      </c>
      <c r="I3" s="11">
        <f>INDEX(Calcs!$E$4:$E$51,MATCH(About!$B$2,Calcs!$A$4:$A$51,0))</f>
        <v>0.6331</v>
      </c>
      <c r="J3" s="11">
        <f>INDEX(Calcs!$E$4:$E$51,MATCH(About!$B$2,Calcs!$A$4:$A$51,0))</f>
        <v>0.6331</v>
      </c>
      <c r="K3" s="11">
        <f>INDEX(Calcs!$E$4:$E$51,MATCH(About!$B$2,Calcs!$A$4:$A$51,0))</f>
        <v>0.6331</v>
      </c>
      <c r="L3" s="11">
        <f>INDEX(Calcs!$E$4:$E$51,MATCH(About!$B$2,Calcs!$A$4:$A$51,0))</f>
        <v>0.6331</v>
      </c>
      <c r="M3" s="11">
        <f>INDEX(Calcs!$E$4:$E$51,MATCH(About!$B$2,Calcs!$A$4:$A$51,0))</f>
        <v>0.6331</v>
      </c>
      <c r="N3" s="11">
        <f>INDEX(Calcs!$E$4:$E$51,MATCH(About!$B$2,Calcs!$A$4:$A$51,0))</f>
        <v>0.6331</v>
      </c>
      <c r="O3" s="11">
        <f>INDEX(Calcs!$E$4:$E$51,MATCH(About!$B$2,Calcs!$A$4:$A$51,0))</f>
        <v>0.6331</v>
      </c>
      <c r="P3" s="11">
        <f>INDEX(Calcs!$E$4:$E$51,MATCH(About!$B$2,Calcs!$A$4:$A$51,0))</f>
        <v>0.6331</v>
      </c>
      <c r="Q3" s="11">
        <f>INDEX(Calcs!$E$4:$E$51,MATCH(About!$B$2,Calcs!$A$4:$A$51,0))</f>
        <v>0.6331</v>
      </c>
      <c r="R3" s="11">
        <f>INDEX(Calcs!$E$4:$E$51,MATCH(About!$B$2,Calcs!$A$4:$A$51,0))</f>
        <v>0.6331</v>
      </c>
      <c r="S3" s="11">
        <f>INDEX(Calcs!$E$4:$E$51,MATCH(About!$B$2,Calcs!$A$4:$A$51,0))</f>
        <v>0.6331</v>
      </c>
      <c r="T3" s="11">
        <f>INDEX(Calcs!$E$4:$E$51,MATCH(About!$B$2,Calcs!$A$4:$A$51,0))</f>
        <v>0.6331</v>
      </c>
      <c r="U3" s="11">
        <f>INDEX(Calcs!$E$4:$E$51,MATCH(About!$B$2,Calcs!$A$4:$A$51,0))</f>
        <v>0.6331</v>
      </c>
      <c r="V3" s="11">
        <f>INDEX(Calcs!$E$4:$E$51,MATCH(About!$B$2,Calcs!$A$4:$A$51,0))</f>
        <v>0.6331</v>
      </c>
      <c r="W3" s="11">
        <f>INDEX(Calcs!$E$4:$E$51,MATCH(About!$B$2,Calcs!$A$4:$A$51,0))</f>
        <v>0.6331</v>
      </c>
      <c r="X3" s="11">
        <f>INDEX(Calcs!$E$4:$E$51,MATCH(About!$B$2,Calcs!$A$4:$A$51,0))</f>
        <v>0.6331</v>
      </c>
      <c r="Y3" s="11">
        <f>INDEX(Calcs!$E$4:$E$51,MATCH(About!$B$2,Calcs!$A$4:$A$51,0))</f>
        <v>0.6331</v>
      </c>
    </row>
    <row r="4" spans="1:25" x14ac:dyDescent="0.45">
      <c r="A4" t="s">
        <v>426</v>
      </c>
      <c r="B4" s="11">
        <f>INDEX(Calcs!$E$4:$E$51,MATCH(About!$B$2,Calcs!$A$4:$A$51,0))</f>
        <v>0.6331</v>
      </c>
      <c r="C4" s="11">
        <f>INDEX(Calcs!$E$4:$E$51,MATCH(About!$B$2,Calcs!$A$4:$A$51,0))</f>
        <v>0.6331</v>
      </c>
      <c r="D4" s="11">
        <f>INDEX(Calcs!$E$4:$E$51,MATCH(About!$B$2,Calcs!$A$4:$A$51,0))</f>
        <v>0.6331</v>
      </c>
      <c r="E4" s="11">
        <f>INDEX(Calcs!$E$4:$E$51,MATCH(About!$B$2,Calcs!$A$4:$A$51,0))</f>
        <v>0.6331</v>
      </c>
      <c r="F4" s="11">
        <f>INDEX(Calcs!$E$4:$E$51,MATCH(About!$B$2,Calcs!$A$4:$A$51,0))</f>
        <v>0.6331</v>
      </c>
      <c r="G4" s="11">
        <f>INDEX(Calcs!$E$4:$E$51,MATCH(About!$B$2,Calcs!$A$4:$A$51,0))</f>
        <v>0.6331</v>
      </c>
      <c r="H4" s="11">
        <f>INDEX(Calcs!$E$4:$E$51,MATCH(About!$B$2,Calcs!$A$4:$A$51,0))</f>
        <v>0.6331</v>
      </c>
      <c r="I4" s="11">
        <f>INDEX(Calcs!$E$4:$E$51,MATCH(About!$B$2,Calcs!$A$4:$A$51,0))</f>
        <v>0.6331</v>
      </c>
      <c r="J4" s="11">
        <f>INDEX(Calcs!$E$4:$E$51,MATCH(About!$B$2,Calcs!$A$4:$A$51,0))</f>
        <v>0.6331</v>
      </c>
      <c r="K4" s="11">
        <f>INDEX(Calcs!$E$4:$E$51,MATCH(About!$B$2,Calcs!$A$4:$A$51,0))</f>
        <v>0.6331</v>
      </c>
      <c r="L4" s="11">
        <f>INDEX(Calcs!$E$4:$E$51,MATCH(About!$B$2,Calcs!$A$4:$A$51,0))</f>
        <v>0.6331</v>
      </c>
      <c r="M4" s="11">
        <f>INDEX(Calcs!$E$4:$E$51,MATCH(About!$B$2,Calcs!$A$4:$A$51,0))</f>
        <v>0.6331</v>
      </c>
      <c r="N4" s="11">
        <f>INDEX(Calcs!$E$4:$E$51,MATCH(About!$B$2,Calcs!$A$4:$A$51,0))</f>
        <v>0.6331</v>
      </c>
      <c r="O4" s="11">
        <f>INDEX(Calcs!$E$4:$E$51,MATCH(About!$B$2,Calcs!$A$4:$A$51,0))</f>
        <v>0.6331</v>
      </c>
      <c r="P4" s="11">
        <f>INDEX(Calcs!$E$4:$E$51,MATCH(About!$B$2,Calcs!$A$4:$A$51,0))</f>
        <v>0.6331</v>
      </c>
      <c r="Q4" s="11">
        <f>INDEX(Calcs!$E$4:$E$51,MATCH(About!$B$2,Calcs!$A$4:$A$51,0))</f>
        <v>0.6331</v>
      </c>
      <c r="R4" s="11">
        <f>INDEX(Calcs!$E$4:$E$51,MATCH(About!$B$2,Calcs!$A$4:$A$51,0))</f>
        <v>0.6331</v>
      </c>
      <c r="S4" s="11">
        <f>INDEX(Calcs!$E$4:$E$51,MATCH(About!$B$2,Calcs!$A$4:$A$51,0))</f>
        <v>0.6331</v>
      </c>
      <c r="T4" s="11">
        <f>INDEX(Calcs!$E$4:$E$51,MATCH(About!$B$2,Calcs!$A$4:$A$51,0))</f>
        <v>0.6331</v>
      </c>
      <c r="U4" s="11">
        <f>INDEX(Calcs!$E$4:$E$51,MATCH(About!$B$2,Calcs!$A$4:$A$51,0))</f>
        <v>0.6331</v>
      </c>
      <c r="V4" s="11">
        <f>INDEX(Calcs!$E$4:$E$51,MATCH(About!$B$2,Calcs!$A$4:$A$51,0))</f>
        <v>0.6331</v>
      </c>
      <c r="W4" s="11">
        <f>INDEX(Calcs!$E$4:$E$51,MATCH(About!$B$2,Calcs!$A$4:$A$51,0))</f>
        <v>0.6331</v>
      </c>
      <c r="X4" s="11">
        <f>INDEX(Calcs!$E$4:$E$51,MATCH(About!$B$2,Calcs!$A$4:$A$51,0))</f>
        <v>0.6331</v>
      </c>
      <c r="Y4" s="11">
        <f>INDEX(Calcs!$E$4:$E$51,MATCH(About!$B$2,Calcs!$A$4:$A$51,0))</f>
        <v>0.6331</v>
      </c>
    </row>
    <row r="5" spans="1:25" x14ac:dyDescent="0.45">
      <c r="A5" t="s">
        <v>427</v>
      </c>
      <c r="B5" s="11">
        <f>INDEX(Calcs!$E$4:$E$51,MATCH(About!$B$2,Calcs!$A$4:$A$51,0))</f>
        <v>0.6331</v>
      </c>
      <c r="C5" s="11">
        <f>INDEX(Calcs!$E$4:$E$51,MATCH(About!$B$2,Calcs!$A$4:$A$51,0))</f>
        <v>0.6331</v>
      </c>
      <c r="D5" s="11">
        <f>INDEX(Calcs!$E$4:$E$51,MATCH(About!$B$2,Calcs!$A$4:$A$51,0))</f>
        <v>0.6331</v>
      </c>
      <c r="E5" s="11">
        <f>INDEX(Calcs!$E$4:$E$51,MATCH(About!$B$2,Calcs!$A$4:$A$51,0))</f>
        <v>0.6331</v>
      </c>
      <c r="F5" s="11">
        <f>INDEX(Calcs!$E$4:$E$51,MATCH(About!$B$2,Calcs!$A$4:$A$51,0))</f>
        <v>0.6331</v>
      </c>
      <c r="G5" s="11">
        <f>INDEX(Calcs!$E$4:$E$51,MATCH(About!$B$2,Calcs!$A$4:$A$51,0))</f>
        <v>0.6331</v>
      </c>
      <c r="H5" s="11">
        <f>INDEX(Calcs!$E$4:$E$51,MATCH(About!$B$2,Calcs!$A$4:$A$51,0))</f>
        <v>0.6331</v>
      </c>
      <c r="I5" s="11">
        <f>INDEX(Calcs!$E$4:$E$51,MATCH(About!$B$2,Calcs!$A$4:$A$51,0))</f>
        <v>0.6331</v>
      </c>
      <c r="J5" s="11">
        <f>INDEX(Calcs!$E$4:$E$51,MATCH(About!$B$2,Calcs!$A$4:$A$51,0))</f>
        <v>0.6331</v>
      </c>
      <c r="K5" s="11">
        <f>INDEX(Calcs!$E$4:$E$51,MATCH(About!$B$2,Calcs!$A$4:$A$51,0))</f>
        <v>0.6331</v>
      </c>
      <c r="L5" s="11">
        <f>INDEX(Calcs!$E$4:$E$51,MATCH(About!$B$2,Calcs!$A$4:$A$51,0))</f>
        <v>0.6331</v>
      </c>
      <c r="M5" s="11">
        <f>INDEX(Calcs!$E$4:$E$51,MATCH(About!$B$2,Calcs!$A$4:$A$51,0))</f>
        <v>0.6331</v>
      </c>
      <c r="N5" s="11">
        <f>INDEX(Calcs!$E$4:$E$51,MATCH(About!$B$2,Calcs!$A$4:$A$51,0))</f>
        <v>0.6331</v>
      </c>
      <c r="O5" s="11">
        <f>INDEX(Calcs!$E$4:$E$51,MATCH(About!$B$2,Calcs!$A$4:$A$51,0))</f>
        <v>0.6331</v>
      </c>
      <c r="P5" s="11">
        <f>INDEX(Calcs!$E$4:$E$51,MATCH(About!$B$2,Calcs!$A$4:$A$51,0))</f>
        <v>0.6331</v>
      </c>
      <c r="Q5" s="11">
        <f>INDEX(Calcs!$E$4:$E$51,MATCH(About!$B$2,Calcs!$A$4:$A$51,0))</f>
        <v>0.6331</v>
      </c>
      <c r="R5" s="11">
        <f>INDEX(Calcs!$E$4:$E$51,MATCH(About!$B$2,Calcs!$A$4:$A$51,0))</f>
        <v>0.6331</v>
      </c>
      <c r="S5" s="11">
        <f>INDEX(Calcs!$E$4:$E$51,MATCH(About!$B$2,Calcs!$A$4:$A$51,0))</f>
        <v>0.6331</v>
      </c>
      <c r="T5" s="11">
        <f>INDEX(Calcs!$E$4:$E$51,MATCH(About!$B$2,Calcs!$A$4:$A$51,0))</f>
        <v>0.6331</v>
      </c>
      <c r="U5" s="11">
        <f>INDEX(Calcs!$E$4:$E$51,MATCH(About!$B$2,Calcs!$A$4:$A$51,0))</f>
        <v>0.6331</v>
      </c>
      <c r="V5" s="11">
        <f>INDEX(Calcs!$E$4:$E$51,MATCH(About!$B$2,Calcs!$A$4:$A$51,0))</f>
        <v>0.6331</v>
      </c>
      <c r="W5" s="11">
        <f>INDEX(Calcs!$E$4:$E$51,MATCH(About!$B$2,Calcs!$A$4:$A$51,0))</f>
        <v>0.6331</v>
      </c>
      <c r="X5" s="11">
        <f>INDEX(Calcs!$E$4:$E$51,MATCH(About!$B$2,Calcs!$A$4:$A$51,0))</f>
        <v>0.6331</v>
      </c>
      <c r="Y5" s="11">
        <f>INDEX(Calcs!$E$4:$E$51,MATCH(About!$B$2,Calcs!$A$4:$A$51,0))</f>
        <v>0.6331</v>
      </c>
    </row>
    <row r="6" spans="1:25" x14ac:dyDescent="0.45">
      <c r="A6" t="s">
        <v>428</v>
      </c>
      <c r="B6" s="11">
        <f>INDEX(Calcs!$E$4:$E$51,MATCH(About!$B$2,Calcs!$A$4:$A$51,0))</f>
        <v>0.6331</v>
      </c>
      <c r="C6" s="11">
        <f>INDEX(Calcs!$E$4:$E$51,MATCH(About!$B$2,Calcs!$A$4:$A$51,0))</f>
        <v>0.6331</v>
      </c>
      <c r="D6" s="11">
        <f>INDEX(Calcs!$E$4:$E$51,MATCH(About!$B$2,Calcs!$A$4:$A$51,0))</f>
        <v>0.6331</v>
      </c>
      <c r="E6" s="11">
        <f>INDEX(Calcs!$E$4:$E$51,MATCH(About!$B$2,Calcs!$A$4:$A$51,0))</f>
        <v>0.6331</v>
      </c>
      <c r="F6" s="11">
        <f>INDEX(Calcs!$E$4:$E$51,MATCH(About!$B$2,Calcs!$A$4:$A$51,0))</f>
        <v>0.6331</v>
      </c>
      <c r="G6" s="11">
        <f>INDEX(Calcs!$E$4:$E$51,MATCH(About!$B$2,Calcs!$A$4:$A$51,0))</f>
        <v>0.6331</v>
      </c>
      <c r="H6" s="11">
        <f>INDEX(Calcs!$E$4:$E$51,MATCH(About!$B$2,Calcs!$A$4:$A$51,0))</f>
        <v>0.6331</v>
      </c>
      <c r="I6" s="11">
        <f>INDEX(Calcs!$E$4:$E$51,MATCH(About!$B$2,Calcs!$A$4:$A$51,0))</f>
        <v>0.6331</v>
      </c>
      <c r="J6" s="11">
        <f>INDEX(Calcs!$E$4:$E$51,MATCH(About!$B$2,Calcs!$A$4:$A$51,0))</f>
        <v>0.6331</v>
      </c>
      <c r="K6" s="11">
        <f>INDEX(Calcs!$E$4:$E$51,MATCH(About!$B$2,Calcs!$A$4:$A$51,0))</f>
        <v>0.6331</v>
      </c>
      <c r="L6" s="11">
        <f>INDEX(Calcs!$E$4:$E$51,MATCH(About!$B$2,Calcs!$A$4:$A$51,0))</f>
        <v>0.6331</v>
      </c>
      <c r="M6" s="11">
        <f>INDEX(Calcs!$E$4:$E$51,MATCH(About!$B$2,Calcs!$A$4:$A$51,0))</f>
        <v>0.6331</v>
      </c>
      <c r="N6" s="11">
        <f>INDEX(Calcs!$E$4:$E$51,MATCH(About!$B$2,Calcs!$A$4:$A$51,0))</f>
        <v>0.6331</v>
      </c>
      <c r="O6" s="11">
        <f>INDEX(Calcs!$E$4:$E$51,MATCH(About!$B$2,Calcs!$A$4:$A$51,0))</f>
        <v>0.6331</v>
      </c>
      <c r="P6" s="11">
        <f>INDEX(Calcs!$E$4:$E$51,MATCH(About!$B$2,Calcs!$A$4:$A$51,0))</f>
        <v>0.6331</v>
      </c>
      <c r="Q6" s="11">
        <f>INDEX(Calcs!$E$4:$E$51,MATCH(About!$B$2,Calcs!$A$4:$A$51,0))</f>
        <v>0.6331</v>
      </c>
      <c r="R6" s="11">
        <f>INDEX(Calcs!$E$4:$E$51,MATCH(About!$B$2,Calcs!$A$4:$A$51,0))</f>
        <v>0.6331</v>
      </c>
      <c r="S6" s="11">
        <f>INDEX(Calcs!$E$4:$E$51,MATCH(About!$B$2,Calcs!$A$4:$A$51,0))</f>
        <v>0.6331</v>
      </c>
      <c r="T6" s="11">
        <f>INDEX(Calcs!$E$4:$E$51,MATCH(About!$B$2,Calcs!$A$4:$A$51,0))</f>
        <v>0.6331</v>
      </c>
      <c r="U6" s="11">
        <f>INDEX(Calcs!$E$4:$E$51,MATCH(About!$B$2,Calcs!$A$4:$A$51,0))</f>
        <v>0.6331</v>
      </c>
      <c r="V6" s="11">
        <f>INDEX(Calcs!$E$4:$E$51,MATCH(About!$B$2,Calcs!$A$4:$A$51,0))</f>
        <v>0.6331</v>
      </c>
      <c r="W6" s="11">
        <f>INDEX(Calcs!$E$4:$E$51,MATCH(About!$B$2,Calcs!$A$4:$A$51,0))</f>
        <v>0.6331</v>
      </c>
      <c r="X6" s="11">
        <f>INDEX(Calcs!$E$4:$E$51,MATCH(About!$B$2,Calcs!$A$4:$A$51,0))</f>
        <v>0.6331</v>
      </c>
      <c r="Y6" s="11">
        <f>INDEX(Calcs!$E$4:$E$51,MATCH(About!$B$2,Calcs!$A$4:$A$51,0))</f>
        <v>0.6331</v>
      </c>
    </row>
    <row r="7" spans="1:25" x14ac:dyDescent="0.45">
      <c r="A7" t="s">
        <v>429</v>
      </c>
      <c r="B7" s="11">
        <f>INDEX(Calcs!$E$4:$E$51,MATCH(About!$B$2,Calcs!$A$4:$A$51,0))</f>
        <v>0.6331</v>
      </c>
      <c r="C7" s="11">
        <f>INDEX(Calcs!$E$4:$E$51,MATCH(About!$B$2,Calcs!$A$4:$A$51,0))</f>
        <v>0.6331</v>
      </c>
      <c r="D7" s="11">
        <f>INDEX(Calcs!$E$4:$E$51,MATCH(About!$B$2,Calcs!$A$4:$A$51,0))</f>
        <v>0.6331</v>
      </c>
      <c r="E7" s="11">
        <f>INDEX(Calcs!$E$4:$E$51,MATCH(About!$B$2,Calcs!$A$4:$A$51,0))</f>
        <v>0.6331</v>
      </c>
      <c r="F7" s="11">
        <f>INDEX(Calcs!$E$4:$E$51,MATCH(About!$B$2,Calcs!$A$4:$A$51,0))</f>
        <v>0.6331</v>
      </c>
      <c r="G7" s="11">
        <f>INDEX(Calcs!$E$4:$E$51,MATCH(About!$B$2,Calcs!$A$4:$A$51,0))</f>
        <v>0.6331</v>
      </c>
      <c r="H7" s="11">
        <f>INDEX(Calcs!$E$4:$E$51,MATCH(About!$B$2,Calcs!$A$4:$A$51,0))</f>
        <v>0.6331</v>
      </c>
      <c r="I7" s="11">
        <f>INDEX(Calcs!$E$4:$E$51,MATCH(About!$B$2,Calcs!$A$4:$A$51,0))</f>
        <v>0.6331</v>
      </c>
      <c r="J7" s="11">
        <f>INDEX(Calcs!$E$4:$E$51,MATCH(About!$B$2,Calcs!$A$4:$A$51,0))</f>
        <v>0.6331</v>
      </c>
      <c r="K7" s="11">
        <f>INDEX(Calcs!$E$4:$E$51,MATCH(About!$B$2,Calcs!$A$4:$A$51,0))</f>
        <v>0.6331</v>
      </c>
      <c r="L7" s="11">
        <f>INDEX(Calcs!$E$4:$E$51,MATCH(About!$B$2,Calcs!$A$4:$A$51,0))</f>
        <v>0.6331</v>
      </c>
      <c r="M7" s="11">
        <f>INDEX(Calcs!$E$4:$E$51,MATCH(About!$B$2,Calcs!$A$4:$A$51,0))</f>
        <v>0.6331</v>
      </c>
      <c r="N7" s="11">
        <f>INDEX(Calcs!$E$4:$E$51,MATCH(About!$B$2,Calcs!$A$4:$A$51,0))</f>
        <v>0.6331</v>
      </c>
      <c r="O7" s="11">
        <f>INDEX(Calcs!$E$4:$E$51,MATCH(About!$B$2,Calcs!$A$4:$A$51,0))</f>
        <v>0.6331</v>
      </c>
      <c r="P7" s="11">
        <f>INDEX(Calcs!$E$4:$E$51,MATCH(About!$B$2,Calcs!$A$4:$A$51,0))</f>
        <v>0.6331</v>
      </c>
      <c r="Q7" s="11">
        <f>INDEX(Calcs!$E$4:$E$51,MATCH(About!$B$2,Calcs!$A$4:$A$51,0))</f>
        <v>0.6331</v>
      </c>
      <c r="R7" s="11">
        <f>INDEX(Calcs!$E$4:$E$51,MATCH(About!$B$2,Calcs!$A$4:$A$51,0))</f>
        <v>0.6331</v>
      </c>
      <c r="S7" s="11">
        <f>INDEX(Calcs!$E$4:$E$51,MATCH(About!$B$2,Calcs!$A$4:$A$51,0))</f>
        <v>0.6331</v>
      </c>
      <c r="T7" s="11">
        <f>INDEX(Calcs!$E$4:$E$51,MATCH(About!$B$2,Calcs!$A$4:$A$51,0))</f>
        <v>0.6331</v>
      </c>
      <c r="U7" s="11">
        <f>INDEX(Calcs!$E$4:$E$51,MATCH(About!$B$2,Calcs!$A$4:$A$51,0))</f>
        <v>0.6331</v>
      </c>
      <c r="V7" s="11">
        <f>INDEX(Calcs!$E$4:$E$51,MATCH(About!$B$2,Calcs!$A$4:$A$51,0))</f>
        <v>0.6331</v>
      </c>
      <c r="W7" s="11">
        <f>INDEX(Calcs!$E$4:$E$51,MATCH(About!$B$2,Calcs!$A$4:$A$51,0))</f>
        <v>0.6331</v>
      </c>
      <c r="X7" s="11">
        <f>INDEX(Calcs!$E$4:$E$51,MATCH(About!$B$2,Calcs!$A$4:$A$51,0))</f>
        <v>0.6331</v>
      </c>
      <c r="Y7" s="11">
        <f>INDEX(Calcs!$E$4:$E$51,MATCH(About!$B$2,Calcs!$A$4:$A$51,0))</f>
        <v>0.6331</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1F3864"/>
  </sheetPr>
  <dimension ref="A1:Y7"/>
  <sheetViews>
    <sheetView workbookViewId="0"/>
  </sheetViews>
  <sheetFormatPr defaultRowHeight="14.25" x14ac:dyDescent="0.45"/>
  <sheetData>
    <row r="1" spans="1:25" x14ac:dyDescent="0.45">
      <c r="A1" t="s">
        <v>435</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INDEX(Src_VRE!$F$5:$F$1156,MATCH(About!$B$2&amp;"|"&amp;$A$1&amp;"|"&amp;$A2,Src_VRE!$E$5:$E$1156,0))</f>
        <v>1</v>
      </c>
      <c r="C2" s="11">
        <f>INDEX(Src_VRE!$G$5:$G$1156,MATCH(About!$B$2&amp;"|"&amp;$A$1&amp;"|"&amp;$A2,Src_VRE!$E$5:$E$1156,0))</f>
        <v>1</v>
      </c>
      <c r="D2" s="11">
        <f>INDEX(Src_VRE!$H$5:$H$1156,MATCH(About!$B$2&amp;"|"&amp;$A$1&amp;"|"&amp;$A2,Src_VRE!$E$5:$E$1156,0))</f>
        <v>1</v>
      </c>
      <c r="E2" s="11">
        <f>INDEX(Src_VRE!$I$5:$I$1156,MATCH(About!$B$2&amp;"|"&amp;$A$1&amp;"|"&amp;$A2,Src_VRE!$E$5:$E$1156,0))</f>
        <v>1</v>
      </c>
      <c r="F2" s="11">
        <f>INDEX(Src_VRE!$J$5:$J$1156,MATCH(About!$B$2&amp;"|"&amp;$A$1&amp;"|"&amp;$A2,Src_VRE!$E$5:$E$1156,0))</f>
        <v>1</v>
      </c>
      <c r="G2" s="11">
        <f>INDEX(Src_VRE!$K$5:$K$1156,MATCH(About!$B$2&amp;"|"&amp;$A$1&amp;"|"&amp;$A2,Src_VRE!$E$5:$E$1156,0))</f>
        <v>1</v>
      </c>
      <c r="H2" s="11">
        <f>INDEX(Src_VRE!$L$5:$L$1156,MATCH(About!$B$2&amp;"|"&amp;$A$1&amp;"|"&amp;$A2,Src_VRE!$E$5:$E$1156,0))</f>
        <v>1</v>
      </c>
      <c r="I2" s="11">
        <f>INDEX(Src_VRE!$M$5:$M$1156,MATCH(About!$B$2&amp;"|"&amp;$A$1&amp;"|"&amp;$A2,Src_VRE!$E$5:$E$1156,0))</f>
        <v>1</v>
      </c>
      <c r="J2" s="11">
        <f>INDEX(Src_VRE!$N$5:$N$1156,MATCH(About!$B$2&amp;"|"&amp;$A$1&amp;"|"&amp;$A2,Src_VRE!$E$5:$E$1156,0))</f>
        <v>1</v>
      </c>
      <c r="K2" s="11">
        <f>INDEX(Src_VRE!$O$5:$O$1156,MATCH(About!$B$2&amp;"|"&amp;$A$1&amp;"|"&amp;$A2,Src_VRE!$E$5:$E$1156,0))</f>
        <v>1</v>
      </c>
      <c r="L2" s="11">
        <f>INDEX(Src_VRE!$P$5:$P$1156,MATCH(About!$B$2&amp;"|"&amp;$A$1&amp;"|"&amp;$A2,Src_VRE!$E$5:$E$1156,0))</f>
        <v>1</v>
      </c>
      <c r="M2" s="11">
        <f>INDEX(Src_VRE!$Q$5:$Q$1156,MATCH(About!$B$2&amp;"|"&amp;$A$1&amp;"|"&amp;$A2,Src_VRE!$E$5:$E$1156,0))</f>
        <v>1</v>
      </c>
      <c r="N2" s="11">
        <f>INDEX(Src_VRE!$R$5:$R$1156,MATCH(About!$B$2&amp;"|"&amp;$A$1&amp;"|"&amp;$A2,Src_VRE!$E$5:$E$1156,0))</f>
        <v>1</v>
      </c>
      <c r="O2" s="11">
        <f>INDEX(Src_VRE!$S$5:$S$1156,MATCH(About!$B$2&amp;"|"&amp;$A$1&amp;"|"&amp;$A2,Src_VRE!$E$5:$E$1156,0))</f>
        <v>1</v>
      </c>
      <c r="P2" s="11">
        <f>INDEX(Src_VRE!$T$5:$T$1156,MATCH(About!$B$2&amp;"|"&amp;$A$1&amp;"|"&amp;$A2,Src_VRE!$E$5:$E$1156,0))</f>
        <v>1</v>
      </c>
      <c r="Q2" s="11">
        <f>INDEX(Src_VRE!$U$5:$U$1156,MATCH(About!$B$2&amp;"|"&amp;$A$1&amp;"|"&amp;$A2,Src_VRE!$E$5:$E$1156,0))</f>
        <v>1</v>
      </c>
      <c r="R2" s="11">
        <f>INDEX(Src_VRE!$V$5:$V$1156,MATCH(About!$B$2&amp;"|"&amp;$A$1&amp;"|"&amp;$A2,Src_VRE!$E$5:$E$1156,0))</f>
        <v>1</v>
      </c>
      <c r="S2" s="11">
        <f>INDEX(Src_VRE!$W$5:$W$1156,MATCH(About!$B$2&amp;"|"&amp;$A$1&amp;"|"&amp;$A2,Src_VRE!$E$5:$E$1156,0))</f>
        <v>1</v>
      </c>
      <c r="T2" s="11">
        <f>INDEX(Src_VRE!$X$5:$X$1156,MATCH(About!$B$2&amp;"|"&amp;$A$1&amp;"|"&amp;$A2,Src_VRE!$E$5:$E$1156,0))</f>
        <v>1</v>
      </c>
      <c r="U2" s="11">
        <f>INDEX(Src_VRE!$Y$5:$Y$1156,MATCH(About!$B$2&amp;"|"&amp;$A$1&amp;"|"&amp;$A2,Src_VRE!$E$5:$E$1156,0))</f>
        <v>1</v>
      </c>
      <c r="V2" s="11">
        <f>INDEX(Src_VRE!$Z$5:$Z$1156,MATCH(About!$B$2&amp;"|"&amp;$A$1&amp;"|"&amp;$A2,Src_VRE!$E$5:$E$1156,0))</f>
        <v>1</v>
      </c>
      <c r="W2" s="11">
        <f>INDEX(Src_VRE!$AA$5:$AA$1156,MATCH(About!$B$2&amp;"|"&amp;$A$1&amp;"|"&amp;$A2,Src_VRE!$E$5:$E$1156,0))</f>
        <v>1</v>
      </c>
      <c r="X2" s="11">
        <f>INDEX(Src_VRE!$AB$5:$AB$1156,MATCH(About!$B$2&amp;"|"&amp;$A$1&amp;"|"&amp;$A2,Src_VRE!$E$5:$E$1156,0))</f>
        <v>1</v>
      </c>
      <c r="Y2" s="11">
        <f>INDEX(Src_VRE!$AC$5:$AC$1156,MATCH(About!$B$2&amp;"|"&amp;$A$1&amp;"|"&amp;$A2,Src_VRE!$E$5:$E$1156,0))</f>
        <v>1</v>
      </c>
    </row>
    <row r="3" spans="1:25" x14ac:dyDescent="0.45">
      <c r="A3" t="s">
        <v>425</v>
      </c>
      <c r="B3" s="11">
        <f>INDEX(Src_VRE!$F$5:$F$1156,MATCH(About!$B$2&amp;"|"&amp;$A$1&amp;"|"&amp;$A3,Src_VRE!$E$5:$E$1156,0))</f>
        <v>1</v>
      </c>
      <c r="C3" s="11">
        <f>INDEX(Src_VRE!$G$5:$G$1156,MATCH(About!$B$2&amp;"|"&amp;$A$1&amp;"|"&amp;$A3,Src_VRE!$E$5:$E$1156,0))</f>
        <v>1</v>
      </c>
      <c r="D3" s="11">
        <f>INDEX(Src_VRE!$H$5:$H$1156,MATCH(About!$B$2&amp;"|"&amp;$A$1&amp;"|"&amp;$A3,Src_VRE!$E$5:$E$1156,0))</f>
        <v>1</v>
      </c>
      <c r="E3" s="11">
        <f>INDEX(Src_VRE!$I$5:$I$1156,MATCH(About!$B$2&amp;"|"&amp;$A$1&amp;"|"&amp;$A3,Src_VRE!$E$5:$E$1156,0))</f>
        <v>1</v>
      </c>
      <c r="F3" s="11">
        <f>INDEX(Src_VRE!$J$5:$J$1156,MATCH(About!$B$2&amp;"|"&amp;$A$1&amp;"|"&amp;$A3,Src_VRE!$E$5:$E$1156,0))</f>
        <v>1</v>
      </c>
      <c r="G3" s="11">
        <f>INDEX(Src_VRE!$K$5:$K$1156,MATCH(About!$B$2&amp;"|"&amp;$A$1&amp;"|"&amp;$A3,Src_VRE!$E$5:$E$1156,0))</f>
        <v>1</v>
      </c>
      <c r="H3" s="11">
        <f>INDEX(Src_VRE!$L$5:$L$1156,MATCH(About!$B$2&amp;"|"&amp;$A$1&amp;"|"&amp;$A3,Src_VRE!$E$5:$E$1156,0))</f>
        <v>1</v>
      </c>
      <c r="I3" s="11">
        <f>INDEX(Src_VRE!$M$5:$M$1156,MATCH(About!$B$2&amp;"|"&amp;$A$1&amp;"|"&amp;$A3,Src_VRE!$E$5:$E$1156,0))</f>
        <v>1</v>
      </c>
      <c r="J3" s="11">
        <f>INDEX(Src_VRE!$N$5:$N$1156,MATCH(About!$B$2&amp;"|"&amp;$A$1&amp;"|"&amp;$A3,Src_VRE!$E$5:$E$1156,0))</f>
        <v>1</v>
      </c>
      <c r="K3" s="11">
        <f>INDEX(Src_VRE!$O$5:$O$1156,MATCH(About!$B$2&amp;"|"&amp;$A$1&amp;"|"&amp;$A3,Src_VRE!$E$5:$E$1156,0))</f>
        <v>1</v>
      </c>
      <c r="L3" s="11">
        <f>INDEX(Src_VRE!$P$5:$P$1156,MATCH(About!$B$2&amp;"|"&amp;$A$1&amp;"|"&amp;$A3,Src_VRE!$E$5:$E$1156,0))</f>
        <v>1</v>
      </c>
      <c r="M3" s="11">
        <f>INDEX(Src_VRE!$Q$5:$Q$1156,MATCH(About!$B$2&amp;"|"&amp;$A$1&amp;"|"&amp;$A3,Src_VRE!$E$5:$E$1156,0))</f>
        <v>1</v>
      </c>
      <c r="N3" s="11">
        <f>INDEX(Src_VRE!$R$5:$R$1156,MATCH(About!$B$2&amp;"|"&amp;$A$1&amp;"|"&amp;$A3,Src_VRE!$E$5:$E$1156,0))</f>
        <v>1</v>
      </c>
      <c r="O3" s="11">
        <f>INDEX(Src_VRE!$S$5:$S$1156,MATCH(About!$B$2&amp;"|"&amp;$A$1&amp;"|"&amp;$A3,Src_VRE!$E$5:$E$1156,0))</f>
        <v>1</v>
      </c>
      <c r="P3" s="11">
        <f>INDEX(Src_VRE!$T$5:$T$1156,MATCH(About!$B$2&amp;"|"&amp;$A$1&amp;"|"&amp;$A3,Src_VRE!$E$5:$E$1156,0))</f>
        <v>1</v>
      </c>
      <c r="Q3" s="11">
        <f>INDEX(Src_VRE!$U$5:$U$1156,MATCH(About!$B$2&amp;"|"&amp;$A$1&amp;"|"&amp;$A3,Src_VRE!$E$5:$E$1156,0))</f>
        <v>1</v>
      </c>
      <c r="R3" s="11">
        <f>INDEX(Src_VRE!$V$5:$V$1156,MATCH(About!$B$2&amp;"|"&amp;$A$1&amp;"|"&amp;$A3,Src_VRE!$E$5:$E$1156,0))</f>
        <v>1</v>
      </c>
      <c r="S3" s="11">
        <f>INDEX(Src_VRE!$W$5:$W$1156,MATCH(About!$B$2&amp;"|"&amp;$A$1&amp;"|"&amp;$A3,Src_VRE!$E$5:$E$1156,0))</f>
        <v>1</v>
      </c>
      <c r="T3" s="11">
        <f>INDEX(Src_VRE!$X$5:$X$1156,MATCH(About!$B$2&amp;"|"&amp;$A$1&amp;"|"&amp;$A3,Src_VRE!$E$5:$E$1156,0))</f>
        <v>1</v>
      </c>
      <c r="U3" s="11">
        <f>INDEX(Src_VRE!$Y$5:$Y$1156,MATCH(About!$B$2&amp;"|"&amp;$A$1&amp;"|"&amp;$A3,Src_VRE!$E$5:$E$1156,0))</f>
        <v>1</v>
      </c>
      <c r="V3" s="11">
        <f>INDEX(Src_VRE!$Z$5:$Z$1156,MATCH(About!$B$2&amp;"|"&amp;$A$1&amp;"|"&amp;$A3,Src_VRE!$E$5:$E$1156,0))</f>
        <v>1</v>
      </c>
      <c r="W3" s="11">
        <f>INDEX(Src_VRE!$AA$5:$AA$1156,MATCH(About!$B$2&amp;"|"&amp;$A$1&amp;"|"&amp;$A3,Src_VRE!$E$5:$E$1156,0))</f>
        <v>1</v>
      </c>
      <c r="X3" s="11">
        <f>INDEX(Src_VRE!$AB$5:$AB$1156,MATCH(About!$B$2&amp;"|"&amp;$A$1&amp;"|"&amp;$A3,Src_VRE!$E$5:$E$1156,0))</f>
        <v>1</v>
      </c>
      <c r="Y3" s="11">
        <f>INDEX(Src_VRE!$AC$5:$AC$1156,MATCH(About!$B$2&amp;"|"&amp;$A$1&amp;"|"&amp;$A3,Src_VRE!$E$5:$E$1156,0))</f>
        <v>1</v>
      </c>
    </row>
    <row r="4" spans="1:25" x14ac:dyDescent="0.45">
      <c r="A4" t="s">
        <v>426</v>
      </c>
      <c r="B4" s="11">
        <f>INDEX(Src_VRE!$F$5:$F$1156,MATCH(About!$B$2&amp;"|"&amp;$A$1&amp;"|"&amp;$A4,Src_VRE!$E$5:$E$1156,0))</f>
        <v>1</v>
      </c>
      <c r="C4" s="11">
        <f>INDEX(Src_VRE!$G$5:$G$1156,MATCH(About!$B$2&amp;"|"&amp;$A$1&amp;"|"&amp;$A4,Src_VRE!$E$5:$E$1156,0))</f>
        <v>1</v>
      </c>
      <c r="D4" s="11">
        <f>INDEX(Src_VRE!$H$5:$H$1156,MATCH(About!$B$2&amp;"|"&amp;$A$1&amp;"|"&amp;$A4,Src_VRE!$E$5:$E$1156,0))</f>
        <v>1</v>
      </c>
      <c r="E4" s="11">
        <f>INDEX(Src_VRE!$I$5:$I$1156,MATCH(About!$B$2&amp;"|"&amp;$A$1&amp;"|"&amp;$A4,Src_VRE!$E$5:$E$1156,0))</f>
        <v>1</v>
      </c>
      <c r="F4" s="11">
        <f>INDEX(Src_VRE!$J$5:$J$1156,MATCH(About!$B$2&amp;"|"&amp;$A$1&amp;"|"&amp;$A4,Src_VRE!$E$5:$E$1156,0))</f>
        <v>1</v>
      </c>
      <c r="G4" s="11">
        <f>INDEX(Src_VRE!$K$5:$K$1156,MATCH(About!$B$2&amp;"|"&amp;$A$1&amp;"|"&amp;$A4,Src_VRE!$E$5:$E$1156,0))</f>
        <v>1</v>
      </c>
      <c r="H4" s="11">
        <f>INDEX(Src_VRE!$L$5:$L$1156,MATCH(About!$B$2&amp;"|"&amp;$A$1&amp;"|"&amp;$A4,Src_VRE!$E$5:$E$1156,0))</f>
        <v>1</v>
      </c>
      <c r="I4" s="11">
        <f>INDEX(Src_VRE!$M$5:$M$1156,MATCH(About!$B$2&amp;"|"&amp;$A$1&amp;"|"&amp;$A4,Src_VRE!$E$5:$E$1156,0))</f>
        <v>1</v>
      </c>
      <c r="J4" s="11">
        <f>INDEX(Src_VRE!$N$5:$N$1156,MATCH(About!$B$2&amp;"|"&amp;$A$1&amp;"|"&amp;$A4,Src_VRE!$E$5:$E$1156,0))</f>
        <v>1</v>
      </c>
      <c r="K4" s="11">
        <f>INDEX(Src_VRE!$O$5:$O$1156,MATCH(About!$B$2&amp;"|"&amp;$A$1&amp;"|"&amp;$A4,Src_VRE!$E$5:$E$1156,0))</f>
        <v>1</v>
      </c>
      <c r="L4" s="11">
        <f>INDEX(Src_VRE!$P$5:$P$1156,MATCH(About!$B$2&amp;"|"&amp;$A$1&amp;"|"&amp;$A4,Src_VRE!$E$5:$E$1156,0))</f>
        <v>1</v>
      </c>
      <c r="M4" s="11">
        <f>INDEX(Src_VRE!$Q$5:$Q$1156,MATCH(About!$B$2&amp;"|"&amp;$A$1&amp;"|"&amp;$A4,Src_VRE!$E$5:$E$1156,0))</f>
        <v>1</v>
      </c>
      <c r="N4" s="11">
        <f>INDEX(Src_VRE!$R$5:$R$1156,MATCH(About!$B$2&amp;"|"&amp;$A$1&amp;"|"&amp;$A4,Src_VRE!$E$5:$E$1156,0))</f>
        <v>1</v>
      </c>
      <c r="O4" s="11">
        <f>INDEX(Src_VRE!$S$5:$S$1156,MATCH(About!$B$2&amp;"|"&amp;$A$1&amp;"|"&amp;$A4,Src_VRE!$E$5:$E$1156,0))</f>
        <v>1</v>
      </c>
      <c r="P4" s="11">
        <f>INDEX(Src_VRE!$T$5:$T$1156,MATCH(About!$B$2&amp;"|"&amp;$A$1&amp;"|"&amp;$A4,Src_VRE!$E$5:$E$1156,0))</f>
        <v>1</v>
      </c>
      <c r="Q4" s="11">
        <f>INDEX(Src_VRE!$U$5:$U$1156,MATCH(About!$B$2&amp;"|"&amp;$A$1&amp;"|"&amp;$A4,Src_VRE!$E$5:$E$1156,0))</f>
        <v>1</v>
      </c>
      <c r="R4" s="11">
        <f>INDEX(Src_VRE!$V$5:$V$1156,MATCH(About!$B$2&amp;"|"&amp;$A$1&amp;"|"&amp;$A4,Src_VRE!$E$5:$E$1156,0))</f>
        <v>1</v>
      </c>
      <c r="S4" s="11">
        <f>INDEX(Src_VRE!$W$5:$W$1156,MATCH(About!$B$2&amp;"|"&amp;$A$1&amp;"|"&amp;$A4,Src_VRE!$E$5:$E$1156,0))</f>
        <v>1</v>
      </c>
      <c r="T4" s="11">
        <f>INDEX(Src_VRE!$X$5:$X$1156,MATCH(About!$B$2&amp;"|"&amp;$A$1&amp;"|"&amp;$A4,Src_VRE!$E$5:$E$1156,0))</f>
        <v>1</v>
      </c>
      <c r="U4" s="11">
        <f>INDEX(Src_VRE!$Y$5:$Y$1156,MATCH(About!$B$2&amp;"|"&amp;$A$1&amp;"|"&amp;$A4,Src_VRE!$E$5:$E$1156,0))</f>
        <v>1</v>
      </c>
      <c r="V4" s="11">
        <f>INDEX(Src_VRE!$Z$5:$Z$1156,MATCH(About!$B$2&amp;"|"&amp;$A$1&amp;"|"&amp;$A4,Src_VRE!$E$5:$E$1156,0))</f>
        <v>1</v>
      </c>
      <c r="W4" s="11">
        <f>INDEX(Src_VRE!$AA$5:$AA$1156,MATCH(About!$B$2&amp;"|"&amp;$A$1&amp;"|"&amp;$A4,Src_VRE!$E$5:$E$1156,0))</f>
        <v>1</v>
      </c>
      <c r="X4" s="11">
        <f>INDEX(Src_VRE!$AB$5:$AB$1156,MATCH(About!$B$2&amp;"|"&amp;$A$1&amp;"|"&amp;$A4,Src_VRE!$E$5:$E$1156,0))</f>
        <v>1</v>
      </c>
      <c r="Y4" s="11">
        <f>INDEX(Src_VRE!$AC$5:$AC$1156,MATCH(About!$B$2&amp;"|"&amp;$A$1&amp;"|"&amp;$A4,Src_VRE!$E$5:$E$1156,0))</f>
        <v>1</v>
      </c>
    </row>
    <row r="5" spans="1:25" x14ac:dyDescent="0.45">
      <c r="A5" t="s">
        <v>427</v>
      </c>
      <c r="B5" s="11">
        <f>INDEX(Src_VRE!$F$5:$F$1156,MATCH(About!$B$2&amp;"|"&amp;$A$1&amp;"|"&amp;$A5,Src_VRE!$E$5:$E$1156,0))</f>
        <v>1</v>
      </c>
      <c r="C5" s="11">
        <f>INDEX(Src_VRE!$G$5:$G$1156,MATCH(About!$B$2&amp;"|"&amp;$A$1&amp;"|"&amp;$A5,Src_VRE!$E$5:$E$1156,0))</f>
        <v>1</v>
      </c>
      <c r="D5" s="11">
        <f>INDEX(Src_VRE!$H$5:$H$1156,MATCH(About!$B$2&amp;"|"&amp;$A$1&amp;"|"&amp;$A5,Src_VRE!$E$5:$E$1156,0))</f>
        <v>1</v>
      </c>
      <c r="E5" s="11">
        <f>INDEX(Src_VRE!$I$5:$I$1156,MATCH(About!$B$2&amp;"|"&amp;$A$1&amp;"|"&amp;$A5,Src_VRE!$E$5:$E$1156,0))</f>
        <v>1</v>
      </c>
      <c r="F5" s="11">
        <f>INDEX(Src_VRE!$J$5:$J$1156,MATCH(About!$B$2&amp;"|"&amp;$A$1&amp;"|"&amp;$A5,Src_VRE!$E$5:$E$1156,0))</f>
        <v>1</v>
      </c>
      <c r="G5" s="11">
        <f>INDEX(Src_VRE!$K$5:$K$1156,MATCH(About!$B$2&amp;"|"&amp;$A$1&amp;"|"&amp;$A5,Src_VRE!$E$5:$E$1156,0))</f>
        <v>1</v>
      </c>
      <c r="H5" s="11">
        <f>INDEX(Src_VRE!$L$5:$L$1156,MATCH(About!$B$2&amp;"|"&amp;$A$1&amp;"|"&amp;$A5,Src_VRE!$E$5:$E$1156,0))</f>
        <v>1</v>
      </c>
      <c r="I5" s="11">
        <f>INDEX(Src_VRE!$M$5:$M$1156,MATCH(About!$B$2&amp;"|"&amp;$A$1&amp;"|"&amp;$A5,Src_VRE!$E$5:$E$1156,0))</f>
        <v>1</v>
      </c>
      <c r="J5" s="11">
        <f>INDEX(Src_VRE!$N$5:$N$1156,MATCH(About!$B$2&amp;"|"&amp;$A$1&amp;"|"&amp;$A5,Src_VRE!$E$5:$E$1156,0))</f>
        <v>1</v>
      </c>
      <c r="K5" s="11">
        <f>INDEX(Src_VRE!$O$5:$O$1156,MATCH(About!$B$2&amp;"|"&amp;$A$1&amp;"|"&amp;$A5,Src_VRE!$E$5:$E$1156,0))</f>
        <v>1</v>
      </c>
      <c r="L5" s="11">
        <f>INDEX(Src_VRE!$P$5:$P$1156,MATCH(About!$B$2&amp;"|"&amp;$A$1&amp;"|"&amp;$A5,Src_VRE!$E$5:$E$1156,0))</f>
        <v>1</v>
      </c>
      <c r="M5" s="11">
        <f>INDEX(Src_VRE!$Q$5:$Q$1156,MATCH(About!$B$2&amp;"|"&amp;$A$1&amp;"|"&amp;$A5,Src_VRE!$E$5:$E$1156,0))</f>
        <v>1</v>
      </c>
      <c r="N5" s="11">
        <f>INDEX(Src_VRE!$R$5:$R$1156,MATCH(About!$B$2&amp;"|"&amp;$A$1&amp;"|"&amp;$A5,Src_VRE!$E$5:$E$1156,0))</f>
        <v>1</v>
      </c>
      <c r="O5" s="11">
        <f>INDEX(Src_VRE!$S$5:$S$1156,MATCH(About!$B$2&amp;"|"&amp;$A$1&amp;"|"&amp;$A5,Src_VRE!$E$5:$E$1156,0))</f>
        <v>1</v>
      </c>
      <c r="P5" s="11">
        <f>INDEX(Src_VRE!$T$5:$T$1156,MATCH(About!$B$2&amp;"|"&amp;$A$1&amp;"|"&amp;$A5,Src_VRE!$E$5:$E$1156,0))</f>
        <v>1</v>
      </c>
      <c r="Q5" s="11">
        <f>INDEX(Src_VRE!$U$5:$U$1156,MATCH(About!$B$2&amp;"|"&amp;$A$1&amp;"|"&amp;$A5,Src_VRE!$E$5:$E$1156,0))</f>
        <v>1</v>
      </c>
      <c r="R5" s="11">
        <f>INDEX(Src_VRE!$V$5:$V$1156,MATCH(About!$B$2&amp;"|"&amp;$A$1&amp;"|"&amp;$A5,Src_VRE!$E$5:$E$1156,0))</f>
        <v>1</v>
      </c>
      <c r="S5" s="11">
        <f>INDEX(Src_VRE!$W$5:$W$1156,MATCH(About!$B$2&amp;"|"&amp;$A$1&amp;"|"&amp;$A5,Src_VRE!$E$5:$E$1156,0))</f>
        <v>1</v>
      </c>
      <c r="T5" s="11">
        <f>INDEX(Src_VRE!$X$5:$X$1156,MATCH(About!$B$2&amp;"|"&amp;$A$1&amp;"|"&amp;$A5,Src_VRE!$E$5:$E$1156,0))</f>
        <v>1</v>
      </c>
      <c r="U5" s="11">
        <f>INDEX(Src_VRE!$Y$5:$Y$1156,MATCH(About!$B$2&amp;"|"&amp;$A$1&amp;"|"&amp;$A5,Src_VRE!$E$5:$E$1156,0))</f>
        <v>1</v>
      </c>
      <c r="V5" s="11">
        <f>INDEX(Src_VRE!$Z$5:$Z$1156,MATCH(About!$B$2&amp;"|"&amp;$A$1&amp;"|"&amp;$A5,Src_VRE!$E$5:$E$1156,0))</f>
        <v>1</v>
      </c>
      <c r="W5" s="11">
        <f>INDEX(Src_VRE!$AA$5:$AA$1156,MATCH(About!$B$2&amp;"|"&amp;$A$1&amp;"|"&amp;$A5,Src_VRE!$E$5:$E$1156,0))</f>
        <v>1</v>
      </c>
      <c r="X5" s="11">
        <f>INDEX(Src_VRE!$AB$5:$AB$1156,MATCH(About!$B$2&amp;"|"&amp;$A$1&amp;"|"&amp;$A5,Src_VRE!$E$5:$E$1156,0))</f>
        <v>1</v>
      </c>
      <c r="Y5" s="11">
        <f>INDEX(Src_VRE!$AC$5:$AC$1156,MATCH(About!$B$2&amp;"|"&amp;$A$1&amp;"|"&amp;$A5,Src_VRE!$E$5:$E$1156,0))</f>
        <v>1</v>
      </c>
    </row>
    <row r="6" spans="1:25" x14ac:dyDescent="0.45">
      <c r="A6" t="s">
        <v>428</v>
      </c>
      <c r="B6" s="11">
        <f>INDEX(Src_VRE!$F$5:$F$1156,MATCH(About!$B$2&amp;"|"&amp;$A$1&amp;"|"&amp;$A6,Src_VRE!$E$5:$E$1156,0))</f>
        <v>0.27989999999999998</v>
      </c>
      <c r="C6" s="11">
        <f>INDEX(Src_VRE!$G$5:$G$1156,MATCH(About!$B$2&amp;"|"&amp;$A$1&amp;"|"&amp;$A6,Src_VRE!$E$5:$E$1156,0))</f>
        <v>0.30320000000000003</v>
      </c>
      <c r="D6" s="11">
        <f>INDEX(Src_VRE!$H$5:$H$1156,MATCH(About!$B$2&amp;"|"&amp;$A$1&amp;"|"&amp;$A6,Src_VRE!$E$5:$E$1156,0))</f>
        <v>0.2742</v>
      </c>
      <c r="E6" s="11">
        <f>INDEX(Src_VRE!$I$5:$I$1156,MATCH(About!$B$2&amp;"|"&amp;$A$1&amp;"|"&amp;$A6,Src_VRE!$E$5:$E$1156,0))</f>
        <v>0.36370000000000002</v>
      </c>
      <c r="F6" s="11">
        <f>INDEX(Src_VRE!$J$5:$J$1156,MATCH(About!$B$2&amp;"|"&amp;$A$1&amp;"|"&amp;$A6,Src_VRE!$E$5:$E$1156,0))</f>
        <v>0.31059999999999999</v>
      </c>
      <c r="G6" s="11">
        <f>INDEX(Src_VRE!$K$5:$K$1156,MATCH(About!$B$2&amp;"|"&amp;$A$1&amp;"|"&amp;$A6,Src_VRE!$E$5:$E$1156,0))</f>
        <v>0.24349999999999999</v>
      </c>
      <c r="H6" s="11">
        <f>INDEX(Src_VRE!$L$5:$L$1156,MATCH(About!$B$2&amp;"|"&amp;$A$1&amp;"|"&amp;$A6,Src_VRE!$E$5:$E$1156,0))</f>
        <v>0.29720000000000002</v>
      </c>
      <c r="I6" s="11">
        <f>INDEX(Src_VRE!$M$5:$M$1156,MATCH(About!$B$2&amp;"|"&amp;$A$1&amp;"|"&amp;$A6,Src_VRE!$E$5:$E$1156,0))</f>
        <v>0.23200000000000001</v>
      </c>
      <c r="J6" s="11">
        <f>INDEX(Src_VRE!$N$5:$N$1156,MATCH(About!$B$2&amp;"|"&amp;$A$1&amp;"|"&amp;$A6,Src_VRE!$E$5:$E$1156,0))</f>
        <v>0.31569999999999998</v>
      </c>
      <c r="K6" s="11">
        <f>INDEX(Src_VRE!$O$5:$O$1156,MATCH(About!$B$2&amp;"|"&amp;$A$1&amp;"|"&amp;$A6,Src_VRE!$E$5:$E$1156,0))</f>
        <v>0.41070000000000001</v>
      </c>
      <c r="L6" s="11">
        <f>INDEX(Src_VRE!$P$5:$P$1156,MATCH(About!$B$2&amp;"|"&amp;$A$1&amp;"|"&amp;$A6,Src_VRE!$E$5:$E$1156,0))</f>
        <v>0.4199</v>
      </c>
      <c r="M6" s="11">
        <f>INDEX(Src_VRE!$Q$5:$Q$1156,MATCH(About!$B$2&amp;"|"&amp;$A$1&amp;"|"&amp;$A6,Src_VRE!$E$5:$E$1156,0))</f>
        <v>0.46939999999999998</v>
      </c>
      <c r="N6" s="11">
        <f>INDEX(Src_VRE!$R$5:$R$1156,MATCH(About!$B$2&amp;"|"&amp;$A$1&amp;"|"&amp;$A6,Src_VRE!$E$5:$E$1156,0))</f>
        <v>0.46279999999999999</v>
      </c>
      <c r="O6" s="11">
        <f>INDEX(Src_VRE!$S$5:$S$1156,MATCH(About!$B$2&amp;"|"&amp;$A$1&amp;"|"&amp;$A6,Src_VRE!$E$5:$E$1156,0))</f>
        <v>0.5242</v>
      </c>
      <c r="P6" s="11">
        <f>INDEX(Src_VRE!$T$5:$T$1156,MATCH(About!$B$2&amp;"|"&amp;$A$1&amp;"|"&amp;$A6,Src_VRE!$E$5:$E$1156,0))</f>
        <v>0.51229999999999998</v>
      </c>
      <c r="Q6" s="11">
        <f>INDEX(Src_VRE!$U$5:$U$1156,MATCH(About!$B$2&amp;"|"&amp;$A$1&amp;"|"&amp;$A6,Src_VRE!$E$5:$E$1156,0))</f>
        <v>0.42620000000000002</v>
      </c>
      <c r="R6" s="11">
        <f>INDEX(Src_VRE!$V$5:$V$1156,MATCH(About!$B$2&amp;"|"&amp;$A$1&amp;"|"&amp;$A6,Src_VRE!$E$5:$E$1156,0))</f>
        <v>0.3291</v>
      </c>
      <c r="S6" s="11">
        <f>INDEX(Src_VRE!$W$5:$W$1156,MATCH(About!$B$2&amp;"|"&amp;$A$1&amp;"|"&amp;$A6,Src_VRE!$E$5:$E$1156,0))</f>
        <v>0.50290000000000001</v>
      </c>
      <c r="T6" s="11">
        <f>INDEX(Src_VRE!$X$5:$X$1156,MATCH(About!$B$2&amp;"|"&amp;$A$1&amp;"|"&amp;$A6,Src_VRE!$E$5:$E$1156,0))</f>
        <v>0.56559999999999999</v>
      </c>
      <c r="U6" s="11">
        <f>INDEX(Src_VRE!$Y$5:$Y$1156,MATCH(About!$B$2&amp;"|"&amp;$A$1&amp;"|"&amp;$A6,Src_VRE!$E$5:$E$1156,0))</f>
        <v>0.56940000000000002</v>
      </c>
      <c r="V6" s="11">
        <f>INDEX(Src_VRE!$Z$5:$Z$1156,MATCH(About!$B$2&amp;"|"&amp;$A$1&amp;"|"&amp;$A6,Src_VRE!$E$5:$E$1156,0))</f>
        <v>0.58930000000000005</v>
      </c>
      <c r="W6" s="11">
        <f>INDEX(Src_VRE!$AA$5:$AA$1156,MATCH(About!$B$2&amp;"|"&amp;$A$1&amp;"|"&amp;$A6,Src_VRE!$E$5:$E$1156,0))</f>
        <v>0.52680000000000005</v>
      </c>
      <c r="X6" s="11">
        <f>INDEX(Src_VRE!$AB$5:$AB$1156,MATCH(About!$B$2&amp;"|"&amp;$A$1&amp;"|"&amp;$A6,Src_VRE!$E$5:$E$1156,0))</f>
        <v>0.43209999999999998</v>
      </c>
      <c r="Y6" s="11">
        <f>INDEX(Src_VRE!$AC$5:$AC$1156,MATCH(About!$B$2&amp;"|"&amp;$A$1&amp;"|"&amp;$A6,Src_VRE!$E$5:$E$1156,0))</f>
        <v>0.2717</v>
      </c>
    </row>
    <row r="7" spans="1:25" x14ac:dyDescent="0.45">
      <c r="A7" t="s">
        <v>429</v>
      </c>
      <c r="B7" s="11">
        <f>INDEX(Src_VRE!$F$5:$F$1156,MATCH(About!$B$2&amp;"|"&amp;$A$1&amp;"|"&amp;$A7,Src_VRE!$E$5:$E$1156,0))</f>
        <v>0.51829999999999998</v>
      </c>
      <c r="C7" s="11">
        <f>INDEX(Src_VRE!$G$5:$G$1156,MATCH(About!$B$2&amp;"|"&amp;$A$1&amp;"|"&amp;$A7,Src_VRE!$E$5:$E$1156,0))</f>
        <v>0.56869999999999998</v>
      </c>
      <c r="D7" s="11">
        <f>INDEX(Src_VRE!$H$5:$H$1156,MATCH(About!$B$2&amp;"|"&amp;$A$1&amp;"|"&amp;$A7,Src_VRE!$E$5:$E$1156,0))</f>
        <v>0.58930000000000005</v>
      </c>
      <c r="E7" s="11">
        <f>INDEX(Src_VRE!$I$5:$I$1156,MATCH(About!$B$2&amp;"|"&amp;$A$1&amp;"|"&amp;$A7,Src_VRE!$E$5:$E$1156,0))</f>
        <v>0.65269999999999995</v>
      </c>
      <c r="F7" s="11">
        <f>INDEX(Src_VRE!$J$5:$J$1156,MATCH(About!$B$2&amp;"|"&amp;$A$1&amp;"|"&amp;$A7,Src_VRE!$E$5:$E$1156,0))</f>
        <v>0.6875</v>
      </c>
      <c r="G7" s="11">
        <f>INDEX(Src_VRE!$K$5:$K$1156,MATCH(About!$B$2&amp;"|"&amp;$A$1&amp;"|"&amp;$A7,Src_VRE!$E$5:$E$1156,0))</f>
        <v>0.69369999999999998</v>
      </c>
      <c r="H7" s="11">
        <f>INDEX(Src_VRE!$L$5:$L$1156,MATCH(About!$B$2&amp;"|"&amp;$A$1&amp;"|"&amp;$A7,Src_VRE!$E$5:$E$1156,0))</f>
        <v>0.7298</v>
      </c>
      <c r="I7" s="11">
        <f>INDEX(Src_VRE!$M$5:$M$1156,MATCH(About!$B$2&amp;"|"&amp;$A$1&amp;"|"&amp;$A7,Src_VRE!$E$5:$E$1156,0))</f>
        <v>0.74929999999999997</v>
      </c>
      <c r="J7" s="11">
        <f>INDEX(Src_VRE!$N$5:$N$1156,MATCH(About!$B$2&amp;"|"&amp;$A$1&amp;"|"&amp;$A7,Src_VRE!$E$5:$E$1156,0))</f>
        <v>0.4395</v>
      </c>
      <c r="K7" s="11">
        <f>INDEX(Src_VRE!$O$5:$O$1156,MATCH(About!$B$2&amp;"|"&amp;$A$1&amp;"|"&amp;$A7,Src_VRE!$E$5:$E$1156,0))</f>
        <v>0.50090000000000001</v>
      </c>
      <c r="L7" s="11">
        <f>INDEX(Src_VRE!$P$5:$P$1156,MATCH(About!$B$2&amp;"|"&amp;$A$1&amp;"|"&amp;$A7,Src_VRE!$E$5:$E$1156,0))</f>
        <v>0.58540000000000003</v>
      </c>
      <c r="M7" s="11">
        <f>INDEX(Src_VRE!$Q$5:$Q$1156,MATCH(About!$B$2&amp;"|"&amp;$A$1&amp;"|"&amp;$A7,Src_VRE!$E$5:$E$1156,0))</f>
        <v>0.59909999999999997</v>
      </c>
      <c r="N7" s="11">
        <f>INDEX(Src_VRE!$R$5:$R$1156,MATCH(About!$B$2&amp;"|"&amp;$A$1&amp;"|"&amp;$A7,Src_VRE!$E$5:$E$1156,0))</f>
        <v>0.57030000000000003</v>
      </c>
      <c r="O7" s="11">
        <f>INDEX(Src_VRE!$S$5:$S$1156,MATCH(About!$B$2&amp;"|"&amp;$A$1&amp;"|"&amp;$A7,Src_VRE!$E$5:$E$1156,0))</f>
        <v>0.35649999999999998</v>
      </c>
      <c r="P7" s="11">
        <f>INDEX(Src_VRE!$T$5:$T$1156,MATCH(About!$B$2&amp;"|"&amp;$A$1&amp;"|"&amp;$A7,Src_VRE!$E$5:$E$1156,0))</f>
        <v>0.4783</v>
      </c>
      <c r="Q7" s="11">
        <f>INDEX(Src_VRE!$U$5:$U$1156,MATCH(About!$B$2&amp;"|"&amp;$A$1&amp;"|"&amp;$A7,Src_VRE!$E$5:$E$1156,0))</f>
        <v>0.7319</v>
      </c>
      <c r="R7" s="11">
        <f>INDEX(Src_VRE!$V$5:$V$1156,MATCH(About!$B$2&amp;"|"&amp;$A$1&amp;"|"&amp;$A7,Src_VRE!$E$5:$E$1156,0))</f>
        <v>0.66820000000000002</v>
      </c>
      <c r="S7" s="11">
        <f>INDEX(Src_VRE!$W$5:$W$1156,MATCH(About!$B$2&amp;"|"&amp;$A$1&amp;"|"&amp;$A7,Src_VRE!$E$5:$E$1156,0))</f>
        <v>0.6855</v>
      </c>
      <c r="T7" s="11">
        <f>INDEX(Src_VRE!$X$5:$X$1156,MATCH(About!$B$2&amp;"|"&amp;$A$1&amp;"|"&amp;$A7,Src_VRE!$E$5:$E$1156,0))</f>
        <v>0.64970000000000006</v>
      </c>
      <c r="U7" s="11">
        <f>INDEX(Src_VRE!$Y$5:$Y$1156,MATCH(About!$B$2&amp;"|"&amp;$A$1&amp;"|"&amp;$A7,Src_VRE!$E$5:$E$1156,0))</f>
        <v>0.67720000000000002</v>
      </c>
      <c r="V7" s="11">
        <f>INDEX(Src_VRE!$Z$5:$Z$1156,MATCH(About!$B$2&amp;"|"&amp;$A$1&amp;"|"&amp;$A7,Src_VRE!$E$5:$E$1156,0))</f>
        <v>0.64910000000000001</v>
      </c>
      <c r="W7" s="11">
        <f>INDEX(Src_VRE!$AA$5:$AA$1156,MATCH(About!$B$2&amp;"|"&amp;$A$1&amp;"|"&amp;$A7,Src_VRE!$E$5:$E$1156,0))</f>
        <v>0.60529999999999995</v>
      </c>
      <c r="X7" s="11">
        <f>INDEX(Src_VRE!$AB$5:$AB$1156,MATCH(About!$B$2&amp;"|"&amp;$A$1&amp;"|"&amp;$A7,Src_VRE!$E$5:$E$1156,0))</f>
        <v>0.60650000000000004</v>
      </c>
      <c r="Y7" s="11">
        <f>INDEX(Src_VRE!$AC$5:$AC$1156,MATCH(About!$B$2&amp;"|"&amp;$A$1&amp;"|"&amp;$A7,Src_VRE!$E$5:$E$1156,0))</f>
        <v>0.57210000000000005</v>
      </c>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1F3864"/>
  </sheetPr>
  <dimension ref="A1:Y7"/>
  <sheetViews>
    <sheetView workbookViewId="0"/>
  </sheetViews>
  <sheetFormatPr defaultRowHeight="14.25" x14ac:dyDescent="0.45"/>
  <sheetData>
    <row r="1" spans="1:25" x14ac:dyDescent="0.45">
      <c r="A1" t="s">
        <v>437</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INDEX(Src_VRE!$F$5:$F$1156,MATCH(About!$B$2&amp;"|"&amp;$A$1&amp;"|"&amp;$A2,Src_VRE!$E$5:$E$1156,0))</f>
        <v>1</v>
      </c>
      <c r="C2" s="11">
        <f>INDEX(Src_VRE!$G$5:$G$1156,MATCH(About!$B$2&amp;"|"&amp;$A$1&amp;"|"&amp;$A2,Src_VRE!$E$5:$E$1156,0))</f>
        <v>1</v>
      </c>
      <c r="D2" s="11">
        <f>INDEX(Src_VRE!$H$5:$H$1156,MATCH(About!$B$2&amp;"|"&amp;$A$1&amp;"|"&amp;$A2,Src_VRE!$E$5:$E$1156,0))</f>
        <v>1</v>
      </c>
      <c r="E2" s="11">
        <f>INDEX(Src_VRE!$I$5:$I$1156,MATCH(About!$B$2&amp;"|"&amp;$A$1&amp;"|"&amp;$A2,Src_VRE!$E$5:$E$1156,0))</f>
        <v>1</v>
      </c>
      <c r="F2" s="11">
        <f>INDEX(Src_VRE!$J$5:$J$1156,MATCH(About!$B$2&amp;"|"&amp;$A$1&amp;"|"&amp;$A2,Src_VRE!$E$5:$E$1156,0))</f>
        <v>1</v>
      </c>
      <c r="G2" s="11">
        <f>INDEX(Src_VRE!$K$5:$K$1156,MATCH(About!$B$2&amp;"|"&amp;$A$1&amp;"|"&amp;$A2,Src_VRE!$E$5:$E$1156,0))</f>
        <v>1</v>
      </c>
      <c r="H2" s="11">
        <f>INDEX(Src_VRE!$L$5:$L$1156,MATCH(About!$B$2&amp;"|"&amp;$A$1&amp;"|"&amp;$A2,Src_VRE!$E$5:$E$1156,0))</f>
        <v>1</v>
      </c>
      <c r="I2" s="11">
        <f>INDEX(Src_VRE!$M$5:$M$1156,MATCH(About!$B$2&amp;"|"&amp;$A$1&amp;"|"&amp;$A2,Src_VRE!$E$5:$E$1156,0))</f>
        <v>1</v>
      </c>
      <c r="J2" s="11">
        <f>INDEX(Src_VRE!$N$5:$N$1156,MATCH(About!$B$2&amp;"|"&amp;$A$1&amp;"|"&amp;$A2,Src_VRE!$E$5:$E$1156,0))</f>
        <v>1</v>
      </c>
      <c r="K2" s="11">
        <f>INDEX(Src_VRE!$O$5:$O$1156,MATCH(About!$B$2&amp;"|"&amp;$A$1&amp;"|"&amp;$A2,Src_VRE!$E$5:$E$1156,0))</f>
        <v>1</v>
      </c>
      <c r="L2" s="11">
        <f>INDEX(Src_VRE!$P$5:$P$1156,MATCH(About!$B$2&amp;"|"&amp;$A$1&amp;"|"&amp;$A2,Src_VRE!$E$5:$E$1156,0))</f>
        <v>1</v>
      </c>
      <c r="M2" s="11">
        <f>INDEX(Src_VRE!$Q$5:$Q$1156,MATCH(About!$B$2&amp;"|"&amp;$A$1&amp;"|"&amp;$A2,Src_VRE!$E$5:$E$1156,0))</f>
        <v>1</v>
      </c>
      <c r="N2" s="11">
        <f>INDEX(Src_VRE!$R$5:$R$1156,MATCH(About!$B$2&amp;"|"&amp;$A$1&amp;"|"&amp;$A2,Src_VRE!$E$5:$E$1156,0))</f>
        <v>1</v>
      </c>
      <c r="O2" s="11">
        <f>INDEX(Src_VRE!$S$5:$S$1156,MATCH(About!$B$2&amp;"|"&amp;$A$1&amp;"|"&amp;$A2,Src_VRE!$E$5:$E$1156,0))</f>
        <v>1</v>
      </c>
      <c r="P2" s="11">
        <f>INDEX(Src_VRE!$T$5:$T$1156,MATCH(About!$B$2&amp;"|"&amp;$A$1&amp;"|"&amp;$A2,Src_VRE!$E$5:$E$1156,0))</f>
        <v>1</v>
      </c>
      <c r="Q2" s="11">
        <f>INDEX(Src_VRE!$U$5:$U$1156,MATCH(About!$B$2&amp;"|"&amp;$A$1&amp;"|"&amp;$A2,Src_VRE!$E$5:$E$1156,0))</f>
        <v>1</v>
      </c>
      <c r="R2" s="11">
        <f>INDEX(Src_VRE!$V$5:$V$1156,MATCH(About!$B$2&amp;"|"&amp;$A$1&amp;"|"&amp;$A2,Src_VRE!$E$5:$E$1156,0))</f>
        <v>1</v>
      </c>
      <c r="S2" s="11">
        <f>INDEX(Src_VRE!$W$5:$W$1156,MATCH(About!$B$2&amp;"|"&amp;$A$1&amp;"|"&amp;$A2,Src_VRE!$E$5:$E$1156,0))</f>
        <v>1</v>
      </c>
      <c r="T2" s="11">
        <f>INDEX(Src_VRE!$X$5:$X$1156,MATCH(About!$B$2&amp;"|"&amp;$A$1&amp;"|"&amp;$A2,Src_VRE!$E$5:$E$1156,0))</f>
        <v>1</v>
      </c>
      <c r="U2" s="11">
        <f>INDEX(Src_VRE!$Y$5:$Y$1156,MATCH(About!$B$2&amp;"|"&amp;$A$1&amp;"|"&amp;$A2,Src_VRE!$E$5:$E$1156,0))</f>
        <v>1</v>
      </c>
      <c r="V2" s="11">
        <f>INDEX(Src_VRE!$Z$5:$Z$1156,MATCH(About!$B$2&amp;"|"&amp;$A$1&amp;"|"&amp;$A2,Src_VRE!$E$5:$E$1156,0))</f>
        <v>1</v>
      </c>
      <c r="W2" s="11">
        <f>INDEX(Src_VRE!$AA$5:$AA$1156,MATCH(About!$B$2&amp;"|"&amp;$A$1&amp;"|"&amp;$A2,Src_VRE!$E$5:$E$1156,0))</f>
        <v>1</v>
      </c>
      <c r="X2" s="11">
        <f>INDEX(Src_VRE!$AB$5:$AB$1156,MATCH(About!$B$2&amp;"|"&amp;$A$1&amp;"|"&amp;$A2,Src_VRE!$E$5:$E$1156,0))</f>
        <v>1</v>
      </c>
      <c r="Y2" s="11">
        <f>INDEX(Src_VRE!$AC$5:$AC$1156,MATCH(About!$B$2&amp;"|"&amp;$A$1&amp;"|"&amp;$A2,Src_VRE!$E$5:$E$1156,0))</f>
        <v>1</v>
      </c>
    </row>
    <row r="3" spans="1:25" x14ac:dyDescent="0.45">
      <c r="A3" t="s">
        <v>425</v>
      </c>
      <c r="B3" s="11">
        <f>INDEX(Src_VRE!$F$5:$F$1156,MATCH(About!$B$2&amp;"|"&amp;$A$1&amp;"|"&amp;$A3,Src_VRE!$E$5:$E$1156,0))</f>
        <v>1</v>
      </c>
      <c r="C3" s="11">
        <f>INDEX(Src_VRE!$G$5:$G$1156,MATCH(About!$B$2&amp;"|"&amp;$A$1&amp;"|"&amp;$A3,Src_VRE!$E$5:$E$1156,0))</f>
        <v>1</v>
      </c>
      <c r="D3" s="11">
        <f>INDEX(Src_VRE!$H$5:$H$1156,MATCH(About!$B$2&amp;"|"&amp;$A$1&amp;"|"&amp;$A3,Src_VRE!$E$5:$E$1156,0))</f>
        <v>1</v>
      </c>
      <c r="E3" s="11">
        <f>INDEX(Src_VRE!$I$5:$I$1156,MATCH(About!$B$2&amp;"|"&amp;$A$1&amp;"|"&amp;$A3,Src_VRE!$E$5:$E$1156,0))</f>
        <v>1</v>
      </c>
      <c r="F3" s="11">
        <f>INDEX(Src_VRE!$J$5:$J$1156,MATCH(About!$B$2&amp;"|"&amp;$A$1&amp;"|"&amp;$A3,Src_VRE!$E$5:$E$1156,0))</f>
        <v>1</v>
      </c>
      <c r="G3" s="11">
        <f>INDEX(Src_VRE!$K$5:$K$1156,MATCH(About!$B$2&amp;"|"&amp;$A$1&amp;"|"&amp;$A3,Src_VRE!$E$5:$E$1156,0))</f>
        <v>1</v>
      </c>
      <c r="H3" s="11">
        <f>INDEX(Src_VRE!$L$5:$L$1156,MATCH(About!$B$2&amp;"|"&amp;$A$1&amp;"|"&amp;$A3,Src_VRE!$E$5:$E$1156,0))</f>
        <v>1</v>
      </c>
      <c r="I3" s="11">
        <f>INDEX(Src_VRE!$M$5:$M$1156,MATCH(About!$B$2&amp;"|"&amp;$A$1&amp;"|"&amp;$A3,Src_VRE!$E$5:$E$1156,0))</f>
        <v>1</v>
      </c>
      <c r="J3" s="11">
        <f>INDEX(Src_VRE!$N$5:$N$1156,MATCH(About!$B$2&amp;"|"&amp;$A$1&amp;"|"&amp;$A3,Src_VRE!$E$5:$E$1156,0))</f>
        <v>1</v>
      </c>
      <c r="K3" s="11">
        <f>INDEX(Src_VRE!$O$5:$O$1156,MATCH(About!$B$2&amp;"|"&amp;$A$1&amp;"|"&amp;$A3,Src_VRE!$E$5:$E$1156,0))</f>
        <v>1</v>
      </c>
      <c r="L3" s="11">
        <f>INDEX(Src_VRE!$P$5:$P$1156,MATCH(About!$B$2&amp;"|"&amp;$A$1&amp;"|"&amp;$A3,Src_VRE!$E$5:$E$1156,0))</f>
        <v>1</v>
      </c>
      <c r="M3" s="11">
        <f>INDEX(Src_VRE!$Q$5:$Q$1156,MATCH(About!$B$2&amp;"|"&amp;$A$1&amp;"|"&amp;$A3,Src_VRE!$E$5:$E$1156,0))</f>
        <v>1</v>
      </c>
      <c r="N3" s="11">
        <f>INDEX(Src_VRE!$R$5:$R$1156,MATCH(About!$B$2&amp;"|"&amp;$A$1&amp;"|"&amp;$A3,Src_VRE!$E$5:$E$1156,0))</f>
        <v>1</v>
      </c>
      <c r="O3" s="11">
        <f>INDEX(Src_VRE!$S$5:$S$1156,MATCH(About!$B$2&amp;"|"&amp;$A$1&amp;"|"&amp;$A3,Src_VRE!$E$5:$E$1156,0))</f>
        <v>1</v>
      </c>
      <c r="P3" s="11">
        <f>INDEX(Src_VRE!$T$5:$T$1156,MATCH(About!$B$2&amp;"|"&amp;$A$1&amp;"|"&amp;$A3,Src_VRE!$E$5:$E$1156,0))</f>
        <v>1</v>
      </c>
      <c r="Q3" s="11">
        <f>INDEX(Src_VRE!$U$5:$U$1156,MATCH(About!$B$2&amp;"|"&amp;$A$1&amp;"|"&amp;$A3,Src_VRE!$E$5:$E$1156,0))</f>
        <v>1</v>
      </c>
      <c r="R3" s="11">
        <f>INDEX(Src_VRE!$V$5:$V$1156,MATCH(About!$B$2&amp;"|"&amp;$A$1&amp;"|"&amp;$A3,Src_VRE!$E$5:$E$1156,0))</f>
        <v>1</v>
      </c>
      <c r="S3" s="11">
        <f>INDEX(Src_VRE!$W$5:$W$1156,MATCH(About!$B$2&amp;"|"&amp;$A$1&amp;"|"&amp;$A3,Src_VRE!$E$5:$E$1156,0))</f>
        <v>1</v>
      </c>
      <c r="T3" s="11">
        <f>INDEX(Src_VRE!$X$5:$X$1156,MATCH(About!$B$2&amp;"|"&amp;$A$1&amp;"|"&amp;$A3,Src_VRE!$E$5:$E$1156,0))</f>
        <v>1</v>
      </c>
      <c r="U3" s="11">
        <f>INDEX(Src_VRE!$Y$5:$Y$1156,MATCH(About!$B$2&amp;"|"&amp;$A$1&amp;"|"&amp;$A3,Src_VRE!$E$5:$E$1156,0))</f>
        <v>1</v>
      </c>
      <c r="V3" s="11">
        <f>INDEX(Src_VRE!$Z$5:$Z$1156,MATCH(About!$B$2&amp;"|"&amp;$A$1&amp;"|"&amp;$A3,Src_VRE!$E$5:$E$1156,0))</f>
        <v>1</v>
      </c>
      <c r="W3" s="11">
        <f>INDEX(Src_VRE!$AA$5:$AA$1156,MATCH(About!$B$2&amp;"|"&amp;$A$1&amp;"|"&amp;$A3,Src_VRE!$E$5:$E$1156,0))</f>
        <v>1</v>
      </c>
      <c r="X3" s="11">
        <f>INDEX(Src_VRE!$AB$5:$AB$1156,MATCH(About!$B$2&amp;"|"&amp;$A$1&amp;"|"&amp;$A3,Src_VRE!$E$5:$E$1156,0))</f>
        <v>1</v>
      </c>
      <c r="Y3" s="11">
        <f>INDEX(Src_VRE!$AC$5:$AC$1156,MATCH(About!$B$2&amp;"|"&amp;$A$1&amp;"|"&amp;$A3,Src_VRE!$E$5:$E$1156,0))</f>
        <v>1</v>
      </c>
    </row>
    <row r="4" spans="1:25" x14ac:dyDescent="0.45">
      <c r="A4" t="s">
        <v>426</v>
      </c>
      <c r="B4" s="11">
        <f>INDEX(Src_VRE!$F$5:$F$1156,MATCH(About!$B$2&amp;"|"&amp;$A$1&amp;"|"&amp;$A4,Src_VRE!$E$5:$E$1156,0))</f>
        <v>1</v>
      </c>
      <c r="C4" s="11">
        <f>INDEX(Src_VRE!$G$5:$G$1156,MATCH(About!$B$2&amp;"|"&amp;$A$1&amp;"|"&amp;$A4,Src_VRE!$E$5:$E$1156,0))</f>
        <v>1</v>
      </c>
      <c r="D4" s="11">
        <f>INDEX(Src_VRE!$H$5:$H$1156,MATCH(About!$B$2&amp;"|"&amp;$A$1&amp;"|"&amp;$A4,Src_VRE!$E$5:$E$1156,0))</f>
        <v>1</v>
      </c>
      <c r="E4" s="11">
        <f>INDEX(Src_VRE!$I$5:$I$1156,MATCH(About!$B$2&amp;"|"&amp;$A$1&amp;"|"&amp;$A4,Src_VRE!$E$5:$E$1156,0))</f>
        <v>1</v>
      </c>
      <c r="F4" s="11">
        <f>INDEX(Src_VRE!$J$5:$J$1156,MATCH(About!$B$2&amp;"|"&amp;$A$1&amp;"|"&amp;$A4,Src_VRE!$E$5:$E$1156,0))</f>
        <v>1</v>
      </c>
      <c r="G4" s="11">
        <f>INDEX(Src_VRE!$K$5:$K$1156,MATCH(About!$B$2&amp;"|"&amp;$A$1&amp;"|"&amp;$A4,Src_VRE!$E$5:$E$1156,0))</f>
        <v>1</v>
      </c>
      <c r="H4" s="11">
        <f>INDEX(Src_VRE!$L$5:$L$1156,MATCH(About!$B$2&amp;"|"&amp;$A$1&amp;"|"&amp;$A4,Src_VRE!$E$5:$E$1156,0))</f>
        <v>1</v>
      </c>
      <c r="I4" s="11">
        <f>INDEX(Src_VRE!$M$5:$M$1156,MATCH(About!$B$2&amp;"|"&amp;$A$1&amp;"|"&amp;$A4,Src_VRE!$E$5:$E$1156,0))</f>
        <v>1</v>
      </c>
      <c r="J4" s="11">
        <f>INDEX(Src_VRE!$N$5:$N$1156,MATCH(About!$B$2&amp;"|"&amp;$A$1&amp;"|"&amp;$A4,Src_VRE!$E$5:$E$1156,0))</f>
        <v>1</v>
      </c>
      <c r="K4" s="11">
        <f>INDEX(Src_VRE!$O$5:$O$1156,MATCH(About!$B$2&amp;"|"&amp;$A$1&amp;"|"&amp;$A4,Src_VRE!$E$5:$E$1156,0))</f>
        <v>1</v>
      </c>
      <c r="L4" s="11">
        <f>INDEX(Src_VRE!$P$5:$P$1156,MATCH(About!$B$2&amp;"|"&amp;$A$1&amp;"|"&amp;$A4,Src_VRE!$E$5:$E$1156,0))</f>
        <v>1</v>
      </c>
      <c r="M4" s="11">
        <f>INDEX(Src_VRE!$Q$5:$Q$1156,MATCH(About!$B$2&amp;"|"&amp;$A$1&amp;"|"&amp;$A4,Src_VRE!$E$5:$E$1156,0))</f>
        <v>1</v>
      </c>
      <c r="N4" s="11">
        <f>INDEX(Src_VRE!$R$5:$R$1156,MATCH(About!$B$2&amp;"|"&amp;$A$1&amp;"|"&amp;$A4,Src_VRE!$E$5:$E$1156,0))</f>
        <v>1</v>
      </c>
      <c r="O4" s="11">
        <f>INDEX(Src_VRE!$S$5:$S$1156,MATCH(About!$B$2&amp;"|"&amp;$A$1&amp;"|"&amp;$A4,Src_VRE!$E$5:$E$1156,0))</f>
        <v>1</v>
      </c>
      <c r="P4" s="11">
        <f>INDEX(Src_VRE!$T$5:$T$1156,MATCH(About!$B$2&amp;"|"&amp;$A$1&amp;"|"&amp;$A4,Src_VRE!$E$5:$E$1156,0))</f>
        <v>1</v>
      </c>
      <c r="Q4" s="11">
        <f>INDEX(Src_VRE!$U$5:$U$1156,MATCH(About!$B$2&amp;"|"&amp;$A$1&amp;"|"&amp;$A4,Src_VRE!$E$5:$E$1156,0))</f>
        <v>1</v>
      </c>
      <c r="R4" s="11">
        <f>INDEX(Src_VRE!$V$5:$V$1156,MATCH(About!$B$2&amp;"|"&amp;$A$1&amp;"|"&amp;$A4,Src_VRE!$E$5:$E$1156,0))</f>
        <v>1</v>
      </c>
      <c r="S4" s="11">
        <f>INDEX(Src_VRE!$W$5:$W$1156,MATCH(About!$B$2&amp;"|"&amp;$A$1&amp;"|"&amp;$A4,Src_VRE!$E$5:$E$1156,0))</f>
        <v>1</v>
      </c>
      <c r="T4" s="11">
        <f>INDEX(Src_VRE!$X$5:$X$1156,MATCH(About!$B$2&amp;"|"&amp;$A$1&amp;"|"&amp;$A4,Src_VRE!$E$5:$E$1156,0))</f>
        <v>1</v>
      </c>
      <c r="U4" s="11">
        <f>INDEX(Src_VRE!$Y$5:$Y$1156,MATCH(About!$B$2&amp;"|"&amp;$A$1&amp;"|"&amp;$A4,Src_VRE!$E$5:$E$1156,0))</f>
        <v>1</v>
      </c>
      <c r="V4" s="11">
        <f>INDEX(Src_VRE!$Z$5:$Z$1156,MATCH(About!$B$2&amp;"|"&amp;$A$1&amp;"|"&amp;$A4,Src_VRE!$E$5:$E$1156,0))</f>
        <v>1</v>
      </c>
      <c r="W4" s="11">
        <f>INDEX(Src_VRE!$AA$5:$AA$1156,MATCH(About!$B$2&amp;"|"&amp;$A$1&amp;"|"&amp;$A4,Src_VRE!$E$5:$E$1156,0))</f>
        <v>1</v>
      </c>
      <c r="X4" s="11">
        <f>INDEX(Src_VRE!$AB$5:$AB$1156,MATCH(About!$B$2&amp;"|"&amp;$A$1&amp;"|"&amp;$A4,Src_VRE!$E$5:$E$1156,0))</f>
        <v>1</v>
      </c>
      <c r="Y4" s="11">
        <f>INDEX(Src_VRE!$AC$5:$AC$1156,MATCH(About!$B$2&amp;"|"&amp;$A$1&amp;"|"&amp;$A4,Src_VRE!$E$5:$E$1156,0))</f>
        <v>1</v>
      </c>
    </row>
    <row r="5" spans="1:25" x14ac:dyDescent="0.45">
      <c r="A5" t="s">
        <v>427</v>
      </c>
      <c r="B5" s="11">
        <f>INDEX(Src_VRE!$F$5:$F$1156,MATCH(About!$B$2&amp;"|"&amp;$A$1&amp;"|"&amp;$A5,Src_VRE!$E$5:$E$1156,0))</f>
        <v>1</v>
      </c>
      <c r="C5" s="11">
        <f>INDEX(Src_VRE!$G$5:$G$1156,MATCH(About!$B$2&amp;"|"&amp;$A$1&amp;"|"&amp;$A5,Src_VRE!$E$5:$E$1156,0))</f>
        <v>1</v>
      </c>
      <c r="D5" s="11">
        <f>INDEX(Src_VRE!$H$5:$H$1156,MATCH(About!$B$2&amp;"|"&amp;$A$1&amp;"|"&amp;$A5,Src_VRE!$E$5:$E$1156,0))</f>
        <v>1</v>
      </c>
      <c r="E5" s="11">
        <f>INDEX(Src_VRE!$I$5:$I$1156,MATCH(About!$B$2&amp;"|"&amp;$A$1&amp;"|"&amp;$A5,Src_VRE!$E$5:$E$1156,0))</f>
        <v>1</v>
      </c>
      <c r="F5" s="11">
        <f>INDEX(Src_VRE!$J$5:$J$1156,MATCH(About!$B$2&amp;"|"&amp;$A$1&amp;"|"&amp;$A5,Src_VRE!$E$5:$E$1156,0))</f>
        <v>1</v>
      </c>
      <c r="G5" s="11">
        <f>INDEX(Src_VRE!$K$5:$K$1156,MATCH(About!$B$2&amp;"|"&amp;$A$1&amp;"|"&amp;$A5,Src_VRE!$E$5:$E$1156,0))</f>
        <v>1</v>
      </c>
      <c r="H5" s="11">
        <f>INDEX(Src_VRE!$L$5:$L$1156,MATCH(About!$B$2&amp;"|"&amp;$A$1&amp;"|"&amp;$A5,Src_VRE!$E$5:$E$1156,0))</f>
        <v>1</v>
      </c>
      <c r="I5" s="11">
        <f>INDEX(Src_VRE!$M$5:$M$1156,MATCH(About!$B$2&amp;"|"&amp;$A$1&amp;"|"&amp;$A5,Src_VRE!$E$5:$E$1156,0))</f>
        <v>1</v>
      </c>
      <c r="J5" s="11">
        <f>INDEX(Src_VRE!$N$5:$N$1156,MATCH(About!$B$2&amp;"|"&amp;$A$1&amp;"|"&amp;$A5,Src_VRE!$E$5:$E$1156,0))</f>
        <v>1</v>
      </c>
      <c r="K5" s="11">
        <f>INDEX(Src_VRE!$O$5:$O$1156,MATCH(About!$B$2&amp;"|"&amp;$A$1&amp;"|"&amp;$A5,Src_VRE!$E$5:$E$1156,0))</f>
        <v>1</v>
      </c>
      <c r="L5" s="11">
        <f>INDEX(Src_VRE!$P$5:$P$1156,MATCH(About!$B$2&amp;"|"&amp;$A$1&amp;"|"&amp;$A5,Src_VRE!$E$5:$E$1156,0))</f>
        <v>1</v>
      </c>
      <c r="M5" s="11">
        <f>INDEX(Src_VRE!$Q$5:$Q$1156,MATCH(About!$B$2&amp;"|"&amp;$A$1&amp;"|"&amp;$A5,Src_VRE!$E$5:$E$1156,0))</f>
        <v>1</v>
      </c>
      <c r="N5" s="11">
        <f>INDEX(Src_VRE!$R$5:$R$1156,MATCH(About!$B$2&amp;"|"&amp;$A$1&amp;"|"&amp;$A5,Src_VRE!$E$5:$E$1156,0))</f>
        <v>1</v>
      </c>
      <c r="O5" s="11">
        <f>INDEX(Src_VRE!$S$5:$S$1156,MATCH(About!$B$2&amp;"|"&amp;$A$1&amp;"|"&amp;$A5,Src_VRE!$E$5:$E$1156,0))</f>
        <v>1</v>
      </c>
      <c r="P5" s="11">
        <f>INDEX(Src_VRE!$T$5:$T$1156,MATCH(About!$B$2&amp;"|"&amp;$A$1&amp;"|"&amp;$A5,Src_VRE!$E$5:$E$1156,0))</f>
        <v>1</v>
      </c>
      <c r="Q5" s="11">
        <f>INDEX(Src_VRE!$U$5:$U$1156,MATCH(About!$B$2&amp;"|"&amp;$A$1&amp;"|"&amp;$A5,Src_VRE!$E$5:$E$1156,0))</f>
        <v>1</v>
      </c>
      <c r="R5" s="11">
        <f>INDEX(Src_VRE!$V$5:$V$1156,MATCH(About!$B$2&amp;"|"&amp;$A$1&amp;"|"&amp;$A5,Src_VRE!$E$5:$E$1156,0))</f>
        <v>1</v>
      </c>
      <c r="S5" s="11">
        <f>INDEX(Src_VRE!$W$5:$W$1156,MATCH(About!$B$2&amp;"|"&amp;$A$1&amp;"|"&amp;$A5,Src_VRE!$E$5:$E$1156,0))</f>
        <v>1</v>
      </c>
      <c r="T5" s="11">
        <f>INDEX(Src_VRE!$X$5:$X$1156,MATCH(About!$B$2&amp;"|"&amp;$A$1&amp;"|"&amp;$A5,Src_VRE!$E$5:$E$1156,0))</f>
        <v>1</v>
      </c>
      <c r="U5" s="11">
        <f>INDEX(Src_VRE!$Y$5:$Y$1156,MATCH(About!$B$2&amp;"|"&amp;$A$1&amp;"|"&amp;$A5,Src_VRE!$E$5:$E$1156,0))</f>
        <v>1</v>
      </c>
      <c r="V5" s="11">
        <f>INDEX(Src_VRE!$Z$5:$Z$1156,MATCH(About!$B$2&amp;"|"&amp;$A$1&amp;"|"&amp;$A5,Src_VRE!$E$5:$E$1156,0))</f>
        <v>1</v>
      </c>
      <c r="W5" s="11">
        <f>INDEX(Src_VRE!$AA$5:$AA$1156,MATCH(About!$B$2&amp;"|"&amp;$A$1&amp;"|"&amp;$A5,Src_VRE!$E$5:$E$1156,0))</f>
        <v>1</v>
      </c>
      <c r="X5" s="11">
        <f>INDEX(Src_VRE!$AB$5:$AB$1156,MATCH(About!$B$2&amp;"|"&amp;$A$1&amp;"|"&amp;$A5,Src_VRE!$E$5:$E$1156,0))</f>
        <v>1</v>
      </c>
      <c r="Y5" s="11">
        <f>INDEX(Src_VRE!$AC$5:$AC$1156,MATCH(About!$B$2&amp;"|"&amp;$A$1&amp;"|"&amp;$A5,Src_VRE!$E$5:$E$1156,0))</f>
        <v>1</v>
      </c>
    </row>
    <row r="6" spans="1:25" x14ac:dyDescent="0.45">
      <c r="A6" t="s">
        <v>428</v>
      </c>
      <c r="B6" s="11">
        <f>INDEX(Src_VRE!$F$5:$F$1156,MATCH(About!$B$2&amp;"|"&amp;$A$1&amp;"|"&amp;$A6,Src_VRE!$E$5:$E$1156,0))</f>
        <v>1</v>
      </c>
      <c r="C6" s="11">
        <f>INDEX(Src_VRE!$G$5:$G$1156,MATCH(About!$B$2&amp;"|"&amp;$A$1&amp;"|"&amp;$A6,Src_VRE!$E$5:$E$1156,0))</f>
        <v>1</v>
      </c>
      <c r="D6" s="11">
        <f>INDEX(Src_VRE!$H$5:$H$1156,MATCH(About!$B$2&amp;"|"&amp;$A$1&amp;"|"&amp;$A6,Src_VRE!$E$5:$E$1156,0))</f>
        <v>1</v>
      </c>
      <c r="E6" s="11">
        <f>INDEX(Src_VRE!$I$5:$I$1156,MATCH(About!$B$2&amp;"|"&amp;$A$1&amp;"|"&amp;$A6,Src_VRE!$E$5:$E$1156,0))</f>
        <v>1</v>
      </c>
      <c r="F6" s="11">
        <f>INDEX(Src_VRE!$J$5:$J$1156,MATCH(About!$B$2&amp;"|"&amp;$A$1&amp;"|"&amp;$A6,Src_VRE!$E$5:$E$1156,0))</f>
        <v>1</v>
      </c>
      <c r="G6" s="11">
        <f>INDEX(Src_VRE!$K$5:$K$1156,MATCH(About!$B$2&amp;"|"&amp;$A$1&amp;"|"&amp;$A6,Src_VRE!$E$5:$E$1156,0))</f>
        <v>8.5400000000000004E-2</v>
      </c>
      <c r="H6" s="11">
        <f>INDEX(Src_VRE!$L$5:$L$1156,MATCH(About!$B$2&amp;"|"&amp;$A$1&amp;"|"&amp;$A6,Src_VRE!$E$5:$E$1156,0))</f>
        <v>0.86199999999999999</v>
      </c>
      <c r="I6" s="11">
        <f>INDEX(Src_VRE!$M$5:$M$1156,MATCH(About!$B$2&amp;"|"&amp;$A$1&amp;"|"&amp;$A6,Src_VRE!$E$5:$E$1156,0))</f>
        <v>0.84179999999999999</v>
      </c>
      <c r="J6" s="11">
        <f>INDEX(Src_VRE!$N$5:$N$1156,MATCH(About!$B$2&amp;"|"&amp;$A$1&amp;"|"&amp;$A6,Src_VRE!$E$5:$E$1156,0))</f>
        <v>0.9425</v>
      </c>
      <c r="K6" s="11">
        <f>INDEX(Src_VRE!$O$5:$O$1156,MATCH(About!$B$2&amp;"|"&amp;$A$1&amp;"|"&amp;$A6,Src_VRE!$E$5:$E$1156,0))</f>
        <v>0.89100000000000001</v>
      </c>
      <c r="L6" s="11">
        <f>INDEX(Src_VRE!$P$5:$P$1156,MATCH(About!$B$2&amp;"|"&amp;$A$1&amp;"|"&amp;$A6,Src_VRE!$E$5:$E$1156,0))</f>
        <v>0.89429999999999998</v>
      </c>
      <c r="M6" s="11">
        <f>INDEX(Src_VRE!$Q$5:$Q$1156,MATCH(About!$B$2&amp;"|"&amp;$A$1&amp;"|"&amp;$A6,Src_VRE!$E$5:$E$1156,0))</f>
        <v>0.9425</v>
      </c>
      <c r="N6" s="11">
        <f>INDEX(Src_VRE!$R$5:$R$1156,MATCH(About!$B$2&amp;"|"&amp;$A$1&amp;"|"&amp;$A6,Src_VRE!$E$5:$E$1156,0))</f>
        <v>0.90269999999999995</v>
      </c>
      <c r="O6" s="11">
        <f>INDEX(Src_VRE!$S$5:$S$1156,MATCH(About!$B$2&amp;"|"&amp;$A$1&amp;"|"&amp;$A6,Src_VRE!$E$5:$E$1156,0))</f>
        <v>0.93559999999999999</v>
      </c>
      <c r="P6" s="11">
        <f>INDEX(Src_VRE!$T$5:$T$1156,MATCH(About!$B$2&amp;"|"&amp;$A$1&amp;"|"&amp;$A6,Src_VRE!$E$5:$E$1156,0))</f>
        <v>0.93979999999999997</v>
      </c>
      <c r="Q6" s="11">
        <f>INDEX(Src_VRE!$U$5:$U$1156,MATCH(About!$B$2&amp;"|"&amp;$A$1&amp;"|"&amp;$A6,Src_VRE!$E$5:$E$1156,0))</f>
        <v>0.89280000000000004</v>
      </c>
      <c r="R6" s="11">
        <f>INDEX(Src_VRE!$V$5:$V$1156,MATCH(About!$B$2&amp;"|"&amp;$A$1&amp;"|"&amp;$A6,Src_VRE!$E$5:$E$1156,0))</f>
        <v>0.9284</v>
      </c>
      <c r="S6" s="11">
        <f>INDEX(Src_VRE!$W$5:$W$1156,MATCH(About!$B$2&amp;"|"&amp;$A$1&amp;"|"&amp;$A6,Src_VRE!$E$5:$E$1156,0))</f>
        <v>0.96530000000000005</v>
      </c>
      <c r="T6" s="11">
        <f>INDEX(Src_VRE!$X$5:$X$1156,MATCH(About!$B$2&amp;"|"&amp;$A$1&amp;"|"&amp;$A6,Src_VRE!$E$5:$E$1156,0))</f>
        <v>0.3175</v>
      </c>
      <c r="U6" s="11">
        <f>INDEX(Src_VRE!$Y$5:$Y$1156,MATCH(About!$B$2&amp;"|"&amp;$A$1&amp;"|"&amp;$A6,Src_VRE!$E$5:$E$1156,0))</f>
        <v>1</v>
      </c>
      <c r="V6" s="11">
        <f>INDEX(Src_VRE!$Z$5:$Z$1156,MATCH(About!$B$2&amp;"|"&amp;$A$1&amp;"|"&amp;$A6,Src_VRE!$E$5:$E$1156,0))</f>
        <v>1</v>
      </c>
      <c r="W6" s="11">
        <f>INDEX(Src_VRE!$AA$5:$AA$1156,MATCH(About!$B$2&amp;"|"&amp;$A$1&amp;"|"&amp;$A6,Src_VRE!$E$5:$E$1156,0))</f>
        <v>1</v>
      </c>
      <c r="X6" s="11">
        <f>INDEX(Src_VRE!$AB$5:$AB$1156,MATCH(About!$B$2&amp;"|"&amp;$A$1&amp;"|"&amp;$A6,Src_VRE!$E$5:$E$1156,0))</f>
        <v>1</v>
      </c>
      <c r="Y6" s="11">
        <f>INDEX(Src_VRE!$AC$5:$AC$1156,MATCH(About!$B$2&amp;"|"&amp;$A$1&amp;"|"&amp;$A6,Src_VRE!$E$5:$E$1156,0))</f>
        <v>1</v>
      </c>
    </row>
    <row r="7" spans="1:25" x14ac:dyDescent="0.45">
      <c r="A7" t="s">
        <v>429</v>
      </c>
      <c r="B7" s="11">
        <f>INDEX(Src_VRE!$F$5:$F$1156,MATCH(About!$B$2&amp;"|"&amp;$A$1&amp;"|"&amp;$A7,Src_VRE!$E$5:$E$1156,0))</f>
        <v>1</v>
      </c>
      <c r="C7" s="11">
        <f>INDEX(Src_VRE!$G$5:$G$1156,MATCH(About!$B$2&amp;"|"&amp;$A$1&amp;"|"&amp;$A7,Src_VRE!$E$5:$E$1156,0))</f>
        <v>1</v>
      </c>
      <c r="D7" s="11">
        <f>INDEX(Src_VRE!$H$5:$H$1156,MATCH(About!$B$2&amp;"|"&amp;$A$1&amp;"|"&amp;$A7,Src_VRE!$E$5:$E$1156,0))</f>
        <v>1</v>
      </c>
      <c r="E7" s="11">
        <f>INDEX(Src_VRE!$I$5:$I$1156,MATCH(About!$B$2&amp;"|"&amp;$A$1&amp;"|"&amp;$A7,Src_VRE!$E$5:$E$1156,0))</f>
        <v>1</v>
      </c>
      <c r="F7" s="11">
        <f>INDEX(Src_VRE!$J$5:$J$1156,MATCH(About!$B$2&amp;"|"&amp;$A$1&amp;"|"&amp;$A7,Src_VRE!$E$5:$E$1156,0))</f>
        <v>1</v>
      </c>
      <c r="G7" s="11">
        <f>INDEX(Src_VRE!$K$5:$K$1156,MATCH(About!$B$2&amp;"|"&amp;$A$1&amp;"|"&amp;$A7,Src_VRE!$E$5:$E$1156,0))</f>
        <v>1</v>
      </c>
      <c r="H7" s="11">
        <f>INDEX(Src_VRE!$L$5:$L$1156,MATCH(About!$B$2&amp;"|"&amp;$A$1&amp;"|"&amp;$A7,Src_VRE!$E$5:$E$1156,0))</f>
        <v>1</v>
      </c>
      <c r="I7" s="11">
        <f>INDEX(Src_VRE!$M$5:$M$1156,MATCH(About!$B$2&amp;"|"&amp;$A$1&amp;"|"&amp;$A7,Src_VRE!$E$5:$E$1156,0))</f>
        <v>0.88959999999999995</v>
      </c>
      <c r="J7" s="11">
        <f>INDEX(Src_VRE!$N$5:$N$1156,MATCH(About!$B$2&amp;"|"&amp;$A$1&amp;"|"&amp;$A7,Src_VRE!$E$5:$E$1156,0))</f>
        <v>0.97260000000000002</v>
      </c>
      <c r="K7" s="11">
        <f>INDEX(Src_VRE!$O$5:$O$1156,MATCH(About!$B$2&amp;"|"&amp;$A$1&amp;"|"&amp;$A7,Src_VRE!$E$5:$E$1156,0))</f>
        <v>0.97209999999999996</v>
      </c>
      <c r="L7" s="11">
        <f>INDEX(Src_VRE!$P$5:$P$1156,MATCH(About!$B$2&amp;"|"&amp;$A$1&amp;"|"&amp;$A7,Src_VRE!$E$5:$E$1156,0))</f>
        <v>0.97089999999999999</v>
      </c>
      <c r="M7" s="11">
        <f>INDEX(Src_VRE!$Q$5:$Q$1156,MATCH(About!$B$2&amp;"|"&amp;$A$1&amp;"|"&amp;$A7,Src_VRE!$E$5:$E$1156,0))</f>
        <v>0.95040000000000002</v>
      </c>
      <c r="N7" s="11">
        <f>INDEX(Src_VRE!$R$5:$R$1156,MATCH(About!$B$2&amp;"|"&amp;$A$1&amp;"|"&amp;$A7,Src_VRE!$E$5:$E$1156,0))</f>
        <v>0.96609999999999996</v>
      </c>
      <c r="O7" s="11">
        <f>INDEX(Src_VRE!$S$5:$S$1156,MATCH(About!$B$2&amp;"|"&amp;$A$1&amp;"|"&amp;$A7,Src_VRE!$E$5:$E$1156,0))</f>
        <v>0.9758</v>
      </c>
      <c r="P7" s="11">
        <f>INDEX(Src_VRE!$T$5:$T$1156,MATCH(About!$B$2&amp;"|"&amp;$A$1&amp;"|"&amp;$A7,Src_VRE!$E$5:$E$1156,0))</f>
        <v>0.98250000000000004</v>
      </c>
      <c r="Q7" s="11">
        <f>INDEX(Src_VRE!$U$5:$U$1156,MATCH(About!$B$2&amp;"|"&amp;$A$1&amp;"|"&amp;$A7,Src_VRE!$E$5:$E$1156,0))</f>
        <v>0.94589999999999996</v>
      </c>
      <c r="R7" s="11">
        <f>INDEX(Src_VRE!$V$5:$V$1156,MATCH(About!$B$2&amp;"|"&amp;$A$1&amp;"|"&amp;$A7,Src_VRE!$E$5:$E$1156,0))</f>
        <v>0.58630000000000004</v>
      </c>
      <c r="S7" s="11">
        <f>INDEX(Src_VRE!$W$5:$W$1156,MATCH(About!$B$2&amp;"|"&amp;$A$1&amp;"|"&amp;$A7,Src_VRE!$E$5:$E$1156,0))</f>
        <v>0</v>
      </c>
      <c r="T7" s="11">
        <f>INDEX(Src_VRE!$X$5:$X$1156,MATCH(About!$B$2&amp;"|"&amp;$A$1&amp;"|"&amp;$A7,Src_VRE!$E$5:$E$1156,0))</f>
        <v>1</v>
      </c>
      <c r="U7" s="11">
        <f>INDEX(Src_VRE!$Y$5:$Y$1156,MATCH(About!$B$2&amp;"|"&amp;$A$1&amp;"|"&amp;$A7,Src_VRE!$E$5:$E$1156,0))</f>
        <v>1</v>
      </c>
      <c r="V7" s="11">
        <f>INDEX(Src_VRE!$Z$5:$Z$1156,MATCH(About!$B$2&amp;"|"&amp;$A$1&amp;"|"&amp;$A7,Src_VRE!$E$5:$E$1156,0))</f>
        <v>1</v>
      </c>
      <c r="W7" s="11">
        <f>INDEX(Src_VRE!$AA$5:$AA$1156,MATCH(About!$B$2&amp;"|"&amp;$A$1&amp;"|"&amp;$A7,Src_VRE!$E$5:$E$1156,0))</f>
        <v>1</v>
      </c>
      <c r="X7" s="11">
        <f>INDEX(Src_VRE!$AB$5:$AB$1156,MATCH(About!$B$2&amp;"|"&amp;$A$1&amp;"|"&amp;$A7,Src_VRE!$E$5:$E$1156,0))</f>
        <v>1</v>
      </c>
      <c r="Y7" s="11">
        <f>INDEX(Src_VRE!$AC$5:$AC$1156,MATCH(About!$B$2&amp;"|"&amp;$A$1&amp;"|"&amp;$A7,Src_VRE!$E$5:$E$1156,0))</f>
        <v>1</v>
      </c>
    </row>
  </sheetData>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1F3864"/>
  </sheetPr>
  <dimension ref="A1:Y7"/>
  <sheetViews>
    <sheetView workbookViewId="0"/>
  </sheetViews>
  <sheetFormatPr defaultRowHeight="14.25" x14ac:dyDescent="0.45"/>
  <sheetData>
    <row r="1" spans="1:25" x14ac:dyDescent="0.45">
      <c r="A1" t="s">
        <v>439</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INDEX(Src_VRE!$F$5:$F$1156,MATCH(About!$B$2&amp;"|"&amp;$A$1&amp;"|"&amp;$A2,Src_VRE!$E$5:$E$1156,0))</f>
        <v>1</v>
      </c>
      <c r="C2" s="11">
        <f>INDEX(Src_VRE!$G$5:$G$1156,MATCH(About!$B$2&amp;"|"&amp;$A$1&amp;"|"&amp;$A2,Src_VRE!$E$5:$E$1156,0))</f>
        <v>1</v>
      </c>
      <c r="D2" s="11">
        <f>INDEX(Src_VRE!$H$5:$H$1156,MATCH(About!$B$2&amp;"|"&amp;$A$1&amp;"|"&amp;$A2,Src_VRE!$E$5:$E$1156,0))</f>
        <v>1</v>
      </c>
      <c r="E2" s="11">
        <f>INDEX(Src_VRE!$I$5:$I$1156,MATCH(About!$B$2&amp;"|"&amp;$A$1&amp;"|"&amp;$A2,Src_VRE!$E$5:$E$1156,0))</f>
        <v>1</v>
      </c>
      <c r="F2" s="11">
        <f>INDEX(Src_VRE!$J$5:$J$1156,MATCH(About!$B$2&amp;"|"&amp;$A$1&amp;"|"&amp;$A2,Src_VRE!$E$5:$E$1156,0))</f>
        <v>1</v>
      </c>
      <c r="G2" s="11">
        <f>INDEX(Src_VRE!$K$5:$K$1156,MATCH(About!$B$2&amp;"|"&amp;$A$1&amp;"|"&amp;$A2,Src_VRE!$E$5:$E$1156,0))</f>
        <v>1</v>
      </c>
      <c r="H2" s="11">
        <f>INDEX(Src_VRE!$L$5:$L$1156,MATCH(About!$B$2&amp;"|"&amp;$A$1&amp;"|"&amp;$A2,Src_VRE!$E$5:$E$1156,0))</f>
        <v>1</v>
      </c>
      <c r="I2" s="11">
        <f>INDEX(Src_VRE!$M$5:$M$1156,MATCH(About!$B$2&amp;"|"&amp;$A$1&amp;"|"&amp;$A2,Src_VRE!$E$5:$E$1156,0))</f>
        <v>1</v>
      </c>
      <c r="J2" s="11">
        <f>INDEX(Src_VRE!$N$5:$N$1156,MATCH(About!$B$2&amp;"|"&amp;$A$1&amp;"|"&amp;$A2,Src_VRE!$E$5:$E$1156,0))</f>
        <v>1</v>
      </c>
      <c r="K2" s="11">
        <f>INDEX(Src_VRE!$O$5:$O$1156,MATCH(About!$B$2&amp;"|"&amp;$A$1&amp;"|"&amp;$A2,Src_VRE!$E$5:$E$1156,0))</f>
        <v>1</v>
      </c>
      <c r="L2" s="11">
        <f>INDEX(Src_VRE!$P$5:$P$1156,MATCH(About!$B$2&amp;"|"&amp;$A$1&amp;"|"&amp;$A2,Src_VRE!$E$5:$E$1156,0))</f>
        <v>1</v>
      </c>
      <c r="M2" s="11">
        <f>INDEX(Src_VRE!$Q$5:$Q$1156,MATCH(About!$B$2&amp;"|"&amp;$A$1&amp;"|"&amp;$A2,Src_VRE!$E$5:$E$1156,0))</f>
        <v>1</v>
      </c>
      <c r="N2" s="11">
        <f>INDEX(Src_VRE!$R$5:$R$1156,MATCH(About!$B$2&amp;"|"&amp;$A$1&amp;"|"&amp;$A2,Src_VRE!$E$5:$E$1156,0))</f>
        <v>1</v>
      </c>
      <c r="O2" s="11">
        <f>INDEX(Src_VRE!$S$5:$S$1156,MATCH(About!$B$2&amp;"|"&amp;$A$1&amp;"|"&amp;$A2,Src_VRE!$E$5:$E$1156,0))</f>
        <v>1</v>
      </c>
      <c r="P2" s="11">
        <f>INDEX(Src_VRE!$T$5:$T$1156,MATCH(About!$B$2&amp;"|"&amp;$A$1&amp;"|"&amp;$A2,Src_VRE!$E$5:$E$1156,0))</f>
        <v>1</v>
      </c>
      <c r="Q2" s="11">
        <f>INDEX(Src_VRE!$U$5:$U$1156,MATCH(About!$B$2&amp;"|"&amp;$A$1&amp;"|"&amp;$A2,Src_VRE!$E$5:$E$1156,0))</f>
        <v>1</v>
      </c>
      <c r="R2" s="11">
        <f>INDEX(Src_VRE!$V$5:$V$1156,MATCH(About!$B$2&amp;"|"&amp;$A$1&amp;"|"&amp;$A2,Src_VRE!$E$5:$E$1156,0))</f>
        <v>1</v>
      </c>
      <c r="S2" s="11">
        <f>INDEX(Src_VRE!$W$5:$W$1156,MATCH(About!$B$2&amp;"|"&amp;$A$1&amp;"|"&amp;$A2,Src_VRE!$E$5:$E$1156,0))</f>
        <v>1</v>
      </c>
      <c r="T2" s="11">
        <f>INDEX(Src_VRE!$X$5:$X$1156,MATCH(About!$B$2&amp;"|"&amp;$A$1&amp;"|"&amp;$A2,Src_VRE!$E$5:$E$1156,0))</f>
        <v>1</v>
      </c>
      <c r="U2" s="11">
        <f>INDEX(Src_VRE!$Y$5:$Y$1156,MATCH(About!$B$2&amp;"|"&amp;$A$1&amp;"|"&amp;$A2,Src_VRE!$E$5:$E$1156,0))</f>
        <v>1</v>
      </c>
      <c r="V2" s="11">
        <f>INDEX(Src_VRE!$Z$5:$Z$1156,MATCH(About!$B$2&amp;"|"&amp;$A$1&amp;"|"&amp;$A2,Src_VRE!$E$5:$E$1156,0))</f>
        <v>1</v>
      </c>
      <c r="W2" s="11">
        <f>INDEX(Src_VRE!$AA$5:$AA$1156,MATCH(About!$B$2&amp;"|"&amp;$A$1&amp;"|"&amp;$A2,Src_VRE!$E$5:$E$1156,0))</f>
        <v>1</v>
      </c>
      <c r="X2" s="11">
        <f>INDEX(Src_VRE!$AB$5:$AB$1156,MATCH(About!$B$2&amp;"|"&amp;$A$1&amp;"|"&amp;$A2,Src_VRE!$E$5:$E$1156,0))</f>
        <v>1</v>
      </c>
      <c r="Y2" s="11">
        <f>INDEX(Src_VRE!$AC$5:$AC$1156,MATCH(About!$B$2&amp;"|"&amp;$A$1&amp;"|"&amp;$A2,Src_VRE!$E$5:$E$1156,0))</f>
        <v>1</v>
      </c>
    </row>
    <row r="3" spans="1:25" x14ac:dyDescent="0.45">
      <c r="A3" t="s">
        <v>425</v>
      </c>
      <c r="B3" s="11">
        <f>INDEX(Src_VRE!$F$5:$F$1156,MATCH(About!$B$2&amp;"|"&amp;$A$1&amp;"|"&amp;$A3,Src_VRE!$E$5:$E$1156,0))</f>
        <v>1</v>
      </c>
      <c r="C3" s="11">
        <f>INDEX(Src_VRE!$G$5:$G$1156,MATCH(About!$B$2&amp;"|"&amp;$A$1&amp;"|"&amp;$A3,Src_VRE!$E$5:$E$1156,0))</f>
        <v>1</v>
      </c>
      <c r="D3" s="11">
        <f>INDEX(Src_VRE!$H$5:$H$1156,MATCH(About!$B$2&amp;"|"&amp;$A$1&amp;"|"&amp;$A3,Src_VRE!$E$5:$E$1156,0))</f>
        <v>1</v>
      </c>
      <c r="E3" s="11">
        <f>INDEX(Src_VRE!$I$5:$I$1156,MATCH(About!$B$2&amp;"|"&amp;$A$1&amp;"|"&amp;$A3,Src_VRE!$E$5:$E$1156,0))</f>
        <v>1</v>
      </c>
      <c r="F3" s="11">
        <f>INDEX(Src_VRE!$J$5:$J$1156,MATCH(About!$B$2&amp;"|"&amp;$A$1&amp;"|"&amp;$A3,Src_VRE!$E$5:$E$1156,0))</f>
        <v>1</v>
      </c>
      <c r="G3" s="11">
        <f>INDEX(Src_VRE!$K$5:$K$1156,MATCH(About!$B$2&amp;"|"&amp;$A$1&amp;"|"&amp;$A3,Src_VRE!$E$5:$E$1156,0))</f>
        <v>1</v>
      </c>
      <c r="H3" s="11">
        <f>INDEX(Src_VRE!$L$5:$L$1156,MATCH(About!$B$2&amp;"|"&amp;$A$1&amp;"|"&amp;$A3,Src_VRE!$E$5:$E$1156,0))</f>
        <v>1</v>
      </c>
      <c r="I3" s="11">
        <f>INDEX(Src_VRE!$M$5:$M$1156,MATCH(About!$B$2&amp;"|"&amp;$A$1&amp;"|"&amp;$A3,Src_VRE!$E$5:$E$1156,0))</f>
        <v>1</v>
      </c>
      <c r="J3" s="11">
        <f>INDEX(Src_VRE!$N$5:$N$1156,MATCH(About!$B$2&amp;"|"&amp;$A$1&amp;"|"&amp;$A3,Src_VRE!$E$5:$E$1156,0))</f>
        <v>1</v>
      </c>
      <c r="K3" s="11">
        <f>INDEX(Src_VRE!$O$5:$O$1156,MATCH(About!$B$2&amp;"|"&amp;$A$1&amp;"|"&amp;$A3,Src_VRE!$E$5:$E$1156,0))</f>
        <v>1</v>
      </c>
      <c r="L3" s="11">
        <f>INDEX(Src_VRE!$P$5:$P$1156,MATCH(About!$B$2&amp;"|"&amp;$A$1&amp;"|"&amp;$A3,Src_VRE!$E$5:$E$1156,0))</f>
        <v>1</v>
      </c>
      <c r="M3" s="11">
        <f>INDEX(Src_VRE!$Q$5:$Q$1156,MATCH(About!$B$2&amp;"|"&amp;$A$1&amp;"|"&amp;$A3,Src_VRE!$E$5:$E$1156,0))</f>
        <v>1</v>
      </c>
      <c r="N3" s="11">
        <f>INDEX(Src_VRE!$R$5:$R$1156,MATCH(About!$B$2&amp;"|"&amp;$A$1&amp;"|"&amp;$A3,Src_VRE!$E$5:$E$1156,0))</f>
        <v>1</v>
      </c>
      <c r="O3" s="11">
        <f>INDEX(Src_VRE!$S$5:$S$1156,MATCH(About!$B$2&amp;"|"&amp;$A$1&amp;"|"&amp;$A3,Src_VRE!$E$5:$E$1156,0))</f>
        <v>1</v>
      </c>
      <c r="P3" s="11">
        <f>INDEX(Src_VRE!$T$5:$T$1156,MATCH(About!$B$2&amp;"|"&amp;$A$1&amp;"|"&amp;$A3,Src_VRE!$E$5:$E$1156,0))</f>
        <v>1</v>
      </c>
      <c r="Q3" s="11">
        <f>INDEX(Src_VRE!$U$5:$U$1156,MATCH(About!$B$2&amp;"|"&amp;$A$1&amp;"|"&amp;$A3,Src_VRE!$E$5:$E$1156,0))</f>
        <v>1</v>
      </c>
      <c r="R3" s="11">
        <f>INDEX(Src_VRE!$V$5:$V$1156,MATCH(About!$B$2&amp;"|"&amp;$A$1&amp;"|"&amp;$A3,Src_VRE!$E$5:$E$1156,0))</f>
        <v>1</v>
      </c>
      <c r="S3" s="11">
        <f>INDEX(Src_VRE!$W$5:$W$1156,MATCH(About!$B$2&amp;"|"&amp;$A$1&amp;"|"&amp;$A3,Src_VRE!$E$5:$E$1156,0))</f>
        <v>1</v>
      </c>
      <c r="T3" s="11">
        <f>INDEX(Src_VRE!$X$5:$X$1156,MATCH(About!$B$2&amp;"|"&amp;$A$1&amp;"|"&amp;$A3,Src_VRE!$E$5:$E$1156,0))</f>
        <v>1</v>
      </c>
      <c r="U3" s="11">
        <f>INDEX(Src_VRE!$Y$5:$Y$1156,MATCH(About!$B$2&amp;"|"&amp;$A$1&amp;"|"&amp;$A3,Src_VRE!$E$5:$E$1156,0))</f>
        <v>1</v>
      </c>
      <c r="V3" s="11">
        <f>INDEX(Src_VRE!$Z$5:$Z$1156,MATCH(About!$B$2&amp;"|"&amp;$A$1&amp;"|"&amp;$A3,Src_VRE!$E$5:$E$1156,0))</f>
        <v>1</v>
      </c>
      <c r="W3" s="11">
        <f>INDEX(Src_VRE!$AA$5:$AA$1156,MATCH(About!$B$2&amp;"|"&amp;$A$1&amp;"|"&amp;$A3,Src_VRE!$E$5:$E$1156,0))</f>
        <v>1</v>
      </c>
      <c r="X3" s="11">
        <f>INDEX(Src_VRE!$AB$5:$AB$1156,MATCH(About!$B$2&amp;"|"&amp;$A$1&amp;"|"&amp;$A3,Src_VRE!$E$5:$E$1156,0))</f>
        <v>1</v>
      </c>
      <c r="Y3" s="11">
        <f>INDEX(Src_VRE!$AC$5:$AC$1156,MATCH(About!$B$2&amp;"|"&amp;$A$1&amp;"|"&amp;$A3,Src_VRE!$E$5:$E$1156,0))</f>
        <v>1</v>
      </c>
    </row>
    <row r="4" spans="1:25" x14ac:dyDescent="0.45">
      <c r="A4" t="s">
        <v>426</v>
      </c>
      <c r="B4" s="11">
        <f>INDEX(Src_VRE!$F$5:$F$1156,MATCH(About!$B$2&amp;"|"&amp;$A$1&amp;"|"&amp;$A4,Src_VRE!$E$5:$E$1156,0))</f>
        <v>1</v>
      </c>
      <c r="C4" s="11">
        <f>INDEX(Src_VRE!$G$5:$G$1156,MATCH(About!$B$2&amp;"|"&amp;$A$1&amp;"|"&amp;$A4,Src_VRE!$E$5:$E$1156,0))</f>
        <v>1</v>
      </c>
      <c r="D4" s="11">
        <f>INDEX(Src_VRE!$H$5:$H$1156,MATCH(About!$B$2&amp;"|"&amp;$A$1&amp;"|"&amp;$A4,Src_VRE!$E$5:$E$1156,0))</f>
        <v>1</v>
      </c>
      <c r="E4" s="11">
        <f>INDEX(Src_VRE!$I$5:$I$1156,MATCH(About!$B$2&amp;"|"&amp;$A$1&amp;"|"&amp;$A4,Src_VRE!$E$5:$E$1156,0))</f>
        <v>1</v>
      </c>
      <c r="F4" s="11">
        <f>INDEX(Src_VRE!$J$5:$J$1156,MATCH(About!$B$2&amp;"|"&amp;$A$1&amp;"|"&amp;$A4,Src_VRE!$E$5:$E$1156,0))</f>
        <v>1</v>
      </c>
      <c r="G4" s="11">
        <f>INDEX(Src_VRE!$K$5:$K$1156,MATCH(About!$B$2&amp;"|"&amp;$A$1&amp;"|"&amp;$A4,Src_VRE!$E$5:$E$1156,0))</f>
        <v>1</v>
      </c>
      <c r="H4" s="11">
        <f>INDEX(Src_VRE!$L$5:$L$1156,MATCH(About!$B$2&amp;"|"&amp;$A$1&amp;"|"&amp;$A4,Src_VRE!$E$5:$E$1156,0))</f>
        <v>1</v>
      </c>
      <c r="I4" s="11">
        <f>INDEX(Src_VRE!$M$5:$M$1156,MATCH(About!$B$2&amp;"|"&amp;$A$1&amp;"|"&amp;$A4,Src_VRE!$E$5:$E$1156,0))</f>
        <v>1</v>
      </c>
      <c r="J4" s="11">
        <f>INDEX(Src_VRE!$N$5:$N$1156,MATCH(About!$B$2&amp;"|"&amp;$A$1&amp;"|"&amp;$A4,Src_VRE!$E$5:$E$1156,0))</f>
        <v>1</v>
      </c>
      <c r="K4" s="11">
        <f>INDEX(Src_VRE!$O$5:$O$1156,MATCH(About!$B$2&amp;"|"&amp;$A$1&amp;"|"&amp;$A4,Src_VRE!$E$5:$E$1156,0))</f>
        <v>1</v>
      </c>
      <c r="L4" s="11">
        <f>INDEX(Src_VRE!$P$5:$P$1156,MATCH(About!$B$2&amp;"|"&amp;$A$1&amp;"|"&amp;$A4,Src_VRE!$E$5:$E$1156,0))</f>
        <v>1</v>
      </c>
      <c r="M4" s="11">
        <f>INDEX(Src_VRE!$Q$5:$Q$1156,MATCH(About!$B$2&amp;"|"&amp;$A$1&amp;"|"&amp;$A4,Src_VRE!$E$5:$E$1156,0))</f>
        <v>1</v>
      </c>
      <c r="N4" s="11">
        <f>INDEX(Src_VRE!$R$5:$R$1156,MATCH(About!$B$2&amp;"|"&amp;$A$1&amp;"|"&amp;$A4,Src_VRE!$E$5:$E$1156,0))</f>
        <v>1</v>
      </c>
      <c r="O4" s="11">
        <f>INDEX(Src_VRE!$S$5:$S$1156,MATCH(About!$B$2&amp;"|"&amp;$A$1&amp;"|"&amp;$A4,Src_VRE!$E$5:$E$1156,0))</f>
        <v>1</v>
      </c>
      <c r="P4" s="11">
        <f>INDEX(Src_VRE!$T$5:$T$1156,MATCH(About!$B$2&amp;"|"&amp;$A$1&amp;"|"&amp;$A4,Src_VRE!$E$5:$E$1156,0))</f>
        <v>1</v>
      </c>
      <c r="Q4" s="11">
        <f>INDEX(Src_VRE!$U$5:$U$1156,MATCH(About!$B$2&amp;"|"&amp;$A$1&amp;"|"&amp;$A4,Src_VRE!$E$5:$E$1156,0))</f>
        <v>1</v>
      </c>
      <c r="R4" s="11">
        <f>INDEX(Src_VRE!$V$5:$V$1156,MATCH(About!$B$2&amp;"|"&amp;$A$1&amp;"|"&amp;$A4,Src_VRE!$E$5:$E$1156,0))</f>
        <v>1</v>
      </c>
      <c r="S4" s="11">
        <f>INDEX(Src_VRE!$W$5:$W$1156,MATCH(About!$B$2&amp;"|"&amp;$A$1&amp;"|"&amp;$A4,Src_VRE!$E$5:$E$1156,0))</f>
        <v>1</v>
      </c>
      <c r="T4" s="11">
        <f>INDEX(Src_VRE!$X$5:$X$1156,MATCH(About!$B$2&amp;"|"&amp;$A$1&amp;"|"&amp;$A4,Src_VRE!$E$5:$E$1156,0))</f>
        <v>1</v>
      </c>
      <c r="U4" s="11">
        <f>INDEX(Src_VRE!$Y$5:$Y$1156,MATCH(About!$B$2&amp;"|"&amp;$A$1&amp;"|"&amp;$A4,Src_VRE!$E$5:$E$1156,0))</f>
        <v>1</v>
      </c>
      <c r="V4" s="11">
        <f>INDEX(Src_VRE!$Z$5:$Z$1156,MATCH(About!$B$2&amp;"|"&amp;$A$1&amp;"|"&amp;$A4,Src_VRE!$E$5:$E$1156,0))</f>
        <v>1</v>
      </c>
      <c r="W4" s="11">
        <f>INDEX(Src_VRE!$AA$5:$AA$1156,MATCH(About!$B$2&amp;"|"&amp;$A$1&amp;"|"&amp;$A4,Src_VRE!$E$5:$E$1156,0))</f>
        <v>1</v>
      </c>
      <c r="X4" s="11">
        <f>INDEX(Src_VRE!$AB$5:$AB$1156,MATCH(About!$B$2&amp;"|"&amp;$A$1&amp;"|"&amp;$A4,Src_VRE!$E$5:$E$1156,0))</f>
        <v>1</v>
      </c>
      <c r="Y4" s="11">
        <f>INDEX(Src_VRE!$AC$5:$AC$1156,MATCH(About!$B$2&amp;"|"&amp;$A$1&amp;"|"&amp;$A4,Src_VRE!$E$5:$E$1156,0))</f>
        <v>1</v>
      </c>
    </row>
    <row r="5" spans="1:25" x14ac:dyDescent="0.45">
      <c r="A5" t="s">
        <v>427</v>
      </c>
      <c r="B5" s="11">
        <f>INDEX(Src_VRE!$F$5:$F$1156,MATCH(About!$B$2&amp;"|"&amp;$A$1&amp;"|"&amp;$A5,Src_VRE!$E$5:$E$1156,0))</f>
        <v>1</v>
      </c>
      <c r="C5" s="11">
        <f>INDEX(Src_VRE!$G$5:$G$1156,MATCH(About!$B$2&amp;"|"&amp;$A$1&amp;"|"&amp;$A5,Src_VRE!$E$5:$E$1156,0))</f>
        <v>1</v>
      </c>
      <c r="D5" s="11">
        <f>INDEX(Src_VRE!$H$5:$H$1156,MATCH(About!$B$2&amp;"|"&amp;$A$1&amp;"|"&amp;$A5,Src_VRE!$E$5:$E$1156,0))</f>
        <v>1</v>
      </c>
      <c r="E5" s="11">
        <f>INDEX(Src_VRE!$I$5:$I$1156,MATCH(About!$B$2&amp;"|"&amp;$A$1&amp;"|"&amp;$A5,Src_VRE!$E$5:$E$1156,0))</f>
        <v>1</v>
      </c>
      <c r="F5" s="11">
        <f>INDEX(Src_VRE!$J$5:$J$1156,MATCH(About!$B$2&amp;"|"&amp;$A$1&amp;"|"&amp;$A5,Src_VRE!$E$5:$E$1156,0))</f>
        <v>1</v>
      </c>
      <c r="G5" s="11">
        <f>INDEX(Src_VRE!$K$5:$K$1156,MATCH(About!$B$2&amp;"|"&amp;$A$1&amp;"|"&amp;$A5,Src_VRE!$E$5:$E$1156,0))</f>
        <v>1</v>
      </c>
      <c r="H5" s="11">
        <f>INDEX(Src_VRE!$L$5:$L$1156,MATCH(About!$B$2&amp;"|"&amp;$A$1&amp;"|"&amp;$A5,Src_VRE!$E$5:$E$1156,0))</f>
        <v>1</v>
      </c>
      <c r="I5" s="11">
        <f>INDEX(Src_VRE!$M$5:$M$1156,MATCH(About!$B$2&amp;"|"&amp;$A$1&amp;"|"&amp;$A5,Src_VRE!$E$5:$E$1156,0))</f>
        <v>1</v>
      </c>
      <c r="J5" s="11">
        <f>INDEX(Src_VRE!$N$5:$N$1156,MATCH(About!$B$2&amp;"|"&amp;$A$1&amp;"|"&amp;$A5,Src_VRE!$E$5:$E$1156,0))</f>
        <v>1</v>
      </c>
      <c r="K5" s="11">
        <f>INDEX(Src_VRE!$O$5:$O$1156,MATCH(About!$B$2&amp;"|"&amp;$A$1&amp;"|"&amp;$A5,Src_VRE!$E$5:$E$1156,0))</f>
        <v>1</v>
      </c>
      <c r="L5" s="11">
        <f>INDEX(Src_VRE!$P$5:$P$1156,MATCH(About!$B$2&amp;"|"&amp;$A$1&amp;"|"&amp;$A5,Src_VRE!$E$5:$E$1156,0))</f>
        <v>1</v>
      </c>
      <c r="M5" s="11">
        <f>INDEX(Src_VRE!$Q$5:$Q$1156,MATCH(About!$B$2&amp;"|"&amp;$A$1&amp;"|"&amp;$A5,Src_VRE!$E$5:$E$1156,0))</f>
        <v>1</v>
      </c>
      <c r="N5" s="11">
        <f>INDEX(Src_VRE!$R$5:$R$1156,MATCH(About!$B$2&amp;"|"&amp;$A$1&amp;"|"&amp;$A5,Src_VRE!$E$5:$E$1156,0))</f>
        <v>1</v>
      </c>
      <c r="O5" s="11">
        <f>INDEX(Src_VRE!$S$5:$S$1156,MATCH(About!$B$2&amp;"|"&amp;$A$1&amp;"|"&amp;$A5,Src_VRE!$E$5:$E$1156,0))</f>
        <v>1</v>
      </c>
      <c r="P5" s="11">
        <f>INDEX(Src_VRE!$T$5:$T$1156,MATCH(About!$B$2&amp;"|"&amp;$A$1&amp;"|"&amp;$A5,Src_VRE!$E$5:$E$1156,0))</f>
        <v>1</v>
      </c>
      <c r="Q5" s="11">
        <f>INDEX(Src_VRE!$U$5:$U$1156,MATCH(About!$B$2&amp;"|"&amp;$A$1&amp;"|"&amp;$A5,Src_VRE!$E$5:$E$1156,0))</f>
        <v>1</v>
      </c>
      <c r="R5" s="11">
        <f>INDEX(Src_VRE!$V$5:$V$1156,MATCH(About!$B$2&amp;"|"&amp;$A$1&amp;"|"&amp;$A5,Src_VRE!$E$5:$E$1156,0))</f>
        <v>1</v>
      </c>
      <c r="S5" s="11">
        <f>INDEX(Src_VRE!$W$5:$W$1156,MATCH(About!$B$2&amp;"|"&amp;$A$1&amp;"|"&amp;$A5,Src_VRE!$E$5:$E$1156,0))</f>
        <v>1</v>
      </c>
      <c r="T5" s="11">
        <f>INDEX(Src_VRE!$X$5:$X$1156,MATCH(About!$B$2&amp;"|"&amp;$A$1&amp;"|"&amp;$A5,Src_VRE!$E$5:$E$1156,0))</f>
        <v>1</v>
      </c>
      <c r="U5" s="11">
        <f>INDEX(Src_VRE!$Y$5:$Y$1156,MATCH(About!$B$2&amp;"|"&amp;$A$1&amp;"|"&amp;$A5,Src_VRE!$E$5:$E$1156,0))</f>
        <v>1</v>
      </c>
      <c r="V5" s="11">
        <f>INDEX(Src_VRE!$Z$5:$Z$1156,MATCH(About!$B$2&amp;"|"&amp;$A$1&amp;"|"&amp;$A5,Src_VRE!$E$5:$E$1156,0))</f>
        <v>1</v>
      </c>
      <c r="W5" s="11">
        <f>INDEX(Src_VRE!$AA$5:$AA$1156,MATCH(About!$B$2&amp;"|"&amp;$A$1&amp;"|"&amp;$A5,Src_VRE!$E$5:$E$1156,0))</f>
        <v>1</v>
      </c>
      <c r="X5" s="11">
        <f>INDEX(Src_VRE!$AB$5:$AB$1156,MATCH(About!$B$2&amp;"|"&amp;$A$1&amp;"|"&amp;$A5,Src_VRE!$E$5:$E$1156,0))</f>
        <v>1</v>
      </c>
      <c r="Y5" s="11">
        <f>INDEX(Src_VRE!$AC$5:$AC$1156,MATCH(About!$B$2&amp;"|"&amp;$A$1&amp;"|"&amp;$A5,Src_VRE!$E$5:$E$1156,0))</f>
        <v>1</v>
      </c>
    </row>
    <row r="6" spans="1:25" x14ac:dyDescent="0.45">
      <c r="A6" t="s">
        <v>428</v>
      </c>
      <c r="B6" s="11">
        <f>INDEX(Src_VRE!$F$5:$F$1156,MATCH(About!$B$2&amp;"|"&amp;$A$1&amp;"|"&amp;$A6,Src_VRE!$E$5:$E$1156,0))</f>
        <v>1</v>
      </c>
      <c r="C6" s="11">
        <f>INDEX(Src_VRE!$G$5:$G$1156,MATCH(About!$B$2&amp;"|"&amp;$A$1&amp;"|"&amp;$A6,Src_VRE!$E$5:$E$1156,0))</f>
        <v>1</v>
      </c>
      <c r="D6" s="11">
        <f>INDEX(Src_VRE!$H$5:$H$1156,MATCH(About!$B$2&amp;"|"&amp;$A$1&amp;"|"&amp;$A6,Src_VRE!$E$5:$E$1156,0))</f>
        <v>1</v>
      </c>
      <c r="E6" s="11">
        <f>INDEX(Src_VRE!$I$5:$I$1156,MATCH(About!$B$2&amp;"|"&amp;$A$1&amp;"|"&amp;$A6,Src_VRE!$E$5:$E$1156,0))</f>
        <v>1</v>
      </c>
      <c r="F6" s="11">
        <f>INDEX(Src_VRE!$J$5:$J$1156,MATCH(About!$B$2&amp;"|"&amp;$A$1&amp;"|"&amp;$A6,Src_VRE!$E$5:$E$1156,0))</f>
        <v>1</v>
      </c>
      <c r="G6" s="11">
        <f>INDEX(Src_VRE!$K$5:$K$1156,MATCH(About!$B$2&amp;"|"&amp;$A$1&amp;"|"&amp;$A6,Src_VRE!$E$5:$E$1156,0))</f>
        <v>1</v>
      </c>
      <c r="H6" s="11">
        <f>INDEX(Src_VRE!$L$5:$L$1156,MATCH(About!$B$2&amp;"|"&amp;$A$1&amp;"|"&amp;$A6,Src_VRE!$E$5:$E$1156,0))</f>
        <v>1</v>
      </c>
      <c r="I6" s="11">
        <f>INDEX(Src_VRE!$M$5:$M$1156,MATCH(About!$B$2&amp;"|"&amp;$A$1&amp;"|"&amp;$A6,Src_VRE!$E$5:$E$1156,0))</f>
        <v>0</v>
      </c>
      <c r="J6" s="11">
        <f>INDEX(Src_VRE!$N$5:$N$1156,MATCH(About!$B$2&amp;"|"&amp;$A$1&amp;"|"&amp;$A6,Src_VRE!$E$5:$E$1156,0))</f>
        <v>0.8639</v>
      </c>
      <c r="K6" s="11">
        <f>INDEX(Src_VRE!$O$5:$O$1156,MATCH(About!$B$2&amp;"|"&amp;$A$1&amp;"|"&amp;$A6,Src_VRE!$E$5:$E$1156,0))</f>
        <v>1</v>
      </c>
      <c r="L6" s="11">
        <f>INDEX(Src_VRE!$P$5:$P$1156,MATCH(About!$B$2&amp;"|"&amp;$A$1&amp;"|"&amp;$A6,Src_VRE!$E$5:$E$1156,0))</f>
        <v>1</v>
      </c>
      <c r="M6" s="11">
        <f>INDEX(Src_VRE!$Q$5:$Q$1156,MATCH(About!$B$2&amp;"|"&amp;$A$1&amp;"|"&amp;$A6,Src_VRE!$E$5:$E$1156,0))</f>
        <v>0.97160000000000002</v>
      </c>
      <c r="N6" s="11">
        <f>INDEX(Src_VRE!$R$5:$R$1156,MATCH(About!$B$2&amp;"|"&amp;$A$1&amp;"|"&amp;$A6,Src_VRE!$E$5:$E$1156,0))</f>
        <v>0.96719999999999995</v>
      </c>
      <c r="O6" s="11">
        <f>INDEX(Src_VRE!$S$5:$S$1156,MATCH(About!$B$2&amp;"|"&amp;$A$1&amp;"|"&amp;$A6,Src_VRE!$E$5:$E$1156,0))</f>
        <v>1</v>
      </c>
      <c r="P6" s="11">
        <f>INDEX(Src_VRE!$T$5:$T$1156,MATCH(About!$B$2&amp;"|"&amp;$A$1&amp;"|"&amp;$A6,Src_VRE!$E$5:$E$1156,0))</f>
        <v>1</v>
      </c>
      <c r="Q6" s="11">
        <f>INDEX(Src_VRE!$U$5:$U$1156,MATCH(About!$B$2&amp;"|"&amp;$A$1&amp;"|"&amp;$A6,Src_VRE!$E$5:$E$1156,0))</f>
        <v>1</v>
      </c>
      <c r="R6" s="11">
        <f>INDEX(Src_VRE!$V$5:$V$1156,MATCH(About!$B$2&amp;"|"&amp;$A$1&amp;"|"&amp;$A6,Src_VRE!$E$5:$E$1156,0))</f>
        <v>1</v>
      </c>
      <c r="S6" s="11">
        <f>INDEX(Src_VRE!$W$5:$W$1156,MATCH(About!$B$2&amp;"|"&amp;$A$1&amp;"|"&amp;$A6,Src_VRE!$E$5:$E$1156,0))</f>
        <v>1</v>
      </c>
      <c r="T6" s="11">
        <f>INDEX(Src_VRE!$X$5:$X$1156,MATCH(About!$B$2&amp;"|"&amp;$A$1&amp;"|"&amp;$A6,Src_VRE!$E$5:$E$1156,0))</f>
        <v>1</v>
      </c>
      <c r="U6" s="11">
        <f>INDEX(Src_VRE!$Y$5:$Y$1156,MATCH(About!$B$2&amp;"|"&amp;$A$1&amp;"|"&amp;$A6,Src_VRE!$E$5:$E$1156,0))</f>
        <v>0.93130000000000002</v>
      </c>
      <c r="V6" s="11">
        <f>INDEX(Src_VRE!$Z$5:$Z$1156,MATCH(About!$B$2&amp;"|"&amp;$A$1&amp;"|"&amp;$A6,Src_VRE!$E$5:$E$1156,0))</f>
        <v>0.70220000000000005</v>
      </c>
      <c r="W6" s="11">
        <f>INDEX(Src_VRE!$AA$5:$AA$1156,MATCH(About!$B$2&amp;"|"&amp;$A$1&amp;"|"&amp;$A6,Src_VRE!$E$5:$E$1156,0))</f>
        <v>1</v>
      </c>
      <c r="X6" s="11">
        <f>INDEX(Src_VRE!$AB$5:$AB$1156,MATCH(About!$B$2&amp;"|"&amp;$A$1&amp;"|"&amp;$A6,Src_VRE!$E$5:$E$1156,0))</f>
        <v>1</v>
      </c>
      <c r="Y6" s="11">
        <f>INDEX(Src_VRE!$AC$5:$AC$1156,MATCH(About!$B$2&amp;"|"&amp;$A$1&amp;"|"&amp;$A6,Src_VRE!$E$5:$E$1156,0))</f>
        <v>1</v>
      </c>
    </row>
    <row r="7" spans="1:25" x14ac:dyDescent="0.45">
      <c r="A7" t="s">
        <v>429</v>
      </c>
      <c r="B7" s="11">
        <f>INDEX(Src_VRE!$F$5:$F$1156,MATCH(About!$B$2&amp;"|"&amp;$A$1&amp;"|"&amp;$A7,Src_VRE!$E$5:$E$1156,0))</f>
        <v>1</v>
      </c>
      <c r="C7" s="11">
        <f>INDEX(Src_VRE!$G$5:$G$1156,MATCH(About!$B$2&amp;"|"&amp;$A$1&amp;"|"&amp;$A7,Src_VRE!$E$5:$E$1156,0))</f>
        <v>1</v>
      </c>
      <c r="D7" s="11">
        <f>INDEX(Src_VRE!$H$5:$H$1156,MATCH(About!$B$2&amp;"|"&amp;$A$1&amp;"|"&amp;$A7,Src_VRE!$E$5:$E$1156,0))</f>
        <v>1</v>
      </c>
      <c r="E7" s="11">
        <f>INDEX(Src_VRE!$I$5:$I$1156,MATCH(About!$B$2&amp;"|"&amp;$A$1&amp;"|"&amp;$A7,Src_VRE!$E$5:$E$1156,0))</f>
        <v>1</v>
      </c>
      <c r="F7" s="11">
        <f>INDEX(Src_VRE!$J$5:$J$1156,MATCH(About!$B$2&amp;"|"&amp;$A$1&amp;"|"&amp;$A7,Src_VRE!$E$5:$E$1156,0))</f>
        <v>1</v>
      </c>
      <c r="G7" s="11">
        <f>INDEX(Src_VRE!$K$5:$K$1156,MATCH(About!$B$2&amp;"|"&amp;$A$1&amp;"|"&amp;$A7,Src_VRE!$E$5:$E$1156,0))</f>
        <v>1</v>
      </c>
      <c r="H7" s="11">
        <f>INDEX(Src_VRE!$L$5:$L$1156,MATCH(About!$B$2&amp;"|"&amp;$A$1&amp;"|"&amp;$A7,Src_VRE!$E$5:$E$1156,0))</f>
        <v>1</v>
      </c>
      <c r="I7" s="11">
        <f>INDEX(Src_VRE!$M$5:$M$1156,MATCH(About!$B$2&amp;"|"&amp;$A$1&amp;"|"&amp;$A7,Src_VRE!$E$5:$E$1156,0))</f>
        <v>1</v>
      </c>
      <c r="J7" s="11">
        <f>INDEX(Src_VRE!$N$5:$N$1156,MATCH(About!$B$2&amp;"|"&amp;$A$1&amp;"|"&amp;$A7,Src_VRE!$E$5:$E$1156,0))</f>
        <v>1</v>
      </c>
      <c r="K7" s="11">
        <f>INDEX(Src_VRE!$O$5:$O$1156,MATCH(About!$B$2&amp;"|"&amp;$A$1&amp;"|"&amp;$A7,Src_VRE!$E$5:$E$1156,0))</f>
        <v>0.2419</v>
      </c>
      <c r="L7" s="11">
        <f>INDEX(Src_VRE!$P$5:$P$1156,MATCH(About!$B$2&amp;"|"&amp;$A$1&amp;"|"&amp;$A7,Src_VRE!$E$5:$E$1156,0))</f>
        <v>0.95320000000000005</v>
      </c>
      <c r="M7" s="11">
        <f>INDEX(Src_VRE!$Q$5:$Q$1156,MATCH(About!$B$2&amp;"|"&amp;$A$1&amp;"|"&amp;$A7,Src_VRE!$E$5:$E$1156,0))</f>
        <v>0.88039999999999996</v>
      </c>
      <c r="N7" s="11">
        <f>INDEX(Src_VRE!$R$5:$R$1156,MATCH(About!$B$2&amp;"|"&amp;$A$1&amp;"|"&amp;$A7,Src_VRE!$E$5:$E$1156,0))</f>
        <v>0.97819999999999996</v>
      </c>
      <c r="O7" s="11">
        <f>INDEX(Src_VRE!$S$5:$S$1156,MATCH(About!$B$2&amp;"|"&amp;$A$1&amp;"|"&amp;$A7,Src_VRE!$E$5:$E$1156,0))</f>
        <v>0.98950000000000005</v>
      </c>
      <c r="P7" s="11">
        <f>INDEX(Src_VRE!$T$5:$T$1156,MATCH(About!$B$2&amp;"|"&amp;$A$1&amp;"|"&amp;$A7,Src_VRE!$E$5:$E$1156,0))</f>
        <v>0.99270000000000003</v>
      </c>
      <c r="Q7" s="11">
        <f>INDEX(Src_VRE!$U$5:$U$1156,MATCH(About!$B$2&amp;"|"&amp;$A$1&amp;"|"&amp;$A7,Src_VRE!$E$5:$E$1156,0))</f>
        <v>1</v>
      </c>
      <c r="R7" s="11">
        <f>INDEX(Src_VRE!$V$5:$V$1156,MATCH(About!$B$2&amp;"|"&amp;$A$1&amp;"|"&amp;$A7,Src_VRE!$E$5:$E$1156,0))</f>
        <v>1</v>
      </c>
      <c r="S7" s="11">
        <f>INDEX(Src_VRE!$W$5:$W$1156,MATCH(About!$B$2&amp;"|"&amp;$A$1&amp;"|"&amp;$A7,Src_VRE!$E$5:$E$1156,0))</f>
        <v>1</v>
      </c>
      <c r="T7" s="11">
        <f>INDEX(Src_VRE!$X$5:$X$1156,MATCH(About!$B$2&amp;"|"&amp;$A$1&amp;"|"&amp;$A7,Src_VRE!$E$5:$E$1156,0))</f>
        <v>0.89019999999999999</v>
      </c>
      <c r="U7" s="11">
        <f>INDEX(Src_VRE!$Y$5:$Y$1156,MATCH(About!$B$2&amp;"|"&amp;$A$1&amp;"|"&amp;$A7,Src_VRE!$E$5:$E$1156,0))</f>
        <v>0</v>
      </c>
      <c r="V7" s="11">
        <f>INDEX(Src_VRE!$Z$5:$Z$1156,MATCH(About!$B$2&amp;"|"&amp;$A$1&amp;"|"&amp;$A7,Src_VRE!$E$5:$E$1156,0))</f>
        <v>1</v>
      </c>
      <c r="W7" s="11">
        <f>INDEX(Src_VRE!$AA$5:$AA$1156,MATCH(About!$B$2&amp;"|"&amp;$A$1&amp;"|"&amp;$A7,Src_VRE!$E$5:$E$1156,0))</f>
        <v>1</v>
      </c>
      <c r="X7" s="11">
        <f>INDEX(Src_VRE!$AB$5:$AB$1156,MATCH(About!$B$2&amp;"|"&amp;$A$1&amp;"|"&amp;$A7,Src_VRE!$E$5:$E$1156,0))</f>
        <v>1</v>
      </c>
      <c r="Y7" s="11">
        <f>INDEX(Src_VRE!$AC$5:$AC$1156,MATCH(About!$B$2&amp;"|"&amp;$A$1&amp;"|"&amp;$A7,Src_VRE!$E$5:$E$1156,0))</f>
        <v>1</v>
      </c>
    </row>
  </sheetData>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1F3864"/>
  </sheetPr>
  <dimension ref="A1:Y7"/>
  <sheetViews>
    <sheetView workbookViewId="0"/>
  </sheetViews>
  <sheetFormatPr defaultRowHeight="14.25" x14ac:dyDescent="0.45"/>
  <sheetData>
    <row r="1" spans="1:25" x14ac:dyDescent="0.45">
      <c r="A1" t="s">
        <v>493</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Keys!$C$4</f>
        <v>0.9</v>
      </c>
      <c r="C2" s="11">
        <f>Keys!$C$4</f>
        <v>0.9</v>
      </c>
      <c r="D2" s="11">
        <f>Keys!$C$4</f>
        <v>0.9</v>
      </c>
      <c r="E2" s="11">
        <f>Keys!$C$4</f>
        <v>0.9</v>
      </c>
      <c r="F2" s="11">
        <f>Keys!$C$4</f>
        <v>0.9</v>
      </c>
      <c r="G2" s="11">
        <f>Keys!$C$4</f>
        <v>0.9</v>
      </c>
      <c r="H2" s="11">
        <f>Keys!$C$4</f>
        <v>0.9</v>
      </c>
      <c r="I2" s="11">
        <f>Keys!$C$4</f>
        <v>0.9</v>
      </c>
      <c r="J2" s="11">
        <f>Keys!$C$4</f>
        <v>0.9</v>
      </c>
      <c r="K2" s="11">
        <f>Keys!$C$4</f>
        <v>0.9</v>
      </c>
      <c r="L2" s="11">
        <f>Keys!$C$4</f>
        <v>0.9</v>
      </c>
      <c r="M2" s="11">
        <f>Keys!$C$4</f>
        <v>0.9</v>
      </c>
      <c r="N2" s="11">
        <f>Keys!$C$4</f>
        <v>0.9</v>
      </c>
      <c r="O2" s="11">
        <f>Keys!$C$4</f>
        <v>0.9</v>
      </c>
      <c r="P2" s="11">
        <f>Keys!$C$4</f>
        <v>0.9</v>
      </c>
      <c r="Q2" s="11">
        <f>Keys!$C$4</f>
        <v>0.9</v>
      </c>
      <c r="R2" s="11">
        <f>Keys!$C$4</f>
        <v>0.9</v>
      </c>
      <c r="S2" s="11">
        <f>Keys!$C$4</f>
        <v>0.9</v>
      </c>
      <c r="T2" s="11">
        <f>Keys!$C$4</f>
        <v>0.9</v>
      </c>
      <c r="U2" s="11">
        <f>Keys!$C$4</f>
        <v>0.9</v>
      </c>
      <c r="V2" s="11">
        <f>Keys!$C$4</f>
        <v>0.9</v>
      </c>
      <c r="W2" s="11">
        <f>Keys!$C$4</f>
        <v>0.9</v>
      </c>
      <c r="X2" s="11">
        <f>Keys!$C$4</f>
        <v>0.9</v>
      </c>
      <c r="Y2" s="11">
        <f>Keys!$C$4</f>
        <v>0.9</v>
      </c>
    </row>
    <row r="3" spans="1:25" x14ac:dyDescent="0.45">
      <c r="A3" t="s">
        <v>425</v>
      </c>
      <c r="B3" s="11">
        <f>Keys!$C$4</f>
        <v>0.9</v>
      </c>
      <c r="C3" s="11">
        <f>Keys!$C$4</f>
        <v>0.9</v>
      </c>
      <c r="D3" s="11">
        <f>Keys!$C$4</f>
        <v>0.9</v>
      </c>
      <c r="E3" s="11">
        <f>Keys!$C$4</f>
        <v>0.9</v>
      </c>
      <c r="F3" s="11">
        <f>Keys!$C$4</f>
        <v>0.9</v>
      </c>
      <c r="G3" s="11">
        <f>Keys!$C$4</f>
        <v>0.9</v>
      </c>
      <c r="H3" s="11">
        <f>Keys!$C$4</f>
        <v>0.9</v>
      </c>
      <c r="I3" s="11">
        <f>Keys!$C$4</f>
        <v>0.9</v>
      </c>
      <c r="J3" s="11">
        <f>Keys!$C$4</f>
        <v>0.9</v>
      </c>
      <c r="K3" s="11">
        <f>Keys!$C$4</f>
        <v>0.9</v>
      </c>
      <c r="L3" s="11">
        <f>Keys!$C$4</f>
        <v>0.9</v>
      </c>
      <c r="M3" s="11">
        <f>Keys!$C$4</f>
        <v>0.9</v>
      </c>
      <c r="N3" s="11">
        <f>Keys!$C$4</f>
        <v>0.9</v>
      </c>
      <c r="O3" s="11">
        <f>Keys!$C$4</f>
        <v>0.9</v>
      </c>
      <c r="P3" s="11">
        <f>Keys!$C$4</f>
        <v>0.9</v>
      </c>
      <c r="Q3" s="11">
        <f>Keys!$C$4</f>
        <v>0.9</v>
      </c>
      <c r="R3" s="11">
        <f>Keys!$C$4</f>
        <v>0.9</v>
      </c>
      <c r="S3" s="11">
        <f>Keys!$C$4</f>
        <v>0.9</v>
      </c>
      <c r="T3" s="11">
        <f>Keys!$C$4</f>
        <v>0.9</v>
      </c>
      <c r="U3" s="11">
        <f>Keys!$C$4</f>
        <v>0.9</v>
      </c>
      <c r="V3" s="11">
        <f>Keys!$C$4</f>
        <v>0.9</v>
      </c>
      <c r="W3" s="11">
        <f>Keys!$C$4</f>
        <v>0.9</v>
      </c>
      <c r="X3" s="11">
        <f>Keys!$C$4</f>
        <v>0.9</v>
      </c>
      <c r="Y3" s="11">
        <f>Keys!$C$4</f>
        <v>0.9</v>
      </c>
    </row>
    <row r="4" spans="1:25" x14ac:dyDescent="0.45">
      <c r="A4" t="s">
        <v>426</v>
      </c>
      <c r="B4" s="11">
        <f>Keys!$C$4</f>
        <v>0.9</v>
      </c>
      <c r="C4" s="11">
        <f>Keys!$C$4</f>
        <v>0.9</v>
      </c>
      <c r="D4" s="11">
        <f>Keys!$C$4</f>
        <v>0.9</v>
      </c>
      <c r="E4" s="11">
        <f>Keys!$C$4</f>
        <v>0.9</v>
      </c>
      <c r="F4" s="11">
        <f>Keys!$C$4</f>
        <v>0.9</v>
      </c>
      <c r="G4" s="11">
        <f>Keys!$C$4</f>
        <v>0.9</v>
      </c>
      <c r="H4" s="11">
        <f>Keys!$C$4</f>
        <v>0.9</v>
      </c>
      <c r="I4" s="11">
        <f>Keys!$C$4</f>
        <v>0.9</v>
      </c>
      <c r="J4" s="11">
        <f>Keys!$C$4</f>
        <v>0.9</v>
      </c>
      <c r="K4" s="11">
        <f>Keys!$C$4</f>
        <v>0.9</v>
      </c>
      <c r="L4" s="11">
        <f>Keys!$C$4</f>
        <v>0.9</v>
      </c>
      <c r="M4" s="11">
        <f>Keys!$C$4</f>
        <v>0.9</v>
      </c>
      <c r="N4" s="11">
        <f>Keys!$C$4</f>
        <v>0.9</v>
      </c>
      <c r="O4" s="11">
        <f>Keys!$C$4</f>
        <v>0.9</v>
      </c>
      <c r="P4" s="11">
        <f>Keys!$C$4</f>
        <v>0.9</v>
      </c>
      <c r="Q4" s="11">
        <f>Keys!$C$4</f>
        <v>0.9</v>
      </c>
      <c r="R4" s="11">
        <f>Keys!$C$4</f>
        <v>0.9</v>
      </c>
      <c r="S4" s="11">
        <f>Keys!$C$4</f>
        <v>0.9</v>
      </c>
      <c r="T4" s="11">
        <f>Keys!$C$4</f>
        <v>0.9</v>
      </c>
      <c r="U4" s="11">
        <f>Keys!$C$4</f>
        <v>0.9</v>
      </c>
      <c r="V4" s="11">
        <f>Keys!$C$4</f>
        <v>0.9</v>
      </c>
      <c r="W4" s="11">
        <f>Keys!$C$4</f>
        <v>0.9</v>
      </c>
      <c r="X4" s="11">
        <f>Keys!$C$4</f>
        <v>0.9</v>
      </c>
      <c r="Y4" s="11">
        <f>Keys!$C$4</f>
        <v>0.9</v>
      </c>
    </row>
    <row r="5" spans="1:25" x14ac:dyDescent="0.45">
      <c r="A5" t="s">
        <v>427</v>
      </c>
      <c r="B5" s="11">
        <f>Keys!$C$4</f>
        <v>0.9</v>
      </c>
      <c r="C5" s="11">
        <f>Keys!$C$4</f>
        <v>0.9</v>
      </c>
      <c r="D5" s="11">
        <f>Keys!$C$4</f>
        <v>0.9</v>
      </c>
      <c r="E5" s="11">
        <f>Keys!$C$4</f>
        <v>0.9</v>
      </c>
      <c r="F5" s="11">
        <f>Keys!$C$4</f>
        <v>0.9</v>
      </c>
      <c r="G5" s="11">
        <f>Keys!$C$4</f>
        <v>0.9</v>
      </c>
      <c r="H5" s="11">
        <f>Keys!$C$4</f>
        <v>0.9</v>
      </c>
      <c r="I5" s="11">
        <f>Keys!$C$4</f>
        <v>0.9</v>
      </c>
      <c r="J5" s="11">
        <f>Keys!$C$4</f>
        <v>0.9</v>
      </c>
      <c r="K5" s="11">
        <f>Keys!$C$4</f>
        <v>0.9</v>
      </c>
      <c r="L5" s="11">
        <f>Keys!$C$4</f>
        <v>0.9</v>
      </c>
      <c r="M5" s="11">
        <f>Keys!$C$4</f>
        <v>0.9</v>
      </c>
      <c r="N5" s="11">
        <f>Keys!$C$4</f>
        <v>0.9</v>
      </c>
      <c r="O5" s="11">
        <f>Keys!$C$4</f>
        <v>0.9</v>
      </c>
      <c r="P5" s="11">
        <f>Keys!$C$4</f>
        <v>0.9</v>
      </c>
      <c r="Q5" s="11">
        <f>Keys!$C$4</f>
        <v>0.9</v>
      </c>
      <c r="R5" s="11">
        <f>Keys!$C$4</f>
        <v>0.9</v>
      </c>
      <c r="S5" s="11">
        <f>Keys!$C$4</f>
        <v>0.9</v>
      </c>
      <c r="T5" s="11">
        <f>Keys!$C$4</f>
        <v>0.9</v>
      </c>
      <c r="U5" s="11">
        <f>Keys!$C$4</f>
        <v>0.9</v>
      </c>
      <c r="V5" s="11">
        <f>Keys!$C$4</f>
        <v>0.9</v>
      </c>
      <c r="W5" s="11">
        <f>Keys!$C$4</f>
        <v>0.9</v>
      </c>
      <c r="X5" s="11">
        <f>Keys!$C$4</f>
        <v>0.9</v>
      </c>
      <c r="Y5" s="11">
        <f>Keys!$C$4</f>
        <v>0.9</v>
      </c>
    </row>
    <row r="6" spans="1:25" x14ac:dyDescent="0.45">
      <c r="A6" t="s">
        <v>428</v>
      </c>
      <c r="B6" s="11">
        <f>Keys!$C$4</f>
        <v>0.9</v>
      </c>
      <c r="C6" s="11">
        <f>Keys!$C$4</f>
        <v>0.9</v>
      </c>
      <c r="D6" s="11">
        <f>Keys!$C$4</f>
        <v>0.9</v>
      </c>
      <c r="E6" s="11">
        <f>Keys!$C$4</f>
        <v>0.9</v>
      </c>
      <c r="F6" s="11">
        <f>Keys!$C$4</f>
        <v>0.9</v>
      </c>
      <c r="G6" s="11">
        <f>Keys!$C$4</f>
        <v>0.9</v>
      </c>
      <c r="H6" s="11">
        <f>Keys!$C$4</f>
        <v>0.9</v>
      </c>
      <c r="I6" s="11">
        <f>Keys!$C$4</f>
        <v>0.9</v>
      </c>
      <c r="J6" s="11">
        <f>Keys!$C$4</f>
        <v>0.9</v>
      </c>
      <c r="K6" s="11">
        <f>Keys!$C$4</f>
        <v>0.9</v>
      </c>
      <c r="L6" s="11">
        <f>Keys!$C$4</f>
        <v>0.9</v>
      </c>
      <c r="M6" s="11">
        <f>Keys!$C$4</f>
        <v>0.9</v>
      </c>
      <c r="N6" s="11">
        <f>Keys!$C$4</f>
        <v>0.9</v>
      </c>
      <c r="O6" s="11">
        <f>Keys!$C$4</f>
        <v>0.9</v>
      </c>
      <c r="P6" s="11">
        <f>Keys!$C$4</f>
        <v>0.9</v>
      </c>
      <c r="Q6" s="11">
        <f>Keys!$C$4</f>
        <v>0.9</v>
      </c>
      <c r="R6" s="11">
        <f>Keys!$C$4</f>
        <v>0.9</v>
      </c>
      <c r="S6" s="11">
        <f>Keys!$C$4</f>
        <v>0.9</v>
      </c>
      <c r="T6" s="11">
        <f>Keys!$C$4</f>
        <v>0.9</v>
      </c>
      <c r="U6" s="11">
        <f>Keys!$C$4</f>
        <v>0.9</v>
      </c>
      <c r="V6" s="11">
        <f>Keys!$C$4</f>
        <v>0.9</v>
      </c>
      <c r="W6" s="11">
        <f>Keys!$C$4</f>
        <v>0.9</v>
      </c>
      <c r="X6" s="11">
        <f>Keys!$C$4</f>
        <v>0.9</v>
      </c>
      <c r="Y6" s="11">
        <f>Keys!$C$4</f>
        <v>0.9</v>
      </c>
    </row>
    <row r="7" spans="1:25" x14ac:dyDescent="0.45">
      <c r="A7" t="s">
        <v>429</v>
      </c>
      <c r="B7" s="11">
        <f>Keys!$C$4</f>
        <v>0.9</v>
      </c>
      <c r="C7" s="11">
        <f>Keys!$C$4</f>
        <v>0.9</v>
      </c>
      <c r="D7" s="11">
        <f>Keys!$C$4</f>
        <v>0.9</v>
      </c>
      <c r="E7" s="11">
        <f>Keys!$C$4</f>
        <v>0.9</v>
      </c>
      <c r="F7" s="11">
        <f>Keys!$C$4</f>
        <v>0.9</v>
      </c>
      <c r="G7" s="11">
        <f>Keys!$C$4</f>
        <v>0.9</v>
      </c>
      <c r="H7" s="11">
        <f>Keys!$C$4</f>
        <v>0.9</v>
      </c>
      <c r="I7" s="11">
        <f>Keys!$C$4</f>
        <v>0.9</v>
      </c>
      <c r="J7" s="11">
        <f>Keys!$C$4</f>
        <v>0.9</v>
      </c>
      <c r="K7" s="11">
        <f>Keys!$C$4</f>
        <v>0.9</v>
      </c>
      <c r="L7" s="11">
        <f>Keys!$C$4</f>
        <v>0.9</v>
      </c>
      <c r="M7" s="11">
        <f>Keys!$C$4</f>
        <v>0.9</v>
      </c>
      <c r="N7" s="11">
        <f>Keys!$C$4</f>
        <v>0.9</v>
      </c>
      <c r="O7" s="11">
        <f>Keys!$C$4</f>
        <v>0.9</v>
      </c>
      <c r="P7" s="11">
        <f>Keys!$C$4</f>
        <v>0.9</v>
      </c>
      <c r="Q7" s="11">
        <f>Keys!$C$4</f>
        <v>0.9</v>
      </c>
      <c r="R7" s="11">
        <f>Keys!$C$4</f>
        <v>0.9</v>
      </c>
      <c r="S7" s="11">
        <f>Keys!$C$4</f>
        <v>0.9</v>
      </c>
      <c r="T7" s="11">
        <f>Keys!$C$4</f>
        <v>0.9</v>
      </c>
      <c r="U7" s="11">
        <f>Keys!$C$4</f>
        <v>0.9</v>
      </c>
      <c r="V7" s="11">
        <f>Keys!$C$4</f>
        <v>0.9</v>
      </c>
      <c r="W7" s="11">
        <f>Keys!$C$4</f>
        <v>0.9</v>
      </c>
      <c r="X7" s="11">
        <f>Keys!$C$4</f>
        <v>0.9</v>
      </c>
      <c r="Y7" s="11">
        <f>Keys!$C$4</f>
        <v>0.9</v>
      </c>
    </row>
  </sheetData>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1F3864"/>
  </sheetPr>
  <dimension ref="A1:Y7"/>
  <sheetViews>
    <sheetView workbookViewId="0"/>
  </sheetViews>
  <sheetFormatPr defaultRowHeight="14.25" x14ac:dyDescent="0.45"/>
  <sheetData>
    <row r="1" spans="1:25" x14ac:dyDescent="0.45">
      <c r="A1" t="s">
        <v>494</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Keys!$C$4</f>
        <v>0.9</v>
      </c>
      <c r="C2" s="11">
        <f>Keys!$C$4</f>
        <v>0.9</v>
      </c>
      <c r="D2" s="11">
        <f>Keys!$C$4</f>
        <v>0.9</v>
      </c>
      <c r="E2" s="11">
        <f>Keys!$C$4</f>
        <v>0.9</v>
      </c>
      <c r="F2" s="11">
        <f>Keys!$C$4</f>
        <v>0.9</v>
      </c>
      <c r="G2" s="11">
        <f>Keys!$C$4</f>
        <v>0.9</v>
      </c>
      <c r="H2" s="11">
        <f>Keys!$C$4</f>
        <v>0.9</v>
      </c>
      <c r="I2" s="11">
        <f>Keys!$C$4</f>
        <v>0.9</v>
      </c>
      <c r="J2" s="11">
        <f>Keys!$C$4</f>
        <v>0.9</v>
      </c>
      <c r="K2" s="11">
        <f>Keys!$C$4</f>
        <v>0.9</v>
      </c>
      <c r="L2" s="11">
        <f>Keys!$C$4</f>
        <v>0.9</v>
      </c>
      <c r="M2" s="11">
        <f>Keys!$C$4</f>
        <v>0.9</v>
      </c>
      <c r="N2" s="11">
        <f>Keys!$C$4</f>
        <v>0.9</v>
      </c>
      <c r="O2" s="11">
        <f>Keys!$C$4</f>
        <v>0.9</v>
      </c>
      <c r="P2" s="11">
        <f>Keys!$C$4</f>
        <v>0.9</v>
      </c>
      <c r="Q2" s="11">
        <f>Keys!$C$4</f>
        <v>0.9</v>
      </c>
      <c r="R2" s="11">
        <f>Keys!$C$4</f>
        <v>0.9</v>
      </c>
      <c r="S2" s="11">
        <f>Keys!$C$4</f>
        <v>0.9</v>
      </c>
      <c r="T2" s="11">
        <f>Keys!$C$4</f>
        <v>0.9</v>
      </c>
      <c r="U2" s="11">
        <f>Keys!$C$4</f>
        <v>0.9</v>
      </c>
      <c r="V2" s="11">
        <f>Keys!$C$4</f>
        <v>0.9</v>
      </c>
      <c r="W2" s="11">
        <f>Keys!$C$4</f>
        <v>0.9</v>
      </c>
      <c r="X2" s="11">
        <f>Keys!$C$4</f>
        <v>0.9</v>
      </c>
      <c r="Y2" s="11">
        <f>Keys!$C$4</f>
        <v>0.9</v>
      </c>
    </row>
    <row r="3" spans="1:25" x14ac:dyDescent="0.45">
      <c r="A3" t="s">
        <v>425</v>
      </c>
      <c r="B3" s="11">
        <f>Keys!$C$4</f>
        <v>0.9</v>
      </c>
      <c r="C3" s="11">
        <f>Keys!$C$4</f>
        <v>0.9</v>
      </c>
      <c r="D3" s="11">
        <f>Keys!$C$4</f>
        <v>0.9</v>
      </c>
      <c r="E3" s="11">
        <f>Keys!$C$4</f>
        <v>0.9</v>
      </c>
      <c r="F3" s="11">
        <f>Keys!$C$4</f>
        <v>0.9</v>
      </c>
      <c r="G3" s="11">
        <f>Keys!$C$4</f>
        <v>0.9</v>
      </c>
      <c r="H3" s="11">
        <f>Keys!$C$4</f>
        <v>0.9</v>
      </c>
      <c r="I3" s="11">
        <f>Keys!$C$4</f>
        <v>0.9</v>
      </c>
      <c r="J3" s="11">
        <f>Keys!$C$4</f>
        <v>0.9</v>
      </c>
      <c r="K3" s="11">
        <f>Keys!$C$4</f>
        <v>0.9</v>
      </c>
      <c r="L3" s="11">
        <f>Keys!$C$4</f>
        <v>0.9</v>
      </c>
      <c r="M3" s="11">
        <f>Keys!$C$4</f>
        <v>0.9</v>
      </c>
      <c r="N3" s="11">
        <f>Keys!$C$4</f>
        <v>0.9</v>
      </c>
      <c r="O3" s="11">
        <f>Keys!$C$4</f>
        <v>0.9</v>
      </c>
      <c r="P3" s="11">
        <f>Keys!$C$4</f>
        <v>0.9</v>
      </c>
      <c r="Q3" s="11">
        <f>Keys!$C$4</f>
        <v>0.9</v>
      </c>
      <c r="R3" s="11">
        <f>Keys!$C$4</f>
        <v>0.9</v>
      </c>
      <c r="S3" s="11">
        <f>Keys!$C$4</f>
        <v>0.9</v>
      </c>
      <c r="T3" s="11">
        <f>Keys!$C$4</f>
        <v>0.9</v>
      </c>
      <c r="U3" s="11">
        <f>Keys!$C$4</f>
        <v>0.9</v>
      </c>
      <c r="V3" s="11">
        <f>Keys!$C$4</f>
        <v>0.9</v>
      </c>
      <c r="W3" s="11">
        <f>Keys!$C$4</f>
        <v>0.9</v>
      </c>
      <c r="X3" s="11">
        <f>Keys!$C$4</f>
        <v>0.9</v>
      </c>
      <c r="Y3" s="11">
        <f>Keys!$C$4</f>
        <v>0.9</v>
      </c>
    </row>
    <row r="4" spans="1:25" x14ac:dyDescent="0.45">
      <c r="A4" t="s">
        <v>426</v>
      </c>
      <c r="B4" s="11">
        <f>Keys!$C$4</f>
        <v>0.9</v>
      </c>
      <c r="C4" s="11">
        <f>Keys!$C$4</f>
        <v>0.9</v>
      </c>
      <c r="D4" s="11">
        <f>Keys!$C$4</f>
        <v>0.9</v>
      </c>
      <c r="E4" s="11">
        <f>Keys!$C$4</f>
        <v>0.9</v>
      </c>
      <c r="F4" s="11">
        <f>Keys!$C$4</f>
        <v>0.9</v>
      </c>
      <c r="G4" s="11">
        <f>Keys!$C$4</f>
        <v>0.9</v>
      </c>
      <c r="H4" s="11">
        <f>Keys!$C$4</f>
        <v>0.9</v>
      </c>
      <c r="I4" s="11">
        <f>Keys!$C$4</f>
        <v>0.9</v>
      </c>
      <c r="J4" s="11">
        <f>Keys!$C$4</f>
        <v>0.9</v>
      </c>
      <c r="K4" s="11">
        <f>Keys!$C$4</f>
        <v>0.9</v>
      </c>
      <c r="L4" s="11">
        <f>Keys!$C$4</f>
        <v>0.9</v>
      </c>
      <c r="M4" s="11">
        <f>Keys!$C$4</f>
        <v>0.9</v>
      </c>
      <c r="N4" s="11">
        <f>Keys!$C$4</f>
        <v>0.9</v>
      </c>
      <c r="O4" s="11">
        <f>Keys!$C$4</f>
        <v>0.9</v>
      </c>
      <c r="P4" s="11">
        <f>Keys!$C$4</f>
        <v>0.9</v>
      </c>
      <c r="Q4" s="11">
        <f>Keys!$C$4</f>
        <v>0.9</v>
      </c>
      <c r="R4" s="11">
        <f>Keys!$C$4</f>
        <v>0.9</v>
      </c>
      <c r="S4" s="11">
        <f>Keys!$C$4</f>
        <v>0.9</v>
      </c>
      <c r="T4" s="11">
        <f>Keys!$C$4</f>
        <v>0.9</v>
      </c>
      <c r="U4" s="11">
        <f>Keys!$C$4</f>
        <v>0.9</v>
      </c>
      <c r="V4" s="11">
        <f>Keys!$C$4</f>
        <v>0.9</v>
      </c>
      <c r="W4" s="11">
        <f>Keys!$C$4</f>
        <v>0.9</v>
      </c>
      <c r="X4" s="11">
        <f>Keys!$C$4</f>
        <v>0.9</v>
      </c>
      <c r="Y4" s="11">
        <f>Keys!$C$4</f>
        <v>0.9</v>
      </c>
    </row>
    <row r="5" spans="1:25" x14ac:dyDescent="0.45">
      <c r="A5" t="s">
        <v>427</v>
      </c>
      <c r="B5" s="11">
        <f>Keys!$C$4</f>
        <v>0.9</v>
      </c>
      <c r="C5" s="11">
        <f>Keys!$C$4</f>
        <v>0.9</v>
      </c>
      <c r="D5" s="11">
        <f>Keys!$C$4</f>
        <v>0.9</v>
      </c>
      <c r="E5" s="11">
        <f>Keys!$C$4</f>
        <v>0.9</v>
      </c>
      <c r="F5" s="11">
        <f>Keys!$C$4</f>
        <v>0.9</v>
      </c>
      <c r="G5" s="11">
        <f>Keys!$C$4</f>
        <v>0.9</v>
      </c>
      <c r="H5" s="11">
        <f>Keys!$C$4</f>
        <v>0.9</v>
      </c>
      <c r="I5" s="11">
        <f>Keys!$C$4</f>
        <v>0.9</v>
      </c>
      <c r="J5" s="11">
        <f>Keys!$C$4</f>
        <v>0.9</v>
      </c>
      <c r="K5" s="11">
        <f>Keys!$C$4</f>
        <v>0.9</v>
      </c>
      <c r="L5" s="11">
        <f>Keys!$C$4</f>
        <v>0.9</v>
      </c>
      <c r="M5" s="11">
        <f>Keys!$C$4</f>
        <v>0.9</v>
      </c>
      <c r="N5" s="11">
        <f>Keys!$C$4</f>
        <v>0.9</v>
      </c>
      <c r="O5" s="11">
        <f>Keys!$C$4</f>
        <v>0.9</v>
      </c>
      <c r="P5" s="11">
        <f>Keys!$C$4</f>
        <v>0.9</v>
      </c>
      <c r="Q5" s="11">
        <f>Keys!$C$4</f>
        <v>0.9</v>
      </c>
      <c r="R5" s="11">
        <f>Keys!$C$4</f>
        <v>0.9</v>
      </c>
      <c r="S5" s="11">
        <f>Keys!$C$4</f>
        <v>0.9</v>
      </c>
      <c r="T5" s="11">
        <f>Keys!$C$4</f>
        <v>0.9</v>
      </c>
      <c r="U5" s="11">
        <f>Keys!$C$4</f>
        <v>0.9</v>
      </c>
      <c r="V5" s="11">
        <f>Keys!$C$4</f>
        <v>0.9</v>
      </c>
      <c r="W5" s="11">
        <f>Keys!$C$4</f>
        <v>0.9</v>
      </c>
      <c r="X5" s="11">
        <f>Keys!$C$4</f>
        <v>0.9</v>
      </c>
      <c r="Y5" s="11">
        <f>Keys!$C$4</f>
        <v>0.9</v>
      </c>
    </row>
    <row r="6" spans="1:25" x14ac:dyDescent="0.45">
      <c r="A6" t="s">
        <v>428</v>
      </c>
      <c r="B6" s="11">
        <f>Keys!$C$4</f>
        <v>0.9</v>
      </c>
      <c r="C6" s="11">
        <f>Keys!$C$4</f>
        <v>0.9</v>
      </c>
      <c r="D6" s="11">
        <f>Keys!$C$4</f>
        <v>0.9</v>
      </c>
      <c r="E6" s="11">
        <f>Keys!$C$4</f>
        <v>0.9</v>
      </c>
      <c r="F6" s="11">
        <f>Keys!$C$4</f>
        <v>0.9</v>
      </c>
      <c r="G6" s="11">
        <f>Keys!$C$4</f>
        <v>0.9</v>
      </c>
      <c r="H6" s="11">
        <f>Keys!$C$4</f>
        <v>0.9</v>
      </c>
      <c r="I6" s="11">
        <f>Keys!$C$4</f>
        <v>0.9</v>
      </c>
      <c r="J6" s="11">
        <f>Keys!$C$4</f>
        <v>0.9</v>
      </c>
      <c r="K6" s="11">
        <f>Keys!$C$4</f>
        <v>0.9</v>
      </c>
      <c r="L6" s="11">
        <f>Keys!$C$4</f>
        <v>0.9</v>
      </c>
      <c r="M6" s="11">
        <f>Keys!$C$4</f>
        <v>0.9</v>
      </c>
      <c r="N6" s="11">
        <f>Keys!$C$4</f>
        <v>0.9</v>
      </c>
      <c r="O6" s="11">
        <f>Keys!$C$4</f>
        <v>0.9</v>
      </c>
      <c r="P6" s="11">
        <f>Keys!$C$4</f>
        <v>0.9</v>
      </c>
      <c r="Q6" s="11">
        <f>Keys!$C$4</f>
        <v>0.9</v>
      </c>
      <c r="R6" s="11">
        <f>Keys!$C$4</f>
        <v>0.9</v>
      </c>
      <c r="S6" s="11">
        <f>Keys!$C$4</f>
        <v>0.9</v>
      </c>
      <c r="T6" s="11">
        <f>Keys!$C$4</f>
        <v>0.9</v>
      </c>
      <c r="U6" s="11">
        <f>Keys!$C$4</f>
        <v>0.9</v>
      </c>
      <c r="V6" s="11">
        <f>Keys!$C$4</f>
        <v>0.9</v>
      </c>
      <c r="W6" s="11">
        <f>Keys!$C$4</f>
        <v>0.9</v>
      </c>
      <c r="X6" s="11">
        <f>Keys!$C$4</f>
        <v>0.9</v>
      </c>
      <c r="Y6" s="11">
        <f>Keys!$C$4</f>
        <v>0.9</v>
      </c>
    </row>
    <row r="7" spans="1:25" x14ac:dyDescent="0.45">
      <c r="A7" t="s">
        <v>429</v>
      </c>
      <c r="B7" s="11">
        <f>Keys!$C$4</f>
        <v>0.9</v>
      </c>
      <c r="C7" s="11">
        <f>Keys!$C$4</f>
        <v>0.9</v>
      </c>
      <c r="D7" s="11">
        <f>Keys!$C$4</f>
        <v>0.9</v>
      </c>
      <c r="E7" s="11">
        <f>Keys!$C$4</f>
        <v>0.9</v>
      </c>
      <c r="F7" s="11">
        <f>Keys!$C$4</f>
        <v>0.9</v>
      </c>
      <c r="G7" s="11">
        <f>Keys!$C$4</f>
        <v>0.9</v>
      </c>
      <c r="H7" s="11">
        <f>Keys!$C$4</f>
        <v>0.9</v>
      </c>
      <c r="I7" s="11">
        <f>Keys!$C$4</f>
        <v>0.9</v>
      </c>
      <c r="J7" s="11">
        <f>Keys!$C$4</f>
        <v>0.9</v>
      </c>
      <c r="K7" s="11">
        <f>Keys!$C$4</f>
        <v>0.9</v>
      </c>
      <c r="L7" s="11">
        <f>Keys!$C$4</f>
        <v>0.9</v>
      </c>
      <c r="M7" s="11">
        <f>Keys!$C$4</f>
        <v>0.9</v>
      </c>
      <c r="N7" s="11">
        <f>Keys!$C$4</f>
        <v>0.9</v>
      </c>
      <c r="O7" s="11">
        <f>Keys!$C$4</f>
        <v>0.9</v>
      </c>
      <c r="P7" s="11">
        <f>Keys!$C$4</f>
        <v>0.9</v>
      </c>
      <c r="Q7" s="11">
        <f>Keys!$C$4</f>
        <v>0.9</v>
      </c>
      <c r="R7" s="11">
        <f>Keys!$C$4</f>
        <v>0.9</v>
      </c>
      <c r="S7" s="11">
        <f>Keys!$C$4</f>
        <v>0.9</v>
      </c>
      <c r="T7" s="11">
        <f>Keys!$C$4</f>
        <v>0.9</v>
      </c>
      <c r="U7" s="11">
        <f>Keys!$C$4</f>
        <v>0.9</v>
      </c>
      <c r="V7" s="11">
        <f>Keys!$C$4</f>
        <v>0.9</v>
      </c>
      <c r="W7" s="11">
        <f>Keys!$C$4</f>
        <v>0.9</v>
      </c>
      <c r="X7" s="11">
        <f>Keys!$C$4</f>
        <v>0.9</v>
      </c>
      <c r="Y7" s="11">
        <f>Keys!$C$4</f>
        <v>0.9</v>
      </c>
    </row>
  </sheetData>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1F3864"/>
  </sheetPr>
  <dimension ref="A1:Y7"/>
  <sheetViews>
    <sheetView workbookViewId="0"/>
  </sheetViews>
  <sheetFormatPr defaultRowHeight="14.25" x14ac:dyDescent="0.45"/>
  <sheetData>
    <row r="1" spans="1:25" x14ac:dyDescent="0.45">
      <c r="A1" t="s">
        <v>495</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1F3864"/>
  </sheetPr>
  <dimension ref="A1:Y7"/>
  <sheetViews>
    <sheetView workbookViewId="0"/>
  </sheetViews>
  <sheetFormatPr defaultRowHeight="14.25" x14ac:dyDescent="0.45"/>
  <sheetData>
    <row r="1" spans="1:25" x14ac:dyDescent="0.45">
      <c r="A1" t="s">
        <v>496</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1F3864"/>
  </sheetPr>
  <dimension ref="A1:Y7"/>
  <sheetViews>
    <sheetView workbookViewId="0"/>
  </sheetViews>
  <sheetFormatPr defaultRowHeight="14.25" x14ac:dyDescent="0.45"/>
  <sheetData>
    <row r="1" spans="1:25" x14ac:dyDescent="0.45">
      <c r="A1" t="s">
        <v>497</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1F3864"/>
  </sheetPr>
  <dimension ref="A1:Y7"/>
  <sheetViews>
    <sheetView workbookViewId="0"/>
  </sheetViews>
  <sheetFormatPr defaultRowHeight="14.25" x14ac:dyDescent="0.45"/>
  <sheetData>
    <row r="1" spans="1:25" x14ac:dyDescent="0.45">
      <c r="A1" t="s">
        <v>441</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INDEX(Src_VRE!$F$5:$F$1156,MATCH(About!$B$2&amp;"|"&amp;$A$1&amp;"|"&amp;$A2,Src_VRE!$E$5:$E$1156,0))</f>
        <v>1</v>
      </c>
      <c r="C2" s="11">
        <f>INDEX(Src_VRE!$G$5:$G$1156,MATCH(About!$B$2&amp;"|"&amp;$A$1&amp;"|"&amp;$A2,Src_VRE!$E$5:$E$1156,0))</f>
        <v>1</v>
      </c>
      <c r="D2" s="11">
        <f>INDEX(Src_VRE!$H$5:$H$1156,MATCH(About!$B$2&amp;"|"&amp;$A$1&amp;"|"&amp;$A2,Src_VRE!$E$5:$E$1156,0))</f>
        <v>1</v>
      </c>
      <c r="E2" s="11">
        <f>INDEX(Src_VRE!$I$5:$I$1156,MATCH(About!$B$2&amp;"|"&amp;$A$1&amp;"|"&amp;$A2,Src_VRE!$E$5:$E$1156,0))</f>
        <v>1</v>
      </c>
      <c r="F2" s="11">
        <f>INDEX(Src_VRE!$J$5:$J$1156,MATCH(About!$B$2&amp;"|"&amp;$A$1&amp;"|"&amp;$A2,Src_VRE!$E$5:$E$1156,0))</f>
        <v>1</v>
      </c>
      <c r="G2" s="11">
        <f>INDEX(Src_VRE!$K$5:$K$1156,MATCH(About!$B$2&amp;"|"&amp;$A$1&amp;"|"&amp;$A2,Src_VRE!$E$5:$E$1156,0))</f>
        <v>1</v>
      </c>
      <c r="H2" s="11">
        <f>INDEX(Src_VRE!$L$5:$L$1156,MATCH(About!$B$2&amp;"|"&amp;$A$1&amp;"|"&amp;$A2,Src_VRE!$E$5:$E$1156,0))</f>
        <v>1</v>
      </c>
      <c r="I2" s="11">
        <f>INDEX(Src_VRE!$M$5:$M$1156,MATCH(About!$B$2&amp;"|"&amp;$A$1&amp;"|"&amp;$A2,Src_VRE!$E$5:$E$1156,0))</f>
        <v>1</v>
      </c>
      <c r="J2" s="11">
        <f>INDEX(Src_VRE!$N$5:$N$1156,MATCH(About!$B$2&amp;"|"&amp;$A$1&amp;"|"&amp;$A2,Src_VRE!$E$5:$E$1156,0))</f>
        <v>1</v>
      </c>
      <c r="K2" s="11">
        <f>INDEX(Src_VRE!$O$5:$O$1156,MATCH(About!$B$2&amp;"|"&amp;$A$1&amp;"|"&amp;$A2,Src_VRE!$E$5:$E$1156,0))</f>
        <v>1</v>
      </c>
      <c r="L2" s="11">
        <f>INDEX(Src_VRE!$P$5:$P$1156,MATCH(About!$B$2&amp;"|"&amp;$A$1&amp;"|"&amp;$A2,Src_VRE!$E$5:$E$1156,0))</f>
        <v>1</v>
      </c>
      <c r="M2" s="11">
        <f>INDEX(Src_VRE!$Q$5:$Q$1156,MATCH(About!$B$2&amp;"|"&amp;$A$1&amp;"|"&amp;$A2,Src_VRE!$E$5:$E$1156,0))</f>
        <v>1</v>
      </c>
      <c r="N2" s="11">
        <f>INDEX(Src_VRE!$R$5:$R$1156,MATCH(About!$B$2&amp;"|"&amp;$A$1&amp;"|"&amp;$A2,Src_VRE!$E$5:$E$1156,0))</f>
        <v>1</v>
      </c>
      <c r="O2" s="11">
        <f>INDEX(Src_VRE!$S$5:$S$1156,MATCH(About!$B$2&amp;"|"&amp;$A$1&amp;"|"&amp;$A2,Src_VRE!$E$5:$E$1156,0))</f>
        <v>1</v>
      </c>
      <c r="P2" s="11">
        <f>INDEX(Src_VRE!$T$5:$T$1156,MATCH(About!$B$2&amp;"|"&amp;$A$1&amp;"|"&amp;$A2,Src_VRE!$E$5:$E$1156,0))</f>
        <v>1</v>
      </c>
      <c r="Q2" s="11">
        <f>INDEX(Src_VRE!$U$5:$U$1156,MATCH(About!$B$2&amp;"|"&amp;$A$1&amp;"|"&amp;$A2,Src_VRE!$E$5:$E$1156,0))</f>
        <v>1</v>
      </c>
      <c r="R2" s="11">
        <f>INDEX(Src_VRE!$V$5:$V$1156,MATCH(About!$B$2&amp;"|"&amp;$A$1&amp;"|"&amp;$A2,Src_VRE!$E$5:$E$1156,0))</f>
        <v>1</v>
      </c>
      <c r="S2" s="11">
        <f>INDEX(Src_VRE!$W$5:$W$1156,MATCH(About!$B$2&amp;"|"&amp;$A$1&amp;"|"&amp;$A2,Src_VRE!$E$5:$E$1156,0))</f>
        <v>1</v>
      </c>
      <c r="T2" s="11">
        <f>INDEX(Src_VRE!$X$5:$X$1156,MATCH(About!$B$2&amp;"|"&amp;$A$1&amp;"|"&amp;$A2,Src_VRE!$E$5:$E$1156,0))</f>
        <v>1</v>
      </c>
      <c r="U2" s="11">
        <f>INDEX(Src_VRE!$Y$5:$Y$1156,MATCH(About!$B$2&amp;"|"&amp;$A$1&amp;"|"&amp;$A2,Src_VRE!$E$5:$E$1156,0))</f>
        <v>1</v>
      </c>
      <c r="V2" s="11">
        <f>INDEX(Src_VRE!$Z$5:$Z$1156,MATCH(About!$B$2&amp;"|"&amp;$A$1&amp;"|"&amp;$A2,Src_VRE!$E$5:$E$1156,0))</f>
        <v>1</v>
      </c>
      <c r="W2" s="11">
        <f>INDEX(Src_VRE!$AA$5:$AA$1156,MATCH(About!$B$2&amp;"|"&amp;$A$1&amp;"|"&amp;$A2,Src_VRE!$E$5:$E$1156,0))</f>
        <v>1</v>
      </c>
      <c r="X2" s="11">
        <f>INDEX(Src_VRE!$AB$5:$AB$1156,MATCH(About!$B$2&amp;"|"&amp;$A$1&amp;"|"&amp;$A2,Src_VRE!$E$5:$E$1156,0))</f>
        <v>1</v>
      </c>
      <c r="Y2" s="11">
        <f>INDEX(Src_VRE!$AC$5:$AC$1156,MATCH(About!$B$2&amp;"|"&amp;$A$1&amp;"|"&amp;$A2,Src_VRE!$E$5:$E$1156,0))</f>
        <v>1</v>
      </c>
    </row>
    <row r="3" spans="1:25" x14ac:dyDescent="0.45">
      <c r="A3" t="s">
        <v>425</v>
      </c>
      <c r="B3" s="11">
        <f>INDEX(Src_VRE!$F$5:$F$1156,MATCH(About!$B$2&amp;"|"&amp;$A$1&amp;"|"&amp;$A3,Src_VRE!$E$5:$E$1156,0))</f>
        <v>1</v>
      </c>
      <c r="C3" s="11">
        <f>INDEX(Src_VRE!$G$5:$G$1156,MATCH(About!$B$2&amp;"|"&amp;$A$1&amp;"|"&amp;$A3,Src_VRE!$E$5:$E$1156,0))</f>
        <v>1</v>
      </c>
      <c r="D3" s="11">
        <f>INDEX(Src_VRE!$H$5:$H$1156,MATCH(About!$B$2&amp;"|"&amp;$A$1&amp;"|"&amp;$A3,Src_VRE!$E$5:$E$1156,0))</f>
        <v>1</v>
      </c>
      <c r="E3" s="11">
        <f>INDEX(Src_VRE!$I$5:$I$1156,MATCH(About!$B$2&amp;"|"&amp;$A$1&amp;"|"&amp;$A3,Src_VRE!$E$5:$E$1156,0))</f>
        <v>1</v>
      </c>
      <c r="F3" s="11">
        <f>INDEX(Src_VRE!$J$5:$J$1156,MATCH(About!$B$2&amp;"|"&amp;$A$1&amp;"|"&amp;$A3,Src_VRE!$E$5:$E$1156,0))</f>
        <v>1</v>
      </c>
      <c r="G3" s="11">
        <f>INDEX(Src_VRE!$K$5:$K$1156,MATCH(About!$B$2&amp;"|"&amp;$A$1&amp;"|"&amp;$A3,Src_VRE!$E$5:$E$1156,0))</f>
        <v>1</v>
      </c>
      <c r="H3" s="11">
        <f>INDEX(Src_VRE!$L$5:$L$1156,MATCH(About!$B$2&amp;"|"&amp;$A$1&amp;"|"&amp;$A3,Src_VRE!$E$5:$E$1156,0))</f>
        <v>1</v>
      </c>
      <c r="I3" s="11">
        <f>INDEX(Src_VRE!$M$5:$M$1156,MATCH(About!$B$2&amp;"|"&amp;$A$1&amp;"|"&amp;$A3,Src_VRE!$E$5:$E$1156,0))</f>
        <v>1</v>
      </c>
      <c r="J3" s="11">
        <f>INDEX(Src_VRE!$N$5:$N$1156,MATCH(About!$B$2&amp;"|"&amp;$A$1&amp;"|"&amp;$A3,Src_VRE!$E$5:$E$1156,0))</f>
        <v>1</v>
      </c>
      <c r="K3" s="11">
        <f>INDEX(Src_VRE!$O$5:$O$1156,MATCH(About!$B$2&amp;"|"&amp;$A$1&amp;"|"&amp;$A3,Src_VRE!$E$5:$E$1156,0))</f>
        <v>1</v>
      </c>
      <c r="L3" s="11">
        <f>INDEX(Src_VRE!$P$5:$P$1156,MATCH(About!$B$2&amp;"|"&amp;$A$1&amp;"|"&amp;$A3,Src_VRE!$E$5:$E$1156,0))</f>
        <v>1</v>
      </c>
      <c r="M3" s="11">
        <f>INDEX(Src_VRE!$Q$5:$Q$1156,MATCH(About!$B$2&amp;"|"&amp;$A$1&amp;"|"&amp;$A3,Src_VRE!$E$5:$E$1156,0))</f>
        <v>1</v>
      </c>
      <c r="N3" s="11">
        <f>INDEX(Src_VRE!$R$5:$R$1156,MATCH(About!$B$2&amp;"|"&amp;$A$1&amp;"|"&amp;$A3,Src_VRE!$E$5:$E$1156,0))</f>
        <v>1</v>
      </c>
      <c r="O3" s="11">
        <f>INDEX(Src_VRE!$S$5:$S$1156,MATCH(About!$B$2&amp;"|"&amp;$A$1&amp;"|"&amp;$A3,Src_VRE!$E$5:$E$1156,0))</f>
        <v>1</v>
      </c>
      <c r="P3" s="11">
        <f>INDEX(Src_VRE!$T$5:$T$1156,MATCH(About!$B$2&amp;"|"&amp;$A$1&amp;"|"&amp;$A3,Src_VRE!$E$5:$E$1156,0))</f>
        <v>1</v>
      </c>
      <c r="Q3" s="11">
        <f>INDEX(Src_VRE!$U$5:$U$1156,MATCH(About!$B$2&amp;"|"&amp;$A$1&amp;"|"&amp;$A3,Src_VRE!$E$5:$E$1156,0))</f>
        <v>1</v>
      </c>
      <c r="R3" s="11">
        <f>INDEX(Src_VRE!$V$5:$V$1156,MATCH(About!$B$2&amp;"|"&amp;$A$1&amp;"|"&amp;$A3,Src_VRE!$E$5:$E$1156,0))</f>
        <v>1</v>
      </c>
      <c r="S3" s="11">
        <f>INDEX(Src_VRE!$W$5:$W$1156,MATCH(About!$B$2&amp;"|"&amp;$A$1&amp;"|"&amp;$A3,Src_VRE!$E$5:$E$1156,0))</f>
        <v>1</v>
      </c>
      <c r="T3" s="11">
        <f>INDEX(Src_VRE!$X$5:$X$1156,MATCH(About!$B$2&amp;"|"&amp;$A$1&amp;"|"&amp;$A3,Src_VRE!$E$5:$E$1156,0))</f>
        <v>1</v>
      </c>
      <c r="U3" s="11">
        <f>INDEX(Src_VRE!$Y$5:$Y$1156,MATCH(About!$B$2&amp;"|"&amp;$A$1&amp;"|"&amp;$A3,Src_VRE!$E$5:$E$1156,0))</f>
        <v>1</v>
      </c>
      <c r="V3" s="11">
        <f>INDEX(Src_VRE!$Z$5:$Z$1156,MATCH(About!$B$2&amp;"|"&amp;$A$1&amp;"|"&amp;$A3,Src_VRE!$E$5:$E$1156,0))</f>
        <v>1</v>
      </c>
      <c r="W3" s="11">
        <f>INDEX(Src_VRE!$AA$5:$AA$1156,MATCH(About!$B$2&amp;"|"&amp;$A$1&amp;"|"&amp;$A3,Src_VRE!$E$5:$E$1156,0))</f>
        <v>1</v>
      </c>
      <c r="X3" s="11">
        <f>INDEX(Src_VRE!$AB$5:$AB$1156,MATCH(About!$B$2&amp;"|"&amp;$A$1&amp;"|"&amp;$A3,Src_VRE!$E$5:$E$1156,0))</f>
        <v>1</v>
      </c>
      <c r="Y3" s="11">
        <f>INDEX(Src_VRE!$AC$5:$AC$1156,MATCH(About!$B$2&amp;"|"&amp;$A$1&amp;"|"&amp;$A3,Src_VRE!$E$5:$E$1156,0))</f>
        <v>1</v>
      </c>
    </row>
    <row r="4" spans="1:25" x14ac:dyDescent="0.45">
      <c r="A4" t="s">
        <v>426</v>
      </c>
      <c r="B4" s="11">
        <f>INDEX(Src_VRE!$F$5:$F$1156,MATCH(About!$B$2&amp;"|"&amp;$A$1&amp;"|"&amp;$A4,Src_VRE!$E$5:$E$1156,0))</f>
        <v>1</v>
      </c>
      <c r="C4" s="11">
        <f>INDEX(Src_VRE!$G$5:$G$1156,MATCH(About!$B$2&amp;"|"&amp;$A$1&amp;"|"&amp;$A4,Src_VRE!$E$5:$E$1156,0))</f>
        <v>1</v>
      </c>
      <c r="D4" s="11">
        <f>INDEX(Src_VRE!$H$5:$H$1156,MATCH(About!$B$2&amp;"|"&amp;$A$1&amp;"|"&amp;$A4,Src_VRE!$E$5:$E$1156,0))</f>
        <v>1</v>
      </c>
      <c r="E4" s="11">
        <f>INDEX(Src_VRE!$I$5:$I$1156,MATCH(About!$B$2&amp;"|"&amp;$A$1&amp;"|"&amp;$A4,Src_VRE!$E$5:$E$1156,0))</f>
        <v>1</v>
      </c>
      <c r="F4" s="11">
        <f>INDEX(Src_VRE!$J$5:$J$1156,MATCH(About!$B$2&amp;"|"&amp;$A$1&amp;"|"&amp;$A4,Src_VRE!$E$5:$E$1156,0))</f>
        <v>1</v>
      </c>
      <c r="G4" s="11">
        <f>INDEX(Src_VRE!$K$5:$K$1156,MATCH(About!$B$2&amp;"|"&amp;$A$1&amp;"|"&amp;$A4,Src_VRE!$E$5:$E$1156,0))</f>
        <v>1</v>
      </c>
      <c r="H4" s="11">
        <f>INDEX(Src_VRE!$L$5:$L$1156,MATCH(About!$B$2&amp;"|"&amp;$A$1&amp;"|"&amp;$A4,Src_VRE!$E$5:$E$1156,0))</f>
        <v>1</v>
      </c>
      <c r="I4" s="11">
        <f>INDEX(Src_VRE!$M$5:$M$1156,MATCH(About!$B$2&amp;"|"&amp;$A$1&amp;"|"&amp;$A4,Src_VRE!$E$5:$E$1156,0))</f>
        <v>1</v>
      </c>
      <c r="J4" s="11">
        <f>INDEX(Src_VRE!$N$5:$N$1156,MATCH(About!$B$2&amp;"|"&amp;$A$1&amp;"|"&amp;$A4,Src_VRE!$E$5:$E$1156,0))</f>
        <v>1</v>
      </c>
      <c r="K4" s="11">
        <f>INDEX(Src_VRE!$O$5:$O$1156,MATCH(About!$B$2&amp;"|"&amp;$A$1&amp;"|"&amp;$A4,Src_VRE!$E$5:$E$1156,0))</f>
        <v>1</v>
      </c>
      <c r="L4" s="11">
        <f>INDEX(Src_VRE!$P$5:$P$1156,MATCH(About!$B$2&amp;"|"&amp;$A$1&amp;"|"&amp;$A4,Src_VRE!$E$5:$E$1156,0))</f>
        <v>1</v>
      </c>
      <c r="M4" s="11">
        <f>INDEX(Src_VRE!$Q$5:$Q$1156,MATCH(About!$B$2&amp;"|"&amp;$A$1&amp;"|"&amp;$A4,Src_VRE!$E$5:$E$1156,0))</f>
        <v>1</v>
      </c>
      <c r="N4" s="11">
        <f>INDEX(Src_VRE!$R$5:$R$1156,MATCH(About!$B$2&amp;"|"&amp;$A$1&amp;"|"&amp;$A4,Src_VRE!$E$5:$E$1156,0))</f>
        <v>1</v>
      </c>
      <c r="O4" s="11">
        <f>INDEX(Src_VRE!$S$5:$S$1156,MATCH(About!$B$2&amp;"|"&amp;$A$1&amp;"|"&amp;$A4,Src_VRE!$E$5:$E$1156,0))</f>
        <v>1</v>
      </c>
      <c r="P4" s="11">
        <f>INDEX(Src_VRE!$T$5:$T$1156,MATCH(About!$B$2&amp;"|"&amp;$A$1&amp;"|"&amp;$A4,Src_VRE!$E$5:$E$1156,0))</f>
        <v>1</v>
      </c>
      <c r="Q4" s="11">
        <f>INDEX(Src_VRE!$U$5:$U$1156,MATCH(About!$B$2&amp;"|"&amp;$A$1&amp;"|"&amp;$A4,Src_VRE!$E$5:$E$1156,0))</f>
        <v>1</v>
      </c>
      <c r="R4" s="11">
        <f>INDEX(Src_VRE!$V$5:$V$1156,MATCH(About!$B$2&amp;"|"&amp;$A$1&amp;"|"&amp;$A4,Src_VRE!$E$5:$E$1156,0))</f>
        <v>1</v>
      </c>
      <c r="S4" s="11">
        <f>INDEX(Src_VRE!$W$5:$W$1156,MATCH(About!$B$2&amp;"|"&amp;$A$1&amp;"|"&amp;$A4,Src_VRE!$E$5:$E$1156,0))</f>
        <v>1</v>
      </c>
      <c r="T4" s="11">
        <f>INDEX(Src_VRE!$X$5:$X$1156,MATCH(About!$B$2&amp;"|"&amp;$A$1&amp;"|"&amp;$A4,Src_VRE!$E$5:$E$1156,0))</f>
        <v>1</v>
      </c>
      <c r="U4" s="11">
        <f>INDEX(Src_VRE!$Y$5:$Y$1156,MATCH(About!$B$2&amp;"|"&amp;$A$1&amp;"|"&amp;$A4,Src_VRE!$E$5:$E$1156,0))</f>
        <v>1</v>
      </c>
      <c r="V4" s="11">
        <f>INDEX(Src_VRE!$Z$5:$Z$1156,MATCH(About!$B$2&amp;"|"&amp;$A$1&amp;"|"&amp;$A4,Src_VRE!$E$5:$E$1156,0))</f>
        <v>1</v>
      </c>
      <c r="W4" s="11">
        <f>INDEX(Src_VRE!$AA$5:$AA$1156,MATCH(About!$B$2&amp;"|"&amp;$A$1&amp;"|"&amp;$A4,Src_VRE!$E$5:$E$1156,0))</f>
        <v>1</v>
      </c>
      <c r="X4" s="11">
        <f>INDEX(Src_VRE!$AB$5:$AB$1156,MATCH(About!$B$2&amp;"|"&amp;$A$1&amp;"|"&amp;$A4,Src_VRE!$E$5:$E$1156,0))</f>
        <v>1</v>
      </c>
      <c r="Y4" s="11">
        <f>INDEX(Src_VRE!$AC$5:$AC$1156,MATCH(About!$B$2&amp;"|"&amp;$A$1&amp;"|"&amp;$A4,Src_VRE!$E$5:$E$1156,0))</f>
        <v>1</v>
      </c>
    </row>
    <row r="5" spans="1:25" x14ac:dyDescent="0.45">
      <c r="A5" t="s">
        <v>427</v>
      </c>
      <c r="B5" s="11">
        <f>INDEX(Src_VRE!$F$5:$F$1156,MATCH(About!$B$2&amp;"|"&amp;$A$1&amp;"|"&amp;$A5,Src_VRE!$E$5:$E$1156,0))</f>
        <v>1</v>
      </c>
      <c r="C5" s="11">
        <f>INDEX(Src_VRE!$G$5:$G$1156,MATCH(About!$B$2&amp;"|"&amp;$A$1&amp;"|"&amp;$A5,Src_VRE!$E$5:$E$1156,0))</f>
        <v>1</v>
      </c>
      <c r="D5" s="11">
        <f>INDEX(Src_VRE!$H$5:$H$1156,MATCH(About!$B$2&amp;"|"&amp;$A$1&amp;"|"&amp;$A5,Src_VRE!$E$5:$E$1156,0))</f>
        <v>1</v>
      </c>
      <c r="E5" s="11">
        <f>INDEX(Src_VRE!$I$5:$I$1156,MATCH(About!$B$2&amp;"|"&amp;$A$1&amp;"|"&amp;$A5,Src_VRE!$E$5:$E$1156,0))</f>
        <v>1</v>
      </c>
      <c r="F5" s="11">
        <f>INDEX(Src_VRE!$J$5:$J$1156,MATCH(About!$B$2&amp;"|"&amp;$A$1&amp;"|"&amp;$A5,Src_VRE!$E$5:$E$1156,0))</f>
        <v>1</v>
      </c>
      <c r="G5" s="11">
        <f>INDEX(Src_VRE!$K$5:$K$1156,MATCH(About!$B$2&amp;"|"&amp;$A$1&amp;"|"&amp;$A5,Src_VRE!$E$5:$E$1156,0))</f>
        <v>1</v>
      </c>
      <c r="H5" s="11">
        <f>INDEX(Src_VRE!$L$5:$L$1156,MATCH(About!$B$2&amp;"|"&amp;$A$1&amp;"|"&amp;$A5,Src_VRE!$E$5:$E$1156,0))</f>
        <v>1</v>
      </c>
      <c r="I5" s="11">
        <f>INDEX(Src_VRE!$M$5:$M$1156,MATCH(About!$B$2&amp;"|"&amp;$A$1&amp;"|"&amp;$A5,Src_VRE!$E$5:$E$1156,0))</f>
        <v>1</v>
      </c>
      <c r="J5" s="11">
        <f>INDEX(Src_VRE!$N$5:$N$1156,MATCH(About!$B$2&amp;"|"&amp;$A$1&amp;"|"&amp;$A5,Src_VRE!$E$5:$E$1156,0))</f>
        <v>1</v>
      </c>
      <c r="K5" s="11">
        <f>INDEX(Src_VRE!$O$5:$O$1156,MATCH(About!$B$2&amp;"|"&amp;$A$1&amp;"|"&amp;$A5,Src_VRE!$E$5:$E$1156,0))</f>
        <v>1</v>
      </c>
      <c r="L5" s="11">
        <f>INDEX(Src_VRE!$P$5:$P$1156,MATCH(About!$B$2&amp;"|"&amp;$A$1&amp;"|"&amp;$A5,Src_VRE!$E$5:$E$1156,0))</f>
        <v>1</v>
      </c>
      <c r="M5" s="11">
        <f>INDEX(Src_VRE!$Q$5:$Q$1156,MATCH(About!$B$2&amp;"|"&amp;$A$1&amp;"|"&amp;$A5,Src_VRE!$E$5:$E$1156,0))</f>
        <v>1</v>
      </c>
      <c r="N5" s="11">
        <f>INDEX(Src_VRE!$R$5:$R$1156,MATCH(About!$B$2&amp;"|"&amp;$A$1&amp;"|"&amp;$A5,Src_VRE!$E$5:$E$1156,0))</f>
        <v>1</v>
      </c>
      <c r="O5" s="11">
        <f>INDEX(Src_VRE!$S$5:$S$1156,MATCH(About!$B$2&amp;"|"&amp;$A$1&amp;"|"&amp;$A5,Src_VRE!$E$5:$E$1156,0))</f>
        <v>1</v>
      </c>
      <c r="P5" s="11">
        <f>INDEX(Src_VRE!$T$5:$T$1156,MATCH(About!$B$2&amp;"|"&amp;$A$1&amp;"|"&amp;$A5,Src_VRE!$E$5:$E$1156,0))</f>
        <v>1</v>
      </c>
      <c r="Q5" s="11">
        <f>INDEX(Src_VRE!$U$5:$U$1156,MATCH(About!$B$2&amp;"|"&amp;$A$1&amp;"|"&amp;$A5,Src_VRE!$E$5:$E$1156,0))</f>
        <v>1</v>
      </c>
      <c r="R5" s="11">
        <f>INDEX(Src_VRE!$V$5:$V$1156,MATCH(About!$B$2&amp;"|"&amp;$A$1&amp;"|"&amp;$A5,Src_VRE!$E$5:$E$1156,0))</f>
        <v>1</v>
      </c>
      <c r="S5" s="11">
        <f>INDEX(Src_VRE!$W$5:$W$1156,MATCH(About!$B$2&amp;"|"&amp;$A$1&amp;"|"&amp;$A5,Src_VRE!$E$5:$E$1156,0))</f>
        <v>1</v>
      </c>
      <c r="T5" s="11">
        <f>INDEX(Src_VRE!$X$5:$X$1156,MATCH(About!$B$2&amp;"|"&amp;$A$1&amp;"|"&amp;$A5,Src_VRE!$E$5:$E$1156,0))</f>
        <v>1</v>
      </c>
      <c r="U5" s="11">
        <f>INDEX(Src_VRE!$Y$5:$Y$1156,MATCH(About!$B$2&amp;"|"&amp;$A$1&amp;"|"&amp;$A5,Src_VRE!$E$5:$E$1156,0))</f>
        <v>1</v>
      </c>
      <c r="V5" s="11">
        <f>INDEX(Src_VRE!$Z$5:$Z$1156,MATCH(About!$B$2&amp;"|"&amp;$A$1&amp;"|"&amp;$A5,Src_VRE!$E$5:$E$1156,0))</f>
        <v>1</v>
      </c>
      <c r="W5" s="11">
        <f>INDEX(Src_VRE!$AA$5:$AA$1156,MATCH(About!$B$2&amp;"|"&amp;$A$1&amp;"|"&amp;$A5,Src_VRE!$E$5:$E$1156,0))</f>
        <v>1</v>
      </c>
      <c r="X5" s="11">
        <f>INDEX(Src_VRE!$AB$5:$AB$1156,MATCH(About!$B$2&amp;"|"&amp;$A$1&amp;"|"&amp;$A5,Src_VRE!$E$5:$E$1156,0))</f>
        <v>1</v>
      </c>
      <c r="Y5" s="11">
        <f>INDEX(Src_VRE!$AC$5:$AC$1156,MATCH(About!$B$2&amp;"|"&amp;$A$1&amp;"|"&amp;$A5,Src_VRE!$E$5:$E$1156,0))</f>
        <v>1</v>
      </c>
    </row>
    <row r="6" spans="1:25" x14ac:dyDescent="0.45">
      <c r="A6" t="s">
        <v>428</v>
      </c>
      <c r="B6" s="11">
        <f>INDEX(Src_VRE!$F$5:$F$1156,MATCH(About!$B$2&amp;"|"&amp;$A$1&amp;"|"&amp;$A6,Src_VRE!$E$5:$E$1156,0))</f>
        <v>0.40810000000000002</v>
      </c>
      <c r="C6" s="11">
        <f>INDEX(Src_VRE!$G$5:$G$1156,MATCH(About!$B$2&amp;"|"&amp;$A$1&amp;"|"&amp;$A6,Src_VRE!$E$5:$E$1156,0))</f>
        <v>0.4239</v>
      </c>
      <c r="D6" s="11">
        <f>INDEX(Src_VRE!$H$5:$H$1156,MATCH(About!$B$2&amp;"|"&amp;$A$1&amp;"|"&amp;$A6,Src_VRE!$E$5:$E$1156,0))</f>
        <v>0.45760000000000001</v>
      </c>
      <c r="E6" s="11">
        <f>INDEX(Src_VRE!$I$5:$I$1156,MATCH(About!$B$2&amp;"|"&amp;$A$1&amp;"|"&amp;$A6,Src_VRE!$E$5:$E$1156,0))</f>
        <v>0.50319999999999998</v>
      </c>
      <c r="F6" s="11">
        <f>INDEX(Src_VRE!$J$5:$J$1156,MATCH(About!$B$2&amp;"|"&amp;$A$1&amp;"|"&amp;$A6,Src_VRE!$E$5:$E$1156,0))</f>
        <v>0.53649999999999998</v>
      </c>
      <c r="G6" s="11">
        <f>INDEX(Src_VRE!$K$5:$K$1156,MATCH(About!$B$2&amp;"|"&amp;$A$1&amp;"|"&amp;$A6,Src_VRE!$E$5:$E$1156,0))</f>
        <v>0.59399999999999997</v>
      </c>
      <c r="H6" s="11">
        <f>INDEX(Src_VRE!$L$5:$L$1156,MATCH(About!$B$2&amp;"|"&amp;$A$1&amp;"|"&amp;$A6,Src_VRE!$E$5:$E$1156,0))</f>
        <v>0.61929999999999996</v>
      </c>
      <c r="I6" s="11">
        <f>INDEX(Src_VRE!$M$5:$M$1156,MATCH(About!$B$2&amp;"|"&amp;$A$1&amp;"|"&amp;$A6,Src_VRE!$E$5:$E$1156,0))</f>
        <v>0.68859999999999999</v>
      </c>
      <c r="J6" s="11">
        <f>INDEX(Src_VRE!$N$5:$N$1156,MATCH(About!$B$2&amp;"|"&amp;$A$1&amp;"|"&amp;$A6,Src_VRE!$E$5:$E$1156,0))</f>
        <v>0.73480000000000001</v>
      </c>
      <c r="K6" s="11">
        <f>INDEX(Src_VRE!$O$5:$O$1156,MATCH(About!$B$2&amp;"|"&amp;$A$1&amp;"|"&amp;$A6,Src_VRE!$E$5:$E$1156,0))</f>
        <v>0.84350000000000003</v>
      </c>
      <c r="L6" s="11">
        <f>INDEX(Src_VRE!$P$5:$P$1156,MATCH(About!$B$2&amp;"|"&amp;$A$1&amp;"|"&amp;$A6,Src_VRE!$E$5:$E$1156,0))</f>
        <v>0.78200000000000003</v>
      </c>
      <c r="M6" s="11">
        <f>INDEX(Src_VRE!$Q$5:$Q$1156,MATCH(About!$B$2&amp;"|"&amp;$A$1&amp;"|"&amp;$A6,Src_VRE!$E$5:$E$1156,0))</f>
        <v>0.74650000000000005</v>
      </c>
      <c r="N6" s="11">
        <f>INDEX(Src_VRE!$R$5:$R$1156,MATCH(About!$B$2&amp;"|"&amp;$A$1&amp;"|"&amp;$A6,Src_VRE!$E$5:$E$1156,0))</f>
        <v>0.63690000000000002</v>
      </c>
      <c r="O6" s="11">
        <f>INDEX(Src_VRE!$S$5:$S$1156,MATCH(About!$B$2&amp;"|"&amp;$A$1&amp;"|"&amp;$A6,Src_VRE!$E$5:$E$1156,0))</f>
        <v>0.60860000000000003</v>
      </c>
      <c r="P6" s="11">
        <f>INDEX(Src_VRE!$T$5:$T$1156,MATCH(About!$B$2&amp;"|"&amp;$A$1&amp;"|"&amp;$A6,Src_VRE!$E$5:$E$1156,0))</f>
        <v>0.64339999999999997</v>
      </c>
      <c r="Q6" s="11">
        <f>INDEX(Src_VRE!$U$5:$U$1156,MATCH(About!$B$2&amp;"|"&amp;$A$1&amp;"|"&amp;$A6,Src_VRE!$E$5:$E$1156,0))</f>
        <v>0.69269999999999998</v>
      </c>
      <c r="R6" s="11">
        <f>INDEX(Src_VRE!$V$5:$V$1156,MATCH(About!$B$2&amp;"|"&amp;$A$1&amp;"|"&amp;$A6,Src_VRE!$E$5:$E$1156,0))</f>
        <v>0.71450000000000002</v>
      </c>
      <c r="S6" s="11">
        <f>INDEX(Src_VRE!$W$5:$W$1156,MATCH(About!$B$2&amp;"|"&amp;$A$1&amp;"|"&amp;$A6,Src_VRE!$E$5:$E$1156,0))</f>
        <v>0.75070000000000003</v>
      </c>
      <c r="T6" s="11">
        <f>INDEX(Src_VRE!$X$5:$X$1156,MATCH(About!$B$2&amp;"|"&amp;$A$1&amp;"|"&amp;$A6,Src_VRE!$E$5:$E$1156,0))</f>
        <v>0.72489999999999999</v>
      </c>
      <c r="U6" s="11">
        <f>INDEX(Src_VRE!$Y$5:$Y$1156,MATCH(About!$B$2&amp;"|"&amp;$A$1&amp;"|"&amp;$A6,Src_VRE!$E$5:$E$1156,0))</f>
        <v>0.66049999999999998</v>
      </c>
      <c r="V6" s="11">
        <f>INDEX(Src_VRE!$Z$5:$Z$1156,MATCH(About!$B$2&amp;"|"&amp;$A$1&amp;"|"&amp;$A6,Src_VRE!$E$5:$E$1156,0))</f>
        <v>0.69140000000000001</v>
      </c>
      <c r="W6" s="11">
        <f>INDEX(Src_VRE!$AA$5:$AA$1156,MATCH(About!$B$2&amp;"|"&amp;$A$1&amp;"|"&amp;$A6,Src_VRE!$E$5:$E$1156,0))</f>
        <v>0.63080000000000003</v>
      </c>
      <c r="X6" s="11">
        <f>INDEX(Src_VRE!$AB$5:$AB$1156,MATCH(About!$B$2&amp;"|"&amp;$A$1&amp;"|"&amp;$A6,Src_VRE!$E$5:$E$1156,0))</f>
        <v>0.63429999999999997</v>
      </c>
      <c r="Y6" s="11">
        <f>INDEX(Src_VRE!$AC$5:$AC$1156,MATCH(About!$B$2&amp;"|"&amp;$A$1&amp;"|"&amp;$A6,Src_VRE!$E$5:$E$1156,0))</f>
        <v>0.64390000000000003</v>
      </c>
    </row>
    <row r="7" spans="1:25" x14ac:dyDescent="0.45">
      <c r="A7" t="s">
        <v>429</v>
      </c>
      <c r="B7" s="11">
        <f>INDEX(Src_VRE!$F$5:$F$1156,MATCH(About!$B$2&amp;"|"&amp;$A$1&amp;"|"&amp;$A7,Src_VRE!$E$5:$E$1156,0))</f>
        <v>0.95309999999999995</v>
      </c>
      <c r="C7" s="11">
        <f>INDEX(Src_VRE!$G$5:$G$1156,MATCH(About!$B$2&amp;"|"&amp;$A$1&amp;"|"&amp;$A7,Src_VRE!$E$5:$E$1156,0))</f>
        <v>0.95030000000000003</v>
      </c>
      <c r="D7" s="11">
        <f>INDEX(Src_VRE!$H$5:$H$1156,MATCH(About!$B$2&amp;"|"&amp;$A$1&amp;"|"&amp;$A7,Src_VRE!$E$5:$E$1156,0))</f>
        <v>0.95540000000000003</v>
      </c>
      <c r="E7" s="11">
        <f>INDEX(Src_VRE!$I$5:$I$1156,MATCH(About!$B$2&amp;"|"&amp;$A$1&amp;"|"&amp;$A7,Src_VRE!$E$5:$E$1156,0))</f>
        <v>0.96679999999999999</v>
      </c>
      <c r="F7" s="11">
        <f>INDEX(Src_VRE!$J$5:$J$1156,MATCH(About!$B$2&amp;"|"&amp;$A$1&amp;"|"&amp;$A7,Src_VRE!$E$5:$E$1156,0))</f>
        <v>1</v>
      </c>
      <c r="G7" s="11">
        <f>INDEX(Src_VRE!$K$5:$K$1156,MATCH(About!$B$2&amp;"|"&amp;$A$1&amp;"|"&amp;$A7,Src_VRE!$E$5:$E$1156,0))</f>
        <v>1</v>
      </c>
      <c r="H7" s="11">
        <f>INDEX(Src_VRE!$L$5:$L$1156,MATCH(About!$B$2&amp;"|"&amp;$A$1&amp;"|"&amp;$A7,Src_VRE!$E$5:$E$1156,0))</f>
        <v>1</v>
      </c>
      <c r="I7" s="11">
        <f>INDEX(Src_VRE!$M$5:$M$1156,MATCH(About!$B$2&amp;"|"&amp;$A$1&amp;"|"&amp;$A7,Src_VRE!$E$5:$E$1156,0))</f>
        <v>0.99209999999999998</v>
      </c>
      <c r="J7" s="11">
        <f>INDEX(Src_VRE!$N$5:$N$1156,MATCH(About!$B$2&amp;"|"&amp;$A$1&amp;"|"&amp;$A7,Src_VRE!$E$5:$E$1156,0))</f>
        <v>0.90149999999999997</v>
      </c>
      <c r="K7" s="11">
        <f>INDEX(Src_VRE!$O$5:$O$1156,MATCH(About!$B$2&amp;"|"&amp;$A$1&amp;"|"&amp;$A7,Src_VRE!$E$5:$E$1156,0))</f>
        <v>0.79779999999999995</v>
      </c>
      <c r="L7" s="11">
        <f>INDEX(Src_VRE!$P$5:$P$1156,MATCH(About!$B$2&amp;"|"&amp;$A$1&amp;"|"&amp;$A7,Src_VRE!$E$5:$E$1156,0))</f>
        <v>0.71879999999999999</v>
      </c>
      <c r="M7" s="11">
        <f>INDEX(Src_VRE!$Q$5:$Q$1156,MATCH(About!$B$2&amp;"|"&amp;$A$1&amp;"|"&amp;$A7,Src_VRE!$E$5:$E$1156,0))</f>
        <v>0.67300000000000004</v>
      </c>
      <c r="N7" s="11">
        <f>INDEX(Src_VRE!$R$5:$R$1156,MATCH(About!$B$2&amp;"|"&amp;$A$1&amp;"|"&amp;$A7,Src_VRE!$E$5:$E$1156,0))</f>
        <v>0.60860000000000003</v>
      </c>
      <c r="O7" s="11">
        <f>INDEX(Src_VRE!$S$5:$S$1156,MATCH(About!$B$2&amp;"|"&amp;$A$1&amp;"|"&amp;$A7,Src_VRE!$E$5:$E$1156,0))</f>
        <v>0.58009999999999995</v>
      </c>
      <c r="P7" s="11">
        <f>INDEX(Src_VRE!$T$5:$T$1156,MATCH(About!$B$2&amp;"|"&amp;$A$1&amp;"|"&amp;$A7,Src_VRE!$E$5:$E$1156,0))</f>
        <v>0.58799999999999997</v>
      </c>
      <c r="Q7" s="11">
        <f>INDEX(Src_VRE!$U$5:$U$1156,MATCH(About!$B$2&amp;"|"&amp;$A$1&amp;"|"&amp;$A7,Src_VRE!$E$5:$E$1156,0))</f>
        <v>0.61019999999999996</v>
      </c>
      <c r="R7" s="11">
        <f>INDEX(Src_VRE!$V$5:$V$1156,MATCH(About!$B$2&amp;"|"&amp;$A$1&amp;"|"&amp;$A7,Src_VRE!$E$5:$E$1156,0))</f>
        <v>0.61839999999999995</v>
      </c>
      <c r="S7" s="11">
        <f>INDEX(Src_VRE!$W$5:$W$1156,MATCH(About!$B$2&amp;"|"&amp;$A$1&amp;"|"&amp;$A7,Src_VRE!$E$5:$E$1156,0))</f>
        <v>0.60909999999999997</v>
      </c>
      <c r="T7" s="11">
        <f>INDEX(Src_VRE!$X$5:$X$1156,MATCH(About!$B$2&amp;"|"&amp;$A$1&amp;"|"&amp;$A7,Src_VRE!$E$5:$E$1156,0))</f>
        <v>0.62880000000000003</v>
      </c>
      <c r="U7" s="11">
        <f>INDEX(Src_VRE!$Y$5:$Y$1156,MATCH(About!$B$2&amp;"|"&amp;$A$1&amp;"|"&amp;$A7,Src_VRE!$E$5:$E$1156,0))</f>
        <v>0.72889999999999999</v>
      </c>
      <c r="V7" s="11">
        <f>INDEX(Src_VRE!$Z$5:$Z$1156,MATCH(About!$B$2&amp;"|"&amp;$A$1&amp;"|"&amp;$A7,Src_VRE!$E$5:$E$1156,0))</f>
        <v>0.84719999999999995</v>
      </c>
      <c r="W7" s="11">
        <f>INDEX(Src_VRE!$AA$5:$AA$1156,MATCH(About!$B$2&amp;"|"&amp;$A$1&amp;"|"&amp;$A7,Src_VRE!$E$5:$E$1156,0))</f>
        <v>0.92220000000000002</v>
      </c>
      <c r="X7" s="11">
        <f>INDEX(Src_VRE!$AB$5:$AB$1156,MATCH(About!$B$2&amp;"|"&amp;$A$1&amp;"|"&amp;$A7,Src_VRE!$E$5:$E$1156,0))</f>
        <v>0.86950000000000005</v>
      </c>
      <c r="Y7" s="11">
        <f>INDEX(Src_VRE!$AC$5:$AC$1156,MATCH(About!$B$2&amp;"|"&amp;$A$1&amp;"|"&amp;$A7,Src_VRE!$E$5:$E$1156,0))</f>
        <v>0.8054</v>
      </c>
    </row>
  </sheetData>
  <pageMargins left="0.75" right="0.75" top="1" bottom="1"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1F3864"/>
  </sheetPr>
  <dimension ref="A1:Y7"/>
  <sheetViews>
    <sheetView workbookViewId="0"/>
  </sheetViews>
  <sheetFormatPr defaultRowHeight="14.25" x14ac:dyDescent="0.45"/>
  <sheetData>
    <row r="1" spans="1:25" x14ac:dyDescent="0.45">
      <c r="A1" t="s">
        <v>498</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Keys!$C$4</f>
        <v>0.9</v>
      </c>
      <c r="C2" s="11">
        <f>Keys!$C$4</f>
        <v>0.9</v>
      </c>
      <c r="D2" s="11">
        <f>Keys!$C$4</f>
        <v>0.9</v>
      </c>
      <c r="E2" s="11">
        <f>Keys!$C$4</f>
        <v>0.9</v>
      </c>
      <c r="F2" s="11">
        <f>Keys!$C$4</f>
        <v>0.9</v>
      </c>
      <c r="G2" s="11">
        <f>Keys!$C$4</f>
        <v>0.9</v>
      </c>
      <c r="H2" s="11">
        <f>Keys!$C$4</f>
        <v>0.9</v>
      </c>
      <c r="I2" s="11">
        <f>Keys!$C$4</f>
        <v>0.9</v>
      </c>
      <c r="J2" s="11">
        <f>Keys!$C$4</f>
        <v>0.9</v>
      </c>
      <c r="K2" s="11">
        <f>Keys!$C$4</f>
        <v>0.9</v>
      </c>
      <c r="L2" s="11">
        <f>Keys!$C$4</f>
        <v>0.9</v>
      </c>
      <c r="M2" s="11">
        <f>Keys!$C$4</f>
        <v>0.9</v>
      </c>
      <c r="N2" s="11">
        <f>Keys!$C$4</f>
        <v>0.9</v>
      </c>
      <c r="O2" s="11">
        <f>Keys!$C$4</f>
        <v>0.9</v>
      </c>
      <c r="P2" s="11">
        <f>Keys!$C$4</f>
        <v>0.9</v>
      </c>
      <c r="Q2" s="11">
        <f>Keys!$C$4</f>
        <v>0.9</v>
      </c>
      <c r="R2" s="11">
        <f>Keys!$C$4</f>
        <v>0.9</v>
      </c>
      <c r="S2" s="11">
        <f>Keys!$C$4</f>
        <v>0.9</v>
      </c>
      <c r="T2" s="11">
        <f>Keys!$C$4</f>
        <v>0.9</v>
      </c>
      <c r="U2" s="11">
        <f>Keys!$C$4</f>
        <v>0.9</v>
      </c>
      <c r="V2" s="11">
        <f>Keys!$C$4</f>
        <v>0.9</v>
      </c>
      <c r="W2" s="11">
        <f>Keys!$C$4</f>
        <v>0.9</v>
      </c>
      <c r="X2" s="11">
        <f>Keys!$C$4</f>
        <v>0.9</v>
      </c>
      <c r="Y2" s="11">
        <f>Keys!$C$4</f>
        <v>0.9</v>
      </c>
    </row>
    <row r="3" spans="1:25" x14ac:dyDescent="0.45">
      <c r="A3" t="s">
        <v>425</v>
      </c>
      <c r="B3" s="11">
        <f>Keys!$C$4</f>
        <v>0.9</v>
      </c>
      <c r="C3" s="11">
        <f>Keys!$C$4</f>
        <v>0.9</v>
      </c>
      <c r="D3" s="11">
        <f>Keys!$C$4</f>
        <v>0.9</v>
      </c>
      <c r="E3" s="11">
        <f>Keys!$C$4</f>
        <v>0.9</v>
      </c>
      <c r="F3" s="11">
        <f>Keys!$C$4</f>
        <v>0.9</v>
      </c>
      <c r="G3" s="11">
        <f>Keys!$C$4</f>
        <v>0.9</v>
      </c>
      <c r="H3" s="11">
        <f>Keys!$C$4</f>
        <v>0.9</v>
      </c>
      <c r="I3" s="11">
        <f>Keys!$C$4</f>
        <v>0.9</v>
      </c>
      <c r="J3" s="11">
        <f>Keys!$C$4</f>
        <v>0.9</v>
      </c>
      <c r="K3" s="11">
        <f>Keys!$C$4</f>
        <v>0.9</v>
      </c>
      <c r="L3" s="11">
        <f>Keys!$C$4</f>
        <v>0.9</v>
      </c>
      <c r="M3" s="11">
        <f>Keys!$C$4</f>
        <v>0.9</v>
      </c>
      <c r="N3" s="11">
        <f>Keys!$C$4</f>
        <v>0.9</v>
      </c>
      <c r="O3" s="11">
        <f>Keys!$C$4</f>
        <v>0.9</v>
      </c>
      <c r="P3" s="11">
        <f>Keys!$C$4</f>
        <v>0.9</v>
      </c>
      <c r="Q3" s="11">
        <f>Keys!$C$4</f>
        <v>0.9</v>
      </c>
      <c r="R3" s="11">
        <f>Keys!$C$4</f>
        <v>0.9</v>
      </c>
      <c r="S3" s="11">
        <f>Keys!$C$4</f>
        <v>0.9</v>
      </c>
      <c r="T3" s="11">
        <f>Keys!$C$4</f>
        <v>0.9</v>
      </c>
      <c r="U3" s="11">
        <f>Keys!$C$4</f>
        <v>0.9</v>
      </c>
      <c r="V3" s="11">
        <f>Keys!$C$4</f>
        <v>0.9</v>
      </c>
      <c r="W3" s="11">
        <f>Keys!$C$4</f>
        <v>0.9</v>
      </c>
      <c r="X3" s="11">
        <f>Keys!$C$4</f>
        <v>0.9</v>
      </c>
      <c r="Y3" s="11">
        <f>Keys!$C$4</f>
        <v>0.9</v>
      </c>
    </row>
    <row r="4" spans="1:25" x14ac:dyDescent="0.45">
      <c r="A4" t="s">
        <v>426</v>
      </c>
      <c r="B4" s="11">
        <f>Keys!$C$4</f>
        <v>0.9</v>
      </c>
      <c r="C4" s="11">
        <f>Keys!$C$4</f>
        <v>0.9</v>
      </c>
      <c r="D4" s="11">
        <f>Keys!$C$4</f>
        <v>0.9</v>
      </c>
      <c r="E4" s="11">
        <f>Keys!$C$4</f>
        <v>0.9</v>
      </c>
      <c r="F4" s="11">
        <f>Keys!$C$4</f>
        <v>0.9</v>
      </c>
      <c r="G4" s="11">
        <f>Keys!$C$4</f>
        <v>0.9</v>
      </c>
      <c r="H4" s="11">
        <f>Keys!$C$4</f>
        <v>0.9</v>
      </c>
      <c r="I4" s="11">
        <f>Keys!$C$4</f>
        <v>0.9</v>
      </c>
      <c r="J4" s="11">
        <f>Keys!$C$4</f>
        <v>0.9</v>
      </c>
      <c r="K4" s="11">
        <f>Keys!$C$4</f>
        <v>0.9</v>
      </c>
      <c r="L4" s="11">
        <f>Keys!$C$4</f>
        <v>0.9</v>
      </c>
      <c r="M4" s="11">
        <f>Keys!$C$4</f>
        <v>0.9</v>
      </c>
      <c r="N4" s="11">
        <f>Keys!$C$4</f>
        <v>0.9</v>
      </c>
      <c r="O4" s="11">
        <f>Keys!$C$4</f>
        <v>0.9</v>
      </c>
      <c r="P4" s="11">
        <f>Keys!$C$4</f>
        <v>0.9</v>
      </c>
      <c r="Q4" s="11">
        <f>Keys!$C$4</f>
        <v>0.9</v>
      </c>
      <c r="R4" s="11">
        <f>Keys!$C$4</f>
        <v>0.9</v>
      </c>
      <c r="S4" s="11">
        <f>Keys!$C$4</f>
        <v>0.9</v>
      </c>
      <c r="T4" s="11">
        <f>Keys!$C$4</f>
        <v>0.9</v>
      </c>
      <c r="U4" s="11">
        <f>Keys!$C$4</f>
        <v>0.9</v>
      </c>
      <c r="V4" s="11">
        <f>Keys!$C$4</f>
        <v>0.9</v>
      </c>
      <c r="W4" s="11">
        <f>Keys!$C$4</f>
        <v>0.9</v>
      </c>
      <c r="X4" s="11">
        <f>Keys!$C$4</f>
        <v>0.9</v>
      </c>
      <c r="Y4" s="11">
        <f>Keys!$C$4</f>
        <v>0.9</v>
      </c>
    </row>
    <row r="5" spans="1:25" x14ac:dyDescent="0.45">
      <c r="A5" t="s">
        <v>427</v>
      </c>
      <c r="B5" s="11">
        <f>Keys!$C$4</f>
        <v>0.9</v>
      </c>
      <c r="C5" s="11">
        <f>Keys!$C$4</f>
        <v>0.9</v>
      </c>
      <c r="D5" s="11">
        <f>Keys!$C$4</f>
        <v>0.9</v>
      </c>
      <c r="E5" s="11">
        <f>Keys!$C$4</f>
        <v>0.9</v>
      </c>
      <c r="F5" s="11">
        <f>Keys!$C$4</f>
        <v>0.9</v>
      </c>
      <c r="G5" s="11">
        <f>Keys!$C$4</f>
        <v>0.9</v>
      </c>
      <c r="H5" s="11">
        <f>Keys!$C$4</f>
        <v>0.9</v>
      </c>
      <c r="I5" s="11">
        <f>Keys!$C$4</f>
        <v>0.9</v>
      </c>
      <c r="J5" s="11">
        <f>Keys!$C$4</f>
        <v>0.9</v>
      </c>
      <c r="K5" s="11">
        <f>Keys!$C$4</f>
        <v>0.9</v>
      </c>
      <c r="L5" s="11">
        <f>Keys!$C$4</f>
        <v>0.9</v>
      </c>
      <c r="M5" s="11">
        <f>Keys!$C$4</f>
        <v>0.9</v>
      </c>
      <c r="N5" s="11">
        <f>Keys!$C$4</f>
        <v>0.9</v>
      </c>
      <c r="O5" s="11">
        <f>Keys!$C$4</f>
        <v>0.9</v>
      </c>
      <c r="P5" s="11">
        <f>Keys!$C$4</f>
        <v>0.9</v>
      </c>
      <c r="Q5" s="11">
        <f>Keys!$C$4</f>
        <v>0.9</v>
      </c>
      <c r="R5" s="11">
        <f>Keys!$C$4</f>
        <v>0.9</v>
      </c>
      <c r="S5" s="11">
        <f>Keys!$C$4</f>
        <v>0.9</v>
      </c>
      <c r="T5" s="11">
        <f>Keys!$C$4</f>
        <v>0.9</v>
      </c>
      <c r="U5" s="11">
        <f>Keys!$C$4</f>
        <v>0.9</v>
      </c>
      <c r="V5" s="11">
        <f>Keys!$C$4</f>
        <v>0.9</v>
      </c>
      <c r="W5" s="11">
        <f>Keys!$C$4</f>
        <v>0.9</v>
      </c>
      <c r="X5" s="11">
        <f>Keys!$C$4</f>
        <v>0.9</v>
      </c>
      <c r="Y5" s="11">
        <f>Keys!$C$4</f>
        <v>0.9</v>
      </c>
    </row>
    <row r="6" spans="1:25" x14ac:dyDescent="0.45">
      <c r="A6" t="s">
        <v>428</v>
      </c>
      <c r="B6" s="11">
        <f>Keys!$C$4</f>
        <v>0.9</v>
      </c>
      <c r="C6" s="11">
        <f>Keys!$C$4</f>
        <v>0.9</v>
      </c>
      <c r="D6" s="11">
        <f>Keys!$C$4</f>
        <v>0.9</v>
      </c>
      <c r="E6" s="11">
        <f>Keys!$C$4</f>
        <v>0.9</v>
      </c>
      <c r="F6" s="11">
        <f>Keys!$C$4</f>
        <v>0.9</v>
      </c>
      <c r="G6" s="11">
        <f>Keys!$C$4</f>
        <v>0.9</v>
      </c>
      <c r="H6" s="11">
        <f>Keys!$C$4</f>
        <v>0.9</v>
      </c>
      <c r="I6" s="11">
        <f>Keys!$C$4</f>
        <v>0.9</v>
      </c>
      <c r="J6" s="11">
        <f>Keys!$C$4</f>
        <v>0.9</v>
      </c>
      <c r="K6" s="11">
        <f>Keys!$C$4</f>
        <v>0.9</v>
      </c>
      <c r="L6" s="11">
        <f>Keys!$C$4</f>
        <v>0.9</v>
      </c>
      <c r="M6" s="11">
        <f>Keys!$C$4</f>
        <v>0.9</v>
      </c>
      <c r="N6" s="11">
        <f>Keys!$C$4</f>
        <v>0.9</v>
      </c>
      <c r="O6" s="11">
        <f>Keys!$C$4</f>
        <v>0.9</v>
      </c>
      <c r="P6" s="11">
        <f>Keys!$C$4</f>
        <v>0.9</v>
      </c>
      <c r="Q6" s="11">
        <f>Keys!$C$4</f>
        <v>0.9</v>
      </c>
      <c r="R6" s="11">
        <f>Keys!$C$4</f>
        <v>0.9</v>
      </c>
      <c r="S6" s="11">
        <f>Keys!$C$4</f>
        <v>0.9</v>
      </c>
      <c r="T6" s="11">
        <f>Keys!$C$4</f>
        <v>0.9</v>
      </c>
      <c r="U6" s="11">
        <f>Keys!$C$4</f>
        <v>0.9</v>
      </c>
      <c r="V6" s="11">
        <f>Keys!$C$4</f>
        <v>0.9</v>
      </c>
      <c r="W6" s="11">
        <f>Keys!$C$4</f>
        <v>0.9</v>
      </c>
      <c r="X6" s="11">
        <f>Keys!$C$4</f>
        <v>0.9</v>
      </c>
      <c r="Y6" s="11">
        <f>Keys!$C$4</f>
        <v>0.9</v>
      </c>
    </row>
    <row r="7" spans="1:25" x14ac:dyDescent="0.45">
      <c r="A7" t="s">
        <v>429</v>
      </c>
      <c r="B7" s="11">
        <f>Keys!$C$4</f>
        <v>0.9</v>
      </c>
      <c r="C7" s="11">
        <f>Keys!$C$4</f>
        <v>0.9</v>
      </c>
      <c r="D7" s="11">
        <f>Keys!$C$4</f>
        <v>0.9</v>
      </c>
      <c r="E7" s="11">
        <f>Keys!$C$4</f>
        <v>0.9</v>
      </c>
      <c r="F7" s="11">
        <f>Keys!$C$4</f>
        <v>0.9</v>
      </c>
      <c r="G7" s="11">
        <f>Keys!$C$4</f>
        <v>0.9</v>
      </c>
      <c r="H7" s="11">
        <f>Keys!$C$4</f>
        <v>0.9</v>
      </c>
      <c r="I7" s="11">
        <f>Keys!$C$4</f>
        <v>0.9</v>
      </c>
      <c r="J7" s="11">
        <f>Keys!$C$4</f>
        <v>0.9</v>
      </c>
      <c r="K7" s="11">
        <f>Keys!$C$4</f>
        <v>0.9</v>
      </c>
      <c r="L7" s="11">
        <f>Keys!$C$4</f>
        <v>0.9</v>
      </c>
      <c r="M7" s="11">
        <f>Keys!$C$4</f>
        <v>0.9</v>
      </c>
      <c r="N7" s="11">
        <f>Keys!$C$4</f>
        <v>0.9</v>
      </c>
      <c r="O7" s="11">
        <f>Keys!$C$4</f>
        <v>0.9</v>
      </c>
      <c r="P7" s="11">
        <f>Keys!$C$4</f>
        <v>0.9</v>
      </c>
      <c r="Q7" s="11">
        <f>Keys!$C$4</f>
        <v>0.9</v>
      </c>
      <c r="R7" s="11">
        <f>Keys!$C$4</f>
        <v>0.9</v>
      </c>
      <c r="S7" s="11">
        <f>Keys!$C$4</f>
        <v>0.9</v>
      </c>
      <c r="T7" s="11">
        <f>Keys!$C$4</f>
        <v>0.9</v>
      </c>
      <c r="U7" s="11">
        <f>Keys!$C$4</f>
        <v>0.9</v>
      </c>
      <c r="V7" s="11">
        <f>Keys!$C$4</f>
        <v>0.9</v>
      </c>
      <c r="W7" s="11">
        <f>Keys!$C$4</f>
        <v>0.9</v>
      </c>
      <c r="X7" s="11">
        <f>Keys!$C$4</f>
        <v>0.9</v>
      </c>
      <c r="Y7" s="11">
        <f>Keys!$C$4</f>
        <v>0.9</v>
      </c>
    </row>
  </sheetData>
  <pageMargins left="0.75" right="0.75" top="1" bottom="1"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rgb="FF1F3864"/>
  </sheetPr>
  <dimension ref="A1:Y7"/>
  <sheetViews>
    <sheetView workbookViewId="0"/>
  </sheetViews>
  <sheetFormatPr defaultRowHeight="14.25" x14ac:dyDescent="0.45"/>
  <sheetData>
    <row r="1" spans="1:25" x14ac:dyDescent="0.45">
      <c r="A1" t="s">
        <v>499</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rgb="FF1F3864"/>
  </sheetPr>
  <dimension ref="A1:Y7"/>
  <sheetViews>
    <sheetView workbookViewId="0"/>
  </sheetViews>
  <sheetFormatPr defaultRowHeight="14.25" x14ac:dyDescent="0.45"/>
  <sheetData>
    <row r="1" spans="1:25" x14ac:dyDescent="0.45">
      <c r="A1" t="s">
        <v>500</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Keys!$C$4</f>
        <v>0.9</v>
      </c>
      <c r="C2" s="11">
        <f>Keys!$C$4</f>
        <v>0.9</v>
      </c>
      <c r="D2" s="11">
        <f>Keys!$C$4</f>
        <v>0.9</v>
      </c>
      <c r="E2" s="11">
        <f>Keys!$C$4</f>
        <v>0.9</v>
      </c>
      <c r="F2" s="11">
        <f>Keys!$C$4</f>
        <v>0.9</v>
      </c>
      <c r="G2" s="11">
        <f>Keys!$C$4</f>
        <v>0.9</v>
      </c>
      <c r="H2" s="11">
        <f>Keys!$C$4</f>
        <v>0.9</v>
      </c>
      <c r="I2" s="11">
        <f>Keys!$C$4</f>
        <v>0.9</v>
      </c>
      <c r="J2" s="11">
        <f>Keys!$C$4</f>
        <v>0.9</v>
      </c>
      <c r="K2" s="11">
        <f>Keys!$C$4</f>
        <v>0.9</v>
      </c>
      <c r="L2" s="11">
        <f>Keys!$C$4</f>
        <v>0.9</v>
      </c>
      <c r="M2" s="11">
        <f>Keys!$C$4</f>
        <v>0.9</v>
      </c>
      <c r="N2" s="11">
        <f>Keys!$C$4</f>
        <v>0.9</v>
      </c>
      <c r="O2" s="11">
        <f>Keys!$C$4</f>
        <v>0.9</v>
      </c>
      <c r="P2" s="11">
        <f>Keys!$C$4</f>
        <v>0.9</v>
      </c>
      <c r="Q2" s="11">
        <f>Keys!$C$4</f>
        <v>0.9</v>
      </c>
      <c r="R2" s="11">
        <f>Keys!$C$4</f>
        <v>0.9</v>
      </c>
      <c r="S2" s="11">
        <f>Keys!$C$4</f>
        <v>0.9</v>
      </c>
      <c r="T2" s="11">
        <f>Keys!$C$4</f>
        <v>0.9</v>
      </c>
      <c r="U2" s="11">
        <f>Keys!$C$4</f>
        <v>0.9</v>
      </c>
      <c r="V2" s="11">
        <f>Keys!$C$4</f>
        <v>0.9</v>
      </c>
      <c r="W2" s="11">
        <f>Keys!$C$4</f>
        <v>0.9</v>
      </c>
      <c r="X2" s="11">
        <f>Keys!$C$4</f>
        <v>0.9</v>
      </c>
      <c r="Y2" s="11">
        <f>Keys!$C$4</f>
        <v>0.9</v>
      </c>
    </row>
    <row r="3" spans="1:25" x14ac:dyDescent="0.45">
      <c r="A3" t="s">
        <v>425</v>
      </c>
      <c r="B3" s="11">
        <f>Keys!$C$4</f>
        <v>0.9</v>
      </c>
      <c r="C3" s="11">
        <f>Keys!$C$4</f>
        <v>0.9</v>
      </c>
      <c r="D3" s="11">
        <f>Keys!$C$4</f>
        <v>0.9</v>
      </c>
      <c r="E3" s="11">
        <f>Keys!$C$4</f>
        <v>0.9</v>
      </c>
      <c r="F3" s="11">
        <f>Keys!$C$4</f>
        <v>0.9</v>
      </c>
      <c r="G3" s="11">
        <f>Keys!$C$4</f>
        <v>0.9</v>
      </c>
      <c r="H3" s="11">
        <f>Keys!$C$4</f>
        <v>0.9</v>
      </c>
      <c r="I3" s="11">
        <f>Keys!$C$4</f>
        <v>0.9</v>
      </c>
      <c r="J3" s="11">
        <f>Keys!$C$4</f>
        <v>0.9</v>
      </c>
      <c r="K3" s="11">
        <f>Keys!$C$4</f>
        <v>0.9</v>
      </c>
      <c r="L3" s="11">
        <f>Keys!$C$4</f>
        <v>0.9</v>
      </c>
      <c r="M3" s="11">
        <f>Keys!$C$4</f>
        <v>0.9</v>
      </c>
      <c r="N3" s="11">
        <f>Keys!$C$4</f>
        <v>0.9</v>
      </c>
      <c r="O3" s="11">
        <f>Keys!$C$4</f>
        <v>0.9</v>
      </c>
      <c r="P3" s="11">
        <f>Keys!$C$4</f>
        <v>0.9</v>
      </c>
      <c r="Q3" s="11">
        <f>Keys!$C$4</f>
        <v>0.9</v>
      </c>
      <c r="R3" s="11">
        <f>Keys!$C$4</f>
        <v>0.9</v>
      </c>
      <c r="S3" s="11">
        <f>Keys!$C$4</f>
        <v>0.9</v>
      </c>
      <c r="T3" s="11">
        <f>Keys!$C$4</f>
        <v>0.9</v>
      </c>
      <c r="U3" s="11">
        <f>Keys!$C$4</f>
        <v>0.9</v>
      </c>
      <c r="V3" s="11">
        <f>Keys!$C$4</f>
        <v>0.9</v>
      </c>
      <c r="W3" s="11">
        <f>Keys!$C$4</f>
        <v>0.9</v>
      </c>
      <c r="X3" s="11">
        <f>Keys!$C$4</f>
        <v>0.9</v>
      </c>
      <c r="Y3" s="11">
        <f>Keys!$C$4</f>
        <v>0.9</v>
      </c>
    </row>
    <row r="4" spans="1:25" x14ac:dyDescent="0.45">
      <c r="A4" t="s">
        <v>426</v>
      </c>
      <c r="B4" s="11">
        <f>Keys!$C$4</f>
        <v>0.9</v>
      </c>
      <c r="C4" s="11">
        <f>Keys!$C$4</f>
        <v>0.9</v>
      </c>
      <c r="D4" s="11">
        <f>Keys!$C$4</f>
        <v>0.9</v>
      </c>
      <c r="E4" s="11">
        <f>Keys!$C$4</f>
        <v>0.9</v>
      </c>
      <c r="F4" s="11">
        <f>Keys!$C$4</f>
        <v>0.9</v>
      </c>
      <c r="G4" s="11">
        <f>Keys!$C$4</f>
        <v>0.9</v>
      </c>
      <c r="H4" s="11">
        <f>Keys!$C$4</f>
        <v>0.9</v>
      </c>
      <c r="I4" s="11">
        <f>Keys!$C$4</f>
        <v>0.9</v>
      </c>
      <c r="J4" s="11">
        <f>Keys!$C$4</f>
        <v>0.9</v>
      </c>
      <c r="K4" s="11">
        <f>Keys!$C$4</f>
        <v>0.9</v>
      </c>
      <c r="L4" s="11">
        <f>Keys!$C$4</f>
        <v>0.9</v>
      </c>
      <c r="M4" s="11">
        <f>Keys!$C$4</f>
        <v>0.9</v>
      </c>
      <c r="N4" s="11">
        <f>Keys!$C$4</f>
        <v>0.9</v>
      </c>
      <c r="O4" s="11">
        <f>Keys!$C$4</f>
        <v>0.9</v>
      </c>
      <c r="P4" s="11">
        <f>Keys!$C$4</f>
        <v>0.9</v>
      </c>
      <c r="Q4" s="11">
        <f>Keys!$C$4</f>
        <v>0.9</v>
      </c>
      <c r="R4" s="11">
        <f>Keys!$C$4</f>
        <v>0.9</v>
      </c>
      <c r="S4" s="11">
        <f>Keys!$C$4</f>
        <v>0.9</v>
      </c>
      <c r="T4" s="11">
        <f>Keys!$C$4</f>
        <v>0.9</v>
      </c>
      <c r="U4" s="11">
        <f>Keys!$C$4</f>
        <v>0.9</v>
      </c>
      <c r="V4" s="11">
        <f>Keys!$C$4</f>
        <v>0.9</v>
      </c>
      <c r="W4" s="11">
        <f>Keys!$C$4</f>
        <v>0.9</v>
      </c>
      <c r="X4" s="11">
        <f>Keys!$C$4</f>
        <v>0.9</v>
      </c>
      <c r="Y4" s="11">
        <f>Keys!$C$4</f>
        <v>0.9</v>
      </c>
    </row>
    <row r="5" spans="1:25" x14ac:dyDescent="0.45">
      <c r="A5" t="s">
        <v>427</v>
      </c>
      <c r="B5" s="11">
        <f>Keys!$C$4</f>
        <v>0.9</v>
      </c>
      <c r="C5" s="11">
        <f>Keys!$C$4</f>
        <v>0.9</v>
      </c>
      <c r="D5" s="11">
        <f>Keys!$C$4</f>
        <v>0.9</v>
      </c>
      <c r="E5" s="11">
        <f>Keys!$C$4</f>
        <v>0.9</v>
      </c>
      <c r="F5" s="11">
        <f>Keys!$C$4</f>
        <v>0.9</v>
      </c>
      <c r="G5" s="11">
        <f>Keys!$C$4</f>
        <v>0.9</v>
      </c>
      <c r="H5" s="11">
        <f>Keys!$C$4</f>
        <v>0.9</v>
      </c>
      <c r="I5" s="11">
        <f>Keys!$C$4</f>
        <v>0.9</v>
      </c>
      <c r="J5" s="11">
        <f>Keys!$C$4</f>
        <v>0.9</v>
      </c>
      <c r="K5" s="11">
        <f>Keys!$C$4</f>
        <v>0.9</v>
      </c>
      <c r="L5" s="11">
        <f>Keys!$C$4</f>
        <v>0.9</v>
      </c>
      <c r="M5" s="11">
        <f>Keys!$C$4</f>
        <v>0.9</v>
      </c>
      <c r="N5" s="11">
        <f>Keys!$C$4</f>
        <v>0.9</v>
      </c>
      <c r="O5" s="11">
        <f>Keys!$C$4</f>
        <v>0.9</v>
      </c>
      <c r="P5" s="11">
        <f>Keys!$C$4</f>
        <v>0.9</v>
      </c>
      <c r="Q5" s="11">
        <f>Keys!$C$4</f>
        <v>0.9</v>
      </c>
      <c r="R5" s="11">
        <f>Keys!$C$4</f>
        <v>0.9</v>
      </c>
      <c r="S5" s="11">
        <f>Keys!$C$4</f>
        <v>0.9</v>
      </c>
      <c r="T5" s="11">
        <f>Keys!$C$4</f>
        <v>0.9</v>
      </c>
      <c r="U5" s="11">
        <f>Keys!$C$4</f>
        <v>0.9</v>
      </c>
      <c r="V5" s="11">
        <f>Keys!$C$4</f>
        <v>0.9</v>
      </c>
      <c r="W5" s="11">
        <f>Keys!$C$4</f>
        <v>0.9</v>
      </c>
      <c r="X5" s="11">
        <f>Keys!$C$4</f>
        <v>0.9</v>
      </c>
      <c r="Y5" s="11">
        <f>Keys!$C$4</f>
        <v>0.9</v>
      </c>
    </row>
    <row r="6" spans="1:25" x14ac:dyDescent="0.45">
      <c r="A6" t="s">
        <v>428</v>
      </c>
      <c r="B6" s="11">
        <f>Keys!$C$4</f>
        <v>0.9</v>
      </c>
      <c r="C6" s="11">
        <f>Keys!$C$4</f>
        <v>0.9</v>
      </c>
      <c r="D6" s="11">
        <f>Keys!$C$4</f>
        <v>0.9</v>
      </c>
      <c r="E6" s="11">
        <f>Keys!$C$4</f>
        <v>0.9</v>
      </c>
      <c r="F6" s="11">
        <f>Keys!$C$4</f>
        <v>0.9</v>
      </c>
      <c r="G6" s="11">
        <f>Keys!$C$4</f>
        <v>0.9</v>
      </c>
      <c r="H6" s="11">
        <f>Keys!$C$4</f>
        <v>0.9</v>
      </c>
      <c r="I6" s="11">
        <f>Keys!$C$4</f>
        <v>0.9</v>
      </c>
      <c r="J6" s="11">
        <f>Keys!$C$4</f>
        <v>0.9</v>
      </c>
      <c r="K6" s="11">
        <f>Keys!$C$4</f>
        <v>0.9</v>
      </c>
      <c r="L6" s="11">
        <f>Keys!$C$4</f>
        <v>0.9</v>
      </c>
      <c r="M6" s="11">
        <f>Keys!$C$4</f>
        <v>0.9</v>
      </c>
      <c r="N6" s="11">
        <f>Keys!$C$4</f>
        <v>0.9</v>
      </c>
      <c r="O6" s="11">
        <f>Keys!$C$4</f>
        <v>0.9</v>
      </c>
      <c r="P6" s="11">
        <f>Keys!$C$4</f>
        <v>0.9</v>
      </c>
      <c r="Q6" s="11">
        <f>Keys!$C$4</f>
        <v>0.9</v>
      </c>
      <c r="R6" s="11">
        <f>Keys!$C$4</f>
        <v>0.9</v>
      </c>
      <c r="S6" s="11">
        <f>Keys!$C$4</f>
        <v>0.9</v>
      </c>
      <c r="T6" s="11">
        <f>Keys!$C$4</f>
        <v>0.9</v>
      </c>
      <c r="U6" s="11">
        <f>Keys!$C$4</f>
        <v>0.9</v>
      </c>
      <c r="V6" s="11">
        <f>Keys!$C$4</f>
        <v>0.9</v>
      </c>
      <c r="W6" s="11">
        <f>Keys!$C$4</f>
        <v>0.9</v>
      </c>
      <c r="X6" s="11">
        <f>Keys!$C$4</f>
        <v>0.9</v>
      </c>
      <c r="Y6" s="11">
        <f>Keys!$C$4</f>
        <v>0.9</v>
      </c>
    </row>
    <row r="7" spans="1:25" x14ac:dyDescent="0.45">
      <c r="A7" t="s">
        <v>429</v>
      </c>
      <c r="B7" s="11">
        <f>Keys!$C$4</f>
        <v>0.9</v>
      </c>
      <c r="C7" s="11">
        <f>Keys!$C$4</f>
        <v>0.9</v>
      </c>
      <c r="D7" s="11">
        <f>Keys!$C$4</f>
        <v>0.9</v>
      </c>
      <c r="E7" s="11">
        <f>Keys!$C$4</f>
        <v>0.9</v>
      </c>
      <c r="F7" s="11">
        <f>Keys!$C$4</f>
        <v>0.9</v>
      </c>
      <c r="G7" s="11">
        <f>Keys!$C$4</f>
        <v>0.9</v>
      </c>
      <c r="H7" s="11">
        <f>Keys!$C$4</f>
        <v>0.9</v>
      </c>
      <c r="I7" s="11">
        <f>Keys!$C$4</f>
        <v>0.9</v>
      </c>
      <c r="J7" s="11">
        <f>Keys!$C$4</f>
        <v>0.9</v>
      </c>
      <c r="K7" s="11">
        <f>Keys!$C$4</f>
        <v>0.9</v>
      </c>
      <c r="L7" s="11">
        <f>Keys!$C$4</f>
        <v>0.9</v>
      </c>
      <c r="M7" s="11">
        <f>Keys!$C$4</f>
        <v>0.9</v>
      </c>
      <c r="N7" s="11">
        <f>Keys!$C$4</f>
        <v>0.9</v>
      </c>
      <c r="O7" s="11">
        <f>Keys!$C$4</f>
        <v>0.9</v>
      </c>
      <c r="P7" s="11">
        <f>Keys!$C$4</f>
        <v>0.9</v>
      </c>
      <c r="Q7" s="11">
        <f>Keys!$C$4</f>
        <v>0.9</v>
      </c>
      <c r="R7" s="11">
        <f>Keys!$C$4</f>
        <v>0.9</v>
      </c>
      <c r="S7" s="11">
        <f>Keys!$C$4</f>
        <v>0.9</v>
      </c>
      <c r="T7" s="11">
        <f>Keys!$C$4</f>
        <v>0.9</v>
      </c>
      <c r="U7" s="11">
        <f>Keys!$C$4</f>
        <v>0.9</v>
      </c>
      <c r="V7" s="11">
        <f>Keys!$C$4</f>
        <v>0.9</v>
      </c>
      <c r="W7" s="11">
        <f>Keys!$C$4</f>
        <v>0.9</v>
      </c>
      <c r="X7" s="11">
        <f>Keys!$C$4</f>
        <v>0.9</v>
      </c>
      <c r="Y7" s="11">
        <f>Keys!$C$4</f>
        <v>0.9</v>
      </c>
    </row>
  </sheetData>
  <pageMargins left="0.75" right="0.75" top="1" bottom="1"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rgb="FF1F3864"/>
  </sheetPr>
  <dimension ref="A1:Y7"/>
  <sheetViews>
    <sheetView workbookViewId="0"/>
  </sheetViews>
  <sheetFormatPr defaultRowHeight="14.25" x14ac:dyDescent="0.45"/>
  <sheetData>
    <row r="1" spans="1:25" x14ac:dyDescent="0.45">
      <c r="A1" t="s">
        <v>501</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rgb="FF1F3864"/>
  </sheetPr>
  <dimension ref="A1:Y7"/>
  <sheetViews>
    <sheetView workbookViewId="0"/>
  </sheetViews>
  <sheetFormatPr defaultRowHeight="14.25" x14ac:dyDescent="0.45"/>
  <sheetData>
    <row r="1" spans="1:25" x14ac:dyDescent="0.45">
      <c r="A1" t="s">
        <v>502</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rgb="FF1F3864"/>
  </sheetPr>
  <dimension ref="A1:Y7"/>
  <sheetViews>
    <sheetView workbookViewId="0"/>
  </sheetViews>
  <sheetFormatPr defaultRowHeight="14.25" x14ac:dyDescent="0.45"/>
  <sheetData>
    <row r="1" spans="1:25" x14ac:dyDescent="0.45">
      <c r="A1" t="s">
        <v>503</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Keys!$C$4</f>
        <v>0.9</v>
      </c>
      <c r="C2" s="11">
        <f>Keys!$C$4</f>
        <v>0.9</v>
      </c>
      <c r="D2" s="11">
        <f>Keys!$C$4</f>
        <v>0.9</v>
      </c>
      <c r="E2" s="11">
        <f>Keys!$C$4</f>
        <v>0.9</v>
      </c>
      <c r="F2" s="11">
        <f>Keys!$C$4</f>
        <v>0.9</v>
      </c>
      <c r="G2" s="11">
        <f>Keys!$C$4</f>
        <v>0.9</v>
      </c>
      <c r="H2" s="11">
        <f>Keys!$C$4</f>
        <v>0.9</v>
      </c>
      <c r="I2" s="11">
        <f>Keys!$C$4</f>
        <v>0.9</v>
      </c>
      <c r="J2" s="11">
        <f>Keys!$C$4</f>
        <v>0.9</v>
      </c>
      <c r="K2" s="11">
        <f>Keys!$C$4</f>
        <v>0.9</v>
      </c>
      <c r="L2" s="11">
        <f>Keys!$C$4</f>
        <v>0.9</v>
      </c>
      <c r="M2" s="11">
        <f>Keys!$C$4</f>
        <v>0.9</v>
      </c>
      <c r="N2" s="11">
        <f>Keys!$C$4</f>
        <v>0.9</v>
      </c>
      <c r="O2" s="11">
        <f>Keys!$C$4</f>
        <v>0.9</v>
      </c>
      <c r="P2" s="11">
        <f>Keys!$C$4</f>
        <v>0.9</v>
      </c>
      <c r="Q2" s="11">
        <f>Keys!$C$4</f>
        <v>0.9</v>
      </c>
      <c r="R2" s="11">
        <f>Keys!$C$4</f>
        <v>0.9</v>
      </c>
      <c r="S2" s="11">
        <f>Keys!$C$4</f>
        <v>0.9</v>
      </c>
      <c r="T2" s="11">
        <f>Keys!$C$4</f>
        <v>0.9</v>
      </c>
      <c r="U2" s="11">
        <f>Keys!$C$4</f>
        <v>0.9</v>
      </c>
      <c r="V2" s="11">
        <f>Keys!$C$4</f>
        <v>0.9</v>
      </c>
      <c r="W2" s="11">
        <f>Keys!$C$4</f>
        <v>0.9</v>
      </c>
      <c r="X2" s="11">
        <f>Keys!$C$4</f>
        <v>0.9</v>
      </c>
      <c r="Y2" s="11">
        <f>Keys!$C$4</f>
        <v>0.9</v>
      </c>
    </row>
    <row r="3" spans="1:25" x14ac:dyDescent="0.45">
      <c r="A3" t="s">
        <v>425</v>
      </c>
      <c r="B3" s="11">
        <f>Keys!$C$4</f>
        <v>0.9</v>
      </c>
      <c r="C3" s="11">
        <f>Keys!$C$4</f>
        <v>0.9</v>
      </c>
      <c r="D3" s="11">
        <f>Keys!$C$4</f>
        <v>0.9</v>
      </c>
      <c r="E3" s="11">
        <f>Keys!$C$4</f>
        <v>0.9</v>
      </c>
      <c r="F3" s="11">
        <f>Keys!$C$4</f>
        <v>0.9</v>
      </c>
      <c r="G3" s="11">
        <f>Keys!$C$4</f>
        <v>0.9</v>
      </c>
      <c r="H3" s="11">
        <f>Keys!$C$4</f>
        <v>0.9</v>
      </c>
      <c r="I3" s="11">
        <f>Keys!$C$4</f>
        <v>0.9</v>
      </c>
      <c r="J3" s="11">
        <f>Keys!$C$4</f>
        <v>0.9</v>
      </c>
      <c r="K3" s="11">
        <f>Keys!$C$4</f>
        <v>0.9</v>
      </c>
      <c r="L3" s="11">
        <f>Keys!$C$4</f>
        <v>0.9</v>
      </c>
      <c r="M3" s="11">
        <f>Keys!$C$4</f>
        <v>0.9</v>
      </c>
      <c r="N3" s="11">
        <f>Keys!$C$4</f>
        <v>0.9</v>
      </c>
      <c r="O3" s="11">
        <f>Keys!$C$4</f>
        <v>0.9</v>
      </c>
      <c r="P3" s="11">
        <f>Keys!$C$4</f>
        <v>0.9</v>
      </c>
      <c r="Q3" s="11">
        <f>Keys!$C$4</f>
        <v>0.9</v>
      </c>
      <c r="R3" s="11">
        <f>Keys!$C$4</f>
        <v>0.9</v>
      </c>
      <c r="S3" s="11">
        <f>Keys!$C$4</f>
        <v>0.9</v>
      </c>
      <c r="T3" s="11">
        <f>Keys!$C$4</f>
        <v>0.9</v>
      </c>
      <c r="U3" s="11">
        <f>Keys!$C$4</f>
        <v>0.9</v>
      </c>
      <c r="V3" s="11">
        <f>Keys!$C$4</f>
        <v>0.9</v>
      </c>
      <c r="W3" s="11">
        <f>Keys!$C$4</f>
        <v>0.9</v>
      </c>
      <c r="X3" s="11">
        <f>Keys!$C$4</f>
        <v>0.9</v>
      </c>
      <c r="Y3" s="11">
        <f>Keys!$C$4</f>
        <v>0.9</v>
      </c>
    </row>
    <row r="4" spans="1:25" x14ac:dyDescent="0.45">
      <c r="A4" t="s">
        <v>426</v>
      </c>
      <c r="B4" s="11">
        <f>Keys!$C$4</f>
        <v>0.9</v>
      </c>
      <c r="C4" s="11">
        <f>Keys!$C$4</f>
        <v>0.9</v>
      </c>
      <c r="D4" s="11">
        <f>Keys!$C$4</f>
        <v>0.9</v>
      </c>
      <c r="E4" s="11">
        <f>Keys!$C$4</f>
        <v>0.9</v>
      </c>
      <c r="F4" s="11">
        <f>Keys!$C$4</f>
        <v>0.9</v>
      </c>
      <c r="G4" s="11">
        <f>Keys!$C$4</f>
        <v>0.9</v>
      </c>
      <c r="H4" s="11">
        <f>Keys!$C$4</f>
        <v>0.9</v>
      </c>
      <c r="I4" s="11">
        <f>Keys!$C$4</f>
        <v>0.9</v>
      </c>
      <c r="J4" s="11">
        <f>Keys!$C$4</f>
        <v>0.9</v>
      </c>
      <c r="K4" s="11">
        <f>Keys!$C$4</f>
        <v>0.9</v>
      </c>
      <c r="L4" s="11">
        <f>Keys!$C$4</f>
        <v>0.9</v>
      </c>
      <c r="M4" s="11">
        <f>Keys!$C$4</f>
        <v>0.9</v>
      </c>
      <c r="N4" s="11">
        <f>Keys!$C$4</f>
        <v>0.9</v>
      </c>
      <c r="O4" s="11">
        <f>Keys!$C$4</f>
        <v>0.9</v>
      </c>
      <c r="P4" s="11">
        <f>Keys!$C$4</f>
        <v>0.9</v>
      </c>
      <c r="Q4" s="11">
        <f>Keys!$C$4</f>
        <v>0.9</v>
      </c>
      <c r="R4" s="11">
        <f>Keys!$C$4</f>
        <v>0.9</v>
      </c>
      <c r="S4" s="11">
        <f>Keys!$C$4</f>
        <v>0.9</v>
      </c>
      <c r="T4" s="11">
        <f>Keys!$C$4</f>
        <v>0.9</v>
      </c>
      <c r="U4" s="11">
        <f>Keys!$C$4</f>
        <v>0.9</v>
      </c>
      <c r="V4" s="11">
        <f>Keys!$C$4</f>
        <v>0.9</v>
      </c>
      <c r="W4" s="11">
        <f>Keys!$C$4</f>
        <v>0.9</v>
      </c>
      <c r="X4" s="11">
        <f>Keys!$C$4</f>
        <v>0.9</v>
      </c>
      <c r="Y4" s="11">
        <f>Keys!$C$4</f>
        <v>0.9</v>
      </c>
    </row>
    <row r="5" spans="1:25" x14ac:dyDescent="0.45">
      <c r="A5" t="s">
        <v>427</v>
      </c>
      <c r="B5" s="11">
        <f>Keys!$C$4</f>
        <v>0.9</v>
      </c>
      <c r="C5" s="11">
        <f>Keys!$C$4</f>
        <v>0.9</v>
      </c>
      <c r="D5" s="11">
        <f>Keys!$C$4</f>
        <v>0.9</v>
      </c>
      <c r="E5" s="11">
        <f>Keys!$C$4</f>
        <v>0.9</v>
      </c>
      <c r="F5" s="11">
        <f>Keys!$C$4</f>
        <v>0.9</v>
      </c>
      <c r="G5" s="11">
        <f>Keys!$C$4</f>
        <v>0.9</v>
      </c>
      <c r="H5" s="11">
        <f>Keys!$C$4</f>
        <v>0.9</v>
      </c>
      <c r="I5" s="11">
        <f>Keys!$C$4</f>
        <v>0.9</v>
      </c>
      <c r="J5" s="11">
        <f>Keys!$C$4</f>
        <v>0.9</v>
      </c>
      <c r="K5" s="11">
        <f>Keys!$C$4</f>
        <v>0.9</v>
      </c>
      <c r="L5" s="11">
        <f>Keys!$C$4</f>
        <v>0.9</v>
      </c>
      <c r="M5" s="11">
        <f>Keys!$C$4</f>
        <v>0.9</v>
      </c>
      <c r="N5" s="11">
        <f>Keys!$C$4</f>
        <v>0.9</v>
      </c>
      <c r="O5" s="11">
        <f>Keys!$C$4</f>
        <v>0.9</v>
      </c>
      <c r="P5" s="11">
        <f>Keys!$C$4</f>
        <v>0.9</v>
      </c>
      <c r="Q5" s="11">
        <f>Keys!$C$4</f>
        <v>0.9</v>
      </c>
      <c r="R5" s="11">
        <f>Keys!$C$4</f>
        <v>0.9</v>
      </c>
      <c r="S5" s="11">
        <f>Keys!$C$4</f>
        <v>0.9</v>
      </c>
      <c r="T5" s="11">
        <f>Keys!$C$4</f>
        <v>0.9</v>
      </c>
      <c r="U5" s="11">
        <f>Keys!$C$4</f>
        <v>0.9</v>
      </c>
      <c r="V5" s="11">
        <f>Keys!$C$4</f>
        <v>0.9</v>
      </c>
      <c r="W5" s="11">
        <f>Keys!$C$4</f>
        <v>0.9</v>
      </c>
      <c r="X5" s="11">
        <f>Keys!$C$4</f>
        <v>0.9</v>
      </c>
      <c r="Y5" s="11">
        <f>Keys!$C$4</f>
        <v>0.9</v>
      </c>
    </row>
    <row r="6" spans="1:25" x14ac:dyDescent="0.45">
      <c r="A6" t="s">
        <v>428</v>
      </c>
      <c r="B6" s="11">
        <f>Keys!$C$4</f>
        <v>0.9</v>
      </c>
      <c r="C6" s="11">
        <f>Keys!$C$4</f>
        <v>0.9</v>
      </c>
      <c r="D6" s="11">
        <f>Keys!$C$4</f>
        <v>0.9</v>
      </c>
      <c r="E6" s="11">
        <f>Keys!$C$4</f>
        <v>0.9</v>
      </c>
      <c r="F6" s="11">
        <f>Keys!$C$4</f>
        <v>0.9</v>
      </c>
      <c r="G6" s="11">
        <f>Keys!$C$4</f>
        <v>0.9</v>
      </c>
      <c r="H6" s="11">
        <f>Keys!$C$4</f>
        <v>0.9</v>
      </c>
      <c r="I6" s="11">
        <f>Keys!$C$4</f>
        <v>0.9</v>
      </c>
      <c r="J6" s="11">
        <f>Keys!$C$4</f>
        <v>0.9</v>
      </c>
      <c r="K6" s="11">
        <f>Keys!$C$4</f>
        <v>0.9</v>
      </c>
      <c r="L6" s="11">
        <f>Keys!$C$4</f>
        <v>0.9</v>
      </c>
      <c r="M6" s="11">
        <f>Keys!$C$4</f>
        <v>0.9</v>
      </c>
      <c r="N6" s="11">
        <f>Keys!$C$4</f>
        <v>0.9</v>
      </c>
      <c r="O6" s="11">
        <f>Keys!$C$4</f>
        <v>0.9</v>
      </c>
      <c r="P6" s="11">
        <f>Keys!$C$4</f>
        <v>0.9</v>
      </c>
      <c r="Q6" s="11">
        <f>Keys!$C$4</f>
        <v>0.9</v>
      </c>
      <c r="R6" s="11">
        <f>Keys!$C$4</f>
        <v>0.9</v>
      </c>
      <c r="S6" s="11">
        <f>Keys!$C$4</f>
        <v>0.9</v>
      </c>
      <c r="T6" s="11">
        <f>Keys!$C$4</f>
        <v>0.9</v>
      </c>
      <c r="U6" s="11">
        <f>Keys!$C$4</f>
        <v>0.9</v>
      </c>
      <c r="V6" s="11">
        <f>Keys!$C$4</f>
        <v>0.9</v>
      </c>
      <c r="W6" s="11">
        <f>Keys!$C$4</f>
        <v>0.9</v>
      </c>
      <c r="X6" s="11">
        <f>Keys!$C$4</f>
        <v>0.9</v>
      </c>
      <c r="Y6" s="11">
        <f>Keys!$C$4</f>
        <v>0.9</v>
      </c>
    </row>
    <row r="7" spans="1:25" x14ac:dyDescent="0.45">
      <c r="A7" t="s">
        <v>429</v>
      </c>
      <c r="B7" s="11">
        <f>Keys!$C$4</f>
        <v>0.9</v>
      </c>
      <c r="C7" s="11">
        <f>Keys!$C$4</f>
        <v>0.9</v>
      </c>
      <c r="D7" s="11">
        <f>Keys!$C$4</f>
        <v>0.9</v>
      </c>
      <c r="E7" s="11">
        <f>Keys!$C$4</f>
        <v>0.9</v>
      </c>
      <c r="F7" s="11">
        <f>Keys!$C$4</f>
        <v>0.9</v>
      </c>
      <c r="G7" s="11">
        <f>Keys!$C$4</f>
        <v>0.9</v>
      </c>
      <c r="H7" s="11">
        <f>Keys!$C$4</f>
        <v>0.9</v>
      </c>
      <c r="I7" s="11">
        <f>Keys!$C$4</f>
        <v>0.9</v>
      </c>
      <c r="J7" s="11">
        <f>Keys!$C$4</f>
        <v>0.9</v>
      </c>
      <c r="K7" s="11">
        <f>Keys!$C$4</f>
        <v>0.9</v>
      </c>
      <c r="L7" s="11">
        <f>Keys!$C$4</f>
        <v>0.9</v>
      </c>
      <c r="M7" s="11">
        <f>Keys!$C$4</f>
        <v>0.9</v>
      </c>
      <c r="N7" s="11">
        <f>Keys!$C$4</f>
        <v>0.9</v>
      </c>
      <c r="O7" s="11">
        <f>Keys!$C$4</f>
        <v>0.9</v>
      </c>
      <c r="P7" s="11">
        <f>Keys!$C$4</f>
        <v>0.9</v>
      </c>
      <c r="Q7" s="11">
        <f>Keys!$C$4</f>
        <v>0.9</v>
      </c>
      <c r="R7" s="11">
        <f>Keys!$C$4</f>
        <v>0.9</v>
      </c>
      <c r="S7" s="11">
        <f>Keys!$C$4</f>
        <v>0.9</v>
      </c>
      <c r="T7" s="11">
        <f>Keys!$C$4</f>
        <v>0.9</v>
      </c>
      <c r="U7" s="11">
        <f>Keys!$C$4</f>
        <v>0.9</v>
      </c>
      <c r="V7" s="11">
        <f>Keys!$C$4</f>
        <v>0.9</v>
      </c>
      <c r="W7" s="11">
        <f>Keys!$C$4</f>
        <v>0.9</v>
      </c>
      <c r="X7" s="11">
        <f>Keys!$C$4</f>
        <v>0.9</v>
      </c>
      <c r="Y7" s="11">
        <f>Keys!$C$4</f>
        <v>0.9</v>
      </c>
    </row>
  </sheetData>
  <pageMargins left="0.75" right="0.75" top="1" bottom="1"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rgb="FF1F3864"/>
  </sheetPr>
  <dimension ref="A1:Y7"/>
  <sheetViews>
    <sheetView workbookViewId="0"/>
  </sheetViews>
  <sheetFormatPr defaultRowHeight="14.25" x14ac:dyDescent="0.45"/>
  <sheetData>
    <row r="1" spans="1:25" x14ac:dyDescent="0.45">
      <c r="A1" t="s">
        <v>504</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rgb="FF1F3864"/>
  </sheetPr>
  <dimension ref="A1:Y7"/>
  <sheetViews>
    <sheetView workbookViewId="0"/>
  </sheetViews>
  <sheetFormatPr defaultRowHeight="14.25" x14ac:dyDescent="0.45"/>
  <sheetData>
    <row r="1" spans="1:25" x14ac:dyDescent="0.45">
      <c r="A1" t="s">
        <v>505</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Keys!$C$4</f>
        <v>0.9</v>
      </c>
      <c r="C2" s="11">
        <f>Keys!$C$4</f>
        <v>0.9</v>
      </c>
      <c r="D2" s="11">
        <f>Keys!$C$4</f>
        <v>0.9</v>
      </c>
      <c r="E2" s="11">
        <f>Keys!$C$4</f>
        <v>0.9</v>
      </c>
      <c r="F2" s="11">
        <f>Keys!$C$4</f>
        <v>0.9</v>
      </c>
      <c r="G2" s="11">
        <f>Keys!$C$4</f>
        <v>0.9</v>
      </c>
      <c r="H2" s="11">
        <f>Keys!$C$4</f>
        <v>0.9</v>
      </c>
      <c r="I2" s="11">
        <f>Keys!$C$4</f>
        <v>0.9</v>
      </c>
      <c r="J2" s="11">
        <f>Keys!$C$4</f>
        <v>0.9</v>
      </c>
      <c r="K2" s="11">
        <f>Keys!$C$4</f>
        <v>0.9</v>
      </c>
      <c r="L2" s="11">
        <f>Keys!$C$4</f>
        <v>0.9</v>
      </c>
      <c r="M2" s="11">
        <f>Keys!$C$4</f>
        <v>0.9</v>
      </c>
      <c r="N2" s="11">
        <f>Keys!$C$4</f>
        <v>0.9</v>
      </c>
      <c r="O2" s="11">
        <f>Keys!$C$4</f>
        <v>0.9</v>
      </c>
      <c r="P2" s="11">
        <f>Keys!$C$4</f>
        <v>0.9</v>
      </c>
      <c r="Q2" s="11">
        <f>Keys!$C$4</f>
        <v>0.9</v>
      </c>
      <c r="R2" s="11">
        <f>Keys!$C$4</f>
        <v>0.9</v>
      </c>
      <c r="S2" s="11">
        <f>Keys!$C$4</f>
        <v>0.9</v>
      </c>
      <c r="T2" s="11">
        <f>Keys!$C$4</f>
        <v>0.9</v>
      </c>
      <c r="U2" s="11">
        <f>Keys!$C$4</f>
        <v>0.9</v>
      </c>
      <c r="V2" s="11">
        <f>Keys!$C$4</f>
        <v>0.9</v>
      </c>
      <c r="W2" s="11">
        <f>Keys!$C$4</f>
        <v>0.9</v>
      </c>
      <c r="X2" s="11">
        <f>Keys!$C$4</f>
        <v>0.9</v>
      </c>
      <c r="Y2" s="11">
        <f>Keys!$C$4</f>
        <v>0.9</v>
      </c>
    </row>
    <row r="3" spans="1:25" x14ac:dyDescent="0.45">
      <c r="A3" t="s">
        <v>425</v>
      </c>
      <c r="B3" s="11">
        <f>Keys!$C$4</f>
        <v>0.9</v>
      </c>
      <c r="C3" s="11">
        <f>Keys!$C$4</f>
        <v>0.9</v>
      </c>
      <c r="D3" s="11">
        <f>Keys!$C$4</f>
        <v>0.9</v>
      </c>
      <c r="E3" s="11">
        <f>Keys!$C$4</f>
        <v>0.9</v>
      </c>
      <c r="F3" s="11">
        <f>Keys!$C$4</f>
        <v>0.9</v>
      </c>
      <c r="G3" s="11">
        <f>Keys!$C$4</f>
        <v>0.9</v>
      </c>
      <c r="H3" s="11">
        <f>Keys!$C$4</f>
        <v>0.9</v>
      </c>
      <c r="I3" s="11">
        <f>Keys!$C$4</f>
        <v>0.9</v>
      </c>
      <c r="J3" s="11">
        <f>Keys!$C$4</f>
        <v>0.9</v>
      </c>
      <c r="K3" s="11">
        <f>Keys!$C$4</f>
        <v>0.9</v>
      </c>
      <c r="L3" s="11">
        <f>Keys!$C$4</f>
        <v>0.9</v>
      </c>
      <c r="M3" s="11">
        <f>Keys!$C$4</f>
        <v>0.9</v>
      </c>
      <c r="N3" s="11">
        <f>Keys!$C$4</f>
        <v>0.9</v>
      </c>
      <c r="O3" s="11">
        <f>Keys!$C$4</f>
        <v>0.9</v>
      </c>
      <c r="P3" s="11">
        <f>Keys!$C$4</f>
        <v>0.9</v>
      </c>
      <c r="Q3" s="11">
        <f>Keys!$C$4</f>
        <v>0.9</v>
      </c>
      <c r="R3" s="11">
        <f>Keys!$C$4</f>
        <v>0.9</v>
      </c>
      <c r="S3" s="11">
        <f>Keys!$C$4</f>
        <v>0.9</v>
      </c>
      <c r="T3" s="11">
        <f>Keys!$C$4</f>
        <v>0.9</v>
      </c>
      <c r="U3" s="11">
        <f>Keys!$C$4</f>
        <v>0.9</v>
      </c>
      <c r="V3" s="11">
        <f>Keys!$C$4</f>
        <v>0.9</v>
      </c>
      <c r="W3" s="11">
        <f>Keys!$C$4</f>
        <v>0.9</v>
      </c>
      <c r="X3" s="11">
        <f>Keys!$C$4</f>
        <v>0.9</v>
      </c>
      <c r="Y3" s="11">
        <f>Keys!$C$4</f>
        <v>0.9</v>
      </c>
    </row>
    <row r="4" spans="1:25" x14ac:dyDescent="0.45">
      <c r="A4" t="s">
        <v>426</v>
      </c>
      <c r="B4" s="11">
        <f>Keys!$C$4</f>
        <v>0.9</v>
      </c>
      <c r="C4" s="11">
        <f>Keys!$C$4</f>
        <v>0.9</v>
      </c>
      <c r="D4" s="11">
        <f>Keys!$C$4</f>
        <v>0.9</v>
      </c>
      <c r="E4" s="11">
        <f>Keys!$C$4</f>
        <v>0.9</v>
      </c>
      <c r="F4" s="11">
        <f>Keys!$C$4</f>
        <v>0.9</v>
      </c>
      <c r="G4" s="11">
        <f>Keys!$C$4</f>
        <v>0.9</v>
      </c>
      <c r="H4" s="11">
        <f>Keys!$C$4</f>
        <v>0.9</v>
      </c>
      <c r="I4" s="11">
        <f>Keys!$C$4</f>
        <v>0.9</v>
      </c>
      <c r="J4" s="11">
        <f>Keys!$C$4</f>
        <v>0.9</v>
      </c>
      <c r="K4" s="11">
        <f>Keys!$C$4</f>
        <v>0.9</v>
      </c>
      <c r="L4" s="11">
        <f>Keys!$C$4</f>
        <v>0.9</v>
      </c>
      <c r="M4" s="11">
        <f>Keys!$C$4</f>
        <v>0.9</v>
      </c>
      <c r="N4" s="11">
        <f>Keys!$C$4</f>
        <v>0.9</v>
      </c>
      <c r="O4" s="11">
        <f>Keys!$C$4</f>
        <v>0.9</v>
      </c>
      <c r="P4" s="11">
        <f>Keys!$C$4</f>
        <v>0.9</v>
      </c>
      <c r="Q4" s="11">
        <f>Keys!$C$4</f>
        <v>0.9</v>
      </c>
      <c r="R4" s="11">
        <f>Keys!$C$4</f>
        <v>0.9</v>
      </c>
      <c r="S4" s="11">
        <f>Keys!$C$4</f>
        <v>0.9</v>
      </c>
      <c r="T4" s="11">
        <f>Keys!$C$4</f>
        <v>0.9</v>
      </c>
      <c r="U4" s="11">
        <f>Keys!$C$4</f>
        <v>0.9</v>
      </c>
      <c r="V4" s="11">
        <f>Keys!$C$4</f>
        <v>0.9</v>
      </c>
      <c r="W4" s="11">
        <f>Keys!$C$4</f>
        <v>0.9</v>
      </c>
      <c r="X4" s="11">
        <f>Keys!$C$4</f>
        <v>0.9</v>
      </c>
      <c r="Y4" s="11">
        <f>Keys!$C$4</f>
        <v>0.9</v>
      </c>
    </row>
    <row r="5" spans="1:25" x14ac:dyDescent="0.45">
      <c r="A5" t="s">
        <v>427</v>
      </c>
      <c r="B5" s="11">
        <f>Keys!$C$4</f>
        <v>0.9</v>
      </c>
      <c r="C5" s="11">
        <f>Keys!$C$4</f>
        <v>0.9</v>
      </c>
      <c r="D5" s="11">
        <f>Keys!$C$4</f>
        <v>0.9</v>
      </c>
      <c r="E5" s="11">
        <f>Keys!$C$4</f>
        <v>0.9</v>
      </c>
      <c r="F5" s="11">
        <f>Keys!$C$4</f>
        <v>0.9</v>
      </c>
      <c r="G5" s="11">
        <f>Keys!$C$4</f>
        <v>0.9</v>
      </c>
      <c r="H5" s="11">
        <f>Keys!$C$4</f>
        <v>0.9</v>
      </c>
      <c r="I5" s="11">
        <f>Keys!$C$4</f>
        <v>0.9</v>
      </c>
      <c r="J5" s="11">
        <f>Keys!$C$4</f>
        <v>0.9</v>
      </c>
      <c r="K5" s="11">
        <f>Keys!$C$4</f>
        <v>0.9</v>
      </c>
      <c r="L5" s="11">
        <f>Keys!$C$4</f>
        <v>0.9</v>
      </c>
      <c r="M5" s="11">
        <f>Keys!$C$4</f>
        <v>0.9</v>
      </c>
      <c r="N5" s="11">
        <f>Keys!$C$4</f>
        <v>0.9</v>
      </c>
      <c r="O5" s="11">
        <f>Keys!$C$4</f>
        <v>0.9</v>
      </c>
      <c r="P5" s="11">
        <f>Keys!$C$4</f>
        <v>0.9</v>
      </c>
      <c r="Q5" s="11">
        <f>Keys!$C$4</f>
        <v>0.9</v>
      </c>
      <c r="R5" s="11">
        <f>Keys!$C$4</f>
        <v>0.9</v>
      </c>
      <c r="S5" s="11">
        <f>Keys!$C$4</f>
        <v>0.9</v>
      </c>
      <c r="T5" s="11">
        <f>Keys!$C$4</f>
        <v>0.9</v>
      </c>
      <c r="U5" s="11">
        <f>Keys!$C$4</f>
        <v>0.9</v>
      </c>
      <c r="V5" s="11">
        <f>Keys!$C$4</f>
        <v>0.9</v>
      </c>
      <c r="W5" s="11">
        <f>Keys!$C$4</f>
        <v>0.9</v>
      </c>
      <c r="X5" s="11">
        <f>Keys!$C$4</f>
        <v>0.9</v>
      </c>
      <c r="Y5" s="11">
        <f>Keys!$C$4</f>
        <v>0.9</v>
      </c>
    </row>
    <row r="6" spans="1:25" x14ac:dyDescent="0.45">
      <c r="A6" t="s">
        <v>428</v>
      </c>
      <c r="B6" s="11">
        <f>Keys!$C$4</f>
        <v>0.9</v>
      </c>
      <c r="C6" s="11">
        <f>Keys!$C$4</f>
        <v>0.9</v>
      </c>
      <c r="D6" s="11">
        <f>Keys!$C$4</f>
        <v>0.9</v>
      </c>
      <c r="E6" s="11">
        <f>Keys!$C$4</f>
        <v>0.9</v>
      </c>
      <c r="F6" s="11">
        <f>Keys!$C$4</f>
        <v>0.9</v>
      </c>
      <c r="G6" s="11">
        <f>Keys!$C$4</f>
        <v>0.9</v>
      </c>
      <c r="H6" s="11">
        <f>Keys!$C$4</f>
        <v>0.9</v>
      </c>
      <c r="I6" s="11">
        <f>Keys!$C$4</f>
        <v>0.9</v>
      </c>
      <c r="J6" s="11">
        <f>Keys!$C$4</f>
        <v>0.9</v>
      </c>
      <c r="K6" s="11">
        <f>Keys!$C$4</f>
        <v>0.9</v>
      </c>
      <c r="L6" s="11">
        <f>Keys!$C$4</f>
        <v>0.9</v>
      </c>
      <c r="M6" s="11">
        <f>Keys!$C$4</f>
        <v>0.9</v>
      </c>
      <c r="N6" s="11">
        <f>Keys!$C$4</f>
        <v>0.9</v>
      </c>
      <c r="O6" s="11">
        <f>Keys!$C$4</f>
        <v>0.9</v>
      </c>
      <c r="P6" s="11">
        <f>Keys!$C$4</f>
        <v>0.9</v>
      </c>
      <c r="Q6" s="11">
        <f>Keys!$C$4</f>
        <v>0.9</v>
      </c>
      <c r="R6" s="11">
        <f>Keys!$C$4</f>
        <v>0.9</v>
      </c>
      <c r="S6" s="11">
        <f>Keys!$C$4</f>
        <v>0.9</v>
      </c>
      <c r="T6" s="11">
        <f>Keys!$C$4</f>
        <v>0.9</v>
      </c>
      <c r="U6" s="11">
        <f>Keys!$C$4</f>
        <v>0.9</v>
      </c>
      <c r="V6" s="11">
        <f>Keys!$C$4</f>
        <v>0.9</v>
      </c>
      <c r="W6" s="11">
        <f>Keys!$C$4</f>
        <v>0.9</v>
      </c>
      <c r="X6" s="11">
        <f>Keys!$C$4</f>
        <v>0.9</v>
      </c>
      <c r="Y6" s="11">
        <f>Keys!$C$4</f>
        <v>0.9</v>
      </c>
    </row>
    <row r="7" spans="1:25" x14ac:dyDescent="0.45">
      <c r="A7" t="s">
        <v>429</v>
      </c>
      <c r="B7" s="11">
        <f>Keys!$C$4</f>
        <v>0.9</v>
      </c>
      <c r="C7" s="11">
        <f>Keys!$C$4</f>
        <v>0.9</v>
      </c>
      <c r="D7" s="11">
        <f>Keys!$C$4</f>
        <v>0.9</v>
      </c>
      <c r="E7" s="11">
        <f>Keys!$C$4</f>
        <v>0.9</v>
      </c>
      <c r="F7" s="11">
        <f>Keys!$C$4</f>
        <v>0.9</v>
      </c>
      <c r="G7" s="11">
        <f>Keys!$C$4</f>
        <v>0.9</v>
      </c>
      <c r="H7" s="11">
        <f>Keys!$C$4</f>
        <v>0.9</v>
      </c>
      <c r="I7" s="11">
        <f>Keys!$C$4</f>
        <v>0.9</v>
      </c>
      <c r="J7" s="11">
        <f>Keys!$C$4</f>
        <v>0.9</v>
      </c>
      <c r="K7" s="11">
        <f>Keys!$C$4</f>
        <v>0.9</v>
      </c>
      <c r="L7" s="11">
        <f>Keys!$C$4</f>
        <v>0.9</v>
      </c>
      <c r="M7" s="11">
        <f>Keys!$C$4</f>
        <v>0.9</v>
      </c>
      <c r="N7" s="11">
        <f>Keys!$C$4</f>
        <v>0.9</v>
      </c>
      <c r="O7" s="11">
        <f>Keys!$C$4</f>
        <v>0.9</v>
      </c>
      <c r="P7" s="11">
        <f>Keys!$C$4</f>
        <v>0.9</v>
      </c>
      <c r="Q7" s="11">
        <f>Keys!$C$4</f>
        <v>0.9</v>
      </c>
      <c r="R7" s="11">
        <f>Keys!$C$4</f>
        <v>0.9</v>
      </c>
      <c r="S7" s="11">
        <f>Keys!$C$4</f>
        <v>0.9</v>
      </c>
      <c r="T7" s="11">
        <f>Keys!$C$4</f>
        <v>0.9</v>
      </c>
      <c r="U7" s="11">
        <f>Keys!$C$4</f>
        <v>0.9</v>
      </c>
      <c r="V7" s="11">
        <f>Keys!$C$4</f>
        <v>0.9</v>
      </c>
      <c r="W7" s="11">
        <f>Keys!$C$4</f>
        <v>0.9</v>
      </c>
      <c r="X7" s="11">
        <f>Keys!$C$4</f>
        <v>0.9</v>
      </c>
      <c r="Y7" s="11">
        <f>Keys!$C$4</f>
        <v>0.9</v>
      </c>
    </row>
  </sheetData>
  <pageMargins left="0.75" right="0.75" top="1" bottom="1"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rgb="FF1F3864"/>
  </sheetPr>
  <dimension ref="A1:Y7"/>
  <sheetViews>
    <sheetView workbookViewId="0"/>
  </sheetViews>
  <sheetFormatPr defaultRowHeight="14.25" x14ac:dyDescent="0.45"/>
  <sheetData>
    <row r="1" spans="1:25" x14ac:dyDescent="0.45">
      <c r="A1" t="s">
        <v>506</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tabColor rgb="FF1F3864"/>
  </sheetPr>
  <dimension ref="A1:Y7"/>
  <sheetViews>
    <sheetView workbookViewId="0"/>
  </sheetViews>
  <sheetFormatPr defaultRowHeight="14.25" x14ac:dyDescent="0.45"/>
  <sheetData>
    <row r="1" spans="1:25" x14ac:dyDescent="0.45">
      <c r="A1" t="s">
        <v>507</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tabColor rgb="FF1F3864"/>
  </sheetPr>
  <dimension ref="A1:Y7"/>
  <sheetViews>
    <sheetView workbookViewId="0"/>
  </sheetViews>
  <sheetFormatPr defaultRowHeight="14.25" x14ac:dyDescent="0.45"/>
  <sheetData>
    <row r="1" spans="1:25" x14ac:dyDescent="0.45">
      <c r="A1" t="s">
        <v>508</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2">
        <f>Keys!$C$4</f>
        <v>0.9</v>
      </c>
      <c r="C2" s="12">
        <f>Keys!$C$4</f>
        <v>0.9</v>
      </c>
      <c r="D2" s="12">
        <f>Keys!$C$4</f>
        <v>0.9</v>
      </c>
      <c r="E2" s="12">
        <f>Keys!$C$4</f>
        <v>0.9</v>
      </c>
      <c r="F2" s="12">
        <f>Keys!$C$4</f>
        <v>0.9</v>
      </c>
      <c r="G2" s="12">
        <f>Keys!$C$4</f>
        <v>0.9</v>
      </c>
      <c r="H2" s="12">
        <f>Keys!$C$4</f>
        <v>0.9</v>
      </c>
      <c r="I2" s="12">
        <f>Keys!$C$4</f>
        <v>0.9</v>
      </c>
      <c r="J2" s="12">
        <f>Keys!$C$4</f>
        <v>0.9</v>
      </c>
      <c r="K2" s="12">
        <f>Keys!$C$4</f>
        <v>0.9</v>
      </c>
      <c r="L2" s="12">
        <f>Keys!$C$4</f>
        <v>0.9</v>
      </c>
      <c r="M2" s="12">
        <f>Keys!$C$4</f>
        <v>0.9</v>
      </c>
      <c r="N2" s="12">
        <f>Keys!$C$4</f>
        <v>0.9</v>
      </c>
      <c r="O2" s="12">
        <f>Keys!$C$4</f>
        <v>0.9</v>
      </c>
      <c r="P2" s="12">
        <f>Keys!$C$4</f>
        <v>0.9</v>
      </c>
      <c r="Q2" s="12">
        <f>Keys!$C$4</f>
        <v>0.9</v>
      </c>
      <c r="R2" s="12">
        <f>Keys!$C$4</f>
        <v>0.9</v>
      </c>
      <c r="S2" s="12">
        <f>Keys!$C$4</f>
        <v>0.9</v>
      </c>
      <c r="T2" s="12">
        <f>Keys!$C$4</f>
        <v>0.9</v>
      </c>
      <c r="U2" s="12">
        <f>Keys!$C$4</f>
        <v>0.9</v>
      </c>
      <c r="V2" s="12">
        <f>Keys!$C$4</f>
        <v>0.9</v>
      </c>
      <c r="W2" s="12">
        <f>Keys!$C$4</f>
        <v>0.9</v>
      </c>
      <c r="X2" s="12">
        <f>Keys!$C$4</f>
        <v>0.9</v>
      </c>
      <c r="Y2" s="12">
        <f>Keys!$C$4</f>
        <v>0.9</v>
      </c>
    </row>
    <row r="3" spans="1:25" x14ac:dyDescent="0.45">
      <c r="A3" t="s">
        <v>425</v>
      </c>
      <c r="B3" s="12">
        <f>Keys!$C$4</f>
        <v>0.9</v>
      </c>
      <c r="C3" s="12">
        <f>Keys!$C$4</f>
        <v>0.9</v>
      </c>
      <c r="D3" s="12">
        <f>Keys!$C$4</f>
        <v>0.9</v>
      </c>
      <c r="E3" s="12">
        <f>Keys!$C$4</f>
        <v>0.9</v>
      </c>
      <c r="F3" s="12">
        <f>Keys!$C$4</f>
        <v>0.9</v>
      </c>
      <c r="G3" s="12">
        <f>Keys!$C$4</f>
        <v>0.9</v>
      </c>
      <c r="H3" s="12">
        <f>Keys!$C$4</f>
        <v>0.9</v>
      </c>
      <c r="I3" s="12">
        <f>Keys!$C$4</f>
        <v>0.9</v>
      </c>
      <c r="J3" s="12">
        <f>Keys!$C$4</f>
        <v>0.9</v>
      </c>
      <c r="K3" s="12">
        <f>Keys!$C$4</f>
        <v>0.9</v>
      </c>
      <c r="L3" s="12">
        <f>Keys!$C$4</f>
        <v>0.9</v>
      </c>
      <c r="M3" s="12">
        <f>Keys!$C$4</f>
        <v>0.9</v>
      </c>
      <c r="N3" s="12">
        <f>Keys!$C$4</f>
        <v>0.9</v>
      </c>
      <c r="O3" s="12">
        <f>Keys!$C$4</f>
        <v>0.9</v>
      </c>
      <c r="P3" s="12">
        <f>Keys!$C$4</f>
        <v>0.9</v>
      </c>
      <c r="Q3" s="12">
        <f>Keys!$C$4</f>
        <v>0.9</v>
      </c>
      <c r="R3" s="12">
        <f>Keys!$C$4</f>
        <v>0.9</v>
      </c>
      <c r="S3" s="12">
        <f>Keys!$C$4</f>
        <v>0.9</v>
      </c>
      <c r="T3" s="12">
        <f>Keys!$C$4</f>
        <v>0.9</v>
      </c>
      <c r="U3" s="12">
        <f>Keys!$C$4</f>
        <v>0.9</v>
      </c>
      <c r="V3" s="12">
        <f>Keys!$C$4</f>
        <v>0.9</v>
      </c>
      <c r="W3" s="12">
        <f>Keys!$C$4</f>
        <v>0.9</v>
      </c>
      <c r="X3" s="12">
        <f>Keys!$C$4</f>
        <v>0.9</v>
      </c>
      <c r="Y3" s="12">
        <f>Keys!$C$4</f>
        <v>0.9</v>
      </c>
    </row>
    <row r="4" spans="1:25" x14ac:dyDescent="0.45">
      <c r="A4" t="s">
        <v>426</v>
      </c>
      <c r="B4" s="12">
        <f>Keys!$C$4</f>
        <v>0.9</v>
      </c>
      <c r="C4" s="12">
        <f>Keys!$C$4</f>
        <v>0.9</v>
      </c>
      <c r="D4" s="12">
        <f>Keys!$C$4</f>
        <v>0.9</v>
      </c>
      <c r="E4" s="12">
        <f>Keys!$C$4</f>
        <v>0.9</v>
      </c>
      <c r="F4" s="12">
        <f>Keys!$C$4</f>
        <v>0.9</v>
      </c>
      <c r="G4" s="12">
        <f>Keys!$C$4</f>
        <v>0.9</v>
      </c>
      <c r="H4" s="12">
        <f>Keys!$C$4</f>
        <v>0.9</v>
      </c>
      <c r="I4" s="12">
        <f>Keys!$C$4</f>
        <v>0.9</v>
      </c>
      <c r="J4" s="12">
        <f>Keys!$C$4</f>
        <v>0.9</v>
      </c>
      <c r="K4" s="12">
        <f>Keys!$C$4</f>
        <v>0.9</v>
      </c>
      <c r="L4" s="12">
        <f>Keys!$C$4</f>
        <v>0.9</v>
      </c>
      <c r="M4" s="12">
        <f>Keys!$C$4</f>
        <v>0.9</v>
      </c>
      <c r="N4" s="12">
        <f>Keys!$C$4</f>
        <v>0.9</v>
      </c>
      <c r="O4" s="12">
        <f>Keys!$C$4</f>
        <v>0.9</v>
      </c>
      <c r="P4" s="12">
        <f>Keys!$C$4</f>
        <v>0.9</v>
      </c>
      <c r="Q4" s="12">
        <f>Keys!$C$4</f>
        <v>0.9</v>
      </c>
      <c r="R4" s="12">
        <f>Keys!$C$4</f>
        <v>0.9</v>
      </c>
      <c r="S4" s="12">
        <f>Keys!$C$4</f>
        <v>0.9</v>
      </c>
      <c r="T4" s="12">
        <f>Keys!$C$4</f>
        <v>0.9</v>
      </c>
      <c r="U4" s="12">
        <f>Keys!$C$4</f>
        <v>0.9</v>
      </c>
      <c r="V4" s="12">
        <f>Keys!$C$4</f>
        <v>0.9</v>
      </c>
      <c r="W4" s="12">
        <f>Keys!$C$4</f>
        <v>0.9</v>
      </c>
      <c r="X4" s="12">
        <f>Keys!$C$4</f>
        <v>0.9</v>
      </c>
      <c r="Y4" s="12">
        <f>Keys!$C$4</f>
        <v>0.9</v>
      </c>
    </row>
    <row r="5" spans="1:25" x14ac:dyDescent="0.45">
      <c r="A5" t="s">
        <v>427</v>
      </c>
      <c r="B5" s="12">
        <f>Keys!$C$4</f>
        <v>0.9</v>
      </c>
      <c r="C5" s="12">
        <f>Keys!$C$4</f>
        <v>0.9</v>
      </c>
      <c r="D5" s="12">
        <f>Keys!$C$4</f>
        <v>0.9</v>
      </c>
      <c r="E5" s="12">
        <f>Keys!$C$4</f>
        <v>0.9</v>
      </c>
      <c r="F5" s="12">
        <f>Keys!$C$4</f>
        <v>0.9</v>
      </c>
      <c r="G5" s="12">
        <f>Keys!$C$4</f>
        <v>0.9</v>
      </c>
      <c r="H5" s="12">
        <f>Keys!$C$4</f>
        <v>0.9</v>
      </c>
      <c r="I5" s="12">
        <f>Keys!$C$4</f>
        <v>0.9</v>
      </c>
      <c r="J5" s="12">
        <f>Keys!$C$4</f>
        <v>0.9</v>
      </c>
      <c r="K5" s="12">
        <f>Keys!$C$4</f>
        <v>0.9</v>
      </c>
      <c r="L5" s="12">
        <f>Keys!$C$4</f>
        <v>0.9</v>
      </c>
      <c r="M5" s="12">
        <f>Keys!$C$4</f>
        <v>0.9</v>
      </c>
      <c r="N5" s="12">
        <f>Keys!$C$4</f>
        <v>0.9</v>
      </c>
      <c r="O5" s="12">
        <f>Keys!$C$4</f>
        <v>0.9</v>
      </c>
      <c r="P5" s="12">
        <f>Keys!$C$4</f>
        <v>0.9</v>
      </c>
      <c r="Q5" s="12">
        <f>Keys!$C$4</f>
        <v>0.9</v>
      </c>
      <c r="R5" s="12">
        <f>Keys!$C$4</f>
        <v>0.9</v>
      </c>
      <c r="S5" s="12">
        <f>Keys!$C$4</f>
        <v>0.9</v>
      </c>
      <c r="T5" s="12">
        <f>Keys!$C$4</f>
        <v>0.9</v>
      </c>
      <c r="U5" s="12">
        <f>Keys!$C$4</f>
        <v>0.9</v>
      </c>
      <c r="V5" s="12">
        <f>Keys!$C$4</f>
        <v>0.9</v>
      </c>
      <c r="W5" s="12">
        <f>Keys!$C$4</f>
        <v>0.9</v>
      </c>
      <c r="X5" s="12">
        <f>Keys!$C$4</f>
        <v>0.9</v>
      </c>
      <c r="Y5" s="12">
        <f>Keys!$C$4</f>
        <v>0.9</v>
      </c>
    </row>
    <row r="6" spans="1:25" x14ac:dyDescent="0.45">
      <c r="A6" t="s">
        <v>428</v>
      </c>
      <c r="B6" s="12">
        <f>Keys!$C$4</f>
        <v>0.9</v>
      </c>
      <c r="C6" s="12">
        <f>Keys!$C$4</f>
        <v>0.9</v>
      </c>
      <c r="D6" s="12">
        <f>Keys!$C$4</f>
        <v>0.9</v>
      </c>
      <c r="E6" s="12">
        <f>Keys!$C$4</f>
        <v>0.9</v>
      </c>
      <c r="F6" s="12">
        <f>Keys!$C$4</f>
        <v>0.9</v>
      </c>
      <c r="G6" s="12">
        <f>Keys!$C$4</f>
        <v>0.9</v>
      </c>
      <c r="H6" s="12">
        <f>Keys!$C$4</f>
        <v>0.9</v>
      </c>
      <c r="I6" s="12">
        <f>Keys!$C$4</f>
        <v>0.9</v>
      </c>
      <c r="J6" s="12">
        <f>Keys!$C$4</f>
        <v>0.9</v>
      </c>
      <c r="K6" s="12">
        <f>Keys!$C$4</f>
        <v>0.9</v>
      </c>
      <c r="L6" s="12">
        <f>Keys!$C$4</f>
        <v>0.9</v>
      </c>
      <c r="M6" s="12">
        <f>Keys!$C$4</f>
        <v>0.9</v>
      </c>
      <c r="N6" s="12">
        <f>Keys!$C$4</f>
        <v>0.9</v>
      </c>
      <c r="O6" s="12">
        <f>Keys!$C$4</f>
        <v>0.9</v>
      </c>
      <c r="P6" s="12">
        <f>Keys!$C$4</f>
        <v>0.9</v>
      </c>
      <c r="Q6" s="12">
        <f>Keys!$C$4</f>
        <v>0.9</v>
      </c>
      <c r="R6" s="12">
        <f>Keys!$C$4</f>
        <v>0.9</v>
      </c>
      <c r="S6" s="12">
        <f>Keys!$C$4</f>
        <v>0.9</v>
      </c>
      <c r="T6" s="12">
        <f>Keys!$C$4</f>
        <v>0.9</v>
      </c>
      <c r="U6" s="12">
        <f>Keys!$C$4</f>
        <v>0.9</v>
      </c>
      <c r="V6" s="12">
        <f>Keys!$C$4</f>
        <v>0.9</v>
      </c>
      <c r="W6" s="12">
        <f>Keys!$C$4</f>
        <v>0.9</v>
      </c>
      <c r="X6" s="12">
        <f>Keys!$C$4</f>
        <v>0.9</v>
      </c>
      <c r="Y6" s="12">
        <f>Keys!$C$4</f>
        <v>0.9</v>
      </c>
    </row>
    <row r="7" spans="1:25" x14ac:dyDescent="0.45">
      <c r="A7" t="s">
        <v>429</v>
      </c>
      <c r="B7" s="12">
        <f>Keys!$C$4</f>
        <v>0.9</v>
      </c>
      <c r="C7" s="12">
        <f>Keys!$C$4</f>
        <v>0.9</v>
      </c>
      <c r="D7" s="12">
        <f>Keys!$C$4</f>
        <v>0.9</v>
      </c>
      <c r="E7" s="12">
        <f>Keys!$C$4</f>
        <v>0.9</v>
      </c>
      <c r="F7" s="12">
        <f>Keys!$C$4</f>
        <v>0.9</v>
      </c>
      <c r="G7" s="12">
        <f>Keys!$C$4</f>
        <v>0.9</v>
      </c>
      <c r="H7" s="12">
        <f>Keys!$C$4</f>
        <v>0.9</v>
      </c>
      <c r="I7" s="12">
        <f>Keys!$C$4</f>
        <v>0.9</v>
      </c>
      <c r="J7" s="12">
        <f>Keys!$C$4</f>
        <v>0.9</v>
      </c>
      <c r="K7" s="12">
        <f>Keys!$C$4</f>
        <v>0.9</v>
      </c>
      <c r="L7" s="12">
        <f>Keys!$C$4</f>
        <v>0.9</v>
      </c>
      <c r="M7" s="12">
        <f>Keys!$C$4</f>
        <v>0.9</v>
      </c>
      <c r="N7" s="12">
        <f>Keys!$C$4</f>
        <v>0.9</v>
      </c>
      <c r="O7" s="12">
        <f>Keys!$C$4</f>
        <v>0.9</v>
      </c>
      <c r="P7" s="12">
        <f>Keys!$C$4</f>
        <v>0.9</v>
      </c>
      <c r="Q7" s="12">
        <f>Keys!$C$4</f>
        <v>0.9</v>
      </c>
      <c r="R7" s="12">
        <f>Keys!$C$4</f>
        <v>0.9</v>
      </c>
      <c r="S7" s="12">
        <f>Keys!$C$4</f>
        <v>0.9</v>
      </c>
      <c r="T7" s="12">
        <f>Keys!$C$4</f>
        <v>0.9</v>
      </c>
      <c r="U7" s="12">
        <f>Keys!$C$4</f>
        <v>0.9</v>
      </c>
      <c r="V7" s="12">
        <f>Keys!$C$4</f>
        <v>0.9</v>
      </c>
      <c r="W7" s="12">
        <f>Keys!$C$4</f>
        <v>0.9</v>
      </c>
      <c r="X7" s="12">
        <f>Keys!$C$4</f>
        <v>0.9</v>
      </c>
      <c r="Y7" s="12">
        <f>Keys!$C$4</f>
        <v>0.9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35</vt:i4>
      </vt:variant>
    </vt:vector>
  </HeadingPairs>
  <TitlesOfParts>
    <vt:vector size="35" baseType="lpstr">
      <vt:lpstr>About</vt:lpstr>
      <vt:lpstr>Keys</vt:lpstr>
      <vt:lpstr>Src_HYECFCA_nuclear</vt:lpstr>
      <vt:lpstr>Src_MCF_hydro</vt:lpstr>
      <vt:lpstr>Src_BHRaSYC_nuclear</vt:lpstr>
      <vt:lpstr>Src_SYSHECF_nuclear</vt:lpstr>
      <vt:lpstr>Src_VRE</vt:lpstr>
      <vt:lpstr>Calcs</vt:lpstr>
      <vt:lpstr>Checks</vt:lpstr>
      <vt:lpstr>Methodology</vt:lpstr>
      <vt:lpstr>ELCCAfR-hard-coal</vt:lpstr>
      <vt:lpstr>ELCCAfR-steam-turbine</vt:lpstr>
      <vt:lpstr>ELCCAfR-combined-cycle</vt:lpstr>
      <vt:lpstr>ELCCAfR-nuclear</vt:lpstr>
      <vt:lpstr>ELCCAfR-hydro</vt:lpstr>
      <vt:lpstr>ELCCAfR-onshore-wind</vt:lpstr>
      <vt:lpstr>ELCCAfR-solar-pv</vt:lpstr>
      <vt:lpstr>ELCCAfR-solar-thermal</vt:lpstr>
      <vt:lpstr>ELCCAfR-biomass</vt:lpstr>
      <vt:lpstr>ELCCAfR-geothermal</vt:lpstr>
      <vt:lpstr>ELCCAfR-petroleum</vt:lpstr>
      <vt:lpstr>ELCCAfR-natural-gas-peaker</vt:lpstr>
      <vt:lpstr>ELCCAfR-lignite</vt:lpstr>
      <vt:lpstr>ELCCAfR-offshore-wind</vt:lpstr>
      <vt:lpstr>ELCCAfR-crude-oil</vt:lpstr>
      <vt:lpstr>ELCCAfR-heavy-or-residual-oil</vt:lpstr>
      <vt:lpstr>ELCCAfR-MSW</vt:lpstr>
      <vt:lpstr>ELCCAfR-hard-coal-CCS</vt:lpstr>
      <vt:lpstr>ELCCAfR-combined-cycle-CCS</vt:lpstr>
      <vt:lpstr>ELCCAfR-biomass-CCS</vt:lpstr>
      <vt:lpstr>ELCCAfR-lignite-CCS</vt:lpstr>
      <vt:lpstr>ELCCAfR-SMR</vt:lpstr>
      <vt:lpstr>ELCCAfR-hydrogen-CT</vt:lpstr>
      <vt:lpstr>ELCCAfR-hydrogen-CC</vt:lpstr>
      <vt:lpstr>ELCCAfR-demand-altering-techs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2026-08-31T23:42:28Z</dcterms:created>
  <dcterms:modified xsi:type="dcterms:W3CDTF">2026-08-31T23:50:31Z</dcterms:modified>
</cp:coreProperties>
</file>