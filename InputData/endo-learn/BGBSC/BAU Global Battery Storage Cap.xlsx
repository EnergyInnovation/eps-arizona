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126"/>
  <workbookPr/>
  <mc:AlternateContent xmlns:mc="http://schemas.openxmlformats.org/markup-compatibility/2006">
    <mc:Choice Requires="x15">
      <x15ac:absPath xmlns:x15ac="http://schemas.microsoft.com/office/spreadsheetml/2010/11/ac" url="C:\Users\Olivia Ashmoore\Documents\EPS_Models by Region\RMI\RMI_all_states\AZ\endo-learn\BGBSC\"/>
    </mc:Choice>
  </mc:AlternateContent>
  <xr:revisionPtr revIDLastSave="0" documentId="8_{159EAB92-957B-4069-B3B3-35A5DCBDCC7E}" xr6:coauthVersionLast="47" xr6:coauthVersionMax="47" xr10:uidLastSave="{00000000-0000-0000-0000-000000000000}"/>
  <bookViews>
    <workbookView xWindow="12195" yWindow="225" windowWidth="16605" windowHeight="17055" xr2:uid="{00000000-000D-0000-FFFF-FFFF00000000}"/>
  </bookViews>
  <sheets>
    <sheet name="About" sheetId="1" r:id="rId1"/>
    <sheet name="Grid Battery Storage" sheetId="8" r:id="rId2"/>
    <sheet name="EV Batteries" sheetId="5" r:id="rId3"/>
    <sheet name="EV Sigmoid Fitting" sheetId="10" r:id="rId4"/>
    <sheet name="Calculations" sheetId="7" r:id="rId5"/>
    <sheet name="SYGBSC" sheetId="11" r:id="rId6"/>
    <sheet name="BGBSC" sheetId="6" r:id="rId7"/>
  </sheets>
  <definedNames>
    <definedName name="ec_50">'EV Sigmoid Fitting'!$B$4</definedName>
    <definedName name="max">'EV Sigmoid Fitting'!$B$3</definedName>
    <definedName name="min">'EV Sigmoid Fitting'!$B$2</definedName>
    <definedName name="solver_adj" localSheetId="3" hidden="1">'EV Sigmoid Fitting'!$B$2:$B$5</definedName>
    <definedName name="solver_cvg" localSheetId="3" hidden="1">0.0001</definedName>
    <definedName name="solver_drv" localSheetId="3" hidden="1">1</definedName>
    <definedName name="solver_eng" localSheetId="3" hidden="1">1</definedName>
    <definedName name="solver_est" localSheetId="3" hidden="1">1</definedName>
    <definedName name="solver_itr" localSheetId="3" hidden="1">2147483647</definedName>
    <definedName name="solver_lhs1" localSheetId="3" hidden="1">'EV Sigmoid Fitting'!$B$4</definedName>
    <definedName name="solver_mip" localSheetId="3" hidden="1">2147483647</definedName>
    <definedName name="solver_mni" localSheetId="3" hidden="1">30</definedName>
    <definedName name="solver_mrt" localSheetId="3" hidden="1">0.075</definedName>
    <definedName name="solver_msl" localSheetId="3" hidden="1">2</definedName>
    <definedName name="solver_neg" localSheetId="3" hidden="1">1</definedName>
    <definedName name="solver_nod" localSheetId="3" hidden="1">2147483647</definedName>
    <definedName name="solver_num" localSheetId="3" hidden="1">1</definedName>
    <definedName name="solver_nwt" localSheetId="3" hidden="1">1</definedName>
    <definedName name="solver_opt" localSheetId="3" hidden="1">'EV Sigmoid Fitting'!$B$7</definedName>
    <definedName name="solver_pre" localSheetId="3" hidden="1">0.000001</definedName>
    <definedName name="solver_rbv" localSheetId="3" hidden="1">1</definedName>
    <definedName name="solver_rel1" localSheetId="3" hidden="1">3</definedName>
    <definedName name="solver_rhs1" localSheetId="3" hidden="1">0.000001</definedName>
    <definedName name="solver_rlx" localSheetId="3" hidden="1">2</definedName>
    <definedName name="solver_rsd" localSheetId="3" hidden="1">0</definedName>
    <definedName name="solver_scl" localSheetId="3" hidden="1">1</definedName>
    <definedName name="solver_sho" localSheetId="3" hidden="1">2</definedName>
    <definedName name="solver_ssz" localSheetId="3" hidden="1">100</definedName>
    <definedName name="solver_tim" localSheetId="3" hidden="1">2147483647</definedName>
    <definedName name="solver_tol" localSheetId="3" hidden="1">0.01</definedName>
    <definedName name="solver_typ" localSheetId="3" hidden="1">2</definedName>
    <definedName name="solver_val" localSheetId="3" hidden="1">0</definedName>
    <definedName name="solver_ver" localSheetId="3" hidden="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 i="11" l="1"/>
  <c r="C17" i="7"/>
  <c r="B17" i="7"/>
  <c r="E17" i="7"/>
  <c r="D17" i="7"/>
  <c r="G14" i="10" a="1"/>
  <c r="G14" i="10" s="1"/>
  <c r="AI14" i="5"/>
  <c r="AH14" i="5"/>
  <c r="AG14" i="5"/>
  <c r="AF14" i="5"/>
  <c r="AE14" i="5"/>
  <c r="AE12" i="5" s="1"/>
  <c r="AD14" i="5"/>
  <c r="AC14" i="5"/>
  <c r="AC12" i="5" s="1"/>
  <c r="AB14" i="5"/>
  <c r="AB12" i="5" s="1"/>
  <c r="AA14" i="5"/>
  <c r="Z14" i="5"/>
  <c r="Y14" i="5"/>
  <c r="X14" i="5"/>
  <c r="W14" i="5"/>
  <c r="V14" i="5"/>
  <c r="U14" i="5"/>
  <c r="U12" i="5" s="1"/>
  <c r="T14" i="5"/>
  <c r="T12" i="5" s="1"/>
  <c r="S14" i="5"/>
  <c r="R14" i="5"/>
  <c r="Q14" i="5"/>
  <c r="P14" i="5"/>
  <c r="O14" i="5"/>
  <c r="O12" i="5" s="1"/>
  <c r="N14" i="5"/>
  <c r="M14" i="5"/>
  <c r="M12" i="5" s="1"/>
  <c r="L14" i="5"/>
  <c r="L12" i="5" s="1"/>
  <c r="K14" i="5"/>
  <c r="J14" i="5"/>
  <c r="I14" i="5"/>
  <c r="H14" i="5"/>
  <c r="G14" i="5"/>
  <c r="G12" i="5" s="1"/>
  <c r="F14" i="5"/>
  <c r="E14" i="5"/>
  <c r="E12" i="5" s="1"/>
  <c r="D14" i="5"/>
  <c r="D12" i="5" s="1"/>
  <c r="C14" i="5"/>
  <c r="B14" i="5"/>
  <c r="Y13" i="5"/>
  <c r="B13" i="5"/>
  <c r="AI12" i="5"/>
  <c r="AH12" i="5"/>
  <c r="AG12" i="5"/>
  <c r="AF12" i="5"/>
  <c r="AD12" i="5"/>
  <c r="AA12" i="5"/>
  <c r="Z12" i="5"/>
  <c r="Y12" i="5"/>
  <c r="X12" i="5"/>
  <c r="W12" i="5"/>
  <c r="V12" i="5"/>
  <c r="S12" i="5"/>
  <c r="R12" i="5"/>
  <c r="Q12" i="5"/>
  <c r="P12" i="5"/>
  <c r="P10" i="5" s="1"/>
  <c r="Q10" i="5" s="1"/>
  <c r="R10" i="5" s="1"/>
  <c r="S10" i="5" s="1"/>
  <c r="T10" i="5" s="1"/>
  <c r="U10" i="5" s="1"/>
  <c r="V10" i="5" s="1"/>
  <c r="W10" i="5" s="1"/>
  <c r="X10" i="5" s="1"/>
  <c r="Y10" i="5" s="1"/>
  <c r="Z10" i="5" s="1"/>
  <c r="AA10" i="5" s="1"/>
  <c r="AB10" i="5" s="1"/>
  <c r="AC10" i="5" s="1"/>
  <c r="AD10" i="5" s="1"/>
  <c r="AE10" i="5" s="1"/>
  <c r="AF10" i="5" s="1"/>
  <c r="AG10" i="5" s="1"/>
  <c r="AH10" i="5" s="1"/>
  <c r="AI10" i="5" s="1"/>
  <c r="N12" i="5"/>
  <c r="K12" i="5"/>
  <c r="J12" i="5"/>
  <c r="I12" i="5"/>
  <c r="H12" i="5"/>
  <c r="F12" i="5"/>
  <c r="C12" i="5"/>
  <c r="B12" i="5"/>
  <c r="E10" i="5"/>
  <c r="F10" i="5" s="1"/>
  <c r="G10" i="5" s="1"/>
  <c r="H10" i="5" s="1"/>
  <c r="I10" i="5" s="1"/>
  <c r="J10" i="5" s="1"/>
  <c r="K10" i="5" s="1"/>
  <c r="L10" i="5" s="1"/>
  <c r="M10" i="5" s="1"/>
  <c r="N10" i="5" s="1"/>
  <c r="H24" i="10"/>
  <c r="H25" i="10"/>
  <c r="H26" i="10"/>
  <c r="H27" i="10"/>
  <c r="H28" i="10"/>
  <c r="H29" i="10"/>
  <c r="H30" i="10"/>
  <c r="H31" i="10"/>
  <c r="H32" i="10"/>
  <c r="H33" i="10"/>
  <c r="H23" i="10"/>
  <c r="H22" i="10"/>
  <c r="H21" i="10"/>
  <c r="H20" i="10"/>
  <c r="H19" i="10"/>
  <c r="H18" i="10"/>
  <c r="H17" i="10"/>
  <c r="H16" i="10"/>
  <c r="H15" i="10"/>
  <c r="H14" i="10"/>
  <c r="H13" i="10"/>
  <c r="H12" i="10"/>
  <c r="H11" i="10"/>
  <c r="H10" i="10"/>
  <c r="H9" i="10"/>
  <c r="H8" i="10"/>
  <c r="H7" i="10"/>
  <c r="H6" i="10"/>
  <c r="H5" i="10"/>
  <c r="H4" i="10"/>
  <c r="H3" i="10"/>
  <c r="H2" i="10"/>
  <c r="F17" i="7" l="1"/>
  <c r="G17" i="7" s="1"/>
  <c r="H17" i="7" s="1"/>
  <c r="I17" i="7" s="1"/>
  <c r="J17" i="7" s="1"/>
  <c r="K17" i="7" s="1"/>
  <c r="L17" i="7" s="1"/>
  <c r="M17" i="7" s="1"/>
  <c r="N17" i="7" s="1"/>
  <c r="O17" i="7" s="1"/>
  <c r="P17" i="7" s="1"/>
  <c r="Q17" i="7" s="1"/>
  <c r="R17" i="7" s="1"/>
  <c r="S17" i="7" s="1"/>
  <c r="T17" i="7" s="1"/>
  <c r="U17" i="7" s="1"/>
  <c r="V17" i="7" s="1"/>
  <c r="W17" i="7" s="1"/>
  <c r="X17" i="7" s="1"/>
  <c r="Y17" i="7" s="1"/>
  <c r="Z17" i="7" s="1"/>
  <c r="AA17" i="7" s="1"/>
  <c r="AB17" i="7" s="1"/>
  <c r="AC17" i="7" s="1"/>
  <c r="AD17" i="7" s="1"/>
  <c r="AE17" i="7" s="1"/>
  <c r="AF17" i="7" s="1"/>
  <c r="AG17" i="7" s="1"/>
  <c r="AH17" i="7" s="1"/>
  <c r="G20" i="10"/>
  <c r="G19" i="10"/>
  <c r="G18" i="10"/>
  <c r="G17" i="10"/>
  <c r="G21" i="10"/>
  <c r="G16" i="10"/>
  <c r="G23" i="10"/>
  <c r="G15" i="10"/>
  <c r="G22" i="10"/>
  <c r="C6" i="8" l="1"/>
  <c r="D6" i="8"/>
  <c r="E6" i="8"/>
  <c r="F6" i="8"/>
  <c r="G6" i="8"/>
  <c r="H6" i="8"/>
  <c r="B6" i="8"/>
  <c r="G2" i="10" l="1" a="1"/>
  <c r="B2" i="6" l="1"/>
  <c r="G2" i="10"/>
  <c r="G11" i="10"/>
  <c r="G4" i="10"/>
  <c r="G13" i="10"/>
  <c r="G3" i="10"/>
  <c r="G9" i="10"/>
  <c r="G10" i="10"/>
  <c r="G6" i="10"/>
  <c r="G12" i="10"/>
  <c r="G5" i="10"/>
  <c r="G8" i="10"/>
  <c r="G7" i="10"/>
  <c r="C2" i="6" l="1"/>
  <c r="D2" i="6" l="1"/>
  <c r="B7" i="10"/>
  <c r="E2" i="6" l="1"/>
  <c r="F2" i="6" l="1"/>
  <c r="G2" i="6" l="1"/>
  <c r="H2" i="6" l="1"/>
  <c r="I2" i="6" l="1"/>
  <c r="J2" i="6" l="1"/>
  <c r="K2" i="6" l="1"/>
  <c r="L2" i="6" l="1"/>
  <c r="M2" i="6" l="1"/>
  <c r="N2" i="6" l="1"/>
  <c r="O2" i="6" l="1"/>
  <c r="P2" i="6" l="1"/>
  <c r="Q2" i="6" l="1"/>
  <c r="R2" i="6" l="1"/>
  <c r="S2" i="6" l="1"/>
  <c r="T2" i="6" l="1"/>
  <c r="U2" i="6" l="1"/>
  <c r="V2" i="6" l="1"/>
  <c r="W2" i="6" l="1"/>
  <c r="X2" i="6" l="1"/>
  <c r="Y2" i="6" l="1"/>
  <c r="Z2" i="6" l="1"/>
  <c r="AA2" i="6" l="1"/>
  <c r="AB2" i="6" l="1"/>
  <c r="AC2" i="6" l="1"/>
  <c r="AD2" i="6" l="1"/>
  <c r="AE2" i="6" l="1"/>
</calcChain>
</file>

<file path=xl/sharedStrings.xml><?xml version="1.0" encoding="utf-8"?>
<sst xmlns="http://schemas.openxmlformats.org/spreadsheetml/2006/main" count="73" uniqueCount="69">
  <si>
    <t>BGBSC BAU Global Battery Storage Capacity</t>
  </si>
  <si>
    <t>Sources:</t>
  </si>
  <si>
    <t>BNEF Data</t>
  </si>
  <si>
    <t>BNEF - Long-Term Electric Vehicle Outlook 2017</t>
  </si>
  <si>
    <t>Global EV Li-Ion Battery Demand (GWh)</t>
  </si>
  <si>
    <t>New EV Sales (Number of Vehicles)</t>
  </si>
  <si>
    <t>Global battery cap (MWh)</t>
  </si>
  <si>
    <t>For grid batteries, we will use BNEF NEO numbers and curve fit to extrapolate</t>
  </si>
  <si>
    <t>Bloomberg</t>
  </si>
  <si>
    <t>EV battery new sales, extrapolated 2031-2040 (GWh)</t>
  </si>
  <si>
    <t>EV battery new sales, extrapolated 2041-2050 (GWh)</t>
  </si>
  <si>
    <t>for years 2014-2050.  We assume no grid batteries retire during the model</t>
  </si>
  <si>
    <t>run, so installed capacity equals cumulative capacity.</t>
  </si>
  <si>
    <t>For Evs, we use Bloomberg New Energy Finance's numbers.  This assumes an aggressive rate of EV deployment,</t>
  </si>
  <si>
    <t>which matches usual EPS model behavior in the United States and other EPS regions we've tested.</t>
  </si>
  <si>
    <t>*Online piexel ruler used to read BENF figure.</t>
  </si>
  <si>
    <t>Number of pixels</t>
  </si>
  <si>
    <t>Pixels per 500 GWh</t>
  </si>
  <si>
    <t>Interpolated</t>
  </si>
  <si>
    <t>MWh storage</t>
  </si>
  <si>
    <t>Pixels per 10 million</t>
  </si>
  <si>
    <t>Grid battery capacity (MWh)</t>
  </si>
  <si>
    <t>EV battery new sales (MWh)</t>
  </si>
  <si>
    <t>New EV Sales, Extrapolated (Number of Vehicles)</t>
  </si>
  <si>
    <t>Sigmoid Fitting</t>
    <phoneticPr fontId="1"/>
  </si>
  <si>
    <t>x</t>
    <phoneticPr fontId="1"/>
  </si>
  <si>
    <t>y</t>
    <phoneticPr fontId="1"/>
  </si>
  <si>
    <t>ycalc</t>
    <phoneticPr fontId="1"/>
  </si>
  <si>
    <t>min</t>
    <phoneticPr fontId="1"/>
  </si>
  <si>
    <t>&lt;- named cell "min"</t>
    <phoneticPr fontId="1"/>
  </si>
  <si>
    <t>Procedure</t>
    <phoneticPr fontId="1"/>
  </si>
  <si>
    <t>max</t>
    <phoneticPr fontId="1"/>
  </si>
  <si>
    <t>&lt;- named cell "max"</t>
    <phoneticPr fontId="1"/>
  </si>
  <si>
    <t>(1) Paste data into the x and y column.</t>
    <phoneticPr fontId="1"/>
  </si>
  <si>
    <t>ec50</t>
    <phoneticPr fontId="1"/>
  </si>
  <si>
    <t>&lt;- named cell "ec_50"</t>
    <phoneticPr fontId="1"/>
  </si>
  <si>
    <t>(2) Enter the initial values into the min/max/n/ec50 parameters.</t>
    <phoneticPr fontId="1"/>
  </si>
  <si>
    <t>k</t>
  </si>
  <si>
    <t>(3) Start Excel Solver (Tools &gt; Solver)</t>
    <phoneticPr fontId="1"/>
  </si>
  <si>
    <t>(4) Set "Target cell" to "B7" (Sum of squared residuals).</t>
    <phoneticPr fontId="1"/>
  </si>
  <si>
    <t>SSR</t>
    <phoneticPr fontId="1"/>
  </si>
  <si>
    <t>(5) Set "equall to" section to "Value of 0".</t>
    <phoneticPr fontId="1"/>
  </si>
  <si>
    <t>(6) Add constraints like EC50&gt;0 by clicking "Add". Add other constraints if necessary.</t>
    <phoneticPr fontId="1"/>
  </si>
  <si>
    <t>(7) Click "Solve" to perform fitting.</t>
    <phoneticPr fontId="1"/>
  </si>
  <si>
    <t>FUN</t>
    <phoneticPr fontId="1"/>
  </si>
  <si>
    <t>min+(max-min)/(1+10^(n*(log10(x)-log10(ec_50))))</t>
    <phoneticPr fontId="1"/>
  </si>
  <si>
    <t>(8) Close the solver window and check the graph to see if the calculated curve fitted well.</t>
    <phoneticPr fontId="1"/>
  </si>
  <si>
    <t>See  the following reference for details.</t>
    <phoneticPr fontId="1"/>
  </si>
  <si>
    <t>Kemmer G. nd Keller S. (2010) Nonlinear least-squares data fitting in Excel spreadsheets. Nat. Protocols 5, 267–281.</t>
  </si>
  <si>
    <t>EV battery cap, cumulative (MWh)</t>
  </si>
  <si>
    <t>New Energy Outlook 2020</t>
  </si>
  <si>
    <t>Executive Summary</t>
  </si>
  <si>
    <t>Figure 3</t>
  </si>
  <si>
    <t>EV sales</t>
  </si>
  <si>
    <t>https://about.bnef.com/new-energy-outlook/</t>
  </si>
  <si>
    <t>Sum-of-series multiplier for years prior to 2019 (GWh)</t>
  </si>
  <si>
    <t>Electric Vehicle Outlook 2022</t>
  </si>
  <si>
    <t>https://bnef.turtl.co/story/evo-2022/page/4/1?teaser=yes</t>
  </si>
  <si>
    <t>Grid batteries through 2030</t>
  </si>
  <si>
    <t>EV Battery Production Capacity in 2030</t>
  </si>
  <si>
    <t>McKinsey</t>
  </si>
  <si>
    <t>Battery 2030: Resilient, sustainable, and circular</t>
  </si>
  <si>
    <t>https://www.mckinsey.com/industries/automotive-and-assembly/our-insights/battery-2030-resilient-sustainable-and-circular</t>
  </si>
  <si>
    <t>Exhibit 1</t>
  </si>
  <si>
    <t>Notes:</t>
  </si>
  <si>
    <t>We use projected battery production in 2030 and scale linearly between now and 2030</t>
  </si>
  <si>
    <t>Beyond 2030 we use estimated BEV sales to scale annual battery capacity growth, using approximate</t>
  </si>
  <si>
    <t>data from the BNEF EVO.</t>
  </si>
  <si>
    <t>Arizona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</si>
</sst>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14" x14ac:knownFonts="1">
    <font>
      <sz val="11"/>
      <color theme="1"/>
      <name val="Calibri"/>
      <family val="2"/>
      <scheme val="minor"/>
    </font>
    <font>
      <sz val="11"/>
      <color theme="1"/>
      <name val="Calibri"/>
      <family val="2"/>
      <scheme val="minor"/>
    </font>
    <font>
      <b/>
      <sz val="11"/>
      <color theme="1"/>
      <name val="Calibri"/>
      <family val="2"/>
      <scheme val="minor"/>
    </font>
    <font>
      <b/>
      <sz val="10"/>
      <color theme="1"/>
      <name val="Arial"/>
      <family val="2"/>
    </font>
    <font>
      <b/>
      <sz val="18"/>
      <color theme="1"/>
      <name val="Calibri"/>
      <family val="2"/>
      <scheme val="minor"/>
    </font>
    <font>
      <sz val="10"/>
      <color rgb="FF000000"/>
      <name val="Arial"/>
      <family val="2"/>
    </font>
    <font>
      <sz val="10"/>
      <name val="Arial"/>
      <family val="2"/>
    </font>
    <font>
      <b/>
      <sz val="10"/>
      <name val="Arial"/>
      <family val="2"/>
    </font>
    <font>
      <sz val="11"/>
      <color rgb="FF000000"/>
      <name val="Calibri"/>
      <family val="2"/>
      <scheme val="minor"/>
    </font>
    <font>
      <b/>
      <sz val="12"/>
      <color theme="1"/>
      <name val="Arial"/>
      <family val="2"/>
    </font>
    <font>
      <sz val="12"/>
      <color theme="1"/>
      <name val="Arial"/>
      <family val="2"/>
    </font>
    <font>
      <sz val="12"/>
      <color theme="0" tint="-0.499984740745262"/>
      <name val="Arial"/>
      <family val="2"/>
    </font>
    <font>
      <b/>
      <sz val="12"/>
      <color theme="0" tint="-0.499984740745262"/>
      <name val="Arial"/>
      <family val="2"/>
    </font>
    <font>
      <i/>
      <sz val="11"/>
      <color theme="1"/>
      <name val="Calibri"/>
      <family val="2"/>
      <scheme val="minor"/>
    </font>
  </fonts>
  <fills count="6">
    <fill>
      <patternFill patternType="none"/>
    </fill>
    <fill>
      <patternFill patternType="gray125"/>
    </fill>
    <fill>
      <patternFill patternType="solid">
        <fgColor theme="0" tint="-0.249977111117893"/>
        <bgColor indexed="64"/>
      </patternFill>
    </fill>
    <fill>
      <patternFill patternType="solid">
        <fgColor theme="0" tint="-0.34998626667073579"/>
        <bgColor indexed="64"/>
      </patternFill>
    </fill>
    <fill>
      <patternFill patternType="solid">
        <fgColor rgb="FFFFFF00"/>
        <bgColor indexed="64"/>
      </patternFill>
    </fill>
    <fill>
      <patternFill patternType="solid">
        <fgColor theme="9"/>
        <bgColor indexed="64"/>
      </patternFill>
    </fill>
  </fills>
  <borders count="2">
    <border>
      <left/>
      <right/>
      <top/>
      <bottom/>
      <diagonal/>
    </border>
    <border>
      <left/>
      <right/>
      <top/>
      <bottom style="thin">
        <color indexed="64"/>
      </bottom>
      <diagonal/>
    </border>
  </borders>
  <cellStyleXfs count="4">
    <xf numFmtId="0" fontId="0" fillId="0" borderId="0"/>
    <xf numFmtId="43" fontId="1" fillId="0" borderId="0" applyFont="0" applyFill="0" applyBorder="0" applyAlignment="0" applyProtection="0"/>
    <xf numFmtId="0" fontId="3" fillId="0" borderId="1" applyNumberFormat="0">
      <alignment horizontal="left" vertical="center"/>
    </xf>
    <xf numFmtId="0" fontId="6" fillId="0" borderId="0"/>
  </cellStyleXfs>
  <cellXfs count="26">
    <xf numFmtId="0" fontId="0" fillId="0" borderId="0" xfId="0"/>
    <xf numFmtId="0" fontId="2" fillId="0" borderId="0" xfId="0" applyFont="1"/>
    <xf numFmtId="0" fontId="2" fillId="2" borderId="0" xfId="0" applyFont="1" applyFill="1"/>
    <xf numFmtId="0" fontId="2" fillId="0" borderId="1" xfId="0" applyFont="1" applyBorder="1"/>
    <xf numFmtId="0" fontId="4" fillId="0" borderId="0" xfId="0" applyFont="1"/>
    <xf numFmtId="164" fontId="2" fillId="0" borderId="0" xfId="1" applyNumberFormat="1" applyFont="1" applyBorder="1"/>
    <xf numFmtId="0" fontId="0" fillId="0" borderId="1" xfId="0" applyBorder="1"/>
    <xf numFmtId="0" fontId="7" fillId="0" borderId="1" xfId="3" applyFont="1" applyBorder="1"/>
    <xf numFmtId="164" fontId="5" fillId="0" borderId="0" xfId="1" applyNumberFormat="1" applyFont="1" applyFill="1" applyBorder="1" applyAlignment="1" applyProtection="1">
      <alignment horizontal="right"/>
      <protection locked="0"/>
    </xf>
    <xf numFmtId="164" fontId="0" fillId="3" borderId="0" xfId="1" applyNumberFormat="1" applyFont="1" applyFill="1"/>
    <xf numFmtId="1" fontId="0" fillId="0" borderId="0" xfId="0" applyNumberFormat="1"/>
    <xf numFmtId="0" fontId="0" fillId="0" borderId="0" xfId="0" applyAlignment="1">
      <alignment horizontal="left"/>
    </xf>
    <xf numFmtId="0" fontId="8" fillId="0" borderId="0" xfId="0" applyFont="1"/>
    <xf numFmtId="0" fontId="0" fillId="4" borderId="0" xfId="0" applyFill="1"/>
    <xf numFmtId="43" fontId="5" fillId="0" borderId="0" xfId="1" applyFont="1" applyFill="1" applyBorder="1" applyAlignment="1" applyProtection="1">
      <alignment horizontal="right"/>
      <protection locked="0"/>
    </xf>
    <xf numFmtId="0" fontId="9" fillId="0" borderId="0" xfId="0" applyFont="1" applyAlignment="1">
      <alignment vertical="center"/>
    </xf>
    <xf numFmtId="0" fontId="10" fillId="0" borderId="0" xfId="0" applyFont="1" applyAlignment="1">
      <alignment vertical="center"/>
    </xf>
    <xf numFmtId="0" fontId="11" fillId="0" borderId="0" xfId="0" applyFont="1" applyAlignment="1">
      <alignment vertical="center"/>
    </xf>
    <xf numFmtId="0" fontId="12" fillId="0" borderId="0" xfId="0" applyFont="1" applyAlignment="1">
      <alignment vertical="center"/>
    </xf>
    <xf numFmtId="164" fontId="5" fillId="5" borderId="0" xfId="1" applyNumberFormat="1" applyFont="1" applyFill="1" applyBorder="1" applyAlignment="1" applyProtection="1">
      <alignment horizontal="right"/>
      <protection locked="0"/>
    </xf>
    <xf numFmtId="0" fontId="13" fillId="0" borderId="0" xfId="0" applyFont="1"/>
    <xf numFmtId="11" fontId="0" fillId="0" borderId="0" xfId="0" applyNumberFormat="1"/>
    <xf numFmtId="11" fontId="0" fillId="2" borderId="0" xfId="0" applyNumberFormat="1" applyFill="1"/>
    <xf numFmtId="164" fontId="5" fillId="2" borderId="0" xfId="1" applyNumberFormat="1" applyFont="1" applyFill="1" applyBorder="1" applyAlignment="1" applyProtection="1">
      <alignment horizontal="right"/>
      <protection locked="0"/>
    </xf>
    <xf numFmtId="0" fontId="0" fillId="2" borderId="0" xfId="0" applyFill="1"/>
    <xf numFmtId="14" fontId="0" fillId="0" borderId="0" xfId="0" applyNumberFormat="1"/>
  </cellXfs>
  <cellStyles count="4">
    <cellStyle name="Comma" xfId="1" builtinId="3"/>
    <cellStyle name="Normal" xfId="0" builtinId="0"/>
    <cellStyle name="Normal 10" xfId="3" xr:uid="{00000000-0005-0000-0000-000002000000}"/>
    <cellStyle name="Table Header 2" xfId="2"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3"/>
            <c:forward val="20"/>
            <c:dispRSqr val="0"/>
            <c:dispEq val="1"/>
            <c:trendlineLbl>
              <c:numFmt formatCode="#,##0.00000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Lit>
              <c:formatCode>General</c:formatCode>
              <c:ptCount val="24"/>
              <c:pt idx="0">
                <c:v>2017</c:v>
              </c:pt>
              <c:pt idx="1">
                <c:v>2018</c:v>
              </c:pt>
              <c:pt idx="2">
                <c:v>2019</c:v>
              </c:pt>
              <c:pt idx="3">
                <c:v>2020</c:v>
              </c:pt>
              <c:pt idx="4">
                <c:v>2021</c:v>
              </c:pt>
              <c:pt idx="5">
                <c:v>2022</c:v>
              </c:pt>
              <c:pt idx="6">
                <c:v>2023</c:v>
              </c:pt>
              <c:pt idx="7">
                <c:v>2024</c:v>
              </c:pt>
              <c:pt idx="8">
                <c:v>2025</c:v>
              </c:pt>
              <c:pt idx="9">
                <c:v>2026</c:v>
              </c:pt>
              <c:pt idx="10">
                <c:v>2027</c:v>
              </c:pt>
              <c:pt idx="11">
                <c:v>2028</c:v>
              </c:pt>
              <c:pt idx="12">
                <c:v>2029</c:v>
              </c:pt>
              <c:pt idx="13">
                <c:v>2030</c:v>
              </c:pt>
              <c:pt idx="14">
                <c:v>2031</c:v>
              </c:pt>
              <c:pt idx="15">
                <c:v>2032</c:v>
              </c:pt>
              <c:pt idx="16">
                <c:v>2033</c:v>
              </c:pt>
              <c:pt idx="17">
                <c:v>2034</c:v>
              </c:pt>
              <c:pt idx="18">
                <c:v>2035</c:v>
              </c:pt>
              <c:pt idx="19">
                <c:v>2036</c:v>
              </c:pt>
              <c:pt idx="20">
                <c:v>2037</c:v>
              </c:pt>
              <c:pt idx="21">
                <c:v>2038</c:v>
              </c:pt>
              <c:pt idx="22">
                <c:v>2039</c:v>
              </c:pt>
              <c:pt idx="23">
                <c:v>2040</c:v>
              </c:pt>
            </c:numLit>
          </c:xVal>
          <c:yVal>
            <c:numLit>
              <c:formatCode>General</c:formatCode>
              <c:ptCount val="24"/>
              <c:pt idx="0">
                <c:v>1210000</c:v>
              </c:pt>
              <c:pt idx="5">
                <c:v>10600000</c:v>
              </c:pt>
              <c:pt idx="8">
                <c:v>21000000</c:v>
              </c:pt>
              <c:pt idx="13">
                <c:v>40000000</c:v>
              </c:pt>
              <c:pt idx="18">
                <c:v>55000000</c:v>
              </c:pt>
              <c:pt idx="23">
                <c:v>72000000</c:v>
              </c:pt>
            </c:numLit>
          </c:yVal>
          <c:smooth val="1"/>
          <c:extLst>
            <c:ext xmlns:c16="http://schemas.microsoft.com/office/drawing/2014/chart" uri="{C3380CC4-5D6E-409C-BE32-E72D297353CC}">
              <c16:uniqueId val="{00000001-AC46-454A-9ED9-C295BAB62CF4}"/>
            </c:ext>
          </c:extLst>
        </c:ser>
        <c:dLbls>
          <c:showLegendKey val="0"/>
          <c:showVal val="0"/>
          <c:showCatName val="0"/>
          <c:showSerName val="0"/>
          <c:showPercent val="0"/>
          <c:showBubbleSize val="0"/>
        </c:dLbls>
        <c:axId val="1116561376"/>
        <c:axId val="1116550336"/>
      </c:scatterChart>
      <c:valAx>
        <c:axId val="11165613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6550336"/>
        <c:crosses val="autoZero"/>
        <c:crossBetween val="midCat"/>
      </c:valAx>
      <c:valAx>
        <c:axId val="11165503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6561376"/>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y</c:v>
          </c:tx>
          <c:spPr>
            <a:ln w="19050" cap="rnd">
              <a:noFill/>
              <a:round/>
            </a:ln>
            <a:effectLst/>
          </c:spPr>
          <c:marker>
            <c:symbol val="circle"/>
            <c:size val="5"/>
            <c:spPr>
              <a:solidFill>
                <a:schemeClr val="accent1"/>
              </a:solidFill>
              <a:ln w="9525">
                <a:solidFill>
                  <a:schemeClr val="accent1"/>
                </a:solidFill>
              </a:ln>
              <a:effectLst/>
            </c:spPr>
          </c:marker>
          <c:xVal>
            <c:numLit>
              <c:formatCode>General</c:formatCode>
              <c:ptCount val="34"/>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4"/>
              <c:pt idx="0">
                <c:v>2375000</c:v>
              </c:pt>
              <c:pt idx="1">
                <c:v>1750000</c:v>
              </c:pt>
              <c:pt idx="2">
                <c:v>2500000</c:v>
              </c:pt>
              <c:pt idx="3">
                <c:v>3875000</c:v>
              </c:pt>
              <c:pt idx="4">
                <c:v>5375000</c:v>
              </c:pt>
              <c:pt idx="5">
                <c:v>7000000</c:v>
              </c:pt>
              <c:pt idx="6">
                <c:v>8500000</c:v>
              </c:pt>
              <c:pt idx="7">
                <c:v>10375000</c:v>
              </c:pt>
              <c:pt idx="8">
                <c:v>13625000</c:v>
              </c:pt>
              <c:pt idx="9">
                <c:v>17125000</c:v>
              </c:pt>
              <c:pt idx="10">
                <c:v>21000000</c:v>
              </c:pt>
              <c:pt idx="11">
                <c:v>25500000</c:v>
              </c:pt>
              <c:pt idx="12">
                <c:v>29250000</c:v>
              </c:pt>
              <c:pt idx="13">
                <c:v>33375000</c:v>
              </c:pt>
              <c:pt idx="14">
                <c:v>36625000</c:v>
              </c:pt>
              <c:pt idx="15">
                <c:v>39750000</c:v>
              </c:pt>
              <c:pt idx="16">
                <c:v>42625000</c:v>
              </c:pt>
              <c:pt idx="17">
                <c:v>45250000</c:v>
              </c:pt>
              <c:pt idx="18">
                <c:v>47375000</c:v>
              </c:pt>
              <c:pt idx="19">
                <c:v>49375000</c:v>
              </c:pt>
              <c:pt idx="20">
                <c:v>51625000</c:v>
              </c:pt>
              <c:pt idx="21">
                <c:v>54125000</c:v>
              </c:pt>
            </c:numLit>
          </c:yVal>
          <c:smooth val="0"/>
          <c:extLst>
            <c:ext xmlns:c16="http://schemas.microsoft.com/office/drawing/2014/chart" uri="{C3380CC4-5D6E-409C-BE32-E72D297353CC}">
              <c16:uniqueId val="{00000000-A34B-4D6D-B9E2-A842BF8A7B23}"/>
            </c:ext>
          </c:extLst>
        </c:ser>
        <c:ser>
          <c:idx val="1"/>
          <c:order val="1"/>
          <c:tx>
            <c:v>ycalc</c:v>
          </c:tx>
          <c:spPr>
            <a:ln w="19050" cap="rnd">
              <a:noFill/>
              <a:round/>
            </a:ln>
            <a:effectLst/>
          </c:spPr>
          <c:marker>
            <c:symbol val="circle"/>
            <c:size val="5"/>
            <c:spPr>
              <a:solidFill>
                <a:schemeClr val="accent2"/>
              </a:solidFill>
              <a:ln w="9525">
                <a:solidFill>
                  <a:schemeClr val="accent2"/>
                </a:solidFill>
              </a:ln>
              <a:effectLst/>
            </c:spPr>
          </c:marker>
          <c:xVal>
            <c:numLit>
              <c:formatCode>General</c:formatCode>
              <c:ptCount val="34"/>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4"/>
              <c:pt idx="0">
                <c:v>1389132.164056371</c:v>
              </c:pt>
              <c:pt idx="1">
                <c:v>2021843.2718926258</c:v>
              </c:pt>
              <c:pt idx="2">
                <c:v>2835096.85528416</c:v>
              </c:pt>
              <c:pt idx="3">
                <c:v>3872186.6405841364</c:v>
              </c:pt>
              <c:pt idx="4">
                <c:v>5181480.7302558515</c:v>
              </c:pt>
              <c:pt idx="5">
                <c:v>6813588.8256108928</c:v>
              </c:pt>
              <c:pt idx="6">
                <c:v>8816233.2840826623</c:v>
              </c:pt>
              <c:pt idx="7">
                <c:v>11226473.258701244</c:v>
              </c:pt>
              <c:pt idx="8">
                <c:v>14060660.844756193</c:v>
              </c:pt>
              <c:pt idx="9">
                <c:v>17303745.690459114</c:v>
              </c:pt>
              <c:pt idx="10">
                <c:v>20900972.172630183</c:v>
              </c:pt>
              <c:pt idx="11">
                <c:v>24755807.045043826</c:v>
              </c:pt>
              <c:pt idx="12">
                <c:v>28737059.300076034</c:v>
              </c:pt>
              <c:pt idx="13">
                <c:v>32695224.467196576</c:v>
              </c:pt>
              <c:pt idx="14">
                <c:v>36484206.532142162</c:v>
              </c:pt>
              <c:pt idx="15">
                <c:v>39982014.338317864</c:v>
              </c:pt>
              <c:pt idx="16">
                <c:v>43104531.090709515</c:v>
              </c:pt>
              <c:pt idx="17">
                <c:v>45809663.601785377</c:v>
              </c:pt>
              <c:pt idx="18">
                <c:v>48092978.656097099</c:v>
              </c:pt>
              <c:pt idx="19">
                <c:v>49978278.595441304</c:v>
              </c:pt>
              <c:pt idx="20">
                <c:v>51506844.678802423</c:v>
              </c:pt>
              <c:pt idx="21">
                <c:v>52727977.781544022</c:v>
              </c:pt>
              <c:pt idx="22">
                <c:v>53692031.914074436</c:v>
              </c:pt>
              <c:pt idx="23">
                <c:v>54446041.034588695</c:v>
              </c:pt>
              <c:pt idx="24">
                <c:v>55031465.127539933</c:v>
              </c:pt>
              <c:pt idx="25">
                <c:v>55483417.471983574</c:v>
              </c:pt>
              <c:pt idx="26">
                <c:v>55830797.702772141</c:v>
              </c:pt>
              <c:pt idx="27">
                <c:v>56096900.262841031</c:v>
              </c:pt>
              <c:pt idx="28">
                <c:v>56300214.433481641</c:v>
              </c:pt>
              <c:pt idx="29">
                <c:v>56455248.150785372</c:v>
              </c:pt>
              <c:pt idx="30">
                <c:v>56573288.007629298</c:v>
              </c:pt>
              <c:pt idx="31">
                <c:v>56663058.09199407</c:v>
              </c:pt>
            </c:numLit>
          </c:yVal>
          <c:smooth val="0"/>
          <c:extLst>
            <c:ext xmlns:c16="http://schemas.microsoft.com/office/drawing/2014/chart" uri="{C3380CC4-5D6E-409C-BE32-E72D297353CC}">
              <c16:uniqueId val="{00000001-A34B-4D6D-B9E2-A842BF8A7B23}"/>
            </c:ext>
          </c:extLst>
        </c:ser>
        <c:dLbls>
          <c:showLegendKey val="0"/>
          <c:showVal val="0"/>
          <c:showCatName val="0"/>
          <c:showSerName val="0"/>
          <c:showPercent val="0"/>
          <c:showBubbleSize val="0"/>
        </c:dLbls>
        <c:axId val="1460889119"/>
        <c:axId val="1460876223"/>
      </c:scatterChart>
      <c:valAx>
        <c:axId val="146088911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0876223"/>
        <c:crosses val="autoZero"/>
        <c:crossBetween val="midCat"/>
      </c:valAx>
      <c:valAx>
        <c:axId val="14608762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0889119"/>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y</c:v>
          </c:tx>
          <c:spPr>
            <a:ln w="19050" cap="rnd">
              <a:noFill/>
              <a:round/>
            </a:ln>
            <a:effectLst/>
          </c:spPr>
          <c:marker>
            <c:symbol val="circle"/>
            <c:size val="5"/>
            <c:spPr>
              <a:solidFill>
                <a:schemeClr val="accent1"/>
              </a:solidFill>
              <a:ln w="9525">
                <a:solidFill>
                  <a:schemeClr val="accent1"/>
                </a:solidFill>
              </a:ln>
              <a:effectLst/>
            </c:spPr>
          </c:marker>
          <c:xVal>
            <c:numLit>
              <c:formatCode>General</c:formatCode>
              <c:ptCount val="34"/>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4"/>
              <c:pt idx="0">
                <c:v>2375000</c:v>
              </c:pt>
              <c:pt idx="1">
                <c:v>1750000</c:v>
              </c:pt>
              <c:pt idx="2">
                <c:v>2500000</c:v>
              </c:pt>
              <c:pt idx="3">
                <c:v>3875000</c:v>
              </c:pt>
              <c:pt idx="4">
                <c:v>5375000</c:v>
              </c:pt>
              <c:pt idx="5">
                <c:v>7000000</c:v>
              </c:pt>
              <c:pt idx="6">
                <c:v>8500000</c:v>
              </c:pt>
              <c:pt idx="7">
                <c:v>10375000</c:v>
              </c:pt>
              <c:pt idx="8">
                <c:v>13625000</c:v>
              </c:pt>
              <c:pt idx="9">
                <c:v>17125000</c:v>
              </c:pt>
              <c:pt idx="10">
                <c:v>21000000</c:v>
              </c:pt>
              <c:pt idx="11">
                <c:v>25500000</c:v>
              </c:pt>
              <c:pt idx="12">
                <c:v>29250000</c:v>
              </c:pt>
              <c:pt idx="13">
                <c:v>33375000</c:v>
              </c:pt>
              <c:pt idx="14">
                <c:v>36625000</c:v>
              </c:pt>
              <c:pt idx="15">
                <c:v>39750000</c:v>
              </c:pt>
              <c:pt idx="16">
                <c:v>42625000</c:v>
              </c:pt>
              <c:pt idx="17">
                <c:v>45250000</c:v>
              </c:pt>
              <c:pt idx="18">
                <c:v>47375000</c:v>
              </c:pt>
              <c:pt idx="19">
                <c:v>49375000</c:v>
              </c:pt>
              <c:pt idx="20">
                <c:v>51625000</c:v>
              </c:pt>
              <c:pt idx="21">
                <c:v>54125000</c:v>
              </c:pt>
            </c:numLit>
          </c:yVal>
          <c:smooth val="0"/>
          <c:extLst>
            <c:ext xmlns:c16="http://schemas.microsoft.com/office/drawing/2014/chart" uri="{C3380CC4-5D6E-409C-BE32-E72D297353CC}">
              <c16:uniqueId val="{00000000-C4AE-470A-89B2-A28B6FEFCED5}"/>
            </c:ext>
          </c:extLst>
        </c:ser>
        <c:ser>
          <c:idx val="1"/>
          <c:order val="1"/>
          <c:tx>
            <c:v>ycalc</c:v>
          </c:tx>
          <c:spPr>
            <a:ln w="19050" cap="rnd">
              <a:noFill/>
              <a:round/>
            </a:ln>
            <a:effectLst/>
          </c:spPr>
          <c:marker>
            <c:symbol val="circle"/>
            <c:size val="5"/>
            <c:spPr>
              <a:solidFill>
                <a:schemeClr val="accent2"/>
              </a:solidFill>
              <a:ln w="9525">
                <a:solidFill>
                  <a:schemeClr val="accent2"/>
                </a:solidFill>
              </a:ln>
              <a:effectLst/>
            </c:spPr>
          </c:marker>
          <c:xVal>
            <c:numLit>
              <c:formatCode>General</c:formatCode>
              <c:ptCount val="34"/>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4"/>
              <c:pt idx="0">
                <c:v>1389132.164056371</c:v>
              </c:pt>
              <c:pt idx="1">
                <c:v>2021843.2718926258</c:v>
              </c:pt>
              <c:pt idx="2">
                <c:v>2835096.85528416</c:v>
              </c:pt>
              <c:pt idx="3">
                <c:v>3872186.6405841364</c:v>
              </c:pt>
              <c:pt idx="4">
                <c:v>5181480.7302558515</c:v>
              </c:pt>
              <c:pt idx="5">
                <c:v>6813588.8256108928</c:v>
              </c:pt>
              <c:pt idx="6">
                <c:v>8816233.2840826623</c:v>
              </c:pt>
              <c:pt idx="7">
                <c:v>11226473.258701244</c:v>
              </c:pt>
              <c:pt idx="8">
                <c:v>14060660.844756193</c:v>
              </c:pt>
              <c:pt idx="9">
                <c:v>17303745.690459114</c:v>
              </c:pt>
              <c:pt idx="10">
                <c:v>20900972.172630183</c:v>
              </c:pt>
              <c:pt idx="11">
                <c:v>24755807.045043826</c:v>
              </c:pt>
              <c:pt idx="12">
                <c:v>28737059.300076034</c:v>
              </c:pt>
              <c:pt idx="13">
                <c:v>32695224.467196576</c:v>
              </c:pt>
              <c:pt idx="14">
                <c:v>36484206.532142162</c:v>
              </c:pt>
              <c:pt idx="15">
                <c:v>39982014.338317864</c:v>
              </c:pt>
              <c:pt idx="16">
                <c:v>43104531.090709515</c:v>
              </c:pt>
              <c:pt idx="17">
                <c:v>45809663.601785377</c:v>
              </c:pt>
              <c:pt idx="18">
                <c:v>48092978.656097099</c:v>
              </c:pt>
              <c:pt idx="19">
                <c:v>49978278.595441304</c:v>
              </c:pt>
              <c:pt idx="20">
                <c:v>51506844.678802423</c:v>
              </c:pt>
              <c:pt idx="21">
                <c:v>52727977.781544022</c:v>
              </c:pt>
              <c:pt idx="22">
                <c:v>53692031.914074436</c:v>
              </c:pt>
              <c:pt idx="23">
                <c:v>54446041.034588695</c:v>
              </c:pt>
              <c:pt idx="24">
                <c:v>55031465.127539933</c:v>
              </c:pt>
              <c:pt idx="25">
                <c:v>55483417.471983574</c:v>
              </c:pt>
              <c:pt idx="26">
                <c:v>55830797.702772141</c:v>
              </c:pt>
              <c:pt idx="27">
                <c:v>56096900.262841031</c:v>
              </c:pt>
              <c:pt idx="28">
                <c:v>56300214.433481641</c:v>
              </c:pt>
              <c:pt idx="29">
                <c:v>56455248.150785372</c:v>
              </c:pt>
              <c:pt idx="30">
                <c:v>56573288.007629298</c:v>
              </c:pt>
              <c:pt idx="31">
                <c:v>56663058.09199407</c:v>
              </c:pt>
            </c:numLit>
          </c:yVal>
          <c:smooth val="0"/>
          <c:extLst>
            <c:ext xmlns:c16="http://schemas.microsoft.com/office/drawing/2014/chart" uri="{C3380CC4-5D6E-409C-BE32-E72D297353CC}">
              <c16:uniqueId val="{00000001-C4AE-470A-89B2-A28B6FEFCED5}"/>
            </c:ext>
          </c:extLst>
        </c:ser>
        <c:dLbls>
          <c:showLegendKey val="0"/>
          <c:showVal val="0"/>
          <c:showCatName val="0"/>
          <c:showSerName val="0"/>
          <c:showPercent val="0"/>
          <c:showBubbleSize val="0"/>
        </c:dLbls>
        <c:axId val="1460889119"/>
        <c:axId val="1460876223"/>
      </c:scatterChart>
      <c:valAx>
        <c:axId val="146088911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0876223"/>
        <c:crosses val="autoZero"/>
        <c:crossBetween val="midCat"/>
      </c:valAx>
      <c:valAx>
        <c:axId val="14608762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0889119"/>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EV Battery</a:t>
            </a:r>
            <a:r>
              <a:rPr lang="en-US" baseline="0"/>
              <a:t> Sales (NOT Cumulative)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v>EV battery new sales (MWh)</c:v>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Lit>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2"/>
              <c:pt idx="0">
                <c:v>230000</c:v>
              </c:pt>
              <c:pt idx="1">
                <c:v>490909.09090909094</c:v>
              </c:pt>
              <c:pt idx="2">
                <c:v>751818.18181818188</c:v>
              </c:pt>
              <c:pt idx="3">
                <c:v>1012727.2727272727</c:v>
              </c:pt>
              <c:pt idx="4">
                <c:v>1273636.3636363638</c:v>
              </c:pt>
              <c:pt idx="5">
                <c:v>1534545.4545454548</c:v>
              </c:pt>
              <c:pt idx="6">
                <c:v>1795454.5454545456</c:v>
              </c:pt>
              <c:pt idx="7">
                <c:v>2056363.6363636365</c:v>
              </c:pt>
              <c:pt idx="8">
                <c:v>2317272.7272727275</c:v>
              </c:pt>
              <c:pt idx="9">
                <c:v>2578181.8181818184</c:v>
              </c:pt>
              <c:pt idx="10">
                <c:v>2839090.9090909096</c:v>
              </c:pt>
              <c:pt idx="11">
                <c:v>3100000</c:v>
              </c:pt>
            </c:numLit>
          </c:yVal>
          <c:smooth val="1"/>
          <c:extLst>
            <c:ext xmlns:c16="http://schemas.microsoft.com/office/drawing/2014/chart" uri="{C3380CC4-5D6E-409C-BE32-E72D297353CC}">
              <c16:uniqueId val="{00000000-0FD3-452F-A783-E1902130501E}"/>
            </c:ext>
          </c:extLst>
        </c:ser>
        <c:ser>
          <c:idx val="1"/>
          <c:order val="1"/>
          <c:tx>
            <c:v>EV battery new sales, extrapolated 2031-2040 (GWh)</c:v>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Lit>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6"/>
              <c:pt idx="12">
                <c:v>3424790.5975175635</c:v>
              </c:pt>
              <c:pt idx="13">
                <c:v>3746501.3723235992</c:v>
              </c:pt>
              <c:pt idx="14">
                <c:v>4059905.3441759855</c:v>
              </c:pt>
              <c:pt idx="15">
                <c:v>4360313.8003408825</c:v>
              </c:pt>
              <c:pt idx="16">
                <c:v>4643834.5503812227</c:v>
              </c:pt>
              <c:pt idx="17">
                <c:v>4907531.6444603689</c:v>
              </c:pt>
              <c:pt idx="18">
                <c:v>5149479.4152991604</c:v>
              </c:pt>
              <c:pt idx="19">
                <c:v>5368721.7605243968</c:v>
              </c:pt>
              <c:pt idx="20">
                <c:v>5565159.8514983393</c:v>
              </c:pt>
              <c:pt idx="21">
                <c:v>5739396.454520884</c:v>
              </c:pt>
            </c:numLit>
          </c:yVal>
          <c:smooth val="1"/>
          <c:extLst>
            <c:ext xmlns:c16="http://schemas.microsoft.com/office/drawing/2014/chart" uri="{C3380CC4-5D6E-409C-BE32-E72D297353CC}">
              <c16:uniqueId val="{00000001-0FD3-452F-A783-E1902130501E}"/>
            </c:ext>
          </c:extLst>
        </c:ser>
        <c:ser>
          <c:idx val="2"/>
          <c:order val="2"/>
          <c:tx>
            <c:v>EV battery new sales, extrapolated 2041-2050 (GWh)</c:v>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Lit>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6"/>
              <c:pt idx="22">
                <c:v>5892563.6833218094</c:v>
              </c:pt>
              <c:pt idx="23">
                <c:v>6026155.5256387582</c:v>
              </c:pt>
              <c:pt idx="24">
                <c:v>6141879.3779363325</c:v>
              </c:pt>
              <c:pt idx="25">
                <c:v>6241534.0085637206</c:v>
              </c:pt>
              <c:pt idx="26">
                <c:v>6326915.950859325</c:v>
              </c:pt>
              <c:pt idx="27">
                <c:v>6399752.6614421792</c:v>
              </c:pt>
              <c:pt idx="28">
                <c:v>6461658.7298551602</c:v>
              </c:pt>
              <c:pt idx="29">
                <c:v>6514110.623151809</c:v>
              </c:pt>
              <c:pt idx="30">
                <c:v>6558435.4749555839</c:v>
              </c:pt>
              <c:pt idx="31">
                <c:v>6595809.921999068</c:v>
              </c:pt>
            </c:numLit>
          </c:yVal>
          <c:smooth val="1"/>
          <c:extLst>
            <c:ext xmlns:c16="http://schemas.microsoft.com/office/drawing/2014/chart" uri="{C3380CC4-5D6E-409C-BE32-E72D297353CC}">
              <c16:uniqueId val="{00000002-0FD3-452F-A783-E1902130501E}"/>
            </c:ext>
          </c:extLst>
        </c:ser>
        <c:dLbls>
          <c:showLegendKey val="0"/>
          <c:showVal val="0"/>
          <c:showCatName val="0"/>
          <c:showSerName val="0"/>
          <c:showPercent val="0"/>
          <c:showBubbleSize val="0"/>
        </c:dLbls>
        <c:axId val="568993792"/>
        <c:axId val="568994120"/>
      </c:scatterChart>
      <c:valAx>
        <c:axId val="568993792"/>
        <c:scaling>
          <c:orientation val="minMax"/>
          <c:max val="2050"/>
          <c:min val="2015"/>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994120"/>
        <c:crosses val="autoZero"/>
        <c:crossBetween val="midCat"/>
      </c:valAx>
      <c:valAx>
        <c:axId val="5689941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993792"/>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EV battery cap, cumulative (MWh)</c:v>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Lit>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2"/>
              <c:pt idx="0">
                <c:v>2730000</c:v>
              </c:pt>
              <c:pt idx="1">
                <c:v>3220909.0909090908</c:v>
              </c:pt>
              <c:pt idx="2">
                <c:v>3972727.2727272725</c:v>
              </c:pt>
              <c:pt idx="3">
                <c:v>4985454.5454545449</c:v>
              </c:pt>
              <c:pt idx="4">
                <c:v>6259090.9090909082</c:v>
              </c:pt>
              <c:pt idx="5">
                <c:v>7793636.3636363633</c:v>
              </c:pt>
              <c:pt idx="6">
                <c:v>9589090.9090909082</c:v>
              </c:pt>
              <c:pt idx="7">
                <c:v>11645454.545454545</c:v>
              </c:pt>
              <c:pt idx="8">
                <c:v>13962727.272727273</c:v>
              </c:pt>
              <c:pt idx="9">
                <c:v>16540909.090909092</c:v>
              </c:pt>
              <c:pt idx="10">
                <c:v>19380000</c:v>
              </c:pt>
              <c:pt idx="11">
                <c:v>22480000</c:v>
              </c:pt>
              <c:pt idx="12">
                <c:v>25904790.597517565</c:v>
              </c:pt>
              <c:pt idx="13">
                <c:v>29651291.969841164</c:v>
              </c:pt>
              <c:pt idx="14">
                <c:v>33711197.314017147</c:v>
              </c:pt>
              <c:pt idx="15">
                <c:v>38071511.11435803</c:v>
              </c:pt>
              <c:pt idx="16">
                <c:v>42715345.664739251</c:v>
              </c:pt>
              <c:pt idx="17">
                <c:v>47622877.309199616</c:v>
              </c:pt>
              <c:pt idx="18">
                <c:v>52772356.724498779</c:v>
              </c:pt>
              <c:pt idx="19">
                <c:v>58141078.485023178</c:v>
              </c:pt>
              <c:pt idx="20">
                <c:v>63706238.336521521</c:v>
              </c:pt>
              <c:pt idx="21">
                <c:v>69445634.791042402</c:v>
              </c:pt>
              <c:pt idx="22">
                <c:v>75338198.474364206</c:v>
              </c:pt>
              <c:pt idx="23">
                <c:v>81364354.000002965</c:v>
              </c:pt>
              <c:pt idx="24">
                <c:v>87506233.377939299</c:v>
              </c:pt>
              <c:pt idx="25">
                <c:v>93747767.386503026</c:v>
              </c:pt>
              <c:pt idx="26">
                <c:v>100074683.33736235</c:v>
              </c:pt>
              <c:pt idx="27">
                <c:v>106474435.99880452</c:v>
              </c:pt>
              <c:pt idx="28">
                <c:v>112936094.72865969</c:v>
              </c:pt>
              <c:pt idx="29">
                <c:v>119450205.3518115</c:v>
              </c:pt>
              <c:pt idx="30">
                <c:v>126008640.82676709</c:v>
              </c:pt>
              <c:pt idx="31">
                <c:v>132604450.74876615</c:v>
              </c:pt>
            </c:numLit>
          </c:yVal>
          <c:smooth val="0"/>
          <c:extLst>
            <c:ext xmlns:c16="http://schemas.microsoft.com/office/drawing/2014/chart" uri="{C3380CC4-5D6E-409C-BE32-E72D297353CC}">
              <c16:uniqueId val="{00000000-4971-4C12-A319-D4CF4EFDC9A8}"/>
            </c:ext>
          </c:extLst>
        </c:ser>
        <c:dLbls>
          <c:showLegendKey val="0"/>
          <c:showVal val="0"/>
          <c:showCatName val="0"/>
          <c:showSerName val="0"/>
          <c:showPercent val="0"/>
          <c:showBubbleSize val="0"/>
        </c:dLbls>
        <c:axId val="568983624"/>
        <c:axId val="568979360"/>
      </c:scatterChart>
      <c:valAx>
        <c:axId val="5689836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979360"/>
        <c:crosses val="autoZero"/>
        <c:crossBetween val="midCat"/>
      </c:valAx>
      <c:valAx>
        <c:axId val="5689793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983624"/>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chart" Target="../charts/chart1.xml"/><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9</xdr:col>
      <xdr:colOff>309562</xdr:colOff>
      <xdr:row>10</xdr:row>
      <xdr:rowOff>80963</xdr:rowOff>
    </xdr:from>
    <xdr:to>
      <xdr:col>26</xdr:col>
      <xdr:colOff>193900</xdr:colOff>
      <xdr:row>53</xdr:row>
      <xdr:rowOff>41895</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6705600" y="1890713"/>
          <a:ext cx="10895238" cy="774285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57150</xdr:colOff>
      <xdr:row>0</xdr:row>
      <xdr:rowOff>114300</xdr:rowOff>
    </xdr:from>
    <xdr:to>
      <xdr:col>5</xdr:col>
      <xdr:colOff>476250</xdr:colOff>
      <xdr:row>5</xdr:row>
      <xdr:rowOff>52388</xdr:rowOff>
    </xdr:to>
    <xdr:sp macro="" textlink="">
      <xdr:nvSpPr>
        <xdr:cNvPr id="3" name="TextBox 2">
          <a:extLst>
            <a:ext uri="{FF2B5EF4-FFF2-40B4-BE49-F238E27FC236}">
              <a16:creationId xmlns:a16="http://schemas.microsoft.com/office/drawing/2014/main" id="{00000000-0008-0000-0200-000003000000}"/>
            </a:ext>
          </a:extLst>
        </xdr:cNvPr>
        <xdr:cNvSpPr txBox="1"/>
      </xdr:nvSpPr>
      <xdr:spPr>
        <a:xfrm>
          <a:off x="57150" y="114300"/>
          <a:ext cx="11944350" cy="84296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The table below is from BNEF's </a:t>
          </a:r>
          <a:r>
            <a:rPr lang="en-US" sz="1100" i="1"/>
            <a:t>Long-Term</a:t>
          </a:r>
          <a:r>
            <a:rPr lang="en-US" sz="1100" i="1" baseline="0"/>
            <a:t> Electric Vehicle Outlook 2020.</a:t>
          </a:r>
          <a:r>
            <a:rPr lang="en-US" sz="1100" i="0" baseline="0"/>
            <a:t> This full report is behind a paywall, but the Executive Summary is available for download. BNEF only has data on the annual demand for Li-ion batteries for EVs, not the cumulative stock of EV battery storage. But, this data can be used to estimate the stock of EV battery storage in place (i.e., you could model EV retirements and stock changes from this data). It is important to note that BNEF has one of the most aggressive EV forecasts right now, and therefore their estimates of EV battery demand are also likely to be on the higher end of the spectrum. </a:t>
          </a:r>
          <a:endParaRPr lang="en-US" sz="1100"/>
        </a:p>
      </xdr:txBody>
    </xdr:sp>
    <xdr:clientData/>
  </xdr:twoCellAnchor>
  <xdr:twoCellAnchor editAs="oneCell">
    <xdr:from>
      <xdr:col>5</xdr:col>
      <xdr:colOff>0</xdr:colOff>
      <xdr:row>24</xdr:row>
      <xdr:rowOff>0</xdr:rowOff>
    </xdr:from>
    <xdr:to>
      <xdr:col>10</xdr:col>
      <xdr:colOff>270779</xdr:colOff>
      <xdr:row>42</xdr:row>
      <xdr:rowOff>85307</xdr:rowOff>
    </xdr:to>
    <xdr:pic>
      <xdr:nvPicPr>
        <xdr:cNvPr id="9" name="Picture 8">
          <a:extLst>
            <a:ext uri="{FF2B5EF4-FFF2-40B4-BE49-F238E27FC236}">
              <a16:creationId xmlns:a16="http://schemas.microsoft.com/office/drawing/2014/main" id="{00000000-0008-0000-0200-000009000000}"/>
            </a:ext>
          </a:extLst>
        </xdr:cNvPr>
        <xdr:cNvPicPr>
          <a:picLocks noChangeAspect="1"/>
        </xdr:cNvPicPr>
      </xdr:nvPicPr>
      <xdr:blipFill>
        <a:blip xmlns:r="http://schemas.openxmlformats.org/officeDocument/2006/relationships" r:embed="rId1"/>
        <a:stretch>
          <a:fillRect/>
        </a:stretch>
      </xdr:blipFill>
      <xdr:spPr>
        <a:xfrm>
          <a:off x="11525250" y="4457700"/>
          <a:ext cx="5466667" cy="3342857"/>
        </a:xfrm>
        <a:prstGeom prst="rect">
          <a:avLst/>
        </a:prstGeom>
      </xdr:spPr>
    </xdr:pic>
    <xdr:clientData/>
  </xdr:twoCellAnchor>
  <xdr:twoCellAnchor>
    <xdr:from>
      <xdr:col>0</xdr:col>
      <xdr:colOff>57150</xdr:colOff>
      <xdr:row>0</xdr:row>
      <xdr:rowOff>114300</xdr:rowOff>
    </xdr:from>
    <xdr:to>
      <xdr:col>5</xdr:col>
      <xdr:colOff>476250</xdr:colOff>
      <xdr:row>5</xdr:row>
      <xdr:rowOff>52388</xdr:rowOff>
    </xdr:to>
    <xdr:sp macro="" textlink="">
      <xdr:nvSpPr>
        <xdr:cNvPr id="2" name="TextBox 1">
          <a:extLst>
            <a:ext uri="{FF2B5EF4-FFF2-40B4-BE49-F238E27FC236}">
              <a16:creationId xmlns:a16="http://schemas.microsoft.com/office/drawing/2014/main" id="{83EF80FC-C1D4-47E3-BF47-E9FFE5EAA44F}"/>
            </a:ext>
          </a:extLst>
        </xdr:cNvPr>
        <xdr:cNvSpPr txBox="1"/>
      </xdr:nvSpPr>
      <xdr:spPr>
        <a:xfrm>
          <a:off x="57150" y="114300"/>
          <a:ext cx="11201400" cy="89058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The table below is from BNEF's </a:t>
          </a:r>
          <a:r>
            <a:rPr lang="en-US" sz="1100" i="1"/>
            <a:t>Long-Term</a:t>
          </a:r>
          <a:r>
            <a:rPr lang="en-US" sz="1100" i="1" baseline="0"/>
            <a:t> Electric Vehicle Outlook 2020.</a:t>
          </a:r>
          <a:r>
            <a:rPr lang="en-US" sz="1100" i="0" baseline="0"/>
            <a:t> This full report is behind a paywall, but the Executive Summary is available for download. BNEF only has data on the annual demand for Li-ion batteries for EVs, not the cumulative stock of EV battery storage. But, this data can be used to estimate the stock of EV battery storage in place (i.e., you could model EV retirements and stock changes from this data). It is important to note that BNEF has one of the most aggressive EV forecasts right now, and therefore their estimates of EV battery demand are also likely to be on the higher end of the spectrum. </a:t>
          </a:r>
          <a:endParaRPr lang="en-US" sz="1100"/>
        </a:p>
      </xdr:txBody>
    </xdr:sp>
    <xdr:clientData/>
  </xdr:twoCellAnchor>
  <xdr:twoCellAnchor editAs="oneCell">
    <xdr:from>
      <xdr:col>5</xdr:col>
      <xdr:colOff>0</xdr:colOff>
      <xdr:row>24</xdr:row>
      <xdr:rowOff>0</xdr:rowOff>
    </xdr:from>
    <xdr:to>
      <xdr:col>10</xdr:col>
      <xdr:colOff>270779</xdr:colOff>
      <xdr:row>42</xdr:row>
      <xdr:rowOff>85307</xdr:rowOff>
    </xdr:to>
    <xdr:pic>
      <xdr:nvPicPr>
        <xdr:cNvPr id="4" name="Picture 3">
          <a:extLst>
            <a:ext uri="{FF2B5EF4-FFF2-40B4-BE49-F238E27FC236}">
              <a16:creationId xmlns:a16="http://schemas.microsoft.com/office/drawing/2014/main" id="{240A9436-66EF-484A-8C65-7FB2B231EB37}"/>
            </a:ext>
          </a:extLst>
        </xdr:cNvPr>
        <xdr:cNvPicPr>
          <a:picLocks noChangeAspect="1"/>
        </xdr:cNvPicPr>
      </xdr:nvPicPr>
      <xdr:blipFill>
        <a:blip xmlns:r="http://schemas.openxmlformats.org/officeDocument/2006/relationships" r:embed="rId1"/>
        <a:stretch>
          <a:fillRect/>
        </a:stretch>
      </xdr:blipFill>
      <xdr:spPr>
        <a:xfrm>
          <a:off x="10782300" y="4676775"/>
          <a:ext cx="5128529" cy="3514307"/>
        </a:xfrm>
        <a:prstGeom prst="rect">
          <a:avLst/>
        </a:prstGeom>
      </xdr:spPr>
    </xdr:pic>
    <xdr:clientData/>
  </xdr:twoCellAnchor>
  <xdr:twoCellAnchor>
    <xdr:from>
      <xdr:col>20</xdr:col>
      <xdr:colOff>346982</xdr:colOff>
      <xdr:row>36</xdr:row>
      <xdr:rowOff>166007</xdr:rowOff>
    </xdr:from>
    <xdr:to>
      <xdr:col>26</xdr:col>
      <xdr:colOff>210910</xdr:colOff>
      <xdr:row>51</xdr:row>
      <xdr:rowOff>51707</xdr:rowOff>
    </xdr:to>
    <xdr:graphicFrame macro="">
      <xdr:nvGraphicFramePr>
        <xdr:cNvPr id="6" name="Chart 5">
          <a:extLst>
            <a:ext uri="{FF2B5EF4-FFF2-40B4-BE49-F238E27FC236}">
              <a16:creationId xmlns:a16="http://schemas.microsoft.com/office/drawing/2014/main" id="{9AD58FAE-98B0-49FD-B3C6-BB855EF979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457200</xdr:colOff>
      <xdr:row>14</xdr:row>
      <xdr:rowOff>123824</xdr:rowOff>
    </xdr:from>
    <xdr:to>
      <xdr:col>3</xdr:col>
      <xdr:colOff>1162050</xdr:colOff>
      <xdr:row>58</xdr:row>
      <xdr:rowOff>110229</xdr:rowOff>
    </xdr:to>
    <xdr:pic>
      <xdr:nvPicPr>
        <xdr:cNvPr id="7" name="Picture 6">
          <a:extLst>
            <a:ext uri="{FF2B5EF4-FFF2-40B4-BE49-F238E27FC236}">
              <a16:creationId xmlns:a16="http://schemas.microsoft.com/office/drawing/2014/main" id="{EB8A70A2-D9F8-4EB2-BC0E-32BAD203EF46}"/>
            </a:ext>
          </a:extLst>
        </xdr:cNvPr>
        <xdr:cNvPicPr>
          <a:picLocks noChangeAspect="1"/>
        </xdr:cNvPicPr>
      </xdr:nvPicPr>
      <xdr:blipFill>
        <a:blip xmlns:r="http://schemas.openxmlformats.org/officeDocument/2006/relationships" r:embed="rId3"/>
        <a:stretch>
          <a:fillRect/>
        </a:stretch>
      </xdr:blipFill>
      <xdr:spPr>
        <a:xfrm>
          <a:off x="457200" y="2895599"/>
          <a:ext cx="8343900" cy="836840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8</xdr:col>
      <xdr:colOff>809625</xdr:colOff>
      <xdr:row>15</xdr:row>
      <xdr:rowOff>133350</xdr:rowOff>
    </xdr:from>
    <xdr:to>
      <xdr:col>14</xdr:col>
      <xdr:colOff>466725</xdr:colOff>
      <xdr:row>30</xdr:row>
      <xdr:rowOff>19050</xdr:rowOff>
    </xdr:to>
    <xdr:graphicFrame macro="">
      <xdr:nvGraphicFramePr>
        <xdr:cNvPr id="3" name="Chart 2">
          <a:extLst>
            <a:ext uri="{FF2B5EF4-FFF2-40B4-BE49-F238E27FC236}">
              <a16:creationId xmlns:a16="http://schemas.microsoft.com/office/drawing/2014/main" id="{00000000-0008-0000-03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0</xdr:colOff>
      <xdr:row>15</xdr:row>
      <xdr:rowOff>133350</xdr:rowOff>
    </xdr:from>
    <xdr:to>
      <xdr:col>17</xdr:col>
      <xdr:colOff>71438</xdr:colOff>
      <xdr:row>33</xdr:row>
      <xdr:rowOff>38100</xdr:rowOff>
    </xdr:to>
    <xdr:graphicFrame macro="">
      <xdr:nvGraphicFramePr>
        <xdr:cNvPr id="4" name="Chart 3">
          <a:extLst>
            <a:ext uri="{FF2B5EF4-FFF2-40B4-BE49-F238E27FC236}">
              <a16:creationId xmlns:a16="http://schemas.microsoft.com/office/drawing/2014/main" id="{00000000-0008-0000-03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2057591</xdr:colOff>
      <xdr:row>18</xdr:row>
      <xdr:rowOff>167055</xdr:rowOff>
    </xdr:from>
    <xdr:to>
      <xdr:col>10</xdr:col>
      <xdr:colOff>1911</xdr:colOff>
      <xdr:row>42</xdr:row>
      <xdr:rowOff>87924</xdr:rowOff>
    </xdr:to>
    <xdr:graphicFrame macro="">
      <xdr:nvGraphicFramePr>
        <xdr:cNvPr id="3" name="Chart 2">
          <a:extLst>
            <a:ext uri="{FF2B5EF4-FFF2-40B4-BE49-F238E27FC236}">
              <a16:creationId xmlns:a16="http://schemas.microsoft.com/office/drawing/2014/main" id="{DC1392B7-F080-4DD4-A446-A147155F6B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2161760</xdr:colOff>
      <xdr:row>43</xdr:row>
      <xdr:rowOff>152400</xdr:rowOff>
    </xdr:from>
    <xdr:to>
      <xdr:col>10</xdr:col>
      <xdr:colOff>198782</xdr:colOff>
      <xdr:row>63</xdr:row>
      <xdr:rowOff>165652</xdr:rowOff>
    </xdr:to>
    <xdr:graphicFrame macro="">
      <xdr:nvGraphicFramePr>
        <xdr:cNvPr id="4" name="Chart 3">
          <a:extLst>
            <a:ext uri="{FF2B5EF4-FFF2-40B4-BE49-F238E27FC236}">
              <a16:creationId xmlns:a16="http://schemas.microsoft.com/office/drawing/2014/main" id="{540ECA9E-D22C-4829-BC79-E19CF8D6C7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8"/>
  <sheetViews>
    <sheetView tabSelected="1" workbookViewId="0">
      <selection activeCell="B29" sqref="B29"/>
    </sheetView>
  </sheetViews>
  <sheetFormatPr defaultRowHeight="15" x14ac:dyDescent="0.25"/>
  <cols>
    <col min="2" max="2" width="60.85546875" customWidth="1"/>
  </cols>
  <sheetData>
    <row r="1" spans="1:3" x14ac:dyDescent="0.25">
      <c r="A1" s="1" t="s">
        <v>0</v>
      </c>
      <c r="B1" t="s">
        <v>68</v>
      </c>
      <c r="C1" s="25">
        <v>45302</v>
      </c>
    </row>
    <row r="3" spans="1:3" x14ac:dyDescent="0.25">
      <c r="A3" s="1" t="s">
        <v>1</v>
      </c>
      <c r="B3" s="2" t="s">
        <v>58</v>
      </c>
    </row>
    <row r="4" spans="1:3" x14ac:dyDescent="0.25">
      <c r="B4" t="s">
        <v>8</v>
      </c>
    </row>
    <row r="5" spans="1:3" x14ac:dyDescent="0.25">
      <c r="B5" s="11">
        <v>2020</v>
      </c>
    </row>
    <row r="6" spans="1:3" x14ac:dyDescent="0.25">
      <c r="B6" t="s">
        <v>50</v>
      </c>
    </row>
    <row r="7" spans="1:3" x14ac:dyDescent="0.25">
      <c r="B7" t="s">
        <v>54</v>
      </c>
    </row>
    <row r="8" spans="1:3" x14ac:dyDescent="0.25">
      <c r="B8" s="12" t="s">
        <v>51</v>
      </c>
    </row>
    <row r="9" spans="1:3" x14ac:dyDescent="0.25">
      <c r="B9" s="12" t="s">
        <v>52</v>
      </c>
    </row>
    <row r="11" spans="1:3" x14ac:dyDescent="0.25">
      <c r="B11" s="2" t="s">
        <v>53</v>
      </c>
    </row>
    <row r="12" spans="1:3" x14ac:dyDescent="0.25">
      <c r="B12" t="s">
        <v>8</v>
      </c>
    </row>
    <row r="13" spans="1:3" x14ac:dyDescent="0.25">
      <c r="B13" s="11">
        <v>2020</v>
      </c>
    </row>
    <row r="14" spans="1:3" x14ac:dyDescent="0.25">
      <c r="B14" s="12" t="s">
        <v>56</v>
      </c>
    </row>
    <row r="15" spans="1:3" x14ac:dyDescent="0.25">
      <c r="B15" s="12" t="s">
        <v>57</v>
      </c>
    </row>
    <row r="16" spans="1:3" x14ac:dyDescent="0.25">
      <c r="B16" t="s">
        <v>51</v>
      </c>
    </row>
    <row r="18" spans="1:2" x14ac:dyDescent="0.25">
      <c r="B18" s="2" t="s">
        <v>59</v>
      </c>
    </row>
    <row r="19" spans="1:2" x14ac:dyDescent="0.25">
      <c r="B19" t="s">
        <v>60</v>
      </c>
    </row>
    <row r="20" spans="1:2" x14ac:dyDescent="0.25">
      <c r="B20" s="11">
        <v>2023</v>
      </c>
    </row>
    <row r="21" spans="1:2" x14ac:dyDescent="0.25">
      <c r="B21" t="s">
        <v>61</v>
      </c>
    </row>
    <row r="22" spans="1:2" x14ac:dyDescent="0.25">
      <c r="B22" s="12" t="s">
        <v>62</v>
      </c>
    </row>
    <row r="23" spans="1:2" x14ac:dyDescent="0.25">
      <c r="B23" t="s">
        <v>63</v>
      </c>
    </row>
    <row r="26" spans="1:2" x14ac:dyDescent="0.25">
      <c r="A26" s="1" t="s">
        <v>64</v>
      </c>
      <c r="B26" t="s">
        <v>65</v>
      </c>
    </row>
    <row r="27" spans="1:2" x14ac:dyDescent="0.25">
      <c r="B27" t="s">
        <v>66</v>
      </c>
    </row>
    <row r="28" spans="1:2" x14ac:dyDescent="0.25">
      <c r="B28" t="s">
        <v>67</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G8"/>
  <sheetViews>
    <sheetView workbookViewId="0">
      <selection activeCell="B9" sqref="B9:AG9"/>
    </sheetView>
  </sheetViews>
  <sheetFormatPr defaultRowHeight="15" x14ac:dyDescent="0.25"/>
  <cols>
    <col min="1" max="1" width="17" customWidth="1"/>
  </cols>
  <sheetData>
    <row r="1" spans="1:33" x14ac:dyDescent="0.25">
      <c r="A1" t="s">
        <v>15</v>
      </c>
    </row>
    <row r="2" spans="1:33" x14ac:dyDescent="0.25">
      <c r="A2" t="s">
        <v>17</v>
      </c>
      <c r="B2">
        <v>42</v>
      </c>
    </row>
    <row r="4" spans="1:33" x14ac:dyDescent="0.25">
      <c r="B4">
        <v>2020</v>
      </c>
      <c r="C4">
        <v>2025</v>
      </c>
      <c r="D4">
        <v>2030</v>
      </c>
      <c r="E4">
        <v>2035</v>
      </c>
      <c r="F4">
        <v>2040</v>
      </c>
      <c r="G4">
        <v>2045</v>
      </c>
      <c r="H4">
        <v>2050</v>
      </c>
    </row>
    <row r="5" spans="1:33" x14ac:dyDescent="0.25">
      <c r="A5" t="s">
        <v>16</v>
      </c>
      <c r="B5">
        <v>2</v>
      </c>
      <c r="C5">
        <v>13</v>
      </c>
      <c r="D5">
        <v>48</v>
      </c>
      <c r="E5">
        <v>96</v>
      </c>
      <c r="F5">
        <v>170</v>
      </c>
      <c r="G5">
        <v>270</v>
      </c>
      <c r="H5">
        <v>365</v>
      </c>
    </row>
    <row r="6" spans="1:33" x14ac:dyDescent="0.25">
      <c r="A6" t="s">
        <v>19</v>
      </c>
      <c r="B6">
        <f>B5/$B$2*500*1000</f>
        <v>23809.523809523806</v>
      </c>
      <c r="C6">
        <f t="shared" ref="C6:H6" si="0">C5/$B$2*500*1000</f>
        <v>154761.90476190476</v>
      </c>
      <c r="D6">
        <f t="shared" si="0"/>
        <v>571428.57142857148</v>
      </c>
      <c r="E6">
        <f t="shared" si="0"/>
        <v>1142857.142857143</v>
      </c>
      <c r="F6">
        <f t="shared" si="0"/>
        <v>2023809.5238095236</v>
      </c>
      <c r="G6">
        <f t="shared" si="0"/>
        <v>3214285.7142857141</v>
      </c>
      <c r="H6">
        <f t="shared" si="0"/>
        <v>4345238.0952380942</v>
      </c>
    </row>
    <row r="8" spans="1:33" x14ac:dyDescent="0.25">
      <c r="A8" t="s">
        <v>18</v>
      </c>
      <c r="B8">
        <v>2019</v>
      </c>
      <c r="C8">
        <v>2020</v>
      </c>
      <c r="D8">
        <v>2021</v>
      </c>
      <c r="E8">
        <v>2022</v>
      </c>
      <c r="F8">
        <v>2023</v>
      </c>
      <c r="G8">
        <v>2024</v>
      </c>
      <c r="H8">
        <v>2025</v>
      </c>
      <c r="I8">
        <v>2026</v>
      </c>
      <c r="J8">
        <v>2027</v>
      </c>
      <c r="K8">
        <v>2028</v>
      </c>
      <c r="L8">
        <v>2029</v>
      </c>
      <c r="M8">
        <v>2030</v>
      </c>
      <c r="N8">
        <v>2031</v>
      </c>
      <c r="O8">
        <v>2032</v>
      </c>
      <c r="P8">
        <v>2033</v>
      </c>
      <c r="Q8">
        <v>2034</v>
      </c>
      <c r="R8">
        <v>2035</v>
      </c>
      <c r="S8">
        <v>2036</v>
      </c>
      <c r="T8">
        <v>2037</v>
      </c>
      <c r="U8">
        <v>2038</v>
      </c>
      <c r="V8">
        <v>2039</v>
      </c>
      <c r="W8">
        <v>2040</v>
      </c>
      <c r="X8">
        <v>2041</v>
      </c>
      <c r="Y8">
        <v>2042</v>
      </c>
      <c r="Z8">
        <v>2043</v>
      </c>
      <c r="AA8">
        <v>2044</v>
      </c>
      <c r="AB8">
        <v>2045</v>
      </c>
      <c r="AC8">
        <v>2046</v>
      </c>
      <c r="AD8">
        <v>2047</v>
      </c>
      <c r="AE8">
        <v>2048</v>
      </c>
      <c r="AF8">
        <v>2049</v>
      </c>
      <c r="AG8">
        <v>2050</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I20"/>
  <sheetViews>
    <sheetView workbookViewId="0">
      <selection activeCell="N14" sqref="N14:Z14"/>
    </sheetView>
  </sheetViews>
  <sheetFormatPr defaultRowHeight="15" x14ac:dyDescent="0.25"/>
  <cols>
    <col min="1" max="1" width="48.140625" bestFit="1" customWidth="1"/>
    <col min="2" max="2" width="45.7109375" customWidth="1"/>
    <col min="3" max="3" width="20.7109375" bestFit="1" customWidth="1"/>
    <col min="4" max="4" width="26.42578125" bestFit="1" customWidth="1"/>
    <col min="5" max="5" width="20.7109375" bestFit="1" customWidth="1"/>
    <col min="6" max="6" width="26.42578125" bestFit="1" customWidth="1"/>
    <col min="7" max="9" width="11.5703125" bestFit="1" customWidth="1"/>
    <col min="10" max="15" width="11.7109375" bestFit="1" customWidth="1"/>
    <col min="16" max="17" width="11.5703125" bestFit="1" customWidth="1"/>
    <col min="18" max="18" width="11.7109375" bestFit="1" customWidth="1"/>
    <col min="19" max="19" width="12.7109375" bestFit="1" customWidth="1"/>
    <col min="20" max="25" width="11.5703125" bestFit="1" customWidth="1"/>
    <col min="26" max="26" width="14.5703125" bestFit="1" customWidth="1"/>
    <col min="27" max="29" width="11.28515625" bestFit="1" customWidth="1"/>
    <col min="30" max="31" width="11" bestFit="1" customWidth="1"/>
  </cols>
  <sheetData>
    <row r="1" spans="1:35" x14ac:dyDescent="0.25">
      <c r="A1" s="1"/>
      <c r="B1" s="5"/>
      <c r="C1" s="5"/>
      <c r="D1" s="5"/>
      <c r="E1" s="5"/>
      <c r="F1" s="5"/>
    </row>
    <row r="8" spans="1:35" ht="23.25" x14ac:dyDescent="0.35">
      <c r="A8" s="4" t="s">
        <v>2</v>
      </c>
    </row>
    <row r="9" spans="1:35" x14ac:dyDescent="0.25">
      <c r="A9" s="3" t="s">
        <v>3</v>
      </c>
      <c r="B9" s="6">
        <v>2017</v>
      </c>
      <c r="C9" s="6">
        <v>2018</v>
      </c>
      <c r="D9" s="7">
        <v>2019</v>
      </c>
      <c r="E9" s="7">
        <v>2020</v>
      </c>
      <c r="F9" s="7">
        <v>2021</v>
      </c>
      <c r="G9" s="7">
        <v>2022</v>
      </c>
      <c r="H9" s="7">
        <v>2023</v>
      </c>
      <c r="I9" s="7">
        <v>2024</v>
      </c>
      <c r="J9" s="7">
        <v>2025</v>
      </c>
      <c r="K9" s="7">
        <v>2026</v>
      </c>
      <c r="L9" s="7">
        <v>2027</v>
      </c>
      <c r="M9" s="7">
        <v>2028</v>
      </c>
      <c r="N9" s="7">
        <v>2029</v>
      </c>
      <c r="O9" s="7">
        <v>2030</v>
      </c>
      <c r="P9" s="7">
        <v>2031</v>
      </c>
      <c r="Q9" s="7">
        <v>2032</v>
      </c>
      <c r="R9" s="7">
        <v>2033</v>
      </c>
      <c r="S9" s="7">
        <v>2034</v>
      </c>
      <c r="T9" s="7">
        <v>2035</v>
      </c>
      <c r="U9" s="7">
        <v>2036</v>
      </c>
      <c r="V9" s="7">
        <v>2037</v>
      </c>
      <c r="W9" s="7">
        <v>2038</v>
      </c>
      <c r="X9" s="7">
        <v>2039</v>
      </c>
      <c r="Y9" s="7">
        <v>2040</v>
      </c>
      <c r="Z9" s="7">
        <v>2041</v>
      </c>
      <c r="AA9" s="7">
        <v>2042</v>
      </c>
      <c r="AB9" s="7">
        <v>2043</v>
      </c>
      <c r="AC9" s="7">
        <v>2044</v>
      </c>
      <c r="AD9" s="7">
        <v>2045</v>
      </c>
      <c r="AE9" s="7">
        <v>2046</v>
      </c>
      <c r="AF9" s="7">
        <v>2047</v>
      </c>
      <c r="AG9" s="7">
        <v>2048</v>
      </c>
      <c r="AH9" s="7">
        <v>2049</v>
      </c>
      <c r="AI9" s="7">
        <v>2050</v>
      </c>
    </row>
    <row r="10" spans="1:35" x14ac:dyDescent="0.25">
      <c r="A10" t="s">
        <v>4</v>
      </c>
      <c r="D10" s="19">
        <v>230</v>
      </c>
      <c r="E10" s="14">
        <f>($O$10-$D$10)/11+D10</f>
        <v>490.90909090909093</v>
      </c>
      <c r="F10" s="14">
        <f t="shared" ref="F10:N10" si="0">($O$10-$D$10)/11+E10</f>
        <v>751.81818181818187</v>
      </c>
      <c r="G10" s="14">
        <f t="shared" si="0"/>
        <v>1012.7272727272727</v>
      </c>
      <c r="H10" s="14">
        <f t="shared" si="0"/>
        <v>1273.6363636363637</v>
      </c>
      <c r="I10" s="14">
        <f t="shared" si="0"/>
        <v>1534.5454545454547</v>
      </c>
      <c r="J10" s="14">
        <f t="shared" si="0"/>
        <v>1795.4545454545457</v>
      </c>
      <c r="K10" s="14">
        <f t="shared" si="0"/>
        <v>2056.3636363636365</v>
      </c>
      <c r="L10" s="14">
        <f t="shared" si="0"/>
        <v>2317.2727272727275</v>
      </c>
      <c r="M10" s="14">
        <f t="shared" si="0"/>
        <v>2578.1818181818185</v>
      </c>
      <c r="N10" s="14">
        <f t="shared" si="0"/>
        <v>2839.0909090909095</v>
      </c>
      <c r="O10" s="19">
        <v>3100</v>
      </c>
      <c r="P10" s="9">
        <f>O10*P12/O12</f>
        <v>3424.7905975175636</v>
      </c>
      <c r="Q10" s="9">
        <f t="shared" ref="Q10:AI10" si="1">P10*Q12/P12</f>
        <v>3746.5013723235993</v>
      </c>
      <c r="R10" s="9">
        <f t="shared" si="1"/>
        <v>4059.9053441759856</v>
      </c>
      <c r="S10" s="9">
        <f t="shared" si="1"/>
        <v>4360.3138003408822</v>
      </c>
      <c r="T10" s="9">
        <f t="shared" si="1"/>
        <v>4643.8345503812225</v>
      </c>
      <c r="U10" s="9">
        <f t="shared" si="1"/>
        <v>4907.5316444603686</v>
      </c>
      <c r="V10" s="9">
        <f t="shared" si="1"/>
        <v>5149.4794152991608</v>
      </c>
      <c r="W10" s="9">
        <f t="shared" si="1"/>
        <v>5368.7217605243968</v>
      </c>
      <c r="X10" s="9">
        <f t="shared" si="1"/>
        <v>5565.1598514983398</v>
      </c>
      <c r="Y10" s="9">
        <f t="shared" si="1"/>
        <v>5739.3964545208837</v>
      </c>
      <c r="Z10" s="9">
        <f t="shared" si="1"/>
        <v>5892.5636833218095</v>
      </c>
      <c r="AA10" s="9">
        <f t="shared" si="1"/>
        <v>6026.1555256387583</v>
      </c>
      <c r="AB10" s="9">
        <f t="shared" si="1"/>
        <v>6141.8793779363323</v>
      </c>
      <c r="AC10" s="9">
        <f t="shared" si="1"/>
        <v>6241.5340085637208</v>
      </c>
      <c r="AD10" s="9">
        <f t="shared" si="1"/>
        <v>6326.9159508593248</v>
      </c>
      <c r="AE10" s="9">
        <f t="shared" si="1"/>
        <v>6399.7526614421795</v>
      </c>
      <c r="AF10" s="9">
        <f t="shared" si="1"/>
        <v>6461.6587298551603</v>
      </c>
      <c r="AG10" s="9">
        <f t="shared" si="1"/>
        <v>6514.1106231518088</v>
      </c>
      <c r="AH10" s="9">
        <f t="shared" si="1"/>
        <v>6558.4354749555841</v>
      </c>
      <c r="AI10" s="9">
        <f t="shared" si="1"/>
        <v>6595.8099219990681</v>
      </c>
    </row>
    <row r="11" spans="1:35" x14ac:dyDescent="0.25">
      <c r="A11" t="s">
        <v>5</v>
      </c>
      <c r="B11" s="21">
        <v>1210000</v>
      </c>
      <c r="D11" s="8"/>
      <c r="E11" s="8"/>
      <c r="F11" s="8"/>
      <c r="H11" s="8"/>
      <c r="I11" s="8"/>
      <c r="J11" s="8"/>
      <c r="K11" s="8"/>
      <c r="L11" s="8"/>
      <c r="M11" s="8"/>
      <c r="N11" s="8"/>
      <c r="O11" s="8"/>
      <c r="P11" s="8"/>
      <c r="Q11" s="8"/>
      <c r="R11" s="8"/>
      <c r="S11" s="8"/>
      <c r="T11" s="8"/>
      <c r="U11" s="8"/>
      <c r="V11" s="8"/>
      <c r="W11" s="8"/>
      <c r="X11" s="8"/>
      <c r="Y11" s="8"/>
    </row>
    <row r="12" spans="1:35" x14ac:dyDescent="0.25">
      <c r="A12" t="s">
        <v>23</v>
      </c>
      <c r="B12" s="10">
        <f>B14</f>
        <v>3182095.102745194</v>
      </c>
      <c r="C12" s="10">
        <f t="shared" ref="C12:AI12" si="2">C14</f>
        <v>4428712.3967454107</v>
      </c>
      <c r="D12" s="10">
        <f t="shared" si="2"/>
        <v>5877595.2912023542</v>
      </c>
      <c r="E12" s="10">
        <f t="shared" si="2"/>
        <v>7551143.5426923158</v>
      </c>
      <c r="F12" s="10">
        <f t="shared" si="2"/>
        <v>9470428.4050883837</v>
      </c>
      <c r="G12" s="10">
        <f t="shared" si="2"/>
        <v>11653614.786743147</v>
      </c>
      <c r="H12" s="10">
        <f t="shared" si="2"/>
        <v>14114063.323388465</v>
      </c>
      <c r="I12" s="10">
        <f t="shared" si="2"/>
        <v>16858218.61021826</v>
      </c>
      <c r="J12" s="10">
        <f t="shared" si="2"/>
        <v>19883476.802054916</v>
      </c>
      <c r="K12" s="10">
        <f t="shared" si="2"/>
        <v>23176312.773447547</v>
      </c>
      <c r="L12" s="10">
        <f t="shared" si="2"/>
        <v>26711008.290551376</v>
      </c>
      <c r="M12" s="10">
        <f t="shared" si="2"/>
        <v>30449326.949802719</v>
      </c>
      <c r="N12" s="10">
        <f t="shared" si="2"/>
        <v>34341402.949256383</v>
      </c>
      <c r="O12" s="10">
        <f t="shared" si="2"/>
        <v>38327942.703854203</v>
      </c>
      <c r="P12" s="10">
        <f t="shared" si="2"/>
        <v>42343605.740113474</v>
      </c>
      <c r="Q12" s="10">
        <f t="shared" si="2"/>
        <v>46321190.302687116</v>
      </c>
      <c r="R12" s="10">
        <f t="shared" si="2"/>
        <v>50196070.778918922</v>
      </c>
      <c r="S12" s="10">
        <f t="shared" si="2"/>
        <v>53910276.61622262</v>
      </c>
      <c r="T12" s="10">
        <f t="shared" si="2"/>
        <v>57415685.346190341</v>
      </c>
      <c r="U12" s="10">
        <f t="shared" si="2"/>
        <v>60675997.318138205</v>
      </c>
      <c r="V12" s="10">
        <f t="shared" si="2"/>
        <v>63667403.865891263</v>
      </c>
      <c r="W12" s="10">
        <f t="shared" si="2"/>
        <v>66378083.880746573</v>
      </c>
      <c r="X12" s="10">
        <f t="shared" si="2"/>
        <v>68806815.460005865</v>
      </c>
      <c r="Y12" s="10">
        <f t="shared" si="2"/>
        <v>70961051.117284015</v>
      </c>
      <c r="Z12" s="10">
        <f t="shared" si="2"/>
        <v>72854788.139732406</v>
      </c>
      <c r="AA12" s="10">
        <f t="shared" si="2"/>
        <v>74506497.971353799</v>
      </c>
      <c r="AB12" s="10">
        <f t="shared" si="2"/>
        <v>75937290.610170156</v>
      </c>
      <c r="AC12" s="10">
        <f t="shared" si="2"/>
        <v>77169405.762705743</v>
      </c>
      <c r="AD12" s="10">
        <f t="shared" si="2"/>
        <v>78225055.502141133</v>
      </c>
      <c r="AE12" s="10">
        <f t="shared" si="2"/>
        <v>79125597.847288504</v>
      </c>
      <c r="AF12" s="10">
        <f t="shared" si="2"/>
        <v>79890995.345079988</v>
      </c>
      <c r="AG12" s="10">
        <f t="shared" si="2"/>
        <v>80539502.816364706</v>
      </c>
      <c r="AH12" s="10">
        <f t="shared" si="2"/>
        <v>81087528.745491132</v>
      </c>
      <c r="AI12" s="10">
        <f t="shared" si="2"/>
        <v>81549620.895449489</v>
      </c>
    </row>
    <row r="13" spans="1:35" x14ac:dyDescent="0.25">
      <c r="B13" s="22">
        <f>B11</f>
        <v>1210000</v>
      </c>
      <c r="C13" s="21"/>
      <c r="D13" s="21"/>
      <c r="E13" s="21"/>
      <c r="F13" s="21"/>
      <c r="G13" s="23">
        <v>10600000</v>
      </c>
      <c r="H13" s="21"/>
      <c r="I13" s="21"/>
      <c r="J13" s="22">
        <v>21000000</v>
      </c>
      <c r="K13" s="21"/>
      <c r="L13" s="21"/>
      <c r="M13" s="21"/>
      <c r="N13" s="21"/>
      <c r="O13" s="22">
        <v>40000000</v>
      </c>
      <c r="P13" s="21"/>
      <c r="Q13" s="21"/>
      <c r="R13" s="21"/>
      <c r="S13" s="21"/>
      <c r="T13" s="22">
        <v>55000000</v>
      </c>
      <c r="U13" s="21"/>
      <c r="V13" s="21"/>
      <c r="W13" s="21"/>
      <c r="X13" s="21"/>
      <c r="Y13" s="24">
        <f>72000000</f>
        <v>72000000</v>
      </c>
      <c r="Z13" s="21"/>
      <c r="AA13" s="21"/>
      <c r="AB13" s="21"/>
      <c r="AC13" s="21"/>
      <c r="AD13" s="21"/>
      <c r="AE13" s="21"/>
      <c r="AF13" s="21"/>
      <c r="AG13" s="21"/>
      <c r="AH13" s="21"/>
      <c r="AI13" s="21"/>
    </row>
    <row r="14" spans="1:35" x14ac:dyDescent="0.25">
      <c r="B14" s="10">
        <f xml:space="preserve"> (83.94318 + (-3.575905 - 83.94318)/(1 + (B9/2030.462)^372.9304))*1000000</f>
        <v>3182095.102745194</v>
      </c>
      <c r="C14" s="10">
        <f t="shared" ref="C14:AI14" si="3" xml:space="preserve"> (83.94318 + (-3.575905 - 83.94318)/(1 + (C9/2030.462)^372.9304))*1000000</f>
        <v>4428712.3967454107</v>
      </c>
      <c r="D14" s="10">
        <f t="shared" si="3"/>
        <v>5877595.2912023542</v>
      </c>
      <c r="E14" s="10">
        <f t="shared" si="3"/>
        <v>7551143.5426923158</v>
      </c>
      <c r="F14" s="10">
        <f t="shared" si="3"/>
        <v>9470428.4050883837</v>
      </c>
      <c r="G14" s="10">
        <f t="shared" si="3"/>
        <v>11653614.786743147</v>
      </c>
      <c r="H14" s="10">
        <f t="shared" si="3"/>
        <v>14114063.323388465</v>
      </c>
      <c r="I14" s="10">
        <f t="shared" si="3"/>
        <v>16858218.61021826</v>
      </c>
      <c r="J14" s="10">
        <f t="shared" si="3"/>
        <v>19883476.802054916</v>
      </c>
      <c r="K14" s="10">
        <f t="shared" si="3"/>
        <v>23176312.773447547</v>
      </c>
      <c r="L14" s="10">
        <f t="shared" si="3"/>
        <v>26711008.290551376</v>
      </c>
      <c r="M14" s="10">
        <f t="shared" si="3"/>
        <v>30449326.949802719</v>
      </c>
      <c r="N14" s="10">
        <f t="shared" si="3"/>
        <v>34341402.949256383</v>
      </c>
      <c r="O14" s="10">
        <f t="shared" si="3"/>
        <v>38327942.703854203</v>
      </c>
      <c r="P14" s="10">
        <f t="shared" si="3"/>
        <v>42343605.740113474</v>
      </c>
      <c r="Q14" s="10">
        <f t="shared" si="3"/>
        <v>46321190.302687116</v>
      </c>
      <c r="R14" s="10">
        <f t="shared" si="3"/>
        <v>50196070.778918922</v>
      </c>
      <c r="S14" s="10">
        <f t="shared" si="3"/>
        <v>53910276.61622262</v>
      </c>
      <c r="T14" s="10">
        <f t="shared" si="3"/>
        <v>57415685.346190341</v>
      </c>
      <c r="U14" s="10">
        <f t="shared" si="3"/>
        <v>60675997.318138205</v>
      </c>
      <c r="V14" s="10">
        <f t="shared" si="3"/>
        <v>63667403.865891263</v>
      </c>
      <c r="W14" s="10">
        <f t="shared" si="3"/>
        <v>66378083.880746573</v>
      </c>
      <c r="X14" s="10">
        <f t="shared" si="3"/>
        <v>68806815.460005865</v>
      </c>
      <c r="Y14" s="10">
        <f t="shared" si="3"/>
        <v>70961051.117284015</v>
      </c>
      <c r="Z14" s="10">
        <f t="shared" si="3"/>
        <v>72854788.139732406</v>
      </c>
      <c r="AA14" s="10">
        <f t="shared" si="3"/>
        <v>74506497.971353799</v>
      </c>
      <c r="AB14" s="10">
        <f t="shared" si="3"/>
        <v>75937290.610170156</v>
      </c>
      <c r="AC14" s="10">
        <f t="shared" si="3"/>
        <v>77169405.762705743</v>
      </c>
      <c r="AD14" s="10">
        <f t="shared" si="3"/>
        <v>78225055.502141133</v>
      </c>
      <c r="AE14" s="10">
        <f t="shared" si="3"/>
        <v>79125597.847288504</v>
      </c>
      <c r="AF14" s="10">
        <f t="shared" si="3"/>
        <v>79890995.345079988</v>
      </c>
      <c r="AG14" s="10">
        <f t="shared" si="3"/>
        <v>80539502.816364706</v>
      </c>
      <c r="AH14" s="10">
        <f t="shared" si="3"/>
        <v>81087528.745491132</v>
      </c>
      <c r="AI14" s="10">
        <f t="shared" si="3"/>
        <v>81549620.895449489</v>
      </c>
    </row>
    <row r="17" spans="6:28" x14ac:dyDescent="0.25">
      <c r="G17">
        <v>2019</v>
      </c>
      <c r="H17">
        <v>2020</v>
      </c>
      <c r="I17">
        <v>2021</v>
      </c>
      <c r="J17">
        <v>2022</v>
      </c>
      <c r="K17">
        <v>2023</v>
      </c>
      <c r="L17">
        <v>2024</v>
      </c>
      <c r="M17">
        <v>2025</v>
      </c>
      <c r="N17">
        <v>2026</v>
      </c>
      <c r="O17">
        <v>2027</v>
      </c>
      <c r="P17">
        <v>2028</v>
      </c>
      <c r="Q17">
        <v>2029</v>
      </c>
      <c r="R17">
        <v>2030</v>
      </c>
      <c r="S17">
        <v>2031</v>
      </c>
      <c r="T17">
        <v>2032</v>
      </c>
      <c r="U17">
        <v>2033</v>
      </c>
      <c r="V17">
        <v>2034</v>
      </c>
      <c r="W17">
        <v>2035</v>
      </c>
      <c r="X17">
        <v>2036</v>
      </c>
      <c r="Y17">
        <v>2037</v>
      </c>
      <c r="Z17">
        <v>2038</v>
      </c>
      <c r="AA17">
        <v>2039</v>
      </c>
      <c r="AB17">
        <v>2040</v>
      </c>
    </row>
    <row r="18" spans="6:28" x14ac:dyDescent="0.25">
      <c r="F18" t="s">
        <v>16</v>
      </c>
      <c r="G18">
        <v>19</v>
      </c>
      <c r="H18">
        <v>14</v>
      </c>
      <c r="I18">
        <v>20</v>
      </c>
      <c r="J18">
        <v>31</v>
      </c>
      <c r="K18">
        <v>43</v>
      </c>
      <c r="L18">
        <v>56</v>
      </c>
      <c r="M18">
        <v>68</v>
      </c>
      <c r="N18">
        <v>83</v>
      </c>
      <c r="O18">
        <v>109</v>
      </c>
      <c r="P18">
        <v>137</v>
      </c>
      <c r="Q18">
        <v>168</v>
      </c>
      <c r="R18">
        <v>204</v>
      </c>
      <c r="S18">
        <v>234</v>
      </c>
      <c r="T18">
        <v>267</v>
      </c>
      <c r="U18">
        <v>293</v>
      </c>
      <c r="V18">
        <v>318</v>
      </c>
      <c r="W18">
        <v>341</v>
      </c>
      <c r="X18">
        <v>362</v>
      </c>
      <c r="Y18">
        <v>379</v>
      </c>
      <c r="Z18">
        <v>395</v>
      </c>
      <c r="AA18">
        <v>413</v>
      </c>
      <c r="AB18">
        <v>433</v>
      </c>
    </row>
    <row r="20" spans="6:28" x14ac:dyDescent="0.25">
      <c r="F20" t="s">
        <v>20</v>
      </c>
      <c r="G20">
        <v>80</v>
      </c>
    </row>
  </sheetData>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35"/>
  <sheetViews>
    <sheetView workbookViewId="0">
      <selection activeCell="G14" sqref="G14"/>
    </sheetView>
  </sheetViews>
  <sheetFormatPr defaultRowHeight="15" x14ac:dyDescent="0.25"/>
  <cols>
    <col min="2" max="2" width="10.42578125" bestFit="1" customWidth="1"/>
    <col min="7" max="7" width="11" bestFit="1" customWidth="1"/>
  </cols>
  <sheetData>
    <row r="1" spans="1:16" ht="15.75" x14ac:dyDescent="0.25">
      <c r="A1" s="15" t="s">
        <v>24</v>
      </c>
      <c r="B1" s="16"/>
      <c r="C1" s="16"/>
      <c r="D1" s="16"/>
      <c r="E1" s="16"/>
      <c r="F1" s="16" t="s">
        <v>25</v>
      </c>
      <c r="G1" s="16" t="s">
        <v>26</v>
      </c>
      <c r="H1" s="17" t="s">
        <v>27</v>
      </c>
      <c r="I1" s="16"/>
      <c r="J1" s="16"/>
      <c r="K1" s="16"/>
      <c r="L1" s="16"/>
      <c r="M1" s="16"/>
      <c r="N1" s="16"/>
      <c r="O1" s="16"/>
      <c r="P1" s="16"/>
    </row>
    <row r="2" spans="1:16" ht="15.75" x14ac:dyDescent="0.25">
      <c r="A2" s="16" t="s">
        <v>28</v>
      </c>
      <c r="B2" s="16">
        <v>104988.75274561244</v>
      </c>
      <c r="C2" s="17" t="s">
        <v>29</v>
      </c>
      <c r="D2" s="16"/>
      <c r="E2" s="16"/>
      <c r="F2">
        <v>2019</v>
      </c>
      <c r="G2" s="8">
        <f t="array" ref="G2:G13">TRANSPOSE(Calculations!B12:M12)</f>
        <v>230000</v>
      </c>
      <c r="H2" s="17">
        <f t="shared" ref="H2:H33" si="0">min+(max-min)/(1+EXP(-$B$5*(F2-ec_50)))</f>
        <v>278783.70203185978</v>
      </c>
      <c r="I2" s="16"/>
      <c r="J2" s="18" t="s">
        <v>30</v>
      </c>
      <c r="K2" s="16"/>
      <c r="L2" s="16"/>
      <c r="M2" s="16"/>
      <c r="N2" s="16"/>
      <c r="O2" s="16"/>
      <c r="P2" s="16"/>
    </row>
    <row r="3" spans="1:16" x14ac:dyDescent="0.25">
      <c r="A3" s="16" t="s">
        <v>31</v>
      </c>
      <c r="B3" s="16">
        <v>4569491.3134608204</v>
      </c>
      <c r="C3" s="17" t="s">
        <v>32</v>
      </c>
      <c r="D3" s="16"/>
      <c r="E3" s="16"/>
      <c r="F3">
        <v>2020</v>
      </c>
      <c r="G3" s="8">
        <v>490909.09090909094</v>
      </c>
      <c r="H3" s="17">
        <f t="shared" si="0"/>
        <v>328267.45651416713</v>
      </c>
      <c r="I3" s="16"/>
      <c r="J3" s="17" t="s">
        <v>33</v>
      </c>
      <c r="K3" s="16"/>
      <c r="L3" s="16"/>
      <c r="M3" s="16"/>
      <c r="N3" s="16"/>
      <c r="O3" s="16"/>
      <c r="P3" s="16"/>
    </row>
    <row r="4" spans="1:16" x14ac:dyDescent="0.25">
      <c r="A4" s="16" t="s">
        <v>34</v>
      </c>
      <c r="B4" s="16">
        <v>2031.231161586554</v>
      </c>
      <c r="C4" s="17" t="s">
        <v>35</v>
      </c>
      <c r="D4" s="16"/>
      <c r="E4" s="16"/>
      <c r="F4">
        <v>2021</v>
      </c>
      <c r="G4" s="8">
        <v>751818.18181818188</v>
      </c>
      <c r="H4" s="17">
        <f t="shared" si="0"/>
        <v>390901.62654664449</v>
      </c>
      <c r="I4" s="16"/>
      <c r="J4" s="17" t="s">
        <v>36</v>
      </c>
      <c r="K4" s="16"/>
      <c r="L4" s="16"/>
      <c r="M4" s="16"/>
      <c r="N4" s="16"/>
      <c r="O4" s="16"/>
      <c r="P4" s="16"/>
    </row>
    <row r="5" spans="1:16" x14ac:dyDescent="0.25">
      <c r="A5" s="16" t="s">
        <v>37</v>
      </c>
      <c r="B5" s="16">
        <v>0.26214442251490144</v>
      </c>
      <c r="C5" s="16"/>
      <c r="D5" s="16"/>
      <c r="E5" s="16"/>
      <c r="F5">
        <v>2022</v>
      </c>
      <c r="G5" s="8">
        <v>1012727.2727272727</v>
      </c>
      <c r="H5" s="17">
        <f t="shared" si="0"/>
        <v>469595.48318729002</v>
      </c>
      <c r="I5" s="16"/>
      <c r="J5" s="17" t="s">
        <v>38</v>
      </c>
      <c r="K5" s="16"/>
      <c r="L5" s="16"/>
      <c r="M5" s="16"/>
      <c r="N5" s="16"/>
      <c r="O5" s="16"/>
      <c r="P5" s="16"/>
    </row>
    <row r="6" spans="1:16" x14ac:dyDescent="0.25">
      <c r="A6" s="16"/>
      <c r="B6" s="16"/>
      <c r="C6" s="16"/>
      <c r="D6" s="16"/>
      <c r="E6" s="16"/>
      <c r="F6">
        <v>2023</v>
      </c>
      <c r="G6" s="8">
        <v>1273636.3636363638</v>
      </c>
      <c r="H6" s="17">
        <f t="shared" si="0"/>
        <v>567551.15074796393</v>
      </c>
      <c r="I6" s="16"/>
      <c r="J6" s="17" t="s">
        <v>39</v>
      </c>
      <c r="K6" s="16"/>
      <c r="L6" s="16"/>
      <c r="M6" s="16"/>
      <c r="N6" s="16"/>
      <c r="O6" s="16"/>
      <c r="P6" s="16"/>
    </row>
    <row r="7" spans="1:16" x14ac:dyDescent="0.25">
      <c r="A7" s="17" t="s">
        <v>40</v>
      </c>
      <c r="B7" s="17">
        <f>SUMXMY2(G2:G49,H2:H49)</f>
        <v>125613508614057.38</v>
      </c>
      <c r="C7" s="16"/>
      <c r="D7" s="16"/>
      <c r="E7" s="16"/>
      <c r="F7">
        <v>2024</v>
      </c>
      <c r="G7" s="8">
        <v>1534545.4545454548</v>
      </c>
      <c r="H7" s="17">
        <f t="shared" si="0"/>
        <v>688080.8827985992</v>
      </c>
      <c r="I7" s="16"/>
      <c r="J7" s="17" t="s">
        <v>41</v>
      </c>
      <c r="K7" s="16"/>
      <c r="L7" s="16"/>
      <c r="M7" s="16"/>
      <c r="N7" s="16"/>
      <c r="O7" s="16"/>
      <c r="P7" s="16"/>
    </row>
    <row r="8" spans="1:16" x14ac:dyDescent="0.25">
      <c r="A8" s="16"/>
      <c r="B8" s="16"/>
      <c r="C8" s="16"/>
      <c r="D8" s="16"/>
      <c r="E8" s="16"/>
      <c r="F8">
        <v>2025</v>
      </c>
      <c r="G8" s="8">
        <v>1795454.5454545456</v>
      </c>
      <c r="H8" s="17">
        <f t="shared" si="0"/>
        <v>834293.57521290798</v>
      </c>
      <c r="I8" s="16"/>
      <c r="J8" s="17" t="s">
        <v>42</v>
      </c>
      <c r="K8" s="16"/>
      <c r="L8" s="16"/>
      <c r="M8" s="16"/>
      <c r="N8" s="16"/>
      <c r="O8" s="16"/>
      <c r="P8" s="16"/>
    </row>
    <row r="9" spans="1:16" x14ac:dyDescent="0.25">
      <c r="A9" s="16"/>
      <c r="B9" s="16"/>
      <c r="C9" s="16"/>
      <c r="D9" s="16"/>
      <c r="E9" s="16"/>
      <c r="F9">
        <v>2026</v>
      </c>
      <c r="G9" s="8">
        <v>2056363.6363636365</v>
      </c>
      <c r="H9" s="17">
        <f t="shared" si="0"/>
        <v>1008633.9439861275</v>
      </c>
      <c r="I9" s="16"/>
      <c r="J9" s="17" t="s">
        <v>43</v>
      </c>
      <c r="K9" s="16"/>
      <c r="L9" s="16"/>
      <c r="M9" s="16"/>
      <c r="N9" s="16"/>
      <c r="O9" s="16"/>
      <c r="P9" s="16"/>
    </row>
    <row r="10" spans="1:16" x14ac:dyDescent="0.25">
      <c r="A10" s="17" t="s">
        <v>44</v>
      </c>
      <c r="B10" s="17" t="s">
        <v>45</v>
      </c>
      <c r="C10" s="16"/>
      <c r="D10" s="16"/>
      <c r="E10" s="16"/>
      <c r="F10">
        <v>2027</v>
      </c>
      <c r="G10" s="8">
        <v>2317272.7272727275</v>
      </c>
      <c r="H10" s="17">
        <f t="shared" si="0"/>
        <v>1212295.4353729906</v>
      </c>
      <c r="I10" s="16"/>
      <c r="J10" s="17" t="s">
        <v>46</v>
      </c>
      <c r="K10" s="16"/>
      <c r="L10" s="16"/>
      <c r="M10" s="16"/>
      <c r="N10" s="16"/>
      <c r="O10" s="16"/>
      <c r="P10" s="16"/>
    </row>
    <row r="11" spans="1:16" x14ac:dyDescent="0.25">
      <c r="A11" s="16"/>
      <c r="B11" s="16"/>
      <c r="C11" s="16"/>
      <c r="D11" s="16"/>
      <c r="E11" s="16"/>
      <c r="F11">
        <v>2028</v>
      </c>
      <c r="G11" s="8">
        <v>2578181.8181818184</v>
      </c>
      <c r="H11" s="17">
        <f t="shared" si="0"/>
        <v>1444589.739180157</v>
      </c>
      <c r="I11" s="16"/>
      <c r="J11" s="17"/>
      <c r="K11" s="16"/>
      <c r="L11" s="16"/>
      <c r="M11" s="16"/>
      <c r="N11" s="16"/>
      <c r="O11" s="16"/>
      <c r="P11" s="16"/>
    </row>
    <row r="12" spans="1:16" x14ac:dyDescent="0.25">
      <c r="A12" s="16"/>
      <c r="B12" s="16"/>
      <c r="C12" s="16"/>
      <c r="D12" s="16"/>
      <c r="E12" s="16"/>
      <c r="F12">
        <v>2029</v>
      </c>
      <c r="G12" s="8">
        <v>2839090.9090909096</v>
      </c>
      <c r="H12" s="17">
        <f t="shared" si="0"/>
        <v>1702427.8234259335</v>
      </c>
      <c r="I12" s="16"/>
      <c r="J12" s="17" t="s">
        <v>47</v>
      </c>
      <c r="K12" s="16"/>
      <c r="L12" s="16"/>
      <c r="M12" s="16"/>
      <c r="N12" s="16"/>
      <c r="O12" s="16"/>
      <c r="P12" s="16"/>
    </row>
    <row r="13" spans="1:16" x14ac:dyDescent="0.25">
      <c r="A13" s="16"/>
      <c r="B13" s="16"/>
      <c r="C13" s="16"/>
      <c r="D13" s="16"/>
      <c r="E13" s="16"/>
      <c r="F13">
        <v>2030</v>
      </c>
      <c r="G13" s="8">
        <v>3100000</v>
      </c>
      <c r="H13" s="17">
        <f t="shared" si="0"/>
        <v>1980113.8134141492</v>
      </c>
      <c r="I13" s="16"/>
      <c r="J13" s="17" t="s">
        <v>48</v>
      </c>
      <c r="K13" s="16"/>
      <c r="L13" s="16"/>
      <c r="M13" s="16"/>
      <c r="N13" s="16"/>
      <c r="O13" s="16"/>
      <c r="P13" s="16"/>
    </row>
    <row r="14" spans="1:16" x14ac:dyDescent="0.25">
      <c r="A14" s="16"/>
      <c r="B14" s="16"/>
      <c r="C14" s="16"/>
      <c r="D14" s="16"/>
      <c r="E14" s="16"/>
      <c r="F14">
        <v>2031</v>
      </c>
      <c r="G14" s="8">
        <f t="array" ref="G14:G23">TRANSPOSE(Calculations!N14:W14)</f>
        <v>0</v>
      </c>
      <c r="H14" s="17">
        <f t="shared" si="0"/>
        <v>2269626.0524723819</v>
      </c>
      <c r="I14" s="16"/>
      <c r="J14" s="16"/>
      <c r="K14" s="16"/>
      <c r="L14" s="16"/>
      <c r="M14" s="16"/>
      <c r="N14" s="16"/>
      <c r="O14" s="16"/>
      <c r="P14" s="16"/>
    </row>
    <row r="15" spans="1:16" x14ac:dyDescent="0.25">
      <c r="A15" s="16"/>
      <c r="B15" s="16"/>
      <c r="C15" s="16"/>
      <c r="D15" s="16"/>
      <c r="E15" s="16"/>
      <c r="F15">
        <v>2032</v>
      </c>
      <c r="G15" s="8">
        <v>0</v>
      </c>
      <c r="H15" s="17">
        <f t="shared" si="0"/>
        <v>2561433.0745960292</v>
      </c>
      <c r="I15" s="16"/>
      <c r="J15" s="16"/>
      <c r="K15" s="16"/>
      <c r="L15" s="16"/>
      <c r="M15" s="16"/>
      <c r="N15" s="16"/>
      <c r="O15" s="16"/>
      <c r="P15" s="16"/>
    </row>
    <row r="16" spans="1:16" x14ac:dyDescent="0.25">
      <c r="A16" s="16"/>
      <c r="B16" s="16"/>
      <c r="C16" s="16"/>
      <c r="D16" s="16"/>
      <c r="E16" s="16"/>
      <c r="F16">
        <v>2033</v>
      </c>
      <c r="G16" s="8">
        <v>0</v>
      </c>
      <c r="H16" s="17">
        <f t="shared" si="0"/>
        <v>2845699.7623751801</v>
      </c>
      <c r="I16" s="16"/>
      <c r="J16" s="16"/>
      <c r="K16" s="16"/>
      <c r="L16" s="16"/>
      <c r="M16" s="16"/>
      <c r="N16" s="16"/>
      <c r="O16" s="16"/>
      <c r="P16" s="16"/>
    </row>
    <row r="17" spans="1:16" x14ac:dyDescent="0.25">
      <c r="A17" s="16"/>
      <c r="B17" s="16"/>
      <c r="C17" s="16"/>
      <c r="D17" s="16"/>
      <c r="E17" s="16"/>
      <c r="F17">
        <v>2034</v>
      </c>
      <c r="G17" s="8">
        <v>0</v>
      </c>
      <c r="H17" s="17">
        <f t="shared" si="0"/>
        <v>3113575.7210382498</v>
      </c>
      <c r="I17" s="16"/>
      <c r="J17" s="16"/>
      <c r="K17" s="16"/>
      <c r="L17" s="16"/>
      <c r="M17" s="16"/>
      <c r="N17" s="16"/>
      <c r="O17" s="16"/>
      <c r="P17" s="16"/>
    </row>
    <row r="18" spans="1:16" x14ac:dyDescent="0.25">
      <c r="A18" s="16"/>
      <c r="B18" s="16"/>
      <c r="C18" s="16"/>
      <c r="D18" s="16"/>
      <c r="E18" s="16"/>
      <c r="F18">
        <v>2035</v>
      </c>
      <c r="G18" s="8">
        <v>0</v>
      </c>
      <c r="H18" s="17">
        <f t="shared" si="0"/>
        <v>3358221.5158605184</v>
      </c>
      <c r="I18" s="16"/>
      <c r="J18" s="16"/>
      <c r="K18" s="16"/>
      <c r="L18" s="16"/>
      <c r="M18" s="16"/>
      <c r="N18" s="16"/>
      <c r="O18" s="16"/>
      <c r="P18" s="16"/>
    </row>
    <row r="19" spans="1:16" x14ac:dyDescent="0.25">
      <c r="A19" s="16"/>
      <c r="B19" s="16"/>
      <c r="C19" s="16"/>
      <c r="D19" s="16"/>
      <c r="E19" s="16"/>
      <c r="F19">
        <v>2036</v>
      </c>
      <c r="G19" s="8">
        <v>0</v>
      </c>
      <c r="H19" s="17">
        <f t="shared" si="0"/>
        <v>3575342.1035233433</v>
      </c>
      <c r="I19" s="16"/>
      <c r="J19" s="16"/>
      <c r="K19" s="16"/>
      <c r="L19" s="16"/>
      <c r="M19" s="16"/>
      <c r="N19" s="16"/>
      <c r="O19" s="16"/>
      <c r="P19" s="16"/>
    </row>
    <row r="20" spans="1:16" x14ac:dyDescent="0.25">
      <c r="A20" s="16"/>
      <c r="B20" s="16"/>
      <c r="C20" s="16"/>
      <c r="D20" s="16"/>
      <c r="E20" s="16"/>
      <c r="F20">
        <v>2037</v>
      </c>
      <c r="G20" s="8">
        <v>0</v>
      </c>
      <c r="H20" s="17">
        <f t="shared" si="0"/>
        <v>3763189.6578150792</v>
      </c>
      <c r="I20" s="16"/>
      <c r="J20" s="16"/>
      <c r="K20" s="16"/>
      <c r="L20" s="16"/>
      <c r="M20" s="16"/>
      <c r="N20" s="16"/>
      <c r="O20" s="16"/>
      <c r="P20" s="16"/>
    </row>
    <row r="21" spans="1:16" x14ac:dyDescent="0.25">
      <c r="A21" s="16"/>
      <c r="B21" s="16"/>
      <c r="C21" s="16"/>
      <c r="D21" s="16"/>
      <c r="E21" s="16"/>
      <c r="F21">
        <v>2038</v>
      </c>
      <c r="G21" s="8">
        <v>0</v>
      </c>
      <c r="H21" s="17">
        <f t="shared" si="0"/>
        <v>3922163.6311920611</v>
      </c>
      <c r="I21" s="16"/>
      <c r="J21" s="16"/>
      <c r="K21" s="16"/>
      <c r="L21" s="16"/>
      <c r="M21" s="16"/>
      <c r="N21" s="16"/>
      <c r="O21" s="16"/>
      <c r="P21" s="16"/>
    </row>
    <row r="22" spans="1:16" x14ac:dyDescent="0.25">
      <c r="A22" s="16"/>
      <c r="B22" s="16"/>
      <c r="C22" s="16"/>
      <c r="D22" s="16"/>
      <c r="E22" s="16"/>
      <c r="F22">
        <v>2039</v>
      </c>
      <c r="G22" s="8">
        <v>0</v>
      </c>
      <c r="H22" s="17">
        <f t="shared" si="0"/>
        <v>4054208.6165724192</v>
      </c>
      <c r="I22" s="16"/>
      <c r="J22" s="16"/>
      <c r="K22" s="16"/>
      <c r="L22" s="16"/>
      <c r="M22" s="16"/>
      <c r="N22" s="16"/>
      <c r="O22" s="16"/>
      <c r="P22" s="16"/>
    </row>
    <row r="23" spans="1:16" x14ac:dyDescent="0.25">
      <c r="A23" s="16"/>
      <c r="B23" s="16"/>
      <c r="C23" s="16"/>
      <c r="D23" s="16"/>
      <c r="E23" s="16"/>
      <c r="F23">
        <v>2040</v>
      </c>
      <c r="G23" s="8">
        <v>0</v>
      </c>
      <c r="H23" s="17">
        <f t="shared" si="0"/>
        <v>4162192.4631264298</v>
      </c>
      <c r="I23" s="16"/>
      <c r="J23" s="16"/>
      <c r="K23" s="16"/>
      <c r="L23" s="16"/>
      <c r="M23" s="16"/>
      <c r="N23" s="16"/>
      <c r="O23" s="16"/>
      <c r="P23" s="16"/>
    </row>
    <row r="24" spans="1:16" x14ac:dyDescent="0.25">
      <c r="A24" s="16"/>
      <c r="B24" s="16"/>
      <c r="C24" s="16"/>
      <c r="D24" s="16"/>
      <c r="E24" s="16"/>
      <c r="F24" s="20">
        <v>2041</v>
      </c>
      <c r="G24" s="16"/>
      <c r="H24" s="17">
        <f t="shared" si="0"/>
        <v>4249381.218936245</v>
      </c>
      <c r="I24" s="16"/>
      <c r="J24" s="16"/>
      <c r="K24" s="16"/>
      <c r="L24" s="16"/>
      <c r="M24" s="16"/>
      <c r="N24" s="16"/>
      <c r="O24" s="16"/>
      <c r="P24" s="16"/>
    </row>
    <row r="25" spans="1:16" x14ac:dyDescent="0.25">
      <c r="A25" s="16"/>
      <c r="B25" s="16"/>
      <c r="C25" s="16"/>
      <c r="D25" s="16"/>
      <c r="E25" s="16"/>
      <c r="F25" s="20">
        <v>2042</v>
      </c>
      <c r="G25" s="16"/>
      <c r="H25" s="17">
        <f t="shared" si="0"/>
        <v>4319057.8987108367</v>
      </c>
      <c r="I25" s="16"/>
      <c r="J25" s="16"/>
      <c r="K25" s="16"/>
      <c r="L25" s="16"/>
      <c r="M25" s="16"/>
      <c r="N25" s="16"/>
      <c r="O25" s="16"/>
      <c r="P25" s="16"/>
    </row>
    <row r="26" spans="1:16" x14ac:dyDescent="0.25">
      <c r="A26" s="16"/>
      <c r="B26" s="16"/>
      <c r="C26" s="16"/>
      <c r="D26" s="16"/>
      <c r="E26" s="16"/>
      <c r="F26" s="20">
        <v>2043</v>
      </c>
      <c r="G26" s="16"/>
      <c r="H26" s="17">
        <f t="shared" si="0"/>
        <v>4374282.7762160646</v>
      </c>
      <c r="I26" s="16"/>
      <c r="J26" s="16"/>
      <c r="K26" s="16"/>
      <c r="L26" s="16"/>
      <c r="M26" s="16"/>
      <c r="N26" s="16"/>
      <c r="O26" s="16"/>
      <c r="P26" s="16"/>
    </row>
    <row r="27" spans="1:16" x14ac:dyDescent="0.25">
      <c r="A27" s="16"/>
      <c r="B27" s="16"/>
      <c r="C27" s="16"/>
      <c r="D27" s="16"/>
      <c r="E27" s="16"/>
      <c r="F27" s="20">
        <v>2044</v>
      </c>
      <c r="G27" s="16"/>
      <c r="H27" s="17">
        <f t="shared" si="0"/>
        <v>4417768.075591377</v>
      </c>
      <c r="I27" s="16"/>
      <c r="J27" s="16"/>
      <c r="K27" s="16"/>
      <c r="L27" s="16"/>
      <c r="M27" s="16"/>
      <c r="N27" s="16"/>
      <c r="O27" s="16"/>
      <c r="P27" s="16"/>
    </row>
    <row r="28" spans="1:16" x14ac:dyDescent="0.25">
      <c r="A28" s="16"/>
      <c r="B28" s="16"/>
      <c r="C28" s="16"/>
      <c r="D28" s="16"/>
      <c r="E28" s="16"/>
      <c r="F28" s="20">
        <v>2045</v>
      </c>
      <c r="G28" s="16"/>
      <c r="H28" s="17">
        <f t="shared" si="0"/>
        <v>4451833.4089139272</v>
      </c>
      <c r="I28" s="16"/>
      <c r="J28" s="16"/>
      <c r="K28" s="16"/>
      <c r="L28" s="16"/>
      <c r="M28" s="16"/>
      <c r="N28" s="16"/>
      <c r="O28" s="16"/>
      <c r="P28" s="16"/>
    </row>
    <row r="29" spans="1:16" x14ac:dyDescent="0.25">
      <c r="A29" s="16"/>
      <c r="B29" s="16"/>
      <c r="C29" s="16"/>
      <c r="D29" s="16"/>
      <c r="E29" s="16"/>
      <c r="F29" s="20">
        <v>2046</v>
      </c>
      <c r="G29" s="16"/>
      <c r="H29" s="17">
        <f t="shared" si="0"/>
        <v>4478411.8204253027</v>
      </c>
      <c r="I29" s="16"/>
      <c r="J29" s="16"/>
      <c r="K29" s="16"/>
      <c r="L29" s="16"/>
      <c r="M29" s="16"/>
      <c r="N29" s="16"/>
      <c r="O29" s="16"/>
      <c r="P29" s="16"/>
    </row>
    <row r="30" spans="1:16" x14ac:dyDescent="0.25">
      <c r="A30" s="16"/>
      <c r="B30" s="16"/>
      <c r="C30" s="16"/>
      <c r="D30" s="16"/>
      <c r="E30" s="16"/>
      <c r="F30" s="20">
        <v>2047</v>
      </c>
      <c r="G30" s="16"/>
      <c r="H30" s="17">
        <f t="shared" si="0"/>
        <v>4499083.5324107874</v>
      </c>
      <c r="I30" s="16"/>
      <c r="J30" s="16"/>
      <c r="K30" s="16"/>
      <c r="L30" s="16"/>
      <c r="M30" s="16"/>
      <c r="N30" s="16"/>
      <c r="O30" s="16"/>
      <c r="P30" s="16"/>
    </row>
    <row r="31" spans="1:16" x14ac:dyDescent="0.25">
      <c r="A31" s="16"/>
      <c r="B31" s="16"/>
      <c r="C31" s="16"/>
      <c r="D31" s="16"/>
      <c r="E31" s="16"/>
      <c r="F31" s="20">
        <v>2048</v>
      </c>
      <c r="G31" s="16"/>
      <c r="H31" s="17">
        <f t="shared" si="0"/>
        <v>4515121.8487209175</v>
      </c>
      <c r="I31" s="16"/>
      <c r="J31" s="16"/>
      <c r="K31" s="16"/>
      <c r="L31" s="16"/>
      <c r="M31" s="16"/>
      <c r="N31" s="16"/>
      <c r="O31" s="16"/>
      <c r="P31" s="16"/>
    </row>
    <row r="32" spans="1:16" x14ac:dyDescent="0.25">
      <c r="A32" s="16"/>
      <c r="B32" s="16"/>
      <c r="C32" s="16"/>
      <c r="D32" s="16"/>
      <c r="E32" s="16"/>
      <c r="F32" s="20">
        <v>2049</v>
      </c>
      <c r="G32" s="16"/>
      <c r="H32" s="17">
        <f t="shared" si="0"/>
        <v>4527541.6461870577</v>
      </c>
      <c r="I32" s="16"/>
      <c r="J32" s="16"/>
      <c r="K32" s="16"/>
      <c r="L32" s="16"/>
      <c r="M32" s="16"/>
      <c r="N32" s="16"/>
      <c r="O32" s="16"/>
      <c r="P32" s="16"/>
    </row>
    <row r="33" spans="1:16" x14ac:dyDescent="0.25">
      <c r="A33" s="16"/>
      <c r="B33" s="16"/>
      <c r="C33" s="16"/>
      <c r="D33" s="16"/>
      <c r="E33" s="16"/>
      <c r="F33" s="20">
        <v>2050</v>
      </c>
      <c r="G33" s="16"/>
      <c r="H33" s="17">
        <f t="shared" si="0"/>
        <v>4537145.1567553291</v>
      </c>
      <c r="I33" s="16"/>
      <c r="J33" s="16"/>
      <c r="K33" s="16"/>
      <c r="L33" s="16"/>
      <c r="M33" s="16"/>
      <c r="N33" s="16"/>
      <c r="O33" s="16"/>
      <c r="P33" s="16"/>
    </row>
    <row r="34" spans="1:16" x14ac:dyDescent="0.25">
      <c r="A34" s="16"/>
      <c r="B34" s="16"/>
      <c r="C34" s="16"/>
      <c r="D34" s="16"/>
      <c r="E34" s="16"/>
      <c r="G34" s="16"/>
      <c r="H34" s="17"/>
      <c r="I34" s="16"/>
      <c r="J34" s="16"/>
      <c r="K34" s="16"/>
      <c r="L34" s="16"/>
      <c r="M34" s="16"/>
      <c r="N34" s="16"/>
      <c r="O34" s="16"/>
      <c r="P34" s="16"/>
    </row>
    <row r="35" spans="1:16" x14ac:dyDescent="0.25">
      <c r="A35" s="16"/>
      <c r="B35" s="16"/>
      <c r="C35" s="16"/>
      <c r="D35" s="16"/>
      <c r="E35" s="16"/>
      <c r="G35" s="16"/>
      <c r="H35" s="17"/>
      <c r="I35" s="16"/>
      <c r="J35" s="16"/>
      <c r="K35" s="16"/>
      <c r="L35" s="16"/>
      <c r="M35" s="16"/>
      <c r="N35" s="16"/>
      <c r="O35" s="16"/>
      <c r="P35" s="16"/>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H18"/>
  <sheetViews>
    <sheetView zoomScale="115" zoomScaleNormal="115" workbookViewId="0">
      <selection activeCell="A19" sqref="A19"/>
    </sheetView>
  </sheetViews>
  <sheetFormatPr defaultRowHeight="15" x14ac:dyDescent="0.25"/>
  <cols>
    <col min="1" max="1" width="47.85546875" customWidth="1"/>
    <col min="2" max="2" width="9.7109375" bestFit="1" customWidth="1"/>
    <col min="3" max="3" width="11.7109375" bestFit="1" customWidth="1"/>
    <col min="14" max="14" width="11.140625" bestFit="1" customWidth="1"/>
    <col min="17" max="17" width="11.7109375" bestFit="1" customWidth="1"/>
  </cols>
  <sheetData>
    <row r="1" spans="1:34" x14ac:dyDescent="0.25">
      <c r="A1" t="s">
        <v>7</v>
      </c>
    </row>
    <row r="2" spans="1:34" x14ac:dyDescent="0.25">
      <c r="A2" t="s">
        <v>11</v>
      </c>
    </row>
    <row r="3" spans="1:34" x14ac:dyDescent="0.25">
      <c r="A3" t="s">
        <v>12</v>
      </c>
    </row>
    <row r="5" spans="1:34" x14ac:dyDescent="0.25">
      <c r="B5">
        <v>2019</v>
      </c>
      <c r="C5">
        <v>2020</v>
      </c>
      <c r="D5">
        <v>2021</v>
      </c>
      <c r="E5">
        <v>2022</v>
      </c>
      <c r="F5">
        <v>2023</v>
      </c>
      <c r="G5">
        <v>2024</v>
      </c>
      <c r="H5">
        <v>2025</v>
      </c>
      <c r="I5">
        <v>2026</v>
      </c>
      <c r="J5">
        <v>2027</v>
      </c>
      <c r="K5">
        <v>2028</v>
      </c>
      <c r="L5">
        <v>2029</v>
      </c>
      <c r="M5">
        <v>2030</v>
      </c>
      <c r="N5">
        <v>2031</v>
      </c>
      <c r="O5">
        <v>2032</v>
      </c>
      <c r="P5">
        <v>2033</v>
      </c>
      <c r="Q5">
        <v>2034</v>
      </c>
      <c r="R5">
        <v>2035</v>
      </c>
      <c r="S5">
        <v>2036</v>
      </c>
      <c r="T5">
        <v>2037</v>
      </c>
      <c r="U5">
        <v>2038</v>
      </c>
      <c r="V5">
        <v>2039</v>
      </c>
      <c r="W5">
        <v>2040</v>
      </c>
      <c r="X5">
        <v>2041</v>
      </c>
      <c r="Y5">
        <v>2042</v>
      </c>
      <c r="Z5">
        <v>2043</v>
      </c>
      <c r="AA5">
        <v>2044</v>
      </c>
      <c r="AB5">
        <v>2045</v>
      </c>
      <c r="AC5">
        <v>2046</v>
      </c>
      <c r="AD5">
        <v>2047</v>
      </c>
      <c r="AE5">
        <v>2048</v>
      </c>
      <c r="AF5">
        <v>2049</v>
      </c>
      <c r="AG5">
        <v>2050</v>
      </c>
    </row>
    <row r="6" spans="1:34" x14ac:dyDescent="0.25">
      <c r="A6" t="s">
        <v>21</v>
      </c>
      <c r="B6" s="13">
        <v>23809.523809523806</v>
      </c>
      <c r="C6">
        <v>23809.52380952239</v>
      </c>
      <c r="D6">
        <v>50000</v>
      </c>
      <c r="E6">
        <v>76190.47619047761</v>
      </c>
      <c r="F6">
        <v>102380.95238095522</v>
      </c>
      <c r="G6">
        <v>128571.42857143283</v>
      </c>
      <c r="H6">
        <v>154761.90476190299</v>
      </c>
      <c r="I6">
        <v>238095.2380952239</v>
      </c>
      <c r="J6">
        <v>321428.57142856717</v>
      </c>
      <c r="K6">
        <v>404761.90476191044</v>
      </c>
      <c r="L6">
        <v>488095.2380952239</v>
      </c>
      <c r="M6">
        <v>571428.57142856717</v>
      </c>
      <c r="N6">
        <v>685714.28571429849</v>
      </c>
      <c r="O6">
        <v>800000</v>
      </c>
      <c r="P6">
        <v>914285.71428573132</v>
      </c>
      <c r="Q6">
        <v>1028571.4285714328</v>
      </c>
      <c r="R6">
        <v>1142857.1428571343</v>
      </c>
      <c r="S6">
        <v>1319047.6190475821</v>
      </c>
      <c r="T6">
        <v>1495238.0952380896</v>
      </c>
      <c r="U6">
        <v>1671428.5714285374</v>
      </c>
      <c r="V6">
        <v>1847619.0476190448</v>
      </c>
      <c r="W6">
        <v>2023809.5238094926</v>
      </c>
      <c r="X6">
        <v>2261904.7619047761</v>
      </c>
      <c r="Y6">
        <v>2500000.0000000596</v>
      </c>
      <c r="Z6">
        <v>2738095.2380952835</v>
      </c>
      <c r="AA6">
        <v>2976190.4761905074</v>
      </c>
      <c r="AB6">
        <v>3214285.7142857313</v>
      </c>
      <c r="AC6">
        <v>3440476.1904761791</v>
      </c>
      <c r="AD6">
        <v>3666666.6666666865</v>
      </c>
      <c r="AE6">
        <v>3892857.1428571343</v>
      </c>
      <c r="AF6">
        <v>4119047.6190475821</v>
      </c>
      <c r="AG6">
        <v>4345238.0952380896</v>
      </c>
    </row>
    <row r="8" spans="1:34" x14ac:dyDescent="0.25">
      <c r="A8" t="s">
        <v>13</v>
      </c>
    </row>
    <row r="9" spans="1:34" x14ac:dyDescent="0.25">
      <c r="A9" t="s">
        <v>14</v>
      </c>
    </row>
    <row r="11" spans="1:34" x14ac:dyDescent="0.25">
      <c r="B11">
        <v>2019</v>
      </c>
      <c r="C11">
        <v>2020</v>
      </c>
      <c r="D11">
        <v>2021</v>
      </c>
      <c r="E11">
        <v>2022</v>
      </c>
      <c r="F11">
        <v>2023</v>
      </c>
      <c r="G11">
        <v>2024</v>
      </c>
      <c r="H11">
        <v>2025</v>
      </c>
      <c r="I11">
        <v>2026</v>
      </c>
      <c r="J11">
        <v>2027</v>
      </c>
      <c r="K11">
        <v>2028</v>
      </c>
      <c r="L11">
        <v>2029</v>
      </c>
      <c r="M11">
        <v>2030</v>
      </c>
      <c r="N11">
        <v>2031</v>
      </c>
      <c r="O11">
        <v>2032</v>
      </c>
      <c r="P11">
        <v>2033</v>
      </c>
      <c r="Q11">
        <v>2034</v>
      </c>
      <c r="R11">
        <v>2035</v>
      </c>
      <c r="S11">
        <v>2036</v>
      </c>
      <c r="T11">
        <v>2037</v>
      </c>
      <c r="U11">
        <v>2038</v>
      </c>
      <c r="V11">
        <v>2039</v>
      </c>
      <c r="W11">
        <v>2040</v>
      </c>
      <c r="X11">
        <v>2041</v>
      </c>
      <c r="Y11">
        <v>2042</v>
      </c>
      <c r="Z11">
        <v>2043</v>
      </c>
      <c r="AA11">
        <v>2044</v>
      </c>
      <c r="AB11">
        <v>2045</v>
      </c>
      <c r="AC11">
        <v>2046</v>
      </c>
      <c r="AD11">
        <v>2047</v>
      </c>
      <c r="AE11">
        <v>2048</v>
      </c>
      <c r="AF11">
        <v>2049</v>
      </c>
      <c r="AG11">
        <v>2050</v>
      </c>
    </row>
    <row r="12" spans="1:34" x14ac:dyDescent="0.25">
      <c r="A12" t="s">
        <v>22</v>
      </c>
      <c r="B12">
        <v>230000</v>
      </c>
      <c r="C12">
        <v>490909.09090909094</v>
      </c>
      <c r="D12">
        <v>751818.18181818188</v>
      </c>
      <c r="E12">
        <v>1012727.2727272727</v>
      </c>
      <c r="F12">
        <v>1273636.3636363638</v>
      </c>
      <c r="G12">
        <v>1534545.4545454548</v>
      </c>
      <c r="H12">
        <v>1795454.5454545456</v>
      </c>
      <c r="I12">
        <v>2056363.6363636365</v>
      </c>
      <c r="J12">
        <v>2317272.7272727275</v>
      </c>
      <c r="K12">
        <v>2578181.8181818184</v>
      </c>
      <c r="L12">
        <v>2839090.9090909096</v>
      </c>
      <c r="M12">
        <v>3100000</v>
      </c>
    </row>
    <row r="13" spans="1:34" x14ac:dyDescent="0.25">
      <c r="A13" t="s">
        <v>9</v>
      </c>
      <c r="N13">
        <v>3424790.5975175635</v>
      </c>
      <c r="O13">
        <v>3746501.3723235992</v>
      </c>
      <c r="P13">
        <v>4059905.3441759855</v>
      </c>
      <c r="Q13">
        <v>4360313.8003408825</v>
      </c>
      <c r="R13">
        <v>4643834.5503812227</v>
      </c>
      <c r="S13">
        <v>4907531.6444603689</v>
      </c>
      <c r="T13">
        <v>5149479.4152991604</v>
      </c>
      <c r="U13">
        <v>5368721.7605243968</v>
      </c>
      <c r="V13">
        <v>5565159.8514983393</v>
      </c>
      <c r="W13">
        <v>5739396.454520884</v>
      </c>
    </row>
    <row r="14" spans="1:34" x14ac:dyDescent="0.25">
      <c r="A14" t="s">
        <v>10</v>
      </c>
      <c r="X14">
        <v>5892563.6833218094</v>
      </c>
      <c r="Y14">
        <v>6026155.5256387582</v>
      </c>
      <c r="Z14">
        <v>6141879.3779363325</v>
      </c>
      <c r="AA14">
        <v>6241534.0085637206</v>
      </c>
      <c r="AB14">
        <v>6326915.950859325</v>
      </c>
      <c r="AC14">
        <v>6399752.6614421792</v>
      </c>
      <c r="AD14">
        <v>6461658.7298551602</v>
      </c>
      <c r="AE14">
        <v>6514110.623151809</v>
      </c>
      <c r="AF14">
        <v>6558435.4749555839</v>
      </c>
      <c r="AG14">
        <v>6595809.921999068</v>
      </c>
    </row>
    <row r="16" spans="1:34" x14ac:dyDescent="0.25">
      <c r="B16">
        <v>2018</v>
      </c>
      <c r="C16">
        <v>2019</v>
      </c>
      <c r="D16">
        <v>2020</v>
      </c>
      <c r="E16">
        <v>2021</v>
      </c>
      <c r="F16">
        <v>2022</v>
      </c>
      <c r="G16">
        <v>2023</v>
      </c>
      <c r="H16">
        <v>2024</v>
      </c>
      <c r="I16">
        <v>2025</v>
      </c>
      <c r="J16">
        <v>2026</v>
      </c>
      <c r="K16">
        <v>2027</v>
      </c>
      <c r="L16">
        <v>2028</v>
      </c>
      <c r="M16">
        <v>2029</v>
      </c>
      <c r="N16">
        <v>2030</v>
      </c>
      <c r="O16">
        <v>2031</v>
      </c>
      <c r="P16">
        <v>2032</v>
      </c>
      <c r="Q16">
        <v>2033</v>
      </c>
      <c r="R16">
        <v>2034</v>
      </c>
      <c r="S16">
        <v>2035</v>
      </c>
      <c r="T16">
        <v>2036</v>
      </c>
      <c r="U16">
        <v>2037</v>
      </c>
      <c r="V16">
        <v>2038</v>
      </c>
      <c r="W16">
        <v>2039</v>
      </c>
      <c r="X16">
        <v>2040</v>
      </c>
      <c r="Y16">
        <v>2041</v>
      </c>
      <c r="Z16">
        <v>2042</v>
      </c>
      <c r="AA16">
        <v>2043</v>
      </c>
      <c r="AB16">
        <v>2044</v>
      </c>
      <c r="AC16">
        <v>2045</v>
      </c>
      <c r="AD16">
        <v>2046</v>
      </c>
      <c r="AE16">
        <v>2047</v>
      </c>
      <c r="AF16">
        <v>2048</v>
      </c>
      <c r="AG16">
        <v>2049</v>
      </c>
      <c r="AH16">
        <v>2050</v>
      </c>
    </row>
    <row r="17" spans="1:34" x14ac:dyDescent="0.25">
      <c r="A17" t="s">
        <v>49</v>
      </c>
      <c r="B17">
        <f>B18*1000</f>
        <v>2500000</v>
      </c>
      <c r="C17">
        <f t="shared" ref="C17:AH17" si="0">SUM(B12:B14,B17)</f>
        <v>2730000</v>
      </c>
      <c r="D17">
        <f t="shared" si="0"/>
        <v>3220909.0909090908</v>
      </c>
      <c r="E17">
        <f t="shared" si="0"/>
        <v>3972727.2727272725</v>
      </c>
      <c r="F17">
        <f t="shared" si="0"/>
        <v>4985454.5454545449</v>
      </c>
      <c r="G17">
        <f t="shared" si="0"/>
        <v>6259090.9090909082</v>
      </c>
      <c r="H17">
        <f t="shared" si="0"/>
        <v>7793636.3636363633</v>
      </c>
      <c r="I17">
        <f t="shared" si="0"/>
        <v>9589090.9090909082</v>
      </c>
      <c r="J17">
        <f t="shared" si="0"/>
        <v>11645454.545454545</v>
      </c>
      <c r="K17">
        <f t="shared" si="0"/>
        <v>13962727.272727273</v>
      </c>
      <c r="L17">
        <f t="shared" si="0"/>
        <v>16540909.090909092</v>
      </c>
      <c r="M17">
        <f t="shared" si="0"/>
        <v>19380000</v>
      </c>
      <c r="N17">
        <f t="shared" si="0"/>
        <v>22480000</v>
      </c>
      <c r="O17">
        <f t="shared" si="0"/>
        <v>25904790.597517565</v>
      </c>
      <c r="P17">
        <f t="shared" si="0"/>
        <v>29651291.969841164</v>
      </c>
      <c r="Q17">
        <f t="shared" si="0"/>
        <v>33711197.314017147</v>
      </c>
      <c r="R17">
        <f t="shared" si="0"/>
        <v>38071511.11435803</v>
      </c>
      <c r="S17">
        <f t="shared" si="0"/>
        <v>42715345.664739251</v>
      </c>
      <c r="T17">
        <f t="shared" si="0"/>
        <v>47622877.309199616</v>
      </c>
      <c r="U17">
        <f t="shared" si="0"/>
        <v>52772356.724498779</v>
      </c>
      <c r="V17">
        <f t="shared" si="0"/>
        <v>58141078.485023178</v>
      </c>
      <c r="W17">
        <f t="shared" si="0"/>
        <v>63706238.336521521</v>
      </c>
      <c r="X17">
        <f t="shared" si="0"/>
        <v>69445634.791042402</v>
      </c>
      <c r="Y17">
        <f t="shared" si="0"/>
        <v>75338198.474364206</v>
      </c>
      <c r="Z17">
        <f t="shared" si="0"/>
        <v>81364354.000002965</v>
      </c>
      <c r="AA17">
        <f t="shared" si="0"/>
        <v>87506233.377939299</v>
      </c>
      <c r="AB17">
        <f t="shared" si="0"/>
        <v>93747767.386503026</v>
      </c>
      <c r="AC17">
        <f t="shared" si="0"/>
        <v>100074683.33736235</v>
      </c>
      <c r="AD17">
        <f t="shared" si="0"/>
        <v>106474435.99880452</v>
      </c>
      <c r="AE17">
        <f t="shared" si="0"/>
        <v>112936094.72865969</v>
      </c>
      <c r="AF17">
        <f t="shared" si="0"/>
        <v>119450205.3518115</v>
      </c>
      <c r="AG17">
        <f t="shared" si="0"/>
        <v>126008640.82676709</v>
      </c>
      <c r="AH17">
        <f t="shared" si="0"/>
        <v>132604450.74876615</v>
      </c>
    </row>
    <row r="18" spans="1:34" x14ac:dyDescent="0.25">
      <c r="A18" t="s">
        <v>55</v>
      </c>
      <c r="B18" s="13">
        <v>2500</v>
      </c>
    </row>
  </sheetData>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A5CD56-30CC-4C38-A9B1-CB38FBF56566}">
  <sheetPr>
    <tabColor theme="8" tint="-0.249977111117893"/>
  </sheetPr>
  <dimension ref="A1:B2"/>
  <sheetViews>
    <sheetView workbookViewId="0">
      <selection activeCell="C1" sqref="C1:AF1048576"/>
    </sheetView>
  </sheetViews>
  <sheetFormatPr defaultRowHeight="15" x14ac:dyDescent="0.25"/>
  <cols>
    <col min="1" max="1" width="26.7109375" customWidth="1"/>
    <col min="2" max="2" width="9.5703125" bestFit="1" customWidth="1"/>
    <col min="3" max="4" width="10.5703125" bestFit="1" customWidth="1"/>
  </cols>
  <sheetData>
    <row r="1" spans="1:2" x14ac:dyDescent="0.25">
      <c r="B1">
        <v>2020</v>
      </c>
    </row>
    <row r="2" spans="1:2" x14ac:dyDescent="0.25">
      <c r="A2" t="s">
        <v>6</v>
      </c>
      <c r="B2" s="10">
        <f>Calculations!C6+Calculations!D17</f>
        <v>3244718.6147186132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8" tint="-0.249977111117893"/>
  </sheetPr>
  <dimension ref="A1:AE2"/>
  <sheetViews>
    <sheetView workbookViewId="0">
      <selection activeCell="G9" sqref="G9"/>
    </sheetView>
  </sheetViews>
  <sheetFormatPr defaultRowHeight="15" x14ac:dyDescent="0.25"/>
  <cols>
    <col min="1" max="1" width="26.7109375" customWidth="1"/>
    <col min="2" max="11" width="9.5703125" bestFit="1" customWidth="1"/>
    <col min="12" max="33" width="10.5703125" bestFit="1" customWidth="1"/>
  </cols>
  <sheetData>
    <row r="1" spans="1:31" x14ac:dyDescent="0.25">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x14ac:dyDescent="0.25">
      <c r="A2" t="s">
        <v>6</v>
      </c>
      <c r="B2" s="10">
        <f>Calculations!D6+Calculations!E17</f>
        <v>4022727.2727272725</v>
      </c>
      <c r="C2" s="10">
        <f>Calculations!E6+Calculations!F17</f>
        <v>5061645.0216450226</v>
      </c>
      <c r="D2" s="10">
        <f>Calculations!F6+Calculations!G17</f>
        <v>6361471.8614718635</v>
      </c>
      <c r="E2" s="10">
        <f>Calculations!G6+Calculations!H17</f>
        <v>7922207.7922077961</v>
      </c>
      <c r="F2" s="10">
        <f>Calculations!H6+Calculations!I17</f>
        <v>9743852.8138528112</v>
      </c>
      <c r="G2" s="10">
        <f>Calculations!I6+Calculations!J17</f>
        <v>11883549.783549769</v>
      </c>
      <c r="H2" s="10">
        <f>Calculations!J6+Calculations!K17</f>
        <v>14284155.844155841</v>
      </c>
      <c r="I2" s="10">
        <f>Calculations!K6+Calculations!L17</f>
        <v>16945670.995671004</v>
      </c>
      <c r="J2" s="10">
        <f>Calculations!L6+Calculations!M17</f>
        <v>19868095.238095224</v>
      </c>
      <c r="K2" s="10">
        <f>Calculations!M6+Calculations!N17</f>
        <v>23051428.571428567</v>
      </c>
      <c r="L2" s="10">
        <f>Calculations!N6+Calculations!O17</f>
        <v>26590504.883231863</v>
      </c>
      <c r="M2" s="10">
        <f>Calculations!O6+Calculations!P17</f>
        <v>30451291.969841164</v>
      </c>
      <c r="N2" s="10">
        <f>Calculations!P6+Calculations!Q17</f>
        <v>34625483.028302878</v>
      </c>
      <c r="O2" s="10">
        <f>Calculations!Q6+Calculations!R17</f>
        <v>39100082.542929463</v>
      </c>
      <c r="P2" s="10">
        <f>Calculations!R6+Calculations!S17</f>
        <v>43858202.807596385</v>
      </c>
      <c r="Q2" s="10">
        <f>Calculations!S6+Calculations!T17</f>
        <v>48941924.928247198</v>
      </c>
      <c r="R2" s="10">
        <f>Calculations!T6+Calculations!U17</f>
        <v>54267594.819736868</v>
      </c>
      <c r="S2" s="10">
        <f>Calculations!U6+Calculations!V17</f>
        <v>59812507.056451716</v>
      </c>
      <c r="T2" s="10">
        <f>Calculations!V6+Calculations!W17</f>
        <v>65553857.384140566</v>
      </c>
      <c r="U2" s="10">
        <f>Calculations!W6+Calculations!X17</f>
        <v>71469444.314851895</v>
      </c>
      <c r="V2" s="10">
        <f>Calculations!X6+Calculations!Y17</f>
        <v>77600103.236268982</v>
      </c>
      <c r="W2" s="10">
        <f>Calculations!Y6+Calculations!Z17</f>
        <v>83864354.000003025</v>
      </c>
      <c r="X2" s="10">
        <f>Calculations!Z6+Calculations!AA17</f>
        <v>90244328.616034582</v>
      </c>
      <c r="Y2" s="10">
        <f>Calculations!AA6+Calculations!AB17</f>
        <v>96723957.862693533</v>
      </c>
      <c r="Z2" s="10">
        <f>Calculations!AB6+Calculations!AC17</f>
        <v>103288969.05164808</v>
      </c>
      <c r="AA2" s="10">
        <f>Calculations!AC6+Calculations!AD17</f>
        <v>109914912.1892807</v>
      </c>
      <c r="AB2" s="10">
        <f>Calculations!AD6+Calculations!AE17</f>
        <v>116602761.39532638</v>
      </c>
      <c r="AC2" s="10">
        <f>Calculations!AE6+Calculations!AF17</f>
        <v>123343062.49466863</v>
      </c>
      <c r="AD2" s="10">
        <f>Calculations!AF6+Calculations!AG17</f>
        <v>130127688.44581467</v>
      </c>
      <c r="AE2" s="10">
        <f>Calculations!AG6+Calculations!AH17</f>
        <v>136949688.84400424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3</vt:i4>
      </vt:variant>
    </vt:vector>
  </HeadingPairs>
  <TitlesOfParts>
    <vt:vector size="10" baseType="lpstr">
      <vt:lpstr>About</vt:lpstr>
      <vt:lpstr>Grid Battery Storage</vt:lpstr>
      <vt:lpstr>EV Batteries</vt:lpstr>
      <vt:lpstr>EV Sigmoid Fitting</vt:lpstr>
      <vt:lpstr>Calculations</vt:lpstr>
      <vt:lpstr>SYGBSC</vt:lpstr>
      <vt:lpstr>BGBSC</vt:lpstr>
      <vt:lpstr>ec_50</vt:lpstr>
      <vt:lpstr>max</vt:lpstr>
      <vt:lpstr>min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2018-04-25T01:32:28Z</dcterms:created>
  <dcterms:modified xsi:type="dcterms:W3CDTF">2024-01-11T23:17:53Z</dcterms:modified>
</cp:coreProperties>
</file>