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AZ\add-outputs\NoH\"/>
    </mc:Choice>
  </mc:AlternateContent>
  <xr:revisionPtr revIDLastSave="0" documentId="8_{19C6437E-4DAC-4E38-B36B-0B1C3B753D4D}"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G2" i="3"/>
  <c r="H2" i="3"/>
  <c r="I2" i="3"/>
  <c r="B2" i="3"/>
  <c r="S2" i="3"/>
  <c r="U2" i="3"/>
  <c r="W2" i="3"/>
  <c r="D2" i="3"/>
  <c r="Z2" i="3"/>
  <c r="F2" i="3"/>
  <c r="AC2" i="3"/>
  <c r="AD2" i="3"/>
  <c r="AE2" i="3"/>
  <c r="R2" i="3"/>
  <c r="E2" i="3"/>
  <c r="AA2" i="3"/>
  <c r="AB2" i="3"/>
  <c r="J2" i="3"/>
  <c r="Q2" i="3"/>
  <c r="T2" i="3"/>
  <c r="K2" i="3"/>
  <c r="L2" i="3"/>
  <c r="M2" i="3"/>
  <c r="N2" i="3"/>
  <c r="O2" i="3"/>
  <c r="P2" i="3"/>
  <c r="V2" i="3"/>
  <c r="X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<sst xmlns="http://schemas.openxmlformats.org/spreadsheetml/2006/main" count="1069" uniqueCount="448">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</sst>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330</v>
      </c>
      <c r="C1" s="68">
        <v>46185</v>
      </c>
      <c r="H1" t="s">
        <v>324</v>
      </c>
      <c r="I1" t="s">
        <v>325</v>
      </c>
    </row>
    <row r="2" spans="1:9" x14ac:dyDescent="0.25">
      <c r="B2" t="str">
        <f>VLOOKUP(B1,H2:I52,2)</f>
        <v>AZ</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2742512.4516949798</v>
      </c>
      <c r="C2">
        <f>SUMIFS('state calcs'!C62:C112,'state calcs'!$A$62:$A$112,About!$B$2)</f>
        <v>2793930.7637715102</v>
      </c>
      <c r="D2">
        <f>SUMIFS('state calcs'!D62:D112,'state calcs'!$A$62:$A$112,About!$B$2)</f>
        <v>2828951.7908550692</v>
      </c>
      <c r="E2">
        <f>SUMIFS('state calcs'!E62:E112,'state calcs'!$A$62:$A$112,About!$B$2)</f>
        <v>2864088.2749021989</v>
      </c>
      <c r="F2">
        <f>SUMIFS('state calcs'!F62:F112,'state calcs'!$A$62:$A$112,About!$B$2)</f>
        <v>2899892.1011988353</v>
      </c>
      <c r="G2">
        <f>SUMIFS('state calcs'!G62:G112,'state calcs'!$A$62:$A$112,About!$B$2)</f>
        <v>2935690.086638337</v>
      </c>
      <c r="H2">
        <f>SUMIFS('state calcs'!H62:H112,'state calcs'!$A$62:$A$112,About!$B$2)</f>
        <v>2971690.9090330447</v>
      </c>
      <c r="I2">
        <f>SUMIFS('state calcs'!I62:I112,'state calcs'!$A$62:$A$112,About!$B$2)</f>
        <v>3007949.5670418479</v>
      </c>
      <c r="J2">
        <f>SUMIFS('state calcs'!J62:J112,'state calcs'!$A$62:$A$112,About!$B$2)</f>
        <v>3044064.5993493097</v>
      </c>
      <c r="K2">
        <f>SUMIFS('state calcs'!K62:K112,'state calcs'!$A$62:$A$112,About!$B$2)</f>
        <v>3079543.4454594823</v>
      </c>
      <c r="L2">
        <f>SUMIFS('state calcs'!L62:L112,'state calcs'!$A$62:$A$112,About!$B$2)</f>
        <v>3118560.5230309255</v>
      </c>
      <c r="M2">
        <f>SUMIFS('state calcs'!M62:M112,'state calcs'!$A$62:$A$112,About!$B$2)</f>
        <v>3157507.4238270144</v>
      </c>
      <c r="N2">
        <f>SUMIFS('state calcs'!N62:N112,'state calcs'!$A$62:$A$112,About!$B$2)</f>
        <v>3196001.9689554763</v>
      </c>
      <c r="O2">
        <f>SUMIFS('state calcs'!O62:O112,'state calcs'!$A$62:$A$112,About!$B$2)</f>
        <v>3233801.2772162165</v>
      </c>
      <c r="P2">
        <f>SUMIFS('state calcs'!P62:P112,'state calcs'!$A$62:$A$112,About!$B$2)</f>
        <v>3271363.2290712963</v>
      </c>
      <c r="Q2">
        <f>SUMIFS('state calcs'!Q62:Q112,'state calcs'!$A$62:$A$112,About!$B$2)</f>
        <v>3309064.3378368691</v>
      </c>
      <c r="R2">
        <f>SUMIFS('state calcs'!R62:R112,'state calcs'!$A$62:$A$112,About!$B$2)</f>
        <v>3346706.7102700723</v>
      </c>
      <c r="S2">
        <f>SUMIFS('state calcs'!S62:S112,'state calcs'!$A$62:$A$112,About!$B$2)</f>
        <v>3384343.345880135</v>
      </c>
      <c r="T2">
        <f>SUMIFS('state calcs'!T62:T112,'state calcs'!$A$62:$A$112,About!$B$2)</f>
        <v>3421894.4689366813</v>
      </c>
      <c r="U2">
        <f>SUMIFS('state calcs'!U62:U112,'state calcs'!$A$62:$A$112,About!$B$2)</f>
        <v>3459824.9581012614</v>
      </c>
      <c r="V2">
        <f>SUMIFS('state calcs'!V62:V112,'state calcs'!$A$62:$A$112,About!$B$2)</f>
        <v>3498359.0489880182</v>
      </c>
      <c r="W2">
        <f>SUMIFS('state calcs'!W62:W112,'state calcs'!$A$62:$A$112,About!$B$2)</f>
        <v>3536632.7378404965</v>
      </c>
      <c r="X2">
        <f>SUMIFS('state calcs'!X62:X112,'state calcs'!$A$62:$A$112,About!$B$2)</f>
        <v>3574832.2762712734</v>
      </c>
      <c r="Y2">
        <f>SUMIFS('state calcs'!Y62:Y112,'state calcs'!$A$62:$A$112,About!$B$2)</f>
        <v>3612973.1325194896</v>
      </c>
      <c r="Z2">
        <f>SUMIFS('state calcs'!Z62:Z112,'state calcs'!$A$62:$A$112,About!$B$2)</f>
        <v>3651078.4919844074</v>
      </c>
      <c r="AA2">
        <f>SUMIFS('state calcs'!AA62:AA112,'state calcs'!$A$62:$A$112,About!$B$2)</f>
        <v>3689053.8426010096</v>
      </c>
      <c r="AB2">
        <f>SUMIFS('state calcs'!AB62:AB112,'state calcs'!$A$62:$A$112,About!$B$2)</f>
        <v>3727052.0191443465</v>
      </c>
      <c r="AC2">
        <f>SUMIFS('state calcs'!AC62:AC112,'state calcs'!$A$62:$A$112,About!$B$2)</f>
        <v>3764895.9843964847</v>
      </c>
      <c r="AD2">
        <f>SUMIFS('state calcs'!AD62:AD112,'state calcs'!$A$62:$A$112,About!$B$2)</f>
        <v>3802556.1810403494</v>
      </c>
      <c r="AE2">
        <f>SUMIFS('state calcs'!AE62:AE112,'state calcs'!$A$62:$A$112,About!$B$2)</f>
        <v>3840103.9064108245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2026-06-12T19:28:00Z</dcterms:modified>
</cp:coreProperties>
</file>