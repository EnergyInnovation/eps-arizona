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4973B53A-923E-45C2-A5BD-399392263760}"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X45" i="9" s="1"/>
  <c r="W25" i="9"/>
  <c r="W45" i="9" s="1"/>
  <c r="V25" i="9"/>
  <c r="V45" i="9" s="1"/>
  <c r="U25" i="9"/>
  <c r="U45" i="9" s="1"/>
  <c r="T25" i="9"/>
  <c r="T45" i="9" s="1"/>
  <c r="S25" i="9"/>
  <c r="R25" i="9"/>
  <c r="Q25" i="9"/>
  <c r="P25" i="9"/>
  <c r="P45" i="9" s="1"/>
  <c r="O25" i="9"/>
  <c r="O45" i="9" s="1"/>
  <c r="N25" i="9"/>
  <c r="N45" i="9" s="1"/>
  <c r="M25" i="9"/>
  <c r="M45" i="9" s="1"/>
  <c r="L25" i="9"/>
  <c r="L45" i="9" s="1"/>
  <c r="K25" i="9"/>
  <c r="K45" i="9" s="1"/>
  <c r="J25" i="9"/>
  <c r="I25" i="9"/>
  <c r="H25" i="9"/>
  <c r="G25" i="9"/>
  <c r="G45" i="9" s="1"/>
  <c r="F25" i="9"/>
  <c r="F45" i="9" s="1"/>
  <c r="E25" i="9"/>
  <c r="E45" i="9" s="1"/>
  <c r="D25" i="9"/>
  <c r="D45" i="9" s="1"/>
  <c r="C25" i="9"/>
  <c r="C45" i="9" s="1"/>
  <c r="B25" i="9"/>
  <c r="B45" i="9" s="1"/>
  <c r="AB24" i="9"/>
  <c r="AB44" i="9" s="1"/>
  <c r="AA24" i="9"/>
  <c r="AA44" i="9" s="1"/>
  <c r="Z24" i="9"/>
  <c r="Z44" i="9" s="1"/>
  <c r="Y24" i="9"/>
  <c r="Y44" i="9" s="1"/>
  <c r="X24" i="9"/>
  <c r="W24" i="9"/>
  <c r="V24" i="9"/>
  <c r="U24" i="9"/>
  <c r="U44" i="9" s="1"/>
  <c r="T24" i="9"/>
  <c r="T44" i="9" s="1"/>
  <c r="S24" i="9"/>
  <c r="S44" i="9" s="1"/>
  <c r="R24" i="9"/>
  <c r="R44" i="9" s="1"/>
  <c r="Q24" i="9"/>
  <c r="Q44" i="9" s="1"/>
  <c r="P24" i="9"/>
  <c r="P44" i="9" s="1"/>
  <c r="O24" i="9"/>
  <c r="N24" i="9"/>
  <c r="M24" i="9"/>
  <c r="L24" i="9"/>
  <c r="L44" i="9" s="1"/>
  <c r="K24" i="9"/>
  <c r="J24" i="9"/>
  <c r="J44" i="9" s="1"/>
  <c r="I24" i="9"/>
  <c r="I44" i="9" s="1"/>
  <c r="H24" i="9"/>
  <c r="G24" i="9"/>
  <c r="G44" i="9" s="1"/>
  <c r="F24" i="9"/>
  <c r="F44" i="9" s="1"/>
  <c r="E24" i="9"/>
  <c r="E44" i="9" s="1"/>
  <c r="D24" i="9"/>
  <c r="D44" i="9" s="1"/>
  <c r="C24" i="9"/>
  <c r="C44" i="9" s="1"/>
  <c r="B24" i="9"/>
  <c r="AB23" i="9"/>
  <c r="AA23" i="9"/>
  <c r="Z23" i="9"/>
  <c r="Z43" i="9" s="1"/>
  <c r="Y23" i="9"/>
  <c r="X23" i="9"/>
  <c r="X43" i="9" s="1"/>
  <c r="W23" i="9"/>
  <c r="W43" i="9" s="1"/>
  <c r="V23" i="9"/>
  <c r="V43" i="9" s="1"/>
  <c r="U23" i="9"/>
  <c r="U43" i="9" s="1"/>
  <c r="T23" i="9"/>
  <c r="S23" i="9"/>
  <c r="R23" i="9"/>
  <c r="Q23" i="9"/>
  <c r="Q43" i="9" s="1"/>
  <c r="P23" i="9"/>
  <c r="P43" i="9" s="1"/>
  <c r="O23" i="9"/>
  <c r="O43" i="9" s="1"/>
  <c r="N23" i="9"/>
  <c r="N43" i="9" s="1"/>
  <c r="M23" i="9"/>
  <c r="L23" i="9"/>
  <c r="L43" i="9" s="1"/>
  <c r="K23" i="9"/>
  <c r="K43" i="9" s="1"/>
  <c r="J23" i="9"/>
  <c r="J43" i="9" s="1"/>
  <c r="I23" i="9"/>
  <c r="I43" i="9" s="1"/>
  <c r="H23" i="9"/>
  <c r="H43" i="9" s="1"/>
  <c r="G23" i="9"/>
  <c r="F23" i="9"/>
  <c r="E23" i="9"/>
  <c r="D23" i="9"/>
  <c r="D43" i="9" s="1"/>
  <c r="C23" i="9"/>
  <c r="B23" i="9"/>
  <c r="B43" i="9" s="1"/>
  <c r="AB22" i="9"/>
  <c r="AB42" i="9" s="1"/>
  <c r="AA22" i="9"/>
  <c r="AA42" i="9" s="1"/>
  <c r="Z22" i="9"/>
  <c r="Z42" i="9" s="1"/>
  <c r="Y22" i="9"/>
  <c r="X22" i="9"/>
  <c r="W22" i="9"/>
  <c r="V22" i="9"/>
  <c r="V42" i="9" s="1"/>
  <c r="U22" i="9"/>
  <c r="U42" i="9" s="1"/>
  <c r="T22" i="9"/>
  <c r="T42" i="9" s="1"/>
  <c r="S22" i="9"/>
  <c r="S42" i="9" s="1"/>
  <c r="R22" i="9"/>
  <c r="Q22" i="9"/>
  <c r="Q42" i="9" s="1"/>
  <c r="P22" i="9"/>
  <c r="P42" i="9" s="1"/>
  <c r="O22" i="9"/>
  <c r="O42" i="9" s="1"/>
  <c r="N22" i="9"/>
  <c r="N42" i="9" s="1"/>
  <c r="M22" i="9"/>
  <c r="M42" i="9" s="1"/>
  <c r="L22" i="9"/>
  <c r="K22" i="9"/>
  <c r="J22" i="9"/>
  <c r="I22" i="9"/>
  <c r="I42" i="9" s="1"/>
  <c r="H22" i="9"/>
  <c r="G22" i="9"/>
  <c r="G42" i="9" s="1"/>
  <c r="F22" i="9"/>
  <c r="F42" i="9" s="1"/>
  <c r="E22" i="9"/>
  <c r="E42" i="9" s="1"/>
  <c r="D22" i="9"/>
  <c r="D42" i="9" s="1"/>
  <c r="C22" i="9"/>
  <c r="B22" i="9"/>
  <c r="AB21" i="9"/>
  <c r="AA21" i="9"/>
  <c r="AA41" i="9" s="1"/>
  <c r="Z21" i="9"/>
  <c r="Z41" i="9" s="1"/>
  <c r="Y21" i="9"/>
  <c r="Y41" i="9" s="1"/>
  <c r="X21" i="9"/>
  <c r="X41" i="9" s="1"/>
  <c r="W21" i="9"/>
  <c r="V21" i="9"/>
  <c r="V41" i="9" s="1"/>
  <c r="U21" i="9"/>
  <c r="U41" i="9" s="1"/>
  <c r="T21" i="9"/>
  <c r="T41" i="9" s="1"/>
  <c r="S21" i="9"/>
  <c r="S41" i="9" s="1"/>
  <c r="R21" i="9"/>
  <c r="R41" i="9" s="1"/>
  <c r="Q21" i="9"/>
  <c r="P21" i="9"/>
  <c r="O21" i="9"/>
  <c r="N21" i="9"/>
  <c r="M21" i="9"/>
  <c r="L21" i="9"/>
  <c r="L41" i="9" s="1"/>
  <c r="K21" i="9"/>
  <c r="K41" i="9" s="1"/>
  <c r="J21" i="9"/>
  <c r="J41" i="9" s="1"/>
  <c r="I21" i="9"/>
  <c r="I41" i="9" s="1"/>
  <c r="H21" i="9"/>
  <c r="G21" i="9"/>
  <c r="F21" i="9"/>
  <c r="E21" i="9"/>
  <c r="E41" i="9" s="1"/>
  <c r="D21" i="9"/>
  <c r="D41" i="9" s="1"/>
  <c r="C21" i="9"/>
  <c r="C41" i="9" s="1"/>
  <c r="B21" i="9"/>
  <c r="B41" i="9" s="1"/>
  <c r="AB20" i="9"/>
  <c r="AA20" i="9"/>
  <c r="AA40" i="9" s="1"/>
  <c r="Z20" i="9"/>
  <c r="Z40" i="9" s="1"/>
  <c r="Y20" i="9"/>
  <c r="Y40" i="9" s="1"/>
  <c r="X20" i="9"/>
  <c r="X40" i="9" s="1"/>
  <c r="W20" i="9"/>
  <c r="W40" i="9" s="1"/>
  <c r="V20" i="9"/>
  <c r="U20" i="9"/>
  <c r="T20" i="9"/>
  <c r="S20" i="9"/>
  <c r="R20" i="9"/>
  <c r="Q20" i="9"/>
  <c r="Q40" i="9" s="1"/>
  <c r="P20" i="9"/>
  <c r="P40" i="9" s="1"/>
  <c r="O20" i="9"/>
  <c r="O40" i="9" s="1"/>
  <c r="N20" i="9"/>
  <c r="N40" i="9" s="1"/>
  <c r="M20" i="9"/>
  <c r="L20" i="9"/>
  <c r="K20" i="9"/>
  <c r="J20" i="9"/>
  <c r="J40" i="9" s="1"/>
  <c r="I20" i="9"/>
  <c r="I40" i="9" s="1"/>
  <c r="H20" i="9"/>
  <c r="H40" i="9" s="1"/>
  <c r="G20" i="9"/>
  <c r="G40" i="9" s="1"/>
  <c r="F20" i="9"/>
  <c r="E20" i="9"/>
  <c r="E40" i="9" s="1"/>
  <c r="D20" i="9"/>
  <c r="D40" i="9" s="1"/>
  <c r="C20" i="9"/>
  <c r="C40" i="9" s="1"/>
  <c r="B20" i="9"/>
  <c r="B40" i="9" s="1"/>
  <c r="AB19" i="9"/>
  <c r="AB39" i="9" s="1"/>
  <c r="AA19" i="9"/>
  <c r="Z19" i="9"/>
  <c r="Y19" i="9"/>
  <c r="X19" i="9"/>
  <c r="W19" i="9"/>
  <c r="V19" i="9"/>
  <c r="V39" i="9" s="1"/>
  <c r="U19" i="9"/>
  <c r="U39" i="9" s="1"/>
  <c r="T19" i="9"/>
  <c r="T39" i="9" s="1"/>
  <c r="S19" i="9"/>
  <c r="S39" i="9" s="1"/>
  <c r="R19" i="9"/>
  <c r="Q19" i="9"/>
  <c r="P19" i="9"/>
  <c r="O19" i="9"/>
  <c r="O39" i="9" s="1"/>
  <c r="N19" i="9"/>
  <c r="N39" i="9" s="1"/>
  <c r="M19" i="9"/>
  <c r="M39" i="9" s="1"/>
  <c r="L19" i="9"/>
  <c r="L39" i="9" s="1"/>
  <c r="K19" i="9"/>
  <c r="J19" i="9"/>
  <c r="J39" i="9" s="1"/>
  <c r="I19" i="9"/>
  <c r="I39" i="9" s="1"/>
  <c r="H19" i="9"/>
  <c r="H39" i="9" s="1"/>
  <c r="G19" i="9"/>
  <c r="G39" i="9" s="1"/>
  <c r="F19" i="9"/>
  <c r="F39" i="9" s="1"/>
  <c r="E19" i="9"/>
  <c r="D19" i="9"/>
  <c r="C19" i="9"/>
  <c r="B19" i="9"/>
  <c r="AB18" i="9"/>
  <c r="AA18" i="9"/>
  <c r="AA38" i="9" s="1"/>
  <c r="Z18" i="9"/>
  <c r="Z38" i="9" s="1"/>
  <c r="Y18" i="9"/>
  <c r="Y38" i="9" s="1"/>
  <c r="X18" i="9"/>
  <c r="X38" i="9" s="1"/>
  <c r="W18" i="9"/>
  <c r="V18" i="9"/>
  <c r="U18" i="9"/>
  <c r="T18" i="9"/>
  <c r="T38" i="9" s="1"/>
  <c r="S18" i="9"/>
  <c r="S38" i="9" s="1"/>
  <c r="R18" i="9"/>
  <c r="R38" i="9" s="1"/>
  <c r="Q18" i="9"/>
  <c r="Q38" i="9" s="1"/>
  <c r="P18" i="9"/>
  <c r="O18" i="9"/>
  <c r="O38" i="9" s="1"/>
  <c r="N18" i="9"/>
  <c r="N38" i="9" s="1"/>
  <c r="M18" i="9"/>
  <c r="M38" i="9" s="1"/>
  <c r="L18" i="9"/>
  <c r="L38" i="9" s="1"/>
  <c r="K18" i="9"/>
  <c r="K38" i="9" s="1"/>
  <c r="J18" i="9"/>
  <c r="I18" i="9"/>
  <c r="H18" i="9"/>
  <c r="G18" i="9"/>
  <c r="F18" i="9"/>
  <c r="E18" i="9"/>
  <c r="E38" i="9" s="1"/>
  <c r="D18" i="9"/>
  <c r="D38" i="9" s="1"/>
  <c r="C18" i="9"/>
  <c r="C38" i="9" s="1"/>
  <c r="B18" i="9"/>
  <c r="B38" i="9" s="1"/>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Y15" i="9" s="1"/>
  <c r="X13" i="9"/>
  <c r="W13" i="9"/>
  <c r="V13" i="9"/>
  <c r="U13" i="9"/>
  <c r="U15" i="9" s="1"/>
  <c r="T13" i="9"/>
  <c r="S13" i="9"/>
  <c r="R13" i="9"/>
  <c r="Q13" i="9"/>
  <c r="P13" i="9"/>
  <c r="O13" i="9"/>
  <c r="N13" i="9"/>
  <c r="M13" i="9"/>
  <c r="M15" i="9" s="1"/>
  <c r="L13" i="9"/>
  <c r="K13" i="9"/>
  <c r="J13" i="9"/>
  <c r="I13" i="9"/>
  <c r="H13" i="9"/>
  <c r="G13" i="9"/>
  <c r="G15" i="9" s="1"/>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V15" i="9" l="1"/>
  <c r="W15" i="9"/>
  <c r="C15" i="9"/>
  <c r="D15" i="9"/>
  <c r="Z15" i="9"/>
  <c r="H44" i="9"/>
  <c r="K40" i="9"/>
  <c r="AB41" i="9"/>
  <c r="W42" i="9"/>
  <c r="R43" i="9"/>
  <c r="M44" i="9"/>
  <c r="H45" i="9"/>
  <c r="K44" i="9"/>
  <c r="N44" i="9"/>
  <c r="I45" i="9"/>
  <c r="I15" i="9"/>
  <c r="I53" i="9" s="1"/>
  <c r="I7" i="10" s="1"/>
  <c r="U38" i="9"/>
  <c r="P39" i="9"/>
  <c r="F41" i="9"/>
  <c r="W38" i="9"/>
  <c r="W58" i="9" s="1"/>
  <c r="R39" i="9"/>
  <c r="M40" i="9"/>
  <c r="H41" i="9"/>
  <c r="C42" i="9"/>
  <c r="Y42" i="9"/>
  <c r="T43" i="9"/>
  <c r="O44" i="9"/>
  <c r="J45" i="9"/>
  <c r="Q15" i="9"/>
  <c r="R15" i="9"/>
  <c r="S15" i="9"/>
  <c r="S51" i="9" s="1"/>
  <c r="S5" i="10" s="1"/>
  <c r="T15" i="9"/>
  <c r="T58" i="9" s="1"/>
  <c r="T2" i="11" s="1"/>
  <c r="X15" i="9"/>
  <c r="F38" i="9"/>
  <c r="AB38" i="9"/>
  <c r="W39" i="9"/>
  <c r="R40" i="9"/>
  <c r="M41" i="9"/>
  <c r="H42" i="9"/>
  <c r="C43" i="9"/>
  <c r="Y43" i="9"/>
  <c r="G38" i="9"/>
  <c r="B39" i="9"/>
  <c r="X39" i="9"/>
  <c r="S40" i="9"/>
  <c r="N41" i="9"/>
  <c r="B15" i="9"/>
  <c r="P38" i="9"/>
  <c r="K39" i="9"/>
  <c r="F40" i="9"/>
  <c r="AB40" i="9"/>
  <c r="W41" i="9"/>
  <c r="R42" i="9"/>
  <c r="M43" i="9"/>
  <c r="M63" i="9" s="1"/>
  <c r="M7" i="11" s="1"/>
  <c r="H15" i="9"/>
  <c r="J15" i="9"/>
  <c r="K15" i="9"/>
  <c r="L15" i="9"/>
  <c r="L53" i="9" s="1"/>
  <c r="L7" i="10" s="1"/>
  <c r="V38" i="9"/>
  <c r="Q39" i="9"/>
  <c r="L40" i="9"/>
  <c r="G41" i="9"/>
  <c r="B42" i="9"/>
  <c r="X42" i="9"/>
  <c r="S43" i="9"/>
  <c r="F4" i="9"/>
  <c r="L48" i="9" s="1"/>
  <c r="E15" i="9"/>
  <c r="AA15" i="9"/>
  <c r="F7" i="9"/>
  <c r="F15" i="9"/>
  <c r="AB15" i="9"/>
  <c r="AA61" i="9"/>
  <c r="AA5" i="11" s="1"/>
  <c r="F6" i="9"/>
  <c r="C50" i="9" s="1"/>
  <c r="F10" i="9"/>
  <c r="F11" i="9"/>
  <c r="D55" i="9" s="1"/>
  <c r="D9" i="10" s="1"/>
  <c r="J38" i="9"/>
  <c r="E39" i="9"/>
  <c r="AA39" i="9"/>
  <c r="V40" i="9"/>
  <c r="Q41" i="9"/>
  <c r="L42" i="9"/>
  <c r="G43" i="9"/>
  <c r="B44" i="9"/>
  <c r="X44" i="9"/>
  <c r="S45" i="9"/>
  <c r="Y55" i="9"/>
  <c r="Y9" i="10" s="1"/>
  <c r="J42" i="9"/>
  <c r="Q45" i="9"/>
  <c r="H38" i="9"/>
  <c r="Y39" i="9"/>
  <c r="T40" i="9"/>
  <c r="E43" i="9"/>
  <c r="V44" i="9"/>
  <c r="Z39" i="9"/>
  <c r="K42" i="9"/>
  <c r="R45" i="9"/>
  <c r="I38" i="9"/>
  <c r="U40" i="9"/>
  <c r="F43" i="9"/>
  <c r="W44" i="9"/>
  <c r="C39" i="9"/>
  <c r="O41" i="9"/>
  <c r="AA43" i="9"/>
  <c r="D39" i="9"/>
  <c r="P41" i="9"/>
  <c r="AB43" i="9"/>
  <c r="F8" i="9"/>
  <c r="G51" i="9"/>
  <c r="G5" i="10" s="1"/>
  <c r="F9" i="9"/>
  <c r="G53" i="9" s="1"/>
  <c r="G7" i="10" s="1"/>
  <c r="N15" i="9"/>
  <c r="O15" i="9"/>
  <c r="P15" i="9"/>
  <c r="T63" i="9"/>
  <c r="T7" i="11" s="1"/>
  <c r="F5" i="9"/>
  <c r="G49" i="9" s="1"/>
  <c r="G3" i="10" s="1"/>
  <c r="S59" i="9"/>
  <c r="S3" i="11" s="1"/>
  <c r="T59" i="9"/>
  <c r="T3" i="11" s="1"/>
  <c r="K48" i="9" l="1"/>
  <c r="Y58" i="9"/>
  <c r="AA48" i="9"/>
  <c r="P58" i="9"/>
  <c r="I54" i="9"/>
  <c r="I8" i="10" s="1"/>
  <c r="O55" i="9"/>
  <c r="O9" i="10" s="1"/>
  <c r="Z64" i="9"/>
  <c r="Z8" i="11" s="1"/>
  <c r="AB61" i="9"/>
  <c r="AB5" i="11" s="1"/>
  <c r="V48" i="9"/>
  <c r="F55" i="9"/>
  <c r="F9" i="10" s="1"/>
  <c r="G61" i="9"/>
  <c r="G5" i="11" s="1"/>
  <c r="B58" i="9"/>
  <c r="AA62" i="9"/>
  <c r="AA6" i="11" s="1"/>
  <c r="O48" i="9"/>
  <c r="M50" i="9"/>
  <c r="M60" i="9"/>
  <c r="I60" i="9"/>
  <c r="B64" i="9"/>
  <c r="W60" i="9"/>
  <c r="U50" i="9"/>
  <c r="U4" i="10" s="1"/>
  <c r="B63" i="9"/>
  <c r="B7" i="11" s="1"/>
  <c r="B60" i="9"/>
  <c r="B4" i="11" s="1"/>
  <c r="R54" i="9"/>
  <c r="I64" i="9"/>
  <c r="I8" i="11" s="1"/>
  <c r="S63" i="9"/>
  <c r="S7" i="11" s="1"/>
  <c r="V50" i="9"/>
  <c r="T54" i="9"/>
  <c r="G60" i="9"/>
  <c r="Q48" i="9"/>
  <c r="R60" i="9"/>
  <c r="S64" i="9"/>
  <c r="Z58" i="9"/>
  <c r="R50" i="9"/>
  <c r="T50" i="9"/>
  <c r="M61" i="9"/>
  <c r="M5" i="11" s="1"/>
  <c r="U63" i="9"/>
  <c r="U7" i="11" s="1"/>
  <c r="T48" i="9"/>
  <c r="V58" i="9"/>
  <c r="Q55" i="9"/>
  <c r="Q9" i="10" s="1"/>
  <c r="W61" i="9"/>
  <c r="W5" i="11" s="1"/>
  <c r="K63" i="9"/>
  <c r="K7" i="11" s="1"/>
  <c r="U51" i="9"/>
  <c r="U5" i="10" s="1"/>
  <c r="Y54" i="9"/>
  <c r="Y8" i="10" s="1"/>
  <c r="L58" i="9"/>
  <c r="L2" i="11" s="1"/>
  <c r="H50" i="9"/>
  <c r="Y64" i="9"/>
  <c r="Y8" i="11" s="1"/>
  <c r="X60" i="9"/>
  <c r="K50" i="9"/>
  <c r="V60" i="9"/>
  <c r="Q60" i="9"/>
  <c r="L50" i="9"/>
  <c r="E51" i="9"/>
  <c r="E5" i="10" s="1"/>
  <c r="W53" i="9"/>
  <c r="W7" i="10" s="1"/>
  <c r="R58" i="9"/>
  <c r="R2" i="11" s="1"/>
  <c r="R48" i="9"/>
  <c r="R68" i="9" s="1"/>
  <c r="Y50" i="9"/>
  <c r="Y53" i="9"/>
  <c r="Y7" i="10" s="1"/>
  <c r="G58" i="9"/>
  <c r="G2" i="11" s="1"/>
  <c r="J50" i="9"/>
  <c r="AA58" i="9"/>
  <c r="K53" i="9"/>
  <c r="K7" i="10" s="1"/>
  <c r="Z50" i="9"/>
  <c r="Z4" i="10" s="1"/>
  <c r="L54" i="9"/>
  <c r="B50" i="9"/>
  <c r="B4" i="10" s="1"/>
  <c r="M54" i="9"/>
  <c r="M70" i="9" s="1"/>
  <c r="K64" i="9"/>
  <c r="K8" i="11" s="1"/>
  <c r="D53" i="9"/>
  <c r="D7" i="10" s="1"/>
  <c r="G64" i="9"/>
  <c r="T60" i="9"/>
  <c r="T4" i="11" s="1"/>
  <c r="V63" i="9"/>
  <c r="V7" i="11" s="1"/>
  <c r="O60" i="9"/>
  <c r="Y63" i="9"/>
  <c r="Y7" i="11" s="1"/>
  <c r="Y61" i="9"/>
  <c r="Y5" i="11" s="1"/>
  <c r="J63" i="9"/>
  <c r="J7" i="11" s="1"/>
  <c r="J60" i="9"/>
  <c r="C58" i="9"/>
  <c r="O51" i="9"/>
  <c r="O5" i="10" s="1"/>
  <c r="C61" i="9"/>
  <c r="C5" i="11" s="1"/>
  <c r="S61" i="9"/>
  <c r="S5" i="11" s="1"/>
  <c r="I63" i="9"/>
  <c r="I7" i="11" s="1"/>
  <c r="G50" i="9"/>
  <c r="D60" i="9"/>
  <c r="N48" i="9"/>
  <c r="N2" i="10" s="1"/>
  <c r="L60" i="9"/>
  <c r="L4" i="11" s="1"/>
  <c r="I51" i="9"/>
  <c r="I5" i="10" s="1"/>
  <c r="U48" i="9"/>
  <c r="X48" i="9"/>
  <c r="X2" i="10" s="1"/>
  <c r="T61" i="9"/>
  <c r="T5" i="11" s="1"/>
  <c r="B48" i="9"/>
  <c r="W64" i="9"/>
  <c r="W8" i="11" s="1"/>
  <c r="J54" i="9"/>
  <c r="C53" i="9"/>
  <c r="C7" i="10" s="1"/>
  <c r="Z60" i="9"/>
  <c r="T53" i="9"/>
  <c r="T7" i="10" s="1"/>
  <c r="C49" i="9"/>
  <c r="C3" i="10" s="1"/>
  <c r="C54" i="9"/>
  <c r="C8" i="10" s="1"/>
  <c r="C60" i="9"/>
  <c r="Y49" i="9"/>
  <c r="Y3" i="10" s="1"/>
  <c r="L63" i="9"/>
  <c r="L7" i="11" s="1"/>
  <c r="D50" i="9"/>
  <c r="X54" i="9"/>
  <c r="X8" i="10" s="1"/>
  <c r="AB60" i="9"/>
  <c r="N50" i="9"/>
  <c r="F58" i="9"/>
  <c r="F60" i="9"/>
  <c r="F4" i="11" s="1"/>
  <c r="H62" i="9"/>
  <c r="H6" i="11" s="1"/>
  <c r="AA60" i="9"/>
  <c r="V61" i="9"/>
  <c r="V5" i="11" s="1"/>
  <c r="H58" i="9"/>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G48" i="9"/>
  <c r="O50" i="9"/>
  <c r="Z49" i="9"/>
  <c r="Z3" i="10" s="1"/>
  <c r="C64" i="9"/>
  <c r="K61" i="9"/>
  <c r="K5" i="11" s="1"/>
  <c r="Q64" i="9"/>
  <c r="S48" i="9"/>
  <c r="S2" i="10" s="1"/>
  <c r="T49" i="9"/>
  <c r="T3" i="10" s="1"/>
  <c r="S58" i="9"/>
  <c r="S71" i="9" s="1"/>
  <c r="X63" i="9"/>
  <c r="X7" i="11" s="1"/>
  <c r="U61" i="9"/>
  <c r="U5" i="11" s="1"/>
  <c r="R61" i="9"/>
  <c r="R5" i="11" s="1"/>
  <c r="AB58" i="9"/>
  <c r="Y51" i="9"/>
  <c r="Y5" i="10" s="1"/>
  <c r="AB59" i="9"/>
  <c r="AB3" i="11" s="1"/>
  <c r="M48" i="9"/>
  <c r="M2" i="10" s="1"/>
  <c r="AA52" i="9"/>
  <c r="AA6" i="10" s="1"/>
  <c r="V54" i="9"/>
  <c r="V8" i="10" s="1"/>
  <c r="J58" i="9"/>
  <c r="T51" i="9"/>
  <c r="T5" i="10" s="1"/>
  <c r="K58" i="9"/>
  <c r="I48" i="9"/>
  <c r="I2" i="10" s="1"/>
  <c r="C51" i="9"/>
  <c r="C5" i="10" s="1"/>
  <c r="Z48" i="9"/>
  <c r="N60" i="9"/>
  <c r="N4" i="11" s="1"/>
  <c r="D48" i="9"/>
  <c r="Q58" i="9"/>
  <c r="Q2" i="11" s="1"/>
  <c r="I58" i="9"/>
  <c r="I2" i="11" s="1"/>
  <c r="U54" i="9"/>
  <c r="U70" i="9" s="1"/>
  <c r="X58" i="9"/>
  <c r="X2" i="11" s="1"/>
  <c r="C48" i="9"/>
  <c r="U58" i="9"/>
  <c r="U2" i="11" s="1"/>
  <c r="M51" i="9"/>
  <c r="M5" i="10" s="1"/>
  <c r="I61" i="9"/>
  <c r="I5" i="11" s="1"/>
  <c r="Q51" i="9"/>
  <c r="Q5" i="10" s="1"/>
  <c r="W48" i="9"/>
  <c r="W2" i="10" s="1"/>
  <c r="AB63" i="9"/>
  <c r="AB7" i="11" s="1"/>
  <c r="J48" i="9"/>
  <c r="D61" i="9"/>
  <c r="D5" i="11" s="1"/>
  <c r="R64" i="9"/>
  <c r="R8" i="11" s="1"/>
  <c r="F49" i="9"/>
  <c r="F3" i="10" s="1"/>
  <c r="U65" i="9"/>
  <c r="U9" i="11" s="1"/>
  <c r="Y48" i="9"/>
  <c r="Y68" i="9" s="1"/>
  <c r="M58" i="9"/>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V73" i="9" s="1"/>
  <c r="AB51" i="9"/>
  <c r="AB5" i="10" s="1"/>
  <c r="W65" i="9"/>
  <c r="W9" i="11" s="1"/>
  <c r="Q50" i="9"/>
  <c r="Q4" i="10" s="1"/>
  <c r="Z61" i="9"/>
  <c r="Z5" i="11" s="1"/>
  <c r="J64" i="9"/>
  <c r="J73" i="9" s="1"/>
  <c r="E58" i="9"/>
  <c r="AA50" i="9"/>
  <c r="AA4" i="10" s="1"/>
  <c r="O61" i="9"/>
  <c r="O5" i="11" s="1"/>
  <c r="E54" i="9"/>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K65" i="9"/>
  <c r="O64" i="9"/>
  <c r="O62" i="9"/>
  <c r="O6" i="11" s="1"/>
  <c r="N65" i="9"/>
  <c r="N9" i="11" s="1"/>
  <c r="I50" i="9"/>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P2" i="11"/>
  <c r="T2" i="10"/>
  <c r="I62" i="9"/>
  <c r="I6" i="11" s="1"/>
  <c r="J62" i="9"/>
  <c r="J6" i="11" s="1"/>
  <c r="P52" i="9"/>
  <c r="P6" i="10" s="1"/>
  <c r="J2" i="10"/>
  <c r="E62" i="9"/>
  <c r="E6" i="11" s="1"/>
  <c r="AA2" i="10"/>
  <c r="I4" i="11"/>
  <c r="L4" i="10"/>
  <c r="S62" i="9"/>
  <c r="S6" i="11" s="1"/>
  <c r="AB62" i="9"/>
  <c r="AB6" i="11" s="1"/>
  <c r="AA49" i="9"/>
  <c r="AA3" i="10" s="1"/>
  <c r="H53" i="9"/>
  <c r="H7" i="10" s="1"/>
  <c r="R62" i="9"/>
  <c r="R6" i="11" s="1"/>
  <c r="AA4" i="11"/>
  <c r="AB49" i="9"/>
  <c r="AB3" i="10" s="1"/>
  <c r="S52" i="9"/>
  <c r="S6" i="10" s="1"/>
  <c r="O2" i="10"/>
  <c r="L2" i="10"/>
  <c r="G62" i="9"/>
  <c r="G6" i="11" s="1"/>
  <c r="J4" i="11"/>
  <c r="Z62" i="9"/>
  <c r="Z6" i="11" s="1"/>
  <c r="O4" i="10"/>
  <c r="B71" i="9"/>
  <c r="B2" i="11"/>
  <c r="Y62" i="9"/>
  <c r="Y6" i="11" s="1"/>
  <c r="F52" i="9"/>
  <c r="F6" i="10" s="1"/>
  <c r="N55" i="9"/>
  <c r="N9" i="10" s="1"/>
  <c r="N49" i="9"/>
  <c r="N3" i="10" s="1"/>
  <c r="N53" i="9"/>
  <c r="N7" i="10" s="1"/>
  <c r="M53" i="9"/>
  <c r="M7" i="10" s="1"/>
  <c r="Q63" i="9"/>
  <c r="Q7" i="11" s="1"/>
  <c r="R63" i="9"/>
  <c r="R7" i="11" s="1"/>
  <c r="N62" i="9"/>
  <c r="N6" i="11" s="1"/>
  <c r="Q53" i="9"/>
  <c r="Q7" i="10" s="1"/>
  <c r="C62" i="9"/>
  <c r="C6" i="11" s="1"/>
  <c r="M2" i="11"/>
  <c r="O63" i="9"/>
  <c r="O7" i="11" s="1"/>
  <c r="R4" i="11"/>
  <c r="AB4" i="11"/>
  <c r="K2" i="10"/>
  <c r="Q52" i="9"/>
  <c r="Q6" i="10" s="1"/>
  <c r="P65" i="9"/>
  <c r="P9" i="11" s="1"/>
  <c r="X4" i="11"/>
  <c r="D4" i="11"/>
  <c r="Q59" i="9"/>
  <c r="Q3" i="11" s="1"/>
  <c r="L49" i="9"/>
  <c r="L3" i="10" s="1"/>
  <c r="K49" i="9"/>
  <c r="K3" i="10" s="1"/>
  <c r="M49" i="9"/>
  <c r="M3" i="10" s="1"/>
  <c r="P50" i="9"/>
  <c r="P49" i="9"/>
  <c r="P3" i="10" s="1"/>
  <c r="T62" i="9"/>
  <c r="T6" i="11" s="1"/>
  <c r="U52" i="9"/>
  <c r="U6" i="10" s="1"/>
  <c r="J53" i="9"/>
  <c r="J7" i="10" s="1"/>
  <c r="J49" i="9"/>
  <c r="J3" i="10" s="1"/>
  <c r="K62" i="9"/>
  <c r="K6" i="11" s="1"/>
  <c r="Z63" i="9"/>
  <c r="Z7" i="11" s="1"/>
  <c r="B8" i="11"/>
  <c r="D62" i="9"/>
  <c r="D6" i="11" s="1"/>
  <c r="R8" i="10"/>
  <c r="C2" i="10"/>
  <c r="G4" i="11"/>
  <c r="D8" i="11"/>
  <c r="D73" i="9"/>
  <c r="D4" i="10"/>
  <c r="Y2" i="11"/>
  <c r="Q62" i="9"/>
  <c r="Q6" i="11" s="1"/>
  <c r="M62" i="9"/>
  <c r="M6" i="11" s="1"/>
  <c r="V2" i="11"/>
  <c r="L8" i="10"/>
  <c r="C2" i="11"/>
  <c r="AB52" i="9"/>
  <c r="AB6" i="10" s="1"/>
  <c r="M4" i="11"/>
  <c r="U49" i="9"/>
  <c r="U3" i="10" s="1"/>
  <c r="U53" i="9"/>
  <c r="U7" i="10" s="1"/>
  <c r="Y52" i="9"/>
  <c r="Y6" i="10" s="1"/>
  <c r="K59" i="9"/>
  <c r="K3" i="11" s="1"/>
  <c r="O52" i="9"/>
  <c r="O6" i="10" s="1"/>
  <c r="D63" i="9"/>
  <c r="D7" i="11" s="1"/>
  <c r="N61" i="9"/>
  <c r="N5" i="11" s="1"/>
  <c r="G63" i="9"/>
  <c r="G7" i="11" s="1"/>
  <c r="G4" i="10"/>
  <c r="AB2" i="11"/>
  <c r="B52" i="9"/>
  <c r="B6" i="10" s="1"/>
  <c r="O4" i="11"/>
  <c r="V2" i="10"/>
  <c r="W4" i="11"/>
  <c r="M52" i="9"/>
  <c r="M6" i="10" s="1"/>
  <c r="K70" i="9"/>
  <c r="K8" i="10"/>
  <c r="I4" i="10"/>
  <c r="H59" i="9"/>
  <c r="H3" i="11" s="1"/>
  <c r="G59" i="9"/>
  <c r="G3" i="11" s="1"/>
  <c r="U8" i="10"/>
  <c r="Z59" i="9"/>
  <c r="Z3" i="11" s="1"/>
  <c r="Z53" i="9"/>
  <c r="Z7" i="10" s="1"/>
  <c r="T8" i="10"/>
  <c r="R59" i="9"/>
  <c r="R3" i="11" s="1"/>
  <c r="Z2" i="10"/>
  <c r="Z68" i="9"/>
  <c r="Z52" i="9"/>
  <c r="Z6" i="10" s="1"/>
  <c r="C52" i="9"/>
  <c r="C6" i="10" s="1"/>
  <c r="N63" i="9"/>
  <c r="N7" i="11" s="1"/>
  <c r="Z4" i="11"/>
  <c r="C4" i="10"/>
  <c r="H63" i="9"/>
  <c r="H7" i="11" s="1"/>
  <c r="H4" i="10"/>
  <c r="X59" i="9"/>
  <c r="X3" i="11" s="1"/>
  <c r="L62" i="9"/>
  <c r="L6" i="11" s="1"/>
  <c r="V4" i="11"/>
  <c r="W63" i="9"/>
  <c r="W7" i="11" s="1"/>
  <c r="O58" i="9"/>
  <c r="H49" i="9"/>
  <c r="H3" i="10" s="1"/>
  <c r="E63" i="9"/>
  <c r="E7" i="11" s="1"/>
  <c r="J2" i="11"/>
  <c r="T71" i="9"/>
  <c r="U2" i="10"/>
  <c r="D2" i="10"/>
  <c r="M4" i="10"/>
  <c r="V52" i="9"/>
  <c r="V6" i="10" s="1"/>
  <c r="J52" i="9"/>
  <c r="J6" i="10" s="1"/>
  <c r="Y4" i="10"/>
  <c r="V8" i="11"/>
  <c r="X49" i="9"/>
  <c r="X3" i="10" s="1"/>
  <c r="L52" i="9"/>
  <c r="L6" i="10" s="1"/>
  <c r="G8" i="11"/>
  <c r="V4" i="10"/>
  <c r="K52" i="9"/>
  <c r="K6" i="10" s="1"/>
  <c r="E49" i="9"/>
  <c r="E3" i="10" s="1"/>
  <c r="F63" i="9"/>
  <c r="F7" i="11" s="1"/>
  <c r="Y59" i="9"/>
  <c r="Y3" i="11" s="1"/>
  <c r="E4" i="10"/>
  <c r="J4" i="10"/>
  <c r="R2" i="10"/>
  <c r="H52" i="9"/>
  <c r="H6" i="10" s="1"/>
  <c r="F62" i="9"/>
  <c r="F6" i="11" s="1"/>
  <c r="P55" i="9"/>
  <c r="P9" i="10" s="1"/>
  <c r="P54" i="9"/>
  <c r="P53" i="9"/>
  <c r="P7" i="10" s="1"/>
  <c r="P59" i="9"/>
  <c r="P3" i="11" s="1"/>
  <c r="P48" i="9"/>
  <c r="N73" i="9"/>
  <c r="N8" i="11"/>
  <c r="N4" i="10"/>
  <c r="S4" i="10"/>
  <c r="R4" i="10"/>
  <c r="B49" i="9"/>
  <c r="B3" i="10" s="1"/>
  <c r="C4" i="11"/>
  <c r="AB73" i="9"/>
  <c r="F73" i="9"/>
  <c r="J8" i="10"/>
  <c r="X53" i="9"/>
  <c r="X7" i="10" s="1"/>
  <c r="I59" i="9"/>
  <c r="I3" i="11" s="1"/>
  <c r="T4" i="10"/>
  <c r="B53" i="9"/>
  <c r="B7" i="10" s="1"/>
  <c r="Q4" i="11"/>
  <c r="S8" i="11"/>
  <c r="N54" i="9"/>
  <c r="R53" i="9"/>
  <c r="R7" i="10" s="1"/>
  <c r="U59" i="9"/>
  <c r="U3" i="11" s="1"/>
  <c r="P62" i="9"/>
  <c r="P6" i="11" s="1"/>
  <c r="H2" i="11"/>
  <c r="C8" i="11"/>
  <c r="W2" i="11"/>
  <c r="R52" i="9"/>
  <c r="R6" i="10" s="1"/>
  <c r="B62" i="9"/>
  <c r="B6" i="11" s="1"/>
  <c r="X62" i="9"/>
  <c r="X6" i="11" s="1"/>
  <c r="V62" i="9"/>
  <c r="V6" i="11" s="1"/>
  <c r="W62" i="9"/>
  <c r="W6" i="11" s="1"/>
  <c r="I52" i="9"/>
  <c r="I6" i="10" s="1"/>
  <c r="P61" i="9"/>
  <c r="P5" i="11" s="1"/>
  <c r="E8" i="10"/>
  <c r="Z2" i="11"/>
  <c r="Q68" i="9"/>
  <c r="Q2" i="10"/>
  <c r="K4" i="10"/>
  <c r="S49" i="9"/>
  <c r="S3" i="10" s="1"/>
  <c r="E59" i="9"/>
  <c r="E3" i="11" s="1"/>
  <c r="O54" i="9"/>
  <c r="O53" i="9"/>
  <c r="O7" i="10" s="1"/>
  <c r="W49" i="9"/>
  <c r="W3" i="10" s="1"/>
  <c r="W59" i="9"/>
  <c r="W3" i="11" s="1"/>
  <c r="B2" i="10"/>
  <c r="E2" i="11"/>
  <c r="G2" i="10"/>
  <c r="G68" i="9"/>
  <c r="P51" i="9"/>
  <c r="P5" i="10" s="1"/>
  <c r="N58" i="9"/>
  <c r="G52" i="9"/>
  <c r="G6" i="10" s="1"/>
  <c r="E53" i="9"/>
  <c r="E7" i="10" s="1"/>
  <c r="V53" i="9"/>
  <c r="V7" i="10" s="1"/>
  <c r="AA2" i="11"/>
  <c r="P63" i="9"/>
  <c r="P7" i="11" s="1"/>
  <c r="S53" i="9"/>
  <c r="S7" i="10" s="1"/>
  <c r="W52" i="9"/>
  <c r="W6" i="10" s="1"/>
  <c r="F71" i="9"/>
  <c r="F2" i="11"/>
  <c r="O59" i="9"/>
  <c r="O3" i="11" s="1"/>
  <c r="K69" i="9" l="1"/>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<sst xmlns="http://schemas.openxmlformats.org/spreadsheetml/2006/main" count="5677" uniqueCount="335">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</sst>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42</v>
      </c>
    </row>
    <row r="2" spans="1:2" x14ac:dyDescent="0.25">
      <c r="A2" s="3" t="s">
        <v>2</v>
      </c>
      <c r="B2" s="4" t="str">
        <f>IFERROR(INDEX(Geography!B:B, MATCH($B$1, Geography!C:C, 0)), "")</f>
        <v>AZ</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3784109</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1.0066723642656474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3798275</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0.99343990040163399</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6137861</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1.0772050337027073</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443135</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0.42780230410203979</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336506</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0.68730889584593724</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664882</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1.8520726033990469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2435663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1.6461364546050967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5146721</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7582384</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0.84334317541208337</v>
      </c>
    </row>
    <row r="12" spans="1:28" x14ac:dyDescent="0.25">
      <c r="A12" s="4" t="s">
        <v>319</v>
      </c>
    </row>
    <row r="13" spans="1:28" x14ac:dyDescent="0.25">
      <c r="A13" s="4" t="s">
        <v>320</v>
      </c>
      <c r="B13" s="37">
        <f>INDEX(Census_pop_2020_2025!G:G, MATCH("."&amp;About!$B$1, Census_pop_2020_2025!A:A, 0))</f>
        <v>7556424</v>
      </c>
      <c r="C13" s="37">
        <f>INDEX(Census_pop_2020_2025!H:H, MATCH("."&amp;About!$B$1, Census_pop_2020_2025!A:A, 0))</f>
        <v>7623818</v>
      </c>
      <c r="D13" s="37">
        <f>INDEX(Census_pop_2020_2025!H:H, MATCH("."&amp;About!$B$1, Census_pop_2020_2025!A:A, 0))+0.2*(INDEX(Cooper_pop_2030_2050!D:D, MATCH(About!$B$1, Cooper_pop_2030_2050!B:B, 0))-INDEX(Census_pop_2020_2025!H:H, MATCH("."&amp;About!$B$1, Census_pop_2020_2025!A:A, 0)))</f>
        <v>7652301.5789602641</v>
      </c>
      <c r="E13" s="37">
        <f>INDEX(Census_pop_2020_2025!H:H, MATCH("."&amp;About!$B$1, Census_pop_2020_2025!A:A, 0))+0.4*(INDEX(Cooper_pop_2030_2050!D:D, MATCH(About!$B$1, Cooper_pop_2030_2050!B:B, 0))-INDEX(Census_pop_2020_2025!H:H, MATCH("."&amp;About!$B$1, Census_pop_2020_2025!A:A, 0)))</f>
        <v>7680785.1579205282</v>
      </c>
      <c r="F13" s="37">
        <f>INDEX(Census_pop_2020_2025!H:H, MATCH("."&amp;About!$B$1, Census_pop_2020_2025!A:A, 0))+0.6*(INDEX(Cooper_pop_2030_2050!D:D, MATCH(About!$B$1, Cooper_pop_2030_2050!B:B, 0))-INDEX(Census_pop_2020_2025!H:H, MATCH("."&amp;About!$B$1, Census_pop_2020_2025!A:A, 0)))</f>
        <v>7709268.7368807932</v>
      </c>
      <c r="G13" s="37">
        <f>INDEX(Census_pop_2020_2025!H:H, MATCH("."&amp;About!$B$1, Census_pop_2020_2025!A:A, 0))+0.8*(INDEX(Cooper_pop_2030_2050!D:D, MATCH(About!$B$1, Cooper_pop_2030_2050!B:B, 0))-INDEX(Census_pop_2020_2025!H:H, MATCH("."&amp;About!$B$1, Census_pop_2020_2025!A:A, 0)))</f>
        <v>7737752.3158410573</v>
      </c>
      <c r="H13" s="37">
        <f>INDEX(Cooper_pop_2030_2050!D:D, MATCH(About!$B$1, Cooper_pop_2030_2050!B:B, 0))</f>
        <v>7766235.8948013214</v>
      </c>
      <c r="I13" s="37">
        <f>INDEX(Cooper_pop_2030_2050!D:D, MATCH(About!$B$1, Cooper_pop_2030_2050!B:B, 0))+0.1*(INDEX(Cooper_pop_2030_2050!E:E, MATCH(About!$B$1, Cooper_pop_2030_2050!B:B, 0))-INDEX(Cooper_pop_2030_2050!D:D, MATCH(About!$B$1, Cooper_pop_2030_2050!B:B, 0)))</f>
        <v>7825015.3352482785</v>
      </c>
      <c r="J13" s="37">
        <f>INDEX(Cooper_pop_2030_2050!D:D, MATCH(About!$B$1, Cooper_pop_2030_2050!B:B, 0))+0.2*(INDEX(Cooper_pop_2030_2050!E:E, MATCH(About!$B$1, Cooper_pop_2030_2050!B:B, 0))-INDEX(Cooper_pop_2030_2050!D:D, MATCH(About!$B$1, Cooper_pop_2030_2050!B:B, 0)))</f>
        <v>7883794.7756952345</v>
      </c>
      <c r="K13" s="37">
        <f>INDEX(Cooper_pop_2030_2050!D:D, MATCH(About!$B$1, Cooper_pop_2030_2050!B:B, 0))+0.3*(INDEX(Cooper_pop_2030_2050!E:E, MATCH(About!$B$1, Cooper_pop_2030_2050!B:B, 0))-INDEX(Cooper_pop_2030_2050!D:D, MATCH(About!$B$1, Cooper_pop_2030_2050!B:B, 0)))</f>
        <v>7942574.2161421906</v>
      </c>
      <c r="L13" s="37">
        <f>INDEX(Cooper_pop_2030_2050!D:D, MATCH(About!$B$1, Cooper_pop_2030_2050!B:B, 0))+0.4*(INDEX(Cooper_pop_2030_2050!E:E, MATCH(About!$B$1, Cooper_pop_2030_2050!B:B, 0))-INDEX(Cooper_pop_2030_2050!D:D, MATCH(About!$B$1, Cooper_pop_2030_2050!B:B, 0)))</f>
        <v>8001353.6565891476</v>
      </c>
      <c r="M13" s="37">
        <f>INDEX(Cooper_pop_2030_2050!D:D, MATCH(About!$B$1, Cooper_pop_2030_2050!B:B, 0))+0.5*(INDEX(Cooper_pop_2030_2050!E:E, MATCH(About!$B$1, Cooper_pop_2030_2050!B:B, 0))-INDEX(Cooper_pop_2030_2050!D:D, MATCH(About!$B$1, Cooper_pop_2030_2050!B:B, 0)))</f>
        <v>8060133.0970361046</v>
      </c>
      <c r="N13" s="37">
        <f>INDEX(Cooper_pop_2030_2050!D:D, MATCH(About!$B$1, Cooper_pop_2030_2050!B:B, 0))+0.6*(INDEX(Cooper_pop_2030_2050!E:E, MATCH(About!$B$1, Cooper_pop_2030_2050!B:B, 0))-INDEX(Cooper_pop_2030_2050!D:D, MATCH(About!$B$1, Cooper_pop_2030_2050!B:B, 0)))</f>
        <v>8118912.5374830607</v>
      </c>
      <c r="O13" s="37">
        <f>INDEX(Cooper_pop_2030_2050!D:D, MATCH(About!$B$1, Cooper_pop_2030_2050!B:B, 0))+0.7*(INDEX(Cooper_pop_2030_2050!E:E, MATCH(About!$B$1, Cooper_pop_2030_2050!B:B, 0))-INDEX(Cooper_pop_2030_2050!D:D, MATCH(About!$B$1, Cooper_pop_2030_2050!B:B, 0)))</f>
        <v>8177691.9779300168</v>
      </c>
      <c r="P13" s="37">
        <f>INDEX(Cooper_pop_2030_2050!D:D, MATCH(About!$B$1, Cooper_pop_2030_2050!B:B, 0))+0.8*(INDEX(Cooper_pop_2030_2050!E:E, MATCH(About!$B$1, Cooper_pop_2030_2050!B:B, 0))-INDEX(Cooper_pop_2030_2050!D:D, MATCH(About!$B$1, Cooper_pop_2030_2050!B:B, 0)))</f>
        <v>8236471.4183769738</v>
      </c>
      <c r="Q13" s="37">
        <f>INDEX(Cooper_pop_2030_2050!D:D, MATCH(About!$B$1, Cooper_pop_2030_2050!B:B, 0))+0.9*(INDEX(Cooper_pop_2030_2050!E:E, MATCH(About!$B$1, Cooper_pop_2030_2050!B:B, 0))-INDEX(Cooper_pop_2030_2050!D:D, MATCH(About!$B$1, Cooper_pop_2030_2050!B:B, 0)))</f>
        <v>8295250.8588239308</v>
      </c>
      <c r="R13" s="37">
        <f>INDEX(Cooper_pop_2030_2050!E:E, MATCH(About!$B$1, Cooper_pop_2030_2050!B:B, 0))</f>
        <v>8354030.2992708869</v>
      </c>
      <c r="S13" s="37">
        <f>INDEX(Cooper_pop_2030_2050!E:E, MATCH(About!$B$1, Cooper_pop_2030_2050!B:B, 0))+0.1*(INDEX(Cooper_pop_2030_2050!F:F, MATCH(About!$B$1, Cooper_pop_2030_2050!B:B, 0))-INDEX(Cooper_pop_2030_2050!E:E, MATCH(About!$B$1, Cooper_pop_2030_2050!B:B, 0)))</f>
        <v>8406728.4449421857</v>
      </c>
      <c r="T13" s="37">
        <f>INDEX(Cooper_pop_2030_2050!E:E, MATCH(About!$B$1, Cooper_pop_2030_2050!B:B, 0))+0.2*(INDEX(Cooper_pop_2030_2050!F:F, MATCH(About!$B$1, Cooper_pop_2030_2050!B:B, 0))-INDEX(Cooper_pop_2030_2050!E:E, MATCH(About!$B$1, Cooper_pop_2030_2050!B:B, 0)))</f>
        <v>8459426.5906134844</v>
      </c>
      <c r="U13" s="37">
        <f>INDEX(Cooper_pop_2030_2050!E:E, MATCH(About!$B$1, Cooper_pop_2030_2050!B:B, 0))+0.3*(INDEX(Cooper_pop_2030_2050!F:F, MATCH(About!$B$1, Cooper_pop_2030_2050!B:B, 0))-INDEX(Cooper_pop_2030_2050!E:E, MATCH(About!$B$1, Cooper_pop_2030_2050!B:B, 0)))</f>
        <v>8512124.7362847831</v>
      </c>
      <c r="V13" s="37">
        <f>INDEX(Cooper_pop_2030_2050!E:E, MATCH(About!$B$1, Cooper_pop_2030_2050!B:B, 0))+0.4*(INDEX(Cooper_pop_2030_2050!F:F, MATCH(About!$B$1, Cooper_pop_2030_2050!B:B, 0))-INDEX(Cooper_pop_2030_2050!E:E, MATCH(About!$B$1, Cooper_pop_2030_2050!B:B, 0)))</f>
        <v>8564822.8819560818</v>
      </c>
      <c r="W13" s="37">
        <f>INDEX(Cooper_pop_2030_2050!E:E, MATCH(About!$B$1, Cooper_pop_2030_2050!B:B, 0))+0.5*(INDEX(Cooper_pop_2030_2050!F:F, MATCH(About!$B$1, Cooper_pop_2030_2050!B:B, 0))-INDEX(Cooper_pop_2030_2050!E:E, MATCH(About!$B$1, Cooper_pop_2030_2050!B:B, 0)))</f>
        <v>8617521.0276273806</v>
      </c>
      <c r="X13" s="37">
        <f>INDEX(Cooper_pop_2030_2050!E:E, MATCH(About!$B$1, Cooper_pop_2030_2050!B:B, 0))+0.6*(INDEX(Cooper_pop_2030_2050!F:F, MATCH(About!$B$1, Cooper_pop_2030_2050!B:B, 0))-INDEX(Cooper_pop_2030_2050!E:E, MATCH(About!$B$1, Cooper_pop_2030_2050!B:B, 0)))</f>
        <v>8670219.1732986793</v>
      </c>
      <c r="Y13" s="37">
        <f>INDEX(Cooper_pop_2030_2050!E:E, MATCH(About!$B$1, Cooper_pop_2030_2050!B:B, 0))+0.7*(INDEX(Cooper_pop_2030_2050!F:F, MATCH(About!$B$1, Cooper_pop_2030_2050!B:B, 0))-INDEX(Cooper_pop_2030_2050!E:E, MATCH(About!$B$1, Cooper_pop_2030_2050!B:B, 0)))</f>
        <v>8722917.318969978</v>
      </c>
      <c r="Z13" s="37">
        <f>INDEX(Cooper_pop_2030_2050!E:E, MATCH(About!$B$1, Cooper_pop_2030_2050!B:B, 0))+0.8*(INDEX(Cooper_pop_2030_2050!F:F, MATCH(About!$B$1, Cooper_pop_2030_2050!B:B, 0))-INDEX(Cooper_pop_2030_2050!E:E, MATCH(About!$B$1, Cooper_pop_2030_2050!B:B, 0)))</f>
        <v>8775615.4646412767</v>
      </c>
      <c r="AA13" s="37">
        <f>INDEX(Cooper_pop_2030_2050!E:E, MATCH(About!$B$1, Cooper_pop_2030_2050!B:B, 0))+0.9*(INDEX(Cooper_pop_2030_2050!F:F, MATCH(About!$B$1, Cooper_pop_2030_2050!B:B, 0))-INDEX(Cooper_pop_2030_2050!E:E, MATCH(About!$B$1, Cooper_pop_2030_2050!B:B, 0)))</f>
        <v>8828313.6103125755</v>
      </c>
      <c r="AB13" s="37">
        <f>INDEX(Cooper_pop_2030_2050!F:F, MATCH(About!$B$1, Cooper_pop_2030_2050!B:B, 0))</f>
        <v>8881011.7559838742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2.2457130625715655E-2</v>
      </c>
      <c r="C15" s="39">
        <f t="shared" si="1"/>
        <v>2.2554589600377775E-2</v>
      </c>
      <c r="D15" s="39">
        <f t="shared" si="1"/>
        <v>2.2539050241678533E-2</v>
      </c>
      <c r="E15" s="39">
        <f t="shared" si="1"/>
        <v>2.2526245666488774E-2</v>
      </c>
      <c r="F15" s="39">
        <f t="shared" si="1"/>
        <v>2.2516388737928009E-2</v>
      </c>
      <c r="G15" s="39">
        <f t="shared" si="1"/>
        <v>2.2509576675013476E-2</v>
      </c>
      <c r="H15" s="39">
        <f t="shared" si="1"/>
        <v>2.2506029677472748E-2</v>
      </c>
      <c r="I15" s="39">
        <f t="shared" si="1"/>
        <v>2.2593497615240873E-2</v>
      </c>
      <c r="J15" s="39">
        <f t="shared" si="1"/>
        <v>2.2684235286481395E-2</v>
      </c>
      <c r="K15" s="39">
        <f t="shared" si="1"/>
        <v>2.2777553608302414E-2</v>
      </c>
      <c r="L15" s="39">
        <f t="shared" si="1"/>
        <v>2.2873581310214032E-2</v>
      </c>
      <c r="M15" s="39">
        <f t="shared" si="1"/>
        <v>2.2972434004781519E-2</v>
      </c>
      <c r="N15" s="39">
        <f t="shared" si="1"/>
        <v>2.3074207796938841E-2</v>
      </c>
      <c r="O15" s="39">
        <f t="shared" si="1"/>
        <v>2.3179001741798426E-2</v>
      </c>
      <c r="P15" s="39">
        <f t="shared" si="1"/>
        <v>2.3286887637695489E-2</v>
      </c>
      <c r="Q15" s="39">
        <f t="shared" si="1"/>
        <v>2.3397891005877948E-2</v>
      </c>
      <c r="R15" s="39">
        <f t="shared" si="1"/>
        <v>2.3512010226383943E-2</v>
      </c>
      <c r="S15" s="39">
        <f t="shared" si="1"/>
        <v>2.3612180959427707E-2</v>
      </c>
      <c r="T15" s="39">
        <f t="shared" si="1"/>
        <v>2.3715440698607478E-2</v>
      </c>
      <c r="U15" s="39">
        <f t="shared" si="1"/>
        <v>2.382163954370705E-2</v>
      </c>
      <c r="V15" s="39">
        <f t="shared" si="1"/>
        <v>2.3930543899664952E-2</v>
      </c>
      <c r="W15" s="39">
        <f t="shared" si="1"/>
        <v>2.4041875238557331E-2</v>
      </c>
      <c r="X15" s="39">
        <f t="shared" si="1"/>
        <v>2.4155338753788089E-2</v>
      </c>
      <c r="Y15" s="39">
        <f t="shared" si="1"/>
        <v>2.4270755233651995E-2</v>
      </c>
      <c r="Z15" s="39">
        <f t="shared" si="1"/>
        <v>2.4387835693366802E-2</v>
      </c>
      <c r="AA15" s="39">
        <f t="shared" si="1"/>
        <v>2.4506279467490732E-2</v>
      </c>
      <c r="AB15" s="39">
        <f t="shared" si="1"/>
        <v>2.4625784528136331E-2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212.75422084774729</v>
      </c>
      <c r="C48" s="37">
        <f t="shared" si="10"/>
        <v>212.06546623542135</v>
      </c>
      <c r="D48" s="37">
        <f t="shared" si="10"/>
        <v>210.28572060651953</v>
      </c>
      <c r="E48" s="37">
        <f t="shared" si="10"/>
        <v>208.5335444487076</v>
      </c>
      <c r="F48" s="37">
        <f t="shared" si="10"/>
        <v>206.76496497664465</v>
      </c>
      <c r="G48" s="37">
        <f t="shared" si="10"/>
        <v>204.98026829391469</v>
      </c>
      <c r="H48" s="37">
        <f t="shared" si="10"/>
        <v>203.18078461150793</v>
      </c>
      <c r="I48" s="37">
        <f t="shared" si="10"/>
        <v>202.26461223851715</v>
      </c>
      <c r="J48" s="37">
        <f t="shared" si="10"/>
        <v>201.2044078735654</v>
      </c>
      <c r="K48" s="37">
        <f t="shared" si="10"/>
        <v>200.17482957689043</v>
      </c>
      <c r="L48" s="37">
        <f t="shared" si="10"/>
        <v>199.01546541387222</v>
      </c>
      <c r="M48" s="37">
        <f t="shared" si="10"/>
        <v>197.88673857029892</v>
      </c>
      <c r="N48" s="37">
        <f t="shared" si="10"/>
        <v>196.81226167271515</v>
      </c>
      <c r="O48" s="37">
        <f t="shared" si="10"/>
        <v>195.46607388061489</v>
      </c>
      <c r="P48" s="37">
        <f t="shared" si="10"/>
        <v>194.19573348765334</v>
      </c>
      <c r="Q48" s="37">
        <f t="shared" si="10"/>
        <v>192.78957395941433</v>
      </c>
      <c r="R48" s="37">
        <f t="shared" si="10"/>
        <v>191.36298311433075</v>
      </c>
      <c r="S48" s="37">
        <f t="shared" si="10"/>
        <v>189.72998511458903</v>
      </c>
      <c r="T48" s="37">
        <f t="shared" si="10"/>
        <v>188.10071493167365</v>
      </c>
      <c r="U48" s="37">
        <f t="shared" si="10"/>
        <v>186.47303829234787</v>
      </c>
      <c r="V48" s="37">
        <f t="shared" si="10"/>
        <v>184.84423661886487</v>
      </c>
      <c r="W48" s="37">
        <f t="shared" si="10"/>
        <v>183.23554809686902</v>
      </c>
      <c r="X48" s="37">
        <f t="shared" si="10"/>
        <v>181.81456002147405</v>
      </c>
      <c r="Y48" s="37">
        <f t="shared" si="10"/>
        <v>180.3866134210316</v>
      </c>
      <c r="Z48" s="37">
        <f t="shared" si="10"/>
        <v>179.07178622107443</v>
      </c>
      <c r="AA48" s="37">
        <f t="shared" si="10"/>
        <v>177.7705376601792</v>
      </c>
      <c r="AB48" s="37">
        <f t="shared" si="10"/>
        <v>176.45590854432237</v>
      </c>
    </row>
    <row r="49" spans="1:28" x14ac:dyDescent="0.25">
      <c r="A49" s="4" t="s">
        <v>216</v>
      </c>
      <c r="B49" s="37">
        <f t="shared" ref="B49:AB49" si="11">B29*B15*$F$5</f>
        <v>167.41281132932929</v>
      </c>
      <c r="C49" s="37">
        <f t="shared" si="11"/>
        <v>167.22067406438333</v>
      </c>
      <c r="D49" s="37">
        <f t="shared" si="11"/>
        <v>166.18742574177935</v>
      </c>
      <c r="E49" s="37">
        <f t="shared" si="11"/>
        <v>165.15311783488437</v>
      </c>
      <c r="F49" s="37">
        <f t="shared" si="11"/>
        <v>164.09662903551285</v>
      </c>
      <c r="G49" s="37">
        <f t="shared" si="11"/>
        <v>163.06305946090995</v>
      </c>
      <c r="H49" s="37">
        <f t="shared" si="11"/>
        <v>162.03123697523571</v>
      </c>
      <c r="I49" s="37">
        <f t="shared" si="11"/>
        <v>161.53869470232621</v>
      </c>
      <c r="J49" s="37">
        <f t="shared" si="11"/>
        <v>161.12828477237855</v>
      </c>
      <c r="K49" s="37">
        <f t="shared" si="11"/>
        <v>160.5918427832122</v>
      </c>
      <c r="L49" s="37">
        <f t="shared" si="11"/>
        <v>160.10998067411171</v>
      </c>
      <c r="M49" s="37">
        <f t="shared" si="11"/>
        <v>159.5010887898062</v>
      </c>
      <c r="N49" s="37">
        <f t="shared" si="11"/>
        <v>158.78650364468115</v>
      </c>
      <c r="O49" s="37">
        <f t="shared" si="11"/>
        <v>158.19511339883911</v>
      </c>
      <c r="P49" s="37">
        <f t="shared" si="11"/>
        <v>157.38144105110885</v>
      </c>
      <c r="Q49" s="37">
        <f t="shared" si="11"/>
        <v>156.62075716366596</v>
      </c>
      <c r="R49" s="37">
        <f t="shared" si="11"/>
        <v>155.74960434240381</v>
      </c>
      <c r="S49" s="37">
        <f t="shared" si="11"/>
        <v>154.77115125855366</v>
      </c>
      <c r="T49" s="37">
        <f t="shared" si="11"/>
        <v>153.7516792876213</v>
      </c>
      <c r="U49" s="37">
        <f t="shared" si="11"/>
        <v>152.73628001015337</v>
      </c>
      <c r="V49" s="37">
        <f t="shared" si="11"/>
        <v>151.77038883436467</v>
      </c>
      <c r="W49" s="37">
        <f t="shared" si="11"/>
        <v>150.82845866964061</v>
      </c>
      <c r="X49" s="37">
        <f t="shared" si="11"/>
        <v>149.86049889918991</v>
      </c>
      <c r="Y49" s="37">
        <f t="shared" si="11"/>
        <v>148.98518503444657</v>
      </c>
      <c r="Z49" s="37">
        <f t="shared" si="11"/>
        <v>148.0806134683481</v>
      </c>
      <c r="AA49" s="37">
        <f t="shared" si="11"/>
        <v>147.24167976039476</v>
      </c>
      <c r="AB49" s="37">
        <f t="shared" si="11"/>
        <v>146.54077920437368</v>
      </c>
    </row>
    <row r="50" spans="1:28" x14ac:dyDescent="0.25">
      <c r="A50" s="4" t="s">
        <v>217</v>
      </c>
      <c r="B50" s="37">
        <f t="shared" ref="B50:AB50" si="12">B30*B15*$F$6</f>
        <v>238.47422887574061</v>
      </c>
      <c r="C50" s="37">
        <f t="shared" si="12"/>
        <v>237.92991959397719</v>
      </c>
      <c r="D50" s="37">
        <f t="shared" si="12"/>
        <v>236.21212641246026</v>
      </c>
      <c r="E50" s="37">
        <f t="shared" si="12"/>
        <v>234.47641740371785</v>
      </c>
      <c r="F50" s="37">
        <f t="shared" si="12"/>
        <v>232.74874690815159</v>
      </c>
      <c r="G50" s="37">
        <f t="shared" si="12"/>
        <v>231.05375380771926</v>
      </c>
      <c r="H50" s="37">
        <f t="shared" si="12"/>
        <v>229.29604878853962</v>
      </c>
      <c r="I50" s="37">
        <f t="shared" si="12"/>
        <v>228.48354203250221</v>
      </c>
      <c r="J50" s="37">
        <f t="shared" si="12"/>
        <v>227.56848609920911</v>
      </c>
      <c r="K50" s="37">
        <f t="shared" si="12"/>
        <v>226.56630494480703</v>
      </c>
      <c r="L50" s="37">
        <f t="shared" si="12"/>
        <v>225.45176287446208</v>
      </c>
      <c r="M50" s="37">
        <f t="shared" si="12"/>
        <v>224.22370123151265</v>
      </c>
      <c r="N50" s="37">
        <f t="shared" si="12"/>
        <v>222.88063854609334</v>
      </c>
      <c r="O50" s="37">
        <f t="shared" si="12"/>
        <v>221.34608362963843</v>
      </c>
      <c r="P50" s="37">
        <f t="shared" si="12"/>
        <v>219.71734787094897</v>
      </c>
      <c r="Q50" s="37">
        <f t="shared" si="12"/>
        <v>217.96701098474645</v>
      </c>
      <c r="R50" s="37">
        <f t="shared" si="12"/>
        <v>216.09214621539422</v>
      </c>
      <c r="S50" s="37">
        <f t="shared" si="12"/>
        <v>213.9860026464564</v>
      </c>
      <c r="T50" s="37">
        <f t="shared" si="12"/>
        <v>211.88177605266748</v>
      </c>
      <c r="U50" s="37">
        <f t="shared" si="12"/>
        <v>209.77695847507979</v>
      </c>
      <c r="V50" s="37">
        <f t="shared" si="12"/>
        <v>207.69417061753546</v>
      </c>
      <c r="W50" s="37">
        <f t="shared" si="12"/>
        <v>205.68214652946713</v>
      </c>
      <c r="X50" s="37">
        <f t="shared" si="12"/>
        <v>203.76459729910957</v>
      </c>
      <c r="Y50" s="37">
        <f t="shared" si="12"/>
        <v>201.8884445164212</v>
      </c>
      <c r="Z50" s="37">
        <f t="shared" si="12"/>
        <v>200.07764640199062</v>
      </c>
      <c r="AA50" s="37">
        <f t="shared" si="12"/>
        <v>198.38313131179297</v>
      </c>
      <c r="AB50" s="37">
        <f t="shared" si="12"/>
        <v>196.75090031303557</v>
      </c>
    </row>
    <row r="51" spans="1:28" x14ac:dyDescent="0.25">
      <c r="A51" s="4" t="s">
        <v>218</v>
      </c>
      <c r="B51" s="37">
        <f t="shared" ref="B51:AB51" si="13">B31*B15*$F$7</f>
        <v>44.94253878949327</v>
      </c>
      <c r="C51" s="37">
        <f t="shared" si="13"/>
        <v>44.529698416927346</v>
      </c>
      <c r="D51" s="37">
        <f t="shared" si="13"/>
        <v>43.901198969637782</v>
      </c>
      <c r="E51" s="37">
        <f t="shared" si="13"/>
        <v>43.259504517228372</v>
      </c>
      <c r="F51" s="37">
        <f t="shared" si="13"/>
        <v>42.604826070017701</v>
      </c>
      <c r="G51" s="37">
        <f t="shared" si="13"/>
        <v>41.956379673167014</v>
      </c>
      <c r="H51" s="37">
        <f t="shared" si="13"/>
        <v>41.285427238283894</v>
      </c>
      <c r="I51" s="37">
        <f t="shared" si="13"/>
        <v>40.788622424351225</v>
      </c>
      <c r="J51" s="37">
        <f t="shared" si="13"/>
        <v>40.292536443995267</v>
      </c>
      <c r="K51" s="37">
        <f t="shared" si="13"/>
        <v>39.795680014654927</v>
      </c>
      <c r="L51" s="37">
        <f t="shared" si="13"/>
        <v>39.317619824476019</v>
      </c>
      <c r="M51" s="37">
        <f t="shared" si="13"/>
        <v>38.868396083396846</v>
      </c>
      <c r="N51" s="37">
        <f t="shared" si="13"/>
        <v>38.418707523265901</v>
      </c>
      <c r="O51" s="37">
        <f t="shared" si="13"/>
        <v>37.998228308582576</v>
      </c>
      <c r="P51" s="37">
        <f t="shared" si="13"/>
        <v>37.577358752501858</v>
      </c>
      <c r="Q51" s="37">
        <f t="shared" si="13"/>
        <v>37.175920632307232</v>
      </c>
      <c r="R51" s="37">
        <f t="shared" si="13"/>
        <v>36.783905788592293</v>
      </c>
      <c r="S51" s="37">
        <f t="shared" si="13"/>
        <v>36.364843509542951</v>
      </c>
      <c r="T51" s="37">
        <f t="shared" si="13"/>
        <v>35.955723495449504</v>
      </c>
      <c r="U51" s="37">
        <f t="shared" si="13"/>
        <v>35.546041567590052</v>
      </c>
      <c r="V51" s="37">
        <f t="shared" si="13"/>
        <v>35.155718605387229</v>
      </c>
      <c r="W51" s="37">
        <f t="shared" si="13"/>
        <v>34.753588152699493</v>
      </c>
      <c r="X51" s="37">
        <f t="shared" si="13"/>
        <v>34.3699180472344</v>
      </c>
      <c r="Y51" s="37">
        <f t="shared" si="13"/>
        <v>34.014986496864708</v>
      </c>
      <c r="Z51" s="37">
        <f t="shared" si="13"/>
        <v>33.657413845233506</v>
      </c>
      <c r="AA51" s="37">
        <f t="shared" si="13"/>
        <v>33.317652485649802</v>
      </c>
      <c r="AB51" s="37">
        <f t="shared" si="13"/>
        <v>32.974447841360679</v>
      </c>
    </row>
    <row r="52" spans="1:28" x14ac:dyDescent="0.25">
      <c r="A52" s="4" t="s">
        <v>219</v>
      </c>
      <c r="B52" s="37">
        <f t="shared" ref="B52:AB52" si="14">B32*B15*$F$8</f>
        <v>13.289522648290832</v>
      </c>
      <c r="C52" s="37">
        <f t="shared" si="14"/>
        <v>13.393702144362736</v>
      </c>
      <c r="D52" s="37">
        <f t="shared" si="14"/>
        <v>13.430948200265961</v>
      </c>
      <c r="E52" s="37">
        <f t="shared" si="14"/>
        <v>13.485247950868782</v>
      </c>
      <c r="F52" s="37">
        <f t="shared" si="14"/>
        <v>13.541249996665297</v>
      </c>
      <c r="G52" s="37">
        <f t="shared" si="14"/>
        <v>13.599037383316954</v>
      </c>
      <c r="H52" s="37">
        <f t="shared" si="14"/>
        <v>13.658768861822226</v>
      </c>
      <c r="I52" s="37">
        <f t="shared" si="14"/>
        <v>13.773967454616139</v>
      </c>
      <c r="J52" s="37">
        <f t="shared" si="14"/>
        <v>13.89164934670413</v>
      </c>
      <c r="K52" s="37">
        <f t="shared" si="14"/>
        <v>14.042728052872798</v>
      </c>
      <c r="L52" s="37">
        <f t="shared" si="14"/>
        <v>14.164815538843293</v>
      </c>
      <c r="M52" s="37">
        <f t="shared" si="14"/>
        <v>14.289188216901644</v>
      </c>
      <c r="N52" s="37">
        <f t="shared" si="14"/>
        <v>14.415929429641279</v>
      </c>
      <c r="O52" s="37">
        <f t="shared" si="14"/>
        <v>14.545125427791445</v>
      </c>
      <c r="P52" s="37">
        <f t="shared" si="14"/>
        <v>14.66084108743685</v>
      </c>
      <c r="Q52" s="37">
        <f t="shared" si="14"/>
        <v>14.795052341783673</v>
      </c>
      <c r="R52" s="37">
        <f t="shared" si="14"/>
        <v>14.899532712364815</v>
      </c>
      <c r="S52" s="37">
        <f t="shared" si="14"/>
        <v>15.011697371958316</v>
      </c>
      <c r="T52" s="37">
        <f t="shared" si="14"/>
        <v>15.142545192424469</v>
      </c>
      <c r="U52" s="37">
        <f t="shared" si="14"/>
        <v>15.24309986275547</v>
      </c>
      <c r="V52" s="37">
        <f t="shared" si="14"/>
        <v>15.362129108163133</v>
      </c>
      <c r="W52" s="37">
        <f t="shared" si="14"/>
        <v>15.483170456649065</v>
      </c>
      <c r="X52" s="37">
        <f t="shared" si="14"/>
        <v>15.589446275983979</v>
      </c>
      <c r="Y52" s="37">
        <f t="shared" si="14"/>
        <v>15.73066014007202</v>
      </c>
      <c r="Z52" s="37">
        <f t="shared" si="14"/>
        <v>15.84006771924367</v>
      </c>
      <c r="AA52" s="37">
        <f t="shared" si="14"/>
        <v>15.950684536342088</v>
      </c>
      <c r="AB52" s="37">
        <f t="shared" si="14"/>
        <v>16.062319213931307</v>
      </c>
    </row>
    <row r="53" spans="1:28" x14ac:dyDescent="0.25">
      <c r="A53" s="4" t="s">
        <v>220</v>
      </c>
      <c r="B53" s="37">
        <f t="shared" ref="B53:AB53" si="15">B33*B15*$F$9</f>
        <v>63.137014829153635</v>
      </c>
      <c r="C53" s="37">
        <f t="shared" si="15"/>
        <v>63.954061081525929</v>
      </c>
      <c r="D53" s="37">
        <f t="shared" si="15"/>
        <v>64.327438444700363</v>
      </c>
      <c r="E53" s="37">
        <f t="shared" si="15"/>
        <v>64.79153653469659</v>
      </c>
      <c r="F53" s="37">
        <f t="shared" si="15"/>
        <v>65.22190721287491</v>
      </c>
      <c r="G53" s="37">
        <f t="shared" si="15"/>
        <v>65.577379440848901</v>
      </c>
      <c r="H53" s="37">
        <f t="shared" si="15"/>
        <v>66.108922349416005</v>
      </c>
      <c r="I53" s="37">
        <f t="shared" si="15"/>
        <v>66.742452727298172</v>
      </c>
      <c r="J53" s="37">
        <f t="shared" si="15"/>
        <v>67.430625378555945</v>
      </c>
      <c r="K53" s="37">
        <f t="shared" si="15"/>
        <v>68.003321012748685</v>
      </c>
      <c r="L53" s="37">
        <f t="shared" si="15"/>
        <v>68.628923923753973</v>
      </c>
      <c r="M53" s="37">
        <f t="shared" si="15"/>
        <v>69.138250437178812</v>
      </c>
      <c r="N53" s="37">
        <f t="shared" si="15"/>
        <v>69.743696428742481</v>
      </c>
      <c r="O53" s="37">
        <f t="shared" si="15"/>
        <v>70.275090741902417</v>
      </c>
      <c r="P53" s="37">
        <f t="shared" si="15"/>
        <v>70.731570844020737</v>
      </c>
      <c r="Q53" s="37">
        <f t="shared" si="15"/>
        <v>71.11206696416707</v>
      </c>
      <c r="R53" s="37">
        <f t="shared" si="15"/>
        <v>71.502449885425477</v>
      </c>
      <c r="S53" s="37">
        <f t="shared" si="15"/>
        <v>71.807079423711869</v>
      </c>
      <c r="T53" s="37">
        <f t="shared" si="15"/>
        <v>71.945412076507239</v>
      </c>
      <c r="U53" s="37">
        <f t="shared" si="15"/>
        <v>72.179348161925617</v>
      </c>
      <c r="V53" s="37">
        <f t="shared" si="15"/>
        <v>72.332042937324474</v>
      </c>
      <c r="W53" s="37">
        <f t="shared" si="15"/>
        <v>72.490441898854684</v>
      </c>
      <c r="X53" s="37">
        <f t="shared" si="15"/>
        <v>72.743079280167294</v>
      </c>
      <c r="Y53" s="37">
        <f t="shared" si="15"/>
        <v>72.865896548754492</v>
      </c>
      <c r="Z53" s="37">
        <f t="shared" si="15"/>
        <v>73.127060554745043</v>
      </c>
      <c r="AA53" s="37">
        <f t="shared" si="15"/>
        <v>73.255277824149985</v>
      </c>
      <c r="AB53" s="37">
        <f t="shared" si="15"/>
        <v>73.521290269172312</v>
      </c>
    </row>
    <row r="54" spans="1:28" x14ac:dyDescent="0.25">
      <c r="A54" s="4" t="s">
        <v>221</v>
      </c>
      <c r="B54" s="37">
        <f t="shared" ref="B54:AB54" si="16">B34*B15*$F$10</f>
        <v>141.99217283445418</v>
      </c>
      <c r="C54" s="37">
        <f t="shared" si="16"/>
        <v>143.20243434049848</v>
      </c>
      <c r="D54" s="37">
        <f t="shared" si="16"/>
        <v>143.77161498813604</v>
      </c>
      <c r="E54" s="37">
        <f t="shared" si="16"/>
        <v>144.3944816452273</v>
      </c>
      <c r="F54" s="37">
        <f t="shared" si="16"/>
        <v>145.14672925073648</v>
      </c>
      <c r="G54" s="37">
        <f t="shared" si="16"/>
        <v>145.76978587687015</v>
      </c>
      <c r="H54" s="37">
        <f t="shared" si="16"/>
        <v>146.37663180292321</v>
      </c>
      <c r="I54" s="37">
        <f t="shared" si="16"/>
        <v>147.54058490389639</v>
      </c>
      <c r="J54" s="37">
        <f t="shared" si="16"/>
        <v>148.65590101331685</v>
      </c>
      <c r="K54" s="37">
        <f t="shared" si="16"/>
        <v>149.71738063600441</v>
      </c>
      <c r="L54" s="37">
        <f t="shared" si="16"/>
        <v>150.68745024055275</v>
      </c>
      <c r="M54" s="37">
        <f t="shared" si="16"/>
        <v>151.5655703536527</v>
      </c>
      <c r="N54" s="37">
        <f t="shared" si="16"/>
        <v>152.35099470346915</v>
      </c>
      <c r="O54" s="37">
        <f t="shared" si="16"/>
        <v>153.04291279135151</v>
      </c>
      <c r="P54" s="37">
        <f t="shared" si="16"/>
        <v>153.52524559208675</v>
      </c>
      <c r="Q54" s="37">
        <f t="shared" si="16"/>
        <v>153.91042089722703</v>
      </c>
      <c r="R54" s="37">
        <f t="shared" si="16"/>
        <v>154.08053305285449</v>
      </c>
      <c r="S54" s="37">
        <f t="shared" si="16"/>
        <v>154.15394575728362</v>
      </c>
      <c r="T54" s="37">
        <f t="shared" si="16"/>
        <v>154.08634675604935</v>
      </c>
      <c r="U54" s="37">
        <f t="shared" si="16"/>
        <v>153.87443818157075</v>
      </c>
      <c r="V54" s="37">
        <f t="shared" si="16"/>
        <v>153.67186163857951</v>
      </c>
      <c r="W54" s="37">
        <f t="shared" si="16"/>
        <v>153.2786507460857</v>
      </c>
      <c r="X54" s="37">
        <f t="shared" si="16"/>
        <v>153.08748722939143</v>
      </c>
      <c r="Y54" s="37">
        <f t="shared" si="16"/>
        <v>152.86008223870928</v>
      </c>
      <c r="Z54" s="37">
        <f t="shared" si="16"/>
        <v>152.63397186909526</v>
      </c>
      <c r="AA54" s="37">
        <f t="shared" si="16"/>
        <v>152.44742971311041</v>
      </c>
      <c r="AB54" s="37">
        <f t="shared" si="16"/>
        <v>152.33955534438783</v>
      </c>
    </row>
    <row r="55" spans="1:28" x14ac:dyDescent="0.25">
      <c r="A55" s="4" t="s">
        <v>222</v>
      </c>
      <c r="B55" s="37">
        <f t="shared" ref="B55:AB55" si="17">B35*B15*$F$11</f>
        <v>247.60937310404245</v>
      </c>
      <c r="C55" s="37">
        <f t="shared" si="17"/>
        <v>246.24922178054655</v>
      </c>
      <c r="D55" s="37">
        <f t="shared" si="17"/>
        <v>243.58949609337148</v>
      </c>
      <c r="E55" s="37">
        <f t="shared" si="17"/>
        <v>240.92446309130563</v>
      </c>
      <c r="F55" s="37">
        <f t="shared" si="17"/>
        <v>238.16057450984991</v>
      </c>
      <c r="G55" s="37">
        <f t="shared" si="17"/>
        <v>235.46882678304777</v>
      </c>
      <c r="H55" s="37">
        <f t="shared" si="17"/>
        <v>232.77447933442875</v>
      </c>
      <c r="I55" s="37">
        <f t="shared" si="17"/>
        <v>230.99251512879863</v>
      </c>
      <c r="J55" s="37">
        <f t="shared" si="17"/>
        <v>229.18452831918668</v>
      </c>
      <c r="K55" s="37">
        <f t="shared" si="17"/>
        <v>227.32278978930458</v>
      </c>
      <c r="L55" s="37">
        <f t="shared" si="17"/>
        <v>225.44548711083027</v>
      </c>
      <c r="M55" s="37">
        <f t="shared" si="17"/>
        <v>223.53312109291556</v>
      </c>
      <c r="N55" s="37">
        <f t="shared" si="17"/>
        <v>221.62396844650121</v>
      </c>
      <c r="O55" s="37">
        <f t="shared" si="17"/>
        <v>219.63967554182273</v>
      </c>
      <c r="P55" s="37">
        <f t="shared" si="17"/>
        <v>217.63760012102227</v>
      </c>
      <c r="Q55" s="37">
        <f t="shared" si="17"/>
        <v>215.61649971325676</v>
      </c>
      <c r="R55" s="37">
        <f t="shared" si="17"/>
        <v>213.59468492390221</v>
      </c>
      <c r="S55" s="37">
        <f t="shared" si="17"/>
        <v>211.35840409188424</v>
      </c>
      <c r="T55" s="37">
        <f t="shared" si="17"/>
        <v>209.16266747040362</v>
      </c>
      <c r="U55" s="37">
        <f t="shared" si="17"/>
        <v>207.04565540683103</v>
      </c>
      <c r="V55" s="37">
        <f t="shared" si="17"/>
        <v>204.96494791435936</v>
      </c>
      <c r="W55" s="37">
        <f t="shared" si="17"/>
        <v>203.01909623374587</v>
      </c>
      <c r="X55" s="37">
        <f t="shared" si="17"/>
        <v>201.10488214650695</v>
      </c>
      <c r="Y55" s="37">
        <f t="shared" si="17"/>
        <v>199.28205387583822</v>
      </c>
      <c r="Z55" s="37">
        <f t="shared" si="17"/>
        <v>197.52849129187251</v>
      </c>
      <c r="AA55" s="37">
        <f t="shared" si="17"/>
        <v>195.82175357607971</v>
      </c>
      <c r="AB55" s="37">
        <f t="shared" si="17"/>
        <v>194.18068145109049</v>
      </c>
    </row>
    <row r="57" spans="1:28" x14ac:dyDescent="0.25">
      <c r="A57" s="4" t="s">
        <v>327</v>
      </c>
    </row>
    <row r="58" spans="1:28" x14ac:dyDescent="0.25">
      <c r="A58" s="4" t="s">
        <v>215</v>
      </c>
      <c r="B58" s="37">
        <f t="shared" ref="B58:AB58" si="18">B38*B15*$F$4</f>
        <v>33737.244546964779</v>
      </c>
      <c r="C58" s="37">
        <f t="shared" si="18"/>
        <v>34500.848963545359</v>
      </c>
      <c r="D58" s="37">
        <f t="shared" si="18"/>
        <v>35088.74092769203</v>
      </c>
      <c r="E58" s="37">
        <f t="shared" si="18"/>
        <v>35677.626781954306</v>
      </c>
      <c r="F58" s="37">
        <f t="shared" si="18"/>
        <v>36270.591383081271</v>
      </c>
      <c r="G58" s="37">
        <f t="shared" si="18"/>
        <v>36868.735395698866</v>
      </c>
      <c r="H58" s="37">
        <f t="shared" si="18"/>
        <v>37469.568081668593</v>
      </c>
      <c r="I58" s="37">
        <f t="shared" si="18"/>
        <v>38218.936757464857</v>
      </c>
      <c r="J58" s="37">
        <f t="shared" si="18"/>
        <v>38967.157881333012</v>
      </c>
      <c r="K58" s="37">
        <f t="shared" si="18"/>
        <v>39713.470922766675</v>
      </c>
      <c r="L58" s="37">
        <f t="shared" si="18"/>
        <v>40454.412237546727</v>
      </c>
      <c r="M58" s="37">
        <f t="shared" si="18"/>
        <v>41189.163759972216</v>
      </c>
      <c r="N58" s="37">
        <f t="shared" si="18"/>
        <v>41913.346441073882</v>
      </c>
      <c r="O58" s="37">
        <f t="shared" si="18"/>
        <v>42625.160962715672</v>
      </c>
      <c r="P58" s="37">
        <f t="shared" si="18"/>
        <v>43318.870005903031</v>
      </c>
      <c r="Q58" s="37">
        <f t="shared" si="18"/>
        <v>43993.261752963917</v>
      </c>
      <c r="R58" s="37">
        <f t="shared" si="18"/>
        <v>44641.279779143879</v>
      </c>
      <c r="S58" s="37">
        <f t="shared" si="18"/>
        <v>45230.230791192145</v>
      </c>
      <c r="T58" s="37">
        <f t="shared" si="18"/>
        <v>45789.500994100221</v>
      </c>
      <c r="U58" s="37">
        <f t="shared" si="18"/>
        <v>46321.020207136135</v>
      </c>
      <c r="V58" s="37">
        <f t="shared" si="18"/>
        <v>46813.073682685121</v>
      </c>
      <c r="W58" s="37">
        <f t="shared" si="18"/>
        <v>47267.704339906973</v>
      </c>
      <c r="X58" s="37">
        <f t="shared" si="18"/>
        <v>47681.591781862764</v>
      </c>
      <c r="Y58" s="37">
        <f t="shared" si="18"/>
        <v>48073.753241312254</v>
      </c>
      <c r="Z58" s="37">
        <f t="shared" si="18"/>
        <v>48426.078229807274</v>
      </c>
      <c r="AA58" s="37">
        <f t="shared" si="18"/>
        <v>48740.803334758602</v>
      </c>
      <c r="AB58" s="37">
        <f t="shared" si="18"/>
        <v>49021.647796183293</v>
      </c>
    </row>
    <row r="59" spans="1:28" x14ac:dyDescent="0.25">
      <c r="A59" s="4" t="s">
        <v>216</v>
      </c>
      <c r="B59" s="37">
        <f t="shared" ref="B59:AB59" si="19">B39*B15*$F$5</f>
        <v>31285.44759564531</v>
      </c>
      <c r="C59" s="37">
        <f t="shared" si="19"/>
        <v>31910.692327154542</v>
      </c>
      <c r="D59" s="37">
        <f t="shared" si="19"/>
        <v>32375.424263007106</v>
      </c>
      <c r="E59" s="37">
        <f t="shared" si="19"/>
        <v>32857.794633502781</v>
      </c>
      <c r="F59" s="37">
        <f t="shared" si="19"/>
        <v>33367.134755450403</v>
      </c>
      <c r="G59" s="37">
        <f t="shared" si="19"/>
        <v>33905.264554715912</v>
      </c>
      <c r="H59" s="37">
        <f t="shared" si="19"/>
        <v>34475.382043127211</v>
      </c>
      <c r="I59" s="37">
        <f t="shared" si="19"/>
        <v>35210.677045318742</v>
      </c>
      <c r="J59" s="37">
        <f t="shared" si="19"/>
        <v>35977.17413246556</v>
      </c>
      <c r="K59" s="37">
        <f t="shared" si="19"/>
        <v>36766.028182508628</v>
      </c>
      <c r="L59" s="37">
        <f t="shared" si="19"/>
        <v>37576.739913676436</v>
      </c>
      <c r="M59" s="37">
        <f t="shared" si="19"/>
        <v>38407.26425119253</v>
      </c>
      <c r="N59" s="37">
        <f t="shared" si="19"/>
        <v>39249.584710927971</v>
      </c>
      <c r="O59" s="37">
        <f t="shared" si="19"/>
        <v>40095.921594174084</v>
      </c>
      <c r="P59" s="37">
        <f t="shared" si="19"/>
        <v>40944.506538340625</v>
      </c>
      <c r="Q59" s="37">
        <f t="shared" si="19"/>
        <v>41783.968051663069</v>
      </c>
      <c r="R59" s="37">
        <f t="shared" si="19"/>
        <v>42610.900789340332</v>
      </c>
      <c r="S59" s="37">
        <f t="shared" si="19"/>
        <v>43385.956736395405</v>
      </c>
      <c r="T59" s="37">
        <f t="shared" si="19"/>
        <v>44136.250141025739</v>
      </c>
      <c r="U59" s="37">
        <f t="shared" si="19"/>
        <v>44857.230250022534</v>
      </c>
      <c r="V59" s="37">
        <f t="shared" si="19"/>
        <v>45538.153623225277</v>
      </c>
      <c r="W59" s="37">
        <f t="shared" si="19"/>
        <v>46169.080824018907</v>
      </c>
      <c r="X59" s="37">
        <f t="shared" si="19"/>
        <v>46751.580293572799</v>
      </c>
      <c r="Y59" s="37">
        <f t="shared" si="19"/>
        <v>47306.666150071032</v>
      </c>
      <c r="Z59" s="37">
        <f t="shared" si="19"/>
        <v>47813.3209344235</v>
      </c>
      <c r="AA59" s="37">
        <f t="shared" si="19"/>
        <v>48263.232262572725</v>
      </c>
      <c r="AB59" s="37">
        <f t="shared" si="19"/>
        <v>48656.186900868561</v>
      </c>
    </row>
    <row r="60" spans="1:28" x14ac:dyDescent="0.25">
      <c r="A60" s="4" t="s">
        <v>217</v>
      </c>
      <c r="B60" s="37">
        <f t="shared" ref="B60:AB60" si="20">B40*B15*$F$6</f>
        <v>56708.532985989492</v>
      </c>
      <c r="C60" s="37">
        <f t="shared" si="20"/>
        <v>57907.594233427291</v>
      </c>
      <c r="D60" s="37">
        <f t="shared" si="20"/>
        <v>58808.685951946914</v>
      </c>
      <c r="E60" s="37">
        <f t="shared" si="20"/>
        <v>59720.55871694308</v>
      </c>
      <c r="F60" s="37">
        <f t="shared" si="20"/>
        <v>60655.521629768395</v>
      </c>
      <c r="G60" s="37">
        <f t="shared" si="20"/>
        <v>61613.930224903459</v>
      </c>
      <c r="H60" s="37">
        <f t="shared" si="20"/>
        <v>62598.160729789721</v>
      </c>
      <c r="I60" s="37">
        <f t="shared" si="20"/>
        <v>63849.540853479601</v>
      </c>
      <c r="J60" s="37">
        <f t="shared" si="20"/>
        <v>65121.92457905646</v>
      </c>
      <c r="K60" s="37">
        <f t="shared" si="20"/>
        <v>66403.973338772135</v>
      </c>
      <c r="L60" s="37">
        <f t="shared" si="20"/>
        <v>67692.224436805744</v>
      </c>
      <c r="M60" s="37">
        <f t="shared" si="20"/>
        <v>68984.063582404458</v>
      </c>
      <c r="N60" s="37">
        <f t="shared" si="20"/>
        <v>70266.905574792836</v>
      </c>
      <c r="O60" s="37">
        <f t="shared" si="20"/>
        <v>71533.536182344251</v>
      </c>
      <c r="P60" s="37">
        <f t="shared" si="20"/>
        <v>72774.379107469445</v>
      </c>
      <c r="Q60" s="37">
        <f t="shared" si="20"/>
        <v>73979.132682026378</v>
      </c>
      <c r="R60" s="37">
        <f t="shared" si="20"/>
        <v>75137.660524744031</v>
      </c>
      <c r="S60" s="37">
        <f t="shared" si="20"/>
        <v>76187.690331761973</v>
      </c>
      <c r="T60" s="37">
        <f t="shared" si="20"/>
        <v>77178.128525124848</v>
      </c>
      <c r="U60" s="37">
        <f t="shared" si="20"/>
        <v>78107.749690045574</v>
      </c>
      <c r="V60" s="37">
        <f t="shared" si="20"/>
        <v>78954.486554559902</v>
      </c>
      <c r="W60" s="37">
        <f t="shared" si="20"/>
        <v>79710.844294269773</v>
      </c>
      <c r="X60" s="37">
        <f t="shared" si="20"/>
        <v>80376.872204331114</v>
      </c>
      <c r="Y60" s="37">
        <f t="shared" si="20"/>
        <v>80992.169264997021</v>
      </c>
      <c r="Z60" s="37">
        <f t="shared" si="20"/>
        <v>81519.267409407898</v>
      </c>
      <c r="AA60" s="37">
        <f t="shared" si="20"/>
        <v>81951.477583430678</v>
      </c>
      <c r="AB60" s="37">
        <f t="shared" si="20"/>
        <v>82294.108031363416</v>
      </c>
    </row>
    <row r="61" spans="1:28" x14ac:dyDescent="0.25">
      <c r="A61" s="4" t="s">
        <v>218</v>
      </c>
      <c r="B61" s="37">
        <f t="shared" ref="B61:AB61" si="21">B41*B15*$F$7</f>
        <v>3474.582802215326</v>
      </c>
      <c r="C61" s="37">
        <f t="shared" si="21"/>
        <v>3542.3061501240227</v>
      </c>
      <c r="D61" s="37">
        <f t="shared" si="21"/>
        <v>3592.3580700470302</v>
      </c>
      <c r="E61" s="37">
        <f t="shared" si="21"/>
        <v>3642.9244099167345</v>
      </c>
      <c r="F61" s="37">
        <f t="shared" si="21"/>
        <v>3695.2052809577008</v>
      </c>
      <c r="G61" s="37">
        <f t="shared" si="21"/>
        <v>3749.3133766645055</v>
      </c>
      <c r="H61" s="37">
        <f t="shared" si="21"/>
        <v>3805.1723042330063</v>
      </c>
      <c r="I61" s="37">
        <f t="shared" si="21"/>
        <v>3877.9831097703614</v>
      </c>
      <c r="J61" s="37">
        <f t="shared" si="21"/>
        <v>3952.8705629085134</v>
      </c>
      <c r="K61" s="37">
        <f t="shared" si="21"/>
        <v>4029.6146744711905</v>
      </c>
      <c r="L61" s="37">
        <f t="shared" si="21"/>
        <v>4108.2509299723033</v>
      </c>
      <c r="M61" s="37">
        <f t="shared" si="21"/>
        <v>4188.5979147216558</v>
      </c>
      <c r="N61" s="37">
        <f t="shared" si="21"/>
        <v>4270.882943402813</v>
      </c>
      <c r="O61" s="37">
        <f t="shared" si="21"/>
        <v>4354.049599288137</v>
      </c>
      <c r="P61" s="37">
        <f t="shared" si="21"/>
        <v>4438.5913913108934</v>
      </c>
      <c r="Q61" s="37">
        <f t="shared" si="21"/>
        <v>4523.6208755399684</v>
      </c>
      <c r="R61" s="37">
        <f t="shared" si="21"/>
        <v>4609.0324479535484</v>
      </c>
      <c r="S61" s="37">
        <f t="shared" si="21"/>
        <v>4691.4587652023938</v>
      </c>
      <c r="T61" s="37">
        <f t="shared" si="21"/>
        <v>4773.2947678638739</v>
      </c>
      <c r="U61" s="37">
        <f t="shared" si="21"/>
        <v>4854.592602999398</v>
      </c>
      <c r="V61" s="37">
        <f t="shared" si="21"/>
        <v>4934.7613326966757</v>
      </c>
      <c r="W61" s="37">
        <f t="shared" si="21"/>
        <v>5012.8476813825373</v>
      </c>
      <c r="X61" s="37">
        <f t="shared" si="21"/>
        <v>5088.4632667801807</v>
      </c>
      <c r="Y61" s="37">
        <f t="shared" si="21"/>
        <v>5162.8436586553789</v>
      </c>
      <c r="Z61" s="37">
        <f t="shared" si="21"/>
        <v>5234.5207740287378</v>
      </c>
      <c r="AA61" s="37">
        <f t="shared" si="21"/>
        <v>5303.3881810409894</v>
      </c>
      <c r="AB61" s="37">
        <f t="shared" si="21"/>
        <v>5368.8300667457597</v>
      </c>
    </row>
    <row r="62" spans="1:28" x14ac:dyDescent="0.25">
      <c r="A62" s="4" t="s">
        <v>219</v>
      </c>
      <c r="B62" s="37">
        <f t="shared" ref="B62:AB62" si="22">B42*B15*$F$8</f>
        <v>1880.7993069247186</v>
      </c>
      <c r="C62" s="37">
        <f t="shared" si="22"/>
        <v>1933.4367116310291</v>
      </c>
      <c r="D62" s="37">
        <f t="shared" si="22"/>
        <v>1977.8968907884171</v>
      </c>
      <c r="E62" s="37">
        <f t="shared" si="22"/>
        <v>2025.4346982555742</v>
      </c>
      <c r="F62" s="37">
        <f t="shared" si="22"/>
        <v>2076.655148060026</v>
      </c>
      <c r="G62" s="37">
        <f t="shared" si="22"/>
        <v>2131.5369448508268</v>
      </c>
      <c r="H62" s="37">
        <f t="shared" si="22"/>
        <v>2190.2446879411036</v>
      </c>
      <c r="I62" s="37">
        <f t="shared" si="22"/>
        <v>2261.5860722918155</v>
      </c>
      <c r="J62" s="37">
        <f t="shared" si="22"/>
        <v>2336.1045695990574</v>
      </c>
      <c r="K62" s="37">
        <f t="shared" si="22"/>
        <v>2413.3766679763262</v>
      </c>
      <c r="L62" s="37">
        <f t="shared" si="22"/>
        <v>2494.0608563026817</v>
      </c>
      <c r="M62" s="37">
        <f t="shared" si="22"/>
        <v>2577.7221868543043</v>
      </c>
      <c r="N62" s="37">
        <f t="shared" si="22"/>
        <v>2664.076445884335</v>
      </c>
      <c r="O62" s="37">
        <f t="shared" si="22"/>
        <v>2752.6928666941953</v>
      </c>
      <c r="P62" s="37">
        <f t="shared" si="22"/>
        <v>2843.3548908561611</v>
      </c>
      <c r="Q62" s="37">
        <f t="shared" si="22"/>
        <v>2935.547445132102</v>
      </c>
      <c r="R62" s="37">
        <f t="shared" si="22"/>
        <v>3029.0168243741305</v>
      </c>
      <c r="S62" s="37">
        <f t="shared" si="22"/>
        <v>3121.0049135092409</v>
      </c>
      <c r="T62" s="37">
        <f t="shared" si="22"/>
        <v>3213.7077451332543</v>
      </c>
      <c r="U62" s="37">
        <f t="shared" si="22"/>
        <v>3306.4264714114029</v>
      </c>
      <c r="V62" s="37">
        <f t="shared" si="22"/>
        <v>3399.2575855601531</v>
      </c>
      <c r="W62" s="37">
        <f t="shared" si="22"/>
        <v>3491.9589259134546</v>
      </c>
      <c r="X62" s="37">
        <f t="shared" si="22"/>
        <v>3584.8089432327629</v>
      </c>
      <c r="Y62" s="37">
        <f t="shared" si="22"/>
        <v>3677.5547640507498</v>
      </c>
      <c r="Z62" s="37">
        <f t="shared" si="22"/>
        <v>3770.2881186848654</v>
      </c>
      <c r="AA62" s="37">
        <f t="shared" si="22"/>
        <v>3862.9458764386231</v>
      </c>
      <c r="AB62" s="37">
        <f t="shared" si="22"/>
        <v>3955.2233964049774</v>
      </c>
    </row>
    <row r="63" spans="1:28" x14ac:dyDescent="0.25">
      <c r="A63" s="4" t="s">
        <v>220</v>
      </c>
      <c r="B63" s="37">
        <f t="shared" ref="B63:AB63" si="23">B43*B15*$F$9</f>
        <v>2783.8931578127408</v>
      </c>
      <c r="C63" s="37">
        <f t="shared" si="23"/>
        <v>2857.7982892034183</v>
      </c>
      <c r="D63" s="37">
        <f t="shared" si="23"/>
        <v>2920.0315682318201</v>
      </c>
      <c r="E63" s="37">
        <f t="shared" si="23"/>
        <v>2987.9203242381841</v>
      </c>
      <c r="F63" s="37">
        <f t="shared" si="23"/>
        <v>3056.5471158361042</v>
      </c>
      <c r="G63" s="37">
        <f t="shared" si="23"/>
        <v>3130.2880563862559</v>
      </c>
      <c r="H63" s="37">
        <f t="shared" si="23"/>
        <v>3206.3244167476532</v>
      </c>
      <c r="I63" s="37">
        <f t="shared" si="23"/>
        <v>3296.8260959408408</v>
      </c>
      <c r="J63" s="37">
        <f t="shared" si="23"/>
        <v>3389.7228332822615</v>
      </c>
      <c r="K63" s="37">
        <f t="shared" si="23"/>
        <v>3488.7137992762432</v>
      </c>
      <c r="L63" s="37">
        <f t="shared" si="23"/>
        <v>3590.5212636776346</v>
      </c>
      <c r="M63" s="37">
        <f t="shared" si="23"/>
        <v>3696.2797815263671</v>
      </c>
      <c r="N63" s="37">
        <f t="shared" si="23"/>
        <v>3804.4075289068264</v>
      </c>
      <c r="O63" s="37">
        <f t="shared" si="23"/>
        <v>3915.2283603194774</v>
      </c>
      <c r="P63" s="37">
        <f t="shared" si="23"/>
        <v>4029.801861818245</v>
      </c>
      <c r="Q63" s="37">
        <f t="shared" si="23"/>
        <v>4147.6405565352579</v>
      </c>
      <c r="R63" s="37">
        <f t="shared" si="23"/>
        <v>4267.9821045800463</v>
      </c>
      <c r="S63" s="37">
        <f t="shared" si="23"/>
        <v>4386.3979826044897</v>
      </c>
      <c r="T63" s="37">
        <f t="shared" si="23"/>
        <v>4507.1297071006047</v>
      </c>
      <c r="U63" s="37">
        <f t="shared" si="23"/>
        <v>4629.0080740520998</v>
      </c>
      <c r="V63" s="37">
        <f t="shared" si="23"/>
        <v>4750.6905749791276</v>
      </c>
      <c r="W63" s="37">
        <f t="shared" si="23"/>
        <v>4875.0712722949056</v>
      </c>
      <c r="X63" s="37">
        <f t="shared" si="23"/>
        <v>4999.8116834392467</v>
      </c>
      <c r="Y63" s="37">
        <f t="shared" si="23"/>
        <v>5126.3248452887483</v>
      </c>
      <c r="Z63" s="37">
        <f t="shared" si="23"/>
        <v>5252.6368122123877</v>
      </c>
      <c r="AA63" s="37">
        <f t="shared" si="23"/>
        <v>5379.4972421496614</v>
      </c>
      <c r="AB63" s="37">
        <f t="shared" si="23"/>
        <v>5507.7115464672752</v>
      </c>
    </row>
    <row r="64" spans="1:28" x14ac:dyDescent="0.25">
      <c r="A64" s="4" t="s">
        <v>221</v>
      </c>
      <c r="B64" s="37">
        <f t="shared" ref="B64:AB64" si="24">B44*B15*$F$10</f>
        <v>9245.2024223297703</v>
      </c>
      <c r="C64" s="37">
        <f t="shared" si="24"/>
        <v>9612.7557875717175</v>
      </c>
      <c r="D64" s="37">
        <f t="shared" si="24"/>
        <v>9939.6088620584978</v>
      </c>
      <c r="E64" s="37">
        <f t="shared" si="24"/>
        <v>10274.998586800877</v>
      </c>
      <c r="F64" s="37">
        <f t="shared" si="24"/>
        <v>10619.099280798455</v>
      </c>
      <c r="G64" s="37">
        <f t="shared" si="24"/>
        <v>10973.270835973521</v>
      </c>
      <c r="H64" s="37">
        <f t="shared" si="24"/>
        <v>11341.169553060658</v>
      </c>
      <c r="I64" s="37">
        <f t="shared" si="24"/>
        <v>11768.583866894411</v>
      </c>
      <c r="J64" s="37">
        <f t="shared" si="24"/>
        <v>12209.724162203036</v>
      </c>
      <c r="K64" s="37">
        <f t="shared" si="24"/>
        <v>12667.597699251895</v>
      </c>
      <c r="L64" s="37">
        <f t="shared" si="24"/>
        <v>13144.599576231005</v>
      </c>
      <c r="M64" s="37">
        <f t="shared" si="24"/>
        <v>13637.762623660241</v>
      </c>
      <c r="N64" s="37">
        <f t="shared" si="24"/>
        <v>14150.866325542496</v>
      </c>
      <c r="O64" s="37">
        <f t="shared" si="24"/>
        <v>14681.817562037644</v>
      </c>
      <c r="P64" s="37">
        <f t="shared" si="24"/>
        <v>15230.202696865515</v>
      </c>
      <c r="Q64" s="37">
        <f t="shared" si="24"/>
        <v>15796.924976463184</v>
      </c>
      <c r="R64" s="37">
        <f t="shared" si="24"/>
        <v>16379.019980165369</v>
      </c>
      <c r="S64" s="37">
        <f t="shared" si="24"/>
        <v>16964.396856696407</v>
      </c>
      <c r="T64" s="37">
        <f t="shared" si="24"/>
        <v>17564.43813153667</v>
      </c>
      <c r="U64" s="37">
        <f t="shared" si="24"/>
        <v>18178.123804810915</v>
      </c>
      <c r="V64" s="37">
        <f t="shared" si="24"/>
        <v>18803.156629815865</v>
      </c>
      <c r="W64" s="37">
        <f t="shared" si="24"/>
        <v>19437.023098960581</v>
      </c>
      <c r="X64" s="37">
        <f t="shared" si="24"/>
        <v>20082.135863702653</v>
      </c>
      <c r="Y64" s="37">
        <f t="shared" si="24"/>
        <v>20734.515279579107</v>
      </c>
      <c r="Z64" s="37">
        <f t="shared" si="24"/>
        <v>21393.887273243581</v>
      </c>
      <c r="AA64" s="37">
        <f t="shared" si="24"/>
        <v>22055.419634723243</v>
      </c>
      <c r="AB64" s="37">
        <f t="shared" si="24"/>
        <v>22718.416535713306</v>
      </c>
    </row>
    <row r="65" spans="1:28" x14ac:dyDescent="0.25">
      <c r="A65" s="4" t="s">
        <v>222</v>
      </c>
      <c r="B65" s="37">
        <f t="shared" ref="B65:AB65" si="25">B45*B15*$F$11</f>
        <v>50085.614914507045</v>
      </c>
      <c r="C65" s="37">
        <f t="shared" si="25"/>
        <v>51067.801205458585</v>
      </c>
      <c r="D65" s="37">
        <f t="shared" si="25"/>
        <v>51787.373975455397</v>
      </c>
      <c r="E65" s="37">
        <f t="shared" si="25"/>
        <v>52518.379392883238</v>
      </c>
      <c r="F65" s="37">
        <f t="shared" si="25"/>
        <v>53271.233968344291</v>
      </c>
      <c r="G65" s="37">
        <f t="shared" si="25"/>
        <v>54047.708049155444</v>
      </c>
      <c r="H65" s="37">
        <f t="shared" si="25"/>
        <v>54846.556658154594</v>
      </c>
      <c r="I65" s="37">
        <f t="shared" si="25"/>
        <v>55879.572155240923</v>
      </c>
      <c r="J65" s="37">
        <f t="shared" si="25"/>
        <v>56931.082065657552</v>
      </c>
      <c r="K65" s="37">
        <f t="shared" si="25"/>
        <v>57991.399851435403</v>
      </c>
      <c r="L65" s="37">
        <f t="shared" si="25"/>
        <v>59055.972937804298</v>
      </c>
      <c r="M65" s="37">
        <f t="shared" si="25"/>
        <v>60123.900029126256</v>
      </c>
      <c r="N65" s="37">
        <f t="shared" si="25"/>
        <v>61182.770979038178</v>
      </c>
      <c r="O65" s="37">
        <f t="shared" si="25"/>
        <v>62225.546462362312</v>
      </c>
      <c r="P65" s="37">
        <f t="shared" si="25"/>
        <v>63246.130749047799</v>
      </c>
      <c r="Q65" s="37">
        <f t="shared" si="25"/>
        <v>64233.392489300699</v>
      </c>
      <c r="R65" s="37">
        <f t="shared" si="25"/>
        <v>65180.04802312333</v>
      </c>
      <c r="S65" s="37">
        <f t="shared" si="25"/>
        <v>66031.499771525298</v>
      </c>
      <c r="T65" s="37">
        <f t="shared" si="25"/>
        <v>66829.552283320721</v>
      </c>
      <c r="U65" s="37">
        <f t="shared" si="25"/>
        <v>67572.481644510859</v>
      </c>
      <c r="V65" s="37">
        <f t="shared" si="25"/>
        <v>68242.530466909957</v>
      </c>
      <c r="W65" s="37">
        <f t="shared" si="25"/>
        <v>68834.26021658814</v>
      </c>
      <c r="X65" s="37">
        <f t="shared" si="25"/>
        <v>69344.984646908924</v>
      </c>
      <c r="Y65" s="37">
        <f t="shared" si="25"/>
        <v>69810.513486848547</v>
      </c>
      <c r="Z65" s="37">
        <f t="shared" si="25"/>
        <v>70197.97305002388</v>
      </c>
      <c r="AA65" s="37">
        <f t="shared" si="25"/>
        <v>70504.656183301835</v>
      </c>
      <c r="AB65" s="37">
        <f t="shared" si="25"/>
        <v>70733.854160397954</v>
      </c>
    </row>
    <row r="67" spans="1:28" x14ac:dyDescent="0.25">
      <c r="A67" s="4" t="s">
        <v>328</v>
      </c>
    </row>
    <row r="68" spans="1:28" x14ac:dyDescent="0.25">
      <c r="A68" s="4" t="s">
        <v>329</v>
      </c>
      <c r="B68" s="40">
        <f t="shared" ref="B68:AB68" si="26">B48+B49</f>
        <v>380.16703217707658</v>
      </c>
      <c r="C68" s="40">
        <f t="shared" si="26"/>
        <v>379.28614029980469</v>
      </c>
      <c r="D68" s="40">
        <f t="shared" si="26"/>
        <v>376.47314634829888</v>
      </c>
      <c r="E68" s="40">
        <f t="shared" si="26"/>
        <v>373.686662283592</v>
      </c>
      <c r="F68" s="40">
        <f t="shared" si="26"/>
        <v>370.86159401215752</v>
      </c>
      <c r="G68" s="40">
        <f t="shared" si="26"/>
        <v>368.04332775482465</v>
      </c>
      <c r="H68" s="40">
        <f t="shared" si="26"/>
        <v>365.21202158674362</v>
      </c>
      <c r="I68" s="40">
        <f t="shared" si="26"/>
        <v>363.80330694084336</v>
      </c>
      <c r="J68" s="40">
        <f t="shared" si="26"/>
        <v>362.33269264594395</v>
      </c>
      <c r="K68" s="40">
        <f t="shared" si="26"/>
        <v>360.76667236010263</v>
      </c>
      <c r="L68" s="40">
        <f t="shared" si="26"/>
        <v>359.12544608798396</v>
      </c>
      <c r="M68" s="40">
        <f t="shared" si="26"/>
        <v>357.38782736010512</v>
      </c>
      <c r="N68" s="40">
        <f t="shared" si="26"/>
        <v>355.59876531739633</v>
      </c>
      <c r="O68" s="40">
        <f t="shared" si="26"/>
        <v>353.661187279454</v>
      </c>
      <c r="P68" s="40">
        <f t="shared" si="26"/>
        <v>351.57717453876216</v>
      </c>
      <c r="Q68" s="40">
        <f t="shared" si="26"/>
        <v>349.41033112308025</v>
      </c>
      <c r="R68" s="40">
        <f t="shared" si="26"/>
        <v>347.11258745673456</v>
      </c>
      <c r="S68" s="40">
        <f t="shared" si="26"/>
        <v>344.50113637314269</v>
      </c>
      <c r="T68" s="40">
        <f t="shared" si="26"/>
        <v>341.85239421929498</v>
      </c>
      <c r="U68" s="40">
        <f t="shared" si="26"/>
        <v>339.20931830250123</v>
      </c>
      <c r="V68" s="40">
        <f t="shared" si="26"/>
        <v>336.61462545322956</v>
      </c>
      <c r="W68" s="40">
        <f t="shared" si="26"/>
        <v>334.06400676650964</v>
      </c>
      <c r="X68" s="40">
        <f t="shared" si="26"/>
        <v>331.67505892066396</v>
      </c>
      <c r="Y68" s="40">
        <f t="shared" si="26"/>
        <v>329.37179845547814</v>
      </c>
      <c r="Z68" s="40">
        <f t="shared" si="26"/>
        <v>327.15239968942251</v>
      </c>
      <c r="AA68" s="40">
        <f t="shared" si="26"/>
        <v>325.01221742057396</v>
      </c>
      <c r="AB68" s="40">
        <f t="shared" si="26"/>
        <v>322.99668774869605</v>
      </c>
    </row>
    <row r="69" spans="1:28" x14ac:dyDescent="0.25">
      <c r="A69" s="4" t="s">
        <v>330</v>
      </c>
      <c r="B69" s="40">
        <f t="shared" ref="B69:AB69" si="27">B50+B51+B52+B53</f>
        <v>359.84330514267833</v>
      </c>
      <c r="C69" s="40">
        <f t="shared" si="27"/>
        <v>359.80738123679322</v>
      </c>
      <c r="D69" s="40">
        <f t="shared" si="27"/>
        <v>357.87171202706435</v>
      </c>
      <c r="E69" s="40">
        <f t="shared" si="27"/>
        <v>356.0127064065116</v>
      </c>
      <c r="F69" s="40">
        <f t="shared" si="27"/>
        <v>354.11673018770944</v>
      </c>
      <c r="G69" s="40">
        <f t="shared" si="27"/>
        <v>352.18655030505215</v>
      </c>
      <c r="H69" s="40">
        <f t="shared" si="27"/>
        <v>350.34916723806174</v>
      </c>
      <c r="I69" s="40">
        <f t="shared" si="27"/>
        <v>349.7885846387677</v>
      </c>
      <c r="J69" s="40">
        <f t="shared" si="27"/>
        <v>349.18329726846446</v>
      </c>
      <c r="K69" s="40">
        <f t="shared" si="27"/>
        <v>348.40803402508345</v>
      </c>
      <c r="L69" s="40">
        <f t="shared" si="27"/>
        <v>347.56312216153538</v>
      </c>
      <c r="M69" s="40">
        <f t="shared" si="27"/>
        <v>346.51953596899</v>
      </c>
      <c r="N69" s="40">
        <f t="shared" si="27"/>
        <v>345.45897192774294</v>
      </c>
      <c r="O69" s="40">
        <f t="shared" si="27"/>
        <v>344.16452810791486</v>
      </c>
      <c r="P69" s="40">
        <f t="shared" si="27"/>
        <v>342.68711855490841</v>
      </c>
      <c r="Q69" s="40">
        <f t="shared" si="27"/>
        <v>341.05005092300439</v>
      </c>
      <c r="R69" s="40">
        <f t="shared" si="27"/>
        <v>339.27803460177677</v>
      </c>
      <c r="S69" s="40">
        <f t="shared" si="27"/>
        <v>337.16962295166951</v>
      </c>
      <c r="T69" s="40">
        <f t="shared" si="27"/>
        <v>334.92545681704866</v>
      </c>
      <c r="U69" s="40">
        <f t="shared" si="27"/>
        <v>332.74544806735094</v>
      </c>
      <c r="V69" s="40">
        <f t="shared" si="27"/>
        <v>330.54406126841025</v>
      </c>
      <c r="W69" s="40">
        <f t="shared" si="27"/>
        <v>328.40934703767039</v>
      </c>
      <c r="X69" s="40">
        <f t="shared" si="27"/>
        <v>326.46704090249523</v>
      </c>
      <c r="Y69" s="40">
        <f t="shared" si="27"/>
        <v>324.49998770211243</v>
      </c>
      <c r="Z69" s="40">
        <f t="shared" si="27"/>
        <v>322.70218852121286</v>
      </c>
      <c r="AA69" s="40">
        <f t="shared" si="27"/>
        <v>320.90674615793483</v>
      </c>
      <c r="AB69" s="40">
        <f t="shared" si="27"/>
        <v>319.30895763749987</v>
      </c>
    </row>
    <row r="70" spans="1:28" x14ac:dyDescent="0.25">
      <c r="A70" s="4" t="s">
        <v>331</v>
      </c>
      <c r="B70" s="40">
        <f t="shared" ref="B70:AB70" si="28">B54+B55</f>
        <v>389.60154593849666</v>
      </c>
      <c r="C70" s="40">
        <f t="shared" si="28"/>
        <v>389.45165612104506</v>
      </c>
      <c r="D70" s="40">
        <f t="shared" si="28"/>
        <v>387.36111108150749</v>
      </c>
      <c r="E70" s="40">
        <f t="shared" si="28"/>
        <v>385.3189447365329</v>
      </c>
      <c r="F70" s="40">
        <f t="shared" si="28"/>
        <v>383.30730376058636</v>
      </c>
      <c r="G70" s="40">
        <f t="shared" si="28"/>
        <v>381.23861265991792</v>
      </c>
      <c r="H70" s="40">
        <f t="shared" si="28"/>
        <v>379.15111113735196</v>
      </c>
      <c r="I70" s="40">
        <f t="shared" si="28"/>
        <v>378.53310003269502</v>
      </c>
      <c r="J70" s="40">
        <f t="shared" si="28"/>
        <v>377.8404293325035</v>
      </c>
      <c r="K70" s="40">
        <f t="shared" si="28"/>
        <v>377.04017042530899</v>
      </c>
      <c r="L70" s="40">
        <f t="shared" si="28"/>
        <v>376.13293735138302</v>
      </c>
      <c r="M70" s="40">
        <f t="shared" si="28"/>
        <v>375.0986914465683</v>
      </c>
      <c r="N70" s="40">
        <f t="shared" si="28"/>
        <v>373.97496314997034</v>
      </c>
      <c r="O70" s="40">
        <f t="shared" si="28"/>
        <v>372.68258833317424</v>
      </c>
      <c r="P70" s="40">
        <f t="shared" si="28"/>
        <v>371.16284571310905</v>
      </c>
      <c r="Q70" s="40">
        <f t="shared" si="28"/>
        <v>369.52692061048378</v>
      </c>
      <c r="R70" s="40">
        <f t="shared" si="28"/>
        <v>367.6752179767567</v>
      </c>
      <c r="S70" s="40">
        <f t="shared" si="28"/>
        <v>365.51234984916789</v>
      </c>
      <c r="T70" s="40">
        <f t="shared" si="28"/>
        <v>363.24901422645297</v>
      </c>
      <c r="U70" s="40">
        <f t="shared" si="28"/>
        <v>360.92009358840176</v>
      </c>
      <c r="V70" s="40">
        <f t="shared" si="28"/>
        <v>358.63680955293887</v>
      </c>
      <c r="W70" s="40">
        <f t="shared" si="28"/>
        <v>356.29774697983157</v>
      </c>
      <c r="X70" s="40">
        <f t="shared" si="28"/>
        <v>354.19236937589835</v>
      </c>
      <c r="Y70" s="40">
        <f t="shared" si="28"/>
        <v>352.1421361145475</v>
      </c>
      <c r="Z70" s="40">
        <f t="shared" si="28"/>
        <v>350.16246316096777</v>
      </c>
      <c r="AA70" s="40">
        <f t="shared" si="28"/>
        <v>348.2691832891901</v>
      </c>
      <c r="AB70" s="40">
        <f t="shared" si="28"/>
        <v>346.52023679547835</v>
      </c>
    </row>
    <row r="71" spans="1:28" x14ac:dyDescent="0.25">
      <c r="A71" s="4" t="s">
        <v>332</v>
      </c>
      <c r="B71" s="40">
        <f t="shared" ref="B71:AB71" si="29">B58+B59</f>
        <v>65022.692142610089</v>
      </c>
      <c r="C71" s="40">
        <f t="shared" si="29"/>
        <v>66411.541290699897</v>
      </c>
      <c r="D71" s="40">
        <f t="shared" si="29"/>
        <v>67464.165190699132</v>
      </c>
      <c r="E71" s="40">
        <f t="shared" si="29"/>
        <v>68535.421415457095</v>
      </c>
      <c r="F71" s="40">
        <f t="shared" si="29"/>
        <v>69637.726138531667</v>
      </c>
      <c r="G71" s="40">
        <f t="shared" si="29"/>
        <v>70773.999950414785</v>
      </c>
      <c r="H71" s="40">
        <f t="shared" si="29"/>
        <v>71944.950124795811</v>
      </c>
      <c r="I71" s="40">
        <f t="shared" si="29"/>
        <v>73429.613802783599</v>
      </c>
      <c r="J71" s="40">
        <f t="shared" si="29"/>
        <v>74944.332013798572</v>
      </c>
      <c r="K71" s="40">
        <f t="shared" si="29"/>
        <v>76479.499105275303</v>
      </c>
      <c r="L71" s="40">
        <f t="shared" si="29"/>
        <v>78031.152151223156</v>
      </c>
      <c r="M71" s="40">
        <f t="shared" si="29"/>
        <v>79596.428011164739</v>
      </c>
      <c r="N71" s="40">
        <f t="shared" si="29"/>
        <v>81162.931152001853</v>
      </c>
      <c r="O71" s="40">
        <f t="shared" si="29"/>
        <v>82721.082556889756</v>
      </c>
      <c r="P71" s="40">
        <f t="shared" si="29"/>
        <v>84263.376544243656</v>
      </c>
      <c r="Q71" s="40">
        <f t="shared" si="29"/>
        <v>85777.229804626986</v>
      </c>
      <c r="R71" s="40">
        <f t="shared" si="29"/>
        <v>87252.180568484211</v>
      </c>
      <c r="S71" s="40">
        <f t="shared" si="29"/>
        <v>88616.18752758755</v>
      </c>
      <c r="T71" s="40">
        <f t="shared" si="29"/>
        <v>89925.75113512596</v>
      </c>
      <c r="U71" s="40">
        <f t="shared" si="29"/>
        <v>91178.250457158661</v>
      </c>
      <c r="V71" s="40">
        <f t="shared" si="29"/>
        <v>92351.227305910405</v>
      </c>
      <c r="W71" s="40">
        <f t="shared" si="29"/>
        <v>93436.785163925873</v>
      </c>
      <c r="X71" s="40">
        <f t="shared" si="29"/>
        <v>94433.172075435563</v>
      </c>
      <c r="Y71" s="40">
        <f t="shared" si="29"/>
        <v>95380.419391383286</v>
      </c>
      <c r="Z71" s="40">
        <f t="shared" si="29"/>
        <v>96239.399164230766</v>
      </c>
      <c r="AA71" s="40">
        <f t="shared" si="29"/>
        <v>97004.035597331327</v>
      </c>
      <c r="AB71" s="40">
        <f t="shared" si="29"/>
        <v>97677.834697051847</v>
      </c>
    </row>
    <row r="72" spans="1:28" x14ac:dyDescent="0.25">
      <c r="A72" s="4" t="s">
        <v>333</v>
      </c>
      <c r="B72" s="40">
        <f t="shared" ref="B72:AB72" si="30">B60+B61+B62+B63</f>
        <v>64847.808252942275</v>
      </c>
      <c r="C72" s="40">
        <f t="shared" si="30"/>
        <v>66241.135384385765</v>
      </c>
      <c r="D72" s="40">
        <f t="shared" si="30"/>
        <v>67298.972481014192</v>
      </c>
      <c r="E72" s="40">
        <f t="shared" si="30"/>
        <v>68376.838149353571</v>
      </c>
      <c r="F72" s="40">
        <f t="shared" si="30"/>
        <v>69483.92917462223</v>
      </c>
      <c r="G72" s="40">
        <f t="shared" si="30"/>
        <v>70625.06860280504</v>
      </c>
      <c r="H72" s="40">
        <f t="shared" si="30"/>
        <v>71799.902138711477</v>
      </c>
      <c r="I72" s="40">
        <f t="shared" si="30"/>
        <v>73285.936131482609</v>
      </c>
      <c r="J72" s="40">
        <f t="shared" si="30"/>
        <v>74800.622544846294</v>
      </c>
      <c r="K72" s="40">
        <f t="shared" si="30"/>
        <v>76335.678480495888</v>
      </c>
      <c r="L72" s="40">
        <f t="shared" si="30"/>
        <v>77885.057486758364</v>
      </c>
      <c r="M72" s="40">
        <f t="shared" si="30"/>
        <v>79446.663465506776</v>
      </c>
      <c r="N72" s="40">
        <f t="shared" si="30"/>
        <v>81006.272492986813</v>
      </c>
      <c r="O72" s="40">
        <f t="shared" si="30"/>
        <v>82555.507008646062</v>
      </c>
      <c r="P72" s="40">
        <f t="shared" si="30"/>
        <v>84086.127251454745</v>
      </c>
      <c r="Q72" s="40">
        <f t="shared" si="30"/>
        <v>85585.941559233717</v>
      </c>
      <c r="R72" s="40">
        <f t="shared" si="30"/>
        <v>87043.691901651764</v>
      </c>
      <c r="S72" s="40">
        <f t="shared" si="30"/>
        <v>88386.551993078101</v>
      </c>
      <c r="T72" s="40">
        <f t="shared" si="30"/>
        <v>89672.260745222593</v>
      </c>
      <c r="U72" s="40">
        <f t="shared" si="30"/>
        <v>90897.776838508464</v>
      </c>
      <c r="V72" s="40">
        <f t="shared" si="30"/>
        <v>92039.196047795864</v>
      </c>
      <c r="W72" s="40">
        <f t="shared" si="30"/>
        <v>93090.722173860675</v>
      </c>
      <c r="X72" s="40">
        <f t="shared" si="30"/>
        <v>94049.956097783303</v>
      </c>
      <c r="Y72" s="40">
        <f t="shared" si="30"/>
        <v>94958.892532991886</v>
      </c>
      <c r="Z72" s="40">
        <f t="shared" si="30"/>
        <v>95776.713114333892</v>
      </c>
      <c r="AA72" s="40">
        <f t="shared" si="30"/>
        <v>96497.308883059959</v>
      </c>
      <c r="AB72" s="40">
        <f t="shared" si="30"/>
        <v>97125.873040981445</v>
      </c>
    </row>
    <row r="73" spans="1:28" x14ac:dyDescent="0.25">
      <c r="A73" s="4" t="s">
        <v>334</v>
      </c>
      <c r="B73" s="40">
        <f t="shared" ref="B73:AB73" si="31">B64+B65</f>
        <v>59330.817336836815</v>
      </c>
      <c r="C73" s="40">
        <f t="shared" si="31"/>
        <v>60680.556993030303</v>
      </c>
      <c r="D73" s="40">
        <f t="shared" si="31"/>
        <v>61726.982837513897</v>
      </c>
      <c r="E73" s="40">
        <f t="shared" si="31"/>
        <v>62793.377979684112</v>
      </c>
      <c r="F73" s="40">
        <f t="shared" si="31"/>
        <v>63890.333249142743</v>
      </c>
      <c r="G73" s="40">
        <f t="shared" si="31"/>
        <v>65020.978885128963</v>
      </c>
      <c r="H73" s="40">
        <f t="shared" si="31"/>
        <v>66187.726211215253</v>
      </c>
      <c r="I73" s="40">
        <f t="shared" si="31"/>
        <v>67648.156022135328</v>
      </c>
      <c r="J73" s="40">
        <f t="shared" si="31"/>
        <v>69140.806227860594</v>
      </c>
      <c r="K73" s="40">
        <f t="shared" si="31"/>
        <v>70658.997550687302</v>
      </c>
      <c r="L73" s="40">
        <f t="shared" si="31"/>
        <v>72200.572514035302</v>
      </c>
      <c r="M73" s="40">
        <f t="shared" si="31"/>
        <v>73761.662652786501</v>
      </c>
      <c r="N73" s="40">
        <f t="shared" si="31"/>
        <v>75333.637304580669</v>
      </c>
      <c r="O73" s="40">
        <f t="shared" si="31"/>
        <v>76907.364024399954</v>
      </c>
      <c r="P73" s="40">
        <f t="shared" si="31"/>
        <v>78476.333445913318</v>
      </c>
      <c r="Q73" s="40">
        <f t="shared" si="31"/>
        <v>80030.317465763888</v>
      </c>
      <c r="R73" s="40">
        <f t="shared" si="31"/>
        <v>81559.068003288703</v>
      </c>
      <c r="S73" s="40">
        <f t="shared" si="31"/>
        <v>82995.896628221701</v>
      </c>
      <c r="T73" s="40">
        <f t="shared" si="31"/>
        <v>84393.990414857399</v>
      </c>
      <c r="U73" s="40">
        <f t="shared" si="31"/>
        <v>85750.605449321767</v>
      </c>
      <c r="V73" s="40">
        <f t="shared" si="31"/>
        <v>87045.687096725829</v>
      </c>
      <c r="W73" s="40">
        <f t="shared" si="31"/>
        <v>88271.283315548717</v>
      </c>
      <c r="X73" s="40">
        <f t="shared" si="31"/>
        <v>89427.120510611581</v>
      </c>
      <c r="Y73" s="40">
        <f t="shared" si="31"/>
        <v>90545.028766427655</v>
      </c>
      <c r="Z73" s="40">
        <f t="shared" si="31"/>
        <v>91591.860323267465</v>
      </c>
      <c r="AA73" s="40">
        <f t="shared" si="31"/>
        <v>92560.07581802507</v>
      </c>
      <c r="AB73" s="40">
        <f t="shared" si="31"/>
        <v>93452.270696111256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212.75422084774729</v>
      </c>
      <c r="C2" s="37">
        <f>BDbDT_calcs!C48</f>
        <v>212.06546623542135</v>
      </c>
      <c r="D2" s="37">
        <f>BDbDT_calcs!D48</f>
        <v>210.28572060651953</v>
      </c>
      <c r="E2" s="37">
        <f>BDbDT_calcs!E48</f>
        <v>208.5335444487076</v>
      </c>
      <c r="F2" s="37">
        <f>BDbDT_calcs!F48</f>
        <v>206.76496497664465</v>
      </c>
      <c r="G2" s="37">
        <f>BDbDT_calcs!G48</f>
        <v>204.98026829391469</v>
      </c>
      <c r="H2" s="37">
        <f>BDbDT_calcs!H48</f>
        <v>203.18078461150793</v>
      </c>
      <c r="I2" s="37">
        <f>BDbDT_calcs!I48</f>
        <v>202.26461223851715</v>
      </c>
      <c r="J2" s="37">
        <f>BDbDT_calcs!J48</f>
        <v>201.2044078735654</v>
      </c>
      <c r="K2" s="37">
        <f>BDbDT_calcs!K48</f>
        <v>200.17482957689043</v>
      </c>
      <c r="L2" s="37">
        <f>BDbDT_calcs!L48</f>
        <v>199.01546541387222</v>
      </c>
      <c r="M2" s="37">
        <f>BDbDT_calcs!M48</f>
        <v>197.88673857029892</v>
      </c>
      <c r="N2" s="37">
        <f>BDbDT_calcs!N48</f>
        <v>196.81226167271515</v>
      </c>
      <c r="O2" s="37">
        <f>BDbDT_calcs!O48</f>
        <v>195.46607388061489</v>
      </c>
      <c r="P2" s="37">
        <f>BDbDT_calcs!P48</f>
        <v>194.19573348765334</v>
      </c>
      <c r="Q2" s="37">
        <f>BDbDT_calcs!Q48</f>
        <v>192.78957395941433</v>
      </c>
      <c r="R2" s="37">
        <f>BDbDT_calcs!R48</f>
        <v>191.36298311433075</v>
      </c>
      <c r="S2" s="37">
        <f>BDbDT_calcs!S48</f>
        <v>189.72998511458903</v>
      </c>
      <c r="T2" s="37">
        <f>BDbDT_calcs!T48</f>
        <v>188.10071493167365</v>
      </c>
      <c r="U2" s="37">
        <f>BDbDT_calcs!U48</f>
        <v>186.47303829234787</v>
      </c>
      <c r="V2" s="37">
        <f>BDbDT_calcs!V48</f>
        <v>184.84423661886487</v>
      </c>
      <c r="W2" s="37">
        <f>BDbDT_calcs!W48</f>
        <v>183.23554809686902</v>
      </c>
      <c r="X2" s="37">
        <f>BDbDT_calcs!X48</f>
        <v>181.81456002147405</v>
      </c>
      <c r="Y2" s="37">
        <f>BDbDT_calcs!Y48</f>
        <v>180.3866134210316</v>
      </c>
      <c r="Z2" s="37">
        <f>BDbDT_calcs!Z48</f>
        <v>179.07178622107443</v>
      </c>
      <c r="AA2" s="37">
        <f>BDbDT_calcs!AA48</f>
        <v>177.7705376601792</v>
      </c>
      <c r="AB2" s="37">
        <f>BDbDT_calcs!AB48</f>
        <v>176.45590854432237</v>
      </c>
    </row>
    <row r="3" spans="1:28" x14ac:dyDescent="0.25">
      <c r="A3" s="4" t="s">
        <v>216</v>
      </c>
      <c r="B3" s="37">
        <f>BDbDT_calcs!B49</f>
        <v>167.41281132932929</v>
      </c>
      <c r="C3" s="37">
        <f>BDbDT_calcs!C49</f>
        <v>167.22067406438333</v>
      </c>
      <c r="D3" s="37">
        <f>BDbDT_calcs!D49</f>
        <v>166.18742574177935</v>
      </c>
      <c r="E3" s="37">
        <f>BDbDT_calcs!E49</f>
        <v>165.15311783488437</v>
      </c>
      <c r="F3" s="37">
        <f>BDbDT_calcs!F49</f>
        <v>164.09662903551285</v>
      </c>
      <c r="G3" s="37">
        <f>BDbDT_calcs!G49</f>
        <v>163.06305946090995</v>
      </c>
      <c r="H3" s="37">
        <f>BDbDT_calcs!H49</f>
        <v>162.03123697523571</v>
      </c>
      <c r="I3" s="37">
        <f>BDbDT_calcs!I49</f>
        <v>161.53869470232621</v>
      </c>
      <c r="J3" s="37">
        <f>BDbDT_calcs!J49</f>
        <v>161.12828477237855</v>
      </c>
      <c r="K3" s="37">
        <f>BDbDT_calcs!K49</f>
        <v>160.5918427832122</v>
      </c>
      <c r="L3" s="37">
        <f>BDbDT_calcs!L49</f>
        <v>160.10998067411171</v>
      </c>
      <c r="M3" s="37">
        <f>BDbDT_calcs!M49</f>
        <v>159.5010887898062</v>
      </c>
      <c r="N3" s="37">
        <f>BDbDT_calcs!N49</f>
        <v>158.78650364468115</v>
      </c>
      <c r="O3" s="37">
        <f>BDbDT_calcs!O49</f>
        <v>158.19511339883911</v>
      </c>
      <c r="P3" s="37">
        <f>BDbDT_calcs!P49</f>
        <v>157.38144105110885</v>
      </c>
      <c r="Q3" s="37">
        <f>BDbDT_calcs!Q49</f>
        <v>156.62075716366596</v>
      </c>
      <c r="R3" s="37">
        <f>BDbDT_calcs!R49</f>
        <v>155.74960434240381</v>
      </c>
      <c r="S3" s="37">
        <f>BDbDT_calcs!S49</f>
        <v>154.77115125855366</v>
      </c>
      <c r="T3" s="37">
        <f>BDbDT_calcs!T49</f>
        <v>153.7516792876213</v>
      </c>
      <c r="U3" s="37">
        <f>BDbDT_calcs!U49</f>
        <v>152.73628001015337</v>
      </c>
      <c r="V3" s="37">
        <f>BDbDT_calcs!V49</f>
        <v>151.77038883436467</v>
      </c>
      <c r="W3" s="37">
        <f>BDbDT_calcs!W49</f>
        <v>150.82845866964061</v>
      </c>
      <c r="X3" s="37">
        <f>BDbDT_calcs!X49</f>
        <v>149.86049889918991</v>
      </c>
      <c r="Y3" s="37">
        <f>BDbDT_calcs!Y49</f>
        <v>148.98518503444657</v>
      </c>
      <c r="Z3" s="37">
        <f>BDbDT_calcs!Z49</f>
        <v>148.0806134683481</v>
      </c>
      <c r="AA3" s="37">
        <f>BDbDT_calcs!AA49</f>
        <v>147.24167976039476</v>
      </c>
      <c r="AB3" s="37">
        <f>BDbDT_calcs!AB49</f>
        <v>146.54077920437368</v>
      </c>
    </row>
    <row r="4" spans="1:28" x14ac:dyDescent="0.25">
      <c r="A4" s="4" t="s">
        <v>217</v>
      </c>
      <c r="B4" s="37">
        <f>BDbDT_calcs!B50</f>
        <v>238.47422887574061</v>
      </c>
      <c r="C4" s="37">
        <f>BDbDT_calcs!C50</f>
        <v>237.92991959397719</v>
      </c>
      <c r="D4" s="37">
        <f>BDbDT_calcs!D50</f>
        <v>236.21212641246026</v>
      </c>
      <c r="E4" s="37">
        <f>BDbDT_calcs!E50</f>
        <v>234.47641740371785</v>
      </c>
      <c r="F4" s="37">
        <f>BDbDT_calcs!F50</f>
        <v>232.74874690815159</v>
      </c>
      <c r="G4" s="37">
        <f>BDbDT_calcs!G50</f>
        <v>231.05375380771926</v>
      </c>
      <c r="H4" s="37">
        <f>BDbDT_calcs!H50</f>
        <v>229.29604878853962</v>
      </c>
      <c r="I4" s="37">
        <f>BDbDT_calcs!I50</f>
        <v>228.48354203250221</v>
      </c>
      <c r="J4" s="37">
        <f>BDbDT_calcs!J50</f>
        <v>227.56848609920911</v>
      </c>
      <c r="K4" s="37">
        <f>BDbDT_calcs!K50</f>
        <v>226.56630494480703</v>
      </c>
      <c r="L4" s="37">
        <f>BDbDT_calcs!L50</f>
        <v>225.45176287446208</v>
      </c>
      <c r="M4" s="37">
        <f>BDbDT_calcs!M50</f>
        <v>224.22370123151265</v>
      </c>
      <c r="N4" s="37">
        <f>BDbDT_calcs!N50</f>
        <v>222.88063854609334</v>
      </c>
      <c r="O4" s="37">
        <f>BDbDT_calcs!O50</f>
        <v>221.34608362963843</v>
      </c>
      <c r="P4" s="37">
        <f>BDbDT_calcs!P50</f>
        <v>219.71734787094897</v>
      </c>
      <c r="Q4" s="37">
        <f>BDbDT_calcs!Q50</f>
        <v>217.96701098474645</v>
      </c>
      <c r="R4" s="37">
        <f>BDbDT_calcs!R50</f>
        <v>216.09214621539422</v>
      </c>
      <c r="S4" s="37">
        <f>BDbDT_calcs!S50</f>
        <v>213.9860026464564</v>
      </c>
      <c r="T4" s="37">
        <f>BDbDT_calcs!T50</f>
        <v>211.88177605266748</v>
      </c>
      <c r="U4" s="37">
        <f>BDbDT_calcs!U50</f>
        <v>209.77695847507979</v>
      </c>
      <c r="V4" s="37">
        <f>BDbDT_calcs!V50</f>
        <v>207.69417061753546</v>
      </c>
      <c r="W4" s="37">
        <f>BDbDT_calcs!W50</f>
        <v>205.68214652946713</v>
      </c>
      <c r="X4" s="37">
        <f>BDbDT_calcs!X50</f>
        <v>203.76459729910957</v>
      </c>
      <c r="Y4" s="37">
        <f>BDbDT_calcs!Y50</f>
        <v>201.8884445164212</v>
      </c>
      <c r="Z4" s="37">
        <f>BDbDT_calcs!Z50</f>
        <v>200.07764640199062</v>
      </c>
      <c r="AA4" s="37">
        <f>BDbDT_calcs!AA50</f>
        <v>198.38313131179297</v>
      </c>
      <c r="AB4" s="37">
        <f>BDbDT_calcs!AB50</f>
        <v>196.75090031303557</v>
      </c>
    </row>
    <row r="5" spans="1:28" x14ac:dyDescent="0.25">
      <c r="A5" s="4" t="s">
        <v>218</v>
      </c>
      <c r="B5" s="37">
        <f>BDbDT_calcs!B51</f>
        <v>44.94253878949327</v>
      </c>
      <c r="C5" s="37">
        <f>BDbDT_calcs!C51</f>
        <v>44.529698416927346</v>
      </c>
      <c r="D5" s="37">
        <f>BDbDT_calcs!D51</f>
        <v>43.901198969637782</v>
      </c>
      <c r="E5" s="37">
        <f>BDbDT_calcs!E51</f>
        <v>43.259504517228372</v>
      </c>
      <c r="F5" s="37">
        <f>BDbDT_calcs!F51</f>
        <v>42.604826070017701</v>
      </c>
      <c r="G5" s="37">
        <f>BDbDT_calcs!G51</f>
        <v>41.956379673167014</v>
      </c>
      <c r="H5" s="37">
        <f>BDbDT_calcs!H51</f>
        <v>41.285427238283894</v>
      </c>
      <c r="I5" s="37">
        <f>BDbDT_calcs!I51</f>
        <v>40.788622424351225</v>
      </c>
      <c r="J5" s="37">
        <f>BDbDT_calcs!J51</f>
        <v>40.292536443995267</v>
      </c>
      <c r="K5" s="37">
        <f>BDbDT_calcs!K51</f>
        <v>39.795680014654927</v>
      </c>
      <c r="L5" s="37">
        <f>BDbDT_calcs!L51</f>
        <v>39.317619824476019</v>
      </c>
      <c r="M5" s="37">
        <f>BDbDT_calcs!M51</f>
        <v>38.868396083396846</v>
      </c>
      <c r="N5" s="37">
        <f>BDbDT_calcs!N51</f>
        <v>38.418707523265901</v>
      </c>
      <c r="O5" s="37">
        <f>BDbDT_calcs!O51</f>
        <v>37.998228308582576</v>
      </c>
      <c r="P5" s="37">
        <f>BDbDT_calcs!P51</f>
        <v>37.577358752501858</v>
      </c>
      <c r="Q5" s="37">
        <f>BDbDT_calcs!Q51</f>
        <v>37.175920632307232</v>
      </c>
      <c r="R5" s="37">
        <f>BDbDT_calcs!R51</f>
        <v>36.783905788592293</v>
      </c>
      <c r="S5" s="37">
        <f>BDbDT_calcs!S51</f>
        <v>36.364843509542951</v>
      </c>
      <c r="T5" s="37">
        <f>BDbDT_calcs!T51</f>
        <v>35.955723495449504</v>
      </c>
      <c r="U5" s="37">
        <f>BDbDT_calcs!U51</f>
        <v>35.546041567590052</v>
      </c>
      <c r="V5" s="37">
        <f>BDbDT_calcs!V51</f>
        <v>35.155718605387229</v>
      </c>
      <c r="W5" s="37">
        <f>BDbDT_calcs!W51</f>
        <v>34.753588152699493</v>
      </c>
      <c r="X5" s="37">
        <f>BDbDT_calcs!X51</f>
        <v>34.3699180472344</v>
      </c>
      <c r="Y5" s="37">
        <f>BDbDT_calcs!Y51</f>
        <v>34.014986496864708</v>
      </c>
      <c r="Z5" s="37">
        <f>BDbDT_calcs!Z51</f>
        <v>33.657413845233506</v>
      </c>
      <c r="AA5" s="37">
        <f>BDbDT_calcs!AA51</f>
        <v>33.317652485649802</v>
      </c>
      <c r="AB5" s="37">
        <f>BDbDT_calcs!AB51</f>
        <v>32.974447841360679</v>
      </c>
    </row>
    <row r="6" spans="1:28" x14ac:dyDescent="0.25">
      <c r="A6" s="4" t="s">
        <v>219</v>
      </c>
      <c r="B6" s="37">
        <f>BDbDT_calcs!B52</f>
        <v>13.289522648290832</v>
      </c>
      <c r="C6" s="37">
        <f>BDbDT_calcs!C52</f>
        <v>13.393702144362736</v>
      </c>
      <c r="D6" s="37">
        <f>BDbDT_calcs!D52</f>
        <v>13.430948200265961</v>
      </c>
      <c r="E6" s="37">
        <f>BDbDT_calcs!E52</f>
        <v>13.485247950868782</v>
      </c>
      <c r="F6" s="37">
        <f>BDbDT_calcs!F52</f>
        <v>13.541249996665297</v>
      </c>
      <c r="G6" s="37">
        <f>BDbDT_calcs!G52</f>
        <v>13.599037383316954</v>
      </c>
      <c r="H6" s="37">
        <f>BDbDT_calcs!H52</f>
        <v>13.658768861822226</v>
      </c>
      <c r="I6" s="37">
        <f>BDbDT_calcs!I52</f>
        <v>13.773967454616139</v>
      </c>
      <c r="J6" s="37">
        <f>BDbDT_calcs!J52</f>
        <v>13.89164934670413</v>
      </c>
      <c r="K6" s="37">
        <f>BDbDT_calcs!K52</f>
        <v>14.042728052872798</v>
      </c>
      <c r="L6" s="37">
        <f>BDbDT_calcs!L52</f>
        <v>14.164815538843293</v>
      </c>
      <c r="M6" s="37">
        <f>BDbDT_calcs!M52</f>
        <v>14.289188216901644</v>
      </c>
      <c r="N6" s="37">
        <f>BDbDT_calcs!N52</f>
        <v>14.415929429641279</v>
      </c>
      <c r="O6" s="37">
        <f>BDbDT_calcs!O52</f>
        <v>14.545125427791445</v>
      </c>
      <c r="P6" s="37">
        <f>BDbDT_calcs!P52</f>
        <v>14.66084108743685</v>
      </c>
      <c r="Q6" s="37">
        <f>BDbDT_calcs!Q52</f>
        <v>14.795052341783673</v>
      </c>
      <c r="R6" s="37">
        <f>BDbDT_calcs!R52</f>
        <v>14.899532712364815</v>
      </c>
      <c r="S6" s="37">
        <f>BDbDT_calcs!S52</f>
        <v>15.011697371958316</v>
      </c>
      <c r="T6" s="37">
        <f>BDbDT_calcs!T52</f>
        <v>15.142545192424469</v>
      </c>
      <c r="U6" s="37">
        <f>BDbDT_calcs!U52</f>
        <v>15.24309986275547</v>
      </c>
      <c r="V6" s="37">
        <f>BDbDT_calcs!V52</f>
        <v>15.362129108163133</v>
      </c>
      <c r="W6" s="37">
        <f>BDbDT_calcs!W52</f>
        <v>15.483170456649065</v>
      </c>
      <c r="X6" s="37">
        <f>BDbDT_calcs!X52</f>
        <v>15.589446275983979</v>
      </c>
      <c r="Y6" s="37">
        <f>BDbDT_calcs!Y52</f>
        <v>15.73066014007202</v>
      </c>
      <c r="Z6" s="37">
        <f>BDbDT_calcs!Z52</f>
        <v>15.84006771924367</v>
      </c>
      <c r="AA6" s="37">
        <f>BDbDT_calcs!AA52</f>
        <v>15.950684536342088</v>
      </c>
      <c r="AB6" s="37">
        <f>BDbDT_calcs!AB52</f>
        <v>16.062319213931307</v>
      </c>
    </row>
    <row r="7" spans="1:28" x14ac:dyDescent="0.25">
      <c r="A7" s="4" t="s">
        <v>220</v>
      </c>
      <c r="B7" s="37">
        <f>BDbDT_calcs!B53</f>
        <v>63.137014829153635</v>
      </c>
      <c r="C7" s="37">
        <f>BDbDT_calcs!C53</f>
        <v>63.954061081525929</v>
      </c>
      <c r="D7" s="37">
        <f>BDbDT_calcs!D53</f>
        <v>64.327438444700363</v>
      </c>
      <c r="E7" s="37">
        <f>BDbDT_calcs!E53</f>
        <v>64.79153653469659</v>
      </c>
      <c r="F7" s="37">
        <f>BDbDT_calcs!F53</f>
        <v>65.22190721287491</v>
      </c>
      <c r="G7" s="37">
        <f>BDbDT_calcs!G53</f>
        <v>65.577379440848901</v>
      </c>
      <c r="H7" s="37">
        <f>BDbDT_calcs!H53</f>
        <v>66.108922349416005</v>
      </c>
      <c r="I7" s="37">
        <f>BDbDT_calcs!I53</f>
        <v>66.742452727298172</v>
      </c>
      <c r="J7" s="37">
        <f>BDbDT_calcs!J53</f>
        <v>67.430625378555945</v>
      </c>
      <c r="K7" s="37">
        <f>BDbDT_calcs!K53</f>
        <v>68.003321012748685</v>
      </c>
      <c r="L7" s="37">
        <f>BDbDT_calcs!L53</f>
        <v>68.628923923753973</v>
      </c>
      <c r="M7" s="37">
        <f>BDbDT_calcs!M53</f>
        <v>69.138250437178812</v>
      </c>
      <c r="N7" s="37">
        <f>BDbDT_calcs!N53</f>
        <v>69.743696428742481</v>
      </c>
      <c r="O7" s="37">
        <f>BDbDT_calcs!O53</f>
        <v>70.275090741902417</v>
      </c>
      <c r="P7" s="37">
        <f>BDbDT_calcs!P53</f>
        <v>70.731570844020737</v>
      </c>
      <c r="Q7" s="37">
        <f>BDbDT_calcs!Q53</f>
        <v>71.11206696416707</v>
      </c>
      <c r="R7" s="37">
        <f>BDbDT_calcs!R53</f>
        <v>71.502449885425477</v>
      </c>
      <c r="S7" s="37">
        <f>BDbDT_calcs!S53</f>
        <v>71.807079423711869</v>
      </c>
      <c r="T7" s="37">
        <f>BDbDT_calcs!T53</f>
        <v>71.945412076507239</v>
      </c>
      <c r="U7" s="37">
        <f>BDbDT_calcs!U53</f>
        <v>72.179348161925617</v>
      </c>
      <c r="V7" s="37">
        <f>BDbDT_calcs!V53</f>
        <v>72.332042937324474</v>
      </c>
      <c r="W7" s="37">
        <f>BDbDT_calcs!W53</f>
        <v>72.490441898854684</v>
      </c>
      <c r="X7" s="37">
        <f>BDbDT_calcs!X53</f>
        <v>72.743079280167294</v>
      </c>
      <c r="Y7" s="37">
        <f>BDbDT_calcs!Y53</f>
        <v>72.865896548754492</v>
      </c>
      <c r="Z7" s="37">
        <f>BDbDT_calcs!Z53</f>
        <v>73.127060554745043</v>
      </c>
      <c r="AA7" s="37">
        <f>BDbDT_calcs!AA53</f>
        <v>73.255277824149985</v>
      </c>
      <c r="AB7" s="37">
        <f>BDbDT_calcs!AB53</f>
        <v>73.521290269172312</v>
      </c>
    </row>
    <row r="8" spans="1:28" x14ac:dyDescent="0.25">
      <c r="A8" s="4" t="s">
        <v>221</v>
      </c>
      <c r="B8" s="37">
        <f>BDbDT_calcs!B54</f>
        <v>141.99217283445418</v>
      </c>
      <c r="C8" s="37">
        <f>BDbDT_calcs!C54</f>
        <v>143.20243434049848</v>
      </c>
      <c r="D8" s="37">
        <f>BDbDT_calcs!D54</f>
        <v>143.77161498813604</v>
      </c>
      <c r="E8" s="37">
        <f>BDbDT_calcs!E54</f>
        <v>144.3944816452273</v>
      </c>
      <c r="F8" s="37">
        <f>BDbDT_calcs!F54</f>
        <v>145.14672925073648</v>
      </c>
      <c r="G8" s="37">
        <f>BDbDT_calcs!G54</f>
        <v>145.76978587687015</v>
      </c>
      <c r="H8" s="37">
        <f>BDbDT_calcs!H54</f>
        <v>146.37663180292321</v>
      </c>
      <c r="I8" s="37">
        <f>BDbDT_calcs!I54</f>
        <v>147.54058490389639</v>
      </c>
      <c r="J8" s="37">
        <f>BDbDT_calcs!J54</f>
        <v>148.65590101331685</v>
      </c>
      <c r="K8" s="37">
        <f>BDbDT_calcs!K54</f>
        <v>149.71738063600441</v>
      </c>
      <c r="L8" s="37">
        <f>BDbDT_calcs!L54</f>
        <v>150.68745024055275</v>
      </c>
      <c r="M8" s="37">
        <f>BDbDT_calcs!M54</f>
        <v>151.5655703536527</v>
      </c>
      <c r="N8" s="37">
        <f>BDbDT_calcs!N54</f>
        <v>152.35099470346915</v>
      </c>
      <c r="O8" s="37">
        <f>BDbDT_calcs!O54</f>
        <v>153.04291279135151</v>
      </c>
      <c r="P8" s="37">
        <f>BDbDT_calcs!P54</f>
        <v>153.52524559208675</v>
      </c>
      <c r="Q8" s="37">
        <f>BDbDT_calcs!Q54</f>
        <v>153.91042089722703</v>
      </c>
      <c r="R8" s="37">
        <f>BDbDT_calcs!R54</f>
        <v>154.08053305285449</v>
      </c>
      <c r="S8" s="37">
        <f>BDbDT_calcs!S54</f>
        <v>154.15394575728362</v>
      </c>
      <c r="T8" s="37">
        <f>BDbDT_calcs!T54</f>
        <v>154.08634675604935</v>
      </c>
      <c r="U8" s="37">
        <f>BDbDT_calcs!U54</f>
        <v>153.87443818157075</v>
      </c>
      <c r="V8" s="37">
        <f>BDbDT_calcs!V54</f>
        <v>153.67186163857951</v>
      </c>
      <c r="W8" s="37">
        <f>BDbDT_calcs!W54</f>
        <v>153.2786507460857</v>
      </c>
      <c r="X8" s="37">
        <f>BDbDT_calcs!X54</f>
        <v>153.08748722939143</v>
      </c>
      <c r="Y8" s="37">
        <f>BDbDT_calcs!Y54</f>
        <v>152.86008223870928</v>
      </c>
      <c r="Z8" s="37">
        <f>BDbDT_calcs!Z54</f>
        <v>152.63397186909526</v>
      </c>
      <c r="AA8" s="37">
        <f>BDbDT_calcs!AA54</f>
        <v>152.44742971311041</v>
      </c>
      <c r="AB8" s="37">
        <f>BDbDT_calcs!AB54</f>
        <v>152.33955534438783</v>
      </c>
    </row>
    <row r="9" spans="1:28" x14ac:dyDescent="0.25">
      <c r="A9" s="4" t="s">
        <v>222</v>
      </c>
      <c r="B9" s="37">
        <f>BDbDT_calcs!B55</f>
        <v>247.60937310404245</v>
      </c>
      <c r="C9" s="37">
        <f>BDbDT_calcs!C55</f>
        <v>246.24922178054655</v>
      </c>
      <c r="D9" s="37">
        <f>BDbDT_calcs!D55</f>
        <v>243.58949609337148</v>
      </c>
      <c r="E9" s="37">
        <f>BDbDT_calcs!E55</f>
        <v>240.92446309130563</v>
      </c>
      <c r="F9" s="37">
        <f>BDbDT_calcs!F55</f>
        <v>238.16057450984991</v>
      </c>
      <c r="G9" s="37">
        <f>BDbDT_calcs!G55</f>
        <v>235.46882678304777</v>
      </c>
      <c r="H9" s="37">
        <f>BDbDT_calcs!H55</f>
        <v>232.77447933442875</v>
      </c>
      <c r="I9" s="37">
        <f>BDbDT_calcs!I55</f>
        <v>230.99251512879863</v>
      </c>
      <c r="J9" s="37">
        <f>BDbDT_calcs!J55</f>
        <v>229.18452831918668</v>
      </c>
      <c r="K9" s="37">
        <f>BDbDT_calcs!K55</f>
        <v>227.32278978930458</v>
      </c>
      <c r="L9" s="37">
        <f>BDbDT_calcs!L55</f>
        <v>225.44548711083027</v>
      </c>
      <c r="M9" s="37">
        <f>BDbDT_calcs!M55</f>
        <v>223.53312109291556</v>
      </c>
      <c r="N9" s="37">
        <f>BDbDT_calcs!N55</f>
        <v>221.62396844650121</v>
      </c>
      <c r="O9" s="37">
        <f>BDbDT_calcs!O55</f>
        <v>219.63967554182273</v>
      </c>
      <c r="P9" s="37">
        <f>BDbDT_calcs!P55</f>
        <v>217.63760012102227</v>
      </c>
      <c r="Q9" s="37">
        <f>BDbDT_calcs!Q55</f>
        <v>215.61649971325676</v>
      </c>
      <c r="R9" s="37">
        <f>BDbDT_calcs!R55</f>
        <v>213.59468492390221</v>
      </c>
      <c r="S9" s="37">
        <f>BDbDT_calcs!S55</f>
        <v>211.35840409188424</v>
      </c>
      <c r="T9" s="37">
        <f>BDbDT_calcs!T55</f>
        <v>209.16266747040362</v>
      </c>
      <c r="U9" s="37">
        <f>BDbDT_calcs!U55</f>
        <v>207.04565540683103</v>
      </c>
      <c r="V9" s="37">
        <f>BDbDT_calcs!V55</f>
        <v>204.96494791435936</v>
      </c>
      <c r="W9" s="37">
        <f>BDbDT_calcs!W55</f>
        <v>203.01909623374587</v>
      </c>
      <c r="X9" s="37">
        <f>BDbDT_calcs!X55</f>
        <v>201.10488214650695</v>
      </c>
      <c r="Y9" s="37">
        <f>BDbDT_calcs!Y55</f>
        <v>199.28205387583822</v>
      </c>
      <c r="Z9" s="37">
        <f>BDbDT_calcs!Z55</f>
        <v>197.52849129187251</v>
      </c>
      <c r="AA9" s="37">
        <f>BDbDT_calcs!AA55</f>
        <v>195.82175357607971</v>
      </c>
      <c r="AB9" s="37">
        <f>BDbDT_calcs!AB55</f>
        <v>194.18068145109049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33737.244546964779</v>
      </c>
      <c r="C2" s="37">
        <f>BDbDT_calcs!C58</f>
        <v>34500.848963545359</v>
      </c>
      <c r="D2" s="37">
        <f>BDbDT_calcs!D58</f>
        <v>35088.74092769203</v>
      </c>
      <c r="E2" s="37">
        <f>BDbDT_calcs!E58</f>
        <v>35677.626781954306</v>
      </c>
      <c r="F2" s="37">
        <f>BDbDT_calcs!F58</f>
        <v>36270.591383081271</v>
      </c>
      <c r="G2" s="37">
        <f>BDbDT_calcs!G58</f>
        <v>36868.735395698866</v>
      </c>
      <c r="H2" s="37">
        <f>BDbDT_calcs!H58</f>
        <v>37469.568081668593</v>
      </c>
      <c r="I2" s="37">
        <f>BDbDT_calcs!I58</f>
        <v>38218.936757464857</v>
      </c>
      <c r="J2" s="37">
        <f>BDbDT_calcs!J58</f>
        <v>38967.157881333012</v>
      </c>
      <c r="K2" s="37">
        <f>BDbDT_calcs!K58</f>
        <v>39713.470922766675</v>
      </c>
      <c r="L2" s="37">
        <f>BDbDT_calcs!L58</f>
        <v>40454.412237546727</v>
      </c>
      <c r="M2" s="37">
        <f>BDbDT_calcs!M58</f>
        <v>41189.163759972216</v>
      </c>
      <c r="N2" s="37">
        <f>BDbDT_calcs!N58</f>
        <v>41913.346441073882</v>
      </c>
      <c r="O2" s="37">
        <f>BDbDT_calcs!O58</f>
        <v>42625.160962715672</v>
      </c>
      <c r="P2" s="37">
        <f>BDbDT_calcs!P58</f>
        <v>43318.870005903031</v>
      </c>
      <c r="Q2" s="37">
        <f>BDbDT_calcs!Q58</f>
        <v>43993.261752963917</v>
      </c>
      <c r="R2" s="37">
        <f>BDbDT_calcs!R58</f>
        <v>44641.279779143879</v>
      </c>
      <c r="S2" s="37">
        <f>BDbDT_calcs!S58</f>
        <v>45230.230791192145</v>
      </c>
      <c r="T2" s="37">
        <f>BDbDT_calcs!T58</f>
        <v>45789.500994100221</v>
      </c>
      <c r="U2" s="37">
        <f>BDbDT_calcs!U58</f>
        <v>46321.020207136135</v>
      </c>
      <c r="V2" s="37">
        <f>BDbDT_calcs!V58</f>
        <v>46813.073682685121</v>
      </c>
      <c r="W2" s="37">
        <f>BDbDT_calcs!W58</f>
        <v>47267.704339906973</v>
      </c>
      <c r="X2" s="37">
        <f>BDbDT_calcs!X58</f>
        <v>47681.591781862764</v>
      </c>
      <c r="Y2" s="37">
        <f>BDbDT_calcs!Y58</f>
        <v>48073.753241312254</v>
      </c>
      <c r="Z2" s="37">
        <f>BDbDT_calcs!Z58</f>
        <v>48426.078229807274</v>
      </c>
      <c r="AA2" s="37">
        <f>BDbDT_calcs!AA58</f>
        <v>48740.803334758602</v>
      </c>
      <c r="AB2" s="37">
        <f>BDbDT_calcs!AB58</f>
        <v>49021.647796183293</v>
      </c>
    </row>
    <row r="3" spans="1:28" x14ac:dyDescent="0.25">
      <c r="A3" s="4" t="s">
        <v>216</v>
      </c>
      <c r="B3" s="37">
        <f>BDbDT_calcs!B59</f>
        <v>31285.44759564531</v>
      </c>
      <c r="C3" s="37">
        <f>BDbDT_calcs!C59</f>
        <v>31910.692327154542</v>
      </c>
      <c r="D3" s="37">
        <f>BDbDT_calcs!D59</f>
        <v>32375.424263007106</v>
      </c>
      <c r="E3" s="37">
        <f>BDbDT_calcs!E59</f>
        <v>32857.794633502781</v>
      </c>
      <c r="F3" s="37">
        <f>BDbDT_calcs!F59</f>
        <v>33367.134755450403</v>
      </c>
      <c r="G3" s="37">
        <f>BDbDT_calcs!G59</f>
        <v>33905.264554715912</v>
      </c>
      <c r="H3" s="37">
        <f>BDbDT_calcs!H59</f>
        <v>34475.382043127211</v>
      </c>
      <c r="I3" s="37">
        <f>BDbDT_calcs!I59</f>
        <v>35210.677045318742</v>
      </c>
      <c r="J3" s="37">
        <f>BDbDT_calcs!J59</f>
        <v>35977.17413246556</v>
      </c>
      <c r="K3" s="37">
        <f>BDbDT_calcs!K59</f>
        <v>36766.028182508628</v>
      </c>
      <c r="L3" s="37">
        <f>BDbDT_calcs!L59</f>
        <v>37576.739913676436</v>
      </c>
      <c r="M3" s="37">
        <f>BDbDT_calcs!M59</f>
        <v>38407.26425119253</v>
      </c>
      <c r="N3" s="37">
        <f>BDbDT_calcs!N59</f>
        <v>39249.584710927971</v>
      </c>
      <c r="O3" s="37">
        <f>BDbDT_calcs!O59</f>
        <v>40095.921594174084</v>
      </c>
      <c r="P3" s="37">
        <f>BDbDT_calcs!P59</f>
        <v>40944.506538340625</v>
      </c>
      <c r="Q3" s="37">
        <f>BDbDT_calcs!Q59</f>
        <v>41783.968051663069</v>
      </c>
      <c r="R3" s="37">
        <f>BDbDT_calcs!R59</f>
        <v>42610.900789340332</v>
      </c>
      <c r="S3" s="37">
        <f>BDbDT_calcs!S59</f>
        <v>43385.956736395405</v>
      </c>
      <c r="T3" s="37">
        <f>BDbDT_calcs!T59</f>
        <v>44136.250141025739</v>
      </c>
      <c r="U3" s="37">
        <f>BDbDT_calcs!U59</f>
        <v>44857.230250022534</v>
      </c>
      <c r="V3" s="37">
        <f>BDbDT_calcs!V59</f>
        <v>45538.153623225277</v>
      </c>
      <c r="W3" s="37">
        <f>BDbDT_calcs!W59</f>
        <v>46169.080824018907</v>
      </c>
      <c r="X3" s="37">
        <f>BDbDT_calcs!X59</f>
        <v>46751.580293572799</v>
      </c>
      <c r="Y3" s="37">
        <f>BDbDT_calcs!Y59</f>
        <v>47306.666150071032</v>
      </c>
      <c r="Z3" s="37">
        <f>BDbDT_calcs!Z59</f>
        <v>47813.3209344235</v>
      </c>
      <c r="AA3" s="37">
        <f>BDbDT_calcs!AA59</f>
        <v>48263.232262572725</v>
      </c>
      <c r="AB3" s="37">
        <f>BDbDT_calcs!AB59</f>
        <v>48656.186900868561</v>
      </c>
    </row>
    <row r="4" spans="1:28" x14ac:dyDescent="0.25">
      <c r="A4" s="4" t="s">
        <v>217</v>
      </c>
      <c r="B4" s="37">
        <f>BDbDT_calcs!B60</f>
        <v>56708.532985989492</v>
      </c>
      <c r="C4" s="37">
        <f>BDbDT_calcs!C60</f>
        <v>57907.594233427291</v>
      </c>
      <c r="D4" s="37">
        <f>BDbDT_calcs!D60</f>
        <v>58808.685951946914</v>
      </c>
      <c r="E4" s="37">
        <f>BDbDT_calcs!E60</f>
        <v>59720.55871694308</v>
      </c>
      <c r="F4" s="37">
        <f>BDbDT_calcs!F60</f>
        <v>60655.521629768395</v>
      </c>
      <c r="G4" s="37">
        <f>BDbDT_calcs!G60</f>
        <v>61613.930224903459</v>
      </c>
      <c r="H4" s="37">
        <f>BDbDT_calcs!H60</f>
        <v>62598.160729789721</v>
      </c>
      <c r="I4" s="37">
        <f>BDbDT_calcs!I60</f>
        <v>63849.540853479601</v>
      </c>
      <c r="J4" s="37">
        <f>BDbDT_calcs!J60</f>
        <v>65121.92457905646</v>
      </c>
      <c r="K4" s="37">
        <f>BDbDT_calcs!K60</f>
        <v>66403.973338772135</v>
      </c>
      <c r="L4" s="37">
        <f>BDbDT_calcs!L60</f>
        <v>67692.224436805744</v>
      </c>
      <c r="M4" s="37">
        <f>BDbDT_calcs!M60</f>
        <v>68984.063582404458</v>
      </c>
      <c r="N4" s="37">
        <f>BDbDT_calcs!N60</f>
        <v>70266.905574792836</v>
      </c>
      <c r="O4" s="37">
        <f>BDbDT_calcs!O60</f>
        <v>71533.536182344251</v>
      </c>
      <c r="P4" s="37">
        <f>BDbDT_calcs!P60</f>
        <v>72774.379107469445</v>
      </c>
      <c r="Q4" s="37">
        <f>BDbDT_calcs!Q60</f>
        <v>73979.132682026378</v>
      </c>
      <c r="R4" s="37">
        <f>BDbDT_calcs!R60</f>
        <v>75137.660524744031</v>
      </c>
      <c r="S4" s="37">
        <f>BDbDT_calcs!S60</f>
        <v>76187.690331761973</v>
      </c>
      <c r="T4" s="37">
        <f>BDbDT_calcs!T60</f>
        <v>77178.128525124848</v>
      </c>
      <c r="U4" s="37">
        <f>BDbDT_calcs!U60</f>
        <v>78107.749690045574</v>
      </c>
      <c r="V4" s="37">
        <f>BDbDT_calcs!V60</f>
        <v>78954.486554559902</v>
      </c>
      <c r="W4" s="37">
        <f>BDbDT_calcs!W60</f>
        <v>79710.844294269773</v>
      </c>
      <c r="X4" s="37">
        <f>BDbDT_calcs!X60</f>
        <v>80376.872204331114</v>
      </c>
      <c r="Y4" s="37">
        <f>BDbDT_calcs!Y60</f>
        <v>80992.169264997021</v>
      </c>
      <c r="Z4" s="37">
        <f>BDbDT_calcs!Z60</f>
        <v>81519.267409407898</v>
      </c>
      <c r="AA4" s="37">
        <f>BDbDT_calcs!AA60</f>
        <v>81951.477583430678</v>
      </c>
      <c r="AB4" s="37">
        <f>BDbDT_calcs!AB60</f>
        <v>82294.108031363416</v>
      </c>
    </row>
    <row r="5" spans="1:28" x14ac:dyDescent="0.25">
      <c r="A5" s="4" t="s">
        <v>218</v>
      </c>
      <c r="B5" s="37">
        <f>BDbDT_calcs!B61</f>
        <v>3474.582802215326</v>
      </c>
      <c r="C5" s="37">
        <f>BDbDT_calcs!C61</f>
        <v>3542.3061501240227</v>
      </c>
      <c r="D5" s="37">
        <f>BDbDT_calcs!D61</f>
        <v>3592.3580700470302</v>
      </c>
      <c r="E5" s="37">
        <f>BDbDT_calcs!E61</f>
        <v>3642.9244099167345</v>
      </c>
      <c r="F5" s="37">
        <f>BDbDT_calcs!F61</f>
        <v>3695.2052809577008</v>
      </c>
      <c r="G5" s="37">
        <f>BDbDT_calcs!G61</f>
        <v>3749.3133766645055</v>
      </c>
      <c r="H5" s="37">
        <f>BDbDT_calcs!H61</f>
        <v>3805.1723042330063</v>
      </c>
      <c r="I5" s="37">
        <f>BDbDT_calcs!I61</f>
        <v>3877.9831097703614</v>
      </c>
      <c r="J5" s="37">
        <f>BDbDT_calcs!J61</f>
        <v>3952.8705629085134</v>
      </c>
      <c r="K5" s="37">
        <f>BDbDT_calcs!K61</f>
        <v>4029.6146744711905</v>
      </c>
      <c r="L5" s="37">
        <f>BDbDT_calcs!L61</f>
        <v>4108.2509299723033</v>
      </c>
      <c r="M5" s="37">
        <f>BDbDT_calcs!M61</f>
        <v>4188.5979147216558</v>
      </c>
      <c r="N5" s="37">
        <f>BDbDT_calcs!N61</f>
        <v>4270.882943402813</v>
      </c>
      <c r="O5" s="37">
        <f>BDbDT_calcs!O61</f>
        <v>4354.049599288137</v>
      </c>
      <c r="P5" s="37">
        <f>BDbDT_calcs!P61</f>
        <v>4438.5913913108934</v>
      </c>
      <c r="Q5" s="37">
        <f>BDbDT_calcs!Q61</f>
        <v>4523.6208755399684</v>
      </c>
      <c r="R5" s="37">
        <f>BDbDT_calcs!R61</f>
        <v>4609.0324479535484</v>
      </c>
      <c r="S5" s="37">
        <f>BDbDT_calcs!S61</f>
        <v>4691.4587652023938</v>
      </c>
      <c r="T5" s="37">
        <f>BDbDT_calcs!T61</f>
        <v>4773.2947678638739</v>
      </c>
      <c r="U5" s="37">
        <f>BDbDT_calcs!U61</f>
        <v>4854.592602999398</v>
      </c>
      <c r="V5" s="37">
        <f>BDbDT_calcs!V61</f>
        <v>4934.7613326966757</v>
      </c>
      <c r="W5" s="37">
        <f>BDbDT_calcs!W61</f>
        <v>5012.8476813825373</v>
      </c>
      <c r="X5" s="37">
        <f>BDbDT_calcs!X61</f>
        <v>5088.4632667801807</v>
      </c>
      <c r="Y5" s="37">
        <f>BDbDT_calcs!Y61</f>
        <v>5162.8436586553789</v>
      </c>
      <c r="Z5" s="37">
        <f>BDbDT_calcs!Z61</f>
        <v>5234.5207740287378</v>
      </c>
      <c r="AA5" s="37">
        <f>BDbDT_calcs!AA61</f>
        <v>5303.3881810409894</v>
      </c>
      <c r="AB5" s="37">
        <f>BDbDT_calcs!AB61</f>
        <v>5368.8300667457597</v>
      </c>
    </row>
    <row r="6" spans="1:28" x14ac:dyDescent="0.25">
      <c r="A6" s="4" t="s">
        <v>219</v>
      </c>
      <c r="B6" s="37">
        <f>BDbDT_calcs!B62</f>
        <v>1880.7993069247186</v>
      </c>
      <c r="C6" s="37">
        <f>BDbDT_calcs!C62</f>
        <v>1933.4367116310291</v>
      </c>
      <c r="D6" s="37">
        <f>BDbDT_calcs!D62</f>
        <v>1977.8968907884171</v>
      </c>
      <c r="E6" s="37">
        <f>BDbDT_calcs!E62</f>
        <v>2025.4346982555742</v>
      </c>
      <c r="F6" s="37">
        <f>BDbDT_calcs!F62</f>
        <v>2076.655148060026</v>
      </c>
      <c r="G6" s="37">
        <f>BDbDT_calcs!G62</f>
        <v>2131.5369448508268</v>
      </c>
      <c r="H6" s="37">
        <f>BDbDT_calcs!H62</f>
        <v>2190.2446879411036</v>
      </c>
      <c r="I6" s="37">
        <f>BDbDT_calcs!I62</f>
        <v>2261.5860722918155</v>
      </c>
      <c r="J6" s="37">
        <f>BDbDT_calcs!J62</f>
        <v>2336.1045695990574</v>
      </c>
      <c r="K6" s="37">
        <f>BDbDT_calcs!K62</f>
        <v>2413.3766679763262</v>
      </c>
      <c r="L6" s="37">
        <f>BDbDT_calcs!L62</f>
        <v>2494.0608563026817</v>
      </c>
      <c r="M6" s="37">
        <f>BDbDT_calcs!M62</f>
        <v>2577.7221868543043</v>
      </c>
      <c r="N6" s="37">
        <f>BDbDT_calcs!N62</f>
        <v>2664.076445884335</v>
      </c>
      <c r="O6" s="37">
        <f>BDbDT_calcs!O62</f>
        <v>2752.6928666941953</v>
      </c>
      <c r="P6" s="37">
        <f>BDbDT_calcs!P62</f>
        <v>2843.3548908561611</v>
      </c>
      <c r="Q6" s="37">
        <f>BDbDT_calcs!Q62</f>
        <v>2935.547445132102</v>
      </c>
      <c r="R6" s="37">
        <f>BDbDT_calcs!R62</f>
        <v>3029.0168243741305</v>
      </c>
      <c r="S6" s="37">
        <f>BDbDT_calcs!S62</f>
        <v>3121.0049135092409</v>
      </c>
      <c r="T6" s="37">
        <f>BDbDT_calcs!T62</f>
        <v>3213.7077451332543</v>
      </c>
      <c r="U6" s="37">
        <f>BDbDT_calcs!U62</f>
        <v>3306.4264714114029</v>
      </c>
      <c r="V6" s="37">
        <f>BDbDT_calcs!V62</f>
        <v>3399.2575855601531</v>
      </c>
      <c r="W6" s="37">
        <f>BDbDT_calcs!W62</f>
        <v>3491.9589259134546</v>
      </c>
      <c r="X6" s="37">
        <f>BDbDT_calcs!X62</f>
        <v>3584.8089432327629</v>
      </c>
      <c r="Y6" s="37">
        <f>BDbDT_calcs!Y62</f>
        <v>3677.5547640507498</v>
      </c>
      <c r="Z6" s="37">
        <f>BDbDT_calcs!Z62</f>
        <v>3770.2881186848654</v>
      </c>
      <c r="AA6" s="37">
        <f>BDbDT_calcs!AA62</f>
        <v>3862.9458764386231</v>
      </c>
      <c r="AB6" s="37">
        <f>BDbDT_calcs!AB62</f>
        <v>3955.2233964049774</v>
      </c>
    </row>
    <row r="7" spans="1:28" x14ac:dyDescent="0.25">
      <c r="A7" s="4" t="s">
        <v>220</v>
      </c>
      <c r="B7" s="37">
        <f>BDbDT_calcs!B63</f>
        <v>2783.8931578127408</v>
      </c>
      <c r="C7" s="37">
        <f>BDbDT_calcs!C63</f>
        <v>2857.7982892034183</v>
      </c>
      <c r="D7" s="37">
        <f>BDbDT_calcs!D63</f>
        <v>2920.0315682318201</v>
      </c>
      <c r="E7" s="37">
        <f>BDbDT_calcs!E63</f>
        <v>2987.9203242381841</v>
      </c>
      <c r="F7" s="37">
        <f>BDbDT_calcs!F63</f>
        <v>3056.5471158361042</v>
      </c>
      <c r="G7" s="37">
        <f>BDbDT_calcs!G63</f>
        <v>3130.2880563862559</v>
      </c>
      <c r="H7" s="37">
        <f>BDbDT_calcs!H63</f>
        <v>3206.3244167476532</v>
      </c>
      <c r="I7" s="37">
        <f>BDbDT_calcs!I63</f>
        <v>3296.8260959408408</v>
      </c>
      <c r="J7" s="37">
        <f>BDbDT_calcs!J63</f>
        <v>3389.7228332822615</v>
      </c>
      <c r="K7" s="37">
        <f>BDbDT_calcs!K63</f>
        <v>3488.7137992762432</v>
      </c>
      <c r="L7" s="37">
        <f>BDbDT_calcs!L63</f>
        <v>3590.5212636776346</v>
      </c>
      <c r="M7" s="37">
        <f>BDbDT_calcs!M63</f>
        <v>3696.2797815263671</v>
      </c>
      <c r="N7" s="37">
        <f>BDbDT_calcs!N63</f>
        <v>3804.4075289068264</v>
      </c>
      <c r="O7" s="37">
        <f>BDbDT_calcs!O63</f>
        <v>3915.2283603194774</v>
      </c>
      <c r="P7" s="37">
        <f>BDbDT_calcs!P63</f>
        <v>4029.801861818245</v>
      </c>
      <c r="Q7" s="37">
        <f>BDbDT_calcs!Q63</f>
        <v>4147.6405565352579</v>
      </c>
      <c r="R7" s="37">
        <f>BDbDT_calcs!R63</f>
        <v>4267.9821045800463</v>
      </c>
      <c r="S7" s="37">
        <f>BDbDT_calcs!S63</f>
        <v>4386.3979826044897</v>
      </c>
      <c r="T7" s="37">
        <f>BDbDT_calcs!T63</f>
        <v>4507.1297071006047</v>
      </c>
      <c r="U7" s="37">
        <f>BDbDT_calcs!U63</f>
        <v>4629.0080740520998</v>
      </c>
      <c r="V7" s="37">
        <f>BDbDT_calcs!V63</f>
        <v>4750.6905749791276</v>
      </c>
      <c r="W7" s="37">
        <f>BDbDT_calcs!W63</f>
        <v>4875.0712722949056</v>
      </c>
      <c r="X7" s="37">
        <f>BDbDT_calcs!X63</f>
        <v>4999.8116834392467</v>
      </c>
      <c r="Y7" s="37">
        <f>BDbDT_calcs!Y63</f>
        <v>5126.3248452887483</v>
      </c>
      <c r="Z7" s="37">
        <f>BDbDT_calcs!Z63</f>
        <v>5252.6368122123877</v>
      </c>
      <c r="AA7" s="37">
        <f>BDbDT_calcs!AA63</f>
        <v>5379.4972421496614</v>
      </c>
      <c r="AB7" s="37">
        <f>BDbDT_calcs!AB63</f>
        <v>5507.7115464672752</v>
      </c>
    </row>
    <row r="8" spans="1:28" x14ac:dyDescent="0.25">
      <c r="A8" s="4" t="s">
        <v>221</v>
      </c>
      <c r="B8" s="37">
        <f>BDbDT_calcs!B64</f>
        <v>9245.2024223297703</v>
      </c>
      <c r="C8" s="37">
        <f>BDbDT_calcs!C64</f>
        <v>9612.7557875717175</v>
      </c>
      <c r="D8" s="37">
        <f>BDbDT_calcs!D64</f>
        <v>9939.6088620584978</v>
      </c>
      <c r="E8" s="37">
        <f>BDbDT_calcs!E64</f>
        <v>10274.998586800877</v>
      </c>
      <c r="F8" s="37">
        <f>BDbDT_calcs!F64</f>
        <v>10619.099280798455</v>
      </c>
      <c r="G8" s="37">
        <f>BDbDT_calcs!G64</f>
        <v>10973.270835973521</v>
      </c>
      <c r="H8" s="37">
        <f>BDbDT_calcs!H64</f>
        <v>11341.169553060658</v>
      </c>
      <c r="I8" s="37">
        <f>BDbDT_calcs!I64</f>
        <v>11768.583866894411</v>
      </c>
      <c r="J8" s="37">
        <f>BDbDT_calcs!J64</f>
        <v>12209.724162203036</v>
      </c>
      <c r="K8" s="37">
        <f>BDbDT_calcs!K64</f>
        <v>12667.597699251895</v>
      </c>
      <c r="L8" s="37">
        <f>BDbDT_calcs!L64</f>
        <v>13144.599576231005</v>
      </c>
      <c r="M8" s="37">
        <f>BDbDT_calcs!M64</f>
        <v>13637.762623660241</v>
      </c>
      <c r="N8" s="37">
        <f>BDbDT_calcs!N64</f>
        <v>14150.866325542496</v>
      </c>
      <c r="O8" s="37">
        <f>BDbDT_calcs!O64</f>
        <v>14681.817562037644</v>
      </c>
      <c r="P8" s="37">
        <f>BDbDT_calcs!P64</f>
        <v>15230.202696865515</v>
      </c>
      <c r="Q8" s="37">
        <f>BDbDT_calcs!Q64</f>
        <v>15796.924976463184</v>
      </c>
      <c r="R8" s="37">
        <f>BDbDT_calcs!R64</f>
        <v>16379.019980165369</v>
      </c>
      <c r="S8" s="37">
        <f>BDbDT_calcs!S64</f>
        <v>16964.396856696407</v>
      </c>
      <c r="T8" s="37">
        <f>BDbDT_calcs!T64</f>
        <v>17564.43813153667</v>
      </c>
      <c r="U8" s="37">
        <f>BDbDT_calcs!U64</f>
        <v>18178.123804810915</v>
      </c>
      <c r="V8" s="37">
        <f>BDbDT_calcs!V64</f>
        <v>18803.156629815865</v>
      </c>
      <c r="W8" s="37">
        <f>BDbDT_calcs!W64</f>
        <v>19437.023098960581</v>
      </c>
      <c r="X8" s="37">
        <f>BDbDT_calcs!X64</f>
        <v>20082.135863702653</v>
      </c>
      <c r="Y8" s="37">
        <f>BDbDT_calcs!Y64</f>
        <v>20734.515279579107</v>
      </c>
      <c r="Z8" s="37">
        <f>BDbDT_calcs!Z64</f>
        <v>21393.887273243581</v>
      </c>
      <c r="AA8" s="37">
        <f>BDbDT_calcs!AA64</f>
        <v>22055.419634723243</v>
      </c>
      <c r="AB8" s="37">
        <f>BDbDT_calcs!AB64</f>
        <v>22718.416535713306</v>
      </c>
    </row>
    <row r="9" spans="1:28" x14ac:dyDescent="0.25">
      <c r="A9" s="4" t="s">
        <v>222</v>
      </c>
      <c r="B9" s="37">
        <f>BDbDT_calcs!B65</f>
        <v>50085.614914507045</v>
      </c>
      <c r="C9" s="37">
        <f>BDbDT_calcs!C65</f>
        <v>51067.801205458585</v>
      </c>
      <c r="D9" s="37">
        <f>BDbDT_calcs!D65</f>
        <v>51787.373975455397</v>
      </c>
      <c r="E9" s="37">
        <f>BDbDT_calcs!E65</f>
        <v>52518.379392883238</v>
      </c>
      <c r="F9" s="37">
        <f>BDbDT_calcs!F65</f>
        <v>53271.233968344291</v>
      </c>
      <c r="G9" s="37">
        <f>BDbDT_calcs!G65</f>
        <v>54047.708049155444</v>
      </c>
      <c r="H9" s="37">
        <f>BDbDT_calcs!H65</f>
        <v>54846.556658154594</v>
      </c>
      <c r="I9" s="37">
        <f>BDbDT_calcs!I65</f>
        <v>55879.572155240923</v>
      </c>
      <c r="J9" s="37">
        <f>BDbDT_calcs!J65</f>
        <v>56931.082065657552</v>
      </c>
      <c r="K9" s="37">
        <f>BDbDT_calcs!K65</f>
        <v>57991.399851435403</v>
      </c>
      <c r="L9" s="37">
        <f>BDbDT_calcs!L65</f>
        <v>59055.972937804298</v>
      </c>
      <c r="M9" s="37">
        <f>BDbDT_calcs!M65</f>
        <v>60123.900029126256</v>
      </c>
      <c r="N9" s="37">
        <f>BDbDT_calcs!N65</f>
        <v>61182.770979038178</v>
      </c>
      <c r="O9" s="37">
        <f>BDbDT_calcs!O65</f>
        <v>62225.546462362312</v>
      </c>
      <c r="P9" s="37">
        <f>BDbDT_calcs!P65</f>
        <v>63246.130749047799</v>
      </c>
      <c r="Q9" s="37">
        <f>BDbDT_calcs!Q65</f>
        <v>64233.392489300699</v>
      </c>
      <c r="R9" s="37">
        <f>BDbDT_calcs!R65</f>
        <v>65180.04802312333</v>
      </c>
      <c r="S9" s="37">
        <f>BDbDT_calcs!S65</f>
        <v>66031.499771525298</v>
      </c>
      <c r="T9" s="37">
        <f>BDbDT_calcs!T65</f>
        <v>66829.552283320721</v>
      </c>
      <c r="U9" s="37">
        <f>BDbDT_calcs!U65</f>
        <v>67572.481644510859</v>
      </c>
      <c r="V9" s="37">
        <f>BDbDT_calcs!V65</f>
        <v>68242.530466909957</v>
      </c>
      <c r="W9" s="37">
        <f>BDbDT_calcs!W65</f>
        <v>68834.26021658814</v>
      </c>
      <c r="X9" s="37">
        <f>BDbDT_calcs!X65</f>
        <v>69344.984646908924</v>
      </c>
      <c r="Y9" s="37">
        <f>BDbDT_calcs!Y65</f>
        <v>69810.513486848547</v>
      </c>
      <c r="Z9" s="37">
        <f>BDbDT_calcs!Z65</f>
        <v>70197.97305002388</v>
      </c>
      <c r="AA9" s="37">
        <f>BDbDT_calcs!AA65</f>
        <v>70504.656183301835</v>
      </c>
      <c r="AB9" s="37">
        <f>BDbDT_calcs!AB65</f>
        <v>70733.854160397954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2026-08-17T20:28:27Z</dcterms:modified>
</cp:coreProperties>
</file>