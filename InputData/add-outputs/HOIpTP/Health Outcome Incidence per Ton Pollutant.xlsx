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Z\add-outputs\HOIpTP\"/>
    </mc:Choice>
  </mc:AlternateContent>
  <xr:revisionPtr revIDLastSave="0" documentId="8_{BAABB932-74BC-45E5-866C-9D395424282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L7" i="19"/>
  <c r="B7" i="19"/>
  <c r="AA7" i="19" s="1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Q3" i="19"/>
  <c r="F3" i="19"/>
  <c r="E3" i="19"/>
  <c r="B3" i="19"/>
  <c r="O3" i="19" s="1"/>
  <c r="W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Q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B15" i="18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X8" i="18"/>
  <c r="V8" i="18"/>
  <c r="U8" i="18"/>
  <c r="R8" i="18"/>
  <c r="Q8" i="18"/>
  <c r="N8" i="18"/>
  <c r="F8" i="18"/>
  <c r="E8" i="18"/>
  <c r="B8" i="18"/>
  <c r="AA8" i="18" s="1"/>
  <c r="AB7" i="18"/>
  <c r="H7" i="18"/>
  <c r="D7" i="18"/>
  <c r="C7" i="18"/>
  <c r="B7" i="18"/>
  <c r="AA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P3" i="18"/>
  <c r="N3" i="18"/>
  <c r="B3" i="18"/>
  <c r="Z2" i="18"/>
  <c r="V2" i="18"/>
  <c r="U2" i="18"/>
  <c r="P2" i="18"/>
  <c r="K2" i="18"/>
  <c r="J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R17" i="17"/>
  <c r="E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W13" i="17"/>
  <c r="S13" i="17"/>
  <c r="R13" i="17"/>
  <c r="D13" i="17"/>
  <c r="C13" i="17"/>
  <c r="B13" i="17"/>
  <c r="AA13" i="17" s="1"/>
  <c r="Z12" i="17"/>
  <c r="T12" i="17"/>
  <c r="S12" i="17"/>
  <c r="R12" i="17"/>
  <c r="C12" i="17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F8" i="17"/>
  <c r="D8" i="17"/>
  <c r="C8" i="17"/>
  <c r="B8" i="17"/>
  <c r="AB8" i="17" s="1"/>
  <c r="H7" i="17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L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H17" i="16"/>
  <c r="G17" i="16"/>
  <c r="B17" i="16"/>
  <c r="B16" i="16"/>
  <c r="AA15" i="16"/>
  <c r="X15" i="16"/>
  <c r="B15" i="16"/>
  <c r="Y15" i="16" s="1"/>
  <c r="G14" i="16"/>
  <c r="F14" i="16"/>
  <c r="C14" i="16"/>
  <c r="B14" i="16"/>
  <c r="AB14" i="16" s="1"/>
  <c r="D13" i="16"/>
  <c r="B13" i="16"/>
  <c r="W13" i="16" s="1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T7" i="16"/>
  <c r="S7" i="16"/>
  <c r="R7" i="16"/>
  <c r="O7" i="16"/>
  <c r="L7" i="16"/>
  <c r="H7" i="16"/>
  <c r="G7" i="16"/>
  <c r="F7" i="16"/>
  <c r="E7" i="16"/>
  <c r="D7" i="16"/>
  <c r="C7" i="16"/>
  <c r="B7" i="16"/>
  <c r="Z7" i="16" s="1"/>
  <c r="W6" i="16"/>
  <c r="V6" i="16"/>
  <c r="T6" i="16"/>
  <c r="S6" i="16"/>
  <c r="N6" i="16"/>
  <c r="M6" i="16"/>
  <c r="L6" i="16"/>
  <c r="J6" i="16"/>
  <c r="H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X2" i="16"/>
  <c r="T2" i="16"/>
  <c r="Q2" i="16"/>
  <c r="P2" i="16"/>
  <c r="D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I15" i="15"/>
  <c r="G15" i="15"/>
  <c r="E15" i="15"/>
  <c r="C15" i="15"/>
  <c r="B15" i="15"/>
  <c r="K15" i="15" s="1"/>
  <c r="AB14" i="15"/>
  <c r="O14" i="15"/>
  <c r="N14" i="15"/>
  <c r="M14" i="15"/>
  <c r="D14" i="15"/>
  <c r="B14" i="15"/>
  <c r="E14" i="15" s="1"/>
  <c r="AB13" i="15"/>
  <c r="W13" i="15"/>
  <c r="V13" i="15"/>
  <c r="T13" i="15"/>
  <c r="R13" i="15"/>
  <c r="Q13" i="15"/>
  <c r="N13" i="15"/>
  <c r="M13" i="15"/>
  <c r="L13" i="15"/>
  <c r="K13" i="15"/>
  <c r="I13" i="15"/>
  <c r="H13" i="15"/>
  <c r="B13" i="15"/>
  <c r="X12" i="15"/>
  <c r="S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X8" i="15"/>
  <c r="R8" i="15"/>
  <c r="O8" i="15"/>
  <c r="N8" i="15"/>
  <c r="L8" i="15"/>
  <c r="K8" i="15"/>
  <c r="C8" i="15"/>
  <c r="B8" i="15"/>
  <c r="AB7" i="15"/>
  <c r="AA7" i="15"/>
  <c r="Y7" i="15"/>
  <c r="V7" i="15"/>
  <c r="S7" i="15"/>
  <c r="R7" i="15"/>
  <c r="Q7" i="15"/>
  <c r="O7" i="15"/>
  <c r="N7" i="15"/>
  <c r="L7" i="15"/>
  <c r="K7" i="15"/>
  <c r="J7" i="15"/>
  <c r="I7" i="15"/>
  <c r="G7" i="15"/>
  <c r="F7" i="15"/>
  <c r="E7" i="15"/>
  <c r="B7" i="15"/>
  <c r="AA6" i="15"/>
  <c r="V6" i="15"/>
  <c r="U6" i="15"/>
  <c r="T6" i="15"/>
  <c r="S6" i="15"/>
  <c r="R6" i="15"/>
  <c r="Q6" i="15"/>
  <c r="O6" i="15"/>
  <c r="N6" i="15"/>
  <c r="M6" i="15"/>
  <c r="L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Z3" i="15"/>
  <c r="W3" i="15"/>
  <c r="U3" i="15"/>
  <c r="J3" i="15"/>
  <c r="E3" i="15"/>
  <c r="B3" i="15"/>
  <c r="Q2" i="15"/>
  <c r="O2" i="15"/>
  <c r="I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U15" i="14"/>
  <c r="T15" i="14"/>
  <c r="S15" i="14"/>
  <c r="R15" i="14"/>
  <c r="P15" i="14"/>
  <c r="O15" i="14"/>
  <c r="N15" i="14"/>
  <c r="M15" i="14"/>
  <c r="D15" i="14"/>
  <c r="B15" i="14"/>
  <c r="AB15" i="14" s="1"/>
  <c r="R14" i="14"/>
  <c r="B14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V7" i="14"/>
  <c r="S7" i="14"/>
  <c r="R7" i="14"/>
  <c r="P7" i="14"/>
  <c r="N7" i="14"/>
  <c r="L7" i="14"/>
  <c r="I7" i="14"/>
  <c r="H7" i="14"/>
  <c r="G7" i="14"/>
  <c r="E7" i="14"/>
  <c r="D7" i="14"/>
  <c r="C7" i="14"/>
  <c r="B7" i="14"/>
  <c r="Z7" i="14" s="1"/>
  <c r="S6" i="14"/>
  <c r="R6" i="14"/>
  <c r="H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T3" i="14"/>
  <c r="L3" i="14"/>
  <c r="K3" i="14"/>
  <c r="J3" i="14"/>
  <c r="G3" i="14"/>
  <c r="F3" i="14"/>
  <c r="E3" i="14"/>
  <c r="D3" i="14"/>
  <c r="B3" i="14"/>
  <c r="W3" i="14" s="1"/>
  <c r="AA2" i="14"/>
  <c r="X2" i="14"/>
  <c r="V2" i="14"/>
  <c r="U2" i="14"/>
  <c r="R2" i="14"/>
  <c r="P2" i="14"/>
  <c r="O2" i="14"/>
  <c r="M2" i="14"/>
  <c r="L2" i="14"/>
  <c r="G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A15" i="13"/>
  <c r="Z15" i="13"/>
  <c r="Y15" i="13"/>
  <c r="V15" i="13"/>
  <c r="S15" i="13"/>
  <c r="P15" i="13"/>
  <c r="O15" i="13"/>
  <c r="N15" i="13"/>
  <c r="I15" i="13"/>
  <c r="B15" i="13"/>
  <c r="AA14" i="13"/>
  <c r="W14" i="13"/>
  <c r="T14" i="13"/>
  <c r="Q14" i="13"/>
  <c r="P14" i="13"/>
  <c r="O14" i="13"/>
  <c r="N14" i="13"/>
  <c r="M14" i="13"/>
  <c r="L14" i="13"/>
  <c r="K14" i="13"/>
  <c r="J14" i="13"/>
  <c r="H14" i="13"/>
  <c r="F14" i="13"/>
  <c r="E14" i="13"/>
  <c r="B14" i="13"/>
  <c r="U14" i="13" s="1"/>
  <c r="Z13" i="13"/>
  <c r="Y13" i="13"/>
  <c r="V13" i="13"/>
  <c r="G13" i="13"/>
  <c r="B13" i="13"/>
  <c r="X12" i="13"/>
  <c r="W12" i="13"/>
  <c r="V12" i="13"/>
  <c r="U12" i="13"/>
  <c r="L12" i="13"/>
  <c r="I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X7" i="13"/>
  <c r="W7" i="13"/>
  <c r="U7" i="13"/>
  <c r="S7" i="13"/>
  <c r="R7" i="13"/>
  <c r="N7" i="13"/>
  <c r="M7" i="13"/>
  <c r="L7" i="13"/>
  <c r="I7" i="13"/>
  <c r="H7" i="13"/>
  <c r="G7" i="13"/>
  <c r="F7" i="13"/>
  <c r="E7" i="13"/>
  <c r="D7" i="13"/>
  <c r="C7" i="13"/>
  <c r="B7" i="13"/>
  <c r="Y7" i="13" s="1"/>
  <c r="M6" i="13"/>
  <c r="J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M2" i="13"/>
  <c r="L2" i="13"/>
  <c r="D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T17" i="12" s="1"/>
  <c r="AB16" i="12"/>
  <c r="AA16" i="12"/>
  <c r="Z16" i="12"/>
  <c r="J16" i="12"/>
  <c r="C16" i="12"/>
  <c r="B16" i="12"/>
  <c r="Z15" i="12"/>
  <c r="Y15" i="12"/>
  <c r="W15" i="12"/>
  <c r="V15" i="12"/>
  <c r="T15" i="12"/>
  <c r="O15" i="12"/>
  <c r="N15" i="12"/>
  <c r="M15" i="12"/>
  <c r="L15" i="12"/>
  <c r="I15" i="12"/>
  <c r="G15" i="12"/>
  <c r="E15" i="12"/>
  <c r="B15" i="12"/>
  <c r="AB14" i="12"/>
  <c r="Y14" i="12"/>
  <c r="X14" i="12"/>
  <c r="W14" i="12"/>
  <c r="V14" i="12"/>
  <c r="R14" i="12"/>
  <c r="Q14" i="12"/>
  <c r="L14" i="12"/>
  <c r="B14" i="12"/>
  <c r="K14" i="12" s="1"/>
  <c r="B13" i="12"/>
  <c r="AA12" i="12"/>
  <c r="Z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Q8" i="12" s="1"/>
  <c r="AB7" i="12"/>
  <c r="D7" i="12"/>
  <c r="B7" i="12"/>
  <c r="W6" i="12"/>
  <c r="F6" i="12"/>
  <c r="B6" i="12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L3" i="12"/>
  <c r="J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B17" i="11"/>
  <c r="AB16" i="11"/>
  <c r="Y16" i="11"/>
  <c r="W16" i="11"/>
  <c r="V16" i="11"/>
  <c r="D16" i="11"/>
  <c r="B16" i="11"/>
  <c r="AA16" i="11" s="1"/>
  <c r="B15" i="11"/>
  <c r="AB14" i="11"/>
  <c r="AA14" i="11"/>
  <c r="X14" i="11"/>
  <c r="W14" i="11"/>
  <c r="V14" i="11"/>
  <c r="U14" i="11"/>
  <c r="T14" i="11"/>
  <c r="R14" i="11"/>
  <c r="Q14" i="11"/>
  <c r="O14" i="11"/>
  <c r="M14" i="11"/>
  <c r="J14" i="11"/>
  <c r="I14" i="11"/>
  <c r="H14" i="11"/>
  <c r="G14" i="11"/>
  <c r="F14" i="11"/>
  <c r="E14" i="1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B13" i="11"/>
  <c r="J13" i="11" s="1"/>
  <c r="Y12" i="11"/>
  <c r="G12" i="11"/>
  <c r="F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R8" i="11"/>
  <c r="Q8" i="11"/>
  <c r="P8" i="11"/>
  <c r="O8" i="11"/>
  <c r="N8" i="11"/>
  <c r="K8" i="11"/>
  <c r="J8" i="11"/>
  <c r="I8" i="11"/>
  <c r="E8" i="11"/>
  <c r="C8" i="11"/>
  <c r="B8" i="11"/>
  <c r="AB7" i="11"/>
  <c r="AA7" i="11"/>
  <c r="Z7" i="11"/>
  <c r="X7" i="11"/>
  <c r="W7" i="11"/>
  <c r="V7" i="11"/>
  <c r="T7" i="11"/>
  <c r="P7" i="11"/>
  <c r="O7" i="11"/>
  <c r="N7" i="11"/>
  <c r="M7" i="11"/>
  <c r="L7" i="11"/>
  <c r="K7" i="11"/>
  <c r="J7" i="11"/>
  <c r="I7" i="11"/>
  <c r="H7" i="11"/>
  <c r="G7" i="11"/>
  <c r="F7" i="11"/>
  <c r="E7" i="11"/>
  <c r="B7" i="11"/>
  <c r="U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K3" i="11"/>
  <c r="J3" i="11"/>
  <c r="I3" i="11"/>
  <c r="H3" i="11"/>
  <c r="D3" i="11"/>
  <c r="B3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Y15" i="10"/>
  <c r="W15" i="10"/>
  <c r="V15" i="10"/>
  <c r="U15" i="10"/>
  <c r="T15" i="10"/>
  <c r="R15" i="10"/>
  <c r="Q15" i="10"/>
  <c r="P15" i="10"/>
  <c r="O15" i="10"/>
  <c r="N15" i="10"/>
  <c r="M15" i="10"/>
  <c r="L15" i="10"/>
  <c r="K15" i="10"/>
  <c r="I15" i="10"/>
  <c r="H15" i="10"/>
  <c r="B15" i="10"/>
  <c r="AA14" i="10"/>
  <c r="Z14" i="10"/>
  <c r="Y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J14" i="10"/>
  <c r="G14" i="10"/>
  <c r="F14" i="10"/>
  <c r="B14" i="10"/>
  <c r="AA13" i="10"/>
  <c r="Z13" i="10"/>
  <c r="Y13" i="10"/>
  <c r="P13" i="10"/>
  <c r="M13" i="10"/>
  <c r="B13" i="10"/>
  <c r="H13" i="10" s="1"/>
  <c r="AA12" i="10"/>
  <c r="Z12" i="10"/>
  <c r="G12" i="10"/>
  <c r="B12" i="10"/>
  <c r="AB12" i="10" s="1"/>
  <c r="C11" i="10"/>
  <c r="B11" i="10"/>
  <c r="B10" i="10"/>
  <c r="B9" i="10"/>
  <c r="G8" i="10"/>
  <c r="C8" i="10"/>
  <c r="B8" i="10"/>
  <c r="B7" i="10"/>
  <c r="X7" i="10" s="1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AA2" i="10"/>
  <c r="Z2" i="10"/>
  <c r="Y2" i="10"/>
  <c r="U2" i="10"/>
  <c r="P2" i="10"/>
  <c r="D2" i="10"/>
  <c r="C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T17" i="9"/>
  <c r="J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K15" i="9"/>
  <c r="B15" i="9"/>
  <c r="B14" i="9"/>
  <c r="R14" i="9" s="1"/>
  <c r="AA13" i="9"/>
  <c r="D13" i="9"/>
  <c r="B13" i="9"/>
  <c r="AB12" i="9"/>
  <c r="H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N8" i="9"/>
  <c r="I8" i="9"/>
  <c r="C8" i="9"/>
  <c r="B8" i="9"/>
  <c r="AB7" i="9"/>
  <c r="AA7" i="9"/>
  <c r="X7" i="9"/>
  <c r="U7" i="9"/>
  <c r="T7" i="9"/>
  <c r="S7" i="9"/>
  <c r="R7" i="9"/>
  <c r="Q7" i="9"/>
  <c r="P7" i="9"/>
  <c r="N7" i="9"/>
  <c r="M7" i="9"/>
  <c r="L7" i="9"/>
  <c r="J7" i="9"/>
  <c r="I7" i="9"/>
  <c r="G7" i="9"/>
  <c r="F7" i="9"/>
  <c r="D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G3" i="9"/>
  <c r="B3" i="9"/>
  <c r="F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U15" i="8"/>
  <c r="P15" i="8"/>
  <c r="M15" i="8"/>
  <c r="L15" i="8"/>
  <c r="K15" i="8"/>
  <c r="B15" i="8"/>
  <c r="Y15" i="8" s="1"/>
  <c r="AB14" i="8"/>
  <c r="O14" i="8"/>
  <c r="N14" i="8"/>
  <c r="L14" i="8"/>
  <c r="K14" i="8"/>
  <c r="J14" i="8"/>
  <c r="I14" i="8"/>
  <c r="H14" i="8"/>
  <c r="C14" i="8"/>
  <c r="B14" i="8"/>
  <c r="AA14" i="8" s="1"/>
  <c r="AB13" i="8"/>
  <c r="AA13" i="8"/>
  <c r="P13" i="8"/>
  <c r="O13" i="8"/>
  <c r="N13" i="8"/>
  <c r="M13" i="8"/>
  <c r="L13" i="8"/>
  <c r="K13" i="8"/>
  <c r="J13" i="8"/>
  <c r="I13" i="8"/>
  <c r="H13" i="8"/>
  <c r="G13" i="8"/>
  <c r="F13" i="8"/>
  <c r="E13" i="8"/>
  <c r="B13" i="8"/>
  <c r="X13" i="8" s="1"/>
  <c r="AA12" i="8"/>
  <c r="Y12" i="8"/>
  <c r="S12" i="8"/>
  <c r="D12" i="8"/>
  <c r="C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B8" i="8"/>
  <c r="H8" i="8" s="1"/>
  <c r="Z7" i="8"/>
  <c r="T7" i="8"/>
  <c r="S7" i="8"/>
  <c r="Q7" i="8"/>
  <c r="P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N3" i="8"/>
  <c r="M3" i="8"/>
  <c r="L3" i="8"/>
  <c r="K3" i="8"/>
  <c r="I3" i="8"/>
  <c r="H3" i="8"/>
  <c r="D3" i="8"/>
  <c r="C3" i="8"/>
  <c r="B3" i="8"/>
  <c r="V3" i="8" s="1"/>
  <c r="S2" i="8"/>
  <c r="Q2" i="8"/>
  <c r="P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Q17" i="7"/>
  <c r="B17" i="7"/>
  <c r="N16" i="7"/>
  <c r="M16" i="7"/>
  <c r="L16" i="7"/>
  <c r="J16" i="7"/>
  <c r="H16" i="7"/>
  <c r="G16" i="7"/>
  <c r="B16" i="7"/>
  <c r="AA16" i="7" s="1"/>
  <c r="AB15" i="7"/>
  <c r="AA15" i="7"/>
  <c r="Z15" i="7"/>
  <c r="Y15" i="7"/>
  <c r="W15" i="7"/>
  <c r="Q15" i="7"/>
  <c r="P15" i="7"/>
  <c r="O15" i="7"/>
  <c r="N15" i="7"/>
  <c r="M15" i="7"/>
  <c r="L15" i="7"/>
  <c r="K15" i="7"/>
  <c r="J15" i="7"/>
  <c r="I15" i="7"/>
  <c r="F15" i="7"/>
  <c r="E15" i="7"/>
  <c r="D15" i="7"/>
  <c r="B15" i="7"/>
  <c r="V15" i="7" s="1"/>
  <c r="T14" i="7"/>
  <c r="B14" i="7"/>
  <c r="J14" i="7" s="1"/>
  <c r="AB13" i="7"/>
  <c r="AA13" i="7"/>
  <c r="X13" i="7"/>
  <c r="W13" i="7"/>
  <c r="Q13" i="7"/>
  <c r="O13" i="7"/>
  <c r="N13" i="7"/>
  <c r="M13" i="7"/>
  <c r="K13" i="7"/>
  <c r="B13" i="7"/>
  <c r="H13" i="7" s="1"/>
  <c r="AB12" i="7"/>
  <c r="Y12" i="7"/>
  <c r="V12" i="7"/>
  <c r="T12" i="7"/>
  <c r="S12" i="7"/>
  <c r="R12" i="7"/>
  <c r="P12" i="7"/>
  <c r="M12" i="7"/>
  <c r="L12" i="7"/>
  <c r="J12" i="7"/>
  <c r="H12" i="7"/>
  <c r="G12" i="7"/>
  <c r="F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V8" i="7"/>
  <c r="U8" i="7"/>
  <c r="T8" i="7"/>
  <c r="R8" i="7"/>
  <c r="Q8" i="7"/>
  <c r="M8" i="7"/>
  <c r="L8" i="7"/>
  <c r="K8" i="7"/>
  <c r="H8" i="7"/>
  <c r="G8" i="7"/>
  <c r="F8" i="7"/>
  <c r="E8" i="7"/>
  <c r="D8" i="7"/>
  <c r="C8" i="7"/>
  <c r="B8" i="7"/>
  <c r="W8" i="7" s="1"/>
  <c r="C7" i="7"/>
  <c r="B7" i="7"/>
  <c r="AB6" i="7"/>
  <c r="W6" i="7"/>
  <c r="V6" i="7"/>
  <c r="U6" i="7"/>
  <c r="S6" i="7"/>
  <c r="R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T3" i="7"/>
  <c r="B3" i="7"/>
  <c r="F3" i="7" s="1"/>
  <c r="Z2" i="7"/>
  <c r="S2" i="7"/>
  <c r="R2" i="7"/>
  <c r="Q2" i="7"/>
  <c r="P2" i="7"/>
  <c r="O2" i="7"/>
  <c r="N2" i="7"/>
  <c r="K2" i="7"/>
  <c r="I2" i="7"/>
  <c r="H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S17" i="6"/>
  <c r="R17" i="6"/>
  <c r="Q17" i="6"/>
  <c r="P17" i="6"/>
  <c r="O17" i="6"/>
  <c r="B17" i="6"/>
  <c r="F17" i="6" s="1"/>
  <c r="E16" i="6"/>
  <c r="D16" i="6"/>
  <c r="C16" i="6"/>
  <c r="B16" i="6"/>
  <c r="AB15" i="6"/>
  <c r="AA15" i="6"/>
  <c r="Z15" i="6"/>
  <c r="Y15" i="6"/>
  <c r="W15" i="6"/>
  <c r="V15" i="6"/>
  <c r="U15" i="6"/>
  <c r="R15" i="6"/>
  <c r="Q15" i="6"/>
  <c r="P15" i="6"/>
  <c r="O15" i="6"/>
  <c r="N15" i="6"/>
  <c r="L15" i="6"/>
  <c r="I15" i="6"/>
  <c r="H15" i="6"/>
  <c r="G15" i="6"/>
  <c r="F15" i="6"/>
  <c r="E15" i="6"/>
  <c r="B15" i="6"/>
  <c r="N14" i="6"/>
  <c r="B14" i="6"/>
  <c r="C14" i="6" s="1"/>
  <c r="B13" i="6"/>
  <c r="I13" i="6" s="1"/>
  <c r="W12" i="6"/>
  <c r="V12" i="6"/>
  <c r="T12" i="6"/>
  <c r="S12" i="6"/>
  <c r="R12" i="6"/>
  <c r="P12" i="6"/>
  <c r="L12" i="6"/>
  <c r="K12" i="6"/>
  <c r="B12" i="6"/>
  <c r="D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C8" i="6"/>
  <c r="B8" i="6"/>
  <c r="B7" i="6"/>
  <c r="J7" i="6" s="1"/>
  <c r="N6" i="6"/>
  <c r="M6" i="6"/>
  <c r="L6" i="6"/>
  <c r="K6" i="6"/>
  <c r="J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X17" i="5"/>
  <c r="W17" i="5"/>
  <c r="V17" i="5"/>
  <c r="S17" i="5"/>
  <c r="R17" i="5"/>
  <c r="Q17" i="5"/>
  <c r="P17" i="5"/>
  <c r="O17" i="5"/>
  <c r="L17" i="5"/>
  <c r="K17" i="5"/>
  <c r="J17" i="5"/>
  <c r="B17" i="5"/>
  <c r="Y17" i="5" s="1"/>
  <c r="B16" i="5"/>
  <c r="Z15" i="5"/>
  <c r="Y15" i="5"/>
  <c r="N15" i="5"/>
  <c r="L15" i="5"/>
  <c r="K15" i="5"/>
  <c r="J15" i="5"/>
  <c r="I15" i="5"/>
  <c r="H15" i="5"/>
  <c r="C15" i="5"/>
  <c r="B15" i="5"/>
  <c r="W15" i="5" s="1"/>
  <c r="AB14" i="5"/>
  <c r="AA14" i="5"/>
  <c r="B14" i="5"/>
  <c r="Z13" i="5"/>
  <c r="Y13" i="5"/>
  <c r="X13" i="5"/>
  <c r="R13" i="5"/>
  <c r="M13" i="5"/>
  <c r="K13" i="5"/>
  <c r="J13" i="5"/>
  <c r="I13" i="5"/>
  <c r="H13" i="5"/>
  <c r="G13" i="5"/>
  <c r="F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B7" i="5"/>
  <c r="Z6" i="5"/>
  <c r="X6" i="5"/>
  <c r="W6" i="5"/>
  <c r="R6" i="5"/>
  <c r="M6" i="5"/>
  <c r="K6" i="5"/>
  <c r="J6" i="5"/>
  <c r="I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B2" i="5"/>
  <c r="E2" i="5" s="1"/>
  <c r="B2" i="1"/>
  <c r="O3" i="6" l="1"/>
  <c r="M3" i="6"/>
  <c r="AB8" i="6"/>
  <c r="G8" i="6"/>
  <c r="E8" i="6"/>
  <c r="M14" i="6"/>
  <c r="G7" i="7"/>
  <c r="M7" i="7"/>
  <c r="L7" i="7"/>
  <c r="P7" i="7"/>
  <c r="O7" i="7"/>
  <c r="W8" i="9"/>
  <c r="Y8" i="9"/>
  <c r="X8" i="9"/>
  <c r="G8" i="9"/>
  <c r="F8" i="9"/>
  <c r="E8" i="9"/>
  <c r="AA15" i="9"/>
  <c r="Y15" i="9"/>
  <c r="M15" i="9"/>
  <c r="U6" i="14"/>
  <c r="T6" i="14"/>
  <c r="O6" i="14"/>
  <c r="M6" i="14"/>
  <c r="K6" i="14"/>
  <c r="J6" i="14"/>
  <c r="AA6" i="14"/>
  <c r="Z6" i="14"/>
  <c r="X6" i="14"/>
  <c r="W6" i="14"/>
  <c r="Q6" i="14"/>
  <c r="N6" i="14"/>
  <c r="L6" i="14"/>
  <c r="G6" i="14"/>
  <c r="F6" i="14"/>
  <c r="E6" i="14"/>
  <c r="Y7" i="17"/>
  <c r="X7" i="17"/>
  <c r="V7" i="17"/>
  <c r="S7" i="17"/>
  <c r="R7" i="17"/>
  <c r="J7" i="17"/>
  <c r="G7" i="17"/>
  <c r="F7" i="17"/>
  <c r="E7" i="17"/>
  <c r="D7" i="17"/>
  <c r="Z7" i="17"/>
  <c r="W7" i="17"/>
  <c r="U7" i="17"/>
  <c r="T7" i="17"/>
  <c r="P7" i="17"/>
  <c r="O7" i="17"/>
  <c r="K7" i="17"/>
  <c r="C2" i="5"/>
  <c r="F3" i="6"/>
  <c r="D8" i="6"/>
  <c r="O14" i="6"/>
  <c r="D7" i="7"/>
  <c r="Y12" i="9"/>
  <c r="X12" i="9"/>
  <c r="C14" i="9"/>
  <c r="Z17" i="9"/>
  <c r="X17" i="9"/>
  <c r="W17" i="9"/>
  <c r="U17" i="9"/>
  <c r="C8" i="12"/>
  <c r="S2" i="13"/>
  <c r="U2" i="13"/>
  <c r="Q2" i="13"/>
  <c r="O2" i="13"/>
  <c r="N2" i="13"/>
  <c r="I2" i="13"/>
  <c r="H2" i="13"/>
  <c r="G2" i="13"/>
  <c r="F2" i="13"/>
  <c r="C2" i="13"/>
  <c r="Z2" i="13"/>
  <c r="P6" i="14"/>
  <c r="K8" i="9"/>
  <c r="C12" i="9"/>
  <c r="D14" i="9"/>
  <c r="D8" i="12"/>
  <c r="AB6" i="18"/>
  <c r="AA6" i="18"/>
  <c r="W6" i="18"/>
  <c r="Q6" i="18"/>
  <c r="O6" i="18"/>
  <c r="K6" i="18"/>
  <c r="J6" i="18"/>
  <c r="I6" i="18"/>
  <c r="X6" i="18"/>
  <c r="H13" i="6"/>
  <c r="H14" i="7"/>
  <c r="E6" i="8"/>
  <c r="L8" i="9"/>
  <c r="D12" i="9"/>
  <c r="E14" i="9"/>
  <c r="F17" i="9"/>
  <c r="AA6" i="11"/>
  <c r="R6" i="11"/>
  <c r="P6" i="11"/>
  <c r="O6" i="11"/>
  <c r="X6" i="11"/>
  <c r="J6" i="11"/>
  <c r="O12" i="11"/>
  <c r="M12" i="11"/>
  <c r="L12" i="11"/>
  <c r="K12" i="11"/>
  <c r="C12" i="11"/>
  <c r="W15" i="11"/>
  <c r="R15" i="11"/>
  <c r="F8" i="12"/>
  <c r="E2" i="13"/>
  <c r="E6" i="18"/>
  <c r="AB13" i="6"/>
  <c r="T13" i="6"/>
  <c r="S13" i="6"/>
  <c r="D2" i="5"/>
  <c r="AB17" i="7"/>
  <c r="H17" i="7"/>
  <c r="G17" i="7"/>
  <c r="F2" i="5"/>
  <c r="M15" i="5"/>
  <c r="P3" i="6"/>
  <c r="J8" i="6"/>
  <c r="K13" i="6"/>
  <c r="R14" i="6"/>
  <c r="T17" i="6"/>
  <c r="H7" i="7"/>
  <c r="I14" i="7"/>
  <c r="C17" i="7"/>
  <c r="O2" i="8"/>
  <c r="F2" i="8"/>
  <c r="D2" i="8"/>
  <c r="AA2" i="8"/>
  <c r="W2" i="8"/>
  <c r="Z2" i="8"/>
  <c r="F6" i="8"/>
  <c r="X12" i="8"/>
  <c r="W12" i="8"/>
  <c r="V12" i="8"/>
  <c r="T12" i="8"/>
  <c r="U12" i="8"/>
  <c r="M14" i="8"/>
  <c r="M8" i="9"/>
  <c r="E12" i="9"/>
  <c r="F14" i="9"/>
  <c r="G17" i="9"/>
  <c r="W2" i="10"/>
  <c r="X2" i="10"/>
  <c r="V2" i="10"/>
  <c r="L2" i="10"/>
  <c r="K2" i="10"/>
  <c r="J2" i="10"/>
  <c r="Q8" i="10"/>
  <c r="Z8" i="10"/>
  <c r="N8" i="10"/>
  <c r="K8" i="10"/>
  <c r="C6" i="11"/>
  <c r="E12" i="11"/>
  <c r="G8" i="12"/>
  <c r="J2" i="13"/>
  <c r="P6" i="18"/>
  <c r="G13" i="6"/>
  <c r="H8" i="6"/>
  <c r="I8" i="6"/>
  <c r="Q3" i="6"/>
  <c r="U8" i="6"/>
  <c r="U17" i="6"/>
  <c r="I7" i="7"/>
  <c r="D7" i="5"/>
  <c r="Z7" i="5"/>
  <c r="Y7" i="5"/>
  <c r="O15" i="5"/>
  <c r="S3" i="6"/>
  <c r="T14" i="6"/>
  <c r="E17" i="7"/>
  <c r="G2" i="8"/>
  <c r="I8" i="12"/>
  <c r="F17" i="7"/>
  <c r="H2" i="8"/>
  <c r="O3" i="8"/>
  <c r="Y7" i="8"/>
  <c r="U7" i="8"/>
  <c r="W7" i="8"/>
  <c r="E12" i="8"/>
  <c r="R14" i="8"/>
  <c r="P8" i="9"/>
  <c r="O12" i="9"/>
  <c r="K14" i="9"/>
  <c r="M17" i="9"/>
  <c r="E2" i="10"/>
  <c r="I8" i="10"/>
  <c r="G2" i="11"/>
  <c r="H6" i="11"/>
  <c r="I12" i="11"/>
  <c r="J8" i="12"/>
  <c r="P2" i="13"/>
  <c r="AB6" i="13"/>
  <c r="Z6" i="13"/>
  <c r="P6" i="13"/>
  <c r="AA6" i="13"/>
  <c r="K6" i="13"/>
  <c r="H6" i="13"/>
  <c r="G6" i="13"/>
  <c r="X2" i="15"/>
  <c r="M2" i="15"/>
  <c r="H2" i="15"/>
  <c r="AB2" i="15"/>
  <c r="C2" i="15"/>
  <c r="Z2" i="15"/>
  <c r="V2" i="15"/>
  <c r="U2" i="15"/>
  <c r="P2" i="15"/>
  <c r="G2" i="15"/>
  <c r="F2" i="15"/>
  <c r="E2" i="15"/>
  <c r="D2" i="15"/>
  <c r="AA2" i="15"/>
  <c r="Y2" i="15"/>
  <c r="S2" i="15"/>
  <c r="K3" i="6"/>
  <c r="P14" i="6"/>
  <c r="W3" i="5"/>
  <c r="V3" i="5"/>
  <c r="O6" i="8"/>
  <c r="G14" i="9"/>
  <c r="V17" i="6"/>
  <c r="P6" i="8"/>
  <c r="AA6" i="7"/>
  <c r="N6" i="7"/>
  <c r="K6" i="7"/>
  <c r="O6" i="7"/>
  <c r="I6" i="7"/>
  <c r="Q8" i="9"/>
  <c r="S12" i="9"/>
  <c r="L14" i="9"/>
  <c r="O17" i="9"/>
  <c r="F2" i="10"/>
  <c r="AB8" i="10"/>
  <c r="I2" i="11"/>
  <c r="I6" i="11"/>
  <c r="J12" i="11"/>
  <c r="M8" i="12"/>
  <c r="R2" i="13"/>
  <c r="Z14" i="7"/>
  <c r="V14" i="7"/>
  <c r="U14" i="7"/>
  <c r="F14" i="7"/>
  <c r="D14" i="7"/>
  <c r="L3" i="6"/>
  <c r="M13" i="6"/>
  <c r="H8" i="12"/>
  <c r="M3" i="5"/>
  <c r="P15" i="5"/>
  <c r="K7" i="7"/>
  <c r="S15" i="5"/>
  <c r="AA14" i="6"/>
  <c r="E13" i="7"/>
  <c r="N14" i="7"/>
  <c r="I17" i="7"/>
  <c r="I2" i="8"/>
  <c r="G7" i="8"/>
  <c r="H12" i="8"/>
  <c r="T15" i="5"/>
  <c r="Q13" i="6"/>
  <c r="F13" i="7"/>
  <c r="O14" i="7"/>
  <c r="J17" i="7"/>
  <c r="K2" i="8"/>
  <c r="Q3" i="8"/>
  <c r="N12" i="8"/>
  <c r="R8" i="9"/>
  <c r="U12" i="9"/>
  <c r="M14" i="9"/>
  <c r="P17" i="9"/>
  <c r="G2" i="10"/>
  <c r="N2" i="11"/>
  <c r="K6" i="11"/>
  <c r="P12" i="11"/>
  <c r="P8" i="12"/>
  <c r="V2" i="13"/>
  <c r="J2" i="15"/>
  <c r="E7" i="7"/>
  <c r="X3" i="7"/>
  <c r="V3" i="7"/>
  <c r="U3" i="7"/>
  <c r="S3" i="7"/>
  <c r="P3" i="7"/>
  <c r="F7" i="7"/>
  <c r="D17" i="7"/>
  <c r="N13" i="6"/>
  <c r="G6" i="11"/>
  <c r="U3" i="6"/>
  <c r="O13" i="6"/>
  <c r="Y14" i="6"/>
  <c r="W17" i="6"/>
  <c r="M14" i="7"/>
  <c r="N7" i="7"/>
  <c r="AA6" i="6"/>
  <c r="P6" i="6"/>
  <c r="R13" i="6"/>
  <c r="Q14" i="7"/>
  <c r="K17" i="7"/>
  <c r="L2" i="8"/>
  <c r="R3" i="8"/>
  <c r="K7" i="8"/>
  <c r="Q13" i="8"/>
  <c r="Y14" i="8"/>
  <c r="S8" i="9"/>
  <c r="W12" i="9"/>
  <c r="N14" i="9"/>
  <c r="Q17" i="9"/>
  <c r="H2" i="10"/>
  <c r="L6" i="11"/>
  <c r="T12" i="11"/>
  <c r="J17" i="11"/>
  <c r="C17" i="11"/>
  <c r="X2" i="13"/>
  <c r="O6" i="13"/>
  <c r="AB13" i="14"/>
  <c r="R13" i="14"/>
  <c r="E13" i="14"/>
  <c r="X13" i="14"/>
  <c r="S13" i="14"/>
  <c r="Q13" i="14"/>
  <c r="N13" i="14"/>
  <c r="K13" i="14"/>
  <c r="K2" i="15"/>
  <c r="Z8" i="12"/>
  <c r="X8" i="12"/>
  <c r="V8" i="12"/>
  <c r="U8" i="12"/>
  <c r="S8" i="12"/>
  <c r="R8" i="12"/>
  <c r="Q14" i="6"/>
  <c r="G3" i="7"/>
  <c r="O8" i="9"/>
  <c r="J12" i="9"/>
  <c r="J14" i="9"/>
  <c r="K17" i="9"/>
  <c r="I7" i="5"/>
  <c r="J3" i="7"/>
  <c r="V3" i="6"/>
  <c r="P13" i="6"/>
  <c r="X17" i="6"/>
  <c r="K3" i="7"/>
  <c r="P3" i="8"/>
  <c r="V14" i="8"/>
  <c r="Q3" i="5"/>
  <c r="U7" i="5"/>
  <c r="AB14" i="6"/>
  <c r="J7" i="8"/>
  <c r="X15" i="6"/>
  <c r="T15" i="6"/>
  <c r="S15" i="6"/>
  <c r="K15" i="6"/>
  <c r="J15" i="6"/>
  <c r="AA17" i="6"/>
  <c r="M3" i="7"/>
  <c r="R7" i="7"/>
  <c r="T15" i="7"/>
  <c r="T3" i="5"/>
  <c r="X7" i="5"/>
  <c r="V15" i="5"/>
  <c r="Y3" i="6"/>
  <c r="E6" i="6"/>
  <c r="V13" i="6"/>
  <c r="C15" i="6"/>
  <c r="AB17" i="6"/>
  <c r="N3" i="7"/>
  <c r="P6" i="7"/>
  <c r="S7" i="7"/>
  <c r="U15" i="7"/>
  <c r="M2" i="8"/>
  <c r="R17" i="9"/>
  <c r="R3" i="11"/>
  <c r="P3" i="11"/>
  <c r="M3" i="11"/>
  <c r="Y3" i="11"/>
  <c r="U3" i="11"/>
  <c r="S3" i="11"/>
  <c r="Q3" i="11"/>
  <c r="E3" i="11"/>
  <c r="Q6" i="11"/>
  <c r="U12" i="11"/>
  <c r="D17" i="11"/>
  <c r="W8" i="12"/>
  <c r="C12" i="12"/>
  <c r="AB12" i="12"/>
  <c r="Y2" i="13"/>
  <c r="G13" i="14"/>
  <c r="L2" i="15"/>
  <c r="S14" i="6"/>
  <c r="L3" i="5"/>
  <c r="H3" i="7"/>
  <c r="J7" i="7"/>
  <c r="L14" i="7"/>
  <c r="Z13" i="7"/>
  <c r="S13" i="7"/>
  <c r="R13" i="7"/>
  <c r="N3" i="5"/>
  <c r="N7" i="5"/>
  <c r="D14" i="5"/>
  <c r="V14" i="5"/>
  <c r="O14" i="5"/>
  <c r="W3" i="6"/>
  <c r="Z17" i="6"/>
  <c r="L3" i="7"/>
  <c r="F6" i="7"/>
  <c r="Q7" i="7"/>
  <c r="W14" i="8"/>
  <c r="S3" i="5"/>
  <c r="V7" i="5"/>
  <c r="W14" i="5"/>
  <c r="U15" i="5"/>
  <c r="X3" i="6"/>
  <c r="X12" i="6"/>
  <c r="O12" i="6"/>
  <c r="N12" i="6"/>
  <c r="AB12" i="6"/>
  <c r="Y12" i="6"/>
  <c r="H6" i="7"/>
  <c r="O12" i="8"/>
  <c r="Y14" i="5"/>
  <c r="I13" i="7"/>
  <c r="R14" i="7"/>
  <c r="L17" i="7"/>
  <c r="S3" i="8"/>
  <c r="M7" i="8"/>
  <c r="Q12" i="8"/>
  <c r="W13" i="8"/>
  <c r="Z14" i="8"/>
  <c r="T8" i="9"/>
  <c r="Z12" i="9"/>
  <c r="O14" i="9"/>
  <c r="M2" i="10"/>
  <c r="U3" i="5"/>
  <c r="AA7" i="5"/>
  <c r="Z14" i="5"/>
  <c r="AA3" i="6"/>
  <c r="I6" i="6"/>
  <c r="J12" i="6"/>
  <c r="Y13" i="6"/>
  <c r="D15" i="6"/>
  <c r="O3" i="7"/>
  <c r="Q6" i="7"/>
  <c r="U7" i="7"/>
  <c r="O12" i="7"/>
  <c r="N12" i="7"/>
  <c r="X12" i="7"/>
  <c r="W12" i="7"/>
  <c r="J13" i="7"/>
  <c r="S14" i="7"/>
  <c r="M17" i="7"/>
  <c r="N2" i="8"/>
  <c r="O7" i="8"/>
  <c r="R12" i="8"/>
  <c r="U8" i="9"/>
  <c r="AA12" i="9"/>
  <c r="P14" i="9"/>
  <c r="S17" i="9"/>
  <c r="N2" i="10"/>
  <c r="C3" i="11"/>
  <c r="T6" i="11"/>
  <c r="X12" i="11"/>
  <c r="O17" i="11"/>
  <c r="Y8" i="12"/>
  <c r="H12" i="12"/>
  <c r="AB2" i="13"/>
  <c r="N2" i="15"/>
  <c r="AA3" i="13"/>
  <c r="AB3" i="13"/>
  <c r="V3" i="13"/>
  <c r="P3" i="13"/>
  <c r="W3" i="13"/>
  <c r="N3" i="13"/>
  <c r="M3" i="13"/>
  <c r="L3" i="13"/>
  <c r="I3" i="13"/>
  <c r="E3" i="13"/>
  <c r="D3" i="13"/>
  <c r="Z15" i="8"/>
  <c r="O15" i="8"/>
  <c r="N15" i="8"/>
  <c r="AA15" i="8"/>
  <c r="Y13" i="9"/>
  <c r="X13" i="9"/>
  <c r="W13" i="9"/>
  <c r="AA17" i="9"/>
  <c r="Z12" i="11"/>
  <c r="C3" i="13"/>
  <c r="W13" i="13"/>
  <c r="U13" i="13"/>
  <c r="S13" i="13"/>
  <c r="Q13" i="13"/>
  <c r="P13" i="13"/>
  <c r="X13" i="13"/>
  <c r="T13" i="13"/>
  <c r="R13" i="13"/>
  <c r="K13" i="13"/>
  <c r="X14" i="9"/>
  <c r="I14" i="9"/>
  <c r="H14" i="9"/>
  <c r="W14" i="9"/>
  <c r="V14" i="9"/>
  <c r="U14" i="9"/>
  <c r="U14" i="6"/>
  <c r="X14" i="6"/>
  <c r="W14" i="6"/>
  <c r="K14" i="6"/>
  <c r="J14" i="6"/>
  <c r="V7" i="7"/>
  <c r="Q14" i="9"/>
  <c r="X15" i="5"/>
  <c r="R15" i="5"/>
  <c r="Q15" i="5"/>
  <c r="AA15" i="5"/>
  <c r="D14" i="6"/>
  <c r="C17" i="6"/>
  <c r="AB3" i="7"/>
  <c r="Y7" i="7"/>
  <c r="Y14" i="7"/>
  <c r="T17" i="7"/>
  <c r="R2" i="8"/>
  <c r="Z12" i="8"/>
  <c r="X14" i="8"/>
  <c r="Q14" i="8"/>
  <c r="P14" i="8"/>
  <c r="U14" i="8"/>
  <c r="S14" i="8"/>
  <c r="T14" i="8"/>
  <c r="E15" i="8"/>
  <c r="C13" i="9"/>
  <c r="S14" i="9"/>
  <c r="AB12" i="11"/>
  <c r="Y7" i="12"/>
  <c r="W7" i="12"/>
  <c r="S7" i="12"/>
  <c r="P7" i="12"/>
  <c r="AA7" i="12"/>
  <c r="Z7" i="12"/>
  <c r="X7" i="12"/>
  <c r="V7" i="12"/>
  <c r="F7" i="12"/>
  <c r="E7" i="12"/>
  <c r="F3" i="13"/>
  <c r="F13" i="13"/>
  <c r="R2" i="15"/>
  <c r="G12" i="5"/>
  <c r="F14" i="6"/>
  <c r="G17" i="6"/>
  <c r="AA7" i="7"/>
  <c r="AB14" i="7"/>
  <c r="V17" i="7"/>
  <c r="T2" i="8"/>
  <c r="AB12" i="8"/>
  <c r="G7" i="12"/>
  <c r="K3" i="13"/>
  <c r="H13" i="13"/>
  <c r="X15" i="13"/>
  <c r="E15" i="13"/>
  <c r="W15" i="13"/>
  <c r="T15" i="13"/>
  <c r="R15" i="13"/>
  <c r="Q15" i="13"/>
  <c r="M15" i="13"/>
  <c r="L15" i="13"/>
  <c r="K15" i="13"/>
  <c r="J15" i="13"/>
  <c r="G15" i="13"/>
  <c r="D15" i="13"/>
  <c r="C15" i="13"/>
  <c r="AB15" i="13"/>
  <c r="U12" i="15"/>
  <c r="Q12" i="15"/>
  <c r="L12" i="15"/>
  <c r="G12" i="15"/>
  <c r="C12" i="15"/>
  <c r="AA12" i="15"/>
  <c r="Z12" i="15"/>
  <c r="T12" i="15"/>
  <c r="W12" i="15"/>
  <c r="V12" i="15"/>
  <c r="R12" i="15"/>
  <c r="P12" i="15"/>
  <c r="O12" i="15"/>
  <c r="N12" i="15"/>
  <c r="M12" i="15"/>
  <c r="K12" i="15"/>
  <c r="H12" i="15"/>
  <c r="C3" i="6"/>
  <c r="AA14" i="7"/>
  <c r="T14" i="9"/>
  <c r="J3" i="13"/>
  <c r="D15" i="5"/>
  <c r="G15" i="8"/>
  <c r="M13" i="9"/>
  <c r="Y14" i="9"/>
  <c r="E15" i="5"/>
  <c r="H14" i="6"/>
  <c r="X6" i="7"/>
  <c r="AB7" i="7"/>
  <c r="T13" i="7"/>
  <c r="T13" i="8"/>
  <c r="S13" i="8"/>
  <c r="V13" i="8"/>
  <c r="R13" i="8"/>
  <c r="U13" i="8"/>
  <c r="E14" i="8"/>
  <c r="H15" i="8"/>
  <c r="D13" i="10"/>
  <c r="L3" i="11"/>
  <c r="I7" i="12"/>
  <c r="M13" i="13"/>
  <c r="F15" i="13"/>
  <c r="D12" i="15"/>
  <c r="O17" i="12"/>
  <c r="G17" i="12"/>
  <c r="N17" i="6"/>
  <c r="M17" i="6"/>
  <c r="L17" i="6"/>
  <c r="E17" i="6"/>
  <c r="D17" i="6"/>
  <c r="Z3" i="7"/>
  <c r="W7" i="7"/>
  <c r="X14" i="7"/>
  <c r="S17" i="7"/>
  <c r="F15" i="8"/>
  <c r="T2" i="6"/>
  <c r="D14" i="8"/>
  <c r="U17" i="5"/>
  <c r="T17" i="5"/>
  <c r="Z2" i="6"/>
  <c r="O6" i="6"/>
  <c r="H17" i="6"/>
  <c r="X15" i="7"/>
  <c r="S15" i="7"/>
  <c r="R15" i="7"/>
  <c r="H15" i="7"/>
  <c r="G15" i="7"/>
  <c r="Z17" i="7"/>
  <c r="U2" i="8"/>
  <c r="Q13" i="9"/>
  <c r="Z14" i="9"/>
  <c r="E6" i="5"/>
  <c r="D13" i="5"/>
  <c r="F15" i="5"/>
  <c r="D17" i="5"/>
  <c r="AA2" i="6"/>
  <c r="AB6" i="6"/>
  <c r="U12" i="6"/>
  <c r="I14" i="6"/>
  <c r="M15" i="6"/>
  <c r="J17" i="6"/>
  <c r="Z6" i="7"/>
  <c r="X8" i="7"/>
  <c r="J8" i="7"/>
  <c r="I8" i="7"/>
  <c r="P8" i="7"/>
  <c r="N8" i="7"/>
  <c r="K12" i="7"/>
  <c r="V13" i="7"/>
  <c r="C15" i="7"/>
  <c r="AA17" i="7"/>
  <c r="V2" i="8"/>
  <c r="C13" i="8"/>
  <c r="F14" i="8"/>
  <c r="I15" i="8"/>
  <c r="S13" i="9"/>
  <c r="AA14" i="9"/>
  <c r="F13" i="10"/>
  <c r="J7" i="12"/>
  <c r="N13" i="13"/>
  <c r="H15" i="13"/>
  <c r="I12" i="15"/>
  <c r="AA8" i="12"/>
  <c r="AB15" i="5"/>
  <c r="E14" i="6"/>
  <c r="Z7" i="7"/>
  <c r="U17" i="7"/>
  <c r="G15" i="5"/>
  <c r="AB2" i="6"/>
  <c r="L14" i="6"/>
  <c r="K17" i="6"/>
  <c r="J3" i="8"/>
  <c r="G3" i="8"/>
  <c r="E3" i="8"/>
  <c r="G14" i="8"/>
  <c r="J15" i="8"/>
  <c r="Z13" i="9"/>
  <c r="AB14" i="9"/>
  <c r="K7" i="12"/>
  <c r="O13" i="13"/>
  <c r="N3" i="14"/>
  <c r="I3" i="14"/>
  <c r="C3" i="14"/>
  <c r="AB3" i="14"/>
  <c r="Y3" i="14"/>
  <c r="X3" i="14"/>
  <c r="Z3" i="14"/>
  <c r="V3" i="14"/>
  <c r="U3" i="14"/>
  <c r="S3" i="14"/>
  <c r="P3" i="14"/>
  <c r="M3" i="14"/>
  <c r="J12" i="15"/>
  <c r="E6" i="17"/>
  <c r="C6" i="17"/>
  <c r="L6" i="17"/>
  <c r="G6" i="17"/>
  <c r="Q6" i="17"/>
  <c r="M6" i="17"/>
  <c r="Z3" i="18"/>
  <c r="I3" i="18"/>
  <c r="H3" i="18"/>
  <c r="D3" i="18"/>
  <c r="Y3" i="18"/>
  <c r="V3" i="18"/>
  <c r="S3" i="18"/>
  <c r="R3" i="18"/>
  <c r="Q3" i="18"/>
  <c r="M3" i="18"/>
  <c r="K3" i="18"/>
  <c r="J3" i="18"/>
  <c r="D15" i="18"/>
  <c r="C15" i="18"/>
  <c r="AB15" i="18"/>
  <c r="AA15" i="18"/>
  <c r="Y15" i="18"/>
  <c r="X15" i="18"/>
  <c r="W15" i="18"/>
  <c r="S15" i="18"/>
  <c r="M15" i="18"/>
  <c r="K15" i="18"/>
  <c r="J15" i="18"/>
  <c r="E15" i="18"/>
  <c r="E3" i="18"/>
  <c r="Q15" i="18"/>
  <c r="X15" i="12"/>
  <c r="H15" i="12"/>
  <c r="F15" i="12"/>
  <c r="AB15" i="12"/>
  <c r="D15" i="12"/>
  <c r="AA15" i="12"/>
  <c r="C15" i="12"/>
  <c r="W15" i="14"/>
  <c r="W3" i="18"/>
  <c r="Y15" i="14"/>
  <c r="V17" i="16"/>
  <c r="U17" i="16"/>
  <c r="J17" i="16"/>
  <c r="D17" i="16"/>
  <c r="C17" i="16"/>
  <c r="Z17" i="16"/>
  <c r="Y17" i="16"/>
  <c r="AA17" i="17"/>
  <c r="Z17" i="17"/>
  <c r="W17" i="17"/>
  <c r="U17" i="17"/>
  <c r="Q17" i="17"/>
  <c r="O17" i="17"/>
  <c r="M17" i="17"/>
  <c r="L17" i="17"/>
  <c r="AA15" i="14"/>
  <c r="P3" i="15"/>
  <c r="L3" i="15"/>
  <c r="F3" i="15"/>
  <c r="AA3" i="15"/>
  <c r="Y3" i="15"/>
  <c r="X3" i="15"/>
  <c r="Q3" i="15"/>
  <c r="J15" i="12"/>
  <c r="C3" i="15"/>
  <c r="R17" i="16"/>
  <c r="X17" i="17"/>
  <c r="K15" i="12"/>
  <c r="Y14" i="14"/>
  <c r="S14" i="14"/>
  <c r="D3" i="15"/>
  <c r="AB17" i="16"/>
  <c r="Y17" i="17"/>
  <c r="AB12" i="13"/>
  <c r="M12" i="13"/>
  <c r="J12" i="13"/>
  <c r="H12" i="13"/>
  <c r="D12" i="13"/>
  <c r="AB14" i="14"/>
  <c r="G3" i="15"/>
  <c r="Z2" i="17"/>
  <c r="W2" i="17"/>
  <c r="J2" i="17"/>
  <c r="I2" i="17"/>
  <c r="G2" i="17"/>
  <c r="F2" i="17"/>
  <c r="X15" i="14"/>
  <c r="V15" i="14"/>
  <c r="Q15" i="14"/>
  <c r="L15" i="14"/>
  <c r="J15" i="14"/>
  <c r="H15" i="14"/>
  <c r="G15" i="14"/>
  <c r="Z15" i="14"/>
  <c r="C15" i="14"/>
  <c r="I3" i="15"/>
  <c r="J8" i="15"/>
  <c r="D8" i="15"/>
  <c r="AA8" i="15"/>
  <c r="Y8" i="15"/>
  <c r="W8" i="15"/>
  <c r="T8" i="15"/>
  <c r="M8" i="15"/>
  <c r="AB12" i="16"/>
  <c r="W12" i="16"/>
  <c r="K12" i="16"/>
  <c r="X12" i="17"/>
  <c r="O12" i="17"/>
  <c r="M12" i="17"/>
  <c r="I12" i="17"/>
  <c r="F12" i="17"/>
  <c r="E12" i="17"/>
  <c r="AB12" i="17"/>
  <c r="Y12" i="17"/>
  <c r="W12" i="17"/>
  <c r="V12" i="17"/>
  <c r="U12" i="17"/>
  <c r="Q12" i="17"/>
  <c r="P12" i="17"/>
  <c r="X14" i="10"/>
  <c r="K14" i="10"/>
  <c r="I14" i="10"/>
  <c r="H14" i="10"/>
  <c r="AB14" i="10"/>
  <c r="P15" i="12"/>
  <c r="O12" i="13"/>
  <c r="E15" i="14"/>
  <c r="K3" i="15"/>
  <c r="E8" i="15"/>
  <c r="P13" i="15"/>
  <c r="O13" i="15"/>
  <c r="J13" i="15"/>
  <c r="E13" i="15"/>
  <c r="C13" i="15"/>
  <c r="AA13" i="15"/>
  <c r="Z13" i="15"/>
  <c r="S13" i="15"/>
  <c r="I12" i="16"/>
  <c r="D12" i="17"/>
  <c r="C14" i="10"/>
  <c r="X15" i="10"/>
  <c r="G15" i="10"/>
  <c r="E15" i="10"/>
  <c r="D15" i="10"/>
  <c r="Q7" i="11"/>
  <c r="U7" i="11"/>
  <c r="S7" i="11"/>
  <c r="R7" i="11"/>
  <c r="AB8" i="11"/>
  <c r="T8" i="11"/>
  <c r="S8" i="11"/>
  <c r="Q15" i="12"/>
  <c r="R12" i="13"/>
  <c r="F15" i="14"/>
  <c r="M3" i="15"/>
  <c r="F8" i="15"/>
  <c r="D13" i="15"/>
  <c r="X12" i="16"/>
  <c r="G12" i="17"/>
  <c r="Y2" i="7"/>
  <c r="M2" i="7"/>
  <c r="L2" i="7"/>
  <c r="C3" i="9"/>
  <c r="S14" i="11"/>
  <c r="P14" i="11"/>
  <c r="N14" i="11"/>
  <c r="L14" i="11"/>
  <c r="K14" i="11"/>
  <c r="R15" i="12"/>
  <c r="S12" i="13"/>
  <c r="I15" i="14"/>
  <c r="N3" i="15"/>
  <c r="X7" i="15"/>
  <c r="M7" i="15"/>
  <c r="H7" i="15"/>
  <c r="Z7" i="15"/>
  <c r="C7" i="15"/>
  <c r="W7" i="15"/>
  <c r="U7" i="15"/>
  <c r="T7" i="15"/>
  <c r="P7" i="15"/>
  <c r="G8" i="15"/>
  <c r="F13" i="15"/>
  <c r="Z6" i="16"/>
  <c r="Q6" i="16"/>
  <c r="O6" i="16"/>
  <c r="K6" i="16"/>
  <c r="I6" i="16"/>
  <c r="G6" i="16"/>
  <c r="F6" i="16"/>
  <c r="Y12" i="16"/>
  <c r="H12" i="17"/>
  <c r="Y7" i="9"/>
  <c r="W7" i="9"/>
  <c r="V7" i="9"/>
  <c r="D14" i="10"/>
  <c r="C15" i="10"/>
  <c r="C7" i="11"/>
  <c r="M3" i="12"/>
  <c r="K3" i="12"/>
  <c r="I3" i="12"/>
  <c r="G3" i="12"/>
  <c r="G2" i="7"/>
  <c r="C7" i="9"/>
  <c r="E14" i="10"/>
  <c r="F15" i="10"/>
  <c r="D7" i="11"/>
  <c r="D8" i="11"/>
  <c r="C14" i="11"/>
  <c r="F3" i="12"/>
  <c r="S15" i="12"/>
  <c r="T12" i="13"/>
  <c r="K15" i="14"/>
  <c r="T3" i="15"/>
  <c r="D7" i="15"/>
  <c r="H8" i="15"/>
  <c r="G13" i="15"/>
  <c r="AB2" i="16"/>
  <c r="Y2" i="16"/>
  <c r="W2" i="16"/>
  <c r="U2" i="16"/>
  <c r="K2" i="16"/>
  <c r="E6" i="16"/>
  <c r="J12" i="17"/>
  <c r="X13" i="16"/>
  <c r="D2" i="18"/>
  <c r="AB8" i="18"/>
  <c r="Y12" i="18"/>
  <c r="W17" i="18"/>
  <c r="H2" i="19"/>
  <c r="K3" i="19"/>
  <c r="N6" i="19"/>
  <c r="M8" i="19"/>
  <c r="C12" i="19"/>
  <c r="K13" i="19"/>
  <c r="T14" i="19"/>
  <c r="F2" i="18"/>
  <c r="C8" i="18"/>
  <c r="Z12" i="18"/>
  <c r="Y17" i="18"/>
  <c r="M2" i="19"/>
  <c r="M3" i="19"/>
  <c r="O6" i="19"/>
  <c r="N8" i="19"/>
  <c r="E12" i="19"/>
  <c r="L13" i="19"/>
  <c r="U14" i="19"/>
  <c r="G2" i="18"/>
  <c r="D8" i="18"/>
  <c r="AA17" i="18"/>
  <c r="N2" i="19"/>
  <c r="N3" i="19"/>
  <c r="R6" i="19"/>
  <c r="O8" i="19"/>
  <c r="F12" i="19"/>
  <c r="M13" i="19"/>
  <c r="V14" i="19"/>
  <c r="AB17" i="18"/>
  <c r="O2" i="19"/>
  <c r="P3" i="19"/>
  <c r="W6" i="19"/>
  <c r="P8" i="19"/>
  <c r="G12" i="19"/>
  <c r="O13" i="19"/>
  <c r="AB14" i="19"/>
  <c r="P2" i="19"/>
  <c r="P13" i="19"/>
  <c r="R14" i="13"/>
  <c r="Y2" i="14"/>
  <c r="J7" i="14"/>
  <c r="W6" i="15"/>
  <c r="AA15" i="15"/>
  <c r="I7" i="16"/>
  <c r="J14" i="16"/>
  <c r="H8" i="17"/>
  <c r="H15" i="17"/>
  <c r="L2" i="18"/>
  <c r="G8" i="18"/>
  <c r="H13" i="18"/>
  <c r="C17" i="18"/>
  <c r="R2" i="19"/>
  <c r="R3" i="19"/>
  <c r="C7" i="19"/>
  <c r="R8" i="19"/>
  <c r="I12" i="19"/>
  <c r="Q13" i="19"/>
  <c r="C15" i="19"/>
  <c r="S14" i="13"/>
  <c r="Z2" i="14"/>
  <c r="K7" i="14"/>
  <c r="X6" i="15"/>
  <c r="J7" i="16"/>
  <c r="Y14" i="16"/>
  <c r="J8" i="17"/>
  <c r="I15" i="17"/>
  <c r="M2" i="18"/>
  <c r="J8" i="18"/>
  <c r="P13" i="18"/>
  <c r="D17" i="18"/>
  <c r="S2" i="19"/>
  <c r="S3" i="19"/>
  <c r="F7" i="19"/>
  <c r="S8" i="19"/>
  <c r="J12" i="19"/>
  <c r="T13" i="19"/>
  <c r="E15" i="19"/>
  <c r="N8" i="17"/>
  <c r="N15" i="17"/>
  <c r="N2" i="18"/>
  <c r="K8" i="18"/>
  <c r="E17" i="18"/>
  <c r="U2" i="19"/>
  <c r="T3" i="19"/>
  <c r="G7" i="19"/>
  <c r="T8" i="19"/>
  <c r="L12" i="19"/>
  <c r="V13" i="19"/>
  <c r="F15" i="19"/>
  <c r="V14" i="13"/>
  <c r="AB2" i="14"/>
  <c r="M7" i="14"/>
  <c r="AB6" i="15"/>
  <c r="M7" i="16"/>
  <c r="K15" i="16"/>
  <c r="O8" i="17"/>
  <c r="O2" i="18"/>
  <c r="M8" i="18"/>
  <c r="G17" i="18"/>
  <c r="V2" i="19"/>
  <c r="U3" i="19"/>
  <c r="H7" i="19"/>
  <c r="V8" i="19"/>
  <c r="P12" i="19"/>
  <c r="W13" i="19"/>
  <c r="G15" i="19"/>
  <c r="Y13" i="19"/>
  <c r="Y14" i="13"/>
  <c r="O7" i="14"/>
  <c r="P7" i="16"/>
  <c r="Q8" i="17"/>
  <c r="R2" i="18"/>
  <c r="O8" i="18"/>
  <c r="L14" i="18"/>
  <c r="J17" i="18"/>
  <c r="X2" i="19"/>
  <c r="W3" i="19"/>
  <c r="M7" i="19"/>
  <c r="Y8" i="19"/>
  <c r="R12" i="19"/>
  <c r="Z13" i="19"/>
  <c r="L15" i="19"/>
  <c r="C17" i="19"/>
  <c r="S2" i="18"/>
  <c r="P8" i="18"/>
  <c r="Q14" i="18"/>
  <c r="L17" i="18"/>
  <c r="Z2" i="19"/>
  <c r="Y3" i="19"/>
  <c r="R7" i="19"/>
  <c r="Z8" i="19"/>
  <c r="T12" i="19"/>
  <c r="AA13" i="19"/>
  <c r="M15" i="19"/>
  <c r="E17" i="19"/>
  <c r="M17" i="18"/>
  <c r="AB2" i="19"/>
  <c r="U7" i="19"/>
  <c r="O15" i="19"/>
  <c r="F17" i="19"/>
  <c r="N17" i="18"/>
  <c r="AA3" i="19"/>
  <c r="AB8" i="19"/>
  <c r="V12" i="19"/>
  <c r="F14" i="19"/>
  <c r="P15" i="19"/>
  <c r="G17" i="19"/>
  <c r="U7" i="16"/>
  <c r="U8" i="17"/>
  <c r="N13" i="17"/>
  <c r="X2" i="18"/>
  <c r="S8" i="18"/>
  <c r="V14" i="18"/>
  <c r="O17" i="18"/>
  <c r="C3" i="19"/>
  <c r="AB3" i="19"/>
  <c r="C8" i="19"/>
  <c r="Y12" i="19"/>
  <c r="G14" i="19"/>
  <c r="Q15" i="19"/>
  <c r="M17" i="19"/>
  <c r="W7" i="14"/>
  <c r="K6" i="15"/>
  <c r="L17" i="15"/>
  <c r="V7" i="16"/>
  <c r="V8" i="17"/>
  <c r="Q13" i="17"/>
  <c r="Y2" i="18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AA8" i="17"/>
  <c r="U13" i="17"/>
  <c r="G7" i="18"/>
  <c r="W8" i="18"/>
  <c r="S17" i="18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P6" i="15"/>
  <c r="J13" i="16"/>
  <c r="X13" i="17"/>
  <c r="Y8" i="18"/>
  <c r="U17" i="18"/>
  <c r="C2" i="19"/>
  <c r="I3" i="19"/>
  <c r="H6" i="19"/>
  <c r="J8" i="19"/>
  <c r="E13" i="19"/>
  <c r="Q14" i="19"/>
  <c r="AA17" i="19"/>
  <c r="V17" i="18"/>
  <c r="F2" i="19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<sst xmlns="http://schemas.openxmlformats.org/spreadsheetml/2006/main" count="3113" uniqueCount="587">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</sst>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37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AZ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1.7594914758586343E-2</v>
      </c>
      <c r="C2" s="7">
        <f>$B2 * IFERROR(VLOOKUP("transport|PM25|Premature mortality", US_national_yearly!$D:$AM, 11, FALSE) / VLOOKUP("transport|PM25|Premature mortality", US_national_yearly!$D:$AM, 10, FALSE), 1)</f>
        <v>1.7813053142581092E-2</v>
      </c>
      <c r="D2" s="7">
        <f>$B2 * IFERROR(VLOOKUP("transport|PM25|Premature mortality", US_national_yearly!$D:$AM, 12, FALSE) / VLOOKUP("transport|PM25|Premature mortality", US_national_yearly!$D:$AM, 10, FALSE), 1)</f>
        <v>1.8031191526575837E-2</v>
      </c>
      <c r="E2" s="7">
        <f>$B2 * IFERROR(VLOOKUP("transport|PM25|Premature mortality", US_national_yearly!$D:$AM, 13, FALSE) / VLOOKUP("transport|PM25|Premature mortality", US_national_yearly!$D:$AM, 10, FALSE), 1)</f>
        <v>1.8249329910570582E-2</v>
      </c>
      <c r="F2" s="7">
        <f>$B2 * IFERROR(VLOOKUP("transport|PM25|Premature mortality", US_national_yearly!$D:$AM, 14, FALSE) / VLOOKUP("transport|PM25|Premature mortality", US_national_yearly!$D:$AM, 10, FALSE), 1)</f>
        <v>1.8467468294565328E-2</v>
      </c>
      <c r="G2" s="7">
        <f>$B2 * IFERROR(VLOOKUP("transport|PM25|Premature mortality", US_national_yearly!$D:$AM, 15, FALSE) / VLOOKUP("transport|PM25|Premature mortality", US_national_yearly!$D:$AM, 10, FALSE), 1)</f>
        <v>1.8892291152234352E-2</v>
      </c>
      <c r="H2" s="7">
        <f>$B2 * IFERROR(VLOOKUP("transport|PM25|Premature mortality", US_national_yearly!$D:$AM, 16, FALSE) / VLOOKUP("transport|PM25|Premature mortality", US_national_yearly!$D:$AM, 10, FALSE), 1)</f>
        <v>1.9317114009903373E-2</v>
      </c>
      <c r="I2" s="7">
        <f>$B2 * IFERROR(VLOOKUP("transport|PM25|Premature mortality", US_national_yearly!$D:$AM, 17, FALSE) / VLOOKUP("transport|PM25|Premature mortality", US_national_yearly!$D:$AM, 10, FALSE), 1)</f>
        <v>1.9596155545796114E-2</v>
      </c>
      <c r="J2" s="7">
        <f>$B2 * IFERROR(VLOOKUP("transport|PM25|Premature mortality", US_national_yearly!$D:$AM, 18, FALSE) / VLOOKUP("transport|PM25|Premature mortality", US_national_yearly!$D:$AM, 10, FALSE), 1)</f>
        <v>1.9875197081688861E-2</v>
      </c>
      <c r="K2" s="7">
        <f>$B2 * IFERROR(VLOOKUP("transport|PM25|Premature mortality", US_national_yearly!$D:$AM, 19, FALSE) / VLOOKUP("transport|PM25|Premature mortality", US_national_yearly!$D:$AM, 10, FALSE), 1)</f>
        <v>2.0154238617581605E-2</v>
      </c>
      <c r="L2" s="7">
        <f>$B2 * IFERROR(VLOOKUP("transport|PM25|Premature mortality", US_national_yearly!$D:$AM, 20, FALSE) / VLOOKUP("transport|PM25|Premature mortality", US_national_yearly!$D:$AM, 10, FALSE), 1)</f>
        <v>2.0433280153474356E-2</v>
      </c>
      <c r="M2" s="7">
        <f>$B2 * IFERROR(VLOOKUP("transport|PM25|Premature mortality", US_national_yearly!$D:$AM, 21, FALSE) / VLOOKUP("transport|PM25|Premature mortality", US_national_yearly!$D:$AM, 10, FALSE), 1)</f>
        <v>2.07123216893671E-2</v>
      </c>
      <c r="N2" s="7">
        <f>$B2 * IFERROR(VLOOKUP("transport|PM25|Premature mortality", US_national_yearly!$D:$AM, 22, FALSE) / VLOOKUP("transport|PM25|Premature mortality", US_national_yearly!$D:$AM, 10, FALSE), 1)</f>
        <v>2.0928979682657309E-2</v>
      </c>
      <c r="O2" s="7">
        <f>$B2 * IFERROR(VLOOKUP("transport|PM25|Premature mortality", US_national_yearly!$D:$AM, 23, FALSE) / VLOOKUP("transport|PM25|Premature mortality", US_national_yearly!$D:$AM, 10, FALSE), 1)</f>
        <v>2.1145637675947519E-2</v>
      </c>
      <c r="P2" s="7">
        <f>$B2 * IFERROR(VLOOKUP("transport|PM25|Premature mortality", US_national_yearly!$D:$AM, 24, FALSE) / VLOOKUP("transport|PM25|Premature mortality", US_national_yearly!$D:$AM, 10, FALSE), 1)</f>
        <v>2.1362295669237728E-2</v>
      </c>
      <c r="Q2" s="7">
        <f>$B2 * IFERROR(VLOOKUP("transport|PM25|Premature mortality", US_national_yearly!$D:$AM, 25, FALSE) / VLOOKUP("transport|PM25|Premature mortality", US_national_yearly!$D:$AM, 10, FALSE), 1)</f>
        <v>2.1578953662527937E-2</v>
      </c>
      <c r="R2" s="7">
        <f>$B2 * IFERROR(VLOOKUP("transport|PM25|Premature mortality", US_national_yearly!$D:$AM, 26, FALSE) / VLOOKUP("transport|PM25|Premature mortality", US_national_yearly!$D:$AM, 10, FALSE), 1)</f>
        <v>2.1795611655818153E-2</v>
      </c>
      <c r="S2" s="7">
        <f>$B2 * IFERROR(VLOOKUP("transport|PM25|Premature mortality", US_national_yearly!$D:$AM, 27, FALSE) / VLOOKUP("transport|PM25|Premature mortality", US_national_yearly!$D:$AM, 10, FALSE), 1)</f>
        <v>2.191039062353977E-2</v>
      </c>
      <c r="T2" s="7">
        <f>$B2 * IFERROR(VLOOKUP("transport|PM25|Premature mortality", US_national_yearly!$D:$AM, 28, FALSE) / VLOOKUP("transport|PM25|Premature mortality", US_national_yearly!$D:$AM, 10, FALSE), 1)</f>
        <v>2.2025169591261388E-2</v>
      </c>
      <c r="U2" s="7">
        <f>$B2 * IFERROR(VLOOKUP("transport|PM25|Premature mortality", US_national_yearly!$D:$AM, 29, FALSE) / VLOOKUP("transport|PM25|Premature mortality", US_national_yearly!$D:$AM, 10, FALSE), 1)</f>
        <v>2.2139948558983002E-2</v>
      </c>
      <c r="V2" s="7">
        <f>$B2 * IFERROR(VLOOKUP("transport|PM25|Premature mortality", US_national_yearly!$D:$AM, 30, FALSE) / VLOOKUP("transport|PM25|Premature mortality", US_national_yearly!$D:$AM, 10, FALSE), 1)</f>
        <v>2.2254727526704616E-2</v>
      </c>
      <c r="W2" s="7">
        <f>$B2 * IFERROR(VLOOKUP("transport|PM25|Premature mortality", US_national_yearly!$D:$AM, 31, FALSE) / VLOOKUP("transport|PM25|Premature mortality", US_national_yearly!$D:$AM, 10, FALSE), 1)</f>
        <v>2.2369506494426233E-2</v>
      </c>
      <c r="X2" s="7">
        <f>$B2 * IFERROR(VLOOKUP("transport|PM25|Premature mortality", US_national_yearly!$D:$AM, 32, FALSE) / VLOOKUP("transport|PM25|Premature mortality", US_national_yearly!$D:$AM, 10, FALSE), 1)</f>
        <v>2.238957648480918E-2</v>
      </c>
      <c r="Y2" s="7">
        <f>$B2 * IFERROR(VLOOKUP("transport|PM25|Premature mortality", US_national_yearly!$D:$AM, 33, FALSE) / VLOOKUP("transport|PM25|Premature mortality", US_national_yearly!$D:$AM, 10, FALSE), 1)</f>
        <v>2.2409646475192131E-2</v>
      </c>
      <c r="Z2" s="7">
        <f>$B2 * IFERROR(VLOOKUP("transport|PM25|Premature mortality", US_national_yearly!$D:$AM, 34, FALSE) / VLOOKUP("transport|PM25|Premature mortality", US_national_yearly!$D:$AM, 10, FALSE), 1)</f>
        <v>2.2429716465575077E-2</v>
      </c>
      <c r="AA2" s="7">
        <f>$B2 * IFERROR(VLOOKUP("transport|PM25|Premature mortality", US_national_yearly!$D:$AM, 35, FALSE) / VLOOKUP("transport|PM25|Premature mortality", US_national_yearly!$D:$AM, 10, FALSE), 1)</f>
        <v>2.2449786455958028E-2</v>
      </c>
      <c r="AB2" s="7">
        <f>$B2 * IFERROR(VLOOKUP("transport|PM25|Premature mortality", US_national_yearly!$D:$AM, 36, FALSE) / VLOOKUP("transport|PM25|Premature mortality", US_national_yearly!$D:$AM, 10, FALSE), 1)</f>
        <v>2.2469856446340974E-2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5.089987287530787E-5</v>
      </c>
      <c r="C3" s="7">
        <f>$B3 * IFERROR(VLOOKUP("transport|PM25|Infant mortality", US_national_yearly!$D:$AM, 11, FALSE) / VLOOKUP("transport|PM25|Infant mortality", US_national_yearly!$D:$AM, 10, FALSE), 1)</f>
        <v>5.0456072430300248E-5</v>
      </c>
      <c r="D3" s="7">
        <f>$B3 * IFERROR(VLOOKUP("transport|PM25|Infant mortality", US_national_yearly!$D:$AM, 12, FALSE) / VLOOKUP("transport|PM25|Infant mortality", US_national_yearly!$D:$AM, 10, FALSE), 1)</f>
        <v>5.0012271985292614E-5</v>
      </c>
      <c r="E3" s="7">
        <f>$B3 * IFERROR(VLOOKUP("transport|PM25|Infant mortality", US_national_yearly!$D:$AM, 13, FALSE) / VLOOKUP("transport|PM25|Infant mortality", US_national_yearly!$D:$AM, 10, FALSE), 1)</f>
        <v>4.9568471540284992E-5</v>
      </c>
      <c r="F3" s="7">
        <f>$B3 * IFERROR(VLOOKUP("transport|PM25|Infant mortality", US_national_yearly!$D:$AM, 14, FALSE) / VLOOKUP("transport|PM25|Infant mortality", US_national_yearly!$D:$AM, 10, FALSE), 1)</f>
        <v>4.9124671095277357E-5</v>
      </c>
      <c r="G3" s="7">
        <f>$B3 * IFERROR(VLOOKUP("transport|PM25|Infant mortality", US_national_yearly!$D:$AM, 15, FALSE) / VLOOKUP("transport|PM25|Infant mortality", US_national_yearly!$D:$AM, 10, FALSE), 1)</f>
        <v>3.2670534053108313E-5</v>
      </c>
      <c r="H3" s="7">
        <f>$B3 * IFERROR(VLOOKUP("transport|PM25|Infant mortality", US_national_yearly!$D:$AM, 16, FALSE) / VLOOKUP("transport|PM25|Infant mortality", US_national_yearly!$D:$AM, 10, FALSE), 1)</f>
        <v>1.6216397010939252E-5</v>
      </c>
      <c r="I3" s="7">
        <f>$B3 * IFERROR(VLOOKUP("transport|PM25|Infant mortality", US_national_yearly!$D:$AM, 17, FALSE) / VLOOKUP("transport|PM25|Infant mortality", US_national_yearly!$D:$AM, 10, FALSE), 1)</f>
        <v>1.6110396069373777E-5</v>
      </c>
      <c r="J3" s="7">
        <f>$B3 * IFERROR(VLOOKUP("transport|PM25|Infant mortality", US_national_yearly!$D:$AM, 18, FALSE) / VLOOKUP("transport|PM25|Infant mortality", US_national_yearly!$D:$AM, 10, FALSE), 1)</f>
        <v>1.6004395127808302E-5</v>
      </c>
      <c r="K3" s="7">
        <f>$B3 * IFERROR(VLOOKUP("transport|PM25|Infant mortality", US_national_yearly!$D:$AM, 19, FALSE) / VLOOKUP("transport|PM25|Infant mortality", US_national_yearly!$D:$AM, 10, FALSE), 1)</f>
        <v>1.5898394186242823E-5</v>
      </c>
      <c r="L3" s="7">
        <f>$B3 * IFERROR(VLOOKUP("transport|PM25|Infant mortality", US_national_yearly!$D:$AM, 20, FALSE) / VLOOKUP("transport|PM25|Infant mortality", US_national_yearly!$D:$AM, 10, FALSE), 1)</f>
        <v>1.5792393244677348E-5</v>
      </c>
      <c r="M3" s="7">
        <f>$B3 * IFERROR(VLOOKUP("transport|PM25|Infant mortality", US_national_yearly!$D:$AM, 21, FALSE) / VLOOKUP("transport|PM25|Infant mortality", US_national_yearly!$D:$AM, 10, FALSE), 1)</f>
        <v>1.5686392303111873E-5</v>
      </c>
      <c r="N3" s="7">
        <f>$B3 * IFERROR(VLOOKUP("transport|PM25|Infant mortality", US_national_yearly!$D:$AM, 22, FALSE) / VLOOKUP("transport|PM25|Infant mortality", US_national_yearly!$D:$AM, 10, FALSE), 1)</f>
        <v>1.5619811976358387E-5</v>
      </c>
      <c r="O3" s="7">
        <f>$B3 * IFERROR(VLOOKUP("transport|PM25|Infant mortality", US_national_yearly!$D:$AM, 23, FALSE) / VLOOKUP("transport|PM25|Infant mortality", US_national_yearly!$D:$AM, 10, FALSE), 1)</f>
        <v>1.5553231649604902E-5</v>
      </c>
      <c r="P3" s="7">
        <f>$B3 * IFERROR(VLOOKUP("transport|PM25|Infant mortality", US_national_yearly!$D:$AM, 24, FALSE) / VLOOKUP("transport|PM25|Infant mortality", US_national_yearly!$D:$AM, 10, FALSE), 1)</f>
        <v>1.5486651322851414E-5</v>
      </c>
      <c r="Q3" s="7">
        <f>$B3 * IFERROR(VLOOKUP("transport|PM25|Infant mortality", US_national_yearly!$D:$AM, 25, FALSE) / VLOOKUP("transport|PM25|Infant mortality", US_national_yearly!$D:$AM, 10, FALSE), 1)</f>
        <v>1.5420070996097928E-5</v>
      </c>
      <c r="R3" s="7">
        <f>$B3 * IFERROR(VLOOKUP("transport|PM25|Infant mortality", US_national_yearly!$D:$AM, 26, FALSE) / VLOOKUP("transport|PM25|Infant mortality", US_national_yearly!$D:$AM, 10, FALSE), 1)</f>
        <v>1.535349066934444E-5</v>
      </c>
      <c r="S3" s="7">
        <f>$B3 * IFERROR(VLOOKUP("transport|PM25|Infant mortality", US_national_yearly!$D:$AM, 27, FALSE) / VLOOKUP("transport|PM25|Infant mortality", US_national_yearly!$D:$AM, 10, FALSE), 1)</f>
        <v>1.5270496930705001E-5</v>
      </c>
      <c r="T3" s="7">
        <f>$B3 * IFERROR(VLOOKUP("transport|PM25|Infant mortality", US_national_yearly!$D:$AM, 28, FALSE) / VLOOKUP("transport|PM25|Infant mortality", US_national_yearly!$D:$AM, 10, FALSE), 1)</f>
        <v>1.5187503192065561E-5</v>
      </c>
      <c r="U3" s="7">
        <f>$B3 * IFERROR(VLOOKUP("transport|PM25|Infant mortality", US_national_yearly!$D:$AM, 29, FALSE) / VLOOKUP("transport|PM25|Infant mortality", US_national_yearly!$D:$AM, 10, FALSE), 1)</f>
        <v>1.5104509453426121E-5</v>
      </c>
      <c r="V3" s="7">
        <f>$B3 * IFERROR(VLOOKUP("transport|PM25|Infant mortality", US_national_yearly!$D:$AM, 30, FALSE) / VLOOKUP("transport|PM25|Infant mortality", US_national_yearly!$D:$AM, 10, FALSE), 1)</f>
        <v>1.5021515714786682E-5</v>
      </c>
      <c r="W3" s="7">
        <f>$B3 * IFERROR(VLOOKUP("transport|PM25|Infant mortality", US_national_yearly!$D:$AM, 31, FALSE) / VLOOKUP("transport|PM25|Infant mortality", US_national_yearly!$D:$AM, 10, FALSE), 1)</f>
        <v>1.493852197614724E-5</v>
      </c>
      <c r="X3" s="7">
        <f>$B3 * IFERROR(VLOOKUP("transport|PM25|Infant mortality", US_national_yearly!$D:$AM, 32, FALSE) / VLOOKUP("transport|PM25|Infant mortality", US_national_yearly!$D:$AM, 10, FALSE), 1)</f>
        <v>1.4849044294675339E-5</v>
      </c>
      <c r="Y3" s="7">
        <f>$B3 * IFERROR(VLOOKUP("transport|PM25|Infant mortality", US_national_yearly!$D:$AM, 33, FALSE) / VLOOKUP("transport|PM25|Infant mortality", US_national_yearly!$D:$AM, 10, FALSE), 1)</f>
        <v>1.4759566613203431E-5</v>
      </c>
      <c r="Z3" s="7">
        <f>$B3 * IFERROR(VLOOKUP("transport|PM25|Infant mortality", US_national_yearly!$D:$AM, 34, FALSE) / VLOOKUP("transport|PM25|Infant mortality", US_national_yearly!$D:$AM, 10, FALSE), 1)</f>
        <v>1.467008893173153E-5</v>
      </c>
      <c r="AA3" s="7">
        <f>$B3 * IFERROR(VLOOKUP("transport|PM25|Infant mortality", US_national_yearly!$D:$AM, 35, FALSE) / VLOOKUP("transport|PM25|Infant mortality", US_national_yearly!$D:$AM, 10, FALSE), 1)</f>
        <v>1.4580611250259625E-5</v>
      </c>
      <c r="AB3" s="7">
        <f>$B3 * IFERROR(VLOOKUP("transport|PM25|Infant mortality", US_national_yearly!$D:$AM, 36, FALSE) / VLOOKUP("transport|PM25|Infant mortality", US_national_yearly!$D:$AM, 10, FALSE), 1)</f>
        <v>1.4491133568787724E-5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5.0717301995735826E-2</v>
      </c>
      <c r="C6" s="7">
        <f>$B6 * IFERROR(VLOOKUP("transport|PM25|Asthma symptoms cough", US_national_yearly!$D:$AM, 11, FALSE) / VLOOKUP("transport|PM25|Asthma symptoms cough", US_national_yearly!$D:$AM, 10, FALSE), 1)</f>
        <v>5.0717301995735826E-2</v>
      </c>
      <c r="D6" s="7">
        <f>$B6 * IFERROR(VLOOKUP("transport|PM25|Asthma symptoms cough", US_national_yearly!$D:$AM, 12, FALSE) / VLOOKUP("transport|PM25|Asthma symptoms cough", US_national_yearly!$D:$AM, 10, FALSE), 1)</f>
        <v>5.0717301995735826E-2</v>
      </c>
      <c r="E6" s="7">
        <f>$B6 * IFERROR(VLOOKUP("transport|PM25|Asthma symptoms cough", US_national_yearly!$D:$AM, 13, FALSE) / VLOOKUP("transport|PM25|Asthma symptoms cough", US_national_yearly!$D:$AM, 10, FALSE), 1)</f>
        <v>5.0717301995735826E-2</v>
      </c>
      <c r="F6" s="7">
        <f>$B6 * IFERROR(VLOOKUP("transport|PM25|Asthma symptoms cough", US_national_yearly!$D:$AM, 14, FALSE) / VLOOKUP("transport|PM25|Asthma symptoms cough", US_national_yearly!$D:$AM, 10, FALSE), 1)</f>
        <v>5.0717301995735826E-2</v>
      </c>
      <c r="G6" s="7">
        <f>$B6 * IFERROR(VLOOKUP("transport|PM25|Asthma symptoms cough", US_national_yearly!$D:$AM, 15, FALSE) / VLOOKUP("transport|PM25|Asthma symptoms cough", US_national_yearly!$D:$AM, 10, FALSE), 1)</f>
        <v>5.0717301995735826E-2</v>
      </c>
      <c r="H6" s="7">
        <f>$B6 * IFERROR(VLOOKUP("transport|PM25|Asthma symptoms cough", US_national_yearly!$D:$AM, 16, FALSE) / VLOOKUP("transport|PM25|Asthma symptoms cough", US_national_yearly!$D:$AM, 10, FALSE), 1)</f>
        <v>5.0717301995735826E-2</v>
      </c>
      <c r="I6" s="7">
        <f>$B6 * IFERROR(VLOOKUP("transport|PM25|Asthma symptoms cough", US_national_yearly!$D:$AM, 17, FALSE) / VLOOKUP("transport|PM25|Asthma symptoms cough", US_national_yearly!$D:$AM, 10, FALSE), 1)</f>
        <v>5.0717301995735826E-2</v>
      </c>
      <c r="J6" s="7">
        <f>$B6 * IFERROR(VLOOKUP("transport|PM25|Asthma symptoms cough", US_national_yearly!$D:$AM, 18, FALSE) / VLOOKUP("transport|PM25|Asthma symptoms cough", US_national_yearly!$D:$AM, 10, FALSE), 1)</f>
        <v>5.0717301995735826E-2</v>
      </c>
      <c r="K6" s="7">
        <f>$B6 * IFERROR(VLOOKUP("transport|PM25|Asthma symptoms cough", US_national_yearly!$D:$AM, 19, FALSE) / VLOOKUP("transport|PM25|Asthma symptoms cough", US_national_yearly!$D:$AM, 10, FALSE), 1)</f>
        <v>5.0717301995735826E-2</v>
      </c>
      <c r="L6" s="7">
        <f>$B6 * IFERROR(VLOOKUP("transport|PM25|Asthma symptoms cough", US_national_yearly!$D:$AM, 20, FALSE) / VLOOKUP("transport|PM25|Asthma symptoms cough", US_national_yearly!$D:$AM, 10, FALSE), 1)</f>
        <v>5.0717301995735826E-2</v>
      </c>
      <c r="M6" s="7">
        <f>$B6 * IFERROR(VLOOKUP("transport|PM25|Asthma symptoms cough", US_national_yearly!$D:$AM, 21, FALSE) / VLOOKUP("transport|PM25|Asthma symptoms cough", US_national_yearly!$D:$AM, 10, FALSE), 1)</f>
        <v>5.0717301995735826E-2</v>
      </c>
      <c r="N6" s="7">
        <f>$B6 * IFERROR(VLOOKUP("transport|PM25|Asthma symptoms cough", US_national_yearly!$D:$AM, 22, FALSE) / VLOOKUP("transport|PM25|Asthma symptoms cough", US_national_yearly!$D:$AM, 10, FALSE), 1)</f>
        <v>5.0717301995735826E-2</v>
      </c>
      <c r="O6" s="7">
        <f>$B6 * IFERROR(VLOOKUP("transport|PM25|Asthma symptoms cough", US_national_yearly!$D:$AM, 23, FALSE) / VLOOKUP("transport|PM25|Asthma symptoms cough", US_national_yearly!$D:$AM, 10, FALSE), 1)</f>
        <v>5.0717301995735826E-2</v>
      </c>
      <c r="P6" s="7">
        <f>$B6 * IFERROR(VLOOKUP("transport|PM25|Asthma symptoms cough", US_national_yearly!$D:$AM, 24, FALSE) / VLOOKUP("transport|PM25|Asthma symptoms cough", US_national_yearly!$D:$AM, 10, FALSE), 1)</f>
        <v>5.0717301995735826E-2</v>
      </c>
      <c r="Q6" s="7">
        <f>$B6 * IFERROR(VLOOKUP("transport|PM25|Asthma symptoms cough", US_national_yearly!$D:$AM, 25, FALSE) / VLOOKUP("transport|PM25|Asthma symptoms cough", US_national_yearly!$D:$AM, 10, FALSE), 1)</f>
        <v>5.0717301995735826E-2</v>
      </c>
      <c r="R6" s="7">
        <f>$B6 * IFERROR(VLOOKUP("transport|PM25|Asthma symptoms cough", US_national_yearly!$D:$AM, 26, FALSE) / VLOOKUP("transport|PM25|Asthma symptoms cough", US_national_yearly!$D:$AM, 10, FALSE), 1)</f>
        <v>5.0717301995735826E-2</v>
      </c>
      <c r="S6" s="7">
        <f>$B6 * IFERROR(VLOOKUP("transport|PM25|Asthma symptoms cough", US_national_yearly!$D:$AM, 27, FALSE) / VLOOKUP("transport|PM25|Asthma symptoms cough", US_national_yearly!$D:$AM, 10, FALSE), 1)</f>
        <v>5.0717301995735826E-2</v>
      </c>
      <c r="T6" s="7">
        <f>$B6 * IFERROR(VLOOKUP("transport|PM25|Asthma symptoms cough", US_national_yearly!$D:$AM, 28, FALSE) / VLOOKUP("transport|PM25|Asthma symptoms cough", US_national_yearly!$D:$AM, 10, FALSE), 1)</f>
        <v>5.0717301995735826E-2</v>
      </c>
      <c r="U6" s="7">
        <f>$B6 * IFERROR(VLOOKUP("transport|PM25|Asthma symptoms cough", US_national_yearly!$D:$AM, 29, FALSE) / VLOOKUP("transport|PM25|Asthma symptoms cough", US_national_yearly!$D:$AM, 10, FALSE), 1)</f>
        <v>5.0717301995735826E-2</v>
      </c>
      <c r="V6" s="7">
        <f>$B6 * IFERROR(VLOOKUP("transport|PM25|Asthma symptoms cough", US_national_yearly!$D:$AM, 30, FALSE) / VLOOKUP("transport|PM25|Asthma symptoms cough", US_national_yearly!$D:$AM, 10, FALSE), 1)</f>
        <v>5.0717301995735826E-2</v>
      </c>
      <c r="W6" s="7">
        <f>$B6 * IFERROR(VLOOKUP("transport|PM25|Asthma symptoms cough", US_national_yearly!$D:$AM, 31, FALSE) / VLOOKUP("transport|PM25|Asthma symptoms cough", US_national_yearly!$D:$AM, 10, FALSE), 1)</f>
        <v>5.0717301995735826E-2</v>
      </c>
      <c r="X6" s="7">
        <f>$B6 * IFERROR(VLOOKUP("transport|PM25|Asthma symptoms cough", US_national_yearly!$D:$AM, 32, FALSE) / VLOOKUP("transport|PM25|Asthma symptoms cough", US_national_yearly!$D:$AM, 10, FALSE), 1)</f>
        <v>5.0717301995735826E-2</v>
      </c>
      <c r="Y6" s="7">
        <f>$B6 * IFERROR(VLOOKUP("transport|PM25|Asthma symptoms cough", US_national_yearly!$D:$AM, 33, FALSE) / VLOOKUP("transport|PM25|Asthma symptoms cough", US_national_yearly!$D:$AM, 10, FALSE), 1)</f>
        <v>5.0717301995735826E-2</v>
      </c>
      <c r="Z6" s="7">
        <f>$B6 * IFERROR(VLOOKUP("transport|PM25|Asthma symptoms cough", US_national_yearly!$D:$AM, 34, FALSE) / VLOOKUP("transport|PM25|Asthma symptoms cough", US_national_yearly!$D:$AM, 10, FALSE), 1)</f>
        <v>5.0717301995735826E-2</v>
      </c>
      <c r="AA6" s="7">
        <f>$B6 * IFERROR(VLOOKUP("transport|PM25|Asthma symptoms cough", US_national_yearly!$D:$AM, 35, FALSE) / VLOOKUP("transport|PM25|Asthma symptoms cough", US_national_yearly!$D:$AM, 10, FALSE), 1)</f>
        <v>5.0717301995735826E-2</v>
      </c>
      <c r="AB6" s="7">
        <f>$B6 * IFERROR(VLOOKUP("transport|PM25|Asthma symptoms cough", US_national_yearly!$D:$AM, 36, FALSE) / VLOOKUP("transport|PM25|Asthma symptoms cough", US_national_yearly!$D:$AM, 10, FALSE), 1)</f>
        <v>5.0717301995735826E-2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6.8297346425122321E-2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6.8297346425122321E-2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6.8297346425122321E-2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6.8297346425122321E-2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6.8297346425122321E-2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6.8297346425122321E-2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6.8297346425122321E-2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6.8297346425122321E-2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6.8297346425122321E-2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6.8297346425122321E-2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6.8297346425122321E-2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6.8297346425122321E-2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6.8297346425122321E-2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6.8297346425122321E-2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6.8297346425122321E-2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6.8297346425122321E-2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6.8297346425122321E-2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6.8297346425122321E-2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6.8297346425122321E-2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6.8297346425122321E-2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6.8297346425122321E-2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6.8297346425122321E-2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6.8297346425122321E-2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6.8297346425122321E-2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6.8297346425122321E-2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6.8297346425122321E-2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6.8297346425122321E-2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0.1043498377876526</v>
      </c>
      <c r="C8" s="7">
        <f>$B8 * IFERROR(VLOOKUP("transport|PM25|Asthma symptoms wheeze", US_national_yearly!$D:$AM, 11, FALSE) / VLOOKUP("transport|PM25|Asthma symptoms wheeze", US_national_yearly!$D:$AM, 10, FALSE), 1)</f>
        <v>0.1043498377876526</v>
      </c>
      <c r="D8" s="7">
        <f>$B8 * IFERROR(VLOOKUP("transport|PM25|Asthma symptoms wheeze", US_national_yearly!$D:$AM, 12, FALSE) / VLOOKUP("transport|PM25|Asthma symptoms wheeze", US_national_yearly!$D:$AM, 10, FALSE), 1)</f>
        <v>0.1043498377876526</v>
      </c>
      <c r="E8" s="7">
        <f>$B8 * IFERROR(VLOOKUP("transport|PM25|Asthma symptoms wheeze", US_national_yearly!$D:$AM, 13, FALSE) / VLOOKUP("transport|PM25|Asthma symptoms wheeze", US_national_yearly!$D:$AM, 10, FALSE), 1)</f>
        <v>0.1043498377876526</v>
      </c>
      <c r="F8" s="7">
        <f>$B8 * IFERROR(VLOOKUP("transport|PM25|Asthma symptoms wheeze", US_national_yearly!$D:$AM, 14, FALSE) / VLOOKUP("transport|PM25|Asthma symptoms wheeze", US_national_yearly!$D:$AM, 10, FALSE), 1)</f>
        <v>0.1043498377876526</v>
      </c>
      <c r="G8" s="7">
        <f>$B8 * IFERROR(VLOOKUP("transport|PM25|Asthma symptoms wheeze", US_national_yearly!$D:$AM, 15, FALSE) / VLOOKUP("transport|PM25|Asthma symptoms wheeze", US_national_yearly!$D:$AM, 10, FALSE), 1)</f>
        <v>0.1043498377876526</v>
      </c>
      <c r="H8" s="7">
        <f>$B8 * IFERROR(VLOOKUP("transport|PM25|Asthma symptoms wheeze", US_national_yearly!$D:$AM, 16, FALSE) / VLOOKUP("transport|PM25|Asthma symptoms wheeze", US_national_yearly!$D:$AM, 10, FALSE), 1)</f>
        <v>0.1043498377876526</v>
      </c>
      <c r="I8" s="7">
        <f>$B8 * IFERROR(VLOOKUP("transport|PM25|Asthma symptoms wheeze", US_national_yearly!$D:$AM, 17, FALSE) / VLOOKUP("transport|PM25|Asthma symptoms wheeze", US_national_yearly!$D:$AM, 10, FALSE), 1)</f>
        <v>0.1043498377876526</v>
      </c>
      <c r="J8" s="7">
        <f>$B8 * IFERROR(VLOOKUP("transport|PM25|Asthma symptoms wheeze", US_national_yearly!$D:$AM, 18, FALSE) / VLOOKUP("transport|PM25|Asthma symptoms wheeze", US_national_yearly!$D:$AM, 10, FALSE), 1)</f>
        <v>0.1043498377876526</v>
      </c>
      <c r="K8" s="7">
        <f>$B8 * IFERROR(VLOOKUP("transport|PM25|Asthma symptoms wheeze", US_national_yearly!$D:$AM, 19, FALSE) / VLOOKUP("transport|PM25|Asthma symptoms wheeze", US_national_yearly!$D:$AM, 10, FALSE), 1)</f>
        <v>0.1043498377876526</v>
      </c>
      <c r="L8" s="7">
        <f>$B8 * IFERROR(VLOOKUP("transport|PM25|Asthma symptoms wheeze", US_national_yearly!$D:$AM, 20, FALSE) / VLOOKUP("transport|PM25|Asthma symptoms wheeze", US_national_yearly!$D:$AM, 10, FALSE), 1)</f>
        <v>0.1043498377876526</v>
      </c>
      <c r="M8" s="7">
        <f>$B8 * IFERROR(VLOOKUP("transport|PM25|Asthma symptoms wheeze", US_national_yearly!$D:$AM, 21, FALSE) / VLOOKUP("transport|PM25|Asthma symptoms wheeze", US_national_yearly!$D:$AM, 10, FALSE), 1)</f>
        <v>0.1043498377876526</v>
      </c>
      <c r="N8" s="7">
        <f>$B8 * IFERROR(VLOOKUP("transport|PM25|Asthma symptoms wheeze", US_national_yearly!$D:$AM, 22, FALSE) / VLOOKUP("transport|PM25|Asthma symptoms wheeze", US_national_yearly!$D:$AM, 10, FALSE), 1)</f>
        <v>0.1043498377876526</v>
      </c>
      <c r="O8" s="7">
        <f>$B8 * IFERROR(VLOOKUP("transport|PM25|Asthma symptoms wheeze", US_national_yearly!$D:$AM, 23, FALSE) / VLOOKUP("transport|PM25|Asthma symptoms wheeze", US_national_yearly!$D:$AM, 10, FALSE), 1)</f>
        <v>0.1043498377876526</v>
      </c>
      <c r="P8" s="7">
        <f>$B8 * IFERROR(VLOOKUP("transport|PM25|Asthma symptoms wheeze", US_national_yearly!$D:$AM, 24, FALSE) / VLOOKUP("transport|PM25|Asthma symptoms wheeze", US_national_yearly!$D:$AM, 10, FALSE), 1)</f>
        <v>0.1043498377876526</v>
      </c>
      <c r="Q8" s="7">
        <f>$B8 * IFERROR(VLOOKUP("transport|PM25|Asthma symptoms wheeze", US_national_yearly!$D:$AM, 25, FALSE) / VLOOKUP("transport|PM25|Asthma symptoms wheeze", US_national_yearly!$D:$AM, 10, FALSE), 1)</f>
        <v>0.1043498377876526</v>
      </c>
      <c r="R8" s="7">
        <f>$B8 * IFERROR(VLOOKUP("transport|PM25|Asthma symptoms wheeze", US_national_yearly!$D:$AM, 26, FALSE) / VLOOKUP("transport|PM25|Asthma symptoms wheeze", US_national_yearly!$D:$AM, 10, FALSE), 1)</f>
        <v>0.1043498377876526</v>
      </c>
      <c r="S8" s="7">
        <f>$B8 * IFERROR(VLOOKUP("transport|PM25|Asthma symptoms wheeze", US_national_yearly!$D:$AM, 27, FALSE) / VLOOKUP("transport|PM25|Asthma symptoms wheeze", US_national_yearly!$D:$AM, 10, FALSE), 1)</f>
        <v>0.1043498377876526</v>
      </c>
      <c r="T8" s="7">
        <f>$B8 * IFERROR(VLOOKUP("transport|PM25|Asthma symptoms wheeze", US_national_yearly!$D:$AM, 28, FALSE) / VLOOKUP("transport|PM25|Asthma symptoms wheeze", US_national_yearly!$D:$AM, 10, FALSE), 1)</f>
        <v>0.1043498377876526</v>
      </c>
      <c r="U8" s="7">
        <f>$B8 * IFERROR(VLOOKUP("transport|PM25|Asthma symptoms wheeze", US_national_yearly!$D:$AM, 29, FALSE) / VLOOKUP("transport|PM25|Asthma symptoms wheeze", US_national_yearly!$D:$AM, 10, FALSE), 1)</f>
        <v>0.1043498377876526</v>
      </c>
      <c r="V8" s="7">
        <f>$B8 * IFERROR(VLOOKUP("transport|PM25|Asthma symptoms wheeze", US_national_yearly!$D:$AM, 30, FALSE) / VLOOKUP("transport|PM25|Asthma symptoms wheeze", US_national_yearly!$D:$AM, 10, FALSE), 1)</f>
        <v>0.1043498377876526</v>
      </c>
      <c r="W8" s="7">
        <f>$B8 * IFERROR(VLOOKUP("transport|PM25|Asthma symptoms wheeze", US_national_yearly!$D:$AM, 31, FALSE) / VLOOKUP("transport|PM25|Asthma symptoms wheeze", US_national_yearly!$D:$AM, 10, FALSE), 1)</f>
        <v>0.1043498377876526</v>
      </c>
      <c r="X8" s="7">
        <f>$B8 * IFERROR(VLOOKUP("transport|PM25|Asthma symptoms wheeze", US_national_yearly!$D:$AM, 32, FALSE) / VLOOKUP("transport|PM25|Asthma symptoms wheeze", US_national_yearly!$D:$AM, 10, FALSE), 1)</f>
        <v>0.1043498377876526</v>
      </c>
      <c r="Y8" s="7">
        <f>$B8 * IFERROR(VLOOKUP("transport|PM25|Asthma symptoms wheeze", US_national_yearly!$D:$AM, 33, FALSE) / VLOOKUP("transport|PM25|Asthma symptoms wheeze", US_national_yearly!$D:$AM, 10, FALSE), 1)</f>
        <v>0.1043498377876526</v>
      </c>
      <c r="Z8" s="7">
        <f>$B8 * IFERROR(VLOOKUP("transport|PM25|Asthma symptoms wheeze", US_national_yearly!$D:$AM, 34, FALSE) / VLOOKUP("transport|PM25|Asthma symptoms wheeze", US_national_yearly!$D:$AM, 10, FALSE), 1)</f>
        <v>0.1043498377876526</v>
      </c>
      <c r="AA8" s="7">
        <f>$B8 * IFERROR(VLOOKUP("transport|PM25|Asthma symptoms wheeze", US_national_yearly!$D:$AM, 35, FALSE) / VLOOKUP("transport|PM25|Asthma symptoms wheeze", US_national_yearly!$D:$AM, 10, FALSE), 1)</f>
        <v>0.1043498377876526</v>
      </c>
      <c r="AB8" s="7">
        <f>$B8 * IFERROR(VLOOKUP("transport|PM25|Asthma symptoms wheeze", US_national_yearly!$D:$AM, 36, FALSE) / VLOOKUP("transport|PM25|Asthma symptoms wheeze", US_national_yearly!$D:$AM, 10, FALSE), 1)</f>
        <v>0.1043498377876526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1.1118039974453273E-3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1.1181764098383529E-3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1.1245488222313784E-3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1.1309212346244041E-3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1.1372936470174296E-3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1.1441761242189047E-3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1.1510586014203798E-3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1.1576345468969091E-3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1.1642104923734388E-3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1.1707864378499686E-3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1.1773623833264983E-3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1.1839383288030278E-3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1.1886580767696497E-3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1.1933778247362713E-3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1.1980975727028927E-3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1.2028173206695143E-3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1.2075370686361361E-3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1.2120308906114971E-3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1.2165247125868581E-3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1.2210185345622189E-3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1.2255123565375796E-3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1.2300061785129404E-3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1.2343292925771955E-3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1.2386524066414501E-3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1.2429755207057048E-3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1.2472986347699595E-3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1.2516217488342141E-3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6.8049526484421806E-3</v>
      </c>
      <c r="C13" s="7">
        <f>$B13 * IFERROR(VLOOKUP("transport|PM25|Non-fatal heart attacks", US_national_yearly!$D:$AM, 11, FALSE) / VLOOKUP("transport|PM25|Non-fatal heart attacks", US_national_yearly!$D:$AM, 10, FALSE), 1)</f>
        <v>7.0027906802099553E-3</v>
      </c>
      <c r="D13" s="7">
        <f>$B13 * IFERROR(VLOOKUP("transport|PM25|Non-fatal heart attacks", US_national_yearly!$D:$AM, 12, FALSE) / VLOOKUP("transport|PM25|Non-fatal heart attacks", US_national_yearly!$D:$AM, 10, FALSE), 1)</f>
        <v>7.20062871197773E-3</v>
      </c>
      <c r="E13" s="7">
        <f>$B13 * IFERROR(VLOOKUP("transport|PM25|Non-fatal heart attacks", US_national_yearly!$D:$AM, 13, FALSE) / VLOOKUP("transport|PM25|Non-fatal heart attacks", US_national_yearly!$D:$AM, 10, FALSE), 1)</f>
        <v>7.3984667437455029E-3</v>
      </c>
      <c r="F13" s="7">
        <f>$B13 * IFERROR(VLOOKUP("transport|PM25|Non-fatal heart attacks", US_national_yearly!$D:$AM, 14, FALSE) / VLOOKUP("transport|PM25|Non-fatal heart attacks", US_national_yearly!$D:$AM, 10, FALSE), 1)</f>
        <v>7.5963047755132785E-3</v>
      </c>
      <c r="G13" s="7">
        <f>$B13 * IFERROR(VLOOKUP("transport|PM25|Non-fatal heart attacks", US_national_yearly!$D:$AM, 15, FALSE) / VLOOKUP("transport|PM25|Non-fatal heart attacks", US_national_yearly!$D:$AM, 10, FALSE), 1)</f>
        <v>7.7828785465481817E-3</v>
      </c>
      <c r="H13" s="7">
        <f>$B13 * IFERROR(VLOOKUP("transport|PM25|Non-fatal heart attacks", US_national_yearly!$D:$AM, 16, FALSE) / VLOOKUP("transport|PM25|Non-fatal heart attacks", US_national_yearly!$D:$AM, 10, FALSE), 1)</f>
        <v>7.9694523175830832E-3</v>
      </c>
      <c r="I13" s="7">
        <f>$B13 * IFERROR(VLOOKUP("transport|PM25|Non-fatal heart attacks", US_national_yearly!$D:$AM, 17, FALSE) / VLOOKUP("transport|PM25|Non-fatal heart attacks", US_national_yearly!$D:$AM, 10, FALSE), 1)</f>
        <v>8.119395546138922E-3</v>
      </c>
      <c r="J13" s="7">
        <f>$B13 * IFERROR(VLOOKUP("transport|PM25|Non-fatal heart attacks", US_national_yearly!$D:$AM, 18, FALSE) / VLOOKUP("transport|PM25|Non-fatal heart attacks", US_national_yearly!$D:$AM, 10, FALSE), 1)</f>
        <v>8.2693387746947591E-3</v>
      </c>
      <c r="K13" s="7">
        <f>$B13 * IFERROR(VLOOKUP("transport|PM25|Non-fatal heart attacks", US_national_yearly!$D:$AM, 19, FALSE) / VLOOKUP("transport|PM25|Non-fatal heart attacks", US_national_yearly!$D:$AM, 10, FALSE), 1)</f>
        <v>8.4192820032505996E-3</v>
      </c>
      <c r="L13" s="7">
        <f>$B13 * IFERROR(VLOOKUP("transport|PM25|Non-fatal heart attacks", US_national_yearly!$D:$AM, 20, FALSE) / VLOOKUP("transport|PM25|Non-fatal heart attacks", US_national_yearly!$D:$AM, 10, FALSE), 1)</f>
        <v>8.5692252318064367E-3</v>
      </c>
      <c r="M13" s="7">
        <f>$B13 * IFERROR(VLOOKUP("transport|PM25|Non-fatal heart attacks", US_national_yearly!$D:$AM, 21, FALSE) / VLOOKUP("transport|PM25|Non-fatal heart attacks", US_national_yearly!$D:$AM, 10, FALSE), 1)</f>
        <v>8.7191684603622754E-3</v>
      </c>
      <c r="N13" s="7">
        <f>$B13 * IFERROR(VLOOKUP("transport|PM25|Non-fatal heart attacks", US_national_yearly!$D:$AM, 22, FALSE) / VLOOKUP("transport|PM25|Non-fatal heart attacks", US_national_yearly!$D:$AM, 10, FALSE), 1)</f>
        <v>8.8158670365647632E-3</v>
      </c>
      <c r="O13" s="7">
        <f>$B13 * IFERROR(VLOOKUP("transport|PM25|Non-fatal heart attacks", US_national_yearly!$D:$AM, 23, FALSE) / VLOOKUP("transport|PM25|Non-fatal heart attacks", US_national_yearly!$D:$AM, 10, FALSE), 1)</f>
        <v>8.9125656127672526E-3</v>
      </c>
      <c r="P13" s="7">
        <f>$B13 * IFERROR(VLOOKUP("transport|PM25|Non-fatal heart attacks", US_national_yearly!$D:$AM, 24, FALSE) / VLOOKUP("transport|PM25|Non-fatal heart attacks", US_national_yearly!$D:$AM, 10, FALSE), 1)</f>
        <v>9.0092641889697404E-3</v>
      </c>
      <c r="Q13" s="7">
        <f>$B13 * IFERROR(VLOOKUP("transport|PM25|Non-fatal heart attacks", US_national_yearly!$D:$AM, 25, FALSE) / VLOOKUP("transport|PM25|Non-fatal heart attacks", US_national_yearly!$D:$AM, 10, FALSE), 1)</f>
        <v>9.1059627651722281E-3</v>
      </c>
      <c r="R13" s="7">
        <f>$B13 * IFERROR(VLOOKUP("transport|PM25|Non-fatal heart attacks", US_national_yearly!$D:$AM, 26, FALSE) / VLOOKUP("transport|PM25|Non-fatal heart attacks", US_national_yearly!$D:$AM, 10, FALSE), 1)</f>
        <v>9.2026613413747176E-3</v>
      </c>
      <c r="S13" s="7">
        <f>$B13 * IFERROR(VLOOKUP("transport|PM25|Non-fatal heart attacks", US_national_yearly!$D:$AM, 27, FALSE) / VLOOKUP("transport|PM25|Non-fatal heart attacks", US_national_yearly!$D:$AM, 10, FALSE), 1)</f>
        <v>9.2535855742601862E-3</v>
      </c>
      <c r="T13" s="7">
        <f>$B13 * IFERROR(VLOOKUP("transport|PM25|Non-fatal heart attacks", US_national_yearly!$D:$AM, 28, FALSE) / VLOOKUP("transport|PM25|Non-fatal heart attacks", US_national_yearly!$D:$AM, 10, FALSE), 1)</f>
        <v>9.3045098071456566E-3</v>
      </c>
      <c r="U13" s="7">
        <f>$B13 * IFERROR(VLOOKUP("transport|PM25|Non-fatal heart attacks", US_national_yearly!$D:$AM, 29, FALSE) / VLOOKUP("transport|PM25|Non-fatal heart attacks", US_national_yearly!$D:$AM, 10, FALSE), 1)</f>
        <v>9.3554340400311287E-3</v>
      </c>
      <c r="V13" s="7">
        <f>$B13 * IFERROR(VLOOKUP("transport|PM25|Non-fatal heart attacks", US_national_yearly!$D:$AM, 30, FALSE) / VLOOKUP("transport|PM25|Non-fatal heart attacks", US_national_yearly!$D:$AM, 10, FALSE), 1)</f>
        <v>9.4063582729165974E-3</v>
      </c>
      <c r="W13" s="7">
        <f>$B13 * IFERROR(VLOOKUP("transport|PM25|Non-fatal heart attacks", US_national_yearly!$D:$AM, 31, FALSE) / VLOOKUP("transport|PM25|Non-fatal heart attacks", US_national_yearly!$D:$AM, 10, FALSE), 1)</f>
        <v>9.4572825058020678E-3</v>
      </c>
      <c r="X13" s="7">
        <f>$B13 * IFERROR(VLOOKUP("transport|PM25|Non-fatal heart attacks", US_national_yearly!$D:$AM, 32, FALSE) / VLOOKUP("transport|PM25|Non-fatal heart attacks", US_national_yearly!$D:$AM, 10, FALSE), 1)</f>
        <v>9.4959413620548799E-3</v>
      </c>
      <c r="Y13" s="7">
        <f>$B13 * IFERROR(VLOOKUP("transport|PM25|Non-fatal heart attacks", US_national_yearly!$D:$AM, 33, FALSE) / VLOOKUP("transport|PM25|Non-fatal heart attacks", US_national_yearly!$D:$AM, 10, FALSE), 1)</f>
        <v>9.5346002183076938E-3</v>
      </c>
      <c r="Z13" s="7">
        <f>$B13 * IFERROR(VLOOKUP("transport|PM25|Non-fatal heart attacks", US_national_yearly!$D:$AM, 34, FALSE) / VLOOKUP("transport|PM25|Non-fatal heart attacks", US_national_yearly!$D:$AM, 10, FALSE), 1)</f>
        <v>9.573259074560506E-3</v>
      </c>
      <c r="AA13" s="7">
        <f>$B13 * IFERROR(VLOOKUP("transport|PM25|Non-fatal heart attacks", US_national_yearly!$D:$AM, 35, FALSE) / VLOOKUP("transport|PM25|Non-fatal heart attacks", US_national_yearly!$D:$AM, 10, FALSE), 1)</f>
        <v>9.6119179308133199E-3</v>
      </c>
      <c r="AB13" s="7">
        <f>$B13 * IFERROR(VLOOKUP("transport|PM25|Non-fatal heart attacks", US_national_yearly!$D:$AM, 36, FALSE) / VLOOKUP("transport|PM25|Non-fatal heart attacks", US_national_yearly!$D:$AM, 10, FALSE), 1)</f>
        <v>9.650576787066132E-3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6.2318212047074812</v>
      </c>
      <c r="C14" s="7">
        <f>$B14 * IFERROR(VLOOKUP("transport|PM25|Minor restricted activity days", US_national_yearly!$D:$AM, 11, FALSE) / VLOOKUP("transport|PM25|Minor restricted activity days", US_national_yearly!$D:$AM, 10, FALSE), 1)</f>
        <v>6.2470400511265618</v>
      </c>
      <c r="D14" s="7">
        <f>$B14 * IFERROR(VLOOKUP("transport|PM25|Minor restricted activity days", US_national_yearly!$D:$AM, 12, FALSE) / VLOOKUP("transport|PM25|Minor restricted activity days", US_national_yearly!$D:$AM, 10, FALSE), 1)</f>
        <v>6.2622588975456415</v>
      </c>
      <c r="E14" s="7">
        <f>$B14 * IFERROR(VLOOKUP("transport|PM25|Minor restricted activity days", US_national_yearly!$D:$AM, 13, FALSE) / VLOOKUP("transport|PM25|Minor restricted activity days", US_national_yearly!$D:$AM, 10, FALSE), 1)</f>
        <v>6.2774777439647229</v>
      </c>
      <c r="F14" s="7">
        <f>$B14 * IFERROR(VLOOKUP("transport|PM25|Minor restricted activity days", US_national_yearly!$D:$AM, 14, FALSE) / VLOOKUP("transport|PM25|Minor restricted activity days", US_national_yearly!$D:$AM, 10, FALSE), 1)</f>
        <v>6.2926965903838026</v>
      </c>
      <c r="G14" s="7">
        <f>$B14 * IFERROR(VLOOKUP("transport|PM25|Minor restricted activity days", US_national_yearly!$D:$AM, 15, FALSE) / VLOOKUP("transport|PM25|Minor restricted activity days", US_national_yearly!$D:$AM, 10, FALSE), 1)</f>
        <v>6.3151515428145508</v>
      </c>
      <c r="H14" s="7">
        <f>$B14 * IFERROR(VLOOKUP("transport|PM25|Minor restricted activity days", US_national_yearly!$D:$AM, 16, FALSE) / VLOOKUP("transport|PM25|Minor restricted activity days", US_national_yearly!$D:$AM, 10, FALSE), 1)</f>
        <v>6.3376064952453</v>
      </c>
      <c r="I14" s="7">
        <f>$B14 * IFERROR(VLOOKUP("transport|PM25|Minor restricted activity days", US_national_yearly!$D:$AM, 17, FALSE) / VLOOKUP("transport|PM25|Minor restricted activity days", US_national_yearly!$D:$AM, 10, FALSE), 1)</f>
        <v>6.3759941811241685</v>
      </c>
      <c r="J14" s="7">
        <f>$B14 * IFERROR(VLOOKUP("transport|PM25|Minor restricted activity days", US_national_yearly!$D:$AM, 18, FALSE) / VLOOKUP("transport|PM25|Minor restricted activity days", US_national_yearly!$D:$AM, 10, FALSE), 1)</f>
        <v>6.4143818670030344</v>
      </c>
      <c r="K14" s="7">
        <f>$B14 * IFERROR(VLOOKUP("transport|PM25|Minor restricted activity days", US_national_yearly!$D:$AM, 19, FALSE) / VLOOKUP("transport|PM25|Minor restricted activity days", US_national_yearly!$D:$AM, 10, FALSE), 1)</f>
        <v>6.4527695528819029</v>
      </c>
      <c r="L14" s="7">
        <f>$B14 * IFERROR(VLOOKUP("transport|PM25|Minor restricted activity days", US_national_yearly!$D:$AM, 20, FALSE) / VLOOKUP("transport|PM25|Minor restricted activity days", US_national_yearly!$D:$AM, 10, FALSE), 1)</f>
        <v>6.4911572387607697</v>
      </c>
      <c r="M14" s="7">
        <f>$B14 * IFERROR(VLOOKUP("transport|PM25|Minor restricted activity days", US_national_yearly!$D:$AM, 21, FALSE) / VLOOKUP("transport|PM25|Minor restricted activity days", US_national_yearly!$D:$AM, 10, FALSE), 1)</f>
        <v>6.5295449246396373</v>
      </c>
      <c r="N14" s="7">
        <f>$B14 * IFERROR(VLOOKUP("transport|PM25|Minor restricted activity days", US_national_yearly!$D:$AM, 22, FALSE) / VLOOKUP("transport|PM25|Minor restricted activity days", US_national_yearly!$D:$AM, 10, FALSE), 1)</f>
        <v>6.5818365957813212</v>
      </c>
      <c r="O14" s="7">
        <f>$B14 * IFERROR(VLOOKUP("transport|PM25|Minor restricted activity days", US_national_yearly!$D:$AM, 23, FALSE) / VLOOKUP("transport|PM25|Minor restricted activity days", US_national_yearly!$D:$AM, 10, FALSE), 1)</f>
        <v>6.6341282669230033</v>
      </c>
      <c r="P14" s="7">
        <f>$B14 * IFERROR(VLOOKUP("transport|PM25|Minor restricted activity days", US_national_yearly!$D:$AM, 24, FALSE) / VLOOKUP("transport|PM25|Minor restricted activity days", US_national_yearly!$D:$AM, 10, FALSE), 1)</f>
        <v>6.6864199380646872</v>
      </c>
      <c r="Q14" s="7">
        <f>$B14 * IFERROR(VLOOKUP("transport|PM25|Minor restricted activity days", US_national_yearly!$D:$AM, 25, FALSE) / VLOOKUP("transport|PM25|Minor restricted activity days", US_national_yearly!$D:$AM, 10, FALSE), 1)</f>
        <v>6.7387116092063692</v>
      </c>
      <c r="R14" s="7">
        <f>$B14 * IFERROR(VLOOKUP("transport|PM25|Minor restricted activity days", US_national_yearly!$D:$AM, 26, FALSE) / VLOOKUP("transport|PM25|Minor restricted activity days", US_national_yearly!$D:$AM, 10, FALSE), 1)</f>
        <v>6.7910032803480513</v>
      </c>
      <c r="S14" s="7">
        <f>$B14 * IFERROR(VLOOKUP("transport|PM25|Minor restricted activity days", US_national_yearly!$D:$AM, 27, FALSE) / VLOOKUP("transport|PM25|Minor restricted activity days", US_national_yearly!$D:$AM, 10, FALSE), 1)</f>
        <v>6.8436550670939837</v>
      </c>
      <c r="T14" s="7">
        <f>$B14 * IFERROR(VLOOKUP("transport|PM25|Minor restricted activity days", US_national_yearly!$D:$AM, 28, FALSE) / VLOOKUP("transport|PM25|Minor restricted activity days", US_national_yearly!$D:$AM, 10, FALSE), 1)</f>
        <v>6.8963068538399162</v>
      </c>
      <c r="U14" s="7">
        <f>$B14 * IFERROR(VLOOKUP("transport|PM25|Minor restricted activity days", US_national_yearly!$D:$AM, 29, FALSE) / VLOOKUP("transport|PM25|Minor restricted activity days", US_national_yearly!$D:$AM, 10, FALSE), 1)</f>
        <v>6.9489586405858486</v>
      </c>
      <c r="V14" s="7">
        <f>$B14 * IFERROR(VLOOKUP("transport|PM25|Minor restricted activity days", US_national_yearly!$D:$AM, 30, FALSE) / VLOOKUP("transport|PM25|Minor restricted activity days", US_national_yearly!$D:$AM, 10, FALSE), 1)</f>
        <v>7.0016104273317818</v>
      </c>
      <c r="W14" s="7">
        <f>$B14 * IFERROR(VLOOKUP("transport|PM25|Minor restricted activity days", US_national_yearly!$D:$AM, 31, FALSE) / VLOOKUP("transport|PM25|Minor restricted activity days", US_national_yearly!$D:$AM, 10, FALSE), 1)</f>
        <v>7.0542622140777143</v>
      </c>
      <c r="X14" s="7">
        <f>$B14 * IFERROR(VLOOKUP("transport|PM25|Minor restricted activity days", US_national_yearly!$D:$AM, 32, FALSE) / VLOOKUP("transport|PM25|Minor restricted activity days", US_national_yearly!$D:$AM, 10, FALSE), 1)</f>
        <v>7.0999692618437091</v>
      </c>
      <c r="Y14" s="7">
        <f>$B14 * IFERROR(VLOOKUP("transport|PM25|Minor restricted activity days", US_national_yearly!$D:$AM, 33, FALSE) / VLOOKUP("transport|PM25|Minor restricted activity days", US_national_yearly!$D:$AM, 10, FALSE), 1)</f>
        <v>7.145676309609704</v>
      </c>
      <c r="Z14" s="7">
        <f>$B14 * IFERROR(VLOOKUP("transport|PM25|Minor restricted activity days", US_national_yearly!$D:$AM, 34, FALSE) / VLOOKUP("transport|PM25|Minor restricted activity days", US_national_yearly!$D:$AM, 10, FALSE), 1)</f>
        <v>7.1913833573756989</v>
      </c>
      <c r="AA14" s="7">
        <f>$B14 * IFERROR(VLOOKUP("transport|PM25|Minor restricted activity days", US_national_yearly!$D:$AM, 35, FALSE) / VLOOKUP("transport|PM25|Minor restricted activity days", US_national_yearly!$D:$AM, 10, FALSE), 1)</f>
        <v>7.2370904051416929</v>
      </c>
      <c r="AB14" s="7">
        <f>$B14 * IFERROR(VLOOKUP("transport|PM25|Minor restricted activity days", US_national_yearly!$D:$AM, 36, FALSE) / VLOOKUP("transport|PM25|Minor restricted activity days", US_national_yearly!$D:$AM, 10, FALSE), 1)</f>
        <v>7.2827974529076878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1.0604801110045579</v>
      </c>
      <c r="C15" s="7">
        <f>$B15 * IFERROR(VLOOKUP("transport|PM25|Work loss days", US_national_yearly!$D:$AM, 11, FALSE) / VLOOKUP("transport|PM25|Work loss days", US_national_yearly!$D:$AM, 10, FALSE), 1)</f>
        <v>1.063767217394707</v>
      </c>
      <c r="D15" s="7">
        <f>$B15 * IFERROR(VLOOKUP("transport|PM25|Work loss days", US_national_yearly!$D:$AM, 12, FALSE) / VLOOKUP("transport|PM25|Work loss days", US_national_yearly!$D:$AM, 10, FALSE), 1)</f>
        <v>1.0670543237848564</v>
      </c>
      <c r="E15" s="7">
        <f>$B15 * IFERROR(VLOOKUP("transport|PM25|Work loss days", US_national_yearly!$D:$AM, 13, FALSE) / VLOOKUP("transport|PM25|Work loss days", US_national_yearly!$D:$AM, 10, FALSE), 1)</f>
        <v>1.0703414301750056</v>
      </c>
      <c r="F15" s="7">
        <f>$B15 * IFERROR(VLOOKUP("transport|PM25|Work loss days", US_national_yearly!$D:$AM, 14, FALSE) / VLOOKUP("transport|PM25|Work loss days", US_national_yearly!$D:$AM, 10, FALSE), 1)</f>
        <v>1.0736285365651546</v>
      </c>
      <c r="G15" s="7">
        <f>$B15 * IFERROR(VLOOKUP("transport|PM25|Work loss days", US_national_yearly!$D:$AM, 15, FALSE) / VLOOKUP("transport|PM25|Work loss days", US_national_yearly!$D:$AM, 10, FALSE), 1)</f>
        <v>1.0779381427960517</v>
      </c>
      <c r="H15" s="7">
        <f>$B15 * IFERROR(VLOOKUP("transport|PM25|Work loss days", US_national_yearly!$D:$AM, 16, FALSE) / VLOOKUP("transport|PM25|Work loss days", US_national_yearly!$D:$AM, 10, FALSE), 1)</f>
        <v>1.0822477490269489</v>
      </c>
      <c r="I15" s="7">
        <f>$B15 * IFERROR(VLOOKUP("transport|PM25|Work loss days", US_national_yearly!$D:$AM, 17, FALSE) / VLOOKUP("transport|PM25|Work loss days", US_national_yearly!$D:$AM, 10, FALSE), 1)</f>
        <v>1.088594118193589</v>
      </c>
      <c r="J15" s="7">
        <f>$B15 * IFERROR(VLOOKUP("transport|PM25|Work loss days", US_national_yearly!$D:$AM, 18, FALSE) / VLOOKUP("transport|PM25|Work loss days", US_national_yearly!$D:$AM, 10, FALSE), 1)</f>
        <v>1.0949404873602293</v>
      </c>
      <c r="K15" s="7">
        <f>$B15 * IFERROR(VLOOKUP("transport|PM25|Work loss days", US_national_yearly!$D:$AM, 19, FALSE) / VLOOKUP("transport|PM25|Work loss days", US_national_yearly!$D:$AM, 10, FALSE), 1)</f>
        <v>1.1012868565268694</v>
      </c>
      <c r="L15" s="7">
        <f>$B15 * IFERROR(VLOOKUP("transport|PM25|Work loss days", US_national_yearly!$D:$AM, 20, FALSE) / VLOOKUP("transport|PM25|Work loss days", US_national_yearly!$D:$AM, 10, FALSE), 1)</f>
        <v>1.1076332256935095</v>
      </c>
      <c r="M15" s="7">
        <f>$B15 * IFERROR(VLOOKUP("transport|PM25|Work loss days", US_national_yearly!$D:$AM, 21, FALSE) / VLOOKUP("transport|PM25|Work loss days", US_national_yearly!$D:$AM, 10, FALSE), 1)</f>
        <v>1.1139795948601499</v>
      </c>
      <c r="N15" s="7">
        <f>$B15 * IFERROR(VLOOKUP("transport|PM25|Work loss days", US_national_yearly!$D:$AM, 22, FALSE) / VLOOKUP("transport|PM25|Work loss days", US_national_yearly!$D:$AM, 10, FALSE), 1)</f>
        <v>1.12196698080544</v>
      </c>
      <c r="O15" s="7">
        <f>$B15 * IFERROR(VLOOKUP("transport|PM25|Work loss days", US_national_yearly!$D:$AM, 23, FALSE) / VLOOKUP("transport|PM25|Work loss days", US_national_yearly!$D:$AM, 10, FALSE), 1)</f>
        <v>1.1299543667507299</v>
      </c>
      <c r="P15" s="7">
        <f>$B15 * IFERROR(VLOOKUP("transport|PM25|Work loss days", US_national_yearly!$D:$AM, 24, FALSE) / VLOOKUP("transport|PM25|Work loss days", US_national_yearly!$D:$AM, 10, FALSE), 1)</f>
        <v>1.13794175269602</v>
      </c>
      <c r="Q15" s="7">
        <f>$B15 * IFERROR(VLOOKUP("transport|PM25|Work loss days", US_national_yearly!$D:$AM, 25, FALSE) / VLOOKUP("transport|PM25|Work loss days", US_national_yearly!$D:$AM, 10, FALSE), 1)</f>
        <v>1.14592913864131</v>
      </c>
      <c r="R15" s="7">
        <f>$B15 * IFERROR(VLOOKUP("transport|PM25|Work loss days", US_national_yearly!$D:$AM, 26, FALSE) / VLOOKUP("transport|PM25|Work loss days", US_national_yearly!$D:$AM, 10, FALSE), 1)</f>
        <v>1.1539165245866001</v>
      </c>
      <c r="S15" s="7">
        <f>$B15 * IFERROR(VLOOKUP("transport|PM25|Work loss days", US_national_yearly!$D:$AM, 27, FALSE) / VLOOKUP("transport|PM25|Work loss days", US_national_yearly!$D:$AM, 10, FALSE), 1)</f>
        <v>1.1627509144511781</v>
      </c>
      <c r="T15" s="7">
        <f>$B15 * IFERROR(VLOOKUP("transport|PM25|Work loss days", US_national_yearly!$D:$AM, 28, FALSE) / VLOOKUP("transport|PM25|Work loss days", US_national_yearly!$D:$AM, 10, FALSE), 1)</f>
        <v>1.1715853043157562</v>
      </c>
      <c r="U15" s="7">
        <f>$B15 * IFERROR(VLOOKUP("transport|PM25|Work loss days", US_national_yearly!$D:$AM, 29, FALSE) / VLOOKUP("transport|PM25|Work loss days", US_national_yearly!$D:$AM, 10, FALSE), 1)</f>
        <v>1.180419694180334</v>
      </c>
      <c r="V15" s="7">
        <f>$B15 * IFERROR(VLOOKUP("transport|PM25|Work loss days", US_national_yearly!$D:$AM, 30, FALSE) / VLOOKUP("transport|PM25|Work loss days", US_national_yearly!$D:$AM, 10, FALSE), 1)</f>
        <v>1.1892540840449122</v>
      </c>
      <c r="W15" s="7">
        <f>$B15 * IFERROR(VLOOKUP("transport|PM25|Work loss days", US_national_yearly!$D:$AM, 31, FALSE) / VLOOKUP("transport|PM25|Work loss days", US_national_yearly!$D:$AM, 10, FALSE), 1)</f>
        <v>1.1980884739094901</v>
      </c>
      <c r="X15" s="7">
        <f>$B15 * IFERROR(VLOOKUP("transport|PM25|Work loss days", US_national_yearly!$D:$AM, 32, FALSE) / VLOOKUP("transport|PM25|Work loss days", US_national_yearly!$D:$AM, 10, FALSE), 1)</f>
        <v>1.2059269603863187</v>
      </c>
      <c r="Y15" s="7">
        <f>$B15 * IFERROR(VLOOKUP("transport|PM25|Work loss days", US_national_yearly!$D:$AM, 33, FALSE) / VLOOKUP("transport|PM25|Work loss days", US_national_yearly!$D:$AM, 10, FALSE), 1)</f>
        <v>1.2137654468631476</v>
      </c>
      <c r="Z15" s="7">
        <f>$B15 * IFERROR(VLOOKUP("transport|PM25|Work loss days", US_national_yearly!$D:$AM, 34, FALSE) / VLOOKUP("transport|PM25|Work loss days", US_national_yearly!$D:$AM, 10, FALSE), 1)</f>
        <v>1.2216039333399764</v>
      </c>
      <c r="AA15" s="7">
        <f>$B15 * IFERROR(VLOOKUP("transport|PM25|Work loss days", US_national_yearly!$D:$AM, 35, FALSE) / VLOOKUP("transport|PM25|Work loss days", US_national_yearly!$D:$AM, 10, FALSE), 1)</f>
        <v>1.2294424198168055</v>
      </c>
      <c r="AB15" s="7">
        <f>$B15 * IFERROR(VLOOKUP("transport|PM25|Work loss days", US_national_yearly!$D:$AM, 36, FALSE) / VLOOKUP("transport|PM25|Work loss days", US_national_yearly!$D:$AM, 10, FALSE), 1)</f>
        <v>1.2372809062936341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1.6460811376279509E-3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1.6952671898603979E-3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1.7444532420928453E-3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1.7936392943252927E-3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1.8428253465577402E-3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1.8899367986517437E-3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1.937048250745748E-3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1.9773405510989462E-3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2.0176328514521437E-3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2.0579251518053412E-3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2.0982174521585397E-3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2.1385097525117372E-3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2.1653735490841457E-3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2.1922373456565551E-3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2.2191011422289641E-3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2.245964938801373E-3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2.272828735373782E-3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2.2870421917933446E-3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2.3012556482129073E-3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2.3154691046324699E-3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2.3296825610520325E-3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2.3438960174715947E-3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2.3534647032966258E-3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2.3630333891216564E-3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2.372602074946687E-3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2.3821707607717176E-3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2.3917394465967482E-3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1.3499412507802773E-3</v>
      </c>
      <c r="C2" s="7">
        <f>$B2 * IFERROR(VLOOKUP("transport|NOx|Premature mortality", US_national_yearly!$D:$AM, 11, FALSE) / VLOOKUP("transport|NOx|Premature mortality", US_national_yearly!$D:$AM, 10, FALSE), 1)</f>
        <v>1.3697696060116222E-3</v>
      </c>
      <c r="D2" s="7">
        <f>$B2 * IFERROR(VLOOKUP("transport|NOx|Premature mortality", US_national_yearly!$D:$AM, 12, FALSE) / VLOOKUP("transport|NOx|Premature mortality", US_national_yearly!$D:$AM, 10, FALSE), 1)</f>
        <v>1.3895979612429672E-3</v>
      </c>
      <c r="E2" s="7">
        <f>$B2 * IFERROR(VLOOKUP("transport|NOx|Premature mortality", US_national_yearly!$D:$AM, 13, FALSE) / VLOOKUP("transport|NOx|Premature mortality", US_national_yearly!$D:$AM, 10, FALSE), 1)</f>
        <v>1.4094263164743121E-3</v>
      </c>
      <c r="F2" s="7">
        <f>$B2 * IFERROR(VLOOKUP("transport|NOx|Premature mortality", US_national_yearly!$D:$AM, 14, FALSE) / VLOOKUP("transport|NOx|Premature mortality", US_national_yearly!$D:$AM, 10, FALSE), 1)</f>
        <v>1.4292546717056573E-3</v>
      </c>
      <c r="G2" s="7">
        <f>$B2 * IFERROR(VLOOKUP("transport|NOx|Premature mortality", US_national_yearly!$D:$AM, 15, FALSE) / VLOOKUP("transport|NOx|Premature mortality", US_national_yearly!$D:$AM, 10, FALSE), 1)</f>
        <v>1.4648710856042613E-3</v>
      </c>
      <c r="H2" s="7">
        <f>$B2 * IFERROR(VLOOKUP("transport|NOx|Premature mortality", US_national_yearly!$D:$AM, 16, FALSE) / VLOOKUP("transport|NOx|Premature mortality", US_national_yearly!$D:$AM, 10, FALSE), 1)</f>
        <v>1.5004874995028662E-3</v>
      </c>
      <c r="I2" s="7">
        <f>$B2 * IFERROR(VLOOKUP("transport|NOx|Premature mortality", US_national_yearly!$D:$AM, 17, FALSE) / VLOOKUP("transport|NOx|Premature mortality", US_national_yearly!$D:$AM, 10, FALSE), 1)</f>
        <v>1.5234785702691702E-3</v>
      </c>
      <c r="J2" s="7">
        <f>$B2 * IFERROR(VLOOKUP("transport|NOx|Premature mortality", US_national_yearly!$D:$AM, 18, FALSE) / VLOOKUP("transport|NOx|Premature mortality", US_national_yearly!$D:$AM, 10, FALSE), 1)</f>
        <v>1.5464696410354747E-3</v>
      </c>
      <c r="K2" s="7">
        <f>$B2 * IFERROR(VLOOKUP("transport|NOx|Premature mortality", US_national_yearly!$D:$AM, 19, FALSE) / VLOOKUP("transport|NOx|Premature mortality", US_national_yearly!$D:$AM, 10, FALSE), 1)</f>
        <v>1.5694607118017789E-3</v>
      </c>
      <c r="L2" s="7">
        <f>$B2 * IFERROR(VLOOKUP("transport|NOx|Premature mortality", US_national_yearly!$D:$AM, 20, FALSE) / VLOOKUP("transport|NOx|Premature mortality", US_national_yearly!$D:$AM, 10, FALSE), 1)</f>
        <v>1.592451782568083E-3</v>
      </c>
      <c r="M2" s="7">
        <f>$B2 * IFERROR(VLOOKUP("transport|NOx|Premature mortality", US_national_yearly!$D:$AM, 21, FALSE) / VLOOKUP("transport|NOx|Premature mortality", US_national_yearly!$D:$AM, 10, FALSE), 1)</f>
        <v>1.6154428533343874E-3</v>
      </c>
      <c r="N2" s="7">
        <f>$B2 * IFERROR(VLOOKUP("transport|NOx|Premature mortality", US_national_yearly!$D:$AM, 22, FALSE) / VLOOKUP("transport|NOx|Premature mortality", US_national_yearly!$D:$AM, 10, FALSE), 1)</f>
        <v>1.6324745491792733E-3</v>
      </c>
      <c r="O2" s="7">
        <f>$B2 * IFERROR(VLOOKUP("transport|NOx|Premature mortality", US_national_yearly!$D:$AM, 23, FALSE) / VLOOKUP("transport|NOx|Premature mortality", US_national_yearly!$D:$AM, 10, FALSE), 1)</f>
        <v>1.6495062450241592E-3</v>
      </c>
      <c r="P2" s="7">
        <f>$B2 * IFERROR(VLOOKUP("transport|NOx|Premature mortality", US_national_yearly!$D:$AM, 24, FALSE) / VLOOKUP("transport|NOx|Premature mortality", US_national_yearly!$D:$AM, 10, FALSE), 1)</f>
        <v>1.6665379408690451E-3</v>
      </c>
      <c r="Q2" s="7">
        <f>$B2 * IFERROR(VLOOKUP("transport|NOx|Premature mortality", US_national_yearly!$D:$AM, 25, FALSE) / VLOOKUP("transport|NOx|Premature mortality", US_national_yearly!$D:$AM, 10, FALSE), 1)</f>
        <v>1.6835696367139314E-3</v>
      </c>
      <c r="R2" s="7">
        <f>$B2 * IFERROR(VLOOKUP("transport|NOx|Premature mortality", US_national_yearly!$D:$AM, 26, FALSE) / VLOOKUP("transport|NOx|Premature mortality", US_national_yearly!$D:$AM, 10, FALSE), 1)</f>
        <v>1.7006013325588172E-3</v>
      </c>
      <c r="S2" s="7">
        <f>$B2 * IFERROR(VLOOKUP("transport|NOx|Premature mortality", US_national_yearly!$D:$AM, 27, FALSE) / VLOOKUP("transport|NOx|Premature mortality", US_national_yearly!$D:$AM, 10, FALSE), 1)</f>
        <v>1.7083424098272156E-3</v>
      </c>
      <c r="T2" s="7">
        <f>$B2 * IFERROR(VLOOKUP("transport|NOx|Premature mortality", US_national_yearly!$D:$AM, 28, FALSE) / VLOOKUP("transport|NOx|Premature mortality", US_national_yearly!$D:$AM, 10, FALSE), 1)</f>
        <v>1.7160834870956147E-3</v>
      </c>
      <c r="U2" s="7">
        <f>$B2 * IFERROR(VLOOKUP("transport|NOx|Premature mortality", US_national_yearly!$D:$AM, 29, FALSE) / VLOOKUP("transport|NOx|Premature mortality", US_national_yearly!$D:$AM, 10, FALSE), 1)</f>
        <v>1.7238245643640131E-3</v>
      </c>
      <c r="V2" s="7">
        <f>$B2 * IFERROR(VLOOKUP("transport|NOx|Premature mortality", US_national_yearly!$D:$AM, 30, FALSE) / VLOOKUP("transport|NOx|Premature mortality", US_national_yearly!$D:$AM, 10, FALSE), 1)</f>
        <v>1.7315656416324117E-3</v>
      </c>
      <c r="W2" s="7">
        <f>$B2 * IFERROR(VLOOKUP("transport|NOx|Premature mortality", US_national_yearly!$D:$AM, 31, FALSE) / VLOOKUP("transport|NOx|Premature mortality", US_national_yearly!$D:$AM, 10, FALSE), 1)</f>
        <v>1.7393067189008108E-3</v>
      </c>
      <c r="X2" s="7">
        <f>$B2 * IFERROR(VLOOKUP("transport|NOx|Premature mortality", US_national_yearly!$D:$AM, 32, FALSE) / VLOOKUP("transport|NOx|Premature mortality", US_national_yearly!$D:$AM, 10, FALSE), 1)</f>
        <v>1.7395748653739741E-3</v>
      </c>
      <c r="Y2" s="7">
        <f>$B2 * IFERROR(VLOOKUP("transport|NOx|Premature mortality", US_national_yearly!$D:$AM, 33, FALSE) / VLOOKUP("transport|NOx|Premature mortality", US_national_yearly!$D:$AM, 10, FALSE), 1)</f>
        <v>1.7398430118471377E-3</v>
      </c>
      <c r="Z2" s="7">
        <f>$B2 * IFERROR(VLOOKUP("transport|NOx|Premature mortality", US_national_yearly!$D:$AM, 34, FALSE) / VLOOKUP("transport|NOx|Premature mortality", US_national_yearly!$D:$AM, 10, FALSE), 1)</f>
        <v>1.7401111583203008E-3</v>
      </c>
      <c r="AA2" s="7">
        <f>$B2 * IFERROR(VLOOKUP("transport|NOx|Premature mortality", US_national_yearly!$D:$AM, 35, FALSE) / VLOOKUP("transport|NOx|Premature mortality", US_national_yearly!$D:$AM, 10, FALSE), 1)</f>
        <v>1.7403793047934646E-3</v>
      </c>
      <c r="AB2" s="7">
        <f>$B2 * IFERROR(VLOOKUP("transport|NOx|Premature mortality", US_national_yearly!$D:$AM, 36, FALSE) / VLOOKUP("transport|NOx|Premature mortality", US_national_yearly!$D:$AM, 10, FALSE), 1)</f>
        <v>1.7406474512666279E-3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3.8837567643538703E-6</v>
      </c>
      <c r="C3" s="7">
        <f>$B3 * IFERROR(VLOOKUP("transport|NOx|Infant mortality", US_national_yearly!$D:$AM, 11, FALSE) / VLOOKUP("transport|NOx|Infant mortality", US_national_yearly!$D:$AM, 10, FALSE), 1)</f>
        <v>3.8467540847300417E-6</v>
      </c>
      <c r="D3" s="7">
        <f>$B3 * IFERROR(VLOOKUP("transport|NOx|Infant mortality", US_national_yearly!$D:$AM, 12, FALSE) / VLOOKUP("transport|NOx|Infant mortality", US_national_yearly!$D:$AM, 10, FALSE), 1)</f>
        <v>3.809751405106213E-6</v>
      </c>
      <c r="E3" s="7">
        <f>$B3 * IFERROR(VLOOKUP("transport|NOx|Infant mortality", US_national_yearly!$D:$AM, 13, FALSE) / VLOOKUP("transport|NOx|Infant mortality", US_national_yearly!$D:$AM, 10, FALSE), 1)</f>
        <v>3.7727487254823848E-6</v>
      </c>
      <c r="F3" s="7">
        <f>$B3 * IFERROR(VLOOKUP("transport|NOx|Infant mortality", US_national_yearly!$D:$AM, 14, FALSE) / VLOOKUP("transport|NOx|Infant mortality", US_national_yearly!$D:$AM, 10, FALSE), 1)</f>
        <v>3.7357460458585565E-6</v>
      </c>
      <c r="G3" s="7">
        <f>$B3 * IFERROR(VLOOKUP("transport|NOx|Infant mortality", US_national_yearly!$D:$AM, 15, FALSE) / VLOOKUP("transport|NOx|Infant mortality", US_national_yearly!$D:$AM, 10, FALSE), 1)</f>
        <v>2.4799727000515628E-6</v>
      </c>
      <c r="H3" s="7">
        <f>$B3 * IFERROR(VLOOKUP("transport|NOx|Infant mortality", US_national_yearly!$D:$AM, 16, FALSE) / VLOOKUP("transport|NOx|Infant mortality", US_national_yearly!$D:$AM, 10, FALSE), 1)</f>
        <v>1.2241993542445694E-6</v>
      </c>
      <c r="I3" s="7">
        <f>$B3 * IFERROR(VLOOKUP("transport|NOx|Infant mortality", US_national_yearly!$D:$AM, 17, FALSE) / VLOOKUP("transport|NOx|Infant mortality", US_national_yearly!$D:$AM, 10, FALSE), 1)</f>
        <v>1.2155430959397538E-6</v>
      </c>
      <c r="J3" s="7">
        <f>$B3 * IFERROR(VLOOKUP("transport|NOx|Infant mortality", US_national_yearly!$D:$AM, 18, FALSE) / VLOOKUP("transport|NOx|Infant mortality", US_national_yearly!$D:$AM, 10, FALSE), 1)</f>
        <v>1.2068868376349381E-6</v>
      </c>
      <c r="K3" s="7">
        <f>$B3 * IFERROR(VLOOKUP("transport|NOx|Infant mortality", US_national_yearly!$D:$AM, 19, FALSE) / VLOOKUP("transport|NOx|Infant mortality", US_national_yearly!$D:$AM, 10, FALSE), 1)</f>
        <v>1.1982305793301223E-6</v>
      </c>
      <c r="L3" s="7">
        <f>$B3 * IFERROR(VLOOKUP("transport|NOx|Infant mortality", US_national_yearly!$D:$AM, 20, FALSE) / VLOOKUP("transport|NOx|Infant mortality", US_national_yearly!$D:$AM, 10, FALSE), 1)</f>
        <v>1.1895743210253067E-6</v>
      </c>
      <c r="M3" s="7">
        <f>$B3 * IFERROR(VLOOKUP("transport|NOx|Infant mortality", US_national_yearly!$D:$AM, 21, FALSE) / VLOOKUP("transport|NOx|Infant mortality", US_national_yearly!$D:$AM, 10, FALSE), 1)</f>
        <v>1.180918062720491E-6</v>
      </c>
      <c r="N3" s="7">
        <f>$B3 * IFERROR(VLOOKUP("transport|NOx|Infant mortality", US_national_yearly!$D:$AM, 22, FALSE) / VLOOKUP("transport|NOx|Infant mortality", US_national_yearly!$D:$AM, 10, FALSE), 1)</f>
        <v>1.1751724003974215E-6</v>
      </c>
      <c r="O3" s="7">
        <f>$B3 * IFERROR(VLOOKUP("transport|NOx|Infant mortality", US_national_yearly!$D:$AM, 23, FALSE) / VLOOKUP("transport|NOx|Infant mortality", US_national_yearly!$D:$AM, 10, FALSE), 1)</f>
        <v>1.1694267380743521E-6</v>
      </c>
      <c r="P3" s="7">
        <f>$B3 * IFERROR(VLOOKUP("transport|NOx|Infant mortality", US_national_yearly!$D:$AM, 24, FALSE) / VLOOKUP("transport|NOx|Infant mortality", US_national_yearly!$D:$AM, 10, FALSE), 1)</f>
        <v>1.1636810757512827E-6</v>
      </c>
      <c r="Q3" s="7">
        <f>$B3 * IFERROR(VLOOKUP("transport|NOx|Infant mortality", US_national_yearly!$D:$AM, 25, FALSE) / VLOOKUP("transport|NOx|Infant mortality", US_national_yearly!$D:$AM, 10, FALSE), 1)</f>
        <v>1.1579354134282135E-6</v>
      </c>
      <c r="R3" s="7">
        <f>$B3 * IFERROR(VLOOKUP("transport|NOx|Infant mortality", US_national_yearly!$D:$AM, 26, FALSE) / VLOOKUP("transport|NOx|Infant mortality", US_national_yearly!$D:$AM, 10, FALSE), 1)</f>
        <v>1.152189751105144E-6</v>
      </c>
      <c r="S3" s="7">
        <f>$B3 * IFERROR(VLOOKUP("transport|NOx|Infant mortality", US_national_yearly!$D:$AM, 27, FALSE) / VLOOKUP("transport|NOx|Infant mortality", US_national_yearly!$D:$AM, 10, FALSE), 1)</f>
        <v>1.1452825512956105E-6</v>
      </c>
      <c r="T3" s="7">
        <f>$B3 * IFERROR(VLOOKUP("transport|NOx|Infant mortality", US_national_yearly!$D:$AM, 28, FALSE) / VLOOKUP("transport|NOx|Infant mortality", US_national_yearly!$D:$AM, 10, FALSE), 1)</f>
        <v>1.1383753514860771E-6</v>
      </c>
      <c r="U3" s="7">
        <f>$B3 * IFERROR(VLOOKUP("transport|NOx|Infant mortality", US_national_yearly!$D:$AM, 29, FALSE) / VLOOKUP("transport|NOx|Infant mortality", US_national_yearly!$D:$AM, 10, FALSE), 1)</f>
        <v>1.1314681516765435E-6</v>
      </c>
      <c r="V3" s="7">
        <f>$B3 * IFERROR(VLOOKUP("transport|NOx|Infant mortality", US_national_yearly!$D:$AM, 30, FALSE) / VLOOKUP("transport|NOx|Infant mortality", US_national_yearly!$D:$AM, 10, FALSE), 1)</f>
        <v>1.1245609518670101E-6</v>
      </c>
      <c r="W3" s="7">
        <f>$B3 * IFERROR(VLOOKUP("transport|NOx|Infant mortality", US_national_yearly!$D:$AM, 31, FALSE) / VLOOKUP("transport|NOx|Infant mortality", US_national_yearly!$D:$AM, 10, FALSE), 1)</f>
        <v>1.1176537520574768E-6</v>
      </c>
      <c r="X3" s="7">
        <f>$B3 * IFERROR(VLOOKUP("transport|NOx|Infant mortality", US_national_yearly!$D:$AM, 32, FALSE) / VLOOKUP("transport|NOx|Infant mortality", US_national_yearly!$D:$AM, 10, FALSE), 1)</f>
        <v>1.1103386934406308E-6</v>
      </c>
      <c r="Y3" s="7">
        <f>$B3 * IFERROR(VLOOKUP("transport|NOx|Infant mortality", US_national_yearly!$D:$AM, 33, FALSE) / VLOOKUP("transport|NOx|Infant mortality", US_national_yearly!$D:$AM, 10, FALSE), 1)</f>
        <v>1.1030236348237847E-6</v>
      </c>
      <c r="Z3" s="7">
        <f>$B3 * IFERROR(VLOOKUP("transport|NOx|Infant mortality", US_national_yearly!$D:$AM, 34, FALSE) / VLOOKUP("transport|NOx|Infant mortality", US_national_yearly!$D:$AM, 10, FALSE), 1)</f>
        <v>1.0957085762069388E-6</v>
      </c>
      <c r="AA3" s="7">
        <f>$B3 * IFERROR(VLOOKUP("transport|NOx|Infant mortality", US_national_yearly!$D:$AM, 35, FALSE) / VLOOKUP("transport|NOx|Infant mortality", US_national_yearly!$D:$AM, 10, FALSE), 1)</f>
        <v>1.0883935175900926E-6</v>
      </c>
      <c r="AB3" s="7">
        <f>$B3 * IFERROR(VLOOKUP("transport|NOx|Infant mortality", US_national_yearly!$D:$AM, 36, FALSE) / VLOOKUP("transport|NOx|Infant mortality", US_national_yearly!$D:$AM, 10, FALSE), 1)</f>
        <v>1.0810784589732465E-6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3.8719236927492809E-3</v>
      </c>
      <c r="C6" s="7">
        <f>$B6 * IFERROR(VLOOKUP("transport|NOx|Asthma symptoms cough", US_national_yearly!$D:$AM, 11, FALSE) / VLOOKUP("transport|NOx|Asthma symptoms cough", US_national_yearly!$D:$AM, 10, FALSE), 1)</f>
        <v>3.9248592199738171E-3</v>
      </c>
      <c r="D6" s="7">
        <f>$B6 * IFERROR(VLOOKUP("transport|NOx|Asthma symptoms cough", US_national_yearly!$D:$AM, 12, FALSE) / VLOOKUP("transport|NOx|Asthma symptoms cough", US_national_yearly!$D:$AM, 10, FALSE), 1)</f>
        <v>3.9777947471983524E-3</v>
      </c>
      <c r="E6" s="7">
        <f>$B6 * IFERROR(VLOOKUP("transport|NOx|Asthma symptoms cough", US_national_yearly!$D:$AM, 13, FALSE) / VLOOKUP("transport|NOx|Asthma symptoms cough", US_national_yearly!$D:$AM, 10, FALSE), 1)</f>
        <v>4.0307302744228887E-3</v>
      </c>
      <c r="F6" s="7">
        <f>$B6 * IFERROR(VLOOKUP("transport|NOx|Asthma symptoms cough", US_national_yearly!$D:$AM, 14, FALSE) / VLOOKUP("transport|NOx|Asthma symptoms cough", US_national_yearly!$D:$AM, 10, FALSE), 1)</f>
        <v>4.0836658016474249E-3</v>
      </c>
      <c r="G6" s="7">
        <f>$B6 * IFERROR(VLOOKUP("transport|NOx|Asthma symptoms cough", US_national_yearly!$D:$AM, 15, FALSE) / VLOOKUP("transport|NOx|Asthma symptoms cough", US_national_yearly!$D:$AM, 10, FALSE), 1)</f>
        <v>4.1259274228960408E-3</v>
      </c>
      <c r="H6" s="7">
        <f>$B6 * IFERROR(VLOOKUP("transport|NOx|Asthma symptoms cough", US_national_yearly!$D:$AM, 16, FALSE) / VLOOKUP("transport|NOx|Asthma symptoms cough", US_national_yearly!$D:$AM, 10, FALSE), 1)</f>
        <v>4.1681890441446585E-3</v>
      </c>
      <c r="I6" s="7">
        <f>$B6 * IFERROR(VLOOKUP("transport|NOx|Asthma symptoms cough", US_national_yearly!$D:$AM, 17, FALSE) / VLOOKUP("transport|NOx|Asthma symptoms cough", US_national_yearly!$D:$AM, 10, FALSE), 1)</f>
        <v>4.1827348900168055E-3</v>
      </c>
      <c r="J6" s="7">
        <f>$B6 * IFERROR(VLOOKUP("transport|NOx|Asthma symptoms cough", US_national_yearly!$D:$AM, 18, FALSE) / VLOOKUP("transport|NOx|Asthma symptoms cough", US_national_yearly!$D:$AM, 10, FALSE), 1)</f>
        <v>4.1972807358889525E-3</v>
      </c>
      <c r="K6" s="7">
        <f>$B6 * IFERROR(VLOOKUP("transport|NOx|Asthma symptoms cough", US_national_yearly!$D:$AM, 19, FALSE) / VLOOKUP("transport|NOx|Asthma symptoms cough", US_national_yearly!$D:$AM, 10, FALSE), 1)</f>
        <v>4.2118265817610986E-3</v>
      </c>
      <c r="L6" s="7">
        <f>$B6 * IFERROR(VLOOKUP("transport|NOx|Asthma symptoms cough", US_national_yearly!$D:$AM, 20, FALSE) / VLOOKUP("transport|NOx|Asthma symptoms cough", US_national_yearly!$D:$AM, 10, FALSE), 1)</f>
        <v>4.2263724276332456E-3</v>
      </c>
      <c r="M6" s="7">
        <f>$B6 * IFERROR(VLOOKUP("transport|NOx|Asthma symptoms cough", US_national_yearly!$D:$AM, 21, FALSE) / VLOOKUP("transport|NOx|Asthma symptoms cough", US_national_yearly!$D:$AM, 10, FALSE), 1)</f>
        <v>4.2409182735053926E-3</v>
      </c>
      <c r="N6" s="7">
        <f>$B6 * IFERROR(VLOOKUP("transport|NOx|Asthma symptoms cough", US_national_yearly!$D:$AM, 22, FALSE) / VLOOKUP("transport|NOx|Asthma symptoms cough", US_national_yearly!$D:$AM, 10, FALSE), 1)</f>
        <v>4.2577852649835733E-3</v>
      </c>
      <c r="O6" s="7">
        <f>$B6 * IFERROR(VLOOKUP("transport|NOx|Asthma symptoms cough", US_national_yearly!$D:$AM, 23, FALSE) / VLOOKUP("transport|NOx|Asthma symptoms cough", US_national_yearly!$D:$AM, 10, FALSE), 1)</f>
        <v>4.2746522564617541E-3</v>
      </c>
      <c r="P6" s="7">
        <f>$B6 * IFERROR(VLOOKUP("transport|NOx|Asthma symptoms cough", US_national_yearly!$D:$AM, 24, FALSE) / VLOOKUP("transport|NOx|Asthma symptoms cough", US_national_yearly!$D:$AM, 10, FALSE), 1)</f>
        <v>4.2915192479399339E-3</v>
      </c>
      <c r="Q6" s="7">
        <f>$B6 * IFERROR(VLOOKUP("transport|NOx|Asthma symptoms cough", US_national_yearly!$D:$AM, 25, FALSE) / VLOOKUP("transport|NOx|Asthma symptoms cough", US_national_yearly!$D:$AM, 10, FALSE), 1)</f>
        <v>4.3083862394181155E-3</v>
      </c>
      <c r="R6" s="7">
        <f>$B6 * IFERROR(VLOOKUP("transport|NOx|Asthma symptoms cough", US_national_yearly!$D:$AM, 26, FALSE) / VLOOKUP("transport|NOx|Asthma symptoms cough", US_national_yearly!$D:$AM, 10, FALSE), 1)</f>
        <v>4.3252532308962963E-3</v>
      </c>
      <c r="S6" s="7">
        <f>$B6 * IFERROR(VLOOKUP("transport|NOx|Asthma symptoms cough", US_national_yearly!$D:$AM, 27, FALSE) / VLOOKUP("transport|NOx|Asthma symptoms cough", US_national_yearly!$D:$AM, 10, FALSE), 1)</f>
        <v>4.3472868938637787E-3</v>
      </c>
      <c r="T6" s="7">
        <f>$B6 * IFERROR(VLOOKUP("transport|NOx|Asthma symptoms cough", US_national_yearly!$D:$AM, 28, FALSE) / VLOOKUP("transport|NOx|Asthma symptoms cough", US_national_yearly!$D:$AM, 10, FALSE), 1)</f>
        <v>4.3693205568312611E-3</v>
      </c>
      <c r="U6" s="7">
        <f>$B6 * IFERROR(VLOOKUP("transport|NOx|Asthma symptoms cough", US_national_yearly!$D:$AM, 29, FALSE) / VLOOKUP("transport|NOx|Asthma symptoms cough", US_national_yearly!$D:$AM, 10, FALSE), 1)</f>
        <v>4.3913542197987418E-3</v>
      </c>
      <c r="V6" s="7">
        <f>$B6 * IFERROR(VLOOKUP("transport|NOx|Asthma symptoms cough", US_national_yearly!$D:$AM, 30, FALSE) / VLOOKUP("transport|NOx|Asthma symptoms cough", US_national_yearly!$D:$AM, 10, FALSE), 1)</f>
        <v>4.4133878827662251E-3</v>
      </c>
      <c r="W6" s="7">
        <f>$B6 * IFERROR(VLOOKUP("transport|NOx|Asthma symptoms cough", US_national_yearly!$D:$AM, 31, FALSE) / VLOOKUP("transport|NOx|Asthma symptoms cough", US_national_yearly!$D:$AM, 10, FALSE), 1)</f>
        <v>4.4354215457337066E-3</v>
      </c>
      <c r="X6" s="7">
        <f>$B6 * IFERROR(VLOOKUP("transport|NOx|Asthma symptoms cough", US_national_yearly!$D:$AM, 32, FALSE) / VLOOKUP("transport|NOx|Asthma symptoms cough", US_national_yearly!$D:$AM, 10, FALSE), 1)</f>
        <v>4.4558939845494288E-3</v>
      </c>
      <c r="Y6" s="7">
        <f>$B6 * IFERROR(VLOOKUP("transport|NOx|Asthma symptoms cough", US_national_yearly!$D:$AM, 33, FALSE) / VLOOKUP("transport|NOx|Asthma symptoms cough", US_national_yearly!$D:$AM, 10, FALSE), 1)</f>
        <v>4.4763664233651509E-3</v>
      </c>
      <c r="Z6" s="7">
        <f>$B6 * IFERROR(VLOOKUP("transport|NOx|Asthma symptoms cough", US_national_yearly!$D:$AM, 34, FALSE) / VLOOKUP("transport|NOx|Asthma symptoms cough", US_national_yearly!$D:$AM, 10, FALSE), 1)</f>
        <v>4.4968388621808722E-3</v>
      </c>
      <c r="AA6" s="7">
        <f>$B6 * IFERROR(VLOOKUP("transport|NOx|Asthma symptoms cough", US_national_yearly!$D:$AM, 35, FALSE) / VLOOKUP("transport|NOx|Asthma symptoms cough", US_national_yearly!$D:$AM, 10, FALSE), 1)</f>
        <v>4.5173113009965944E-3</v>
      </c>
      <c r="AB6" s="7">
        <f>$B6 * IFERROR(VLOOKUP("transport|NOx|Asthma symptoms cough", US_national_yearly!$D:$AM, 36, FALSE) / VLOOKUP("transport|NOx|Asthma symptoms cough", US_national_yearly!$D:$AM, 10, FALSE), 1)</f>
        <v>4.5377837398123174E-3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5.2138758468661828E-3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5.2851580539866553E-3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5.356440261107126E-3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5.4277224682275985E-3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5.4990046753480709E-3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5.5559135566688438E-3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5.6128224379896176E-3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5.6324096612874906E-3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5.6519968845853644E-3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5.6715841078832383E-3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5.6911713311811121E-3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5.710758554478986E-3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5.7334713985767944E-3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5.7561842426746036E-3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5.7788970867724112E-3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5.8016099308702196E-3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5.8243227749680288E-3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5.8539929834301556E-3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5.8836631918922841E-3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5.9133334003544109E-3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5.9430036088165376E-3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5.9726738172786644E-3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6.0002417041019685E-3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6.0278095909252734E-3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6.0553774777485792E-3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6.0829453645718833E-3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6.1105132513951874E-3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7.9667430331079852E-3</v>
      </c>
      <c r="C8" s="7">
        <f>$B8 * IFERROR(VLOOKUP("transport|NOx|Asthma symptoms wheeze", US_national_yearly!$D:$AM, 11, FALSE) / VLOOKUP("transport|NOx|Asthma symptoms wheeze", US_national_yearly!$D:$AM, 10, FALSE), 1)</f>
        <v>8.0756614356300282E-3</v>
      </c>
      <c r="D8" s="7">
        <f>$B8 * IFERROR(VLOOKUP("transport|NOx|Asthma symptoms wheeze", US_national_yearly!$D:$AM, 12, FALSE) / VLOOKUP("transport|NOx|Asthma symptoms wheeze", US_national_yearly!$D:$AM, 10, FALSE), 1)</f>
        <v>8.1845798381520764E-3</v>
      </c>
      <c r="E8" s="7">
        <f>$B8 * IFERROR(VLOOKUP("transport|NOx|Asthma symptoms wheeze", US_national_yearly!$D:$AM, 13, FALSE) / VLOOKUP("transport|NOx|Asthma symptoms wheeze", US_national_yearly!$D:$AM, 10, FALSE), 1)</f>
        <v>8.2934982406741211E-3</v>
      </c>
      <c r="F8" s="7">
        <f>$B8 * IFERROR(VLOOKUP("transport|NOx|Asthma symptoms wheeze", US_national_yearly!$D:$AM, 14, FALSE) / VLOOKUP("transport|NOx|Asthma symptoms wheeze", US_national_yearly!$D:$AM, 10, FALSE), 1)</f>
        <v>8.4024166431961641E-3</v>
      </c>
      <c r="G8" s="7">
        <f>$B8 * IFERROR(VLOOKUP("transport|NOx|Asthma symptoms wheeze", US_national_yearly!$D:$AM, 15, FALSE) / VLOOKUP("transport|NOx|Asthma symptoms wheeze", US_national_yearly!$D:$AM, 10, FALSE), 1)</f>
        <v>8.4893727673563228E-3</v>
      </c>
      <c r="H8" s="7">
        <f>$B8 * IFERROR(VLOOKUP("transport|NOx|Asthma symptoms wheeze", US_national_yearly!$D:$AM, 16, FALSE) / VLOOKUP("transport|NOx|Asthma symptoms wheeze", US_national_yearly!$D:$AM, 10, FALSE), 1)</f>
        <v>8.5763288915164833E-3</v>
      </c>
      <c r="I8" s="7">
        <f>$B8 * IFERROR(VLOOKUP("transport|NOx|Asthma symptoms wheeze", US_national_yearly!$D:$AM, 17, FALSE) / VLOOKUP("transport|NOx|Asthma symptoms wheeze", US_national_yearly!$D:$AM, 10, FALSE), 1)</f>
        <v>8.6062579464598193E-3</v>
      </c>
      <c r="J8" s="7">
        <f>$B8 * IFERROR(VLOOKUP("transport|NOx|Asthma symptoms wheeze", US_national_yearly!$D:$AM, 18, FALSE) / VLOOKUP("transport|NOx|Asthma symptoms wheeze", US_national_yearly!$D:$AM, 10, FALSE), 1)</f>
        <v>8.6361870014031589E-3</v>
      </c>
      <c r="K8" s="7">
        <f>$B8 * IFERROR(VLOOKUP("transport|NOx|Asthma symptoms wheeze", US_national_yearly!$D:$AM, 19, FALSE) / VLOOKUP("transport|NOx|Asthma symptoms wheeze", US_national_yearly!$D:$AM, 10, FALSE), 1)</f>
        <v>8.6661160563464949E-3</v>
      </c>
      <c r="L8" s="7">
        <f>$B8 * IFERROR(VLOOKUP("transport|NOx|Asthma symptoms wheeze", US_national_yearly!$D:$AM, 20, FALSE) / VLOOKUP("transport|NOx|Asthma symptoms wheeze", US_national_yearly!$D:$AM, 10, FALSE), 1)</f>
        <v>8.6960451112898345E-3</v>
      </c>
      <c r="M8" s="7">
        <f>$B8 * IFERROR(VLOOKUP("transport|NOx|Asthma symptoms wheeze", US_national_yearly!$D:$AM, 21, FALSE) / VLOOKUP("transport|NOx|Asthma symptoms wheeze", US_national_yearly!$D:$AM, 10, FALSE), 1)</f>
        <v>8.7259741662331722E-3</v>
      </c>
      <c r="N8" s="7">
        <f>$B8 * IFERROR(VLOOKUP("transport|NOx|Asthma symptoms wheeze", US_national_yearly!$D:$AM, 22, FALSE) / VLOOKUP("transport|NOx|Asthma symptoms wheeze", US_national_yearly!$D:$AM, 10, FALSE), 1)</f>
        <v>8.7606791341888219E-3</v>
      </c>
      <c r="O8" s="7">
        <f>$B8 * IFERROR(VLOOKUP("transport|NOx|Asthma symptoms wheeze", US_national_yearly!$D:$AM, 23, FALSE) / VLOOKUP("transport|NOx|Asthma symptoms wheeze", US_national_yearly!$D:$AM, 10, FALSE), 1)</f>
        <v>8.795384102144475E-3</v>
      </c>
      <c r="P8" s="7">
        <f>$B8 * IFERROR(VLOOKUP("transport|NOx|Asthma symptoms wheeze", US_national_yearly!$D:$AM, 24, FALSE) / VLOOKUP("transport|NOx|Asthma symptoms wheeze", US_national_yearly!$D:$AM, 10, FALSE), 1)</f>
        <v>8.8300890701001264E-3</v>
      </c>
      <c r="Q8" s="7">
        <f>$B8 * IFERROR(VLOOKUP("transport|NOx|Asthma symptoms wheeze", US_national_yearly!$D:$AM, 25, FALSE) / VLOOKUP("transport|NOx|Asthma symptoms wheeze", US_national_yearly!$D:$AM, 10, FALSE), 1)</f>
        <v>8.8647940380557778E-3</v>
      </c>
      <c r="R8" s="7">
        <f>$B8 * IFERROR(VLOOKUP("transport|NOx|Asthma symptoms wheeze", US_national_yearly!$D:$AM, 26, FALSE) / VLOOKUP("transport|NOx|Asthma symptoms wheeze", US_national_yearly!$D:$AM, 10, FALSE), 1)</f>
        <v>8.8994990060114292E-3</v>
      </c>
      <c r="S8" s="7">
        <f>$B8 * IFERROR(VLOOKUP("transport|NOx|Asthma symptoms wheeze", US_national_yearly!$D:$AM, 27, FALSE) / VLOOKUP("transport|NOx|Asthma symptoms wheeze", US_national_yearly!$D:$AM, 10, FALSE), 1)</f>
        <v>8.9448347475850412E-3</v>
      </c>
      <c r="T8" s="7">
        <f>$B8 * IFERROR(VLOOKUP("transport|NOx|Asthma symptoms wheeze", US_national_yearly!$D:$AM, 28, FALSE) / VLOOKUP("transport|NOx|Asthma symptoms wheeze", US_national_yearly!$D:$AM, 10, FALSE), 1)</f>
        <v>8.990170489158655E-3</v>
      </c>
      <c r="U8" s="7">
        <f>$B8 * IFERROR(VLOOKUP("transport|NOx|Asthma symptoms wheeze", US_national_yearly!$D:$AM, 29, FALSE) / VLOOKUP("transport|NOx|Asthma symptoms wheeze", US_national_yearly!$D:$AM, 10, FALSE), 1)</f>
        <v>9.0355062307322671E-3</v>
      </c>
      <c r="V8" s="7">
        <f>$B8 * IFERROR(VLOOKUP("transport|NOx|Asthma symptoms wheeze", US_national_yearly!$D:$AM, 30, FALSE) / VLOOKUP("transport|NOx|Asthma symptoms wheeze", US_national_yearly!$D:$AM, 10, FALSE), 1)</f>
        <v>9.0808419723058809E-3</v>
      </c>
      <c r="W8" s="7">
        <f>$B8 * IFERROR(VLOOKUP("transport|NOx|Asthma symptoms wheeze", US_national_yearly!$D:$AM, 31, FALSE) / VLOOKUP("transport|NOx|Asthma symptoms wheeze", US_national_yearly!$D:$AM, 10, FALSE), 1)</f>
        <v>9.1261777138794929E-3</v>
      </c>
      <c r="X8" s="7">
        <f>$B8 * IFERROR(VLOOKUP("transport|NOx|Asthma symptoms wheeze", US_national_yearly!$D:$AM, 32, FALSE) / VLOOKUP("transport|NOx|Asthma symptoms wheeze", US_national_yearly!$D:$AM, 10, FALSE), 1)</f>
        <v>9.1683011318779255E-3</v>
      </c>
      <c r="Y8" s="7">
        <f>$B8 * IFERROR(VLOOKUP("transport|NOx|Asthma symptoms wheeze", US_national_yearly!$D:$AM, 33, FALSE) / VLOOKUP("transport|NOx|Asthma symptoms wheeze", US_national_yearly!$D:$AM, 10, FALSE), 1)</f>
        <v>9.2104245498763563E-3</v>
      </c>
      <c r="Z8" s="7">
        <f>$B8 * IFERROR(VLOOKUP("transport|NOx|Asthma symptoms wheeze", US_national_yearly!$D:$AM, 34, FALSE) / VLOOKUP("transport|NOx|Asthma symptoms wheeze", US_national_yearly!$D:$AM, 10, FALSE), 1)</f>
        <v>9.2525479678747889E-3</v>
      </c>
      <c r="AA8" s="7">
        <f>$B8 * IFERROR(VLOOKUP("transport|NOx|Asthma symptoms wheeze", US_national_yearly!$D:$AM, 35, FALSE) / VLOOKUP("transport|NOx|Asthma symptoms wheeze", US_national_yearly!$D:$AM, 10, FALSE), 1)</f>
        <v>9.2946713858732197E-3</v>
      </c>
      <c r="AB8" s="7">
        <f>$B8 * IFERROR(VLOOKUP("transport|NOx|Asthma symptoms wheeze", US_national_yearly!$D:$AM, 36, FALSE) / VLOOKUP("transport|NOx|Asthma symptoms wheeze", US_national_yearly!$D:$AM, 10, FALSE), 1)</f>
        <v>9.3367948038716522E-3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8.5345384969967488E-5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8.7474296981956994E-5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8.9603208993946514E-5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9.1732121005936047E-5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9.3861033017925567E-5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9.5896345360927198E-5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9.7931657703928816E-5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9.9659679724924555E-5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1.0138770174592025E-4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1.0311572376691599E-4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1.0484374578791172E-4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1.0657176780890744E-4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1.0772698164221812E-4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1.0888219547552884E-4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1.1003740930883954E-4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1.1119262314215024E-4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1.1234783697546094E-4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1.1296676924467982E-4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1.1358570151389871E-4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1.1420463378311759E-4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1.1482356605233644E-4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1.1544249832155535E-4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1.158654581180616E-4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1.1628841791456786E-4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1.1671137771107412E-4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1.1713433750758039E-4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1.1755729730408664E-4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5.2179779223938613E-4</v>
      </c>
      <c r="C13" s="7">
        <f>$B13 * IFERROR(VLOOKUP("transport|NOx|Non-fatal heart attacks", US_national_yearly!$D:$AM, 11, FALSE) / VLOOKUP("transport|NOx|Non-fatal heart attacks", US_national_yearly!$D:$AM, 10, FALSE), 1)</f>
        <v>5.3671553138632318E-4</v>
      </c>
      <c r="D13" s="7">
        <f>$B13 * IFERROR(VLOOKUP("transport|NOx|Non-fatal heart attacks", US_national_yearly!$D:$AM, 12, FALSE) / VLOOKUP("transport|NOx|Non-fatal heart attacks", US_national_yearly!$D:$AM, 10, FALSE), 1)</f>
        <v>5.5163327053326023E-4</v>
      </c>
      <c r="E13" s="7">
        <f>$B13 * IFERROR(VLOOKUP("transport|NOx|Non-fatal heart attacks", US_national_yearly!$D:$AM, 13, FALSE) / VLOOKUP("transport|NOx|Non-fatal heart attacks", US_national_yearly!$D:$AM, 10, FALSE), 1)</f>
        <v>5.6655100968019717E-4</v>
      </c>
      <c r="F13" s="7">
        <f>$B13 * IFERROR(VLOOKUP("transport|NOx|Non-fatal heart attacks", US_national_yearly!$D:$AM, 14, FALSE) / VLOOKUP("transport|NOx|Non-fatal heart attacks", US_national_yearly!$D:$AM, 10, FALSE), 1)</f>
        <v>5.8146874882713422E-4</v>
      </c>
      <c r="G13" s="7">
        <f>$B13 * IFERROR(VLOOKUP("transport|NOx|Non-fatal heart attacks", US_national_yearly!$D:$AM, 15, FALSE) / VLOOKUP("transport|NOx|Non-fatal heart attacks", US_national_yearly!$D:$AM, 10, FALSE), 1)</f>
        <v>5.9540934505570675E-4</v>
      </c>
      <c r="H13" s="7">
        <f>$B13 * IFERROR(VLOOKUP("transport|NOx|Non-fatal heart attacks", US_national_yearly!$D:$AM, 16, FALSE) / VLOOKUP("transport|NOx|Non-fatal heart attacks", US_national_yearly!$D:$AM, 10, FALSE), 1)</f>
        <v>6.0934994128427928E-4</v>
      </c>
      <c r="I13" s="7">
        <f>$B13 * IFERROR(VLOOKUP("transport|NOx|Non-fatal heart attacks", US_national_yearly!$D:$AM, 17, FALSE) / VLOOKUP("transport|NOx|Non-fatal heart attacks", US_national_yearly!$D:$AM, 10, FALSE), 1)</f>
        <v>6.2034050784820429E-4</v>
      </c>
      <c r="J13" s="7">
        <f>$B13 * IFERROR(VLOOKUP("transport|NOx|Non-fatal heart attacks", US_national_yearly!$D:$AM, 18, FALSE) / VLOOKUP("transport|NOx|Non-fatal heart attacks", US_national_yearly!$D:$AM, 10, FALSE), 1)</f>
        <v>6.313310744121294E-4</v>
      </c>
      <c r="K13" s="7">
        <f>$B13 * IFERROR(VLOOKUP("transport|NOx|Non-fatal heart attacks", US_national_yearly!$D:$AM, 19, FALSE) / VLOOKUP("transport|NOx|Non-fatal heart attacks", US_national_yearly!$D:$AM, 10, FALSE), 1)</f>
        <v>6.4232164097605409E-4</v>
      </c>
      <c r="L13" s="7">
        <f>$B13 * IFERROR(VLOOKUP("transport|NOx|Non-fatal heart attacks", US_national_yearly!$D:$AM, 20, FALSE) / VLOOKUP("transport|NOx|Non-fatal heart attacks", US_national_yearly!$D:$AM, 10, FALSE), 1)</f>
        <v>6.5331220753997964E-4</v>
      </c>
      <c r="M13" s="7">
        <f>$B13 * IFERROR(VLOOKUP("transport|NOx|Non-fatal heart attacks", US_national_yearly!$D:$AM, 21, FALSE) / VLOOKUP("transport|NOx|Non-fatal heart attacks", US_national_yearly!$D:$AM, 10, FALSE), 1)</f>
        <v>6.6430277410390454E-4</v>
      </c>
      <c r="N13" s="7">
        <f>$B13 * IFERROR(VLOOKUP("transport|NOx|Non-fatal heart attacks", US_national_yearly!$D:$AM, 22, FALSE) / VLOOKUP("transport|NOx|Non-fatal heart attacks", US_national_yearly!$D:$AM, 10, FALSE), 1)</f>
        <v>6.7091503225503318E-4</v>
      </c>
      <c r="O13" s="7">
        <f>$B13 * IFERROR(VLOOKUP("transport|NOx|Non-fatal heart attacks", US_national_yearly!$D:$AM, 23, FALSE) / VLOOKUP("transport|NOx|Non-fatal heart attacks", US_national_yearly!$D:$AM, 10, FALSE), 1)</f>
        <v>6.7752729040616172E-4</v>
      </c>
      <c r="P13" s="7">
        <f>$B13 * IFERROR(VLOOKUP("transport|NOx|Non-fatal heart attacks", US_national_yearly!$D:$AM, 24, FALSE) / VLOOKUP("transport|NOx|Non-fatal heart attacks", US_national_yearly!$D:$AM, 10, FALSE), 1)</f>
        <v>6.8413954855729025E-4</v>
      </c>
      <c r="Q13" s="7">
        <f>$B13 * IFERROR(VLOOKUP("transport|NOx|Non-fatal heart attacks", US_national_yearly!$D:$AM, 25, FALSE) / VLOOKUP("transport|NOx|Non-fatal heart attacks", US_national_yearly!$D:$AM, 10, FALSE), 1)</f>
        <v>6.907518067084189E-4</v>
      </c>
      <c r="R13" s="7">
        <f>$B13 * IFERROR(VLOOKUP("transport|NOx|Non-fatal heart attacks", US_national_yearly!$D:$AM, 26, FALSE) / VLOOKUP("transport|NOx|Non-fatal heart attacks", US_national_yearly!$D:$AM, 10, FALSE), 1)</f>
        <v>6.9736406485954754E-4</v>
      </c>
      <c r="S13" s="7">
        <f>$B13 * IFERROR(VLOOKUP("transport|NOx|Non-fatal heart attacks", US_national_yearly!$D:$AM, 27, FALSE) / VLOOKUP("transport|NOx|Non-fatal heart attacks", US_national_yearly!$D:$AM, 10, FALSE), 1)</f>
        <v>7.0036343088973661E-4</v>
      </c>
      <c r="T13" s="7">
        <f>$B13 * IFERROR(VLOOKUP("transport|NOx|Non-fatal heart attacks", US_national_yearly!$D:$AM, 28, FALSE) / VLOOKUP("transport|NOx|Non-fatal heart attacks", US_national_yearly!$D:$AM, 10, FALSE), 1)</f>
        <v>7.0336279691992579E-4</v>
      </c>
      <c r="U13" s="7">
        <f>$B13 * IFERROR(VLOOKUP("transport|NOx|Non-fatal heart attacks", US_national_yearly!$D:$AM, 29, FALSE) / VLOOKUP("transport|NOx|Non-fatal heart attacks", US_national_yearly!$D:$AM, 10, FALSE), 1)</f>
        <v>7.0636216295011497E-4</v>
      </c>
      <c r="V13" s="7">
        <f>$B13 * IFERROR(VLOOKUP("transport|NOx|Non-fatal heart attacks", US_national_yearly!$D:$AM, 30, FALSE) / VLOOKUP("transport|NOx|Non-fatal heart attacks", US_national_yearly!$D:$AM, 10, FALSE), 1)</f>
        <v>7.0936152898030405E-4</v>
      </c>
      <c r="W13" s="7">
        <f>$B13 * IFERROR(VLOOKUP("transport|NOx|Non-fatal heart attacks", US_national_yearly!$D:$AM, 31, FALSE) / VLOOKUP("transport|NOx|Non-fatal heart attacks", US_national_yearly!$D:$AM, 10, FALSE), 1)</f>
        <v>7.1236089501049323E-4</v>
      </c>
      <c r="X13" s="7">
        <f>$B13 * IFERROR(VLOOKUP("transport|NOx|Non-fatal heart attacks", US_national_yearly!$D:$AM, 32, FALSE) / VLOOKUP("transport|NOx|Non-fatal heart attacks", US_national_yearly!$D:$AM, 10, FALSE), 1)</f>
        <v>7.1436522921313882E-4</v>
      </c>
      <c r="Y13" s="7">
        <f>$B13 * IFERROR(VLOOKUP("transport|NOx|Non-fatal heart attacks", US_national_yearly!$D:$AM, 33, FALSE) / VLOOKUP("transport|NOx|Non-fatal heart attacks", US_national_yearly!$D:$AM, 10, FALSE), 1)</f>
        <v>7.1636956341578442E-4</v>
      </c>
      <c r="Z13" s="7">
        <f>$B13 * IFERROR(VLOOKUP("transport|NOx|Non-fatal heart attacks", US_national_yearly!$D:$AM, 34, FALSE) / VLOOKUP("transport|NOx|Non-fatal heart attacks", US_national_yearly!$D:$AM, 10, FALSE), 1)</f>
        <v>7.183738976184299E-4</v>
      </c>
      <c r="AA13" s="7">
        <f>$B13 * IFERROR(VLOOKUP("transport|NOx|Non-fatal heart attacks", US_national_yearly!$D:$AM, 35, FALSE) / VLOOKUP("transport|NOx|Non-fatal heart attacks", US_national_yearly!$D:$AM, 10, FALSE), 1)</f>
        <v>7.2037823182107539E-4</v>
      </c>
      <c r="AB13" s="7">
        <f>$B13 * IFERROR(VLOOKUP("transport|NOx|Non-fatal heart attacks", US_national_yearly!$D:$AM, 36, FALSE) / VLOOKUP("transport|NOx|Non-fatal heart attacks", US_national_yearly!$D:$AM, 10, FALSE), 1)</f>
        <v>7.2238256602372109E-4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0.47540382225613631</v>
      </c>
      <c r="C14" s="7">
        <f>$B14 * IFERROR(VLOOKUP("transport|NOx|Minor restricted activity days", US_national_yearly!$D:$AM, 11, FALSE) / VLOOKUP("transport|NOx|Minor restricted activity days", US_national_yearly!$D:$AM, 10, FALSE), 1)</f>
        <v>0.47613269609726949</v>
      </c>
      <c r="D14" s="7">
        <f>$B14 * IFERROR(VLOOKUP("transport|NOx|Minor restricted activity days", US_national_yearly!$D:$AM, 12, FALSE) / VLOOKUP("transport|NOx|Minor restricted activity days", US_national_yearly!$D:$AM, 10, FALSE), 1)</f>
        <v>0.47686156993840273</v>
      </c>
      <c r="E14" s="7">
        <f>$B14 * IFERROR(VLOOKUP("transport|NOx|Minor restricted activity days", US_national_yearly!$D:$AM, 13, FALSE) / VLOOKUP("transport|NOx|Minor restricted activity days", US_national_yearly!$D:$AM, 10, FALSE), 1)</f>
        <v>0.47759044377953602</v>
      </c>
      <c r="F14" s="7">
        <f>$B14 * IFERROR(VLOOKUP("transport|NOx|Minor restricted activity days", US_national_yearly!$D:$AM, 14, FALSE) / VLOOKUP("transport|NOx|Minor restricted activity days", US_national_yearly!$D:$AM, 10, FALSE), 1)</f>
        <v>0.47831931762066915</v>
      </c>
      <c r="G14" s="7">
        <f>$B14 * IFERROR(VLOOKUP("transport|NOx|Minor restricted activity days", US_national_yearly!$D:$AM, 15, FALSE) / VLOOKUP("transport|NOx|Minor restricted activity days", US_national_yearly!$D:$AM, 10, FALSE), 1)</f>
        <v>0.47963549029087404</v>
      </c>
      <c r="H14" s="7">
        <f>$B14 * IFERROR(VLOOKUP("transport|NOx|Minor restricted activity days", US_national_yearly!$D:$AM, 16, FALSE) / VLOOKUP("transport|NOx|Minor restricted activity days", US_national_yearly!$D:$AM, 10, FALSE), 1)</f>
        <v>0.48095166296107883</v>
      </c>
      <c r="I14" s="7">
        <f>$B14 * IFERROR(VLOOKUP("transport|NOx|Minor restricted activity days", US_national_yearly!$D:$AM, 17, FALSE) / VLOOKUP("transport|NOx|Minor restricted activity days", US_national_yearly!$D:$AM, 10, FALSE), 1)</f>
        <v>0.4835260446571466</v>
      </c>
      <c r="J14" s="7">
        <f>$B14 * IFERROR(VLOOKUP("transport|NOx|Minor restricted activity days", US_national_yearly!$D:$AM, 18, FALSE) / VLOOKUP("transport|NOx|Minor restricted activity days", US_national_yearly!$D:$AM, 10, FALSE), 1)</f>
        <v>0.48610042635321427</v>
      </c>
      <c r="K14" s="7">
        <f>$B14 * IFERROR(VLOOKUP("transport|NOx|Minor restricted activity days", US_national_yearly!$D:$AM, 19, FALSE) / VLOOKUP("transport|NOx|Minor restricted activity days", US_national_yearly!$D:$AM, 10, FALSE), 1)</f>
        <v>0.48867480804928204</v>
      </c>
      <c r="L14" s="7">
        <f>$B14 * IFERROR(VLOOKUP("transport|NOx|Minor restricted activity days", US_national_yearly!$D:$AM, 20, FALSE) / VLOOKUP("transport|NOx|Minor restricted activity days", US_national_yearly!$D:$AM, 10, FALSE), 1)</f>
        <v>0.4912491897453497</v>
      </c>
      <c r="M14" s="7">
        <f>$B14 * IFERROR(VLOOKUP("transport|NOx|Minor restricted activity days", US_national_yearly!$D:$AM, 21, FALSE) / VLOOKUP("transport|NOx|Minor restricted activity days", US_national_yearly!$D:$AM, 10, FALSE), 1)</f>
        <v>0.49382357144141753</v>
      </c>
      <c r="N14" s="7">
        <f>$B14 * IFERROR(VLOOKUP("transport|NOx|Minor restricted activity days", US_national_yearly!$D:$AM, 22, FALSE) / VLOOKUP("transport|NOx|Minor restricted activity days", US_national_yearly!$D:$AM, 10, FALSE), 1)</f>
        <v>0.49750950230178015</v>
      </c>
      <c r="O14" s="7">
        <f>$B14 * IFERROR(VLOOKUP("transport|NOx|Minor restricted activity days", US_national_yearly!$D:$AM, 23, FALSE) / VLOOKUP("transport|NOx|Minor restricted activity days", US_national_yearly!$D:$AM, 10, FALSE), 1)</f>
        <v>0.50119543316214288</v>
      </c>
      <c r="P14" s="7">
        <f>$B14 * IFERROR(VLOOKUP("transport|NOx|Minor restricted activity days", US_national_yearly!$D:$AM, 24, FALSE) / VLOOKUP("transport|NOx|Minor restricted activity days", US_national_yearly!$D:$AM, 10, FALSE), 1)</f>
        <v>0.5048813640225055</v>
      </c>
      <c r="Q14" s="7">
        <f>$B14 * IFERROR(VLOOKUP("transport|NOx|Minor restricted activity days", US_national_yearly!$D:$AM, 25, FALSE) / VLOOKUP("transport|NOx|Minor restricted activity days", US_national_yearly!$D:$AM, 10, FALSE), 1)</f>
        <v>0.50856729488286823</v>
      </c>
      <c r="R14" s="7">
        <f>$B14 * IFERROR(VLOOKUP("transport|NOx|Minor restricted activity days", US_national_yearly!$D:$AM, 26, FALSE) / VLOOKUP("transport|NOx|Minor restricted activity days", US_national_yearly!$D:$AM, 10, FALSE), 1)</f>
        <v>0.51225322574323084</v>
      </c>
      <c r="S14" s="7">
        <f>$B14 * IFERROR(VLOOKUP("transport|NOx|Minor restricted activity days", US_national_yearly!$D:$AM, 27, FALSE) / VLOOKUP("transport|NOx|Minor restricted activity days", US_national_yearly!$D:$AM, 10, FALSE), 1)</f>
        <v>0.51593838164451933</v>
      </c>
      <c r="T14" s="7">
        <f>$B14 * IFERROR(VLOOKUP("transport|NOx|Minor restricted activity days", US_national_yearly!$D:$AM, 28, FALSE) / VLOOKUP("transport|NOx|Minor restricted activity days", US_national_yearly!$D:$AM, 10, FALSE), 1)</f>
        <v>0.51962353754580759</v>
      </c>
      <c r="U14" s="7">
        <f>$B14 * IFERROR(VLOOKUP("transport|NOx|Minor restricted activity days", US_national_yearly!$D:$AM, 29, FALSE) / VLOOKUP("transport|NOx|Minor restricted activity days", US_national_yearly!$D:$AM, 10, FALSE), 1)</f>
        <v>0.52330869344709607</v>
      </c>
      <c r="V14" s="7">
        <f>$B14 * IFERROR(VLOOKUP("transport|NOx|Minor restricted activity days", US_national_yearly!$D:$AM, 30, FALSE) / VLOOKUP("transport|NOx|Minor restricted activity days", US_national_yearly!$D:$AM, 10, FALSE), 1)</f>
        <v>0.52699384934838445</v>
      </c>
      <c r="W14" s="7">
        <f>$B14 * IFERROR(VLOOKUP("transport|NOx|Minor restricted activity days", US_national_yearly!$D:$AM, 31, FALSE) / VLOOKUP("transport|NOx|Minor restricted activity days", US_national_yearly!$D:$AM, 10, FALSE), 1)</f>
        <v>0.53067900524967282</v>
      </c>
      <c r="X14" s="7">
        <f>$B14 * IFERROR(VLOOKUP("transport|NOx|Minor restricted activity days", US_national_yearly!$D:$AM, 32, FALSE) / VLOOKUP("transport|NOx|Minor restricted activity days", US_national_yearly!$D:$AM, 10, FALSE), 1)</f>
        <v>0.53379466417513988</v>
      </c>
      <c r="Y14" s="7">
        <f>$B14 * IFERROR(VLOOKUP("transport|NOx|Minor restricted activity days", US_national_yearly!$D:$AM, 33, FALSE) / VLOOKUP("transport|NOx|Minor restricted activity days", US_national_yearly!$D:$AM, 10, FALSE), 1)</f>
        <v>0.53691032310060705</v>
      </c>
      <c r="Z14" s="7">
        <f>$B14 * IFERROR(VLOOKUP("transport|NOx|Minor restricted activity days", US_national_yearly!$D:$AM, 34, FALSE) / VLOOKUP("transport|NOx|Minor restricted activity days", US_national_yearly!$D:$AM, 10, FALSE), 1)</f>
        <v>0.5400259820260741</v>
      </c>
      <c r="AA14" s="7">
        <f>$B14 * IFERROR(VLOOKUP("transport|NOx|Minor restricted activity days", US_national_yearly!$D:$AM, 35, FALSE) / VLOOKUP("transport|NOx|Minor restricted activity days", US_national_yearly!$D:$AM, 10, FALSE), 1)</f>
        <v>0.54314164095154116</v>
      </c>
      <c r="AB14" s="7">
        <f>$B14 * IFERROR(VLOOKUP("transport|NOx|Minor restricted activity days", US_national_yearly!$D:$AM, 36, FALSE) / VLOOKUP("transport|NOx|Minor restricted activity days", US_national_yearly!$D:$AM, 10, FALSE), 1)</f>
        <v>0.54625729987700833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8.0906996826813085E-2</v>
      </c>
      <c r="C15" s="7">
        <f>$B15 * IFERROR(VLOOKUP("transport|NOx|Work loss days", US_national_yearly!$D:$AM, 11, FALSE) / VLOOKUP("transport|NOx|Work loss days", US_national_yearly!$D:$AM, 10, FALSE), 1)</f>
        <v>8.1086970088732849E-2</v>
      </c>
      <c r="D15" s="7">
        <f>$B15 * IFERROR(VLOOKUP("transport|NOx|Work loss days", US_national_yearly!$D:$AM, 12, FALSE) / VLOOKUP("transport|NOx|Work loss days", US_national_yearly!$D:$AM, 10, FALSE), 1)</f>
        <v>8.1266943350652612E-2</v>
      </c>
      <c r="E15" s="7">
        <f>$B15 * IFERROR(VLOOKUP("transport|NOx|Work loss days", US_national_yearly!$D:$AM, 13, FALSE) / VLOOKUP("transport|NOx|Work loss days", US_national_yearly!$D:$AM, 10, FALSE), 1)</f>
        <v>8.1446916612572376E-2</v>
      </c>
      <c r="F15" s="7">
        <f>$B15 * IFERROR(VLOOKUP("transport|NOx|Work loss days", US_national_yearly!$D:$AM, 14, FALSE) / VLOOKUP("transport|NOx|Work loss days", US_national_yearly!$D:$AM, 10, FALSE), 1)</f>
        <v>8.1626889874492153E-2</v>
      </c>
      <c r="G15" s="7">
        <f>$B15 * IFERROR(VLOOKUP("transport|NOx|Work loss days", US_national_yearly!$D:$AM, 15, FALSE) / VLOOKUP("transport|NOx|Work loss days", US_national_yearly!$D:$AM, 10, FALSE), 1)</f>
        <v>8.1889652372146834E-2</v>
      </c>
      <c r="H15" s="7">
        <f>$B15 * IFERROR(VLOOKUP("transport|NOx|Work loss days", US_national_yearly!$D:$AM, 16, FALSE) / VLOOKUP("transport|NOx|Work loss days", US_national_yearly!$D:$AM, 10, FALSE), 1)</f>
        <v>8.2152414869801543E-2</v>
      </c>
      <c r="I15" s="7">
        <f>$B15 * IFERROR(VLOOKUP("transport|NOx|Work loss days", US_national_yearly!$D:$AM, 17, FALSE) / VLOOKUP("transport|NOx|Work loss days", US_national_yearly!$D:$AM, 10, FALSE), 1)</f>
        <v>8.2578075875268872E-2</v>
      </c>
      <c r="J15" s="7">
        <f>$B15 * IFERROR(VLOOKUP("transport|NOx|Work loss days", US_national_yearly!$D:$AM, 18, FALSE) / VLOOKUP("transport|NOx|Work loss days", US_national_yearly!$D:$AM, 10, FALSE), 1)</f>
        <v>8.3003736880736229E-2</v>
      </c>
      <c r="K15" s="7">
        <f>$B15 * IFERROR(VLOOKUP("transport|NOx|Work loss days", US_national_yearly!$D:$AM, 19, FALSE) / VLOOKUP("transport|NOx|Work loss days", US_national_yearly!$D:$AM, 10, FALSE), 1)</f>
        <v>8.3429397886203557E-2</v>
      </c>
      <c r="L15" s="7">
        <f>$B15 * IFERROR(VLOOKUP("transport|NOx|Work loss days", US_national_yearly!$D:$AM, 20, FALSE) / VLOOKUP("transport|NOx|Work loss days", US_national_yearly!$D:$AM, 10, FALSE), 1)</f>
        <v>8.3855058891670886E-2</v>
      </c>
      <c r="M15" s="7">
        <f>$B15 * IFERROR(VLOOKUP("transport|NOx|Work loss days", US_national_yearly!$D:$AM, 21, FALSE) / VLOOKUP("transport|NOx|Work loss days", US_national_yearly!$D:$AM, 10, FALSE), 1)</f>
        <v>8.4280719897138243E-2</v>
      </c>
      <c r="N15" s="7">
        <f>$B15 * IFERROR(VLOOKUP("transport|NOx|Work loss days", US_national_yearly!$D:$AM, 22, FALSE) / VLOOKUP("transport|NOx|Work loss days", US_national_yearly!$D:$AM, 10, FALSE), 1)</f>
        <v>8.4834691576031226E-2</v>
      </c>
      <c r="O15" s="7">
        <f>$B15 * IFERROR(VLOOKUP("transport|NOx|Work loss days", US_national_yearly!$D:$AM, 23, FALSE) / VLOOKUP("transport|NOx|Work loss days", US_national_yearly!$D:$AM, 10, FALSE), 1)</f>
        <v>8.5388663254924224E-2</v>
      </c>
      <c r="P15" s="7">
        <f>$B15 * IFERROR(VLOOKUP("transport|NOx|Work loss days", US_national_yearly!$D:$AM, 24, FALSE) / VLOOKUP("transport|NOx|Work loss days", US_national_yearly!$D:$AM, 10, FALSE), 1)</f>
        <v>8.5942634933817208E-2</v>
      </c>
      <c r="Q15" s="7">
        <f>$B15 * IFERROR(VLOOKUP("transport|NOx|Work loss days", US_national_yearly!$D:$AM, 25, FALSE) / VLOOKUP("transport|NOx|Work loss days", US_national_yearly!$D:$AM, 10, FALSE), 1)</f>
        <v>8.6496606612710192E-2</v>
      </c>
      <c r="R15" s="7">
        <f>$B15 * IFERROR(VLOOKUP("transport|NOx|Work loss days", US_national_yearly!$D:$AM, 26, FALSE) / VLOOKUP("transport|NOx|Work loss days", US_national_yearly!$D:$AM, 10, FALSE), 1)</f>
        <v>8.7050578291603189E-2</v>
      </c>
      <c r="S15" s="7">
        <f>$B15 * IFERROR(VLOOKUP("transport|NOx|Work loss days", US_national_yearly!$D:$AM, 27, FALSE) / VLOOKUP("transport|NOx|Work loss days", US_national_yearly!$D:$AM, 10, FALSE), 1)</f>
        <v>8.7668185881639479E-2</v>
      </c>
      <c r="T15" s="7">
        <f>$B15 * IFERROR(VLOOKUP("transport|NOx|Work loss days", US_national_yearly!$D:$AM, 28, FALSE) / VLOOKUP("transport|NOx|Work loss days", US_national_yearly!$D:$AM, 10, FALSE), 1)</f>
        <v>8.8285793471675755E-2</v>
      </c>
      <c r="U15" s="7">
        <f>$B15 * IFERROR(VLOOKUP("transport|NOx|Work loss days", US_national_yearly!$D:$AM, 29, FALSE) / VLOOKUP("transport|NOx|Work loss days", US_national_yearly!$D:$AM, 10, FALSE), 1)</f>
        <v>8.8903401061712017E-2</v>
      </c>
      <c r="V15" s="7">
        <f>$B15 * IFERROR(VLOOKUP("transport|NOx|Work loss days", US_national_yearly!$D:$AM, 30, FALSE) / VLOOKUP("transport|NOx|Work loss days", US_national_yearly!$D:$AM, 10, FALSE), 1)</f>
        <v>8.9521008651748307E-2</v>
      </c>
      <c r="W15" s="7">
        <f>$B15 * IFERROR(VLOOKUP("transport|NOx|Work loss days", US_national_yearly!$D:$AM, 31, FALSE) / VLOOKUP("transport|NOx|Work loss days", US_national_yearly!$D:$AM, 10, FALSE), 1)</f>
        <v>9.0138616241784583E-2</v>
      </c>
      <c r="X15" s="7">
        <f>$B15 * IFERROR(VLOOKUP("transport|NOx|Work loss days", US_national_yearly!$D:$AM, 32, FALSE) / VLOOKUP("transport|NOx|Work loss days", US_national_yearly!$D:$AM, 10, FALSE), 1)</f>
        <v>9.0674666701112419E-2</v>
      </c>
      <c r="Y15" s="7">
        <f>$B15 * IFERROR(VLOOKUP("transport|NOx|Work loss days", US_national_yearly!$D:$AM, 33, FALSE) / VLOOKUP("transport|NOx|Work loss days", US_national_yearly!$D:$AM, 10, FALSE), 1)</f>
        <v>9.1210717160440255E-2</v>
      </c>
      <c r="Z15" s="7">
        <f>$B15 * IFERROR(VLOOKUP("transport|NOx|Work loss days", US_national_yearly!$D:$AM, 34, FALSE) / VLOOKUP("transport|NOx|Work loss days", US_national_yearly!$D:$AM, 10, FALSE), 1)</f>
        <v>9.1746767619768091E-2</v>
      </c>
      <c r="AA15" s="7">
        <f>$B15 * IFERROR(VLOOKUP("transport|NOx|Work loss days", US_national_yearly!$D:$AM, 35, FALSE) / VLOOKUP("transport|NOx|Work loss days", US_national_yearly!$D:$AM, 10, FALSE), 1)</f>
        <v>9.2282818079095927E-2</v>
      </c>
      <c r="AB15" s="7">
        <f>$B15 * IFERROR(VLOOKUP("transport|NOx|Work loss days", US_national_yearly!$D:$AM, 36, FALSE) / VLOOKUP("transport|NOx|Work loss days", US_national_yearly!$D:$AM, 10, FALSE), 1)</f>
        <v>9.2818868538423763E-2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1.2612438101397542E-4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1.2983049950054379E-4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1.3353661798711216E-4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1.372427364736805E-4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1.4094885496024887E-4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1.4446905462463209E-4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1.4798925428901534E-4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1.5094947063868565E-4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1.5390968698835599E-4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1.5686990333802633E-4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1.5983011968769668E-4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1.6279033603736705E-4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1.6464145740695065E-4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1.6649257877653426E-4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1.6834370014611786E-4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1.701948215157015E-4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1.7204594288528508E-4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1.7289055873354343E-4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1.7373517458180179E-4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1.7457979043006015E-4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1.754244062783185E-4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1.7626902212657686E-4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1.7673908012863878E-4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1.772091381307007E-4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1.7767919613276262E-4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1.7814925413482457E-4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1.7861931213688649E-4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2.9003707780027046E-3</v>
      </c>
      <c r="C2" s="7">
        <f>$B2 * IFERROR(VLOOKUP("transport|SO2|Premature mortality", US_national_yearly!$D:$AM, 11, FALSE) / VLOOKUP("transport|SO2|Premature mortality", US_national_yearly!$D:$AM, 10, FALSE), 1)</f>
        <v>2.9371024046186446E-3</v>
      </c>
      <c r="D2" s="7">
        <f>$B2 * IFERROR(VLOOKUP("transport|SO2|Premature mortality", US_national_yearly!$D:$AM, 12, FALSE) / VLOOKUP("transport|SO2|Premature mortality", US_national_yearly!$D:$AM, 10, FALSE), 1)</f>
        <v>2.9738340312345851E-3</v>
      </c>
      <c r="E2" s="7">
        <f>$B2 * IFERROR(VLOOKUP("transport|SO2|Premature mortality", US_national_yearly!$D:$AM, 13, FALSE) / VLOOKUP("transport|SO2|Premature mortality", US_national_yearly!$D:$AM, 10, FALSE), 1)</f>
        <v>3.0105656578505247E-3</v>
      </c>
      <c r="F2" s="7">
        <f>$B2 * IFERROR(VLOOKUP("transport|SO2|Premature mortality", US_national_yearly!$D:$AM, 14, FALSE) / VLOOKUP("transport|SO2|Premature mortality", US_national_yearly!$D:$AM, 10, FALSE), 1)</f>
        <v>3.0472972844664647E-3</v>
      </c>
      <c r="G2" s="7">
        <f>$B2 * IFERROR(VLOOKUP("transport|SO2|Premature mortality", US_national_yearly!$D:$AM, 15, FALSE) / VLOOKUP("transport|SO2|Premature mortality", US_national_yearly!$D:$AM, 10, FALSE), 1)</f>
        <v>3.1180770472326196E-3</v>
      </c>
      <c r="H2" s="7">
        <f>$B2 * IFERROR(VLOOKUP("transport|SO2|Premature mortality", US_national_yearly!$D:$AM, 16, FALSE) / VLOOKUP("transport|SO2|Premature mortality", US_national_yearly!$D:$AM, 10, FALSE), 1)</f>
        <v>3.1888568099987741E-3</v>
      </c>
      <c r="I2" s="7">
        <f>$B2 * IFERROR(VLOOKUP("transport|SO2|Premature mortality", US_national_yearly!$D:$AM, 17, FALSE) / VLOOKUP("transport|SO2|Premature mortality", US_national_yearly!$D:$AM, 10, FALSE), 1)</f>
        <v>3.2356324141952081E-3</v>
      </c>
      <c r="J2" s="7">
        <f>$B2 * IFERROR(VLOOKUP("transport|SO2|Premature mortality", US_national_yearly!$D:$AM, 18, FALSE) / VLOOKUP("transport|SO2|Premature mortality", US_national_yearly!$D:$AM, 10, FALSE), 1)</f>
        <v>3.2824080183916421E-3</v>
      </c>
      <c r="K2" s="7">
        <f>$B2 * IFERROR(VLOOKUP("transport|SO2|Premature mortality", US_national_yearly!$D:$AM, 19, FALSE) / VLOOKUP("transport|SO2|Premature mortality", US_national_yearly!$D:$AM, 10, FALSE), 1)</f>
        <v>3.3291836225880752E-3</v>
      </c>
      <c r="L2" s="7">
        <f>$B2 * IFERROR(VLOOKUP("transport|SO2|Premature mortality", US_national_yearly!$D:$AM, 20, FALSE) / VLOOKUP("transport|SO2|Premature mortality", US_national_yearly!$D:$AM, 10, FALSE), 1)</f>
        <v>3.3759592267845091E-3</v>
      </c>
      <c r="M2" s="7">
        <f>$B2 * IFERROR(VLOOKUP("transport|SO2|Premature mortality", US_national_yearly!$D:$AM, 21, FALSE) / VLOOKUP("transport|SO2|Premature mortality", US_national_yearly!$D:$AM, 10, FALSE), 1)</f>
        <v>3.4227348309809431E-3</v>
      </c>
      <c r="N2" s="7">
        <f>$B2 * IFERROR(VLOOKUP("transport|SO2|Premature mortality", US_national_yearly!$D:$AM, 22, FALSE) / VLOOKUP("transport|SO2|Premature mortality", US_national_yearly!$D:$AM, 10, FALSE), 1)</f>
        <v>3.4592827508637207E-3</v>
      </c>
      <c r="O2" s="7">
        <f>$B2 * IFERROR(VLOOKUP("transport|SO2|Premature mortality", US_national_yearly!$D:$AM, 23, FALSE) / VLOOKUP("transport|SO2|Premature mortality", US_national_yearly!$D:$AM, 10, FALSE), 1)</f>
        <v>3.4958306707464984E-3</v>
      </c>
      <c r="P2" s="7">
        <f>$B2 * IFERROR(VLOOKUP("transport|SO2|Premature mortality", US_national_yearly!$D:$AM, 24, FALSE) / VLOOKUP("transport|SO2|Premature mortality", US_national_yearly!$D:$AM, 10, FALSE), 1)</f>
        <v>3.532378590629276E-3</v>
      </c>
      <c r="Q2" s="7">
        <f>$B2 * IFERROR(VLOOKUP("transport|SO2|Premature mortality", US_national_yearly!$D:$AM, 25, FALSE) / VLOOKUP("transport|SO2|Premature mortality", US_national_yearly!$D:$AM, 10, FALSE), 1)</f>
        <v>3.5689265105120537E-3</v>
      </c>
      <c r="R2" s="7">
        <f>$B2 * IFERROR(VLOOKUP("transport|SO2|Premature mortality", US_national_yearly!$D:$AM, 26, FALSE) / VLOOKUP("transport|SO2|Premature mortality", US_national_yearly!$D:$AM, 10, FALSE), 1)</f>
        <v>3.6054744303948309E-3</v>
      </c>
      <c r="S2" s="7">
        <f>$B2 * IFERROR(VLOOKUP("transport|SO2|Premature mortality", US_national_yearly!$D:$AM, 27, FALSE) / VLOOKUP("transport|SO2|Premature mortality", US_national_yearly!$D:$AM, 10, FALSE), 1)</f>
        <v>3.6250463281348936E-3</v>
      </c>
      <c r="T2" s="7">
        <f>$B2 * IFERROR(VLOOKUP("transport|SO2|Premature mortality", US_national_yearly!$D:$AM, 28, FALSE) / VLOOKUP("transport|SO2|Premature mortality", US_national_yearly!$D:$AM, 10, FALSE), 1)</f>
        <v>3.644618225874956E-3</v>
      </c>
      <c r="U2" s="7">
        <f>$B2 * IFERROR(VLOOKUP("transport|SO2|Premature mortality", US_national_yearly!$D:$AM, 29, FALSE) / VLOOKUP("transport|SO2|Premature mortality", US_national_yearly!$D:$AM, 10, FALSE), 1)</f>
        <v>3.6641901236150183E-3</v>
      </c>
      <c r="V2" s="7">
        <f>$B2 * IFERROR(VLOOKUP("transport|SO2|Premature mortality", US_national_yearly!$D:$AM, 30, FALSE) / VLOOKUP("transport|SO2|Premature mortality", US_national_yearly!$D:$AM, 10, FALSE), 1)</f>
        <v>3.6837620213550802E-3</v>
      </c>
      <c r="W2" s="7">
        <f>$B2 * IFERROR(VLOOKUP("transport|SO2|Premature mortality", US_national_yearly!$D:$AM, 31, FALSE) / VLOOKUP("transport|SO2|Premature mortality", US_national_yearly!$D:$AM, 10, FALSE), 1)</f>
        <v>3.7033339190951434E-3</v>
      </c>
      <c r="X2" s="7">
        <f>$B2 * IFERROR(VLOOKUP("transport|SO2|Premature mortality", US_national_yearly!$D:$AM, 32, FALSE) / VLOOKUP("transport|SO2|Premature mortality", US_national_yearly!$D:$AM, 10, FALSE), 1)</f>
        <v>3.7073100099869697E-3</v>
      </c>
      <c r="Y2" s="7">
        <f>$B2 * IFERROR(VLOOKUP("transport|SO2|Premature mortality", US_national_yearly!$D:$AM, 33, FALSE) / VLOOKUP("transport|SO2|Premature mortality", US_national_yearly!$D:$AM, 10, FALSE), 1)</f>
        <v>3.7112861008787969E-3</v>
      </c>
      <c r="Z2" s="7">
        <f>$B2 * IFERROR(VLOOKUP("transport|SO2|Premature mortality", US_national_yearly!$D:$AM, 34, FALSE) / VLOOKUP("transport|SO2|Premature mortality", US_national_yearly!$D:$AM, 10, FALSE), 1)</f>
        <v>3.7152621917706245E-3</v>
      </c>
      <c r="AA2" s="7">
        <f>$B2 * IFERROR(VLOOKUP("transport|SO2|Premature mortality", US_national_yearly!$D:$AM, 35, FALSE) / VLOOKUP("transport|SO2|Premature mortality", US_national_yearly!$D:$AM, 10, FALSE), 1)</f>
        <v>3.7192382826624517E-3</v>
      </c>
      <c r="AB2" s="7">
        <f>$B2 * IFERROR(VLOOKUP("transport|SO2|Premature mortality", US_national_yearly!$D:$AM, 36, FALSE) / VLOOKUP("transport|SO2|Premature mortality", US_national_yearly!$D:$AM, 10, FALSE), 1)</f>
        <v>3.7232143735542781E-3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8.5308417033186139E-6</v>
      </c>
      <c r="C3" s="7">
        <f>$B3 * IFERROR(VLOOKUP("transport|SO2|Infant mortality", US_national_yearly!$D:$AM, 11, FALSE) / VLOOKUP("transport|SO2|Infant mortality", US_national_yearly!$D:$AM, 10, FALSE), 1)</f>
        <v>8.457560217014055E-6</v>
      </c>
      <c r="D3" s="7">
        <f>$B3 * IFERROR(VLOOKUP("transport|SO2|Infant mortality", US_national_yearly!$D:$AM, 12, FALSE) / VLOOKUP("transport|SO2|Infant mortality", US_national_yearly!$D:$AM, 10, FALSE), 1)</f>
        <v>8.3842787307094977E-6</v>
      </c>
      <c r="E3" s="7">
        <f>$B3 * IFERROR(VLOOKUP("transport|SO2|Infant mortality", US_national_yearly!$D:$AM, 13, FALSE) / VLOOKUP("transport|SO2|Infant mortality", US_national_yearly!$D:$AM, 10, FALSE), 1)</f>
        <v>8.3109972444049388E-6</v>
      </c>
      <c r="F3" s="7">
        <f>$B3 * IFERROR(VLOOKUP("transport|SO2|Infant mortality", US_national_yearly!$D:$AM, 14, FALSE) / VLOOKUP("transport|SO2|Infant mortality", US_national_yearly!$D:$AM, 10, FALSE), 1)</f>
        <v>8.2377157581003799E-6</v>
      </c>
      <c r="G3" s="7">
        <f>$B3 * IFERROR(VLOOKUP("transport|SO2|Infant mortality", US_national_yearly!$D:$AM, 15, FALSE) / VLOOKUP("transport|SO2|Infant mortality", US_national_yearly!$D:$AM, 10, FALSE), 1)</f>
        <v>5.4869821735432935E-6</v>
      </c>
      <c r="H3" s="7">
        <f>$B3 * IFERROR(VLOOKUP("transport|SO2|Infant mortality", US_national_yearly!$D:$AM, 16, FALSE) / VLOOKUP("transport|SO2|Infant mortality", US_national_yearly!$D:$AM, 10, FALSE), 1)</f>
        <v>2.7362485889862109E-6</v>
      </c>
      <c r="I3" s="7">
        <f>$B3 * IFERROR(VLOOKUP("transport|SO2|Infant mortality", US_national_yearly!$D:$AM, 17, FALSE) / VLOOKUP("transport|SO2|Infant mortality", US_national_yearly!$D:$AM, 10, FALSE), 1)</f>
        <v>2.7190832753113684E-6</v>
      </c>
      <c r="J3" s="7">
        <f>$B3 * IFERROR(VLOOKUP("transport|SO2|Infant mortality", US_national_yearly!$D:$AM, 18, FALSE) / VLOOKUP("transport|SO2|Infant mortality", US_national_yearly!$D:$AM, 10, FALSE), 1)</f>
        <v>2.7019179616365259E-6</v>
      </c>
      <c r="K3" s="7">
        <f>$B3 * IFERROR(VLOOKUP("transport|SO2|Infant mortality", US_national_yearly!$D:$AM, 19, FALSE) / VLOOKUP("transport|SO2|Infant mortality", US_national_yearly!$D:$AM, 10, FALSE), 1)</f>
        <v>2.6847526479616835E-6</v>
      </c>
      <c r="L3" s="7">
        <f>$B3 * IFERROR(VLOOKUP("transport|SO2|Infant mortality", US_national_yearly!$D:$AM, 20, FALSE) / VLOOKUP("transport|SO2|Infant mortality", US_national_yearly!$D:$AM, 10, FALSE), 1)</f>
        <v>2.6675873342868415E-6</v>
      </c>
      <c r="M3" s="7">
        <f>$B3 * IFERROR(VLOOKUP("transport|SO2|Infant mortality", US_national_yearly!$D:$AM, 21, FALSE) / VLOOKUP("transport|SO2|Infant mortality", US_national_yearly!$D:$AM, 10, FALSE), 1)</f>
        <v>2.650422020611999E-6</v>
      </c>
      <c r="N3" s="7">
        <f>$B3 * IFERROR(VLOOKUP("transport|SO2|Infant mortality", US_national_yearly!$D:$AM, 22, FALSE) / VLOOKUP("transport|SO2|Infant mortality", US_national_yearly!$D:$AM, 10, FALSE), 1)</f>
        <v>2.6396474817292059E-6</v>
      </c>
      <c r="O3" s="7">
        <f>$B3 * IFERROR(VLOOKUP("transport|SO2|Infant mortality", US_national_yearly!$D:$AM, 23, FALSE) / VLOOKUP("transport|SO2|Infant mortality", US_national_yearly!$D:$AM, 10, FALSE), 1)</f>
        <v>2.6288729428464127E-6</v>
      </c>
      <c r="P3" s="7">
        <f>$B3 * IFERROR(VLOOKUP("transport|SO2|Infant mortality", US_national_yearly!$D:$AM, 24, FALSE) / VLOOKUP("transport|SO2|Infant mortality", US_national_yearly!$D:$AM, 10, FALSE), 1)</f>
        <v>2.6180984039636192E-6</v>
      </c>
      <c r="Q3" s="7">
        <f>$B3 * IFERROR(VLOOKUP("transport|SO2|Infant mortality", US_national_yearly!$D:$AM, 25, FALSE) / VLOOKUP("transport|SO2|Infant mortality", US_national_yearly!$D:$AM, 10, FALSE), 1)</f>
        <v>2.6073238650808265E-6</v>
      </c>
      <c r="R3" s="7">
        <f>$B3 * IFERROR(VLOOKUP("transport|SO2|Infant mortality", US_national_yearly!$D:$AM, 26, FALSE) / VLOOKUP("transport|SO2|Infant mortality", US_national_yearly!$D:$AM, 10, FALSE), 1)</f>
        <v>2.596549326198033E-6</v>
      </c>
      <c r="S3" s="7">
        <f>$B3 * IFERROR(VLOOKUP("transport|SO2|Infant mortality", US_national_yearly!$D:$AM, 27, FALSE) / VLOOKUP("transport|SO2|Infant mortality", US_national_yearly!$D:$AM, 10, FALSE), 1)</f>
        <v>2.5830212362317267E-6</v>
      </c>
      <c r="T3" s="7">
        <f>$B3 * IFERROR(VLOOKUP("transport|SO2|Infant mortality", US_national_yearly!$D:$AM, 28, FALSE) / VLOOKUP("transport|SO2|Infant mortality", US_national_yearly!$D:$AM, 10, FALSE), 1)</f>
        <v>2.5694931462654204E-6</v>
      </c>
      <c r="U3" s="7">
        <f>$B3 * IFERROR(VLOOKUP("transport|SO2|Infant mortality", US_national_yearly!$D:$AM, 29, FALSE) / VLOOKUP("transport|SO2|Infant mortality", US_national_yearly!$D:$AM, 10, FALSE), 1)</f>
        <v>2.5559650562991132E-6</v>
      </c>
      <c r="V3" s="7">
        <f>$B3 * IFERROR(VLOOKUP("transport|SO2|Infant mortality", US_national_yearly!$D:$AM, 30, FALSE) / VLOOKUP("transport|SO2|Infant mortality", US_national_yearly!$D:$AM, 10, FALSE), 1)</f>
        <v>2.5424369663328073E-6</v>
      </c>
      <c r="W3" s="7">
        <f>$B3 * IFERROR(VLOOKUP("transport|SO2|Infant mortality", US_national_yearly!$D:$AM, 31, FALSE) / VLOOKUP("transport|SO2|Infant mortality", US_national_yearly!$D:$AM, 10, FALSE), 1)</f>
        <v>2.5289088763665006E-6</v>
      </c>
      <c r="X3" s="7">
        <f>$B3 * IFERROR(VLOOKUP("transport|SO2|Infant mortality", US_national_yearly!$D:$AM, 32, FALSE) / VLOOKUP("transport|SO2|Infant mortality", US_national_yearly!$D:$AM, 10, FALSE), 1)</f>
        <v>2.5141184982897706E-6</v>
      </c>
      <c r="Y3" s="7">
        <f>$B3 * IFERROR(VLOOKUP("transport|SO2|Infant mortality", US_national_yearly!$D:$AM, 33, FALSE) / VLOOKUP("transport|SO2|Infant mortality", US_national_yearly!$D:$AM, 10, FALSE), 1)</f>
        <v>2.4993281202130393E-6</v>
      </c>
      <c r="Z3" s="7">
        <f>$B3 * IFERROR(VLOOKUP("transport|SO2|Infant mortality", US_national_yearly!$D:$AM, 34, FALSE) / VLOOKUP("transport|SO2|Infant mortality", US_national_yearly!$D:$AM, 10, FALSE), 1)</f>
        <v>2.4845377421363092E-6</v>
      </c>
      <c r="AA3" s="7">
        <f>$B3 * IFERROR(VLOOKUP("transport|SO2|Infant mortality", US_national_yearly!$D:$AM, 35, FALSE) / VLOOKUP("transport|SO2|Infant mortality", US_national_yearly!$D:$AM, 10, FALSE), 1)</f>
        <v>2.4697473640595783E-6</v>
      </c>
      <c r="AB3" s="7">
        <f>$B3 * IFERROR(VLOOKUP("transport|SO2|Infant mortality", US_national_yearly!$D:$AM, 36, FALSE) / VLOOKUP("transport|SO2|Infant mortality", US_national_yearly!$D:$AM, 10, FALSE), 1)</f>
        <v>2.4549569859828483E-6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8.4557622098681336E-3</v>
      </c>
      <c r="C6" s="7">
        <f>$B6 * IFERROR(VLOOKUP("transport|SO2|Asthma symptoms cough", US_national_yearly!$D:$AM, 11, FALSE) / VLOOKUP("transport|SO2|Asthma symptoms cough", US_national_yearly!$D:$AM, 10, FALSE), 1)</f>
        <v>8.4557622098681336E-3</v>
      </c>
      <c r="D6" s="7">
        <f>$B6 * IFERROR(VLOOKUP("transport|SO2|Asthma symptoms cough", US_national_yearly!$D:$AM, 12, FALSE) / VLOOKUP("transport|SO2|Asthma symptoms cough", US_national_yearly!$D:$AM, 10, FALSE), 1)</f>
        <v>8.4557622098681336E-3</v>
      </c>
      <c r="E6" s="7">
        <f>$B6 * IFERROR(VLOOKUP("transport|SO2|Asthma symptoms cough", US_national_yearly!$D:$AM, 13, FALSE) / VLOOKUP("transport|SO2|Asthma symptoms cough", US_national_yearly!$D:$AM, 10, FALSE), 1)</f>
        <v>8.4557622098681336E-3</v>
      </c>
      <c r="F6" s="7">
        <f>$B6 * IFERROR(VLOOKUP("transport|SO2|Asthma symptoms cough", US_national_yearly!$D:$AM, 14, FALSE) / VLOOKUP("transport|SO2|Asthma symptoms cough", US_national_yearly!$D:$AM, 10, FALSE), 1)</f>
        <v>8.4557622098681336E-3</v>
      </c>
      <c r="G6" s="7">
        <f>$B6 * IFERROR(VLOOKUP("transport|SO2|Asthma symptoms cough", US_national_yearly!$D:$AM, 15, FALSE) / VLOOKUP("transport|SO2|Asthma symptoms cough", US_national_yearly!$D:$AM, 10, FALSE), 1)</f>
        <v>8.4557622098681336E-3</v>
      </c>
      <c r="H6" s="7">
        <f>$B6 * IFERROR(VLOOKUP("transport|SO2|Asthma symptoms cough", US_national_yearly!$D:$AM, 16, FALSE) / VLOOKUP("transport|SO2|Asthma symptoms cough", US_national_yearly!$D:$AM, 10, FALSE), 1)</f>
        <v>8.4557622098681336E-3</v>
      </c>
      <c r="I6" s="7">
        <f>$B6 * IFERROR(VLOOKUP("transport|SO2|Asthma symptoms cough", US_national_yearly!$D:$AM, 17, FALSE) / VLOOKUP("transport|SO2|Asthma symptoms cough", US_national_yearly!$D:$AM, 10, FALSE), 1)</f>
        <v>8.4557622098681336E-3</v>
      </c>
      <c r="J6" s="7">
        <f>$B6 * IFERROR(VLOOKUP("transport|SO2|Asthma symptoms cough", US_national_yearly!$D:$AM, 18, FALSE) / VLOOKUP("transport|SO2|Asthma symptoms cough", US_national_yearly!$D:$AM, 10, FALSE), 1)</f>
        <v>8.4557622098681336E-3</v>
      </c>
      <c r="K6" s="7">
        <f>$B6 * IFERROR(VLOOKUP("transport|SO2|Asthma symptoms cough", US_national_yearly!$D:$AM, 19, FALSE) / VLOOKUP("transport|SO2|Asthma symptoms cough", US_national_yearly!$D:$AM, 10, FALSE), 1)</f>
        <v>8.4557622098681336E-3</v>
      </c>
      <c r="L6" s="7">
        <f>$B6 * IFERROR(VLOOKUP("transport|SO2|Asthma symptoms cough", US_national_yearly!$D:$AM, 20, FALSE) / VLOOKUP("transport|SO2|Asthma symptoms cough", US_national_yearly!$D:$AM, 10, FALSE), 1)</f>
        <v>8.4557622098681336E-3</v>
      </c>
      <c r="M6" s="7">
        <f>$B6 * IFERROR(VLOOKUP("transport|SO2|Asthma symptoms cough", US_national_yearly!$D:$AM, 21, FALSE) / VLOOKUP("transport|SO2|Asthma symptoms cough", US_national_yearly!$D:$AM, 10, FALSE), 1)</f>
        <v>8.4557622098681336E-3</v>
      </c>
      <c r="N6" s="7">
        <f>$B6 * IFERROR(VLOOKUP("transport|SO2|Asthma symptoms cough", US_national_yearly!$D:$AM, 22, FALSE) / VLOOKUP("transport|SO2|Asthma symptoms cough", US_national_yearly!$D:$AM, 10, FALSE), 1)</f>
        <v>8.4557622098681336E-3</v>
      </c>
      <c r="O6" s="7">
        <f>$B6 * IFERROR(VLOOKUP("transport|SO2|Asthma symptoms cough", US_national_yearly!$D:$AM, 23, FALSE) / VLOOKUP("transport|SO2|Asthma symptoms cough", US_national_yearly!$D:$AM, 10, FALSE), 1)</f>
        <v>8.4557622098681336E-3</v>
      </c>
      <c r="P6" s="7">
        <f>$B6 * IFERROR(VLOOKUP("transport|SO2|Asthma symptoms cough", US_national_yearly!$D:$AM, 24, FALSE) / VLOOKUP("transport|SO2|Asthma symptoms cough", US_national_yearly!$D:$AM, 10, FALSE), 1)</f>
        <v>8.4557622098681336E-3</v>
      </c>
      <c r="Q6" s="7">
        <f>$B6 * IFERROR(VLOOKUP("transport|SO2|Asthma symptoms cough", US_national_yearly!$D:$AM, 25, FALSE) / VLOOKUP("transport|SO2|Asthma symptoms cough", US_national_yearly!$D:$AM, 10, FALSE), 1)</f>
        <v>8.4557622098681336E-3</v>
      </c>
      <c r="R6" s="7">
        <f>$B6 * IFERROR(VLOOKUP("transport|SO2|Asthma symptoms cough", US_national_yearly!$D:$AM, 26, FALSE) / VLOOKUP("transport|SO2|Asthma symptoms cough", US_national_yearly!$D:$AM, 10, FALSE), 1)</f>
        <v>8.4557622098681336E-3</v>
      </c>
      <c r="S6" s="7">
        <f>$B6 * IFERROR(VLOOKUP("transport|SO2|Asthma symptoms cough", US_national_yearly!$D:$AM, 27, FALSE) / VLOOKUP("transport|SO2|Asthma symptoms cough", US_national_yearly!$D:$AM, 10, FALSE), 1)</f>
        <v>8.4557622098681336E-3</v>
      </c>
      <c r="T6" s="7">
        <f>$B6 * IFERROR(VLOOKUP("transport|SO2|Asthma symptoms cough", US_national_yearly!$D:$AM, 28, FALSE) / VLOOKUP("transport|SO2|Asthma symptoms cough", US_national_yearly!$D:$AM, 10, FALSE), 1)</f>
        <v>8.4557622098681336E-3</v>
      </c>
      <c r="U6" s="7">
        <f>$B6 * IFERROR(VLOOKUP("transport|SO2|Asthma symptoms cough", US_national_yearly!$D:$AM, 29, FALSE) / VLOOKUP("transport|SO2|Asthma symptoms cough", US_national_yearly!$D:$AM, 10, FALSE), 1)</f>
        <v>8.4557622098681336E-3</v>
      </c>
      <c r="V6" s="7">
        <f>$B6 * IFERROR(VLOOKUP("transport|SO2|Asthma symptoms cough", US_national_yearly!$D:$AM, 30, FALSE) / VLOOKUP("transport|SO2|Asthma symptoms cough", US_national_yearly!$D:$AM, 10, FALSE), 1)</f>
        <v>8.4557622098681336E-3</v>
      </c>
      <c r="W6" s="7">
        <f>$B6 * IFERROR(VLOOKUP("transport|SO2|Asthma symptoms cough", US_national_yearly!$D:$AM, 31, FALSE) / VLOOKUP("transport|SO2|Asthma symptoms cough", US_national_yearly!$D:$AM, 10, FALSE), 1)</f>
        <v>8.4557622098681336E-3</v>
      </c>
      <c r="X6" s="7">
        <f>$B6 * IFERROR(VLOOKUP("transport|SO2|Asthma symptoms cough", US_national_yearly!$D:$AM, 32, FALSE) / VLOOKUP("transport|SO2|Asthma symptoms cough", US_national_yearly!$D:$AM, 10, FALSE), 1)</f>
        <v>8.4557622098681336E-3</v>
      </c>
      <c r="Y6" s="7">
        <f>$B6 * IFERROR(VLOOKUP("transport|SO2|Asthma symptoms cough", US_national_yearly!$D:$AM, 33, FALSE) / VLOOKUP("transport|SO2|Asthma symptoms cough", US_national_yearly!$D:$AM, 10, FALSE), 1)</f>
        <v>8.4557622098681336E-3</v>
      </c>
      <c r="Z6" s="7">
        <f>$B6 * IFERROR(VLOOKUP("transport|SO2|Asthma symptoms cough", US_national_yearly!$D:$AM, 34, FALSE) / VLOOKUP("transport|SO2|Asthma symptoms cough", US_national_yearly!$D:$AM, 10, FALSE), 1)</f>
        <v>8.4557622098681336E-3</v>
      </c>
      <c r="AA6" s="7">
        <f>$B6 * IFERROR(VLOOKUP("transport|SO2|Asthma symptoms cough", US_national_yearly!$D:$AM, 35, FALSE) / VLOOKUP("transport|SO2|Asthma symptoms cough", US_national_yearly!$D:$AM, 10, FALSE), 1)</f>
        <v>8.4557622098681336E-3</v>
      </c>
      <c r="AB6" s="7">
        <f>$B6 * IFERROR(VLOOKUP("transport|SO2|Asthma symptoms cough", US_national_yearly!$D:$AM, 36, FALSE) / VLOOKUP("transport|SO2|Asthma symptoms cough", US_national_yearly!$D:$AM, 10, FALSE), 1)</f>
        <v>8.4557622098681336E-3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1.1386916731006086E-2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1.1386916731006086E-2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1.1386916731006086E-2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1.1386916731006086E-2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1.1386916731006086E-2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1.1386916731006086E-2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1.1386916731006086E-2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1.1386916731006086E-2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1.1386916731006086E-2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1.1386916731006086E-2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1.1386916731006086E-2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1.1386916731006086E-2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1.1386916731006086E-2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1.1386916731006086E-2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1.1386916731006086E-2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1.1386916731006086E-2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1.1386916731006086E-2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1.1386916731006086E-2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1.1386916731006086E-2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1.1386916731006086E-2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1.1386916731006086E-2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1.1386916731006086E-2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1.1386916731006086E-2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1.1386916731006086E-2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1.1386916731006086E-2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1.1386916731006086E-2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1.1386916731006086E-2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1.7397257734639061E-2</v>
      </c>
      <c r="C8" s="7">
        <f>$B8 * IFERROR(VLOOKUP("transport|SO2|Asthma symptoms wheeze", US_national_yearly!$D:$AM, 11, FALSE) / VLOOKUP("transport|SO2|Asthma symptoms wheeze", US_national_yearly!$D:$AM, 10, FALSE), 1)</f>
        <v>1.7397257734639061E-2</v>
      </c>
      <c r="D8" s="7">
        <f>$B8 * IFERROR(VLOOKUP("transport|SO2|Asthma symptoms wheeze", US_national_yearly!$D:$AM, 12, FALSE) / VLOOKUP("transport|SO2|Asthma symptoms wheeze", US_national_yearly!$D:$AM, 10, FALSE), 1)</f>
        <v>1.7397257734639061E-2</v>
      </c>
      <c r="E8" s="7">
        <f>$B8 * IFERROR(VLOOKUP("transport|SO2|Asthma symptoms wheeze", US_national_yearly!$D:$AM, 13, FALSE) / VLOOKUP("transport|SO2|Asthma symptoms wheeze", US_national_yearly!$D:$AM, 10, FALSE), 1)</f>
        <v>1.7397257734639061E-2</v>
      </c>
      <c r="F8" s="7">
        <f>$B8 * IFERROR(VLOOKUP("transport|SO2|Asthma symptoms wheeze", US_national_yearly!$D:$AM, 14, FALSE) / VLOOKUP("transport|SO2|Asthma symptoms wheeze", US_national_yearly!$D:$AM, 10, FALSE), 1)</f>
        <v>1.7397257734639061E-2</v>
      </c>
      <c r="G8" s="7">
        <f>$B8 * IFERROR(VLOOKUP("transport|SO2|Asthma symptoms wheeze", US_national_yearly!$D:$AM, 15, FALSE) / VLOOKUP("transport|SO2|Asthma symptoms wheeze", US_national_yearly!$D:$AM, 10, FALSE), 1)</f>
        <v>1.7397257734639061E-2</v>
      </c>
      <c r="H8" s="7">
        <f>$B8 * IFERROR(VLOOKUP("transport|SO2|Asthma symptoms wheeze", US_national_yearly!$D:$AM, 16, FALSE) / VLOOKUP("transport|SO2|Asthma symptoms wheeze", US_national_yearly!$D:$AM, 10, FALSE), 1)</f>
        <v>1.7397257734639061E-2</v>
      </c>
      <c r="I8" s="7">
        <f>$B8 * IFERROR(VLOOKUP("transport|SO2|Asthma symptoms wheeze", US_national_yearly!$D:$AM, 17, FALSE) / VLOOKUP("transport|SO2|Asthma symptoms wheeze", US_national_yearly!$D:$AM, 10, FALSE), 1)</f>
        <v>1.7397257734639061E-2</v>
      </c>
      <c r="J8" s="7">
        <f>$B8 * IFERROR(VLOOKUP("transport|SO2|Asthma symptoms wheeze", US_national_yearly!$D:$AM, 18, FALSE) / VLOOKUP("transport|SO2|Asthma symptoms wheeze", US_national_yearly!$D:$AM, 10, FALSE), 1)</f>
        <v>1.7397257734639061E-2</v>
      </c>
      <c r="K8" s="7">
        <f>$B8 * IFERROR(VLOOKUP("transport|SO2|Asthma symptoms wheeze", US_national_yearly!$D:$AM, 19, FALSE) / VLOOKUP("transport|SO2|Asthma symptoms wheeze", US_national_yearly!$D:$AM, 10, FALSE), 1)</f>
        <v>1.7397257734639061E-2</v>
      </c>
      <c r="L8" s="7">
        <f>$B8 * IFERROR(VLOOKUP("transport|SO2|Asthma symptoms wheeze", US_national_yearly!$D:$AM, 20, FALSE) / VLOOKUP("transport|SO2|Asthma symptoms wheeze", US_national_yearly!$D:$AM, 10, FALSE), 1)</f>
        <v>1.7397257734639061E-2</v>
      </c>
      <c r="M8" s="7">
        <f>$B8 * IFERROR(VLOOKUP("transport|SO2|Asthma symptoms wheeze", US_national_yearly!$D:$AM, 21, FALSE) / VLOOKUP("transport|SO2|Asthma symptoms wheeze", US_national_yearly!$D:$AM, 10, FALSE), 1)</f>
        <v>1.7397257734639061E-2</v>
      </c>
      <c r="N8" s="7">
        <f>$B8 * IFERROR(VLOOKUP("transport|SO2|Asthma symptoms wheeze", US_national_yearly!$D:$AM, 22, FALSE) / VLOOKUP("transport|SO2|Asthma symptoms wheeze", US_national_yearly!$D:$AM, 10, FALSE), 1)</f>
        <v>1.7397257734639061E-2</v>
      </c>
      <c r="O8" s="7">
        <f>$B8 * IFERROR(VLOOKUP("transport|SO2|Asthma symptoms wheeze", US_national_yearly!$D:$AM, 23, FALSE) / VLOOKUP("transport|SO2|Asthma symptoms wheeze", US_national_yearly!$D:$AM, 10, FALSE), 1)</f>
        <v>1.7397257734639061E-2</v>
      </c>
      <c r="P8" s="7">
        <f>$B8 * IFERROR(VLOOKUP("transport|SO2|Asthma symptoms wheeze", US_national_yearly!$D:$AM, 24, FALSE) / VLOOKUP("transport|SO2|Asthma symptoms wheeze", US_national_yearly!$D:$AM, 10, FALSE), 1)</f>
        <v>1.7397257734639061E-2</v>
      </c>
      <c r="Q8" s="7">
        <f>$B8 * IFERROR(VLOOKUP("transport|SO2|Asthma symptoms wheeze", US_national_yearly!$D:$AM, 25, FALSE) / VLOOKUP("transport|SO2|Asthma symptoms wheeze", US_national_yearly!$D:$AM, 10, FALSE), 1)</f>
        <v>1.7397257734639061E-2</v>
      </c>
      <c r="R8" s="7">
        <f>$B8 * IFERROR(VLOOKUP("transport|SO2|Asthma symptoms wheeze", US_national_yearly!$D:$AM, 26, FALSE) / VLOOKUP("transport|SO2|Asthma symptoms wheeze", US_national_yearly!$D:$AM, 10, FALSE), 1)</f>
        <v>1.7397257734639061E-2</v>
      </c>
      <c r="S8" s="7">
        <f>$B8 * IFERROR(VLOOKUP("transport|SO2|Asthma symptoms wheeze", US_national_yearly!$D:$AM, 27, FALSE) / VLOOKUP("transport|SO2|Asthma symptoms wheeze", US_national_yearly!$D:$AM, 10, FALSE), 1)</f>
        <v>1.7397257734639061E-2</v>
      </c>
      <c r="T8" s="7">
        <f>$B8 * IFERROR(VLOOKUP("transport|SO2|Asthma symptoms wheeze", US_national_yearly!$D:$AM, 28, FALSE) / VLOOKUP("transport|SO2|Asthma symptoms wheeze", US_national_yearly!$D:$AM, 10, FALSE), 1)</f>
        <v>1.7397257734639061E-2</v>
      </c>
      <c r="U8" s="7">
        <f>$B8 * IFERROR(VLOOKUP("transport|SO2|Asthma symptoms wheeze", US_national_yearly!$D:$AM, 29, FALSE) / VLOOKUP("transport|SO2|Asthma symptoms wheeze", US_national_yearly!$D:$AM, 10, FALSE), 1)</f>
        <v>1.7397257734639061E-2</v>
      </c>
      <c r="V8" s="7">
        <f>$B8 * IFERROR(VLOOKUP("transport|SO2|Asthma symptoms wheeze", US_national_yearly!$D:$AM, 30, FALSE) / VLOOKUP("transport|SO2|Asthma symptoms wheeze", US_national_yearly!$D:$AM, 10, FALSE), 1)</f>
        <v>1.7397257734639061E-2</v>
      </c>
      <c r="W8" s="7">
        <f>$B8 * IFERROR(VLOOKUP("transport|SO2|Asthma symptoms wheeze", US_national_yearly!$D:$AM, 31, FALSE) / VLOOKUP("transport|SO2|Asthma symptoms wheeze", US_national_yearly!$D:$AM, 10, FALSE), 1)</f>
        <v>1.7397257734639061E-2</v>
      </c>
      <c r="X8" s="7">
        <f>$B8 * IFERROR(VLOOKUP("transport|SO2|Asthma symptoms wheeze", US_national_yearly!$D:$AM, 32, FALSE) / VLOOKUP("transport|SO2|Asthma symptoms wheeze", US_national_yearly!$D:$AM, 10, FALSE), 1)</f>
        <v>1.7397257734639061E-2</v>
      </c>
      <c r="Y8" s="7">
        <f>$B8 * IFERROR(VLOOKUP("transport|SO2|Asthma symptoms wheeze", US_national_yearly!$D:$AM, 33, FALSE) / VLOOKUP("transport|SO2|Asthma symptoms wheeze", US_national_yearly!$D:$AM, 10, FALSE), 1)</f>
        <v>1.7397257734639061E-2</v>
      </c>
      <c r="Z8" s="7">
        <f>$B8 * IFERROR(VLOOKUP("transport|SO2|Asthma symptoms wheeze", US_national_yearly!$D:$AM, 34, FALSE) / VLOOKUP("transport|SO2|Asthma symptoms wheeze", US_national_yearly!$D:$AM, 10, FALSE), 1)</f>
        <v>1.7397257734639061E-2</v>
      </c>
      <c r="AA8" s="7">
        <f>$B8 * IFERROR(VLOOKUP("transport|SO2|Asthma symptoms wheeze", US_national_yearly!$D:$AM, 35, FALSE) / VLOOKUP("transport|SO2|Asthma symptoms wheeze", US_national_yearly!$D:$AM, 10, FALSE), 1)</f>
        <v>1.7397257734639061E-2</v>
      </c>
      <c r="AB8" s="7">
        <f>$B8 * IFERROR(VLOOKUP("transport|SO2|Asthma symptoms wheeze", US_national_yearly!$D:$AM, 36, FALSE) / VLOOKUP("transport|SO2|Asthma symptoms wheeze", US_national_yearly!$D:$AM, 10, FALSE), 1)</f>
        <v>1.7397257734639061E-2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1.8262006413839106E-4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1.8369716635196503E-4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1.8477426856553899E-4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1.8585137077911296E-4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1.869284729926869E-4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1.8810269608138431E-4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1.8927691917008173E-4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1.9043484294338842E-4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1.9159276671669516E-4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1.9275069049000181E-4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1.9390861426330855E-4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1.9506653803661521E-4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1.9591178664764603E-4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1.967570352586768E-4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1.9760228386970759E-4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1.9844753248073841E-4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1.9929278109176917E-4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2.0009908377240364E-4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2.0090538645303808E-4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2.0171168913367255E-4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2.0251799181430702E-4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2.0332429449494149E-4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2.0408934335969532E-4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2.0485439222444913E-4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2.0561944108920296E-4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2.0638448995395677E-4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2.0714953881871063E-4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1.1230113138472747E-3</v>
      </c>
      <c r="C13" s="7">
        <f>$B13 * IFERROR(VLOOKUP("transport|SO2|Non-fatal heart attacks", US_national_yearly!$D:$AM, 11, FALSE) / VLOOKUP("transport|SO2|Non-fatal heart attacks", US_national_yearly!$D:$AM, 10, FALSE), 1)</f>
        <v>1.1559788470210841E-3</v>
      </c>
      <c r="D13" s="7">
        <f>$B13 * IFERROR(VLOOKUP("transport|SO2|Non-fatal heart attacks", US_national_yearly!$D:$AM, 12, FALSE) / VLOOKUP("transport|SO2|Non-fatal heart attacks", US_national_yearly!$D:$AM, 10, FALSE), 1)</f>
        <v>1.1889463801948933E-3</v>
      </c>
      <c r="E13" s="7">
        <f>$B13 * IFERROR(VLOOKUP("transport|SO2|Non-fatal heart attacks", US_national_yearly!$D:$AM, 13, FALSE) / VLOOKUP("transport|SO2|Non-fatal heart attacks", US_national_yearly!$D:$AM, 10, FALSE), 1)</f>
        <v>1.2219139133687028E-3</v>
      </c>
      <c r="F13" s="7">
        <f>$B13 * IFERROR(VLOOKUP("transport|SO2|Non-fatal heart attacks", US_national_yearly!$D:$AM, 14, FALSE) / VLOOKUP("transport|SO2|Non-fatal heart attacks", US_national_yearly!$D:$AM, 10, FALSE), 1)</f>
        <v>1.2548814465425117E-3</v>
      </c>
      <c r="G13" s="7">
        <f>$B13 * IFERROR(VLOOKUP("transport|SO2|Non-fatal heart attacks", US_national_yearly!$D:$AM, 15, FALSE) / VLOOKUP("transport|SO2|Non-fatal heart attacks", US_national_yearly!$D:$AM, 10, FALSE), 1)</f>
        <v>1.285972888250924E-3</v>
      </c>
      <c r="H13" s="7">
        <f>$B13 * IFERROR(VLOOKUP("transport|SO2|Non-fatal heart attacks", US_national_yearly!$D:$AM, 16, FALSE) / VLOOKUP("transport|SO2|Non-fatal heart attacks", US_national_yearly!$D:$AM, 10, FALSE), 1)</f>
        <v>1.3170643299593363E-3</v>
      </c>
      <c r="I13" s="7">
        <f>$B13 * IFERROR(VLOOKUP("transport|SO2|Non-fatal heart attacks", US_national_yearly!$D:$AM, 17, FALSE) / VLOOKUP("transport|SO2|Non-fatal heart attacks", US_national_yearly!$D:$AM, 10, FALSE), 1)</f>
        <v>1.342083193818409E-3</v>
      </c>
      <c r="J13" s="7">
        <f>$B13 * IFERROR(VLOOKUP("transport|SO2|Non-fatal heart attacks", US_national_yearly!$D:$AM, 18, FALSE) / VLOOKUP("transport|SO2|Non-fatal heart attacks", US_national_yearly!$D:$AM, 10, FALSE), 1)</f>
        <v>1.3671020576774817E-3</v>
      </c>
      <c r="K13" s="7">
        <f>$B13 * IFERROR(VLOOKUP("transport|SO2|Non-fatal heart attacks", US_national_yearly!$D:$AM, 19, FALSE) / VLOOKUP("transport|SO2|Non-fatal heart attacks", US_national_yearly!$D:$AM, 10, FALSE), 1)</f>
        <v>1.3921209215365543E-3</v>
      </c>
      <c r="L13" s="7">
        <f>$B13 * IFERROR(VLOOKUP("transport|SO2|Non-fatal heart attacks", US_national_yearly!$D:$AM, 20, FALSE) / VLOOKUP("transport|SO2|Non-fatal heart attacks", US_national_yearly!$D:$AM, 10, FALSE), 1)</f>
        <v>1.4171397853956272E-3</v>
      </c>
      <c r="M13" s="7">
        <f>$B13 * IFERROR(VLOOKUP("transport|SO2|Non-fatal heart attacks", US_national_yearly!$D:$AM, 21, FALSE) / VLOOKUP("transport|SO2|Non-fatal heart attacks", US_national_yearly!$D:$AM, 10, FALSE), 1)</f>
        <v>1.4421586492547002E-3</v>
      </c>
      <c r="N13" s="7">
        <f>$B13 * IFERROR(VLOOKUP("transport|SO2|Non-fatal heart attacks", US_national_yearly!$D:$AM, 22, FALSE) / VLOOKUP("transport|SO2|Non-fatal heart attacks", US_national_yearly!$D:$AM, 10, FALSE), 1)</f>
        <v>1.4584036998263746E-3</v>
      </c>
      <c r="O13" s="7">
        <f>$B13 * IFERROR(VLOOKUP("transport|SO2|Non-fatal heart attacks", US_national_yearly!$D:$AM, 23, FALSE) / VLOOKUP("transport|SO2|Non-fatal heart attacks", US_national_yearly!$D:$AM, 10, FALSE), 1)</f>
        <v>1.4746487503980495E-3</v>
      </c>
      <c r="P13" s="7">
        <f>$B13 * IFERROR(VLOOKUP("transport|SO2|Non-fatal heart attacks", US_national_yearly!$D:$AM, 24, FALSE) / VLOOKUP("transport|SO2|Non-fatal heart attacks", US_national_yearly!$D:$AM, 10, FALSE), 1)</f>
        <v>1.4908938009697244E-3</v>
      </c>
      <c r="Q13" s="7">
        <f>$B13 * IFERROR(VLOOKUP("transport|SO2|Non-fatal heart attacks", US_national_yearly!$D:$AM, 25, FALSE) / VLOOKUP("transport|SO2|Non-fatal heart attacks", US_national_yearly!$D:$AM, 10, FALSE), 1)</f>
        <v>1.5071388515413993E-3</v>
      </c>
      <c r="R13" s="7">
        <f>$B13 * IFERROR(VLOOKUP("transport|SO2|Non-fatal heart attacks", US_national_yearly!$D:$AM, 26, FALSE) / VLOOKUP("transport|SO2|Non-fatal heart attacks", US_national_yearly!$D:$AM, 10, FALSE), 1)</f>
        <v>1.523383902113074E-3</v>
      </c>
      <c r="S13" s="7">
        <f>$B13 * IFERROR(VLOOKUP("transport|SO2|Non-fatal heart attacks", US_national_yearly!$D:$AM, 27, FALSE) / VLOOKUP("transport|SO2|Non-fatal heart attacks", US_national_yearly!$D:$AM, 10, FALSE), 1)</f>
        <v>1.531865351641563E-3</v>
      </c>
      <c r="T13" s="7">
        <f>$B13 * IFERROR(VLOOKUP("transport|SO2|Non-fatal heart attacks", US_national_yearly!$D:$AM, 28, FALSE) / VLOOKUP("transport|SO2|Non-fatal heart attacks", US_national_yearly!$D:$AM, 10, FALSE), 1)</f>
        <v>1.5403468011700519E-3</v>
      </c>
      <c r="U13" s="7">
        <f>$B13 * IFERROR(VLOOKUP("transport|SO2|Non-fatal heart attacks", US_national_yearly!$D:$AM, 29, FALSE) / VLOOKUP("transport|SO2|Non-fatal heart attacks", US_national_yearly!$D:$AM, 10, FALSE), 1)</f>
        <v>1.5488282506985406E-3</v>
      </c>
      <c r="V13" s="7">
        <f>$B13 * IFERROR(VLOOKUP("transport|SO2|Non-fatal heart attacks", US_national_yearly!$D:$AM, 30, FALSE) / VLOOKUP("transport|SO2|Non-fatal heart attacks", US_national_yearly!$D:$AM, 10, FALSE), 1)</f>
        <v>1.5573097002270293E-3</v>
      </c>
      <c r="W13" s="7">
        <f>$B13 * IFERROR(VLOOKUP("transport|SO2|Non-fatal heart attacks", US_national_yearly!$D:$AM, 31, FALSE) / VLOOKUP("transport|SO2|Non-fatal heart attacks", US_national_yearly!$D:$AM, 10, FALSE), 1)</f>
        <v>1.5657911497555185E-3</v>
      </c>
      <c r="X13" s="7">
        <f>$B13 * IFERROR(VLOOKUP("transport|SO2|Non-fatal heart attacks", US_national_yearly!$D:$AM, 32, FALSE) / VLOOKUP("transport|SO2|Non-fatal heart attacks", US_national_yearly!$D:$AM, 10, FALSE), 1)</f>
        <v>1.5721939022444737E-3</v>
      </c>
      <c r="Y13" s="7">
        <f>$B13 * IFERROR(VLOOKUP("transport|SO2|Non-fatal heart attacks", US_national_yearly!$D:$AM, 33, FALSE) / VLOOKUP("transport|SO2|Non-fatal heart attacks", US_national_yearly!$D:$AM, 10, FALSE), 1)</f>
        <v>1.578596654733429E-3</v>
      </c>
      <c r="Z13" s="7">
        <f>$B13 * IFERROR(VLOOKUP("transport|SO2|Non-fatal heart attacks", US_national_yearly!$D:$AM, 34, FALSE) / VLOOKUP("transport|SO2|Non-fatal heart attacks", US_national_yearly!$D:$AM, 10, FALSE), 1)</f>
        <v>1.5849994072223842E-3</v>
      </c>
      <c r="AA13" s="7">
        <f>$B13 * IFERROR(VLOOKUP("transport|SO2|Non-fatal heart attacks", US_national_yearly!$D:$AM, 35, FALSE) / VLOOKUP("transport|SO2|Non-fatal heart attacks", US_national_yearly!$D:$AM, 10, FALSE), 1)</f>
        <v>1.5914021597113394E-3</v>
      </c>
      <c r="AB13" s="7">
        <f>$B13 * IFERROR(VLOOKUP("transport|SO2|Non-fatal heart attacks", US_national_yearly!$D:$AM, 36, FALSE) / VLOOKUP("transport|SO2|Non-fatal heart attacks", US_national_yearly!$D:$AM, 10, FALSE), 1)</f>
        <v>1.5978049122002947E-3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1.0383058441175994</v>
      </c>
      <c r="C14" s="7">
        <f>$B14 * IFERROR(VLOOKUP("transport|SO2|Minor restricted activity days", US_national_yearly!$D:$AM, 11, FALSE) / VLOOKUP("transport|SO2|Minor restricted activity days", US_national_yearly!$D:$AM, 10, FALSE), 1)</f>
        <v>1.0409230671950842</v>
      </c>
      <c r="D14" s="7">
        <f>$B14 * IFERROR(VLOOKUP("transport|SO2|Minor restricted activity days", US_national_yearly!$D:$AM, 12, FALSE) / VLOOKUP("transport|SO2|Minor restricted activity days", US_national_yearly!$D:$AM, 10, FALSE), 1)</f>
        <v>1.043540290272569</v>
      </c>
      <c r="E14" s="7">
        <f>$B14 * IFERROR(VLOOKUP("transport|SO2|Minor restricted activity days", US_national_yearly!$D:$AM, 13, FALSE) / VLOOKUP("transport|SO2|Minor restricted activity days", US_national_yearly!$D:$AM, 10, FALSE), 1)</f>
        <v>1.0461575133500538</v>
      </c>
      <c r="F14" s="7">
        <f>$B14 * IFERROR(VLOOKUP("transport|SO2|Minor restricted activity days", US_national_yearly!$D:$AM, 14, FALSE) / VLOOKUP("transport|SO2|Minor restricted activity days", US_national_yearly!$D:$AM, 10, FALSE), 1)</f>
        <v>1.0487747364275386</v>
      </c>
      <c r="G14" s="7">
        <f>$B14 * IFERROR(VLOOKUP("transport|SO2|Minor restricted activity days", US_national_yearly!$D:$AM, 15, FALSE) / VLOOKUP("transport|SO2|Minor restricted activity days", US_national_yearly!$D:$AM, 10, FALSE), 1)</f>
        <v>1.0526270316801654</v>
      </c>
      <c r="H14" s="7">
        <f>$B14 * IFERROR(VLOOKUP("transport|SO2|Minor restricted activity days", US_national_yearly!$D:$AM, 16, FALSE) / VLOOKUP("transport|SO2|Minor restricted activity days", US_national_yearly!$D:$AM, 10, FALSE), 1)</f>
        <v>1.0564793269327921</v>
      </c>
      <c r="I14" s="7">
        <f>$B14 * IFERROR(VLOOKUP("transport|SO2|Minor restricted activity days", US_national_yearly!$D:$AM, 17, FALSE) / VLOOKUP("transport|SO2|Minor restricted activity days", US_national_yearly!$D:$AM, 10, FALSE), 1)</f>
        <v>1.063049057410159</v>
      </c>
      <c r="J14" s="7">
        <f>$B14 * IFERROR(VLOOKUP("transport|SO2|Minor restricted activity days", US_national_yearly!$D:$AM, 18, FALSE) / VLOOKUP("transport|SO2|Minor restricted activity days", US_national_yearly!$D:$AM, 10, FALSE), 1)</f>
        <v>1.0696187878875258</v>
      </c>
      <c r="K14" s="7">
        <f>$B14 * IFERROR(VLOOKUP("transport|SO2|Minor restricted activity days", US_national_yearly!$D:$AM, 19, FALSE) / VLOOKUP("transport|SO2|Minor restricted activity days", US_national_yearly!$D:$AM, 10, FALSE), 1)</f>
        <v>1.0761885183648929</v>
      </c>
      <c r="L14" s="7">
        <f>$B14 * IFERROR(VLOOKUP("transport|SO2|Minor restricted activity days", US_national_yearly!$D:$AM, 20, FALSE) / VLOOKUP("transport|SO2|Minor restricted activity days", US_national_yearly!$D:$AM, 10, FALSE), 1)</f>
        <v>1.0827582488422598</v>
      </c>
      <c r="M14" s="7">
        <f>$B14 * IFERROR(VLOOKUP("transport|SO2|Minor restricted activity days", US_national_yearly!$D:$AM, 21, FALSE) / VLOOKUP("transport|SO2|Minor restricted activity days", US_national_yearly!$D:$AM, 10, FALSE), 1)</f>
        <v>1.0893279793196267</v>
      </c>
      <c r="N14" s="7">
        <f>$B14 * IFERROR(VLOOKUP("transport|SO2|Minor restricted activity days", US_national_yearly!$D:$AM, 22, FALSE) / VLOOKUP("transport|SO2|Minor restricted activity days", US_national_yearly!$D:$AM, 10, FALSE), 1)</f>
        <v>1.0983143164404237</v>
      </c>
      <c r="O14" s="7">
        <f>$B14 * IFERROR(VLOOKUP("transport|SO2|Minor restricted activity days", US_national_yearly!$D:$AM, 23, FALSE) / VLOOKUP("transport|SO2|Minor restricted activity days", US_national_yearly!$D:$AM, 10, FALSE), 1)</f>
        <v>1.1073006535612209</v>
      </c>
      <c r="P14" s="7">
        <f>$B14 * IFERROR(VLOOKUP("transport|SO2|Minor restricted activity days", US_national_yearly!$D:$AM, 24, FALSE) / VLOOKUP("transport|SO2|Minor restricted activity days", US_national_yearly!$D:$AM, 10, FALSE), 1)</f>
        <v>1.1162869906820181</v>
      </c>
      <c r="Q14" s="7">
        <f>$B14 * IFERROR(VLOOKUP("transport|SO2|Minor restricted activity days", US_national_yearly!$D:$AM, 25, FALSE) / VLOOKUP("transport|SO2|Minor restricted activity days", US_national_yearly!$D:$AM, 10, FALSE), 1)</f>
        <v>1.1252733278028151</v>
      </c>
      <c r="R14" s="7">
        <f>$B14 * IFERROR(VLOOKUP("transport|SO2|Minor restricted activity days", US_national_yearly!$D:$AM, 26, FALSE) / VLOOKUP("transport|SO2|Minor restricted activity days", US_national_yearly!$D:$AM, 10, FALSE), 1)</f>
        <v>1.1342596649236123</v>
      </c>
      <c r="S14" s="7">
        <f>$B14 * IFERROR(VLOOKUP("transport|SO2|Minor restricted activity days", US_national_yearly!$D:$AM, 27, FALSE) / VLOOKUP("transport|SO2|Minor restricted activity days", US_national_yearly!$D:$AM, 10, FALSE), 1)</f>
        <v>1.1434221151463493</v>
      </c>
      <c r="T14" s="7">
        <f>$B14 * IFERROR(VLOOKUP("transport|SO2|Minor restricted activity days", US_national_yearly!$D:$AM, 28, FALSE) / VLOOKUP("transport|SO2|Minor restricted activity days", US_national_yearly!$D:$AM, 10, FALSE), 1)</f>
        <v>1.1525845653690863</v>
      </c>
      <c r="U14" s="7">
        <f>$B14 * IFERROR(VLOOKUP("transport|SO2|Minor restricted activity days", US_national_yearly!$D:$AM, 29, FALSE) / VLOOKUP("transport|SO2|Minor restricted activity days", US_national_yearly!$D:$AM, 10, FALSE), 1)</f>
        <v>1.1617470155918233</v>
      </c>
      <c r="V14" s="7">
        <f>$B14 * IFERROR(VLOOKUP("transport|SO2|Minor restricted activity days", US_national_yearly!$D:$AM, 30, FALSE) / VLOOKUP("transport|SO2|Minor restricted activity days", US_national_yearly!$D:$AM, 10, FALSE), 1)</f>
        <v>1.1709094658145602</v>
      </c>
      <c r="W14" s="7">
        <f>$B14 * IFERROR(VLOOKUP("transport|SO2|Minor restricted activity days", US_national_yearly!$D:$AM, 31, FALSE) / VLOOKUP("transport|SO2|Minor restricted activity days", US_national_yearly!$D:$AM, 10, FALSE), 1)</f>
        <v>1.1800719160372974</v>
      </c>
      <c r="X14" s="7">
        <f>$B14 * IFERROR(VLOOKUP("transport|SO2|Minor restricted activity days", US_national_yearly!$D:$AM, 32, FALSE) / VLOOKUP("transport|SO2|Minor restricted activity days", US_national_yearly!$D:$AM, 10, FALSE), 1)</f>
        <v>1.1881295608633811</v>
      </c>
      <c r="Y14" s="7">
        <f>$B14 * IFERROR(VLOOKUP("transport|SO2|Minor restricted activity days", US_national_yearly!$D:$AM, 33, FALSE) / VLOOKUP("transport|SO2|Minor restricted activity days", US_national_yearly!$D:$AM, 10, FALSE), 1)</f>
        <v>1.1961872056894645</v>
      </c>
      <c r="Z14" s="7">
        <f>$B14 * IFERROR(VLOOKUP("transport|SO2|Minor restricted activity days", US_national_yearly!$D:$AM, 34, FALSE) / VLOOKUP("transport|SO2|Minor restricted activity days", US_national_yearly!$D:$AM, 10, FALSE), 1)</f>
        <v>1.2042448505155483</v>
      </c>
      <c r="AA14" s="7">
        <f>$B14 * IFERROR(VLOOKUP("transport|SO2|Minor restricted activity days", US_national_yearly!$D:$AM, 35, FALSE) / VLOOKUP("transport|SO2|Minor restricted activity days", US_national_yearly!$D:$AM, 10, FALSE), 1)</f>
        <v>1.2123024953416317</v>
      </c>
      <c r="AB14" s="7">
        <f>$B14 * IFERROR(VLOOKUP("transport|SO2|Minor restricted activity days", US_national_yearly!$D:$AM, 36, FALSE) / VLOOKUP("transport|SO2|Minor restricted activity days", US_national_yearly!$D:$AM, 10, FALSE), 1)</f>
        <v>1.2203601401677155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0.17671121949370075</v>
      </c>
      <c r="C15" s="7">
        <f>$B15 * IFERROR(VLOOKUP("transport|SO2|Work loss days", US_national_yearly!$D:$AM, 11, FALSE) / VLOOKUP("transport|SO2|Work loss days", US_national_yearly!$D:$AM, 10, FALSE), 1)</f>
        <v>0.17728373575909631</v>
      </c>
      <c r="D15" s="7">
        <f>$B15 * IFERROR(VLOOKUP("transport|SO2|Work loss days", US_national_yearly!$D:$AM, 12, FALSE) / VLOOKUP("transport|SO2|Work loss days", US_national_yearly!$D:$AM, 10, FALSE), 1)</f>
        <v>0.17785625202449187</v>
      </c>
      <c r="E15" s="7">
        <f>$B15 * IFERROR(VLOOKUP("transport|SO2|Work loss days", US_national_yearly!$D:$AM, 13, FALSE) / VLOOKUP("transport|SO2|Work loss days", US_national_yearly!$D:$AM, 10, FALSE), 1)</f>
        <v>0.17842876828988746</v>
      </c>
      <c r="F15" s="7">
        <f>$B15 * IFERROR(VLOOKUP("transport|SO2|Work loss days", US_national_yearly!$D:$AM, 14, FALSE) / VLOOKUP("transport|SO2|Work loss days", US_national_yearly!$D:$AM, 10, FALSE), 1)</f>
        <v>0.17900128455528302</v>
      </c>
      <c r="G15" s="7">
        <f>$B15 * IFERROR(VLOOKUP("transport|SO2|Work loss days", US_national_yearly!$D:$AM, 15, FALSE) / VLOOKUP("transport|SO2|Work loss days", US_national_yearly!$D:$AM, 10, FALSE), 1)</f>
        <v>0.1797493471078648</v>
      </c>
      <c r="H15" s="7">
        <f>$B15 * IFERROR(VLOOKUP("transport|SO2|Work loss days", US_national_yearly!$D:$AM, 16, FALSE) / VLOOKUP("transport|SO2|Work loss days", US_national_yearly!$D:$AM, 10, FALSE), 1)</f>
        <v>0.18049740966044656</v>
      </c>
      <c r="I15" s="7">
        <f>$B15 * IFERROR(VLOOKUP("transport|SO2|Work loss days", US_national_yearly!$D:$AM, 17, FALSE) / VLOOKUP("transport|SO2|Work loss days", US_national_yearly!$D:$AM, 10, FALSE), 1)</f>
        <v>0.1815917247547208</v>
      </c>
      <c r="J15" s="7">
        <f>$B15 * IFERROR(VLOOKUP("transport|SO2|Work loss days", US_national_yearly!$D:$AM, 18, FALSE) / VLOOKUP("transport|SO2|Work loss days", US_national_yearly!$D:$AM, 10, FALSE), 1)</f>
        <v>0.18268603984899495</v>
      </c>
      <c r="K15" s="7">
        <f>$B15 * IFERROR(VLOOKUP("transport|SO2|Work loss days", US_national_yearly!$D:$AM, 19, FALSE) / VLOOKUP("transport|SO2|Work loss days", US_national_yearly!$D:$AM, 10, FALSE), 1)</f>
        <v>0.18378035494326919</v>
      </c>
      <c r="L15" s="7">
        <f>$B15 * IFERROR(VLOOKUP("transport|SO2|Work loss days", US_national_yearly!$D:$AM, 20, FALSE) / VLOOKUP("transport|SO2|Work loss days", US_national_yearly!$D:$AM, 10, FALSE), 1)</f>
        <v>0.1848746700375434</v>
      </c>
      <c r="M15" s="7">
        <f>$B15 * IFERROR(VLOOKUP("transport|SO2|Work loss days", US_national_yearly!$D:$AM, 21, FALSE) / VLOOKUP("transport|SO2|Work loss days", US_national_yearly!$D:$AM, 10, FALSE), 1)</f>
        <v>0.18596898513181762</v>
      </c>
      <c r="N15" s="7">
        <f>$B15 * IFERROR(VLOOKUP("transport|SO2|Work loss days", US_national_yearly!$D:$AM, 22, FALSE) / VLOOKUP("transport|SO2|Work loss days", US_national_yearly!$D:$AM, 10, FALSE), 1)</f>
        <v>0.18734107892564378</v>
      </c>
      <c r="O15" s="7">
        <f>$B15 * IFERROR(VLOOKUP("transport|SO2|Work loss days", US_national_yearly!$D:$AM, 23, FALSE) / VLOOKUP("transport|SO2|Work loss days", US_national_yearly!$D:$AM, 10, FALSE), 1)</f>
        <v>0.18871317271946994</v>
      </c>
      <c r="P15" s="7">
        <f>$B15 * IFERROR(VLOOKUP("transport|SO2|Work loss days", US_national_yearly!$D:$AM, 24, FALSE) / VLOOKUP("transport|SO2|Work loss days", US_national_yearly!$D:$AM, 10, FALSE), 1)</f>
        <v>0.19008526651329605</v>
      </c>
      <c r="Q15" s="7">
        <f>$B15 * IFERROR(VLOOKUP("transport|SO2|Work loss days", US_national_yearly!$D:$AM, 25, FALSE) / VLOOKUP("transport|SO2|Work loss days", US_national_yearly!$D:$AM, 10, FALSE), 1)</f>
        <v>0.19145736030712221</v>
      </c>
      <c r="R15" s="7">
        <f>$B15 * IFERROR(VLOOKUP("transport|SO2|Work loss days", US_national_yearly!$D:$AM, 26, FALSE) / VLOOKUP("transport|SO2|Work loss days", US_national_yearly!$D:$AM, 10, FALSE), 1)</f>
        <v>0.19282945410094837</v>
      </c>
      <c r="S15" s="7">
        <f>$B15 * IFERROR(VLOOKUP("transport|SO2|Work loss days", US_national_yearly!$D:$AM, 27, FALSE) / VLOOKUP("transport|SO2|Work loss days", US_national_yearly!$D:$AM, 10, FALSE), 1)</f>
        <v>0.19436276439181363</v>
      </c>
      <c r="T15" s="7">
        <f>$B15 * IFERROR(VLOOKUP("transport|SO2|Work loss days", US_national_yearly!$D:$AM, 28, FALSE) / VLOOKUP("transport|SO2|Work loss days", US_national_yearly!$D:$AM, 10, FALSE), 1)</f>
        <v>0.19589607468267892</v>
      </c>
      <c r="U15" s="7">
        <f>$B15 * IFERROR(VLOOKUP("transport|SO2|Work loss days", US_national_yearly!$D:$AM, 29, FALSE) / VLOOKUP("transport|SO2|Work loss days", US_national_yearly!$D:$AM, 10, FALSE), 1)</f>
        <v>0.19742938497354418</v>
      </c>
      <c r="V15" s="7">
        <f>$B15 * IFERROR(VLOOKUP("transport|SO2|Work loss days", US_national_yearly!$D:$AM, 30, FALSE) / VLOOKUP("transport|SO2|Work loss days", US_national_yearly!$D:$AM, 10, FALSE), 1)</f>
        <v>0.19896269526440946</v>
      </c>
      <c r="W15" s="7">
        <f>$B15 * IFERROR(VLOOKUP("transport|SO2|Work loss days", US_national_yearly!$D:$AM, 31, FALSE) / VLOOKUP("transport|SO2|Work loss days", US_national_yearly!$D:$AM, 10, FALSE), 1)</f>
        <v>0.20049600555527475</v>
      </c>
      <c r="X15" s="7">
        <f>$B15 * IFERROR(VLOOKUP("transport|SO2|Work loss days", US_national_yearly!$D:$AM, 32, FALSE) / VLOOKUP("transport|SO2|Work loss days", US_national_yearly!$D:$AM, 10, FALSE), 1)</f>
        <v>0.20187270685017095</v>
      </c>
      <c r="Y15" s="7">
        <f>$B15 * IFERROR(VLOOKUP("transport|SO2|Work loss days", US_national_yearly!$D:$AM, 33, FALSE) / VLOOKUP("transport|SO2|Work loss days", US_national_yearly!$D:$AM, 10, FALSE), 1)</f>
        <v>0.20324940814506717</v>
      </c>
      <c r="Z15" s="7">
        <f>$B15 * IFERROR(VLOOKUP("transport|SO2|Work loss days", US_national_yearly!$D:$AM, 34, FALSE) / VLOOKUP("transport|SO2|Work loss days", US_national_yearly!$D:$AM, 10, FALSE), 1)</f>
        <v>0.2046261094399634</v>
      </c>
      <c r="AA15" s="7">
        <f>$B15 * IFERROR(VLOOKUP("transport|SO2|Work loss days", US_national_yearly!$D:$AM, 35, FALSE) / VLOOKUP("transport|SO2|Work loss days", US_national_yearly!$D:$AM, 10, FALSE), 1)</f>
        <v>0.20600281073485965</v>
      </c>
      <c r="AB15" s="7">
        <f>$B15 * IFERROR(VLOOKUP("transport|SO2|Work loss days", US_national_yearly!$D:$AM, 36, FALSE) / VLOOKUP("transport|SO2|Work loss days", US_national_yearly!$D:$AM, 10, FALSE), 1)</f>
        <v>0.20737951202975588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2.7277187471401779E-4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2.8102154076392529E-4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2.8927120681383284E-4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2.9752087286374034E-4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3.0577053891364794E-4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3.1367293456882703E-4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3.2157533022400612E-4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3.2834614116144471E-4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3.3511695209888334E-4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3.4188776303632193E-4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3.4865857397376051E-4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3.5542938491119904E-4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3.5997782753968124E-4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3.6452627016816339E-4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3.6907471279664549E-4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3.7362315542512764E-4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3.7817159805360984E-4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3.8056375502677384E-4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3.8295591199993784E-4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3.8534806897310179E-4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3.8774022594626579E-4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3.9013238291942979E-4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3.9173831697418261E-4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3.9334425102893544E-4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3.9495018508368826E-4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3.9655611913844114E-4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3.9816205319319391E-4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5.1830459329963944E-3</v>
      </c>
      <c r="C2" s="7">
        <f>$B2 * IFERROR(VLOOKUP("electricity|PM25|Premature mortality", US_national_yearly!$D:$AM, 11, FALSE) / VLOOKUP("electricity|PM25|Premature mortality", US_national_yearly!$D:$AM, 10, FALSE), 1)</f>
        <v>5.2472443721283046E-3</v>
      </c>
      <c r="D2" s="7">
        <f>$B2 * IFERROR(VLOOKUP("electricity|PM25|Premature mortality", US_national_yearly!$D:$AM, 12, FALSE) / VLOOKUP("electricity|PM25|Premature mortality", US_national_yearly!$D:$AM, 10, FALSE), 1)</f>
        <v>5.3114428112602157E-3</v>
      </c>
      <c r="E2" s="7">
        <f>$B2 * IFERROR(VLOOKUP("electricity|PM25|Premature mortality", US_national_yearly!$D:$AM, 13, FALSE) / VLOOKUP("electricity|PM25|Premature mortality", US_national_yearly!$D:$AM, 10, FALSE), 1)</f>
        <v>5.3756412503921259E-3</v>
      </c>
      <c r="F2" s="7">
        <f>$B2 * IFERROR(VLOOKUP("electricity|PM25|Premature mortality", US_national_yearly!$D:$AM, 14, FALSE) / VLOOKUP("electricity|PM25|Premature mortality", US_national_yearly!$D:$AM, 10, FALSE), 1)</f>
        <v>5.4398396895240378E-3</v>
      </c>
      <c r="G2" s="7">
        <f>$B2 * IFERROR(VLOOKUP("electricity|PM25|Premature mortality", US_national_yearly!$D:$AM, 15, FALSE) / VLOOKUP("electricity|PM25|Premature mortality", US_national_yearly!$D:$AM, 10, FALSE), 1)</f>
        <v>5.5659288381596384E-3</v>
      </c>
      <c r="H2" s="7">
        <f>$B2 * IFERROR(VLOOKUP("electricity|PM25|Premature mortality", US_national_yearly!$D:$AM, 16, FALSE) / VLOOKUP("electricity|PM25|Premature mortality", US_national_yearly!$D:$AM, 10, FALSE), 1)</f>
        <v>5.6920179867952399E-3</v>
      </c>
      <c r="I2" s="7">
        <f>$B2 * IFERROR(VLOOKUP("electricity|PM25|Premature mortality", US_national_yearly!$D:$AM, 17, FALSE) / VLOOKUP("electricity|PM25|Premature mortality", US_national_yearly!$D:$AM, 10, FALSE), 1)</f>
        <v>5.7767383568117303E-3</v>
      </c>
      <c r="J2" s="7">
        <f>$B2 * IFERROR(VLOOKUP("electricity|PM25|Premature mortality", US_national_yearly!$D:$AM, 18, FALSE) / VLOOKUP("electricity|PM25|Premature mortality", US_national_yearly!$D:$AM, 10, FALSE), 1)</f>
        <v>5.8614587268282226E-3</v>
      </c>
      <c r="K2" s="7">
        <f>$B2 * IFERROR(VLOOKUP("electricity|PM25|Premature mortality", US_national_yearly!$D:$AM, 19, FALSE) / VLOOKUP("electricity|PM25|Premature mortality", US_national_yearly!$D:$AM, 10, FALSE), 1)</f>
        <v>5.946179096844713E-3</v>
      </c>
      <c r="L2" s="7">
        <f>$B2 * IFERROR(VLOOKUP("electricity|PM25|Premature mortality", US_national_yearly!$D:$AM, 20, FALSE) / VLOOKUP("electricity|PM25|Premature mortality", US_national_yearly!$D:$AM, 10, FALSE), 1)</f>
        <v>6.0308994668612044E-3</v>
      </c>
      <c r="M2" s="7">
        <f>$B2 * IFERROR(VLOOKUP("electricity|PM25|Premature mortality", US_national_yearly!$D:$AM, 21, FALSE) / VLOOKUP("electricity|PM25|Premature mortality", US_national_yearly!$D:$AM, 10, FALSE), 1)</f>
        <v>6.1156198368776948E-3</v>
      </c>
      <c r="N2" s="7">
        <f>$B2 * IFERROR(VLOOKUP("electricity|PM25|Premature mortality", US_national_yearly!$D:$AM, 22, FALSE) / VLOOKUP("electricity|PM25|Premature mortality", US_national_yearly!$D:$AM, 10, FALSE), 1)</f>
        <v>6.1831515635246649E-3</v>
      </c>
      <c r="O2" s="7">
        <f>$B2 * IFERROR(VLOOKUP("electricity|PM25|Premature mortality", US_national_yearly!$D:$AM, 23, FALSE) / VLOOKUP("electricity|PM25|Premature mortality", US_national_yearly!$D:$AM, 10, FALSE), 1)</f>
        <v>6.2506832901716349E-3</v>
      </c>
      <c r="P2" s="7">
        <f>$B2 * IFERROR(VLOOKUP("electricity|PM25|Premature mortality", US_national_yearly!$D:$AM, 24, FALSE) / VLOOKUP("electricity|PM25|Premature mortality", US_national_yearly!$D:$AM, 10, FALSE), 1)</f>
        <v>6.318215016818605E-3</v>
      </c>
      <c r="Q2" s="7">
        <f>$B2 * IFERROR(VLOOKUP("electricity|PM25|Premature mortality", US_national_yearly!$D:$AM, 25, FALSE) / VLOOKUP("electricity|PM25|Premature mortality", US_national_yearly!$D:$AM, 10, FALSE), 1)</f>
        <v>6.3857467434655741E-3</v>
      </c>
      <c r="R2" s="7">
        <f>$B2 * IFERROR(VLOOKUP("electricity|PM25|Premature mortality", US_national_yearly!$D:$AM, 26, FALSE) / VLOOKUP("electricity|PM25|Premature mortality", US_national_yearly!$D:$AM, 10, FALSE), 1)</f>
        <v>6.453278470112545E-3</v>
      </c>
      <c r="S2" s="7">
        <f>$B2 * IFERROR(VLOOKUP("electricity|PM25|Premature mortality", US_national_yearly!$D:$AM, 27, FALSE) / VLOOKUP("electricity|PM25|Premature mortality", US_national_yearly!$D:$AM, 10, FALSE), 1)</f>
        <v>6.4919204860529886E-3</v>
      </c>
      <c r="T2" s="7">
        <f>$B2 * IFERROR(VLOOKUP("electricity|PM25|Premature mortality", US_national_yearly!$D:$AM, 28, FALSE) / VLOOKUP("electricity|PM25|Premature mortality", US_national_yearly!$D:$AM, 10, FALSE), 1)</f>
        <v>6.5305625019934305E-3</v>
      </c>
      <c r="U2" s="7">
        <f>$B2 * IFERROR(VLOOKUP("electricity|PM25|Premature mortality", US_national_yearly!$D:$AM, 29, FALSE) / VLOOKUP("electricity|PM25|Premature mortality", US_national_yearly!$D:$AM, 10, FALSE), 1)</f>
        <v>6.5692045179338758E-3</v>
      </c>
      <c r="V2" s="7">
        <f>$B2 * IFERROR(VLOOKUP("electricity|PM25|Premature mortality", US_national_yearly!$D:$AM, 30, FALSE) / VLOOKUP("electricity|PM25|Premature mortality", US_national_yearly!$D:$AM, 10, FALSE), 1)</f>
        <v>6.6078465338743177E-3</v>
      </c>
      <c r="W2" s="7">
        <f>$B2 * IFERROR(VLOOKUP("electricity|PM25|Premature mortality", US_national_yearly!$D:$AM, 31, FALSE) / VLOOKUP("electricity|PM25|Premature mortality", US_national_yearly!$D:$AM, 10, FALSE), 1)</f>
        <v>6.6464885498147613E-3</v>
      </c>
      <c r="X2" s="7">
        <f>$B2 * IFERROR(VLOOKUP("electricity|PM25|Premature mortality", US_national_yearly!$D:$AM, 32, FALSE) / VLOOKUP("electricity|PM25|Premature mortality", US_national_yearly!$D:$AM, 10, FALSE), 1)</f>
        <v>6.6572230519994788E-3</v>
      </c>
      <c r="Y2" s="7">
        <f>$B2 * IFERROR(VLOOKUP("electricity|PM25|Premature mortality", US_national_yearly!$D:$AM, 33, FALSE) / VLOOKUP("electricity|PM25|Premature mortality", US_national_yearly!$D:$AM, 10, FALSE), 1)</f>
        <v>6.6679575541841963E-3</v>
      </c>
      <c r="Z2" s="7">
        <f>$B2 * IFERROR(VLOOKUP("electricity|PM25|Premature mortality", US_national_yearly!$D:$AM, 34, FALSE) / VLOOKUP("electricity|PM25|Premature mortality", US_national_yearly!$D:$AM, 10, FALSE), 1)</f>
        <v>6.6786920563689138E-3</v>
      </c>
      <c r="AA2" s="7">
        <f>$B2 * IFERROR(VLOOKUP("electricity|PM25|Premature mortality", US_national_yearly!$D:$AM, 35, FALSE) / VLOOKUP("electricity|PM25|Premature mortality", US_national_yearly!$D:$AM, 10, FALSE), 1)</f>
        <v>6.6894265585536331E-3</v>
      </c>
      <c r="AB2" s="7">
        <f>$B2 * IFERROR(VLOOKUP("electricity|PM25|Premature mortality", US_national_yearly!$D:$AM, 36, FALSE) / VLOOKUP("electricity|PM25|Premature mortality", US_national_yearly!$D:$AM, 10, FALSE), 1)</f>
        <v>6.7001610607383506E-3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1.5283704284045033E-5</v>
      </c>
      <c r="C3" s="7">
        <f>$B3 * IFERROR(VLOOKUP("electricity|PM25|Infant mortality", US_national_yearly!$D:$AM, 11, FALSE) / VLOOKUP("electricity|PM25|Infant mortality", US_national_yearly!$D:$AM, 10, FALSE), 1)</f>
        <v>1.5150537407116137E-5</v>
      </c>
      <c r="D3" s="7">
        <f>$B3 * IFERROR(VLOOKUP("electricity|PM25|Infant mortality", US_national_yearly!$D:$AM, 12, FALSE) / VLOOKUP("electricity|PM25|Infant mortality", US_national_yearly!$D:$AM, 10, FALSE), 1)</f>
        <v>1.5017370530187242E-5</v>
      </c>
      <c r="E3" s="7">
        <f>$B3 * IFERROR(VLOOKUP("electricity|PM25|Infant mortality", US_national_yearly!$D:$AM, 13, FALSE) / VLOOKUP("electricity|PM25|Infant mortality", US_national_yearly!$D:$AM, 10, FALSE), 1)</f>
        <v>1.4884203653258345E-5</v>
      </c>
      <c r="F3" s="7">
        <f>$B3 * IFERROR(VLOOKUP("electricity|PM25|Infant mortality", US_national_yearly!$D:$AM, 14, FALSE) / VLOOKUP("electricity|PM25|Infant mortality", US_national_yearly!$D:$AM, 10, FALSE), 1)</f>
        <v>1.4751036776329447E-5</v>
      </c>
      <c r="G3" s="7">
        <f>$B3 * IFERROR(VLOOKUP("electricity|PM25|Infant mortality", US_national_yearly!$D:$AM, 15, FALSE) / VLOOKUP("electricity|PM25|Infant mortality", US_national_yearly!$D:$AM, 10, FALSE), 1)</f>
        <v>9.782427823615651E-6</v>
      </c>
      <c r="H3" s="7">
        <f>$B3 * IFERROR(VLOOKUP("electricity|PM25|Infant mortality", US_national_yearly!$D:$AM, 16, FALSE) / VLOOKUP("electricity|PM25|Infant mortality", US_national_yearly!$D:$AM, 10, FALSE), 1)</f>
        <v>4.8138188709018551E-6</v>
      </c>
      <c r="I3" s="7">
        <f>$B3 * IFERROR(VLOOKUP("electricity|PM25|Infant mortality", US_national_yearly!$D:$AM, 17, FALSE) / VLOOKUP("electricity|PM25|Infant mortality", US_national_yearly!$D:$AM, 10, FALSE), 1)</f>
        <v>4.7798311038643321E-6</v>
      </c>
      <c r="J3" s="7">
        <f>$B3 * IFERROR(VLOOKUP("electricity|PM25|Infant mortality", US_national_yearly!$D:$AM, 18, FALSE) / VLOOKUP("electricity|PM25|Infant mortality", US_national_yearly!$D:$AM, 10, FALSE), 1)</f>
        <v>4.7458433368268101E-6</v>
      </c>
      <c r="K3" s="7">
        <f>$B3 * IFERROR(VLOOKUP("electricity|PM25|Infant mortality", US_national_yearly!$D:$AM, 19, FALSE) / VLOOKUP("electricity|PM25|Infant mortality", US_national_yearly!$D:$AM, 10, FALSE), 1)</f>
        <v>4.7118555697892871E-6</v>
      </c>
      <c r="L3" s="7">
        <f>$B3 * IFERROR(VLOOKUP("electricity|PM25|Infant mortality", US_national_yearly!$D:$AM, 20, FALSE) / VLOOKUP("electricity|PM25|Infant mortality", US_national_yearly!$D:$AM, 10, FALSE), 1)</f>
        <v>4.6778678027517651E-6</v>
      </c>
      <c r="M3" s="7">
        <f>$B3 * IFERROR(VLOOKUP("electricity|PM25|Infant mortality", US_national_yearly!$D:$AM, 21, FALSE) / VLOOKUP("electricity|PM25|Infant mortality", US_national_yearly!$D:$AM, 10, FALSE), 1)</f>
        <v>4.643880035714243E-6</v>
      </c>
      <c r="N3" s="7">
        <f>$B3 * IFERROR(VLOOKUP("electricity|PM25|Infant mortality", US_national_yearly!$D:$AM, 22, FALSE) / VLOOKUP("electricity|PM25|Infant mortality", US_national_yearly!$D:$AM, 10, FALSE), 1)</f>
        <v>4.6220213890316625E-6</v>
      </c>
      <c r="O3" s="7">
        <f>$B3 * IFERROR(VLOOKUP("electricity|PM25|Infant mortality", US_national_yearly!$D:$AM, 23, FALSE) / VLOOKUP("electricity|PM25|Infant mortality", US_national_yearly!$D:$AM, 10, FALSE), 1)</f>
        <v>4.6001627423490819E-6</v>
      </c>
      <c r="P3" s="7">
        <f>$B3 * IFERROR(VLOOKUP("electricity|PM25|Infant mortality", US_national_yearly!$D:$AM, 24, FALSE) / VLOOKUP("electricity|PM25|Infant mortality", US_national_yearly!$D:$AM, 10, FALSE), 1)</f>
        <v>4.5783040956665006E-6</v>
      </c>
      <c r="Q3" s="7">
        <f>$B3 * IFERROR(VLOOKUP("electricity|PM25|Infant mortality", US_national_yearly!$D:$AM, 25, FALSE) / VLOOKUP("electricity|PM25|Infant mortality", US_national_yearly!$D:$AM, 10, FALSE), 1)</f>
        <v>4.5564454489839201E-6</v>
      </c>
      <c r="R3" s="7">
        <f>$B3 * IFERROR(VLOOKUP("electricity|PM25|Infant mortality", US_national_yearly!$D:$AM, 26, FALSE) / VLOOKUP("electricity|PM25|Infant mortality", US_national_yearly!$D:$AM, 10, FALSE), 1)</f>
        <v>4.5345868023013387E-6</v>
      </c>
      <c r="S3" s="7">
        <f>$B3 * IFERROR(VLOOKUP("electricity|PM25|Infant mortality", US_national_yearly!$D:$AM, 27, FALSE) / VLOOKUP("electricity|PM25|Infant mortality", US_national_yearly!$D:$AM, 10, FALSE), 1)</f>
        <v>4.5083996551109842E-6</v>
      </c>
      <c r="T3" s="7">
        <f>$B3 * IFERROR(VLOOKUP("electricity|PM25|Infant mortality", US_national_yearly!$D:$AM, 28, FALSE) / VLOOKUP("electricity|PM25|Infant mortality", US_national_yearly!$D:$AM, 10, FALSE), 1)</f>
        <v>4.4822125079206297E-6</v>
      </c>
      <c r="U3" s="7">
        <f>$B3 * IFERROR(VLOOKUP("electricity|PM25|Infant mortality", US_national_yearly!$D:$AM, 29, FALSE) / VLOOKUP("electricity|PM25|Infant mortality", US_national_yearly!$D:$AM, 10, FALSE), 1)</f>
        <v>4.4560253607302761E-6</v>
      </c>
      <c r="V3" s="7">
        <f>$B3 * IFERROR(VLOOKUP("electricity|PM25|Infant mortality", US_national_yearly!$D:$AM, 30, FALSE) / VLOOKUP("electricity|PM25|Infant mortality", US_national_yearly!$D:$AM, 10, FALSE), 1)</f>
        <v>4.4298382135399216E-6</v>
      </c>
      <c r="W3" s="7">
        <f>$B3 * IFERROR(VLOOKUP("electricity|PM25|Infant mortality", US_national_yearly!$D:$AM, 31, FALSE) / VLOOKUP("electricity|PM25|Infant mortality", US_national_yearly!$D:$AM, 10, FALSE), 1)</f>
        <v>4.4036510663495671E-6</v>
      </c>
      <c r="X3" s="7">
        <f>$B3 * IFERROR(VLOOKUP("electricity|PM25|Infant mortality", US_national_yearly!$D:$AM, 32, FALSE) / VLOOKUP("electricity|PM25|Infant mortality", US_national_yearly!$D:$AM, 10, FALSE), 1)</f>
        <v>4.376589919343112E-6</v>
      </c>
      <c r="Y3" s="7">
        <f>$B3 * IFERROR(VLOOKUP("electricity|PM25|Infant mortality", US_national_yearly!$D:$AM, 33, FALSE) / VLOOKUP("electricity|PM25|Infant mortality", US_national_yearly!$D:$AM, 10, FALSE), 1)</f>
        <v>4.349528772336656E-6</v>
      </c>
      <c r="Z3" s="7">
        <f>$B3 * IFERROR(VLOOKUP("electricity|PM25|Infant mortality", US_national_yearly!$D:$AM, 34, FALSE) / VLOOKUP("electricity|PM25|Infant mortality", US_national_yearly!$D:$AM, 10, FALSE), 1)</f>
        <v>4.3224676253302009E-6</v>
      </c>
      <c r="AA3" s="7">
        <f>$B3 * IFERROR(VLOOKUP("electricity|PM25|Infant mortality", US_national_yearly!$D:$AM, 35, FALSE) / VLOOKUP("electricity|PM25|Infant mortality", US_national_yearly!$D:$AM, 10, FALSE), 1)</f>
        <v>4.2954064783237457E-6</v>
      </c>
      <c r="AB3" s="7">
        <f>$B3 * IFERROR(VLOOKUP("electricity|PM25|Infant mortality", US_national_yearly!$D:$AM, 36, FALSE) / VLOOKUP("electricity|PM25|Infant mortality", US_national_yearly!$D:$AM, 10, FALSE), 1)</f>
        <v>4.2683453313172906E-6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1.5084667926370622E-2</v>
      </c>
      <c r="C6" s="7">
        <f>$B6 * IFERROR(VLOOKUP("electricity|PM25|Asthma symptoms cough", US_national_yearly!$D:$AM, 11, FALSE) / VLOOKUP("electricity|PM25|Asthma symptoms cough", US_national_yearly!$D:$AM, 10, FALSE), 1)</f>
        <v>1.5084667926370622E-2</v>
      </c>
      <c r="D6" s="7">
        <f>$B6 * IFERROR(VLOOKUP("electricity|PM25|Asthma symptoms cough", US_national_yearly!$D:$AM, 12, FALSE) / VLOOKUP("electricity|PM25|Asthma symptoms cough", US_national_yearly!$D:$AM, 10, FALSE), 1)</f>
        <v>1.5084667926370622E-2</v>
      </c>
      <c r="E6" s="7">
        <f>$B6 * IFERROR(VLOOKUP("electricity|PM25|Asthma symptoms cough", US_national_yearly!$D:$AM, 13, FALSE) / VLOOKUP("electricity|PM25|Asthma symptoms cough", US_national_yearly!$D:$AM, 10, FALSE), 1)</f>
        <v>1.5084667926370622E-2</v>
      </c>
      <c r="F6" s="7">
        <f>$B6 * IFERROR(VLOOKUP("electricity|PM25|Asthma symptoms cough", US_national_yearly!$D:$AM, 14, FALSE) / VLOOKUP("electricity|PM25|Asthma symptoms cough", US_national_yearly!$D:$AM, 10, FALSE), 1)</f>
        <v>1.5084667926370622E-2</v>
      </c>
      <c r="G6" s="7">
        <f>$B6 * IFERROR(VLOOKUP("electricity|PM25|Asthma symptoms cough", US_national_yearly!$D:$AM, 15, FALSE) / VLOOKUP("electricity|PM25|Asthma symptoms cough", US_national_yearly!$D:$AM, 10, FALSE), 1)</f>
        <v>1.5084667926370622E-2</v>
      </c>
      <c r="H6" s="7">
        <f>$B6 * IFERROR(VLOOKUP("electricity|PM25|Asthma symptoms cough", US_national_yearly!$D:$AM, 16, FALSE) / VLOOKUP("electricity|PM25|Asthma symptoms cough", US_national_yearly!$D:$AM, 10, FALSE), 1)</f>
        <v>1.5084667926370622E-2</v>
      </c>
      <c r="I6" s="7">
        <f>$B6 * IFERROR(VLOOKUP("electricity|PM25|Asthma symptoms cough", US_national_yearly!$D:$AM, 17, FALSE) / VLOOKUP("electricity|PM25|Asthma symptoms cough", US_national_yearly!$D:$AM, 10, FALSE), 1)</f>
        <v>1.5084667926370622E-2</v>
      </c>
      <c r="J6" s="7">
        <f>$B6 * IFERROR(VLOOKUP("electricity|PM25|Asthma symptoms cough", US_national_yearly!$D:$AM, 18, FALSE) / VLOOKUP("electricity|PM25|Asthma symptoms cough", US_national_yearly!$D:$AM, 10, FALSE), 1)</f>
        <v>1.5084667926370622E-2</v>
      </c>
      <c r="K6" s="7">
        <f>$B6 * IFERROR(VLOOKUP("electricity|PM25|Asthma symptoms cough", US_national_yearly!$D:$AM, 19, FALSE) / VLOOKUP("electricity|PM25|Asthma symptoms cough", US_national_yearly!$D:$AM, 10, FALSE), 1)</f>
        <v>1.5084667926370622E-2</v>
      </c>
      <c r="L6" s="7">
        <f>$B6 * IFERROR(VLOOKUP("electricity|PM25|Asthma symptoms cough", US_national_yearly!$D:$AM, 20, FALSE) / VLOOKUP("electricity|PM25|Asthma symptoms cough", US_national_yearly!$D:$AM, 10, FALSE), 1)</f>
        <v>1.5084667926370622E-2</v>
      </c>
      <c r="M6" s="7">
        <f>$B6 * IFERROR(VLOOKUP("electricity|PM25|Asthma symptoms cough", US_national_yearly!$D:$AM, 21, FALSE) / VLOOKUP("electricity|PM25|Asthma symptoms cough", US_national_yearly!$D:$AM, 10, FALSE), 1)</f>
        <v>1.5084667926370622E-2</v>
      </c>
      <c r="N6" s="7">
        <f>$B6 * IFERROR(VLOOKUP("electricity|PM25|Asthma symptoms cough", US_national_yearly!$D:$AM, 22, FALSE) / VLOOKUP("electricity|PM25|Asthma symptoms cough", US_national_yearly!$D:$AM, 10, FALSE), 1)</f>
        <v>1.5084667926370622E-2</v>
      </c>
      <c r="O6" s="7">
        <f>$B6 * IFERROR(VLOOKUP("electricity|PM25|Asthma symptoms cough", US_national_yearly!$D:$AM, 23, FALSE) / VLOOKUP("electricity|PM25|Asthma symptoms cough", US_national_yearly!$D:$AM, 10, FALSE), 1)</f>
        <v>1.5084667926370622E-2</v>
      </c>
      <c r="P6" s="7">
        <f>$B6 * IFERROR(VLOOKUP("electricity|PM25|Asthma symptoms cough", US_national_yearly!$D:$AM, 24, FALSE) / VLOOKUP("electricity|PM25|Asthma symptoms cough", US_national_yearly!$D:$AM, 10, FALSE), 1)</f>
        <v>1.5084667926370622E-2</v>
      </c>
      <c r="Q6" s="7">
        <f>$B6 * IFERROR(VLOOKUP("electricity|PM25|Asthma symptoms cough", US_national_yearly!$D:$AM, 25, FALSE) / VLOOKUP("electricity|PM25|Asthma symptoms cough", US_national_yearly!$D:$AM, 10, FALSE), 1)</f>
        <v>1.5084667926370622E-2</v>
      </c>
      <c r="R6" s="7">
        <f>$B6 * IFERROR(VLOOKUP("electricity|PM25|Asthma symptoms cough", US_national_yearly!$D:$AM, 26, FALSE) / VLOOKUP("electricity|PM25|Asthma symptoms cough", US_national_yearly!$D:$AM, 10, FALSE), 1)</f>
        <v>1.5084667926370622E-2</v>
      </c>
      <c r="S6" s="7">
        <f>$B6 * IFERROR(VLOOKUP("electricity|PM25|Asthma symptoms cough", US_national_yearly!$D:$AM, 27, FALSE) / VLOOKUP("electricity|PM25|Asthma symptoms cough", US_national_yearly!$D:$AM, 10, FALSE), 1)</f>
        <v>1.5084667926370622E-2</v>
      </c>
      <c r="T6" s="7">
        <f>$B6 * IFERROR(VLOOKUP("electricity|PM25|Asthma symptoms cough", US_national_yearly!$D:$AM, 28, FALSE) / VLOOKUP("electricity|PM25|Asthma symptoms cough", US_national_yearly!$D:$AM, 10, FALSE), 1)</f>
        <v>1.5084667926370622E-2</v>
      </c>
      <c r="U6" s="7">
        <f>$B6 * IFERROR(VLOOKUP("electricity|PM25|Asthma symptoms cough", US_national_yearly!$D:$AM, 29, FALSE) / VLOOKUP("electricity|PM25|Asthma symptoms cough", US_national_yearly!$D:$AM, 10, FALSE), 1)</f>
        <v>1.5084667926370622E-2</v>
      </c>
      <c r="V6" s="7">
        <f>$B6 * IFERROR(VLOOKUP("electricity|PM25|Asthma symptoms cough", US_national_yearly!$D:$AM, 30, FALSE) / VLOOKUP("electricity|PM25|Asthma symptoms cough", US_national_yearly!$D:$AM, 10, FALSE), 1)</f>
        <v>1.5084667926370622E-2</v>
      </c>
      <c r="W6" s="7">
        <f>$B6 * IFERROR(VLOOKUP("electricity|PM25|Asthma symptoms cough", US_national_yearly!$D:$AM, 31, FALSE) / VLOOKUP("electricity|PM25|Asthma symptoms cough", US_national_yearly!$D:$AM, 10, FALSE), 1)</f>
        <v>1.5084667926370622E-2</v>
      </c>
      <c r="X6" s="7">
        <f>$B6 * IFERROR(VLOOKUP("electricity|PM25|Asthma symptoms cough", US_national_yearly!$D:$AM, 32, FALSE) / VLOOKUP("electricity|PM25|Asthma symptoms cough", US_national_yearly!$D:$AM, 10, FALSE), 1)</f>
        <v>1.5084667926370622E-2</v>
      </c>
      <c r="Y6" s="7">
        <f>$B6 * IFERROR(VLOOKUP("electricity|PM25|Asthma symptoms cough", US_national_yearly!$D:$AM, 33, FALSE) / VLOOKUP("electricity|PM25|Asthma symptoms cough", US_national_yearly!$D:$AM, 10, FALSE), 1)</f>
        <v>1.5084667926370622E-2</v>
      </c>
      <c r="Z6" s="7">
        <f>$B6 * IFERROR(VLOOKUP("electricity|PM25|Asthma symptoms cough", US_national_yearly!$D:$AM, 34, FALSE) / VLOOKUP("electricity|PM25|Asthma symptoms cough", US_national_yearly!$D:$AM, 10, FALSE), 1)</f>
        <v>1.5084667926370622E-2</v>
      </c>
      <c r="AA6" s="7">
        <f>$B6 * IFERROR(VLOOKUP("electricity|PM25|Asthma symptoms cough", US_national_yearly!$D:$AM, 35, FALSE) / VLOOKUP("electricity|PM25|Asthma symptoms cough", US_national_yearly!$D:$AM, 10, FALSE), 1)</f>
        <v>1.5084667926370622E-2</v>
      </c>
      <c r="AB6" s="7">
        <f>$B6 * IFERROR(VLOOKUP("electricity|PM25|Asthma symptoms cough", US_national_yearly!$D:$AM, 36, FALSE) / VLOOKUP("electricity|PM25|Asthma symptoms cough", US_national_yearly!$D:$AM, 10, FALSE), 1)</f>
        <v>1.5084667926370622E-2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2.0313672640484604E-2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2.0313672640484604E-2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2.0313672640484604E-2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2.0313672640484604E-2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2.0313672640484604E-2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2.0313672640484604E-2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2.0313672640484604E-2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2.0313672640484604E-2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2.0313672640484604E-2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2.0313672640484604E-2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2.0313672640484604E-2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2.0313672640484604E-2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2.0313672640484604E-2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2.0313672640484604E-2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2.0313672640484604E-2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2.0313672640484604E-2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2.0313672640484604E-2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2.0313672640484604E-2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2.0313672640484604E-2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2.0313672640484604E-2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2.0313672640484604E-2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2.0313672640484604E-2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2.0313672640484604E-2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2.0313672640484604E-2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2.0313672640484604E-2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2.0313672640484604E-2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2.0313672640484604E-2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3.1035926050770279E-2</v>
      </c>
      <c r="C8" s="7">
        <f>$B8 * IFERROR(VLOOKUP("electricity|PM25|Asthma symptoms wheeze", US_national_yearly!$D:$AM, 11, FALSE) / VLOOKUP("electricity|PM25|Asthma symptoms wheeze", US_national_yearly!$D:$AM, 10, FALSE), 1)</f>
        <v>3.1035926050770279E-2</v>
      </c>
      <c r="D8" s="7">
        <f>$B8 * IFERROR(VLOOKUP("electricity|PM25|Asthma symptoms wheeze", US_national_yearly!$D:$AM, 12, FALSE) / VLOOKUP("electricity|PM25|Asthma symptoms wheeze", US_national_yearly!$D:$AM, 10, FALSE), 1)</f>
        <v>3.1035926050770279E-2</v>
      </c>
      <c r="E8" s="7">
        <f>$B8 * IFERROR(VLOOKUP("electricity|PM25|Asthma symptoms wheeze", US_national_yearly!$D:$AM, 13, FALSE) / VLOOKUP("electricity|PM25|Asthma symptoms wheeze", US_national_yearly!$D:$AM, 10, FALSE), 1)</f>
        <v>3.1035926050770279E-2</v>
      </c>
      <c r="F8" s="7">
        <f>$B8 * IFERROR(VLOOKUP("electricity|PM25|Asthma symptoms wheeze", US_national_yearly!$D:$AM, 14, FALSE) / VLOOKUP("electricity|PM25|Asthma symptoms wheeze", US_national_yearly!$D:$AM, 10, FALSE), 1)</f>
        <v>3.1035926050770279E-2</v>
      </c>
      <c r="G8" s="7">
        <f>$B8 * IFERROR(VLOOKUP("electricity|PM25|Asthma symptoms wheeze", US_national_yearly!$D:$AM, 15, FALSE) / VLOOKUP("electricity|PM25|Asthma symptoms wheeze", US_national_yearly!$D:$AM, 10, FALSE), 1)</f>
        <v>3.1035926050770279E-2</v>
      </c>
      <c r="H8" s="7">
        <f>$B8 * IFERROR(VLOOKUP("electricity|PM25|Asthma symptoms wheeze", US_national_yearly!$D:$AM, 16, FALSE) / VLOOKUP("electricity|PM25|Asthma symptoms wheeze", US_national_yearly!$D:$AM, 10, FALSE), 1)</f>
        <v>3.1035926050770279E-2</v>
      </c>
      <c r="I8" s="7">
        <f>$B8 * IFERROR(VLOOKUP("electricity|PM25|Asthma symptoms wheeze", US_national_yearly!$D:$AM, 17, FALSE) / VLOOKUP("electricity|PM25|Asthma symptoms wheeze", US_national_yearly!$D:$AM, 10, FALSE), 1)</f>
        <v>3.1035926050770279E-2</v>
      </c>
      <c r="J8" s="7">
        <f>$B8 * IFERROR(VLOOKUP("electricity|PM25|Asthma symptoms wheeze", US_national_yearly!$D:$AM, 18, FALSE) / VLOOKUP("electricity|PM25|Asthma symptoms wheeze", US_national_yearly!$D:$AM, 10, FALSE), 1)</f>
        <v>3.1035926050770279E-2</v>
      </c>
      <c r="K8" s="7">
        <f>$B8 * IFERROR(VLOOKUP("electricity|PM25|Asthma symptoms wheeze", US_national_yearly!$D:$AM, 19, FALSE) / VLOOKUP("electricity|PM25|Asthma symptoms wheeze", US_national_yearly!$D:$AM, 10, FALSE), 1)</f>
        <v>3.1035926050770279E-2</v>
      </c>
      <c r="L8" s="7">
        <f>$B8 * IFERROR(VLOOKUP("electricity|PM25|Asthma symptoms wheeze", US_national_yearly!$D:$AM, 20, FALSE) / VLOOKUP("electricity|PM25|Asthma symptoms wheeze", US_national_yearly!$D:$AM, 10, FALSE), 1)</f>
        <v>3.1035926050770279E-2</v>
      </c>
      <c r="M8" s="7">
        <f>$B8 * IFERROR(VLOOKUP("electricity|PM25|Asthma symptoms wheeze", US_national_yearly!$D:$AM, 21, FALSE) / VLOOKUP("electricity|PM25|Asthma symptoms wheeze", US_national_yearly!$D:$AM, 10, FALSE), 1)</f>
        <v>3.1035926050770279E-2</v>
      </c>
      <c r="N8" s="7">
        <f>$B8 * IFERROR(VLOOKUP("electricity|PM25|Asthma symptoms wheeze", US_national_yearly!$D:$AM, 22, FALSE) / VLOOKUP("electricity|PM25|Asthma symptoms wheeze", US_national_yearly!$D:$AM, 10, FALSE), 1)</f>
        <v>3.1035926050770279E-2</v>
      </c>
      <c r="O8" s="7">
        <f>$B8 * IFERROR(VLOOKUP("electricity|PM25|Asthma symptoms wheeze", US_national_yearly!$D:$AM, 23, FALSE) / VLOOKUP("electricity|PM25|Asthma symptoms wheeze", US_national_yearly!$D:$AM, 10, FALSE), 1)</f>
        <v>3.1035926050770279E-2</v>
      </c>
      <c r="P8" s="7">
        <f>$B8 * IFERROR(VLOOKUP("electricity|PM25|Asthma symptoms wheeze", US_national_yearly!$D:$AM, 24, FALSE) / VLOOKUP("electricity|PM25|Asthma symptoms wheeze", US_national_yearly!$D:$AM, 10, FALSE), 1)</f>
        <v>3.1035926050770279E-2</v>
      </c>
      <c r="Q8" s="7">
        <f>$B8 * IFERROR(VLOOKUP("electricity|PM25|Asthma symptoms wheeze", US_national_yearly!$D:$AM, 25, FALSE) / VLOOKUP("electricity|PM25|Asthma symptoms wheeze", US_national_yearly!$D:$AM, 10, FALSE), 1)</f>
        <v>3.1035926050770279E-2</v>
      </c>
      <c r="R8" s="7">
        <f>$B8 * IFERROR(VLOOKUP("electricity|PM25|Asthma symptoms wheeze", US_national_yearly!$D:$AM, 26, FALSE) / VLOOKUP("electricity|PM25|Asthma symptoms wheeze", US_national_yearly!$D:$AM, 10, FALSE), 1)</f>
        <v>3.1035926050770279E-2</v>
      </c>
      <c r="S8" s="7">
        <f>$B8 * IFERROR(VLOOKUP("electricity|PM25|Asthma symptoms wheeze", US_national_yearly!$D:$AM, 27, FALSE) / VLOOKUP("electricity|PM25|Asthma symptoms wheeze", US_national_yearly!$D:$AM, 10, FALSE), 1)</f>
        <v>3.1035926050770279E-2</v>
      </c>
      <c r="T8" s="7">
        <f>$B8 * IFERROR(VLOOKUP("electricity|PM25|Asthma symptoms wheeze", US_national_yearly!$D:$AM, 28, FALSE) / VLOOKUP("electricity|PM25|Asthma symptoms wheeze", US_national_yearly!$D:$AM, 10, FALSE), 1)</f>
        <v>3.1035926050770279E-2</v>
      </c>
      <c r="U8" s="7">
        <f>$B8 * IFERROR(VLOOKUP("electricity|PM25|Asthma symptoms wheeze", US_national_yearly!$D:$AM, 29, FALSE) / VLOOKUP("electricity|PM25|Asthma symptoms wheeze", US_national_yearly!$D:$AM, 10, FALSE), 1)</f>
        <v>3.1035926050770279E-2</v>
      </c>
      <c r="V8" s="7">
        <f>$B8 * IFERROR(VLOOKUP("electricity|PM25|Asthma symptoms wheeze", US_national_yearly!$D:$AM, 30, FALSE) / VLOOKUP("electricity|PM25|Asthma symptoms wheeze", US_national_yearly!$D:$AM, 10, FALSE), 1)</f>
        <v>3.1035926050770279E-2</v>
      </c>
      <c r="W8" s="7">
        <f>$B8 * IFERROR(VLOOKUP("electricity|PM25|Asthma symptoms wheeze", US_national_yearly!$D:$AM, 31, FALSE) / VLOOKUP("electricity|PM25|Asthma symptoms wheeze", US_national_yearly!$D:$AM, 10, FALSE), 1)</f>
        <v>3.1035926050770279E-2</v>
      </c>
      <c r="X8" s="7">
        <f>$B8 * IFERROR(VLOOKUP("electricity|PM25|Asthma symptoms wheeze", US_national_yearly!$D:$AM, 32, FALSE) / VLOOKUP("electricity|PM25|Asthma symptoms wheeze", US_national_yearly!$D:$AM, 10, FALSE), 1)</f>
        <v>3.1035926050770279E-2</v>
      </c>
      <c r="Y8" s="7">
        <f>$B8 * IFERROR(VLOOKUP("electricity|PM25|Asthma symptoms wheeze", US_national_yearly!$D:$AM, 33, FALSE) / VLOOKUP("electricity|PM25|Asthma symptoms wheeze", US_national_yearly!$D:$AM, 10, FALSE), 1)</f>
        <v>3.1035926050770279E-2</v>
      </c>
      <c r="Z8" s="7">
        <f>$B8 * IFERROR(VLOOKUP("electricity|PM25|Asthma symptoms wheeze", US_national_yearly!$D:$AM, 34, FALSE) / VLOOKUP("electricity|PM25|Asthma symptoms wheeze", US_national_yearly!$D:$AM, 10, FALSE), 1)</f>
        <v>3.1035926050770279E-2</v>
      </c>
      <c r="AA8" s="7">
        <f>$B8 * IFERROR(VLOOKUP("electricity|PM25|Asthma symptoms wheeze", US_national_yearly!$D:$AM, 35, FALSE) / VLOOKUP("electricity|PM25|Asthma symptoms wheeze", US_national_yearly!$D:$AM, 10, FALSE), 1)</f>
        <v>3.1035926050770279E-2</v>
      </c>
      <c r="AB8" s="7">
        <f>$B8 * IFERROR(VLOOKUP("electricity|PM25|Asthma symptoms wheeze", US_national_yearly!$D:$AM, 36, FALSE) / VLOOKUP("electricity|PM25|Asthma symptoms wheeze", US_national_yearly!$D:$AM, 10, FALSE), 1)</f>
        <v>3.1035926050770279E-2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3.2780632765639099E-4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3.2960791132554112E-4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3.3140949499469113E-4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3.3321107866384132E-4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3.3501266233299139E-4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3.3694391574209622E-4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3.3887516915120106E-4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3.4060054677747224E-4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3.4232592440374332E-4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3.4405130203001439E-4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3.4577667965628547E-4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3.4750205728255659E-4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3.4866588575847965E-4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3.4982971423440281E-4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3.5099354271032592E-4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3.5215737118624902E-4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3.5332119966217213E-4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3.5440572503817318E-4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3.5549025041417407E-4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3.5657477579017507E-4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3.5765930116617601E-4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3.5874382654217695E-4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3.5981621560690884E-4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3.6088860467164068E-4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3.6196099373637252E-4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3.6303338280110431E-4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3.641057718658362E-4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2.0133110945220415E-3</v>
      </c>
      <c r="C13" s="7">
        <f>$B13 * IFERROR(VLOOKUP("electricity|PM25|Non-fatal heart attacks", US_national_yearly!$D:$AM, 11, FALSE) / VLOOKUP("electricity|PM25|Non-fatal heart attacks", US_national_yearly!$D:$AM, 10, FALSE), 1)</f>
        <v>2.0716262916480031E-3</v>
      </c>
      <c r="D13" s="7">
        <f>$B13 * IFERROR(VLOOKUP("electricity|PM25|Non-fatal heart attacks", US_national_yearly!$D:$AM, 12, FALSE) / VLOOKUP("electricity|PM25|Non-fatal heart attacks", US_national_yearly!$D:$AM, 10, FALSE), 1)</f>
        <v>2.1299414887739647E-3</v>
      </c>
      <c r="E13" s="7">
        <f>$B13 * IFERROR(VLOOKUP("electricity|PM25|Non-fatal heart attacks", US_national_yearly!$D:$AM, 13, FALSE) / VLOOKUP("electricity|PM25|Non-fatal heart attacks", US_national_yearly!$D:$AM, 10, FALSE), 1)</f>
        <v>2.1882566858999258E-3</v>
      </c>
      <c r="F13" s="7">
        <f>$B13 * IFERROR(VLOOKUP("electricity|PM25|Non-fatal heart attacks", US_national_yearly!$D:$AM, 14, FALSE) / VLOOKUP("electricity|PM25|Non-fatal heart attacks", US_national_yearly!$D:$AM, 10, FALSE), 1)</f>
        <v>2.2465718830258874E-3</v>
      </c>
      <c r="G13" s="7">
        <f>$B13 * IFERROR(VLOOKUP("electricity|PM25|Non-fatal heart attacks", US_national_yearly!$D:$AM, 15, FALSE) / VLOOKUP("electricity|PM25|Non-fatal heart attacks", US_national_yearly!$D:$AM, 10, FALSE), 1)</f>
        <v>2.301922743492927E-3</v>
      </c>
      <c r="H13" s="7">
        <f>$B13 * IFERROR(VLOOKUP("electricity|PM25|Non-fatal heart attacks", US_national_yearly!$D:$AM, 16, FALSE) / VLOOKUP("electricity|PM25|Non-fatal heart attacks", US_national_yearly!$D:$AM, 10, FALSE), 1)</f>
        <v>2.3572736039599667E-3</v>
      </c>
      <c r="I13" s="7">
        <f>$B13 * IFERROR(VLOOKUP("electricity|PM25|Non-fatal heart attacks", US_national_yearly!$D:$AM, 17, FALSE) / VLOOKUP("electricity|PM25|Non-fatal heart attacks", US_national_yearly!$D:$AM, 10, FALSE), 1)</f>
        <v>2.4024333716225255E-3</v>
      </c>
      <c r="J13" s="7">
        <f>$B13 * IFERROR(VLOOKUP("electricity|PM25|Non-fatal heart attacks", US_national_yearly!$D:$AM, 18, FALSE) / VLOOKUP("electricity|PM25|Non-fatal heart attacks", US_national_yearly!$D:$AM, 10, FALSE), 1)</f>
        <v>2.447593139285084E-3</v>
      </c>
      <c r="K13" s="7">
        <f>$B13 * IFERROR(VLOOKUP("electricity|PM25|Non-fatal heart attacks", US_national_yearly!$D:$AM, 19, FALSE) / VLOOKUP("electricity|PM25|Non-fatal heart attacks", US_national_yearly!$D:$AM, 10, FALSE), 1)</f>
        <v>2.4927529069476424E-3</v>
      </c>
      <c r="L13" s="7">
        <f>$B13 * IFERROR(VLOOKUP("electricity|PM25|Non-fatal heart attacks", US_national_yearly!$D:$AM, 20, FALSE) / VLOOKUP("electricity|PM25|Non-fatal heart attacks", US_national_yearly!$D:$AM, 10, FALSE), 1)</f>
        <v>2.5379126746102008E-3</v>
      </c>
      <c r="M13" s="7">
        <f>$B13 * IFERROR(VLOOKUP("electricity|PM25|Non-fatal heart attacks", US_national_yearly!$D:$AM, 21, FALSE) / VLOOKUP("electricity|PM25|Non-fatal heart attacks", US_national_yearly!$D:$AM, 10, FALSE), 1)</f>
        <v>2.5830724422727601E-3</v>
      </c>
      <c r="N13" s="7">
        <f>$B13 * IFERROR(VLOOKUP("electricity|PM25|Non-fatal heart attacks", US_national_yearly!$D:$AM, 22, FALSE) / VLOOKUP("electricity|PM25|Non-fatal heart attacks", US_national_yearly!$D:$AM, 10, FALSE), 1)</f>
        <v>2.6123753016833785E-3</v>
      </c>
      <c r="O13" s="7">
        <f>$B13 * IFERROR(VLOOKUP("electricity|PM25|Non-fatal heart attacks", US_national_yearly!$D:$AM, 23, FALSE) / VLOOKUP("electricity|PM25|Non-fatal heart attacks", US_national_yearly!$D:$AM, 10, FALSE), 1)</f>
        <v>2.6416781610939973E-3</v>
      </c>
      <c r="P13" s="7">
        <f>$B13 * IFERROR(VLOOKUP("electricity|PM25|Non-fatal heart attacks", US_national_yearly!$D:$AM, 24, FALSE) / VLOOKUP("electricity|PM25|Non-fatal heart attacks", US_national_yearly!$D:$AM, 10, FALSE), 1)</f>
        <v>2.6709810205046152E-3</v>
      </c>
      <c r="Q13" s="7">
        <f>$B13 * IFERROR(VLOOKUP("electricity|PM25|Non-fatal heart attacks", US_national_yearly!$D:$AM, 25, FALSE) / VLOOKUP("electricity|PM25|Non-fatal heart attacks", US_national_yearly!$D:$AM, 10, FALSE), 1)</f>
        <v>2.7002838799152335E-3</v>
      </c>
      <c r="R13" s="7">
        <f>$B13 * IFERROR(VLOOKUP("electricity|PM25|Non-fatal heart attacks", US_national_yearly!$D:$AM, 26, FALSE) / VLOOKUP("electricity|PM25|Non-fatal heart attacks", US_national_yearly!$D:$AM, 10, FALSE), 1)</f>
        <v>2.7295867393258518E-3</v>
      </c>
      <c r="S13" s="7">
        <f>$B13 * IFERROR(VLOOKUP("electricity|PM25|Non-fatal heart attacks", US_national_yearly!$D:$AM, 27, FALSE) / VLOOKUP("electricity|PM25|Non-fatal heart attacks", US_national_yearly!$D:$AM, 10, FALSE), 1)</f>
        <v>2.7457187162277406E-3</v>
      </c>
      <c r="T13" s="7">
        <f>$B13 * IFERROR(VLOOKUP("electricity|PM25|Non-fatal heart attacks", US_national_yearly!$D:$AM, 28, FALSE) / VLOOKUP("electricity|PM25|Non-fatal heart attacks", US_national_yearly!$D:$AM, 10, FALSE), 1)</f>
        <v>2.7618506931296294E-3</v>
      </c>
      <c r="U13" s="7">
        <f>$B13 * IFERROR(VLOOKUP("electricity|PM25|Non-fatal heart attacks", US_national_yearly!$D:$AM, 29, FALSE) / VLOOKUP("electricity|PM25|Non-fatal heart attacks", US_national_yearly!$D:$AM, 10, FALSE), 1)</f>
        <v>2.7779826700315181E-3</v>
      </c>
      <c r="V13" s="7">
        <f>$B13 * IFERROR(VLOOKUP("electricity|PM25|Non-fatal heart attacks", US_national_yearly!$D:$AM, 30, FALSE) / VLOOKUP("electricity|PM25|Non-fatal heart attacks", US_national_yearly!$D:$AM, 10, FALSE), 1)</f>
        <v>2.7941146469334065E-3</v>
      </c>
      <c r="W13" s="7">
        <f>$B13 * IFERROR(VLOOKUP("electricity|PM25|Non-fatal heart attacks", US_national_yearly!$D:$AM, 31, FALSE) / VLOOKUP("electricity|PM25|Non-fatal heart attacks", US_national_yearly!$D:$AM, 10, FALSE), 1)</f>
        <v>2.8102466238352957E-3</v>
      </c>
      <c r="X13" s="7">
        <f>$B13 * IFERROR(VLOOKUP("electricity|PM25|Non-fatal heart attacks", US_national_yearly!$D:$AM, 32, FALSE) / VLOOKUP("electricity|PM25|Non-fatal heart attacks", US_national_yearly!$D:$AM, 10, FALSE), 1)</f>
        <v>2.822866924018196E-3</v>
      </c>
      <c r="Y13" s="7">
        <f>$B13 * IFERROR(VLOOKUP("electricity|PM25|Non-fatal heart attacks", US_national_yearly!$D:$AM, 33, FALSE) / VLOOKUP("electricity|PM25|Non-fatal heart attacks", US_national_yearly!$D:$AM, 10, FALSE), 1)</f>
        <v>2.8354872242010963E-3</v>
      </c>
      <c r="Z13" s="7">
        <f>$B13 * IFERROR(VLOOKUP("electricity|PM25|Non-fatal heart attacks", US_national_yearly!$D:$AM, 34, FALSE) / VLOOKUP("electricity|PM25|Non-fatal heart attacks", US_national_yearly!$D:$AM, 10, FALSE), 1)</f>
        <v>2.8481075243839966E-3</v>
      </c>
      <c r="AA13" s="7">
        <f>$B13 * IFERROR(VLOOKUP("electricity|PM25|Non-fatal heart attacks", US_national_yearly!$D:$AM, 35, FALSE) / VLOOKUP("electricity|PM25|Non-fatal heart attacks", US_national_yearly!$D:$AM, 10, FALSE), 1)</f>
        <v>2.8607278245668978E-3</v>
      </c>
      <c r="AB13" s="7">
        <f>$B13 * IFERROR(VLOOKUP("electricity|PM25|Non-fatal heart attacks", US_national_yearly!$D:$AM, 36, FALSE) / VLOOKUP("electricity|PM25|Non-fatal heart attacks", US_national_yearly!$D:$AM, 10, FALSE), 1)</f>
        <v>2.8733481247497981E-3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1.8450107425869828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1.8491065424183259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1.8532023422496697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1.8572981420810128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1.8613939419123564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1.8674716342659909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1.8735493266196257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1.8842808763425976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1.8950124260655699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1.9057439757885417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1.916475525511514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1.9272070752344859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1.9420948297212843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1.956982584208083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1.9718703386948817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1.9867580931816806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2.0016458476684789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2.0166620165867131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2.0316781855049464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2.0466943544231797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2.0617105233414139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2.0767266922596472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2.0895986833477651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2.1024706744358834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2.1153426655240017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2.1282146566121192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2.1410866477002379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0.31393094395308757</v>
      </c>
      <c r="C15" s="7">
        <f>$B15 * IFERROR(VLOOKUP("electricity|PM25|Work loss days", US_national_yearly!$D:$AM, 11, FALSE) / VLOOKUP("electricity|PM25|Work loss days", US_national_yearly!$D:$AM, 10, FALSE), 1)</f>
        <v>0.31482927549594941</v>
      </c>
      <c r="D15" s="7">
        <f>$B15 * IFERROR(VLOOKUP("electricity|PM25|Work loss days", US_national_yearly!$D:$AM, 12, FALSE) / VLOOKUP("electricity|PM25|Work loss days", US_national_yearly!$D:$AM, 10, FALSE), 1)</f>
        <v>0.31572760703881131</v>
      </c>
      <c r="E15" s="7">
        <f>$B15 * IFERROR(VLOOKUP("electricity|PM25|Work loss days", US_national_yearly!$D:$AM, 13, FALSE) / VLOOKUP("electricity|PM25|Work loss days", US_national_yearly!$D:$AM, 10, FALSE), 1)</f>
        <v>0.31662593858167315</v>
      </c>
      <c r="F15" s="7">
        <f>$B15 * IFERROR(VLOOKUP("electricity|PM25|Work loss days", US_national_yearly!$D:$AM, 14, FALSE) / VLOOKUP("electricity|PM25|Work loss days", US_national_yearly!$D:$AM, 10, FALSE), 1)</f>
        <v>0.31752427012453499</v>
      </c>
      <c r="G15" s="7">
        <f>$B15 * IFERROR(VLOOKUP("electricity|PM25|Work loss days", US_national_yearly!$D:$AM, 15, FALSE) / VLOOKUP("electricity|PM25|Work loss days", US_national_yearly!$D:$AM, 10, FALSE), 1)</f>
        <v>0.31868801252260109</v>
      </c>
      <c r="H15" s="7">
        <f>$B15 * IFERROR(VLOOKUP("electricity|PM25|Work loss days", US_national_yearly!$D:$AM, 16, FALSE) / VLOOKUP("electricity|PM25|Work loss days", US_national_yearly!$D:$AM, 10, FALSE), 1)</f>
        <v>0.31985175492066725</v>
      </c>
      <c r="I15" s="7">
        <f>$B15 * IFERROR(VLOOKUP("electricity|PM25|Work loss days", US_national_yearly!$D:$AM, 17, FALSE) / VLOOKUP("electricity|PM25|Work loss days", US_national_yearly!$D:$AM, 10, FALSE), 1)</f>
        <v>0.32160124289652853</v>
      </c>
      <c r="J15" s="7">
        <f>$B15 * IFERROR(VLOOKUP("electricity|PM25|Work loss days", US_national_yearly!$D:$AM, 18, FALSE) / VLOOKUP("electricity|PM25|Work loss days", US_national_yearly!$D:$AM, 10, FALSE), 1)</f>
        <v>0.32335073087238969</v>
      </c>
      <c r="K15" s="7">
        <f>$B15 * IFERROR(VLOOKUP("electricity|PM25|Work loss days", US_national_yearly!$D:$AM, 19, FALSE) / VLOOKUP("electricity|PM25|Work loss days", US_national_yearly!$D:$AM, 10, FALSE), 1)</f>
        <v>0.32510021884825091</v>
      </c>
      <c r="L15" s="7">
        <f>$B15 * IFERROR(VLOOKUP("electricity|PM25|Work loss days", US_national_yearly!$D:$AM, 20, FALSE) / VLOOKUP("electricity|PM25|Work loss days", US_national_yearly!$D:$AM, 10, FALSE), 1)</f>
        <v>0.32684970682411213</v>
      </c>
      <c r="M15" s="7">
        <f>$B15 * IFERROR(VLOOKUP("electricity|PM25|Work loss days", US_national_yearly!$D:$AM, 21, FALSE) / VLOOKUP("electricity|PM25|Work loss days", US_national_yearly!$D:$AM, 10, FALSE), 1)</f>
        <v>0.3285991947999734</v>
      </c>
      <c r="N15" s="7">
        <f>$B15 * IFERROR(VLOOKUP("electricity|PM25|Work loss days", US_national_yearly!$D:$AM, 22, FALSE) / VLOOKUP("electricity|PM25|Work loss days", US_national_yearly!$D:$AM, 10, FALSE), 1)</f>
        <v>0.33085790523059683</v>
      </c>
      <c r="O15" s="7">
        <f>$B15 * IFERROR(VLOOKUP("electricity|PM25|Work loss days", US_national_yearly!$D:$AM, 23, FALSE) / VLOOKUP("electricity|PM25|Work loss days", US_national_yearly!$D:$AM, 10, FALSE), 1)</f>
        <v>0.33311661566122031</v>
      </c>
      <c r="P15" s="7">
        <f>$B15 * IFERROR(VLOOKUP("electricity|PM25|Work loss days", US_national_yearly!$D:$AM, 24, FALSE) / VLOOKUP("electricity|PM25|Work loss days", US_national_yearly!$D:$AM, 10, FALSE), 1)</f>
        <v>0.33537532609184373</v>
      </c>
      <c r="Q15" s="7">
        <f>$B15 * IFERROR(VLOOKUP("electricity|PM25|Work loss days", US_national_yearly!$D:$AM, 25, FALSE) / VLOOKUP("electricity|PM25|Work loss days", US_national_yearly!$D:$AM, 10, FALSE), 1)</f>
        <v>0.3376340365224671</v>
      </c>
      <c r="R15" s="7">
        <f>$B15 * IFERROR(VLOOKUP("electricity|PM25|Work loss days", US_national_yearly!$D:$AM, 26, FALSE) / VLOOKUP("electricity|PM25|Work loss days", US_national_yearly!$D:$AM, 10, FALSE), 1)</f>
        <v>0.33989274695309057</v>
      </c>
      <c r="S15" s="7">
        <f>$B15 * IFERROR(VLOOKUP("electricity|PM25|Work loss days", US_national_yearly!$D:$AM, 27, FALSE) / VLOOKUP("electricity|PM25|Work loss days", US_national_yearly!$D:$AM, 10, FALSE), 1)</f>
        <v>0.34239911794644928</v>
      </c>
      <c r="T15" s="7">
        <f>$B15 * IFERROR(VLOOKUP("electricity|PM25|Work loss days", US_national_yearly!$D:$AM, 28, FALSE) / VLOOKUP("electricity|PM25|Work loss days", US_national_yearly!$D:$AM, 10, FALSE), 1)</f>
        <v>0.34490548893980805</v>
      </c>
      <c r="U15" s="7">
        <f>$B15 * IFERROR(VLOOKUP("electricity|PM25|Work loss days", US_national_yearly!$D:$AM, 29, FALSE) / VLOOKUP("electricity|PM25|Work loss days", US_national_yearly!$D:$AM, 10, FALSE), 1)</f>
        <v>0.34741185993316687</v>
      </c>
      <c r="V15" s="7">
        <f>$B15 * IFERROR(VLOOKUP("electricity|PM25|Work loss days", US_national_yearly!$D:$AM, 30, FALSE) / VLOOKUP("electricity|PM25|Work loss days", US_national_yearly!$D:$AM, 10, FALSE), 1)</f>
        <v>0.34991823092652563</v>
      </c>
      <c r="W15" s="7">
        <f>$B15 * IFERROR(VLOOKUP("electricity|PM25|Work loss days", US_national_yearly!$D:$AM, 31, FALSE) / VLOOKUP("electricity|PM25|Work loss days", US_national_yearly!$D:$AM, 10, FALSE), 1)</f>
        <v>0.35242460191988434</v>
      </c>
      <c r="X15" s="7">
        <f>$B15 * IFERROR(VLOOKUP("electricity|PM25|Work loss days", US_national_yearly!$D:$AM, 32, FALSE) / VLOOKUP("electricity|PM25|Work loss days", US_national_yearly!$D:$AM, 10, FALSE), 1)</f>
        <v>0.35463563239511131</v>
      </c>
      <c r="Y15" s="7">
        <f>$B15 * IFERROR(VLOOKUP("electricity|PM25|Work loss days", US_national_yearly!$D:$AM, 33, FALSE) / VLOOKUP("electricity|PM25|Work loss days", US_national_yearly!$D:$AM, 10, FALSE), 1)</f>
        <v>0.35684666287033817</v>
      </c>
      <c r="Z15" s="7">
        <f>$B15 * IFERROR(VLOOKUP("electricity|PM25|Work loss days", US_national_yearly!$D:$AM, 34, FALSE) / VLOOKUP("electricity|PM25|Work loss days", US_national_yearly!$D:$AM, 10, FALSE), 1)</f>
        <v>0.35905769334556509</v>
      </c>
      <c r="AA15" s="7">
        <f>$B15 * IFERROR(VLOOKUP("electricity|PM25|Work loss days", US_national_yearly!$D:$AM, 35, FALSE) / VLOOKUP("electricity|PM25|Work loss days", US_national_yearly!$D:$AM, 10, FALSE), 1)</f>
        <v>0.36126872382079206</v>
      </c>
      <c r="AB15" s="7">
        <f>$B15 * IFERROR(VLOOKUP("electricity|PM25|Work loss days", US_national_yearly!$D:$AM, 36, FALSE) / VLOOKUP("electricity|PM25|Work loss days", US_national_yearly!$D:$AM, 10, FALSE), 1)</f>
        <v>0.36347975429601892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4.8598579891100731E-4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5.004073833496332E-4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5.148289677882592E-4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5.2925055222688509E-4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5.4367213666551097E-4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5.5758173248303248E-4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5.7149132830055388E-4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5.8354092567576999E-4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5.955905230509861E-4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6.0764012042620211E-4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6.1968971780141822E-4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6.3173931517663423E-4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6.3983933071738058E-4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6.4793934625812693E-4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6.5603936179887317E-4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6.6413937733961963E-4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6.7223939288036587E-4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6.7670980226934466E-4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6.8118021165832323E-4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6.8565062104730191E-4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6.9012103043628059E-4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6.9459143982525927E-4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6.9771023951187988E-4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7.0082903919850038E-4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7.03947838885121E-4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7.0706663857174172E-4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7.1018543825836233E-4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3.0157210216233426E-4</v>
      </c>
      <c r="C2" s="7">
        <f>$B2 * IFERROR(VLOOKUP("electricity|NOx|Premature mortality", US_national_yearly!$D:$AM, 11, FALSE) / VLOOKUP("electricity|NOx|Premature mortality", US_national_yearly!$D:$AM, 10, FALSE), 1)</f>
        <v>3.0613507917655379E-4</v>
      </c>
      <c r="D2" s="7">
        <f>$B2 * IFERROR(VLOOKUP("electricity|NOx|Premature mortality", US_national_yearly!$D:$AM, 12, FALSE) / VLOOKUP("electricity|NOx|Premature mortality", US_national_yearly!$D:$AM, 10, FALSE), 1)</f>
        <v>3.1069805619077343E-4</v>
      </c>
      <c r="E2" s="7">
        <f>$B2 * IFERROR(VLOOKUP("electricity|NOx|Premature mortality", US_national_yearly!$D:$AM, 13, FALSE) / VLOOKUP("electricity|NOx|Premature mortality", US_national_yearly!$D:$AM, 10, FALSE), 1)</f>
        <v>3.1526103320499301E-4</v>
      </c>
      <c r="F2" s="7">
        <f>$B2 * IFERROR(VLOOKUP("electricity|NOx|Premature mortality", US_national_yearly!$D:$AM, 14, FALSE) / VLOOKUP("electricity|NOx|Premature mortality", US_national_yearly!$D:$AM, 10, FALSE), 1)</f>
        <v>3.1982401021921254E-4</v>
      </c>
      <c r="G2" s="7">
        <f>$B2 * IFERROR(VLOOKUP("electricity|NOx|Premature mortality", US_national_yearly!$D:$AM, 15, FALSE) / VLOOKUP("electricity|NOx|Premature mortality", US_national_yearly!$D:$AM, 10, FALSE), 1)</f>
        <v>3.2797516767196712E-4</v>
      </c>
      <c r="H2" s="7">
        <f>$B2 * IFERROR(VLOOKUP("electricity|NOx|Premature mortality", US_national_yearly!$D:$AM, 16, FALSE) / VLOOKUP("electricity|NOx|Premature mortality", US_national_yearly!$D:$AM, 10, FALSE), 1)</f>
        <v>3.361263251247217E-4</v>
      </c>
      <c r="I2" s="7">
        <f>$B2 * IFERROR(VLOOKUP("electricity|NOx|Premature mortality", US_national_yearly!$D:$AM, 17, FALSE) / VLOOKUP("electricity|NOx|Premature mortality", US_national_yearly!$D:$AM, 10, FALSE), 1)</f>
        <v>3.4154310405925896E-4</v>
      </c>
      <c r="J2" s="7">
        <f>$B2 * IFERROR(VLOOKUP("electricity|NOx|Premature mortality", US_national_yearly!$D:$AM, 18, FALSE) / VLOOKUP("electricity|NOx|Premature mortality", US_national_yearly!$D:$AM, 10, FALSE), 1)</f>
        <v>3.4695988299379634E-4</v>
      </c>
      <c r="K2" s="7">
        <f>$B2 * IFERROR(VLOOKUP("electricity|NOx|Premature mortality", US_national_yearly!$D:$AM, 19, FALSE) / VLOOKUP("electricity|NOx|Premature mortality", US_national_yearly!$D:$AM, 10, FALSE), 1)</f>
        <v>3.5237666192833365E-4</v>
      </c>
      <c r="L2" s="7">
        <f>$B2 * IFERROR(VLOOKUP("electricity|NOx|Premature mortality", US_national_yearly!$D:$AM, 20, FALSE) / VLOOKUP("electricity|NOx|Premature mortality", US_national_yearly!$D:$AM, 10, FALSE), 1)</f>
        <v>3.5779344086287092E-4</v>
      </c>
      <c r="M2" s="7">
        <f>$B2 * IFERROR(VLOOKUP("electricity|NOx|Premature mortality", US_national_yearly!$D:$AM, 21, FALSE) / VLOOKUP("electricity|NOx|Premature mortality", US_national_yearly!$D:$AM, 10, FALSE), 1)</f>
        <v>3.6321021979740823E-4</v>
      </c>
      <c r="N2" s="7">
        <f>$B2 * IFERROR(VLOOKUP("electricity|NOx|Premature mortality", US_national_yearly!$D:$AM, 22, FALSE) / VLOOKUP("electricity|NOx|Premature mortality", US_national_yearly!$D:$AM, 10, FALSE), 1)</f>
        <v>3.6738989095151469E-4</v>
      </c>
      <c r="O2" s="7">
        <f>$B2 * IFERROR(VLOOKUP("electricity|NOx|Premature mortality", US_national_yearly!$D:$AM, 23, FALSE) / VLOOKUP("electricity|NOx|Premature mortality", US_national_yearly!$D:$AM, 10, FALSE), 1)</f>
        <v>3.7156956210562125E-4</v>
      </c>
      <c r="P2" s="7">
        <f>$B2 * IFERROR(VLOOKUP("electricity|NOx|Premature mortality", US_national_yearly!$D:$AM, 24, FALSE) / VLOOKUP("electricity|NOx|Premature mortality", US_national_yearly!$D:$AM, 10, FALSE), 1)</f>
        <v>3.7574923325972771E-4</v>
      </c>
      <c r="Q2" s="7">
        <f>$B2 * IFERROR(VLOOKUP("electricity|NOx|Premature mortality", US_national_yearly!$D:$AM, 25, FALSE) / VLOOKUP("electricity|NOx|Premature mortality", US_national_yearly!$D:$AM, 10, FALSE), 1)</f>
        <v>3.7992890441383421E-4</v>
      </c>
      <c r="R2" s="7">
        <f>$B2 * IFERROR(VLOOKUP("electricity|NOx|Premature mortality", US_national_yearly!$D:$AM, 26, FALSE) / VLOOKUP("electricity|NOx|Premature mortality", US_national_yearly!$D:$AM, 10, FALSE), 1)</f>
        <v>3.8410857556794067E-4</v>
      </c>
      <c r="S2" s="7">
        <f>$B2 * IFERROR(VLOOKUP("electricity|NOx|Premature mortality", US_national_yearly!$D:$AM, 27, FALSE) / VLOOKUP("electricity|NOx|Premature mortality", US_national_yearly!$D:$AM, 10, FALSE), 1)</f>
        <v>3.8626838665904684E-4</v>
      </c>
      <c r="T2" s="7">
        <f>$B2 * IFERROR(VLOOKUP("electricity|NOx|Premature mortality", US_national_yearly!$D:$AM, 28, FALSE) / VLOOKUP("electricity|NOx|Premature mortality", US_national_yearly!$D:$AM, 10, FALSE), 1)</f>
        <v>3.8842819775015302E-4</v>
      </c>
      <c r="U2" s="7">
        <f>$B2 * IFERROR(VLOOKUP("electricity|NOx|Premature mortality", US_national_yearly!$D:$AM, 29, FALSE) / VLOOKUP("electricity|NOx|Premature mortality", US_national_yearly!$D:$AM, 10, FALSE), 1)</f>
        <v>3.9058800884125936E-4</v>
      </c>
      <c r="V2" s="7">
        <f>$B2 * IFERROR(VLOOKUP("electricity|NOx|Premature mortality", US_national_yearly!$D:$AM, 30, FALSE) / VLOOKUP("electricity|NOx|Premature mortality", US_national_yearly!$D:$AM, 10, FALSE), 1)</f>
        <v>3.9274781993236553E-4</v>
      </c>
      <c r="W2" s="7">
        <f>$B2 * IFERROR(VLOOKUP("electricity|NOx|Premature mortality", US_national_yearly!$D:$AM, 31, FALSE) / VLOOKUP("electricity|NOx|Premature mortality", US_national_yearly!$D:$AM, 10, FALSE), 1)</f>
        <v>3.9490763102347171E-4</v>
      </c>
      <c r="X2" s="7">
        <f>$B2 * IFERROR(VLOOKUP("electricity|NOx|Premature mortality", US_national_yearly!$D:$AM, 32, FALSE) / VLOOKUP("electricity|NOx|Premature mortality", US_national_yearly!$D:$AM, 10, FALSE), 1)</f>
        <v>3.9539624738952803E-4</v>
      </c>
      <c r="Y2" s="7">
        <f>$B2 * IFERROR(VLOOKUP("electricity|NOx|Premature mortality", US_national_yearly!$D:$AM, 33, FALSE) / VLOOKUP("electricity|NOx|Premature mortality", US_national_yearly!$D:$AM, 10, FALSE), 1)</f>
        <v>3.9588486375558441E-4</v>
      </c>
      <c r="Z2" s="7">
        <f>$B2 * IFERROR(VLOOKUP("electricity|NOx|Premature mortality", US_national_yearly!$D:$AM, 34, FALSE) / VLOOKUP("electricity|NOx|Premature mortality", US_national_yearly!$D:$AM, 10, FALSE), 1)</f>
        <v>3.9637348012164074E-4</v>
      </c>
      <c r="AA2" s="7">
        <f>$B2 * IFERROR(VLOOKUP("electricity|NOx|Premature mortality", US_national_yearly!$D:$AM, 35, FALSE) / VLOOKUP("electricity|NOx|Premature mortality", US_national_yearly!$D:$AM, 10, FALSE), 1)</f>
        <v>3.9686209648769701E-4</v>
      </c>
      <c r="AB2" s="7">
        <f>$B2 * IFERROR(VLOOKUP("electricity|NOx|Premature mortality", US_national_yearly!$D:$AM, 36, FALSE) / VLOOKUP("electricity|NOx|Premature mortality", US_national_yearly!$D:$AM, 10, FALSE), 1)</f>
        <v>3.9735071285375338E-4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7.9304447156257094E-7</v>
      </c>
      <c r="C3" s="7">
        <f>$B3 * IFERROR(VLOOKUP("electricity|NOx|Infant mortality", US_national_yearly!$D:$AM, 11, FALSE) / VLOOKUP("electricity|NOx|Infant mortality", US_national_yearly!$D:$AM, 10, FALSE), 1)</f>
        <v>7.8562508742395121E-7</v>
      </c>
      <c r="D3" s="7">
        <f>$B3 * IFERROR(VLOOKUP("electricity|NOx|Infant mortality", US_national_yearly!$D:$AM, 12, FALSE) / VLOOKUP("electricity|NOx|Infant mortality", US_national_yearly!$D:$AM, 10, FALSE), 1)</f>
        <v>7.7820570328533137E-7</v>
      </c>
      <c r="E3" s="7">
        <f>$B3 * IFERROR(VLOOKUP("electricity|NOx|Infant mortality", US_national_yearly!$D:$AM, 13, FALSE) / VLOOKUP("electricity|NOx|Infant mortality", US_national_yearly!$D:$AM, 10, FALSE), 1)</f>
        <v>7.7078631914671174E-7</v>
      </c>
      <c r="F3" s="7">
        <f>$B3 * IFERROR(VLOOKUP("electricity|NOx|Infant mortality", US_national_yearly!$D:$AM, 14, FALSE) / VLOOKUP("electricity|NOx|Infant mortality", US_national_yearly!$D:$AM, 10, FALSE), 1)</f>
        <v>7.633669350080919E-7</v>
      </c>
      <c r="G3" s="7">
        <f>$B3 * IFERROR(VLOOKUP("electricity|NOx|Infant mortality", US_national_yearly!$D:$AM, 15, FALSE) / VLOOKUP("electricity|NOx|Infant mortality", US_national_yearly!$D:$AM, 10, FALSE), 1)</f>
        <v>5.0576841440011081E-7</v>
      </c>
      <c r="H3" s="7">
        <f>$B3 * IFERROR(VLOOKUP("electricity|NOx|Infant mortality", US_national_yearly!$D:$AM, 16, FALSE) / VLOOKUP("electricity|NOx|Infant mortality", US_national_yearly!$D:$AM, 10, FALSE), 1)</f>
        <v>2.4816989379212971E-7</v>
      </c>
      <c r="I3" s="7">
        <f>$B3 * IFERROR(VLOOKUP("electricity|NOx|Infant mortality", US_national_yearly!$D:$AM, 17, FALSE) / VLOOKUP("electricity|NOx|Infant mortality", US_national_yearly!$D:$AM, 10, FALSE), 1)</f>
        <v>2.463650667100026E-7</v>
      </c>
      <c r="J3" s="7">
        <f>$B3 * IFERROR(VLOOKUP("electricity|NOx|Infant mortality", US_national_yearly!$D:$AM, 18, FALSE) / VLOOKUP("electricity|NOx|Infant mortality", US_national_yearly!$D:$AM, 10, FALSE), 1)</f>
        <v>2.4456023962787549E-7</v>
      </c>
      <c r="K3" s="7">
        <f>$B3 * IFERROR(VLOOKUP("electricity|NOx|Infant mortality", US_national_yearly!$D:$AM, 19, FALSE) / VLOOKUP("electricity|NOx|Infant mortality", US_national_yearly!$D:$AM, 10, FALSE), 1)</f>
        <v>2.4275541254574837E-7</v>
      </c>
      <c r="L3" s="7">
        <f>$B3 * IFERROR(VLOOKUP("electricity|NOx|Infant mortality", US_national_yearly!$D:$AM, 20, FALSE) / VLOOKUP("electricity|NOx|Infant mortality", US_national_yearly!$D:$AM, 10, FALSE), 1)</f>
        <v>2.4095058546362126E-7</v>
      </c>
      <c r="M3" s="7">
        <f>$B3 * IFERROR(VLOOKUP("electricity|NOx|Infant mortality", US_national_yearly!$D:$AM, 21, FALSE) / VLOOKUP("electricity|NOx|Infant mortality", US_national_yearly!$D:$AM, 10, FALSE), 1)</f>
        <v>2.391457583814941E-7</v>
      </c>
      <c r="N3" s="7">
        <f>$B3 * IFERROR(VLOOKUP("electricity|NOx|Infant mortality", US_national_yearly!$D:$AM, 22, FALSE) / VLOOKUP("electricity|NOx|Infant mortality", US_national_yearly!$D:$AM, 10, FALSE), 1)</f>
        <v>2.3793380403103361E-7</v>
      </c>
      <c r="O3" s="7">
        <f>$B3 * IFERROR(VLOOKUP("electricity|NOx|Infant mortality", US_national_yearly!$D:$AM, 23, FALSE) / VLOOKUP("electricity|NOx|Infant mortality", US_national_yearly!$D:$AM, 10, FALSE), 1)</f>
        <v>2.3672184968057308E-7</v>
      </c>
      <c r="P3" s="7">
        <f>$B3 * IFERROR(VLOOKUP("electricity|NOx|Infant mortality", US_national_yearly!$D:$AM, 24, FALSE) / VLOOKUP("electricity|NOx|Infant mortality", US_national_yearly!$D:$AM, 10, FALSE), 1)</f>
        <v>2.3550989533011255E-7</v>
      </c>
      <c r="Q3" s="7">
        <f>$B3 * IFERROR(VLOOKUP("electricity|NOx|Infant mortality", US_national_yearly!$D:$AM, 25, FALSE) / VLOOKUP("electricity|NOx|Infant mortality", US_national_yearly!$D:$AM, 10, FALSE), 1)</f>
        <v>2.3429794097965201E-7</v>
      </c>
      <c r="R3" s="7">
        <f>$B3 * IFERROR(VLOOKUP("electricity|NOx|Infant mortality", US_national_yearly!$D:$AM, 26, FALSE) / VLOOKUP("electricity|NOx|Infant mortality", US_national_yearly!$D:$AM, 10, FALSE), 1)</f>
        <v>2.3308598662919153E-7</v>
      </c>
      <c r="S3" s="7">
        <f>$B3 * IFERROR(VLOOKUP("electricity|NOx|Infant mortality", US_national_yearly!$D:$AM, 27, FALSE) / VLOOKUP("electricity|NOx|Infant mortality", US_national_yearly!$D:$AM, 10, FALSE), 1)</f>
        <v>2.316471857600444E-7</v>
      </c>
      <c r="T3" s="7">
        <f>$B3 * IFERROR(VLOOKUP("electricity|NOx|Infant mortality", US_national_yearly!$D:$AM, 28, FALSE) / VLOOKUP("electricity|NOx|Infant mortality", US_national_yearly!$D:$AM, 10, FALSE), 1)</f>
        <v>2.3020838489089725E-7</v>
      </c>
      <c r="U3" s="7">
        <f>$B3 * IFERROR(VLOOKUP("electricity|NOx|Infant mortality", US_national_yearly!$D:$AM, 29, FALSE) / VLOOKUP("electricity|NOx|Infant mortality", US_national_yearly!$D:$AM, 10, FALSE), 1)</f>
        <v>2.2876958402175014E-7</v>
      </c>
      <c r="V3" s="7">
        <f>$B3 * IFERROR(VLOOKUP("electricity|NOx|Infant mortality", US_national_yearly!$D:$AM, 30, FALSE) / VLOOKUP("electricity|NOx|Infant mortality", US_national_yearly!$D:$AM, 10, FALSE), 1)</f>
        <v>2.2733078315260304E-7</v>
      </c>
      <c r="W3" s="7">
        <f>$B3 * IFERROR(VLOOKUP("electricity|NOx|Infant mortality", US_national_yearly!$D:$AM, 31, FALSE) / VLOOKUP("electricity|NOx|Infant mortality", US_national_yearly!$D:$AM, 10, FALSE), 1)</f>
        <v>2.2589198228345591E-7</v>
      </c>
      <c r="X3" s="7">
        <f>$B3 * IFERROR(VLOOKUP("electricity|NOx|Infant mortality", US_national_yearly!$D:$AM, 32, FALSE) / VLOOKUP("electricity|NOx|Infant mortality", US_national_yearly!$D:$AM, 10, FALSE), 1)</f>
        <v>2.2441048590191131E-7</v>
      </c>
      <c r="Y3" s="7">
        <f>$B3 * IFERROR(VLOOKUP("electricity|NOx|Infant mortality", US_national_yearly!$D:$AM, 33, FALSE) / VLOOKUP("electricity|NOx|Infant mortality", US_national_yearly!$D:$AM, 10, FALSE), 1)</f>
        <v>2.2292898952036668E-7</v>
      </c>
      <c r="Z3" s="7">
        <f>$B3 * IFERROR(VLOOKUP("electricity|NOx|Infant mortality", US_national_yearly!$D:$AM, 34, FALSE) / VLOOKUP("electricity|NOx|Infant mortality", US_national_yearly!$D:$AM, 10, FALSE), 1)</f>
        <v>2.2144749313882208E-7</v>
      </c>
      <c r="AA3" s="7">
        <f>$B3 * IFERROR(VLOOKUP("electricity|NOx|Infant mortality", US_national_yearly!$D:$AM, 35, FALSE) / VLOOKUP("electricity|NOx|Infant mortality", US_national_yearly!$D:$AM, 10, FALSE), 1)</f>
        <v>2.1996599675727748E-7</v>
      </c>
      <c r="AB3" s="7">
        <f>$B3 * IFERROR(VLOOKUP("electricity|NOx|Infant mortality", US_national_yearly!$D:$AM, 36, FALSE) / VLOOKUP("electricity|NOx|Infant mortality", US_national_yearly!$D:$AM, 10, FALSE), 1)</f>
        <v>2.1848450037573283E-7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8.0792391870063162E-4</v>
      </c>
      <c r="C6" s="7">
        <f>$B6 * IFERROR(VLOOKUP("electricity|NOx|Asthma symptoms cough", US_national_yearly!$D:$AM, 11, FALSE) / VLOOKUP("electricity|NOx|Asthma symptoms cough", US_national_yearly!$D:$AM, 10, FALSE), 1)</f>
        <v>8.1901568880535518E-4</v>
      </c>
      <c r="D6" s="7">
        <f>$B6 * IFERROR(VLOOKUP("electricity|NOx|Asthma symptoms cough", US_national_yearly!$D:$AM, 12, FALSE) / VLOOKUP("electricity|NOx|Asthma symptoms cough", US_national_yearly!$D:$AM, 10, FALSE), 1)</f>
        <v>8.3010745891007895E-4</v>
      </c>
      <c r="E6" s="7">
        <f>$B6 * IFERROR(VLOOKUP("electricity|NOx|Asthma symptoms cough", US_national_yearly!$D:$AM, 13, FALSE) / VLOOKUP("electricity|NOx|Asthma symptoms cough", US_national_yearly!$D:$AM, 10, FALSE), 1)</f>
        <v>8.411992290148024E-4</v>
      </c>
      <c r="F6" s="7">
        <f>$B6 * IFERROR(VLOOKUP("electricity|NOx|Asthma symptoms cough", US_national_yearly!$D:$AM, 14, FALSE) / VLOOKUP("electricity|NOx|Asthma symptoms cough", US_national_yearly!$D:$AM, 10, FALSE), 1)</f>
        <v>8.5229099911952595E-4</v>
      </c>
      <c r="G6" s="7">
        <f>$B6 * IFERROR(VLOOKUP("electricity|NOx|Asthma symptoms cough", US_national_yearly!$D:$AM, 15, FALSE) / VLOOKUP("electricity|NOx|Asthma symptoms cough", US_national_yearly!$D:$AM, 10, FALSE), 1)</f>
        <v>8.61309196325169E-4</v>
      </c>
      <c r="H6" s="7">
        <f>$B6 * IFERROR(VLOOKUP("electricity|NOx|Asthma symptoms cough", US_national_yearly!$D:$AM, 16, FALSE) / VLOOKUP("electricity|NOx|Asthma symptoms cough", US_national_yearly!$D:$AM, 10, FALSE), 1)</f>
        <v>8.7032739353081205E-4</v>
      </c>
      <c r="I6" s="7">
        <f>$B6 * IFERROR(VLOOKUP("electricity|NOx|Asthma symptoms cough", US_national_yearly!$D:$AM, 17, FALSE) / VLOOKUP("electricity|NOx|Asthma symptoms cough", US_national_yearly!$D:$AM, 10, FALSE), 1)</f>
        <v>8.7367980050684314E-4</v>
      </c>
      <c r="J6" s="7">
        <f>$B6 * IFERROR(VLOOKUP("electricity|NOx|Asthma symptoms cough", US_national_yearly!$D:$AM, 18, FALSE) / VLOOKUP("electricity|NOx|Asthma symptoms cough", US_national_yearly!$D:$AM, 10, FALSE), 1)</f>
        <v>8.7703220748287423E-4</v>
      </c>
      <c r="K6" s="7">
        <f>$B6 * IFERROR(VLOOKUP("electricity|NOx|Asthma symptoms cough", US_national_yearly!$D:$AM, 19, FALSE) / VLOOKUP("electricity|NOx|Asthma symptoms cough", US_national_yearly!$D:$AM, 10, FALSE), 1)</f>
        <v>8.8038461445890553E-4</v>
      </c>
      <c r="L6" s="7">
        <f>$B6 * IFERROR(VLOOKUP("electricity|NOx|Asthma symptoms cough", US_national_yearly!$D:$AM, 20, FALSE) / VLOOKUP("electricity|NOx|Asthma symptoms cough", US_national_yearly!$D:$AM, 10, FALSE), 1)</f>
        <v>8.8373702143493662E-4</v>
      </c>
      <c r="M6" s="7">
        <f>$B6 * IFERROR(VLOOKUP("electricity|NOx|Asthma symptoms cough", US_national_yearly!$D:$AM, 21, FALSE) / VLOOKUP("electricity|NOx|Asthma symptoms cough", US_national_yearly!$D:$AM, 10, FALSE), 1)</f>
        <v>8.8708942841096792E-4</v>
      </c>
      <c r="N6" s="7">
        <f>$B6 * IFERROR(VLOOKUP("electricity|NOx|Asthma symptoms cough", US_national_yearly!$D:$AM, 22, FALSE) / VLOOKUP("electricity|NOx|Asthma symptoms cough", US_national_yearly!$D:$AM, 10, FALSE), 1)</f>
        <v>8.908038674164475E-4</v>
      </c>
      <c r="O6" s="7">
        <f>$B6 * IFERROR(VLOOKUP("electricity|NOx|Asthma symptoms cough", US_national_yearly!$D:$AM, 23, FALSE) / VLOOKUP("electricity|NOx|Asthma symptoms cough", US_national_yearly!$D:$AM, 10, FALSE), 1)</f>
        <v>8.9451830642192718E-4</v>
      </c>
      <c r="P6" s="7">
        <f>$B6 * IFERROR(VLOOKUP("electricity|NOx|Asthma symptoms cough", US_national_yearly!$D:$AM, 24, FALSE) / VLOOKUP("electricity|NOx|Asthma symptoms cough", US_national_yearly!$D:$AM, 10, FALSE), 1)</f>
        <v>8.9823274542740676E-4</v>
      </c>
      <c r="Q6" s="7">
        <f>$B6 * IFERROR(VLOOKUP("electricity|NOx|Asthma symptoms cough", US_national_yearly!$D:$AM, 25, FALSE) / VLOOKUP("electricity|NOx|Asthma symptoms cough", US_national_yearly!$D:$AM, 10, FALSE), 1)</f>
        <v>9.0194718443288655E-4</v>
      </c>
      <c r="R6" s="7">
        <f>$B6 * IFERROR(VLOOKUP("electricity|NOx|Asthma symptoms cough", US_national_yearly!$D:$AM, 26, FALSE) / VLOOKUP("electricity|NOx|Asthma symptoms cough", US_national_yearly!$D:$AM, 10, FALSE), 1)</f>
        <v>9.0566162343836602E-4</v>
      </c>
      <c r="S6" s="7">
        <f>$B6 * IFERROR(VLOOKUP("electricity|NOx|Asthma symptoms cough", US_national_yearly!$D:$AM, 27, FALSE) / VLOOKUP("electricity|NOx|Asthma symptoms cough", US_national_yearly!$D:$AM, 10, FALSE), 1)</f>
        <v>9.1029572815258812E-4</v>
      </c>
      <c r="T6" s="7">
        <f>$B6 * IFERROR(VLOOKUP("electricity|NOx|Asthma symptoms cough", US_national_yearly!$D:$AM, 28, FALSE) / VLOOKUP("electricity|NOx|Asthma symptoms cough", US_national_yearly!$D:$AM, 10, FALSE), 1)</f>
        <v>9.149298328668099E-4</v>
      </c>
      <c r="U6" s="7">
        <f>$B6 * IFERROR(VLOOKUP("electricity|NOx|Asthma symptoms cough", US_national_yearly!$D:$AM, 29, FALSE) / VLOOKUP("electricity|NOx|Asthma symptoms cough", US_national_yearly!$D:$AM, 10, FALSE), 1)</f>
        <v>9.195639375810321E-4</v>
      </c>
      <c r="V6" s="7">
        <f>$B6 * IFERROR(VLOOKUP("electricity|NOx|Asthma symptoms cough", US_national_yearly!$D:$AM, 30, FALSE) / VLOOKUP("electricity|NOx|Asthma symptoms cough", US_national_yearly!$D:$AM, 10, FALSE), 1)</f>
        <v>9.2419804229525388E-4</v>
      </c>
      <c r="W6" s="7">
        <f>$B6 * IFERROR(VLOOKUP("electricity|NOx|Asthma symptoms cough", US_national_yearly!$D:$AM, 31, FALSE) / VLOOKUP("electricity|NOx|Asthma symptoms cough", US_national_yearly!$D:$AM, 10, FALSE), 1)</f>
        <v>9.2883214700947587E-4</v>
      </c>
      <c r="X6" s="7">
        <f>$B6 * IFERROR(VLOOKUP("electricity|NOx|Asthma symptoms cough", US_national_yearly!$D:$AM, 32, FALSE) / VLOOKUP("electricity|NOx|Asthma symptoms cough", US_national_yearly!$D:$AM, 10, FALSE), 1)</f>
        <v>9.3310157861614717E-4</v>
      </c>
      <c r="Y6" s="7">
        <f>$B6 * IFERROR(VLOOKUP("electricity|NOx|Asthma symptoms cough", US_national_yearly!$D:$AM, 33, FALSE) / VLOOKUP("electricity|NOx|Asthma symptoms cough", US_national_yearly!$D:$AM, 10, FALSE), 1)</f>
        <v>9.3737101022281857E-4</v>
      </c>
      <c r="Z6" s="7">
        <f>$B6 * IFERROR(VLOOKUP("electricity|NOx|Asthma symptoms cough", US_national_yearly!$D:$AM, 34, FALSE) / VLOOKUP("electricity|NOx|Asthma symptoms cough", US_national_yearly!$D:$AM, 10, FALSE), 1)</f>
        <v>9.4164044182949009E-4</v>
      </c>
      <c r="AA6" s="7">
        <f>$B6 * IFERROR(VLOOKUP("electricity|NOx|Asthma symptoms cough", US_national_yearly!$D:$AM, 35, FALSE) / VLOOKUP("electricity|NOx|Asthma symptoms cough", US_national_yearly!$D:$AM, 10, FALSE), 1)</f>
        <v>9.4590987343616127E-4</v>
      </c>
      <c r="AB6" s="7">
        <f>$B6 * IFERROR(VLOOKUP("electricity|NOx|Asthma symptoms cough", US_national_yearly!$D:$AM, 36, FALSE) / VLOOKUP("electricity|NOx|Asthma symptoms cough", US_national_yearly!$D:$AM, 10, FALSE), 1)</f>
        <v>9.5017930504283279E-4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1.0879868659190489E-3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1.1029235448462306E-3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1.1178602237734124E-3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1.1327969027005941E-3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1.1477335816277756E-3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1.1598778935562912E-3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1.1720222054848062E-3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1.1765367081996783E-3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1.18105121091455E-3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1.1855657136294218E-3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1.1900802163442934E-3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1.1945947190591655E-3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1.1995967504729171E-3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1.204598781886669E-3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1.2096008133004208E-3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1.2146028447141727E-3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1.2196048761279246E-3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1.2258453709591759E-3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1.2320858657904271E-3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1.2383263606216784E-3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1.2445668554529297E-3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1.250807350284181E-3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1.2565567598251429E-3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1.2623061693661048E-3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1.2680555789070667E-3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1.2738049884480284E-3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1.2795543979889905E-3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1.6622592728315218E-3</v>
      </c>
      <c r="C8" s="7">
        <f>$B8 * IFERROR(VLOOKUP("electricity|NOx|Asthma symptoms wheeze", US_national_yearly!$D:$AM, 11, FALSE) / VLOOKUP("electricity|NOx|Asthma symptoms wheeze", US_national_yearly!$D:$AM, 10, FALSE), 1)</f>
        <v>1.6850799831448883E-3</v>
      </c>
      <c r="D8" s="7">
        <f>$B8 * IFERROR(VLOOKUP("electricity|NOx|Asthma symptoms wheeze", US_national_yearly!$D:$AM, 12, FALSE) / VLOOKUP("electricity|NOx|Asthma symptoms wheeze", US_national_yearly!$D:$AM, 10, FALSE), 1)</f>
        <v>1.7079006934582548E-3</v>
      </c>
      <c r="E8" s="7">
        <f>$B8 * IFERROR(VLOOKUP("electricity|NOx|Asthma symptoms wheeze", US_national_yearly!$D:$AM, 13, FALSE) / VLOOKUP("electricity|NOx|Asthma symptoms wheeze", US_national_yearly!$D:$AM, 10, FALSE), 1)</f>
        <v>1.7307214037716211E-3</v>
      </c>
      <c r="F8" s="7">
        <f>$B8 * IFERROR(VLOOKUP("electricity|NOx|Asthma symptoms wheeze", US_national_yearly!$D:$AM, 14, FALSE) / VLOOKUP("electricity|NOx|Asthma symptoms wheeze", US_national_yearly!$D:$AM, 10, FALSE), 1)</f>
        <v>1.7535421140849881E-3</v>
      </c>
      <c r="G8" s="7">
        <f>$B8 * IFERROR(VLOOKUP("electricity|NOx|Asthma symptoms wheeze", US_national_yearly!$D:$AM, 15, FALSE) / VLOOKUP("electricity|NOx|Asthma symptoms wheeze", US_national_yearly!$D:$AM, 10, FALSE), 1)</f>
        <v>1.7720965615708275E-3</v>
      </c>
      <c r="H8" s="7">
        <f>$B8 * IFERROR(VLOOKUP("electricity|NOx|Asthma symptoms wheeze", US_national_yearly!$D:$AM, 16, FALSE) / VLOOKUP("electricity|NOx|Asthma symptoms wheeze", US_national_yearly!$D:$AM, 10, FALSE), 1)</f>
        <v>1.7906510090566676E-3</v>
      </c>
      <c r="I8" s="7">
        <f>$B8 * IFERROR(VLOOKUP("electricity|NOx|Asthma symptoms wheeze", US_national_yearly!$D:$AM, 17, FALSE) / VLOOKUP("electricity|NOx|Asthma symptoms wheeze", US_national_yearly!$D:$AM, 10, FALSE), 1)</f>
        <v>1.7975484030351087E-3</v>
      </c>
      <c r="J8" s="7">
        <f>$B8 * IFERROR(VLOOKUP("electricity|NOx|Asthma symptoms wheeze", US_national_yearly!$D:$AM, 18, FALSE) / VLOOKUP("electricity|NOx|Asthma symptoms wheeze", US_national_yearly!$D:$AM, 10, FALSE), 1)</f>
        <v>1.8044457970135498E-3</v>
      </c>
      <c r="K8" s="7">
        <f>$B8 * IFERROR(VLOOKUP("electricity|NOx|Asthma symptoms wheeze", US_national_yearly!$D:$AM, 19, FALSE) / VLOOKUP("electricity|NOx|Asthma symptoms wheeze", US_national_yearly!$D:$AM, 10, FALSE), 1)</f>
        <v>1.8113431909919915E-3</v>
      </c>
      <c r="L8" s="7">
        <f>$B8 * IFERROR(VLOOKUP("electricity|NOx|Asthma symptoms wheeze", US_national_yearly!$D:$AM, 20, FALSE) / VLOOKUP("electricity|NOx|Asthma symptoms wheeze", US_national_yearly!$D:$AM, 10, FALSE), 1)</f>
        <v>1.8182405849704328E-3</v>
      </c>
      <c r="M8" s="7">
        <f>$B8 * IFERROR(VLOOKUP("electricity|NOx|Asthma symptoms wheeze", US_national_yearly!$D:$AM, 21, FALSE) / VLOOKUP("electricity|NOx|Asthma symptoms wheeze", US_national_yearly!$D:$AM, 10, FALSE), 1)</f>
        <v>1.8251379789488739E-3</v>
      </c>
      <c r="N8" s="7">
        <f>$B8 * IFERROR(VLOOKUP("electricity|NOx|Asthma symptoms wheeze", US_national_yearly!$D:$AM, 22, FALSE) / VLOOKUP("electricity|NOx|Asthma symptoms wheeze", US_national_yearly!$D:$AM, 10, FALSE), 1)</f>
        <v>1.832780234025823E-3</v>
      </c>
      <c r="O8" s="7">
        <f>$B8 * IFERROR(VLOOKUP("electricity|NOx|Asthma symptoms wheeze", US_national_yearly!$D:$AM, 23, FALSE) / VLOOKUP("electricity|NOx|Asthma symptoms wheeze", US_national_yearly!$D:$AM, 10, FALSE), 1)</f>
        <v>1.8404224891027726E-3</v>
      </c>
      <c r="P8" s="7">
        <f>$B8 * IFERROR(VLOOKUP("electricity|NOx|Asthma symptoms wheeze", US_national_yearly!$D:$AM, 24, FALSE) / VLOOKUP("electricity|NOx|Asthma symptoms wheeze", US_national_yearly!$D:$AM, 10, FALSE), 1)</f>
        <v>1.8480647441797221E-3</v>
      </c>
      <c r="Q8" s="7">
        <f>$B8 * IFERROR(VLOOKUP("electricity|NOx|Asthma symptoms wheeze", US_national_yearly!$D:$AM, 25, FALSE) / VLOOKUP("electricity|NOx|Asthma symptoms wheeze", US_national_yearly!$D:$AM, 10, FALSE), 1)</f>
        <v>1.8557069992566715E-3</v>
      </c>
      <c r="R8" s="7">
        <f>$B8 * IFERROR(VLOOKUP("electricity|NOx|Asthma symptoms wheeze", US_national_yearly!$D:$AM, 26, FALSE) / VLOOKUP("electricity|NOx|Asthma symptoms wheeze", US_national_yearly!$D:$AM, 10, FALSE), 1)</f>
        <v>1.8633492543336206E-3</v>
      </c>
      <c r="S8" s="7">
        <f>$B8 * IFERROR(VLOOKUP("electricity|NOx|Asthma symptoms wheeze", US_national_yearly!$D:$AM, 27, FALSE) / VLOOKUP("electricity|NOx|Asthma symptoms wheeze", US_national_yearly!$D:$AM, 10, FALSE), 1)</f>
        <v>1.8728836713041493E-3</v>
      </c>
      <c r="T8" s="7">
        <f>$B8 * IFERROR(VLOOKUP("electricity|NOx|Asthma symptoms wheeze", US_national_yearly!$D:$AM, 28, FALSE) / VLOOKUP("electricity|NOx|Asthma symptoms wheeze", US_national_yearly!$D:$AM, 10, FALSE), 1)</f>
        <v>1.882418088274678E-3</v>
      </c>
      <c r="U8" s="7">
        <f>$B8 * IFERROR(VLOOKUP("electricity|NOx|Asthma symptoms wheeze", US_national_yearly!$D:$AM, 29, FALSE) / VLOOKUP("electricity|NOx|Asthma symptoms wheeze", US_national_yearly!$D:$AM, 10, FALSE), 1)</f>
        <v>1.8919525052452063E-3</v>
      </c>
      <c r="V8" s="7">
        <f>$B8 * IFERROR(VLOOKUP("electricity|NOx|Asthma symptoms wheeze", US_national_yearly!$D:$AM, 30, FALSE) / VLOOKUP("electricity|NOx|Asthma symptoms wheeze", US_national_yearly!$D:$AM, 10, FALSE), 1)</f>
        <v>1.901486922215735E-3</v>
      </c>
      <c r="W8" s="7">
        <f>$B8 * IFERROR(VLOOKUP("electricity|NOx|Asthma symptoms wheeze", US_national_yearly!$D:$AM, 31, FALSE) / VLOOKUP("electricity|NOx|Asthma symptoms wheeze", US_national_yearly!$D:$AM, 10, FALSE), 1)</f>
        <v>1.9110213391862637E-3</v>
      </c>
      <c r="X8" s="7">
        <f>$B8 * IFERROR(VLOOKUP("electricity|NOx|Asthma symptoms wheeze", US_national_yearly!$D:$AM, 32, FALSE) / VLOOKUP("electricity|NOx|Asthma symptoms wheeze", US_national_yearly!$D:$AM, 10, FALSE), 1)</f>
        <v>1.9198054611836543E-3</v>
      </c>
      <c r="Y8" s="7">
        <f>$B8 * IFERROR(VLOOKUP("electricity|NOx|Asthma symptoms wheeze", US_national_yearly!$D:$AM, 33, FALSE) / VLOOKUP("electricity|NOx|Asthma symptoms wheeze", US_national_yearly!$D:$AM, 10, FALSE), 1)</f>
        <v>1.9285895831810454E-3</v>
      </c>
      <c r="Z8" s="7">
        <f>$B8 * IFERROR(VLOOKUP("electricity|NOx|Asthma symptoms wheeze", US_national_yearly!$D:$AM, 34, FALSE) / VLOOKUP("electricity|NOx|Asthma symptoms wheeze", US_national_yearly!$D:$AM, 10, FALSE), 1)</f>
        <v>1.9373737051784357E-3</v>
      </c>
      <c r="AA8" s="7">
        <f>$B8 * IFERROR(VLOOKUP("electricity|NOx|Asthma symptoms wheeze", US_national_yearly!$D:$AM, 35, FALSE) / VLOOKUP("electricity|NOx|Asthma symptoms wheeze", US_national_yearly!$D:$AM, 10, FALSE), 1)</f>
        <v>1.9461578271758265E-3</v>
      </c>
      <c r="AB8" s="7">
        <f>$B8 * IFERROR(VLOOKUP("electricity|NOx|Asthma symptoms wheeze", US_national_yearly!$D:$AM, 36, FALSE) / VLOOKUP("electricity|NOx|Asthma symptoms wheeze", US_national_yearly!$D:$AM, 10, FALSE), 1)</f>
        <v>1.9549419491732174E-3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1.8935464847242835E-5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1.9420433728697947E-5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1.9905402610153065E-5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2.0390371491608179E-5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2.0875340373063287E-5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2.1342197744833962E-5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2.1809055116604637E-5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2.2210514048727964E-5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2.2611972980851288E-5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2.3013431912974618E-5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2.3414890845097946E-5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2.3816349777221273E-5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2.4091474624561997E-5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2.4366599471902718E-5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2.4641724319243442E-5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2.4916849166584166E-5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2.5191974013924891E-5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2.5348666391845902E-5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2.5505358769766917E-5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2.5662051147687925E-5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2.5818743525608936E-5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2.5975435903529948E-5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2.608940541400807E-5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2.6203374924486188E-5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2.6317344434964317E-5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2.6431313945442439E-5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2.6545283455920558E-5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1.1450038179208768E-4</v>
      </c>
      <c r="C13" s="7">
        <f>$B13 * IFERROR(VLOOKUP("electricity|NOx|Non-fatal heart attacks", US_national_yearly!$D:$AM, 11, FALSE) / VLOOKUP("electricity|NOx|Non-fatal heart attacks", US_national_yearly!$D:$AM, 10, FALSE), 1)</f>
        <v>1.1778622730675526E-4</v>
      </c>
      <c r="D13" s="7">
        <f>$B13 * IFERROR(VLOOKUP("electricity|NOx|Non-fatal heart attacks", US_national_yearly!$D:$AM, 12, FALSE) / VLOOKUP("electricity|NOx|Non-fatal heart attacks", US_national_yearly!$D:$AM, 10, FALSE), 1)</f>
        <v>1.2107207282142284E-4</v>
      </c>
      <c r="E13" s="7">
        <f>$B13 * IFERROR(VLOOKUP("electricity|NOx|Non-fatal heart attacks", US_national_yearly!$D:$AM, 13, FALSE) / VLOOKUP("electricity|NOx|Non-fatal heart attacks", US_national_yearly!$D:$AM, 10, FALSE), 1)</f>
        <v>1.2435791833609043E-4</v>
      </c>
      <c r="F13" s="7">
        <f>$B13 * IFERROR(VLOOKUP("electricity|NOx|Non-fatal heart attacks", US_national_yearly!$D:$AM, 14, FALSE) / VLOOKUP("electricity|NOx|Non-fatal heart attacks", US_national_yearly!$D:$AM, 10, FALSE), 1)</f>
        <v>1.2764376385075802E-4</v>
      </c>
      <c r="G13" s="7">
        <f>$B13 * IFERROR(VLOOKUP("electricity|NOx|Non-fatal heart attacks", US_national_yearly!$D:$AM, 15, FALSE) / VLOOKUP("electricity|NOx|Non-fatal heart attacks", US_national_yearly!$D:$AM, 10, FALSE), 1)</f>
        <v>1.3073915639803162E-4</v>
      </c>
      <c r="H13" s="7">
        <f>$B13 * IFERROR(VLOOKUP("electricity|NOx|Non-fatal heart attacks", US_national_yearly!$D:$AM, 16, FALSE) / VLOOKUP("electricity|NOx|Non-fatal heart attacks", US_national_yearly!$D:$AM, 10, FALSE), 1)</f>
        <v>1.3383454894530519E-4</v>
      </c>
      <c r="I13" s="7">
        <f>$B13 * IFERROR(VLOOKUP("electricity|NOx|Non-fatal heart attacks", US_national_yearly!$D:$AM, 17, FALSE) / VLOOKUP("electricity|NOx|Non-fatal heart attacks", US_national_yearly!$D:$AM, 10, FALSE), 1)</f>
        <v>1.363167406094748E-4</v>
      </c>
      <c r="J13" s="7">
        <f>$B13 * IFERROR(VLOOKUP("electricity|NOx|Non-fatal heart attacks", US_national_yearly!$D:$AM, 18, FALSE) / VLOOKUP("electricity|NOx|Non-fatal heart attacks", US_national_yearly!$D:$AM, 10, FALSE), 1)</f>
        <v>1.3879893227364441E-4</v>
      </c>
      <c r="K13" s="7">
        <f>$B13 * IFERROR(VLOOKUP("electricity|NOx|Non-fatal heart attacks", US_national_yearly!$D:$AM, 19, FALSE) / VLOOKUP("electricity|NOx|Non-fatal heart attacks", US_national_yearly!$D:$AM, 10, FALSE), 1)</f>
        <v>1.4128112393781391E-4</v>
      </c>
      <c r="L13" s="7">
        <f>$B13 * IFERROR(VLOOKUP("electricity|NOx|Non-fatal heart attacks", US_national_yearly!$D:$AM, 20, FALSE) / VLOOKUP("electricity|NOx|Non-fatal heart attacks", US_national_yearly!$D:$AM, 10, FALSE), 1)</f>
        <v>1.4376331560198352E-4</v>
      </c>
      <c r="M13" s="7">
        <f>$B13 * IFERROR(VLOOKUP("electricity|NOx|Non-fatal heart attacks", US_national_yearly!$D:$AM, 21, FALSE) / VLOOKUP("electricity|NOx|Non-fatal heart attacks", US_national_yearly!$D:$AM, 10, FALSE), 1)</f>
        <v>1.4624550726615316E-4</v>
      </c>
      <c r="N13" s="7">
        <f>$B13 * IFERROR(VLOOKUP("electricity|NOx|Non-fatal heart attacks", US_national_yearly!$D:$AM, 22, FALSE) / VLOOKUP("electricity|NOx|Non-fatal heart attacks", US_national_yearly!$D:$AM, 10, FALSE), 1)</f>
        <v>1.4777632643905633E-4</v>
      </c>
      <c r="O13" s="7">
        <f>$B13 * IFERROR(VLOOKUP("electricity|NOx|Non-fatal heart attacks", US_national_yearly!$D:$AM, 23, FALSE) / VLOOKUP("electricity|NOx|Non-fatal heart attacks", US_national_yearly!$D:$AM, 10, FALSE), 1)</f>
        <v>1.4930714561195955E-4</v>
      </c>
      <c r="P13" s="7">
        <f>$B13 * IFERROR(VLOOKUP("electricity|NOx|Non-fatal heart attacks", US_national_yearly!$D:$AM, 24, FALSE) / VLOOKUP("electricity|NOx|Non-fatal heart attacks", US_national_yearly!$D:$AM, 10, FALSE), 1)</f>
        <v>1.5083796478486275E-4</v>
      </c>
      <c r="Q13" s="7">
        <f>$B13 * IFERROR(VLOOKUP("electricity|NOx|Non-fatal heart attacks", US_national_yearly!$D:$AM, 25, FALSE) / VLOOKUP("electricity|NOx|Non-fatal heart attacks", US_national_yearly!$D:$AM, 10, FALSE), 1)</f>
        <v>1.5236878395776595E-4</v>
      </c>
      <c r="R13" s="7">
        <f>$B13 * IFERROR(VLOOKUP("electricity|NOx|Non-fatal heart attacks", US_national_yearly!$D:$AM, 26, FALSE) / VLOOKUP("electricity|NOx|Non-fatal heart attacks", US_national_yearly!$D:$AM, 10, FALSE), 1)</f>
        <v>1.5389960313066914E-4</v>
      </c>
      <c r="S13" s="7">
        <f>$B13 * IFERROR(VLOOKUP("electricity|NOx|Non-fatal heart attacks", US_national_yearly!$D:$AM, 27, FALSE) / VLOOKUP("electricity|NOx|Non-fatal heart attacks", US_national_yearly!$D:$AM, 10, FALSE), 1)</f>
        <v>1.5464755627859941E-4</v>
      </c>
      <c r="T13" s="7">
        <f>$B13 * IFERROR(VLOOKUP("electricity|NOx|Non-fatal heart attacks", US_national_yearly!$D:$AM, 28, FALSE) / VLOOKUP("electricity|NOx|Non-fatal heart attacks", US_national_yearly!$D:$AM, 10, FALSE), 1)</f>
        <v>1.5539550942652965E-4</v>
      </c>
      <c r="U13" s="7">
        <f>$B13 * IFERROR(VLOOKUP("electricity|NOx|Non-fatal heart attacks", US_national_yearly!$D:$AM, 29, FALSE) / VLOOKUP("electricity|NOx|Non-fatal heart attacks", US_national_yearly!$D:$AM, 10, FALSE), 1)</f>
        <v>1.5614346257445994E-4</v>
      </c>
      <c r="V13" s="7">
        <f>$B13 * IFERROR(VLOOKUP("electricity|NOx|Non-fatal heart attacks", US_national_yearly!$D:$AM, 30, FALSE) / VLOOKUP("electricity|NOx|Non-fatal heart attacks", US_national_yearly!$D:$AM, 10, FALSE), 1)</f>
        <v>1.5689141572239017E-4</v>
      </c>
      <c r="W13" s="7">
        <f>$B13 * IFERROR(VLOOKUP("electricity|NOx|Non-fatal heart attacks", US_national_yearly!$D:$AM, 31, FALSE) / VLOOKUP("electricity|NOx|Non-fatal heart attacks", US_national_yearly!$D:$AM, 10, FALSE), 1)</f>
        <v>1.5763936887032046E-4</v>
      </c>
      <c r="X13" s="7">
        <f>$B13 * IFERROR(VLOOKUP("electricity|NOx|Non-fatal heart attacks", US_national_yearly!$D:$AM, 32, FALSE) / VLOOKUP("electricity|NOx|Non-fatal heart attacks", US_national_yearly!$D:$AM, 10, FALSE), 1)</f>
        <v>1.5816142029062598E-4</v>
      </c>
      <c r="Y13" s="7">
        <f>$B13 * IFERROR(VLOOKUP("electricity|NOx|Non-fatal heart attacks", US_national_yearly!$D:$AM, 33, FALSE) / VLOOKUP("electricity|NOx|Non-fatal heart attacks", US_national_yearly!$D:$AM, 10, FALSE), 1)</f>
        <v>1.5868347171093156E-4</v>
      </c>
      <c r="Z13" s="7">
        <f>$B13 * IFERROR(VLOOKUP("electricity|NOx|Non-fatal heart attacks", US_national_yearly!$D:$AM, 34, FALSE) / VLOOKUP("electricity|NOx|Non-fatal heart attacks", US_national_yearly!$D:$AM, 10, FALSE), 1)</f>
        <v>1.5920552313123708E-4</v>
      </c>
      <c r="AA13" s="7">
        <f>$B13 * IFERROR(VLOOKUP("electricity|NOx|Non-fatal heart attacks", US_national_yearly!$D:$AM, 35, FALSE) / VLOOKUP("electricity|NOx|Non-fatal heart attacks", US_national_yearly!$D:$AM, 10, FALSE), 1)</f>
        <v>1.597275745515426E-4</v>
      </c>
      <c r="AB13" s="7">
        <f>$B13 * IFERROR(VLOOKUP("electricity|NOx|Non-fatal heart attacks", US_national_yearly!$D:$AM, 36, FALSE) / VLOOKUP("electricity|NOx|Non-fatal heart attacks", US_national_yearly!$D:$AM, 10, FALSE), 1)</f>
        <v>1.6024962597184817E-4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9.9050334097608966E-2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9.9202199886465836E-2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9.9354065675322706E-2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9.9505931464179576E-2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9.9657797253036459E-2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9.9922704259465506E-2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0.10018761126589454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0.10071172798412467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0.10123584470235475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0.10175996142058488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0.10228407813881497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0.10280819485704511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0.10356611166807768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0.10432402847911024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0.10508194529014278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0.10583986210117537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0.10659777891220794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0.1073614273345263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0.10812507575684469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0.10888872417916307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0.10965237260148145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0.11041602102379981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0.11106184128025443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0.11170766153670897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0.11235348179316366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0.11299930204961825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0.11364512230607283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1.683599390788337E-2</v>
      </c>
      <c r="C15" s="7">
        <f>$B15 * IFERROR(VLOOKUP("electricity|NOx|Work loss days", US_national_yearly!$D:$AM, 11, FALSE) / VLOOKUP("electricity|NOx|Work loss days", US_national_yearly!$D:$AM, 10, FALSE), 1)</f>
        <v>1.687354419148827E-2</v>
      </c>
      <c r="D15" s="7">
        <f>$B15 * IFERROR(VLOOKUP("electricity|NOx|Work loss days", US_national_yearly!$D:$AM, 12, FALSE) / VLOOKUP("electricity|NOx|Work loss days", US_national_yearly!$D:$AM, 10, FALSE), 1)</f>
        <v>1.6911094475093168E-2</v>
      </c>
      <c r="E15" s="7">
        <f>$B15 * IFERROR(VLOOKUP("electricity|NOx|Work loss days", US_national_yearly!$D:$AM, 13, FALSE) / VLOOKUP("electricity|NOx|Work loss days", US_national_yearly!$D:$AM, 10, FALSE), 1)</f>
        <v>1.6948644758698068E-2</v>
      </c>
      <c r="F15" s="7">
        <f>$B15 * IFERROR(VLOOKUP("electricity|NOx|Work loss days", US_national_yearly!$D:$AM, 14, FALSE) / VLOOKUP("electricity|NOx|Work loss days", US_national_yearly!$D:$AM, 10, FALSE), 1)</f>
        <v>1.6986195042302969E-2</v>
      </c>
      <c r="G15" s="7">
        <f>$B15 * IFERROR(VLOOKUP("electricity|NOx|Work loss days", US_national_yearly!$D:$AM, 15, FALSE) / VLOOKUP("electricity|NOx|Work loss days", US_national_yearly!$D:$AM, 10, FALSE), 1)</f>
        <v>1.7039132334090129E-2</v>
      </c>
      <c r="H15" s="7">
        <f>$B15 * IFERROR(VLOOKUP("electricity|NOx|Work loss days", US_national_yearly!$D:$AM, 16, FALSE) / VLOOKUP("electricity|NOx|Work loss days", US_national_yearly!$D:$AM, 10, FALSE), 1)</f>
        <v>1.7092069625877289E-2</v>
      </c>
      <c r="I15" s="7">
        <f>$B15 * IFERROR(VLOOKUP("electricity|NOx|Work loss days", US_national_yearly!$D:$AM, 17, FALSE) / VLOOKUP("electricity|NOx|Work loss days", US_national_yearly!$D:$AM, 10, FALSE), 1)</f>
        <v>1.7178025576854029E-2</v>
      </c>
      <c r="J15" s="7">
        <f>$B15 * IFERROR(VLOOKUP("electricity|NOx|Work loss days", US_national_yearly!$D:$AM, 18, FALSE) / VLOOKUP("electricity|NOx|Work loss days", US_national_yearly!$D:$AM, 10, FALSE), 1)</f>
        <v>1.726398152783077E-2</v>
      </c>
      <c r="K15" s="7">
        <f>$B15 * IFERROR(VLOOKUP("electricity|NOx|Work loss days", US_national_yearly!$D:$AM, 19, FALSE) / VLOOKUP("electricity|NOx|Work loss days", US_national_yearly!$D:$AM, 10, FALSE), 1)</f>
        <v>1.7349937478807507E-2</v>
      </c>
      <c r="L15" s="7">
        <f>$B15 * IFERROR(VLOOKUP("electricity|NOx|Work loss days", US_national_yearly!$D:$AM, 20, FALSE) / VLOOKUP("electricity|NOx|Work loss days", US_national_yearly!$D:$AM, 10, FALSE), 1)</f>
        <v>1.7435893429784244E-2</v>
      </c>
      <c r="M15" s="7">
        <f>$B15 * IFERROR(VLOOKUP("electricity|NOx|Work loss days", US_national_yearly!$D:$AM, 21, FALSE) / VLOOKUP("electricity|NOx|Work loss days", US_national_yearly!$D:$AM, 10, FALSE), 1)</f>
        <v>1.7521849380760981E-2</v>
      </c>
      <c r="N15" s="7">
        <f>$B15 * IFERROR(VLOOKUP("electricity|NOx|Work loss days", US_national_yearly!$D:$AM, 22, FALSE) / VLOOKUP("electricity|NOx|Work loss days", US_national_yearly!$D:$AM, 10, FALSE), 1)</f>
        <v>1.7635257003223895E-2</v>
      </c>
      <c r="O15" s="7">
        <f>$B15 * IFERROR(VLOOKUP("electricity|NOx|Work loss days", US_national_yearly!$D:$AM, 23, FALSE) / VLOOKUP("electricity|NOx|Work loss days", US_national_yearly!$D:$AM, 10, FALSE), 1)</f>
        <v>1.7748664625686805E-2</v>
      </c>
      <c r="P15" s="7">
        <f>$B15 * IFERROR(VLOOKUP("electricity|NOx|Work loss days", US_national_yearly!$D:$AM, 24, FALSE) / VLOOKUP("electricity|NOx|Work loss days", US_national_yearly!$D:$AM, 10, FALSE), 1)</f>
        <v>1.7862072248149719E-2</v>
      </c>
      <c r="Q15" s="7">
        <f>$B15 * IFERROR(VLOOKUP("electricity|NOx|Work loss days", US_national_yearly!$D:$AM, 25, FALSE) / VLOOKUP("electricity|NOx|Work loss days", US_national_yearly!$D:$AM, 10, FALSE), 1)</f>
        <v>1.7975479870612633E-2</v>
      </c>
      <c r="R15" s="7">
        <f>$B15 * IFERROR(VLOOKUP("electricity|NOx|Work loss days", US_national_yearly!$D:$AM, 26, FALSE) / VLOOKUP("electricity|NOx|Work loss days", US_national_yearly!$D:$AM, 10, FALSE), 1)</f>
        <v>1.808888749307554E-2</v>
      </c>
      <c r="S15" s="7">
        <f>$B15 * IFERROR(VLOOKUP("electricity|NOx|Work loss days", US_national_yearly!$D:$AM, 27, FALSE) / VLOOKUP("electricity|NOx|Work loss days", US_national_yearly!$D:$AM, 10, FALSE), 1)</f>
        <v>1.821597517538779E-2</v>
      </c>
      <c r="T15" s="7">
        <f>$B15 * IFERROR(VLOOKUP("electricity|NOx|Work loss days", US_national_yearly!$D:$AM, 28, FALSE) / VLOOKUP("electricity|NOx|Work loss days", US_national_yearly!$D:$AM, 10, FALSE), 1)</f>
        <v>1.8343062857700036E-2</v>
      </c>
      <c r="U15" s="7">
        <f>$B15 * IFERROR(VLOOKUP("electricity|NOx|Work loss days", US_national_yearly!$D:$AM, 29, FALSE) / VLOOKUP("electricity|NOx|Work loss days", US_national_yearly!$D:$AM, 10, FALSE), 1)</f>
        <v>1.8470150540012283E-2</v>
      </c>
      <c r="V15" s="7">
        <f>$B15 * IFERROR(VLOOKUP("electricity|NOx|Work loss days", US_national_yearly!$D:$AM, 30, FALSE) / VLOOKUP("electricity|NOx|Work loss days", US_national_yearly!$D:$AM, 10, FALSE), 1)</f>
        <v>1.8597238222324529E-2</v>
      </c>
      <c r="W15" s="7">
        <f>$B15 * IFERROR(VLOOKUP("electricity|NOx|Work loss days", US_national_yearly!$D:$AM, 31, FALSE) / VLOOKUP("electricity|NOx|Work loss days", US_national_yearly!$D:$AM, 10, FALSE), 1)</f>
        <v>1.8724325904636779E-2</v>
      </c>
      <c r="X15" s="7">
        <f>$B15 * IFERROR(VLOOKUP("electricity|NOx|Work loss days", US_national_yearly!$D:$AM, 32, FALSE) / VLOOKUP("electricity|NOx|Work loss days", US_national_yearly!$D:$AM, 10, FALSE), 1)</f>
        <v>1.8835108787553439E-2</v>
      </c>
      <c r="Y15" s="7">
        <f>$B15 * IFERROR(VLOOKUP("electricity|NOx|Work loss days", US_national_yearly!$D:$AM, 33, FALSE) / VLOOKUP("electricity|NOx|Work loss days", US_national_yearly!$D:$AM, 10, FALSE), 1)</f>
        <v>1.8945891670470099E-2</v>
      </c>
      <c r="Z15" s="7">
        <f>$B15 * IFERROR(VLOOKUP("electricity|NOx|Work loss days", US_national_yearly!$D:$AM, 34, FALSE) / VLOOKUP("electricity|NOx|Work loss days", US_national_yearly!$D:$AM, 10, FALSE), 1)</f>
        <v>1.9056674553386763E-2</v>
      </c>
      <c r="AA15" s="7">
        <f>$B15 * IFERROR(VLOOKUP("electricity|NOx|Work loss days", US_national_yearly!$D:$AM, 35, FALSE) / VLOOKUP("electricity|NOx|Work loss days", US_national_yearly!$D:$AM, 10, FALSE), 1)</f>
        <v>1.9167457436303426E-2</v>
      </c>
      <c r="AB15" s="7">
        <f>$B15 * IFERROR(VLOOKUP("electricity|NOx|Work loss days", US_national_yearly!$D:$AM, 36, FALSE) / VLOOKUP("electricity|NOx|Work loss days", US_national_yearly!$D:$AM, 10, FALSE), 1)</f>
        <v>1.9278240319220086E-2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2.6995606761950537E-5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2.7790806453944314E-5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2.8586006145938102E-5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2.9381205837931879E-5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3.0176405529925664E-5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3.0937870977006716E-5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3.1699336424087762E-5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3.2349286272806639E-5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3.2999236121525517E-5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3.3649185970244395E-5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3.4299135818963279E-5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3.494908566768215E-5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3.536620536245248E-5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3.578332505722281E-5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3.620044475199314E-5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3.661756444676347E-5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3.7034684141533801E-5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3.7239956094311924E-5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3.7445228047090046E-5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3.7650499999868169E-5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3.7855771952646299E-5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3.8061043905424422E-5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3.818407118369838E-5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3.8307098461972338E-5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3.8430125740246296E-5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3.8553153018520254E-5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3.8676180296794212E-5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8.9533129663572734E-4</v>
      </c>
      <c r="C2" s="7">
        <f>$B2 * IFERROR(VLOOKUP("electricity|SO2|Premature mortality", US_national_yearly!$D:$AM, 11, FALSE) / VLOOKUP("electricity|SO2|Premature mortality", US_national_yearly!$D:$AM, 10, FALSE), 1)</f>
        <v>9.0680965041735784E-4</v>
      </c>
      <c r="D2" s="7">
        <f>$B2 * IFERROR(VLOOKUP("electricity|SO2|Premature mortality", US_national_yearly!$D:$AM, 12, FALSE) / VLOOKUP("electricity|SO2|Premature mortality", US_national_yearly!$D:$AM, 10, FALSE), 1)</f>
        <v>9.1828800419898812E-4</v>
      </c>
      <c r="E2" s="7">
        <f>$B2 * IFERROR(VLOOKUP("electricity|SO2|Premature mortality", US_national_yearly!$D:$AM, 13, FALSE) / VLOOKUP("electricity|SO2|Premature mortality", US_national_yearly!$D:$AM, 10, FALSE), 1)</f>
        <v>9.2976635798061862E-4</v>
      </c>
      <c r="F2" s="7">
        <f>$B2 * IFERROR(VLOOKUP("electricity|SO2|Premature mortality", US_national_yearly!$D:$AM, 14, FALSE) / VLOOKUP("electricity|SO2|Premature mortality", US_national_yearly!$D:$AM, 10, FALSE), 1)</f>
        <v>9.4124471176224901E-4</v>
      </c>
      <c r="G2" s="7">
        <f>$B2 * IFERROR(VLOOKUP("electricity|SO2|Premature mortality", US_national_yearly!$D:$AM, 15, FALSE) / VLOOKUP("electricity|SO2|Premature mortality", US_national_yearly!$D:$AM, 10, FALSE), 1)</f>
        <v>9.6335662506303276E-4</v>
      </c>
      <c r="H2" s="7">
        <f>$B2 * IFERROR(VLOOKUP("electricity|SO2|Premature mortality", US_national_yearly!$D:$AM, 16, FALSE) / VLOOKUP("electricity|SO2|Premature mortality", US_national_yearly!$D:$AM, 10, FALSE), 1)</f>
        <v>9.854685383638164E-4</v>
      </c>
      <c r="I2" s="7">
        <f>$B2 * IFERROR(VLOOKUP("electricity|SO2|Premature mortality", US_national_yearly!$D:$AM, 17, FALSE) / VLOOKUP("electricity|SO2|Premature mortality", US_national_yearly!$D:$AM, 10, FALSE), 1)</f>
        <v>1.0003529100339041E-3</v>
      </c>
      <c r="J2" s="7">
        <f>$B2 * IFERROR(VLOOKUP("electricity|SO2|Premature mortality", US_national_yearly!$D:$AM, 18, FALSE) / VLOOKUP("electricity|SO2|Premature mortality", US_national_yearly!$D:$AM, 10, FALSE), 1)</f>
        <v>1.0152372817039919E-3</v>
      </c>
      <c r="K2" s="7">
        <f>$B2 * IFERROR(VLOOKUP("electricity|SO2|Premature mortality", US_national_yearly!$D:$AM, 19, FALSE) / VLOOKUP("electricity|SO2|Premature mortality", US_national_yearly!$D:$AM, 10, FALSE), 1)</f>
        <v>1.0301216533740796E-3</v>
      </c>
      <c r="L2" s="7">
        <f>$B2 * IFERROR(VLOOKUP("electricity|SO2|Premature mortality", US_national_yearly!$D:$AM, 20, FALSE) / VLOOKUP("electricity|SO2|Premature mortality", US_national_yearly!$D:$AM, 10, FALSE), 1)</f>
        <v>1.0450060250441675E-3</v>
      </c>
      <c r="M2" s="7">
        <f>$B2 * IFERROR(VLOOKUP("electricity|SO2|Premature mortality", US_national_yearly!$D:$AM, 21, FALSE) / VLOOKUP("electricity|SO2|Premature mortality", US_national_yearly!$D:$AM, 10, FALSE), 1)</f>
        <v>1.0598903967142552E-3</v>
      </c>
      <c r="N2" s="7">
        <f>$B2 * IFERROR(VLOOKUP("electricity|SO2|Premature mortality", US_national_yearly!$D:$AM, 22, FALSE) / VLOOKUP("electricity|SO2|Premature mortality", US_national_yearly!$D:$AM, 10, FALSE), 1)</f>
        <v>1.0718190342585156E-3</v>
      </c>
      <c r="O2" s="7">
        <f>$B2 * IFERROR(VLOOKUP("electricity|SO2|Premature mortality", US_national_yearly!$D:$AM, 23, FALSE) / VLOOKUP("electricity|SO2|Premature mortality", US_national_yearly!$D:$AM, 10, FALSE), 1)</f>
        <v>1.0837476718027763E-3</v>
      </c>
      <c r="P2" s="7">
        <f>$B2 * IFERROR(VLOOKUP("electricity|SO2|Premature mortality", US_national_yearly!$D:$AM, 24, FALSE) / VLOOKUP("electricity|SO2|Premature mortality", US_national_yearly!$D:$AM, 10, FALSE), 1)</f>
        <v>1.0956763093470366E-3</v>
      </c>
      <c r="Q2" s="7">
        <f>$B2 * IFERROR(VLOOKUP("electricity|SO2|Premature mortality", US_national_yearly!$D:$AM, 25, FALSE) / VLOOKUP("electricity|SO2|Premature mortality", US_national_yearly!$D:$AM, 10, FALSE), 1)</f>
        <v>1.1076049468912972E-3</v>
      </c>
      <c r="R2" s="7">
        <f>$B2 * IFERROR(VLOOKUP("electricity|SO2|Premature mortality", US_national_yearly!$D:$AM, 26, FALSE) / VLOOKUP("electricity|SO2|Premature mortality", US_national_yearly!$D:$AM, 10, FALSE), 1)</f>
        <v>1.1195335844355577E-3</v>
      </c>
      <c r="S2" s="7">
        <f>$B2 * IFERROR(VLOOKUP("electricity|SO2|Premature mortality", US_national_yearly!$D:$AM, 27, FALSE) / VLOOKUP("electricity|SO2|Premature mortality", US_national_yearly!$D:$AM, 10, FALSE), 1)</f>
        <v>1.126372620769764E-3</v>
      </c>
      <c r="T2" s="7">
        <f>$B2 * IFERROR(VLOOKUP("electricity|SO2|Premature mortality", US_national_yearly!$D:$AM, 28, FALSE) / VLOOKUP("electricity|SO2|Premature mortality", US_national_yearly!$D:$AM, 10, FALSE), 1)</f>
        <v>1.1332116571039703E-3</v>
      </c>
      <c r="U2" s="7">
        <f>$B2 * IFERROR(VLOOKUP("electricity|SO2|Premature mortality", US_national_yearly!$D:$AM, 29, FALSE) / VLOOKUP("electricity|SO2|Premature mortality", US_national_yearly!$D:$AM, 10, FALSE), 1)</f>
        <v>1.1400506934381765E-3</v>
      </c>
      <c r="V2" s="7">
        <f>$B2 * IFERROR(VLOOKUP("electricity|SO2|Premature mortality", US_national_yearly!$D:$AM, 30, FALSE) / VLOOKUP("electricity|SO2|Premature mortality", US_national_yearly!$D:$AM, 10, FALSE), 1)</f>
        <v>1.146889729772383E-3</v>
      </c>
      <c r="W2" s="7">
        <f>$B2 * IFERROR(VLOOKUP("electricity|SO2|Premature mortality", US_national_yearly!$D:$AM, 31, FALSE) / VLOOKUP("electricity|SO2|Premature mortality", US_national_yearly!$D:$AM, 10, FALSE), 1)</f>
        <v>1.1537287661065893E-3</v>
      </c>
      <c r="X2" s="7">
        <f>$B2 * IFERROR(VLOOKUP("electricity|SO2|Premature mortality", US_national_yearly!$D:$AM, 32, FALSE) / VLOOKUP("electricity|SO2|Premature mortality", US_national_yearly!$D:$AM, 10, FALSE), 1)</f>
        <v>1.1557438585382048E-3</v>
      </c>
      <c r="Y2" s="7">
        <f>$B2 * IFERROR(VLOOKUP("electricity|SO2|Premature mortality", US_national_yearly!$D:$AM, 33, FALSE) / VLOOKUP("electricity|SO2|Premature mortality", US_national_yearly!$D:$AM, 10, FALSE), 1)</f>
        <v>1.1577589509698203E-3</v>
      </c>
      <c r="Z2" s="7">
        <f>$B2 * IFERROR(VLOOKUP("electricity|SO2|Premature mortality", US_national_yearly!$D:$AM, 34, FALSE) / VLOOKUP("electricity|SO2|Premature mortality", US_national_yearly!$D:$AM, 10, FALSE), 1)</f>
        <v>1.1597740434014356E-3</v>
      </c>
      <c r="AA2" s="7">
        <f>$B2 * IFERROR(VLOOKUP("electricity|SO2|Premature mortality", US_national_yearly!$D:$AM, 35, FALSE) / VLOOKUP("electricity|SO2|Premature mortality", US_national_yearly!$D:$AM, 10, FALSE), 1)</f>
        <v>1.1617891358330511E-3</v>
      </c>
      <c r="AB2" s="7">
        <f>$B2 * IFERROR(VLOOKUP("electricity|SO2|Premature mortality", US_national_yearly!$D:$AM, 36, FALSE) / VLOOKUP("electricity|SO2|Premature mortality", US_national_yearly!$D:$AM, 10, FALSE), 1)</f>
        <v>1.1638042282646666E-3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2.5955417545398112E-6</v>
      </c>
      <c r="C3" s="7">
        <f>$B3 * IFERROR(VLOOKUP("electricity|SO2|Infant mortality", US_national_yearly!$D:$AM, 11, FALSE) / VLOOKUP("electricity|SO2|Infant mortality", US_national_yearly!$D:$AM, 10, FALSE), 1)</f>
        <v>2.5736143617870534E-6</v>
      </c>
      <c r="D3" s="7">
        <f>$B3 * IFERROR(VLOOKUP("electricity|SO2|Infant mortality", US_national_yearly!$D:$AM, 12, FALSE) / VLOOKUP("electricity|SO2|Infant mortality", US_national_yearly!$D:$AM, 10, FALSE), 1)</f>
        <v>2.5516869690342956E-6</v>
      </c>
      <c r="E3" s="7">
        <f>$B3 * IFERROR(VLOOKUP("electricity|SO2|Infant mortality", US_national_yearly!$D:$AM, 13, FALSE) / VLOOKUP("electricity|SO2|Infant mortality", US_national_yearly!$D:$AM, 10, FALSE), 1)</f>
        <v>2.5297595762815379E-6</v>
      </c>
      <c r="F3" s="7">
        <f>$B3 * IFERROR(VLOOKUP("electricity|SO2|Infant mortality", US_national_yearly!$D:$AM, 14, FALSE) / VLOOKUP("electricity|SO2|Infant mortality", US_national_yearly!$D:$AM, 10, FALSE), 1)</f>
        <v>2.5078321835287805E-6</v>
      </c>
      <c r="G3" s="7">
        <f>$B3 * IFERROR(VLOOKUP("electricity|SO2|Infant mortality", US_national_yearly!$D:$AM, 15, FALSE) / VLOOKUP("electricity|SO2|Infant mortality", US_national_yearly!$D:$AM, 10, FALSE), 1)</f>
        <v>1.6678383109305868E-6</v>
      </c>
      <c r="H3" s="7">
        <f>$B3 * IFERROR(VLOOKUP("electricity|SO2|Infant mortality", US_national_yearly!$D:$AM, 16, FALSE) / VLOOKUP("electricity|SO2|Infant mortality", US_national_yearly!$D:$AM, 10, FALSE), 1)</f>
        <v>8.2784443833239318E-7</v>
      </c>
      <c r="I3" s="7">
        <f>$B3 * IFERROR(VLOOKUP("electricity|SO2|Infant mortality", US_national_yearly!$D:$AM, 17, FALSE) / VLOOKUP("electricity|SO2|Infant mortality", US_national_yearly!$D:$AM, 10, FALSE), 1)</f>
        <v>8.2254831956559514E-7</v>
      </c>
      <c r="J3" s="7">
        <f>$B3 * IFERROR(VLOOKUP("electricity|SO2|Infant mortality", US_national_yearly!$D:$AM, 18, FALSE) / VLOOKUP("electricity|SO2|Infant mortality", US_national_yearly!$D:$AM, 10, FALSE), 1)</f>
        <v>8.1725220079879699E-7</v>
      </c>
      <c r="K3" s="7">
        <f>$B3 * IFERROR(VLOOKUP("electricity|SO2|Infant mortality", US_national_yearly!$D:$AM, 19, FALSE) / VLOOKUP("electricity|SO2|Infant mortality", US_national_yearly!$D:$AM, 10, FALSE), 1)</f>
        <v>8.1195608203199916E-7</v>
      </c>
      <c r="L3" s="7">
        <f>$B3 * IFERROR(VLOOKUP("electricity|SO2|Infant mortality", US_national_yearly!$D:$AM, 20, FALSE) / VLOOKUP("electricity|SO2|Infant mortality", US_national_yearly!$D:$AM, 10, FALSE), 1)</f>
        <v>8.0665996326520101E-7</v>
      </c>
      <c r="M3" s="7">
        <f>$B3 * IFERROR(VLOOKUP("electricity|SO2|Infant mortality", US_national_yearly!$D:$AM, 21, FALSE) / VLOOKUP("electricity|SO2|Infant mortality", US_national_yearly!$D:$AM, 10, FALSE), 1)</f>
        <v>8.0136384449840297E-7</v>
      </c>
      <c r="N3" s="7">
        <f>$B3 * IFERROR(VLOOKUP("electricity|SO2|Infant mortality", US_national_yearly!$D:$AM, 22, FALSE) / VLOOKUP("electricity|SO2|Infant mortality", US_national_yearly!$D:$AM, 10, FALSE), 1)</f>
        <v>7.9800798896069205E-7</v>
      </c>
      <c r="O3" s="7">
        <f>$B3 * IFERROR(VLOOKUP("electricity|SO2|Infant mortality", US_national_yearly!$D:$AM, 23, FALSE) / VLOOKUP("electricity|SO2|Infant mortality", US_national_yearly!$D:$AM, 10, FALSE), 1)</f>
        <v>7.9465213342298093E-7</v>
      </c>
      <c r="P3" s="7">
        <f>$B3 * IFERROR(VLOOKUP("electricity|SO2|Infant mortality", US_national_yearly!$D:$AM, 24, FALSE) / VLOOKUP("electricity|SO2|Infant mortality", US_national_yearly!$D:$AM, 10, FALSE), 1)</f>
        <v>7.9129627788526991E-7</v>
      </c>
      <c r="Q3" s="7">
        <f>$B3 * IFERROR(VLOOKUP("electricity|SO2|Infant mortality", US_national_yearly!$D:$AM, 25, FALSE) / VLOOKUP("electricity|SO2|Infant mortality", US_national_yearly!$D:$AM, 10, FALSE), 1)</f>
        <v>7.879404223475589E-7</v>
      </c>
      <c r="R3" s="7">
        <f>$B3 * IFERROR(VLOOKUP("electricity|SO2|Infant mortality", US_national_yearly!$D:$AM, 26, FALSE) / VLOOKUP("electricity|SO2|Infant mortality", US_national_yearly!$D:$AM, 10, FALSE), 1)</f>
        <v>7.8458456680984798E-7</v>
      </c>
      <c r="S3" s="7">
        <f>$B3 * IFERROR(VLOOKUP("electricity|SO2|Infant mortality", US_national_yearly!$D:$AM, 27, FALSE) / VLOOKUP("electricity|SO2|Infant mortality", US_national_yearly!$D:$AM, 10, FALSE), 1)</f>
        <v>7.8040191810528942E-7</v>
      </c>
      <c r="T3" s="7">
        <f>$B3 * IFERROR(VLOOKUP("electricity|SO2|Infant mortality", US_national_yearly!$D:$AM, 28, FALSE) / VLOOKUP("electricity|SO2|Infant mortality", US_national_yearly!$D:$AM, 10, FALSE), 1)</f>
        <v>7.7621926940073096E-7</v>
      </c>
      <c r="U3" s="7">
        <f>$B3 * IFERROR(VLOOKUP("electricity|SO2|Infant mortality", US_national_yearly!$D:$AM, 29, FALSE) / VLOOKUP("electricity|SO2|Infant mortality", US_national_yearly!$D:$AM, 10, FALSE), 1)</f>
        <v>7.720366206961724E-7</v>
      </c>
      <c r="V3" s="7">
        <f>$B3 * IFERROR(VLOOKUP("electricity|SO2|Infant mortality", US_national_yearly!$D:$AM, 30, FALSE) / VLOOKUP("electricity|SO2|Infant mortality", US_national_yearly!$D:$AM, 10, FALSE), 1)</f>
        <v>7.6785397199161394E-7</v>
      </c>
      <c r="W3" s="7">
        <f>$B3 * IFERROR(VLOOKUP("electricity|SO2|Infant mortality", US_national_yearly!$D:$AM, 31, FALSE) / VLOOKUP("electricity|SO2|Infant mortality", US_national_yearly!$D:$AM, 10, FALSE), 1)</f>
        <v>7.6367132328705538E-7</v>
      </c>
      <c r="X3" s="7">
        <f>$B3 * IFERROR(VLOOKUP("electricity|SO2|Infant mortality", US_national_yearly!$D:$AM, 32, FALSE) / VLOOKUP("electricity|SO2|Infant mortality", US_national_yearly!$D:$AM, 10, FALSE), 1)</f>
        <v>7.592085596036286E-7</v>
      </c>
      <c r="Y3" s="7">
        <f>$B3 * IFERROR(VLOOKUP("electricity|SO2|Infant mortality", US_national_yearly!$D:$AM, 33, FALSE) / VLOOKUP("electricity|SO2|Infant mortality", US_national_yearly!$D:$AM, 10, FALSE), 1)</f>
        <v>7.547457959202015E-7</v>
      </c>
      <c r="Z3" s="7">
        <f>$B3 * IFERROR(VLOOKUP("electricity|SO2|Infant mortality", US_national_yearly!$D:$AM, 34, FALSE) / VLOOKUP("electricity|SO2|Infant mortality", US_national_yearly!$D:$AM, 10, FALSE), 1)</f>
        <v>7.5028303223677473E-7</v>
      </c>
      <c r="AA3" s="7">
        <f>$B3 * IFERROR(VLOOKUP("electricity|SO2|Infant mortality", US_national_yearly!$D:$AM, 35, FALSE) / VLOOKUP("electricity|SO2|Infant mortality", US_national_yearly!$D:$AM, 10, FALSE), 1)</f>
        <v>7.4582026855334795E-7</v>
      </c>
      <c r="AB3" s="7">
        <f>$B3 * IFERROR(VLOOKUP("electricity|SO2|Infant mortality", US_national_yearly!$D:$AM, 36, FALSE) / VLOOKUP("electricity|SO2|Infant mortality", US_national_yearly!$D:$AM, 10, FALSE), 1)</f>
        <v>7.4135750486992096E-7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2.5776974351780146E-3</v>
      </c>
      <c r="C6" s="7">
        <f>$B6 * IFERROR(VLOOKUP("electricity|SO2|Asthma symptoms cough", US_national_yearly!$D:$AM, 11, FALSE) / VLOOKUP("electricity|SO2|Asthma symptoms cough", US_national_yearly!$D:$AM, 10, FALSE), 1)</f>
        <v>2.5776974351780146E-3</v>
      </c>
      <c r="D6" s="7">
        <f>$B6 * IFERROR(VLOOKUP("electricity|SO2|Asthma symptoms cough", US_national_yearly!$D:$AM, 12, FALSE) / VLOOKUP("electricity|SO2|Asthma symptoms cough", US_national_yearly!$D:$AM, 10, FALSE), 1)</f>
        <v>2.5776974351780146E-3</v>
      </c>
      <c r="E6" s="7">
        <f>$B6 * IFERROR(VLOOKUP("electricity|SO2|Asthma symptoms cough", US_national_yearly!$D:$AM, 13, FALSE) / VLOOKUP("electricity|SO2|Asthma symptoms cough", US_national_yearly!$D:$AM, 10, FALSE), 1)</f>
        <v>2.5776974351780146E-3</v>
      </c>
      <c r="F6" s="7">
        <f>$B6 * IFERROR(VLOOKUP("electricity|SO2|Asthma symptoms cough", US_national_yearly!$D:$AM, 14, FALSE) / VLOOKUP("electricity|SO2|Asthma symptoms cough", US_national_yearly!$D:$AM, 10, FALSE), 1)</f>
        <v>2.5776974351780146E-3</v>
      </c>
      <c r="G6" s="7">
        <f>$B6 * IFERROR(VLOOKUP("electricity|SO2|Asthma symptoms cough", US_national_yearly!$D:$AM, 15, FALSE) / VLOOKUP("electricity|SO2|Asthma symptoms cough", US_national_yearly!$D:$AM, 10, FALSE), 1)</f>
        <v>2.5776974351780146E-3</v>
      </c>
      <c r="H6" s="7">
        <f>$B6 * IFERROR(VLOOKUP("electricity|SO2|Asthma symptoms cough", US_national_yearly!$D:$AM, 16, FALSE) / VLOOKUP("electricity|SO2|Asthma symptoms cough", US_national_yearly!$D:$AM, 10, FALSE), 1)</f>
        <v>2.5776974351780146E-3</v>
      </c>
      <c r="I6" s="7">
        <f>$B6 * IFERROR(VLOOKUP("electricity|SO2|Asthma symptoms cough", US_national_yearly!$D:$AM, 17, FALSE) / VLOOKUP("electricity|SO2|Asthma symptoms cough", US_national_yearly!$D:$AM, 10, FALSE), 1)</f>
        <v>2.5776974351780146E-3</v>
      </c>
      <c r="J6" s="7">
        <f>$B6 * IFERROR(VLOOKUP("electricity|SO2|Asthma symptoms cough", US_national_yearly!$D:$AM, 18, FALSE) / VLOOKUP("electricity|SO2|Asthma symptoms cough", US_national_yearly!$D:$AM, 10, FALSE), 1)</f>
        <v>2.5776974351780146E-3</v>
      </c>
      <c r="K6" s="7">
        <f>$B6 * IFERROR(VLOOKUP("electricity|SO2|Asthma symptoms cough", US_national_yearly!$D:$AM, 19, FALSE) / VLOOKUP("electricity|SO2|Asthma symptoms cough", US_national_yearly!$D:$AM, 10, FALSE), 1)</f>
        <v>2.5776974351780146E-3</v>
      </c>
      <c r="L6" s="7">
        <f>$B6 * IFERROR(VLOOKUP("electricity|SO2|Asthma symptoms cough", US_national_yearly!$D:$AM, 20, FALSE) / VLOOKUP("electricity|SO2|Asthma symptoms cough", US_national_yearly!$D:$AM, 10, FALSE), 1)</f>
        <v>2.5776974351780146E-3</v>
      </c>
      <c r="M6" s="7">
        <f>$B6 * IFERROR(VLOOKUP("electricity|SO2|Asthma symptoms cough", US_national_yearly!$D:$AM, 21, FALSE) / VLOOKUP("electricity|SO2|Asthma symptoms cough", US_national_yearly!$D:$AM, 10, FALSE), 1)</f>
        <v>2.5776974351780146E-3</v>
      </c>
      <c r="N6" s="7">
        <f>$B6 * IFERROR(VLOOKUP("electricity|SO2|Asthma symptoms cough", US_national_yearly!$D:$AM, 22, FALSE) / VLOOKUP("electricity|SO2|Asthma symptoms cough", US_national_yearly!$D:$AM, 10, FALSE), 1)</f>
        <v>2.5776974351780146E-3</v>
      </c>
      <c r="O6" s="7">
        <f>$B6 * IFERROR(VLOOKUP("electricity|SO2|Asthma symptoms cough", US_national_yearly!$D:$AM, 23, FALSE) / VLOOKUP("electricity|SO2|Asthma symptoms cough", US_national_yearly!$D:$AM, 10, FALSE), 1)</f>
        <v>2.5776974351780146E-3</v>
      </c>
      <c r="P6" s="7">
        <f>$B6 * IFERROR(VLOOKUP("electricity|SO2|Asthma symptoms cough", US_national_yearly!$D:$AM, 24, FALSE) / VLOOKUP("electricity|SO2|Asthma symptoms cough", US_national_yearly!$D:$AM, 10, FALSE), 1)</f>
        <v>2.5776974351780146E-3</v>
      </c>
      <c r="Q6" s="7">
        <f>$B6 * IFERROR(VLOOKUP("electricity|SO2|Asthma symptoms cough", US_national_yearly!$D:$AM, 25, FALSE) / VLOOKUP("electricity|SO2|Asthma symptoms cough", US_national_yearly!$D:$AM, 10, FALSE), 1)</f>
        <v>2.5776974351780146E-3</v>
      </c>
      <c r="R6" s="7">
        <f>$B6 * IFERROR(VLOOKUP("electricity|SO2|Asthma symptoms cough", US_national_yearly!$D:$AM, 26, FALSE) / VLOOKUP("electricity|SO2|Asthma symptoms cough", US_national_yearly!$D:$AM, 10, FALSE), 1)</f>
        <v>2.5776974351780146E-3</v>
      </c>
      <c r="S6" s="7">
        <f>$B6 * IFERROR(VLOOKUP("electricity|SO2|Asthma symptoms cough", US_national_yearly!$D:$AM, 27, FALSE) / VLOOKUP("electricity|SO2|Asthma symptoms cough", US_national_yearly!$D:$AM, 10, FALSE), 1)</f>
        <v>2.5776974351780146E-3</v>
      </c>
      <c r="T6" s="7">
        <f>$B6 * IFERROR(VLOOKUP("electricity|SO2|Asthma symptoms cough", US_national_yearly!$D:$AM, 28, FALSE) / VLOOKUP("electricity|SO2|Asthma symptoms cough", US_national_yearly!$D:$AM, 10, FALSE), 1)</f>
        <v>2.5776974351780146E-3</v>
      </c>
      <c r="U6" s="7">
        <f>$B6 * IFERROR(VLOOKUP("electricity|SO2|Asthma symptoms cough", US_national_yearly!$D:$AM, 29, FALSE) / VLOOKUP("electricity|SO2|Asthma symptoms cough", US_national_yearly!$D:$AM, 10, FALSE), 1)</f>
        <v>2.5776974351780146E-3</v>
      </c>
      <c r="V6" s="7">
        <f>$B6 * IFERROR(VLOOKUP("electricity|SO2|Asthma symptoms cough", US_national_yearly!$D:$AM, 30, FALSE) / VLOOKUP("electricity|SO2|Asthma symptoms cough", US_national_yearly!$D:$AM, 10, FALSE), 1)</f>
        <v>2.5776974351780146E-3</v>
      </c>
      <c r="W6" s="7">
        <f>$B6 * IFERROR(VLOOKUP("electricity|SO2|Asthma symptoms cough", US_national_yearly!$D:$AM, 31, FALSE) / VLOOKUP("electricity|SO2|Asthma symptoms cough", US_national_yearly!$D:$AM, 10, FALSE), 1)</f>
        <v>2.5776974351780146E-3</v>
      </c>
      <c r="X6" s="7">
        <f>$B6 * IFERROR(VLOOKUP("electricity|SO2|Asthma symptoms cough", US_national_yearly!$D:$AM, 32, FALSE) / VLOOKUP("electricity|SO2|Asthma symptoms cough", US_national_yearly!$D:$AM, 10, FALSE), 1)</f>
        <v>2.5776974351780146E-3</v>
      </c>
      <c r="Y6" s="7">
        <f>$B6 * IFERROR(VLOOKUP("electricity|SO2|Asthma symptoms cough", US_national_yearly!$D:$AM, 33, FALSE) / VLOOKUP("electricity|SO2|Asthma symptoms cough", US_national_yearly!$D:$AM, 10, FALSE), 1)</f>
        <v>2.5776974351780146E-3</v>
      </c>
      <c r="Z6" s="7">
        <f>$B6 * IFERROR(VLOOKUP("electricity|SO2|Asthma symptoms cough", US_national_yearly!$D:$AM, 34, FALSE) / VLOOKUP("electricity|SO2|Asthma symptoms cough", US_national_yearly!$D:$AM, 10, FALSE), 1)</f>
        <v>2.5776974351780146E-3</v>
      </c>
      <c r="AA6" s="7">
        <f>$B6 * IFERROR(VLOOKUP("electricity|SO2|Asthma symptoms cough", US_national_yearly!$D:$AM, 35, FALSE) / VLOOKUP("electricity|SO2|Asthma symptoms cough", US_national_yearly!$D:$AM, 10, FALSE), 1)</f>
        <v>2.5776974351780146E-3</v>
      </c>
      <c r="AB6" s="7">
        <f>$B6 * IFERROR(VLOOKUP("electricity|SO2|Asthma symptoms cough", US_national_yearly!$D:$AM, 36, FALSE) / VLOOKUP("electricity|SO2|Asthma symptoms cough", US_national_yearly!$D:$AM, 10, FALSE), 1)</f>
        <v>2.5776974351780146E-3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3.4712379577048389E-3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3.4712379577048389E-3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3.4712379577048389E-3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3.4712379577048389E-3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3.4712379577048389E-3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3.4712379577048389E-3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3.4712379577048389E-3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3.4712379577048389E-3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3.4712379577048389E-3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3.4712379577048389E-3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3.4712379577048389E-3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3.4712379577048389E-3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3.4712379577048389E-3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3.4712379577048389E-3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3.4712379577048389E-3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3.4712379577048389E-3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3.4712379577048389E-3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3.4712379577048389E-3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3.4712379577048389E-3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3.4712379577048389E-3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3.4712379577048389E-3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3.4712379577048389E-3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3.4712379577048389E-3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3.4712379577048389E-3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3.4712379577048389E-3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3.4712379577048389E-3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3.4712379577048389E-3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5.3034835479606928E-3</v>
      </c>
      <c r="C8" s="7">
        <f>$B8 * IFERROR(VLOOKUP("electricity|SO2|Asthma symptoms wheeze", US_national_yearly!$D:$AM, 11, FALSE) / VLOOKUP("electricity|SO2|Asthma symptoms wheeze", US_national_yearly!$D:$AM, 10, FALSE), 1)</f>
        <v>5.3034835479606928E-3</v>
      </c>
      <c r="D8" s="7">
        <f>$B8 * IFERROR(VLOOKUP("electricity|SO2|Asthma symptoms wheeze", US_national_yearly!$D:$AM, 12, FALSE) / VLOOKUP("electricity|SO2|Asthma symptoms wheeze", US_national_yearly!$D:$AM, 10, FALSE), 1)</f>
        <v>5.3034835479606928E-3</v>
      </c>
      <c r="E8" s="7">
        <f>$B8 * IFERROR(VLOOKUP("electricity|SO2|Asthma symptoms wheeze", US_national_yearly!$D:$AM, 13, FALSE) / VLOOKUP("electricity|SO2|Asthma symptoms wheeze", US_national_yearly!$D:$AM, 10, FALSE), 1)</f>
        <v>5.3034835479606928E-3</v>
      </c>
      <c r="F8" s="7">
        <f>$B8 * IFERROR(VLOOKUP("electricity|SO2|Asthma symptoms wheeze", US_national_yearly!$D:$AM, 14, FALSE) / VLOOKUP("electricity|SO2|Asthma symptoms wheeze", US_national_yearly!$D:$AM, 10, FALSE), 1)</f>
        <v>5.3034835479606928E-3</v>
      </c>
      <c r="G8" s="7">
        <f>$B8 * IFERROR(VLOOKUP("electricity|SO2|Asthma symptoms wheeze", US_national_yearly!$D:$AM, 15, FALSE) / VLOOKUP("electricity|SO2|Asthma symptoms wheeze", US_national_yearly!$D:$AM, 10, FALSE), 1)</f>
        <v>5.3034835479606928E-3</v>
      </c>
      <c r="H8" s="7">
        <f>$B8 * IFERROR(VLOOKUP("electricity|SO2|Asthma symptoms wheeze", US_national_yearly!$D:$AM, 16, FALSE) / VLOOKUP("electricity|SO2|Asthma symptoms wheeze", US_national_yearly!$D:$AM, 10, FALSE), 1)</f>
        <v>5.3034835479606928E-3</v>
      </c>
      <c r="I8" s="7">
        <f>$B8 * IFERROR(VLOOKUP("electricity|SO2|Asthma symptoms wheeze", US_national_yearly!$D:$AM, 17, FALSE) / VLOOKUP("electricity|SO2|Asthma symptoms wheeze", US_national_yearly!$D:$AM, 10, FALSE), 1)</f>
        <v>5.3034835479606928E-3</v>
      </c>
      <c r="J8" s="7">
        <f>$B8 * IFERROR(VLOOKUP("electricity|SO2|Asthma symptoms wheeze", US_national_yearly!$D:$AM, 18, FALSE) / VLOOKUP("electricity|SO2|Asthma symptoms wheeze", US_national_yearly!$D:$AM, 10, FALSE), 1)</f>
        <v>5.3034835479606928E-3</v>
      </c>
      <c r="K8" s="7">
        <f>$B8 * IFERROR(VLOOKUP("electricity|SO2|Asthma symptoms wheeze", US_national_yearly!$D:$AM, 19, FALSE) / VLOOKUP("electricity|SO2|Asthma symptoms wheeze", US_national_yearly!$D:$AM, 10, FALSE), 1)</f>
        <v>5.3034835479606928E-3</v>
      </c>
      <c r="L8" s="7">
        <f>$B8 * IFERROR(VLOOKUP("electricity|SO2|Asthma symptoms wheeze", US_national_yearly!$D:$AM, 20, FALSE) / VLOOKUP("electricity|SO2|Asthma symptoms wheeze", US_national_yearly!$D:$AM, 10, FALSE), 1)</f>
        <v>5.3034835479606928E-3</v>
      </c>
      <c r="M8" s="7">
        <f>$B8 * IFERROR(VLOOKUP("electricity|SO2|Asthma symptoms wheeze", US_national_yearly!$D:$AM, 21, FALSE) / VLOOKUP("electricity|SO2|Asthma symptoms wheeze", US_national_yearly!$D:$AM, 10, FALSE), 1)</f>
        <v>5.3034835479606928E-3</v>
      </c>
      <c r="N8" s="7">
        <f>$B8 * IFERROR(VLOOKUP("electricity|SO2|Asthma symptoms wheeze", US_national_yearly!$D:$AM, 22, FALSE) / VLOOKUP("electricity|SO2|Asthma symptoms wheeze", US_national_yearly!$D:$AM, 10, FALSE), 1)</f>
        <v>5.3034835479606928E-3</v>
      </c>
      <c r="O8" s="7">
        <f>$B8 * IFERROR(VLOOKUP("electricity|SO2|Asthma symptoms wheeze", US_national_yearly!$D:$AM, 23, FALSE) / VLOOKUP("electricity|SO2|Asthma symptoms wheeze", US_national_yearly!$D:$AM, 10, FALSE), 1)</f>
        <v>5.3034835479606928E-3</v>
      </c>
      <c r="P8" s="7">
        <f>$B8 * IFERROR(VLOOKUP("electricity|SO2|Asthma symptoms wheeze", US_national_yearly!$D:$AM, 24, FALSE) / VLOOKUP("electricity|SO2|Asthma symptoms wheeze", US_national_yearly!$D:$AM, 10, FALSE), 1)</f>
        <v>5.3034835479606928E-3</v>
      </c>
      <c r="Q8" s="7">
        <f>$B8 * IFERROR(VLOOKUP("electricity|SO2|Asthma symptoms wheeze", US_national_yearly!$D:$AM, 25, FALSE) / VLOOKUP("electricity|SO2|Asthma symptoms wheeze", US_national_yearly!$D:$AM, 10, FALSE), 1)</f>
        <v>5.3034835479606928E-3</v>
      </c>
      <c r="R8" s="7">
        <f>$B8 * IFERROR(VLOOKUP("electricity|SO2|Asthma symptoms wheeze", US_national_yearly!$D:$AM, 26, FALSE) / VLOOKUP("electricity|SO2|Asthma symptoms wheeze", US_national_yearly!$D:$AM, 10, FALSE), 1)</f>
        <v>5.3034835479606928E-3</v>
      </c>
      <c r="S8" s="7">
        <f>$B8 * IFERROR(VLOOKUP("electricity|SO2|Asthma symptoms wheeze", US_national_yearly!$D:$AM, 27, FALSE) / VLOOKUP("electricity|SO2|Asthma symptoms wheeze", US_national_yearly!$D:$AM, 10, FALSE), 1)</f>
        <v>5.3034835479606928E-3</v>
      </c>
      <c r="T8" s="7">
        <f>$B8 * IFERROR(VLOOKUP("electricity|SO2|Asthma symptoms wheeze", US_national_yearly!$D:$AM, 28, FALSE) / VLOOKUP("electricity|SO2|Asthma symptoms wheeze", US_national_yearly!$D:$AM, 10, FALSE), 1)</f>
        <v>5.3034835479606928E-3</v>
      </c>
      <c r="U8" s="7">
        <f>$B8 * IFERROR(VLOOKUP("electricity|SO2|Asthma symptoms wheeze", US_national_yearly!$D:$AM, 29, FALSE) / VLOOKUP("electricity|SO2|Asthma symptoms wheeze", US_national_yearly!$D:$AM, 10, FALSE), 1)</f>
        <v>5.3034835479606928E-3</v>
      </c>
      <c r="V8" s="7">
        <f>$B8 * IFERROR(VLOOKUP("electricity|SO2|Asthma symptoms wheeze", US_national_yearly!$D:$AM, 30, FALSE) / VLOOKUP("electricity|SO2|Asthma symptoms wheeze", US_national_yearly!$D:$AM, 10, FALSE), 1)</f>
        <v>5.3034835479606928E-3</v>
      </c>
      <c r="W8" s="7">
        <f>$B8 * IFERROR(VLOOKUP("electricity|SO2|Asthma symptoms wheeze", US_national_yearly!$D:$AM, 31, FALSE) / VLOOKUP("electricity|SO2|Asthma symptoms wheeze", US_national_yearly!$D:$AM, 10, FALSE), 1)</f>
        <v>5.3034835479606928E-3</v>
      </c>
      <c r="X8" s="7">
        <f>$B8 * IFERROR(VLOOKUP("electricity|SO2|Asthma symptoms wheeze", US_national_yearly!$D:$AM, 32, FALSE) / VLOOKUP("electricity|SO2|Asthma symptoms wheeze", US_national_yearly!$D:$AM, 10, FALSE), 1)</f>
        <v>5.3034835479606928E-3</v>
      </c>
      <c r="Y8" s="7">
        <f>$B8 * IFERROR(VLOOKUP("electricity|SO2|Asthma symptoms wheeze", US_national_yearly!$D:$AM, 33, FALSE) / VLOOKUP("electricity|SO2|Asthma symptoms wheeze", US_national_yearly!$D:$AM, 10, FALSE), 1)</f>
        <v>5.3034835479606928E-3</v>
      </c>
      <c r="Z8" s="7">
        <f>$B8 * IFERROR(VLOOKUP("electricity|SO2|Asthma symptoms wheeze", US_national_yearly!$D:$AM, 34, FALSE) / VLOOKUP("electricity|SO2|Asthma symptoms wheeze", US_national_yearly!$D:$AM, 10, FALSE), 1)</f>
        <v>5.3034835479606928E-3</v>
      </c>
      <c r="AA8" s="7">
        <f>$B8 * IFERROR(VLOOKUP("electricity|SO2|Asthma symptoms wheeze", US_national_yearly!$D:$AM, 35, FALSE) / VLOOKUP("electricity|SO2|Asthma symptoms wheeze", US_national_yearly!$D:$AM, 10, FALSE), 1)</f>
        <v>5.3034835479606928E-3</v>
      </c>
      <c r="AB8" s="7">
        <f>$B8 * IFERROR(VLOOKUP("electricity|SO2|Asthma symptoms wheeze", US_national_yearly!$D:$AM, 36, FALSE) / VLOOKUP("electricity|SO2|Asthma symptoms wheeze", US_national_yearly!$D:$AM, 10, FALSE), 1)</f>
        <v>5.3034835479606928E-3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5.632390889558846E-5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5.665563593080337E-5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5.6987362966018293E-5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5.7319090001233196E-5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5.7650817036448119E-5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5.8012298514963541E-5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5.8373779993478977E-5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5.8721530458578703E-5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5.906928092367845E-5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5.9417031388778198E-5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5.9764781853877924E-5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6.0112532318977671E-5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6.0361959957413304E-5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6.0611387595848957E-5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6.086081523428459E-5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6.1110242872720229E-5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6.1359670511155868E-5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6.1595093486298505E-5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6.1830516461441155E-5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6.2065939436583791E-5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6.2301362411726441E-5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6.2536785386869091E-5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6.2762632989422115E-5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6.2988480591975166E-5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6.3214328194528217E-5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6.344017579708124E-5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6.3666023399634291E-5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3.4570955639254356E-4</v>
      </c>
      <c r="C13" s="7">
        <f>$B13 * IFERROR(VLOOKUP("electricity|SO2|Non-fatal heart attacks", US_national_yearly!$D:$AM, 11, FALSE) / VLOOKUP("electricity|SO2|Non-fatal heart attacks", US_national_yearly!$D:$AM, 10, FALSE), 1)</f>
        <v>3.5589262826366837E-4</v>
      </c>
      <c r="D13" s="7">
        <f>$B13 * IFERROR(VLOOKUP("electricity|SO2|Non-fatal heart attacks", US_national_yearly!$D:$AM, 12, FALSE) / VLOOKUP("electricity|SO2|Non-fatal heart attacks", US_national_yearly!$D:$AM, 10, FALSE), 1)</f>
        <v>3.6607570013479302E-4</v>
      </c>
      <c r="E13" s="7">
        <f>$B13 * IFERROR(VLOOKUP("electricity|SO2|Non-fatal heart attacks", US_national_yearly!$D:$AM, 13, FALSE) / VLOOKUP("electricity|SO2|Non-fatal heart attacks", US_national_yearly!$D:$AM, 10, FALSE), 1)</f>
        <v>3.7625877200591783E-4</v>
      </c>
      <c r="F13" s="7">
        <f>$B13 * IFERROR(VLOOKUP("electricity|SO2|Non-fatal heart attacks", US_national_yearly!$D:$AM, 14, FALSE) / VLOOKUP("electricity|SO2|Non-fatal heart attacks", US_national_yearly!$D:$AM, 10, FALSE), 1)</f>
        <v>3.8644184387704253E-4</v>
      </c>
      <c r="G13" s="7">
        <f>$B13 * IFERROR(VLOOKUP("electricity|SO2|Non-fatal heart attacks", US_national_yearly!$D:$AM, 15, FALSE) / VLOOKUP("electricity|SO2|Non-fatal heart attacks", US_national_yearly!$D:$AM, 10, FALSE), 1)</f>
        <v>3.9610588460609373E-4</v>
      </c>
      <c r="H13" s="7">
        <f>$B13 * IFERROR(VLOOKUP("electricity|SO2|Non-fatal heart attacks", US_national_yearly!$D:$AM, 16, FALSE) / VLOOKUP("electricity|SO2|Non-fatal heart attacks", US_national_yearly!$D:$AM, 10, FALSE), 1)</f>
        <v>4.0576992533514499E-4</v>
      </c>
      <c r="I13" s="7">
        <f>$B13 * IFERROR(VLOOKUP("electricity|SO2|Non-fatal heart attacks", US_national_yearly!$D:$AM, 17, FALSE) / VLOOKUP("electricity|SO2|Non-fatal heart attacks", US_national_yearly!$D:$AM, 10, FALSE), 1)</f>
        <v>4.136401803457281E-4</v>
      </c>
      <c r="J13" s="7">
        <f>$B13 * IFERROR(VLOOKUP("electricity|SO2|Non-fatal heart attacks", US_national_yearly!$D:$AM, 18, FALSE) / VLOOKUP("electricity|SO2|Non-fatal heart attacks", US_national_yearly!$D:$AM, 10, FALSE), 1)</f>
        <v>4.2151043535631122E-4</v>
      </c>
      <c r="K13" s="7">
        <f>$B13 * IFERROR(VLOOKUP("electricity|SO2|Non-fatal heart attacks", US_national_yearly!$D:$AM, 19, FALSE) / VLOOKUP("electricity|SO2|Non-fatal heart attacks", US_national_yearly!$D:$AM, 10, FALSE), 1)</f>
        <v>4.2938069036689433E-4</v>
      </c>
      <c r="L13" s="7">
        <f>$B13 * IFERROR(VLOOKUP("electricity|SO2|Non-fatal heart attacks", US_national_yearly!$D:$AM, 20, FALSE) / VLOOKUP("electricity|SO2|Non-fatal heart attacks", US_national_yearly!$D:$AM, 10, FALSE), 1)</f>
        <v>4.3725094537747745E-4</v>
      </c>
      <c r="M13" s="7">
        <f>$B13 * IFERROR(VLOOKUP("electricity|SO2|Non-fatal heart attacks", US_national_yearly!$D:$AM, 21, FALSE) / VLOOKUP("electricity|SO2|Non-fatal heart attacks", US_national_yearly!$D:$AM, 10, FALSE), 1)</f>
        <v>4.4512120038806057E-4</v>
      </c>
      <c r="N13" s="7">
        <f>$B13 * IFERROR(VLOOKUP("electricity|SO2|Non-fatal heart attacks", US_national_yearly!$D:$AM, 22, FALSE) / VLOOKUP("electricity|SO2|Non-fatal heart attacks", US_national_yearly!$D:$AM, 10, FALSE), 1)</f>
        <v>4.5031126304816073E-4</v>
      </c>
      <c r="O13" s="7">
        <f>$B13 * IFERROR(VLOOKUP("electricity|SO2|Non-fatal heart attacks", US_national_yearly!$D:$AM, 23, FALSE) / VLOOKUP("electricity|SO2|Non-fatal heart attacks", US_national_yearly!$D:$AM, 10, FALSE), 1)</f>
        <v>4.5550132570826079E-4</v>
      </c>
      <c r="P13" s="7">
        <f>$B13 * IFERROR(VLOOKUP("electricity|SO2|Non-fatal heart attacks", US_national_yearly!$D:$AM, 24, FALSE) / VLOOKUP("electricity|SO2|Non-fatal heart attacks", US_national_yearly!$D:$AM, 10, FALSE), 1)</f>
        <v>4.6069138836836096E-4</v>
      </c>
      <c r="Q13" s="7">
        <f>$B13 * IFERROR(VLOOKUP("electricity|SO2|Non-fatal heart attacks", US_national_yearly!$D:$AM, 25, FALSE) / VLOOKUP("electricity|SO2|Non-fatal heart attacks", US_national_yearly!$D:$AM, 10, FALSE), 1)</f>
        <v>4.6588145102846107E-4</v>
      </c>
      <c r="R13" s="7">
        <f>$B13 * IFERROR(VLOOKUP("electricity|SO2|Non-fatal heart attacks", US_national_yearly!$D:$AM, 26, FALSE) / VLOOKUP("electricity|SO2|Non-fatal heart attacks", US_national_yearly!$D:$AM, 10, FALSE), 1)</f>
        <v>4.7107151368856124E-4</v>
      </c>
      <c r="S13" s="7">
        <f>$B13 * IFERROR(VLOOKUP("electricity|SO2|Non-fatal heart attacks", US_national_yearly!$D:$AM, 27, FALSE) / VLOOKUP("electricity|SO2|Non-fatal heart attacks", US_national_yearly!$D:$AM, 10, FALSE), 1)</f>
        <v>4.7389582228013645E-4</v>
      </c>
      <c r="T13" s="7">
        <f>$B13 * IFERROR(VLOOKUP("electricity|SO2|Non-fatal heart attacks", US_national_yearly!$D:$AM, 28, FALSE) / VLOOKUP("electricity|SO2|Non-fatal heart attacks", US_national_yearly!$D:$AM, 10, FALSE), 1)</f>
        <v>4.7672013087171172E-4</v>
      </c>
      <c r="U13" s="7">
        <f>$B13 * IFERROR(VLOOKUP("electricity|SO2|Non-fatal heart attacks", US_national_yearly!$D:$AM, 29, FALSE) / VLOOKUP("electricity|SO2|Non-fatal heart attacks", US_national_yearly!$D:$AM, 10, FALSE), 1)</f>
        <v>4.7954443946328698E-4</v>
      </c>
      <c r="V13" s="7">
        <f>$B13 * IFERROR(VLOOKUP("electricity|SO2|Non-fatal heart attacks", US_national_yearly!$D:$AM, 30, FALSE) / VLOOKUP("electricity|SO2|Non-fatal heart attacks", US_national_yearly!$D:$AM, 10, FALSE), 1)</f>
        <v>4.8236874805486209E-4</v>
      </c>
      <c r="W13" s="7">
        <f>$B13 * IFERROR(VLOOKUP("electricity|SO2|Non-fatal heart attacks", US_national_yearly!$D:$AM, 31, FALSE) / VLOOKUP("electricity|SO2|Non-fatal heart attacks", US_national_yearly!$D:$AM, 10, FALSE), 1)</f>
        <v>4.8519305664643741E-4</v>
      </c>
      <c r="X13" s="7">
        <f>$B13 * IFERROR(VLOOKUP("electricity|SO2|Non-fatal heart attacks", US_national_yearly!$D:$AM, 32, FALSE) / VLOOKUP("electricity|SO2|Non-fatal heart attacks", US_national_yearly!$D:$AM, 10, FALSE), 1)</f>
        <v>4.8736259715156103E-4</v>
      </c>
      <c r="Y13" s="7">
        <f>$B13 * IFERROR(VLOOKUP("electricity|SO2|Non-fatal heart attacks", US_national_yearly!$D:$AM, 33, FALSE) / VLOOKUP("electricity|SO2|Non-fatal heart attacks", US_national_yearly!$D:$AM, 10, FALSE), 1)</f>
        <v>4.8953213765668476E-4</v>
      </c>
      <c r="Z13" s="7">
        <f>$B13 * IFERROR(VLOOKUP("electricity|SO2|Non-fatal heart attacks", US_national_yearly!$D:$AM, 34, FALSE) / VLOOKUP("electricity|SO2|Non-fatal heart attacks", US_national_yearly!$D:$AM, 10, FALSE), 1)</f>
        <v>4.9170167816180827E-4</v>
      </c>
      <c r="AA13" s="7">
        <f>$B13 * IFERROR(VLOOKUP("electricity|SO2|Non-fatal heart attacks", US_national_yearly!$D:$AM, 35, FALSE) / VLOOKUP("electricity|SO2|Non-fatal heart attacks", US_national_yearly!$D:$AM, 10, FALSE), 1)</f>
        <v>4.9387121866693189E-4</v>
      </c>
      <c r="AB13" s="7">
        <f>$B13 * IFERROR(VLOOKUP("electricity|SO2|Non-fatal heart attacks", US_national_yearly!$D:$AM, 36, FALSE) / VLOOKUP("electricity|SO2|Non-fatal heart attacks", US_national_yearly!$D:$AM, 10, FALSE), 1)</f>
        <v>4.9604075917205552E-4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0.31600941788393438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0.31680353443398807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0.31759765098404169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0.31839176753409543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0.31918588408414905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0.32033321081616695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0.3214805375481849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0.32344829122764107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0.32541604490709736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0.32738379858655359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0.32935155226600993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0.3313193059454661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0.33402918699906631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0.33673906805266646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0.33944894910626661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0.34215883015986681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0.34486871121346696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0.34764676652946597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0.35042482184546497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0.35320287716146387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0.35598093247746293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0.35875898779346194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0.36120337200378794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0.36364775621411383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0.36609214042443977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0.36853652463476577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0.37098090884509172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5.3769065797629648E-2</v>
      </c>
      <c r="C15" s="7">
        <f>$B15 * IFERROR(VLOOKUP("electricity|SO2|Work loss days", US_national_yearly!$D:$AM, 11, FALSE) / VLOOKUP("electricity|SO2|Work loss days", US_national_yearly!$D:$AM, 10, FALSE), 1)</f>
        <v>5.3943171658829482E-2</v>
      </c>
      <c r="D15" s="7">
        <f>$B15 * IFERROR(VLOOKUP("electricity|SO2|Work loss days", US_national_yearly!$D:$AM, 12, FALSE) / VLOOKUP("electricity|SO2|Work loss days", US_national_yearly!$D:$AM, 10, FALSE), 1)</f>
        <v>5.411727752002931E-2</v>
      </c>
      <c r="E15" s="7">
        <f>$B15 * IFERROR(VLOOKUP("electricity|SO2|Work loss days", US_national_yearly!$D:$AM, 13, FALSE) / VLOOKUP("electricity|SO2|Work loss days", US_national_yearly!$D:$AM, 10, FALSE), 1)</f>
        <v>5.4291383381229158E-2</v>
      </c>
      <c r="F15" s="7">
        <f>$B15 * IFERROR(VLOOKUP("electricity|SO2|Work loss days", US_national_yearly!$D:$AM, 14, FALSE) / VLOOKUP("electricity|SO2|Work loss days", US_national_yearly!$D:$AM, 10, FALSE), 1)</f>
        <v>5.4465489242428985E-2</v>
      </c>
      <c r="G15" s="7">
        <f>$B15 * IFERROR(VLOOKUP("electricity|SO2|Work loss days", US_national_yearly!$D:$AM, 15, FALSE) / VLOOKUP("electricity|SO2|Work loss days", US_national_yearly!$D:$AM, 10, FALSE), 1)</f>
        <v>5.4688529638912589E-2</v>
      </c>
      <c r="H15" s="7">
        <f>$B15 * IFERROR(VLOOKUP("electricity|SO2|Work loss days", US_national_yearly!$D:$AM, 16, FALSE) / VLOOKUP("electricity|SO2|Work loss days", US_national_yearly!$D:$AM, 10, FALSE), 1)</f>
        <v>5.4911570035396186E-2</v>
      </c>
      <c r="I15" s="7">
        <f>$B15 * IFERROR(VLOOKUP("electricity|SO2|Work loss days", US_national_yearly!$D:$AM, 17, FALSE) / VLOOKUP("electricity|SO2|Work loss days", US_national_yearly!$D:$AM, 10, FALSE), 1)</f>
        <v>5.5237904371483612E-2</v>
      </c>
      <c r="J15" s="7">
        <f>$B15 * IFERROR(VLOOKUP("electricity|SO2|Work loss days", US_national_yearly!$D:$AM, 18, FALSE) / VLOOKUP("electricity|SO2|Work loss days", US_national_yearly!$D:$AM, 10, FALSE), 1)</f>
        <v>5.5564238707571031E-2</v>
      </c>
      <c r="K15" s="7">
        <f>$B15 * IFERROR(VLOOKUP("electricity|SO2|Work loss days", US_national_yearly!$D:$AM, 19, FALSE) / VLOOKUP("electricity|SO2|Work loss days", US_national_yearly!$D:$AM, 10, FALSE), 1)</f>
        <v>5.5890573043658472E-2</v>
      </c>
      <c r="L15" s="7">
        <f>$B15 * IFERROR(VLOOKUP("electricity|SO2|Work loss days", US_national_yearly!$D:$AM, 20, FALSE) / VLOOKUP("electricity|SO2|Work loss days", US_national_yearly!$D:$AM, 10, FALSE), 1)</f>
        <v>5.6216907379745891E-2</v>
      </c>
      <c r="M15" s="7">
        <f>$B15 * IFERROR(VLOOKUP("electricity|SO2|Work loss days", US_national_yearly!$D:$AM, 21, FALSE) / VLOOKUP("electricity|SO2|Work loss days", US_national_yearly!$D:$AM, 10, FALSE), 1)</f>
        <v>5.6543241715833331E-2</v>
      </c>
      <c r="N15" s="7">
        <f>$B15 * IFERROR(VLOOKUP("electricity|SO2|Work loss days", US_national_yearly!$D:$AM, 22, FALSE) / VLOOKUP("electricity|SO2|Work loss days", US_national_yearly!$D:$AM, 10, FALSE), 1)</f>
        <v>5.6956135808453941E-2</v>
      </c>
      <c r="O15" s="7">
        <f>$B15 * IFERROR(VLOOKUP("electricity|SO2|Work loss days", US_national_yearly!$D:$AM, 23, FALSE) / VLOOKUP("electricity|SO2|Work loss days", US_national_yearly!$D:$AM, 10, FALSE), 1)</f>
        <v>5.7369029901074564E-2</v>
      </c>
      <c r="P15" s="7">
        <f>$B15 * IFERROR(VLOOKUP("electricity|SO2|Work loss days", US_national_yearly!$D:$AM, 24, FALSE) / VLOOKUP("electricity|SO2|Work loss days", US_national_yearly!$D:$AM, 10, FALSE), 1)</f>
        <v>5.7781923993695188E-2</v>
      </c>
      <c r="Q15" s="7">
        <f>$B15 * IFERROR(VLOOKUP("electricity|SO2|Work loss days", US_national_yearly!$D:$AM, 25, FALSE) / VLOOKUP("electricity|SO2|Work loss days", US_national_yearly!$D:$AM, 10, FALSE), 1)</f>
        <v>5.8194818086315797E-2</v>
      </c>
      <c r="R15" s="7">
        <f>$B15 * IFERROR(VLOOKUP("electricity|SO2|Work loss days", US_national_yearly!$D:$AM, 26, FALSE) / VLOOKUP("electricity|SO2|Work loss days", US_national_yearly!$D:$AM, 10, FALSE), 1)</f>
        <v>5.8607712178936421E-2</v>
      </c>
      <c r="S15" s="7">
        <f>$B15 * IFERROR(VLOOKUP("electricity|SO2|Work loss days", US_national_yearly!$D:$AM, 27, FALSE) / VLOOKUP("electricity|SO2|Work loss days", US_national_yearly!$D:$AM, 10, FALSE), 1)</f>
        <v>5.9070604986828305E-2</v>
      </c>
      <c r="T15" s="7">
        <f>$B15 * IFERROR(VLOOKUP("electricity|SO2|Work loss days", US_national_yearly!$D:$AM, 28, FALSE) / VLOOKUP("electricity|SO2|Work loss days", US_national_yearly!$D:$AM, 10, FALSE), 1)</f>
        <v>5.9533497794720204E-2</v>
      </c>
      <c r="U15" s="7">
        <f>$B15 * IFERROR(VLOOKUP("electricity|SO2|Work loss days", US_national_yearly!$D:$AM, 29, FALSE) / VLOOKUP("electricity|SO2|Work loss days", US_national_yearly!$D:$AM, 10, FALSE), 1)</f>
        <v>5.9996390602612103E-2</v>
      </c>
      <c r="V15" s="7">
        <f>$B15 * IFERROR(VLOOKUP("electricity|SO2|Work loss days", US_national_yearly!$D:$AM, 30, FALSE) / VLOOKUP("electricity|SO2|Work loss days", US_national_yearly!$D:$AM, 10, FALSE), 1)</f>
        <v>6.0459283410504001E-2</v>
      </c>
      <c r="W15" s="7">
        <f>$B15 * IFERROR(VLOOKUP("electricity|SO2|Work loss days", US_national_yearly!$D:$AM, 31, FALSE) / VLOOKUP("electricity|SO2|Work loss days", US_national_yearly!$D:$AM, 10, FALSE), 1)</f>
        <v>6.09221762183959E-2</v>
      </c>
      <c r="X15" s="7">
        <f>$B15 * IFERROR(VLOOKUP("electricity|SO2|Work loss days", US_national_yearly!$D:$AM, 32, FALSE) / VLOOKUP("electricity|SO2|Work loss days", US_national_yearly!$D:$AM, 10, FALSE), 1)</f>
        <v>6.1339196855488921E-2</v>
      </c>
      <c r="Y15" s="7">
        <f>$B15 * IFERROR(VLOOKUP("electricity|SO2|Work loss days", US_national_yearly!$D:$AM, 33, FALSE) / VLOOKUP("electricity|SO2|Work loss days", US_national_yearly!$D:$AM, 10, FALSE), 1)</f>
        <v>6.1756217492581936E-2</v>
      </c>
      <c r="Z15" s="7">
        <f>$B15 * IFERROR(VLOOKUP("electricity|SO2|Work loss days", US_national_yearly!$D:$AM, 34, FALSE) / VLOOKUP("electricity|SO2|Work loss days", US_national_yearly!$D:$AM, 10, FALSE), 1)</f>
        <v>6.2173238129674943E-2</v>
      </c>
      <c r="AA15" s="7">
        <f>$B15 * IFERROR(VLOOKUP("electricity|SO2|Work loss days", US_national_yearly!$D:$AM, 35, FALSE) / VLOOKUP("electricity|SO2|Work loss days", US_national_yearly!$D:$AM, 10, FALSE), 1)</f>
        <v>6.2590258766767964E-2</v>
      </c>
      <c r="AB15" s="7">
        <f>$B15 * IFERROR(VLOOKUP("electricity|SO2|Work loss days", US_national_yearly!$D:$AM, 36, FALSE) / VLOOKUP("electricity|SO2|Work loss days", US_national_yearly!$D:$AM, 10, FALSE), 1)</f>
        <v>6.3007279403860972E-2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8.3516346860526458E-5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8.6047124330979172E-5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8.8577901801431885E-5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9.1108679271884626E-5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9.363945674233734E-5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9.6078964958791431E-5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9.8518473175245535E-5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1.0063045433587757E-4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1.0274243549650961E-4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1.0485441665714165E-4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1.0696639781777366E-4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1.0907837897840569E-4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1.105198004897495E-4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1.1196122200109328E-4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1.1340264351243713E-4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1.1484406502378092E-4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1.1628548653512473E-4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1.1707570021357413E-4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1.1786591389202351E-4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1.1865612757047291E-4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1.1944634124892229E-4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1.2023655492737167E-4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1.2078202980560071E-4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1.2132750468382972E-4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1.2187297956205875E-4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1.2241845444028776E-4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1.229639293185168E-4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2.3615510431107239E-2</v>
      </c>
      <c r="C2" s="7">
        <f>$B2 * IFERROR(VLOOKUP("buildings|PM25|Premature mortality", US_national_yearly!$D:$AM, 11, FALSE) / VLOOKUP("buildings|PM25|Premature mortality", US_national_yearly!$D:$AM, 10, FALSE), 1)</f>
        <v>2.3908503072350235E-2</v>
      </c>
      <c r="D2" s="7">
        <f>$B2 * IFERROR(VLOOKUP("buildings|PM25|Premature mortality", US_national_yearly!$D:$AM, 12, FALSE) / VLOOKUP("buildings|PM25|Premature mortality", US_national_yearly!$D:$AM, 10, FALSE), 1)</f>
        <v>2.4201495713593226E-2</v>
      </c>
      <c r="E2" s="7">
        <f>$B2 * IFERROR(VLOOKUP("buildings|PM25|Premature mortality", US_national_yearly!$D:$AM, 13, FALSE) / VLOOKUP("buildings|PM25|Premature mortality", US_national_yearly!$D:$AM, 10, FALSE), 1)</f>
        <v>2.4494488354836221E-2</v>
      </c>
      <c r="F2" s="7">
        <f>$B2 * IFERROR(VLOOKUP("buildings|PM25|Premature mortality", US_national_yearly!$D:$AM, 14, FALSE) / VLOOKUP("buildings|PM25|Premature mortality", US_national_yearly!$D:$AM, 10, FALSE), 1)</f>
        <v>2.4787480996079213E-2</v>
      </c>
      <c r="G2" s="7">
        <f>$B2 * IFERROR(VLOOKUP("buildings|PM25|Premature mortality", US_national_yearly!$D:$AM, 15, FALSE) / VLOOKUP("buildings|PM25|Premature mortality", US_national_yearly!$D:$AM, 10, FALSE), 1)</f>
        <v>2.5357997752895784E-2</v>
      </c>
      <c r="H2" s="7">
        <f>$B2 * IFERROR(VLOOKUP("buildings|PM25|Premature mortality", US_national_yearly!$D:$AM, 16, FALSE) / VLOOKUP("buildings|PM25|Premature mortality", US_national_yearly!$D:$AM, 10, FALSE), 1)</f>
        <v>2.5928514509712352E-2</v>
      </c>
      <c r="I2" s="7">
        <f>$B2 * IFERROR(VLOOKUP("buildings|PM25|Premature mortality", US_national_yearly!$D:$AM, 17, FALSE) / VLOOKUP("buildings|PM25|Premature mortality", US_national_yearly!$D:$AM, 10, FALSE), 1)</f>
        <v>2.6303733554069716E-2</v>
      </c>
      <c r="J2" s="7">
        <f>$B2 * IFERROR(VLOOKUP("buildings|PM25|Premature mortality", US_national_yearly!$D:$AM, 18, FALSE) / VLOOKUP("buildings|PM25|Premature mortality", US_national_yearly!$D:$AM, 10, FALSE), 1)</f>
        <v>2.6678952598427078E-2</v>
      </c>
      <c r="K2" s="7">
        <f>$B2 * IFERROR(VLOOKUP("buildings|PM25|Premature mortality", US_national_yearly!$D:$AM, 19, FALSE) / VLOOKUP("buildings|PM25|Premature mortality", US_national_yearly!$D:$AM, 10, FALSE), 1)</f>
        <v>2.7054171642784442E-2</v>
      </c>
      <c r="L2" s="7">
        <f>$B2 * IFERROR(VLOOKUP("buildings|PM25|Premature mortality", US_national_yearly!$D:$AM, 20, FALSE) / VLOOKUP("buildings|PM25|Premature mortality", US_national_yearly!$D:$AM, 10, FALSE), 1)</f>
        <v>2.7429390687141807E-2</v>
      </c>
      <c r="M2" s="7">
        <f>$B2 * IFERROR(VLOOKUP("buildings|PM25|Premature mortality", US_national_yearly!$D:$AM, 21, FALSE) / VLOOKUP("buildings|PM25|Premature mortality", US_national_yearly!$D:$AM, 10, FALSE), 1)</f>
        <v>2.7804609731499168E-2</v>
      </c>
      <c r="N2" s="7">
        <f>$B2 * IFERROR(VLOOKUP("buildings|PM25|Premature mortality", US_national_yearly!$D:$AM, 22, FALSE) / VLOOKUP("buildings|PM25|Premature mortality", US_national_yearly!$D:$AM, 10, FALSE), 1)</f>
        <v>2.8096384241011574E-2</v>
      </c>
      <c r="O2" s="7">
        <f>$B2 * IFERROR(VLOOKUP("buildings|PM25|Premature mortality", US_national_yearly!$D:$AM, 23, FALSE) / VLOOKUP("buildings|PM25|Premature mortality", US_national_yearly!$D:$AM, 10, FALSE), 1)</f>
        <v>2.8388158750523983E-2</v>
      </c>
      <c r="P2" s="7">
        <f>$B2 * IFERROR(VLOOKUP("buildings|PM25|Premature mortality", US_national_yearly!$D:$AM, 24, FALSE) / VLOOKUP("buildings|PM25|Premature mortality", US_national_yearly!$D:$AM, 10, FALSE), 1)</f>
        <v>2.8679933260036386E-2</v>
      </c>
      <c r="Q2" s="7">
        <f>$B2 * IFERROR(VLOOKUP("buildings|PM25|Premature mortality", US_national_yearly!$D:$AM, 25, FALSE) / VLOOKUP("buildings|PM25|Premature mortality", US_national_yearly!$D:$AM, 10, FALSE), 1)</f>
        <v>2.8971707769548802E-2</v>
      </c>
      <c r="R2" s="7">
        <f>$B2 * IFERROR(VLOOKUP("buildings|PM25|Premature mortality", US_national_yearly!$D:$AM, 26, FALSE) / VLOOKUP("buildings|PM25|Premature mortality", US_national_yearly!$D:$AM, 10, FALSE), 1)</f>
        <v>2.9263482279061205E-2</v>
      </c>
      <c r="S2" s="7">
        <f>$B2 * IFERROR(VLOOKUP("buildings|PM25|Premature mortality", US_national_yearly!$D:$AM, 27, FALSE) / VLOOKUP("buildings|PM25|Premature mortality", US_national_yearly!$D:$AM, 10, FALSE), 1)</f>
        <v>2.9418563329027585E-2</v>
      </c>
      <c r="T2" s="7">
        <f>$B2 * IFERROR(VLOOKUP("buildings|PM25|Premature mortality", US_national_yearly!$D:$AM, 28, FALSE) / VLOOKUP("buildings|PM25|Premature mortality", US_national_yearly!$D:$AM, 10, FALSE), 1)</f>
        <v>2.9573644378993971E-2</v>
      </c>
      <c r="U2" s="7">
        <f>$B2 * IFERROR(VLOOKUP("buildings|PM25|Premature mortality", US_national_yearly!$D:$AM, 29, FALSE) / VLOOKUP("buildings|PM25|Premature mortality", US_national_yearly!$D:$AM, 10, FALSE), 1)</f>
        <v>2.9728725428960358E-2</v>
      </c>
      <c r="V2" s="7">
        <f>$B2 * IFERROR(VLOOKUP("buildings|PM25|Premature mortality", US_national_yearly!$D:$AM, 30, FALSE) / VLOOKUP("buildings|PM25|Premature mortality", US_national_yearly!$D:$AM, 10, FALSE), 1)</f>
        <v>2.9883806478926741E-2</v>
      </c>
      <c r="W2" s="7">
        <f>$B2 * IFERROR(VLOOKUP("buildings|PM25|Premature mortality", US_national_yearly!$D:$AM, 31, FALSE) / VLOOKUP("buildings|PM25|Premature mortality", US_national_yearly!$D:$AM, 10, FALSE), 1)</f>
        <v>3.003888752889312E-2</v>
      </c>
      <c r="X2" s="7">
        <f>$B2 * IFERROR(VLOOKUP("buildings|PM25|Premature mortality", US_national_yearly!$D:$AM, 32, FALSE) / VLOOKUP("buildings|PM25|Premature mortality", US_national_yearly!$D:$AM, 10, FALSE), 1)</f>
        <v>3.0066723332345783E-2</v>
      </c>
      <c r="Y2" s="7">
        <f>$B2 * IFERROR(VLOOKUP("buildings|PM25|Premature mortality", US_national_yearly!$D:$AM, 33, FALSE) / VLOOKUP("buildings|PM25|Premature mortality", US_national_yearly!$D:$AM, 10, FALSE), 1)</f>
        <v>3.0094559135798438E-2</v>
      </c>
      <c r="Z2" s="7">
        <f>$B2 * IFERROR(VLOOKUP("buildings|PM25|Premature mortality", US_national_yearly!$D:$AM, 34, FALSE) / VLOOKUP("buildings|PM25|Premature mortality", US_national_yearly!$D:$AM, 10, FALSE), 1)</f>
        <v>3.0122394939251101E-2</v>
      </c>
      <c r="AA2" s="7">
        <f>$B2 * IFERROR(VLOOKUP("buildings|PM25|Premature mortality", US_national_yearly!$D:$AM, 35, FALSE) / VLOOKUP("buildings|PM25|Premature mortality", US_national_yearly!$D:$AM, 10, FALSE), 1)</f>
        <v>3.0150230742703763E-2</v>
      </c>
      <c r="AB2" s="7">
        <f>$B2 * IFERROR(VLOOKUP("buildings|PM25|Premature mortality", US_national_yearly!$D:$AM, 36, FALSE) / VLOOKUP("buildings|PM25|Premature mortality", US_national_yearly!$D:$AM, 10, FALSE), 1)</f>
        <v>3.0178066546156419E-2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7.0251071471526128E-5</v>
      </c>
      <c r="C3" s="7">
        <f>$B3 * IFERROR(VLOOKUP("buildings|PM25|Infant mortality", US_national_yearly!$D:$AM, 11, FALSE) / VLOOKUP("buildings|PM25|Infant mortality", US_national_yearly!$D:$AM, 10, FALSE), 1)</f>
        <v>6.9642583550812444E-5</v>
      </c>
      <c r="D3" s="7">
        <f>$B3 * IFERROR(VLOOKUP("buildings|PM25|Infant mortality", US_national_yearly!$D:$AM, 12, FALSE) / VLOOKUP("buildings|PM25|Infant mortality", US_national_yearly!$D:$AM, 10, FALSE), 1)</f>
        <v>6.9034095630098746E-5</v>
      </c>
      <c r="E3" s="7">
        <f>$B3 * IFERROR(VLOOKUP("buildings|PM25|Infant mortality", US_national_yearly!$D:$AM, 13, FALSE) / VLOOKUP("buildings|PM25|Infant mortality", US_national_yearly!$D:$AM, 10, FALSE), 1)</f>
        <v>6.8425607709385062E-5</v>
      </c>
      <c r="F3" s="7">
        <f>$B3 * IFERROR(VLOOKUP("buildings|PM25|Infant mortality", US_national_yearly!$D:$AM, 14, FALSE) / VLOOKUP("buildings|PM25|Infant mortality", US_national_yearly!$D:$AM, 10, FALSE), 1)</f>
        <v>6.7817119788671378E-5</v>
      </c>
      <c r="G3" s="7">
        <f>$B3 * IFERROR(VLOOKUP("buildings|PM25|Infant mortality", US_national_yearly!$D:$AM, 15, FALSE) / VLOOKUP("buildings|PM25|Infant mortality", US_national_yearly!$D:$AM, 10, FALSE), 1)</f>
        <v>4.5095924310294591E-5</v>
      </c>
      <c r="H3" s="7">
        <f>$B3 * IFERROR(VLOOKUP("buildings|PM25|Infant mortality", US_national_yearly!$D:$AM, 16, FALSE) / VLOOKUP("buildings|PM25|Infant mortality", US_national_yearly!$D:$AM, 10, FALSE), 1)</f>
        <v>2.2374728831917811E-5</v>
      </c>
      <c r="I3" s="7">
        <f>$B3 * IFERROR(VLOOKUP("buildings|PM25|Infant mortality", US_national_yearly!$D:$AM, 17, FALSE) / VLOOKUP("buildings|PM25|Infant mortality", US_national_yearly!$D:$AM, 10, FALSE), 1)</f>
        <v>2.2228926022969065E-5</v>
      </c>
      <c r="J3" s="7">
        <f>$B3 * IFERROR(VLOOKUP("buildings|PM25|Infant mortality", US_national_yearly!$D:$AM, 18, FALSE) / VLOOKUP("buildings|PM25|Infant mortality", US_national_yearly!$D:$AM, 10, FALSE), 1)</f>
        <v>2.2083123214020318E-5</v>
      </c>
      <c r="K3" s="7">
        <f>$B3 * IFERROR(VLOOKUP("buildings|PM25|Infant mortality", US_national_yearly!$D:$AM, 19, FALSE) / VLOOKUP("buildings|PM25|Infant mortality", US_national_yearly!$D:$AM, 10, FALSE), 1)</f>
        <v>2.1937320405071571E-5</v>
      </c>
      <c r="L3" s="7">
        <f>$B3 * IFERROR(VLOOKUP("buildings|PM25|Infant mortality", US_national_yearly!$D:$AM, 20, FALSE) / VLOOKUP("buildings|PM25|Infant mortality", US_national_yearly!$D:$AM, 10, FALSE), 1)</f>
        <v>2.1791517596122824E-5</v>
      </c>
      <c r="M3" s="7">
        <f>$B3 * IFERROR(VLOOKUP("buildings|PM25|Infant mortality", US_national_yearly!$D:$AM, 21, FALSE) / VLOOKUP("buildings|PM25|Infant mortality", US_national_yearly!$D:$AM, 10, FALSE), 1)</f>
        <v>2.1645714787174078E-5</v>
      </c>
      <c r="N3" s="7">
        <f>$B3 * IFERROR(VLOOKUP("buildings|PM25|Infant mortality", US_national_yearly!$D:$AM, 22, FALSE) / VLOOKUP("buildings|PM25|Infant mortality", US_national_yearly!$D:$AM, 10, FALSE), 1)</f>
        <v>2.1554486595346282E-5</v>
      </c>
      <c r="O3" s="7">
        <f>$B3 * IFERROR(VLOOKUP("buildings|PM25|Infant mortality", US_national_yearly!$D:$AM, 23, FALSE) / VLOOKUP("buildings|PM25|Infant mortality", US_national_yearly!$D:$AM, 10, FALSE), 1)</f>
        <v>2.1463258403518483E-5</v>
      </c>
      <c r="P3" s="7">
        <f>$B3 * IFERROR(VLOOKUP("buildings|PM25|Infant mortality", US_national_yearly!$D:$AM, 24, FALSE) / VLOOKUP("buildings|PM25|Infant mortality", US_national_yearly!$D:$AM, 10, FALSE), 1)</f>
        <v>2.1372030211690688E-5</v>
      </c>
      <c r="Q3" s="7">
        <f>$B3 * IFERROR(VLOOKUP("buildings|PM25|Infant mortality", US_national_yearly!$D:$AM, 25, FALSE) / VLOOKUP("buildings|PM25|Infant mortality", US_national_yearly!$D:$AM, 10, FALSE), 1)</f>
        <v>2.1280802019862889E-5</v>
      </c>
      <c r="R3" s="7">
        <f>$B3 * IFERROR(VLOOKUP("buildings|PM25|Infant mortality", US_national_yearly!$D:$AM, 26, FALSE) / VLOOKUP("buildings|PM25|Infant mortality", US_national_yearly!$D:$AM, 10, FALSE), 1)</f>
        <v>2.1189573828035093E-5</v>
      </c>
      <c r="S3" s="7">
        <f>$B3 * IFERROR(VLOOKUP("buildings|PM25|Infant mortality", US_national_yearly!$D:$AM, 27, FALSE) / VLOOKUP("buildings|PM25|Infant mortality", US_national_yearly!$D:$AM, 10, FALSE), 1)</f>
        <v>2.1075669157452079E-5</v>
      </c>
      <c r="T3" s="7">
        <f>$B3 * IFERROR(VLOOKUP("buildings|PM25|Infant mortality", US_national_yearly!$D:$AM, 28, FALSE) / VLOOKUP("buildings|PM25|Infant mortality", US_national_yearly!$D:$AM, 10, FALSE), 1)</f>
        <v>2.0961764486869071E-5</v>
      </c>
      <c r="U3" s="7">
        <f>$B3 * IFERROR(VLOOKUP("buildings|PM25|Infant mortality", US_national_yearly!$D:$AM, 29, FALSE) / VLOOKUP("buildings|PM25|Infant mortality", US_national_yearly!$D:$AM, 10, FALSE), 1)</f>
        <v>2.0847859816286053E-5</v>
      </c>
      <c r="V3" s="7">
        <f>$B3 * IFERROR(VLOOKUP("buildings|PM25|Infant mortality", US_national_yearly!$D:$AM, 30, FALSE) / VLOOKUP("buildings|PM25|Infant mortality", US_national_yearly!$D:$AM, 10, FALSE), 1)</f>
        <v>2.0733955145703045E-5</v>
      </c>
      <c r="W3" s="7">
        <f>$B3 * IFERROR(VLOOKUP("buildings|PM25|Infant mortality", US_national_yearly!$D:$AM, 31, FALSE) / VLOOKUP("buildings|PM25|Infant mortality", US_national_yearly!$D:$AM, 10, FALSE), 1)</f>
        <v>2.0620050475120034E-5</v>
      </c>
      <c r="X3" s="7">
        <f>$B3 * IFERROR(VLOOKUP("buildings|PM25|Infant mortality", US_national_yearly!$D:$AM, 32, FALSE) / VLOOKUP("buildings|PM25|Infant mortality", US_national_yearly!$D:$AM, 10, FALSE), 1)</f>
        <v>2.0497417431574475E-5</v>
      </c>
      <c r="Y3" s="7">
        <f>$B3 * IFERROR(VLOOKUP("buildings|PM25|Infant mortality", US_national_yearly!$D:$AM, 33, FALSE) / VLOOKUP("buildings|PM25|Infant mortality", US_national_yearly!$D:$AM, 10, FALSE), 1)</f>
        <v>2.037478438802892E-5</v>
      </c>
      <c r="Z3" s="7">
        <f>$B3 * IFERROR(VLOOKUP("buildings|PM25|Infant mortality", US_national_yearly!$D:$AM, 34, FALSE) / VLOOKUP("buildings|PM25|Infant mortality", US_national_yearly!$D:$AM, 10, FALSE), 1)</f>
        <v>2.0252151344483361E-5</v>
      </c>
      <c r="AA3" s="7">
        <f>$B3 * IFERROR(VLOOKUP("buildings|PM25|Infant mortality", US_national_yearly!$D:$AM, 35, FALSE) / VLOOKUP("buildings|PM25|Infant mortality", US_national_yearly!$D:$AM, 10, FALSE), 1)</f>
        <v>2.0129518300937803E-5</v>
      </c>
      <c r="AB3" s="7">
        <f>$B3 * IFERROR(VLOOKUP("buildings|PM25|Infant mortality", US_national_yearly!$D:$AM, 36, FALSE) / VLOOKUP("buildings|PM25|Infant mortality", US_national_yearly!$D:$AM, 10, FALSE), 1)</f>
        <v>2.0006885257392247E-5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6.9371285707185398E-2</v>
      </c>
      <c r="C6" s="7">
        <f>$B6 * IFERROR(VLOOKUP("buildings|PM25|Asthma symptoms cough", US_national_yearly!$D:$AM, 11, FALSE) / VLOOKUP("buildings|PM25|Asthma symptoms cough", US_national_yearly!$D:$AM, 10, FALSE), 1)</f>
        <v>6.9371285707185398E-2</v>
      </c>
      <c r="D6" s="7">
        <f>$B6 * IFERROR(VLOOKUP("buildings|PM25|Asthma symptoms cough", US_national_yearly!$D:$AM, 12, FALSE) / VLOOKUP("buildings|PM25|Asthma symptoms cough", US_national_yearly!$D:$AM, 10, FALSE), 1)</f>
        <v>6.9371285707185398E-2</v>
      </c>
      <c r="E6" s="7">
        <f>$B6 * IFERROR(VLOOKUP("buildings|PM25|Asthma symptoms cough", US_national_yearly!$D:$AM, 13, FALSE) / VLOOKUP("buildings|PM25|Asthma symptoms cough", US_national_yearly!$D:$AM, 10, FALSE), 1)</f>
        <v>6.9371285707185398E-2</v>
      </c>
      <c r="F6" s="7">
        <f>$B6 * IFERROR(VLOOKUP("buildings|PM25|Asthma symptoms cough", US_national_yearly!$D:$AM, 14, FALSE) / VLOOKUP("buildings|PM25|Asthma symptoms cough", US_national_yearly!$D:$AM, 10, FALSE), 1)</f>
        <v>6.9371285707185398E-2</v>
      </c>
      <c r="G6" s="7">
        <f>$B6 * IFERROR(VLOOKUP("buildings|PM25|Asthma symptoms cough", US_national_yearly!$D:$AM, 15, FALSE) / VLOOKUP("buildings|PM25|Asthma symptoms cough", US_national_yearly!$D:$AM, 10, FALSE), 1)</f>
        <v>6.9371285707185398E-2</v>
      </c>
      <c r="H6" s="7">
        <f>$B6 * IFERROR(VLOOKUP("buildings|PM25|Asthma symptoms cough", US_national_yearly!$D:$AM, 16, FALSE) / VLOOKUP("buildings|PM25|Asthma symptoms cough", US_national_yearly!$D:$AM, 10, FALSE), 1)</f>
        <v>6.9371285707185398E-2</v>
      </c>
      <c r="I6" s="7">
        <f>$B6 * IFERROR(VLOOKUP("buildings|PM25|Asthma symptoms cough", US_national_yearly!$D:$AM, 17, FALSE) / VLOOKUP("buildings|PM25|Asthma symptoms cough", US_national_yearly!$D:$AM, 10, FALSE), 1)</f>
        <v>6.9371285707185398E-2</v>
      </c>
      <c r="J6" s="7">
        <f>$B6 * IFERROR(VLOOKUP("buildings|PM25|Asthma symptoms cough", US_national_yearly!$D:$AM, 18, FALSE) / VLOOKUP("buildings|PM25|Asthma symptoms cough", US_national_yearly!$D:$AM, 10, FALSE), 1)</f>
        <v>6.9371285707185398E-2</v>
      </c>
      <c r="K6" s="7">
        <f>$B6 * IFERROR(VLOOKUP("buildings|PM25|Asthma symptoms cough", US_national_yearly!$D:$AM, 19, FALSE) / VLOOKUP("buildings|PM25|Asthma symptoms cough", US_national_yearly!$D:$AM, 10, FALSE), 1)</f>
        <v>6.9371285707185398E-2</v>
      </c>
      <c r="L6" s="7">
        <f>$B6 * IFERROR(VLOOKUP("buildings|PM25|Asthma symptoms cough", US_national_yearly!$D:$AM, 20, FALSE) / VLOOKUP("buildings|PM25|Asthma symptoms cough", US_national_yearly!$D:$AM, 10, FALSE), 1)</f>
        <v>6.9371285707185398E-2</v>
      </c>
      <c r="M6" s="7">
        <f>$B6 * IFERROR(VLOOKUP("buildings|PM25|Asthma symptoms cough", US_national_yearly!$D:$AM, 21, FALSE) / VLOOKUP("buildings|PM25|Asthma symptoms cough", US_national_yearly!$D:$AM, 10, FALSE), 1)</f>
        <v>6.9371285707185398E-2</v>
      </c>
      <c r="N6" s="7">
        <f>$B6 * IFERROR(VLOOKUP("buildings|PM25|Asthma symptoms cough", US_national_yearly!$D:$AM, 22, FALSE) / VLOOKUP("buildings|PM25|Asthma symptoms cough", US_national_yearly!$D:$AM, 10, FALSE), 1)</f>
        <v>6.9371285707185398E-2</v>
      </c>
      <c r="O6" s="7">
        <f>$B6 * IFERROR(VLOOKUP("buildings|PM25|Asthma symptoms cough", US_national_yearly!$D:$AM, 23, FALSE) / VLOOKUP("buildings|PM25|Asthma symptoms cough", US_national_yearly!$D:$AM, 10, FALSE), 1)</f>
        <v>6.9371285707185398E-2</v>
      </c>
      <c r="P6" s="7">
        <f>$B6 * IFERROR(VLOOKUP("buildings|PM25|Asthma symptoms cough", US_national_yearly!$D:$AM, 24, FALSE) / VLOOKUP("buildings|PM25|Asthma symptoms cough", US_national_yearly!$D:$AM, 10, FALSE), 1)</f>
        <v>6.9371285707185398E-2</v>
      </c>
      <c r="Q6" s="7">
        <f>$B6 * IFERROR(VLOOKUP("buildings|PM25|Asthma symptoms cough", US_national_yearly!$D:$AM, 25, FALSE) / VLOOKUP("buildings|PM25|Asthma symptoms cough", US_national_yearly!$D:$AM, 10, FALSE), 1)</f>
        <v>6.9371285707185398E-2</v>
      </c>
      <c r="R6" s="7">
        <f>$B6 * IFERROR(VLOOKUP("buildings|PM25|Asthma symptoms cough", US_national_yearly!$D:$AM, 26, FALSE) / VLOOKUP("buildings|PM25|Asthma symptoms cough", US_national_yearly!$D:$AM, 10, FALSE), 1)</f>
        <v>6.9371285707185398E-2</v>
      </c>
      <c r="S6" s="7">
        <f>$B6 * IFERROR(VLOOKUP("buildings|PM25|Asthma symptoms cough", US_national_yearly!$D:$AM, 27, FALSE) / VLOOKUP("buildings|PM25|Asthma symptoms cough", US_national_yearly!$D:$AM, 10, FALSE), 1)</f>
        <v>6.9371285707185398E-2</v>
      </c>
      <c r="T6" s="7">
        <f>$B6 * IFERROR(VLOOKUP("buildings|PM25|Asthma symptoms cough", US_national_yearly!$D:$AM, 28, FALSE) / VLOOKUP("buildings|PM25|Asthma symptoms cough", US_national_yearly!$D:$AM, 10, FALSE), 1)</f>
        <v>6.9371285707185398E-2</v>
      </c>
      <c r="U6" s="7">
        <f>$B6 * IFERROR(VLOOKUP("buildings|PM25|Asthma symptoms cough", US_national_yearly!$D:$AM, 29, FALSE) / VLOOKUP("buildings|PM25|Asthma symptoms cough", US_national_yearly!$D:$AM, 10, FALSE), 1)</f>
        <v>6.9371285707185398E-2</v>
      </c>
      <c r="V6" s="7">
        <f>$B6 * IFERROR(VLOOKUP("buildings|PM25|Asthma symptoms cough", US_national_yearly!$D:$AM, 30, FALSE) / VLOOKUP("buildings|PM25|Asthma symptoms cough", US_national_yearly!$D:$AM, 10, FALSE), 1)</f>
        <v>6.9371285707185398E-2</v>
      </c>
      <c r="W6" s="7">
        <f>$B6 * IFERROR(VLOOKUP("buildings|PM25|Asthma symptoms cough", US_national_yearly!$D:$AM, 31, FALSE) / VLOOKUP("buildings|PM25|Asthma symptoms cough", US_national_yearly!$D:$AM, 10, FALSE), 1)</f>
        <v>6.9371285707185398E-2</v>
      </c>
      <c r="X6" s="7">
        <f>$B6 * IFERROR(VLOOKUP("buildings|PM25|Asthma symptoms cough", US_national_yearly!$D:$AM, 32, FALSE) / VLOOKUP("buildings|PM25|Asthma symptoms cough", US_national_yearly!$D:$AM, 10, FALSE), 1)</f>
        <v>6.9371285707185398E-2</v>
      </c>
      <c r="Y6" s="7">
        <f>$B6 * IFERROR(VLOOKUP("buildings|PM25|Asthma symptoms cough", US_national_yearly!$D:$AM, 33, FALSE) / VLOOKUP("buildings|PM25|Asthma symptoms cough", US_national_yearly!$D:$AM, 10, FALSE), 1)</f>
        <v>6.9371285707185398E-2</v>
      </c>
      <c r="Z6" s="7">
        <f>$B6 * IFERROR(VLOOKUP("buildings|PM25|Asthma symptoms cough", US_national_yearly!$D:$AM, 34, FALSE) / VLOOKUP("buildings|PM25|Asthma symptoms cough", US_national_yearly!$D:$AM, 10, FALSE), 1)</f>
        <v>6.9371285707185398E-2</v>
      </c>
      <c r="AA6" s="7">
        <f>$B6 * IFERROR(VLOOKUP("buildings|PM25|Asthma symptoms cough", US_national_yearly!$D:$AM, 35, FALSE) / VLOOKUP("buildings|PM25|Asthma symptoms cough", US_national_yearly!$D:$AM, 10, FALSE), 1)</f>
        <v>6.9371285707185398E-2</v>
      </c>
      <c r="AB6" s="7">
        <f>$B6 * IFERROR(VLOOKUP("buildings|PM25|Asthma symptoms cough", US_national_yearly!$D:$AM, 36, FALSE) / VLOOKUP("buildings|PM25|Asthma symptoms cough", US_national_yearly!$D:$AM, 10, FALSE), 1)</f>
        <v>6.9371285707185398E-2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9.3418578645557554E-2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9.3418578645557554E-2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9.3418578645557554E-2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9.3418578645557554E-2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9.3418578645557554E-2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9.3418578645557554E-2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9.3418578645557554E-2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9.3418578645557554E-2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9.3418578645557554E-2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9.3418578645557554E-2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9.3418578645557554E-2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9.3418578645557554E-2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9.3418578645557554E-2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9.3418578645557554E-2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9.3418578645557554E-2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9.3418578645557554E-2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9.3418578645557554E-2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9.3418578645557554E-2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9.3418578645557554E-2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9.3418578645557554E-2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9.3418578645557554E-2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9.3418578645557554E-2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9.3418578645557554E-2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9.3418578645557554E-2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9.3418578645557554E-2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9.3418578645557554E-2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9.3418578645557554E-2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0.14272748357435966</v>
      </c>
      <c r="C8" s="7">
        <f>$B8 * IFERROR(VLOOKUP("buildings|PM25|Asthma symptoms wheeze", US_national_yearly!$D:$AM, 11, FALSE) / VLOOKUP("buildings|PM25|Asthma symptoms wheeze", US_national_yearly!$D:$AM, 10, FALSE), 1)</f>
        <v>0.14272748357435966</v>
      </c>
      <c r="D8" s="7">
        <f>$B8 * IFERROR(VLOOKUP("buildings|PM25|Asthma symptoms wheeze", US_national_yearly!$D:$AM, 12, FALSE) / VLOOKUP("buildings|PM25|Asthma symptoms wheeze", US_national_yearly!$D:$AM, 10, FALSE), 1)</f>
        <v>0.14272748357435966</v>
      </c>
      <c r="E8" s="7">
        <f>$B8 * IFERROR(VLOOKUP("buildings|PM25|Asthma symptoms wheeze", US_national_yearly!$D:$AM, 13, FALSE) / VLOOKUP("buildings|PM25|Asthma symptoms wheeze", US_national_yearly!$D:$AM, 10, FALSE), 1)</f>
        <v>0.14272748357435966</v>
      </c>
      <c r="F8" s="7">
        <f>$B8 * IFERROR(VLOOKUP("buildings|PM25|Asthma symptoms wheeze", US_national_yearly!$D:$AM, 14, FALSE) / VLOOKUP("buildings|PM25|Asthma symptoms wheeze", US_national_yearly!$D:$AM, 10, FALSE), 1)</f>
        <v>0.14272748357435966</v>
      </c>
      <c r="G8" s="7">
        <f>$B8 * IFERROR(VLOOKUP("buildings|PM25|Asthma symptoms wheeze", US_national_yearly!$D:$AM, 15, FALSE) / VLOOKUP("buildings|PM25|Asthma symptoms wheeze", US_national_yearly!$D:$AM, 10, FALSE), 1)</f>
        <v>0.14272748357435966</v>
      </c>
      <c r="H8" s="7">
        <f>$B8 * IFERROR(VLOOKUP("buildings|PM25|Asthma symptoms wheeze", US_national_yearly!$D:$AM, 16, FALSE) / VLOOKUP("buildings|PM25|Asthma symptoms wheeze", US_national_yearly!$D:$AM, 10, FALSE), 1)</f>
        <v>0.14272748357435966</v>
      </c>
      <c r="I8" s="7">
        <f>$B8 * IFERROR(VLOOKUP("buildings|PM25|Asthma symptoms wheeze", US_national_yearly!$D:$AM, 17, FALSE) / VLOOKUP("buildings|PM25|Asthma symptoms wheeze", US_national_yearly!$D:$AM, 10, FALSE), 1)</f>
        <v>0.14272748357435966</v>
      </c>
      <c r="J8" s="7">
        <f>$B8 * IFERROR(VLOOKUP("buildings|PM25|Asthma symptoms wheeze", US_national_yearly!$D:$AM, 18, FALSE) / VLOOKUP("buildings|PM25|Asthma symptoms wheeze", US_national_yearly!$D:$AM, 10, FALSE), 1)</f>
        <v>0.14272748357435966</v>
      </c>
      <c r="K8" s="7">
        <f>$B8 * IFERROR(VLOOKUP("buildings|PM25|Asthma symptoms wheeze", US_national_yearly!$D:$AM, 19, FALSE) / VLOOKUP("buildings|PM25|Asthma symptoms wheeze", US_national_yearly!$D:$AM, 10, FALSE), 1)</f>
        <v>0.14272748357435966</v>
      </c>
      <c r="L8" s="7">
        <f>$B8 * IFERROR(VLOOKUP("buildings|PM25|Asthma symptoms wheeze", US_national_yearly!$D:$AM, 20, FALSE) / VLOOKUP("buildings|PM25|Asthma symptoms wheeze", US_national_yearly!$D:$AM, 10, FALSE), 1)</f>
        <v>0.14272748357435966</v>
      </c>
      <c r="M8" s="7">
        <f>$B8 * IFERROR(VLOOKUP("buildings|PM25|Asthma symptoms wheeze", US_national_yearly!$D:$AM, 21, FALSE) / VLOOKUP("buildings|PM25|Asthma symptoms wheeze", US_national_yearly!$D:$AM, 10, FALSE), 1)</f>
        <v>0.14272748357435966</v>
      </c>
      <c r="N8" s="7">
        <f>$B8 * IFERROR(VLOOKUP("buildings|PM25|Asthma symptoms wheeze", US_national_yearly!$D:$AM, 22, FALSE) / VLOOKUP("buildings|PM25|Asthma symptoms wheeze", US_national_yearly!$D:$AM, 10, FALSE), 1)</f>
        <v>0.14272748357435966</v>
      </c>
      <c r="O8" s="7">
        <f>$B8 * IFERROR(VLOOKUP("buildings|PM25|Asthma symptoms wheeze", US_national_yearly!$D:$AM, 23, FALSE) / VLOOKUP("buildings|PM25|Asthma symptoms wheeze", US_national_yearly!$D:$AM, 10, FALSE), 1)</f>
        <v>0.14272748357435966</v>
      </c>
      <c r="P8" s="7">
        <f>$B8 * IFERROR(VLOOKUP("buildings|PM25|Asthma symptoms wheeze", US_national_yearly!$D:$AM, 24, FALSE) / VLOOKUP("buildings|PM25|Asthma symptoms wheeze", US_national_yearly!$D:$AM, 10, FALSE), 1)</f>
        <v>0.14272748357435966</v>
      </c>
      <c r="Q8" s="7">
        <f>$B8 * IFERROR(VLOOKUP("buildings|PM25|Asthma symptoms wheeze", US_national_yearly!$D:$AM, 25, FALSE) / VLOOKUP("buildings|PM25|Asthma symptoms wheeze", US_national_yearly!$D:$AM, 10, FALSE), 1)</f>
        <v>0.14272748357435966</v>
      </c>
      <c r="R8" s="7">
        <f>$B8 * IFERROR(VLOOKUP("buildings|PM25|Asthma symptoms wheeze", US_national_yearly!$D:$AM, 26, FALSE) / VLOOKUP("buildings|PM25|Asthma symptoms wheeze", US_national_yearly!$D:$AM, 10, FALSE), 1)</f>
        <v>0.14272748357435966</v>
      </c>
      <c r="S8" s="7">
        <f>$B8 * IFERROR(VLOOKUP("buildings|PM25|Asthma symptoms wheeze", US_national_yearly!$D:$AM, 27, FALSE) / VLOOKUP("buildings|PM25|Asthma symptoms wheeze", US_national_yearly!$D:$AM, 10, FALSE), 1)</f>
        <v>0.14272748357435966</v>
      </c>
      <c r="T8" s="7">
        <f>$B8 * IFERROR(VLOOKUP("buildings|PM25|Asthma symptoms wheeze", US_national_yearly!$D:$AM, 28, FALSE) / VLOOKUP("buildings|PM25|Asthma symptoms wheeze", US_national_yearly!$D:$AM, 10, FALSE), 1)</f>
        <v>0.14272748357435966</v>
      </c>
      <c r="U8" s="7">
        <f>$B8 * IFERROR(VLOOKUP("buildings|PM25|Asthma symptoms wheeze", US_national_yearly!$D:$AM, 29, FALSE) / VLOOKUP("buildings|PM25|Asthma symptoms wheeze", US_national_yearly!$D:$AM, 10, FALSE), 1)</f>
        <v>0.14272748357435966</v>
      </c>
      <c r="V8" s="7">
        <f>$B8 * IFERROR(VLOOKUP("buildings|PM25|Asthma symptoms wheeze", US_national_yearly!$D:$AM, 30, FALSE) / VLOOKUP("buildings|PM25|Asthma symptoms wheeze", US_national_yearly!$D:$AM, 10, FALSE), 1)</f>
        <v>0.14272748357435966</v>
      </c>
      <c r="W8" s="7">
        <f>$B8 * IFERROR(VLOOKUP("buildings|PM25|Asthma symptoms wheeze", US_national_yearly!$D:$AM, 31, FALSE) / VLOOKUP("buildings|PM25|Asthma symptoms wheeze", US_national_yearly!$D:$AM, 10, FALSE), 1)</f>
        <v>0.14272748357435966</v>
      </c>
      <c r="X8" s="7">
        <f>$B8 * IFERROR(VLOOKUP("buildings|PM25|Asthma symptoms wheeze", US_national_yearly!$D:$AM, 32, FALSE) / VLOOKUP("buildings|PM25|Asthma symptoms wheeze", US_national_yearly!$D:$AM, 10, FALSE), 1)</f>
        <v>0.14272748357435966</v>
      </c>
      <c r="Y8" s="7">
        <f>$B8 * IFERROR(VLOOKUP("buildings|PM25|Asthma symptoms wheeze", US_national_yearly!$D:$AM, 33, FALSE) / VLOOKUP("buildings|PM25|Asthma symptoms wheeze", US_national_yearly!$D:$AM, 10, FALSE), 1)</f>
        <v>0.14272748357435966</v>
      </c>
      <c r="Z8" s="7">
        <f>$B8 * IFERROR(VLOOKUP("buildings|PM25|Asthma symptoms wheeze", US_national_yearly!$D:$AM, 34, FALSE) / VLOOKUP("buildings|PM25|Asthma symptoms wheeze", US_national_yearly!$D:$AM, 10, FALSE), 1)</f>
        <v>0.14272748357435966</v>
      </c>
      <c r="AA8" s="7">
        <f>$B8 * IFERROR(VLOOKUP("buildings|PM25|Asthma symptoms wheeze", US_national_yearly!$D:$AM, 35, FALSE) / VLOOKUP("buildings|PM25|Asthma symptoms wheeze", US_national_yearly!$D:$AM, 10, FALSE), 1)</f>
        <v>0.14272748357435966</v>
      </c>
      <c r="AB8" s="7">
        <f>$B8 * IFERROR(VLOOKUP("buildings|PM25|Asthma symptoms wheeze", US_national_yearly!$D:$AM, 36, FALSE) / VLOOKUP("buildings|PM25|Asthma symptoms wheeze", US_national_yearly!$D:$AM, 10, FALSE), 1)</f>
        <v>0.14272748357435966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1.4882946849862396E-3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1.4968734630052419E-3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1.5054522410242444E-3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1.5140310190432471E-3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1.5226097970622496E-3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1.531867093354216E-3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1.5411243896461823E-3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1.5499289155411994E-3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1.5587334414362162E-3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1.5675379673312333E-3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1.5763424932262503E-3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1.5851470191212671E-3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1.5914798583430887E-3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1.59781269756491E-3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1.6041455367867313E-3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1.6104783760085525E-3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1.616811215230374E-3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1.6228449728847437E-3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1.6288787305391143E-3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1.6349124881934842E-3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1.6409462458478539E-3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1.6469800035022245E-3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1.6528076569373815E-3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1.658635310372539E-3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1.6644629638076962E-3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1.6702906172428537E-3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1.6761182706780109E-3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9.1506746212699636E-3</v>
      </c>
      <c r="C13" s="7">
        <f>$B13 * IFERROR(VLOOKUP("buildings|PM25|Non-fatal heart attacks", US_national_yearly!$D:$AM, 11, FALSE) / VLOOKUP("buildings|PM25|Non-fatal heart attacks", US_national_yearly!$D:$AM, 10, FALSE), 1)</f>
        <v>9.4168349410907529E-3</v>
      </c>
      <c r="D13" s="7">
        <f>$B13 * IFERROR(VLOOKUP("buildings|PM25|Non-fatal heart attacks", US_national_yearly!$D:$AM, 12, FALSE) / VLOOKUP("buildings|PM25|Non-fatal heart attacks", US_national_yearly!$D:$AM, 10, FALSE), 1)</f>
        <v>9.6829952609115404E-3</v>
      </c>
      <c r="E13" s="7">
        <f>$B13 * IFERROR(VLOOKUP("buildings|PM25|Non-fatal heart attacks", US_national_yearly!$D:$AM, 13, FALSE) / VLOOKUP("buildings|PM25|Non-fatal heart attacks", US_national_yearly!$D:$AM, 10, FALSE), 1)</f>
        <v>9.949155580732328E-3</v>
      </c>
      <c r="F13" s="7">
        <f>$B13 * IFERROR(VLOOKUP("buildings|PM25|Non-fatal heart attacks", US_national_yearly!$D:$AM, 14, FALSE) / VLOOKUP("buildings|PM25|Non-fatal heart attacks", US_national_yearly!$D:$AM, 10, FALSE), 1)</f>
        <v>1.0215315900553117E-2</v>
      </c>
      <c r="G13" s="7">
        <f>$B13 * IFERROR(VLOOKUP("buildings|PM25|Non-fatal heart attacks", US_national_yearly!$D:$AM, 15, FALSE) / VLOOKUP("buildings|PM25|Non-fatal heart attacks", US_national_yearly!$D:$AM, 10, FALSE), 1)</f>
        <v>1.0466453364095418E-2</v>
      </c>
      <c r="H13" s="7">
        <f>$B13 * IFERROR(VLOOKUP("buildings|PM25|Non-fatal heart attacks", US_national_yearly!$D:$AM, 16, FALSE) / VLOOKUP("buildings|PM25|Non-fatal heart attacks", US_national_yearly!$D:$AM, 10, FALSE), 1)</f>
        <v>1.0717590827637714E-2</v>
      </c>
      <c r="I13" s="7">
        <f>$B13 * IFERROR(VLOOKUP("buildings|PM25|Non-fatal heart attacks", US_national_yearly!$D:$AM, 17, FALSE) / VLOOKUP("buildings|PM25|Non-fatal heart attacks", US_national_yearly!$D:$AM, 10, FALSE), 1)</f>
        <v>1.0919650422613364E-2</v>
      </c>
      <c r="J13" s="7">
        <f>$B13 * IFERROR(VLOOKUP("buildings|PM25|Non-fatal heart attacks", US_national_yearly!$D:$AM, 18, FALSE) / VLOOKUP("buildings|PM25|Non-fatal heart attacks", US_national_yearly!$D:$AM, 10, FALSE), 1)</f>
        <v>1.1121710017589014E-2</v>
      </c>
      <c r="K13" s="7">
        <f>$B13 * IFERROR(VLOOKUP("buildings|PM25|Non-fatal heart attacks", US_national_yearly!$D:$AM, 19, FALSE) / VLOOKUP("buildings|PM25|Non-fatal heart attacks", US_national_yearly!$D:$AM, 10, FALSE), 1)</f>
        <v>1.1323769612564661E-2</v>
      </c>
      <c r="L13" s="7">
        <f>$B13 * IFERROR(VLOOKUP("buildings|PM25|Non-fatal heart attacks", US_national_yearly!$D:$AM, 20, FALSE) / VLOOKUP("buildings|PM25|Non-fatal heart attacks", US_national_yearly!$D:$AM, 10, FALSE), 1)</f>
        <v>1.1525829207540307E-2</v>
      </c>
      <c r="M13" s="7">
        <f>$B13 * IFERROR(VLOOKUP("buildings|PM25|Non-fatal heart attacks", US_national_yearly!$D:$AM, 21, FALSE) / VLOOKUP("buildings|PM25|Non-fatal heart attacks", US_national_yearly!$D:$AM, 10, FALSE), 1)</f>
        <v>1.1727888802515955E-2</v>
      </c>
      <c r="N13" s="7">
        <f>$B13 * IFERROR(VLOOKUP("buildings|PM25|Non-fatal heart attacks", US_national_yearly!$D:$AM, 22, FALSE) / VLOOKUP("buildings|PM25|Non-fatal heart attacks", US_national_yearly!$D:$AM, 10, FALSE), 1)</f>
        <v>1.1858422457703632E-2</v>
      </c>
      <c r="O13" s="7">
        <f>$B13 * IFERROR(VLOOKUP("buildings|PM25|Non-fatal heart attacks", US_national_yearly!$D:$AM, 23, FALSE) / VLOOKUP("buildings|PM25|Non-fatal heart attacks", US_national_yearly!$D:$AM, 10, FALSE), 1)</f>
        <v>1.1988956112891308E-2</v>
      </c>
      <c r="P13" s="7">
        <f>$B13 * IFERROR(VLOOKUP("buildings|PM25|Non-fatal heart attacks", US_national_yearly!$D:$AM, 24, FALSE) / VLOOKUP("buildings|PM25|Non-fatal heart attacks", US_national_yearly!$D:$AM, 10, FALSE), 1)</f>
        <v>1.2119489768078983E-2</v>
      </c>
      <c r="Q13" s="7">
        <f>$B13 * IFERROR(VLOOKUP("buildings|PM25|Non-fatal heart attacks", US_national_yearly!$D:$AM, 25, FALSE) / VLOOKUP("buildings|PM25|Non-fatal heart attacks", US_national_yearly!$D:$AM, 10, FALSE), 1)</f>
        <v>1.225002342326666E-2</v>
      </c>
      <c r="R13" s="7">
        <f>$B13 * IFERROR(VLOOKUP("buildings|PM25|Non-fatal heart attacks", US_national_yearly!$D:$AM, 26, FALSE) / VLOOKUP("buildings|PM25|Non-fatal heart attacks", US_national_yearly!$D:$AM, 10, FALSE), 1)</f>
        <v>1.2380557078454335E-2</v>
      </c>
      <c r="S13" s="7">
        <f>$B13 * IFERROR(VLOOKUP("buildings|PM25|Non-fatal heart attacks", US_national_yearly!$D:$AM, 27, FALSE) / VLOOKUP("buildings|PM25|Non-fatal heart attacks", US_national_yearly!$D:$AM, 10, FALSE), 1)</f>
        <v>1.2449597574220745E-2</v>
      </c>
      <c r="T13" s="7">
        <f>$B13 * IFERROR(VLOOKUP("buildings|PM25|Non-fatal heart attacks", US_national_yearly!$D:$AM, 28, FALSE) / VLOOKUP("buildings|PM25|Non-fatal heart attacks", US_national_yearly!$D:$AM, 10, FALSE), 1)</f>
        <v>1.2518638069987157E-2</v>
      </c>
      <c r="U13" s="7">
        <f>$B13 * IFERROR(VLOOKUP("buildings|PM25|Non-fatal heart attacks", US_national_yearly!$D:$AM, 29, FALSE) / VLOOKUP("buildings|PM25|Non-fatal heart attacks", US_national_yearly!$D:$AM, 10, FALSE), 1)</f>
        <v>1.2587678565753569E-2</v>
      </c>
      <c r="V13" s="7">
        <f>$B13 * IFERROR(VLOOKUP("buildings|PM25|Non-fatal heart attacks", US_national_yearly!$D:$AM, 30, FALSE) / VLOOKUP("buildings|PM25|Non-fatal heart attacks", US_national_yearly!$D:$AM, 10, FALSE), 1)</f>
        <v>1.2656719061519979E-2</v>
      </c>
      <c r="W13" s="7">
        <f>$B13 * IFERROR(VLOOKUP("buildings|PM25|Non-fatal heart attacks", US_national_yearly!$D:$AM, 31, FALSE) / VLOOKUP("buildings|PM25|Non-fatal heart attacks", US_national_yearly!$D:$AM, 10, FALSE), 1)</f>
        <v>1.272575955728639E-2</v>
      </c>
      <c r="X13" s="7">
        <f>$B13 * IFERROR(VLOOKUP("buildings|PM25|Non-fatal heart attacks", US_national_yearly!$D:$AM, 32, FALSE) / VLOOKUP("buildings|PM25|Non-fatal heart attacks", US_national_yearly!$D:$AM, 10, FALSE), 1)</f>
        <v>1.2778304417166641E-2</v>
      </c>
      <c r="Y13" s="7">
        <f>$B13 * IFERROR(VLOOKUP("buildings|PM25|Non-fatal heart attacks", US_national_yearly!$D:$AM, 33, FALSE) / VLOOKUP("buildings|PM25|Non-fatal heart attacks", US_national_yearly!$D:$AM, 10, FALSE), 1)</f>
        <v>1.2830849277046892E-2</v>
      </c>
      <c r="Z13" s="7">
        <f>$B13 * IFERROR(VLOOKUP("buildings|PM25|Non-fatal heart attacks", US_national_yearly!$D:$AM, 34, FALSE) / VLOOKUP("buildings|PM25|Non-fatal heart attacks", US_national_yearly!$D:$AM, 10, FALSE), 1)</f>
        <v>1.2883394136927143E-2</v>
      </c>
      <c r="AA13" s="7">
        <f>$B13 * IFERROR(VLOOKUP("buildings|PM25|Non-fatal heart attacks", US_national_yearly!$D:$AM, 35, FALSE) / VLOOKUP("buildings|PM25|Non-fatal heart attacks", US_national_yearly!$D:$AM, 10, FALSE), 1)</f>
        <v>1.2935938996807395E-2</v>
      </c>
      <c r="AB13" s="7">
        <f>$B13 * IFERROR(VLOOKUP("buildings|PM25|Non-fatal heart attacks", US_national_yearly!$D:$AM, 36, FALSE) / VLOOKUP("buildings|PM25|Non-fatal heart attacks", US_national_yearly!$D:$AM, 10, FALSE), 1)</f>
        <v>1.2988483856687648E-2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8.5296092427303449</v>
      </c>
      <c r="C14" s="7">
        <f>$B14 * IFERROR(VLOOKUP("buildings|PM25|Minor restricted activity days", US_national_yearly!$D:$AM, 11, FALSE) / VLOOKUP("buildings|PM25|Minor restricted activity days", US_national_yearly!$D:$AM, 10, FALSE), 1)</f>
        <v>8.5508228591078606</v>
      </c>
      <c r="D14" s="7">
        <f>$B14 * IFERROR(VLOOKUP("buildings|PM25|Minor restricted activity days", US_national_yearly!$D:$AM, 12, FALSE) / VLOOKUP("buildings|PM25|Minor restricted activity days", US_national_yearly!$D:$AM, 10, FALSE), 1)</f>
        <v>8.5720364754853779</v>
      </c>
      <c r="E14" s="7">
        <f>$B14 * IFERROR(VLOOKUP("buildings|PM25|Minor restricted activity days", US_national_yearly!$D:$AM, 13, FALSE) / VLOOKUP("buildings|PM25|Minor restricted activity days", US_national_yearly!$D:$AM, 10, FALSE), 1)</f>
        <v>8.5932500918628936</v>
      </c>
      <c r="F14" s="7">
        <f>$B14 * IFERROR(VLOOKUP("buildings|PM25|Minor restricted activity days", US_national_yearly!$D:$AM, 14, FALSE) / VLOOKUP("buildings|PM25|Minor restricted activity days", US_national_yearly!$D:$AM, 10, FALSE), 1)</f>
        <v>8.6144637082404074</v>
      </c>
      <c r="G14" s="7">
        <f>$B14 * IFERROR(VLOOKUP("buildings|PM25|Minor restricted activity days", US_national_yearly!$D:$AM, 15, FALSE) / VLOOKUP("buildings|PM25|Minor restricted activity days", US_national_yearly!$D:$AM, 10, FALSE), 1)</f>
        <v>8.6455776425517232</v>
      </c>
      <c r="H14" s="7">
        <f>$B14 * IFERROR(VLOOKUP("buildings|PM25|Minor restricted activity days", US_national_yearly!$D:$AM, 16, FALSE) / VLOOKUP("buildings|PM25|Minor restricted activity days", US_national_yearly!$D:$AM, 10, FALSE), 1)</f>
        <v>8.6766915768630337</v>
      </c>
      <c r="I14" s="7">
        <f>$B14 * IFERROR(VLOOKUP("buildings|PM25|Minor restricted activity days", US_national_yearly!$D:$AM, 17, FALSE) / VLOOKUP("buildings|PM25|Minor restricted activity days", US_national_yearly!$D:$AM, 10, FALSE), 1)</f>
        <v>8.7295992322737046</v>
      </c>
      <c r="J14" s="7">
        <f>$B14 * IFERROR(VLOOKUP("buildings|PM25|Minor restricted activity days", US_national_yearly!$D:$AM, 18, FALSE) / VLOOKUP("buildings|PM25|Minor restricted activity days", US_national_yearly!$D:$AM, 10, FALSE), 1)</f>
        <v>8.782506887684379</v>
      </c>
      <c r="K14" s="7">
        <f>$B14 * IFERROR(VLOOKUP("buildings|PM25|Minor restricted activity days", US_national_yearly!$D:$AM, 19, FALSE) / VLOOKUP("buildings|PM25|Minor restricted activity days", US_national_yearly!$D:$AM, 10, FALSE), 1)</f>
        <v>8.8354145430950464</v>
      </c>
      <c r="L14" s="7">
        <f>$B14 * IFERROR(VLOOKUP("buildings|PM25|Minor restricted activity days", US_national_yearly!$D:$AM, 20, FALSE) / VLOOKUP("buildings|PM25|Minor restricted activity days", US_national_yearly!$D:$AM, 10, FALSE), 1)</f>
        <v>8.8883221985057155</v>
      </c>
      <c r="M14" s="7">
        <f>$B14 * IFERROR(VLOOKUP("buildings|PM25|Minor restricted activity days", US_national_yearly!$D:$AM, 21, FALSE) / VLOOKUP("buildings|PM25|Minor restricted activity days", US_national_yearly!$D:$AM, 10, FALSE), 1)</f>
        <v>8.9412298539163828</v>
      </c>
      <c r="N14" s="7">
        <f>$B14 * IFERROR(VLOOKUP("buildings|PM25|Minor restricted activity days", US_national_yearly!$D:$AM, 22, FALSE) / VLOOKUP("buildings|PM25|Minor restricted activity days", US_national_yearly!$D:$AM, 10, FALSE), 1)</f>
        <v>9.0131185929230426</v>
      </c>
      <c r="O14" s="7">
        <f>$B14 * IFERROR(VLOOKUP("buildings|PM25|Minor restricted activity days", US_national_yearly!$D:$AM, 23, FALSE) / VLOOKUP("buildings|PM25|Minor restricted activity days", US_national_yearly!$D:$AM, 10, FALSE), 1)</f>
        <v>9.0850073319296989</v>
      </c>
      <c r="P14" s="7">
        <f>$B14 * IFERROR(VLOOKUP("buildings|PM25|Minor restricted activity days", US_national_yearly!$D:$AM, 24, FALSE) / VLOOKUP("buildings|PM25|Minor restricted activity days", US_national_yearly!$D:$AM, 10, FALSE), 1)</f>
        <v>9.1568960709363552</v>
      </c>
      <c r="Q14" s="7">
        <f>$B14 * IFERROR(VLOOKUP("buildings|PM25|Minor restricted activity days", US_national_yearly!$D:$AM, 25, FALSE) / VLOOKUP("buildings|PM25|Minor restricted activity days", US_national_yearly!$D:$AM, 10, FALSE), 1)</f>
        <v>9.2287848099430114</v>
      </c>
      <c r="R14" s="7">
        <f>$B14 * IFERROR(VLOOKUP("buildings|PM25|Minor restricted activity days", US_national_yearly!$D:$AM, 26, FALSE) / VLOOKUP("buildings|PM25|Minor restricted activity days", US_national_yearly!$D:$AM, 10, FALSE), 1)</f>
        <v>9.3006735489496677</v>
      </c>
      <c r="S14" s="7">
        <f>$B14 * IFERROR(VLOOKUP("buildings|PM25|Minor restricted activity days", US_national_yearly!$D:$AM, 27, FALSE) / VLOOKUP("buildings|PM25|Minor restricted activity days", US_national_yearly!$D:$AM, 10, FALSE), 1)</f>
        <v>9.3730077863607857</v>
      </c>
      <c r="T14" s="7">
        <f>$B14 * IFERROR(VLOOKUP("buildings|PM25|Minor restricted activity days", US_national_yearly!$D:$AM, 28, FALSE) / VLOOKUP("buildings|PM25|Minor restricted activity days", US_national_yearly!$D:$AM, 10, FALSE), 1)</f>
        <v>9.4453420237719001</v>
      </c>
      <c r="U14" s="7">
        <f>$B14 * IFERROR(VLOOKUP("buildings|PM25|Minor restricted activity days", US_national_yearly!$D:$AM, 29, FALSE) / VLOOKUP("buildings|PM25|Minor restricted activity days", US_national_yearly!$D:$AM, 10, FALSE), 1)</f>
        <v>9.5176762611830164</v>
      </c>
      <c r="V14" s="7">
        <f>$B14 * IFERROR(VLOOKUP("buildings|PM25|Minor restricted activity days", US_national_yearly!$D:$AM, 30, FALSE) / VLOOKUP("buildings|PM25|Minor restricted activity days", US_national_yearly!$D:$AM, 10, FALSE), 1)</f>
        <v>9.5900104985941308</v>
      </c>
      <c r="W14" s="7">
        <f>$B14 * IFERROR(VLOOKUP("buildings|PM25|Minor restricted activity days", US_national_yearly!$D:$AM, 31, FALSE) / VLOOKUP("buildings|PM25|Minor restricted activity days", US_national_yearly!$D:$AM, 10, FALSE), 1)</f>
        <v>9.6623447360052488</v>
      </c>
      <c r="X14" s="7">
        <f>$B14 * IFERROR(VLOOKUP("buildings|PM25|Minor restricted activity days", US_national_yearly!$D:$AM, 32, FALSE) / VLOOKUP("buildings|PM25|Minor restricted activity days", US_national_yearly!$D:$AM, 10, FALSE), 1)</f>
        <v>9.725152958723692</v>
      </c>
      <c r="Y14" s="7">
        <f>$B14 * IFERROR(VLOOKUP("buildings|PM25|Minor restricted activity days", US_national_yearly!$D:$AM, 33, FALSE) / VLOOKUP("buildings|PM25|Minor restricted activity days", US_national_yearly!$D:$AM, 10, FALSE), 1)</f>
        <v>9.7879611814421335</v>
      </c>
      <c r="Z14" s="7">
        <f>$B14 * IFERROR(VLOOKUP("buildings|PM25|Minor restricted activity days", US_national_yearly!$D:$AM, 34, FALSE) / VLOOKUP("buildings|PM25|Minor restricted activity days", US_national_yearly!$D:$AM, 10, FALSE), 1)</f>
        <v>9.8507694041605731</v>
      </c>
      <c r="AA14" s="7">
        <f>$B14 * IFERROR(VLOOKUP("buildings|PM25|Minor restricted activity days", US_national_yearly!$D:$AM, 35, FALSE) / VLOOKUP("buildings|PM25|Minor restricted activity days", US_national_yearly!$D:$AM, 10, FALSE), 1)</f>
        <v>9.9135776268790146</v>
      </c>
      <c r="AB14" s="7">
        <f>$B14 * IFERROR(VLOOKUP("buildings|PM25|Minor restricted activity days", US_national_yearly!$D:$AM, 36, FALSE) / VLOOKUP("buildings|PM25|Minor restricted activity days", US_national_yearly!$D:$AM, 10, FALSE), 1)</f>
        <v>9.9763858495974578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1.4517437139618512</v>
      </c>
      <c r="C15" s="7">
        <f>$B15 * IFERROR(VLOOKUP("buildings|PM25|Work loss days", US_national_yearly!$D:$AM, 11, FALSE) / VLOOKUP("buildings|PM25|Work loss days", US_national_yearly!$D:$AM, 10, FALSE), 1)</f>
        <v>1.4562995988194851</v>
      </c>
      <c r="D15" s="7">
        <f>$B15 * IFERROR(VLOOKUP("buildings|PM25|Work loss days", US_national_yearly!$D:$AM, 12, FALSE) / VLOOKUP("buildings|PM25|Work loss days", US_national_yearly!$D:$AM, 10, FALSE), 1)</f>
        <v>1.4608554836771188</v>
      </c>
      <c r="E15" s="7">
        <f>$B15 * IFERROR(VLOOKUP("buildings|PM25|Work loss days", US_national_yearly!$D:$AM, 13, FALSE) / VLOOKUP("buildings|PM25|Work loss days", US_national_yearly!$D:$AM, 10, FALSE), 1)</f>
        <v>1.4654113685347525</v>
      </c>
      <c r="F15" s="7">
        <f>$B15 * IFERROR(VLOOKUP("buildings|PM25|Work loss days", US_national_yearly!$D:$AM, 14, FALSE) / VLOOKUP("buildings|PM25|Work loss days", US_national_yearly!$D:$AM, 10, FALSE), 1)</f>
        <v>1.4699672533923862</v>
      </c>
      <c r="G15" s="7">
        <f>$B15 * IFERROR(VLOOKUP("buildings|PM25|Work loss days", US_national_yearly!$D:$AM, 15, FALSE) / VLOOKUP("buildings|PM25|Work loss days", US_national_yearly!$D:$AM, 10, FALSE), 1)</f>
        <v>1.4759222031730062</v>
      </c>
      <c r="H15" s="7">
        <f>$B15 * IFERROR(VLOOKUP("buildings|PM25|Work loss days", US_national_yearly!$D:$AM, 16, FALSE) / VLOOKUP("buildings|PM25|Work loss days", US_national_yearly!$D:$AM, 10, FALSE), 1)</f>
        <v>1.4818771529536261</v>
      </c>
      <c r="I15" s="7">
        <f>$B15 * IFERROR(VLOOKUP("buildings|PM25|Work loss days", US_national_yearly!$D:$AM, 17, FALSE) / VLOOKUP("buildings|PM25|Work loss days", US_national_yearly!$D:$AM, 10, FALSE), 1)</f>
        <v>1.4906229870457968</v>
      </c>
      <c r="J15" s="7">
        <f>$B15 * IFERROR(VLOOKUP("buildings|PM25|Work loss days", US_national_yearly!$D:$AM, 18, FALSE) / VLOOKUP("buildings|PM25|Work loss days", US_national_yearly!$D:$AM, 10, FALSE), 1)</f>
        <v>1.4993688211379677</v>
      </c>
      <c r="K15" s="7">
        <f>$B15 * IFERROR(VLOOKUP("buildings|PM25|Work loss days", US_national_yearly!$D:$AM, 19, FALSE) / VLOOKUP("buildings|PM25|Work loss days", US_national_yearly!$D:$AM, 10, FALSE), 1)</f>
        <v>1.5081146552301383</v>
      </c>
      <c r="L15" s="7">
        <f>$B15 * IFERROR(VLOOKUP("buildings|PM25|Work loss days", US_national_yearly!$D:$AM, 20, FALSE) / VLOOKUP("buildings|PM25|Work loss days", US_national_yearly!$D:$AM, 10, FALSE), 1)</f>
        <v>1.5168604893223092</v>
      </c>
      <c r="M15" s="7">
        <f>$B15 * IFERROR(VLOOKUP("buildings|PM25|Work loss days", US_national_yearly!$D:$AM, 21, FALSE) / VLOOKUP("buildings|PM25|Work loss days", US_national_yearly!$D:$AM, 10, FALSE), 1)</f>
        <v>1.5256063234144803</v>
      </c>
      <c r="N15" s="7">
        <f>$B15 * IFERROR(VLOOKUP("buildings|PM25|Work loss days", US_national_yearly!$D:$AM, 22, FALSE) / VLOOKUP("buildings|PM25|Work loss days", US_national_yearly!$D:$AM, 10, FALSE), 1)</f>
        <v>1.5366021582614029</v>
      </c>
      <c r="O15" s="7">
        <f>$B15 * IFERROR(VLOOKUP("buildings|PM25|Work loss days", US_national_yearly!$D:$AM, 23, FALSE) / VLOOKUP("buildings|PM25|Work loss days", US_national_yearly!$D:$AM, 10, FALSE), 1)</f>
        <v>1.5475979931083257</v>
      </c>
      <c r="P15" s="7">
        <f>$B15 * IFERROR(VLOOKUP("buildings|PM25|Work loss days", US_national_yearly!$D:$AM, 24, FALSE) / VLOOKUP("buildings|PM25|Work loss days", US_national_yearly!$D:$AM, 10, FALSE), 1)</f>
        <v>1.5585938279552483</v>
      </c>
      <c r="Q15" s="7">
        <f>$B15 * IFERROR(VLOOKUP("buildings|PM25|Work loss days", US_national_yearly!$D:$AM, 25, FALSE) / VLOOKUP("buildings|PM25|Work loss days", US_national_yearly!$D:$AM, 10, FALSE), 1)</f>
        <v>1.5695896628021706</v>
      </c>
      <c r="R15" s="7">
        <f>$B15 * IFERROR(VLOOKUP("buildings|PM25|Work loss days", US_national_yearly!$D:$AM, 26, FALSE) / VLOOKUP("buildings|PM25|Work loss days", US_national_yearly!$D:$AM, 10, FALSE), 1)</f>
        <v>1.5805854976490934</v>
      </c>
      <c r="S15" s="7">
        <f>$B15 * IFERROR(VLOOKUP("buildings|PM25|Work loss days", US_national_yearly!$D:$AM, 27, FALSE) / VLOOKUP("buildings|PM25|Work loss days", US_national_yearly!$D:$AM, 10, FALSE), 1)</f>
        <v>1.5927317638373721</v>
      </c>
      <c r="T15" s="7">
        <f>$B15 * IFERROR(VLOOKUP("buildings|PM25|Work loss days", US_national_yearly!$D:$AM, 28, FALSE) / VLOOKUP("buildings|PM25|Work loss days", US_national_yearly!$D:$AM, 10, FALSE), 1)</f>
        <v>1.6048780300256513</v>
      </c>
      <c r="U15" s="7">
        <f>$B15 * IFERROR(VLOOKUP("buildings|PM25|Work loss days", US_national_yearly!$D:$AM, 29, FALSE) / VLOOKUP("buildings|PM25|Work loss days", US_national_yearly!$D:$AM, 10, FALSE), 1)</f>
        <v>1.6170242962139305</v>
      </c>
      <c r="V15" s="7">
        <f>$B15 * IFERROR(VLOOKUP("buildings|PM25|Work loss days", US_national_yearly!$D:$AM, 30, FALSE) / VLOOKUP("buildings|PM25|Work loss days", US_national_yearly!$D:$AM, 10, FALSE), 1)</f>
        <v>1.6291705624022093</v>
      </c>
      <c r="W15" s="7">
        <f>$B15 * IFERROR(VLOOKUP("buildings|PM25|Work loss days", US_national_yearly!$D:$AM, 31, FALSE) / VLOOKUP("buildings|PM25|Work loss days", US_national_yearly!$D:$AM, 10, FALSE), 1)</f>
        <v>1.6413168285904882</v>
      </c>
      <c r="X15" s="7">
        <f>$B15 * IFERROR(VLOOKUP("buildings|PM25|Work loss days", US_national_yearly!$D:$AM, 32, FALSE) / VLOOKUP("buildings|PM25|Work loss days", US_national_yearly!$D:$AM, 10, FALSE), 1)</f>
        <v>1.6520954821791152</v>
      </c>
      <c r="Y15" s="7">
        <f>$B15 * IFERROR(VLOOKUP("buildings|PM25|Work loss days", US_national_yearly!$D:$AM, 33, FALSE) / VLOOKUP("buildings|PM25|Work loss days", US_national_yearly!$D:$AM, 10, FALSE), 1)</f>
        <v>1.6628741357677426</v>
      </c>
      <c r="Z15" s="7">
        <f>$B15 * IFERROR(VLOOKUP("buildings|PM25|Work loss days", US_national_yearly!$D:$AM, 34, FALSE) / VLOOKUP("buildings|PM25|Work loss days", US_national_yearly!$D:$AM, 10, FALSE), 1)</f>
        <v>1.6736527893563695</v>
      </c>
      <c r="AA15" s="7">
        <f>$B15 * IFERROR(VLOOKUP("buildings|PM25|Work loss days", US_national_yearly!$D:$AM, 35, FALSE) / VLOOKUP("buildings|PM25|Work loss days", US_national_yearly!$D:$AM, 10, FALSE), 1)</f>
        <v>1.6844314429449967</v>
      </c>
      <c r="AB15" s="7">
        <f>$B15 * IFERROR(VLOOKUP("buildings|PM25|Work loss days", US_national_yearly!$D:$AM, 36, FALSE) / VLOOKUP("buildings|PM25|Work loss days", US_national_yearly!$D:$AM, 10, FALSE), 1)</f>
        <v>1.6952100965336239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2.2337753594926357E-3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2.3005347443462616E-3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2.3672941291998872E-3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2.4340535140535127E-3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2.5008128989071387E-3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2.5647784950493142E-3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2.6287440911914894E-3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2.683504526842702E-3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2.7382649624939147E-3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2.7930253981451277E-3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2.8477858337963408E-3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2.9025462694475539E-3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2.9391125941351614E-3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2.975678918822769E-3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3.0122452435103766E-3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3.0488115681979841E-3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3.0853778928855917E-3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3.1048080106632152E-3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3.1242381284408388E-3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3.1436682462184624E-3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3.1630983639960855E-3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3.1825284817737099E-3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3.1956662821160642E-3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3.2088040824584177E-3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3.221941882800772E-3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3.2350796831431259E-3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3.2482174834854798E-3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1.6005706149331124E-3</v>
      </c>
      <c r="C2" s="7">
        <f>$B2 * IFERROR(VLOOKUP("buildings|NOx|Premature mortality", US_national_yearly!$D:$AM, 11, FALSE) / VLOOKUP("buildings|NOx|Premature mortality", US_national_yearly!$D:$AM, 10, FALSE), 1)</f>
        <v>1.6241129022281774E-3</v>
      </c>
      <c r="D2" s="7">
        <f>$B2 * IFERROR(VLOOKUP("buildings|NOx|Premature mortality", US_national_yearly!$D:$AM, 12, FALSE) / VLOOKUP("buildings|NOx|Premature mortality", US_national_yearly!$D:$AM, 10, FALSE), 1)</f>
        <v>1.647655189523242E-3</v>
      </c>
      <c r="E2" s="7">
        <f>$B2 * IFERROR(VLOOKUP("buildings|NOx|Premature mortality", US_national_yearly!$D:$AM, 13, FALSE) / VLOOKUP("buildings|NOx|Premature mortality", US_national_yearly!$D:$AM, 10, FALSE), 1)</f>
        <v>1.671197476818307E-3</v>
      </c>
      <c r="F2" s="7">
        <f>$B2 * IFERROR(VLOOKUP("buildings|NOx|Premature mortality", US_national_yearly!$D:$AM, 14, FALSE) / VLOOKUP("buildings|NOx|Premature mortality", US_national_yearly!$D:$AM, 10, FALSE), 1)</f>
        <v>1.6947397641133715E-3</v>
      </c>
      <c r="G2" s="7">
        <f>$B2 * IFERROR(VLOOKUP("buildings|NOx|Premature mortality", US_national_yearly!$D:$AM, 15, FALSE) / VLOOKUP("buildings|NOx|Premature mortality", US_national_yearly!$D:$AM, 10, FALSE), 1)</f>
        <v>1.7370067008340929E-3</v>
      </c>
      <c r="H2" s="7">
        <f>$B2 * IFERROR(VLOOKUP("buildings|NOx|Premature mortality", US_national_yearly!$D:$AM, 16, FALSE) / VLOOKUP("buildings|NOx|Premature mortality", US_national_yearly!$D:$AM, 10, FALSE), 1)</f>
        <v>1.7792736375548148E-3</v>
      </c>
      <c r="I2" s="7">
        <f>$B2 * IFERROR(VLOOKUP("buildings|NOx|Premature mortality", US_national_yearly!$D:$AM, 17, FALSE) / VLOOKUP("buildings|NOx|Premature mortality", US_national_yearly!$D:$AM, 10, FALSE), 1)</f>
        <v>1.8065888088932161E-3</v>
      </c>
      <c r="J2" s="7">
        <f>$B2 * IFERROR(VLOOKUP("buildings|NOx|Premature mortality", US_national_yearly!$D:$AM, 18, FALSE) / VLOOKUP("buildings|NOx|Premature mortality", US_national_yearly!$D:$AM, 10, FALSE), 1)</f>
        <v>1.833903980231617E-3</v>
      </c>
      <c r="K2" s="7">
        <f>$B2 * IFERROR(VLOOKUP("buildings|NOx|Premature mortality", US_national_yearly!$D:$AM, 19, FALSE) / VLOOKUP("buildings|NOx|Premature mortality", US_national_yearly!$D:$AM, 10, FALSE), 1)</f>
        <v>1.8612191515700184E-3</v>
      </c>
      <c r="L2" s="7">
        <f>$B2 * IFERROR(VLOOKUP("buildings|NOx|Premature mortality", US_national_yearly!$D:$AM, 20, FALSE) / VLOOKUP("buildings|NOx|Premature mortality", US_national_yearly!$D:$AM, 10, FALSE), 1)</f>
        <v>1.8885343229084197E-3</v>
      </c>
      <c r="M2" s="7">
        <f>$B2 * IFERROR(VLOOKUP("buildings|NOx|Premature mortality", US_national_yearly!$D:$AM, 21, FALSE) / VLOOKUP("buildings|NOx|Premature mortality", US_national_yearly!$D:$AM, 10, FALSE), 1)</f>
        <v>1.9158494942468208E-3</v>
      </c>
      <c r="N2" s="7">
        <f>$B2 * IFERROR(VLOOKUP("buildings|NOx|Premature mortality", US_national_yearly!$D:$AM, 22, FALSE) / VLOOKUP("buildings|NOx|Premature mortality", US_national_yearly!$D:$AM, 10, FALSE), 1)</f>
        <v>1.93608899350405E-3</v>
      </c>
      <c r="O2" s="7">
        <f>$B2 * IFERROR(VLOOKUP("buildings|NOx|Premature mortality", US_national_yearly!$D:$AM, 23, FALSE) / VLOOKUP("buildings|NOx|Premature mortality", US_national_yearly!$D:$AM, 10, FALSE), 1)</f>
        <v>1.9563284927612795E-3</v>
      </c>
      <c r="P2" s="7">
        <f>$B2 * IFERROR(VLOOKUP("buildings|NOx|Premature mortality", US_national_yearly!$D:$AM, 24, FALSE) / VLOOKUP("buildings|NOx|Premature mortality", US_national_yearly!$D:$AM, 10, FALSE), 1)</f>
        <v>1.9765679920185088E-3</v>
      </c>
      <c r="Q2" s="7">
        <f>$B2 * IFERROR(VLOOKUP("buildings|NOx|Premature mortality", US_national_yearly!$D:$AM, 25, FALSE) / VLOOKUP("buildings|NOx|Premature mortality", US_national_yearly!$D:$AM, 10, FALSE), 1)</f>
        <v>1.9968074912757382E-3</v>
      </c>
      <c r="R2" s="7">
        <f>$B2 * IFERROR(VLOOKUP("buildings|NOx|Premature mortality", US_national_yearly!$D:$AM, 26, FALSE) / VLOOKUP("buildings|NOx|Premature mortality", US_national_yearly!$D:$AM, 10, FALSE), 1)</f>
        <v>2.0170469905329675E-3</v>
      </c>
      <c r="S2" s="7">
        <f>$B2 * IFERROR(VLOOKUP("buildings|NOx|Premature mortality", US_national_yearly!$D:$AM, 27, FALSE) / VLOOKUP("buildings|NOx|Premature mortality", US_national_yearly!$D:$AM, 10, FALSE), 1)</f>
        <v>2.0262486648514283E-3</v>
      </c>
      <c r="T2" s="7">
        <f>$B2 * IFERROR(VLOOKUP("buildings|NOx|Premature mortality", US_national_yearly!$D:$AM, 28, FALSE) / VLOOKUP("buildings|NOx|Premature mortality", US_national_yearly!$D:$AM, 10, FALSE), 1)</f>
        <v>2.0354503391698886E-3</v>
      </c>
      <c r="U2" s="7">
        <f>$B2 * IFERROR(VLOOKUP("buildings|NOx|Premature mortality", US_national_yearly!$D:$AM, 29, FALSE) / VLOOKUP("buildings|NOx|Premature mortality", US_national_yearly!$D:$AM, 10, FALSE), 1)</f>
        <v>2.044652013488349E-3</v>
      </c>
      <c r="V2" s="7">
        <f>$B2 * IFERROR(VLOOKUP("buildings|NOx|Premature mortality", US_national_yearly!$D:$AM, 30, FALSE) / VLOOKUP("buildings|NOx|Premature mortality", US_national_yearly!$D:$AM, 10, FALSE), 1)</f>
        <v>2.0538536878068098E-3</v>
      </c>
      <c r="W2" s="7">
        <f>$B2 * IFERROR(VLOOKUP("buildings|NOx|Premature mortality", US_national_yearly!$D:$AM, 31, FALSE) / VLOOKUP("buildings|NOx|Premature mortality", US_national_yearly!$D:$AM, 10, FALSE), 1)</f>
        <v>2.0630553621252701E-3</v>
      </c>
      <c r="X2" s="7">
        <f>$B2 * IFERROR(VLOOKUP("buildings|NOx|Premature mortality", US_national_yearly!$D:$AM, 32, FALSE) / VLOOKUP("buildings|NOx|Premature mortality", US_national_yearly!$D:$AM, 10, FALSE), 1)</f>
        <v>2.0633794375938506E-3</v>
      </c>
      <c r="Y2" s="7">
        <f>$B2 * IFERROR(VLOOKUP("buildings|NOx|Premature mortality", US_national_yearly!$D:$AM, 33, FALSE) / VLOOKUP("buildings|NOx|Premature mortality", US_national_yearly!$D:$AM, 10, FALSE), 1)</f>
        <v>2.0637035130624307E-3</v>
      </c>
      <c r="Z2" s="7">
        <f>$B2 * IFERROR(VLOOKUP("buildings|NOx|Premature mortality", US_national_yearly!$D:$AM, 34, FALSE) / VLOOKUP("buildings|NOx|Premature mortality", US_national_yearly!$D:$AM, 10, FALSE), 1)</f>
        <v>2.0640275885310108E-3</v>
      </c>
      <c r="AA2" s="7">
        <f>$B2 * IFERROR(VLOOKUP("buildings|NOx|Premature mortality", US_national_yearly!$D:$AM, 35, FALSE) / VLOOKUP("buildings|NOx|Premature mortality", US_national_yearly!$D:$AM, 10, FALSE), 1)</f>
        <v>2.0643516639995908E-3</v>
      </c>
      <c r="AB2" s="7">
        <f>$B2 * IFERROR(VLOOKUP("buildings|NOx|Premature mortality", US_national_yearly!$D:$AM, 36, FALSE) / VLOOKUP("buildings|NOx|Premature mortality", US_national_yearly!$D:$AM, 10, FALSE), 1)</f>
        <v>2.0646757394681713E-3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4.5634237586805903E-6</v>
      </c>
      <c r="C3" s="7">
        <f>$B3 * IFERROR(VLOOKUP("buildings|NOx|Infant mortality", US_national_yearly!$D:$AM, 11, FALSE) / VLOOKUP("buildings|NOx|Infant mortality", US_national_yearly!$D:$AM, 10, FALSE), 1)</f>
        <v>4.5200765887740987E-6</v>
      </c>
      <c r="D3" s="7">
        <f>$B3 * IFERROR(VLOOKUP("buildings|NOx|Infant mortality", US_national_yearly!$D:$AM, 12, FALSE) / VLOOKUP("buildings|NOx|Infant mortality", US_national_yearly!$D:$AM, 10, FALSE), 1)</f>
        <v>4.4767294188676062E-6</v>
      </c>
      <c r="E3" s="7">
        <f>$B3 * IFERROR(VLOOKUP("buildings|NOx|Infant mortality", US_national_yearly!$D:$AM, 13, FALSE) / VLOOKUP("buildings|NOx|Infant mortality", US_national_yearly!$D:$AM, 10, FALSE), 1)</f>
        <v>4.4333822489611145E-6</v>
      </c>
      <c r="F3" s="7">
        <f>$B3 * IFERROR(VLOOKUP("buildings|NOx|Infant mortality", US_national_yearly!$D:$AM, 14, FALSE) / VLOOKUP("buildings|NOx|Infant mortality", US_national_yearly!$D:$AM, 10, FALSE), 1)</f>
        <v>4.390035079054622E-6</v>
      </c>
      <c r="G3" s="7">
        <f>$B3 * IFERROR(VLOOKUP("buildings|NOx|Infant mortality", US_national_yearly!$D:$AM, 15, FALSE) / VLOOKUP("buildings|NOx|Infant mortality", US_national_yearly!$D:$AM, 10, FALSE), 1)</f>
        <v>2.9138306760032635E-6</v>
      </c>
      <c r="H3" s="7">
        <f>$B3 * IFERROR(VLOOKUP("buildings|NOx|Infant mortality", US_national_yearly!$D:$AM, 16, FALSE) / VLOOKUP("buildings|NOx|Infant mortality", US_national_yearly!$D:$AM, 10, FALSE), 1)</f>
        <v>1.437626272951905E-6</v>
      </c>
      <c r="I3" s="7">
        <f>$B3 * IFERROR(VLOOKUP("buildings|NOx|Infant mortality", US_national_yearly!$D:$AM, 17, FALSE) / VLOOKUP("buildings|NOx|Infant mortality", US_national_yearly!$D:$AM, 10, FALSE), 1)</f>
        <v>1.4274700782230305E-6</v>
      </c>
      <c r="J3" s="7">
        <f>$B3 * IFERROR(VLOOKUP("buildings|NOx|Infant mortality", US_national_yearly!$D:$AM, 18, FALSE) / VLOOKUP("buildings|NOx|Infant mortality", US_national_yearly!$D:$AM, 10, FALSE), 1)</f>
        <v>1.4173138834941559E-6</v>
      </c>
      <c r="K3" s="7">
        <f>$B3 * IFERROR(VLOOKUP("buildings|NOx|Infant mortality", US_national_yearly!$D:$AM, 19, FALSE) / VLOOKUP("buildings|NOx|Infant mortality", US_national_yearly!$D:$AM, 10, FALSE), 1)</f>
        <v>1.4071576887652814E-6</v>
      </c>
      <c r="L3" s="7">
        <f>$B3 * IFERROR(VLOOKUP("buildings|NOx|Infant mortality", US_national_yearly!$D:$AM, 20, FALSE) / VLOOKUP("buildings|NOx|Infant mortality", US_national_yearly!$D:$AM, 10, FALSE), 1)</f>
        <v>1.3970014940364072E-6</v>
      </c>
      <c r="M3" s="7">
        <f>$B3 * IFERROR(VLOOKUP("buildings|NOx|Infant mortality", US_national_yearly!$D:$AM, 21, FALSE) / VLOOKUP("buildings|NOx|Infant mortality", US_national_yearly!$D:$AM, 10, FALSE), 1)</f>
        <v>1.3868452993075326E-6</v>
      </c>
      <c r="N3" s="7">
        <f>$B3 * IFERROR(VLOOKUP("buildings|NOx|Infant mortality", US_national_yearly!$D:$AM, 22, FALSE) / VLOOKUP("buildings|NOx|Infant mortality", US_national_yearly!$D:$AM, 10, FALSE), 1)</f>
        <v>1.3801153577053074E-6</v>
      </c>
      <c r="O3" s="7">
        <f>$B3 * IFERROR(VLOOKUP("buildings|NOx|Infant mortality", US_national_yearly!$D:$AM, 23, FALSE) / VLOOKUP("buildings|NOx|Infant mortality", US_national_yearly!$D:$AM, 10, FALSE), 1)</f>
        <v>1.3733854161030823E-6</v>
      </c>
      <c r="P3" s="7">
        <f>$B3 * IFERROR(VLOOKUP("buildings|NOx|Infant mortality", US_national_yearly!$D:$AM, 24, FALSE) / VLOOKUP("buildings|NOx|Infant mortality", US_national_yearly!$D:$AM, 10, FALSE), 1)</f>
        <v>1.3666554745008572E-6</v>
      </c>
      <c r="Q3" s="7">
        <f>$B3 * IFERROR(VLOOKUP("buildings|NOx|Infant mortality", US_national_yearly!$D:$AM, 25, FALSE) / VLOOKUP("buildings|NOx|Infant mortality", US_national_yearly!$D:$AM, 10, FALSE), 1)</f>
        <v>1.3599255328986325E-6</v>
      </c>
      <c r="R3" s="7">
        <f>$B3 * IFERROR(VLOOKUP("buildings|NOx|Infant mortality", US_national_yearly!$D:$AM, 26, FALSE) / VLOOKUP("buildings|NOx|Infant mortality", US_national_yearly!$D:$AM, 10, FALSE), 1)</f>
        <v>1.3531955912964073E-6</v>
      </c>
      <c r="S3" s="7">
        <f>$B3 * IFERROR(VLOOKUP("buildings|NOx|Infant mortality", US_national_yearly!$D:$AM, 27, FALSE) / VLOOKUP("buildings|NOx|Infant mortality", US_national_yearly!$D:$AM, 10, FALSE), 1)</f>
        <v>1.3450999013756922E-6</v>
      </c>
      <c r="T3" s="7">
        <f>$B3 * IFERROR(VLOOKUP("buildings|NOx|Infant mortality", US_national_yearly!$D:$AM, 28, FALSE) / VLOOKUP("buildings|NOx|Infant mortality", US_national_yearly!$D:$AM, 10, FALSE), 1)</f>
        <v>1.3370042114549774E-6</v>
      </c>
      <c r="U3" s="7">
        <f>$B3 * IFERROR(VLOOKUP("buildings|NOx|Infant mortality", US_national_yearly!$D:$AM, 29, FALSE) / VLOOKUP("buildings|NOx|Infant mortality", US_national_yearly!$D:$AM, 10, FALSE), 1)</f>
        <v>1.3289085215342624E-6</v>
      </c>
      <c r="V3" s="7">
        <f>$B3 * IFERROR(VLOOKUP("buildings|NOx|Infant mortality", US_national_yearly!$D:$AM, 30, FALSE) / VLOOKUP("buildings|NOx|Infant mortality", US_national_yearly!$D:$AM, 10, FALSE), 1)</f>
        <v>1.3208128316135472E-6</v>
      </c>
      <c r="W3" s="7">
        <f>$B3 * IFERROR(VLOOKUP("buildings|NOx|Infant mortality", US_national_yearly!$D:$AM, 31, FALSE) / VLOOKUP("buildings|NOx|Infant mortality", US_national_yearly!$D:$AM, 10, FALSE), 1)</f>
        <v>1.3127171416928325E-6</v>
      </c>
      <c r="X3" s="7">
        <f>$B3 * IFERROR(VLOOKUP("buildings|NOx|Infant mortality", US_national_yearly!$D:$AM, 32, FALSE) / VLOOKUP("buildings|NOx|Infant mortality", US_national_yearly!$D:$AM, 10, FALSE), 1)</f>
        <v>1.304151192217022E-6</v>
      </c>
      <c r="Y3" s="7">
        <f>$B3 * IFERROR(VLOOKUP("buildings|NOx|Infant mortality", US_national_yearly!$D:$AM, 33, FALSE) / VLOOKUP("buildings|NOx|Infant mortality", US_national_yearly!$D:$AM, 10, FALSE), 1)</f>
        <v>1.2955852427412118E-6</v>
      </c>
      <c r="Z3" s="7">
        <f>$B3 * IFERROR(VLOOKUP("buildings|NOx|Infant mortality", US_national_yearly!$D:$AM, 34, FALSE) / VLOOKUP("buildings|NOx|Infant mortality", US_national_yearly!$D:$AM, 10, FALSE), 1)</f>
        <v>1.2870192932654012E-6</v>
      </c>
      <c r="AA3" s="7">
        <f>$B3 * IFERROR(VLOOKUP("buildings|NOx|Infant mortality", US_national_yearly!$D:$AM, 35, FALSE) / VLOOKUP("buildings|NOx|Infant mortality", US_national_yearly!$D:$AM, 10, FALSE), 1)</f>
        <v>1.2784533437895907E-6</v>
      </c>
      <c r="AB3" s="7">
        <f>$B3 * IFERROR(VLOOKUP("buildings|NOx|Infant mortality", US_national_yearly!$D:$AM, 36, FALSE) / VLOOKUP("buildings|NOx|Infant mortality", US_national_yearly!$D:$AM, 10, FALSE), 1)</f>
        <v>1.2698873943137803E-6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4.5649508304170432E-3</v>
      </c>
      <c r="C6" s="7">
        <f>$B6 * IFERROR(VLOOKUP("buildings|NOx|Asthma symptoms cough", US_national_yearly!$D:$AM, 11, FALSE) / VLOOKUP("buildings|NOx|Asthma symptoms cough", US_national_yearly!$D:$AM, 10, FALSE), 1)</f>
        <v>4.6274234259395027E-3</v>
      </c>
      <c r="D6" s="7">
        <f>$B6 * IFERROR(VLOOKUP("buildings|NOx|Asthma symptoms cough", US_national_yearly!$D:$AM, 12, FALSE) / VLOOKUP("buildings|NOx|Asthma symptoms cough", US_national_yearly!$D:$AM, 10, FALSE), 1)</f>
        <v>4.6898960214619631E-3</v>
      </c>
      <c r="E6" s="7">
        <f>$B6 * IFERROR(VLOOKUP("buildings|NOx|Asthma symptoms cough", US_national_yearly!$D:$AM, 13, FALSE) / VLOOKUP("buildings|NOx|Asthma symptoms cough", US_national_yearly!$D:$AM, 10, FALSE), 1)</f>
        <v>4.7523686169844226E-3</v>
      </c>
      <c r="F6" s="7">
        <f>$B6 * IFERROR(VLOOKUP("buildings|NOx|Asthma symptoms cough", US_national_yearly!$D:$AM, 14, FALSE) / VLOOKUP("buildings|NOx|Asthma symptoms cough", US_national_yearly!$D:$AM, 10, FALSE), 1)</f>
        <v>4.8148412125068813E-3</v>
      </c>
      <c r="G6" s="7">
        <f>$B6 * IFERROR(VLOOKUP("buildings|NOx|Asthma symptoms cough", US_national_yearly!$D:$AM, 15, FALSE) / VLOOKUP("buildings|NOx|Asthma symptoms cough", US_national_yearly!$D:$AM, 10, FALSE), 1)</f>
        <v>4.8647685224202054E-3</v>
      </c>
      <c r="H6" s="7">
        <f>$B6 * IFERROR(VLOOKUP("buildings|NOx|Asthma symptoms cough", US_national_yearly!$D:$AM, 16, FALSE) / VLOOKUP("buildings|NOx|Asthma symptoms cough", US_national_yearly!$D:$AM, 10, FALSE), 1)</f>
        <v>4.9146958323335295E-3</v>
      </c>
      <c r="I6" s="7">
        <f>$B6 * IFERROR(VLOOKUP("buildings|NOx|Asthma symptoms cough", US_national_yearly!$D:$AM, 17, FALSE) / VLOOKUP("buildings|NOx|Asthma symptoms cough", US_national_yearly!$D:$AM, 10, FALSE), 1)</f>
        <v>4.931974199698601E-3</v>
      </c>
      <c r="J6" s="7">
        <f>$B6 * IFERROR(VLOOKUP("buildings|NOx|Asthma symptoms cough", US_national_yearly!$D:$AM, 18, FALSE) / VLOOKUP("buildings|NOx|Asthma symptoms cough", US_national_yearly!$D:$AM, 10, FALSE), 1)</f>
        <v>4.9492525670636724E-3</v>
      </c>
      <c r="K6" s="7">
        <f>$B6 * IFERROR(VLOOKUP("buildings|NOx|Asthma symptoms cough", US_national_yearly!$D:$AM, 19, FALSE) / VLOOKUP("buildings|NOx|Asthma symptoms cough", US_national_yearly!$D:$AM, 10, FALSE), 1)</f>
        <v>4.966530934428743E-3</v>
      </c>
      <c r="L6" s="7">
        <f>$B6 * IFERROR(VLOOKUP("buildings|NOx|Asthma symptoms cough", US_national_yearly!$D:$AM, 20, FALSE) / VLOOKUP("buildings|NOx|Asthma symptoms cough", US_national_yearly!$D:$AM, 10, FALSE), 1)</f>
        <v>4.9838093017938135E-3</v>
      </c>
      <c r="M6" s="7">
        <f>$B6 * IFERROR(VLOOKUP("buildings|NOx|Asthma symptoms cough", US_national_yearly!$D:$AM, 21, FALSE) / VLOOKUP("buildings|NOx|Asthma symptoms cough", US_national_yearly!$D:$AM, 10, FALSE), 1)</f>
        <v>5.0010876691588841E-3</v>
      </c>
      <c r="N6" s="7">
        <f>$B6 * IFERROR(VLOOKUP("buildings|NOx|Asthma symptoms cough", US_national_yearly!$D:$AM, 22, FALSE) / VLOOKUP("buildings|NOx|Asthma symptoms cough", US_national_yearly!$D:$AM, 10, FALSE), 1)</f>
        <v>5.0210668580152372E-3</v>
      </c>
      <c r="O6" s="7">
        <f>$B6 * IFERROR(VLOOKUP("buildings|NOx|Asthma symptoms cough", US_national_yearly!$D:$AM, 23, FALSE) / VLOOKUP("buildings|NOx|Asthma symptoms cough", US_national_yearly!$D:$AM, 10, FALSE), 1)</f>
        <v>5.0410460468715895E-3</v>
      </c>
      <c r="P6" s="7">
        <f>$B6 * IFERROR(VLOOKUP("buildings|NOx|Asthma symptoms cough", US_national_yearly!$D:$AM, 24, FALSE) / VLOOKUP("buildings|NOx|Asthma symptoms cough", US_national_yearly!$D:$AM, 10, FALSE), 1)</f>
        <v>5.0610252357279418E-3</v>
      </c>
      <c r="Q6" s="7">
        <f>$B6 * IFERROR(VLOOKUP("buildings|NOx|Asthma symptoms cough", US_national_yearly!$D:$AM, 25, FALSE) / VLOOKUP("buildings|NOx|Asthma symptoms cough", US_national_yearly!$D:$AM, 10, FALSE), 1)</f>
        <v>5.0810044245842949E-3</v>
      </c>
      <c r="R6" s="7">
        <f>$B6 * IFERROR(VLOOKUP("buildings|NOx|Asthma symptoms cough", US_national_yearly!$D:$AM, 26, FALSE) / VLOOKUP("buildings|NOx|Asthma symptoms cough", US_national_yearly!$D:$AM, 10, FALSE), 1)</f>
        <v>5.1009836134406463E-3</v>
      </c>
      <c r="S6" s="7">
        <f>$B6 * IFERROR(VLOOKUP("buildings|NOx|Asthma symptoms cough", US_national_yearly!$D:$AM, 27, FALSE) / VLOOKUP("buildings|NOx|Asthma symptoms cough", US_national_yearly!$D:$AM, 10, FALSE), 1)</f>
        <v>5.1270768575007349E-3</v>
      </c>
      <c r="T6" s="7">
        <f>$B6 * IFERROR(VLOOKUP("buildings|NOx|Asthma symptoms cough", US_national_yearly!$D:$AM, 28, FALSE) / VLOOKUP("buildings|NOx|Asthma symptoms cough", US_national_yearly!$D:$AM, 10, FALSE), 1)</f>
        <v>5.1531701015608217E-3</v>
      </c>
      <c r="U6" s="7">
        <f>$B6 * IFERROR(VLOOKUP("buildings|NOx|Asthma symptoms cough", US_national_yearly!$D:$AM, 29, FALSE) / VLOOKUP("buildings|NOx|Asthma symptoms cough", US_national_yearly!$D:$AM, 10, FALSE), 1)</f>
        <v>5.1792633456209094E-3</v>
      </c>
      <c r="V6" s="7">
        <f>$B6 * IFERROR(VLOOKUP("buildings|NOx|Asthma symptoms cough", US_national_yearly!$D:$AM, 30, FALSE) / VLOOKUP("buildings|NOx|Asthma symptoms cough", US_national_yearly!$D:$AM, 10, FALSE), 1)</f>
        <v>5.205356589680998E-3</v>
      </c>
      <c r="W6" s="7">
        <f>$B6 * IFERROR(VLOOKUP("buildings|NOx|Asthma symptoms cough", US_national_yearly!$D:$AM, 31, FALSE) / VLOOKUP("buildings|NOx|Asthma symptoms cough", US_national_yearly!$D:$AM, 10, FALSE), 1)</f>
        <v>5.2314498337410857E-3</v>
      </c>
      <c r="X6" s="7">
        <f>$B6 * IFERROR(VLOOKUP("buildings|NOx|Asthma symptoms cough", US_national_yearly!$D:$AM, 32, FALSE) / VLOOKUP("buildings|NOx|Asthma symptoms cough", US_national_yearly!$D:$AM, 10, FALSE), 1)</f>
        <v>5.255694047972808E-3</v>
      </c>
      <c r="Y6" s="7">
        <f>$B6 * IFERROR(VLOOKUP("buildings|NOx|Asthma symptoms cough", US_national_yearly!$D:$AM, 33, FALSE) / VLOOKUP("buildings|NOx|Asthma symptoms cough", US_national_yearly!$D:$AM, 10, FALSE), 1)</f>
        <v>5.279938262204532E-3</v>
      </c>
      <c r="Z6" s="7">
        <f>$B6 * IFERROR(VLOOKUP("buildings|NOx|Asthma symptoms cough", US_national_yearly!$D:$AM, 34, FALSE) / VLOOKUP("buildings|NOx|Asthma symptoms cough", US_national_yearly!$D:$AM, 10, FALSE), 1)</f>
        <v>5.3041824764362552E-3</v>
      </c>
      <c r="AA6" s="7">
        <f>$B6 * IFERROR(VLOOKUP("buildings|NOx|Asthma symptoms cough", US_national_yearly!$D:$AM, 35, FALSE) / VLOOKUP("buildings|NOx|Asthma symptoms cough", US_national_yearly!$D:$AM, 10, FALSE), 1)</f>
        <v>5.3284266906679792E-3</v>
      </c>
      <c r="AB6" s="7">
        <f>$B6 * IFERROR(VLOOKUP("buildings|NOx|Asthma symptoms cough", US_national_yearly!$D:$AM, 36, FALSE) / VLOOKUP("buildings|NOx|Asthma symptoms cough", US_national_yearly!$D:$AM, 10, FALSE), 1)</f>
        <v>5.3526709048997024E-3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6.1473618197758388E-3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6.2314901405406443E-3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6.3156184613054498E-3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6.3997467820702545E-3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6.48387510283506E-3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6.5511093949264894E-3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6.6183436870179187E-3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6.6416114895261509E-3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6.6648792920343813E-3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6.6881470945426144E-3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6.7114148970508465E-3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6.7346826995590787E-3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6.7615875460876199E-3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6.7884923926161619E-3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6.815397239144704E-3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6.8423020856732452E-3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6.8692069322017872E-3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6.9043452321336197E-3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6.9394835320654522E-3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6.9746218319972856E-3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7.0097601319291164E-3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7.0448984318609489E-3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7.0775467476009782E-3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7.1101950633410058E-3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7.1428433790810351E-3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7.1754916948210609E-3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7.2081400105610902E-3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9.3921515267702364E-3</v>
      </c>
      <c r="C8" s="7">
        <f>$B8 * IFERROR(VLOOKUP("buildings|NOx|Asthma symptoms wheeze", US_national_yearly!$D:$AM, 11, FALSE) / VLOOKUP("buildings|NOx|Asthma symptoms wheeze", US_national_yearly!$D:$AM, 10, FALSE), 1)</f>
        <v>9.5206856787132844E-3</v>
      </c>
      <c r="D8" s="7">
        <f>$B8 * IFERROR(VLOOKUP("buildings|NOx|Asthma symptoms wheeze", US_national_yearly!$D:$AM, 12, FALSE) / VLOOKUP("buildings|NOx|Asthma symptoms wheeze", US_national_yearly!$D:$AM, 10, FALSE), 1)</f>
        <v>9.6492198306563342E-3</v>
      </c>
      <c r="E8" s="7">
        <f>$B8 * IFERROR(VLOOKUP("buildings|NOx|Asthma symptoms wheeze", US_national_yearly!$D:$AM, 13, FALSE) / VLOOKUP("buildings|NOx|Asthma symptoms wheeze", US_national_yearly!$D:$AM, 10, FALSE), 1)</f>
        <v>9.7777539825993805E-3</v>
      </c>
      <c r="F8" s="7">
        <f>$B8 * IFERROR(VLOOKUP("buildings|NOx|Asthma symptoms wheeze", US_national_yearly!$D:$AM, 14, FALSE) / VLOOKUP("buildings|NOx|Asthma symptoms wheeze", US_national_yearly!$D:$AM, 10, FALSE), 1)</f>
        <v>9.906288134542432E-3</v>
      </c>
      <c r="G8" s="7">
        <f>$B8 * IFERROR(VLOOKUP("buildings|NOx|Asthma symptoms wheeze", US_national_yearly!$D:$AM, 15, FALSE) / VLOOKUP("buildings|NOx|Asthma symptoms wheeze", US_national_yearly!$D:$AM, 10, FALSE), 1)</f>
        <v>1.0009011006626817E-2</v>
      </c>
      <c r="H8" s="7">
        <f>$B8 * IFERROR(VLOOKUP("buildings|NOx|Asthma symptoms wheeze", US_national_yearly!$D:$AM, 16, FALSE) / VLOOKUP("buildings|NOx|Asthma symptoms wheeze", US_national_yearly!$D:$AM, 10, FALSE), 1)</f>
        <v>1.0111733878711202E-2</v>
      </c>
      <c r="I8" s="7">
        <f>$B8 * IFERROR(VLOOKUP("buildings|NOx|Asthma symptoms wheeze", US_national_yearly!$D:$AM, 17, FALSE) / VLOOKUP("buildings|NOx|Asthma symptoms wheeze", US_national_yearly!$D:$AM, 10, FALSE), 1)</f>
        <v>1.0147283230839811E-2</v>
      </c>
      <c r="J8" s="7">
        <f>$B8 * IFERROR(VLOOKUP("buildings|NOx|Asthma symptoms wheeze", US_national_yearly!$D:$AM, 18, FALSE) / VLOOKUP("buildings|NOx|Asthma symptoms wheeze", US_national_yearly!$D:$AM, 10, FALSE), 1)</f>
        <v>1.0182832582968416E-2</v>
      </c>
      <c r="K8" s="7">
        <f>$B8 * IFERROR(VLOOKUP("buildings|NOx|Asthma symptoms wheeze", US_national_yearly!$D:$AM, 19, FALSE) / VLOOKUP("buildings|NOx|Asthma symptoms wheeze", US_national_yearly!$D:$AM, 10, FALSE), 1)</f>
        <v>1.0218381935097023E-2</v>
      </c>
      <c r="L8" s="7">
        <f>$B8 * IFERROR(VLOOKUP("buildings|NOx|Asthma symptoms wheeze", US_national_yearly!$D:$AM, 20, FALSE) / VLOOKUP("buildings|NOx|Asthma symptoms wheeze", US_national_yearly!$D:$AM, 10, FALSE), 1)</f>
        <v>1.0253931287225628E-2</v>
      </c>
      <c r="M8" s="7">
        <f>$B8 * IFERROR(VLOOKUP("buildings|NOx|Asthma symptoms wheeze", US_national_yearly!$D:$AM, 21, FALSE) / VLOOKUP("buildings|NOx|Asthma symptoms wheeze", US_national_yearly!$D:$AM, 10, FALSE), 1)</f>
        <v>1.0289480639354236E-2</v>
      </c>
      <c r="N8" s="7">
        <f>$B8 * IFERROR(VLOOKUP("buildings|NOx|Asthma symptoms wheeze", US_national_yearly!$D:$AM, 22, FALSE) / VLOOKUP("buildings|NOx|Asthma symptoms wheeze", US_national_yearly!$D:$AM, 10, FALSE), 1)</f>
        <v>1.0330586792784015E-2</v>
      </c>
      <c r="O8" s="7">
        <f>$B8 * IFERROR(VLOOKUP("buildings|NOx|Asthma symptoms wheeze", US_national_yearly!$D:$AM, 23, FALSE) / VLOOKUP("buildings|NOx|Asthma symptoms wheeze", US_national_yearly!$D:$AM, 10, FALSE), 1)</f>
        <v>1.0371692946213795E-2</v>
      </c>
      <c r="P8" s="7">
        <f>$B8 * IFERROR(VLOOKUP("buildings|NOx|Asthma symptoms wheeze", US_national_yearly!$D:$AM, 24, FALSE) / VLOOKUP("buildings|NOx|Asthma symptoms wheeze", US_national_yearly!$D:$AM, 10, FALSE), 1)</f>
        <v>1.0412799099643573E-2</v>
      </c>
      <c r="Q8" s="7">
        <f>$B8 * IFERROR(VLOOKUP("buildings|NOx|Asthma symptoms wheeze", US_national_yearly!$D:$AM, 25, FALSE) / VLOOKUP("buildings|NOx|Asthma symptoms wheeze", US_national_yearly!$D:$AM, 10, FALSE), 1)</f>
        <v>1.0453905253073353E-2</v>
      </c>
      <c r="R8" s="7">
        <f>$B8 * IFERROR(VLOOKUP("buildings|NOx|Asthma symptoms wheeze", US_national_yearly!$D:$AM, 26, FALSE) / VLOOKUP("buildings|NOx|Asthma symptoms wheeze", US_national_yearly!$D:$AM, 10, FALSE), 1)</f>
        <v>1.0495011406503132E-2</v>
      </c>
      <c r="S8" s="7">
        <f>$B8 * IFERROR(VLOOKUP("buildings|NOx|Asthma symptoms wheeze", US_national_yearly!$D:$AM, 27, FALSE) / VLOOKUP("buildings|NOx|Asthma symptoms wheeze", US_national_yearly!$D:$AM, 10, FALSE), 1)</f>
        <v>1.0548696914046992E-2</v>
      </c>
      <c r="T8" s="7">
        <f>$B8 * IFERROR(VLOOKUP("buildings|NOx|Asthma symptoms wheeze", US_national_yearly!$D:$AM, 28, FALSE) / VLOOKUP("buildings|NOx|Asthma symptoms wheeze", US_national_yearly!$D:$AM, 10, FALSE), 1)</f>
        <v>1.0602382421590851E-2</v>
      </c>
      <c r="U8" s="7">
        <f>$B8 * IFERROR(VLOOKUP("buildings|NOx|Asthma symptoms wheeze", US_national_yearly!$D:$AM, 29, FALSE) / VLOOKUP("buildings|NOx|Asthma symptoms wheeze", US_national_yearly!$D:$AM, 10, FALSE), 1)</f>
        <v>1.0656067929134712E-2</v>
      </c>
      <c r="V8" s="7">
        <f>$B8 * IFERROR(VLOOKUP("buildings|NOx|Asthma symptoms wheeze", US_national_yearly!$D:$AM, 30, FALSE) / VLOOKUP("buildings|NOx|Asthma symptoms wheeze", US_national_yearly!$D:$AM, 10, FALSE), 1)</f>
        <v>1.0709753436678571E-2</v>
      </c>
      <c r="W8" s="7">
        <f>$B8 * IFERROR(VLOOKUP("buildings|NOx|Asthma symptoms wheeze", US_national_yearly!$D:$AM, 31, FALSE) / VLOOKUP("buildings|NOx|Asthma symptoms wheeze", US_national_yearly!$D:$AM, 10, FALSE), 1)</f>
        <v>1.0763438944222431E-2</v>
      </c>
      <c r="X8" s="7">
        <f>$B8 * IFERROR(VLOOKUP("buildings|NOx|Asthma symptoms wheeze", US_national_yearly!$D:$AM, 32, FALSE) / VLOOKUP("buildings|NOx|Asthma symptoms wheeze", US_national_yearly!$D:$AM, 10, FALSE), 1)</f>
        <v>1.0813320168002112E-2</v>
      </c>
      <c r="Y8" s="7">
        <f>$B8 * IFERROR(VLOOKUP("buildings|NOx|Asthma symptoms wheeze", US_national_yearly!$D:$AM, 33, FALSE) / VLOOKUP("buildings|NOx|Asthma symptoms wheeze", US_national_yearly!$D:$AM, 10, FALSE), 1)</f>
        <v>1.0863201391781792E-2</v>
      </c>
      <c r="Z8" s="7">
        <f>$B8 * IFERROR(VLOOKUP("buildings|NOx|Asthma symptoms wheeze", US_national_yearly!$D:$AM, 34, FALSE) / VLOOKUP("buildings|NOx|Asthma symptoms wheeze", US_national_yearly!$D:$AM, 10, FALSE), 1)</f>
        <v>1.0913082615561476E-2</v>
      </c>
      <c r="AA8" s="7">
        <f>$B8 * IFERROR(VLOOKUP("buildings|NOx|Asthma symptoms wheeze", US_national_yearly!$D:$AM, 35, FALSE) / VLOOKUP("buildings|NOx|Asthma symptoms wheeze", US_national_yearly!$D:$AM, 10, FALSE), 1)</f>
        <v>1.0962963839341157E-2</v>
      </c>
      <c r="AB8" s="7">
        <f>$B8 * IFERROR(VLOOKUP("buildings|NOx|Asthma symptoms wheeze", US_national_yearly!$D:$AM, 36, FALSE) / VLOOKUP("buildings|NOx|Asthma symptoms wheeze", US_national_yearly!$D:$AM, 10, FALSE), 1)</f>
        <v>1.1012845063120839E-2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1.0046284983028731E-4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1.0297284888162863E-4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1.0548284793296996E-4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1.0799284698431129E-4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1.1050284603565263E-4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1.1290248150746123E-4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1.1530211697926979E-4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1.1734055077652252E-4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1.1937898457377523E-4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1.2141741837102796E-4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1.2345585216828067E-4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1.254942859655334E-4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1.268569677431117E-4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1.2821964952069E-4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1.2958233129826833E-4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1.3094501307584665E-4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1.3230769485342493E-4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1.330383235555673E-4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1.3376895225770971E-4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1.3449958095985209E-4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1.3523020966199446E-4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1.3596083836413684E-4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1.3646098818516096E-4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1.3696113800618507E-4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1.3746128782720924E-4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1.3796143764823336E-4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1.3846158746925747E-4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6.1311857048585501E-4</v>
      </c>
      <c r="C13" s="7">
        <f>$B13 * IFERROR(VLOOKUP("buildings|NOx|Non-fatal heart attacks", US_national_yearly!$D:$AM, 11, FALSE) / VLOOKUP("buildings|NOx|Non-fatal heart attacks", US_national_yearly!$D:$AM, 10, FALSE), 1)</f>
        <v>6.3065864272266597E-4</v>
      </c>
      <c r="D13" s="7">
        <f>$B13 * IFERROR(VLOOKUP("buildings|NOx|Non-fatal heart attacks", US_national_yearly!$D:$AM, 12, FALSE) / VLOOKUP("buildings|NOx|Non-fatal heart attacks", US_national_yearly!$D:$AM, 10, FALSE), 1)</f>
        <v>6.4819871495947726E-4</v>
      </c>
      <c r="E13" s="7">
        <f>$B13 * IFERROR(VLOOKUP("buildings|NOx|Non-fatal heart attacks", US_national_yearly!$D:$AM, 13, FALSE) / VLOOKUP("buildings|NOx|Non-fatal heart attacks", US_national_yearly!$D:$AM, 10, FALSE), 1)</f>
        <v>6.6573878719628822E-4</v>
      </c>
      <c r="F13" s="7">
        <f>$B13 * IFERROR(VLOOKUP("buildings|NOx|Non-fatal heart attacks", US_national_yearly!$D:$AM, 14, FALSE) / VLOOKUP("buildings|NOx|Non-fatal heart attacks", US_national_yearly!$D:$AM, 10, FALSE), 1)</f>
        <v>6.8327885943309918E-4</v>
      </c>
      <c r="G13" s="7">
        <f>$B13 * IFERROR(VLOOKUP("buildings|NOx|Non-fatal heart attacks", US_national_yearly!$D:$AM, 15, FALSE) / VLOOKUP("buildings|NOx|Non-fatal heart attacks", US_national_yearly!$D:$AM, 10, FALSE), 1)</f>
        <v>6.9967350595787471E-4</v>
      </c>
      <c r="H13" s="7">
        <f>$B13 * IFERROR(VLOOKUP("buildings|NOx|Non-fatal heart attacks", US_national_yearly!$D:$AM, 16, FALSE) / VLOOKUP("buildings|NOx|Non-fatal heart attacks", US_national_yearly!$D:$AM, 10, FALSE), 1)</f>
        <v>7.1606815248265046E-4</v>
      </c>
      <c r="I13" s="7">
        <f>$B13 * IFERROR(VLOOKUP("buildings|NOx|Non-fatal heart attacks", US_national_yearly!$D:$AM, 17, FALSE) / VLOOKUP("buildings|NOx|Non-fatal heart attacks", US_national_yearly!$D:$AM, 10, FALSE), 1)</f>
        <v>7.2900235006891989E-4</v>
      </c>
      <c r="J13" s="7">
        <f>$B13 * IFERROR(VLOOKUP("buildings|NOx|Non-fatal heart attacks", US_national_yearly!$D:$AM, 18, FALSE) / VLOOKUP("buildings|NOx|Non-fatal heart attacks", US_national_yearly!$D:$AM, 10, FALSE), 1)</f>
        <v>7.4193654765518932E-4</v>
      </c>
      <c r="K13" s="7">
        <f>$B13 * IFERROR(VLOOKUP("buildings|NOx|Non-fatal heart attacks", US_national_yearly!$D:$AM, 19, FALSE) / VLOOKUP("buildings|NOx|Non-fatal heart attacks", US_national_yearly!$D:$AM, 10, FALSE), 1)</f>
        <v>7.5487074524145897E-4</v>
      </c>
      <c r="L13" s="7">
        <f>$B13 * IFERROR(VLOOKUP("buildings|NOx|Non-fatal heart attacks", US_national_yearly!$D:$AM, 20, FALSE) / VLOOKUP("buildings|NOx|Non-fatal heart attacks", US_national_yearly!$D:$AM, 10, FALSE), 1)</f>
        <v>7.6780494282772808E-4</v>
      </c>
      <c r="M13" s="7">
        <f>$B13 * IFERROR(VLOOKUP("buildings|NOx|Non-fatal heart attacks", US_national_yearly!$D:$AM, 21, FALSE) / VLOOKUP("buildings|NOx|Non-fatal heart attacks", US_national_yearly!$D:$AM, 10, FALSE), 1)</f>
        <v>7.8073914041399772E-4</v>
      </c>
      <c r="N13" s="7">
        <f>$B13 * IFERROR(VLOOKUP("buildings|NOx|Non-fatal heart attacks", US_national_yearly!$D:$AM, 22, FALSE) / VLOOKUP("buildings|NOx|Non-fatal heart attacks", US_national_yearly!$D:$AM, 10, FALSE), 1)</f>
        <v>7.8852333260905766E-4</v>
      </c>
      <c r="O13" s="7">
        <f>$B13 * IFERROR(VLOOKUP("buildings|NOx|Non-fatal heart attacks", US_national_yearly!$D:$AM, 23, FALSE) / VLOOKUP("buildings|NOx|Non-fatal heart attacks", US_national_yearly!$D:$AM, 10, FALSE), 1)</f>
        <v>7.9630752480411749E-4</v>
      </c>
      <c r="P13" s="7">
        <f>$B13 * IFERROR(VLOOKUP("buildings|NOx|Non-fatal heart attacks", US_national_yearly!$D:$AM, 24, FALSE) / VLOOKUP("buildings|NOx|Non-fatal heart attacks", US_national_yearly!$D:$AM, 10, FALSE), 1)</f>
        <v>8.0409171699917742E-4</v>
      </c>
      <c r="Q13" s="7">
        <f>$B13 * IFERROR(VLOOKUP("buildings|NOx|Non-fatal heart attacks", US_national_yearly!$D:$AM, 25, FALSE) / VLOOKUP("buildings|NOx|Non-fatal heart attacks", US_national_yearly!$D:$AM, 10, FALSE), 1)</f>
        <v>8.1187590919423736E-4</v>
      </c>
      <c r="R13" s="7">
        <f>$B13 * IFERROR(VLOOKUP("buildings|NOx|Non-fatal heart attacks", US_national_yearly!$D:$AM, 26, FALSE) / VLOOKUP("buildings|NOx|Non-fatal heart attacks", US_national_yearly!$D:$AM, 10, FALSE), 1)</f>
        <v>8.1966010138929718E-4</v>
      </c>
      <c r="S13" s="7">
        <f>$B13 * IFERROR(VLOOKUP("buildings|NOx|Non-fatal heart attacks", US_national_yearly!$D:$AM, 27, FALSE) / VLOOKUP("buildings|NOx|Non-fatal heart attacks", US_national_yearly!$D:$AM, 10, FALSE), 1)</f>
        <v>8.2319754369779361E-4</v>
      </c>
      <c r="T13" s="7">
        <f>$B13 * IFERROR(VLOOKUP("buildings|NOx|Non-fatal heart attacks", US_national_yearly!$D:$AM, 28, FALSE) / VLOOKUP("buildings|NOx|Non-fatal heart attacks", US_national_yearly!$D:$AM, 10, FALSE), 1)</f>
        <v>8.2673498600629026E-4</v>
      </c>
      <c r="U13" s="7">
        <f>$B13 * IFERROR(VLOOKUP("buildings|NOx|Non-fatal heart attacks", US_national_yearly!$D:$AM, 29, FALSE) / VLOOKUP("buildings|NOx|Non-fatal heart attacks", US_national_yearly!$D:$AM, 10, FALSE), 1)</f>
        <v>8.302724283147868E-4</v>
      </c>
      <c r="V13" s="7">
        <f>$B13 * IFERROR(VLOOKUP("buildings|NOx|Non-fatal heart attacks", US_national_yearly!$D:$AM, 30, FALSE) / VLOOKUP("buildings|NOx|Non-fatal heart attacks", US_national_yearly!$D:$AM, 10, FALSE), 1)</f>
        <v>8.3380987062328324E-4</v>
      </c>
      <c r="W13" s="7">
        <f>$B13 * IFERROR(VLOOKUP("buildings|NOx|Non-fatal heart attacks", US_national_yearly!$D:$AM, 31, FALSE) / VLOOKUP("buildings|NOx|Non-fatal heart attacks", US_national_yearly!$D:$AM, 10, FALSE), 1)</f>
        <v>8.3734731293177978E-4</v>
      </c>
      <c r="X13" s="7">
        <f>$B13 * IFERROR(VLOOKUP("buildings|NOx|Non-fatal heart attacks", US_national_yearly!$D:$AM, 32, FALSE) / VLOOKUP("buildings|NOx|Non-fatal heart attacks", US_national_yearly!$D:$AM, 10, FALSE), 1)</f>
        <v>8.3971357377693511E-4</v>
      </c>
      <c r="Y13" s="7">
        <f>$B13 * IFERROR(VLOOKUP("buildings|NOx|Non-fatal heart attacks", US_national_yearly!$D:$AM, 33, FALSE) / VLOOKUP("buildings|NOx|Non-fatal heart attacks", US_national_yearly!$D:$AM, 10, FALSE), 1)</f>
        <v>8.4207983462209054E-4</v>
      </c>
      <c r="Z13" s="7">
        <f>$B13 * IFERROR(VLOOKUP("buildings|NOx|Non-fatal heart attacks", US_national_yearly!$D:$AM, 34, FALSE) / VLOOKUP("buildings|NOx|Non-fatal heart attacks", US_national_yearly!$D:$AM, 10, FALSE), 1)</f>
        <v>8.4444609546724598E-4</v>
      </c>
      <c r="AA13" s="7">
        <f>$B13 * IFERROR(VLOOKUP("buildings|NOx|Non-fatal heart attacks", US_national_yearly!$D:$AM, 35, FALSE) / VLOOKUP("buildings|NOx|Non-fatal heart attacks", US_national_yearly!$D:$AM, 10, FALSE), 1)</f>
        <v>8.4681235631240131E-4</v>
      </c>
      <c r="AB13" s="7">
        <f>$B13 * IFERROR(VLOOKUP("buildings|NOx|Non-fatal heart attacks", US_national_yearly!$D:$AM, 36, FALSE) / VLOOKUP("buildings|NOx|Non-fatal heart attacks", US_national_yearly!$D:$AM, 10, FALSE), 1)</f>
        <v>8.4917861715755674E-4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0.56209743674772994</v>
      </c>
      <c r="C14" s="7">
        <f>$B14 * IFERROR(VLOOKUP("buildings|NOx|Minor restricted activity days", US_national_yearly!$D:$AM, 11, FALSE) / VLOOKUP("buildings|NOx|Minor restricted activity days", US_national_yearly!$D:$AM, 10, FALSE), 1)</f>
        <v>0.56296967903750494</v>
      </c>
      <c r="D14" s="7">
        <f>$B14 * IFERROR(VLOOKUP("buildings|NOx|Minor restricted activity days", US_national_yearly!$D:$AM, 12, FALSE) / VLOOKUP("buildings|NOx|Minor restricted activity days", US_national_yearly!$D:$AM, 10, FALSE), 1)</f>
        <v>0.56384192132727995</v>
      </c>
      <c r="E14" s="7">
        <f>$B14 * IFERROR(VLOOKUP("buildings|NOx|Minor restricted activity days", US_national_yearly!$D:$AM, 13, FALSE) / VLOOKUP("buildings|NOx|Minor restricted activity days", US_national_yearly!$D:$AM, 10, FALSE), 1)</f>
        <v>0.56471416361705495</v>
      </c>
      <c r="F14" s="7">
        <f>$B14 * IFERROR(VLOOKUP("buildings|NOx|Minor restricted activity days", US_national_yearly!$D:$AM, 14, FALSE) / VLOOKUP("buildings|NOx|Minor restricted activity days", US_national_yearly!$D:$AM, 10, FALSE), 1)</f>
        <v>0.56558640590682996</v>
      </c>
      <c r="G14" s="7">
        <f>$B14 * IFERROR(VLOOKUP("buildings|NOx|Minor restricted activity days", US_national_yearly!$D:$AM, 15, FALSE) / VLOOKUP("buildings|NOx|Minor restricted activity days", US_national_yearly!$D:$AM, 10, FALSE), 1)</f>
        <v>0.56715339069402826</v>
      </c>
      <c r="H14" s="7">
        <f>$B14 * IFERROR(VLOOKUP("buildings|NOx|Minor restricted activity days", US_national_yearly!$D:$AM, 16, FALSE) / VLOOKUP("buildings|NOx|Minor restricted activity days", US_national_yearly!$D:$AM, 10, FALSE), 1)</f>
        <v>0.56872037548122645</v>
      </c>
      <c r="I14" s="7">
        <f>$B14 * IFERROR(VLOOKUP("buildings|NOx|Minor restricted activity days", US_national_yearly!$D:$AM, 17, FALSE) / VLOOKUP("buildings|NOx|Minor restricted activity days", US_national_yearly!$D:$AM, 10, FALSE), 1)</f>
        <v>0.57177554875324665</v>
      </c>
      <c r="J14" s="7">
        <f>$B14 * IFERROR(VLOOKUP("buildings|NOx|Minor restricted activity days", US_national_yearly!$D:$AM, 18, FALSE) / VLOOKUP("buildings|NOx|Minor restricted activity days", US_national_yearly!$D:$AM, 10, FALSE), 1)</f>
        <v>0.57483072202526675</v>
      </c>
      <c r="K14" s="7">
        <f>$B14 * IFERROR(VLOOKUP("buildings|NOx|Minor restricted activity days", US_national_yearly!$D:$AM, 19, FALSE) / VLOOKUP("buildings|NOx|Minor restricted activity days", US_national_yearly!$D:$AM, 10, FALSE), 1)</f>
        <v>0.57788589529728696</v>
      </c>
      <c r="L14" s="7">
        <f>$B14 * IFERROR(VLOOKUP("buildings|NOx|Minor restricted activity days", US_national_yearly!$D:$AM, 20, FALSE) / VLOOKUP("buildings|NOx|Minor restricted activity days", US_national_yearly!$D:$AM, 10, FALSE), 1)</f>
        <v>0.58094106856930705</v>
      </c>
      <c r="M14" s="7">
        <f>$B14 * IFERROR(VLOOKUP("buildings|NOx|Minor restricted activity days", US_national_yearly!$D:$AM, 21, FALSE) / VLOOKUP("buildings|NOx|Minor restricted activity days", US_national_yearly!$D:$AM, 10, FALSE), 1)</f>
        <v>0.58399624184132726</v>
      </c>
      <c r="N14" s="7">
        <f>$B14 * IFERROR(VLOOKUP("buildings|NOx|Minor restricted activity days", US_national_yearly!$D:$AM, 22, FALSE) / VLOOKUP("buildings|NOx|Minor restricted activity days", US_national_yearly!$D:$AM, 10, FALSE), 1)</f>
        <v>0.58836699803655501</v>
      </c>
      <c r="O14" s="7">
        <f>$B14 * IFERROR(VLOOKUP("buildings|NOx|Minor restricted activity days", US_national_yearly!$D:$AM, 23, FALSE) / VLOOKUP("buildings|NOx|Minor restricted activity days", US_national_yearly!$D:$AM, 10, FALSE), 1)</f>
        <v>0.59273775423178265</v>
      </c>
      <c r="P14" s="7">
        <f>$B14 * IFERROR(VLOOKUP("buildings|NOx|Minor restricted activity days", US_national_yearly!$D:$AM, 24, FALSE) / VLOOKUP("buildings|NOx|Minor restricted activity days", US_national_yearly!$D:$AM, 10, FALSE), 1)</f>
        <v>0.59710851042701041</v>
      </c>
      <c r="Q14" s="7">
        <f>$B14 * IFERROR(VLOOKUP("buildings|NOx|Minor restricted activity days", US_national_yearly!$D:$AM, 25, FALSE) / VLOOKUP("buildings|NOx|Minor restricted activity days", US_national_yearly!$D:$AM, 10, FALSE), 1)</f>
        <v>0.60147926662223805</v>
      </c>
      <c r="R14" s="7">
        <f>$B14 * IFERROR(VLOOKUP("buildings|NOx|Minor restricted activity days", US_national_yearly!$D:$AM, 26, FALSE) / VLOOKUP("buildings|NOx|Minor restricted activity days", US_national_yearly!$D:$AM, 10, FALSE), 1)</f>
        <v>0.60585002281746569</v>
      </c>
      <c r="S14" s="7">
        <f>$B14 * IFERROR(VLOOKUP("buildings|NOx|Minor restricted activity days", US_national_yearly!$D:$AM, 27, FALSE) / VLOOKUP("buildings|NOx|Minor restricted activity days", US_national_yearly!$D:$AM, 10, FALSE), 1)</f>
        <v>0.61021952079065667</v>
      </c>
      <c r="T14" s="7">
        <f>$B14 * IFERROR(VLOOKUP("buildings|NOx|Minor restricted activity days", US_national_yearly!$D:$AM, 28, FALSE) / VLOOKUP("buildings|NOx|Minor restricted activity days", US_national_yearly!$D:$AM, 10, FALSE), 1)</f>
        <v>0.61458901876384764</v>
      </c>
      <c r="U14" s="7">
        <f>$B14 * IFERROR(VLOOKUP("buildings|NOx|Minor restricted activity days", US_national_yearly!$D:$AM, 29, FALSE) / VLOOKUP("buildings|NOx|Minor restricted activity days", US_national_yearly!$D:$AM, 10, FALSE), 1)</f>
        <v>0.61895851673703861</v>
      </c>
      <c r="V14" s="7">
        <f>$B14 * IFERROR(VLOOKUP("buildings|NOx|Minor restricted activity days", US_national_yearly!$D:$AM, 30, FALSE) / VLOOKUP("buildings|NOx|Minor restricted activity days", US_national_yearly!$D:$AM, 10, FALSE), 1)</f>
        <v>0.62332801471022958</v>
      </c>
      <c r="W14" s="7">
        <f>$B14 * IFERROR(VLOOKUP("buildings|NOx|Minor restricted activity days", US_national_yearly!$D:$AM, 31, FALSE) / VLOOKUP("buildings|NOx|Minor restricted activity days", US_national_yearly!$D:$AM, 10, FALSE), 1)</f>
        <v>0.62769751268342056</v>
      </c>
      <c r="X14" s="7">
        <f>$B14 * IFERROR(VLOOKUP("buildings|NOx|Minor restricted activity days", US_national_yearly!$D:$AM, 32, FALSE) / VLOOKUP("buildings|NOx|Minor restricted activity days", US_national_yearly!$D:$AM, 10, FALSE), 1)</f>
        <v>0.63139297660471094</v>
      </c>
      <c r="Y14" s="7">
        <f>$B14 * IFERROR(VLOOKUP("buildings|NOx|Minor restricted activity days", US_national_yearly!$D:$AM, 33, FALSE) / VLOOKUP("buildings|NOx|Minor restricted activity days", US_national_yearly!$D:$AM, 10, FALSE), 1)</f>
        <v>0.63508844052600144</v>
      </c>
      <c r="Z14" s="7">
        <f>$B14 * IFERROR(VLOOKUP("buildings|NOx|Minor restricted activity days", US_national_yearly!$D:$AM, 34, FALSE) / VLOOKUP("buildings|NOx|Minor restricted activity days", US_national_yearly!$D:$AM, 10, FALSE), 1)</f>
        <v>0.63878390444729172</v>
      </c>
      <c r="AA14" s="7">
        <f>$B14 * IFERROR(VLOOKUP("buildings|NOx|Minor restricted activity days", US_national_yearly!$D:$AM, 35, FALSE) / VLOOKUP("buildings|NOx|Minor restricted activity days", US_national_yearly!$D:$AM, 10, FALSE), 1)</f>
        <v>0.64247936836858222</v>
      </c>
      <c r="AB14" s="7">
        <f>$B14 * IFERROR(VLOOKUP("buildings|NOx|Minor restricted activity days", US_national_yearly!$D:$AM, 36, FALSE) / VLOOKUP("buildings|NOx|Minor restricted activity days", US_national_yearly!$D:$AM, 10, FALSE), 1)</f>
        <v>0.6461748322898726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9.5640339580216602E-2</v>
      </c>
      <c r="C15" s="7">
        <f>$B15 * IFERROR(VLOOKUP("buildings|NOx|Work loss days", US_national_yearly!$D:$AM, 11, FALSE) / VLOOKUP("buildings|NOx|Work loss days", US_national_yearly!$D:$AM, 10, FALSE), 1)</f>
        <v>9.5854739882740639E-2</v>
      </c>
      <c r="D15" s="7">
        <f>$B15 * IFERROR(VLOOKUP("buildings|NOx|Work loss days", US_national_yearly!$D:$AM, 12, FALSE) / VLOOKUP("buildings|NOx|Work loss days", US_national_yearly!$D:$AM, 10, FALSE), 1)</f>
        <v>9.6069140185264648E-2</v>
      </c>
      <c r="E15" s="7">
        <f>$B15 * IFERROR(VLOOKUP("buildings|NOx|Work loss days", US_national_yearly!$D:$AM, 13, FALSE) / VLOOKUP("buildings|NOx|Work loss days", US_national_yearly!$D:$AM, 10, FALSE), 1)</f>
        <v>9.6283540487788657E-2</v>
      </c>
      <c r="F15" s="7">
        <f>$B15 * IFERROR(VLOOKUP("buildings|NOx|Work loss days", US_national_yearly!$D:$AM, 14, FALSE) / VLOOKUP("buildings|NOx|Work loss days", US_national_yearly!$D:$AM, 10, FALSE), 1)</f>
        <v>9.6497940790312681E-2</v>
      </c>
      <c r="G15" s="7">
        <f>$B15 * IFERROR(VLOOKUP("buildings|NOx|Work loss days", US_national_yearly!$D:$AM, 15, FALSE) / VLOOKUP("buildings|NOx|Work loss days", US_national_yearly!$D:$AM, 10, FALSE), 1)</f>
        <v>9.6810238868447696E-2</v>
      </c>
      <c r="H15" s="7">
        <f>$B15 * IFERROR(VLOOKUP("buildings|NOx|Work loss days", US_national_yearly!$D:$AM, 16, FALSE) / VLOOKUP("buildings|NOx|Work loss days", US_national_yearly!$D:$AM, 10, FALSE), 1)</f>
        <v>9.7122536946582697E-2</v>
      </c>
      <c r="I15" s="7">
        <f>$B15 * IFERROR(VLOOKUP("buildings|NOx|Work loss days", US_national_yearly!$D:$AM, 17, FALSE) / VLOOKUP("buildings|NOx|Work loss days", US_national_yearly!$D:$AM, 10, FALSE), 1)</f>
        <v>9.7627617071186848E-2</v>
      </c>
      <c r="J15" s="7">
        <f>$B15 * IFERROR(VLOOKUP("buildings|NOx|Work loss days", US_national_yearly!$D:$AM, 18, FALSE) / VLOOKUP("buildings|NOx|Work loss days", US_national_yearly!$D:$AM, 10, FALSE), 1)</f>
        <v>9.8132697195790985E-2</v>
      </c>
      <c r="K15" s="7">
        <f>$B15 * IFERROR(VLOOKUP("buildings|NOx|Work loss days", US_national_yearly!$D:$AM, 19, FALSE) / VLOOKUP("buildings|NOx|Work loss days", US_national_yearly!$D:$AM, 10, FALSE), 1)</f>
        <v>9.8637777320395123E-2</v>
      </c>
      <c r="L15" s="7">
        <f>$B15 * IFERROR(VLOOKUP("buildings|NOx|Work loss days", US_national_yearly!$D:$AM, 20, FALSE) / VLOOKUP("buildings|NOx|Work loss days", US_national_yearly!$D:$AM, 10, FALSE), 1)</f>
        <v>9.9142857444999274E-2</v>
      </c>
      <c r="M15" s="7">
        <f>$B15 * IFERROR(VLOOKUP("buildings|NOx|Work loss days", US_national_yearly!$D:$AM, 21, FALSE) / VLOOKUP("buildings|NOx|Work loss days", US_national_yearly!$D:$AM, 10, FALSE), 1)</f>
        <v>9.9647937569603412E-2</v>
      </c>
      <c r="N15" s="7">
        <f>$B15 * IFERROR(VLOOKUP("buildings|NOx|Work loss days", US_national_yearly!$D:$AM, 22, FALSE) / VLOOKUP("buildings|NOx|Work loss days", US_national_yearly!$D:$AM, 10, FALSE), 1)</f>
        <v>0.1003050476448349</v>
      </c>
      <c r="O15" s="7">
        <f>$B15 * IFERROR(VLOOKUP("buildings|NOx|Work loss days", US_national_yearly!$D:$AM, 23, FALSE) / VLOOKUP("buildings|NOx|Work loss days", US_national_yearly!$D:$AM, 10, FALSE), 1)</f>
        <v>0.10096215772006639</v>
      </c>
      <c r="P15" s="7">
        <f>$B15 * IFERROR(VLOOKUP("buildings|NOx|Work loss days", US_national_yearly!$D:$AM, 24, FALSE) / VLOOKUP("buildings|NOx|Work loss days", US_national_yearly!$D:$AM, 10, FALSE), 1)</f>
        <v>0.1016192677952979</v>
      </c>
      <c r="Q15" s="7">
        <f>$B15 * IFERROR(VLOOKUP("buildings|NOx|Work loss days", US_national_yearly!$D:$AM, 25, FALSE) / VLOOKUP("buildings|NOx|Work loss days", US_national_yearly!$D:$AM, 10, FALSE), 1)</f>
        <v>0.10227637787052941</v>
      </c>
      <c r="R15" s="7">
        <f>$B15 * IFERROR(VLOOKUP("buildings|NOx|Work loss days", US_national_yearly!$D:$AM, 26, FALSE) / VLOOKUP("buildings|NOx|Work loss days", US_national_yearly!$D:$AM, 10, FALSE), 1)</f>
        <v>0.1029334879457609</v>
      </c>
      <c r="S15" s="7">
        <f>$B15 * IFERROR(VLOOKUP("buildings|NOx|Work loss days", US_national_yearly!$D:$AM, 27, FALSE) / VLOOKUP("buildings|NOx|Work loss days", US_national_yearly!$D:$AM, 10, FALSE), 1)</f>
        <v>0.10366572196693663</v>
      </c>
      <c r="T15" s="7">
        <f>$B15 * IFERROR(VLOOKUP("buildings|NOx|Work loss days", US_national_yearly!$D:$AM, 28, FALSE) / VLOOKUP("buildings|NOx|Work loss days", US_national_yearly!$D:$AM, 10, FALSE), 1)</f>
        <v>0.10439795598811236</v>
      </c>
      <c r="U15" s="7">
        <f>$B15 * IFERROR(VLOOKUP("buildings|NOx|Work loss days", US_national_yearly!$D:$AM, 29, FALSE) / VLOOKUP("buildings|NOx|Work loss days", US_national_yearly!$D:$AM, 10, FALSE), 1)</f>
        <v>0.10513019000928808</v>
      </c>
      <c r="V15" s="7">
        <f>$B15 * IFERROR(VLOOKUP("buildings|NOx|Work loss days", US_national_yearly!$D:$AM, 30, FALSE) / VLOOKUP("buildings|NOx|Work loss days", US_national_yearly!$D:$AM, 10, FALSE), 1)</f>
        <v>0.10586242403046379</v>
      </c>
      <c r="W15" s="7">
        <f>$B15 * IFERROR(VLOOKUP("buildings|NOx|Work loss days", US_national_yearly!$D:$AM, 31, FALSE) / VLOOKUP("buildings|NOx|Work loss days", US_national_yearly!$D:$AM, 10, FALSE), 1)</f>
        <v>0.10659465805163952</v>
      </c>
      <c r="X15" s="7">
        <f>$B15 * IFERROR(VLOOKUP("buildings|NOx|Work loss days", US_national_yearly!$D:$AM, 32, FALSE) / VLOOKUP("buildings|NOx|Work loss days", US_national_yearly!$D:$AM, 10, FALSE), 1)</f>
        <v>0.10723039017296657</v>
      </c>
      <c r="Y15" s="7">
        <f>$B15 * IFERROR(VLOOKUP("buildings|NOx|Work loss days", US_national_yearly!$D:$AM, 33, FALSE) / VLOOKUP("buildings|NOx|Work loss days", US_national_yearly!$D:$AM, 10, FALSE), 1)</f>
        <v>0.10786612229429363</v>
      </c>
      <c r="Z15" s="7">
        <f>$B15 * IFERROR(VLOOKUP("buildings|NOx|Work loss days", US_national_yearly!$D:$AM, 34, FALSE) / VLOOKUP("buildings|NOx|Work loss days", US_national_yearly!$D:$AM, 10, FALSE), 1)</f>
        <v>0.10850185441562067</v>
      </c>
      <c r="AA15" s="7">
        <f>$B15 * IFERROR(VLOOKUP("buildings|NOx|Work loss days", US_national_yearly!$D:$AM, 35, FALSE) / VLOOKUP("buildings|NOx|Work loss days", US_national_yearly!$D:$AM, 10, FALSE), 1)</f>
        <v>0.10913758653694773</v>
      </c>
      <c r="AB15" s="7">
        <f>$B15 * IFERROR(VLOOKUP("buildings|NOx|Work loss days", US_national_yearly!$D:$AM, 36, FALSE) / VLOOKUP("buildings|NOx|Work loss days", US_national_yearly!$D:$AM, 10, FALSE), 1)</f>
        <v>0.10977331865827478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1.4858834203207021E-4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1.5295685249125518E-4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1.5732536295044017E-4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1.6169387340962517E-4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1.6606238386881013E-4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1.7021238935231719E-4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1.7436239483582425E-4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1.7785421471941057E-4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1.8134603460299688E-4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1.8483785448658317E-4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1.8832967437016945E-4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1.9182149425375571E-4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1.940057468688881E-4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1.9618999948402041E-4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1.9837425209915277E-4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2.0055850471428511E-4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2.0274275732941744E-4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2.0374080449771565E-4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2.0473885166601385E-4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2.0573689883431206E-4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2.0673494600261023E-4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2.0773299317090847E-4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2.0828929458540377E-4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2.088455959998991E-4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2.0940189741439443E-4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2.0995819882888977E-4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2.1051450024338507E-4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1.1362483365513203E-3</v>
      </c>
      <c r="C2" s="7">
        <f>$B2 * IFERROR(VLOOKUP("buildings|SO2|Premature mortality", US_national_yearly!$D:$AM, 11, FALSE) / VLOOKUP("buildings|SO2|Premature mortality", US_national_yearly!$D:$AM, 10, FALSE), 1)</f>
        <v>1.1506427984250861E-3</v>
      </c>
      <c r="D2" s="7">
        <f>$B2 * IFERROR(VLOOKUP("buildings|SO2|Premature mortality", US_national_yearly!$D:$AM, 12, FALSE) / VLOOKUP("buildings|SO2|Premature mortality", US_national_yearly!$D:$AM, 10, FALSE), 1)</f>
        <v>1.1650372602988515E-3</v>
      </c>
      <c r="E2" s="7">
        <f>$B2 * IFERROR(VLOOKUP("buildings|SO2|Premature mortality", US_national_yearly!$D:$AM, 13, FALSE) / VLOOKUP("buildings|SO2|Premature mortality", US_national_yearly!$D:$AM, 10, FALSE), 1)</f>
        <v>1.1794317221726174E-3</v>
      </c>
      <c r="F2" s="7">
        <f>$B2 * IFERROR(VLOOKUP("buildings|SO2|Premature mortality", US_national_yearly!$D:$AM, 14, FALSE) / VLOOKUP("buildings|SO2|Premature mortality", US_national_yearly!$D:$AM, 10, FALSE), 1)</f>
        <v>1.193826184046383E-3</v>
      </c>
      <c r="G2" s="7">
        <f>$B2 * IFERROR(VLOOKUP("buildings|SO2|Premature mortality", US_national_yearly!$D:$AM, 15, FALSE) / VLOOKUP("buildings|SO2|Premature mortality", US_national_yearly!$D:$AM, 10, FALSE), 1)</f>
        <v>1.2215613913378715E-3</v>
      </c>
      <c r="H2" s="7">
        <f>$B2 * IFERROR(VLOOKUP("buildings|SO2|Premature mortality", US_national_yearly!$D:$AM, 16, FALSE) / VLOOKUP("buildings|SO2|Premature mortality", US_national_yearly!$D:$AM, 10, FALSE), 1)</f>
        <v>1.2492965986293601E-3</v>
      </c>
      <c r="I2" s="7">
        <f>$B2 * IFERROR(VLOOKUP("buildings|SO2|Premature mortality", US_national_yearly!$D:$AM, 17, FALSE) / VLOOKUP("buildings|SO2|Premature mortality", US_national_yearly!$D:$AM, 10, FALSE), 1)</f>
        <v>1.2676349583840942E-3</v>
      </c>
      <c r="J2" s="7">
        <f>$B2 * IFERROR(VLOOKUP("buildings|SO2|Premature mortality", US_national_yearly!$D:$AM, 18, FALSE) / VLOOKUP("buildings|SO2|Premature mortality", US_national_yearly!$D:$AM, 10, FALSE), 1)</f>
        <v>1.2859733181388284E-3</v>
      </c>
      <c r="K2" s="7">
        <f>$B2 * IFERROR(VLOOKUP("buildings|SO2|Premature mortality", US_national_yearly!$D:$AM, 19, FALSE) / VLOOKUP("buildings|SO2|Premature mortality", US_national_yearly!$D:$AM, 10, FALSE), 1)</f>
        <v>1.3043116778935625E-3</v>
      </c>
      <c r="L2" s="7">
        <f>$B2 * IFERROR(VLOOKUP("buildings|SO2|Premature mortality", US_national_yearly!$D:$AM, 20, FALSE) / VLOOKUP("buildings|SO2|Premature mortality", US_national_yearly!$D:$AM, 10, FALSE), 1)</f>
        <v>1.3226500376482965E-3</v>
      </c>
      <c r="M2" s="7">
        <f>$B2 * IFERROR(VLOOKUP("buildings|SO2|Premature mortality", US_national_yearly!$D:$AM, 21, FALSE) / VLOOKUP("buildings|SO2|Premature mortality", US_national_yearly!$D:$AM, 10, FALSE), 1)</f>
        <v>1.3409883974030308E-3</v>
      </c>
      <c r="N2" s="7">
        <f>$B2 * IFERROR(VLOOKUP("buildings|SO2|Premature mortality", US_national_yearly!$D:$AM, 22, FALSE) / VLOOKUP("buildings|SO2|Premature mortality", US_national_yearly!$D:$AM, 10, FALSE), 1)</f>
        <v>1.3553136798952811E-3</v>
      </c>
      <c r="O2" s="7">
        <f>$B2 * IFERROR(VLOOKUP("buildings|SO2|Premature mortality", US_national_yearly!$D:$AM, 23, FALSE) / VLOOKUP("buildings|SO2|Premature mortality", US_national_yearly!$D:$AM, 10, FALSE), 1)</f>
        <v>1.3696389623875304E-3</v>
      </c>
      <c r="P2" s="7">
        <f>$B2 * IFERROR(VLOOKUP("buildings|SO2|Premature mortality", US_national_yearly!$D:$AM, 24, FALSE) / VLOOKUP("buildings|SO2|Premature mortality", US_national_yearly!$D:$AM, 10, FALSE), 1)</f>
        <v>1.3839642448797804E-3</v>
      </c>
      <c r="Q2" s="7">
        <f>$B2 * IFERROR(VLOOKUP("buildings|SO2|Premature mortality", US_national_yearly!$D:$AM, 25, FALSE) / VLOOKUP("buildings|SO2|Premature mortality", US_national_yearly!$D:$AM, 10, FALSE), 1)</f>
        <v>1.39828952737203E-3</v>
      </c>
      <c r="R2" s="7">
        <f>$B2 * IFERROR(VLOOKUP("buildings|SO2|Premature mortality", US_national_yearly!$D:$AM, 26, FALSE) / VLOOKUP("buildings|SO2|Premature mortality", US_national_yearly!$D:$AM, 10, FALSE), 1)</f>
        <v>1.41261480986428E-3</v>
      </c>
      <c r="S2" s="7">
        <f>$B2 * IFERROR(VLOOKUP("buildings|SO2|Premature mortality", US_national_yearly!$D:$AM, 27, FALSE) / VLOOKUP("buildings|SO2|Premature mortality", US_national_yearly!$D:$AM, 10, FALSE), 1)</f>
        <v>1.4202818645735228E-3</v>
      </c>
      <c r="T2" s="7">
        <f>$B2 * IFERROR(VLOOKUP("buildings|SO2|Premature mortality", US_national_yearly!$D:$AM, 28, FALSE) / VLOOKUP("buildings|SO2|Premature mortality", US_national_yearly!$D:$AM, 10, FALSE), 1)</f>
        <v>1.4279489192827661E-3</v>
      </c>
      <c r="U2" s="7">
        <f>$B2 * IFERROR(VLOOKUP("buildings|SO2|Premature mortality", US_national_yearly!$D:$AM, 29, FALSE) / VLOOKUP("buildings|SO2|Premature mortality", US_national_yearly!$D:$AM, 10, FALSE), 1)</f>
        <v>1.4356159739920091E-3</v>
      </c>
      <c r="V2" s="7">
        <f>$B2 * IFERROR(VLOOKUP("buildings|SO2|Premature mortality", US_national_yearly!$D:$AM, 30, FALSE) / VLOOKUP("buildings|SO2|Premature mortality", US_national_yearly!$D:$AM, 10, FALSE), 1)</f>
        <v>1.4432830287012524E-3</v>
      </c>
      <c r="W2" s="7">
        <f>$B2 * IFERROR(VLOOKUP("buildings|SO2|Premature mortality", US_national_yearly!$D:$AM, 31, FALSE) / VLOOKUP("buildings|SO2|Premature mortality", US_national_yearly!$D:$AM, 10, FALSE), 1)</f>
        <v>1.4509500834104952E-3</v>
      </c>
      <c r="X2" s="7">
        <f>$B2 * IFERROR(VLOOKUP("buildings|SO2|Premature mortality", US_national_yearly!$D:$AM, 32, FALSE) / VLOOKUP("buildings|SO2|Premature mortality", US_national_yearly!$D:$AM, 10, FALSE), 1)</f>
        <v>1.4524993264834387E-3</v>
      </c>
      <c r="Y2" s="7">
        <f>$B2 * IFERROR(VLOOKUP("buildings|SO2|Premature mortality", US_national_yearly!$D:$AM, 33, FALSE) / VLOOKUP("buildings|SO2|Premature mortality", US_national_yearly!$D:$AM, 10, FALSE), 1)</f>
        <v>1.454048569556382E-3</v>
      </c>
      <c r="Z2" s="7">
        <f>$B2 * IFERROR(VLOOKUP("buildings|SO2|Premature mortality", US_national_yearly!$D:$AM, 34, FALSE) / VLOOKUP("buildings|SO2|Premature mortality", US_national_yearly!$D:$AM, 10, FALSE), 1)</f>
        <v>1.455597812629325E-3</v>
      </c>
      <c r="AA2" s="7">
        <f>$B2 * IFERROR(VLOOKUP("buildings|SO2|Premature mortality", US_national_yearly!$D:$AM, 35, FALSE) / VLOOKUP("buildings|SO2|Premature mortality", US_national_yearly!$D:$AM, 10, FALSE), 1)</f>
        <v>1.4571470557022683E-3</v>
      </c>
      <c r="AB2" s="7">
        <f>$B2 * IFERROR(VLOOKUP("buildings|SO2|Premature mortality", US_national_yearly!$D:$AM, 36, FALSE) / VLOOKUP("buildings|SO2|Premature mortality", US_national_yearly!$D:$AM, 10, FALSE), 1)</f>
        <v>1.4586962987752116E-3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3.0044753905295901E-6</v>
      </c>
      <c r="C3" s="7">
        <f>$B3 * IFERROR(VLOOKUP("buildings|SO2|Infant mortality", US_national_yearly!$D:$AM, 11, FALSE) / VLOOKUP("buildings|SO2|Infant mortality", US_national_yearly!$D:$AM, 10, FALSE), 1)</f>
        <v>2.9787228085240861E-6</v>
      </c>
      <c r="D3" s="7">
        <f>$B3 * IFERROR(VLOOKUP("buildings|SO2|Infant mortality", US_national_yearly!$D:$AM, 12, FALSE) / VLOOKUP("buildings|SO2|Infant mortality", US_national_yearly!$D:$AM, 10, FALSE), 1)</f>
        <v>2.9529702265185817E-6</v>
      </c>
      <c r="E3" s="7">
        <f>$B3 * IFERROR(VLOOKUP("buildings|SO2|Infant mortality", US_national_yearly!$D:$AM, 13, FALSE) / VLOOKUP("buildings|SO2|Infant mortality", US_national_yearly!$D:$AM, 10, FALSE), 1)</f>
        <v>2.9272176445130781E-6</v>
      </c>
      <c r="F3" s="7">
        <f>$B3 * IFERROR(VLOOKUP("buildings|SO2|Infant mortality", US_national_yearly!$D:$AM, 14, FALSE) / VLOOKUP("buildings|SO2|Infant mortality", US_national_yearly!$D:$AM, 10, FALSE), 1)</f>
        <v>2.9014650625075741E-6</v>
      </c>
      <c r="G3" s="7">
        <f>$B3 * IFERROR(VLOOKUP("buildings|SO2|Infant mortality", US_national_yearly!$D:$AM, 15, FALSE) / VLOOKUP("buildings|SO2|Infant mortality", US_national_yearly!$D:$AM, 10, FALSE), 1)</f>
        <v>1.932260785033219E-6</v>
      </c>
      <c r="H3" s="7">
        <f>$B3 * IFERROR(VLOOKUP("buildings|SO2|Infant mortality", US_national_yearly!$D:$AM, 16, FALSE) / VLOOKUP("buildings|SO2|Infant mortality", US_national_yearly!$D:$AM, 10, FALSE), 1)</f>
        <v>9.6305650755886432E-7</v>
      </c>
      <c r="I3" s="7">
        <f>$B3 * IFERROR(VLOOKUP("buildings|SO2|Infant mortality", US_national_yearly!$D:$AM, 17, FALSE) / VLOOKUP("buildings|SO2|Infant mortality", US_national_yearly!$D:$AM, 10, FALSE), 1)</f>
        <v>9.5701418468014406E-7</v>
      </c>
      <c r="J3" s="7">
        <f>$B3 * IFERROR(VLOOKUP("buildings|SO2|Infant mortality", US_national_yearly!$D:$AM, 18, FALSE) / VLOOKUP("buildings|SO2|Infant mortality", US_national_yearly!$D:$AM, 10, FALSE), 1)</f>
        <v>9.5097186180142337E-7</v>
      </c>
      <c r="K3" s="7">
        <f>$B3 * IFERROR(VLOOKUP("buildings|SO2|Infant mortality", US_national_yearly!$D:$AM, 19, FALSE) / VLOOKUP("buildings|SO2|Infant mortality", US_national_yearly!$D:$AM, 10, FALSE), 1)</f>
        <v>9.449295389227029E-7</v>
      </c>
      <c r="L3" s="7">
        <f>$B3 * IFERROR(VLOOKUP("buildings|SO2|Infant mortality", US_national_yearly!$D:$AM, 20, FALSE) / VLOOKUP("buildings|SO2|Infant mortality", US_national_yearly!$D:$AM, 10, FALSE), 1)</f>
        <v>9.3888721604398232E-7</v>
      </c>
      <c r="M3" s="7">
        <f>$B3 * IFERROR(VLOOKUP("buildings|SO2|Infant mortality", US_national_yearly!$D:$AM, 21, FALSE) / VLOOKUP("buildings|SO2|Infant mortality", US_national_yearly!$D:$AM, 10, FALSE), 1)</f>
        <v>9.3284489316526195E-7</v>
      </c>
      <c r="N3" s="7">
        <f>$B3 * IFERROR(VLOOKUP("buildings|SO2|Infant mortality", US_national_yearly!$D:$AM, 22, FALSE) / VLOOKUP("buildings|SO2|Infant mortality", US_national_yearly!$D:$AM, 10, FALSE), 1)</f>
        <v>9.2905699860849195E-7</v>
      </c>
      <c r="O3" s="7">
        <f>$B3 * IFERROR(VLOOKUP("buildings|SO2|Infant mortality", US_national_yearly!$D:$AM, 23, FALSE) / VLOOKUP("buildings|SO2|Infant mortality", US_national_yearly!$D:$AM, 10, FALSE), 1)</f>
        <v>9.2526910405172206E-7</v>
      </c>
      <c r="P3" s="7">
        <f>$B3 * IFERROR(VLOOKUP("buildings|SO2|Infant mortality", US_national_yearly!$D:$AM, 24, FALSE) / VLOOKUP("buildings|SO2|Infant mortality", US_national_yearly!$D:$AM, 10, FALSE), 1)</f>
        <v>9.2148120949495206E-7</v>
      </c>
      <c r="Q3" s="7">
        <f>$B3 * IFERROR(VLOOKUP("buildings|SO2|Infant mortality", US_national_yearly!$D:$AM, 25, FALSE) / VLOOKUP("buildings|SO2|Infant mortality", US_national_yearly!$D:$AM, 10, FALSE), 1)</f>
        <v>9.1769331493818207E-7</v>
      </c>
      <c r="R3" s="7">
        <f>$B3 * IFERROR(VLOOKUP("buildings|SO2|Infant mortality", US_national_yearly!$D:$AM, 26, FALSE) / VLOOKUP("buildings|SO2|Infant mortality", US_national_yearly!$D:$AM, 10, FALSE), 1)</f>
        <v>9.1390542038141218E-7</v>
      </c>
      <c r="S3" s="7">
        <f>$B3 * IFERROR(VLOOKUP("buildings|SO2|Infant mortality", US_national_yearly!$D:$AM, 27, FALSE) / VLOOKUP("buildings|SO2|Infant mortality", US_national_yearly!$D:$AM, 10, FALSE), 1)</f>
        <v>9.0914902569809996E-7</v>
      </c>
      <c r="T3" s="7">
        <f>$B3 * IFERROR(VLOOKUP("buildings|SO2|Infant mortality", US_national_yearly!$D:$AM, 28, FALSE) / VLOOKUP("buildings|SO2|Infant mortality", US_national_yearly!$D:$AM, 10, FALSE), 1)</f>
        <v>9.0439263101478785E-7</v>
      </c>
      <c r="U3" s="7">
        <f>$B3 * IFERROR(VLOOKUP("buildings|SO2|Infant mortality", US_national_yearly!$D:$AM, 29, FALSE) / VLOOKUP("buildings|SO2|Infant mortality", US_national_yearly!$D:$AM, 10, FALSE), 1)</f>
        <v>8.9963623633147563E-7</v>
      </c>
      <c r="V3" s="7">
        <f>$B3 * IFERROR(VLOOKUP("buildings|SO2|Infant mortality", US_national_yearly!$D:$AM, 30, FALSE) / VLOOKUP("buildings|SO2|Infant mortality", US_national_yearly!$D:$AM, 10, FALSE), 1)</f>
        <v>8.9487984164816352E-7</v>
      </c>
      <c r="W3" s="7">
        <f>$B3 * IFERROR(VLOOKUP("buildings|SO2|Infant mortality", US_national_yearly!$D:$AM, 31, FALSE) / VLOOKUP("buildings|SO2|Infant mortality", US_national_yearly!$D:$AM, 10, FALSE), 1)</f>
        <v>8.901234469648513E-7</v>
      </c>
      <c r="X3" s="7">
        <f>$B3 * IFERROR(VLOOKUP("buildings|SO2|Infant mortality", US_national_yearly!$D:$AM, 32, FALSE) / VLOOKUP("buildings|SO2|Infant mortality", US_national_yearly!$D:$AM, 10, FALSE), 1)</f>
        <v>8.8492871031242879E-7</v>
      </c>
      <c r="Y3" s="7">
        <f>$B3 * IFERROR(VLOOKUP("buildings|SO2|Infant mortality", US_national_yearly!$D:$AM, 33, FALSE) / VLOOKUP("buildings|SO2|Infant mortality", US_national_yearly!$D:$AM, 10, FALSE), 1)</f>
        <v>8.7973397366000629E-7</v>
      </c>
      <c r="Z3" s="7">
        <f>$B3 * IFERROR(VLOOKUP("buildings|SO2|Infant mortality", US_national_yearly!$D:$AM, 34, FALSE) / VLOOKUP("buildings|SO2|Infant mortality", US_national_yearly!$D:$AM, 10, FALSE), 1)</f>
        <v>8.7453923700758389E-7</v>
      </c>
      <c r="AA3" s="7">
        <f>$B3 * IFERROR(VLOOKUP("buildings|SO2|Infant mortality", US_national_yearly!$D:$AM, 35, FALSE) / VLOOKUP("buildings|SO2|Infant mortality", US_national_yearly!$D:$AM, 10, FALSE), 1)</f>
        <v>8.6934450035516128E-7</v>
      </c>
      <c r="AB3" s="7">
        <f>$B3 * IFERROR(VLOOKUP("buildings|SO2|Infant mortality", US_national_yearly!$D:$AM, 36, FALSE) / VLOOKUP("buildings|SO2|Infant mortality", US_national_yearly!$D:$AM, 10, FALSE), 1)</f>
        <v>8.6414976370273888E-7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3.0403715179447041E-3</v>
      </c>
      <c r="C6" s="7">
        <f>$B6 * IFERROR(VLOOKUP("buildings|SO2|Asthma symptoms cough", US_national_yearly!$D:$AM, 11, FALSE) / VLOOKUP("buildings|SO2|Asthma symptoms cough", US_national_yearly!$D:$AM, 10, FALSE), 1)</f>
        <v>3.0403715179447041E-3</v>
      </c>
      <c r="D6" s="7">
        <f>$B6 * IFERROR(VLOOKUP("buildings|SO2|Asthma symptoms cough", US_national_yearly!$D:$AM, 12, FALSE) / VLOOKUP("buildings|SO2|Asthma symptoms cough", US_national_yearly!$D:$AM, 10, FALSE), 1)</f>
        <v>3.0403715179447041E-3</v>
      </c>
      <c r="E6" s="7">
        <f>$B6 * IFERROR(VLOOKUP("buildings|SO2|Asthma symptoms cough", US_national_yearly!$D:$AM, 13, FALSE) / VLOOKUP("buildings|SO2|Asthma symptoms cough", US_national_yearly!$D:$AM, 10, FALSE), 1)</f>
        <v>3.0403715179447041E-3</v>
      </c>
      <c r="F6" s="7">
        <f>$B6 * IFERROR(VLOOKUP("buildings|SO2|Asthma symptoms cough", US_national_yearly!$D:$AM, 14, FALSE) / VLOOKUP("buildings|SO2|Asthma symptoms cough", US_national_yearly!$D:$AM, 10, FALSE), 1)</f>
        <v>3.0403715179447041E-3</v>
      </c>
      <c r="G6" s="7">
        <f>$B6 * IFERROR(VLOOKUP("buildings|SO2|Asthma symptoms cough", US_national_yearly!$D:$AM, 15, FALSE) / VLOOKUP("buildings|SO2|Asthma symptoms cough", US_national_yearly!$D:$AM, 10, FALSE), 1)</f>
        <v>3.0403715179447041E-3</v>
      </c>
      <c r="H6" s="7">
        <f>$B6 * IFERROR(VLOOKUP("buildings|SO2|Asthma symptoms cough", US_national_yearly!$D:$AM, 16, FALSE) / VLOOKUP("buildings|SO2|Asthma symptoms cough", US_national_yearly!$D:$AM, 10, FALSE), 1)</f>
        <v>3.0403715179447041E-3</v>
      </c>
      <c r="I6" s="7">
        <f>$B6 * IFERROR(VLOOKUP("buildings|SO2|Asthma symptoms cough", US_national_yearly!$D:$AM, 17, FALSE) / VLOOKUP("buildings|SO2|Asthma symptoms cough", US_national_yearly!$D:$AM, 10, FALSE), 1)</f>
        <v>3.0403715179447041E-3</v>
      </c>
      <c r="J6" s="7">
        <f>$B6 * IFERROR(VLOOKUP("buildings|SO2|Asthma symptoms cough", US_national_yearly!$D:$AM, 18, FALSE) / VLOOKUP("buildings|SO2|Asthma symptoms cough", US_national_yearly!$D:$AM, 10, FALSE), 1)</f>
        <v>3.0403715179447041E-3</v>
      </c>
      <c r="K6" s="7">
        <f>$B6 * IFERROR(VLOOKUP("buildings|SO2|Asthma symptoms cough", US_national_yearly!$D:$AM, 19, FALSE) / VLOOKUP("buildings|SO2|Asthma symptoms cough", US_national_yearly!$D:$AM, 10, FALSE), 1)</f>
        <v>3.0403715179447041E-3</v>
      </c>
      <c r="L6" s="7">
        <f>$B6 * IFERROR(VLOOKUP("buildings|SO2|Asthma symptoms cough", US_national_yearly!$D:$AM, 20, FALSE) / VLOOKUP("buildings|SO2|Asthma symptoms cough", US_national_yearly!$D:$AM, 10, FALSE), 1)</f>
        <v>3.0403715179447041E-3</v>
      </c>
      <c r="M6" s="7">
        <f>$B6 * IFERROR(VLOOKUP("buildings|SO2|Asthma symptoms cough", US_national_yearly!$D:$AM, 21, FALSE) / VLOOKUP("buildings|SO2|Asthma symptoms cough", US_national_yearly!$D:$AM, 10, FALSE), 1)</f>
        <v>3.0403715179447041E-3</v>
      </c>
      <c r="N6" s="7">
        <f>$B6 * IFERROR(VLOOKUP("buildings|SO2|Asthma symptoms cough", US_national_yearly!$D:$AM, 22, FALSE) / VLOOKUP("buildings|SO2|Asthma symptoms cough", US_national_yearly!$D:$AM, 10, FALSE), 1)</f>
        <v>3.0403715179447041E-3</v>
      </c>
      <c r="O6" s="7">
        <f>$B6 * IFERROR(VLOOKUP("buildings|SO2|Asthma symptoms cough", US_national_yearly!$D:$AM, 23, FALSE) / VLOOKUP("buildings|SO2|Asthma symptoms cough", US_national_yearly!$D:$AM, 10, FALSE), 1)</f>
        <v>3.0403715179447041E-3</v>
      </c>
      <c r="P6" s="7">
        <f>$B6 * IFERROR(VLOOKUP("buildings|SO2|Asthma symptoms cough", US_national_yearly!$D:$AM, 24, FALSE) / VLOOKUP("buildings|SO2|Asthma symptoms cough", US_national_yearly!$D:$AM, 10, FALSE), 1)</f>
        <v>3.0403715179447041E-3</v>
      </c>
      <c r="Q6" s="7">
        <f>$B6 * IFERROR(VLOOKUP("buildings|SO2|Asthma symptoms cough", US_national_yearly!$D:$AM, 25, FALSE) / VLOOKUP("buildings|SO2|Asthma symptoms cough", US_national_yearly!$D:$AM, 10, FALSE), 1)</f>
        <v>3.0403715179447041E-3</v>
      </c>
      <c r="R6" s="7">
        <f>$B6 * IFERROR(VLOOKUP("buildings|SO2|Asthma symptoms cough", US_national_yearly!$D:$AM, 26, FALSE) / VLOOKUP("buildings|SO2|Asthma symptoms cough", US_national_yearly!$D:$AM, 10, FALSE), 1)</f>
        <v>3.0403715179447041E-3</v>
      </c>
      <c r="S6" s="7">
        <f>$B6 * IFERROR(VLOOKUP("buildings|SO2|Asthma symptoms cough", US_national_yearly!$D:$AM, 27, FALSE) / VLOOKUP("buildings|SO2|Asthma symptoms cough", US_national_yearly!$D:$AM, 10, FALSE), 1)</f>
        <v>3.0403715179447041E-3</v>
      </c>
      <c r="T6" s="7">
        <f>$B6 * IFERROR(VLOOKUP("buildings|SO2|Asthma symptoms cough", US_national_yearly!$D:$AM, 28, FALSE) / VLOOKUP("buildings|SO2|Asthma symptoms cough", US_national_yearly!$D:$AM, 10, FALSE), 1)</f>
        <v>3.0403715179447041E-3</v>
      </c>
      <c r="U6" s="7">
        <f>$B6 * IFERROR(VLOOKUP("buildings|SO2|Asthma symptoms cough", US_national_yearly!$D:$AM, 29, FALSE) / VLOOKUP("buildings|SO2|Asthma symptoms cough", US_national_yearly!$D:$AM, 10, FALSE), 1)</f>
        <v>3.0403715179447041E-3</v>
      </c>
      <c r="V6" s="7">
        <f>$B6 * IFERROR(VLOOKUP("buildings|SO2|Asthma symptoms cough", US_national_yearly!$D:$AM, 30, FALSE) / VLOOKUP("buildings|SO2|Asthma symptoms cough", US_national_yearly!$D:$AM, 10, FALSE), 1)</f>
        <v>3.0403715179447041E-3</v>
      </c>
      <c r="W6" s="7">
        <f>$B6 * IFERROR(VLOOKUP("buildings|SO2|Asthma symptoms cough", US_national_yearly!$D:$AM, 31, FALSE) / VLOOKUP("buildings|SO2|Asthma symptoms cough", US_national_yearly!$D:$AM, 10, FALSE), 1)</f>
        <v>3.0403715179447041E-3</v>
      </c>
      <c r="X6" s="7">
        <f>$B6 * IFERROR(VLOOKUP("buildings|SO2|Asthma symptoms cough", US_national_yearly!$D:$AM, 32, FALSE) / VLOOKUP("buildings|SO2|Asthma symptoms cough", US_national_yearly!$D:$AM, 10, FALSE), 1)</f>
        <v>3.0403715179447041E-3</v>
      </c>
      <c r="Y6" s="7">
        <f>$B6 * IFERROR(VLOOKUP("buildings|SO2|Asthma symptoms cough", US_national_yearly!$D:$AM, 33, FALSE) / VLOOKUP("buildings|SO2|Asthma symptoms cough", US_national_yearly!$D:$AM, 10, FALSE), 1)</f>
        <v>3.0403715179447041E-3</v>
      </c>
      <c r="Z6" s="7">
        <f>$B6 * IFERROR(VLOOKUP("buildings|SO2|Asthma symptoms cough", US_national_yearly!$D:$AM, 34, FALSE) / VLOOKUP("buildings|SO2|Asthma symptoms cough", US_national_yearly!$D:$AM, 10, FALSE), 1)</f>
        <v>3.0403715179447041E-3</v>
      </c>
      <c r="AA6" s="7">
        <f>$B6 * IFERROR(VLOOKUP("buildings|SO2|Asthma symptoms cough", US_national_yearly!$D:$AM, 35, FALSE) / VLOOKUP("buildings|SO2|Asthma symptoms cough", US_national_yearly!$D:$AM, 10, FALSE), 1)</f>
        <v>3.0403715179447041E-3</v>
      </c>
      <c r="AB6" s="7">
        <f>$B6 * IFERROR(VLOOKUP("buildings|SO2|Asthma symptoms cough", US_national_yearly!$D:$AM, 36, FALSE) / VLOOKUP("buildings|SO2|Asthma symptoms cough", US_national_yearly!$D:$AM, 10, FALSE), 1)</f>
        <v>3.0403715179447041E-3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4.0943068059829495E-3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4.0943068059829495E-3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4.0943068059829495E-3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4.0943068059829495E-3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4.0943068059829495E-3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4.0943068059829495E-3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4.0943068059829495E-3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4.0943068059829495E-3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4.0943068059829495E-3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4.0943068059829495E-3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4.0943068059829495E-3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4.0943068059829495E-3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4.0943068059829495E-3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4.0943068059829495E-3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4.0943068059829495E-3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4.0943068059829495E-3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4.0943068059829495E-3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4.0943068059829495E-3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4.0943068059829495E-3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4.0943068059829495E-3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4.0943068059829495E-3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4.0943068059829495E-3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4.0943068059829495E-3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4.0943068059829495E-3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4.0943068059829495E-3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4.0943068059829495E-3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4.0943068059829495E-3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6.2553876035802902E-3</v>
      </c>
      <c r="C8" s="7">
        <f>$B8 * IFERROR(VLOOKUP("buildings|SO2|Asthma symptoms wheeze", US_national_yearly!$D:$AM, 11, FALSE) / VLOOKUP("buildings|SO2|Asthma symptoms wheeze", US_national_yearly!$D:$AM, 10, FALSE), 1)</f>
        <v>6.2553876035802902E-3</v>
      </c>
      <c r="D8" s="7">
        <f>$B8 * IFERROR(VLOOKUP("buildings|SO2|Asthma symptoms wheeze", US_national_yearly!$D:$AM, 12, FALSE) / VLOOKUP("buildings|SO2|Asthma symptoms wheeze", US_national_yearly!$D:$AM, 10, FALSE), 1)</f>
        <v>6.2553876035802902E-3</v>
      </c>
      <c r="E8" s="7">
        <f>$B8 * IFERROR(VLOOKUP("buildings|SO2|Asthma symptoms wheeze", US_national_yearly!$D:$AM, 13, FALSE) / VLOOKUP("buildings|SO2|Asthma symptoms wheeze", US_national_yearly!$D:$AM, 10, FALSE), 1)</f>
        <v>6.2553876035802902E-3</v>
      </c>
      <c r="F8" s="7">
        <f>$B8 * IFERROR(VLOOKUP("buildings|SO2|Asthma symptoms wheeze", US_national_yearly!$D:$AM, 14, FALSE) / VLOOKUP("buildings|SO2|Asthma symptoms wheeze", US_national_yearly!$D:$AM, 10, FALSE), 1)</f>
        <v>6.2553876035802902E-3</v>
      </c>
      <c r="G8" s="7">
        <f>$B8 * IFERROR(VLOOKUP("buildings|SO2|Asthma symptoms wheeze", US_national_yearly!$D:$AM, 15, FALSE) / VLOOKUP("buildings|SO2|Asthma symptoms wheeze", US_national_yearly!$D:$AM, 10, FALSE), 1)</f>
        <v>6.2553876035802902E-3</v>
      </c>
      <c r="H8" s="7">
        <f>$B8 * IFERROR(VLOOKUP("buildings|SO2|Asthma symptoms wheeze", US_national_yearly!$D:$AM, 16, FALSE) / VLOOKUP("buildings|SO2|Asthma symptoms wheeze", US_national_yearly!$D:$AM, 10, FALSE), 1)</f>
        <v>6.2553876035802902E-3</v>
      </c>
      <c r="I8" s="7">
        <f>$B8 * IFERROR(VLOOKUP("buildings|SO2|Asthma symptoms wheeze", US_national_yearly!$D:$AM, 17, FALSE) / VLOOKUP("buildings|SO2|Asthma symptoms wheeze", US_national_yearly!$D:$AM, 10, FALSE), 1)</f>
        <v>6.2553876035802902E-3</v>
      </c>
      <c r="J8" s="7">
        <f>$B8 * IFERROR(VLOOKUP("buildings|SO2|Asthma symptoms wheeze", US_national_yearly!$D:$AM, 18, FALSE) / VLOOKUP("buildings|SO2|Asthma symptoms wheeze", US_national_yearly!$D:$AM, 10, FALSE), 1)</f>
        <v>6.2553876035802902E-3</v>
      </c>
      <c r="K8" s="7">
        <f>$B8 * IFERROR(VLOOKUP("buildings|SO2|Asthma symptoms wheeze", US_national_yearly!$D:$AM, 19, FALSE) / VLOOKUP("buildings|SO2|Asthma symptoms wheeze", US_national_yearly!$D:$AM, 10, FALSE), 1)</f>
        <v>6.2553876035802902E-3</v>
      </c>
      <c r="L8" s="7">
        <f>$B8 * IFERROR(VLOOKUP("buildings|SO2|Asthma symptoms wheeze", US_national_yearly!$D:$AM, 20, FALSE) / VLOOKUP("buildings|SO2|Asthma symptoms wheeze", US_national_yearly!$D:$AM, 10, FALSE), 1)</f>
        <v>6.2553876035802902E-3</v>
      </c>
      <c r="M8" s="7">
        <f>$B8 * IFERROR(VLOOKUP("buildings|SO2|Asthma symptoms wheeze", US_national_yearly!$D:$AM, 21, FALSE) / VLOOKUP("buildings|SO2|Asthma symptoms wheeze", US_national_yearly!$D:$AM, 10, FALSE), 1)</f>
        <v>6.2553876035802902E-3</v>
      </c>
      <c r="N8" s="7">
        <f>$B8 * IFERROR(VLOOKUP("buildings|SO2|Asthma symptoms wheeze", US_national_yearly!$D:$AM, 22, FALSE) / VLOOKUP("buildings|SO2|Asthma symptoms wheeze", US_national_yearly!$D:$AM, 10, FALSE), 1)</f>
        <v>6.2553876035802902E-3</v>
      </c>
      <c r="O8" s="7">
        <f>$B8 * IFERROR(VLOOKUP("buildings|SO2|Asthma symptoms wheeze", US_national_yearly!$D:$AM, 23, FALSE) / VLOOKUP("buildings|SO2|Asthma symptoms wheeze", US_national_yearly!$D:$AM, 10, FALSE), 1)</f>
        <v>6.2553876035802902E-3</v>
      </c>
      <c r="P8" s="7">
        <f>$B8 * IFERROR(VLOOKUP("buildings|SO2|Asthma symptoms wheeze", US_national_yearly!$D:$AM, 24, FALSE) / VLOOKUP("buildings|SO2|Asthma symptoms wheeze", US_national_yearly!$D:$AM, 10, FALSE), 1)</f>
        <v>6.2553876035802902E-3</v>
      </c>
      <c r="Q8" s="7">
        <f>$B8 * IFERROR(VLOOKUP("buildings|SO2|Asthma symptoms wheeze", US_national_yearly!$D:$AM, 25, FALSE) / VLOOKUP("buildings|SO2|Asthma symptoms wheeze", US_national_yearly!$D:$AM, 10, FALSE), 1)</f>
        <v>6.2553876035802902E-3</v>
      </c>
      <c r="R8" s="7">
        <f>$B8 * IFERROR(VLOOKUP("buildings|SO2|Asthma symptoms wheeze", US_national_yearly!$D:$AM, 26, FALSE) / VLOOKUP("buildings|SO2|Asthma symptoms wheeze", US_national_yearly!$D:$AM, 10, FALSE), 1)</f>
        <v>6.2553876035802902E-3</v>
      </c>
      <c r="S8" s="7">
        <f>$B8 * IFERROR(VLOOKUP("buildings|SO2|Asthma symptoms wheeze", US_national_yearly!$D:$AM, 27, FALSE) / VLOOKUP("buildings|SO2|Asthma symptoms wheeze", US_national_yearly!$D:$AM, 10, FALSE), 1)</f>
        <v>6.2553876035802902E-3</v>
      </c>
      <c r="T8" s="7">
        <f>$B8 * IFERROR(VLOOKUP("buildings|SO2|Asthma symptoms wheeze", US_national_yearly!$D:$AM, 28, FALSE) / VLOOKUP("buildings|SO2|Asthma symptoms wheeze", US_national_yearly!$D:$AM, 10, FALSE), 1)</f>
        <v>6.2553876035802902E-3</v>
      </c>
      <c r="U8" s="7">
        <f>$B8 * IFERROR(VLOOKUP("buildings|SO2|Asthma symptoms wheeze", US_national_yearly!$D:$AM, 29, FALSE) / VLOOKUP("buildings|SO2|Asthma symptoms wheeze", US_national_yearly!$D:$AM, 10, FALSE), 1)</f>
        <v>6.2553876035802902E-3</v>
      </c>
      <c r="V8" s="7">
        <f>$B8 * IFERROR(VLOOKUP("buildings|SO2|Asthma symptoms wheeze", US_national_yearly!$D:$AM, 30, FALSE) / VLOOKUP("buildings|SO2|Asthma symptoms wheeze", US_national_yearly!$D:$AM, 10, FALSE), 1)</f>
        <v>6.2553876035802902E-3</v>
      </c>
      <c r="W8" s="7">
        <f>$B8 * IFERROR(VLOOKUP("buildings|SO2|Asthma symptoms wheeze", US_national_yearly!$D:$AM, 31, FALSE) / VLOOKUP("buildings|SO2|Asthma symptoms wheeze", US_national_yearly!$D:$AM, 10, FALSE), 1)</f>
        <v>6.2553876035802902E-3</v>
      </c>
      <c r="X8" s="7">
        <f>$B8 * IFERROR(VLOOKUP("buildings|SO2|Asthma symptoms wheeze", US_national_yearly!$D:$AM, 32, FALSE) / VLOOKUP("buildings|SO2|Asthma symptoms wheeze", US_national_yearly!$D:$AM, 10, FALSE), 1)</f>
        <v>6.2553876035802902E-3</v>
      </c>
      <c r="Y8" s="7">
        <f>$B8 * IFERROR(VLOOKUP("buildings|SO2|Asthma symptoms wheeze", US_national_yearly!$D:$AM, 33, FALSE) / VLOOKUP("buildings|SO2|Asthma symptoms wheeze", US_national_yearly!$D:$AM, 10, FALSE), 1)</f>
        <v>6.2553876035802902E-3</v>
      </c>
      <c r="Z8" s="7">
        <f>$B8 * IFERROR(VLOOKUP("buildings|SO2|Asthma symptoms wheeze", US_national_yearly!$D:$AM, 34, FALSE) / VLOOKUP("buildings|SO2|Asthma symptoms wheeze", US_national_yearly!$D:$AM, 10, FALSE), 1)</f>
        <v>6.2553876035802902E-3</v>
      </c>
      <c r="AA8" s="7">
        <f>$B8 * IFERROR(VLOOKUP("buildings|SO2|Asthma symptoms wheeze", US_national_yearly!$D:$AM, 35, FALSE) / VLOOKUP("buildings|SO2|Asthma symptoms wheeze", US_national_yearly!$D:$AM, 10, FALSE), 1)</f>
        <v>6.2553876035802902E-3</v>
      </c>
      <c r="AB8" s="7">
        <f>$B8 * IFERROR(VLOOKUP("buildings|SO2|Asthma symptoms wheeze", US_national_yearly!$D:$AM, 36, FALSE) / VLOOKUP("buildings|SO2|Asthma symptoms wheeze", US_national_yearly!$D:$AM, 10, FALSE), 1)</f>
        <v>6.2553876035802902E-3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7.2408043681215737E-5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7.2835713320948292E-5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7.3263382960680847E-5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7.3691052600413401E-5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7.4118722240145942E-5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7.4584828267067307E-5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7.5050934293988659E-5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7.5509634045392752E-5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7.5968333796796859E-5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7.6427033548200952E-5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7.6885733299605045E-5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7.7344433051009152E-5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7.7679359803035198E-5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7.801428655506123E-5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7.8349213307087276E-5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7.8684140059113308E-5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7.9019066811139354E-5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7.9338423400662517E-5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7.9657779990185694E-5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7.9977136579708857E-5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8.029649316923202E-5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8.0615849758755196E-5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8.0919321843324888E-5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8.1222793927894594E-5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8.1526266012464272E-5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8.1829738097033964E-5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8.213321018160367E-5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4.3158127481304293E-4</v>
      </c>
      <c r="C13" s="7">
        <f>$B13 * IFERROR(VLOOKUP("buildings|SO2|Non-fatal heart attacks", US_national_yearly!$D:$AM, 11, FALSE) / VLOOKUP("buildings|SO2|Non-fatal heart attacks", US_national_yearly!$D:$AM, 10, FALSE), 1)</f>
        <v>4.4425502964580627E-4</v>
      </c>
      <c r="D13" s="7">
        <f>$B13 * IFERROR(VLOOKUP("buildings|SO2|Non-fatal heart attacks", US_national_yearly!$D:$AM, 12, FALSE) / VLOOKUP("buildings|SO2|Non-fatal heart attacks", US_national_yearly!$D:$AM, 10, FALSE), 1)</f>
        <v>4.5692878447856956E-4</v>
      </c>
      <c r="E13" s="7">
        <f>$B13 * IFERROR(VLOOKUP("buildings|SO2|Non-fatal heart attacks", US_national_yearly!$D:$AM, 13, FALSE) / VLOOKUP("buildings|SO2|Non-fatal heart attacks", US_national_yearly!$D:$AM, 10, FALSE), 1)</f>
        <v>4.696025393113328E-4</v>
      </c>
      <c r="F13" s="7">
        <f>$B13 * IFERROR(VLOOKUP("buildings|SO2|Non-fatal heart attacks", US_national_yearly!$D:$AM, 14, FALSE) / VLOOKUP("buildings|SO2|Non-fatal heart attacks", US_national_yearly!$D:$AM, 10, FALSE), 1)</f>
        <v>4.8227629414409619E-4</v>
      </c>
      <c r="G13" s="7">
        <f>$B13 * IFERROR(VLOOKUP("buildings|SO2|Non-fatal heart attacks", US_national_yearly!$D:$AM, 15, FALSE) / VLOOKUP("buildings|SO2|Non-fatal heart attacks", US_national_yearly!$D:$AM, 10, FALSE), 1)</f>
        <v>4.9422968897827363E-4</v>
      </c>
      <c r="H13" s="7">
        <f>$B13 * IFERROR(VLOOKUP("buildings|SO2|Non-fatal heart attacks", US_national_yearly!$D:$AM, 16, FALSE) / VLOOKUP("buildings|SO2|Non-fatal heart attacks", US_national_yearly!$D:$AM, 10, FALSE), 1)</f>
        <v>5.0618308381245123E-4</v>
      </c>
      <c r="I13" s="7">
        <f>$B13 * IFERROR(VLOOKUP("buildings|SO2|Non-fatal heart attacks", US_national_yearly!$D:$AM, 17, FALSE) / VLOOKUP("buildings|SO2|Non-fatal heart attacks", US_national_yearly!$D:$AM, 10, FALSE), 1)</f>
        <v>5.158047743378945E-4</v>
      </c>
      <c r="J13" s="7">
        <f>$B13 * IFERROR(VLOOKUP("buildings|SO2|Non-fatal heart attacks", US_national_yearly!$D:$AM, 18, FALSE) / VLOOKUP("buildings|SO2|Non-fatal heart attacks", US_national_yearly!$D:$AM, 10, FALSE), 1)</f>
        <v>5.2542646486333788E-4</v>
      </c>
      <c r="K13" s="7">
        <f>$B13 * IFERROR(VLOOKUP("buildings|SO2|Non-fatal heart attacks", US_national_yearly!$D:$AM, 19, FALSE) / VLOOKUP("buildings|SO2|Non-fatal heart attacks", US_national_yearly!$D:$AM, 10, FALSE), 1)</f>
        <v>5.3504815538878115E-4</v>
      </c>
      <c r="L13" s="7">
        <f>$B13 * IFERROR(VLOOKUP("buildings|SO2|Non-fatal heart attacks", US_national_yearly!$D:$AM, 20, FALSE) / VLOOKUP("buildings|SO2|Non-fatal heart attacks", US_national_yearly!$D:$AM, 10, FALSE), 1)</f>
        <v>5.4466984591422453E-4</v>
      </c>
      <c r="M13" s="7">
        <f>$B13 * IFERROR(VLOOKUP("buildings|SO2|Non-fatal heart attacks", US_national_yearly!$D:$AM, 21, FALSE) / VLOOKUP("buildings|SO2|Non-fatal heart attacks", US_national_yearly!$D:$AM, 10, FALSE), 1)</f>
        <v>5.5429153643966791E-4</v>
      </c>
      <c r="N13" s="7">
        <f>$B13 * IFERROR(VLOOKUP("buildings|SO2|Non-fatal heart attacks", US_national_yearly!$D:$AM, 22, FALSE) / VLOOKUP("buildings|SO2|Non-fatal heart attacks", US_national_yearly!$D:$AM, 10, FALSE), 1)</f>
        <v>5.6053646086300589E-4</v>
      </c>
      <c r="O13" s="7">
        <f>$B13 * IFERROR(VLOOKUP("buildings|SO2|Non-fatal heart attacks", US_national_yearly!$D:$AM, 23, FALSE) / VLOOKUP("buildings|SO2|Non-fatal heart attacks", US_national_yearly!$D:$AM, 10, FALSE), 1)</f>
        <v>5.6678138528634399E-4</v>
      </c>
      <c r="P13" s="7">
        <f>$B13 * IFERROR(VLOOKUP("buildings|SO2|Non-fatal heart attacks", US_national_yearly!$D:$AM, 24, FALSE) / VLOOKUP("buildings|SO2|Non-fatal heart attacks", US_national_yearly!$D:$AM, 10, FALSE), 1)</f>
        <v>5.7302630970968208E-4</v>
      </c>
      <c r="Q13" s="7">
        <f>$B13 * IFERROR(VLOOKUP("buildings|SO2|Non-fatal heart attacks", US_national_yearly!$D:$AM, 25, FALSE) / VLOOKUP("buildings|SO2|Non-fatal heart attacks", US_national_yearly!$D:$AM, 10, FALSE), 1)</f>
        <v>5.7927123413302006E-4</v>
      </c>
      <c r="R13" s="7">
        <f>$B13 * IFERROR(VLOOKUP("buildings|SO2|Non-fatal heart attacks", US_national_yearly!$D:$AM, 26, FALSE) / VLOOKUP("buildings|SO2|Non-fatal heart attacks", US_national_yearly!$D:$AM, 10, FALSE), 1)</f>
        <v>5.8551615855635816E-4</v>
      </c>
      <c r="S13" s="7">
        <f>$B13 * IFERROR(VLOOKUP("buildings|SO2|Non-fatal heart attacks", US_national_yearly!$D:$AM, 27, FALSE) / VLOOKUP("buildings|SO2|Non-fatal heart attacks", US_national_yearly!$D:$AM, 10, FALSE), 1)</f>
        <v>5.8877724786493091E-4</v>
      </c>
      <c r="T13" s="7">
        <f>$B13 * IFERROR(VLOOKUP("buildings|SO2|Non-fatal heart attacks", US_national_yearly!$D:$AM, 28, FALSE) / VLOOKUP("buildings|SO2|Non-fatal heart attacks", US_national_yearly!$D:$AM, 10, FALSE), 1)</f>
        <v>5.9203833717350366E-4</v>
      </c>
      <c r="U13" s="7">
        <f>$B13 * IFERROR(VLOOKUP("buildings|SO2|Non-fatal heart attacks", US_national_yearly!$D:$AM, 29, FALSE) / VLOOKUP("buildings|SO2|Non-fatal heart attacks", US_national_yearly!$D:$AM, 10, FALSE), 1)</f>
        <v>5.952994264820762E-4</v>
      </c>
      <c r="V13" s="7">
        <f>$B13 * IFERROR(VLOOKUP("buildings|SO2|Non-fatal heart attacks", US_national_yearly!$D:$AM, 30, FALSE) / VLOOKUP("buildings|SO2|Non-fatal heart attacks", US_national_yearly!$D:$AM, 10, FALSE), 1)</f>
        <v>5.9856051579064895E-4</v>
      </c>
      <c r="W13" s="7">
        <f>$B13 * IFERROR(VLOOKUP("buildings|SO2|Non-fatal heart attacks", US_national_yearly!$D:$AM, 31, FALSE) / VLOOKUP("buildings|SO2|Non-fatal heart attacks", US_national_yearly!$D:$AM, 10, FALSE), 1)</f>
        <v>6.0182160509922159E-4</v>
      </c>
      <c r="X13" s="7">
        <f>$B13 * IFERROR(VLOOKUP("buildings|SO2|Non-fatal heart attacks", US_national_yearly!$D:$AM, 32, FALSE) / VLOOKUP("buildings|SO2|Non-fatal heart attacks", US_national_yearly!$D:$AM, 10, FALSE), 1)</f>
        <v>6.0428461922155344E-4</v>
      </c>
      <c r="Y13" s="7">
        <f>$B13 * IFERROR(VLOOKUP("buildings|SO2|Non-fatal heart attacks", US_national_yearly!$D:$AM, 33, FALSE) / VLOOKUP("buildings|SO2|Non-fatal heart attacks", US_national_yearly!$D:$AM, 10, FALSE), 1)</f>
        <v>6.0674763334388529E-4</v>
      </c>
      <c r="Z13" s="7">
        <f>$B13 * IFERROR(VLOOKUP("buildings|SO2|Non-fatal heart attacks", US_national_yearly!$D:$AM, 34, FALSE) / VLOOKUP("buildings|SO2|Non-fatal heart attacks", US_national_yearly!$D:$AM, 10, FALSE), 1)</f>
        <v>6.0921064746621693E-4</v>
      </c>
      <c r="AA13" s="7">
        <f>$B13 * IFERROR(VLOOKUP("buildings|SO2|Non-fatal heart attacks", US_national_yearly!$D:$AM, 35, FALSE) / VLOOKUP("buildings|SO2|Non-fatal heart attacks", US_national_yearly!$D:$AM, 10, FALSE), 1)</f>
        <v>6.1167366158854878E-4</v>
      </c>
      <c r="AB13" s="7">
        <f>$B13 * IFERROR(VLOOKUP("buildings|SO2|Non-fatal heart attacks", US_national_yearly!$D:$AM, 36, FALSE) / VLOOKUP("buildings|SO2|Non-fatal heart attacks", US_national_yearly!$D:$AM, 10, FALSE), 1)</f>
        <v>6.1413667571088052E-4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0.37568730643537579</v>
      </c>
      <c r="C14" s="7">
        <f>$B14 * IFERROR(VLOOKUP("buildings|SO2|Minor restricted activity days", US_national_yearly!$D:$AM, 11, FALSE) / VLOOKUP("buildings|SO2|Minor restricted activity days", US_national_yearly!$D:$AM, 10, FALSE), 1)</f>
        <v>0.37663833906105471</v>
      </c>
      <c r="D14" s="7">
        <f>$B14 * IFERROR(VLOOKUP("buildings|SO2|Minor restricted activity days", US_national_yearly!$D:$AM, 12, FALSE) / VLOOKUP("buildings|SO2|Minor restricted activity days", US_national_yearly!$D:$AM, 10, FALSE), 1)</f>
        <v>0.37758937168673373</v>
      </c>
      <c r="E14" s="7">
        <f>$B14 * IFERROR(VLOOKUP("buildings|SO2|Minor restricted activity days", US_national_yearly!$D:$AM, 13, FALSE) / VLOOKUP("buildings|SO2|Minor restricted activity days", US_national_yearly!$D:$AM, 10, FALSE), 1)</f>
        <v>0.37854040431241276</v>
      </c>
      <c r="F14" s="7">
        <f>$B14 * IFERROR(VLOOKUP("buildings|SO2|Minor restricted activity days", US_national_yearly!$D:$AM, 14, FALSE) / VLOOKUP("buildings|SO2|Minor restricted activity days", US_national_yearly!$D:$AM, 10, FALSE), 1)</f>
        <v>0.37949143693809168</v>
      </c>
      <c r="G14" s="7">
        <f>$B14 * IFERROR(VLOOKUP("buildings|SO2|Minor restricted activity days", US_national_yearly!$D:$AM, 15, FALSE) / VLOOKUP("buildings|SO2|Minor restricted activity days", US_national_yearly!$D:$AM, 10, FALSE), 1)</f>
        <v>0.38088983171965768</v>
      </c>
      <c r="H14" s="7">
        <f>$B14 * IFERROR(VLOOKUP("buildings|SO2|Minor restricted activity days", US_national_yearly!$D:$AM, 16, FALSE) / VLOOKUP("buildings|SO2|Minor restricted activity days", US_national_yearly!$D:$AM, 10, FALSE), 1)</f>
        <v>0.38228822650122363</v>
      </c>
      <c r="I14" s="7">
        <f>$B14 * IFERROR(VLOOKUP("buildings|SO2|Minor restricted activity days", US_national_yearly!$D:$AM, 17, FALSE) / VLOOKUP("buildings|SO2|Minor restricted activity days", US_national_yearly!$D:$AM, 10, FALSE), 1)</f>
        <v>0.38466983354248963</v>
      </c>
      <c r="J14" s="7">
        <f>$B14 * IFERROR(VLOOKUP("buildings|SO2|Minor restricted activity days", US_national_yearly!$D:$AM, 18, FALSE) / VLOOKUP("buildings|SO2|Minor restricted activity days", US_national_yearly!$D:$AM, 10, FALSE), 1)</f>
        <v>0.38705144058375568</v>
      </c>
      <c r="K14" s="7">
        <f>$B14 * IFERROR(VLOOKUP("buildings|SO2|Minor restricted activity days", US_national_yearly!$D:$AM, 19, FALSE) / VLOOKUP("buildings|SO2|Minor restricted activity days", US_national_yearly!$D:$AM, 10, FALSE), 1)</f>
        <v>0.38943304762502168</v>
      </c>
      <c r="L14" s="7">
        <f>$B14 * IFERROR(VLOOKUP("buildings|SO2|Minor restricted activity days", US_national_yearly!$D:$AM, 20, FALSE) / VLOOKUP("buildings|SO2|Minor restricted activity days", US_national_yearly!$D:$AM, 10, FALSE), 1)</f>
        <v>0.39181465466628768</v>
      </c>
      <c r="M14" s="7">
        <f>$B14 * IFERROR(VLOOKUP("buildings|SO2|Minor restricted activity days", US_national_yearly!$D:$AM, 21, FALSE) / VLOOKUP("buildings|SO2|Minor restricted activity days", US_national_yearly!$D:$AM, 10, FALSE), 1)</f>
        <v>0.39419626170755367</v>
      </c>
      <c r="N14" s="7">
        <f>$B14 * IFERROR(VLOOKUP("buildings|SO2|Minor restricted activity days", US_national_yearly!$D:$AM, 22, FALSE) / VLOOKUP("buildings|SO2|Minor restricted activity days", US_national_yearly!$D:$AM, 10, FALSE), 1)</f>
        <v>0.39745298418496894</v>
      </c>
      <c r="O14" s="7">
        <f>$B14 * IFERROR(VLOOKUP("buildings|SO2|Minor restricted activity days", US_national_yearly!$D:$AM, 23, FALSE) / VLOOKUP("buildings|SO2|Minor restricted activity days", US_national_yearly!$D:$AM, 10, FALSE), 1)</f>
        <v>0.40070970666238415</v>
      </c>
      <c r="P14" s="7">
        <f>$B14 * IFERROR(VLOOKUP("buildings|SO2|Minor restricted activity days", US_national_yearly!$D:$AM, 24, FALSE) / VLOOKUP("buildings|SO2|Minor restricted activity days", US_national_yearly!$D:$AM, 10, FALSE), 1)</f>
        <v>0.4039664291397993</v>
      </c>
      <c r="Q14" s="7">
        <f>$B14 * IFERROR(VLOOKUP("buildings|SO2|Minor restricted activity days", US_national_yearly!$D:$AM, 25, FALSE) / VLOOKUP("buildings|SO2|Minor restricted activity days", US_national_yearly!$D:$AM, 10, FALSE), 1)</f>
        <v>0.40722315161721456</v>
      </c>
      <c r="R14" s="7">
        <f>$B14 * IFERROR(VLOOKUP("buildings|SO2|Minor restricted activity days", US_national_yearly!$D:$AM, 26, FALSE) / VLOOKUP("buildings|SO2|Minor restricted activity days", US_national_yearly!$D:$AM, 10, FALSE), 1)</f>
        <v>0.41047987409462983</v>
      </c>
      <c r="S14" s="7">
        <f>$B14 * IFERROR(VLOOKUP("buildings|SO2|Minor restricted activity days", US_national_yearly!$D:$AM, 27, FALSE) / VLOOKUP("buildings|SO2|Minor restricted activity days", US_national_yearly!$D:$AM, 10, FALSE), 1)</f>
        <v>0.4137998912282817</v>
      </c>
      <c r="T14" s="7">
        <f>$B14 * IFERROR(VLOOKUP("buildings|SO2|Minor restricted activity days", US_national_yearly!$D:$AM, 28, FALSE) / VLOOKUP("buildings|SO2|Minor restricted activity days", US_national_yearly!$D:$AM, 10, FALSE), 1)</f>
        <v>0.41711990836193363</v>
      </c>
      <c r="U14" s="7">
        <f>$B14 * IFERROR(VLOOKUP("buildings|SO2|Minor restricted activity days", US_national_yearly!$D:$AM, 29, FALSE) / VLOOKUP("buildings|SO2|Minor restricted activity days", US_national_yearly!$D:$AM, 10, FALSE), 1)</f>
        <v>0.42043992549558551</v>
      </c>
      <c r="V14" s="7">
        <f>$B14 * IFERROR(VLOOKUP("buildings|SO2|Minor restricted activity days", US_national_yearly!$D:$AM, 30, FALSE) / VLOOKUP("buildings|SO2|Minor restricted activity days", US_national_yearly!$D:$AM, 10, FALSE), 1)</f>
        <v>0.42375994262923744</v>
      </c>
      <c r="W14" s="7">
        <f>$B14 * IFERROR(VLOOKUP("buildings|SO2|Minor restricted activity days", US_national_yearly!$D:$AM, 31, FALSE) / VLOOKUP("buildings|SO2|Minor restricted activity days", US_national_yearly!$D:$AM, 10, FALSE), 1)</f>
        <v>0.42707995976288943</v>
      </c>
      <c r="X14" s="7">
        <f>$B14 * IFERROR(VLOOKUP("buildings|SO2|Minor restricted activity days", US_national_yearly!$D:$AM, 32, FALSE) / VLOOKUP("buildings|SO2|Minor restricted activity days", US_national_yearly!$D:$AM, 10, FALSE), 1)</f>
        <v>0.42999972269931019</v>
      </c>
      <c r="Y14" s="7">
        <f>$B14 * IFERROR(VLOOKUP("buildings|SO2|Minor restricted activity days", US_national_yearly!$D:$AM, 33, FALSE) / VLOOKUP("buildings|SO2|Minor restricted activity days", US_national_yearly!$D:$AM, 10, FALSE), 1)</f>
        <v>0.43291948563573107</v>
      </c>
      <c r="Z14" s="7">
        <f>$B14 * IFERROR(VLOOKUP("buildings|SO2|Minor restricted activity days", US_national_yearly!$D:$AM, 34, FALSE) / VLOOKUP("buildings|SO2|Minor restricted activity days", US_national_yearly!$D:$AM, 10, FALSE), 1)</f>
        <v>0.43583924857215184</v>
      </c>
      <c r="AA14" s="7">
        <f>$B14 * IFERROR(VLOOKUP("buildings|SO2|Minor restricted activity days", US_national_yearly!$D:$AM, 35, FALSE) / VLOOKUP("buildings|SO2|Minor restricted activity days", US_national_yearly!$D:$AM, 10, FALSE), 1)</f>
        <v>0.43875901150857266</v>
      </c>
      <c r="AB14" s="7">
        <f>$B14 * IFERROR(VLOOKUP("buildings|SO2|Minor restricted activity days", US_national_yearly!$D:$AM, 36, FALSE) / VLOOKUP("buildings|SO2|Minor restricted activity days", US_national_yearly!$D:$AM, 10, FALSE), 1)</f>
        <v>0.44167877444499343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6.3863501970586517E-2</v>
      </c>
      <c r="C15" s="7">
        <f>$B15 * IFERROR(VLOOKUP("buildings|SO2|Work loss days", US_national_yearly!$D:$AM, 11, FALSE) / VLOOKUP("buildings|SO2|Work loss days", US_national_yearly!$D:$AM, 10, FALSE), 1)</f>
        <v>6.4070993448451088E-2</v>
      </c>
      <c r="D15" s="7">
        <f>$B15 * IFERROR(VLOOKUP("buildings|SO2|Work loss days", US_national_yearly!$D:$AM, 12, FALSE) / VLOOKUP("buildings|SO2|Work loss days", US_national_yearly!$D:$AM, 10, FALSE), 1)</f>
        <v>6.4278484926315674E-2</v>
      </c>
      <c r="E15" s="7">
        <f>$B15 * IFERROR(VLOOKUP("buildings|SO2|Work loss days", US_national_yearly!$D:$AM, 13, FALSE) / VLOOKUP("buildings|SO2|Work loss days", US_national_yearly!$D:$AM, 10, FALSE), 1)</f>
        <v>6.4485976404180245E-2</v>
      </c>
      <c r="F15" s="7">
        <f>$B15 * IFERROR(VLOOKUP("buildings|SO2|Work loss days", US_national_yearly!$D:$AM, 14, FALSE) / VLOOKUP("buildings|SO2|Work loss days", US_national_yearly!$D:$AM, 10, FALSE), 1)</f>
        <v>6.4693467882044817E-2</v>
      </c>
      <c r="G15" s="7">
        <f>$B15 * IFERROR(VLOOKUP("buildings|SO2|Work loss days", US_national_yearly!$D:$AM, 15, FALSE) / VLOOKUP("buildings|SO2|Work loss days", US_national_yearly!$D:$AM, 10, FALSE), 1)</f>
        <v>6.4964463234428199E-2</v>
      </c>
      <c r="H15" s="7">
        <f>$B15 * IFERROR(VLOOKUP("buildings|SO2|Work loss days", US_national_yearly!$D:$AM, 16, FALSE) / VLOOKUP("buildings|SO2|Work loss days", US_national_yearly!$D:$AM, 10, FALSE), 1)</f>
        <v>6.5235458586811595E-2</v>
      </c>
      <c r="I15" s="7">
        <f>$B15 * IFERROR(VLOOKUP("buildings|SO2|Work loss days", US_national_yearly!$D:$AM, 17, FALSE) / VLOOKUP("buildings|SO2|Work loss days", US_national_yearly!$D:$AM, 10, FALSE), 1)</f>
        <v>6.563166896019304E-2</v>
      </c>
      <c r="J15" s="7">
        <f>$B15 * IFERROR(VLOOKUP("buildings|SO2|Work loss days", US_national_yearly!$D:$AM, 18, FALSE) / VLOOKUP("buildings|SO2|Work loss days", US_national_yearly!$D:$AM, 10, FALSE), 1)</f>
        <v>6.6027879333574457E-2</v>
      </c>
      <c r="K15" s="7">
        <f>$B15 * IFERROR(VLOOKUP("buildings|SO2|Work loss days", US_national_yearly!$D:$AM, 19, FALSE) / VLOOKUP("buildings|SO2|Work loss days", US_national_yearly!$D:$AM, 10, FALSE), 1)</f>
        <v>6.6424089706955888E-2</v>
      </c>
      <c r="L15" s="7">
        <f>$B15 * IFERROR(VLOOKUP("buildings|SO2|Work loss days", US_national_yearly!$D:$AM, 20, FALSE) / VLOOKUP("buildings|SO2|Work loss days", US_national_yearly!$D:$AM, 10, FALSE), 1)</f>
        <v>6.6820300080337305E-2</v>
      </c>
      <c r="M15" s="7">
        <f>$B15 * IFERROR(VLOOKUP("buildings|SO2|Work loss days", US_national_yearly!$D:$AM, 21, FALSE) / VLOOKUP("buildings|SO2|Work loss days", US_national_yearly!$D:$AM, 10, FALSE), 1)</f>
        <v>6.7216510453718736E-2</v>
      </c>
      <c r="N15" s="7">
        <f>$B15 * IFERROR(VLOOKUP("buildings|SO2|Work loss days", US_national_yearly!$D:$AM, 22, FALSE) / VLOOKUP("buildings|SO2|Work loss days", US_national_yearly!$D:$AM, 10, FALSE), 1)</f>
        <v>6.7713351771503921E-2</v>
      </c>
      <c r="O15" s="7">
        <f>$B15 * IFERROR(VLOOKUP("buildings|SO2|Work loss days", US_national_yearly!$D:$AM, 23, FALSE) / VLOOKUP("buildings|SO2|Work loss days", US_national_yearly!$D:$AM, 10, FALSE), 1)</f>
        <v>6.8210193089289106E-2</v>
      </c>
      <c r="P15" s="7">
        <f>$B15 * IFERROR(VLOOKUP("buildings|SO2|Work loss days", US_national_yearly!$D:$AM, 24, FALSE) / VLOOKUP("buildings|SO2|Work loss days", US_national_yearly!$D:$AM, 10, FALSE), 1)</f>
        <v>6.8707034407074291E-2</v>
      </c>
      <c r="Q15" s="7">
        <f>$B15 * IFERROR(VLOOKUP("buildings|SO2|Work loss days", US_national_yearly!$D:$AM, 25, FALSE) / VLOOKUP("buildings|SO2|Work loss days", US_national_yearly!$D:$AM, 10, FALSE), 1)</f>
        <v>6.9203875724859476E-2</v>
      </c>
      <c r="R15" s="7">
        <f>$B15 * IFERROR(VLOOKUP("buildings|SO2|Work loss days", US_national_yearly!$D:$AM, 26, FALSE) / VLOOKUP("buildings|SO2|Work loss days", US_national_yearly!$D:$AM, 10, FALSE), 1)</f>
        <v>6.9700717042644647E-2</v>
      </c>
      <c r="S15" s="7">
        <f>$B15 * IFERROR(VLOOKUP("buildings|SO2|Work loss days", US_national_yearly!$D:$AM, 27, FALSE) / VLOOKUP("buildings|SO2|Work loss days", US_national_yearly!$D:$AM, 10, FALSE), 1)</f>
        <v>7.0255732315189987E-2</v>
      </c>
      <c r="T15" s="7">
        <f>$B15 * IFERROR(VLOOKUP("buildings|SO2|Work loss days", US_national_yearly!$D:$AM, 28, FALSE) / VLOOKUP("buildings|SO2|Work loss days", US_national_yearly!$D:$AM, 10, FALSE), 1)</f>
        <v>7.081074758773534E-2</v>
      </c>
      <c r="U15" s="7">
        <f>$B15 * IFERROR(VLOOKUP("buildings|SO2|Work loss days", US_national_yearly!$D:$AM, 29, FALSE) / VLOOKUP("buildings|SO2|Work loss days", US_national_yearly!$D:$AM, 10, FALSE), 1)</f>
        <v>7.1365762860280693E-2</v>
      </c>
      <c r="V15" s="7">
        <f>$B15 * IFERROR(VLOOKUP("buildings|SO2|Work loss days", US_national_yearly!$D:$AM, 30, FALSE) / VLOOKUP("buildings|SO2|Work loss days", US_national_yearly!$D:$AM, 10, FALSE), 1)</f>
        <v>7.1920778132826019E-2</v>
      </c>
      <c r="W15" s="7">
        <f>$B15 * IFERROR(VLOOKUP("buildings|SO2|Work loss days", US_national_yearly!$D:$AM, 31, FALSE) / VLOOKUP("buildings|SO2|Work loss days", US_national_yearly!$D:$AM, 10, FALSE), 1)</f>
        <v>7.2475793405371372E-2</v>
      </c>
      <c r="X15" s="7">
        <f>$B15 * IFERROR(VLOOKUP("buildings|SO2|Work loss days", US_national_yearly!$D:$AM, 32, FALSE) / VLOOKUP("buildings|SO2|Work loss days", US_national_yearly!$D:$AM, 10, FALSE), 1)</f>
        <v>7.2974131698274797E-2</v>
      </c>
      <c r="Y15" s="7">
        <f>$B15 * IFERROR(VLOOKUP("buildings|SO2|Work loss days", US_national_yearly!$D:$AM, 33, FALSE) / VLOOKUP("buildings|SO2|Work loss days", US_national_yearly!$D:$AM, 10, FALSE), 1)</f>
        <v>7.3472469991178235E-2</v>
      </c>
      <c r="Z15" s="7">
        <f>$B15 * IFERROR(VLOOKUP("buildings|SO2|Work loss days", US_national_yearly!$D:$AM, 34, FALSE) / VLOOKUP("buildings|SO2|Work loss days", US_national_yearly!$D:$AM, 10, FALSE), 1)</f>
        <v>7.3970808284081646E-2</v>
      </c>
      <c r="AA15" s="7">
        <f>$B15 * IFERROR(VLOOKUP("buildings|SO2|Work loss days", US_national_yearly!$D:$AM, 35, FALSE) / VLOOKUP("buildings|SO2|Work loss days", US_national_yearly!$D:$AM, 10, FALSE), 1)</f>
        <v>7.4469146576985085E-2</v>
      </c>
      <c r="AB15" s="7">
        <f>$B15 * IFERROR(VLOOKUP("buildings|SO2|Work loss days", US_national_yearly!$D:$AM, 36, FALSE) / VLOOKUP("buildings|SO2|Work loss days", US_national_yearly!$D:$AM, 10, FALSE), 1)</f>
        <v>7.4967484869888495E-2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1.0442149337414321E-4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1.0758017656185045E-4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1.1073885974955769E-4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1.1389754293726495E-4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1.1705622612497219E-4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1.2008205541775729E-4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1.2310788471054239E-4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1.2570101431900487E-4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1.2829414392746732E-4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1.308872735359298E-4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1.3348040314439228E-4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1.360735327528547E-4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1.3781476731573579E-4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1.3955600187861688E-4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1.4129723644149797E-4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1.4303847100437904E-4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1.4477970556726013E-4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1.4569538404078614E-4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1.4661106251431216E-4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1.4752674098783816E-4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1.4844241946136417E-4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1.4935809793489017E-4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1.499729780883473E-4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1.5058785824180441E-4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1.5120273839526151E-4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1.5181761854871865E-4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1.5243249870217575E-4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1.2654985526644846E-2</v>
      </c>
      <c r="C2" s="7">
        <f>$B2 * IFERROR(VLOOKUP("industry|PM25|Premature mortality", US_national_yearly!$D:$AM, 11, FALSE) / VLOOKUP("industry|PM25|Premature mortality", US_national_yearly!$D:$AM, 10, FALSE), 1)</f>
        <v>1.2812581451608627E-2</v>
      </c>
      <c r="D2" s="7">
        <f>$B2 * IFERROR(VLOOKUP("industry|PM25|Premature mortality", US_national_yearly!$D:$AM, 12, FALSE) / VLOOKUP("industry|PM25|Premature mortality", US_national_yearly!$D:$AM, 10, FALSE), 1)</f>
        <v>1.2970177376572403E-2</v>
      </c>
      <c r="E2" s="7">
        <f>$B2 * IFERROR(VLOOKUP("industry|PM25|Premature mortality", US_national_yearly!$D:$AM, 13, FALSE) / VLOOKUP("industry|PM25|Premature mortality", US_national_yearly!$D:$AM, 10, FALSE), 1)</f>
        <v>1.3127773301536184E-2</v>
      </c>
      <c r="F2" s="7">
        <f>$B2 * IFERROR(VLOOKUP("industry|PM25|Premature mortality", US_national_yearly!$D:$AM, 14, FALSE) / VLOOKUP("industry|PM25|Premature mortality", US_national_yearly!$D:$AM, 10, FALSE), 1)</f>
        <v>1.3285369226499961E-2</v>
      </c>
      <c r="G2" s="7">
        <f>$B2 * IFERROR(VLOOKUP("industry|PM25|Premature mortality", US_national_yearly!$D:$AM, 15, FALSE) / VLOOKUP("industry|PM25|Premature mortality", US_national_yearly!$D:$AM, 10, FALSE), 1)</f>
        <v>1.3591969650666639E-2</v>
      </c>
      <c r="H2" s="7">
        <f>$B2 * IFERROR(VLOOKUP("industry|PM25|Premature mortality", US_national_yearly!$D:$AM, 16, FALSE) / VLOOKUP("industry|PM25|Premature mortality", US_national_yearly!$D:$AM, 10, FALSE), 1)</f>
        <v>1.3898570074833317E-2</v>
      </c>
      <c r="I2" s="7">
        <f>$B2 * IFERROR(VLOOKUP("industry|PM25|Premature mortality", US_national_yearly!$D:$AM, 17, FALSE) / VLOOKUP("industry|PM25|Premature mortality", US_national_yearly!$D:$AM, 10, FALSE), 1)</f>
        <v>1.4101017315671458E-2</v>
      </c>
      <c r="J2" s="7">
        <f>$B2 * IFERROR(VLOOKUP("industry|PM25|Premature mortality", US_national_yearly!$D:$AM, 18, FALSE) / VLOOKUP("industry|PM25|Premature mortality", US_national_yearly!$D:$AM, 10, FALSE), 1)</f>
        <v>1.4303464556509595E-2</v>
      </c>
      <c r="K2" s="7">
        <f>$B2 * IFERROR(VLOOKUP("industry|PM25|Premature mortality", US_national_yearly!$D:$AM, 19, FALSE) / VLOOKUP("industry|PM25|Premature mortality", US_national_yearly!$D:$AM, 10, FALSE), 1)</f>
        <v>1.4505911797347735E-2</v>
      </c>
      <c r="L2" s="7">
        <f>$B2 * IFERROR(VLOOKUP("industry|PM25|Premature mortality", US_national_yearly!$D:$AM, 20, FALSE) / VLOOKUP("industry|PM25|Premature mortality", US_national_yearly!$D:$AM, 10, FALSE), 1)</f>
        <v>1.4708359038185872E-2</v>
      </c>
      <c r="M2" s="7">
        <f>$B2 * IFERROR(VLOOKUP("industry|PM25|Premature mortality", US_national_yearly!$D:$AM, 21, FALSE) / VLOOKUP("industry|PM25|Premature mortality", US_national_yearly!$D:$AM, 10, FALSE), 1)</f>
        <v>1.4910806279024014E-2</v>
      </c>
      <c r="N2" s="7">
        <f>$B2 * IFERROR(VLOOKUP("industry|PM25|Premature mortality", US_national_yearly!$D:$AM, 22, FALSE) / VLOOKUP("industry|PM25|Premature mortality", US_national_yearly!$D:$AM, 10, FALSE), 1)</f>
        <v>1.5068529988241442E-2</v>
      </c>
      <c r="O2" s="7">
        <f>$B2 * IFERROR(VLOOKUP("industry|PM25|Premature mortality", US_national_yearly!$D:$AM, 23, FALSE) / VLOOKUP("industry|PM25|Premature mortality", US_national_yearly!$D:$AM, 10, FALSE), 1)</f>
        <v>1.5226253697458869E-2</v>
      </c>
      <c r="P2" s="7">
        <f>$B2 * IFERROR(VLOOKUP("industry|PM25|Premature mortality", US_national_yearly!$D:$AM, 24, FALSE) / VLOOKUP("industry|PM25|Premature mortality", US_national_yearly!$D:$AM, 10, FALSE), 1)</f>
        <v>1.5383977406676297E-2</v>
      </c>
      <c r="Q2" s="7">
        <f>$B2 * IFERROR(VLOOKUP("industry|PM25|Premature mortality", US_national_yearly!$D:$AM, 25, FALSE) / VLOOKUP("industry|PM25|Premature mortality", US_national_yearly!$D:$AM, 10, FALSE), 1)</f>
        <v>1.5541701115893727E-2</v>
      </c>
      <c r="R2" s="7">
        <f>$B2 * IFERROR(VLOOKUP("industry|PM25|Premature mortality", US_national_yearly!$D:$AM, 26, FALSE) / VLOOKUP("industry|PM25|Premature mortality", US_national_yearly!$D:$AM, 10, FALSE), 1)</f>
        <v>1.5699424825111153E-2</v>
      </c>
      <c r="S2" s="7">
        <f>$B2 * IFERROR(VLOOKUP("industry|PM25|Premature mortality", US_national_yearly!$D:$AM, 27, FALSE) / VLOOKUP("industry|PM25|Premature mortality", US_national_yearly!$D:$AM, 10, FALSE), 1)</f>
        <v>1.5784589778159816E-2</v>
      </c>
      <c r="T2" s="7">
        <f>$B2 * IFERROR(VLOOKUP("industry|PM25|Premature mortality", US_national_yearly!$D:$AM, 28, FALSE) / VLOOKUP("industry|PM25|Premature mortality", US_national_yearly!$D:$AM, 10, FALSE), 1)</f>
        <v>1.5869754731208482E-2</v>
      </c>
      <c r="U2" s="7">
        <f>$B2 * IFERROR(VLOOKUP("industry|PM25|Premature mortality", US_national_yearly!$D:$AM, 29, FALSE) / VLOOKUP("industry|PM25|Premature mortality", US_national_yearly!$D:$AM, 10, FALSE), 1)</f>
        <v>1.5954919684257152E-2</v>
      </c>
      <c r="V2" s="7">
        <f>$B2 * IFERROR(VLOOKUP("industry|PM25|Premature mortality", US_national_yearly!$D:$AM, 30, FALSE) / VLOOKUP("industry|PM25|Premature mortality", US_national_yearly!$D:$AM, 10, FALSE), 1)</f>
        <v>1.6040084637305819E-2</v>
      </c>
      <c r="W2" s="7">
        <f>$B2 * IFERROR(VLOOKUP("industry|PM25|Premature mortality", US_national_yearly!$D:$AM, 31, FALSE) / VLOOKUP("industry|PM25|Premature mortality", US_national_yearly!$D:$AM, 10, FALSE), 1)</f>
        <v>1.6125249590354482E-2</v>
      </c>
      <c r="X2" s="7">
        <f>$B2 * IFERROR(VLOOKUP("industry|PM25|Premature mortality", US_national_yearly!$D:$AM, 32, FALSE) / VLOOKUP("industry|PM25|Premature mortality", US_national_yearly!$D:$AM, 10, FALSE), 1)</f>
        <v>1.6142833168072687E-2</v>
      </c>
      <c r="Y2" s="7">
        <f>$B2 * IFERROR(VLOOKUP("industry|PM25|Premature mortality", US_national_yearly!$D:$AM, 33, FALSE) / VLOOKUP("industry|PM25|Premature mortality", US_national_yearly!$D:$AM, 10, FALSE), 1)</f>
        <v>1.6160416745790895E-2</v>
      </c>
      <c r="Z2" s="7">
        <f>$B2 * IFERROR(VLOOKUP("industry|PM25|Premature mortality", US_national_yearly!$D:$AM, 34, FALSE) / VLOOKUP("industry|PM25|Premature mortality", US_national_yearly!$D:$AM, 10, FALSE), 1)</f>
        <v>1.6178000323509096E-2</v>
      </c>
      <c r="AA2" s="7">
        <f>$B2 * IFERROR(VLOOKUP("industry|PM25|Premature mortality", US_national_yearly!$D:$AM, 35, FALSE) / VLOOKUP("industry|PM25|Premature mortality", US_national_yearly!$D:$AM, 10, FALSE), 1)</f>
        <v>1.6195583901227304E-2</v>
      </c>
      <c r="AB2" s="7">
        <f>$B2 * IFERROR(VLOOKUP("industry|PM25|Premature mortality", US_national_yearly!$D:$AM, 36, FALSE) / VLOOKUP("industry|PM25|Premature mortality", US_national_yearly!$D:$AM, 10, FALSE), 1)</f>
        <v>1.6213167478945509E-2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3.5576731907997086E-5</v>
      </c>
      <c r="C3" s="7">
        <f>$B3 * IFERROR(VLOOKUP("industry|PM25|Infant mortality", US_national_yearly!$D:$AM, 11, FALSE) / VLOOKUP("industry|PM25|Infant mortality", US_national_yearly!$D:$AM, 10, FALSE), 1)</f>
        <v>3.5266970680728854E-5</v>
      </c>
      <c r="D3" s="7">
        <f>$B3 * IFERROR(VLOOKUP("industry|PM25|Infant mortality", US_national_yearly!$D:$AM, 12, FALSE) / VLOOKUP("industry|PM25|Infant mortality", US_national_yearly!$D:$AM, 10, FALSE), 1)</f>
        <v>3.4957209453460622E-5</v>
      </c>
      <c r="E3" s="7">
        <f>$B3 * IFERROR(VLOOKUP("industry|PM25|Infant mortality", US_national_yearly!$D:$AM, 13, FALSE) / VLOOKUP("industry|PM25|Infant mortality", US_national_yearly!$D:$AM, 10, FALSE), 1)</f>
        <v>3.4647448226192377E-5</v>
      </c>
      <c r="F3" s="7">
        <f>$B3 * IFERROR(VLOOKUP("industry|PM25|Infant mortality", US_national_yearly!$D:$AM, 14, FALSE) / VLOOKUP("industry|PM25|Infant mortality", US_national_yearly!$D:$AM, 10, FALSE), 1)</f>
        <v>3.4337686998924146E-5</v>
      </c>
      <c r="G3" s="7">
        <f>$B3 * IFERROR(VLOOKUP("industry|PM25|Infant mortality", US_national_yearly!$D:$AM, 15, FALSE) / VLOOKUP("industry|PM25|Infant mortality", US_national_yearly!$D:$AM, 10, FALSE), 1)</f>
        <v>2.2815161163516368E-5</v>
      </c>
      <c r="H3" s="7">
        <f>$B3 * IFERROR(VLOOKUP("industry|PM25|Infant mortality", US_national_yearly!$D:$AM, 16, FALSE) / VLOOKUP("industry|PM25|Infant mortality", US_national_yearly!$D:$AM, 10, FALSE), 1)</f>
        <v>1.1292635328108587E-5</v>
      </c>
      <c r="I3" s="7">
        <f>$B3 * IFERROR(VLOOKUP("industry|PM25|Infant mortality", US_national_yearly!$D:$AM, 17, FALSE) / VLOOKUP("industry|PM25|Infant mortality", US_national_yearly!$D:$AM, 10, FALSE), 1)</f>
        <v>1.121747170192274E-5</v>
      </c>
      <c r="J3" s="7">
        <f>$B3 * IFERROR(VLOOKUP("industry|PM25|Infant mortality", US_national_yearly!$D:$AM, 18, FALSE) / VLOOKUP("industry|PM25|Infant mortality", US_national_yearly!$D:$AM, 10, FALSE), 1)</f>
        <v>1.1142308075736894E-5</v>
      </c>
      <c r="K3" s="7">
        <f>$B3 * IFERROR(VLOOKUP("industry|PM25|Infant mortality", US_national_yearly!$D:$AM, 19, FALSE) / VLOOKUP("industry|PM25|Infant mortality", US_national_yearly!$D:$AM, 10, FALSE), 1)</f>
        <v>1.1067144449551048E-5</v>
      </c>
      <c r="L3" s="7">
        <f>$B3 * IFERROR(VLOOKUP("industry|PM25|Infant mortality", US_national_yearly!$D:$AM, 20, FALSE) / VLOOKUP("industry|PM25|Infant mortality", US_national_yearly!$D:$AM, 10, FALSE), 1)</f>
        <v>1.0991980823365199E-5</v>
      </c>
      <c r="M3" s="7">
        <f>$B3 * IFERROR(VLOOKUP("industry|PM25|Infant mortality", US_national_yearly!$D:$AM, 21, FALSE) / VLOOKUP("industry|PM25|Infant mortality", US_national_yearly!$D:$AM, 10, FALSE), 1)</f>
        <v>1.0916817197179355E-5</v>
      </c>
      <c r="N3" s="7">
        <f>$B3 * IFERROR(VLOOKUP("industry|PM25|Infant mortality", US_national_yearly!$D:$AM, 22, FALSE) / VLOOKUP("industry|PM25|Infant mortality", US_national_yearly!$D:$AM, 10, FALSE), 1)</f>
        <v>1.0868855484303909E-5</v>
      </c>
      <c r="O3" s="7">
        <f>$B3 * IFERROR(VLOOKUP("industry|PM25|Infant mortality", US_national_yearly!$D:$AM, 23, FALSE) / VLOOKUP("industry|PM25|Infant mortality", US_national_yearly!$D:$AM, 10, FALSE), 1)</f>
        <v>1.0820893771428466E-5</v>
      </c>
      <c r="P3" s="7">
        <f>$B3 * IFERROR(VLOOKUP("industry|PM25|Infant mortality", US_national_yearly!$D:$AM, 24, FALSE) / VLOOKUP("industry|PM25|Infant mortality", US_national_yearly!$D:$AM, 10, FALSE), 1)</f>
        <v>1.0772932058553023E-5</v>
      </c>
      <c r="Q3" s="7">
        <f>$B3 * IFERROR(VLOOKUP("industry|PM25|Infant mortality", US_national_yearly!$D:$AM, 25, FALSE) / VLOOKUP("industry|PM25|Infant mortality", US_national_yearly!$D:$AM, 10, FALSE), 1)</f>
        <v>1.0724970345677581E-5</v>
      </c>
      <c r="R3" s="7">
        <f>$B3 * IFERROR(VLOOKUP("industry|PM25|Infant mortality", US_national_yearly!$D:$AM, 26, FALSE) / VLOOKUP("industry|PM25|Infant mortality", US_national_yearly!$D:$AM, 10, FALSE), 1)</f>
        <v>1.0677008632802136E-5</v>
      </c>
      <c r="S3" s="7">
        <f>$B3 * IFERROR(VLOOKUP("industry|PM25|Infant mortality", US_national_yearly!$D:$AM, 27, FALSE) / VLOOKUP("industry|PM25|Infant mortality", US_national_yearly!$D:$AM, 10, FALSE), 1)</f>
        <v>1.0618020056446124E-5</v>
      </c>
      <c r="T3" s="7">
        <f>$B3 * IFERROR(VLOOKUP("industry|PM25|Infant mortality", US_national_yearly!$D:$AM, 28, FALSE) / VLOOKUP("industry|PM25|Infant mortality", US_national_yearly!$D:$AM, 10, FALSE), 1)</f>
        <v>1.0559031480090112E-5</v>
      </c>
      <c r="U3" s="7">
        <f>$B3 * IFERROR(VLOOKUP("industry|PM25|Infant mortality", US_national_yearly!$D:$AM, 29, FALSE) / VLOOKUP("industry|PM25|Infant mortality", US_national_yearly!$D:$AM, 10, FALSE), 1)</f>
        <v>1.0500042903734099E-5</v>
      </c>
      <c r="V3" s="7">
        <f>$B3 * IFERROR(VLOOKUP("industry|PM25|Infant mortality", US_national_yearly!$D:$AM, 30, FALSE) / VLOOKUP("industry|PM25|Infant mortality", US_national_yearly!$D:$AM, 10, FALSE), 1)</f>
        <v>1.044105432737809E-5</v>
      </c>
      <c r="W3" s="7">
        <f>$B3 * IFERROR(VLOOKUP("industry|PM25|Infant mortality", US_national_yearly!$D:$AM, 31, FALSE) / VLOOKUP("industry|PM25|Infant mortality", US_national_yearly!$D:$AM, 10, FALSE), 1)</f>
        <v>1.0382065751022079E-5</v>
      </c>
      <c r="X3" s="7">
        <f>$B3 * IFERROR(VLOOKUP("industry|PM25|Infant mortality", US_national_yearly!$D:$AM, 32, FALSE) / VLOOKUP("industry|PM25|Infant mortality", US_national_yearly!$D:$AM, 10, FALSE), 1)</f>
        <v>1.0319029065712299E-5</v>
      </c>
      <c r="Y3" s="7">
        <f>$B3 * IFERROR(VLOOKUP("industry|PM25|Infant mortality", US_national_yearly!$D:$AM, 33, FALSE) / VLOOKUP("industry|PM25|Infant mortality", US_national_yearly!$D:$AM, 10, FALSE), 1)</f>
        <v>1.025599238040252E-5</v>
      </c>
      <c r="Z3" s="7">
        <f>$B3 * IFERROR(VLOOKUP("industry|PM25|Infant mortality", US_national_yearly!$D:$AM, 34, FALSE) / VLOOKUP("industry|PM25|Infant mortality", US_national_yearly!$D:$AM, 10, FALSE), 1)</f>
        <v>1.019295569509274E-5</v>
      </c>
      <c r="AA3" s="7">
        <f>$B3 * IFERROR(VLOOKUP("industry|PM25|Infant mortality", US_national_yearly!$D:$AM, 35, FALSE) / VLOOKUP("industry|PM25|Infant mortality", US_national_yearly!$D:$AM, 10, FALSE), 1)</f>
        <v>1.0129919009782961E-5</v>
      </c>
      <c r="AB3" s="7">
        <f>$B3 * IFERROR(VLOOKUP("industry|PM25|Infant mortality", US_national_yearly!$D:$AM, 36, FALSE) / VLOOKUP("industry|PM25|Infant mortality", US_national_yearly!$D:$AM, 10, FALSE), 1)</f>
        <v>1.0066882324473181E-5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3.5726188738077112E-2</v>
      </c>
      <c r="C6" s="7">
        <f>$B6 * IFERROR(VLOOKUP("industry|PM25|Asthma symptoms cough", US_national_yearly!$D:$AM, 11, FALSE) / VLOOKUP("industry|PM25|Asthma symptoms cough", US_national_yearly!$D:$AM, 10, FALSE), 1)</f>
        <v>3.5726188738077112E-2</v>
      </c>
      <c r="D6" s="7">
        <f>$B6 * IFERROR(VLOOKUP("industry|PM25|Asthma symptoms cough", US_national_yearly!$D:$AM, 12, FALSE) / VLOOKUP("industry|PM25|Asthma symptoms cough", US_national_yearly!$D:$AM, 10, FALSE), 1)</f>
        <v>3.5726188738077112E-2</v>
      </c>
      <c r="E6" s="7">
        <f>$B6 * IFERROR(VLOOKUP("industry|PM25|Asthma symptoms cough", US_national_yearly!$D:$AM, 13, FALSE) / VLOOKUP("industry|PM25|Asthma symptoms cough", US_national_yearly!$D:$AM, 10, FALSE), 1)</f>
        <v>3.5726188738077112E-2</v>
      </c>
      <c r="F6" s="7">
        <f>$B6 * IFERROR(VLOOKUP("industry|PM25|Asthma symptoms cough", US_national_yearly!$D:$AM, 14, FALSE) / VLOOKUP("industry|PM25|Asthma symptoms cough", US_national_yearly!$D:$AM, 10, FALSE), 1)</f>
        <v>3.5726188738077112E-2</v>
      </c>
      <c r="G6" s="7">
        <f>$B6 * IFERROR(VLOOKUP("industry|PM25|Asthma symptoms cough", US_national_yearly!$D:$AM, 15, FALSE) / VLOOKUP("industry|PM25|Asthma symptoms cough", US_national_yearly!$D:$AM, 10, FALSE), 1)</f>
        <v>3.5726188738077112E-2</v>
      </c>
      <c r="H6" s="7">
        <f>$B6 * IFERROR(VLOOKUP("industry|PM25|Asthma symptoms cough", US_national_yearly!$D:$AM, 16, FALSE) / VLOOKUP("industry|PM25|Asthma symptoms cough", US_national_yearly!$D:$AM, 10, FALSE), 1)</f>
        <v>3.5726188738077112E-2</v>
      </c>
      <c r="I6" s="7">
        <f>$B6 * IFERROR(VLOOKUP("industry|PM25|Asthma symptoms cough", US_national_yearly!$D:$AM, 17, FALSE) / VLOOKUP("industry|PM25|Asthma symptoms cough", US_national_yearly!$D:$AM, 10, FALSE), 1)</f>
        <v>3.5726188738077112E-2</v>
      </c>
      <c r="J6" s="7">
        <f>$B6 * IFERROR(VLOOKUP("industry|PM25|Asthma symptoms cough", US_national_yearly!$D:$AM, 18, FALSE) / VLOOKUP("industry|PM25|Asthma symptoms cough", US_national_yearly!$D:$AM, 10, FALSE), 1)</f>
        <v>3.5726188738077112E-2</v>
      </c>
      <c r="K6" s="7">
        <f>$B6 * IFERROR(VLOOKUP("industry|PM25|Asthma symptoms cough", US_national_yearly!$D:$AM, 19, FALSE) / VLOOKUP("industry|PM25|Asthma symptoms cough", US_national_yearly!$D:$AM, 10, FALSE), 1)</f>
        <v>3.5726188738077112E-2</v>
      </c>
      <c r="L6" s="7">
        <f>$B6 * IFERROR(VLOOKUP("industry|PM25|Asthma symptoms cough", US_national_yearly!$D:$AM, 20, FALSE) / VLOOKUP("industry|PM25|Asthma symptoms cough", US_national_yearly!$D:$AM, 10, FALSE), 1)</f>
        <v>3.5726188738077112E-2</v>
      </c>
      <c r="M6" s="7">
        <f>$B6 * IFERROR(VLOOKUP("industry|PM25|Asthma symptoms cough", US_national_yearly!$D:$AM, 21, FALSE) / VLOOKUP("industry|PM25|Asthma symptoms cough", US_national_yearly!$D:$AM, 10, FALSE), 1)</f>
        <v>3.5726188738077112E-2</v>
      </c>
      <c r="N6" s="7">
        <f>$B6 * IFERROR(VLOOKUP("industry|PM25|Asthma symptoms cough", US_national_yearly!$D:$AM, 22, FALSE) / VLOOKUP("industry|PM25|Asthma symptoms cough", US_national_yearly!$D:$AM, 10, FALSE), 1)</f>
        <v>3.5726188738077112E-2</v>
      </c>
      <c r="O6" s="7">
        <f>$B6 * IFERROR(VLOOKUP("industry|PM25|Asthma symptoms cough", US_national_yearly!$D:$AM, 23, FALSE) / VLOOKUP("industry|PM25|Asthma symptoms cough", US_national_yearly!$D:$AM, 10, FALSE), 1)</f>
        <v>3.5726188738077112E-2</v>
      </c>
      <c r="P6" s="7">
        <f>$B6 * IFERROR(VLOOKUP("industry|PM25|Asthma symptoms cough", US_national_yearly!$D:$AM, 24, FALSE) / VLOOKUP("industry|PM25|Asthma symptoms cough", US_national_yearly!$D:$AM, 10, FALSE), 1)</f>
        <v>3.5726188738077112E-2</v>
      </c>
      <c r="Q6" s="7">
        <f>$B6 * IFERROR(VLOOKUP("industry|PM25|Asthma symptoms cough", US_national_yearly!$D:$AM, 25, FALSE) / VLOOKUP("industry|PM25|Asthma symptoms cough", US_national_yearly!$D:$AM, 10, FALSE), 1)</f>
        <v>3.5726188738077112E-2</v>
      </c>
      <c r="R6" s="7">
        <f>$B6 * IFERROR(VLOOKUP("industry|PM25|Asthma symptoms cough", US_national_yearly!$D:$AM, 26, FALSE) / VLOOKUP("industry|PM25|Asthma symptoms cough", US_national_yearly!$D:$AM, 10, FALSE), 1)</f>
        <v>3.5726188738077112E-2</v>
      </c>
      <c r="S6" s="7">
        <f>$B6 * IFERROR(VLOOKUP("industry|PM25|Asthma symptoms cough", US_national_yearly!$D:$AM, 27, FALSE) / VLOOKUP("industry|PM25|Asthma symptoms cough", US_national_yearly!$D:$AM, 10, FALSE), 1)</f>
        <v>3.5726188738077112E-2</v>
      </c>
      <c r="T6" s="7">
        <f>$B6 * IFERROR(VLOOKUP("industry|PM25|Asthma symptoms cough", US_national_yearly!$D:$AM, 28, FALSE) / VLOOKUP("industry|PM25|Asthma symptoms cough", US_national_yearly!$D:$AM, 10, FALSE), 1)</f>
        <v>3.5726188738077112E-2</v>
      </c>
      <c r="U6" s="7">
        <f>$B6 * IFERROR(VLOOKUP("industry|PM25|Asthma symptoms cough", US_national_yearly!$D:$AM, 29, FALSE) / VLOOKUP("industry|PM25|Asthma symptoms cough", US_national_yearly!$D:$AM, 10, FALSE), 1)</f>
        <v>3.5726188738077112E-2</v>
      </c>
      <c r="V6" s="7">
        <f>$B6 * IFERROR(VLOOKUP("industry|PM25|Asthma symptoms cough", US_national_yearly!$D:$AM, 30, FALSE) / VLOOKUP("industry|PM25|Asthma symptoms cough", US_national_yearly!$D:$AM, 10, FALSE), 1)</f>
        <v>3.5726188738077112E-2</v>
      </c>
      <c r="W6" s="7">
        <f>$B6 * IFERROR(VLOOKUP("industry|PM25|Asthma symptoms cough", US_national_yearly!$D:$AM, 31, FALSE) / VLOOKUP("industry|PM25|Asthma symptoms cough", US_national_yearly!$D:$AM, 10, FALSE), 1)</f>
        <v>3.5726188738077112E-2</v>
      </c>
      <c r="X6" s="7">
        <f>$B6 * IFERROR(VLOOKUP("industry|PM25|Asthma symptoms cough", US_national_yearly!$D:$AM, 32, FALSE) / VLOOKUP("industry|PM25|Asthma symptoms cough", US_national_yearly!$D:$AM, 10, FALSE), 1)</f>
        <v>3.5726188738077112E-2</v>
      </c>
      <c r="Y6" s="7">
        <f>$B6 * IFERROR(VLOOKUP("industry|PM25|Asthma symptoms cough", US_national_yearly!$D:$AM, 33, FALSE) / VLOOKUP("industry|PM25|Asthma symptoms cough", US_national_yearly!$D:$AM, 10, FALSE), 1)</f>
        <v>3.5726188738077112E-2</v>
      </c>
      <c r="Z6" s="7">
        <f>$B6 * IFERROR(VLOOKUP("industry|PM25|Asthma symptoms cough", US_national_yearly!$D:$AM, 34, FALSE) / VLOOKUP("industry|PM25|Asthma symptoms cough", US_national_yearly!$D:$AM, 10, FALSE), 1)</f>
        <v>3.5726188738077112E-2</v>
      </c>
      <c r="AA6" s="7">
        <f>$B6 * IFERROR(VLOOKUP("industry|PM25|Asthma symptoms cough", US_national_yearly!$D:$AM, 35, FALSE) / VLOOKUP("industry|PM25|Asthma symptoms cough", US_national_yearly!$D:$AM, 10, FALSE), 1)</f>
        <v>3.5726188738077112E-2</v>
      </c>
      <c r="AB6" s="7">
        <f>$B6 * IFERROR(VLOOKUP("industry|PM25|Asthma symptoms cough", US_national_yearly!$D:$AM, 36, FALSE) / VLOOKUP("industry|PM25|Asthma symptoms cough", US_national_yearly!$D:$AM, 10, FALSE), 1)</f>
        <v>3.5726188738077112E-2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4.8108801100366902E-2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4.8108801100366902E-2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4.8108801100366902E-2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4.8108801100366902E-2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4.8108801100366902E-2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4.8108801100366902E-2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4.8108801100366902E-2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4.8108801100366902E-2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4.8108801100366902E-2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4.8108801100366902E-2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4.8108801100366902E-2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4.8108801100366902E-2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4.8108801100366902E-2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4.8108801100366902E-2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4.8108801100366902E-2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4.8108801100366902E-2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4.8108801100366902E-2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4.8108801100366902E-2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4.8108801100366902E-2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4.8108801100366902E-2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4.8108801100366902E-2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4.8108801100366902E-2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4.8108801100366902E-2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4.8108801100366902E-2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4.8108801100366902E-2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4.8108801100366902E-2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4.8108801100366902E-2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7.3508142056655484E-2</v>
      </c>
      <c r="C8" s="7">
        <f>$B8 * IFERROR(VLOOKUP("industry|PM25|Asthma symptoms wheeze", US_national_yearly!$D:$AM, 11, FALSE) / VLOOKUP("industry|PM25|Asthma symptoms wheeze", US_national_yearly!$D:$AM, 10, FALSE), 1)</f>
        <v>7.3508142056655484E-2</v>
      </c>
      <c r="D8" s="7">
        <f>$B8 * IFERROR(VLOOKUP("industry|PM25|Asthma symptoms wheeze", US_national_yearly!$D:$AM, 12, FALSE) / VLOOKUP("industry|PM25|Asthma symptoms wheeze", US_national_yearly!$D:$AM, 10, FALSE), 1)</f>
        <v>7.3508142056655484E-2</v>
      </c>
      <c r="E8" s="7">
        <f>$B8 * IFERROR(VLOOKUP("industry|PM25|Asthma symptoms wheeze", US_national_yearly!$D:$AM, 13, FALSE) / VLOOKUP("industry|PM25|Asthma symptoms wheeze", US_national_yearly!$D:$AM, 10, FALSE), 1)</f>
        <v>7.3508142056655484E-2</v>
      </c>
      <c r="F8" s="7">
        <f>$B8 * IFERROR(VLOOKUP("industry|PM25|Asthma symptoms wheeze", US_national_yearly!$D:$AM, 14, FALSE) / VLOOKUP("industry|PM25|Asthma symptoms wheeze", US_national_yearly!$D:$AM, 10, FALSE), 1)</f>
        <v>7.3508142056655484E-2</v>
      </c>
      <c r="G8" s="7">
        <f>$B8 * IFERROR(VLOOKUP("industry|PM25|Asthma symptoms wheeze", US_national_yearly!$D:$AM, 15, FALSE) / VLOOKUP("industry|PM25|Asthma symptoms wheeze", US_national_yearly!$D:$AM, 10, FALSE), 1)</f>
        <v>7.3508142056655484E-2</v>
      </c>
      <c r="H8" s="7">
        <f>$B8 * IFERROR(VLOOKUP("industry|PM25|Asthma symptoms wheeze", US_national_yearly!$D:$AM, 16, FALSE) / VLOOKUP("industry|PM25|Asthma symptoms wheeze", US_national_yearly!$D:$AM, 10, FALSE), 1)</f>
        <v>7.3508142056655484E-2</v>
      </c>
      <c r="I8" s="7">
        <f>$B8 * IFERROR(VLOOKUP("industry|PM25|Asthma symptoms wheeze", US_national_yearly!$D:$AM, 17, FALSE) / VLOOKUP("industry|PM25|Asthma symptoms wheeze", US_national_yearly!$D:$AM, 10, FALSE), 1)</f>
        <v>7.3508142056655484E-2</v>
      </c>
      <c r="J8" s="7">
        <f>$B8 * IFERROR(VLOOKUP("industry|PM25|Asthma symptoms wheeze", US_national_yearly!$D:$AM, 18, FALSE) / VLOOKUP("industry|PM25|Asthma symptoms wheeze", US_national_yearly!$D:$AM, 10, FALSE), 1)</f>
        <v>7.3508142056655484E-2</v>
      </c>
      <c r="K8" s="7">
        <f>$B8 * IFERROR(VLOOKUP("industry|PM25|Asthma symptoms wheeze", US_national_yearly!$D:$AM, 19, FALSE) / VLOOKUP("industry|PM25|Asthma symptoms wheeze", US_national_yearly!$D:$AM, 10, FALSE), 1)</f>
        <v>7.3508142056655484E-2</v>
      </c>
      <c r="L8" s="7">
        <f>$B8 * IFERROR(VLOOKUP("industry|PM25|Asthma symptoms wheeze", US_national_yearly!$D:$AM, 20, FALSE) / VLOOKUP("industry|PM25|Asthma symptoms wheeze", US_national_yearly!$D:$AM, 10, FALSE), 1)</f>
        <v>7.3508142056655484E-2</v>
      </c>
      <c r="M8" s="7">
        <f>$B8 * IFERROR(VLOOKUP("industry|PM25|Asthma symptoms wheeze", US_national_yearly!$D:$AM, 21, FALSE) / VLOOKUP("industry|PM25|Asthma symptoms wheeze", US_national_yearly!$D:$AM, 10, FALSE), 1)</f>
        <v>7.3508142056655484E-2</v>
      </c>
      <c r="N8" s="7">
        <f>$B8 * IFERROR(VLOOKUP("industry|PM25|Asthma symptoms wheeze", US_national_yearly!$D:$AM, 22, FALSE) / VLOOKUP("industry|PM25|Asthma symptoms wheeze", US_national_yearly!$D:$AM, 10, FALSE), 1)</f>
        <v>7.3508142056655484E-2</v>
      </c>
      <c r="O8" s="7">
        <f>$B8 * IFERROR(VLOOKUP("industry|PM25|Asthma symptoms wheeze", US_national_yearly!$D:$AM, 23, FALSE) / VLOOKUP("industry|PM25|Asthma symptoms wheeze", US_national_yearly!$D:$AM, 10, FALSE), 1)</f>
        <v>7.3508142056655484E-2</v>
      </c>
      <c r="P8" s="7">
        <f>$B8 * IFERROR(VLOOKUP("industry|PM25|Asthma symptoms wheeze", US_national_yearly!$D:$AM, 24, FALSE) / VLOOKUP("industry|PM25|Asthma symptoms wheeze", US_national_yearly!$D:$AM, 10, FALSE), 1)</f>
        <v>7.3508142056655484E-2</v>
      </c>
      <c r="Q8" s="7">
        <f>$B8 * IFERROR(VLOOKUP("industry|PM25|Asthma symptoms wheeze", US_national_yearly!$D:$AM, 25, FALSE) / VLOOKUP("industry|PM25|Asthma symptoms wheeze", US_national_yearly!$D:$AM, 10, FALSE), 1)</f>
        <v>7.3508142056655484E-2</v>
      </c>
      <c r="R8" s="7">
        <f>$B8 * IFERROR(VLOOKUP("industry|PM25|Asthma symptoms wheeze", US_national_yearly!$D:$AM, 26, FALSE) / VLOOKUP("industry|PM25|Asthma symptoms wheeze", US_national_yearly!$D:$AM, 10, FALSE), 1)</f>
        <v>7.3508142056655484E-2</v>
      </c>
      <c r="S8" s="7">
        <f>$B8 * IFERROR(VLOOKUP("industry|PM25|Asthma symptoms wheeze", US_national_yearly!$D:$AM, 27, FALSE) / VLOOKUP("industry|PM25|Asthma symptoms wheeze", US_national_yearly!$D:$AM, 10, FALSE), 1)</f>
        <v>7.3508142056655484E-2</v>
      </c>
      <c r="T8" s="7">
        <f>$B8 * IFERROR(VLOOKUP("industry|PM25|Asthma symptoms wheeze", US_national_yearly!$D:$AM, 28, FALSE) / VLOOKUP("industry|PM25|Asthma symptoms wheeze", US_national_yearly!$D:$AM, 10, FALSE), 1)</f>
        <v>7.3508142056655484E-2</v>
      </c>
      <c r="U8" s="7">
        <f>$B8 * IFERROR(VLOOKUP("industry|PM25|Asthma symptoms wheeze", US_national_yearly!$D:$AM, 29, FALSE) / VLOOKUP("industry|PM25|Asthma symptoms wheeze", US_national_yearly!$D:$AM, 10, FALSE), 1)</f>
        <v>7.3508142056655484E-2</v>
      </c>
      <c r="V8" s="7">
        <f>$B8 * IFERROR(VLOOKUP("industry|PM25|Asthma symptoms wheeze", US_national_yearly!$D:$AM, 30, FALSE) / VLOOKUP("industry|PM25|Asthma symptoms wheeze", US_national_yearly!$D:$AM, 10, FALSE), 1)</f>
        <v>7.3508142056655484E-2</v>
      </c>
      <c r="W8" s="7">
        <f>$B8 * IFERROR(VLOOKUP("industry|PM25|Asthma symptoms wheeze", US_national_yearly!$D:$AM, 31, FALSE) / VLOOKUP("industry|PM25|Asthma symptoms wheeze", US_national_yearly!$D:$AM, 10, FALSE), 1)</f>
        <v>7.3508142056655484E-2</v>
      </c>
      <c r="X8" s="7">
        <f>$B8 * IFERROR(VLOOKUP("industry|PM25|Asthma symptoms wheeze", US_national_yearly!$D:$AM, 32, FALSE) / VLOOKUP("industry|PM25|Asthma symptoms wheeze", US_national_yearly!$D:$AM, 10, FALSE), 1)</f>
        <v>7.3508142056655484E-2</v>
      </c>
      <c r="Y8" s="7">
        <f>$B8 * IFERROR(VLOOKUP("industry|PM25|Asthma symptoms wheeze", US_national_yearly!$D:$AM, 33, FALSE) / VLOOKUP("industry|PM25|Asthma symptoms wheeze", US_national_yearly!$D:$AM, 10, FALSE), 1)</f>
        <v>7.3508142056655484E-2</v>
      </c>
      <c r="Z8" s="7">
        <f>$B8 * IFERROR(VLOOKUP("industry|PM25|Asthma symptoms wheeze", US_national_yearly!$D:$AM, 34, FALSE) / VLOOKUP("industry|PM25|Asthma symptoms wheeze", US_national_yearly!$D:$AM, 10, FALSE), 1)</f>
        <v>7.3508142056655484E-2</v>
      </c>
      <c r="AA8" s="7">
        <f>$B8 * IFERROR(VLOOKUP("industry|PM25|Asthma symptoms wheeze", US_national_yearly!$D:$AM, 35, FALSE) / VLOOKUP("industry|PM25|Asthma symptoms wheeze", US_national_yearly!$D:$AM, 10, FALSE), 1)</f>
        <v>7.3508142056655484E-2</v>
      </c>
      <c r="AB8" s="7">
        <f>$B8 * IFERROR(VLOOKUP("industry|PM25|Asthma symptoms wheeze", US_national_yearly!$D:$AM, 36, FALSE) / VLOOKUP("industry|PM25|Asthma symptoms wheeze", US_national_yearly!$D:$AM, 10, FALSE), 1)</f>
        <v>7.3508142056655484E-2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8.0904278388911383E-4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8.1363617579715772E-4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8.1822956770520171E-4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8.228229596132456E-4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8.2741635152128981E-4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8.3238267458757048E-4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8.3734899765385148E-4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8.420601798776933E-4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8.4677136210153524E-4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8.5148254432537696E-4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8.5619372654921889E-4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8.6090490877306083E-4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8.6423699598855562E-4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8.675690832040502E-4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8.70901170419545E-4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8.7423325763503958E-4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8.7756534485053438E-4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8.8070809219917875E-4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8.8385083954782302E-4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8.8699358689646761E-4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8.9013633424511198E-4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8.9327908159375646E-4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8.9630509037826977E-4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8.993310991627832E-4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9.0235710794729672E-4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9.0538311673181025E-4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9.0840912551632357E-4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4.8983687436492908E-3</v>
      </c>
      <c r="C13" s="7">
        <f>$B13 * IFERROR(VLOOKUP("industry|PM25|Non-fatal heart attacks", US_national_yearly!$D:$AM, 11, FALSE) / VLOOKUP("industry|PM25|Non-fatal heart attacks", US_national_yearly!$D:$AM, 10, FALSE), 1)</f>
        <v>5.0409615421581665E-3</v>
      </c>
      <c r="D13" s="7">
        <f>$B13 * IFERROR(VLOOKUP("industry|PM25|Non-fatal heart attacks", US_national_yearly!$D:$AM, 12, FALSE) / VLOOKUP("industry|PM25|Non-fatal heart attacks", US_national_yearly!$D:$AM, 10, FALSE), 1)</f>
        <v>5.1835543406670414E-3</v>
      </c>
      <c r="E13" s="7">
        <f>$B13 * IFERROR(VLOOKUP("industry|PM25|Non-fatal heart attacks", US_national_yearly!$D:$AM, 13, FALSE) / VLOOKUP("industry|PM25|Non-fatal heart attacks", US_national_yearly!$D:$AM, 10, FALSE), 1)</f>
        <v>5.326147139175918E-3</v>
      </c>
      <c r="F13" s="7">
        <f>$B13 * IFERROR(VLOOKUP("industry|PM25|Non-fatal heart attacks", US_national_yearly!$D:$AM, 14, FALSE) / VLOOKUP("industry|PM25|Non-fatal heart attacks", US_national_yearly!$D:$AM, 10, FALSE), 1)</f>
        <v>5.4687399376847938E-3</v>
      </c>
      <c r="G13" s="7">
        <f>$B13 * IFERROR(VLOOKUP("industry|PM25|Non-fatal heart attacks", US_national_yearly!$D:$AM, 15, FALSE) / VLOOKUP("industry|PM25|Non-fatal heart attacks", US_national_yearly!$D:$AM, 10, FALSE), 1)</f>
        <v>5.6033575656371671E-3</v>
      </c>
      <c r="H13" s="7">
        <f>$B13 * IFERROR(VLOOKUP("industry|PM25|Non-fatal heart attacks", US_national_yearly!$D:$AM, 16, FALSE) / VLOOKUP("industry|PM25|Non-fatal heart attacks", US_national_yearly!$D:$AM, 10, FALSE), 1)</f>
        <v>5.7379751935895413E-3</v>
      </c>
      <c r="I13" s="7">
        <f>$B13 * IFERROR(VLOOKUP("industry|PM25|Non-fatal heart attacks", US_national_yearly!$D:$AM, 17, FALSE) / VLOOKUP("industry|PM25|Non-fatal heart attacks", US_national_yearly!$D:$AM, 10, FALSE), 1)</f>
        <v>5.8466801713861569E-3</v>
      </c>
      <c r="J13" s="7">
        <f>$B13 * IFERROR(VLOOKUP("industry|PM25|Non-fatal heart attacks", US_national_yearly!$D:$AM, 18, FALSE) / VLOOKUP("industry|PM25|Non-fatal heart attacks", US_national_yearly!$D:$AM, 10, FALSE), 1)</f>
        <v>5.9553851491827717E-3</v>
      </c>
      <c r="K13" s="7">
        <f>$B13 * IFERROR(VLOOKUP("industry|PM25|Non-fatal heart attacks", US_national_yearly!$D:$AM, 19, FALSE) / VLOOKUP("industry|PM25|Non-fatal heart attacks", US_national_yearly!$D:$AM, 10, FALSE), 1)</f>
        <v>6.0640901269793865E-3</v>
      </c>
      <c r="L13" s="7">
        <f>$B13 * IFERROR(VLOOKUP("industry|PM25|Non-fatal heart attacks", US_national_yearly!$D:$AM, 20, FALSE) / VLOOKUP("industry|PM25|Non-fatal heart attacks", US_national_yearly!$D:$AM, 10, FALSE), 1)</f>
        <v>6.1727951047760013E-3</v>
      </c>
      <c r="M13" s="7">
        <f>$B13 * IFERROR(VLOOKUP("industry|PM25|Non-fatal heart attacks", US_national_yearly!$D:$AM, 21, FALSE) / VLOOKUP("industry|PM25|Non-fatal heart attacks", US_national_yearly!$D:$AM, 10, FALSE), 1)</f>
        <v>6.281500082572616E-3</v>
      </c>
      <c r="N13" s="7">
        <f>$B13 * IFERROR(VLOOKUP("industry|PM25|Non-fatal heart attacks", US_national_yearly!$D:$AM, 22, FALSE) / VLOOKUP("industry|PM25|Non-fatal heart attacks", US_national_yearly!$D:$AM, 10, FALSE), 1)</f>
        <v>6.3517839045990057E-3</v>
      </c>
      <c r="O13" s="7">
        <f>$B13 * IFERROR(VLOOKUP("industry|PM25|Non-fatal heart attacks", US_national_yearly!$D:$AM, 23, FALSE) / VLOOKUP("industry|PM25|Non-fatal heart attacks", US_national_yearly!$D:$AM, 10, FALSE), 1)</f>
        <v>6.4220677266253962E-3</v>
      </c>
      <c r="P13" s="7">
        <f>$B13 * IFERROR(VLOOKUP("industry|PM25|Non-fatal heart attacks", US_national_yearly!$D:$AM, 24, FALSE) / VLOOKUP("industry|PM25|Non-fatal heart attacks", US_national_yearly!$D:$AM, 10, FALSE), 1)</f>
        <v>6.4923515486517858E-3</v>
      </c>
      <c r="Q13" s="7">
        <f>$B13 * IFERROR(VLOOKUP("industry|PM25|Non-fatal heart attacks", US_national_yearly!$D:$AM, 25, FALSE) / VLOOKUP("industry|PM25|Non-fatal heart attacks", US_national_yearly!$D:$AM, 10, FALSE), 1)</f>
        <v>6.5626353706781746E-3</v>
      </c>
      <c r="R13" s="7">
        <f>$B13 * IFERROR(VLOOKUP("industry|PM25|Non-fatal heart attacks", US_national_yearly!$D:$AM, 26, FALSE) / VLOOKUP("industry|PM25|Non-fatal heart attacks", US_national_yearly!$D:$AM, 10, FALSE), 1)</f>
        <v>6.6329191927045651E-3</v>
      </c>
      <c r="S13" s="7">
        <f>$B13 * IFERROR(VLOOKUP("industry|PM25|Non-fatal heart attacks", US_national_yearly!$D:$AM, 27, FALSE) / VLOOKUP("industry|PM25|Non-fatal heart attacks", US_national_yearly!$D:$AM, 10, FALSE), 1)</f>
        <v>6.670458048399895E-3</v>
      </c>
      <c r="T13" s="7">
        <f>$B13 * IFERROR(VLOOKUP("industry|PM25|Non-fatal heart attacks", US_national_yearly!$D:$AM, 28, FALSE) / VLOOKUP("industry|PM25|Non-fatal heart attacks", US_national_yearly!$D:$AM, 10, FALSE), 1)</f>
        <v>6.7079969040952266E-3</v>
      </c>
      <c r="U13" s="7">
        <f>$B13 * IFERROR(VLOOKUP("industry|PM25|Non-fatal heart attacks", US_national_yearly!$D:$AM, 29, FALSE) / VLOOKUP("industry|PM25|Non-fatal heart attacks", US_national_yearly!$D:$AM, 10, FALSE), 1)</f>
        <v>6.7455357597905573E-3</v>
      </c>
      <c r="V13" s="7">
        <f>$B13 * IFERROR(VLOOKUP("industry|PM25|Non-fatal heart attacks", US_national_yearly!$D:$AM, 30, FALSE) / VLOOKUP("industry|PM25|Non-fatal heart attacks", US_national_yearly!$D:$AM, 10, FALSE), 1)</f>
        <v>6.7830746154858871E-3</v>
      </c>
      <c r="W13" s="7">
        <f>$B13 * IFERROR(VLOOKUP("industry|PM25|Non-fatal heart attacks", US_national_yearly!$D:$AM, 31, FALSE) / VLOOKUP("industry|PM25|Non-fatal heart attacks", US_national_yearly!$D:$AM, 10, FALSE), 1)</f>
        <v>6.8206134711812187E-3</v>
      </c>
      <c r="X13" s="7">
        <f>$B13 * IFERROR(VLOOKUP("industry|PM25|Non-fatal heart attacks", US_national_yearly!$D:$AM, 32, FALSE) / VLOOKUP("industry|PM25|Non-fatal heart attacks", US_national_yearly!$D:$AM, 10, FALSE), 1)</f>
        <v>6.8495857177615534E-3</v>
      </c>
      <c r="Y13" s="7">
        <f>$B13 * IFERROR(VLOOKUP("industry|PM25|Non-fatal heart attacks", US_national_yearly!$D:$AM, 33, FALSE) / VLOOKUP("industry|PM25|Non-fatal heart attacks", US_national_yearly!$D:$AM, 10, FALSE), 1)</f>
        <v>6.8785579643418863E-3</v>
      </c>
      <c r="Z13" s="7">
        <f>$B13 * IFERROR(VLOOKUP("industry|PM25|Non-fatal heart attacks", US_national_yearly!$D:$AM, 34, FALSE) / VLOOKUP("industry|PM25|Non-fatal heart attacks", US_national_yearly!$D:$AM, 10, FALSE), 1)</f>
        <v>6.9075302109222209E-3</v>
      </c>
      <c r="AA13" s="7">
        <f>$B13 * IFERROR(VLOOKUP("industry|PM25|Non-fatal heart attacks", US_national_yearly!$D:$AM, 35, FALSE) / VLOOKUP("industry|PM25|Non-fatal heart attacks", US_national_yearly!$D:$AM, 10, FALSE), 1)</f>
        <v>6.9365024575025556E-3</v>
      </c>
      <c r="AB13" s="7">
        <f>$B13 * IFERROR(VLOOKUP("industry|PM25|Non-fatal heart attacks", US_national_yearly!$D:$AM, 36, FALSE) / VLOOKUP("industry|PM25|Non-fatal heart attacks", US_national_yearly!$D:$AM, 10, FALSE), 1)</f>
        <v>6.9654747040828902E-3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4.3969153517700619</v>
      </c>
      <c r="C14" s="7">
        <f>$B14 * IFERROR(VLOOKUP("industry|PM25|Minor restricted activity days", US_national_yearly!$D:$AM, 11, FALSE) / VLOOKUP("industry|PM25|Minor restricted activity days", US_national_yearly!$D:$AM, 10, FALSE), 1)</f>
        <v>4.4076841262806932</v>
      </c>
      <c r="D14" s="7">
        <f>$B14 * IFERROR(VLOOKUP("industry|PM25|Minor restricted activity days", US_national_yearly!$D:$AM, 12, FALSE) / VLOOKUP("industry|PM25|Minor restricted activity days", US_national_yearly!$D:$AM, 10, FALSE), 1)</f>
        <v>4.4184529007913245</v>
      </c>
      <c r="E14" s="7">
        <f>$B14 * IFERROR(VLOOKUP("industry|PM25|Minor restricted activity days", US_national_yearly!$D:$AM, 13, FALSE) / VLOOKUP("industry|PM25|Minor restricted activity days", US_national_yearly!$D:$AM, 10, FALSE), 1)</f>
        <v>4.4292216753019558</v>
      </c>
      <c r="F14" s="7">
        <f>$B14 * IFERROR(VLOOKUP("industry|PM25|Minor restricted activity days", US_national_yearly!$D:$AM, 14, FALSE) / VLOOKUP("industry|PM25|Minor restricted activity days", US_national_yearly!$D:$AM, 10, FALSE), 1)</f>
        <v>4.4399904498125862</v>
      </c>
      <c r="G14" s="7">
        <f>$B14 * IFERROR(VLOOKUP("industry|PM25|Minor restricted activity days", US_national_yearly!$D:$AM, 15, FALSE) / VLOOKUP("industry|PM25|Minor restricted activity days", US_national_yearly!$D:$AM, 10, FALSE), 1)</f>
        <v>4.4557972605596063</v>
      </c>
      <c r="H14" s="7">
        <f>$B14 * IFERROR(VLOOKUP("industry|PM25|Minor restricted activity days", US_national_yearly!$D:$AM, 16, FALSE) / VLOOKUP("industry|PM25|Minor restricted activity days", US_national_yearly!$D:$AM, 10, FALSE), 1)</f>
        <v>4.4716040713066256</v>
      </c>
      <c r="I14" s="7">
        <f>$B14 * IFERROR(VLOOKUP("industry|PM25|Minor restricted activity days", US_national_yearly!$D:$AM, 17, FALSE) / VLOOKUP("industry|PM25|Minor restricted activity days", US_national_yearly!$D:$AM, 10, FALSE), 1)</f>
        <v>4.4984557784014712</v>
      </c>
      <c r="J14" s="7">
        <f>$B14 * IFERROR(VLOOKUP("industry|PM25|Minor restricted activity days", US_national_yearly!$D:$AM, 18, FALSE) / VLOOKUP("industry|PM25|Minor restricted activity days", US_national_yearly!$D:$AM, 10, FALSE), 1)</f>
        <v>4.5253074854963176</v>
      </c>
      <c r="K14" s="7">
        <f>$B14 * IFERROR(VLOOKUP("industry|PM25|Minor restricted activity days", US_national_yearly!$D:$AM, 19, FALSE) / VLOOKUP("industry|PM25|Minor restricted activity days", US_national_yearly!$D:$AM, 10, FALSE), 1)</f>
        <v>4.5521591925911622</v>
      </c>
      <c r="L14" s="7">
        <f>$B14 * IFERROR(VLOOKUP("industry|PM25|Minor restricted activity days", US_national_yearly!$D:$AM, 20, FALSE) / VLOOKUP("industry|PM25|Minor restricted activity days", US_national_yearly!$D:$AM, 10, FALSE), 1)</f>
        <v>4.5790108996860077</v>
      </c>
      <c r="M14" s="7">
        <f>$B14 * IFERROR(VLOOKUP("industry|PM25|Minor restricted activity days", US_national_yearly!$D:$AM, 21, FALSE) / VLOOKUP("industry|PM25|Minor restricted activity days", US_national_yearly!$D:$AM, 10, FALSE), 1)</f>
        <v>4.6058626067808532</v>
      </c>
      <c r="N14" s="7">
        <f>$B14 * IFERROR(VLOOKUP("industry|PM25|Minor restricted activity days", US_national_yearly!$D:$AM, 22, FALSE) / VLOOKUP("industry|PM25|Minor restricted activity days", US_national_yearly!$D:$AM, 10, FALSE), 1)</f>
        <v>4.6425446900349465</v>
      </c>
      <c r="O14" s="7">
        <f>$B14 * IFERROR(VLOOKUP("industry|PM25|Minor restricted activity days", US_national_yearly!$D:$AM, 23, FALSE) / VLOOKUP("industry|PM25|Minor restricted activity days", US_national_yearly!$D:$AM, 10, FALSE), 1)</f>
        <v>4.6792267732890451</v>
      </c>
      <c r="P14" s="7">
        <f>$B14 * IFERROR(VLOOKUP("industry|PM25|Minor restricted activity days", US_national_yearly!$D:$AM, 24, FALSE) / VLOOKUP("industry|PM25|Minor restricted activity days", US_national_yearly!$D:$AM, 10, FALSE), 1)</f>
        <v>4.7159088565431384</v>
      </c>
      <c r="Q14" s="7">
        <f>$B14 * IFERROR(VLOOKUP("industry|PM25|Minor restricted activity days", US_national_yearly!$D:$AM, 25, FALSE) / VLOOKUP("industry|PM25|Minor restricted activity days", US_national_yearly!$D:$AM, 10, FALSE), 1)</f>
        <v>4.7525909397972379</v>
      </c>
      <c r="R14" s="7">
        <f>$B14 * IFERROR(VLOOKUP("industry|PM25|Minor restricted activity days", US_national_yearly!$D:$AM, 26, FALSE) / VLOOKUP("industry|PM25|Minor restricted activity days", US_national_yearly!$D:$AM, 10, FALSE), 1)</f>
        <v>4.7892730230513321</v>
      </c>
      <c r="S14" s="7">
        <f>$B14 * IFERROR(VLOOKUP("industry|PM25|Minor restricted activity days", US_national_yearly!$D:$AM, 27, FALSE) / VLOOKUP("industry|PM25|Minor restricted activity days", US_national_yearly!$D:$AM, 10, FALSE), 1)</f>
        <v>4.8263072686509192</v>
      </c>
      <c r="T14" s="7">
        <f>$B14 * IFERROR(VLOOKUP("industry|PM25|Minor restricted activity days", US_national_yearly!$D:$AM, 28, FALSE) / VLOOKUP("industry|PM25|Minor restricted activity days", US_national_yearly!$D:$AM, 10, FALSE), 1)</f>
        <v>4.8633415142505072</v>
      </c>
      <c r="U14" s="7">
        <f>$B14 * IFERROR(VLOOKUP("industry|PM25|Minor restricted activity days", US_national_yearly!$D:$AM, 29, FALSE) / VLOOKUP("industry|PM25|Minor restricted activity days", US_national_yearly!$D:$AM, 10, FALSE), 1)</f>
        <v>4.9003757598500943</v>
      </c>
      <c r="V14" s="7">
        <f>$B14 * IFERROR(VLOOKUP("industry|PM25|Minor restricted activity days", US_national_yearly!$D:$AM, 30, FALSE) / VLOOKUP("industry|PM25|Minor restricted activity days", US_national_yearly!$D:$AM, 10, FALSE), 1)</f>
        <v>4.9374100054496814</v>
      </c>
      <c r="W14" s="7">
        <f>$B14 * IFERROR(VLOOKUP("industry|PM25|Minor restricted activity days", US_national_yearly!$D:$AM, 31, FALSE) / VLOOKUP("industry|PM25|Minor restricted activity days", US_national_yearly!$D:$AM, 10, FALSE), 1)</f>
        <v>4.9744442510492695</v>
      </c>
      <c r="X14" s="7">
        <f>$B14 * IFERROR(VLOOKUP("industry|PM25|Minor restricted activity days", US_national_yearly!$D:$AM, 32, FALSE) / VLOOKUP("industry|PM25|Minor restricted activity days", US_national_yearly!$D:$AM, 10, FALSE), 1)</f>
        <v>5.0066256541709029</v>
      </c>
      <c r="Y14" s="7">
        <f>$B14 * IFERROR(VLOOKUP("industry|PM25|Minor restricted activity days", US_national_yearly!$D:$AM, 33, FALSE) / VLOOKUP("industry|PM25|Minor restricted activity days", US_national_yearly!$D:$AM, 10, FALSE), 1)</f>
        <v>5.0388070572925381</v>
      </c>
      <c r="Z14" s="7">
        <f>$B14 * IFERROR(VLOOKUP("industry|PM25|Minor restricted activity days", US_national_yearly!$D:$AM, 34, FALSE) / VLOOKUP("industry|PM25|Minor restricted activity days", US_national_yearly!$D:$AM, 10, FALSE), 1)</f>
        <v>5.0709884604141733</v>
      </c>
      <c r="AA14" s="7">
        <f>$B14 * IFERROR(VLOOKUP("industry|PM25|Minor restricted activity days", US_national_yearly!$D:$AM, 35, FALSE) / VLOOKUP("industry|PM25|Minor restricted activity days", US_national_yearly!$D:$AM, 10, FALSE), 1)</f>
        <v>5.1031698635358085</v>
      </c>
      <c r="AB14" s="7">
        <f>$B14 * IFERROR(VLOOKUP("industry|PM25|Minor restricted activity days", US_national_yearly!$D:$AM, 36, FALSE) / VLOOKUP("industry|PM25|Minor restricted activity days", US_national_yearly!$D:$AM, 10, FALSE), 1)</f>
        <v>5.1353512666574428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0.74802817429248603</v>
      </c>
      <c r="C15" s="7">
        <f>$B15 * IFERROR(VLOOKUP("industry|PM25|Work loss days", US_national_yearly!$D:$AM, 11, FALSE) / VLOOKUP("industry|PM25|Work loss days", US_national_yearly!$D:$AM, 10, FALSE), 1)</f>
        <v>0.75034736196574248</v>
      </c>
      <c r="D15" s="7">
        <f>$B15 * IFERROR(VLOOKUP("industry|PM25|Work loss days", US_national_yearly!$D:$AM, 12, FALSE) / VLOOKUP("industry|PM25|Work loss days", US_national_yearly!$D:$AM, 10, FALSE), 1)</f>
        <v>0.75266654963899893</v>
      </c>
      <c r="E15" s="7">
        <f>$B15 * IFERROR(VLOOKUP("industry|PM25|Work loss days", US_national_yearly!$D:$AM, 13, FALSE) / VLOOKUP("industry|PM25|Work loss days", US_national_yearly!$D:$AM, 10, FALSE), 1)</f>
        <v>0.75498573731225516</v>
      </c>
      <c r="F15" s="7">
        <f>$B15 * IFERROR(VLOOKUP("industry|PM25|Work loss days", US_national_yearly!$D:$AM, 14, FALSE) / VLOOKUP("industry|PM25|Work loss days", US_national_yearly!$D:$AM, 10, FALSE), 1)</f>
        <v>0.75730492498551161</v>
      </c>
      <c r="G15" s="7">
        <f>$B15 * IFERROR(VLOOKUP("industry|PM25|Work loss days", US_national_yearly!$D:$AM, 15, FALSE) / VLOOKUP("industry|PM25|Work loss days", US_national_yearly!$D:$AM, 10, FALSE), 1)</f>
        <v>0.76033272603821334</v>
      </c>
      <c r="H15" s="7">
        <f>$B15 * IFERROR(VLOOKUP("industry|PM25|Work loss days", US_national_yearly!$D:$AM, 16, FALSE) / VLOOKUP("industry|PM25|Work loss days", US_national_yearly!$D:$AM, 10, FALSE), 1)</f>
        <v>0.76336052709091506</v>
      </c>
      <c r="I15" s="7">
        <f>$B15 * IFERROR(VLOOKUP("industry|PM25|Work loss days", US_national_yearly!$D:$AM, 17, FALSE) / VLOOKUP("industry|PM25|Work loss days", US_national_yearly!$D:$AM, 10, FALSE), 1)</f>
        <v>0.76779419147159123</v>
      </c>
      <c r="J15" s="7">
        <f>$B15 * IFERROR(VLOOKUP("industry|PM25|Work loss days", US_national_yearly!$D:$AM, 18, FALSE) / VLOOKUP("industry|PM25|Work loss days", US_national_yearly!$D:$AM, 10, FALSE), 1)</f>
        <v>0.77222785585226728</v>
      </c>
      <c r="K15" s="7">
        <f>$B15 * IFERROR(VLOOKUP("industry|PM25|Work loss days", US_national_yearly!$D:$AM, 19, FALSE) / VLOOKUP("industry|PM25|Work loss days", US_national_yearly!$D:$AM, 10, FALSE), 1)</f>
        <v>0.77666152023294333</v>
      </c>
      <c r="L15" s="7">
        <f>$B15 * IFERROR(VLOOKUP("industry|PM25|Work loss days", US_national_yearly!$D:$AM, 20, FALSE) / VLOOKUP("industry|PM25|Work loss days", US_national_yearly!$D:$AM, 10, FALSE), 1)</f>
        <v>0.78109518461361949</v>
      </c>
      <c r="M15" s="7">
        <f>$B15 * IFERROR(VLOOKUP("industry|PM25|Work loss days", US_national_yearly!$D:$AM, 21, FALSE) / VLOOKUP("industry|PM25|Work loss days", US_national_yearly!$D:$AM, 10, FALSE), 1)</f>
        <v>0.78552884899429554</v>
      </c>
      <c r="N15" s="7">
        <f>$B15 * IFERROR(VLOOKUP("industry|PM25|Work loss days", US_national_yearly!$D:$AM, 22, FALSE) / VLOOKUP("industry|PM25|Work loss days", US_national_yearly!$D:$AM, 10, FALSE), 1)</f>
        <v>0.79112355148929459</v>
      </c>
      <c r="O15" s="7">
        <f>$B15 * IFERROR(VLOOKUP("industry|PM25|Work loss days", US_national_yearly!$D:$AM, 23, FALSE) / VLOOKUP("industry|PM25|Work loss days", US_national_yearly!$D:$AM, 10, FALSE), 1)</f>
        <v>0.79671825398429352</v>
      </c>
      <c r="P15" s="7">
        <f>$B15 * IFERROR(VLOOKUP("industry|PM25|Work loss days", US_national_yearly!$D:$AM, 24, FALSE) / VLOOKUP("industry|PM25|Work loss days", US_national_yearly!$D:$AM, 10, FALSE), 1)</f>
        <v>0.80231295647929235</v>
      </c>
      <c r="Q15" s="7">
        <f>$B15 * IFERROR(VLOOKUP("industry|PM25|Work loss days", US_national_yearly!$D:$AM, 25, FALSE) / VLOOKUP("industry|PM25|Work loss days", US_national_yearly!$D:$AM, 10, FALSE), 1)</f>
        <v>0.80790765897429129</v>
      </c>
      <c r="R15" s="7">
        <f>$B15 * IFERROR(VLOOKUP("industry|PM25|Work loss days", US_national_yearly!$D:$AM, 26, FALSE) / VLOOKUP("industry|PM25|Work loss days", US_national_yearly!$D:$AM, 10, FALSE), 1)</f>
        <v>0.81350236146929011</v>
      </c>
      <c r="S15" s="7">
        <f>$B15 * IFERROR(VLOOKUP("industry|PM25|Work loss days", US_national_yearly!$D:$AM, 27, FALSE) / VLOOKUP("industry|PM25|Work loss days", US_national_yearly!$D:$AM, 10, FALSE), 1)</f>
        <v>0.81970609338380052</v>
      </c>
      <c r="T15" s="7">
        <f>$B15 * IFERROR(VLOOKUP("industry|PM25|Work loss days", US_national_yearly!$D:$AM, 28, FALSE) / VLOOKUP("industry|PM25|Work loss days", US_national_yearly!$D:$AM, 10, FALSE), 1)</f>
        <v>0.82590982529831081</v>
      </c>
      <c r="U15" s="7">
        <f>$B15 * IFERROR(VLOOKUP("industry|PM25|Work loss days", US_national_yearly!$D:$AM, 29, FALSE) / VLOOKUP("industry|PM25|Work loss days", US_national_yearly!$D:$AM, 10, FALSE), 1)</f>
        <v>0.83211355721282121</v>
      </c>
      <c r="V15" s="7">
        <f>$B15 * IFERROR(VLOOKUP("industry|PM25|Work loss days", US_national_yearly!$D:$AM, 30, FALSE) / VLOOKUP("industry|PM25|Work loss days", US_national_yearly!$D:$AM, 10, FALSE), 1)</f>
        <v>0.8383172891273315</v>
      </c>
      <c r="W15" s="7">
        <f>$B15 * IFERROR(VLOOKUP("industry|PM25|Work loss days", US_national_yearly!$D:$AM, 31, FALSE) / VLOOKUP("industry|PM25|Work loss days", US_national_yearly!$D:$AM, 10, FALSE), 1)</f>
        <v>0.8445210210418419</v>
      </c>
      <c r="X15" s="7">
        <f>$B15 * IFERROR(VLOOKUP("industry|PM25|Work loss days", US_national_yearly!$D:$AM, 32, FALSE) / VLOOKUP("industry|PM25|Work loss days", US_national_yearly!$D:$AM, 10, FALSE), 1)</f>
        <v>0.85003385257683339</v>
      </c>
      <c r="Y15" s="7">
        <f>$B15 * IFERROR(VLOOKUP("industry|PM25|Work loss days", US_national_yearly!$D:$AM, 33, FALSE) / VLOOKUP("industry|PM25|Work loss days", US_national_yearly!$D:$AM, 10, FALSE), 1)</f>
        <v>0.855546684111825</v>
      </c>
      <c r="Z15" s="7">
        <f>$B15 * IFERROR(VLOOKUP("industry|PM25|Work loss days", US_national_yearly!$D:$AM, 34, FALSE) / VLOOKUP("industry|PM25|Work loss days", US_national_yearly!$D:$AM, 10, FALSE), 1)</f>
        <v>0.8610595156468166</v>
      </c>
      <c r="AA15" s="7">
        <f>$B15 * IFERROR(VLOOKUP("industry|PM25|Work loss days", US_national_yearly!$D:$AM, 35, FALSE) / VLOOKUP("industry|PM25|Work loss days", US_national_yearly!$D:$AM, 10, FALSE), 1)</f>
        <v>0.86657234718180798</v>
      </c>
      <c r="AB15" s="7">
        <f>$B15 * IFERROR(VLOOKUP("industry|PM25|Work loss days", US_national_yearly!$D:$AM, 36, FALSE) / VLOOKUP("industry|PM25|Work loss days", US_national_yearly!$D:$AM, 10, FALSE), 1)</f>
        <v>0.87208517871679958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1.178004695033915E-3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1.2132395707053496E-3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1.2484744463767843E-3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1.2837093220482189E-3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1.3189441977196532E-3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1.3527142863662004E-3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1.3864843750127473E-3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1.4154789555366931E-3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1.4444735360606387E-3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1.4734681165845848E-3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1.5024626971085306E-3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1.5314572776324764E-3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1.5508257667363266E-3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1.5701942558401761E-3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1.5895627449440258E-3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1.6089312340478756E-3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1.6282997231517255E-3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1.6386768899172384E-3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1.6490540566827514E-3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1.6594312234482647E-3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1.6698083902137774E-3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1.6801855569792904E-3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1.6873115009021565E-3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1.6944374448250219E-3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1.7015633887478875E-3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1.7086893326707531E-3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1.7158152765936188E-3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4.158072289285735E-4</v>
      </c>
      <c r="C2" s="7">
        <f>$B2 * IFERROR(VLOOKUP("industry|NOx|Premature mortality", US_national_yearly!$D:$AM, 11, FALSE) / VLOOKUP("industry|NOx|Premature mortality", US_national_yearly!$D:$AM, 10, FALSE), 1)</f>
        <v>4.2195566128229228E-4</v>
      </c>
      <c r="D2" s="7">
        <f>$B2 * IFERROR(VLOOKUP("industry|NOx|Premature mortality", US_national_yearly!$D:$AM, 12, FALSE) / VLOOKUP("industry|NOx|Premature mortality", US_national_yearly!$D:$AM, 10, FALSE), 1)</f>
        <v>4.2810409363601117E-4</v>
      </c>
      <c r="E2" s="7">
        <f>$B2 * IFERROR(VLOOKUP("industry|NOx|Premature mortality", US_national_yearly!$D:$AM, 13, FALSE) / VLOOKUP("industry|NOx|Premature mortality", US_national_yearly!$D:$AM, 10, FALSE), 1)</f>
        <v>4.3425252598973E-4</v>
      </c>
      <c r="F2" s="7">
        <f>$B2 * IFERROR(VLOOKUP("industry|NOx|Premature mortality", US_national_yearly!$D:$AM, 14, FALSE) / VLOOKUP("industry|NOx|Premature mortality", US_national_yearly!$D:$AM, 10, FALSE), 1)</f>
        <v>4.4040095834344889E-4</v>
      </c>
      <c r="G2" s="7">
        <f>$B2 * IFERROR(VLOOKUP("industry|NOx|Premature mortality", US_national_yearly!$D:$AM, 15, FALSE) / VLOOKUP("industry|NOx|Premature mortality", US_national_yearly!$D:$AM, 10, FALSE), 1)</f>
        <v>4.5142740003392993E-4</v>
      </c>
      <c r="H2" s="7">
        <f>$B2 * IFERROR(VLOOKUP("industry|NOx|Premature mortality", US_national_yearly!$D:$AM, 16, FALSE) / VLOOKUP("industry|NOx|Premature mortality", US_national_yearly!$D:$AM, 10, FALSE), 1)</f>
        <v>4.6245384172441097E-4</v>
      </c>
      <c r="I2" s="7">
        <f>$B2 * IFERROR(VLOOKUP("industry|NOx|Premature mortality", US_national_yearly!$D:$AM, 17, FALSE) / VLOOKUP("industry|NOx|Premature mortality", US_national_yearly!$D:$AM, 10, FALSE), 1)</f>
        <v>4.6960706547200453E-4</v>
      </c>
      <c r="J2" s="7">
        <f>$B2 * IFERROR(VLOOKUP("industry|NOx|Premature mortality", US_national_yearly!$D:$AM, 18, FALSE) / VLOOKUP("industry|NOx|Premature mortality", US_national_yearly!$D:$AM, 10, FALSE), 1)</f>
        <v>4.7676028921959815E-4</v>
      </c>
      <c r="K2" s="7">
        <f>$B2 * IFERROR(VLOOKUP("industry|NOx|Premature mortality", US_national_yearly!$D:$AM, 19, FALSE) / VLOOKUP("industry|NOx|Premature mortality", US_national_yearly!$D:$AM, 10, FALSE), 1)</f>
        <v>4.8391351296719182E-4</v>
      </c>
      <c r="L2" s="7">
        <f>$B2 * IFERROR(VLOOKUP("industry|NOx|Premature mortality", US_national_yearly!$D:$AM, 20, FALSE) / VLOOKUP("industry|NOx|Premature mortality", US_national_yearly!$D:$AM, 10, FALSE), 1)</f>
        <v>4.9106673671478539E-4</v>
      </c>
      <c r="M2" s="7">
        <f>$B2 * IFERROR(VLOOKUP("industry|NOx|Premature mortality", US_national_yearly!$D:$AM, 21, FALSE) / VLOOKUP("industry|NOx|Premature mortality", US_national_yearly!$D:$AM, 10, FALSE), 1)</f>
        <v>4.9821996046237895E-4</v>
      </c>
      <c r="N2" s="7">
        <f>$B2 * IFERROR(VLOOKUP("industry|NOx|Premature mortality", US_national_yearly!$D:$AM, 22, FALSE) / VLOOKUP("industry|NOx|Premature mortality", US_national_yearly!$D:$AM, 10, FALSE), 1)</f>
        <v>5.0354289235795277E-4</v>
      </c>
      <c r="O2" s="7">
        <f>$B2 * IFERROR(VLOOKUP("industry|NOx|Premature mortality", US_national_yearly!$D:$AM, 23, FALSE) / VLOOKUP("industry|NOx|Premature mortality", US_national_yearly!$D:$AM, 10, FALSE), 1)</f>
        <v>5.0886582425352638E-4</v>
      </c>
      <c r="P2" s="7">
        <f>$B2 * IFERROR(VLOOKUP("industry|NOx|Premature mortality", US_national_yearly!$D:$AM, 24, FALSE) / VLOOKUP("industry|NOx|Premature mortality", US_national_yearly!$D:$AM, 10, FALSE), 1)</f>
        <v>5.1418875614909999E-4</v>
      </c>
      <c r="Q2" s="7">
        <f>$B2 * IFERROR(VLOOKUP("industry|NOx|Premature mortality", US_national_yearly!$D:$AM, 25, FALSE) / VLOOKUP("industry|NOx|Premature mortality", US_national_yearly!$D:$AM, 10, FALSE), 1)</f>
        <v>5.195116880446736E-4</v>
      </c>
      <c r="R2" s="7">
        <f>$B2 * IFERROR(VLOOKUP("industry|NOx|Premature mortality", US_national_yearly!$D:$AM, 26, FALSE) / VLOOKUP("industry|NOx|Premature mortality", US_national_yearly!$D:$AM, 10, FALSE), 1)</f>
        <v>5.2483461994024731E-4</v>
      </c>
      <c r="S2" s="7">
        <f>$B2 * IFERROR(VLOOKUP("industry|NOx|Premature mortality", US_national_yearly!$D:$AM, 27, FALSE) / VLOOKUP("industry|NOx|Premature mortality", US_national_yearly!$D:$AM, 10, FALSE), 1)</f>
        <v>5.2731329839998057E-4</v>
      </c>
      <c r="T2" s="7">
        <f>$B2 * IFERROR(VLOOKUP("industry|NOx|Premature mortality", US_national_yearly!$D:$AM, 28, FALSE) / VLOOKUP("industry|NOx|Premature mortality", US_national_yearly!$D:$AM, 10, FALSE), 1)</f>
        <v>5.2979197685971394E-4</v>
      </c>
      <c r="U2" s="7">
        <f>$B2 * IFERROR(VLOOKUP("industry|NOx|Premature mortality", US_national_yearly!$D:$AM, 29, FALSE) / VLOOKUP("industry|NOx|Premature mortality", US_national_yearly!$D:$AM, 10, FALSE), 1)</f>
        <v>5.3227065531944731E-4</v>
      </c>
      <c r="V2" s="7">
        <f>$B2 * IFERROR(VLOOKUP("industry|NOx|Premature mortality", US_national_yearly!$D:$AM, 30, FALSE) / VLOOKUP("industry|NOx|Premature mortality", US_national_yearly!$D:$AM, 10, FALSE), 1)</f>
        <v>5.3474933377918056E-4</v>
      </c>
      <c r="W2" s="7">
        <f>$B2 * IFERROR(VLOOKUP("industry|NOx|Premature mortality", US_national_yearly!$D:$AM, 31, FALSE) / VLOOKUP("industry|NOx|Premature mortality", US_national_yearly!$D:$AM, 10, FALSE), 1)</f>
        <v>5.3722801223891382E-4</v>
      </c>
      <c r="X2" s="7">
        <f>$B2 * IFERROR(VLOOKUP("industry|NOx|Premature mortality", US_national_yearly!$D:$AM, 32, FALSE) / VLOOKUP("industry|NOx|Premature mortality", US_national_yearly!$D:$AM, 10, FALSE), 1)</f>
        <v>5.3741744077405722E-4</v>
      </c>
      <c r="Y2" s="7">
        <f>$B2 * IFERROR(VLOOKUP("industry|NOx|Premature mortality", US_national_yearly!$D:$AM, 33, FALSE) / VLOOKUP("industry|NOx|Premature mortality", US_national_yearly!$D:$AM, 10, FALSE), 1)</f>
        <v>5.3760686930920062E-4</v>
      </c>
      <c r="Z2" s="7">
        <f>$B2 * IFERROR(VLOOKUP("industry|NOx|Premature mortality", US_national_yearly!$D:$AM, 34, FALSE) / VLOOKUP("industry|NOx|Premature mortality", US_national_yearly!$D:$AM, 10, FALSE), 1)</f>
        <v>5.3779629784434402E-4</v>
      </c>
      <c r="AA2" s="7">
        <f>$B2 * IFERROR(VLOOKUP("industry|NOx|Premature mortality", US_national_yearly!$D:$AM, 35, FALSE) / VLOOKUP("industry|NOx|Premature mortality", US_national_yearly!$D:$AM, 10, FALSE), 1)</f>
        <v>5.3798572637948742E-4</v>
      </c>
      <c r="AB2" s="7">
        <f>$B2 * IFERROR(VLOOKUP("industry|NOx|Premature mortality", US_national_yearly!$D:$AM, 36, FALSE) / VLOOKUP("industry|NOx|Premature mortality", US_national_yearly!$D:$AM, 10, FALSE), 1)</f>
        <v>5.3817515491463093E-4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1.1242588699043781E-6</v>
      </c>
      <c r="C3" s="7">
        <f>$B3 * IFERROR(VLOOKUP("industry|NOx|Infant mortality", US_national_yearly!$D:$AM, 11, FALSE) / VLOOKUP("industry|NOx|Infant mortality", US_national_yearly!$D:$AM, 10, FALSE), 1)</f>
        <v>1.1134920311130264E-6</v>
      </c>
      <c r="D3" s="7">
        <f>$B3 * IFERROR(VLOOKUP("industry|NOx|Infant mortality", US_national_yearly!$D:$AM, 12, FALSE) / VLOOKUP("industry|NOx|Infant mortality", US_national_yearly!$D:$AM, 10, FALSE), 1)</f>
        <v>1.1027251923216747E-6</v>
      </c>
      <c r="E3" s="7">
        <f>$B3 * IFERROR(VLOOKUP("industry|NOx|Infant mortality", US_national_yearly!$D:$AM, 13, FALSE) / VLOOKUP("industry|NOx|Infant mortality", US_national_yearly!$D:$AM, 10, FALSE), 1)</f>
        <v>1.091958353530323E-6</v>
      </c>
      <c r="F3" s="7">
        <f>$B3 * IFERROR(VLOOKUP("industry|NOx|Infant mortality", US_national_yearly!$D:$AM, 14, FALSE) / VLOOKUP("industry|NOx|Infant mortality", US_national_yearly!$D:$AM, 10, FALSE), 1)</f>
        <v>1.0811915147389711E-6</v>
      </c>
      <c r="G3" s="7">
        <f>$B3 * IFERROR(VLOOKUP("industry|NOx|Infant mortality", US_national_yearly!$D:$AM, 15, FALSE) / VLOOKUP("industry|NOx|Infant mortality", US_national_yearly!$D:$AM, 10, FALSE), 1)</f>
        <v>7.1714161215323202E-7</v>
      </c>
      <c r="H3" s="7">
        <f>$B3 * IFERROR(VLOOKUP("industry|NOx|Infant mortality", US_national_yearly!$D:$AM, 16, FALSE) / VLOOKUP("industry|NOx|Infant mortality", US_national_yearly!$D:$AM, 10, FALSE), 1)</f>
        <v>3.5309170956749296E-7</v>
      </c>
      <c r="I3" s="7">
        <f>$B3 * IFERROR(VLOOKUP("industry|NOx|Infant mortality", US_national_yearly!$D:$AM, 17, FALSE) / VLOOKUP("industry|NOx|Infant mortality", US_national_yearly!$D:$AM, 10, FALSE), 1)</f>
        <v>3.5054607079346183E-7</v>
      </c>
      <c r="J3" s="7">
        <f>$B3 * IFERROR(VLOOKUP("industry|NOx|Infant mortality", US_national_yearly!$D:$AM, 18, FALSE) / VLOOKUP("industry|NOx|Infant mortality", US_national_yearly!$D:$AM, 10, FALSE), 1)</f>
        <v>3.480004320194307E-7</v>
      </c>
      <c r="K3" s="7">
        <f>$B3 * IFERROR(VLOOKUP("industry|NOx|Infant mortality", US_national_yearly!$D:$AM, 19, FALSE) / VLOOKUP("industry|NOx|Infant mortality", US_national_yearly!$D:$AM, 10, FALSE), 1)</f>
        <v>3.4545479324539951E-7</v>
      </c>
      <c r="L3" s="7">
        <f>$B3 * IFERROR(VLOOKUP("industry|NOx|Infant mortality", US_national_yearly!$D:$AM, 20, FALSE) / VLOOKUP("industry|NOx|Infant mortality", US_national_yearly!$D:$AM, 10, FALSE), 1)</f>
        <v>3.4290915447136827E-7</v>
      </c>
      <c r="M3" s="7">
        <f>$B3 * IFERROR(VLOOKUP("industry|NOx|Infant mortality", US_national_yearly!$D:$AM, 21, FALSE) / VLOOKUP("industry|NOx|Infant mortality", US_national_yearly!$D:$AM, 10, FALSE), 1)</f>
        <v>3.4036351569733708E-7</v>
      </c>
      <c r="N3" s="7">
        <f>$B3 * IFERROR(VLOOKUP("industry|NOx|Infant mortality", US_national_yearly!$D:$AM, 22, FALSE) / VLOOKUP("industry|NOx|Infant mortality", US_national_yearly!$D:$AM, 10, FALSE), 1)</f>
        <v>3.3864837911742537E-7</v>
      </c>
      <c r="O3" s="7">
        <f>$B3 * IFERROR(VLOOKUP("industry|NOx|Infant mortality", US_national_yearly!$D:$AM, 23, FALSE) / VLOOKUP("industry|NOx|Infant mortality", US_national_yearly!$D:$AM, 10, FALSE), 1)</f>
        <v>3.369332425375136E-7</v>
      </c>
      <c r="P3" s="7">
        <f>$B3 * IFERROR(VLOOKUP("industry|NOx|Infant mortality", US_national_yearly!$D:$AM, 24, FALSE) / VLOOKUP("industry|NOx|Infant mortality", US_national_yearly!$D:$AM, 10, FALSE), 1)</f>
        <v>3.3521810595760184E-7</v>
      </c>
      <c r="Q3" s="7">
        <f>$B3 * IFERROR(VLOOKUP("industry|NOx|Infant mortality", US_national_yearly!$D:$AM, 25, FALSE) / VLOOKUP("industry|NOx|Infant mortality", US_national_yearly!$D:$AM, 10, FALSE), 1)</f>
        <v>3.3350296937769012E-7</v>
      </c>
      <c r="R3" s="7">
        <f>$B3 * IFERROR(VLOOKUP("industry|NOx|Infant mortality", US_national_yearly!$D:$AM, 26, FALSE) / VLOOKUP("industry|NOx|Infant mortality", US_national_yearly!$D:$AM, 10, FALSE), 1)</f>
        <v>3.3178783279777841E-7</v>
      </c>
      <c r="S3" s="7">
        <f>$B3 * IFERROR(VLOOKUP("industry|NOx|Infant mortality", US_national_yearly!$D:$AM, 27, FALSE) / VLOOKUP("industry|NOx|Infant mortality", US_national_yearly!$D:$AM, 10, FALSE), 1)</f>
        <v>3.2975113877247467E-7</v>
      </c>
      <c r="T3" s="7">
        <f>$B3 * IFERROR(VLOOKUP("industry|NOx|Infant mortality", US_national_yearly!$D:$AM, 28, FALSE) / VLOOKUP("industry|NOx|Infant mortality", US_national_yearly!$D:$AM, 10, FALSE), 1)</f>
        <v>3.2771444474717093E-7</v>
      </c>
      <c r="U3" s="7">
        <f>$B3 * IFERROR(VLOOKUP("industry|NOx|Infant mortality", US_national_yearly!$D:$AM, 29, FALSE) / VLOOKUP("industry|NOx|Infant mortality", US_national_yearly!$D:$AM, 10, FALSE), 1)</f>
        <v>3.2567775072186724E-7</v>
      </c>
      <c r="V3" s="7">
        <f>$B3 * IFERROR(VLOOKUP("industry|NOx|Infant mortality", US_national_yearly!$D:$AM, 30, FALSE) / VLOOKUP("industry|NOx|Infant mortality", US_national_yearly!$D:$AM, 10, FALSE), 1)</f>
        <v>3.236410566965635E-7</v>
      </c>
      <c r="W3" s="7">
        <f>$B3 * IFERROR(VLOOKUP("industry|NOx|Infant mortality", US_national_yearly!$D:$AM, 31, FALSE) / VLOOKUP("industry|NOx|Infant mortality", US_national_yearly!$D:$AM, 10, FALSE), 1)</f>
        <v>3.2160436267125981E-7</v>
      </c>
      <c r="X3" s="7">
        <f>$B3 * IFERROR(VLOOKUP("industry|NOx|Infant mortality", US_national_yearly!$D:$AM, 32, FALSE) / VLOOKUP("industry|NOx|Infant mortality", US_national_yearly!$D:$AM, 10, FALSE), 1)</f>
        <v>3.1946560842548957E-7</v>
      </c>
      <c r="Y3" s="7">
        <f>$B3 * IFERROR(VLOOKUP("industry|NOx|Infant mortality", US_national_yearly!$D:$AM, 33, FALSE) / VLOOKUP("industry|NOx|Infant mortality", US_national_yearly!$D:$AM, 10, FALSE), 1)</f>
        <v>3.1732685417971934E-7</v>
      </c>
      <c r="Z3" s="7">
        <f>$B3 * IFERROR(VLOOKUP("industry|NOx|Infant mortality", US_national_yearly!$D:$AM, 34, FALSE) / VLOOKUP("industry|NOx|Infant mortality", US_national_yearly!$D:$AM, 10, FALSE), 1)</f>
        <v>3.1518809993394911E-7</v>
      </c>
      <c r="AA3" s="7">
        <f>$B3 * IFERROR(VLOOKUP("industry|NOx|Infant mortality", US_national_yearly!$D:$AM, 35, FALSE) / VLOOKUP("industry|NOx|Infant mortality", US_national_yearly!$D:$AM, 10, FALSE), 1)</f>
        <v>3.1304934568817887E-7</v>
      </c>
      <c r="AB3" s="7">
        <f>$B3 * IFERROR(VLOOKUP("industry|NOx|Infant mortality", US_national_yearly!$D:$AM, 36, FALSE) / VLOOKUP("industry|NOx|Infant mortality", US_national_yearly!$D:$AM, 10, FALSE), 1)</f>
        <v>3.1091059144240864E-7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1.1308286942836149E-3</v>
      </c>
      <c r="C6" s="7">
        <f>$B6 * IFERROR(VLOOKUP("industry|NOx|Asthma symptoms cough", US_national_yearly!$D:$AM, 11, FALSE) / VLOOKUP("industry|NOx|Asthma symptoms cough", US_national_yearly!$D:$AM, 10, FALSE), 1)</f>
        <v>1.1462988145319851E-3</v>
      </c>
      <c r="D6" s="7">
        <f>$B6 * IFERROR(VLOOKUP("industry|NOx|Asthma symptoms cough", US_national_yearly!$D:$AM, 12, FALSE) / VLOOKUP("industry|NOx|Asthma symptoms cough", US_national_yearly!$D:$AM, 10, FALSE), 1)</f>
        <v>1.1617689347803554E-3</v>
      </c>
      <c r="E6" s="7">
        <f>$B6 * IFERROR(VLOOKUP("industry|NOx|Asthma symptoms cough", US_national_yearly!$D:$AM, 13, FALSE) / VLOOKUP("industry|NOx|Asthma symptoms cough", US_national_yearly!$D:$AM, 10, FALSE), 1)</f>
        <v>1.1772390550287256E-3</v>
      </c>
      <c r="F6" s="7">
        <f>$B6 * IFERROR(VLOOKUP("industry|NOx|Asthma symptoms cough", US_national_yearly!$D:$AM, 14, FALSE) / VLOOKUP("industry|NOx|Asthma symptoms cough", US_national_yearly!$D:$AM, 10, FALSE), 1)</f>
        <v>1.1927091752770959E-3</v>
      </c>
      <c r="G6" s="7">
        <f>$B6 * IFERROR(VLOOKUP("industry|NOx|Asthma symptoms cough", US_national_yearly!$D:$AM, 15, FALSE) / VLOOKUP("industry|NOx|Asthma symptoms cough", US_national_yearly!$D:$AM, 10, FALSE), 1)</f>
        <v>1.2051138117213037E-3</v>
      </c>
      <c r="H6" s="7">
        <f>$B6 * IFERROR(VLOOKUP("industry|NOx|Asthma symptoms cough", US_national_yearly!$D:$AM, 16, FALSE) / VLOOKUP("industry|NOx|Asthma symptoms cough", US_national_yearly!$D:$AM, 10, FALSE), 1)</f>
        <v>1.217518448165512E-3</v>
      </c>
      <c r="I6" s="7">
        <f>$B6 * IFERROR(VLOOKUP("industry|NOx|Asthma symptoms cough", US_national_yearly!$D:$AM, 17, FALSE) / VLOOKUP("industry|NOx|Asthma symptoms cough", US_national_yearly!$D:$AM, 10, FALSE), 1)</f>
        <v>1.2218353716160282E-3</v>
      </c>
      <c r="J6" s="7">
        <f>$B6 * IFERROR(VLOOKUP("industry|NOx|Asthma symptoms cough", US_national_yearly!$D:$AM, 18, FALSE) / VLOOKUP("industry|NOx|Asthma symptoms cough", US_national_yearly!$D:$AM, 10, FALSE), 1)</f>
        <v>1.2261522950665444E-3</v>
      </c>
      <c r="K6" s="7">
        <f>$B6 * IFERROR(VLOOKUP("industry|NOx|Asthma symptoms cough", US_national_yearly!$D:$AM, 19, FALSE) / VLOOKUP("industry|NOx|Asthma symptoms cough", US_national_yearly!$D:$AM, 10, FALSE), 1)</f>
        <v>1.2304692185170607E-3</v>
      </c>
      <c r="L6" s="7">
        <f>$B6 * IFERROR(VLOOKUP("industry|NOx|Asthma symptoms cough", US_national_yearly!$D:$AM, 20, FALSE) / VLOOKUP("industry|NOx|Asthma symptoms cough", US_national_yearly!$D:$AM, 10, FALSE), 1)</f>
        <v>1.2347861419675771E-3</v>
      </c>
      <c r="M6" s="7">
        <f>$B6 * IFERROR(VLOOKUP("industry|NOx|Asthma symptoms cough", US_national_yearly!$D:$AM, 21, FALSE) / VLOOKUP("industry|NOx|Asthma symptoms cough", US_national_yearly!$D:$AM, 10, FALSE), 1)</f>
        <v>1.2391030654180935E-3</v>
      </c>
      <c r="N6" s="7">
        <f>$B6 * IFERROR(VLOOKUP("industry|NOx|Asthma symptoms cough", US_national_yearly!$D:$AM, 22, FALSE) / VLOOKUP("industry|NOx|Asthma symptoms cough", US_national_yearly!$D:$AM, 10, FALSE), 1)</f>
        <v>1.2440309513831386E-3</v>
      </c>
      <c r="O6" s="7">
        <f>$B6 * IFERROR(VLOOKUP("industry|NOx|Asthma symptoms cough", US_national_yearly!$D:$AM, 23, FALSE) / VLOOKUP("industry|NOx|Asthma symptoms cough", US_national_yearly!$D:$AM, 10, FALSE), 1)</f>
        <v>1.2489588373481837E-3</v>
      </c>
      <c r="P6" s="7">
        <f>$B6 * IFERROR(VLOOKUP("industry|NOx|Asthma symptoms cough", US_national_yearly!$D:$AM, 24, FALSE) / VLOOKUP("industry|NOx|Asthma symptoms cough", US_national_yearly!$D:$AM, 10, FALSE), 1)</f>
        <v>1.2538867233132288E-3</v>
      </c>
      <c r="Q6" s="7">
        <f>$B6 * IFERROR(VLOOKUP("industry|NOx|Asthma symptoms cough", US_national_yearly!$D:$AM, 25, FALSE) / VLOOKUP("industry|NOx|Asthma symptoms cough", US_national_yearly!$D:$AM, 10, FALSE), 1)</f>
        <v>1.2588146092782741E-3</v>
      </c>
      <c r="R6" s="7">
        <f>$B6 * IFERROR(VLOOKUP("industry|NOx|Asthma symptoms cough", US_national_yearly!$D:$AM, 26, FALSE) / VLOOKUP("industry|NOx|Asthma symptoms cough", US_national_yearly!$D:$AM, 10, FALSE), 1)</f>
        <v>1.2637424952433192E-3</v>
      </c>
      <c r="S6" s="7">
        <f>$B6 * IFERROR(VLOOKUP("industry|NOx|Asthma symptoms cough", US_national_yearly!$D:$AM, 27, FALSE) / VLOOKUP("industry|NOx|Asthma symptoms cough", US_national_yearly!$D:$AM, 10, FALSE), 1)</f>
        <v>1.2700992500989383E-3</v>
      </c>
      <c r="T6" s="7">
        <f>$B6 * IFERROR(VLOOKUP("industry|NOx|Asthma symptoms cough", US_national_yearly!$D:$AM, 28, FALSE) / VLOOKUP("industry|NOx|Asthma symptoms cough", US_national_yearly!$D:$AM, 10, FALSE), 1)</f>
        <v>1.2764560049545572E-3</v>
      </c>
      <c r="U6" s="7">
        <f>$B6 * IFERROR(VLOOKUP("industry|NOx|Asthma symptoms cough", US_national_yearly!$D:$AM, 29, FALSE) / VLOOKUP("industry|NOx|Asthma symptoms cough", US_national_yearly!$D:$AM, 10, FALSE), 1)</f>
        <v>1.2828127598101761E-3</v>
      </c>
      <c r="V6" s="7">
        <f>$B6 * IFERROR(VLOOKUP("industry|NOx|Asthma symptoms cough", US_national_yearly!$D:$AM, 30, FALSE) / VLOOKUP("industry|NOx|Asthma symptoms cough", US_national_yearly!$D:$AM, 10, FALSE), 1)</f>
        <v>1.2891695146657947E-3</v>
      </c>
      <c r="W6" s="7">
        <f>$B6 * IFERROR(VLOOKUP("industry|NOx|Asthma symptoms cough", US_national_yearly!$D:$AM, 31, FALSE) / VLOOKUP("industry|NOx|Asthma symptoms cough", US_national_yearly!$D:$AM, 10, FALSE), 1)</f>
        <v>1.2955262695214138E-3</v>
      </c>
      <c r="X6" s="7">
        <f>$B6 * IFERROR(VLOOKUP("industry|NOx|Asthma symptoms cough", US_national_yearly!$D:$AM, 32, FALSE) / VLOOKUP("industry|NOx|Asthma symptoms cough", US_national_yearly!$D:$AM, 10, FALSE), 1)</f>
        <v>1.3014194700982328E-3</v>
      </c>
      <c r="Y6" s="7">
        <f>$B6 * IFERROR(VLOOKUP("industry|NOx|Asthma symptoms cough", US_national_yearly!$D:$AM, 33, FALSE) / VLOOKUP("industry|NOx|Asthma symptoms cough", US_national_yearly!$D:$AM, 10, FALSE), 1)</f>
        <v>1.3073126706750512E-3</v>
      </c>
      <c r="Z6" s="7">
        <f>$B6 * IFERROR(VLOOKUP("industry|NOx|Asthma symptoms cough", US_national_yearly!$D:$AM, 34, FALSE) / VLOOKUP("industry|NOx|Asthma symptoms cough", US_national_yearly!$D:$AM, 10, FALSE), 1)</f>
        <v>1.3132058712518701E-3</v>
      </c>
      <c r="AA6" s="7">
        <f>$B6 * IFERROR(VLOOKUP("industry|NOx|Asthma symptoms cough", US_national_yearly!$D:$AM, 35, FALSE) / VLOOKUP("industry|NOx|Asthma symptoms cough", US_national_yearly!$D:$AM, 10, FALSE), 1)</f>
        <v>1.3190990718286886E-3</v>
      </c>
      <c r="AB6" s="7">
        <f>$B6 * IFERROR(VLOOKUP("industry|NOx|Asthma symptoms cough", US_national_yearly!$D:$AM, 36, FALSE) / VLOOKUP("industry|NOx|Asthma symptoms cough", US_national_yearly!$D:$AM, 10, FALSE), 1)</f>
        <v>1.3249922724055075E-3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1.5228252644319633E-3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1.5436580307273064E-3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1.5644907970226495E-3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1.5853235633179923E-3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1.6061563296133358E-3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1.6228609762136063E-3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1.6395656228138772E-3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1.6453789878635053E-3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1.6511923529131335E-3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1.6570057179627615E-3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1.6628190830123904E-3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1.6686324480620187E-3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1.6752685629817493E-3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1.6819046779014799E-3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1.6885407928212107E-3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1.6951769077409417E-3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1.7018130226606723E-3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1.7103733173208639E-3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1.7189336119810559E-3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1.7274939066412474E-3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1.7360542013014394E-3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1.7446144959616307E-3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1.7525505473769607E-3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1.7604865987922902E-3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1.7684226502076199E-3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1.7763587016229494E-3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1.7842947530382789E-3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2.3266177131411703E-3</v>
      </c>
      <c r="C8" s="7">
        <f>$B8 * IFERROR(VLOOKUP("industry|NOx|Asthma symptoms wheeze", US_national_yearly!$D:$AM, 11, FALSE) / VLOOKUP("industry|NOx|Asthma symptoms wheeze", US_national_yearly!$D:$AM, 10, FALSE), 1)</f>
        <v>2.3584466329417708E-3</v>
      </c>
      <c r="D8" s="7">
        <f>$B8 * IFERROR(VLOOKUP("industry|NOx|Asthma symptoms wheeze", US_national_yearly!$D:$AM, 12, FALSE) / VLOOKUP("industry|NOx|Asthma symptoms wheeze", US_national_yearly!$D:$AM, 10, FALSE), 1)</f>
        <v>2.3902755527423708E-3</v>
      </c>
      <c r="E8" s="7">
        <f>$B8 * IFERROR(VLOOKUP("industry|NOx|Asthma symptoms wheeze", US_national_yearly!$D:$AM, 13, FALSE) / VLOOKUP("industry|NOx|Asthma symptoms wheeze", US_national_yearly!$D:$AM, 10, FALSE), 1)</f>
        <v>2.4221044725429713E-3</v>
      </c>
      <c r="F8" s="7">
        <f>$B8 * IFERROR(VLOOKUP("industry|NOx|Asthma symptoms wheeze", US_national_yearly!$D:$AM, 14, FALSE) / VLOOKUP("industry|NOx|Asthma symptoms wheeze", US_national_yearly!$D:$AM, 10, FALSE), 1)</f>
        <v>2.453933392343571E-3</v>
      </c>
      <c r="G8" s="7">
        <f>$B8 * IFERROR(VLOOKUP("industry|NOx|Asthma symptoms wheeze", US_national_yearly!$D:$AM, 15, FALSE) / VLOOKUP("industry|NOx|Asthma symptoms wheeze", US_national_yearly!$D:$AM, 10, FALSE), 1)</f>
        <v>2.4794552481727057E-3</v>
      </c>
      <c r="H8" s="7">
        <f>$B8 * IFERROR(VLOOKUP("industry|NOx|Asthma symptoms wheeze", US_national_yearly!$D:$AM, 16, FALSE) / VLOOKUP("industry|NOx|Asthma symptoms wheeze", US_national_yearly!$D:$AM, 10, FALSE), 1)</f>
        <v>2.5049771040018395E-3</v>
      </c>
      <c r="I8" s="7">
        <f>$B8 * IFERROR(VLOOKUP("industry|NOx|Asthma symptoms wheeze", US_national_yearly!$D:$AM, 17, FALSE) / VLOOKUP("industry|NOx|Asthma symptoms wheeze", US_national_yearly!$D:$AM, 10, FALSE), 1)</f>
        <v>2.513858936090805E-3</v>
      </c>
      <c r="J8" s="7">
        <f>$B8 * IFERROR(VLOOKUP("industry|NOx|Asthma symptoms wheeze", US_national_yearly!$D:$AM, 18, FALSE) / VLOOKUP("industry|NOx|Asthma symptoms wheeze", US_national_yearly!$D:$AM, 10, FALSE), 1)</f>
        <v>2.5227407681797697E-3</v>
      </c>
      <c r="K8" s="7">
        <f>$B8 * IFERROR(VLOOKUP("industry|NOx|Asthma symptoms wheeze", US_national_yearly!$D:$AM, 19, FALSE) / VLOOKUP("industry|NOx|Asthma symptoms wheeze", US_national_yearly!$D:$AM, 10, FALSE), 1)</f>
        <v>2.5316226002687348E-3</v>
      </c>
      <c r="L8" s="7">
        <f>$B8 * IFERROR(VLOOKUP("industry|NOx|Asthma symptoms wheeze", US_national_yearly!$D:$AM, 20, FALSE) / VLOOKUP("industry|NOx|Asthma symptoms wheeze", US_national_yearly!$D:$AM, 10, FALSE), 1)</f>
        <v>2.5405044323576994E-3</v>
      </c>
      <c r="M8" s="7">
        <f>$B8 * IFERROR(VLOOKUP("industry|NOx|Asthma symptoms wheeze", US_national_yearly!$D:$AM, 21, FALSE) / VLOOKUP("industry|NOx|Asthma symptoms wheeze", US_national_yearly!$D:$AM, 10, FALSE), 1)</f>
        <v>2.5493862644466645E-3</v>
      </c>
      <c r="N8" s="7">
        <f>$B8 * IFERROR(VLOOKUP("industry|NOx|Asthma symptoms wheeze", US_national_yearly!$D:$AM, 22, FALSE) / VLOOKUP("industry|NOx|Asthma symptoms wheeze", US_national_yearly!$D:$AM, 10, FALSE), 1)</f>
        <v>2.5595251182363296E-3</v>
      </c>
      <c r="O8" s="7">
        <f>$B8 * IFERROR(VLOOKUP("industry|NOx|Asthma symptoms wheeze", US_national_yearly!$D:$AM, 23, FALSE) / VLOOKUP("industry|NOx|Asthma symptoms wheeze", US_national_yearly!$D:$AM, 10, FALSE), 1)</f>
        <v>2.5696639720259942E-3</v>
      </c>
      <c r="P8" s="7">
        <f>$B8 * IFERROR(VLOOKUP("industry|NOx|Asthma symptoms wheeze", US_national_yearly!$D:$AM, 24, FALSE) / VLOOKUP("industry|NOx|Asthma symptoms wheeze", US_national_yearly!$D:$AM, 10, FALSE), 1)</f>
        <v>2.5798028258156589E-3</v>
      </c>
      <c r="Q8" s="7">
        <f>$B8 * IFERROR(VLOOKUP("industry|NOx|Asthma symptoms wheeze", US_national_yearly!$D:$AM, 25, FALSE) / VLOOKUP("industry|NOx|Asthma symptoms wheeze", US_national_yearly!$D:$AM, 10, FALSE), 1)</f>
        <v>2.5899416796053235E-3</v>
      </c>
      <c r="R8" s="7">
        <f>$B8 * IFERROR(VLOOKUP("industry|NOx|Asthma symptoms wheeze", US_national_yearly!$D:$AM, 26, FALSE) / VLOOKUP("industry|NOx|Asthma symptoms wheeze", US_national_yearly!$D:$AM, 10, FALSE), 1)</f>
        <v>2.6000805333949886E-3</v>
      </c>
      <c r="S8" s="7">
        <f>$B8 * IFERROR(VLOOKUP("industry|NOx|Asthma symptoms wheeze", US_national_yearly!$D:$AM, 27, FALSE) / VLOOKUP("industry|NOx|Asthma symptoms wheeze", US_national_yearly!$D:$AM, 10, FALSE), 1)</f>
        <v>2.6131592061754672E-3</v>
      </c>
      <c r="T8" s="7">
        <f>$B8 * IFERROR(VLOOKUP("industry|NOx|Asthma symptoms wheeze", US_national_yearly!$D:$AM, 28, FALSE) / VLOOKUP("industry|NOx|Asthma symptoms wheeze", US_national_yearly!$D:$AM, 10, FALSE), 1)</f>
        <v>2.6262378789559458E-3</v>
      </c>
      <c r="U8" s="7">
        <f>$B8 * IFERROR(VLOOKUP("industry|NOx|Asthma symptoms wheeze", US_national_yearly!$D:$AM, 29, FALSE) / VLOOKUP("industry|NOx|Asthma symptoms wheeze", US_national_yearly!$D:$AM, 10, FALSE), 1)</f>
        <v>2.639316551736424E-3</v>
      </c>
      <c r="V8" s="7">
        <f>$B8 * IFERROR(VLOOKUP("industry|NOx|Asthma symptoms wheeze", US_national_yearly!$D:$AM, 30, FALSE) / VLOOKUP("industry|NOx|Asthma symptoms wheeze", US_national_yearly!$D:$AM, 10, FALSE), 1)</f>
        <v>2.6523952245169026E-3</v>
      </c>
      <c r="W8" s="7">
        <f>$B8 * IFERROR(VLOOKUP("industry|NOx|Asthma symptoms wheeze", US_national_yearly!$D:$AM, 31, FALSE) / VLOOKUP("industry|NOx|Asthma symptoms wheeze", US_national_yearly!$D:$AM, 10, FALSE), 1)</f>
        <v>2.6654738972973807E-3</v>
      </c>
      <c r="X8" s="7">
        <f>$B8 * IFERROR(VLOOKUP("industry|NOx|Asthma symptoms wheeze", US_national_yearly!$D:$AM, 32, FALSE) / VLOOKUP("industry|NOx|Asthma symptoms wheeze", US_national_yearly!$D:$AM, 10, FALSE), 1)</f>
        <v>2.677598832696553E-3</v>
      </c>
      <c r="Y8" s="7">
        <f>$B8 * IFERROR(VLOOKUP("industry|NOx|Asthma symptoms wheeze", US_national_yearly!$D:$AM, 33, FALSE) / VLOOKUP("industry|NOx|Asthma symptoms wheeze", US_national_yearly!$D:$AM, 10, FALSE), 1)</f>
        <v>2.6897237680957248E-3</v>
      </c>
      <c r="Z8" s="7">
        <f>$B8 * IFERROR(VLOOKUP("industry|NOx|Asthma symptoms wheeze", US_national_yearly!$D:$AM, 34, FALSE) / VLOOKUP("industry|NOx|Asthma symptoms wheeze", US_national_yearly!$D:$AM, 10, FALSE), 1)</f>
        <v>2.7018487034948966E-3</v>
      </c>
      <c r="AA8" s="7">
        <f>$B8 * IFERROR(VLOOKUP("industry|NOx|Asthma symptoms wheeze", US_national_yearly!$D:$AM, 35, FALSE) / VLOOKUP("industry|NOx|Asthma symptoms wheeze", US_national_yearly!$D:$AM, 10, FALSE), 1)</f>
        <v>2.713973638894068E-3</v>
      </c>
      <c r="AB8" s="7">
        <f>$B8 * IFERROR(VLOOKUP("industry|NOx|Asthma symptoms wheeze", US_national_yearly!$D:$AM, 36, FALSE) / VLOOKUP("industry|NOx|Asthma symptoms wheeze", US_national_yearly!$D:$AM, 10, FALSE), 1)</f>
        <v>2.726098574293242E-3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2.5981338204618361E-5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2.6634075496851669E-5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2.7286812789084978E-5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2.7939550081318293E-5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2.8592287373551594E-5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2.9216659619002481E-5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2.9841031864453372E-5</v>
      </c>
      <c r="I12" s="7">
        <f>$B12 * IFERROR(VLOOKUP("industry|NOx|Respiratory hospital admissions", US_national_yearly!$D:$AM, 17, FALSE) / VLOOKUP("industry|NOx|Respiratory hospital admissions", US_national_yearly!$D:$AM, 10, FALSE), 1)</f>
        <v>3.0372769616285313E-5</v>
      </c>
      <c r="J12" s="7">
        <f>$B12 * IFERROR(VLOOKUP("industry|NOx|Respiratory hospital admissions", US_national_yearly!$D:$AM, 18, FALSE) / VLOOKUP("industry|NOx|Respiratory hospital admissions", US_national_yearly!$D:$AM, 10, FALSE), 1)</f>
        <v>3.0904507368117254E-5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3.1436245119949202E-5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3.1967982871781143E-5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3.2499720623613084E-5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3.2856100298487443E-5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3.3212479973361796E-5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3.3568859648236155E-5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3.3925239323110508E-5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3.428161899798486E-5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3.4475102196639515E-5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3.466858539529417E-5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3.4862068593948825E-5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3.5055551792603474E-5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3.5249034991258135E-5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3.5383943396153396E-5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3.5518851801048656E-5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3.5653760205943923E-5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3.5788668610839183E-5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3.5923577015734443E-5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1.6064142776082925E-4</v>
      </c>
      <c r="C13" s="7">
        <f>$B13 * IFERROR(VLOOKUP("industry|NOx|Non-fatal heart attacks", US_national_yearly!$D:$AM, 11, FALSE) / VLOOKUP("industry|NOx|Non-fatal heart attacks", US_national_yearly!$D:$AM, 10, FALSE), 1)</f>
        <v>1.6523110729143182E-4</v>
      </c>
      <c r="D13" s="7">
        <f>$B13 * IFERROR(VLOOKUP("industry|NOx|Non-fatal heart attacks", US_national_yearly!$D:$AM, 12, FALSE) / VLOOKUP("industry|NOx|Non-fatal heart attacks", US_national_yearly!$D:$AM, 10, FALSE), 1)</f>
        <v>1.6982078682203436E-4</v>
      </c>
      <c r="E13" s="7">
        <f>$B13 * IFERROR(VLOOKUP("industry|NOx|Non-fatal heart attacks", US_national_yearly!$D:$AM, 13, FALSE) / VLOOKUP("industry|NOx|Non-fatal heart attacks", US_national_yearly!$D:$AM, 10, FALSE), 1)</f>
        <v>1.7441046635263693E-4</v>
      </c>
      <c r="F13" s="7">
        <f>$B13 * IFERROR(VLOOKUP("industry|NOx|Non-fatal heart attacks", US_national_yearly!$D:$AM, 14, FALSE) / VLOOKUP("industry|NOx|Non-fatal heart attacks", US_national_yearly!$D:$AM, 10, FALSE), 1)</f>
        <v>1.790001458832395E-4</v>
      </c>
      <c r="G13" s="7">
        <f>$B13 * IFERROR(VLOOKUP("industry|NOx|Non-fatal heart attacks", US_national_yearly!$D:$AM, 15, FALSE) / VLOOKUP("industry|NOx|Non-fatal heart attacks", US_national_yearly!$D:$AM, 10, FALSE), 1)</f>
        <v>1.8329283324198091E-4</v>
      </c>
      <c r="H13" s="7">
        <f>$B13 * IFERROR(VLOOKUP("industry|NOx|Non-fatal heart attacks", US_national_yearly!$D:$AM, 16, FALSE) / VLOOKUP("industry|NOx|Non-fatal heart attacks", US_national_yearly!$D:$AM, 10, FALSE), 1)</f>
        <v>1.8758552060072229E-4</v>
      </c>
      <c r="I13" s="7">
        <f>$B13 * IFERROR(VLOOKUP("industry|NOx|Non-fatal heart attacks", US_national_yearly!$D:$AM, 17, FALSE) / VLOOKUP("industry|NOx|Non-fatal heart attacks", US_national_yearly!$D:$AM, 10, FALSE), 1)</f>
        <v>1.909805850577714E-4</v>
      </c>
      <c r="J13" s="7">
        <f>$B13 * IFERROR(VLOOKUP("industry|NOx|Non-fatal heart attacks", US_national_yearly!$D:$AM, 18, FALSE) / VLOOKUP("industry|NOx|Non-fatal heart attacks", US_national_yearly!$D:$AM, 10, FALSE), 1)</f>
        <v>1.943756495148205E-4</v>
      </c>
      <c r="K13" s="7">
        <f>$B13 * IFERROR(VLOOKUP("industry|NOx|Non-fatal heart attacks", US_national_yearly!$D:$AM, 19, FALSE) / VLOOKUP("industry|NOx|Non-fatal heart attacks", US_national_yearly!$D:$AM, 10, FALSE), 1)</f>
        <v>1.9777071397186955E-4</v>
      </c>
      <c r="L13" s="7">
        <f>$B13 * IFERROR(VLOOKUP("industry|NOx|Non-fatal heart attacks", US_national_yearly!$D:$AM, 20, FALSE) / VLOOKUP("industry|NOx|Non-fatal heart attacks", US_national_yearly!$D:$AM, 10, FALSE), 1)</f>
        <v>2.0116577842891874E-4</v>
      </c>
      <c r="M13" s="7">
        <f>$B13 * IFERROR(VLOOKUP("industry|NOx|Non-fatal heart attacks", US_national_yearly!$D:$AM, 21, FALSE) / VLOOKUP("industry|NOx|Non-fatal heart attacks", US_national_yearly!$D:$AM, 10, FALSE), 1)</f>
        <v>2.0456084288596787E-4</v>
      </c>
      <c r="N13" s="7">
        <f>$B13 * IFERROR(VLOOKUP("industry|NOx|Non-fatal heart attacks", US_national_yearly!$D:$AM, 22, FALSE) / VLOOKUP("industry|NOx|Non-fatal heart attacks", US_national_yearly!$D:$AM, 10, FALSE), 1)</f>
        <v>2.0660620627380345E-4</v>
      </c>
      <c r="O13" s="7">
        <f>$B13 * IFERROR(VLOOKUP("industry|NOx|Non-fatal heart attacks", US_national_yearly!$D:$AM, 23, FALSE) / VLOOKUP("industry|NOx|Non-fatal heart attacks", US_national_yearly!$D:$AM, 10, FALSE), 1)</f>
        <v>2.0865156966163901E-4</v>
      </c>
      <c r="P13" s="7">
        <f>$B13 * IFERROR(VLOOKUP("industry|NOx|Non-fatal heart attacks", US_national_yearly!$D:$AM, 24, FALSE) / VLOOKUP("industry|NOx|Non-fatal heart attacks", US_national_yearly!$D:$AM, 10, FALSE), 1)</f>
        <v>2.1069693304947456E-4</v>
      </c>
      <c r="Q13" s="7">
        <f>$B13 * IFERROR(VLOOKUP("industry|NOx|Non-fatal heart attacks", US_national_yearly!$D:$AM, 25, FALSE) / VLOOKUP("industry|NOx|Non-fatal heart attacks", US_national_yearly!$D:$AM, 10, FALSE), 1)</f>
        <v>2.1274229643731011E-4</v>
      </c>
      <c r="R13" s="7">
        <f>$B13 * IFERROR(VLOOKUP("industry|NOx|Non-fatal heart attacks", US_national_yearly!$D:$AM, 26, FALSE) / VLOOKUP("industry|NOx|Non-fatal heart attacks", US_national_yearly!$D:$AM, 10, FALSE), 1)</f>
        <v>2.1478765982514567E-4</v>
      </c>
      <c r="S13" s="7">
        <f>$B13 * IFERROR(VLOOKUP("industry|NOx|Non-fatal heart attacks", US_national_yearly!$D:$AM, 27, FALSE) / VLOOKUP("industry|NOx|Non-fatal heart attacks", US_national_yearly!$D:$AM, 10, FALSE), 1)</f>
        <v>2.1572611334515551E-4</v>
      </c>
      <c r="T13" s="7">
        <f>$B13 * IFERROR(VLOOKUP("industry|NOx|Non-fatal heart attacks", US_national_yearly!$D:$AM, 28, FALSE) / VLOOKUP("industry|NOx|Non-fatal heart attacks", US_national_yearly!$D:$AM, 10, FALSE), 1)</f>
        <v>2.1666456686516533E-4</v>
      </c>
      <c r="U13" s="7">
        <f>$B13 * IFERROR(VLOOKUP("industry|NOx|Non-fatal heart attacks", US_national_yearly!$D:$AM, 29, FALSE) / VLOOKUP("industry|NOx|Non-fatal heart attacks", US_national_yearly!$D:$AM, 10, FALSE), 1)</f>
        <v>2.1760302038517515E-4</v>
      </c>
      <c r="V13" s="7">
        <f>$B13 * IFERROR(VLOOKUP("industry|NOx|Non-fatal heart attacks", US_national_yearly!$D:$AM, 30, FALSE) / VLOOKUP("industry|NOx|Non-fatal heart attacks", US_national_yearly!$D:$AM, 10, FALSE), 1)</f>
        <v>2.18541473905185E-4</v>
      </c>
      <c r="W13" s="7">
        <f>$B13 * IFERROR(VLOOKUP("industry|NOx|Non-fatal heart attacks", US_national_yearly!$D:$AM, 31, FALSE) / VLOOKUP("industry|NOx|Non-fatal heart attacks", US_national_yearly!$D:$AM, 10, FALSE), 1)</f>
        <v>2.1947992742519482E-4</v>
      </c>
      <c r="X13" s="7">
        <f>$B13 * IFERROR(VLOOKUP("industry|NOx|Non-fatal heart attacks", US_national_yearly!$D:$AM, 32, FALSE) / VLOOKUP("industry|NOx|Non-fatal heart attacks", US_national_yearly!$D:$AM, 10, FALSE), 1)</f>
        <v>2.2011328073929233E-4</v>
      </c>
      <c r="Y13" s="7">
        <f>$B13 * IFERROR(VLOOKUP("industry|NOx|Non-fatal heart attacks", US_national_yearly!$D:$AM, 33, FALSE) / VLOOKUP("industry|NOx|Non-fatal heart attacks", US_national_yearly!$D:$AM, 10, FALSE), 1)</f>
        <v>2.2074663405338981E-4</v>
      </c>
      <c r="Z13" s="7">
        <f>$B13 * IFERROR(VLOOKUP("industry|NOx|Non-fatal heart attacks", US_national_yearly!$D:$AM, 34, FALSE) / VLOOKUP("industry|NOx|Non-fatal heart attacks", US_national_yearly!$D:$AM, 10, FALSE), 1)</f>
        <v>2.2137998736748731E-4</v>
      </c>
      <c r="AA13" s="7">
        <f>$B13 * IFERROR(VLOOKUP("industry|NOx|Non-fatal heart attacks", US_national_yearly!$D:$AM, 35, FALSE) / VLOOKUP("industry|NOx|Non-fatal heart attacks", US_national_yearly!$D:$AM, 10, FALSE), 1)</f>
        <v>2.2201334068158479E-4</v>
      </c>
      <c r="AB13" s="7">
        <f>$B13 * IFERROR(VLOOKUP("industry|NOx|Non-fatal heart attacks", US_national_yearly!$D:$AM, 36, FALSE) / VLOOKUP("industry|NOx|Non-fatal heart attacks", US_national_yearly!$D:$AM, 10, FALSE), 1)</f>
        <v>2.226466939956823E-4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0.13879316825284152</v>
      </c>
      <c r="C14" s="7">
        <f>$B14 * IFERROR(VLOOKUP("industry|NOx|Minor restricted activity days", US_national_yearly!$D:$AM, 11, FALSE) / VLOOKUP("industry|NOx|Minor restricted activity days", US_national_yearly!$D:$AM, 10, FALSE), 1)</f>
        <v>0.1389988010415158</v>
      </c>
      <c r="D14" s="7">
        <f>$B14 * IFERROR(VLOOKUP("industry|NOx|Minor restricted activity days", US_national_yearly!$D:$AM, 12, FALSE) / VLOOKUP("industry|NOx|Minor restricted activity days", US_national_yearly!$D:$AM, 10, FALSE), 1)</f>
        <v>0.13920443383019004</v>
      </c>
      <c r="E14" s="7">
        <f>$B14 * IFERROR(VLOOKUP("industry|NOx|Minor restricted activity days", US_national_yearly!$D:$AM, 13, FALSE) / VLOOKUP("industry|NOx|Minor restricted activity days", US_national_yearly!$D:$AM, 10, FALSE), 1)</f>
        <v>0.13941006661886429</v>
      </c>
      <c r="F14" s="7">
        <f>$B14 * IFERROR(VLOOKUP("industry|NOx|Minor restricted activity days", US_national_yearly!$D:$AM, 14, FALSE) / VLOOKUP("industry|NOx|Minor restricted activity days", US_national_yearly!$D:$AM, 10, FALSE), 1)</f>
        <v>0.13961569940753854</v>
      </c>
      <c r="G14" s="7">
        <f>$B14 * IFERROR(VLOOKUP("industry|NOx|Minor restricted activity days", US_national_yearly!$D:$AM, 15, FALSE) / VLOOKUP("industry|NOx|Minor restricted activity days", US_national_yearly!$D:$AM, 10, FALSE), 1)</f>
        <v>0.13999003466890142</v>
      </c>
      <c r="H14" s="7">
        <f>$B14 * IFERROR(VLOOKUP("industry|NOx|Minor restricted activity days", US_national_yearly!$D:$AM, 16, FALSE) / VLOOKUP("industry|NOx|Minor restricted activity days", US_national_yearly!$D:$AM, 10, FALSE), 1)</f>
        <v>0.14036436993026427</v>
      </c>
      <c r="I14" s="7">
        <f>$B14 * IFERROR(VLOOKUP("industry|NOx|Minor restricted activity days", US_national_yearly!$D:$AM, 17, FALSE) / VLOOKUP("industry|NOx|Minor restricted activity days", US_national_yearly!$D:$AM, 10, FALSE), 1)</f>
        <v>0.1411013021779601</v>
      </c>
      <c r="J14" s="7">
        <f>$B14 * IFERROR(VLOOKUP("industry|NOx|Minor restricted activity days", US_national_yearly!$D:$AM, 18, FALSE) / VLOOKUP("industry|NOx|Minor restricted activity days", US_national_yearly!$D:$AM, 10, FALSE), 1)</f>
        <v>0.14183823442565588</v>
      </c>
      <c r="K14" s="7">
        <f>$B14 * IFERROR(VLOOKUP("industry|NOx|Minor restricted activity days", US_national_yearly!$D:$AM, 19, FALSE) / VLOOKUP("industry|NOx|Minor restricted activity days", US_national_yearly!$D:$AM, 10, FALSE), 1)</f>
        <v>0.14257516667335163</v>
      </c>
      <c r="L14" s="7">
        <f>$B14 * IFERROR(VLOOKUP("industry|NOx|Minor restricted activity days", US_national_yearly!$D:$AM, 20, FALSE) / VLOOKUP("industry|NOx|Minor restricted activity days", US_national_yearly!$D:$AM, 10, FALSE), 1)</f>
        <v>0.14331209892104746</v>
      </c>
      <c r="M14" s="7">
        <f>$B14 * IFERROR(VLOOKUP("industry|NOx|Minor restricted activity days", US_national_yearly!$D:$AM, 21, FALSE) / VLOOKUP("industry|NOx|Minor restricted activity days", US_national_yearly!$D:$AM, 10, FALSE), 1)</f>
        <v>0.14404903116874324</v>
      </c>
      <c r="N14" s="7">
        <f>$B14 * IFERROR(VLOOKUP("industry|NOx|Minor restricted activity days", US_national_yearly!$D:$AM, 22, FALSE) / VLOOKUP("industry|NOx|Minor restricted activity days", US_national_yearly!$D:$AM, 10, FALSE), 1)</f>
        <v>0.14511026287086837</v>
      </c>
      <c r="O14" s="7">
        <f>$B14 * IFERROR(VLOOKUP("industry|NOx|Minor restricted activity days", US_national_yearly!$D:$AM, 23, FALSE) / VLOOKUP("industry|NOx|Minor restricted activity days", US_national_yearly!$D:$AM, 10, FALSE), 1)</f>
        <v>0.1461714945729935</v>
      </c>
      <c r="P14" s="7">
        <f>$B14 * IFERROR(VLOOKUP("industry|NOx|Minor restricted activity days", US_national_yearly!$D:$AM, 24, FALSE) / VLOOKUP("industry|NOx|Minor restricted activity days", US_national_yearly!$D:$AM, 10, FALSE), 1)</f>
        <v>0.14723272627511866</v>
      </c>
      <c r="Q14" s="7">
        <f>$B14 * IFERROR(VLOOKUP("industry|NOx|Minor restricted activity days", US_national_yearly!$D:$AM, 25, FALSE) / VLOOKUP("industry|NOx|Minor restricted activity days", US_national_yearly!$D:$AM, 10, FALSE), 1)</f>
        <v>0.14829395797724376</v>
      </c>
      <c r="R14" s="7">
        <f>$B14 * IFERROR(VLOOKUP("industry|NOx|Minor restricted activity days", US_national_yearly!$D:$AM, 26, FALSE) / VLOOKUP("industry|NOx|Minor restricted activity days", US_national_yearly!$D:$AM, 10, FALSE), 1)</f>
        <v>0.14935518967936892</v>
      </c>
      <c r="S14" s="7">
        <f>$B14 * IFERROR(VLOOKUP("industry|NOx|Minor restricted activity days", US_national_yearly!$D:$AM, 27, FALSE) / VLOOKUP("industry|NOx|Minor restricted activity days", US_national_yearly!$D:$AM, 10, FALSE), 1)</f>
        <v>0.15041755757204989</v>
      </c>
      <c r="T14" s="7">
        <f>$B14 * IFERROR(VLOOKUP("industry|NOx|Minor restricted activity days", US_national_yearly!$D:$AM, 28, FALSE) / VLOOKUP("industry|NOx|Minor restricted activity days", US_national_yearly!$D:$AM, 10, FALSE), 1)</f>
        <v>0.15147992546473088</v>
      </c>
      <c r="U14" s="7">
        <f>$B14 * IFERROR(VLOOKUP("industry|NOx|Minor restricted activity days", US_national_yearly!$D:$AM, 29, FALSE) / VLOOKUP("industry|NOx|Minor restricted activity days", US_national_yearly!$D:$AM, 10, FALSE), 1)</f>
        <v>0.15254229335741187</v>
      </c>
      <c r="V14" s="7">
        <f>$B14 * IFERROR(VLOOKUP("industry|NOx|Minor restricted activity days", US_national_yearly!$D:$AM, 30, FALSE) / VLOOKUP("industry|NOx|Minor restricted activity days", US_national_yearly!$D:$AM, 10, FALSE), 1)</f>
        <v>0.15360466125009289</v>
      </c>
      <c r="W14" s="7">
        <f>$B14 * IFERROR(VLOOKUP("industry|NOx|Minor restricted activity days", US_national_yearly!$D:$AM, 31, FALSE) / VLOOKUP("industry|NOx|Minor restricted activity days", US_national_yearly!$D:$AM, 10, FALSE), 1)</f>
        <v>0.15466702914277389</v>
      </c>
      <c r="X14" s="7">
        <f>$B14 * IFERROR(VLOOKUP("industry|NOx|Minor restricted activity days", US_national_yearly!$D:$AM, 32, FALSE) / VLOOKUP("industry|NOx|Minor restricted activity days", US_national_yearly!$D:$AM, 10, FALSE), 1)</f>
        <v>0.15556397084983217</v>
      </c>
      <c r="Y14" s="7">
        <f>$B14 * IFERROR(VLOOKUP("industry|NOx|Minor restricted activity days", US_national_yearly!$D:$AM, 33, FALSE) / VLOOKUP("industry|NOx|Minor restricted activity days", US_national_yearly!$D:$AM, 10, FALSE), 1)</f>
        <v>0.15646091255689043</v>
      </c>
      <c r="Z14" s="7">
        <f>$B14 * IFERROR(VLOOKUP("industry|NOx|Minor restricted activity days", US_national_yearly!$D:$AM, 34, FALSE) / VLOOKUP("industry|NOx|Minor restricted activity days", US_national_yearly!$D:$AM, 10, FALSE), 1)</f>
        <v>0.15735785426394866</v>
      </c>
      <c r="AA14" s="7">
        <f>$B14 * IFERROR(VLOOKUP("industry|NOx|Minor restricted activity days", US_national_yearly!$D:$AM, 35, FALSE) / VLOOKUP("industry|NOx|Minor restricted activity days", US_national_yearly!$D:$AM, 10, FALSE), 1)</f>
        <v>0.15825479597100695</v>
      </c>
      <c r="AB14" s="7">
        <f>$B14 * IFERROR(VLOOKUP("industry|NOx|Minor restricted activity days", US_national_yearly!$D:$AM, 36, FALSE) / VLOOKUP("industry|NOx|Minor restricted activity days", US_national_yearly!$D:$AM, 10, FALSE), 1)</f>
        <v>0.15915173767806523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2.3594679297722118E-2</v>
      </c>
      <c r="C15" s="7">
        <f>$B15 * IFERROR(VLOOKUP("industry|NOx|Work loss days", US_national_yearly!$D:$AM, 11, FALSE) / VLOOKUP("industry|NOx|Work loss days", US_national_yearly!$D:$AM, 10, FALSE), 1)</f>
        <v>2.3645801343856993E-2</v>
      </c>
      <c r="D15" s="7">
        <f>$B15 * IFERROR(VLOOKUP("industry|NOx|Work loss days", US_national_yearly!$D:$AM, 12, FALSE) / VLOOKUP("industry|NOx|Work loss days", US_national_yearly!$D:$AM, 10, FALSE), 1)</f>
        <v>2.369692338999186E-2</v>
      </c>
      <c r="E15" s="7">
        <f>$B15 * IFERROR(VLOOKUP("industry|NOx|Work loss days", US_national_yearly!$D:$AM, 13, FALSE) / VLOOKUP("industry|NOx|Work loss days", US_national_yearly!$D:$AM, 10, FALSE), 1)</f>
        <v>2.3748045436126734E-2</v>
      </c>
      <c r="F15" s="7">
        <f>$B15 * IFERROR(VLOOKUP("industry|NOx|Work loss days", US_national_yearly!$D:$AM, 14, FALSE) / VLOOKUP("industry|NOx|Work loss days", US_national_yearly!$D:$AM, 10, FALSE), 1)</f>
        <v>2.3799167482261605E-2</v>
      </c>
      <c r="G15" s="7">
        <f>$B15 * IFERROR(VLOOKUP("industry|NOx|Work loss days", US_national_yearly!$D:$AM, 15, FALSE) / VLOOKUP("industry|NOx|Work loss days", US_national_yearly!$D:$AM, 10, FALSE), 1)</f>
        <v>2.387394621397481E-2</v>
      </c>
      <c r="H15" s="7">
        <f>$B15 * IFERROR(VLOOKUP("industry|NOx|Work loss days", US_national_yearly!$D:$AM, 16, FALSE) / VLOOKUP("industry|NOx|Work loss days", US_national_yearly!$D:$AM, 10, FALSE), 1)</f>
        <v>2.3948724945688015E-2</v>
      </c>
      <c r="I15" s="7">
        <f>$B15 * IFERROR(VLOOKUP("industry|NOx|Work loss days", US_national_yearly!$D:$AM, 17, FALSE) / VLOOKUP("industry|NOx|Work loss days", US_national_yearly!$D:$AM, 10, FALSE), 1)</f>
        <v>2.407022142423031E-2</v>
      </c>
      <c r="J15" s="7">
        <f>$B15 * IFERROR(VLOOKUP("industry|NOx|Work loss days", US_national_yearly!$D:$AM, 18, FALSE) / VLOOKUP("industry|NOx|Work loss days", US_national_yearly!$D:$AM, 10, FALSE), 1)</f>
        <v>2.4191717902772598E-2</v>
      </c>
      <c r="K15" s="7">
        <f>$B15 * IFERROR(VLOOKUP("industry|NOx|Work loss days", US_national_yearly!$D:$AM, 19, FALSE) / VLOOKUP("industry|NOx|Work loss days", US_national_yearly!$D:$AM, 10, FALSE), 1)</f>
        <v>2.4313214381314893E-2</v>
      </c>
      <c r="L15" s="7">
        <f>$B15 * IFERROR(VLOOKUP("industry|NOx|Work loss days", US_national_yearly!$D:$AM, 20, FALSE) / VLOOKUP("industry|NOx|Work loss days", US_national_yearly!$D:$AM, 10, FALSE), 1)</f>
        <v>2.443471085985718E-2</v>
      </c>
      <c r="M15" s="7">
        <f>$B15 * IFERROR(VLOOKUP("industry|NOx|Work loss days", US_national_yearly!$D:$AM, 21, FALSE) / VLOOKUP("industry|NOx|Work loss days", US_national_yearly!$D:$AM, 10, FALSE), 1)</f>
        <v>2.4556207338399475E-2</v>
      </c>
      <c r="N15" s="7">
        <f>$B15 * IFERROR(VLOOKUP("industry|NOx|Work loss days", US_national_yearly!$D:$AM, 22, FALSE) / VLOOKUP("industry|NOx|Work loss days", US_national_yearly!$D:$AM, 10, FALSE), 1)</f>
        <v>2.4715097179755393E-2</v>
      </c>
      <c r="O15" s="7">
        <f>$B15 * IFERROR(VLOOKUP("industry|NOx|Work loss days", US_national_yearly!$D:$AM, 23, FALSE) / VLOOKUP("industry|NOx|Work loss days", US_national_yearly!$D:$AM, 10, FALSE), 1)</f>
        <v>2.4873987021111314E-2</v>
      </c>
      <c r="P15" s="7">
        <f>$B15 * IFERROR(VLOOKUP("industry|NOx|Work loss days", US_national_yearly!$D:$AM, 24, FALSE) / VLOOKUP("industry|NOx|Work loss days", US_national_yearly!$D:$AM, 10, FALSE), 1)</f>
        <v>2.5032876862467232E-2</v>
      </c>
      <c r="Q15" s="7">
        <f>$B15 * IFERROR(VLOOKUP("industry|NOx|Work loss days", US_national_yearly!$D:$AM, 25, FALSE) / VLOOKUP("industry|NOx|Work loss days", US_national_yearly!$D:$AM, 10, FALSE), 1)</f>
        <v>2.519176670382315E-2</v>
      </c>
      <c r="R15" s="7">
        <f>$B15 * IFERROR(VLOOKUP("industry|NOx|Work loss days", US_national_yearly!$D:$AM, 26, FALSE) / VLOOKUP("industry|NOx|Work loss days", US_national_yearly!$D:$AM, 10, FALSE), 1)</f>
        <v>2.5350656545179071E-2</v>
      </c>
      <c r="S15" s="7">
        <f>$B15 * IFERROR(VLOOKUP("industry|NOx|Work loss days", US_national_yearly!$D:$AM, 27, FALSE) / VLOOKUP("industry|NOx|Work loss days", US_national_yearly!$D:$AM, 10, FALSE), 1)</f>
        <v>2.5528285763554162E-2</v>
      </c>
      <c r="T15" s="7">
        <f>$B15 * IFERROR(VLOOKUP("industry|NOx|Work loss days", US_national_yearly!$D:$AM, 28, FALSE) / VLOOKUP("industry|NOx|Work loss days", US_national_yearly!$D:$AM, 10, FALSE), 1)</f>
        <v>2.5705914981929257E-2</v>
      </c>
      <c r="U15" s="7">
        <f>$B15 * IFERROR(VLOOKUP("industry|NOx|Work loss days", US_national_yearly!$D:$AM, 29, FALSE) / VLOOKUP("industry|NOx|Work loss days", US_national_yearly!$D:$AM, 10, FALSE), 1)</f>
        <v>2.5883544200304354E-2</v>
      </c>
      <c r="V15" s="7">
        <f>$B15 * IFERROR(VLOOKUP("industry|NOx|Work loss days", US_national_yearly!$D:$AM, 30, FALSE) / VLOOKUP("industry|NOx|Work loss days", US_national_yearly!$D:$AM, 10, FALSE), 1)</f>
        <v>2.6061173418679442E-2</v>
      </c>
      <c r="W15" s="7">
        <f>$B15 * IFERROR(VLOOKUP("industry|NOx|Work loss days", US_national_yearly!$D:$AM, 31, FALSE) / VLOOKUP("industry|NOx|Work loss days", US_national_yearly!$D:$AM, 10, FALSE), 1)</f>
        <v>2.623880263705454E-2</v>
      </c>
      <c r="X15" s="7">
        <f>$B15 * IFERROR(VLOOKUP("industry|NOx|Work loss days", US_national_yearly!$D:$AM, 32, FALSE) / VLOOKUP("industry|NOx|Work loss days", US_national_yearly!$D:$AM, 10, FALSE), 1)</f>
        <v>2.639290217881329E-2</v>
      </c>
      <c r="Y15" s="7">
        <f>$B15 * IFERROR(VLOOKUP("industry|NOx|Work loss days", US_national_yearly!$D:$AM, 33, FALSE) / VLOOKUP("industry|NOx|Work loss days", US_national_yearly!$D:$AM, 10, FALSE), 1)</f>
        <v>2.6547001720572044E-2</v>
      </c>
      <c r="Z15" s="7">
        <f>$B15 * IFERROR(VLOOKUP("industry|NOx|Work loss days", US_national_yearly!$D:$AM, 34, FALSE) / VLOOKUP("industry|NOx|Work loss days", US_national_yearly!$D:$AM, 10, FALSE), 1)</f>
        <v>2.6701101262330797E-2</v>
      </c>
      <c r="AA15" s="7">
        <f>$B15 * IFERROR(VLOOKUP("industry|NOx|Work loss days", US_national_yearly!$D:$AM, 35, FALSE) / VLOOKUP("industry|NOx|Work loss days", US_national_yearly!$D:$AM, 10, FALSE), 1)</f>
        <v>2.6855200804089551E-2</v>
      </c>
      <c r="AB15" s="7">
        <f>$B15 * IFERROR(VLOOKUP("industry|NOx|Work loss days", US_national_yearly!$D:$AM, 36, FALSE) / VLOOKUP("industry|NOx|Work loss days", US_national_yearly!$D:$AM, 10, FALSE), 1)</f>
        <v>2.7009300345848301E-2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3.7884848758476335E-5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3.8997249114273609E-5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4.0109649470070889E-5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4.1222049825868162E-5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4.2334450181665449E-5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4.339170234343093E-5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4.4448954505196432E-5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4.5340294577266452E-5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4.6231634649336473E-5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4.7122974721406494E-5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4.8014314793476515E-5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4.8905654865546529E-5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4.9463670429937407E-5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5.0021685994328272E-5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5.0579701558719136E-5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5.1137717123110008E-5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5.1695732687500866E-5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5.1953156242169398E-5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5.2210579796837924E-5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5.246800335150645E-5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5.2725426906174976E-5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5.2982850460843502E-5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5.3128292970164455E-5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5.3273735479485409E-5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5.3419177988806363E-5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5.356462049812731E-5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5.371006300744827E-5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2.3612954431115806E-3</v>
      </c>
      <c r="C2" s="7">
        <f>$B2 * IFERROR(VLOOKUP("industry|SO2|Premature mortality", US_national_yearly!$D:$AM, 11, FALSE) / VLOOKUP("industry|SO2|Premature mortality", US_national_yearly!$D:$AM, 10, FALSE), 1)</f>
        <v>2.3912293556804555E-3</v>
      </c>
      <c r="D2" s="7">
        <f>$B2 * IFERROR(VLOOKUP("industry|SO2|Premature mortality", US_national_yearly!$D:$AM, 12, FALSE) / VLOOKUP("industry|SO2|Premature mortality", US_national_yearly!$D:$AM, 10, FALSE), 1)</f>
        <v>2.4211632682493299E-3</v>
      </c>
      <c r="E2" s="7">
        <f>$B2 * IFERROR(VLOOKUP("industry|SO2|Premature mortality", US_national_yearly!$D:$AM, 13, FALSE) / VLOOKUP("industry|SO2|Premature mortality", US_national_yearly!$D:$AM, 10, FALSE), 1)</f>
        <v>2.4510971808182039E-3</v>
      </c>
      <c r="F2" s="7">
        <f>$B2 * IFERROR(VLOOKUP("industry|SO2|Premature mortality", US_national_yearly!$D:$AM, 14, FALSE) / VLOOKUP("industry|SO2|Premature mortality", US_national_yearly!$D:$AM, 10, FALSE), 1)</f>
        <v>2.4810310933870787E-3</v>
      </c>
      <c r="G2" s="7">
        <f>$B2 * IFERROR(VLOOKUP("industry|SO2|Premature mortality", US_national_yearly!$D:$AM, 15, FALSE) / VLOOKUP("industry|SO2|Premature mortality", US_national_yearly!$D:$AM, 10, FALSE), 1)</f>
        <v>2.5387276207349606E-3</v>
      </c>
      <c r="H2" s="7">
        <f>$B2 * IFERROR(VLOOKUP("industry|SO2|Premature mortality", US_national_yearly!$D:$AM, 16, FALSE) / VLOOKUP("industry|SO2|Premature mortality", US_national_yearly!$D:$AM, 10, FALSE), 1)</f>
        <v>2.5964241480828424E-3</v>
      </c>
      <c r="I2" s="7">
        <f>$B2 * IFERROR(VLOOKUP("industry|SO2|Premature mortality", US_national_yearly!$D:$AM, 17, FALSE) / VLOOKUP("industry|SO2|Premature mortality", US_national_yearly!$D:$AM, 10, FALSE), 1)</f>
        <v>2.6346290997755952E-3</v>
      </c>
      <c r="J2" s="7">
        <f>$B2 * IFERROR(VLOOKUP("industry|SO2|Premature mortality", US_national_yearly!$D:$AM, 18, FALSE) / VLOOKUP("industry|SO2|Premature mortality", US_national_yearly!$D:$AM, 10, FALSE), 1)</f>
        <v>2.6728340514683472E-3</v>
      </c>
      <c r="K2" s="7">
        <f>$B2 * IFERROR(VLOOKUP("industry|SO2|Premature mortality", US_national_yearly!$D:$AM, 19, FALSE) / VLOOKUP("industry|SO2|Premature mortality", US_national_yearly!$D:$AM, 10, FALSE), 1)</f>
        <v>2.7110390031610991E-3</v>
      </c>
      <c r="L2" s="7">
        <f>$B2 * IFERROR(VLOOKUP("industry|SO2|Premature mortality", US_national_yearly!$D:$AM, 20, FALSE) / VLOOKUP("industry|SO2|Premature mortality", US_national_yearly!$D:$AM, 10, FALSE), 1)</f>
        <v>2.749243954853852E-3</v>
      </c>
      <c r="M2" s="7">
        <f>$B2 * IFERROR(VLOOKUP("industry|SO2|Premature mortality", US_national_yearly!$D:$AM, 21, FALSE) / VLOOKUP("industry|SO2|Premature mortality", US_national_yearly!$D:$AM, 10, FALSE), 1)</f>
        <v>2.7874489065466039E-3</v>
      </c>
      <c r="N2" s="7">
        <f>$B2 * IFERROR(VLOOKUP("industry|SO2|Premature mortality", US_national_yearly!$D:$AM, 22, FALSE) / VLOOKUP("industry|SO2|Premature mortality", US_national_yearly!$D:$AM, 10, FALSE), 1)</f>
        <v>2.8173342624316622E-3</v>
      </c>
      <c r="O2" s="7">
        <f>$B2 * IFERROR(VLOOKUP("industry|SO2|Premature mortality", US_national_yearly!$D:$AM, 23, FALSE) / VLOOKUP("industry|SO2|Premature mortality", US_national_yearly!$D:$AM, 10, FALSE), 1)</f>
        <v>2.8472196183167205E-3</v>
      </c>
      <c r="P2" s="7">
        <f>$B2 * IFERROR(VLOOKUP("industry|SO2|Premature mortality", US_national_yearly!$D:$AM, 24, FALSE) / VLOOKUP("industry|SO2|Premature mortality", US_national_yearly!$D:$AM, 10, FALSE), 1)</f>
        <v>2.8771049742017788E-3</v>
      </c>
      <c r="Q2" s="7">
        <f>$B2 * IFERROR(VLOOKUP("industry|SO2|Premature mortality", US_national_yearly!$D:$AM, 25, FALSE) / VLOOKUP("industry|SO2|Premature mortality", US_national_yearly!$D:$AM, 10, FALSE), 1)</f>
        <v>2.9069903300868371E-3</v>
      </c>
      <c r="R2" s="7">
        <f>$B2 * IFERROR(VLOOKUP("industry|SO2|Premature mortality", US_national_yearly!$D:$AM, 26, FALSE) / VLOOKUP("industry|SO2|Premature mortality", US_national_yearly!$D:$AM, 10, FALSE), 1)</f>
        <v>2.9368756859718954E-3</v>
      </c>
      <c r="S2" s="7">
        <f>$B2 * IFERROR(VLOOKUP("industry|SO2|Premature mortality", US_national_yearly!$D:$AM, 27, FALSE) / VLOOKUP("industry|SO2|Premature mortality", US_national_yearly!$D:$AM, 10, FALSE), 1)</f>
        <v>2.9530121317451379E-3</v>
      </c>
      <c r="T2" s="7">
        <f>$B2 * IFERROR(VLOOKUP("industry|SO2|Premature mortality", US_national_yearly!$D:$AM, 28, FALSE) / VLOOKUP("industry|SO2|Premature mortality", US_national_yearly!$D:$AM, 10, FALSE), 1)</f>
        <v>2.9691485775183808E-3</v>
      </c>
      <c r="U2" s="7">
        <f>$B2 * IFERROR(VLOOKUP("industry|SO2|Premature mortality", US_national_yearly!$D:$AM, 29, FALSE) / VLOOKUP("industry|SO2|Premature mortality", US_national_yearly!$D:$AM, 10, FALSE), 1)</f>
        <v>2.9852850232916246E-3</v>
      </c>
      <c r="V2" s="7">
        <f>$B2 * IFERROR(VLOOKUP("industry|SO2|Premature mortality", US_national_yearly!$D:$AM, 30, FALSE) / VLOOKUP("industry|SO2|Premature mortality", US_national_yearly!$D:$AM, 10, FALSE), 1)</f>
        <v>3.0014214690648679E-3</v>
      </c>
      <c r="W2" s="7">
        <f>$B2 * IFERROR(VLOOKUP("industry|SO2|Premature mortality", US_national_yearly!$D:$AM, 31, FALSE) / VLOOKUP("industry|SO2|Premature mortality", US_national_yearly!$D:$AM, 10, FALSE), 1)</f>
        <v>3.0175579148381108E-3</v>
      </c>
      <c r="X2" s="7">
        <f>$B2 * IFERROR(VLOOKUP("industry|SO2|Premature mortality", US_national_yearly!$D:$AM, 32, FALSE) / VLOOKUP("industry|SO2|Premature mortality", US_national_yearly!$D:$AM, 10, FALSE), 1)</f>
        <v>3.021030970354519E-3</v>
      </c>
      <c r="Y2" s="7">
        <f>$B2 * IFERROR(VLOOKUP("industry|SO2|Premature mortality", US_national_yearly!$D:$AM, 33, FALSE) / VLOOKUP("industry|SO2|Premature mortality", US_national_yearly!$D:$AM, 10, FALSE), 1)</f>
        <v>3.0245040258709273E-3</v>
      </c>
      <c r="Z2" s="7">
        <f>$B2 * IFERROR(VLOOKUP("industry|SO2|Premature mortality", US_national_yearly!$D:$AM, 34, FALSE) / VLOOKUP("industry|SO2|Premature mortality", US_national_yearly!$D:$AM, 10, FALSE), 1)</f>
        <v>3.0279770813873364E-3</v>
      </c>
      <c r="AA2" s="7">
        <f>$B2 * IFERROR(VLOOKUP("industry|SO2|Premature mortality", US_national_yearly!$D:$AM, 35, FALSE) / VLOOKUP("industry|SO2|Premature mortality", US_national_yearly!$D:$AM, 10, FALSE), 1)</f>
        <v>3.0314501369037446E-3</v>
      </c>
      <c r="AB2" s="7">
        <f>$B2 * IFERROR(VLOOKUP("industry|SO2|Premature mortality", US_national_yearly!$D:$AM, 36, FALSE) / VLOOKUP("industry|SO2|Premature mortality", US_national_yearly!$D:$AM, 10, FALSE), 1)</f>
        <v>3.0349231924201529E-3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6.5229691073315091E-6</v>
      </c>
      <c r="C3" s="7">
        <f>$B3 * IFERROR(VLOOKUP("industry|SO2|Infant mortality", US_national_yearly!$D:$AM, 11, FALSE) / VLOOKUP("industry|SO2|Infant mortality", US_national_yearly!$D:$AM, 10, FALSE), 1)</f>
        <v>6.466851501070895E-6</v>
      </c>
      <c r="D3" s="7">
        <f>$B3 * IFERROR(VLOOKUP("industry|SO2|Infant mortality", US_national_yearly!$D:$AM, 12, FALSE) / VLOOKUP("industry|SO2|Infant mortality", US_national_yearly!$D:$AM, 10, FALSE), 1)</f>
        <v>6.4107338948102817E-6</v>
      </c>
      <c r="E3" s="7">
        <f>$B3 * IFERROR(VLOOKUP("industry|SO2|Infant mortality", US_national_yearly!$D:$AM, 13, FALSE) / VLOOKUP("industry|SO2|Infant mortality", US_national_yearly!$D:$AM, 10, FALSE), 1)</f>
        <v>6.3546162885496675E-6</v>
      </c>
      <c r="F3" s="7">
        <f>$B3 * IFERROR(VLOOKUP("industry|SO2|Infant mortality", US_national_yearly!$D:$AM, 14, FALSE) / VLOOKUP("industry|SO2|Infant mortality", US_national_yearly!$D:$AM, 10, FALSE), 1)</f>
        <v>6.2984986822890551E-6</v>
      </c>
      <c r="G3" s="7">
        <f>$B3 * IFERROR(VLOOKUP("industry|SO2|Infant mortality", US_national_yearly!$D:$AM, 15, FALSE) / VLOOKUP("industry|SO2|Infant mortality", US_national_yearly!$D:$AM, 10, FALSE), 1)</f>
        <v>4.1929001567664143E-6</v>
      </c>
      <c r="H3" s="7">
        <f>$B3 * IFERROR(VLOOKUP("industry|SO2|Infant mortality", US_national_yearly!$D:$AM, 16, FALSE) / VLOOKUP("industry|SO2|Infant mortality", US_national_yearly!$D:$AM, 10, FALSE), 1)</f>
        <v>2.0873016312437744E-6</v>
      </c>
      <c r="I3" s="7">
        <f>$B3 * IFERROR(VLOOKUP("industry|SO2|Infant mortality", US_national_yearly!$D:$AM, 17, FALSE) / VLOOKUP("industry|SO2|Infant mortality", US_national_yearly!$D:$AM, 10, FALSE), 1)</f>
        <v>2.0740474439128612E-6</v>
      </c>
      <c r="J3" s="7">
        <f>$B3 * IFERROR(VLOOKUP("industry|SO2|Infant mortality", US_national_yearly!$D:$AM, 18, FALSE) / VLOOKUP("industry|SO2|Infant mortality", US_national_yearly!$D:$AM, 10, FALSE), 1)</f>
        <v>2.0607932565819476E-6</v>
      </c>
      <c r="K3" s="7">
        <f>$B3 * IFERROR(VLOOKUP("industry|SO2|Infant mortality", US_national_yearly!$D:$AM, 19, FALSE) / VLOOKUP("industry|SO2|Infant mortality", US_national_yearly!$D:$AM, 10, FALSE), 1)</f>
        <v>2.0475390692510343E-6</v>
      </c>
      <c r="L3" s="7">
        <f>$B3 * IFERROR(VLOOKUP("industry|SO2|Infant mortality", US_national_yearly!$D:$AM, 20, FALSE) / VLOOKUP("industry|SO2|Infant mortality", US_national_yearly!$D:$AM, 10, FALSE), 1)</f>
        <v>2.0342848819201211E-6</v>
      </c>
      <c r="M3" s="7">
        <f>$B3 * IFERROR(VLOOKUP("industry|SO2|Infant mortality", US_national_yearly!$D:$AM, 21, FALSE) / VLOOKUP("industry|SO2|Infant mortality", US_national_yearly!$D:$AM, 10, FALSE), 1)</f>
        <v>2.0210306945892075E-6</v>
      </c>
      <c r="N3" s="7">
        <f>$B3 * IFERROR(VLOOKUP("industry|SO2|Infant mortality", US_national_yearly!$D:$AM, 22, FALSE) / VLOOKUP("industry|SO2|Infant mortality", US_national_yearly!$D:$AM, 10, FALSE), 1)</f>
        <v>2.0126301283913962E-6</v>
      </c>
      <c r="O3" s="7">
        <f>$B3 * IFERROR(VLOOKUP("industry|SO2|Infant mortality", US_national_yearly!$D:$AM, 23, FALSE) / VLOOKUP("industry|SO2|Infant mortality", US_national_yearly!$D:$AM, 10, FALSE), 1)</f>
        <v>2.0042295621935848E-6</v>
      </c>
      <c r="P3" s="7">
        <f>$B3 * IFERROR(VLOOKUP("industry|SO2|Infant mortality", US_national_yearly!$D:$AM, 24, FALSE) / VLOOKUP("industry|SO2|Infant mortality", US_national_yearly!$D:$AM, 10, FALSE), 1)</f>
        <v>1.9958289959957735E-6</v>
      </c>
      <c r="Q3" s="7">
        <f>$B3 * IFERROR(VLOOKUP("industry|SO2|Infant mortality", US_national_yearly!$D:$AM, 25, FALSE) / VLOOKUP("industry|SO2|Infant mortality", US_national_yearly!$D:$AM, 10, FALSE), 1)</f>
        <v>1.9874284297979621E-6</v>
      </c>
      <c r="R3" s="7">
        <f>$B3 * IFERROR(VLOOKUP("industry|SO2|Infant mortality", US_national_yearly!$D:$AM, 26, FALSE) / VLOOKUP("industry|SO2|Infant mortality", US_national_yearly!$D:$AM, 10, FALSE), 1)</f>
        <v>1.9790278636001504E-6</v>
      </c>
      <c r="S3" s="7">
        <f>$B3 * IFERROR(VLOOKUP("industry|SO2|Infant mortality", US_national_yearly!$D:$AM, 27, FALSE) / VLOOKUP("industry|SO2|Infant mortality", US_national_yearly!$D:$AM, 10, FALSE), 1)</f>
        <v>1.9685734547979801E-6</v>
      </c>
      <c r="T3" s="7">
        <f>$B3 * IFERROR(VLOOKUP("industry|SO2|Infant mortality", US_national_yearly!$D:$AM, 28, FALSE) / VLOOKUP("industry|SO2|Infant mortality", US_national_yearly!$D:$AM, 10, FALSE), 1)</f>
        <v>1.9581190459958095E-6</v>
      </c>
      <c r="U3" s="7">
        <f>$B3 * IFERROR(VLOOKUP("industry|SO2|Infant mortality", US_national_yearly!$D:$AM, 29, FALSE) / VLOOKUP("industry|SO2|Infant mortality", US_national_yearly!$D:$AM, 10, FALSE), 1)</f>
        <v>1.9476646371936389E-6</v>
      </c>
      <c r="V3" s="7">
        <f>$B3 * IFERROR(VLOOKUP("industry|SO2|Infant mortality", US_national_yearly!$D:$AM, 30, FALSE) / VLOOKUP("industry|SO2|Infant mortality", US_national_yearly!$D:$AM, 10, FALSE), 1)</f>
        <v>1.9372102283914687E-6</v>
      </c>
      <c r="W3" s="7">
        <f>$B3 * IFERROR(VLOOKUP("industry|SO2|Infant mortality", US_national_yearly!$D:$AM, 31, FALSE) / VLOOKUP("industry|SO2|Infant mortality", US_national_yearly!$D:$AM, 10, FALSE), 1)</f>
        <v>1.926755819589298E-6</v>
      </c>
      <c r="X3" s="7">
        <f>$B3 * IFERROR(VLOOKUP("industry|SO2|Infant mortality", US_national_yearly!$D:$AM, 32, FALSE) / VLOOKUP("industry|SO2|Infant mortality", US_national_yearly!$D:$AM, 10, FALSE), 1)</f>
        <v>1.9153949970374311E-6</v>
      </c>
      <c r="Y3" s="7">
        <f>$B3 * IFERROR(VLOOKUP("industry|SO2|Infant mortality", US_national_yearly!$D:$AM, 33, FALSE) / VLOOKUP("industry|SO2|Infant mortality", US_national_yearly!$D:$AM, 10, FALSE), 1)</f>
        <v>1.9040341744855637E-6</v>
      </c>
      <c r="Z3" s="7">
        <f>$B3 * IFERROR(VLOOKUP("industry|SO2|Infant mortality", US_national_yearly!$D:$AM, 34, FALSE) / VLOOKUP("industry|SO2|Infant mortality", US_national_yearly!$D:$AM, 10, FALSE), 1)</f>
        <v>1.8926733519336968E-6</v>
      </c>
      <c r="AA3" s="7">
        <f>$B3 * IFERROR(VLOOKUP("industry|SO2|Infant mortality", US_national_yearly!$D:$AM, 35, FALSE) / VLOOKUP("industry|SO2|Infant mortality", US_national_yearly!$D:$AM, 10, FALSE), 1)</f>
        <v>1.8813125293818297E-6</v>
      </c>
      <c r="AB3" s="7">
        <f>$B3 * IFERROR(VLOOKUP("industry|SO2|Infant mortality", US_national_yearly!$D:$AM, 36, FALSE) / VLOOKUP("industry|SO2|Infant mortality", US_national_yearly!$D:$AM, 10, FALSE), 1)</f>
        <v>1.8699517068299627E-6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6.5843582581755168E-3</v>
      </c>
      <c r="C6" s="7">
        <f>$B6 * IFERROR(VLOOKUP("industry|SO2|Asthma symptoms cough", US_national_yearly!$D:$AM, 11, FALSE) / VLOOKUP("industry|SO2|Asthma symptoms cough", US_national_yearly!$D:$AM, 10, FALSE), 1)</f>
        <v>6.5843582581755168E-3</v>
      </c>
      <c r="D6" s="7">
        <f>$B6 * IFERROR(VLOOKUP("industry|SO2|Asthma symptoms cough", US_national_yearly!$D:$AM, 12, FALSE) / VLOOKUP("industry|SO2|Asthma symptoms cough", US_national_yearly!$D:$AM, 10, FALSE), 1)</f>
        <v>6.5843582581755168E-3</v>
      </c>
      <c r="E6" s="7">
        <f>$B6 * IFERROR(VLOOKUP("industry|SO2|Asthma symptoms cough", US_national_yearly!$D:$AM, 13, FALSE) / VLOOKUP("industry|SO2|Asthma symptoms cough", US_national_yearly!$D:$AM, 10, FALSE), 1)</f>
        <v>6.5843582581755168E-3</v>
      </c>
      <c r="F6" s="7">
        <f>$B6 * IFERROR(VLOOKUP("industry|SO2|Asthma symptoms cough", US_national_yearly!$D:$AM, 14, FALSE) / VLOOKUP("industry|SO2|Asthma symptoms cough", US_national_yearly!$D:$AM, 10, FALSE), 1)</f>
        <v>6.5843582581755168E-3</v>
      </c>
      <c r="G6" s="7">
        <f>$B6 * IFERROR(VLOOKUP("industry|SO2|Asthma symptoms cough", US_national_yearly!$D:$AM, 15, FALSE) / VLOOKUP("industry|SO2|Asthma symptoms cough", US_national_yearly!$D:$AM, 10, FALSE), 1)</f>
        <v>6.5843582581755168E-3</v>
      </c>
      <c r="H6" s="7">
        <f>$B6 * IFERROR(VLOOKUP("industry|SO2|Asthma symptoms cough", US_national_yearly!$D:$AM, 16, FALSE) / VLOOKUP("industry|SO2|Asthma symptoms cough", US_national_yearly!$D:$AM, 10, FALSE), 1)</f>
        <v>6.5843582581755168E-3</v>
      </c>
      <c r="I6" s="7">
        <f>$B6 * IFERROR(VLOOKUP("industry|SO2|Asthma symptoms cough", US_national_yearly!$D:$AM, 17, FALSE) / VLOOKUP("industry|SO2|Asthma symptoms cough", US_national_yearly!$D:$AM, 10, FALSE), 1)</f>
        <v>6.5843582581755168E-3</v>
      </c>
      <c r="J6" s="7">
        <f>$B6 * IFERROR(VLOOKUP("industry|SO2|Asthma symptoms cough", US_national_yearly!$D:$AM, 18, FALSE) / VLOOKUP("industry|SO2|Asthma symptoms cough", US_national_yearly!$D:$AM, 10, FALSE), 1)</f>
        <v>6.5843582581755168E-3</v>
      </c>
      <c r="K6" s="7">
        <f>$B6 * IFERROR(VLOOKUP("industry|SO2|Asthma symptoms cough", US_national_yearly!$D:$AM, 19, FALSE) / VLOOKUP("industry|SO2|Asthma symptoms cough", US_national_yearly!$D:$AM, 10, FALSE), 1)</f>
        <v>6.5843582581755168E-3</v>
      </c>
      <c r="L6" s="7">
        <f>$B6 * IFERROR(VLOOKUP("industry|SO2|Asthma symptoms cough", US_national_yearly!$D:$AM, 20, FALSE) / VLOOKUP("industry|SO2|Asthma symptoms cough", US_national_yearly!$D:$AM, 10, FALSE), 1)</f>
        <v>6.5843582581755168E-3</v>
      </c>
      <c r="M6" s="7">
        <f>$B6 * IFERROR(VLOOKUP("industry|SO2|Asthma symptoms cough", US_national_yearly!$D:$AM, 21, FALSE) / VLOOKUP("industry|SO2|Asthma symptoms cough", US_national_yearly!$D:$AM, 10, FALSE), 1)</f>
        <v>6.5843582581755168E-3</v>
      </c>
      <c r="N6" s="7">
        <f>$B6 * IFERROR(VLOOKUP("industry|SO2|Asthma symptoms cough", US_national_yearly!$D:$AM, 22, FALSE) / VLOOKUP("industry|SO2|Asthma symptoms cough", US_national_yearly!$D:$AM, 10, FALSE), 1)</f>
        <v>6.5843582581755168E-3</v>
      </c>
      <c r="O6" s="7">
        <f>$B6 * IFERROR(VLOOKUP("industry|SO2|Asthma symptoms cough", US_national_yearly!$D:$AM, 23, FALSE) / VLOOKUP("industry|SO2|Asthma symptoms cough", US_national_yearly!$D:$AM, 10, FALSE), 1)</f>
        <v>6.5843582581755168E-3</v>
      </c>
      <c r="P6" s="7">
        <f>$B6 * IFERROR(VLOOKUP("industry|SO2|Asthma symptoms cough", US_national_yearly!$D:$AM, 24, FALSE) / VLOOKUP("industry|SO2|Asthma symptoms cough", US_national_yearly!$D:$AM, 10, FALSE), 1)</f>
        <v>6.5843582581755168E-3</v>
      </c>
      <c r="Q6" s="7">
        <f>$B6 * IFERROR(VLOOKUP("industry|SO2|Asthma symptoms cough", US_national_yearly!$D:$AM, 25, FALSE) / VLOOKUP("industry|SO2|Asthma symptoms cough", US_national_yearly!$D:$AM, 10, FALSE), 1)</f>
        <v>6.5843582581755168E-3</v>
      </c>
      <c r="R6" s="7">
        <f>$B6 * IFERROR(VLOOKUP("industry|SO2|Asthma symptoms cough", US_national_yearly!$D:$AM, 26, FALSE) / VLOOKUP("industry|SO2|Asthma symptoms cough", US_national_yearly!$D:$AM, 10, FALSE), 1)</f>
        <v>6.5843582581755168E-3</v>
      </c>
      <c r="S6" s="7">
        <f>$B6 * IFERROR(VLOOKUP("industry|SO2|Asthma symptoms cough", US_national_yearly!$D:$AM, 27, FALSE) / VLOOKUP("industry|SO2|Asthma symptoms cough", US_national_yearly!$D:$AM, 10, FALSE), 1)</f>
        <v>6.5843582581755168E-3</v>
      </c>
      <c r="T6" s="7">
        <f>$B6 * IFERROR(VLOOKUP("industry|SO2|Asthma symptoms cough", US_national_yearly!$D:$AM, 28, FALSE) / VLOOKUP("industry|SO2|Asthma symptoms cough", US_national_yearly!$D:$AM, 10, FALSE), 1)</f>
        <v>6.5843582581755168E-3</v>
      </c>
      <c r="U6" s="7">
        <f>$B6 * IFERROR(VLOOKUP("industry|SO2|Asthma symptoms cough", US_national_yearly!$D:$AM, 29, FALSE) / VLOOKUP("industry|SO2|Asthma symptoms cough", US_national_yearly!$D:$AM, 10, FALSE), 1)</f>
        <v>6.5843582581755168E-3</v>
      </c>
      <c r="V6" s="7">
        <f>$B6 * IFERROR(VLOOKUP("industry|SO2|Asthma symptoms cough", US_national_yearly!$D:$AM, 30, FALSE) / VLOOKUP("industry|SO2|Asthma symptoms cough", US_national_yearly!$D:$AM, 10, FALSE), 1)</f>
        <v>6.5843582581755168E-3</v>
      </c>
      <c r="W6" s="7">
        <f>$B6 * IFERROR(VLOOKUP("industry|SO2|Asthma symptoms cough", US_national_yearly!$D:$AM, 31, FALSE) / VLOOKUP("industry|SO2|Asthma symptoms cough", US_national_yearly!$D:$AM, 10, FALSE), 1)</f>
        <v>6.5843582581755168E-3</v>
      </c>
      <c r="X6" s="7">
        <f>$B6 * IFERROR(VLOOKUP("industry|SO2|Asthma symptoms cough", US_national_yearly!$D:$AM, 32, FALSE) / VLOOKUP("industry|SO2|Asthma symptoms cough", US_national_yearly!$D:$AM, 10, FALSE), 1)</f>
        <v>6.5843582581755168E-3</v>
      </c>
      <c r="Y6" s="7">
        <f>$B6 * IFERROR(VLOOKUP("industry|SO2|Asthma symptoms cough", US_national_yearly!$D:$AM, 33, FALSE) / VLOOKUP("industry|SO2|Asthma symptoms cough", US_national_yearly!$D:$AM, 10, FALSE), 1)</f>
        <v>6.5843582581755168E-3</v>
      </c>
      <c r="Z6" s="7">
        <f>$B6 * IFERROR(VLOOKUP("industry|SO2|Asthma symptoms cough", US_national_yearly!$D:$AM, 34, FALSE) / VLOOKUP("industry|SO2|Asthma symptoms cough", US_national_yearly!$D:$AM, 10, FALSE), 1)</f>
        <v>6.5843582581755168E-3</v>
      </c>
      <c r="AA6" s="7">
        <f>$B6 * IFERROR(VLOOKUP("industry|SO2|Asthma symptoms cough", US_national_yearly!$D:$AM, 35, FALSE) / VLOOKUP("industry|SO2|Asthma symptoms cough", US_national_yearly!$D:$AM, 10, FALSE), 1)</f>
        <v>6.5843582581755168E-3</v>
      </c>
      <c r="AB6" s="7">
        <f>$B6 * IFERROR(VLOOKUP("industry|SO2|Asthma symptoms cough", US_national_yearly!$D:$AM, 36, FALSE) / VLOOKUP("industry|SO2|Asthma symptoms cough", US_national_yearly!$D:$AM, 10, FALSE), 1)</f>
        <v>6.5843582581755168E-3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8.8667743187939192E-3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8.8667743187939192E-3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8.8667743187939192E-3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8.8667743187939192E-3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8.8667743187939192E-3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8.8667743187939192E-3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8.8667743187939192E-3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8.8667743187939192E-3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8.8667743187939192E-3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8.8667743187939192E-3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8.8667743187939192E-3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8.8667743187939192E-3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8.8667743187939192E-3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8.8667743187939192E-3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8.8667743187939192E-3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8.8667743187939192E-3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8.8667743187939192E-3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8.8667743187939192E-3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8.8667743187939192E-3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8.8667743187939192E-3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8.8667743187939192E-3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8.8667743187939192E-3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8.8667743187939192E-3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8.8667743187939192E-3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8.8667743187939192E-3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8.8667743187939192E-3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8.8667743187939192E-3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1.3546997994917612E-2</v>
      </c>
      <c r="C8" s="7">
        <f>$B8 * IFERROR(VLOOKUP("industry|SO2|Asthma symptoms wheeze", US_national_yearly!$D:$AM, 11, FALSE) / VLOOKUP("industry|SO2|Asthma symptoms wheeze", US_national_yearly!$D:$AM, 10, FALSE), 1)</f>
        <v>1.3546997994917612E-2</v>
      </c>
      <c r="D8" s="7">
        <f>$B8 * IFERROR(VLOOKUP("industry|SO2|Asthma symptoms wheeze", US_national_yearly!$D:$AM, 12, FALSE) / VLOOKUP("industry|SO2|Asthma symptoms wheeze", US_national_yearly!$D:$AM, 10, FALSE), 1)</f>
        <v>1.3546997994917612E-2</v>
      </c>
      <c r="E8" s="7">
        <f>$B8 * IFERROR(VLOOKUP("industry|SO2|Asthma symptoms wheeze", US_national_yearly!$D:$AM, 13, FALSE) / VLOOKUP("industry|SO2|Asthma symptoms wheeze", US_national_yearly!$D:$AM, 10, FALSE), 1)</f>
        <v>1.3546997994917612E-2</v>
      </c>
      <c r="F8" s="7">
        <f>$B8 * IFERROR(VLOOKUP("industry|SO2|Asthma symptoms wheeze", US_national_yearly!$D:$AM, 14, FALSE) / VLOOKUP("industry|SO2|Asthma symptoms wheeze", US_national_yearly!$D:$AM, 10, FALSE), 1)</f>
        <v>1.3546997994917612E-2</v>
      </c>
      <c r="G8" s="7">
        <f>$B8 * IFERROR(VLOOKUP("industry|SO2|Asthma symptoms wheeze", US_national_yearly!$D:$AM, 15, FALSE) / VLOOKUP("industry|SO2|Asthma symptoms wheeze", US_national_yearly!$D:$AM, 10, FALSE), 1)</f>
        <v>1.3546997994917612E-2</v>
      </c>
      <c r="H8" s="7">
        <f>$B8 * IFERROR(VLOOKUP("industry|SO2|Asthma symptoms wheeze", US_national_yearly!$D:$AM, 16, FALSE) / VLOOKUP("industry|SO2|Asthma symptoms wheeze", US_national_yearly!$D:$AM, 10, FALSE), 1)</f>
        <v>1.3546997994917612E-2</v>
      </c>
      <c r="I8" s="7">
        <f>$B8 * IFERROR(VLOOKUP("industry|SO2|Asthma symptoms wheeze", US_national_yearly!$D:$AM, 17, FALSE) / VLOOKUP("industry|SO2|Asthma symptoms wheeze", US_national_yearly!$D:$AM, 10, FALSE), 1)</f>
        <v>1.3546997994917612E-2</v>
      </c>
      <c r="J8" s="7">
        <f>$B8 * IFERROR(VLOOKUP("industry|SO2|Asthma symptoms wheeze", US_national_yearly!$D:$AM, 18, FALSE) / VLOOKUP("industry|SO2|Asthma symptoms wheeze", US_national_yearly!$D:$AM, 10, FALSE), 1)</f>
        <v>1.3546997994917612E-2</v>
      </c>
      <c r="K8" s="7">
        <f>$B8 * IFERROR(VLOOKUP("industry|SO2|Asthma symptoms wheeze", US_national_yearly!$D:$AM, 19, FALSE) / VLOOKUP("industry|SO2|Asthma symptoms wheeze", US_national_yearly!$D:$AM, 10, FALSE), 1)</f>
        <v>1.3546997994917612E-2</v>
      </c>
      <c r="L8" s="7">
        <f>$B8 * IFERROR(VLOOKUP("industry|SO2|Asthma symptoms wheeze", US_national_yearly!$D:$AM, 20, FALSE) / VLOOKUP("industry|SO2|Asthma symptoms wheeze", US_national_yearly!$D:$AM, 10, FALSE), 1)</f>
        <v>1.3546997994917612E-2</v>
      </c>
      <c r="M8" s="7">
        <f>$B8 * IFERROR(VLOOKUP("industry|SO2|Asthma symptoms wheeze", US_national_yearly!$D:$AM, 21, FALSE) / VLOOKUP("industry|SO2|Asthma symptoms wheeze", US_national_yearly!$D:$AM, 10, FALSE), 1)</f>
        <v>1.3546997994917612E-2</v>
      </c>
      <c r="N8" s="7">
        <f>$B8 * IFERROR(VLOOKUP("industry|SO2|Asthma symptoms wheeze", US_national_yearly!$D:$AM, 22, FALSE) / VLOOKUP("industry|SO2|Asthma symptoms wheeze", US_national_yearly!$D:$AM, 10, FALSE), 1)</f>
        <v>1.3546997994917612E-2</v>
      </c>
      <c r="O8" s="7">
        <f>$B8 * IFERROR(VLOOKUP("industry|SO2|Asthma symptoms wheeze", US_national_yearly!$D:$AM, 23, FALSE) / VLOOKUP("industry|SO2|Asthma symptoms wheeze", US_national_yearly!$D:$AM, 10, FALSE), 1)</f>
        <v>1.3546997994917612E-2</v>
      </c>
      <c r="P8" s="7">
        <f>$B8 * IFERROR(VLOOKUP("industry|SO2|Asthma symptoms wheeze", US_national_yearly!$D:$AM, 24, FALSE) / VLOOKUP("industry|SO2|Asthma symptoms wheeze", US_national_yearly!$D:$AM, 10, FALSE), 1)</f>
        <v>1.3546997994917612E-2</v>
      </c>
      <c r="Q8" s="7">
        <f>$B8 * IFERROR(VLOOKUP("industry|SO2|Asthma symptoms wheeze", US_national_yearly!$D:$AM, 25, FALSE) / VLOOKUP("industry|SO2|Asthma symptoms wheeze", US_national_yearly!$D:$AM, 10, FALSE), 1)</f>
        <v>1.3546997994917612E-2</v>
      </c>
      <c r="R8" s="7">
        <f>$B8 * IFERROR(VLOOKUP("industry|SO2|Asthma symptoms wheeze", US_national_yearly!$D:$AM, 26, FALSE) / VLOOKUP("industry|SO2|Asthma symptoms wheeze", US_national_yearly!$D:$AM, 10, FALSE), 1)</f>
        <v>1.3546997994917612E-2</v>
      </c>
      <c r="S8" s="7">
        <f>$B8 * IFERROR(VLOOKUP("industry|SO2|Asthma symptoms wheeze", US_national_yearly!$D:$AM, 27, FALSE) / VLOOKUP("industry|SO2|Asthma symptoms wheeze", US_national_yearly!$D:$AM, 10, FALSE), 1)</f>
        <v>1.3546997994917612E-2</v>
      </c>
      <c r="T8" s="7">
        <f>$B8 * IFERROR(VLOOKUP("industry|SO2|Asthma symptoms wheeze", US_national_yearly!$D:$AM, 28, FALSE) / VLOOKUP("industry|SO2|Asthma symptoms wheeze", US_national_yearly!$D:$AM, 10, FALSE), 1)</f>
        <v>1.3546997994917612E-2</v>
      </c>
      <c r="U8" s="7">
        <f>$B8 * IFERROR(VLOOKUP("industry|SO2|Asthma symptoms wheeze", US_national_yearly!$D:$AM, 29, FALSE) / VLOOKUP("industry|SO2|Asthma symptoms wheeze", US_national_yearly!$D:$AM, 10, FALSE), 1)</f>
        <v>1.3546997994917612E-2</v>
      </c>
      <c r="V8" s="7">
        <f>$B8 * IFERROR(VLOOKUP("industry|SO2|Asthma symptoms wheeze", US_national_yearly!$D:$AM, 30, FALSE) / VLOOKUP("industry|SO2|Asthma symptoms wheeze", US_national_yearly!$D:$AM, 10, FALSE), 1)</f>
        <v>1.3546997994917612E-2</v>
      </c>
      <c r="W8" s="7">
        <f>$B8 * IFERROR(VLOOKUP("industry|SO2|Asthma symptoms wheeze", US_national_yearly!$D:$AM, 31, FALSE) / VLOOKUP("industry|SO2|Asthma symptoms wheeze", US_national_yearly!$D:$AM, 10, FALSE), 1)</f>
        <v>1.3546997994917612E-2</v>
      </c>
      <c r="X8" s="7">
        <f>$B8 * IFERROR(VLOOKUP("industry|SO2|Asthma symptoms wheeze", US_national_yearly!$D:$AM, 32, FALSE) / VLOOKUP("industry|SO2|Asthma symptoms wheeze", US_national_yearly!$D:$AM, 10, FALSE), 1)</f>
        <v>1.3546997994917612E-2</v>
      </c>
      <c r="Y8" s="7">
        <f>$B8 * IFERROR(VLOOKUP("industry|SO2|Asthma symptoms wheeze", US_national_yearly!$D:$AM, 33, FALSE) / VLOOKUP("industry|SO2|Asthma symptoms wheeze", US_national_yearly!$D:$AM, 10, FALSE), 1)</f>
        <v>1.3546997994917612E-2</v>
      </c>
      <c r="Z8" s="7">
        <f>$B8 * IFERROR(VLOOKUP("industry|SO2|Asthma symptoms wheeze", US_national_yearly!$D:$AM, 34, FALSE) / VLOOKUP("industry|SO2|Asthma symptoms wheeze", US_national_yearly!$D:$AM, 10, FALSE), 1)</f>
        <v>1.3546997994917612E-2</v>
      </c>
      <c r="AA8" s="7">
        <f>$B8 * IFERROR(VLOOKUP("industry|SO2|Asthma symptoms wheeze", US_national_yearly!$D:$AM, 35, FALSE) / VLOOKUP("industry|SO2|Asthma symptoms wheeze", US_national_yearly!$D:$AM, 10, FALSE), 1)</f>
        <v>1.3546997994917612E-2</v>
      </c>
      <c r="AB8" s="7">
        <f>$B8 * IFERROR(VLOOKUP("industry|SO2|Asthma symptoms wheeze", US_national_yearly!$D:$AM, 36, FALSE) / VLOOKUP("industry|SO2|Asthma symptoms wheeze", US_national_yearly!$D:$AM, 10, FALSE), 1)</f>
        <v>1.3546997994917612E-2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1.466608244126506E-4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1.4751997686062975E-4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1.483791293086089E-4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1.4923828175658803E-4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1.5009743420456721E-4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1.5103407656918784E-4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1.5197071893380845E-4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1.5289065531816495E-4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1.5381059170252145E-4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1.5473052808687791E-4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1.5565046447123441E-4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1.5657040085559088E-4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1.5723607977153586E-4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1.5790175868748082E-4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1.5856743760342577E-4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1.5923311651937073E-4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1.5989879543531566E-4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1.6053142149088985E-4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1.6116404754646399E-4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1.6179667360203813E-4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1.6242929965761232E-4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1.6306192571318646E-4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1.6366267691879702E-4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1.6426342812440761E-4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1.6486417933001817E-4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1.6546493053562874E-4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1.6606568174123932E-4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8.9236702573189191E-4</v>
      </c>
      <c r="C13" s="7">
        <f>$B13 * IFERROR(VLOOKUP("industry|SO2|Non-fatal heart attacks", US_national_yearly!$D:$AM, 11, FALSE) / VLOOKUP("industry|SO2|Non-fatal heart attacks", US_national_yearly!$D:$AM, 10, FALSE), 1)</f>
        <v>9.1856357528855319E-4</v>
      </c>
      <c r="D13" s="7">
        <f>$B13 * IFERROR(VLOOKUP("industry|SO2|Non-fatal heart attacks", US_national_yearly!$D:$AM, 12, FALSE) / VLOOKUP("industry|SO2|Non-fatal heart attacks", US_national_yearly!$D:$AM, 10, FALSE), 1)</f>
        <v>9.4476012484521435E-4</v>
      </c>
      <c r="E13" s="7">
        <f>$B13 * IFERROR(VLOOKUP("industry|SO2|Non-fatal heart attacks", US_national_yearly!$D:$AM, 13, FALSE) / VLOOKUP("industry|SO2|Non-fatal heart attacks", US_national_yearly!$D:$AM, 10, FALSE), 1)</f>
        <v>9.7095667440187541E-4</v>
      </c>
      <c r="F13" s="7">
        <f>$B13 * IFERROR(VLOOKUP("industry|SO2|Non-fatal heart attacks", US_national_yearly!$D:$AM, 14, FALSE) / VLOOKUP("industry|SO2|Non-fatal heart attacks", US_national_yearly!$D:$AM, 10, FALSE), 1)</f>
        <v>9.971532239585368E-4</v>
      </c>
      <c r="G13" s="7">
        <f>$B13 * IFERROR(VLOOKUP("industry|SO2|Non-fatal heart attacks", US_national_yearly!$D:$AM, 15, FALSE) / VLOOKUP("industry|SO2|Non-fatal heart attacks", US_national_yearly!$D:$AM, 10, FALSE), 1)</f>
        <v>1.0218754280883486E-3</v>
      </c>
      <c r="H13" s="7">
        <f>$B13 * IFERROR(VLOOKUP("industry|SO2|Non-fatal heart attacks", US_national_yearly!$D:$AM, 16, FALSE) / VLOOKUP("industry|SO2|Non-fatal heart attacks", US_national_yearly!$D:$AM, 10, FALSE), 1)</f>
        <v>1.0465976322181607E-3</v>
      </c>
      <c r="I13" s="7">
        <f>$B13 * IFERROR(VLOOKUP("industry|SO2|Non-fatal heart attacks", US_national_yearly!$D:$AM, 17, FALSE) / VLOOKUP("industry|SO2|Non-fatal heart attacks", US_national_yearly!$D:$AM, 10, FALSE), 1)</f>
        <v>1.0665280080131548E-3</v>
      </c>
      <c r="J13" s="7">
        <f>$B13 * IFERROR(VLOOKUP("industry|SO2|Non-fatal heart attacks", US_national_yearly!$D:$AM, 18, FALSE) / VLOOKUP("industry|SO2|Non-fatal heart attacks", US_national_yearly!$D:$AM, 10, FALSE), 1)</f>
        <v>1.0864583838081491E-3</v>
      </c>
      <c r="K13" s="7">
        <f>$B13 * IFERROR(VLOOKUP("industry|SO2|Non-fatal heart attacks", US_national_yearly!$D:$AM, 19, FALSE) / VLOOKUP("industry|SO2|Non-fatal heart attacks", US_national_yearly!$D:$AM, 10, FALSE), 1)</f>
        <v>1.1063887596031434E-3</v>
      </c>
      <c r="L13" s="7">
        <f>$B13 * IFERROR(VLOOKUP("industry|SO2|Non-fatal heart attacks", US_national_yearly!$D:$AM, 20, FALSE) / VLOOKUP("industry|SO2|Non-fatal heart attacks", US_national_yearly!$D:$AM, 10, FALSE), 1)</f>
        <v>1.1263191353981378E-3</v>
      </c>
      <c r="M13" s="7">
        <f>$B13 * IFERROR(VLOOKUP("industry|SO2|Non-fatal heart attacks", US_national_yearly!$D:$AM, 21, FALSE) / VLOOKUP("industry|SO2|Non-fatal heart attacks", US_national_yearly!$D:$AM, 10, FALSE), 1)</f>
        <v>1.1462495111931321E-3</v>
      </c>
      <c r="N13" s="7">
        <f>$B13 * IFERROR(VLOOKUP("industry|SO2|Non-fatal heart attacks", US_national_yearly!$D:$AM, 22, FALSE) / VLOOKUP("industry|SO2|Non-fatal heart attacks", US_national_yearly!$D:$AM, 10, FALSE), 1)</f>
        <v>1.1591973451186572E-3</v>
      </c>
      <c r="O13" s="7">
        <f>$B13 * IFERROR(VLOOKUP("industry|SO2|Non-fatal heart attacks", US_national_yearly!$D:$AM, 23, FALSE) / VLOOKUP("industry|SO2|Non-fatal heart attacks", US_national_yearly!$D:$AM, 10, FALSE), 1)</f>
        <v>1.1721451790441826E-3</v>
      </c>
      <c r="P13" s="7">
        <f>$B13 * IFERROR(VLOOKUP("industry|SO2|Non-fatal heart attacks", US_national_yearly!$D:$AM, 24, FALSE) / VLOOKUP("industry|SO2|Non-fatal heart attacks", US_national_yearly!$D:$AM, 10, FALSE), 1)</f>
        <v>1.1850930129697077E-3</v>
      </c>
      <c r="Q13" s="7">
        <f>$B13 * IFERROR(VLOOKUP("industry|SO2|Non-fatal heart attacks", US_national_yearly!$D:$AM, 25, FALSE) / VLOOKUP("industry|SO2|Non-fatal heart attacks", US_national_yearly!$D:$AM, 10, FALSE), 1)</f>
        <v>1.1980408468952328E-3</v>
      </c>
      <c r="R13" s="7">
        <f>$B13 * IFERROR(VLOOKUP("industry|SO2|Non-fatal heart attacks", US_national_yearly!$D:$AM, 26, FALSE) / VLOOKUP("industry|SO2|Non-fatal heart attacks", US_national_yearly!$D:$AM, 10, FALSE), 1)</f>
        <v>1.2109886808207579E-3</v>
      </c>
      <c r="S13" s="7">
        <f>$B13 * IFERROR(VLOOKUP("industry|SO2|Non-fatal heart attacks", US_national_yearly!$D:$AM, 27, FALSE) / VLOOKUP("industry|SO2|Non-fatal heart attacks", US_national_yearly!$D:$AM, 10, FALSE), 1)</f>
        <v>1.2177890735700246E-3</v>
      </c>
      <c r="T13" s="7">
        <f>$B13 * IFERROR(VLOOKUP("industry|SO2|Non-fatal heart attacks", US_national_yearly!$D:$AM, 28, FALSE) / VLOOKUP("industry|SO2|Non-fatal heart attacks", US_national_yearly!$D:$AM, 10, FALSE), 1)</f>
        <v>1.224589466319291E-3</v>
      </c>
      <c r="U13" s="7">
        <f>$B13 * IFERROR(VLOOKUP("industry|SO2|Non-fatal heart attacks", US_national_yearly!$D:$AM, 29, FALSE) / VLOOKUP("industry|SO2|Non-fatal heart attacks", US_national_yearly!$D:$AM, 10, FALSE), 1)</f>
        <v>1.2313898590685577E-3</v>
      </c>
      <c r="V13" s="7">
        <f>$B13 * IFERROR(VLOOKUP("industry|SO2|Non-fatal heart attacks", US_national_yearly!$D:$AM, 30, FALSE) / VLOOKUP("industry|SO2|Non-fatal heart attacks", US_national_yearly!$D:$AM, 10, FALSE), 1)</f>
        <v>1.2381902518178241E-3</v>
      </c>
      <c r="W13" s="7">
        <f>$B13 * IFERROR(VLOOKUP("industry|SO2|Non-fatal heart attacks", US_national_yearly!$D:$AM, 31, FALSE) / VLOOKUP("industry|SO2|Non-fatal heart attacks", US_national_yearly!$D:$AM, 10, FALSE), 1)</f>
        <v>1.2449906445670907E-3</v>
      </c>
      <c r="X13" s="7">
        <f>$B13 * IFERROR(VLOOKUP("industry|SO2|Non-fatal heart attacks", US_national_yearly!$D:$AM, 32, FALSE) / VLOOKUP("industry|SO2|Non-fatal heart attacks", US_national_yearly!$D:$AM, 10, FALSE), 1)</f>
        <v>1.2501553466205584E-3</v>
      </c>
      <c r="Y13" s="7">
        <f>$B13 * IFERROR(VLOOKUP("industry|SO2|Non-fatal heart attacks", US_national_yearly!$D:$AM, 33, FALSE) / VLOOKUP("industry|SO2|Non-fatal heart attacks", US_national_yearly!$D:$AM, 10, FALSE), 1)</f>
        <v>1.2553200486740261E-3</v>
      </c>
      <c r="Z13" s="7">
        <f>$B13 * IFERROR(VLOOKUP("industry|SO2|Non-fatal heart attacks", US_national_yearly!$D:$AM, 34, FALSE) / VLOOKUP("industry|SO2|Non-fatal heart attacks", US_national_yearly!$D:$AM, 10, FALSE), 1)</f>
        <v>1.2604847507274937E-3</v>
      </c>
      <c r="AA13" s="7">
        <f>$B13 * IFERROR(VLOOKUP("industry|SO2|Non-fatal heart attacks", US_national_yearly!$D:$AM, 35, FALSE) / VLOOKUP("industry|SO2|Non-fatal heart attacks", US_national_yearly!$D:$AM, 10, FALSE), 1)</f>
        <v>1.2656494527809616E-3</v>
      </c>
      <c r="AB13" s="7">
        <f>$B13 * IFERROR(VLOOKUP("industry|SO2|Non-fatal heart attacks", US_national_yearly!$D:$AM, 36, FALSE) / VLOOKUP("industry|SO2|Non-fatal heart attacks", US_national_yearly!$D:$AM, 10, FALSE), 1)</f>
        <v>1.2708141548344292E-3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0.81249621616244494</v>
      </c>
      <c r="C14" s="7">
        <f>$B14 * IFERROR(VLOOKUP("industry|SO2|Minor restricted activity days", US_national_yearly!$D:$AM, 11, FALSE) / VLOOKUP("industry|SO2|Minor restricted activity days", US_national_yearly!$D:$AM, 10, FALSE), 1)</f>
        <v>0.81452858529728611</v>
      </c>
      <c r="D14" s="7">
        <f>$B14 * IFERROR(VLOOKUP("industry|SO2|Minor restricted activity days", US_national_yearly!$D:$AM, 12, FALSE) / VLOOKUP("industry|SO2|Minor restricted activity days", US_national_yearly!$D:$AM, 10, FALSE), 1)</f>
        <v>0.81656095443212706</v>
      </c>
      <c r="E14" s="7">
        <f>$B14 * IFERROR(VLOOKUP("industry|SO2|Minor restricted activity days", US_national_yearly!$D:$AM, 13, FALSE) / VLOOKUP("industry|SO2|Minor restricted activity days", US_national_yearly!$D:$AM, 10, FALSE), 1)</f>
        <v>0.81859332356696812</v>
      </c>
      <c r="F14" s="7">
        <f>$B14 * IFERROR(VLOOKUP("industry|SO2|Minor restricted activity days", US_national_yearly!$D:$AM, 14, FALSE) / VLOOKUP("industry|SO2|Minor restricted activity days", US_national_yearly!$D:$AM, 10, FALSE), 1)</f>
        <v>0.8206256927018093</v>
      </c>
      <c r="G14" s="7">
        <f>$B14 * IFERROR(VLOOKUP("industry|SO2|Minor restricted activity days", US_national_yearly!$D:$AM, 15, FALSE) / VLOOKUP("industry|SO2|Minor restricted activity days", US_national_yearly!$D:$AM, 10, FALSE), 1)</f>
        <v>0.8236155013581008</v>
      </c>
      <c r="H14" s="7">
        <f>$B14 * IFERROR(VLOOKUP("industry|SO2|Minor restricted activity days", US_national_yearly!$D:$AM, 16, FALSE) / VLOOKUP("industry|SO2|Minor restricted activity days", US_national_yearly!$D:$AM, 10, FALSE), 1)</f>
        <v>0.82660531001439208</v>
      </c>
      <c r="I14" s="7">
        <f>$B14 * IFERROR(VLOOKUP("industry|SO2|Minor restricted activity days", US_national_yearly!$D:$AM, 17, FALSE) / VLOOKUP("industry|SO2|Minor restricted activity days", US_national_yearly!$D:$AM, 10, FALSE), 1)</f>
        <v>0.83170383812230164</v>
      </c>
      <c r="J14" s="7">
        <f>$B14 * IFERROR(VLOOKUP("industry|SO2|Minor restricted activity days", US_national_yearly!$D:$AM, 18, FALSE) / VLOOKUP("industry|SO2|Minor restricted activity days", US_national_yearly!$D:$AM, 10, FALSE), 1)</f>
        <v>0.83680236623021131</v>
      </c>
      <c r="K14" s="7">
        <f>$B14 * IFERROR(VLOOKUP("industry|SO2|Minor restricted activity days", US_national_yearly!$D:$AM, 19, FALSE) / VLOOKUP("industry|SO2|Minor restricted activity days", US_national_yearly!$D:$AM, 10, FALSE), 1)</f>
        <v>0.84190089433812088</v>
      </c>
      <c r="L14" s="7">
        <f>$B14 * IFERROR(VLOOKUP("industry|SO2|Minor restricted activity days", US_national_yearly!$D:$AM, 20, FALSE) / VLOOKUP("industry|SO2|Minor restricted activity days", US_national_yearly!$D:$AM, 10, FALSE), 1)</f>
        <v>0.84699942244603055</v>
      </c>
      <c r="M14" s="7">
        <f>$B14 * IFERROR(VLOOKUP("industry|SO2|Minor restricted activity days", US_national_yearly!$D:$AM, 21, FALSE) / VLOOKUP("industry|SO2|Minor restricted activity days", US_national_yearly!$D:$AM, 10, FALSE), 1)</f>
        <v>0.85209795055394011</v>
      </c>
      <c r="N14" s="7">
        <f>$B14 * IFERROR(VLOOKUP("industry|SO2|Minor restricted activity days", US_national_yearly!$D:$AM, 22, FALSE) / VLOOKUP("industry|SO2|Minor restricted activity days", US_national_yearly!$D:$AM, 10, FALSE), 1)</f>
        <v>0.85908864577567723</v>
      </c>
      <c r="O14" s="7">
        <f>$B14 * IFERROR(VLOOKUP("industry|SO2|Minor restricted activity days", US_national_yearly!$D:$AM, 23, FALSE) / VLOOKUP("industry|SO2|Minor restricted activity days", US_national_yearly!$D:$AM, 10, FALSE), 1)</f>
        <v>0.86607934099741435</v>
      </c>
      <c r="P14" s="7">
        <f>$B14 * IFERROR(VLOOKUP("industry|SO2|Minor restricted activity days", US_national_yearly!$D:$AM, 24, FALSE) / VLOOKUP("industry|SO2|Minor restricted activity days", US_national_yearly!$D:$AM, 10, FALSE), 1)</f>
        <v>0.87307003621915147</v>
      </c>
      <c r="Q14" s="7">
        <f>$B14 * IFERROR(VLOOKUP("industry|SO2|Minor restricted activity days", US_national_yearly!$D:$AM, 25, FALSE) / VLOOKUP("industry|SO2|Minor restricted activity days", US_national_yearly!$D:$AM, 10, FALSE), 1)</f>
        <v>0.8800607314408887</v>
      </c>
      <c r="R14" s="7">
        <f>$B14 * IFERROR(VLOOKUP("industry|SO2|Minor restricted activity days", US_national_yearly!$D:$AM, 26, FALSE) / VLOOKUP("industry|SO2|Minor restricted activity days", US_national_yearly!$D:$AM, 10, FALSE), 1)</f>
        <v>0.88705142666262582</v>
      </c>
      <c r="S14" s="7">
        <f>$B14 * IFERROR(VLOOKUP("industry|SO2|Minor restricted activity days", US_national_yearly!$D:$AM, 27, FALSE) / VLOOKUP("industry|SO2|Minor restricted activity days", US_national_yearly!$D:$AM, 10, FALSE), 1)</f>
        <v>0.89418599571882462</v>
      </c>
      <c r="T14" s="7">
        <f>$B14 * IFERROR(VLOOKUP("industry|SO2|Minor restricted activity days", US_national_yearly!$D:$AM, 28, FALSE) / VLOOKUP("industry|SO2|Minor restricted activity days", US_national_yearly!$D:$AM, 10, FALSE), 1)</f>
        <v>0.90132056477502365</v>
      </c>
      <c r="U14" s="7">
        <f>$B14 * IFERROR(VLOOKUP("industry|SO2|Minor restricted activity days", US_national_yearly!$D:$AM, 29, FALSE) / VLOOKUP("industry|SO2|Minor restricted activity days", US_national_yearly!$D:$AM, 10, FALSE), 1)</f>
        <v>0.90845513383122234</v>
      </c>
      <c r="V14" s="7">
        <f>$B14 * IFERROR(VLOOKUP("industry|SO2|Minor restricted activity days", US_national_yearly!$D:$AM, 30, FALSE) / VLOOKUP("industry|SO2|Minor restricted activity days", US_national_yearly!$D:$AM, 10, FALSE), 1)</f>
        <v>0.91558970288742136</v>
      </c>
      <c r="W14" s="7">
        <f>$B14 * IFERROR(VLOOKUP("industry|SO2|Minor restricted activity days", US_national_yearly!$D:$AM, 31, FALSE) / VLOOKUP("industry|SO2|Minor restricted activity days", US_national_yearly!$D:$AM, 10, FALSE), 1)</f>
        <v>0.92272427194362017</v>
      </c>
      <c r="X14" s="7">
        <f>$B14 * IFERROR(VLOOKUP("industry|SO2|Minor restricted activity days", US_national_yearly!$D:$AM, 32, FALSE) / VLOOKUP("industry|SO2|Minor restricted activity days", US_national_yearly!$D:$AM, 10, FALSE), 1)</f>
        <v>0.9289976422046291</v>
      </c>
      <c r="Y14" s="7">
        <f>$B14 * IFERROR(VLOOKUP("industry|SO2|Minor restricted activity days", US_national_yearly!$D:$AM, 33, FALSE) / VLOOKUP("industry|SO2|Minor restricted activity days", US_national_yearly!$D:$AM, 10, FALSE), 1)</f>
        <v>0.93527101246563782</v>
      </c>
      <c r="Z14" s="7">
        <f>$B14 * IFERROR(VLOOKUP("industry|SO2|Minor restricted activity days", US_national_yearly!$D:$AM, 34, FALSE) / VLOOKUP("industry|SO2|Minor restricted activity days", US_national_yearly!$D:$AM, 10, FALSE), 1)</f>
        <v>0.94154438272664664</v>
      </c>
      <c r="AA14" s="7">
        <f>$B14 * IFERROR(VLOOKUP("industry|SO2|Minor restricted activity days", US_national_yearly!$D:$AM, 35, FALSE) / VLOOKUP("industry|SO2|Minor restricted activity days", US_national_yearly!$D:$AM, 10, FALSE), 1)</f>
        <v>0.94781775298765547</v>
      </c>
      <c r="AB14" s="7">
        <f>$B14 * IFERROR(VLOOKUP("industry|SO2|Minor restricted activity days", US_national_yearly!$D:$AM, 36, FALSE) / VLOOKUP("industry|SO2|Minor restricted activity days", US_national_yearly!$D:$AM, 10, FALSE), 1)</f>
        <v>0.95409112324866441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0.13822175150602789</v>
      </c>
      <c r="C15" s="7">
        <f>$B15 * IFERROR(VLOOKUP("industry|SO2|Work loss days", US_national_yearly!$D:$AM, 11, FALSE) / VLOOKUP("industry|SO2|Work loss days", US_national_yearly!$D:$AM, 10, FALSE), 1)</f>
        <v>0.13866625704301033</v>
      </c>
      <c r="D15" s="7">
        <f>$B15 * IFERROR(VLOOKUP("industry|SO2|Work loss days", US_national_yearly!$D:$AM, 12, FALSE) / VLOOKUP("industry|SO2|Work loss days", US_national_yearly!$D:$AM, 10, FALSE), 1)</f>
        <v>0.13911076257999283</v>
      </c>
      <c r="E15" s="7">
        <f>$B15 * IFERROR(VLOOKUP("industry|SO2|Work loss days", US_national_yearly!$D:$AM, 13, FALSE) / VLOOKUP("industry|SO2|Work loss days", US_national_yearly!$D:$AM, 10, FALSE), 1)</f>
        <v>0.1395552681169753</v>
      </c>
      <c r="F15" s="7">
        <f>$B15 * IFERROR(VLOOKUP("industry|SO2|Work loss days", US_national_yearly!$D:$AM, 14, FALSE) / VLOOKUP("industry|SO2|Work loss days", US_national_yearly!$D:$AM, 10, FALSE), 1)</f>
        <v>0.1399997736539578</v>
      </c>
      <c r="G15" s="7">
        <f>$B15 * IFERROR(VLOOKUP("industry|SO2|Work loss days", US_national_yearly!$D:$AM, 15, FALSE) / VLOOKUP("industry|SO2|Work loss days", US_national_yearly!$D:$AM, 10, FALSE), 1)</f>
        <v>0.14057997350210005</v>
      </c>
      <c r="H15" s="7">
        <f>$B15 * IFERROR(VLOOKUP("industry|SO2|Work loss days", US_national_yearly!$D:$AM, 16, FALSE) / VLOOKUP("industry|SO2|Work loss days", US_national_yearly!$D:$AM, 10, FALSE), 1)</f>
        <v>0.14116017335024234</v>
      </c>
      <c r="I15" s="7">
        <f>$B15 * IFERROR(VLOOKUP("industry|SO2|Work loss days", US_national_yearly!$D:$AM, 17, FALSE) / VLOOKUP("industry|SO2|Work loss days", US_national_yearly!$D:$AM, 10, FALSE), 1)</f>
        <v>0.14200826203610786</v>
      </c>
      <c r="J15" s="7">
        <f>$B15 * IFERROR(VLOOKUP("industry|SO2|Work loss days", US_national_yearly!$D:$AM, 18, FALSE) / VLOOKUP("industry|SO2|Work loss days", US_national_yearly!$D:$AM, 10, FALSE), 1)</f>
        <v>0.14285635072197336</v>
      </c>
      <c r="K15" s="7">
        <f>$B15 * IFERROR(VLOOKUP("industry|SO2|Work loss days", US_national_yearly!$D:$AM, 19, FALSE) / VLOOKUP("industry|SO2|Work loss days", US_national_yearly!$D:$AM, 10, FALSE), 1)</f>
        <v>0.14370443940783886</v>
      </c>
      <c r="L15" s="7">
        <f>$B15 * IFERROR(VLOOKUP("industry|SO2|Work loss days", US_national_yearly!$D:$AM, 20, FALSE) / VLOOKUP("industry|SO2|Work loss days", US_national_yearly!$D:$AM, 10, FALSE), 1)</f>
        <v>0.14455252809370439</v>
      </c>
      <c r="M15" s="7">
        <f>$B15 * IFERROR(VLOOKUP("industry|SO2|Work loss days", US_national_yearly!$D:$AM, 21, FALSE) / VLOOKUP("industry|SO2|Work loss days", US_national_yearly!$D:$AM, 10, FALSE), 1)</f>
        <v>0.14540061677956989</v>
      </c>
      <c r="N15" s="7">
        <f>$B15 * IFERROR(VLOOKUP("industry|SO2|Work loss days", US_national_yearly!$D:$AM, 22, FALSE) / VLOOKUP("industry|SO2|Work loss days", US_national_yearly!$D:$AM, 10, FALSE), 1)</f>
        <v>0.1464665394026525</v>
      </c>
      <c r="O15" s="7">
        <f>$B15 * IFERROR(VLOOKUP("industry|SO2|Work loss days", US_national_yearly!$D:$AM, 23, FALSE) / VLOOKUP("industry|SO2|Work loss days", US_national_yearly!$D:$AM, 10, FALSE), 1)</f>
        <v>0.14753246202573508</v>
      </c>
      <c r="P15" s="7">
        <f>$B15 * IFERROR(VLOOKUP("industry|SO2|Work loss days", US_national_yearly!$D:$AM, 24, FALSE) / VLOOKUP("industry|SO2|Work loss days", US_national_yearly!$D:$AM, 10, FALSE), 1)</f>
        <v>0.14859838464881769</v>
      </c>
      <c r="Q15" s="7">
        <f>$B15 * IFERROR(VLOOKUP("industry|SO2|Work loss days", US_national_yearly!$D:$AM, 25, FALSE) / VLOOKUP("industry|SO2|Work loss days", US_national_yearly!$D:$AM, 10, FALSE), 1)</f>
        <v>0.14966430727190028</v>
      </c>
      <c r="R15" s="7">
        <f>$B15 * IFERROR(VLOOKUP("industry|SO2|Work loss days", US_national_yearly!$D:$AM, 26, FALSE) / VLOOKUP("industry|SO2|Work loss days", US_national_yearly!$D:$AM, 10, FALSE), 1)</f>
        <v>0.15073022989498289</v>
      </c>
      <c r="S15" s="7">
        <f>$B15 * IFERROR(VLOOKUP("industry|SO2|Work loss days", US_national_yearly!$D:$AM, 27, FALSE) / VLOOKUP("industry|SO2|Work loss days", US_national_yearly!$D:$AM, 10, FALSE), 1)</f>
        <v>0.15192295338074879</v>
      </c>
      <c r="T15" s="7">
        <f>$B15 * IFERROR(VLOOKUP("industry|SO2|Work loss days", US_national_yearly!$D:$AM, 28, FALSE) / VLOOKUP("industry|SO2|Work loss days", US_national_yearly!$D:$AM, 10, FALSE), 1)</f>
        <v>0.15311567686651473</v>
      </c>
      <c r="U15" s="7">
        <f>$B15 * IFERROR(VLOOKUP("industry|SO2|Work loss days", US_national_yearly!$D:$AM, 29, FALSE) / VLOOKUP("industry|SO2|Work loss days", US_national_yearly!$D:$AM, 10, FALSE), 1)</f>
        <v>0.15430840035228069</v>
      </c>
      <c r="V15" s="7">
        <f>$B15 * IFERROR(VLOOKUP("industry|SO2|Work loss days", US_national_yearly!$D:$AM, 30, FALSE) / VLOOKUP("industry|SO2|Work loss days", US_national_yearly!$D:$AM, 10, FALSE), 1)</f>
        <v>0.1555011238380466</v>
      </c>
      <c r="W15" s="7">
        <f>$B15 * IFERROR(VLOOKUP("industry|SO2|Work loss days", US_national_yearly!$D:$AM, 31, FALSE) / VLOOKUP("industry|SO2|Work loss days", US_national_yearly!$D:$AM, 10, FALSE), 1)</f>
        <v>0.15669384732381253</v>
      </c>
      <c r="X15" s="7">
        <f>$B15 * IFERROR(VLOOKUP("industry|SO2|Work loss days", US_national_yearly!$D:$AM, 32, FALSE) / VLOOKUP("industry|SO2|Work loss days", US_national_yearly!$D:$AM, 10, FALSE), 1)</f>
        <v>0.1577651192283531</v>
      </c>
      <c r="Y15" s="7">
        <f>$B15 * IFERROR(VLOOKUP("industry|SO2|Work loss days", US_national_yearly!$D:$AM, 33, FALSE) / VLOOKUP("industry|SO2|Work loss days", US_national_yearly!$D:$AM, 10, FALSE), 1)</f>
        <v>0.15883639113289369</v>
      </c>
      <c r="Z15" s="7">
        <f>$B15 * IFERROR(VLOOKUP("industry|SO2|Work loss days", US_national_yearly!$D:$AM, 34, FALSE) / VLOOKUP("industry|SO2|Work loss days", US_national_yearly!$D:$AM, 10, FALSE), 1)</f>
        <v>0.15990766303743423</v>
      </c>
      <c r="AA15" s="7">
        <f>$B15 * IFERROR(VLOOKUP("industry|SO2|Work loss days", US_national_yearly!$D:$AM, 35, FALSE) / VLOOKUP("industry|SO2|Work loss days", US_national_yearly!$D:$AM, 10, FALSE), 1)</f>
        <v>0.16097893494197482</v>
      </c>
      <c r="AB15" s="7">
        <f>$B15 * IFERROR(VLOOKUP("industry|SO2|Work loss days", US_national_yearly!$D:$AM, 36, FALSE) / VLOOKUP("industry|SO2|Work loss days", US_national_yearly!$D:$AM, 10, FALSE), 1)</f>
        <v>0.16205020684651539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2.1547239781368805E-4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2.2198767905005576E-4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2.2850296028642349E-4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2.3501824152279125E-4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2.4153352275915901E-4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2.477775121862252E-4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2.5402150161329138E-4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2.5937906318454946E-4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2.6473662475580753E-4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2.7009418632706567E-4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2.754517478983238E-4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2.8080930946958182E-4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2.8440880974936234E-4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2.880083100291429E-4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2.9160781030892336E-4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2.9520731058870387E-4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2.9880681086848443E-4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3.0071008706953391E-4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3.0261336327058351E-4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3.0451663947163305E-4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3.0641991567268264E-4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3.0832319187373212E-4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3.0961031121518593E-4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3.1089743055663969E-4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3.121845498980935E-4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3.1347166923954731E-4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3.1475878858100106E-4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4.158072289285735E-4</v>
      </c>
      <c r="C2" s="7">
        <f>$B2 * IFERROR(VLOOKUP("LULUCF|PM25|Premature mortality", US_national_yearly!$D:$AM, 11, FALSE) / VLOOKUP("LULUCF|PM25|Premature mortality", US_national_yearly!$D:$AM, 10, FALSE), 1)</f>
        <v>4.2096232733151122E-4</v>
      </c>
      <c r="D2" s="7">
        <f>$B2 * IFERROR(VLOOKUP("LULUCF|PM25|Premature mortality", US_national_yearly!$D:$AM, 12, FALSE) / VLOOKUP("LULUCF|PM25|Premature mortality", US_national_yearly!$D:$AM, 10, FALSE), 1)</f>
        <v>4.2611742573444883E-4</v>
      </c>
      <c r="E2" s="7">
        <f>$B2 * IFERROR(VLOOKUP("LULUCF|PM25|Premature mortality", US_national_yearly!$D:$AM, 13, FALSE) / VLOOKUP("LULUCF|PM25|Premature mortality", US_national_yearly!$D:$AM, 10, FALSE), 1)</f>
        <v>4.312725241373865E-4</v>
      </c>
      <c r="F2" s="7">
        <f>$B2 * IFERROR(VLOOKUP("LULUCF|PM25|Premature mortality", US_national_yearly!$D:$AM, 14, FALSE) / VLOOKUP("LULUCF|PM25|Premature mortality", US_national_yearly!$D:$AM, 10, FALSE), 1)</f>
        <v>4.3642762254032412E-4</v>
      </c>
      <c r="G2" s="7">
        <f>$B2 * IFERROR(VLOOKUP("LULUCF|PM25|Premature mortality", US_national_yearly!$D:$AM, 15, FALSE) / VLOOKUP("LULUCF|PM25|Premature mortality", US_national_yearly!$D:$AM, 10, FALSE), 1)</f>
        <v>4.464671378012134E-4</v>
      </c>
      <c r="H2" s="7">
        <f>$B2 * IFERROR(VLOOKUP("LULUCF|PM25|Premature mortality", US_national_yearly!$D:$AM, 16, FALSE) / VLOOKUP("LULUCF|PM25|Premature mortality", US_national_yearly!$D:$AM, 10, FALSE), 1)</f>
        <v>4.5650665306210268E-4</v>
      </c>
      <c r="I2" s="7">
        <f>$B2 * IFERROR(VLOOKUP("LULUCF|PM25|Premature mortality", US_national_yearly!$D:$AM, 17, FALSE) / VLOOKUP("LULUCF|PM25|Premature mortality", US_national_yearly!$D:$AM, 10, FALSE), 1)</f>
        <v>4.6310102930020934E-4</v>
      </c>
      <c r="J2" s="7">
        <f>$B2 * IFERROR(VLOOKUP("LULUCF|PM25|Premature mortality", US_national_yearly!$D:$AM, 18, FALSE) / VLOOKUP("LULUCF|PM25|Premature mortality", US_national_yearly!$D:$AM, 10, FALSE), 1)</f>
        <v>4.6969540553831615E-4</v>
      </c>
      <c r="K2" s="7">
        <f>$B2 * IFERROR(VLOOKUP("LULUCF|PM25|Premature mortality", US_national_yearly!$D:$AM, 19, FALSE) / VLOOKUP("LULUCF|PM25|Premature mortality", US_national_yearly!$D:$AM, 10, FALSE), 1)</f>
        <v>4.7628978177642291E-4</v>
      </c>
      <c r="L2" s="7">
        <f>$B2 * IFERROR(VLOOKUP("LULUCF|PM25|Premature mortality", US_national_yearly!$D:$AM, 20, FALSE) / VLOOKUP("LULUCF|PM25|Premature mortality", US_national_yearly!$D:$AM, 10, FALSE), 1)</f>
        <v>4.8288415801452973E-4</v>
      </c>
      <c r="M2" s="7">
        <f>$B2 * IFERROR(VLOOKUP("LULUCF|PM25|Premature mortality", US_national_yearly!$D:$AM, 21, FALSE) / VLOOKUP("LULUCF|PM25|Premature mortality", US_national_yearly!$D:$AM, 10, FALSE), 1)</f>
        <v>4.8947853425263649E-4</v>
      </c>
      <c r="N2" s="7">
        <f>$B2 * IFERROR(VLOOKUP("LULUCF|PM25|Premature mortality", US_national_yearly!$D:$AM, 22, FALSE) / VLOOKUP("LULUCF|PM25|Premature mortality", US_national_yearly!$D:$AM, 10, FALSE), 1)</f>
        <v>4.9459864770878522E-4</v>
      </c>
      <c r="O2" s="7">
        <f>$B2 * IFERROR(VLOOKUP("LULUCF|PM25|Premature mortality", US_national_yearly!$D:$AM, 23, FALSE) / VLOOKUP("LULUCF|PM25|Premature mortality", US_national_yearly!$D:$AM, 10, FALSE), 1)</f>
        <v>4.9971876116493383E-4</v>
      </c>
      <c r="P2" s="7">
        <f>$B2 * IFERROR(VLOOKUP("LULUCF|PM25|Premature mortality", US_national_yearly!$D:$AM, 24, FALSE) / VLOOKUP("LULUCF|PM25|Premature mortality", US_national_yearly!$D:$AM, 10, FALSE), 1)</f>
        <v>5.0483887462108256E-4</v>
      </c>
      <c r="Q2" s="7">
        <f>$B2 * IFERROR(VLOOKUP("LULUCF|PM25|Premature mortality", US_national_yearly!$D:$AM, 25, FALSE) / VLOOKUP("LULUCF|PM25|Premature mortality", US_national_yearly!$D:$AM, 10, FALSE), 1)</f>
        <v>5.0995898807723128E-4</v>
      </c>
      <c r="R2" s="7">
        <f>$B2 * IFERROR(VLOOKUP("LULUCF|PM25|Premature mortality", US_national_yearly!$D:$AM, 26, FALSE) / VLOOKUP("LULUCF|PM25|Premature mortality", US_national_yearly!$D:$AM, 10, FALSE), 1)</f>
        <v>5.1507910153338011E-4</v>
      </c>
      <c r="S2" s="7">
        <f>$B2 * IFERROR(VLOOKUP("LULUCF|PM25|Premature mortality", US_national_yearly!$D:$AM, 27, FALSE) / VLOOKUP("LULUCF|PM25|Premature mortality", US_national_yearly!$D:$AM, 10, FALSE), 1)</f>
        <v>5.1779158551880659E-4</v>
      </c>
      <c r="T2" s="7">
        <f>$B2 * IFERROR(VLOOKUP("LULUCF|PM25|Premature mortality", US_national_yearly!$D:$AM, 28, FALSE) / VLOOKUP("LULUCF|PM25|Premature mortality", US_national_yearly!$D:$AM, 10, FALSE), 1)</f>
        <v>5.2050406950423286E-4</v>
      </c>
      <c r="U2" s="7">
        <f>$B2 * IFERROR(VLOOKUP("LULUCF|PM25|Premature mortality", US_national_yearly!$D:$AM, 29, FALSE) / VLOOKUP("LULUCF|PM25|Premature mortality", US_national_yearly!$D:$AM, 10, FALSE), 1)</f>
        <v>5.2321655348965923E-4</v>
      </c>
      <c r="V2" s="7">
        <f>$B2 * IFERROR(VLOOKUP("LULUCF|PM25|Premature mortality", US_national_yearly!$D:$AM, 30, FALSE) / VLOOKUP("LULUCF|PM25|Premature mortality", US_national_yearly!$D:$AM, 10, FALSE), 1)</f>
        <v>5.259290374750856E-4</v>
      </c>
      <c r="W2" s="7">
        <f>$B2 * IFERROR(VLOOKUP("LULUCF|PM25|Premature mortality", US_national_yearly!$D:$AM, 31, FALSE) / VLOOKUP("LULUCF|PM25|Premature mortality", US_national_yearly!$D:$AM, 10, FALSE), 1)</f>
        <v>5.2864152146051197E-4</v>
      </c>
      <c r="X2" s="7">
        <f>$B2 * IFERROR(VLOOKUP("LULUCF|PM25|Premature mortality", US_national_yearly!$D:$AM, 32, FALSE) / VLOOKUP("LULUCF|PM25|Premature mortality", US_national_yearly!$D:$AM, 10, FALSE), 1)</f>
        <v>5.2911582026788089E-4</v>
      </c>
      <c r="Y2" s="7">
        <f>$B2 * IFERROR(VLOOKUP("LULUCF|PM25|Premature mortality", US_national_yearly!$D:$AM, 33, FALSE) / VLOOKUP("LULUCF|PM25|Premature mortality", US_national_yearly!$D:$AM, 10, FALSE), 1)</f>
        <v>5.2959011907525002E-4</v>
      </c>
      <c r="Z2" s="7">
        <f>$B2 * IFERROR(VLOOKUP("LULUCF|PM25|Premature mortality", US_national_yearly!$D:$AM, 34, FALSE) / VLOOKUP("LULUCF|PM25|Premature mortality", US_national_yearly!$D:$AM, 10, FALSE), 1)</f>
        <v>5.3006441788261893E-4</v>
      </c>
      <c r="AA2" s="7">
        <f>$B2 * IFERROR(VLOOKUP("LULUCF|PM25|Premature mortality", US_national_yearly!$D:$AM, 35, FALSE) / VLOOKUP("LULUCF|PM25|Premature mortality", US_national_yearly!$D:$AM, 10, FALSE), 1)</f>
        <v>5.3053871668998806E-4</v>
      </c>
      <c r="AB2" s="7">
        <f>$B2 * IFERROR(VLOOKUP("LULUCF|PM25|Premature mortality", US_national_yearly!$D:$AM, 36, FALSE) / VLOOKUP("LULUCF|PM25|Premature mortality", US_national_yearly!$D:$AM, 10, FALSE), 1)</f>
        <v>5.3101301549735697E-4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1.1242588699043781E-6</v>
      </c>
      <c r="C3" s="7">
        <f>$B3 * IFERROR(VLOOKUP("LULUCF|PM25|Infant mortality", US_national_yearly!$D:$AM, 11, FALSE) / VLOOKUP("LULUCF|PM25|Infant mortality", US_national_yearly!$D:$AM, 10, FALSE), 1)</f>
        <v>1.1144563584523431E-6</v>
      </c>
      <c r="D3" s="7">
        <f>$B3 * IFERROR(VLOOKUP("LULUCF|PM25|Infant mortality", US_national_yearly!$D:$AM, 12, FALSE) / VLOOKUP("LULUCF|PM25|Infant mortality", US_national_yearly!$D:$AM, 10, FALSE), 1)</f>
        <v>1.1046538470003081E-6</v>
      </c>
      <c r="E3" s="7">
        <f>$B3 * IFERROR(VLOOKUP("LULUCF|PM25|Infant mortality", US_national_yearly!$D:$AM, 13, FALSE) / VLOOKUP("LULUCF|PM25|Infant mortality", US_national_yearly!$D:$AM, 10, FALSE), 1)</f>
        <v>1.0948513355482731E-6</v>
      </c>
      <c r="F3" s="7">
        <f>$B3 * IFERROR(VLOOKUP("LULUCF|PM25|Infant mortality", US_national_yearly!$D:$AM, 14, FALSE) / VLOOKUP("LULUCF|PM25|Infant mortality", US_national_yearly!$D:$AM, 10, FALSE), 1)</f>
        <v>1.0850488240962376E-6</v>
      </c>
      <c r="G3" s="7">
        <f>$B3 * IFERROR(VLOOKUP("LULUCF|PM25|Infant mortality", US_national_yearly!$D:$AM, 15, FALSE) / VLOOKUP("LULUCF|PM25|Infant mortality", US_national_yearly!$D:$AM, 10, FALSE), 1)</f>
        <v>7.2161550940804556E-7</v>
      </c>
      <c r="H3" s="7">
        <f>$B3 * IFERROR(VLOOKUP("LULUCF|PM25|Infant mortality", US_national_yearly!$D:$AM, 16, FALSE) / VLOOKUP("LULUCF|PM25|Infant mortality", US_national_yearly!$D:$AM, 10, FALSE), 1)</f>
        <v>3.5818219471985319E-7</v>
      </c>
      <c r="I3" s="7">
        <f>$B3 * IFERROR(VLOOKUP("LULUCF|PM25|Infant mortality", US_national_yearly!$D:$AM, 17, FALSE) / VLOOKUP("LULUCF|PM25|Infant mortality", US_national_yearly!$D:$AM, 10, FALSE), 1)</f>
        <v>3.5584088241313795E-7</v>
      </c>
      <c r="J3" s="7">
        <f>$B3 * IFERROR(VLOOKUP("LULUCF|PM25|Infant mortality", US_national_yearly!$D:$AM, 18, FALSE) / VLOOKUP("LULUCF|PM25|Infant mortality", US_national_yearly!$D:$AM, 10, FALSE), 1)</f>
        <v>3.5349957010642266E-7</v>
      </c>
      <c r="K3" s="7">
        <f>$B3 * IFERROR(VLOOKUP("LULUCF|PM25|Infant mortality", US_national_yearly!$D:$AM, 19, FALSE) / VLOOKUP("LULUCF|PM25|Infant mortality", US_national_yearly!$D:$AM, 10, FALSE), 1)</f>
        <v>3.5115825779970732E-7</v>
      </c>
      <c r="L3" s="7">
        <f>$B3 * IFERROR(VLOOKUP("LULUCF|PM25|Infant mortality", US_national_yearly!$D:$AM, 20, FALSE) / VLOOKUP("LULUCF|PM25|Infant mortality", US_national_yearly!$D:$AM, 10, FALSE), 1)</f>
        <v>3.4881694549299208E-7</v>
      </c>
      <c r="M3" s="7">
        <f>$B3 * IFERROR(VLOOKUP("LULUCF|PM25|Infant mortality", US_national_yearly!$D:$AM, 21, FALSE) / VLOOKUP("LULUCF|PM25|Infant mortality", US_national_yearly!$D:$AM, 10, FALSE), 1)</f>
        <v>3.4647563318627679E-7</v>
      </c>
      <c r="N3" s="7">
        <f>$B3 * IFERROR(VLOOKUP("LULUCF|PM25|Infant mortality", US_national_yearly!$D:$AM, 22, FALSE) / VLOOKUP("LULUCF|PM25|Infant mortality", US_national_yearly!$D:$AM, 10, FALSE), 1)</f>
        <v>3.4500502984907177E-7</v>
      </c>
      <c r="O3" s="7">
        <f>$B3 * IFERROR(VLOOKUP("LULUCF|PM25|Infant mortality", US_national_yearly!$D:$AM, 23, FALSE) / VLOOKUP("LULUCF|PM25|Infant mortality", US_national_yearly!$D:$AM, 10, FALSE), 1)</f>
        <v>3.435344265118668E-7</v>
      </c>
      <c r="P3" s="7">
        <f>$B3 * IFERROR(VLOOKUP("LULUCF|PM25|Infant mortality", US_national_yearly!$D:$AM, 24, FALSE) / VLOOKUP("LULUCF|PM25|Infant mortality", US_national_yearly!$D:$AM, 10, FALSE), 1)</f>
        <v>3.4206382317466172E-7</v>
      </c>
      <c r="Q3" s="7">
        <f>$B3 * IFERROR(VLOOKUP("LULUCF|PM25|Infant mortality", US_national_yearly!$D:$AM, 25, FALSE) / VLOOKUP("LULUCF|PM25|Infant mortality", US_national_yearly!$D:$AM, 10, FALSE), 1)</f>
        <v>3.4059321983745675E-7</v>
      </c>
      <c r="R3" s="7">
        <f>$B3 * IFERROR(VLOOKUP("LULUCF|PM25|Infant mortality", US_national_yearly!$D:$AM, 26, FALSE) / VLOOKUP("LULUCF|PM25|Infant mortality", US_national_yearly!$D:$AM, 10, FALSE), 1)</f>
        <v>3.3912261650025172E-7</v>
      </c>
      <c r="S3" s="7">
        <f>$B3 * IFERROR(VLOOKUP("LULUCF|PM25|Infant mortality", US_national_yearly!$D:$AM, 27, FALSE) / VLOOKUP("LULUCF|PM25|Infant mortality", US_national_yearly!$D:$AM, 10, FALSE), 1)</f>
        <v>3.3728947937158948E-7</v>
      </c>
      <c r="T3" s="7">
        <f>$B3 * IFERROR(VLOOKUP("LULUCF|PM25|Infant mortality", US_national_yearly!$D:$AM, 28, FALSE) / VLOOKUP("LULUCF|PM25|Infant mortality", US_national_yearly!$D:$AM, 10, FALSE), 1)</f>
        <v>3.3545634224292718E-7</v>
      </c>
      <c r="U3" s="7">
        <f>$B3 * IFERROR(VLOOKUP("LULUCF|PM25|Infant mortality", US_national_yearly!$D:$AM, 29, FALSE) / VLOOKUP("LULUCF|PM25|Infant mortality", US_national_yearly!$D:$AM, 10, FALSE), 1)</f>
        <v>3.3362320511426493E-7</v>
      </c>
      <c r="V3" s="7">
        <f>$B3 * IFERROR(VLOOKUP("LULUCF|PM25|Infant mortality", US_national_yearly!$D:$AM, 30, FALSE) / VLOOKUP("LULUCF|PM25|Infant mortality", US_national_yearly!$D:$AM, 10, FALSE), 1)</f>
        <v>3.3179006798560268E-7</v>
      </c>
      <c r="W3" s="7">
        <f>$B3 * IFERROR(VLOOKUP("LULUCF|PM25|Infant mortality", US_national_yearly!$D:$AM, 31, FALSE) / VLOOKUP("LULUCF|PM25|Infant mortality", US_national_yearly!$D:$AM, 10, FALSE), 1)</f>
        <v>3.2995693085694038E-7</v>
      </c>
      <c r="X3" s="7">
        <f>$B3 * IFERROR(VLOOKUP("LULUCF|PM25|Infant mortality", US_national_yearly!$D:$AM, 32, FALSE) / VLOOKUP("LULUCF|PM25|Infant mortality", US_national_yearly!$D:$AM, 10, FALSE), 1)</f>
        <v>3.2798057863107727E-7</v>
      </c>
      <c r="Y3" s="7">
        <f>$B3 * IFERROR(VLOOKUP("LULUCF|PM25|Infant mortality", US_national_yearly!$D:$AM, 33, FALSE) / VLOOKUP("LULUCF|PM25|Infant mortality", US_national_yearly!$D:$AM, 10, FALSE), 1)</f>
        <v>3.2600422640521406E-7</v>
      </c>
      <c r="Z3" s="7">
        <f>$B3 * IFERROR(VLOOKUP("LULUCF|PM25|Infant mortality", US_national_yearly!$D:$AM, 34, FALSE) / VLOOKUP("LULUCF|PM25|Infant mortality", US_national_yearly!$D:$AM, 10, FALSE), 1)</f>
        <v>3.240278741793509E-7</v>
      </c>
      <c r="AA3" s="7">
        <f>$B3 * IFERROR(VLOOKUP("LULUCF|PM25|Infant mortality", US_national_yearly!$D:$AM, 35, FALSE) / VLOOKUP("LULUCF|PM25|Infant mortality", US_national_yearly!$D:$AM, 10, FALSE), 1)</f>
        <v>3.2205152195348774E-7</v>
      </c>
      <c r="AB3" s="7">
        <f>$B3 * IFERROR(VLOOKUP("LULUCF|PM25|Infant mortality", US_national_yearly!$D:$AM, 36, FALSE) / VLOOKUP("LULUCF|PM25|Infant mortality", US_national_yearly!$D:$AM, 10, FALSE), 1)</f>
        <v>3.2007516972762464E-7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1.1308286942836149E-3</v>
      </c>
      <c r="C6" s="7">
        <f>$B6 * IFERROR(VLOOKUP("LULUCF|PM25|Asthma symptoms cough", US_national_yearly!$D:$AM, 11, FALSE) / VLOOKUP("LULUCF|PM25|Asthma symptoms cough", US_national_yearly!$D:$AM, 10, FALSE), 1)</f>
        <v>1.1308286942836149E-3</v>
      </c>
      <c r="D6" s="7">
        <f>$B6 * IFERROR(VLOOKUP("LULUCF|PM25|Asthma symptoms cough", US_national_yearly!$D:$AM, 12, FALSE) / VLOOKUP("LULUCF|PM25|Asthma symptoms cough", US_national_yearly!$D:$AM, 10, FALSE), 1)</f>
        <v>1.1308286942836149E-3</v>
      </c>
      <c r="E6" s="7">
        <f>$B6 * IFERROR(VLOOKUP("LULUCF|PM25|Asthma symptoms cough", US_national_yearly!$D:$AM, 13, FALSE) / VLOOKUP("LULUCF|PM25|Asthma symptoms cough", US_national_yearly!$D:$AM, 10, FALSE), 1)</f>
        <v>1.1308286942836149E-3</v>
      </c>
      <c r="F6" s="7">
        <f>$B6 * IFERROR(VLOOKUP("LULUCF|PM25|Asthma symptoms cough", US_national_yearly!$D:$AM, 14, FALSE) / VLOOKUP("LULUCF|PM25|Asthma symptoms cough", US_national_yearly!$D:$AM, 10, FALSE), 1)</f>
        <v>1.1308286942836149E-3</v>
      </c>
      <c r="G6" s="7">
        <f>$B6 * IFERROR(VLOOKUP("LULUCF|PM25|Asthma symptoms cough", US_national_yearly!$D:$AM, 15, FALSE) / VLOOKUP("LULUCF|PM25|Asthma symptoms cough", US_national_yearly!$D:$AM, 10, FALSE), 1)</f>
        <v>1.1308286942836149E-3</v>
      </c>
      <c r="H6" s="7">
        <f>$B6 * IFERROR(VLOOKUP("LULUCF|PM25|Asthma symptoms cough", US_national_yearly!$D:$AM, 16, FALSE) / VLOOKUP("LULUCF|PM25|Asthma symptoms cough", US_national_yearly!$D:$AM, 10, FALSE), 1)</f>
        <v>1.1308286942836149E-3</v>
      </c>
      <c r="I6" s="7">
        <f>$B6 * IFERROR(VLOOKUP("LULUCF|PM25|Asthma symptoms cough", US_national_yearly!$D:$AM, 17, FALSE) / VLOOKUP("LULUCF|PM25|Asthma symptoms cough", US_national_yearly!$D:$AM, 10, FALSE), 1)</f>
        <v>1.1308286942836149E-3</v>
      </c>
      <c r="J6" s="7">
        <f>$B6 * IFERROR(VLOOKUP("LULUCF|PM25|Asthma symptoms cough", US_national_yearly!$D:$AM, 18, FALSE) / VLOOKUP("LULUCF|PM25|Asthma symptoms cough", US_national_yearly!$D:$AM, 10, FALSE), 1)</f>
        <v>1.1308286942836149E-3</v>
      </c>
      <c r="K6" s="7">
        <f>$B6 * IFERROR(VLOOKUP("LULUCF|PM25|Asthma symptoms cough", US_national_yearly!$D:$AM, 19, FALSE) / VLOOKUP("LULUCF|PM25|Asthma symptoms cough", US_national_yearly!$D:$AM, 10, FALSE), 1)</f>
        <v>1.1308286942836149E-3</v>
      </c>
      <c r="L6" s="7">
        <f>$B6 * IFERROR(VLOOKUP("LULUCF|PM25|Asthma symptoms cough", US_national_yearly!$D:$AM, 20, FALSE) / VLOOKUP("LULUCF|PM25|Asthma symptoms cough", US_national_yearly!$D:$AM, 10, FALSE), 1)</f>
        <v>1.1308286942836149E-3</v>
      </c>
      <c r="M6" s="7">
        <f>$B6 * IFERROR(VLOOKUP("LULUCF|PM25|Asthma symptoms cough", US_national_yearly!$D:$AM, 21, FALSE) / VLOOKUP("LULUCF|PM25|Asthma symptoms cough", US_national_yearly!$D:$AM, 10, FALSE), 1)</f>
        <v>1.1308286942836149E-3</v>
      </c>
      <c r="N6" s="7">
        <f>$B6 * IFERROR(VLOOKUP("LULUCF|PM25|Asthma symptoms cough", US_national_yearly!$D:$AM, 22, FALSE) / VLOOKUP("LULUCF|PM25|Asthma symptoms cough", US_national_yearly!$D:$AM, 10, FALSE), 1)</f>
        <v>1.1308286942836149E-3</v>
      </c>
      <c r="O6" s="7">
        <f>$B6 * IFERROR(VLOOKUP("LULUCF|PM25|Asthma symptoms cough", US_national_yearly!$D:$AM, 23, FALSE) / VLOOKUP("LULUCF|PM25|Asthma symptoms cough", US_national_yearly!$D:$AM, 10, FALSE), 1)</f>
        <v>1.1308286942836149E-3</v>
      </c>
      <c r="P6" s="7">
        <f>$B6 * IFERROR(VLOOKUP("LULUCF|PM25|Asthma symptoms cough", US_national_yearly!$D:$AM, 24, FALSE) / VLOOKUP("LULUCF|PM25|Asthma symptoms cough", US_national_yearly!$D:$AM, 10, FALSE), 1)</f>
        <v>1.1308286942836149E-3</v>
      </c>
      <c r="Q6" s="7">
        <f>$B6 * IFERROR(VLOOKUP("LULUCF|PM25|Asthma symptoms cough", US_national_yearly!$D:$AM, 25, FALSE) / VLOOKUP("LULUCF|PM25|Asthma symptoms cough", US_national_yearly!$D:$AM, 10, FALSE), 1)</f>
        <v>1.1308286942836149E-3</v>
      </c>
      <c r="R6" s="7">
        <f>$B6 * IFERROR(VLOOKUP("LULUCF|PM25|Asthma symptoms cough", US_national_yearly!$D:$AM, 26, FALSE) / VLOOKUP("LULUCF|PM25|Asthma symptoms cough", US_national_yearly!$D:$AM, 10, FALSE), 1)</f>
        <v>1.1308286942836149E-3</v>
      </c>
      <c r="S6" s="7">
        <f>$B6 * IFERROR(VLOOKUP("LULUCF|PM25|Asthma symptoms cough", US_national_yearly!$D:$AM, 27, FALSE) / VLOOKUP("LULUCF|PM25|Asthma symptoms cough", US_national_yearly!$D:$AM, 10, FALSE), 1)</f>
        <v>1.1308286942836149E-3</v>
      </c>
      <c r="T6" s="7">
        <f>$B6 * IFERROR(VLOOKUP("LULUCF|PM25|Asthma symptoms cough", US_national_yearly!$D:$AM, 28, FALSE) / VLOOKUP("LULUCF|PM25|Asthma symptoms cough", US_national_yearly!$D:$AM, 10, FALSE), 1)</f>
        <v>1.1308286942836149E-3</v>
      </c>
      <c r="U6" s="7">
        <f>$B6 * IFERROR(VLOOKUP("LULUCF|PM25|Asthma symptoms cough", US_national_yearly!$D:$AM, 29, FALSE) / VLOOKUP("LULUCF|PM25|Asthma symptoms cough", US_national_yearly!$D:$AM, 10, FALSE), 1)</f>
        <v>1.1308286942836149E-3</v>
      </c>
      <c r="V6" s="7">
        <f>$B6 * IFERROR(VLOOKUP("LULUCF|PM25|Asthma symptoms cough", US_national_yearly!$D:$AM, 30, FALSE) / VLOOKUP("LULUCF|PM25|Asthma symptoms cough", US_national_yearly!$D:$AM, 10, FALSE), 1)</f>
        <v>1.1308286942836149E-3</v>
      </c>
      <c r="W6" s="7">
        <f>$B6 * IFERROR(VLOOKUP("LULUCF|PM25|Asthma symptoms cough", US_national_yearly!$D:$AM, 31, FALSE) / VLOOKUP("LULUCF|PM25|Asthma symptoms cough", US_national_yearly!$D:$AM, 10, FALSE), 1)</f>
        <v>1.1308286942836149E-3</v>
      </c>
      <c r="X6" s="7">
        <f>$B6 * IFERROR(VLOOKUP("LULUCF|PM25|Asthma symptoms cough", US_national_yearly!$D:$AM, 32, FALSE) / VLOOKUP("LULUCF|PM25|Asthma symptoms cough", US_national_yearly!$D:$AM, 10, FALSE), 1)</f>
        <v>1.1308286942836149E-3</v>
      </c>
      <c r="Y6" s="7">
        <f>$B6 * IFERROR(VLOOKUP("LULUCF|PM25|Asthma symptoms cough", US_national_yearly!$D:$AM, 33, FALSE) / VLOOKUP("LULUCF|PM25|Asthma symptoms cough", US_national_yearly!$D:$AM, 10, FALSE), 1)</f>
        <v>1.1308286942836149E-3</v>
      </c>
      <c r="Z6" s="7">
        <f>$B6 * IFERROR(VLOOKUP("LULUCF|PM25|Asthma symptoms cough", US_national_yearly!$D:$AM, 34, FALSE) / VLOOKUP("LULUCF|PM25|Asthma symptoms cough", US_national_yearly!$D:$AM, 10, FALSE), 1)</f>
        <v>1.1308286942836149E-3</v>
      </c>
      <c r="AA6" s="7">
        <f>$B6 * IFERROR(VLOOKUP("LULUCF|PM25|Asthma symptoms cough", US_national_yearly!$D:$AM, 35, FALSE) / VLOOKUP("LULUCF|PM25|Asthma symptoms cough", US_national_yearly!$D:$AM, 10, FALSE), 1)</f>
        <v>1.1308286942836149E-3</v>
      </c>
      <c r="AB6" s="7">
        <f>$B6 * IFERROR(VLOOKUP("LULUCF|PM25|Asthma symptoms cough", US_national_yearly!$D:$AM, 36, FALSE) / VLOOKUP("LULUCF|PM25|Asthma symptoms cough", US_national_yearly!$D:$AM, 10, FALSE), 1)</f>
        <v>1.1308286942836149E-3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1.5228252644319633E-3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1.5228252644319633E-3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1.5228252644319633E-3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1.5228252644319633E-3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1.5228252644319633E-3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1.5228252644319633E-3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1.5228252644319633E-3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1.5228252644319633E-3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1.5228252644319633E-3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1.5228252644319633E-3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1.5228252644319633E-3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1.5228252644319633E-3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1.5228252644319633E-3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1.5228252644319633E-3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1.5228252644319633E-3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1.5228252644319633E-3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1.5228252644319633E-3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1.5228252644319633E-3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1.5228252644319633E-3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1.5228252644319633E-3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1.5228252644319633E-3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1.5228252644319633E-3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1.5228252644319633E-3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1.5228252644319633E-3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1.5228252644319633E-3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1.5228252644319633E-3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1.5228252644319633E-3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2.3266177131411703E-3</v>
      </c>
      <c r="C8" s="7">
        <f>$B8 * IFERROR(VLOOKUP("LULUCF|PM25|Asthma symptoms wheeze", US_national_yearly!$D:$AM, 11, FALSE) / VLOOKUP("LULUCF|PM25|Asthma symptoms wheeze", US_national_yearly!$D:$AM, 10, FALSE), 1)</f>
        <v>2.3266177131411703E-3</v>
      </c>
      <c r="D8" s="7">
        <f>$B8 * IFERROR(VLOOKUP("LULUCF|PM25|Asthma symptoms wheeze", US_national_yearly!$D:$AM, 12, FALSE) / VLOOKUP("LULUCF|PM25|Asthma symptoms wheeze", US_national_yearly!$D:$AM, 10, FALSE), 1)</f>
        <v>2.3266177131411703E-3</v>
      </c>
      <c r="E8" s="7">
        <f>$B8 * IFERROR(VLOOKUP("LULUCF|PM25|Asthma symptoms wheeze", US_national_yearly!$D:$AM, 13, FALSE) / VLOOKUP("LULUCF|PM25|Asthma symptoms wheeze", US_national_yearly!$D:$AM, 10, FALSE), 1)</f>
        <v>2.3266177131411703E-3</v>
      </c>
      <c r="F8" s="7">
        <f>$B8 * IFERROR(VLOOKUP("LULUCF|PM25|Asthma symptoms wheeze", US_national_yearly!$D:$AM, 14, FALSE) / VLOOKUP("LULUCF|PM25|Asthma symptoms wheeze", US_national_yearly!$D:$AM, 10, FALSE), 1)</f>
        <v>2.3266177131411703E-3</v>
      </c>
      <c r="G8" s="7">
        <f>$B8 * IFERROR(VLOOKUP("LULUCF|PM25|Asthma symptoms wheeze", US_national_yearly!$D:$AM, 15, FALSE) / VLOOKUP("LULUCF|PM25|Asthma symptoms wheeze", US_national_yearly!$D:$AM, 10, FALSE), 1)</f>
        <v>2.3266177131411703E-3</v>
      </c>
      <c r="H8" s="7">
        <f>$B8 * IFERROR(VLOOKUP("LULUCF|PM25|Asthma symptoms wheeze", US_national_yearly!$D:$AM, 16, FALSE) / VLOOKUP("LULUCF|PM25|Asthma symptoms wheeze", US_national_yearly!$D:$AM, 10, FALSE), 1)</f>
        <v>2.3266177131411703E-3</v>
      </c>
      <c r="I8" s="7">
        <f>$B8 * IFERROR(VLOOKUP("LULUCF|PM25|Asthma symptoms wheeze", US_national_yearly!$D:$AM, 17, FALSE) / VLOOKUP("LULUCF|PM25|Asthma symptoms wheeze", US_national_yearly!$D:$AM, 10, FALSE), 1)</f>
        <v>2.3266177131411703E-3</v>
      </c>
      <c r="J8" s="7">
        <f>$B8 * IFERROR(VLOOKUP("LULUCF|PM25|Asthma symptoms wheeze", US_national_yearly!$D:$AM, 18, FALSE) / VLOOKUP("LULUCF|PM25|Asthma symptoms wheeze", US_national_yearly!$D:$AM, 10, FALSE), 1)</f>
        <v>2.3266177131411703E-3</v>
      </c>
      <c r="K8" s="7">
        <f>$B8 * IFERROR(VLOOKUP("LULUCF|PM25|Asthma symptoms wheeze", US_national_yearly!$D:$AM, 19, FALSE) / VLOOKUP("LULUCF|PM25|Asthma symptoms wheeze", US_national_yearly!$D:$AM, 10, FALSE), 1)</f>
        <v>2.3266177131411703E-3</v>
      </c>
      <c r="L8" s="7">
        <f>$B8 * IFERROR(VLOOKUP("LULUCF|PM25|Asthma symptoms wheeze", US_national_yearly!$D:$AM, 20, FALSE) / VLOOKUP("LULUCF|PM25|Asthma symptoms wheeze", US_national_yearly!$D:$AM, 10, FALSE), 1)</f>
        <v>2.3266177131411703E-3</v>
      </c>
      <c r="M8" s="7">
        <f>$B8 * IFERROR(VLOOKUP("LULUCF|PM25|Asthma symptoms wheeze", US_national_yearly!$D:$AM, 21, FALSE) / VLOOKUP("LULUCF|PM25|Asthma symptoms wheeze", US_national_yearly!$D:$AM, 10, FALSE), 1)</f>
        <v>2.3266177131411703E-3</v>
      </c>
      <c r="N8" s="7">
        <f>$B8 * IFERROR(VLOOKUP("LULUCF|PM25|Asthma symptoms wheeze", US_national_yearly!$D:$AM, 22, FALSE) / VLOOKUP("LULUCF|PM25|Asthma symptoms wheeze", US_national_yearly!$D:$AM, 10, FALSE), 1)</f>
        <v>2.3266177131411703E-3</v>
      </c>
      <c r="O8" s="7">
        <f>$B8 * IFERROR(VLOOKUP("LULUCF|PM25|Asthma symptoms wheeze", US_national_yearly!$D:$AM, 23, FALSE) / VLOOKUP("LULUCF|PM25|Asthma symptoms wheeze", US_national_yearly!$D:$AM, 10, FALSE), 1)</f>
        <v>2.3266177131411703E-3</v>
      </c>
      <c r="P8" s="7">
        <f>$B8 * IFERROR(VLOOKUP("LULUCF|PM25|Asthma symptoms wheeze", US_national_yearly!$D:$AM, 24, FALSE) / VLOOKUP("LULUCF|PM25|Asthma symptoms wheeze", US_national_yearly!$D:$AM, 10, FALSE), 1)</f>
        <v>2.3266177131411703E-3</v>
      </c>
      <c r="Q8" s="7">
        <f>$B8 * IFERROR(VLOOKUP("LULUCF|PM25|Asthma symptoms wheeze", US_national_yearly!$D:$AM, 25, FALSE) / VLOOKUP("LULUCF|PM25|Asthma symptoms wheeze", US_national_yearly!$D:$AM, 10, FALSE), 1)</f>
        <v>2.3266177131411703E-3</v>
      </c>
      <c r="R8" s="7">
        <f>$B8 * IFERROR(VLOOKUP("LULUCF|PM25|Asthma symptoms wheeze", US_national_yearly!$D:$AM, 26, FALSE) / VLOOKUP("LULUCF|PM25|Asthma symptoms wheeze", US_national_yearly!$D:$AM, 10, FALSE), 1)</f>
        <v>2.3266177131411703E-3</v>
      </c>
      <c r="S8" s="7">
        <f>$B8 * IFERROR(VLOOKUP("LULUCF|PM25|Asthma symptoms wheeze", US_national_yearly!$D:$AM, 27, FALSE) / VLOOKUP("LULUCF|PM25|Asthma symptoms wheeze", US_national_yearly!$D:$AM, 10, FALSE), 1)</f>
        <v>2.3266177131411703E-3</v>
      </c>
      <c r="T8" s="7">
        <f>$B8 * IFERROR(VLOOKUP("LULUCF|PM25|Asthma symptoms wheeze", US_national_yearly!$D:$AM, 28, FALSE) / VLOOKUP("LULUCF|PM25|Asthma symptoms wheeze", US_national_yearly!$D:$AM, 10, FALSE), 1)</f>
        <v>2.3266177131411703E-3</v>
      </c>
      <c r="U8" s="7">
        <f>$B8 * IFERROR(VLOOKUP("LULUCF|PM25|Asthma symptoms wheeze", US_national_yearly!$D:$AM, 29, FALSE) / VLOOKUP("LULUCF|PM25|Asthma symptoms wheeze", US_national_yearly!$D:$AM, 10, FALSE), 1)</f>
        <v>2.3266177131411703E-3</v>
      </c>
      <c r="V8" s="7">
        <f>$B8 * IFERROR(VLOOKUP("LULUCF|PM25|Asthma symptoms wheeze", US_national_yearly!$D:$AM, 30, FALSE) / VLOOKUP("LULUCF|PM25|Asthma symptoms wheeze", US_national_yearly!$D:$AM, 10, FALSE), 1)</f>
        <v>2.3266177131411703E-3</v>
      </c>
      <c r="W8" s="7">
        <f>$B8 * IFERROR(VLOOKUP("LULUCF|PM25|Asthma symptoms wheeze", US_national_yearly!$D:$AM, 31, FALSE) / VLOOKUP("LULUCF|PM25|Asthma symptoms wheeze", US_national_yearly!$D:$AM, 10, FALSE), 1)</f>
        <v>2.3266177131411703E-3</v>
      </c>
      <c r="X8" s="7">
        <f>$B8 * IFERROR(VLOOKUP("LULUCF|PM25|Asthma symptoms wheeze", US_national_yearly!$D:$AM, 32, FALSE) / VLOOKUP("LULUCF|PM25|Asthma symptoms wheeze", US_national_yearly!$D:$AM, 10, FALSE), 1)</f>
        <v>2.3266177131411703E-3</v>
      </c>
      <c r="Y8" s="7">
        <f>$B8 * IFERROR(VLOOKUP("LULUCF|PM25|Asthma symptoms wheeze", US_national_yearly!$D:$AM, 33, FALSE) / VLOOKUP("LULUCF|PM25|Asthma symptoms wheeze", US_national_yearly!$D:$AM, 10, FALSE), 1)</f>
        <v>2.3266177131411703E-3</v>
      </c>
      <c r="Z8" s="7">
        <f>$B8 * IFERROR(VLOOKUP("LULUCF|PM25|Asthma symptoms wheeze", US_national_yearly!$D:$AM, 34, FALSE) / VLOOKUP("LULUCF|PM25|Asthma symptoms wheeze", US_national_yearly!$D:$AM, 10, FALSE), 1)</f>
        <v>2.3266177131411703E-3</v>
      </c>
      <c r="AA8" s="7">
        <f>$B8 * IFERROR(VLOOKUP("LULUCF|PM25|Asthma symptoms wheeze", US_national_yearly!$D:$AM, 35, FALSE) / VLOOKUP("LULUCF|PM25|Asthma symptoms wheeze", US_national_yearly!$D:$AM, 10, FALSE), 1)</f>
        <v>2.3266177131411703E-3</v>
      </c>
      <c r="AB8" s="7">
        <f>$B8 * IFERROR(VLOOKUP("LULUCF|PM25|Asthma symptoms wheeze", US_national_yearly!$D:$AM, 36, FALSE) / VLOOKUP("LULUCF|PM25|Asthma symptoms wheeze", US_national_yearly!$D:$AM, 10, FALSE), 1)</f>
        <v>2.3266177131411703E-3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2.5981338204618361E-5</v>
      </c>
      <c r="C12" s="7">
        <f>$B12 * IFERROR(VLOOKUP("LULUCF|PM25|Respiratory hospital admissions", US_national_yearly!$D:$AM, 11, FALSE) / VLOOKUP("LULUCF|PM25|Respiratory hospital admissions", US_national_yearly!$D:$AM, 10, FALSE), 1)</f>
        <v>2.6130252763248238E-5</v>
      </c>
      <c r="D12" s="7">
        <f>$B12 * IFERROR(VLOOKUP("LULUCF|PM25|Respiratory hospital admissions", US_national_yearly!$D:$AM, 12, FALSE) / VLOOKUP("LULUCF|PM25|Respiratory hospital admissions", US_national_yearly!$D:$AM, 10, FALSE), 1)</f>
        <v>2.6279167321878107E-5</v>
      </c>
      <c r="E12" s="7">
        <f>$B12 * IFERROR(VLOOKUP("LULUCF|PM25|Respiratory hospital admissions", US_national_yearly!$D:$AM, 13, FALSE) / VLOOKUP("LULUCF|PM25|Respiratory hospital admissions", US_national_yearly!$D:$AM, 10, FALSE), 1)</f>
        <v>2.6428081880507984E-5</v>
      </c>
      <c r="F12" s="7">
        <f>$B12 * IFERROR(VLOOKUP("LULUCF|PM25|Respiratory hospital admissions", US_national_yearly!$D:$AM, 14, FALSE) / VLOOKUP("LULUCF|PM25|Respiratory hospital admissions", US_national_yearly!$D:$AM, 10, FALSE), 1)</f>
        <v>2.6576996439137854E-5</v>
      </c>
      <c r="G12" s="7">
        <f>$B12 * IFERROR(VLOOKUP("LULUCF|PM25|Respiratory hospital admissions", US_national_yearly!$D:$AM, 15, FALSE) / VLOOKUP("LULUCF|PM25|Respiratory hospital admissions", US_national_yearly!$D:$AM, 10, FALSE), 1)</f>
        <v>2.6737830514449667E-5</v>
      </c>
      <c r="H12" s="7">
        <f>$B12 * IFERROR(VLOOKUP("LULUCF|PM25|Respiratory hospital admissions", US_national_yearly!$D:$AM, 16, FALSE) / VLOOKUP("LULUCF|PM25|Respiratory hospital admissions", US_national_yearly!$D:$AM, 10, FALSE), 1)</f>
        <v>2.6898664589761484E-5</v>
      </c>
      <c r="I12" s="7">
        <f>$B12 * IFERROR(VLOOKUP("LULUCF|PM25|Respiratory hospital admissions", US_national_yearly!$D:$AM, 17, FALSE) / VLOOKUP("LULUCF|PM25|Respiratory hospital admissions", US_national_yearly!$D:$AM, 10, FALSE), 1)</f>
        <v>2.7052335438070554E-5</v>
      </c>
      <c r="J12" s="7">
        <f>$B12 * IFERROR(VLOOKUP("LULUCF|PM25|Respiratory hospital admissions", US_national_yearly!$D:$AM, 18, FALSE) / VLOOKUP("LULUCF|PM25|Respiratory hospital admissions", US_national_yearly!$D:$AM, 10, FALSE), 1)</f>
        <v>2.7206006286379637E-5</v>
      </c>
      <c r="K12" s="7">
        <f>$B12 * IFERROR(VLOOKUP("LULUCF|PM25|Respiratory hospital admissions", US_national_yearly!$D:$AM, 19, FALSE) / VLOOKUP("LULUCF|PM25|Respiratory hospital admissions", US_national_yearly!$D:$AM, 10, FALSE), 1)</f>
        <v>2.7359677134688713E-5</v>
      </c>
      <c r="L12" s="7">
        <f>$B12 * IFERROR(VLOOKUP("LULUCF|PM25|Respiratory hospital admissions", US_national_yearly!$D:$AM, 20, FALSE) / VLOOKUP("LULUCF|PM25|Respiratory hospital admissions", US_national_yearly!$D:$AM, 10, FALSE), 1)</f>
        <v>2.7513347982997797E-5</v>
      </c>
      <c r="M12" s="7">
        <f>$B12 * IFERROR(VLOOKUP("LULUCF|PM25|Respiratory hospital admissions", US_national_yearly!$D:$AM, 21, FALSE) / VLOOKUP("LULUCF|PM25|Respiratory hospital admissions", US_national_yearly!$D:$AM, 10, FALSE), 1)</f>
        <v>2.7667018831306866E-5</v>
      </c>
      <c r="N12" s="7">
        <f>$B12 * IFERROR(VLOOKUP("LULUCF|PM25|Respiratory hospital admissions", US_national_yearly!$D:$AM, 22, FALSE) / VLOOKUP("LULUCF|PM25|Respiratory hospital admissions", US_national_yearly!$D:$AM, 10, FALSE), 1)</f>
        <v>2.7777312883534713E-5</v>
      </c>
      <c r="O12" s="7">
        <f>$B12 * IFERROR(VLOOKUP("LULUCF|PM25|Respiratory hospital admissions", US_national_yearly!$D:$AM, 23, FALSE) / VLOOKUP("LULUCF|PM25|Respiratory hospital admissions", US_national_yearly!$D:$AM, 10, FALSE), 1)</f>
        <v>2.7887606935762552E-5</v>
      </c>
      <c r="P12" s="7">
        <f>$B12 * IFERROR(VLOOKUP("LULUCF|PM25|Respiratory hospital admissions", US_national_yearly!$D:$AM, 24, FALSE) / VLOOKUP("LULUCF|PM25|Respiratory hospital admissions", US_national_yearly!$D:$AM, 10, FALSE), 1)</f>
        <v>2.7997900987990389E-5</v>
      </c>
      <c r="Q12" s="7">
        <f>$B12 * IFERROR(VLOOKUP("LULUCF|PM25|Respiratory hospital admissions", US_national_yearly!$D:$AM, 25, FALSE) / VLOOKUP("LULUCF|PM25|Respiratory hospital admissions", US_national_yearly!$D:$AM, 10, FALSE), 1)</f>
        <v>2.8108195040218228E-5</v>
      </c>
      <c r="R12" s="7">
        <f>$B12 * IFERROR(VLOOKUP("LULUCF|PM25|Respiratory hospital admissions", US_national_yearly!$D:$AM, 26, FALSE) / VLOOKUP("LULUCF|PM25|Respiratory hospital admissions", US_national_yearly!$D:$AM, 10, FALSE), 1)</f>
        <v>2.8218489092446075E-5</v>
      </c>
      <c r="S12" s="7">
        <f>$B12 * IFERROR(VLOOKUP("LULUCF|PM25|Respiratory hospital admissions", US_national_yearly!$D:$AM, 27, FALSE) / VLOOKUP("LULUCF|PM25|Respiratory hospital admissions", US_national_yearly!$D:$AM, 10, FALSE), 1)</f>
        <v>2.8323503563379325E-5</v>
      </c>
      <c r="T12" s="7">
        <f>$B12 * IFERROR(VLOOKUP("LULUCF|PM25|Respiratory hospital admissions", US_national_yearly!$D:$AM, 28, FALSE) / VLOOKUP("LULUCF|PM25|Respiratory hospital admissions", US_national_yearly!$D:$AM, 10, FALSE), 1)</f>
        <v>2.8428518034312583E-5</v>
      </c>
      <c r="U12" s="7">
        <f>$B12 * IFERROR(VLOOKUP("LULUCF|PM25|Respiratory hospital admissions", US_national_yearly!$D:$AM, 29, FALSE) / VLOOKUP("LULUCF|PM25|Respiratory hospital admissions", US_national_yearly!$D:$AM, 10, FALSE), 1)</f>
        <v>2.8533532505245834E-5</v>
      </c>
      <c r="V12" s="7">
        <f>$B12 * IFERROR(VLOOKUP("LULUCF|PM25|Respiratory hospital admissions", US_national_yearly!$D:$AM, 30, FALSE) / VLOOKUP("LULUCF|PM25|Respiratory hospital admissions", US_national_yearly!$D:$AM, 10, FALSE), 1)</f>
        <v>2.8638546976179084E-5</v>
      </c>
      <c r="W12" s="7">
        <f>$B12 * IFERROR(VLOOKUP("LULUCF|PM25|Respiratory hospital admissions", US_national_yearly!$D:$AM, 31, FALSE) / VLOOKUP("LULUCF|PM25|Respiratory hospital admissions", US_national_yearly!$D:$AM, 10, FALSE), 1)</f>
        <v>2.8743561447112339E-5</v>
      </c>
      <c r="X12" s="7">
        <f>$B12 * IFERROR(VLOOKUP("LULUCF|PM25|Respiratory hospital admissions", US_national_yearly!$D:$AM, 32, FALSE) / VLOOKUP("LULUCF|PM25|Respiratory hospital admissions", US_national_yearly!$D:$AM, 10, FALSE), 1)</f>
        <v>2.8844586707732589E-5</v>
      </c>
      <c r="Y12" s="7">
        <f>$B12 * IFERROR(VLOOKUP("LULUCF|PM25|Respiratory hospital admissions", US_national_yearly!$D:$AM, 33, FALSE) / VLOOKUP("LULUCF|PM25|Respiratory hospital admissions", US_national_yearly!$D:$AM, 10, FALSE), 1)</f>
        <v>2.8945611968352829E-5</v>
      </c>
      <c r="Z12" s="7">
        <f>$B12 * IFERROR(VLOOKUP("LULUCF|PM25|Respiratory hospital admissions", US_national_yearly!$D:$AM, 34, FALSE) / VLOOKUP("LULUCF|PM25|Respiratory hospital admissions", US_national_yearly!$D:$AM, 10, FALSE), 1)</f>
        <v>2.9046637228973075E-5</v>
      </c>
      <c r="AA12" s="7">
        <f>$B12 * IFERROR(VLOOKUP("LULUCF|PM25|Respiratory hospital admissions", US_national_yearly!$D:$AM, 35, FALSE) / VLOOKUP("LULUCF|PM25|Respiratory hospital admissions", US_national_yearly!$D:$AM, 10, FALSE), 1)</f>
        <v>2.9147662489593315E-5</v>
      </c>
      <c r="AB12" s="7">
        <f>$B12 * IFERROR(VLOOKUP("LULUCF|PM25|Respiratory hospital admissions", US_national_yearly!$D:$AM, 36, FALSE) / VLOOKUP("LULUCF|PM25|Respiratory hospital admissions", US_national_yearly!$D:$AM, 10, FALSE), 1)</f>
        <v>2.9248687750213562E-5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1.6064142776082925E-4</v>
      </c>
      <c r="C13" s="7">
        <f>$B13 * IFERROR(VLOOKUP("LULUCF|PM25|Non-fatal heart attacks", US_national_yearly!$D:$AM, 11, FALSE) / VLOOKUP("LULUCF|PM25|Non-fatal heart attacks", US_national_yearly!$D:$AM, 10, FALSE), 1)</f>
        <v>1.6531170035939655E-4</v>
      </c>
      <c r="D13" s="7">
        <f>$B13 * IFERROR(VLOOKUP("LULUCF|PM25|Non-fatal heart attacks", US_national_yearly!$D:$AM, 12, FALSE) / VLOOKUP("LULUCF|PM25|Non-fatal heart attacks", US_national_yearly!$D:$AM, 10, FALSE), 1)</f>
        <v>1.6998197295796388E-4</v>
      </c>
      <c r="E13" s="7">
        <f>$B13 * IFERROR(VLOOKUP("LULUCF|PM25|Non-fatal heart attacks", US_national_yearly!$D:$AM, 13, FALSE) / VLOOKUP("LULUCF|PM25|Non-fatal heart attacks", US_national_yearly!$D:$AM, 10, FALSE), 1)</f>
        <v>1.7465224555653116E-4</v>
      </c>
      <c r="F13" s="7">
        <f>$B13 * IFERROR(VLOOKUP("LULUCF|PM25|Non-fatal heart attacks", US_national_yearly!$D:$AM, 14, FALSE) / VLOOKUP("LULUCF|PM25|Non-fatal heart attacks", US_national_yearly!$D:$AM, 10, FALSE), 1)</f>
        <v>1.7932251815509851E-4</v>
      </c>
      <c r="G13" s="7">
        <f>$B13 * IFERROR(VLOOKUP("LULUCF|PM25|Non-fatal heart attacks", US_national_yearly!$D:$AM, 15, FALSE) / VLOOKUP("LULUCF|PM25|Non-fatal heart attacks", US_national_yearly!$D:$AM, 10, FALSE), 1)</f>
        <v>1.8372688046445714E-4</v>
      </c>
      <c r="H13" s="7">
        <f>$B13 * IFERROR(VLOOKUP("LULUCF|PM25|Non-fatal heart attacks", US_national_yearly!$D:$AM, 16, FALSE) / VLOOKUP("LULUCF|PM25|Non-fatal heart attacks", US_national_yearly!$D:$AM, 10, FALSE), 1)</f>
        <v>1.8813124277381574E-4</v>
      </c>
      <c r="I13" s="7">
        <f>$B13 * IFERROR(VLOOKUP("LULUCF|PM25|Non-fatal heart attacks", US_national_yearly!$D:$AM, 17, FALSE) / VLOOKUP("LULUCF|PM25|Non-fatal heart attacks", US_national_yearly!$D:$AM, 10, FALSE), 1)</f>
        <v>1.9167088449693518E-4</v>
      </c>
      <c r="J13" s="7">
        <f>$B13 * IFERROR(VLOOKUP("LULUCF|PM25|Non-fatal heart attacks", US_national_yearly!$D:$AM, 18, FALSE) / VLOOKUP("LULUCF|PM25|Non-fatal heart attacks", US_national_yearly!$D:$AM, 10, FALSE), 1)</f>
        <v>1.9521052622005461E-4</v>
      </c>
      <c r="K13" s="7">
        <f>$B13 * IFERROR(VLOOKUP("LULUCF|PM25|Non-fatal heart attacks", US_national_yearly!$D:$AM, 19, FALSE) / VLOOKUP("LULUCF|PM25|Non-fatal heart attacks", US_national_yearly!$D:$AM, 10, FALSE), 1)</f>
        <v>1.987501679431741E-4</v>
      </c>
      <c r="L13" s="7">
        <f>$B13 * IFERROR(VLOOKUP("LULUCF|PM25|Non-fatal heart attacks", US_national_yearly!$D:$AM, 20, FALSE) / VLOOKUP("LULUCF|PM25|Non-fatal heart attacks", US_national_yearly!$D:$AM, 10, FALSE), 1)</f>
        <v>2.0228980966629357E-4</v>
      </c>
      <c r="M13" s="7">
        <f>$B13 * IFERROR(VLOOKUP("LULUCF|PM25|Non-fatal heart attacks", US_national_yearly!$D:$AM, 21, FALSE) / VLOOKUP("LULUCF|PM25|Non-fatal heart attacks", US_national_yearly!$D:$AM, 10, FALSE), 1)</f>
        <v>2.0582945138941303E-4</v>
      </c>
      <c r="N13" s="7">
        <f>$B13 * IFERROR(VLOOKUP("LULUCF|PM25|Non-fatal heart attacks", US_national_yearly!$D:$AM, 22, FALSE) / VLOOKUP("LULUCF|PM25|Non-fatal heart attacks", US_national_yearly!$D:$AM, 10, FALSE), 1)</f>
        <v>2.0811217077720525E-4</v>
      </c>
      <c r="O13" s="7">
        <f>$B13 * IFERROR(VLOOKUP("LULUCF|PM25|Non-fatal heart attacks", US_national_yearly!$D:$AM, 23, FALSE) / VLOOKUP("LULUCF|PM25|Non-fatal heart attacks", US_national_yearly!$D:$AM, 10, FALSE), 1)</f>
        <v>2.1039489016499749E-4</v>
      </c>
      <c r="P13" s="7">
        <f>$B13 * IFERROR(VLOOKUP("LULUCF|PM25|Non-fatal heart attacks", US_national_yearly!$D:$AM, 24, FALSE) / VLOOKUP("LULUCF|PM25|Non-fatal heart attacks", US_national_yearly!$D:$AM, 10, FALSE), 1)</f>
        <v>2.1267760955278974E-4</v>
      </c>
      <c r="Q13" s="7">
        <f>$B13 * IFERROR(VLOOKUP("LULUCF|PM25|Non-fatal heart attacks", US_national_yearly!$D:$AM, 25, FALSE) / VLOOKUP("LULUCF|PM25|Non-fatal heart attacks", US_national_yearly!$D:$AM, 10, FALSE), 1)</f>
        <v>2.1496032894058196E-4</v>
      </c>
      <c r="R13" s="7">
        <f>$B13 * IFERROR(VLOOKUP("LULUCF|PM25|Non-fatal heart attacks", US_national_yearly!$D:$AM, 26, FALSE) / VLOOKUP("LULUCF|PM25|Non-fatal heart attacks", US_national_yearly!$D:$AM, 10, FALSE), 1)</f>
        <v>2.172430483283742E-4</v>
      </c>
      <c r="S13" s="7">
        <f>$B13 * IFERROR(VLOOKUP("LULUCF|PM25|Non-fatal heart attacks", US_national_yearly!$D:$AM, 27, FALSE) / VLOOKUP("LULUCF|PM25|Non-fatal heart attacks", US_national_yearly!$D:$AM, 10, FALSE), 1)</f>
        <v>2.1844519357478077E-4</v>
      </c>
      <c r="T13" s="7">
        <f>$B13 * IFERROR(VLOOKUP("LULUCF|PM25|Non-fatal heart attacks", US_national_yearly!$D:$AM, 28, FALSE) / VLOOKUP("LULUCF|PM25|Non-fatal heart attacks", US_national_yearly!$D:$AM, 10, FALSE), 1)</f>
        <v>2.1964733882118742E-4</v>
      </c>
      <c r="U13" s="7">
        <f>$B13 * IFERROR(VLOOKUP("LULUCF|PM25|Non-fatal heart attacks", US_national_yearly!$D:$AM, 29, FALSE) / VLOOKUP("LULUCF|PM25|Non-fatal heart attacks", US_national_yearly!$D:$AM, 10, FALSE), 1)</f>
        <v>2.2084948406759407E-4</v>
      </c>
      <c r="V13" s="7">
        <f>$B13 * IFERROR(VLOOKUP("LULUCF|PM25|Non-fatal heart attacks", US_national_yearly!$D:$AM, 30, FALSE) / VLOOKUP("LULUCF|PM25|Non-fatal heart attacks", US_national_yearly!$D:$AM, 10, FALSE), 1)</f>
        <v>2.2205162931400067E-4</v>
      </c>
      <c r="W13" s="7">
        <f>$B13 * IFERROR(VLOOKUP("LULUCF|PM25|Non-fatal heart attacks", US_national_yearly!$D:$AM, 31, FALSE) / VLOOKUP("LULUCF|PM25|Non-fatal heart attacks", US_national_yearly!$D:$AM, 10, FALSE), 1)</f>
        <v>2.2325377456040729E-4</v>
      </c>
      <c r="X13" s="7">
        <f>$B13 * IFERROR(VLOOKUP("LULUCF|PM25|Non-fatal heart attacks", US_national_yearly!$D:$AM, 32, FALSE) / VLOOKUP("LULUCF|PM25|Non-fatal heart attacks", US_national_yearly!$D:$AM, 10, FALSE), 1)</f>
        <v>2.2416637662906003E-4</v>
      </c>
      <c r="Y13" s="7">
        <f>$B13 * IFERROR(VLOOKUP("LULUCF|PM25|Non-fatal heart attacks", US_national_yearly!$D:$AM, 33, FALSE) / VLOOKUP("LULUCF|PM25|Non-fatal heart attacks", US_national_yearly!$D:$AM, 10, FALSE), 1)</f>
        <v>2.2507897869771285E-4</v>
      </c>
      <c r="Z13" s="7">
        <f>$B13 * IFERROR(VLOOKUP("LULUCF|PM25|Non-fatal heart attacks", US_national_yearly!$D:$AM, 34, FALSE) / VLOOKUP("LULUCF|PM25|Non-fatal heart attacks", US_national_yearly!$D:$AM, 10, FALSE), 1)</f>
        <v>2.2599158076636559E-4</v>
      </c>
      <c r="AA13" s="7">
        <f>$B13 * IFERROR(VLOOKUP("LULUCF|PM25|Non-fatal heart attacks", US_national_yearly!$D:$AM, 35, FALSE) / VLOOKUP("LULUCF|PM25|Non-fatal heart attacks", US_national_yearly!$D:$AM, 10, FALSE), 1)</f>
        <v>2.2690418283501841E-4</v>
      </c>
      <c r="AB13" s="7">
        <f>$B13 * IFERROR(VLOOKUP("LULUCF|PM25|Non-fatal heart attacks", US_national_yearly!$D:$AM, 36, FALSE) / VLOOKUP("LULUCF|PM25|Non-fatal heart attacks", US_national_yearly!$D:$AM, 10, FALSE), 1)</f>
        <v>2.2781678490367115E-4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0.13879316825284152</v>
      </c>
      <c r="C14" s="7">
        <f>$B14 * IFERROR(VLOOKUP("LULUCF|PM25|Minor restricted activity days", US_national_yearly!$D:$AM, 11, FALSE) / VLOOKUP("LULUCF|PM25|Minor restricted activity days", US_national_yearly!$D:$AM, 10, FALSE), 1)</f>
        <v>0.13913211762931946</v>
      </c>
      <c r="D14" s="7">
        <f>$B14 * IFERROR(VLOOKUP("LULUCF|PM25|Minor restricted activity days", US_national_yearly!$D:$AM, 12, FALSE) / VLOOKUP("LULUCF|PM25|Minor restricted activity days", US_national_yearly!$D:$AM, 10, FALSE), 1)</f>
        <v>0.13947106700579739</v>
      </c>
      <c r="E14" s="7">
        <f>$B14 * IFERROR(VLOOKUP("LULUCF|PM25|Minor restricted activity days", US_national_yearly!$D:$AM, 13, FALSE) / VLOOKUP("LULUCF|PM25|Minor restricted activity days", US_national_yearly!$D:$AM, 10, FALSE), 1)</f>
        <v>0.13981001638227536</v>
      </c>
      <c r="F14" s="7">
        <f>$B14 * IFERROR(VLOOKUP("LULUCF|PM25|Minor restricted activity days", US_national_yearly!$D:$AM, 14, FALSE) / VLOOKUP("LULUCF|PM25|Minor restricted activity days", US_national_yearly!$D:$AM, 10, FALSE), 1)</f>
        <v>0.14014896575875324</v>
      </c>
      <c r="G14" s="7">
        <f>$B14 * IFERROR(VLOOKUP("LULUCF|PM25|Minor restricted activity days", US_national_yearly!$D:$AM, 15, FALSE) / VLOOKUP("LULUCF|PM25|Minor restricted activity days", US_national_yearly!$D:$AM, 10, FALSE), 1)</f>
        <v>0.14064907541987065</v>
      </c>
      <c r="H14" s="7">
        <f>$B14 * IFERROR(VLOOKUP("LULUCF|PM25|Minor restricted activity days", US_national_yearly!$D:$AM, 16, FALSE) / VLOOKUP("LULUCF|PM25|Minor restricted activity days", US_national_yearly!$D:$AM, 10, FALSE), 1)</f>
        <v>0.14114918508098806</v>
      </c>
      <c r="I14" s="7">
        <f>$B14 * IFERROR(VLOOKUP("LULUCF|PM25|Minor restricted activity days", US_national_yearly!$D:$AM, 17, FALSE) / VLOOKUP("LULUCF|PM25|Minor restricted activity days", US_national_yearly!$D:$AM, 10, FALSE), 1)</f>
        <v>0.14200414358669716</v>
      </c>
      <c r="J14" s="7">
        <f>$B14 * IFERROR(VLOOKUP("LULUCF|PM25|Minor restricted activity days", US_national_yearly!$D:$AM, 18, FALSE) / VLOOKUP("LULUCF|PM25|Minor restricted activity days", US_national_yearly!$D:$AM, 10, FALSE), 1)</f>
        <v>0.14285910209240621</v>
      </c>
      <c r="K14" s="7">
        <f>$B14 * IFERROR(VLOOKUP("LULUCF|PM25|Minor restricted activity days", US_national_yearly!$D:$AM, 19, FALSE) / VLOOKUP("LULUCF|PM25|Minor restricted activity days", US_national_yearly!$D:$AM, 10, FALSE), 1)</f>
        <v>0.14371406059811531</v>
      </c>
      <c r="L14" s="7">
        <f>$B14 * IFERROR(VLOOKUP("LULUCF|PM25|Minor restricted activity days", US_national_yearly!$D:$AM, 20, FALSE) / VLOOKUP("LULUCF|PM25|Minor restricted activity days", US_national_yearly!$D:$AM, 10, FALSE), 1)</f>
        <v>0.14456901910382439</v>
      </c>
      <c r="M14" s="7">
        <f>$B14 * IFERROR(VLOOKUP("LULUCF|PM25|Minor restricted activity days", US_national_yearly!$D:$AM, 21, FALSE) / VLOOKUP("LULUCF|PM25|Minor restricted activity days", US_national_yearly!$D:$AM, 10, FALSE), 1)</f>
        <v>0.14542397760953346</v>
      </c>
      <c r="N14" s="7">
        <f>$B14 * IFERROR(VLOOKUP("LULUCF|PM25|Minor restricted activity days", US_national_yearly!$D:$AM, 22, FALSE) / VLOOKUP("LULUCF|PM25|Minor restricted activity days", US_national_yearly!$D:$AM, 10, FALSE), 1)</f>
        <v>0.14658860131624499</v>
      </c>
      <c r="O14" s="7">
        <f>$B14 * IFERROR(VLOOKUP("LULUCF|PM25|Minor restricted activity days", US_national_yearly!$D:$AM, 23, FALSE) / VLOOKUP("LULUCF|PM25|Minor restricted activity days", US_national_yearly!$D:$AM, 10, FALSE), 1)</f>
        <v>0.14775322502295649</v>
      </c>
      <c r="P14" s="7">
        <f>$B14 * IFERROR(VLOOKUP("LULUCF|PM25|Minor restricted activity days", US_national_yearly!$D:$AM, 24, FALSE) / VLOOKUP("LULUCF|PM25|Minor restricted activity days", US_national_yearly!$D:$AM, 10, FALSE), 1)</f>
        <v>0.14891784872966804</v>
      </c>
      <c r="Q14" s="7">
        <f>$B14 * IFERROR(VLOOKUP("LULUCF|PM25|Minor restricted activity days", US_national_yearly!$D:$AM, 25, FALSE) / VLOOKUP("LULUCF|PM25|Minor restricted activity days", US_national_yearly!$D:$AM, 10, FALSE), 1)</f>
        <v>0.15008247243637954</v>
      </c>
      <c r="R14" s="7">
        <f>$B14 * IFERROR(VLOOKUP("LULUCF|PM25|Minor restricted activity days", US_national_yearly!$D:$AM, 26, FALSE) / VLOOKUP("LULUCF|PM25|Minor restricted activity days", US_national_yearly!$D:$AM, 10, FALSE), 1)</f>
        <v>0.15124709614309104</v>
      </c>
      <c r="S14" s="7">
        <f>$B14 * IFERROR(VLOOKUP("LULUCF|PM25|Minor restricted activity days", US_national_yearly!$D:$AM, 27, FALSE) / VLOOKUP("LULUCF|PM25|Minor restricted activity days", US_national_yearly!$D:$AM, 10, FALSE), 1)</f>
        <v>0.15241974023164748</v>
      </c>
      <c r="T14" s="7">
        <f>$B14 * IFERROR(VLOOKUP("LULUCF|PM25|Minor restricted activity days", US_national_yearly!$D:$AM, 28, FALSE) / VLOOKUP("LULUCF|PM25|Minor restricted activity days", US_national_yearly!$D:$AM, 10, FALSE), 1)</f>
        <v>0.15359238432020392</v>
      </c>
      <c r="U14" s="7">
        <f>$B14 * IFERROR(VLOOKUP("LULUCF|PM25|Minor restricted activity days", US_national_yearly!$D:$AM, 29, FALSE) / VLOOKUP("LULUCF|PM25|Minor restricted activity days", US_national_yearly!$D:$AM, 10, FALSE), 1)</f>
        <v>0.15476502840876036</v>
      </c>
      <c r="V14" s="7">
        <f>$B14 * IFERROR(VLOOKUP("LULUCF|PM25|Minor restricted activity days", US_national_yearly!$D:$AM, 30, FALSE) / VLOOKUP("LULUCF|PM25|Minor restricted activity days", US_national_yearly!$D:$AM, 10, FALSE), 1)</f>
        <v>0.15593767249731683</v>
      </c>
      <c r="W14" s="7">
        <f>$B14 * IFERROR(VLOOKUP("LULUCF|PM25|Minor restricted activity days", US_national_yearly!$D:$AM, 31, FALSE) / VLOOKUP("LULUCF|PM25|Minor restricted activity days", US_national_yearly!$D:$AM, 10, FALSE), 1)</f>
        <v>0.15711031658587327</v>
      </c>
      <c r="X14" s="7">
        <f>$B14 * IFERROR(VLOOKUP("LULUCF|PM25|Minor restricted activity days", US_national_yearly!$D:$AM, 32, FALSE) / VLOOKUP("LULUCF|PM25|Minor restricted activity days", US_national_yearly!$D:$AM, 10, FALSE), 1)</f>
        <v>0.1581282896249801</v>
      </c>
      <c r="Y14" s="7">
        <f>$B14 * IFERROR(VLOOKUP("LULUCF|PM25|Minor restricted activity days", US_national_yearly!$D:$AM, 33, FALSE) / VLOOKUP("LULUCF|PM25|Minor restricted activity days", US_national_yearly!$D:$AM, 10, FALSE), 1)</f>
        <v>0.15914626266408691</v>
      </c>
      <c r="Z14" s="7">
        <f>$B14 * IFERROR(VLOOKUP("LULUCF|PM25|Minor restricted activity days", US_national_yearly!$D:$AM, 34, FALSE) / VLOOKUP("LULUCF|PM25|Minor restricted activity days", US_national_yearly!$D:$AM, 10, FALSE), 1)</f>
        <v>0.16016423570319374</v>
      </c>
      <c r="AA14" s="7">
        <f>$B14 * IFERROR(VLOOKUP("LULUCF|PM25|Minor restricted activity days", US_national_yearly!$D:$AM, 35, FALSE) / VLOOKUP("LULUCF|PM25|Minor restricted activity days", US_national_yearly!$D:$AM, 10, FALSE), 1)</f>
        <v>0.16118220874230052</v>
      </c>
      <c r="AB14" s="7">
        <f>$B14 * IFERROR(VLOOKUP("LULUCF|PM25|Minor restricted activity days", US_national_yearly!$D:$AM, 36, FALSE) / VLOOKUP("LULUCF|PM25|Minor restricted activity days", US_national_yearly!$D:$AM, 10, FALSE), 1)</f>
        <v>0.16220018178140735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2.3594679297722118E-2</v>
      </c>
      <c r="C15" s="7">
        <f>$B15 * IFERROR(VLOOKUP("LULUCF|PM25|Work loss days", US_national_yearly!$D:$AM, 11, FALSE) / VLOOKUP("LULUCF|PM25|Work loss days", US_national_yearly!$D:$AM, 10, FALSE), 1)</f>
        <v>2.3667814305430648E-2</v>
      </c>
      <c r="D15" s="7">
        <f>$B15 * IFERROR(VLOOKUP("LULUCF|PM25|Work loss days", US_national_yearly!$D:$AM, 12, FALSE) / VLOOKUP("LULUCF|PM25|Work loss days", US_national_yearly!$D:$AM, 10, FALSE), 1)</f>
        <v>2.3740949313139185E-2</v>
      </c>
      <c r="E15" s="7">
        <f>$B15 * IFERROR(VLOOKUP("LULUCF|PM25|Work loss days", US_national_yearly!$D:$AM, 13, FALSE) / VLOOKUP("LULUCF|PM25|Work loss days", US_national_yearly!$D:$AM, 10, FALSE), 1)</f>
        <v>2.3814084320847716E-2</v>
      </c>
      <c r="F15" s="7">
        <f>$B15 * IFERROR(VLOOKUP("LULUCF|PM25|Work loss days", US_national_yearly!$D:$AM, 14, FALSE) / VLOOKUP("LULUCF|PM25|Work loss days", US_national_yearly!$D:$AM, 10, FALSE), 1)</f>
        <v>2.3887219328556246E-2</v>
      </c>
      <c r="G15" s="7">
        <f>$B15 * IFERROR(VLOOKUP("LULUCF|PM25|Work loss days", US_national_yearly!$D:$AM, 15, FALSE) / VLOOKUP("LULUCF|PM25|Work loss days", US_national_yearly!$D:$AM, 10, FALSE), 1)</f>
        <v>2.3983103990477116E-2</v>
      </c>
      <c r="H15" s="7">
        <f>$B15 * IFERROR(VLOOKUP("LULUCF|PM25|Work loss days", US_national_yearly!$D:$AM, 16, FALSE) / VLOOKUP("LULUCF|PM25|Work loss days", US_national_yearly!$D:$AM, 10, FALSE), 1)</f>
        <v>2.4078988652397992E-2</v>
      </c>
      <c r="I15" s="7">
        <f>$B15 * IFERROR(VLOOKUP("LULUCF|PM25|Work loss days", US_national_yearly!$D:$AM, 17, FALSE) / VLOOKUP("LULUCF|PM25|Work loss days", US_national_yearly!$D:$AM, 10, FALSE), 1)</f>
        <v>2.4220189362942186E-2</v>
      </c>
      <c r="J15" s="7">
        <f>$B15 * IFERROR(VLOOKUP("LULUCF|PM25|Work loss days", US_national_yearly!$D:$AM, 18, FALSE) / VLOOKUP("LULUCF|PM25|Work loss days", US_national_yearly!$D:$AM, 10, FALSE), 1)</f>
        <v>2.4361390073486377E-2</v>
      </c>
      <c r="K15" s="7">
        <f>$B15 * IFERROR(VLOOKUP("LULUCF|PM25|Work loss days", US_national_yearly!$D:$AM, 19, FALSE) / VLOOKUP("LULUCF|PM25|Work loss days", US_national_yearly!$D:$AM, 10, FALSE), 1)</f>
        <v>2.4502590784030567E-2</v>
      </c>
      <c r="L15" s="7">
        <f>$B15 * IFERROR(VLOOKUP("LULUCF|PM25|Work loss days", US_national_yearly!$D:$AM, 20, FALSE) / VLOOKUP("LULUCF|PM25|Work loss days", US_national_yearly!$D:$AM, 10, FALSE), 1)</f>
        <v>2.4643791494574761E-2</v>
      </c>
      <c r="M15" s="7">
        <f>$B15 * IFERROR(VLOOKUP("LULUCF|PM25|Work loss days", US_national_yearly!$D:$AM, 21, FALSE) / VLOOKUP("LULUCF|PM25|Work loss days", US_national_yearly!$D:$AM, 10, FALSE), 1)</f>
        <v>2.4784992205118952E-2</v>
      </c>
      <c r="N15" s="7">
        <f>$B15 * IFERROR(VLOOKUP("LULUCF|PM25|Work loss days", US_national_yearly!$D:$AM, 22, FALSE) / VLOOKUP("LULUCF|PM25|Work loss days", US_national_yearly!$D:$AM, 10, FALSE), 1)</f>
        <v>2.4962703986651312E-2</v>
      </c>
      <c r="O15" s="7">
        <f>$B15 * IFERROR(VLOOKUP("LULUCF|PM25|Work loss days", US_national_yearly!$D:$AM, 23, FALSE) / VLOOKUP("LULUCF|PM25|Work loss days", US_national_yearly!$D:$AM, 10, FALSE), 1)</f>
        <v>2.5140415768183665E-2</v>
      </c>
      <c r="P15" s="7">
        <f>$B15 * IFERROR(VLOOKUP("LULUCF|PM25|Work loss days", US_national_yearly!$D:$AM, 24, FALSE) / VLOOKUP("LULUCF|PM25|Work loss days", US_national_yearly!$D:$AM, 10, FALSE), 1)</f>
        <v>2.5318127549716025E-2</v>
      </c>
      <c r="Q15" s="7">
        <f>$B15 * IFERROR(VLOOKUP("LULUCF|PM25|Work loss days", US_national_yearly!$D:$AM, 25, FALSE) / VLOOKUP("LULUCF|PM25|Work loss days", US_national_yearly!$D:$AM, 10, FALSE), 1)</f>
        <v>2.5495839331248379E-2</v>
      </c>
      <c r="R15" s="7">
        <f>$B15 * IFERROR(VLOOKUP("LULUCF|PM25|Work loss days", US_national_yearly!$D:$AM, 26, FALSE) / VLOOKUP("LULUCF|PM25|Work loss days", US_national_yearly!$D:$AM, 10, FALSE), 1)</f>
        <v>2.5673551112780739E-2</v>
      </c>
      <c r="S15" s="7">
        <f>$B15 * IFERROR(VLOOKUP("LULUCF|PM25|Work loss days", US_national_yearly!$D:$AM, 27, FALSE) / VLOOKUP("LULUCF|PM25|Work loss days", US_national_yearly!$D:$AM, 10, FALSE), 1)</f>
        <v>2.5870107930285133E-2</v>
      </c>
      <c r="T15" s="7">
        <f>$B15 * IFERROR(VLOOKUP("LULUCF|PM25|Work loss days", US_national_yearly!$D:$AM, 28, FALSE) / VLOOKUP("LULUCF|PM25|Work loss days", US_national_yearly!$D:$AM, 10, FALSE), 1)</f>
        <v>2.6066664747789535E-2</v>
      </c>
      <c r="U15" s="7">
        <f>$B15 * IFERROR(VLOOKUP("LULUCF|PM25|Work loss days", US_national_yearly!$D:$AM, 29, FALSE) / VLOOKUP("LULUCF|PM25|Work loss days", US_national_yearly!$D:$AM, 10, FALSE), 1)</f>
        <v>2.6263221565293923E-2</v>
      </c>
      <c r="V15" s="7">
        <f>$B15 * IFERROR(VLOOKUP("LULUCF|PM25|Work loss days", US_national_yearly!$D:$AM, 30, FALSE) / VLOOKUP("LULUCF|PM25|Work loss days", US_national_yearly!$D:$AM, 10, FALSE), 1)</f>
        <v>2.6459778382798324E-2</v>
      </c>
      <c r="W15" s="7">
        <f>$B15 * IFERROR(VLOOKUP("LULUCF|PM25|Work loss days", US_national_yearly!$D:$AM, 31, FALSE) / VLOOKUP("LULUCF|PM25|Work loss days", US_national_yearly!$D:$AM, 10, FALSE), 1)</f>
        <v>2.6656335200302719E-2</v>
      </c>
      <c r="X15" s="7">
        <f>$B15 * IFERROR(VLOOKUP("LULUCF|PM25|Work loss days", US_national_yearly!$D:$AM, 32, FALSE) / VLOOKUP("LULUCF|PM25|Work loss days", US_national_yearly!$D:$AM, 10, FALSE), 1)</f>
        <v>2.6830734109514805E-2</v>
      </c>
      <c r="Y15" s="7">
        <f>$B15 * IFERROR(VLOOKUP("LULUCF|PM25|Work loss days", US_national_yearly!$D:$AM, 33, FALSE) / VLOOKUP("LULUCF|PM25|Work loss days", US_national_yearly!$D:$AM, 10, FALSE), 1)</f>
        <v>2.7005133018726889E-2</v>
      </c>
      <c r="Z15" s="7">
        <f>$B15 * IFERROR(VLOOKUP("LULUCF|PM25|Work loss days", US_national_yearly!$D:$AM, 34, FALSE) / VLOOKUP("LULUCF|PM25|Work loss days", US_national_yearly!$D:$AM, 10, FALSE), 1)</f>
        <v>2.7179531927938979E-2</v>
      </c>
      <c r="AA15" s="7">
        <f>$B15 * IFERROR(VLOOKUP("LULUCF|PM25|Work loss days", US_national_yearly!$D:$AM, 35, FALSE) / VLOOKUP("LULUCF|PM25|Work loss days", US_national_yearly!$D:$AM, 10, FALSE), 1)</f>
        <v>2.7353930837151069E-2</v>
      </c>
      <c r="AB15" s="7">
        <f>$B15 * IFERROR(VLOOKUP("LULUCF|PM25|Work loss days", US_national_yearly!$D:$AM, 36, FALSE) / VLOOKUP("LULUCF|PM25|Work loss days", US_national_yearly!$D:$AM, 10, FALSE), 1)</f>
        <v>2.7528329746363153E-2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3.7884848758476335E-5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3.9016874457123242E-5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4.0148900155770156E-5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4.128092585441707E-5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4.2412951553063984E-5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4.3497229962295673E-5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4.4581508371527382E-5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4.5508842796373345E-5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4.6436177221219302E-5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4.7363511646065258E-5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4.8290846070911234E-5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4.9218180495757191E-5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4.9836455529083166E-5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5.0454730562409154E-5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5.1073005595735129E-5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5.169128062906111E-5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5.2309555662387092E-5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5.2636680877834422E-5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5.2963806093281752E-5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5.3290931308729069E-5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5.3618056524176399E-5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5.3945181739623723E-5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5.4165406737658176E-5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5.4385631735692623E-5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5.4605856733727076E-5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5.4826081731761522E-5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5.5046306729795976E-5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4.158072289285735E-4</v>
      </c>
      <c r="C2" s="7">
        <f>$B2 * IFERROR(VLOOKUP("LULUCF|NOx|Premature mortality", US_national_yearly!$D:$AM, 11, FALSE) / VLOOKUP("LULUCF|NOx|Premature mortality", US_national_yearly!$D:$AM, 10, FALSE), 1)</f>
        <v>4.2191473430200469E-4</v>
      </c>
      <c r="D2" s="7">
        <f>$B2 * IFERROR(VLOOKUP("LULUCF|NOx|Premature mortality", US_national_yearly!$D:$AM, 12, FALSE) / VLOOKUP("LULUCF|NOx|Premature mortality", US_national_yearly!$D:$AM, 10, FALSE), 1)</f>
        <v>4.2802223967543576E-4</v>
      </c>
      <c r="E2" s="7">
        <f>$B2 * IFERROR(VLOOKUP("LULUCF|NOx|Premature mortality", US_national_yearly!$D:$AM, 13, FALSE) / VLOOKUP("LULUCF|NOx|Premature mortality", US_national_yearly!$D:$AM, 10, FALSE), 1)</f>
        <v>4.3412974504886695E-4</v>
      </c>
      <c r="F2" s="7">
        <f>$B2 * IFERROR(VLOOKUP("LULUCF|NOx|Premature mortality", US_national_yearly!$D:$AM, 14, FALSE) / VLOOKUP("LULUCF|NOx|Premature mortality", US_national_yearly!$D:$AM, 10, FALSE), 1)</f>
        <v>4.4023725042229819E-4</v>
      </c>
      <c r="G2" s="7">
        <f>$B2 * IFERROR(VLOOKUP("LULUCF|NOx|Premature mortality", US_national_yearly!$D:$AM, 15, FALSE) / VLOOKUP("LULUCF|NOx|Premature mortality", US_national_yearly!$D:$AM, 10, FALSE), 1)</f>
        <v>4.5120777403507889E-4</v>
      </c>
      <c r="H2" s="7">
        <f>$B2 * IFERROR(VLOOKUP("LULUCF|NOx|Premature mortality", US_national_yearly!$D:$AM, 16, FALSE) / VLOOKUP("LULUCF|NOx|Premature mortality", US_national_yearly!$D:$AM, 10, FALSE), 1)</f>
        <v>4.6217829764785975E-4</v>
      </c>
      <c r="I2" s="7">
        <f>$B2 * IFERROR(VLOOKUP("LULUCF|NOx|Premature mortality", US_national_yearly!$D:$AM, 17, FALSE) / VLOOKUP("LULUCF|NOx|Premature mortality", US_national_yearly!$D:$AM, 10, FALSE), 1)</f>
        <v>4.6925997873576781E-4</v>
      </c>
      <c r="J2" s="7">
        <f>$B2 * IFERROR(VLOOKUP("LULUCF|NOx|Premature mortality", US_national_yearly!$D:$AM, 18, FALSE) / VLOOKUP("LULUCF|NOx|Premature mortality", US_national_yearly!$D:$AM, 10, FALSE), 1)</f>
        <v>4.7634165982367597E-4</v>
      </c>
      <c r="K2" s="7">
        <f>$B2 * IFERROR(VLOOKUP("LULUCF|NOx|Premature mortality", US_national_yearly!$D:$AM, 19, FALSE) / VLOOKUP("LULUCF|NOx|Premature mortality", US_national_yearly!$D:$AM, 10, FALSE), 1)</f>
        <v>4.8342334091158403E-4</v>
      </c>
      <c r="L2" s="7">
        <f>$B2 * IFERROR(VLOOKUP("LULUCF|NOx|Premature mortality", US_national_yearly!$D:$AM, 20, FALSE) / VLOOKUP("LULUCF|NOx|Premature mortality", US_national_yearly!$D:$AM, 10, FALSE), 1)</f>
        <v>4.9050502199949209E-4</v>
      </c>
      <c r="M2" s="7">
        <f>$B2 * IFERROR(VLOOKUP("LULUCF|NOx|Premature mortality", US_national_yearly!$D:$AM, 21, FALSE) / VLOOKUP("LULUCF|NOx|Premature mortality", US_national_yearly!$D:$AM, 10, FALSE), 1)</f>
        <v>4.9758670308740031E-4</v>
      </c>
      <c r="N2" s="7">
        <f>$B2 * IFERROR(VLOOKUP("LULUCF|NOx|Premature mortality", US_national_yearly!$D:$AM, 22, FALSE) / VLOOKUP("LULUCF|NOx|Premature mortality", US_national_yearly!$D:$AM, 10, FALSE), 1)</f>
        <v>5.0283278490697789E-4</v>
      </c>
      <c r="O2" s="7">
        <f>$B2 * IFERROR(VLOOKUP("LULUCF|NOx|Premature mortality", US_national_yearly!$D:$AM, 23, FALSE) / VLOOKUP("LULUCF|NOx|Premature mortality", US_national_yearly!$D:$AM, 10, FALSE), 1)</f>
        <v>5.0807886672655557E-4</v>
      </c>
      <c r="P2" s="7">
        <f>$B2 * IFERROR(VLOOKUP("LULUCF|NOx|Premature mortality", US_national_yearly!$D:$AM, 24, FALSE) / VLOOKUP("LULUCF|NOx|Premature mortality", US_national_yearly!$D:$AM, 10, FALSE), 1)</f>
        <v>5.1332494854613314E-4</v>
      </c>
      <c r="Q2" s="7">
        <f>$B2 * IFERROR(VLOOKUP("LULUCF|NOx|Premature mortality", US_national_yearly!$D:$AM, 25, FALSE) / VLOOKUP("LULUCF|NOx|Premature mortality", US_national_yearly!$D:$AM, 10, FALSE), 1)</f>
        <v>5.1857103036571093E-4</v>
      </c>
      <c r="R2" s="7">
        <f>$B2 * IFERROR(VLOOKUP("LULUCF|NOx|Premature mortality", US_national_yearly!$D:$AM, 26, FALSE) / VLOOKUP("LULUCF|NOx|Premature mortality", US_national_yearly!$D:$AM, 10, FALSE), 1)</f>
        <v>5.238171121852885E-4</v>
      </c>
      <c r="S2" s="7">
        <f>$B2 * IFERROR(VLOOKUP("LULUCF|NOx|Premature mortality", US_national_yearly!$D:$AM, 27, FALSE) / VLOOKUP("LULUCF|NOx|Premature mortality", US_national_yearly!$D:$AM, 10, FALSE), 1)</f>
        <v>5.2620150919962844E-4</v>
      </c>
      <c r="T2" s="7">
        <f>$B2 * IFERROR(VLOOKUP("LULUCF|NOx|Premature mortality", US_national_yearly!$D:$AM, 28, FALSE) / VLOOKUP("LULUCF|NOx|Premature mortality", US_national_yearly!$D:$AM, 10, FALSE), 1)</f>
        <v>5.2858590621396848E-4</v>
      </c>
      <c r="U2" s="7">
        <f>$B2 * IFERROR(VLOOKUP("LULUCF|NOx|Premature mortality", US_national_yearly!$D:$AM, 29, FALSE) / VLOOKUP("LULUCF|NOx|Premature mortality", US_national_yearly!$D:$AM, 10, FALSE), 1)</f>
        <v>5.3097030322830831E-4</v>
      </c>
      <c r="V2" s="7">
        <f>$B2 * IFERROR(VLOOKUP("LULUCF|NOx|Premature mortality", US_national_yearly!$D:$AM, 30, FALSE) / VLOOKUP("LULUCF|NOx|Premature mortality", US_national_yearly!$D:$AM, 10, FALSE), 1)</f>
        <v>5.3335470024264825E-4</v>
      </c>
      <c r="W2" s="7">
        <f>$B2 * IFERROR(VLOOKUP("LULUCF|NOx|Premature mortality", US_national_yearly!$D:$AM, 31, FALSE) / VLOOKUP("LULUCF|NOx|Premature mortality", US_national_yearly!$D:$AM, 10, FALSE), 1)</f>
        <v>5.357390972569883E-4</v>
      </c>
      <c r="X2" s="7">
        <f>$B2 * IFERROR(VLOOKUP("LULUCF|NOx|Premature mortality", US_national_yearly!$D:$AM, 32, FALSE) / VLOOKUP("LULUCF|NOx|Premature mortality", US_national_yearly!$D:$AM, 10, FALSE), 1)</f>
        <v>5.3582169140091018E-4</v>
      </c>
      <c r="Y2" s="7">
        <f>$B2 * IFERROR(VLOOKUP("LULUCF|NOx|Premature mortality", US_national_yearly!$D:$AM, 33, FALSE) / VLOOKUP("LULUCF|NOx|Premature mortality", US_national_yearly!$D:$AM, 10, FALSE), 1)</f>
        <v>5.3590428554483216E-4</v>
      </c>
      <c r="Z2" s="7">
        <f>$B2 * IFERROR(VLOOKUP("LULUCF|NOx|Premature mortality", US_national_yearly!$D:$AM, 34, FALSE) / VLOOKUP("LULUCF|NOx|Premature mortality", US_national_yearly!$D:$AM, 10, FALSE), 1)</f>
        <v>5.3598687968875393E-4</v>
      </c>
      <c r="AA2" s="7">
        <f>$B2 * IFERROR(VLOOKUP("LULUCF|NOx|Premature mortality", US_national_yearly!$D:$AM, 35, FALSE) / VLOOKUP("LULUCF|NOx|Premature mortality", US_national_yearly!$D:$AM, 10, FALSE), 1)</f>
        <v>5.3606947383267592E-4</v>
      </c>
      <c r="AB2" s="7">
        <f>$B2 * IFERROR(VLOOKUP("LULUCF|NOx|Premature mortality", US_national_yearly!$D:$AM, 36, FALSE) / VLOOKUP("LULUCF|NOx|Premature mortality", US_national_yearly!$D:$AM, 10, FALSE), 1)</f>
        <v>5.3615206797659779E-4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1.1242588699043781E-6</v>
      </c>
      <c r="C3" s="7">
        <f>$B3 * IFERROR(VLOOKUP("LULUCF|NOx|Infant mortality", US_national_yearly!$D:$AM, 11, FALSE) / VLOOKUP("LULUCF|NOx|Infant mortality", US_national_yearly!$D:$AM, 10, FALSE), 1)</f>
        <v>1.1135474393742429E-6</v>
      </c>
      <c r="D3" s="7">
        <f>$B3 * IFERROR(VLOOKUP("LULUCF|NOx|Infant mortality", US_national_yearly!$D:$AM, 12, FALSE) / VLOOKUP("LULUCF|NOx|Infant mortality", US_national_yearly!$D:$AM, 10, FALSE), 1)</f>
        <v>1.1028360088441077E-6</v>
      </c>
      <c r="E3" s="7">
        <f>$B3 * IFERROR(VLOOKUP("LULUCF|NOx|Infant mortality", US_national_yearly!$D:$AM, 13, FALSE) / VLOOKUP("LULUCF|NOx|Infant mortality", US_national_yearly!$D:$AM, 10, FALSE), 1)</f>
        <v>1.0921245783139726E-6</v>
      </c>
      <c r="F3" s="7">
        <f>$B3 * IFERROR(VLOOKUP("LULUCF|NOx|Infant mortality", US_national_yearly!$D:$AM, 14, FALSE) / VLOOKUP("LULUCF|NOx|Infant mortality", US_national_yearly!$D:$AM, 10, FALSE), 1)</f>
        <v>1.0814131477838374E-6</v>
      </c>
      <c r="G3" s="7">
        <f>$B3 * IFERROR(VLOOKUP("LULUCF|NOx|Infant mortality", US_national_yearly!$D:$AM, 15, FALSE) / VLOOKUP("LULUCF|NOx|Infant mortality", US_national_yearly!$D:$AM, 10, FALSE), 1)</f>
        <v>7.1789544874279299E-7</v>
      </c>
      <c r="H3" s="7">
        <f>$B3 * IFERROR(VLOOKUP("LULUCF|NOx|Infant mortality", US_national_yearly!$D:$AM, 16, FALSE) / VLOOKUP("LULUCF|NOx|Infant mortality", US_national_yearly!$D:$AM, 10, FALSE), 1)</f>
        <v>3.5437774970174865E-7</v>
      </c>
      <c r="I3" s="7">
        <f>$B3 * IFERROR(VLOOKUP("LULUCF|NOx|Infant mortality", US_national_yearly!$D:$AM, 17, FALSE) / VLOOKUP("LULUCF|NOx|Infant mortality", US_national_yearly!$D:$AM, 10, FALSE), 1)</f>
        <v>3.5187196065010308E-7</v>
      </c>
      <c r="J3" s="7">
        <f>$B3 * IFERROR(VLOOKUP("LULUCF|NOx|Infant mortality", US_national_yearly!$D:$AM, 18, FALSE) / VLOOKUP("LULUCF|NOx|Infant mortality", US_national_yearly!$D:$AM, 10, FALSE), 1)</f>
        <v>3.4936617159845741E-7</v>
      </c>
      <c r="K3" s="7">
        <f>$B3 * IFERROR(VLOOKUP("LULUCF|NOx|Infant mortality", US_national_yearly!$D:$AM, 19, FALSE) / VLOOKUP("LULUCF|NOx|Infant mortality", US_national_yearly!$D:$AM, 10, FALSE), 1)</f>
        <v>3.4686038254681184E-7</v>
      </c>
      <c r="L3" s="7">
        <f>$B3 * IFERROR(VLOOKUP("LULUCF|NOx|Infant mortality", US_national_yearly!$D:$AM, 20, FALSE) / VLOOKUP("LULUCF|NOx|Infant mortality", US_national_yearly!$D:$AM, 10, FALSE), 1)</f>
        <v>3.4435459349516627E-7</v>
      </c>
      <c r="M3" s="7">
        <f>$B3 * IFERROR(VLOOKUP("LULUCF|NOx|Infant mortality", US_national_yearly!$D:$AM, 21, FALSE) / VLOOKUP("LULUCF|NOx|Infant mortality", US_national_yearly!$D:$AM, 10, FALSE), 1)</f>
        <v>3.418488044435206E-7</v>
      </c>
      <c r="N3" s="7">
        <f>$B3 * IFERROR(VLOOKUP("LULUCF|NOx|Infant mortality", US_national_yearly!$D:$AM, 22, FALSE) / VLOOKUP("LULUCF|NOx|Infant mortality", US_national_yearly!$D:$AM, 10, FALSE), 1)</f>
        <v>3.4018556644430445E-7</v>
      </c>
      <c r="O3" s="7">
        <f>$B3 * IFERROR(VLOOKUP("LULUCF|NOx|Infant mortality", US_national_yearly!$D:$AM, 23, FALSE) / VLOOKUP("LULUCF|NOx|Infant mortality", US_national_yearly!$D:$AM, 10, FALSE), 1)</f>
        <v>3.385223284450883E-7</v>
      </c>
      <c r="P3" s="7">
        <f>$B3 * IFERROR(VLOOKUP("LULUCF|NOx|Infant mortality", US_national_yearly!$D:$AM, 24, FALSE) / VLOOKUP("LULUCF|NOx|Infant mortality", US_national_yearly!$D:$AM, 10, FALSE), 1)</f>
        <v>3.3685909044587216E-7</v>
      </c>
      <c r="Q3" s="7">
        <f>$B3 * IFERROR(VLOOKUP("LULUCF|NOx|Infant mortality", US_national_yearly!$D:$AM, 25, FALSE) / VLOOKUP("LULUCF|NOx|Infant mortality", US_national_yearly!$D:$AM, 10, FALSE), 1)</f>
        <v>3.3519585244665601E-7</v>
      </c>
      <c r="R3" s="7">
        <f>$B3 * IFERROR(VLOOKUP("LULUCF|NOx|Infant mortality", US_national_yearly!$D:$AM, 26, FALSE) / VLOOKUP("LULUCF|NOx|Infant mortality", US_national_yearly!$D:$AM, 10, FALSE), 1)</f>
        <v>3.3353261444743981E-7</v>
      </c>
      <c r="S3" s="7">
        <f>$B3 * IFERROR(VLOOKUP("LULUCF|NOx|Infant mortality", US_national_yearly!$D:$AM, 27, FALSE) / VLOOKUP("LULUCF|NOx|Infant mortality", US_national_yearly!$D:$AM, 10, FALSE), 1)</f>
        <v>3.3153313787791222E-7</v>
      </c>
      <c r="T3" s="7">
        <f>$B3 * IFERROR(VLOOKUP("LULUCF|NOx|Infant mortality", US_national_yearly!$D:$AM, 28, FALSE) / VLOOKUP("LULUCF|NOx|Infant mortality", US_national_yearly!$D:$AM, 10, FALSE), 1)</f>
        <v>3.2953366130838464E-7</v>
      </c>
      <c r="U3" s="7">
        <f>$B3 * IFERROR(VLOOKUP("LULUCF|NOx|Infant mortality", US_national_yearly!$D:$AM, 29, FALSE) / VLOOKUP("LULUCF|NOx|Infant mortality", US_national_yearly!$D:$AM, 10, FALSE), 1)</f>
        <v>3.275341847388571E-7</v>
      </c>
      <c r="V3" s="7">
        <f>$B3 * IFERROR(VLOOKUP("LULUCF|NOx|Infant mortality", US_national_yearly!$D:$AM, 30, FALSE) / VLOOKUP("LULUCF|NOx|Infant mortality", US_national_yearly!$D:$AM, 10, FALSE), 1)</f>
        <v>3.2553470816932952E-7</v>
      </c>
      <c r="W3" s="7">
        <f>$B3 * IFERROR(VLOOKUP("LULUCF|NOx|Infant mortality", US_national_yearly!$D:$AM, 31, FALSE) / VLOOKUP("LULUCF|NOx|Infant mortality", US_national_yearly!$D:$AM, 10, FALSE), 1)</f>
        <v>3.2353523159980193E-7</v>
      </c>
      <c r="X3" s="7">
        <f>$B3 * IFERROR(VLOOKUP("LULUCF|NOx|Infant mortality", US_national_yearly!$D:$AM, 32, FALSE) / VLOOKUP("LULUCF|NOx|Infant mortality", US_national_yearly!$D:$AM, 10, FALSE), 1)</f>
        <v>3.2141768922193169E-7</v>
      </c>
      <c r="Y3" s="7">
        <f>$B3 * IFERROR(VLOOKUP("LULUCF|NOx|Infant mortality", US_national_yearly!$D:$AM, 33, FALSE) / VLOOKUP("LULUCF|NOx|Infant mortality", US_national_yearly!$D:$AM, 10, FALSE), 1)</f>
        <v>3.1930014684406146E-7</v>
      </c>
      <c r="Z3" s="7">
        <f>$B3 * IFERROR(VLOOKUP("LULUCF|NOx|Infant mortality", US_national_yearly!$D:$AM, 34, FALSE) / VLOOKUP("LULUCF|NOx|Infant mortality", US_national_yearly!$D:$AM, 10, FALSE), 1)</f>
        <v>3.1718260446619117E-7</v>
      </c>
      <c r="AA3" s="7">
        <f>$B3 * IFERROR(VLOOKUP("LULUCF|NOx|Infant mortality", US_national_yearly!$D:$AM, 35, FALSE) / VLOOKUP("LULUCF|NOx|Infant mortality", US_national_yearly!$D:$AM, 10, FALSE), 1)</f>
        <v>3.1506506208832088E-7</v>
      </c>
      <c r="AB3" s="7">
        <f>$B3 * IFERROR(VLOOKUP("LULUCF|NOx|Infant mortality", US_national_yearly!$D:$AM, 36, FALSE) / VLOOKUP("LULUCF|NOx|Infant mortality", US_national_yearly!$D:$AM, 10, FALSE), 1)</f>
        <v>3.1294751971045064E-7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1.1308286942836149E-3</v>
      </c>
      <c r="C6" s="7">
        <f>$B6 * IFERROR(VLOOKUP("LULUCF|NOx|Asthma symptoms cough", US_national_yearly!$D:$AM, 11, FALSE) / VLOOKUP("LULUCF|NOx|Asthma symptoms cough", US_national_yearly!$D:$AM, 10, FALSE), 1)</f>
        <v>1.1462889713662017E-3</v>
      </c>
      <c r="D6" s="7">
        <f>$B6 * IFERROR(VLOOKUP("LULUCF|NOx|Asthma symptoms cough", US_national_yearly!$D:$AM, 12, FALSE) / VLOOKUP("LULUCF|NOx|Asthma symptoms cough", US_national_yearly!$D:$AM, 10, FALSE), 1)</f>
        <v>1.1617492484487886E-3</v>
      </c>
      <c r="E6" s="7">
        <f>$B6 * IFERROR(VLOOKUP("LULUCF|NOx|Asthma symptoms cough", US_national_yearly!$D:$AM, 13, FALSE) / VLOOKUP("LULUCF|NOx|Asthma symptoms cough", US_national_yearly!$D:$AM, 10, FALSE), 1)</f>
        <v>1.1772095255313754E-3</v>
      </c>
      <c r="F6" s="7">
        <f>$B6 * IFERROR(VLOOKUP("LULUCF|NOx|Asthma symptoms cough", US_national_yearly!$D:$AM, 14, FALSE) / VLOOKUP("LULUCF|NOx|Asthma symptoms cough", US_national_yearly!$D:$AM, 10, FALSE), 1)</f>
        <v>1.1926698026139622E-3</v>
      </c>
      <c r="G6" s="7">
        <f>$B6 * IFERROR(VLOOKUP("LULUCF|NOx|Asthma symptoms cough", US_national_yearly!$D:$AM, 15, FALSE) / VLOOKUP("LULUCF|NOx|Asthma symptoms cough", US_national_yearly!$D:$AM, 10, FALSE), 1)</f>
        <v>1.2050126734366431E-3</v>
      </c>
      <c r="H6" s="7">
        <f>$B6 * IFERROR(VLOOKUP("LULUCF|NOx|Asthma symptoms cough", US_national_yearly!$D:$AM, 16, FALSE) / VLOOKUP("LULUCF|NOx|Asthma symptoms cough", US_national_yearly!$D:$AM, 10, FALSE), 1)</f>
        <v>1.2173555442593243E-3</v>
      </c>
      <c r="I6" s="7">
        <f>$B6 * IFERROR(VLOOKUP("LULUCF|NOx|Asthma symptoms cough", US_national_yearly!$D:$AM, 17, FALSE) / VLOOKUP("LULUCF|NOx|Asthma symptoms cough", US_national_yearly!$D:$AM, 10, FALSE), 1)</f>
        <v>1.2216037839458793E-3</v>
      </c>
      <c r="J6" s="7">
        <f>$B6 * IFERROR(VLOOKUP("LULUCF|NOx|Asthma symptoms cough", US_national_yearly!$D:$AM, 18, FALSE) / VLOOKUP("LULUCF|NOx|Asthma symptoms cough", US_national_yearly!$D:$AM, 10, FALSE), 1)</f>
        <v>1.2258520236324345E-3</v>
      </c>
      <c r="K6" s="7">
        <f>$B6 * IFERROR(VLOOKUP("LULUCF|NOx|Asthma symptoms cough", US_national_yearly!$D:$AM, 19, FALSE) / VLOOKUP("LULUCF|NOx|Asthma symptoms cough", US_national_yearly!$D:$AM, 10, FALSE), 1)</f>
        <v>1.2301002633189895E-3</v>
      </c>
      <c r="L6" s="7">
        <f>$B6 * IFERROR(VLOOKUP("LULUCF|NOx|Asthma symptoms cough", US_national_yearly!$D:$AM, 20, FALSE) / VLOOKUP("LULUCF|NOx|Asthma symptoms cough", US_national_yearly!$D:$AM, 10, FALSE), 1)</f>
        <v>1.2343485030055445E-3</v>
      </c>
      <c r="M6" s="7">
        <f>$B6 * IFERROR(VLOOKUP("LULUCF|NOx|Asthma symptoms cough", US_national_yearly!$D:$AM, 21, FALSE) / VLOOKUP("LULUCF|NOx|Asthma symptoms cough", US_national_yearly!$D:$AM, 10, FALSE), 1)</f>
        <v>1.2385967426920999E-3</v>
      </c>
      <c r="N6" s="7">
        <f>$B6 * IFERROR(VLOOKUP("LULUCF|NOx|Asthma symptoms cough", US_national_yearly!$D:$AM, 22, FALSE) / VLOOKUP("LULUCF|NOx|Asthma symptoms cough", US_national_yearly!$D:$AM, 10, FALSE), 1)</f>
        <v>1.2435228929634705E-3</v>
      </c>
      <c r="O6" s="7">
        <f>$B6 * IFERROR(VLOOKUP("LULUCF|NOx|Asthma symptoms cough", US_national_yearly!$D:$AM, 23, FALSE) / VLOOKUP("LULUCF|NOx|Asthma symptoms cough", US_national_yearly!$D:$AM, 10, FALSE), 1)</f>
        <v>1.2484490432348413E-3</v>
      </c>
      <c r="P6" s="7">
        <f>$B6 * IFERROR(VLOOKUP("LULUCF|NOx|Asthma symptoms cough", US_national_yearly!$D:$AM, 24, FALSE) / VLOOKUP("LULUCF|NOx|Asthma symptoms cough", US_national_yearly!$D:$AM, 10, FALSE), 1)</f>
        <v>1.2533751935062121E-3</v>
      </c>
      <c r="Q6" s="7">
        <f>$B6 * IFERROR(VLOOKUP("LULUCF|NOx|Asthma symptoms cough", US_national_yearly!$D:$AM, 25, FALSE) / VLOOKUP("LULUCF|NOx|Asthma symptoms cough", US_national_yearly!$D:$AM, 10, FALSE), 1)</f>
        <v>1.2583013437775831E-3</v>
      </c>
      <c r="R6" s="7">
        <f>$B6 * IFERROR(VLOOKUP("LULUCF|NOx|Asthma symptoms cough", US_national_yearly!$D:$AM, 26, FALSE) / VLOOKUP("LULUCF|NOx|Asthma symptoms cough", US_national_yearly!$D:$AM, 10, FALSE), 1)</f>
        <v>1.2632274940489539E-3</v>
      </c>
      <c r="S6" s="7">
        <f>$B6 * IFERROR(VLOOKUP("LULUCF|NOx|Asthma symptoms cough", US_national_yearly!$D:$AM, 27, FALSE) / VLOOKUP("LULUCF|NOx|Asthma symptoms cough", US_national_yearly!$D:$AM, 10, FALSE), 1)</f>
        <v>1.2696626152705996E-3</v>
      </c>
      <c r="T6" s="7">
        <f>$B6 * IFERROR(VLOOKUP("LULUCF|NOx|Asthma symptoms cough", US_national_yearly!$D:$AM, 28, FALSE) / VLOOKUP("LULUCF|NOx|Asthma symptoms cough", US_national_yearly!$D:$AM, 10, FALSE), 1)</f>
        <v>1.2760977364922449E-3</v>
      </c>
      <c r="U6" s="7">
        <f>$B6 * IFERROR(VLOOKUP("LULUCF|NOx|Asthma symptoms cough", US_national_yearly!$D:$AM, 29, FALSE) / VLOOKUP("LULUCF|NOx|Asthma symptoms cough", US_national_yearly!$D:$AM, 10, FALSE), 1)</f>
        <v>1.2825328577138902E-3</v>
      </c>
      <c r="V6" s="7">
        <f>$B6 * IFERROR(VLOOKUP("LULUCF|NOx|Asthma symptoms cough", US_national_yearly!$D:$AM, 30, FALSE) / VLOOKUP("LULUCF|NOx|Asthma symptoms cough", US_national_yearly!$D:$AM, 10, FALSE), 1)</f>
        <v>1.288967978935536E-3</v>
      </c>
      <c r="W6" s="7">
        <f>$B6 * IFERROR(VLOOKUP("LULUCF|NOx|Asthma symptoms cough", US_national_yearly!$D:$AM, 31, FALSE) / VLOOKUP("LULUCF|NOx|Asthma symptoms cough", US_national_yearly!$D:$AM, 10, FALSE), 1)</f>
        <v>1.2954031001571815E-3</v>
      </c>
      <c r="X6" s="7">
        <f>$B6 * IFERROR(VLOOKUP("LULUCF|NOx|Asthma symptoms cough", US_national_yearly!$D:$AM, 32, FALSE) / VLOOKUP("LULUCF|NOx|Asthma symptoms cough", US_national_yearly!$D:$AM, 10, FALSE), 1)</f>
        <v>1.3013822524060074E-3</v>
      </c>
      <c r="Y6" s="7">
        <f>$B6 * IFERROR(VLOOKUP("LULUCF|NOx|Asthma symptoms cough", US_national_yearly!$D:$AM, 33, FALSE) / VLOOKUP("LULUCF|NOx|Asthma symptoms cough", US_national_yearly!$D:$AM, 10, FALSE), 1)</f>
        <v>1.3073614046548332E-3</v>
      </c>
      <c r="Z6" s="7">
        <f>$B6 * IFERROR(VLOOKUP("LULUCF|NOx|Asthma symptoms cough", US_national_yearly!$D:$AM, 34, FALSE) / VLOOKUP("LULUCF|NOx|Asthma symptoms cough", US_national_yearly!$D:$AM, 10, FALSE), 1)</f>
        <v>1.3133405569036591E-3</v>
      </c>
      <c r="AA6" s="7">
        <f>$B6 * IFERROR(VLOOKUP("LULUCF|NOx|Asthma symptoms cough", US_national_yearly!$D:$AM, 35, FALSE) / VLOOKUP("LULUCF|NOx|Asthma symptoms cough", US_national_yearly!$D:$AM, 10, FALSE), 1)</f>
        <v>1.319319709152485E-3</v>
      </c>
      <c r="AB6" s="7">
        <f>$B6 * IFERROR(VLOOKUP("LULUCF|NOx|Asthma symptoms cough", US_national_yearly!$D:$AM, 36, FALSE) / VLOOKUP("LULUCF|NOx|Asthma symptoms cough", US_national_yearly!$D:$AM, 10, FALSE), 1)</f>
        <v>1.3252988614013111E-3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1.5228252644319633E-3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1.5436447755012136E-3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1.5644642865704635E-3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1.5852837976397139E-3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1.6061033087089642E-3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1.6227247789532013E-3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1.6393462491974386E-3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1.6450671216106168E-3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1.6507879940237948E-3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1.6565088664369731E-3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1.6622297388501511E-3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1.6679506112633291E-3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1.6745843888666138E-3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1.6812181664698986E-3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1.6878519440731829E-3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1.6944857216764674E-3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1.7011194992797522E-3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1.7097853256964374E-3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1.7184511521131231E-3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1.7271169785298083E-3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1.7357828049464933E-3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1.7444486313631785E-3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1.7525004292529886E-3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1.7605522271427988E-3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1.7686040250326092E-3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1.7766558229224193E-3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1.7847076208122293E-3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2.3266177131411703E-3</v>
      </c>
      <c r="C8" s="7">
        <f>$B8 * IFERROR(VLOOKUP("LULUCF|NOx|Asthma symptoms wheeze", US_national_yearly!$D:$AM, 11, FALSE) / VLOOKUP("LULUCF|NOx|Asthma symptoms wheeze", US_national_yearly!$D:$AM, 10, FALSE), 1)</f>
        <v>2.3584263811930587E-3</v>
      </c>
      <c r="D8" s="7">
        <f>$B8 * IFERROR(VLOOKUP("LULUCF|NOx|Asthma symptoms wheeze", US_national_yearly!$D:$AM, 12, FALSE) / VLOOKUP("LULUCF|NOx|Asthma symptoms wheeze", US_national_yearly!$D:$AM, 10, FALSE), 1)</f>
        <v>2.3902350492449481E-3</v>
      </c>
      <c r="E8" s="7">
        <f>$B8 * IFERROR(VLOOKUP("LULUCF|NOx|Asthma symptoms wheeze", US_national_yearly!$D:$AM, 13, FALSE) / VLOOKUP("LULUCF|NOx|Asthma symptoms wheeze", US_national_yearly!$D:$AM, 10, FALSE), 1)</f>
        <v>2.4220437172968365E-3</v>
      </c>
      <c r="F8" s="7">
        <f>$B8 * IFERROR(VLOOKUP("LULUCF|NOx|Asthma symptoms wheeze", US_national_yearly!$D:$AM, 14, FALSE) / VLOOKUP("LULUCF|NOx|Asthma symptoms wheeze", US_national_yearly!$D:$AM, 10, FALSE), 1)</f>
        <v>2.453852385348725E-3</v>
      </c>
      <c r="G8" s="7">
        <f>$B8 * IFERROR(VLOOKUP("LULUCF|NOx|Asthma symptoms wheeze", US_national_yearly!$D:$AM, 15, FALSE) / VLOOKUP("LULUCF|NOx|Asthma symptoms wheeze", US_national_yearly!$D:$AM, 10, FALSE), 1)</f>
        <v>2.4792471618460166E-3</v>
      </c>
      <c r="H8" s="7">
        <f>$B8 * IFERROR(VLOOKUP("LULUCF|NOx|Asthma symptoms wheeze", US_national_yearly!$D:$AM, 16, FALSE) / VLOOKUP("LULUCF|NOx|Asthma symptoms wheeze", US_national_yearly!$D:$AM, 10, FALSE), 1)</f>
        <v>2.5046419383433077E-3</v>
      </c>
      <c r="I8" s="7">
        <f>$B8 * IFERROR(VLOOKUP("LULUCF|NOx|Asthma symptoms wheeze", US_national_yearly!$D:$AM, 17, FALSE) / VLOOKUP("LULUCF|NOx|Asthma symptoms wheeze", US_national_yearly!$D:$AM, 10, FALSE), 1)</f>
        <v>2.513382457408547E-3</v>
      </c>
      <c r="J8" s="7">
        <f>$B8 * IFERROR(VLOOKUP("LULUCF|NOx|Asthma symptoms wheeze", US_national_yearly!$D:$AM, 18, FALSE) / VLOOKUP("LULUCF|NOx|Asthma symptoms wheeze", US_national_yearly!$D:$AM, 10, FALSE), 1)</f>
        <v>2.5221229764737872E-3</v>
      </c>
      <c r="K8" s="7">
        <f>$B8 * IFERROR(VLOOKUP("LULUCF|NOx|Asthma symptoms wheeze", US_national_yearly!$D:$AM, 19, FALSE) / VLOOKUP("LULUCF|NOx|Asthma symptoms wheeze", US_national_yearly!$D:$AM, 10, FALSE), 1)</f>
        <v>2.530863495539026E-3</v>
      </c>
      <c r="L8" s="7">
        <f>$B8 * IFERROR(VLOOKUP("LULUCF|NOx|Asthma symptoms wheeze", US_national_yearly!$D:$AM, 20, FALSE) / VLOOKUP("LULUCF|NOx|Asthma symptoms wheeze", US_national_yearly!$D:$AM, 10, FALSE), 1)</f>
        <v>2.5396040146042661E-3</v>
      </c>
      <c r="M8" s="7">
        <f>$B8 * IFERROR(VLOOKUP("LULUCF|NOx|Asthma symptoms wheeze", US_national_yearly!$D:$AM, 21, FALSE) / VLOOKUP("LULUCF|NOx|Asthma symptoms wheeze", US_national_yearly!$D:$AM, 10, FALSE), 1)</f>
        <v>2.5483445336695059E-3</v>
      </c>
      <c r="N8" s="7">
        <f>$B8 * IFERROR(VLOOKUP("LULUCF|NOx|Asthma symptoms wheeze", US_national_yearly!$D:$AM, 22, FALSE) / VLOOKUP("LULUCF|NOx|Asthma symptoms wheeze", US_national_yearly!$D:$AM, 10, FALSE), 1)</f>
        <v>2.5584798164122848E-3</v>
      </c>
      <c r="O8" s="7">
        <f>$B8 * IFERROR(VLOOKUP("LULUCF|NOx|Asthma symptoms wheeze", US_national_yearly!$D:$AM, 23, FALSE) / VLOOKUP("LULUCF|NOx|Asthma symptoms wheeze", US_national_yearly!$D:$AM, 10, FALSE), 1)</f>
        <v>2.5686150991550642E-3</v>
      </c>
      <c r="P8" s="7">
        <f>$B8 * IFERROR(VLOOKUP("LULUCF|NOx|Asthma symptoms wheeze", US_national_yearly!$D:$AM, 24, FALSE) / VLOOKUP("LULUCF|NOx|Asthma symptoms wheeze", US_national_yearly!$D:$AM, 10, FALSE), 1)</f>
        <v>2.5787503818978431E-3</v>
      </c>
      <c r="Q8" s="7">
        <f>$B8 * IFERROR(VLOOKUP("LULUCF|NOx|Asthma symptoms wheeze", US_national_yearly!$D:$AM, 25, FALSE) / VLOOKUP("LULUCF|NOx|Asthma symptoms wheeze", US_national_yearly!$D:$AM, 10, FALSE), 1)</f>
        <v>2.5888856646406225E-3</v>
      </c>
      <c r="R8" s="7">
        <f>$B8 * IFERROR(VLOOKUP("LULUCF|NOx|Asthma symptoms wheeze", US_national_yearly!$D:$AM, 26, FALSE) / VLOOKUP("LULUCF|NOx|Asthma symptoms wheeze", US_national_yearly!$D:$AM, 10, FALSE), 1)</f>
        <v>2.5990209473834014E-3</v>
      </c>
      <c r="S8" s="7">
        <f>$B8 * IFERROR(VLOOKUP("LULUCF|NOx|Asthma symptoms wheeze", US_national_yearly!$D:$AM, 27, FALSE) / VLOOKUP("LULUCF|NOx|Asthma symptoms wheeze", US_national_yearly!$D:$AM, 10, FALSE), 1)</f>
        <v>2.6122608547012615E-3</v>
      </c>
      <c r="T8" s="7">
        <f>$B8 * IFERROR(VLOOKUP("LULUCF|NOx|Asthma symptoms wheeze", US_national_yearly!$D:$AM, 28, FALSE) / VLOOKUP("LULUCF|NOx|Asthma symptoms wheeze", US_national_yearly!$D:$AM, 10, FALSE), 1)</f>
        <v>2.6255007620191216E-3</v>
      </c>
      <c r="U8" s="7">
        <f>$B8 * IFERROR(VLOOKUP("LULUCF|NOx|Asthma symptoms wheeze", US_national_yearly!$D:$AM, 29, FALSE) / VLOOKUP("LULUCF|NOx|Asthma symptoms wheeze", US_national_yearly!$D:$AM, 10, FALSE), 1)</f>
        <v>2.6387406693369818E-3</v>
      </c>
      <c r="V8" s="7">
        <f>$B8 * IFERROR(VLOOKUP("LULUCF|NOx|Asthma symptoms wheeze", US_national_yearly!$D:$AM, 30, FALSE) / VLOOKUP("LULUCF|NOx|Asthma symptoms wheeze", US_national_yearly!$D:$AM, 10, FALSE), 1)</f>
        <v>2.6519805766548423E-3</v>
      </c>
      <c r="W8" s="7">
        <f>$B8 * IFERROR(VLOOKUP("LULUCF|NOx|Asthma symptoms wheeze", US_national_yearly!$D:$AM, 31, FALSE) / VLOOKUP("LULUCF|NOx|Asthma symptoms wheeze", US_national_yearly!$D:$AM, 10, FALSE), 1)</f>
        <v>2.665220483972702E-3</v>
      </c>
      <c r="X8" s="7">
        <f>$B8 * IFERROR(VLOOKUP("LULUCF|NOx|Asthma symptoms wheeze", US_national_yearly!$D:$AM, 32, FALSE) / VLOOKUP("LULUCF|NOx|Asthma symptoms wheeze", US_national_yearly!$D:$AM, 10, FALSE), 1)</f>
        <v>2.677522260250149E-3</v>
      </c>
      <c r="Y8" s="7">
        <f>$B8 * IFERROR(VLOOKUP("LULUCF|NOx|Asthma symptoms wheeze", US_national_yearly!$D:$AM, 33, FALSE) / VLOOKUP("LULUCF|NOx|Asthma symptoms wheeze", US_national_yearly!$D:$AM, 10, FALSE), 1)</f>
        <v>2.6898240365275956E-3</v>
      </c>
      <c r="Z8" s="7">
        <f>$B8 * IFERROR(VLOOKUP("LULUCF|NOx|Asthma symptoms wheeze", US_national_yearly!$D:$AM, 34, FALSE) / VLOOKUP("LULUCF|NOx|Asthma symptoms wheeze", US_national_yearly!$D:$AM, 10, FALSE), 1)</f>
        <v>2.7021258128050421E-3</v>
      </c>
      <c r="AA8" s="7">
        <f>$B8 * IFERROR(VLOOKUP("LULUCF|NOx|Asthma symptoms wheeze", US_national_yearly!$D:$AM, 35, FALSE) / VLOOKUP("LULUCF|NOx|Asthma symptoms wheeze", US_national_yearly!$D:$AM, 10, FALSE), 1)</f>
        <v>2.7144275890824887E-3</v>
      </c>
      <c r="AB8" s="7">
        <f>$B8 * IFERROR(VLOOKUP("LULUCF|NOx|Asthma symptoms wheeze", US_national_yearly!$D:$AM, 36, FALSE) / VLOOKUP("LULUCF|NOx|Asthma symptoms wheeze", US_national_yearly!$D:$AM, 10, FALSE), 1)</f>
        <v>2.7267293653599357E-3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2.5981338204618361E-5</v>
      </c>
      <c r="C12" s="7">
        <f>$B12 * IFERROR(VLOOKUP("LULUCF|NOx|Respiratory hospital admissions", US_national_yearly!$D:$AM, 11, FALSE) / VLOOKUP("LULUCF|NOx|Respiratory hospital admissions", US_national_yearly!$D:$AM, 10, FALSE), 1)</f>
        <v>2.6629433974657221E-5</v>
      </c>
      <c r="D12" s="7">
        <f>$B12 * IFERROR(VLOOKUP("LULUCF|NOx|Respiratory hospital admissions", US_national_yearly!$D:$AM, 12, FALSE) / VLOOKUP("LULUCF|NOx|Respiratory hospital admissions", US_national_yearly!$D:$AM, 10, FALSE), 1)</f>
        <v>2.7277529744696084E-5</v>
      </c>
      <c r="E12" s="7">
        <f>$B12 * IFERROR(VLOOKUP("LULUCF|NOx|Respiratory hospital admissions", US_national_yearly!$D:$AM, 13, FALSE) / VLOOKUP("LULUCF|NOx|Respiratory hospital admissions", US_national_yearly!$D:$AM, 10, FALSE), 1)</f>
        <v>2.7925625514734947E-5</v>
      </c>
      <c r="F12" s="7">
        <f>$B12 * IFERROR(VLOOKUP("LULUCF|NOx|Respiratory hospital admissions", US_national_yearly!$D:$AM, 14, FALSE) / VLOOKUP("LULUCF|NOx|Respiratory hospital admissions", US_national_yearly!$D:$AM, 10, FALSE), 1)</f>
        <v>2.8573721284773813E-5</v>
      </c>
      <c r="G12" s="7">
        <f>$B12 * IFERROR(VLOOKUP("LULUCF|NOx|Respiratory hospital admissions", US_national_yearly!$D:$AM, 15, FALSE) / VLOOKUP("LULUCF|NOx|Respiratory hospital admissions", US_national_yearly!$D:$AM, 10, FALSE), 1)</f>
        <v>2.9193322899485229E-5</v>
      </c>
      <c r="H12" s="7">
        <f>$B12 * IFERROR(VLOOKUP("LULUCF|NOx|Respiratory hospital admissions", US_national_yearly!$D:$AM, 16, FALSE) / VLOOKUP("LULUCF|NOx|Respiratory hospital admissions", US_national_yearly!$D:$AM, 10, FALSE), 1)</f>
        <v>2.9812924514196649E-5</v>
      </c>
      <c r="I12" s="7">
        <f>$B12 * IFERROR(VLOOKUP("LULUCF|NOx|Respiratory hospital admissions", US_national_yearly!$D:$AM, 17, FALSE) / VLOOKUP("LULUCF|NOx|Respiratory hospital admissions", US_national_yearly!$D:$AM, 10, FALSE), 1)</f>
        <v>3.0338979022806773E-5</v>
      </c>
      <c r="J12" s="7">
        <f>$B12 * IFERROR(VLOOKUP("LULUCF|NOx|Respiratory hospital admissions", US_national_yearly!$D:$AM, 18, FALSE) / VLOOKUP("LULUCF|NOx|Respiratory hospital admissions", US_national_yearly!$D:$AM, 10, FALSE), 1)</f>
        <v>3.0865033531416891E-5</v>
      </c>
      <c r="K12" s="7">
        <f>$B12 * IFERROR(VLOOKUP("LULUCF|NOx|Respiratory hospital admissions", US_national_yearly!$D:$AM, 19, FALSE) / VLOOKUP("LULUCF|NOx|Respiratory hospital admissions", US_national_yearly!$D:$AM, 10, FALSE), 1)</f>
        <v>3.1391088040027015E-5</v>
      </c>
      <c r="L12" s="7">
        <f>$B12 * IFERROR(VLOOKUP("LULUCF|NOx|Respiratory hospital admissions", US_national_yearly!$D:$AM, 20, FALSE) / VLOOKUP("LULUCF|NOx|Respiratory hospital admissions", US_national_yearly!$D:$AM, 10, FALSE), 1)</f>
        <v>3.1917142548637139E-5</v>
      </c>
      <c r="M12" s="7">
        <f>$B12 * IFERROR(VLOOKUP("LULUCF|NOx|Respiratory hospital admissions", US_national_yearly!$D:$AM, 21, FALSE) / VLOOKUP("LULUCF|NOx|Respiratory hospital admissions", US_national_yearly!$D:$AM, 10, FALSE), 1)</f>
        <v>3.2443197057247264E-5</v>
      </c>
      <c r="N12" s="7">
        <f>$B12 * IFERROR(VLOOKUP("LULUCF|NOx|Respiratory hospital admissions", US_national_yearly!$D:$AM, 22, FALSE) / VLOOKUP("LULUCF|NOx|Respiratory hospital admissions", US_national_yearly!$D:$AM, 10, FALSE), 1)</f>
        <v>3.2794873967632752E-5</v>
      </c>
      <c r="O12" s="7">
        <f>$B12 * IFERROR(VLOOKUP("LULUCF|NOx|Respiratory hospital admissions", US_national_yearly!$D:$AM, 23, FALSE) / VLOOKUP("LULUCF|NOx|Respiratory hospital admissions", US_national_yearly!$D:$AM, 10, FALSE), 1)</f>
        <v>3.3146550878018255E-5</v>
      </c>
      <c r="P12" s="7">
        <f>$B12 * IFERROR(VLOOKUP("LULUCF|NOx|Respiratory hospital admissions", US_national_yearly!$D:$AM, 24, FALSE) / VLOOKUP("LULUCF|NOx|Respiratory hospital admissions", US_national_yearly!$D:$AM, 10, FALSE), 1)</f>
        <v>3.349822778840375E-5</v>
      </c>
      <c r="Q12" s="7">
        <f>$B12 * IFERROR(VLOOKUP("LULUCF|NOx|Respiratory hospital admissions", US_national_yearly!$D:$AM, 25, FALSE) / VLOOKUP("LULUCF|NOx|Respiratory hospital admissions", US_national_yearly!$D:$AM, 10, FALSE), 1)</f>
        <v>3.3849904698789253E-5</v>
      </c>
      <c r="R12" s="7">
        <f>$B12 * IFERROR(VLOOKUP("LULUCF|NOx|Respiratory hospital admissions", US_national_yearly!$D:$AM, 26, FALSE) / VLOOKUP("LULUCF|NOx|Respiratory hospital admissions", US_national_yearly!$D:$AM, 10, FALSE), 1)</f>
        <v>3.4201581609174741E-5</v>
      </c>
      <c r="S12" s="7">
        <f>$B12 * IFERROR(VLOOKUP("LULUCF|NOx|Respiratory hospital admissions", US_national_yearly!$D:$AM, 27, FALSE) / VLOOKUP("LULUCF|NOx|Respiratory hospital admissions", US_national_yearly!$D:$AM, 10, FALSE), 1)</f>
        <v>3.4390000568418835E-5</v>
      </c>
      <c r="T12" s="7">
        <f>$B12 * IFERROR(VLOOKUP("LULUCF|NOx|Respiratory hospital admissions", US_national_yearly!$D:$AM, 28, FALSE) / VLOOKUP("LULUCF|NOx|Respiratory hospital admissions", US_national_yearly!$D:$AM, 10, FALSE), 1)</f>
        <v>3.4578419527662928E-5</v>
      </c>
      <c r="U12" s="7">
        <f>$B12 * IFERROR(VLOOKUP("LULUCF|NOx|Respiratory hospital admissions", US_national_yearly!$D:$AM, 29, FALSE) / VLOOKUP("LULUCF|NOx|Respiratory hospital admissions", US_national_yearly!$D:$AM, 10, FALSE), 1)</f>
        <v>3.4766838486907021E-5</v>
      </c>
      <c r="V12" s="7">
        <f>$B12 * IFERROR(VLOOKUP("LULUCF|NOx|Respiratory hospital admissions", US_national_yearly!$D:$AM, 30, FALSE) / VLOOKUP("LULUCF|NOx|Respiratory hospital admissions", US_national_yearly!$D:$AM, 10, FALSE), 1)</f>
        <v>3.4955257446151108E-5</v>
      </c>
      <c r="W12" s="7">
        <f>$B12 * IFERROR(VLOOKUP("LULUCF|NOx|Respiratory hospital admissions", US_national_yearly!$D:$AM, 31, FALSE) / VLOOKUP("LULUCF|NOx|Respiratory hospital admissions", US_national_yearly!$D:$AM, 10, FALSE), 1)</f>
        <v>3.5143676405395201E-5</v>
      </c>
      <c r="X12" s="7">
        <f>$B12 * IFERROR(VLOOKUP("LULUCF|NOx|Respiratory hospital admissions", US_national_yearly!$D:$AM, 32, FALSE) / VLOOKUP("LULUCF|NOx|Respiratory hospital admissions", US_national_yearly!$D:$AM, 10, FALSE), 1)</f>
        <v>3.5272436285309655E-5</v>
      </c>
      <c r="Y12" s="7">
        <f>$B12 * IFERROR(VLOOKUP("LULUCF|NOx|Respiratory hospital admissions", US_national_yearly!$D:$AM, 33, FALSE) / VLOOKUP("LULUCF|NOx|Respiratory hospital admissions", US_national_yearly!$D:$AM, 10, FALSE), 1)</f>
        <v>3.5401196165224108E-5</v>
      </c>
      <c r="Z12" s="7">
        <f>$B12 * IFERROR(VLOOKUP("LULUCF|NOx|Respiratory hospital admissions", US_national_yearly!$D:$AM, 34, FALSE) / VLOOKUP("LULUCF|NOx|Respiratory hospital admissions", US_national_yearly!$D:$AM, 10, FALSE), 1)</f>
        <v>3.5529956045138562E-5</v>
      </c>
      <c r="AA12" s="7">
        <f>$B12 * IFERROR(VLOOKUP("LULUCF|NOx|Respiratory hospital admissions", US_national_yearly!$D:$AM, 35, FALSE) / VLOOKUP("LULUCF|NOx|Respiratory hospital admissions", US_national_yearly!$D:$AM, 10, FALSE), 1)</f>
        <v>3.5658715925053015E-5</v>
      </c>
      <c r="AB12" s="7">
        <f>$B12 * IFERROR(VLOOKUP("LULUCF|NOx|Respiratory hospital admissions", US_national_yearly!$D:$AM, 36, FALSE) / VLOOKUP("LULUCF|NOx|Respiratory hospital admissions", US_national_yearly!$D:$AM, 10, FALSE), 1)</f>
        <v>3.5787475804967462E-5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1.6064142776082925E-4</v>
      </c>
      <c r="C13" s="7">
        <f>$B13 * IFERROR(VLOOKUP("LULUCF|NOx|Non-fatal heart attacks", US_national_yearly!$D:$AM, 11, FALSE) / VLOOKUP("LULUCF|NOx|Non-fatal heart attacks", US_national_yearly!$D:$AM, 10, FALSE), 1)</f>
        <v>1.6523402464638329E-4</v>
      </c>
      <c r="D13" s="7">
        <f>$B13 * IFERROR(VLOOKUP("LULUCF|NOx|Non-fatal heart attacks", US_national_yearly!$D:$AM, 12, FALSE) / VLOOKUP("LULUCF|NOx|Non-fatal heart attacks", US_national_yearly!$D:$AM, 10, FALSE), 1)</f>
        <v>1.6982662153193734E-4</v>
      </c>
      <c r="E13" s="7">
        <f>$B13 * IFERROR(VLOOKUP("LULUCF|NOx|Non-fatal heart attacks", US_national_yearly!$D:$AM, 13, FALSE) / VLOOKUP("LULUCF|NOx|Non-fatal heart attacks", US_national_yearly!$D:$AM, 10, FALSE), 1)</f>
        <v>1.7441921841749135E-4</v>
      </c>
      <c r="F13" s="7">
        <f>$B13 * IFERROR(VLOOKUP("LULUCF|NOx|Non-fatal heart attacks", US_national_yearly!$D:$AM, 14, FALSE) / VLOOKUP("LULUCF|NOx|Non-fatal heart attacks", US_national_yearly!$D:$AM, 10, FALSE), 1)</f>
        <v>1.790118153030454E-4</v>
      </c>
      <c r="G13" s="7">
        <f>$B13 * IFERROR(VLOOKUP("LULUCF|NOx|Non-fatal heart attacks", US_national_yearly!$D:$AM, 15, FALSE) / VLOOKUP("LULUCF|NOx|Non-fatal heart attacks", US_national_yearly!$D:$AM, 10, FALSE), 1)</f>
        <v>1.8330358754758516E-4</v>
      </c>
      <c r="H13" s="7">
        <f>$B13 * IFERROR(VLOOKUP("LULUCF|NOx|Non-fatal heart attacks", US_national_yearly!$D:$AM, 16, FALSE) / VLOOKUP("LULUCF|NOx|Non-fatal heart attacks", US_national_yearly!$D:$AM, 10, FALSE), 1)</f>
        <v>1.8759535979212492E-4</v>
      </c>
      <c r="I13" s="7">
        <f>$B13 * IFERROR(VLOOKUP("LULUCF|NOx|Non-fatal heart attacks", US_national_yearly!$D:$AM, 17, FALSE) / VLOOKUP("LULUCF|NOx|Non-fatal heart attacks", US_national_yearly!$D:$AM, 10, FALSE), 1)</f>
        <v>1.9097893161053417E-4</v>
      </c>
      <c r="J13" s="7">
        <f>$B13 * IFERROR(VLOOKUP("LULUCF|NOx|Non-fatal heart attacks", US_national_yearly!$D:$AM, 18, FALSE) / VLOOKUP("LULUCF|NOx|Non-fatal heart attacks", US_national_yearly!$D:$AM, 10, FALSE), 1)</f>
        <v>1.9436250342894345E-4</v>
      </c>
      <c r="K13" s="7">
        <f>$B13 * IFERROR(VLOOKUP("LULUCF|NOx|Non-fatal heart attacks", US_national_yearly!$D:$AM, 19, FALSE) / VLOOKUP("LULUCF|NOx|Non-fatal heart attacks", US_national_yearly!$D:$AM, 10, FALSE), 1)</f>
        <v>1.9774607524735259E-4</v>
      </c>
      <c r="L13" s="7">
        <f>$B13 * IFERROR(VLOOKUP("LULUCF|NOx|Non-fatal heart attacks", US_national_yearly!$D:$AM, 20, FALSE) / VLOOKUP("LULUCF|NOx|Non-fatal heart attacks", US_national_yearly!$D:$AM, 10, FALSE), 1)</f>
        <v>2.0112964706576198E-4</v>
      </c>
      <c r="M13" s="7">
        <f>$B13 * IFERROR(VLOOKUP("LULUCF|NOx|Non-fatal heart attacks", US_national_yearly!$D:$AM, 21, FALSE) / VLOOKUP("LULUCF|NOx|Non-fatal heart attacks", US_national_yearly!$D:$AM, 10, FALSE), 1)</f>
        <v>2.0451321888417118E-4</v>
      </c>
      <c r="N13" s="7">
        <f>$B13 * IFERROR(VLOOKUP("LULUCF|NOx|Non-fatal heart attacks", US_national_yearly!$D:$AM, 22, FALSE) / VLOOKUP("LULUCF|NOx|Non-fatal heart attacks", US_national_yearly!$D:$AM, 10, FALSE), 1)</f>
        <v>2.0654887830227997E-4</v>
      </c>
      <c r="O13" s="7">
        <f>$B13 * IFERROR(VLOOKUP("LULUCF|NOx|Non-fatal heart attacks", US_national_yearly!$D:$AM, 23, FALSE) / VLOOKUP("LULUCF|NOx|Non-fatal heart attacks", US_national_yearly!$D:$AM, 10, FALSE), 1)</f>
        <v>2.0858453772038874E-4</v>
      </c>
      <c r="P13" s="7">
        <f>$B13 * IFERROR(VLOOKUP("LULUCF|NOx|Non-fatal heart attacks", US_national_yearly!$D:$AM, 24, FALSE) / VLOOKUP("LULUCF|NOx|Non-fatal heart attacks", US_national_yearly!$D:$AM, 10, FALSE), 1)</f>
        <v>2.1062019713849752E-4</v>
      </c>
      <c r="Q13" s="7">
        <f>$B13 * IFERROR(VLOOKUP("LULUCF|NOx|Non-fatal heart attacks", US_national_yearly!$D:$AM, 25, FALSE) / VLOOKUP("LULUCF|NOx|Non-fatal heart attacks", US_national_yearly!$D:$AM, 10, FALSE), 1)</f>
        <v>2.1265585655660634E-4</v>
      </c>
      <c r="R13" s="7">
        <f>$B13 * IFERROR(VLOOKUP("LULUCF|NOx|Non-fatal heart attacks", US_national_yearly!$D:$AM, 26, FALSE) / VLOOKUP("LULUCF|NOx|Non-fatal heart attacks", US_national_yearly!$D:$AM, 10, FALSE), 1)</f>
        <v>2.1469151597471511E-4</v>
      </c>
      <c r="S13" s="7">
        <f>$B13 * IFERROR(VLOOKUP("LULUCF|NOx|Non-fatal heart attacks", US_national_yearly!$D:$AM, 27, FALSE) / VLOOKUP("LULUCF|NOx|Non-fatal heart attacks", US_national_yearly!$D:$AM, 10, FALSE), 1)</f>
        <v>2.156149051661471E-4</v>
      </c>
      <c r="T13" s="7">
        <f>$B13 * IFERROR(VLOOKUP("LULUCF|NOx|Non-fatal heart attacks", US_national_yearly!$D:$AM, 28, FALSE) / VLOOKUP("LULUCF|NOx|Non-fatal heart attacks", US_national_yearly!$D:$AM, 10, FALSE), 1)</f>
        <v>2.1653829435757906E-4</v>
      </c>
      <c r="U13" s="7">
        <f>$B13 * IFERROR(VLOOKUP("LULUCF|NOx|Non-fatal heart attacks", US_national_yearly!$D:$AM, 29, FALSE) / VLOOKUP("LULUCF|NOx|Non-fatal heart attacks", US_national_yearly!$D:$AM, 10, FALSE), 1)</f>
        <v>2.1746168354901102E-4</v>
      </c>
      <c r="V13" s="7">
        <f>$B13 * IFERROR(VLOOKUP("LULUCF|NOx|Non-fatal heart attacks", US_national_yearly!$D:$AM, 30, FALSE) / VLOOKUP("LULUCF|NOx|Non-fatal heart attacks", US_national_yearly!$D:$AM, 10, FALSE), 1)</f>
        <v>2.1838507274044301E-4</v>
      </c>
      <c r="W13" s="7">
        <f>$B13 * IFERROR(VLOOKUP("LULUCF|NOx|Non-fatal heart attacks", US_national_yearly!$D:$AM, 31, FALSE) / VLOOKUP("LULUCF|NOx|Non-fatal heart attacks", US_national_yearly!$D:$AM, 10, FALSE), 1)</f>
        <v>2.1930846193187498E-4</v>
      </c>
      <c r="X13" s="7">
        <f>$B13 * IFERROR(VLOOKUP("LULUCF|NOx|Non-fatal heart attacks", US_national_yearly!$D:$AM, 32, FALSE) / VLOOKUP("LULUCF|NOx|Non-fatal heart attacks", US_national_yearly!$D:$AM, 10, FALSE), 1)</f>
        <v>2.1992551917667666E-4</v>
      </c>
      <c r="Y13" s="7">
        <f>$B13 * IFERROR(VLOOKUP("LULUCF|NOx|Non-fatal heart attacks", US_national_yearly!$D:$AM, 33, FALSE) / VLOOKUP("LULUCF|NOx|Non-fatal heart attacks", US_national_yearly!$D:$AM, 10, FALSE), 1)</f>
        <v>2.205425764214784E-4</v>
      </c>
      <c r="Z13" s="7">
        <f>$B13 * IFERROR(VLOOKUP("LULUCF|NOx|Non-fatal heart attacks", US_national_yearly!$D:$AM, 34, FALSE) / VLOOKUP("LULUCF|NOx|Non-fatal heart attacks", US_national_yearly!$D:$AM, 10, FALSE), 1)</f>
        <v>2.2115963366628005E-4</v>
      </c>
      <c r="AA13" s="7">
        <f>$B13 * IFERROR(VLOOKUP("LULUCF|NOx|Non-fatal heart attacks", US_national_yearly!$D:$AM, 35, FALSE) / VLOOKUP("LULUCF|NOx|Non-fatal heart attacks", US_national_yearly!$D:$AM, 10, FALSE), 1)</f>
        <v>2.2177669091108174E-4</v>
      </c>
      <c r="AB13" s="7">
        <f>$B13 * IFERROR(VLOOKUP("LULUCF|NOx|Non-fatal heart attacks", US_national_yearly!$D:$AM, 36, FALSE) / VLOOKUP("LULUCF|NOx|Non-fatal heart attacks", US_national_yearly!$D:$AM, 10, FALSE), 1)</f>
        <v>2.2239374815588347E-4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0.13879316825284152</v>
      </c>
      <c r="C14" s="7">
        <f>$B14 * IFERROR(VLOOKUP("LULUCF|NOx|Minor restricted activity days", US_national_yearly!$D:$AM, 11, FALSE) / VLOOKUP("LULUCF|NOx|Minor restricted activity days", US_national_yearly!$D:$AM, 10, FALSE), 1)</f>
        <v>0.1390059614718514</v>
      </c>
      <c r="D14" s="7">
        <f>$B14 * IFERROR(VLOOKUP("LULUCF|NOx|Minor restricted activity days", US_national_yearly!$D:$AM, 12, FALSE) / VLOOKUP("LULUCF|NOx|Minor restricted activity days", US_national_yearly!$D:$AM, 10, FALSE), 1)</f>
        <v>0.13921875469086134</v>
      </c>
      <c r="E14" s="7">
        <f>$B14 * IFERROR(VLOOKUP("LULUCF|NOx|Minor restricted activity days", US_national_yearly!$D:$AM, 13, FALSE) / VLOOKUP("LULUCF|NOx|Minor restricted activity days", US_national_yearly!$D:$AM, 10, FALSE), 1)</f>
        <v>0.13943154790987125</v>
      </c>
      <c r="F14" s="7">
        <f>$B14 * IFERROR(VLOOKUP("LULUCF|NOx|Minor restricted activity days", US_national_yearly!$D:$AM, 14, FALSE) / VLOOKUP("LULUCF|NOx|Minor restricted activity days", US_national_yearly!$D:$AM, 10, FALSE), 1)</f>
        <v>0.13964434112888116</v>
      </c>
      <c r="G14" s="7">
        <f>$B14 * IFERROR(VLOOKUP("LULUCF|NOx|Minor restricted activity days", US_national_yearly!$D:$AM, 15, FALSE) / VLOOKUP("LULUCF|NOx|Minor restricted activity days", US_national_yearly!$D:$AM, 10, FALSE), 1)</f>
        <v>0.14002859503327469</v>
      </c>
      <c r="H14" s="7">
        <f>$B14 * IFERROR(VLOOKUP("LULUCF|NOx|Minor restricted activity days", US_national_yearly!$D:$AM, 16, FALSE) / VLOOKUP("LULUCF|NOx|Minor restricted activity days", US_national_yearly!$D:$AM, 10, FALSE), 1)</f>
        <v>0.14041284893766823</v>
      </c>
      <c r="I14" s="7">
        <f>$B14 * IFERROR(VLOOKUP("LULUCF|NOx|Minor restricted activity days", US_national_yearly!$D:$AM, 17, FALSE) / VLOOKUP("LULUCF|NOx|Minor restricted activity days", US_national_yearly!$D:$AM, 10, FALSE), 1)</f>
        <v>0.14116443437969031</v>
      </c>
      <c r="J14" s="7">
        <f>$B14 * IFERROR(VLOOKUP("LULUCF|NOx|Minor restricted activity days", US_national_yearly!$D:$AM, 18, FALSE) / VLOOKUP("LULUCF|NOx|Minor restricted activity days", US_national_yearly!$D:$AM, 10, FALSE), 1)</f>
        <v>0.14191601982171237</v>
      </c>
      <c r="K14" s="7">
        <f>$B14 * IFERROR(VLOOKUP("LULUCF|NOx|Minor restricted activity days", US_national_yearly!$D:$AM, 19, FALSE) / VLOOKUP("LULUCF|NOx|Minor restricted activity days", US_national_yearly!$D:$AM, 10, FALSE), 1)</f>
        <v>0.14266760526373445</v>
      </c>
      <c r="L14" s="7">
        <f>$B14 * IFERROR(VLOOKUP("LULUCF|NOx|Minor restricted activity days", US_national_yearly!$D:$AM, 20, FALSE) / VLOOKUP("LULUCF|NOx|Minor restricted activity days", US_national_yearly!$D:$AM, 10, FALSE), 1)</f>
        <v>0.14341919070575654</v>
      </c>
      <c r="M14" s="7">
        <f>$B14 * IFERROR(VLOOKUP("LULUCF|NOx|Minor restricted activity days", US_national_yearly!$D:$AM, 21, FALSE) / VLOOKUP("LULUCF|NOx|Minor restricted activity days", US_national_yearly!$D:$AM, 10, FALSE), 1)</f>
        <v>0.14417077614777862</v>
      </c>
      <c r="N14" s="7">
        <f>$B14 * IFERROR(VLOOKUP("LULUCF|NOx|Minor restricted activity days", US_national_yearly!$D:$AM, 22, FALSE) / VLOOKUP("LULUCF|NOx|Minor restricted activity days", US_national_yearly!$D:$AM, 10, FALSE), 1)</f>
        <v>0.14524687608244644</v>
      </c>
      <c r="O14" s="7">
        <f>$B14 * IFERROR(VLOOKUP("LULUCF|NOx|Minor restricted activity days", US_national_yearly!$D:$AM, 23, FALSE) / VLOOKUP("LULUCF|NOx|Minor restricted activity days", US_national_yearly!$D:$AM, 10, FALSE), 1)</f>
        <v>0.14632297601711425</v>
      </c>
      <c r="P14" s="7">
        <f>$B14 * IFERROR(VLOOKUP("LULUCF|NOx|Minor restricted activity days", US_national_yearly!$D:$AM, 24, FALSE) / VLOOKUP("LULUCF|NOx|Minor restricted activity days", US_national_yearly!$D:$AM, 10, FALSE), 1)</f>
        <v>0.14739907595178206</v>
      </c>
      <c r="Q14" s="7">
        <f>$B14 * IFERROR(VLOOKUP("LULUCF|NOx|Minor restricted activity days", US_national_yearly!$D:$AM, 25, FALSE) / VLOOKUP("LULUCF|NOx|Minor restricted activity days", US_national_yearly!$D:$AM, 10, FALSE), 1)</f>
        <v>0.14847517588644987</v>
      </c>
      <c r="R14" s="7">
        <f>$B14 * IFERROR(VLOOKUP("LULUCF|NOx|Minor restricted activity days", US_national_yearly!$D:$AM, 26, FALSE) / VLOOKUP("LULUCF|NOx|Minor restricted activity days", US_national_yearly!$D:$AM, 10, FALSE), 1)</f>
        <v>0.14955127582111769</v>
      </c>
      <c r="S14" s="7">
        <f>$B14 * IFERROR(VLOOKUP("LULUCF|NOx|Minor restricted activity days", US_national_yearly!$D:$AM, 27, FALSE) / VLOOKUP("LULUCF|NOx|Minor restricted activity days", US_national_yearly!$D:$AM, 10, FALSE), 1)</f>
        <v>0.15062714950807746</v>
      </c>
      <c r="T14" s="7">
        <f>$B14 * IFERROR(VLOOKUP("LULUCF|NOx|Minor restricted activity days", US_national_yearly!$D:$AM, 28, FALSE) / VLOOKUP("LULUCF|NOx|Minor restricted activity days", US_national_yearly!$D:$AM, 10, FALSE), 1)</f>
        <v>0.1517030231950372</v>
      </c>
      <c r="U14" s="7">
        <f>$B14 * IFERROR(VLOOKUP("LULUCF|NOx|Minor restricted activity days", US_national_yearly!$D:$AM, 29, FALSE) / VLOOKUP("LULUCF|NOx|Minor restricted activity days", US_national_yearly!$D:$AM, 10, FALSE), 1)</f>
        <v>0.15277889688199697</v>
      </c>
      <c r="V14" s="7">
        <f>$B14 * IFERROR(VLOOKUP("LULUCF|NOx|Minor restricted activity days", US_national_yearly!$D:$AM, 30, FALSE) / VLOOKUP("LULUCF|NOx|Minor restricted activity days", US_national_yearly!$D:$AM, 10, FALSE), 1)</f>
        <v>0.15385477056895674</v>
      </c>
      <c r="W14" s="7">
        <f>$B14 * IFERROR(VLOOKUP("LULUCF|NOx|Minor restricted activity days", US_national_yearly!$D:$AM, 31, FALSE) / VLOOKUP("LULUCF|NOx|Minor restricted activity days", US_national_yearly!$D:$AM, 10, FALSE), 1)</f>
        <v>0.15493064425591649</v>
      </c>
      <c r="X14" s="7">
        <f>$B14 * IFERROR(VLOOKUP("LULUCF|NOx|Minor restricted activity days", US_national_yearly!$D:$AM, 32, FALSE) / VLOOKUP("LULUCF|NOx|Minor restricted activity days", US_national_yearly!$D:$AM, 10, FALSE), 1)</f>
        <v>0.15584025447194003</v>
      </c>
      <c r="Y14" s="7">
        <f>$B14 * IFERROR(VLOOKUP("LULUCF|NOx|Minor restricted activity days", US_national_yearly!$D:$AM, 33, FALSE) / VLOOKUP("LULUCF|NOx|Minor restricted activity days", US_national_yearly!$D:$AM, 10, FALSE), 1)</f>
        <v>0.15674986468796356</v>
      </c>
      <c r="Z14" s="7">
        <f>$B14 * IFERROR(VLOOKUP("LULUCF|NOx|Minor restricted activity days", US_national_yearly!$D:$AM, 34, FALSE) / VLOOKUP("LULUCF|NOx|Minor restricted activity days", US_national_yearly!$D:$AM, 10, FALSE), 1)</f>
        <v>0.1576594749039871</v>
      </c>
      <c r="AA14" s="7">
        <f>$B14 * IFERROR(VLOOKUP("LULUCF|NOx|Minor restricted activity days", US_national_yearly!$D:$AM, 35, FALSE) / VLOOKUP("LULUCF|NOx|Minor restricted activity days", US_national_yearly!$D:$AM, 10, FALSE), 1)</f>
        <v>0.15856908512001067</v>
      </c>
      <c r="AB14" s="7">
        <f>$B14 * IFERROR(VLOOKUP("LULUCF|NOx|Minor restricted activity days", US_national_yearly!$D:$AM, 36, FALSE) / VLOOKUP("LULUCF|NOx|Minor restricted activity days", US_national_yearly!$D:$AM, 10, FALSE), 1)</f>
        <v>0.1594786953360342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2.3594679297722118E-2</v>
      </c>
      <c r="C15" s="7">
        <f>$B15 * IFERROR(VLOOKUP("LULUCF|NOx|Work loss days", US_national_yearly!$D:$AM, 11, FALSE) / VLOOKUP("LULUCF|NOx|Work loss days", US_national_yearly!$D:$AM, 10, FALSE), 1)</f>
        <v>2.3647164392506335E-2</v>
      </c>
      <c r="D15" s="7">
        <f>$B15 * IFERROR(VLOOKUP("LULUCF|NOx|Work loss days", US_national_yearly!$D:$AM, 12, FALSE) / VLOOKUP("LULUCF|NOx|Work loss days", US_national_yearly!$D:$AM, 10, FALSE), 1)</f>
        <v>2.3699649487290558E-2</v>
      </c>
      <c r="E15" s="7">
        <f>$B15 * IFERROR(VLOOKUP("LULUCF|NOx|Work loss days", US_national_yearly!$D:$AM, 13, FALSE) / VLOOKUP("LULUCF|NOx|Work loss days", US_national_yearly!$D:$AM, 10, FALSE), 1)</f>
        <v>2.3752134582074775E-2</v>
      </c>
      <c r="F15" s="7">
        <f>$B15 * IFERROR(VLOOKUP("LULUCF|NOx|Work loss days", US_national_yearly!$D:$AM, 14, FALSE) / VLOOKUP("LULUCF|NOx|Work loss days", US_national_yearly!$D:$AM, 10, FALSE), 1)</f>
        <v>2.3804619676858995E-2</v>
      </c>
      <c r="G15" s="7">
        <f>$B15 * IFERROR(VLOOKUP("LULUCF|NOx|Work loss days", US_national_yearly!$D:$AM, 15, FALSE) / VLOOKUP("LULUCF|NOx|Work loss days", US_national_yearly!$D:$AM, 10, FALSE), 1)</f>
        <v>2.3881248362965117E-2</v>
      </c>
      <c r="H15" s="7">
        <f>$B15 * IFERROR(VLOOKUP("LULUCF|NOx|Work loss days", US_national_yearly!$D:$AM, 16, FALSE) / VLOOKUP("LULUCF|NOx|Work loss days", US_national_yearly!$D:$AM, 10, FALSE), 1)</f>
        <v>2.3957877049071243E-2</v>
      </c>
      <c r="I15" s="7">
        <f>$B15 * IFERROR(VLOOKUP("LULUCF|NOx|Work loss days", US_national_yearly!$D:$AM, 17, FALSE) / VLOOKUP("LULUCF|NOx|Work loss days", US_national_yearly!$D:$AM, 10, FALSE), 1)</f>
        <v>2.4082011367578284E-2</v>
      </c>
      <c r="J15" s="7">
        <f>$B15 * IFERROR(VLOOKUP("LULUCF|NOx|Work loss days", US_national_yearly!$D:$AM, 18, FALSE) / VLOOKUP("LULUCF|NOx|Work loss days", US_national_yearly!$D:$AM, 10, FALSE), 1)</f>
        <v>2.4206145686085329E-2</v>
      </c>
      <c r="K15" s="7">
        <f>$B15 * IFERROR(VLOOKUP("LULUCF|NOx|Work loss days", US_national_yearly!$D:$AM, 19, FALSE) / VLOOKUP("LULUCF|NOx|Work loss days", US_national_yearly!$D:$AM, 10, FALSE), 1)</f>
        <v>2.4330280004592367E-2</v>
      </c>
      <c r="L15" s="7">
        <f>$B15 * IFERROR(VLOOKUP("LULUCF|NOx|Work loss days", US_national_yearly!$D:$AM, 20, FALSE) / VLOOKUP("LULUCF|NOx|Work loss days", US_national_yearly!$D:$AM, 10, FALSE), 1)</f>
        <v>2.4454414323099406E-2</v>
      </c>
      <c r="M15" s="7">
        <f>$B15 * IFERROR(VLOOKUP("LULUCF|NOx|Work loss days", US_national_yearly!$D:$AM, 21, FALSE) / VLOOKUP("LULUCF|NOx|Work loss days", US_national_yearly!$D:$AM, 10, FALSE), 1)</f>
        <v>2.4578548641606451E-2</v>
      </c>
      <c r="N15" s="7">
        <f>$B15 * IFERROR(VLOOKUP("LULUCF|NOx|Work loss days", US_national_yearly!$D:$AM, 22, FALSE) / VLOOKUP("LULUCF|NOx|Work loss days", US_national_yearly!$D:$AM, 10, FALSE), 1)</f>
        <v>2.4740101839922288E-2</v>
      </c>
      <c r="O15" s="7">
        <f>$B15 * IFERROR(VLOOKUP("LULUCF|NOx|Work loss days", US_national_yearly!$D:$AM, 23, FALSE) / VLOOKUP("LULUCF|NOx|Work loss days", US_national_yearly!$D:$AM, 10, FALSE), 1)</f>
        <v>2.4901655038238123E-2</v>
      </c>
      <c r="P15" s="7">
        <f>$B15 * IFERROR(VLOOKUP("LULUCF|NOx|Work loss days", US_national_yearly!$D:$AM, 24, FALSE) / VLOOKUP("LULUCF|NOx|Work loss days", US_national_yearly!$D:$AM, 10, FALSE), 1)</f>
        <v>2.5063208236553957E-2</v>
      </c>
      <c r="Q15" s="7">
        <f>$B15 * IFERROR(VLOOKUP("LULUCF|NOx|Work loss days", US_national_yearly!$D:$AM, 25, FALSE) / VLOOKUP("LULUCF|NOx|Work loss days", US_national_yearly!$D:$AM, 10, FALSE), 1)</f>
        <v>2.5224761434869788E-2</v>
      </c>
      <c r="R15" s="7">
        <f>$B15 * IFERROR(VLOOKUP("LULUCF|NOx|Work loss days", US_national_yearly!$D:$AM, 26, FALSE) / VLOOKUP("LULUCF|NOx|Work loss days", US_national_yearly!$D:$AM, 10, FALSE), 1)</f>
        <v>2.5386314633185629E-2</v>
      </c>
      <c r="S15" s="7">
        <f>$B15 * IFERROR(VLOOKUP("LULUCF|NOx|Work loss days", US_national_yearly!$D:$AM, 27, FALSE) / VLOOKUP("LULUCF|NOx|Work loss days", US_national_yearly!$D:$AM, 10, FALSE), 1)</f>
        <v>2.5566425792791985E-2</v>
      </c>
      <c r="T15" s="7">
        <f>$B15 * IFERROR(VLOOKUP("LULUCF|NOx|Work loss days", US_national_yearly!$D:$AM, 28, FALSE) / VLOOKUP("LULUCF|NOx|Work loss days", US_national_yearly!$D:$AM, 10, FALSE), 1)</f>
        <v>2.5746536952398341E-2</v>
      </c>
      <c r="U15" s="7">
        <f>$B15 * IFERROR(VLOOKUP("LULUCF|NOx|Work loss days", US_national_yearly!$D:$AM, 29, FALSE) / VLOOKUP("LULUCF|NOx|Work loss days", US_national_yearly!$D:$AM, 10, FALSE), 1)</f>
        <v>2.5926648112004694E-2</v>
      </c>
      <c r="V15" s="7">
        <f>$B15 * IFERROR(VLOOKUP("LULUCF|NOx|Work loss days", US_national_yearly!$D:$AM, 30, FALSE) / VLOOKUP("LULUCF|NOx|Work loss days", US_national_yearly!$D:$AM, 10, FALSE), 1)</f>
        <v>2.610675927161105E-2</v>
      </c>
      <c r="W15" s="7">
        <f>$B15 * IFERROR(VLOOKUP("LULUCF|NOx|Work loss days", US_national_yearly!$D:$AM, 31, FALSE) / VLOOKUP("LULUCF|NOx|Work loss days", US_national_yearly!$D:$AM, 10, FALSE), 1)</f>
        <v>2.6286870431217406E-2</v>
      </c>
      <c r="X15" s="7">
        <f>$B15 * IFERROR(VLOOKUP("LULUCF|NOx|Work loss days", US_national_yearly!$D:$AM, 32, FALSE) / VLOOKUP("LULUCF|NOx|Work loss days", US_national_yearly!$D:$AM, 10, FALSE), 1)</f>
        <v>2.6443197314815751E-2</v>
      </c>
      <c r="Y15" s="7">
        <f>$B15 * IFERROR(VLOOKUP("LULUCF|NOx|Work loss days", US_national_yearly!$D:$AM, 33, FALSE) / VLOOKUP("LULUCF|NOx|Work loss days", US_national_yearly!$D:$AM, 10, FALSE), 1)</f>
        <v>2.6599524198414097E-2</v>
      </c>
      <c r="Z15" s="7">
        <f>$B15 * IFERROR(VLOOKUP("LULUCF|NOx|Work loss days", US_national_yearly!$D:$AM, 34, FALSE) / VLOOKUP("LULUCF|NOx|Work loss days", US_national_yearly!$D:$AM, 10, FALSE), 1)</f>
        <v>2.6755851082012443E-2</v>
      </c>
      <c r="AA15" s="7">
        <f>$B15 * IFERROR(VLOOKUP("LULUCF|NOx|Work loss days", US_national_yearly!$D:$AM, 35, FALSE) / VLOOKUP("LULUCF|NOx|Work loss days", US_national_yearly!$D:$AM, 10, FALSE), 1)</f>
        <v>2.6912177965610788E-2</v>
      </c>
      <c r="AB15" s="7">
        <f>$B15 * IFERROR(VLOOKUP("LULUCF|NOx|Work loss days", US_national_yearly!$D:$AM, 36, FALSE) / VLOOKUP("LULUCF|NOx|Work loss days", US_national_yearly!$D:$AM, 10, FALSE), 1)</f>
        <v>2.7068504849209134E-2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3.7884848758476335E-5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3.899808108687982E-5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4.0111313415283299E-5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4.1224545743686777E-5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4.2337778072090262E-5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4.3395164683724211E-5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4.4452551295358174E-5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4.534173186296947E-5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4.623091243058076E-5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4.7120092998192056E-5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4.8009273565803352E-5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4.8898454133414649E-5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4.9454488205149658E-5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5.0010522276884674E-5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5.0566556348619677E-5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5.1122590420354693E-5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5.1678624492089702E-5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5.1932327570059487E-5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5.2186030648029279E-5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5.2439733725999063E-5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5.2693436803968855E-5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5.2947139881938646E-5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5.3088334440616833E-5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5.3229528999295013E-5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5.33707235579732E-5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5.3511918116651386E-5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5.3653112675329573E-5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4.158072289285735E-4</v>
      </c>
      <c r="C2" s="7">
        <f>$B2 * IFERROR(VLOOKUP("LULUCF|SO2|Premature mortality", US_national_yearly!$D:$AM, 11, FALSE) / VLOOKUP("LULUCF|SO2|Premature mortality", US_national_yearly!$D:$AM, 10, FALSE), 1)</f>
        <v>4.2107320250445222E-4</v>
      </c>
      <c r="D2" s="7">
        <f>$B2 * IFERROR(VLOOKUP("LULUCF|SO2|Premature mortality", US_national_yearly!$D:$AM, 12, FALSE) / VLOOKUP("LULUCF|SO2|Premature mortality", US_national_yearly!$D:$AM, 10, FALSE), 1)</f>
        <v>4.2633917608033101E-4</v>
      </c>
      <c r="E2" s="7">
        <f>$B2 * IFERROR(VLOOKUP("LULUCF|SO2|Premature mortality", US_national_yearly!$D:$AM, 13, FALSE) / VLOOKUP("LULUCF|SO2|Premature mortality", US_national_yearly!$D:$AM, 10, FALSE), 1)</f>
        <v>4.3160514965620968E-4</v>
      </c>
      <c r="F2" s="7">
        <f>$B2 * IFERROR(VLOOKUP("LULUCF|SO2|Premature mortality", US_national_yearly!$D:$AM, 14, FALSE) / VLOOKUP("LULUCF|SO2|Premature mortality", US_national_yearly!$D:$AM, 10, FALSE), 1)</f>
        <v>4.3687112323208841E-4</v>
      </c>
      <c r="G2" s="7">
        <f>$B2 * IFERROR(VLOOKUP("LULUCF|SO2|Premature mortality", US_national_yearly!$D:$AM, 15, FALSE) / VLOOKUP("LULUCF|SO2|Premature mortality", US_national_yearly!$D:$AM, 10, FALSE), 1)</f>
        <v>4.4701835586980095E-4</v>
      </c>
      <c r="H2" s="7">
        <f>$B2 * IFERROR(VLOOKUP("LULUCF|SO2|Premature mortality", US_national_yearly!$D:$AM, 16, FALSE) / VLOOKUP("LULUCF|SO2|Premature mortality", US_national_yearly!$D:$AM, 10, FALSE), 1)</f>
        <v>4.5716558850751338E-4</v>
      </c>
      <c r="I2" s="7">
        <f>$B2 * IFERROR(VLOOKUP("LULUCF|SO2|Premature mortality", US_national_yearly!$D:$AM, 17, FALSE) / VLOOKUP("LULUCF|SO2|Premature mortality", US_national_yearly!$D:$AM, 10, FALSE), 1)</f>
        <v>4.6387150159624358E-4</v>
      </c>
      <c r="J2" s="7">
        <f>$B2 * IFERROR(VLOOKUP("LULUCF|SO2|Premature mortality", US_national_yearly!$D:$AM, 18, FALSE) / VLOOKUP("LULUCF|SO2|Premature mortality", US_national_yearly!$D:$AM, 10, FALSE), 1)</f>
        <v>4.7057741468497382E-4</v>
      </c>
      <c r="K2" s="7">
        <f>$B2 * IFERROR(VLOOKUP("LULUCF|SO2|Premature mortality", US_national_yearly!$D:$AM, 19, FALSE) / VLOOKUP("LULUCF|SO2|Premature mortality", US_national_yearly!$D:$AM, 10, FALSE), 1)</f>
        <v>4.7728332777370391E-4</v>
      </c>
      <c r="L2" s="7">
        <f>$B2 * IFERROR(VLOOKUP("LULUCF|SO2|Premature mortality", US_national_yearly!$D:$AM, 20, FALSE) / VLOOKUP("LULUCF|SO2|Premature mortality", US_national_yearly!$D:$AM, 10, FALSE), 1)</f>
        <v>4.839892408624341E-4</v>
      </c>
      <c r="M2" s="7">
        <f>$B2 * IFERROR(VLOOKUP("LULUCF|SO2|Premature mortality", US_national_yearly!$D:$AM, 21, FALSE) / VLOOKUP("LULUCF|SO2|Premature mortality", US_national_yearly!$D:$AM, 10, FALSE), 1)</f>
        <v>4.9069515395116429E-4</v>
      </c>
      <c r="N2" s="7">
        <f>$B2 * IFERROR(VLOOKUP("LULUCF|SO2|Premature mortality", US_national_yearly!$D:$AM, 22, FALSE) / VLOOKUP("LULUCF|SO2|Premature mortality", US_national_yearly!$D:$AM, 10, FALSE), 1)</f>
        <v>4.95934790691687E-4</v>
      </c>
      <c r="O2" s="7">
        <f>$B2 * IFERROR(VLOOKUP("LULUCF|SO2|Premature mortality", US_national_yearly!$D:$AM, 23, FALSE) / VLOOKUP("LULUCF|SO2|Premature mortality", US_national_yearly!$D:$AM, 10, FALSE), 1)</f>
        <v>5.011744274322097E-4</v>
      </c>
      <c r="P2" s="7">
        <f>$B2 * IFERROR(VLOOKUP("LULUCF|SO2|Premature mortality", US_national_yearly!$D:$AM, 24, FALSE) / VLOOKUP("LULUCF|SO2|Premature mortality", US_national_yearly!$D:$AM, 10, FALSE), 1)</f>
        <v>5.0641406417273229E-4</v>
      </c>
      <c r="Q2" s="7">
        <f>$B2 * IFERROR(VLOOKUP("LULUCF|SO2|Premature mortality", US_national_yearly!$D:$AM, 25, FALSE) / VLOOKUP("LULUCF|SO2|Premature mortality", US_national_yearly!$D:$AM, 10, FALSE), 1)</f>
        <v>5.11653700913255E-4</v>
      </c>
      <c r="R2" s="7">
        <f>$B2 * IFERROR(VLOOKUP("LULUCF|SO2|Premature mortality", US_national_yearly!$D:$AM, 26, FALSE) / VLOOKUP("LULUCF|SO2|Premature mortality", US_national_yearly!$D:$AM, 10, FALSE), 1)</f>
        <v>5.1689333765377759E-4</v>
      </c>
      <c r="S2" s="7">
        <f>$B2 * IFERROR(VLOOKUP("LULUCF|SO2|Premature mortality", US_national_yearly!$D:$AM, 27, FALSE) / VLOOKUP("LULUCF|SO2|Premature mortality", US_national_yearly!$D:$AM, 10, FALSE), 1)</f>
        <v>5.196992328951347E-4</v>
      </c>
      <c r="T2" s="7">
        <f>$B2 * IFERROR(VLOOKUP("LULUCF|SO2|Premature mortality", US_national_yearly!$D:$AM, 28, FALSE) / VLOOKUP("LULUCF|SO2|Premature mortality", US_national_yearly!$D:$AM, 10, FALSE), 1)</f>
        <v>5.2250512813649169E-4</v>
      </c>
      <c r="U2" s="7">
        <f>$B2 * IFERROR(VLOOKUP("LULUCF|SO2|Premature mortality", US_national_yearly!$D:$AM, 29, FALSE) / VLOOKUP("LULUCF|SO2|Premature mortality", US_national_yearly!$D:$AM, 10, FALSE), 1)</f>
        <v>5.2531102337784869E-4</v>
      </c>
      <c r="V2" s="7">
        <f>$B2 * IFERROR(VLOOKUP("LULUCF|SO2|Premature mortality", US_national_yearly!$D:$AM, 30, FALSE) / VLOOKUP("LULUCF|SO2|Premature mortality", US_national_yearly!$D:$AM, 10, FALSE), 1)</f>
        <v>5.2811691861920568E-4</v>
      </c>
      <c r="W2" s="7">
        <f>$B2 * IFERROR(VLOOKUP("LULUCF|SO2|Premature mortality", US_national_yearly!$D:$AM, 31, FALSE) / VLOOKUP("LULUCF|SO2|Premature mortality", US_national_yearly!$D:$AM, 10, FALSE), 1)</f>
        <v>5.3092281386056279E-4</v>
      </c>
      <c r="X2" s="7">
        <f>$B2 * IFERROR(VLOOKUP("LULUCF|SO2|Premature mortality", US_national_yearly!$D:$AM, 32, FALSE) / VLOOKUP("LULUCF|SO2|Premature mortality", US_national_yearly!$D:$AM, 10, FALSE), 1)</f>
        <v>5.3149284006143247E-4</v>
      </c>
      <c r="Y2" s="7">
        <f>$B2 * IFERROR(VLOOKUP("LULUCF|SO2|Premature mortality", US_national_yearly!$D:$AM, 33, FALSE) / VLOOKUP("LULUCF|SO2|Premature mortality", US_national_yearly!$D:$AM, 10, FALSE), 1)</f>
        <v>5.3206286626230237E-4</v>
      </c>
      <c r="Z2" s="7">
        <f>$B2 * IFERROR(VLOOKUP("LULUCF|SO2|Premature mortality", US_national_yearly!$D:$AM, 34, FALSE) / VLOOKUP("LULUCF|SO2|Premature mortality", US_national_yearly!$D:$AM, 10, FALSE), 1)</f>
        <v>5.3263289246317227E-4</v>
      </c>
      <c r="AA2" s="7">
        <f>$B2 * IFERROR(VLOOKUP("LULUCF|SO2|Premature mortality", US_national_yearly!$D:$AM, 35, FALSE) / VLOOKUP("LULUCF|SO2|Premature mortality", US_national_yearly!$D:$AM, 10, FALSE), 1)</f>
        <v>5.3320291866404206E-4</v>
      </c>
      <c r="AB2" s="7">
        <f>$B2 * IFERROR(VLOOKUP("LULUCF|SO2|Premature mortality", US_national_yearly!$D:$AM, 36, FALSE) / VLOOKUP("LULUCF|SO2|Premature mortality", US_national_yearly!$D:$AM, 10, FALSE), 1)</f>
        <v>5.3377294486491185E-4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1.1242588699043781E-6</v>
      </c>
      <c r="C3" s="7">
        <f>$B3 * IFERROR(VLOOKUP("LULUCF|SO2|Infant mortality", US_national_yearly!$D:$AM, 11, FALSE) / VLOOKUP("LULUCF|SO2|Infant mortality", US_national_yearly!$D:$AM, 10, FALSE), 1)</f>
        <v>1.1146012811408184E-6</v>
      </c>
      <c r="D3" s="7">
        <f>$B3 * IFERROR(VLOOKUP("LULUCF|SO2|Infant mortality", US_national_yearly!$D:$AM, 12, FALSE) / VLOOKUP("LULUCF|SO2|Infant mortality", US_national_yearly!$D:$AM, 10, FALSE), 1)</f>
        <v>1.1049436923772588E-6</v>
      </c>
      <c r="E3" s="7">
        <f>$B3 * IFERROR(VLOOKUP("LULUCF|SO2|Infant mortality", US_national_yearly!$D:$AM, 13, FALSE) / VLOOKUP("LULUCF|SO2|Infant mortality", US_national_yearly!$D:$AM, 10, FALSE), 1)</f>
        <v>1.0952861036136991E-6</v>
      </c>
      <c r="F3" s="7">
        <f>$B3 * IFERROR(VLOOKUP("LULUCF|SO2|Infant mortality", US_national_yearly!$D:$AM, 14, FALSE) / VLOOKUP("LULUCF|SO2|Infant mortality", US_national_yearly!$D:$AM, 10, FALSE), 1)</f>
        <v>1.0856285148501396E-6</v>
      </c>
      <c r="G3" s="7">
        <f>$B3 * IFERROR(VLOOKUP("LULUCF|SO2|Infant mortality", US_national_yearly!$D:$AM, 15, FALSE) / VLOOKUP("LULUCF|SO2|Infant mortality", US_national_yearly!$D:$AM, 10, FALSE), 1)</f>
        <v>7.2311602912682204E-7</v>
      </c>
      <c r="H3" s="7">
        <f>$B3 * IFERROR(VLOOKUP("LULUCF|SO2|Infant mortality", US_national_yearly!$D:$AM, 16, FALSE) / VLOOKUP("LULUCF|SO2|Infant mortality", US_national_yearly!$D:$AM, 10, FALSE), 1)</f>
        <v>3.6060354340350524E-7</v>
      </c>
      <c r="I3" s="7">
        <f>$B3 * IFERROR(VLOOKUP("LULUCF|SO2|Infant mortality", US_national_yearly!$D:$AM, 17, FALSE) / VLOOKUP("LULUCF|SO2|Infant mortality", US_national_yearly!$D:$AM, 10, FALSE), 1)</f>
        <v>3.5834136848281424E-7</v>
      </c>
      <c r="J3" s="7">
        <f>$B3 * IFERROR(VLOOKUP("LULUCF|SO2|Infant mortality", US_national_yearly!$D:$AM, 18, FALSE) / VLOOKUP("LULUCF|SO2|Infant mortality", US_national_yearly!$D:$AM, 10, FALSE), 1)</f>
        <v>3.5607919356212318E-7</v>
      </c>
      <c r="K3" s="7">
        <f>$B3 * IFERROR(VLOOKUP("LULUCF|SO2|Infant mortality", US_national_yearly!$D:$AM, 19, FALSE) / VLOOKUP("LULUCF|SO2|Infant mortality", US_national_yearly!$D:$AM, 10, FALSE), 1)</f>
        <v>3.5381701864143217E-7</v>
      </c>
      <c r="L3" s="7">
        <f>$B3 * IFERROR(VLOOKUP("LULUCF|SO2|Infant mortality", US_national_yearly!$D:$AM, 20, FALSE) / VLOOKUP("LULUCF|SO2|Infant mortality", US_national_yearly!$D:$AM, 10, FALSE), 1)</f>
        <v>3.5155484372074117E-7</v>
      </c>
      <c r="M3" s="7">
        <f>$B3 * IFERROR(VLOOKUP("LULUCF|SO2|Infant mortality", US_national_yearly!$D:$AM, 21, FALSE) / VLOOKUP("LULUCF|SO2|Infant mortality", US_national_yearly!$D:$AM, 10, FALSE), 1)</f>
        <v>3.4929266880005016E-7</v>
      </c>
      <c r="N3" s="7">
        <f>$B3 * IFERROR(VLOOKUP("LULUCF|SO2|Infant mortality", US_national_yearly!$D:$AM, 22, FALSE) / VLOOKUP("LULUCF|SO2|Infant mortality", US_national_yearly!$D:$AM, 10, FALSE), 1)</f>
        <v>3.4787271853847194E-7</v>
      </c>
      <c r="O3" s="7">
        <f>$B3 * IFERROR(VLOOKUP("LULUCF|SO2|Infant mortality", US_national_yearly!$D:$AM, 23, FALSE) / VLOOKUP("LULUCF|SO2|Infant mortality", US_national_yearly!$D:$AM, 10, FALSE), 1)</f>
        <v>3.4645276827689371E-7</v>
      </c>
      <c r="P3" s="7">
        <f>$B3 * IFERROR(VLOOKUP("LULUCF|SO2|Infant mortality", US_national_yearly!$D:$AM, 24, FALSE) / VLOOKUP("LULUCF|SO2|Infant mortality", US_national_yearly!$D:$AM, 10, FALSE), 1)</f>
        <v>3.4503281801531543E-7</v>
      </c>
      <c r="Q3" s="7">
        <f>$B3 * IFERROR(VLOOKUP("LULUCF|SO2|Infant mortality", US_national_yearly!$D:$AM, 25, FALSE) / VLOOKUP("LULUCF|SO2|Infant mortality", US_national_yearly!$D:$AM, 10, FALSE), 1)</f>
        <v>3.4361286775373721E-7</v>
      </c>
      <c r="R3" s="7">
        <f>$B3 * IFERROR(VLOOKUP("LULUCF|SO2|Infant mortality", US_national_yearly!$D:$AM, 26, FALSE) / VLOOKUP("LULUCF|SO2|Infant mortality", US_national_yearly!$D:$AM, 10, FALSE), 1)</f>
        <v>3.4219291749215893E-7</v>
      </c>
      <c r="S3" s="7">
        <f>$B3 * IFERROR(VLOOKUP("LULUCF|SO2|Infant mortality", US_national_yearly!$D:$AM, 27, FALSE) / VLOOKUP("LULUCF|SO2|Infant mortality", US_national_yearly!$D:$AM, 10, FALSE), 1)</f>
        <v>3.4041008343352575E-7</v>
      </c>
      <c r="T3" s="7">
        <f>$B3 * IFERROR(VLOOKUP("LULUCF|SO2|Infant mortality", US_national_yearly!$D:$AM, 28, FALSE) / VLOOKUP("LULUCF|SO2|Infant mortality", US_national_yearly!$D:$AM, 10, FALSE), 1)</f>
        <v>3.3862724937489264E-7</v>
      </c>
      <c r="U3" s="7">
        <f>$B3 * IFERROR(VLOOKUP("LULUCF|SO2|Infant mortality", US_national_yearly!$D:$AM, 29, FALSE) / VLOOKUP("LULUCF|SO2|Infant mortality", US_national_yearly!$D:$AM, 10, FALSE), 1)</f>
        <v>3.3684441531625941E-7</v>
      </c>
      <c r="V3" s="7">
        <f>$B3 * IFERROR(VLOOKUP("LULUCF|SO2|Infant mortality", US_national_yearly!$D:$AM, 30, FALSE) / VLOOKUP("LULUCF|SO2|Infant mortality", US_national_yearly!$D:$AM, 10, FALSE), 1)</f>
        <v>3.3506158125762634E-7</v>
      </c>
      <c r="W3" s="7">
        <f>$B3 * IFERROR(VLOOKUP("LULUCF|SO2|Infant mortality", US_national_yearly!$D:$AM, 31, FALSE) / VLOOKUP("LULUCF|SO2|Infant mortality", US_national_yearly!$D:$AM, 10, FALSE), 1)</f>
        <v>3.3327874719899317E-7</v>
      </c>
      <c r="X3" s="7">
        <f>$B3 * IFERROR(VLOOKUP("LULUCF|SO2|Infant mortality", US_national_yearly!$D:$AM, 32, FALSE) / VLOOKUP("LULUCF|SO2|Infant mortality", US_national_yearly!$D:$AM, 10, FALSE), 1)</f>
        <v>3.3132955926182459E-7</v>
      </c>
      <c r="Y3" s="7">
        <f>$B3 * IFERROR(VLOOKUP("LULUCF|SO2|Infant mortality", US_national_yearly!$D:$AM, 33, FALSE) / VLOOKUP("LULUCF|SO2|Infant mortality", US_national_yearly!$D:$AM, 10, FALSE), 1)</f>
        <v>3.2938037132465595E-7</v>
      </c>
      <c r="Z3" s="7">
        <f>$B3 * IFERROR(VLOOKUP("LULUCF|SO2|Infant mortality", US_national_yearly!$D:$AM, 34, FALSE) / VLOOKUP("LULUCF|SO2|Infant mortality", US_national_yearly!$D:$AM, 10, FALSE), 1)</f>
        <v>3.2743118338748736E-7</v>
      </c>
      <c r="AA3" s="7">
        <f>$B3 * IFERROR(VLOOKUP("LULUCF|SO2|Infant mortality", US_national_yearly!$D:$AM, 35, FALSE) / VLOOKUP("LULUCF|SO2|Infant mortality", US_national_yearly!$D:$AM, 10, FALSE), 1)</f>
        <v>3.2548199545031872E-7</v>
      </c>
      <c r="AB3" s="7">
        <f>$B3 * IFERROR(VLOOKUP("LULUCF|SO2|Infant mortality", US_national_yearly!$D:$AM, 36, FALSE) / VLOOKUP("LULUCF|SO2|Infant mortality", US_national_yearly!$D:$AM, 10, FALSE), 1)</f>
        <v>3.2353280751315014E-7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1.1308286942836149E-3</v>
      </c>
      <c r="C6" s="7">
        <f>$B6 * IFERROR(VLOOKUP("LULUCF|SO2|Asthma symptoms cough", US_national_yearly!$D:$AM, 11, FALSE) / VLOOKUP("LULUCF|SO2|Asthma symptoms cough", US_national_yearly!$D:$AM, 10, FALSE), 1)</f>
        <v>1.1308286942836149E-3</v>
      </c>
      <c r="D6" s="7">
        <f>$B6 * IFERROR(VLOOKUP("LULUCF|SO2|Asthma symptoms cough", US_national_yearly!$D:$AM, 12, FALSE) / VLOOKUP("LULUCF|SO2|Asthma symptoms cough", US_national_yearly!$D:$AM, 10, FALSE), 1)</f>
        <v>1.1308286942836149E-3</v>
      </c>
      <c r="E6" s="7">
        <f>$B6 * IFERROR(VLOOKUP("LULUCF|SO2|Asthma symptoms cough", US_national_yearly!$D:$AM, 13, FALSE) / VLOOKUP("LULUCF|SO2|Asthma symptoms cough", US_national_yearly!$D:$AM, 10, FALSE), 1)</f>
        <v>1.1308286942836149E-3</v>
      </c>
      <c r="F6" s="7">
        <f>$B6 * IFERROR(VLOOKUP("LULUCF|SO2|Asthma symptoms cough", US_national_yearly!$D:$AM, 14, FALSE) / VLOOKUP("LULUCF|SO2|Asthma symptoms cough", US_national_yearly!$D:$AM, 10, FALSE), 1)</f>
        <v>1.1308286942836149E-3</v>
      </c>
      <c r="G6" s="7">
        <f>$B6 * IFERROR(VLOOKUP("LULUCF|SO2|Asthma symptoms cough", US_national_yearly!$D:$AM, 15, FALSE) / VLOOKUP("LULUCF|SO2|Asthma symptoms cough", US_national_yearly!$D:$AM, 10, FALSE), 1)</f>
        <v>1.1308286942836149E-3</v>
      </c>
      <c r="H6" s="7">
        <f>$B6 * IFERROR(VLOOKUP("LULUCF|SO2|Asthma symptoms cough", US_national_yearly!$D:$AM, 16, FALSE) / VLOOKUP("LULUCF|SO2|Asthma symptoms cough", US_national_yearly!$D:$AM, 10, FALSE), 1)</f>
        <v>1.1308286942836149E-3</v>
      </c>
      <c r="I6" s="7">
        <f>$B6 * IFERROR(VLOOKUP("LULUCF|SO2|Asthma symptoms cough", US_national_yearly!$D:$AM, 17, FALSE) / VLOOKUP("LULUCF|SO2|Asthma symptoms cough", US_national_yearly!$D:$AM, 10, FALSE), 1)</f>
        <v>1.1308286942836149E-3</v>
      </c>
      <c r="J6" s="7">
        <f>$B6 * IFERROR(VLOOKUP("LULUCF|SO2|Asthma symptoms cough", US_national_yearly!$D:$AM, 18, FALSE) / VLOOKUP("LULUCF|SO2|Asthma symptoms cough", US_national_yearly!$D:$AM, 10, FALSE), 1)</f>
        <v>1.1308286942836149E-3</v>
      </c>
      <c r="K6" s="7">
        <f>$B6 * IFERROR(VLOOKUP("LULUCF|SO2|Asthma symptoms cough", US_national_yearly!$D:$AM, 19, FALSE) / VLOOKUP("LULUCF|SO2|Asthma symptoms cough", US_national_yearly!$D:$AM, 10, FALSE), 1)</f>
        <v>1.1308286942836149E-3</v>
      </c>
      <c r="L6" s="7">
        <f>$B6 * IFERROR(VLOOKUP("LULUCF|SO2|Asthma symptoms cough", US_national_yearly!$D:$AM, 20, FALSE) / VLOOKUP("LULUCF|SO2|Asthma symptoms cough", US_national_yearly!$D:$AM, 10, FALSE), 1)</f>
        <v>1.1308286942836149E-3</v>
      </c>
      <c r="M6" s="7">
        <f>$B6 * IFERROR(VLOOKUP("LULUCF|SO2|Asthma symptoms cough", US_national_yearly!$D:$AM, 21, FALSE) / VLOOKUP("LULUCF|SO2|Asthma symptoms cough", US_national_yearly!$D:$AM, 10, FALSE), 1)</f>
        <v>1.1308286942836149E-3</v>
      </c>
      <c r="N6" s="7">
        <f>$B6 * IFERROR(VLOOKUP("LULUCF|SO2|Asthma symptoms cough", US_national_yearly!$D:$AM, 22, FALSE) / VLOOKUP("LULUCF|SO2|Asthma symptoms cough", US_national_yearly!$D:$AM, 10, FALSE), 1)</f>
        <v>1.1308286942836149E-3</v>
      </c>
      <c r="O6" s="7">
        <f>$B6 * IFERROR(VLOOKUP("LULUCF|SO2|Asthma symptoms cough", US_national_yearly!$D:$AM, 23, FALSE) / VLOOKUP("LULUCF|SO2|Asthma symptoms cough", US_national_yearly!$D:$AM, 10, FALSE), 1)</f>
        <v>1.1308286942836149E-3</v>
      </c>
      <c r="P6" s="7">
        <f>$B6 * IFERROR(VLOOKUP("LULUCF|SO2|Asthma symptoms cough", US_national_yearly!$D:$AM, 24, FALSE) / VLOOKUP("LULUCF|SO2|Asthma symptoms cough", US_national_yearly!$D:$AM, 10, FALSE), 1)</f>
        <v>1.1308286942836149E-3</v>
      </c>
      <c r="Q6" s="7">
        <f>$B6 * IFERROR(VLOOKUP("LULUCF|SO2|Asthma symptoms cough", US_national_yearly!$D:$AM, 25, FALSE) / VLOOKUP("LULUCF|SO2|Asthma symptoms cough", US_national_yearly!$D:$AM, 10, FALSE), 1)</f>
        <v>1.1308286942836149E-3</v>
      </c>
      <c r="R6" s="7">
        <f>$B6 * IFERROR(VLOOKUP("LULUCF|SO2|Asthma symptoms cough", US_national_yearly!$D:$AM, 26, FALSE) / VLOOKUP("LULUCF|SO2|Asthma symptoms cough", US_national_yearly!$D:$AM, 10, FALSE), 1)</f>
        <v>1.1308286942836149E-3</v>
      </c>
      <c r="S6" s="7">
        <f>$B6 * IFERROR(VLOOKUP("LULUCF|SO2|Asthma symptoms cough", US_national_yearly!$D:$AM, 27, FALSE) / VLOOKUP("LULUCF|SO2|Asthma symptoms cough", US_national_yearly!$D:$AM, 10, FALSE), 1)</f>
        <v>1.1308286942836149E-3</v>
      </c>
      <c r="T6" s="7">
        <f>$B6 * IFERROR(VLOOKUP("LULUCF|SO2|Asthma symptoms cough", US_national_yearly!$D:$AM, 28, FALSE) / VLOOKUP("LULUCF|SO2|Asthma symptoms cough", US_national_yearly!$D:$AM, 10, FALSE), 1)</f>
        <v>1.1308286942836149E-3</v>
      </c>
      <c r="U6" s="7">
        <f>$B6 * IFERROR(VLOOKUP("LULUCF|SO2|Asthma symptoms cough", US_national_yearly!$D:$AM, 29, FALSE) / VLOOKUP("LULUCF|SO2|Asthma symptoms cough", US_national_yearly!$D:$AM, 10, FALSE), 1)</f>
        <v>1.1308286942836149E-3</v>
      </c>
      <c r="V6" s="7">
        <f>$B6 * IFERROR(VLOOKUP("LULUCF|SO2|Asthma symptoms cough", US_national_yearly!$D:$AM, 30, FALSE) / VLOOKUP("LULUCF|SO2|Asthma symptoms cough", US_national_yearly!$D:$AM, 10, FALSE), 1)</f>
        <v>1.1308286942836149E-3</v>
      </c>
      <c r="W6" s="7">
        <f>$B6 * IFERROR(VLOOKUP("LULUCF|SO2|Asthma symptoms cough", US_national_yearly!$D:$AM, 31, FALSE) / VLOOKUP("LULUCF|SO2|Asthma symptoms cough", US_national_yearly!$D:$AM, 10, FALSE), 1)</f>
        <v>1.1308286942836149E-3</v>
      </c>
      <c r="X6" s="7">
        <f>$B6 * IFERROR(VLOOKUP("LULUCF|SO2|Asthma symptoms cough", US_national_yearly!$D:$AM, 32, FALSE) / VLOOKUP("LULUCF|SO2|Asthma symptoms cough", US_national_yearly!$D:$AM, 10, FALSE), 1)</f>
        <v>1.1308286942836149E-3</v>
      </c>
      <c r="Y6" s="7">
        <f>$B6 * IFERROR(VLOOKUP("LULUCF|SO2|Asthma symptoms cough", US_national_yearly!$D:$AM, 33, FALSE) / VLOOKUP("LULUCF|SO2|Asthma symptoms cough", US_national_yearly!$D:$AM, 10, FALSE), 1)</f>
        <v>1.1308286942836149E-3</v>
      </c>
      <c r="Z6" s="7">
        <f>$B6 * IFERROR(VLOOKUP("LULUCF|SO2|Asthma symptoms cough", US_national_yearly!$D:$AM, 34, FALSE) / VLOOKUP("LULUCF|SO2|Asthma symptoms cough", US_national_yearly!$D:$AM, 10, FALSE), 1)</f>
        <v>1.1308286942836149E-3</v>
      </c>
      <c r="AA6" s="7">
        <f>$B6 * IFERROR(VLOOKUP("LULUCF|SO2|Asthma symptoms cough", US_national_yearly!$D:$AM, 35, FALSE) / VLOOKUP("LULUCF|SO2|Asthma symptoms cough", US_national_yearly!$D:$AM, 10, FALSE), 1)</f>
        <v>1.1308286942836149E-3</v>
      </c>
      <c r="AB6" s="7">
        <f>$B6 * IFERROR(VLOOKUP("LULUCF|SO2|Asthma symptoms cough", US_national_yearly!$D:$AM, 36, FALSE) / VLOOKUP("LULUCF|SO2|Asthma symptoms cough", US_national_yearly!$D:$AM, 10, FALSE), 1)</f>
        <v>1.1308286942836149E-3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1.5228252644319633E-3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1.5228252644319633E-3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1.5228252644319633E-3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1.5228252644319633E-3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1.5228252644319633E-3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1.5228252644319633E-3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1.5228252644319633E-3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1.5228252644319633E-3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1.5228252644319633E-3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1.5228252644319633E-3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1.5228252644319633E-3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1.5228252644319633E-3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1.5228252644319633E-3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1.5228252644319633E-3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1.5228252644319633E-3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1.5228252644319633E-3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1.5228252644319633E-3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1.5228252644319633E-3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1.5228252644319633E-3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1.5228252644319633E-3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1.5228252644319633E-3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1.5228252644319633E-3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1.5228252644319633E-3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1.5228252644319633E-3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1.5228252644319633E-3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1.5228252644319633E-3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1.5228252644319633E-3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2.3266177131411703E-3</v>
      </c>
      <c r="C8" s="7">
        <f>$B8 * IFERROR(VLOOKUP("LULUCF|SO2|Asthma symptoms wheeze", US_national_yearly!$D:$AM, 11, FALSE) / VLOOKUP("LULUCF|SO2|Asthma symptoms wheeze", US_national_yearly!$D:$AM, 10, FALSE), 1)</f>
        <v>2.3266177131411703E-3</v>
      </c>
      <c r="D8" s="7">
        <f>$B8 * IFERROR(VLOOKUP("LULUCF|SO2|Asthma symptoms wheeze", US_national_yearly!$D:$AM, 12, FALSE) / VLOOKUP("LULUCF|SO2|Asthma symptoms wheeze", US_national_yearly!$D:$AM, 10, FALSE), 1)</f>
        <v>2.3266177131411703E-3</v>
      </c>
      <c r="E8" s="7">
        <f>$B8 * IFERROR(VLOOKUP("LULUCF|SO2|Asthma symptoms wheeze", US_national_yearly!$D:$AM, 13, FALSE) / VLOOKUP("LULUCF|SO2|Asthma symptoms wheeze", US_national_yearly!$D:$AM, 10, FALSE), 1)</f>
        <v>2.3266177131411703E-3</v>
      </c>
      <c r="F8" s="7">
        <f>$B8 * IFERROR(VLOOKUP("LULUCF|SO2|Asthma symptoms wheeze", US_national_yearly!$D:$AM, 14, FALSE) / VLOOKUP("LULUCF|SO2|Asthma symptoms wheeze", US_national_yearly!$D:$AM, 10, FALSE), 1)</f>
        <v>2.3266177131411703E-3</v>
      </c>
      <c r="G8" s="7">
        <f>$B8 * IFERROR(VLOOKUP("LULUCF|SO2|Asthma symptoms wheeze", US_national_yearly!$D:$AM, 15, FALSE) / VLOOKUP("LULUCF|SO2|Asthma symptoms wheeze", US_national_yearly!$D:$AM, 10, FALSE), 1)</f>
        <v>2.3266177131411703E-3</v>
      </c>
      <c r="H8" s="7">
        <f>$B8 * IFERROR(VLOOKUP("LULUCF|SO2|Asthma symptoms wheeze", US_national_yearly!$D:$AM, 16, FALSE) / VLOOKUP("LULUCF|SO2|Asthma symptoms wheeze", US_national_yearly!$D:$AM, 10, FALSE), 1)</f>
        <v>2.3266177131411703E-3</v>
      </c>
      <c r="I8" s="7">
        <f>$B8 * IFERROR(VLOOKUP("LULUCF|SO2|Asthma symptoms wheeze", US_national_yearly!$D:$AM, 17, FALSE) / VLOOKUP("LULUCF|SO2|Asthma symptoms wheeze", US_national_yearly!$D:$AM, 10, FALSE), 1)</f>
        <v>2.3266177131411703E-3</v>
      </c>
      <c r="J8" s="7">
        <f>$B8 * IFERROR(VLOOKUP("LULUCF|SO2|Asthma symptoms wheeze", US_national_yearly!$D:$AM, 18, FALSE) / VLOOKUP("LULUCF|SO2|Asthma symptoms wheeze", US_national_yearly!$D:$AM, 10, FALSE), 1)</f>
        <v>2.3266177131411703E-3</v>
      </c>
      <c r="K8" s="7">
        <f>$B8 * IFERROR(VLOOKUP("LULUCF|SO2|Asthma symptoms wheeze", US_national_yearly!$D:$AM, 19, FALSE) / VLOOKUP("LULUCF|SO2|Asthma symptoms wheeze", US_national_yearly!$D:$AM, 10, FALSE), 1)</f>
        <v>2.3266177131411703E-3</v>
      </c>
      <c r="L8" s="7">
        <f>$B8 * IFERROR(VLOOKUP("LULUCF|SO2|Asthma symptoms wheeze", US_national_yearly!$D:$AM, 20, FALSE) / VLOOKUP("LULUCF|SO2|Asthma symptoms wheeze", US_national_yearly!$D:$AM, 10, FALSE), 1)</f>
        <v>2.3266177131411703E-3</v>
      </c>
      <c r="M8" s="7">
        <f>$B8 * IFERROR(VLOOKUP("LULUCF|SO2|Asthma symptoms wheeze", US_national_yearly!$D:$AM, 21, FALSE) / VLOOKUP("LULUCF|SO2|Asthma symptoms wheeze", US_national_yearly!$D:$AM, 10, FALSE), 1)</f>
        <v>2.3266177131411703E-3</v>
      </c>
      <c r="N8" s="7">
        <f>$B8 * IFERROR(VLOOKUP("LULUCF|SO2|Asthma symptoms wheeze", US_national_yearly!$D:$AM, 22, FALSE) / VLOOKUP("LULUCF|SO2|Asthma symptoms wheeze", US_national_yearly!$D:$AM, 10, FALSE), 1)</f>
        <v>2.3266177131411703E-3</v>
      </c>
      <c r="O8" s="7">
        <f>$B8 * IFERROR(VLOOKUP("LULUCF|SO2|Asthma symptoms wheeze", US_national_yearly!$D:$AM, 23, FALSE) / VLOOKUP("LULUCF|SO2|Asthma symptoms wheeze", US_national_yearly!$D:$AM, 10, FALSE), 1)</f>
        <v>2.3266177131411703E-3</v>
      </c>
      <c r="P8" s="7">
        <f>$B8 * IFERROR(VLOOKUP("LULUCF|SO2|Asthma symptoms wheeze", US_national_yearly!$D:$AM, 24, FALSE) / VLOOKUP("LULUCF|SO2|Asthma symptoms wheeze", US_national_yearly!$D:$AM, 10, FALSE), 1)</f>
        <v>2.3266177131411703E-3</v>
      </c>
      <c r="Q8" s="7">
        <f>$B8 * IFERROR(VLOOKUP("LULUCF|SO2|Asthma symptoms wheeze", US_national_yearly!$D:$AM, 25, FALSE) / VLOOKUP("LULUCF|SO2|Asthma symptoms wheeze", US_national_yearly!$D:$AM, 10, FALSE), 1)</f>
        <v>2.3266177131411703E-3</v>
      </c>
      <c r="R8" s="7">
        <f>$B8 * IFERROR(VLOOKUP("LULUCF|SO2|Asthma symptoms wheeze", US_national_yearly!$D:$AM, 26, FALSE) / VLOOKUP("LULUCF|SO2|Asthma symptoms wheeze", US_national_yearly!$D:$AM, 10, FALSE), 1)</f>
        <v>2.3266177131411703E-3</v>
      </c>
      <c r="S8" s="7">
        <f>$B8 * IFERROR(VLOOKUP("LULUCF|SO2|Asthma symptoms wheeze", US_national_yearly!$D:$AM, 27, FALSE) / VLOOKUP("LULUCF|SO2|Asthma symptoms wheeze", US_national_yearly!$D:$AM, 10, FALSE), 1)</f>
        <v>2.3266177131411703E-3</v>
      </c>
      <c r="T8" s="7">
        <f>$B8 * IFERROR(VLOOKUP("LULUCF|SO2|Asthma symptoms wheeze", US_national_yearly!$D:$AM, 28, FALSE) / VLOOKUP("LULUCF|SO2|Asthma symptoms wheeze", US_national_yearly!$D:$AM, 10, FALSE), 1)</f>
        <v>2.3266177131411703E-3</v>
      </c>
      <c r="U8" s="7">
        <f>$B8 * IFERROR(VLOOKUP("LULUCF|SO2|Asthma symptoms wheeze", US_national_yearly!$D:$AM, 29, FALSE) / VLOOKUP("LULUCF|SO2|Asthma symptoms wheeze", US_national_yearly!$D:$AM, 10, FALSE), 1)</f>
        <v>2.3266177131411703E-3</v>
      </c>
      <c r="V8" s="7">
        <f>$B8 * IFERROR(VLOOKUP("LULUCF|SO2|Asthma symptoms wheeze", US_national_yearly!$D:$AM, 30, FALSE) / VLOOKUP("LULUCF|SO2|Asthma symptoms wheeze", US_national_yearly!$D:$AM, 10, FALSE), 1)</f>
        <v>2.3266177131411703E-3</v>
      </c>
      <c r="W8" s="7">
        <f>$B8 * IFERROR(VLOOKUP("LULUCF|SO2|Asthma symptoms wheeze", US_national_yearly!$D:$AM, 31, FALSE) / VLOOKUP("LULUCF|SO2|Asthma symptoms wheeze", US_national_yearly!$D:$AM, 10, FALSE), 1)</f>
        <v>2.3266177131411703E-3</v>
      </c>
      <c r="X8" s="7">
        <f>$B8 * IFERROR(VLOOKUP("LULUCF|SO2|Asthma symptoms wheeze", US_national_yearly!$D:$AM, 32, FALSE) / VLOOKUP("LULUCF|SO2|Asthma symptoms wheeze", US_national_yearly!$D:$AM, 10, FALSE), 1)</f>
        <v>2.3266177131411703E-3</v>
      </c>
      <c r="Y8" s="7">
        <f>$B8 * IFERROR(VLOOKUP("LULUCF|SO2|Asthma symptoms wheeze", US_national_yearly!$D:$AM, 33, FALSE) / VLOOKUP("LULUCF|SO2|Asthma symptoms wheeze", US_national_yearly!$D:$AM, 10, FALSE), 1)</f>
        <v>2.3266177131411703E-3</v>
      </c>
      <c r="Z8" s="7">
        <f>$B8 * IFERROR(VLOOKUP("LULUCF|SO2|Asthma symptoms wheeze", US_national_yearly!$D:$AM, 34, FALSE) / VLOOKUP("LULUCF|SO2|Asthma symptoms wheeze", US_national_yearly!$D:$AM, 10, FALSE), 1)</f>
        <v>2.3266177131411703E-3</v>
      </c>
      <c r="AA8" s="7">
        <f>$B8 * IFERROR(VLOOKUP("LULUCF|SO2|Asthma symptoms wheeze", US_national_yearly!$D:$AM, 35, FALSE) / VLOOKUP("LULUCF|SO2|Asthma symptoms wheeze", US_national_yearly!$D:$AM, 10, FALSE), 1)</f>
        <v>2.3266177131411703E-3</v>
      </c>
      <c r="AB8" s="7">
        <f>$B8 * IFERROR(VLOOKUP("LULUCF|SO2|Asthma symptoms wheeze", US_national_yearly!$D:$AM, 36, FALSE) / VLOOKUP("LULUCF|SO2|Asthma symptoms wheeze", US_national_yearly!$D:$AM, 10, FALSE), 1)</f>
        <v>2.3266177131411703E-3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2.5981338204618361E-5</v>
      </c>
      <c r="C12" s="7">
        <f>$B12 * IFERROR(VLOOKUP("LULUCF|SO2|Respiratory hospital admissions", US_national_yearly!$D:$AM, 11, FALSE) / VLOOKUP("LULUCF|SO2|Respiratory hospital admissions", US_national_yearly!$D:$AM, 10, FALSE), 1)</f>
        <v>2.613457742848919E-5</v>
      </c>
      <c r="D12" s="7">
        <f>$B12 * IFERROR(VLOOKUP("LULUCF|SO2|Respiratory hospital admissions", US_national_yearly!$D:$AM, 12, FALSE) / VLOOKUP("LULUCF|SO2|Respiratory hospital admissions", US_national_yearly!$D:$AM, 10, FALSE), 1)</f>
        <v>2.6287816652360022E-5</v>
      </c>
      <c r="E12" s="7">
        <f>$B12 * IFERROR(VLOOKUP("LULUCF|SO2|Respiratory hospital admissions", US_national_yearly!$D:$AM, 13, FALSE) / VLOOKUP("LULUCF|SO2|Respiratory hospital admissions", US_national_yearly!$D:$AM, 10, FALSE), 1)</f>
        <v>2.6441055876230851E-5</v>
      </c>
      <c r="F12" s="7">
        <f>$B12 * IFERROR(VLOOKUP("LULUCF|SO2|Respiratory hospital admissions", US_national_yearly!$D:$AM, 14, FALSE) / VLOOKUP("LULUCF|SO2|Respiratory hospital admissions", US_national_yearly!$D:$AM, 10, FALSE), 1)</f>
        <v>2.659429510010168E-5</v>
      </c>
      <c r="G12" s="7">
        <f>$B12 * IFERROR(VLOOKUP("LULUCF|SO2|Respiratory hospital admissions", US_national_yearly!$D:$AM, 15, FALSE) / VLOOKUP("LULUCF|SO2|Respiratory hospital admissions", US_national_yearly!$D:$AM, 10, FALSE), 1)</f>
        <v>2.6761351701133206E-5</v>
      </c>
      <c r="H12" s="7">
        <f>$B12 * IFERROR(VLOOKUP("LULUCF|SO2|Respiratory hospital admissions", US_national_yearly!$D:$AM, 16, FALSE) / VLOOKUP("LULUCF|SO2|Respiratory hospital admissions", US_national_yearly!$D:$AM, 10, FALSE), 1)</f>
        <v>2.6928408302164733E-5</v>
      </c>
      <c r="I12" s="7">
        <f>$B12 * IFERROR(VLOOKUP("LULUCF|SO2|Respiratory hospital admissions", US_national_yearly!$D:$AM, 17, FALSE) / VLOOKUP("LULUCF|SO2|Respiratory hospital admissions", US_national_yearly!$D:$AM, 10, FALSE), 1)</f>
        <v>2.7093146001230762E-5</v>
      </c>
      <c r="J12" s="7">
        <f>$B12 * IFERROR(VLOOKUP("LULUCF|SO2|Respiratory hospital admissions", US_national_yearly!$D:$AM, 18, FALSE) / VLOOKUP("LULUCF|SO2|Respiratory hospital admissions", US_national_yearly!$D:$AM, 10, FALSE), 1)</f>
        <v>2.7257883700296794E-5</v>
      </c>
      <c r="K12" s="7">
        <f>$B12 * IFERROR(VLOOKUP("LULUCF|SO2|Respiratory hospital admissions", US_national_yearly!$D:$AM, 19, FALSE) / VLOOKUP("LULUCF|SO2|Respiratory hospital admissions", US_national_yearly!$D:$AM, 10, FALSE), 1)</f>
        <v>2.7422621399362819E-5</v>
      </c>
      <c r="L12" s="7">
        <f>$B12 * IFERROR(VLOOKUP("LULUCF|SO2|Respiratory hospital admissions", US_national_yearly!$D:$AM, 20, FALSE) / VLOOKUP("LULUCF|SO2|Respiratory hospital admissions", US_national_yearly!$D:$AM, 10, FALSE), 1)</f>
        <v>2.7587359098428854E-5</v>
      </c>
      <c r="M12" s="7">
        <f>$B12 * IFERROR(VLOOKUP("LULUCF|SO2|Respiratory hospital admissions", US_national_yearly!$D:$AM, 21, FALSE) / VLOOKUP("LULUCF|SO2|Respiratory hospital admissions", US_national_yearly!$D:$AM, 10, FALSE), 1)</f>
        <v>2.7752096797494876E-5</v>
      </c>
      <c r="N12" s="7">
        <f>$B12 * IFERROR(VLOOKUP("LULUCF|SO2|Respiratory hospital admissions", US_national_yearly!$D:$AM, 22, FALSE) / VLOOKUP("LULUCF|SO2|Respiratory hospital admissions", US_national_yearly!$D:$AM, 10, FALSE), 1)</f>
        <v>2.7872350232591328E-5</v>
      </c>
      <c r="O12" s="7">
        <f>$B12 * IFERROR(VLOOKUP("LULUCF|SO2|Respiratory hospital admissions", US_national_yearly!$D:$AM, 23, FALSE) / VLOOKUP("LULUCF|SO2|Respiratory hospital admissions", US_national_yearly!$D:$AM, 10, FALSE), 1)</f>
        <v>2.799260366768777E-5</v>
      </c>
      <c r="P12" s="7">
        <f>$B12 * IFERROR(VLOOKUP("LULUCF|SO2|Respiratory hospital admissions", US_national_yearly!$D:$AM, 24, FALSE) / VLOOKUP("LULUCF|SO2|Respiratory hospital admissions", US_national_yearly!$D:$AM, 10, FALSE), 1)</f>
        <v>2.8112857102784215E-5</v>
      </c>
      <c r="Q12" s="7">
        <f>$B12 * IFERROR(VLOOKUP("LULUCF|SO2|Respiratory hospital admissions", US_national_yearly!$D:$AM, 25, FALSE) / VLOOKUP("LULUCF|SO2|Respiratory hospital admissions", US_national_yearly!$D:$AM, 10, FALSE), 1)</f>
        <v>2.8233110537880666E-5</v>
      </c>
      <c r="R12" s="7">
        <f>$B12 * IFERROR(VLOOKUP("LULUCF|SO2|Respiratory hospital admissions", US_national_yearly!$D:$AM, 26, FALSE) / VLOOKUP("LULUCF|SO2|Respiratory hospital admissions", US_national_yearly!$D:$AM, 10, FALSE), 1)</f>
        <v>2.8353363972977111E-5</v>
      </c>
      <c r="S12" s="7">
        <f>$B12 * IFERROR(VLOOKUP("LULUCF|SO2|Respiratory hospital admissions", US_national_yearly!$D:$AM, 27, FALSE) / VLOOKUP("LULUCF|SO2|Respiratory hospital admissions", US_national_yearly!$D:$AM, 10, FALSE), 1)</f>
        <v>2.8468076574463109E-5</v>
      </c>
      <c r="T12" s="7">
        <f>$B12 * IFERROR(VLOOKUP("LULUCF|SO2|Respiratory hospital admissions", US_national_yearly!$D:$AM, 28, FALSE) / VLOOKUP("LULUCF|SO2|Respiratory hospital admissions", US_national_yearly!$D:$AM, 10, FALSE), 1)</f>
        <v>2.8582789175949099E-5</v>
      </c>
      <c r="U12" s="7">
        <f>$B12 * IFERROR(VLOOKUP("LULUCF|SO2|Respiratory hospital admissions", US_national_yearly!$D:$AM, 29, FALSE) / VLOOKUP("LULUCF|SO2|Respiratory hospital admissions", US_national_yearly!$D:$AM, 10, FALSE), 1)</f>
        <v>2.8697501777435096E-5</v>
      </c>
      <c r="V12" s="7">
        <f>$B12 * IFERROR(VLOOKUP("LULUCF|SO2|Respiratory hospital admissions", US_national_yearly!$D:$AM, 30, FALSE) / VLOOKUP("LULUCF|SO2|Respiratory hospital admissions", US_national_yearly!$D:$AM, 10, FALSE), 1)</f>
        <v>2.8812214378921097E-5</v>
      </c>
      <c r="W12" s="7">
        <f>$B12 * IFERROR(VLOOKUP("LULUCF|SO2|Respiratory hospital admissions", US_national_yearly!$D:$AM, 31, FALSE) / VLOOKUP("LULUCF|SO2|Respiratory hospital admissions", US_national_yearly!$D:$AM, 10, FALSE), 1)</f>
        <v>2.8926926980407094E-5</v>
      </c>
      <c r="X12" s="7">
        <f>$B12 * IFERROR(VLOOKUP("LULUCF|SO2|Respiratory hospital admissions", US_national_yearly!$D:$AM, 32, FALSE) / VLOOKUP("LULUCF|SO2|Respiratory hospital admissions", US_national_yearly!$D:$AM, 10, FALSE), 1)</f>
        <v>2.9035770405646313E-5</v>
      </c>
      <c r="Y12" s="7">
        <f>$B12 * IFERROR(VLOOKUP("LULUCF|SO2|Respiratory hospital admissions", US_national_yearly!$D:$AM, 33, FALSE) / VLOOKUP("LULUCF|SO2|Respiratory hospital admissions", US_national_yearly!$D:$AM, 10, FALSE), 1)</f>
        <v>2.9144613830885532E-5</v>
      </c>
      <c r="Z12" s="7">
        <f>$B12 * IFERROR(VLOOKUP("LULUCF|SO2|Respiratory hospital admissions", US_national_yearly!$D:$AM, 34, FALSE) / VLOOKUP("LULUCF|SO2|Respiratory hospital admissions", US_national_yearly!$D:$AM, 10, FALSE), 1)</f>
        <v>2.9253457256124751E-5</v>
      </c>
      <c r="AA12" s="7">
        <f>$B12 * IFERROR(VLOOKUP("LULUCF|SO2|Respiratory hospital admissions", US_national_yearly!$D:$AM, 35, FALSE) / VLOOKUP("LULUCF|SO2|Respiratory hospital admissions", US_national_yearly!$D:$AM, 10, FALSE), 1)</f>
        <v>2.9362300681363967E-5</v>
      </c>
      <c r="AB12" s="7">
        <f>$B12 * IFERROR(VLOOKUP("LULUCF|SO2|Respiratory hospital admissions", US_national_yearly!$D:$AM, 36, FALSE) / VLOOKUP("LULUCF|SO2|Respiratory hospital admissions", US_national_yearly!$D:$AM, 10, FALSE), 1)</f>
        <v>2.9471144106603193E-5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1.6064142776082925E-4</v>
      </c>
      <c r="C13" s="7">
        <f>$B13 * IFERROR(VLOOKUP("LULUCF|SO2|Non-fatal heart attacks", US_national_yearly!$D:$AM, 11, FALSE) / VLOOKUP("LULUCF|SO2|Non-fatal heart attacks", US_national_yearly!$D:$AM, 10, FALSE), 1)</f>
        <v>1.6535727659822881E-4</v>
      </c>
      <c r="D13" s="7">
        <f>$B13 * IFERROR(VLOOKUP("LULUCF|SO2|Non-fatal heart attacks", US_national_yearly!$D:$AM, 12, FALSE) / VLOOKUP("LULUCF|SO2|Non-fatal heart attacks", US_national_yearly!$D:$AM, 10, FALSE), 1)</f>
        <v>1.7007312543562838E-4</v>
      </c>
      <c r="E13" s="7">
        <f>$B13 * IFERROR(VLOOKUP("LULUCF|SO2|Non-fatal heart attacks", US_national_yearly!$D:$AM, 13, FALSE) / VLOOKUP("LULUCF|SO2|Non-fatal heart attacks", US_national_yearly!$D:$AM, 10, FALSE), 1)</f>
        <v>1.7478897427302797E-4</v>
      </c>
      <c r="F13" s="7">
        <f>$B13 * IFERROR(VLOOKUP("LULUCF|SO2|Non-fatal heart attacks", US_national_yearly!$D:$AM, 14, FALSE) / VLOOKUP("LULUCF|SO2|Non-fatal heart attacks", US_national_yearly!$D:$AM, 10, FALSE), 1)</f>
        <v>1.7950482311042748E-4</v>
      </c>
      <c r="G13" s="7">
        <f>$B13 * IFERROR(VLOOKUP("LULUCF|SO2|Non-fatal heart attacks", US_national_yearly!$D:$AM, 15, FALSE) / VLOOKUP("LULUCF|SO2|Non-fatal heart attacks", US_national_yearly!$D:$AM, 10, FALSE), 1)</f>
        <v>1.8395230598579698E-4</v>
      </c>
      <c r="H13" s="7">
        <f>$B13 * IFERROR(VLOOKUP("LULUCF|SO2|Non-fatal heart attacks", US_national_yearly!$D:$AM, 16, FALSE) / VLOOKUP("LULUCF|SO2|Non-fatal heart attacks", US_national_yearly!$D:$AM, 10, FALSE), 1)</f>
        <v>1.8839978886116648E-4</v>
      </c>
      <c r="I13" s="7">
        <f>$B13 * IFERROR(VLOOKUP("LULUCF|SO2|Non-fatal heart attacks", US_national_yearly!$D:$AM, 17, FALSE) / VLOOKUP("LULUCF|SO2|Non-fatal heart attacks", US_national_yearly!$D:$AM, 10, FALSE), 1)</f>
        <v>1.9197861835443887E-4</v>
      </c>
      <c r="J13" s="7">
        <f>$B13 * IFERROR(VLOOKUP("LULUCF|SO2|Non-fatal heart attacks", US_national_yearly!$D:$AM, 18, FALSE) / VLOOKUP("LULUCF|SO2|Non-fatal heart attacks", US_national_yearly!$D:$AM, 10, FALSE), 1)</f>
        <v>1.9555744784771132E-4</v>
      </c>
      <c r="K13" s="7">
        <f>$B13 * IFERROR(VLOOKUP("LULUCF|SO2|Non-fatal heart attacks", US_national_yearly!$D:$AM, 19, FALSE) / VLOOKUP("LULUCF|SO2|Non-fatal heart attacks", US_national_yearly!$D:$AM, 10, FALSE), 1)</f>
        <v>1.9913627734098374E-4</v>
      </c>
      <c r="L13" s="7">
        <f>$B13 * IFERROR(VLOOKUP("LULUCF|SO2|Non-fatal heart attacks", US_national_yearly!$D:$AM, 20, FALSE) / VLOOKUP("LULUCF|SO2|Non-fatal heart attacks", US_national_yearly!$D:$AM, 10, FALSE), 1)</f>
        <v>2.0271510683425622E-4</v>
      </c>
      <c r="M13" s="7">
        <f>$B13 * IFERROR(VLOOKUP("LULUCF|SO2|Non-fatal heart attacks", US_national_yearly!$D:$AM, 21, FALSE) / VLOOKUP("LULUCF|SO2|Non-fatal heart attacks", US_national_yearly!$D:$AM, 10, FALSE), 1)</f>
        <v>2.0629393632752867E-4</v>
      </c>
      <c r="N13" s="7">
        <f>$B13 * IFERROR(VLOOKUP("LULUCF|SO2|Non-fatal heart attacks", US_national_yearly!$D:$AM, 22, FALSE) / VLOOKUP("LULUCF|SO2|Non-fatal heart attacks", US_national_yearly!$D:$AM, 10, FALSE), 1)</f>
        <v>2.086177135555073E-4</v>
      </c>
      <c r="O13" s="7">
        <f>$B13 * IFERROR(VLOOKUP("LULUCF|SO2|Non-fatal heart attacks", US_national_yearly!$D:$AM, 23, FALSE) / VLOOKUP("LULUCF|SO2|Non-fatal heart attacks", US_national_yearly!$D:$AM, 10, FALSE), 1)</f>
        <v>2.1094149078348601E-4</v>
      </c>
      <c r="P13" s="7">
        <f>$B13 * IFERROR(VLOOKUP("LULUCF|SO2|Non-fatal heart attacks", US_national_yearly!$D:$AM, 24, FALSE) / VLOOKUP("LULUCF|SO2|Non-fatal heart attacks", US_national_yearly!$D:$AM, 10, FALSE), 1)</f>
        <v>2.1326526801146472E-4</v>
      </c>
      <c r="Q13" s="7">
        <f>$B13 * IFERROR(VLOOKUP("LULUCF|SO2|Non-fatal heart attacks", US_national_yearly!$D:$AM, 25, FALSE) / VLOOKUP("LULUCF|SO2|Non-fatal heart attacks", US_national_yearly!$D:$AM, 10, FALSE), 1)</f>
        <v>2.1558904523944338E-4</v>
      </c>
      <c r="R13" s="7">
        <f>$B13 * IFERROR(VLOOKUP("LULUCF|SO2|Non-fatal heart attacks", US_national_yearly!$D:$AM, 26, FALSE) / VLOOKUP("LULUCF|SO2|Non-fatal heart attacks", US_national_yearly!$D:$AM, 10, FALSE), 1)</f>
        <v>2.1791282246742203E-4</v>
      </c>
      <c r="S13" s="7">
        <f>$B13 * IFERROR(VLOOKUP("LULUCF|SO2|Non-fatal heart attacks", US_national_yearly!$D:$AM, 27, FALSE) / VLOOKUP("LULUCF|SO2|Non-fatal heart attacks", US_national_yearly!$D:$AM, 10, FALSE), 1)</f>
        <v>2.1912605348739302E-4</v>
      </c>
      <c r="T13" s="7">
        <f>$B13 * IFERROR(VLOOKUP("LULUCF|SO2|Non-fatal heart attacks", US_national_yearly!$D:$AM, 28, FALSE) / VLOOKUP("LULUCF|SO2|Non-fatal heart attacks", US_national_yearly!$D:$AM, 10, FALSE), 1)</f>
        <v>2.2033928450736402E-4</v>
      </c>
      <c r="U13" s="7">
        <f>$B13 * IFERROR(VLOOKUP("LULUCF|SO2|Non-fatal heart attacks", US_national_yearly!$D:$AM, 29, FALSE) / VLOOKUP("LULUCF|SO2|Non-fatal heart attacks", US_national_yearly!$D:$AM, 10, FALSE), 1)</f>
        <v>2.2155251552733496E-4</v>
      </c>
      <c r="V13" s="7">
        <f>$B13 * IFERROR(VLOOKUP("LULUCF|SO2|Non-fatal heart attacks", US_national_yearly!$D:$AM, 30, FALSE) / VLOOKUP("LULUCF|SO2|Non-fatal heart attacks", US_national_yearly!$D:$AM, 10, FALSE), 1)</f>
        <v>2.2276574654730589E-4</v>
      </c>
      <c r="W13" s="7">
        <f>$B13 * IFERROR(VLOOKUP("LULUCF|SO2|Non-fatal heart attacks", US_national_yearly!$D:$AM, 31, FALSE) / VLOOKUP("LULUCF|SO2|Non-fatal heart attacks", US_national_yearly!$D:$AM, 10, FALSE), 1)</f>
        <v>2.2397897756727691E-4</v>
      </c>
      <c r="X13" s="7">
        <f>$B13 * IFERROR(VLOOKUP("LULUCF|SO2|Non-fatal heart attacks", US_national_yearly!$D:$AM, 32, FALSE) / VLOOKUP("LULUCF|SO2|Non-fatal heart attacks", US_national_yearly!$D:$AM, 10, FALSE), 1)</f>
        <v>2.248948608613653E-4</v>
      </c>
      <c r="Y13" s="7">
        <f>$B13 * IFERROR(VLOOKUP("LULUCF|SO2|Non-fatal heart attacks", US_national_yearly!$D:$AM, 33, FALSE) / VLOOKUP("LULUCF|SO2|Non-fatal heart attacks", US_national_yearly!$D:$AM, 10, FALSE), 1)</f>
        <v>2.2581074415545368E-4</v>
      </c>
      <c r="Z13" s="7">
        <f>$B13 * IFERROR(VLOOKUP("LULUCF|SO2|Non-fatal heart attacks", US_national_yearly!$D:$AM, 34, FALSE) / VLOOKUP("LULUCF|SO2|Non-fatal heart attacks", US_national_yearly!$D:$AM, 10, FALSE), 1)</f>
        <v>2.2672662744954207E-4</v>
      </c>
      <c r="AA13" s="7">
        <f>$B13 * IFERROR(VLOOKUP("LULUCF|SO2|Non-fatal heart attacks", US_national_yearly!$D:$AM, 35, FALSE) / VLOOKUP("LULUCF|SO2|Non-fatal heart attacks", US_national_yearly!$D:$AM, 10, FALSE), 1)</f>
        <v>2.2764251074363045E-4</v>
      </c>
      <c r="AB13" s="7">
        <f>$B13 * IFERROR(VLOOKUP("LULUCF|SO2|Non-fatal heart attacks", US_national_yearly!$D:$AM, 36, FALSE) / VLOOKUP("LULUCF|SO2|Non-fatal heart attacks", US_national_yearly!$D:$AM, 10, FALSE), 1)</f>
        <v>2.2855839403771884E-4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0.13879316825284152</v>
      </c>
      <c r="C14" s="7">
        <f>$B14 * IFERROR(VLOOKUP("LULUCF|SO2|Minor restricted activity days", US_national_yearly!$D:$AM, 11, FALSE) / VLOOKUP("LULUCF|SO2|Minor restricted activity days", US_national_yearly!$D:$AM, 10, FALSE), 1)</f>
        <v>0.13914301958518888</v>
      </c>
      <c r="D14" s="7">
        <f>$B14 * IFERROR(VLOOKUP("LULUCF|SO2|Minor restricted activity days", US_national_yearly!$D:$AM, 12, FALSE) / VLOOKUP("LULUCF|SO2|Minor restricted activity days", US_national_yearly!$D:$AM, 10, FALSE), 1)</f>
        <v>0.13949287091753618</v>
      </c>
      <c r="E14" s="7">
        <f>$B14 * IFERROR(VLOOKUP("LULUCF|SO2|Minor restricted activity days", US_national_yearly!$D:$AM, 13, FALSE) / VLOOKUP("LULUCF|SO2|Minor restricted activity days", US_national_yearly!$D:$AM, 10, FALSE), 1)</f>
        <v>0.13984272224988353</v>
      </c>
      <c r="F14" s="7">
        <f>$B14 * IFERROR(VLOOKUP("LULUCF|SO2|Minor restricted activity days", US_national_yearly!$D:$AM, 14, FALSE) / VLOOKUP("LULUCF|SO2|Minor restricted activity days", US_national_yearly!$D:$AM, 10, FALSE), 1)</f>
        <v>0.14019257358223086</v>
      </c>
      <c r="G14" s="7">
        <f>$B14 * IFERROR(VLOOKUP("LULUCF|SO2|Minor restricted activity days", US_national_yearly!$D:$AM, 15, FALSE) / VLOOKUP("LULUCF|SO2|Minor restricted activity days", US_national_yearly!$D:$AM, 10, FALSE), 1)</f>
        <v>0.14070752037385933</v>
      </c>
      <c r="H14" s="7">
        <f>$B14 * IFERROR(VLOOKUP("LULUCF|SO2|Minor restricted activity days", US_national_yearly!$D:$AM, 16, FALSE) / VLOOKUP("LULUCF|SO2|Minor restricted activity days", US_national_yearly!$D:$AM, 10, FALSE), 1)</f>
        <v>0.14122246716548781</v>
      </c>
      <c r="I14" s="7">
        <f>$B14 * IFERROR(VLOOKUP("LULUCF|SO2|Minor restricted activity days", US_national_yearly!$D:$AM, 17, FALSE) / VLOOKUP("LULUCF|SO2|Minor restricted activity days", US_national_yearly!$D:$AM, 10, FALSE), 1)</f>
        <v>0.1421006609199455</v>
      </c>
      <c r="J14" s="7">
        <f>$B14 * IFERROR(VLOOKUP("LULUCF|SO2|Minor restricted activity days", US_national_yearly!$D:$AM, 18, FALSE) / VLOOKUP("LULUCF|SO2|Minor restricted activity days", US_national_yearly!$D:$AM, 10, FALSE), 1)</f>
        <v>0.14297885467440319</v>
      </c>
      <c r="K14" s="7">
        <f>$B14 * IFERROR(VLOOKUP("LULUCF|SO2|Minor restricted activity days", US_national_yearly!$D:$AM, 19, FALSE) / VLOOKUP("LULUCF|SO2|Minor restricted activity days", US_national_yearly!$D:$AM, 10, FALSE), 1)</f>
        <v>0.14385704842886091</v>
      </c>
      <c r="L14" s="7">
        <f>$B14 * IFERROR(VLOOKUP("LULUCF|SO2|Minor restricted activity days", US_national_yearly!$D:$AM, 20, FALSE) / VLOOKUP("LULUCF|SO2|Minor restricted activity days", US_national_yearly!$D:$AM, 10, FALSE), 1)</f>
        <v>0.1447352421833186</v>
      </c>
      <c r="M14" s="7">
        <f>$B14 * IFERROR(VLOOKUP("LULUCF|SO2|Minor restricted activity days", US_national_yearly!$D:$AM, 21, FALSE) / VLOOKUP("LULUCF|SO2|Minor restricted activity days", US_national_yearly!$D:$AM, 10, FALSE), 1)</f>
        <v>0.14561343593777629</v>
      </c>
      <c r="N14" s="7">
        <f>$B14 * IFERROR(VLOOKUP("LULUCF|SO2|Minor restricted activity days", US_national_yearly!$D:$AM, 22, FALSE) / VLOOKUP("LULUCF|SO2|Minor restricted activity days", US_national_yearly!$D:$AM, 10, FALSE), 1)</f>
        <v>0.14681466407980176</v>
      </c>
      <c r="O14" s="7">
        <f>$B14 * IFERROR(VLOOKUP("LULUCF|SO2|Minor restricted activity days", US_national_yearly!$D:$AM, 23, FALSE) / VLOOKUP("LULUCF|SO2|Minor restricted activity days", US_national_yearly!$D:$AM, 10, FALSE), 1)</f>
        <v>0.14801589222182721</v>
      </c>
      <c r="P14" s="7">
        <f>$B14 * IFERROR(VLOOKUP("LULUCF|SO2|Minor restricted activity days", US_national_yearly!$D:$AM, 24, FALSE) / VLOOKUP("LULUCF|SO2|Minor restricted activity days", US_national_yearly!$D:$AM, 10, FALSE), 1)</f>
        <v>0.14921712036385265</v>
      </c>
      <c r="Q14" s="7">
        <f>$B14 * IFERROR(VLOOKUP("LULUCF|SO2|Minor restricted activity days", US_national_yearly!$D:$AM, 25, FALSE) / VLOOKUP("LULUCF|SO2|Minor restricted activity days", US_national_yearly!$D:$AM, 10, FALSE), 1)</f>
        <v>0.1504183485058781</v>
      </c>
      <c r="R14" s="7">
        <f>$B14 * IFERROR(VLOOKUP("LULUCF|SO2|Minor restricted activity days", US_national_yearly!$D:$AM, 26, FALSE) / VLOOKUP("LULUCF|SO2|Minor restricted activity days", US_national_yearly!$D:$AM, 10, FALSE), 1)</f>
        <v>0.15161957664790357</v>
      </c>
      <c r="S14" s="7">
        <f>$B14 * IFERROR(VLOOKUP("LULUCF|SO2|Minor restricted activity days", US_national_yearly!$D:$AM, 27, FALSE) / VLOOKUP("LULUCF|SO2|Minor restricted activity days", US_national_yearly!$D:$AM, 10, FALSE), 1)</f>
        <v>0.15284434630761146</v>
      </c>
      <c r="T14" s="7">
        <f>$B14 * IFERROR(VLOOKUP("LULUCF|SO2|Minor restricted activity days", US_national_yearly!$D:$AM, 28, FALSE) / VLOOKUP("LULUCF|SO2|Minor restricted activity days", US_national_yearly!$D:$AM, 10, FALSE), 1)</f>
        <v>0.15406911596731931</v>
      </c>
      <c r="U14" s="7">
        <f>$B14 * IFERROR(VLOOKUP("LULUCF|SO2|Minor restricted activity days", US_national_yearly!$D:$AM, 29, FALSE) / VLOOKUP("LULUCF|SO2|Minor restricted activity days", US_national_yearly!$D:$AM, 10, FALSE), 1)</f>
        <v>0.1552938856270272</v>
      </c>
      <c r="V14" s="7">
        <f>$B14 * IFERROR(VLOOKUP("LULUCF|SO2|Minor restricted activity days", US_national_yearly!$D:$AM, 30, FALSE) / VLOOKUP("LULUCF|SO2|Minor restricted activity days", US_national_yearly!$D:$AM, 10, FALSE), 1)</f>
        <v>0.15651865528673509</v>
      </c>
      <c r="W14" s="7">
        <f>$B14 * IFERROR(VLOOKUP("LULUCF|SO2|Minor restricted activity days", US_national_yearly!$D:$AM, 31, FALSE) / VLOOKUP("LULUCF|SO2|Minor restricted activity days", US_national_yearly!$D:$AM, 10, FALSE), 1)</f>
        <v>0.157743424946443</v>
      </c>
      <c r="X14" s="7">
        <f>$B14 * IFERROR(VLOOKUP("LULUCF|SO2|Minor restricted activity days", US_national_yearly!$D:$AM, 32, FALSE) / VLOOKUP("LULUCF|SO2|Minor restricted activity days", US_national_yearly!$D:$AM, 10, FALSE), 1)</f>
        <v>0.15882051226171154</v>
      </c>
      <c r="Y14" s="7">
        <f>$B14 * IFERROR(VLOOKUP("LULUCF|SO2|Minor restricted activity days", US_national_yearly!$D:$AM, 33, FALSE) / VLOOKUP("LULUCF|SO2|Minor restricted activity days", US_national_yearly!$D:$AM, 10, FALSE), 1)</f>
        <v>0.15989759957698005</v>
      </c>
      <c r="Z14" s="7">
        <f>$B14 * IFERROR(VLOOKUP("LULUCF|SO2|Minor restricted activity days", US_national_yearly!$D:$AM, 34, FALSE) / VLOOKUP("LULUCF|SO2|Minor restricted activity days", US_national_yearly!$D:$AM, 10, FALSE), 1)</f>
        <v>0.16097468689224861</v>
      </c>
      <c r="AA14" s="7">
        <f>$B14 * IFERROR(VLOOKUP("LULUCF|SO2|Minor restricted activity days", US_national_yearly!$D:$AM, 35, FALSE) / VLOOKUP("LULUCF|SO2|Minor restricted activity days", US_national_yearly!$D:$AM, 10, FALSE), 1)</f>
        <v>0.16205177420751715</v>
      </c>
      <c r="AB14" s="7">
        <f>$B14 * IFERROR(VLOOKUP("LULUCF|SO2|Minor restricted activity days", US_national_yearly!$D:$AM, 36, FALSE) / VLOOKUP("LULUCF|SO2|Minor restricted activity days", US_national_yearly!$D:$AM, 10, FALSE), 1)</f>
        <v>0.16312886152278569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2.3594679297722118E-2</v>
      </c>
      <c r="C15" s="7">
        <f>$B15 * IFERROR(VLOOKUP("LULUCF|SO2|Work loss days", US_national_yearly!$D:$AM, 11, FALSE) / VLOOKUP("LULUCF|SO2|Work loss days", US_national_yearly!$D:$AM, 10, FALSE), 1)</f>
        <v>2.3671122308604173E-2</v>
      </c>
      <c r="D15" s="7">
        <f>$B15 * IFERROR(VLOOKUP("LULUCF|SO2|Work loss days", US_national_yearly!$D:$AM, 12, FALSE) / VLOOKUP("LULUCF|SO2|Work loss days", US_national_yearly!$D:$AM, 10, FALSE), 1)</f>
        <v>2.3747565319486224E-2</v>
      </c>
      <c r="E15" s="7">
        <f>$B15 * IFERROR(VLOOKUP("LULUCF|SO2|Work loss days", US_national_yearly!$D:$AM, 13, FALSE) / VLOOKUP("LULUCF|SO2|Work loss days", US_national_yearly!$D:$AM, 10, FALSE), 1)</f>
        <v>2.3824008330368279E-2</v>
      </c>
      <c r="F15" s="7">
        <f>$B15 * IFERROR(VLOOKUP("LULUCF|SO2|Work loss days", US_national_yearly!$D:$AM, 14, FALSE) / VLOOKUP("LULUCF|SO2|Work loss days", US_national_yearly!$D:$AM, 10, FALSE), 1)</f>
        <v>2.3900451341250333E-2</v>
      </c>
      <c r="G15" s="7">
        <f>$B15 * IFERROR(VLOOKUP("LULUCF|SO2|Work loss days", US_national_yearly!$D:$AM, 15, FALSE) / VLOOKUP("LULUCF|SO2|Work loss days", US_national_yearly!$D:$AM, 10, FALSE), 1)</f>
        <v>2.4000333488367949E-2</v>
      </c>
      <c r="H15" s="7">
        <f>$B15 * IFERROR(VLOOKUP("LULUCF|SO2|Work loss days", US_national_yearly!$D:$AM, 16, FALSE) / VLOOKUP("LULUCF|SO2|Work loss days", US_national_yearly!$D:$AM, 10, FALSE), 1)</f>
        <v>2.4100215635485558E-2</v>
      </c>
      <c r="I15" s="7">
        <f>$B15 * IFERROR(VLOOKUP("LULUCF|SO2|Work loss days", US_national_yearly!$D:$AM, 17, FALSE) / VLOOKUP("LULUCF|SO2|Work loss days", US_national_yearly!$D:$AM, 10, FALSE), 1)</f>
        <v>2.4246329808507702E-2</v>
      </c>
      <c r="J15" s="7">
        <f>$B15 * IFERROR(VLOOKUP("LULUCF|SO2|Work loss days", US_national_yearly!$D:$AM, 18, FALSE) / VLOOKUP("LULUCF|SO2|Work loss days", US_national_yearly!$D:$AM, 10, FALSE), 1)</f>
        <v>2.439244398152984E-2</v>
      </c>
      <c r="K15" s="7">
        <f>$B15 * IFERROR(VLOOKUP("LULUCF|SO2|Work loss days", US_national_yearly!$D:$AM, 19, FALSE) / VLOOKUP("LULUCF|SO2|Work loss days", US_national_yearly!$D:$AM, 10, FALSE), 1)</f>
        <v>2.4538558154551984E-2</v>
      </c>
      <c r="L15" s="7">
        <f>$B15 * IFERROR(VLOOKUP("LULUCF|SO2|Work loss days", US_national_yearly!$D:$AM, 20, FALSE) / VLOOKUP("LULUCF|SO2|Work loss days", US_national_yearly!$D:$AM, 10, FALSE), 1)</f>
        <v>2.4684672327574129E-2</v>
      </c>
      <c r="M15" s="7">
        <f>$B15 * IFERROR(VLOOKUP("LULUCF|SO2|Work loss days", US_national_yearly!$D:$AM, 21, FALSE) / VLOOKUP("LULUCF|SO2|Work loss days", US_national_yearly!$D:$AM, 10, FALSE), 1)</f>
        <v>2.4830786500596273E-2</v>
      </c>
      <c r="N15" s="7">
        <f>$B15 * IFERROR(VLOOKUP("LULUCF|SO2|Work loss days", US_national_yearly!$D:$AM, 22, FALSE) / VLOOKUP("LULUCF|SO2|Work loss days", US_national_yearly!$D:$AM, 10, FALSE), 1)</f>
        <v>2.5013989995679827E-2</v>
      </c>
      <c r="O15" s="7">
        <f>$B15 * IFERROR(VLOOKUP("LULUCF|SO2|Work loss days", US_national_yearly!$D:$AM, 23, FALSE) / VLOOKUP("LULUCF|SO2|Work loss days", US_national_yearly!$D:$AM, 10, FALSE), 1)</f>
        <v>2.5197193490763381E-2</v>
      </c>
      <c r="P15" s="7">
        <f>$B15 * IFERROR(VLOOKUP("LULUCF|SO2|Work loss days", US_national_yearly!$D:$AM, 24, FALSE) / VLOOKUP("LULUCF|SO2|Work loss days", US_national_yearly!$D:$AM, 10, FALSE), 1)</f>
        <v>2.5380396985846928E-2</v>
      </c>
      <c r="Q15" s="7">
        <f>$B15 * IFERROR(VLOOKUP("LULUCF|SO2|Work loss days", US_national_yearly!$D:$AM, 25, FALSE) / VLOOKUP("LULUCF|SO2|Work loss days", US_national_yearly!$D:$AM, 10, FALSE), 1)</f>
        <v>2.5563600480930482E-2</v>
      </c>
      <c r="R15" s="7">
        <f>$B15 * IFERROR(VLOOKUP("LULUCF|SO2|Work loss days", US_national_yearly!$D:$AM, 26, FALSE) / VLOOKUP("LULUCF|SO2|Work loss days", US_national_yearly!$D:$AM, 10, FALSE), 1)</f>
        <v>2.5746803976014036E-2</v>
      </c>
      <c r="S15" s="7">
        <f>$B15 * IFERROR(VLOOKUP("LULUCF|SO2|Work loss days", US_national_yearly!$D:$AM, 27, FALSE) / VLOOKUP("LULUCF|SO2|Work loss days", US_national_yearly!$D:$AM, 10, FALSE), 1)</f>
        <v>2.5951533277755699E-2</v>
      </c>
      <c r="T15" s="7">
        <f>$B15 * IFERROR(VLOOKUP("LULUCF|SO2|Work loss days", US_national_yearly!$D:$AM, 28, FALSE) / VLOOKUP("LULUCF|SO2|Work loss days", US_national_yearly!$D:$AM, 10, FALSE), 1)</f>
        <v>2.6156262579497366E-2</v>
      </c>
      <c r="U15" s="7">
        <f>$B15 * IFERROR(VLOOKUP("LULUCF|SO2|Work loss days", US_national_yearly!$D:$AM, 29, FALSE) / VLOOKUP("LULUCF|SO2|Work loss days", US_national_yearly!$D:$AM, 10, FALSE), 1)</f>
        <v>2.6360991881239026E-2</v>
      </c>
      <c r="V15" s="7">
        <f>$B15 * IFERROR(VLOOKUP("LULUCF|SO2|Work loss days", US_national_yearly!$D:$AM, 30, FALSE) / VLOOKUP("LULUCF|SO2|Work loss days", US_national_yearly!$D:$AM, 10, FALSE), 1)</f>
        <v>2.656572118298069E-2</v>
      </c>
      <c r="W15" s="7">
        <f>$B15 * IFERROR(VLOOKUP("LULUCF|SO2|Work loss days", US_national_yearly!$D:$AM, 31, FALSE) / VLOOKUP("LULUCF|SO2|Work loss days", US_national_yearly!$D:$AM, 10, FALSE), 1)</f>
        <v>2.6770450484722357E-2</v>
      </c>
      <c r="X15" s="7">
        <f>$B15 * IFERROR(VLOOKUP("LULUCF|SO2|Work loss days", US_national_yearly!$D:$AM, 32, FALSE) / VLOOKUP("LULUCF|SO2|Work loss days", US_national_yearly!$D:$AM, 10, FALSE), 1)</f>
        <v>2.6954269178492349E-2</v>
      </c>
      <c r="Y15" s="7">
        <f>$B15 * IFERROR(VLOOKUP("LULUCF|SO2|Work loss days", US_national_yearly!$D:$AM, 33, FALSE) / VLOOKUP("LULUCF|SO2|Work loss days", US_national_yearly!$D:$AM, 10, FALSE), 1)</f>
        <v>2.7138087872262347E-2</v>
      </c>
      <c r="Z15" s="7">
        <f>$B15 * IFERROR(VLOOKUP("LULUCF|SO2|Work loss days", US_national_yearly!$D:$AM, 34, FALSE) / VLOOKUP("LULUCF|SO2|Work loss days", US_national_yearly!$D:$AM, 10, FALSE), 1)</f>
        <v>2.7321906566032342E-2</v>
      </c>
      <c r="AA15" s="7">
        <f>$B15 * IFERROR(VLOOKUP("LULUCF|SO2|Work loss days", US_national_yearly!$D:$AM, 35, FALSE) / VLOOKUP("LULUCF|SO2|Work loss days", US_national_yearly!$D:$AM, 10, FALSE), 1)</f>
        <v>2.7505725259802341E-2</v>
      </c>
      <c r="AB15" s="7">
        <f>$B15 * IFERROR(VLOOKUP("LULUCF|SO2|Work loss days", US_national_yearly!$D:$AM, 36, FALSE) / VLOOKUP("LULUCF|SO2|Work loss days", US_national_yearly!$D:$AM, 10, FALSE), 1)</f>
        <v>2.768954395357234E-2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3.7884848758476335E-5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3.9030631661997296E-5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4.0176414565518256E-5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4.1322197469039223E-5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4.246798037256019E-5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4.3565531447208114E-5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4.466308252185605E-5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4.5603469607606853E-5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4.6543856693357657E-5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4.748424377910846E-5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4.8424630864859263E-5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4.9365017950610059E-5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4.9996743861675178E-5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5.0628469772740297E-5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5.126019568380541E-5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5.1891921594870528E-5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5.2523647505935654E-5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5.2855890356229026E-5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5.3188133206522398E-5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5.3520376056815769E-5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5.3852618907109148E-5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5.418486175740252E-5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5.4407907365913968E-5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5.4630952974425416E-5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5.4853998582936871E-5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5.5077044191448327E-5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5.5300089799959775E-5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2026-06-15T17:14:23Z</dcterms:modified>
</cp:coreProperties>
</file>